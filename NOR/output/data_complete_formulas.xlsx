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4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Observation id</t>
        </is>
      </c>
      <c r="B1" t="inlineStr">
        <is>
          <t>Observation date</t>
        </is>
      </c>
      <c r="C1" t="inlineStr">
        <is>
          <t>Description</t>
        </is>
      </c>
      <c r="D1" t="inlineStr">
        <is>
          <t>Observation type</t>
        </is>
      </c>
      <c r="E1" t="inlineStr">
        <is>
          <t>Source</t>
        </is>
      </c>
      <c r="F1" t="inlineStr">
        <is>
          <t>Time offset (s)</t>
        </is>
      </c>
      <c r="G1" t="inlineStr">
        <is>
          <t>Coding duration</t>
        </is>
      </c>
      <c r="H1" t="inlineStr">
        <is>
          <t>Media duration (s)</t>
        </is>
      </c>
      <c r="I1" t="inlineStr">
        <is>
          <t>FPS (frame/s)</t>
        </is>
      </c>
      <c r="J1" t="inlineStr">
        <is>
          <t>Genotype</t>
        </is>
      </c>
      <c r="K1" t="inlineStr">
        <is>
          <t>Sex</t>
        </is>
      </c>
      <c r="L1" t="inlineStr">
        <is>
          <t>Subject</t>
        </is>
      </c>
      <c r="M1" t="inlineStr">
        <is>
          <t>Observation duration by subject by observation</t>
        </is>
      </c>
      <c r="N1" t="inlineStr">
        <is>
          <t>Behavior</t>
        </is>
      </c>
      <c r="O1" t="inlineStr">
        <is>
          <t>Behavioral category</t>
        </is>
      </c>
      <c r="P1" t="inlineStr">
        <is>
          <t>Behavior type</t>
        </is>
      </c>
      <c r="Q1" t="inlineStr">
        <is>
          <t>Start (s)</t>
        </is>
      </c>
      <c r="R1" t="inlineStr">
        <is>
          <t>Stop (s)</t>
        </is>
      </c>
      <c r="S1" t="inlineStr">
        <is>
          <t>Duration (s)</t>
        </is>
      </c>
      <c r="T1" t="inlineStr">
        <is>
          <t>Media file name</t>
        </is>
      </c>
      <c r="U1" t="inlineStr">
        <is>
          <t>Image index start</t>
        </is>
      </c>
      <c r="V1" t="inlineStr">
        <is>
          <t>Image index stop</t>
        </is>
      </c>
      <c r="W1" t="inlineStr">
        <is>
          <t>Image file path start</t>
        </is>
      </c>
      <c r="X1" t="inlineStr">
        <is>
          <t>Image file path stop</t>
        </is>
      </c>
      <c r="Y1" t="inlineStr">
        <is>
          <t>Comment start</t>
        </is>
      </c>
      <c r="Z1" t="inlineStr">
        <is>
          <t>Comment stop</t>
        </is>
      </c>
      <c r="AA1" t="inlineStr">
        <is>
          <t>Cumulative (s)</t>
        </is>
      </c>
      <c r="AB1" t="inlineStr">
        <is>
          <t>Explore_first10s</t>
        </is>
      </c>
    </row>
    <row r="2">
      <c r="A2" t="inlineStr">
        <is>
          <t>c3m1_training</t>
        </is>
      </c>
      <c r="B2" t="inlineStr">
        <is>
          <t>2026-02-19 11:10:39.318</t>
        </is>
      </c>
      <c r="C2" t="n">
        <v/>
      </c>
      <c r="D2" t="inlineStr">
        <is>
          <t>Media file</t>
        </is>
      </c>
      <c r="E2" t="inlineStr">
        <is>
          <t>player #1:BTBR\training\c3m1.mp4</t>
        </is>
      </c>
      <c r="F2" t="n">
        <v>-15.3</v>
      </c>
      <c r="G2" t="n">
        <v>582.932</v>
      </c>
      <c r="H2" t="n">
        <v>621.599</v>
      </c>
      <c r="I2" t="n">
        <v>30</v>
      </c>
      <c r="J2" t="inlineStr">
        <is>
          <t>BTBR</t>
        </is>
      </c>
      <c r="K2" t="inlineStr">
        <is>
          <t>Male</t>
        </is>
      </c>
      <c r="L2" t="inlineStr">
        <is>
          <t>No focal subject</t>
        </is>
      </c>
      <c r="M2" t="n">
        <v>43.699</v>
      </c>
      <c r="N2" t="inlineStr">
        <is>
          <t>Explore_F</t>
        </is>
      </c>
      <c r="O2" t="inlineStr">
        <is>
          <t>Familiar</t>
        </is>
      </c>
      <c r="P2" t="inlineStr">
        <is>
          <t>STATE</t>
        </is>
      </c>
      <c r="Q2" t="n">
        <v>2.667</v>
      </c>
      <c r="R2" t="n">
        <v>3.3</v>
      </c>
      <c r="S2" t="n">
        <v>0.633</v>
      </c>
      <c r="T2" t="inlineStr">
        <is>
          <t>BTBR\training\c3m1.mp4</t>
        </is>
      </c>
      <c r="U2" t="n">
        <v>80</v>
      </c>
      <c r="V2" t="n">
        <v>99</v>
      </c>
      <c r="W2" t="n">
        <v/>
      </c>
      <c r="X2" t="n">
        <v/>
      </c>
      <c r="Y2" t="n">
        <v/>
      </c>
      <c r="Z2" t="n">
        <v/>
      </c>
      <c r="AA2">
        <f>SUMIFS($S$2:S2,$A$2:A2,A2,$N$2:N2,"Explore*")</f>
        <v/>
      </c>
      <c r="AB2">
        <f>IF(AND(LEFT(N2,7)="Explore",(AA2-IF(LEFT(N2,7)="Explore",S2,0))&lt;10),"SI","NO")</f>
        <v/>
      </c>
    </row>
    <row r="3">
      <c r="A3" t="inlineStr">
        <is>
          <t>c3m1_training</t>
        </is>
      </c>
      <c r="B3" t="inlineStr">
        <is>
          <t>2026-02-19 11:10:39.318</t>
        </is>
      </c>
      <c r="C3" t="n">
        <v/>
      </c>
      <c r="D3" t="inlineStr">
        <is>
          <t>Media file</t>
        </is>
      </c>
      <c r="E3" t="inlineStr">
        <is>
          <t>player #1:BTBR\training\c3m1.mp4</t>
        </is>
      </c>
      <c r="F3" t="n">
        <v>-15.3</v>
      </c>
      <c r="G3" t="n">
        <v>582.932</v>
      </c>
      <c r="H3" t="n">
        <v>621.599</v>
      </c>
      <c r="I3" t="n">
        <v>30</v>
      </c>
      <c r="J3" t="inlineStr">
        <is>
          <t>BTBR</t>
        </is>
      </c>
      <c r="K3" t="inlineStr">
        <is>
          <t>Male</t>
        </is>
      </c>
      <c r="L3" t="inlineStr">
        <is>
          <t>No focal subject</t>
        </is>
      </c>
      <c r="M3" t="n">
        <v>43.699</v>
      </c>
      <c r="N3" t="inlineStr">
        <is>
          <t>Explore_F</t>
        </is>
      </c>
      <c r="O3" t="inlineStr">
        <is>
          <t>Familiar</t>
        </is>
      </c>
      <c r="P3" t="inlineStr">
        <is>
          <t>STATE</t>
        </is>
      </c>
      <c r="Q3" t="n">
        <v>4.367</v>
      </c>
      <c r="R3" t="n">
        <v>4.9</v>
      </c>
      <c r="S3" t="n">
        <v>0.533</v>
      </c>
      <c r="T3" t="inlineStr">
        <is>
          <t>BTBR\training\c3m1.mp4</t>
        </is>
      </c>
      <c r="U3" t="n">
        <v>131</v>
      </c>
      <c r="V3" t="n">
        <v>147</v>
      </c>
      <c r="W3" t="n">
        <v/>
      </c>
      <c r="X3" t="n">
        <v/>
      </c>
      <c r="Y3" t="n">
        <v/>
      </c>
      <c r="Z3" t="n">
        <v/>
      </c>
      <c r="AA3">
        <f>SUMIFS($S$2:S3,$A$2:A3,A3,$N$2:N3,"Explore*")</f>
        <v/>
      </c>
      <c r="AB3">
        <f>IF(AND(LEFT(N3,7)="Explore",(AA3-IF(LEFT(N3,7)="Explore",S3,0))&lt;10),"SI","NO")</f>
        <v/>
      </c>
    </row>
    <row r="4">
      <c r="A4" t="inlineStr">
        <is>
          <t>c3m1_training</t>
        </is>
      </c>
      <c r="B4" t="inlineStr">
        <is>
          <t>2026-02-19 11:10:39.318</t>
        </is>
      </c>
      <c r="C4" t="n">
        <v/>
      </c>
      <c r="D4" t="inlineStr">
        <is>
          <t>Media file</t>
        </is>
      </c>
      <c r="E4" t="inlineStr">
        <is>
          <t>player #1:BTBR\training\c3m1.mp4</t>
        </is>
      </c>
      <c r="F4" t="n">
        <v>-15.3</v>
      </c>
      <c r="G4" t="n">
        <v>582.932</v>
      </c>
      <c r="H4" t="n">
        <v>621.599</v>
      </c>
      <c r="I4" t="n">
        <v>30</v>
      </c>
      <c r="J4" t="inlineStr">
        <is>
          <t>BTBR</t>
        </is>
      </c>
      <c r="K4" t="inlineStr">
        <is>
          <t>Male</t>
        </is>
      </c>
      <c r="L4" t="inlineStr">
        <is>
          <t>No focal subject</t>
        </is>
      </c>
      <c r="M4" t="n">
        <v>43.699</v>
      </c>
      <c r="N4" t="inlineStr">
        <is>
          <t>Explore_F2</t>
        </is>
      </c>
      <c r="O4" t="inlineStr">
        <is>
          <t>Second familiar</t>
        </is>
      </c>
      <c r="P4" t="inlineStr">
        <is>
          <t>STATE</t>
        </is>
      </c>
      <c r="Q4" t="n">
        <v>5.367</v>
      </c>
      <c r="R4" t="n">
        <v>6.467</v>
      </c>
      <c r="S4" t="n">
        <v>1.1</v>
      </c>
      <c r="T4" t="inlineStr">
        <is>
          <t>BTBR\training\c3m1.mp4</t>
        </is>
      </c>
      <c r="U4" t="n">
        <v>161</v>
      </c>
      <c r="V4" t="n">
        <v>194</v>
      </c>
      <c r="W4" t="n">
        <v/>
      </c>
      <c r="X4" t="n">
        <v/>
      </c>
      <c r="Y4" t="n">
        <v/>
      </c>
      <c r="Z4" t="n">
        <v/>
      </c>
      <c r="AA4">
        <f>SUMIFS($S$2:S4,$A$2:A4,A4,$N$2:N4,"Explore*")</f>
        <v/>
      </c>
      <c r="AB4">
        <f>IF(AND(LEFT(N4,7)="Explore",(AA4-IF(LEFT(N4,7)="Explore",S4,0))&lt;10),"SI","NO")</f>
        <v/>
      </c>
    </row>
    <row r="5">
      <c r="A5" t="inlineStr">
        <is>
          <t>c3m1_training</t>
        </is>
      </c>
      <c r="B5" t="inlineStr">
        <is>
          <t>2026-02-19 11:10:39.318</t>
        </is>
      </c>
      <c r="C5" t="n">
        <v/>
      </c>
      <c r="D5" t="inlineStr">
        <is>
          <t>Media file</t>
        </is>
      </c>
      <c r="E5" t="inlineStr">
        <is>
          <t>player #1:BTBR\training\c3m1.mp4</t>
        </is>
      </c>
      <c r="F5" t="n">
        <v>-15.3</v>
      </c>
      <c r="G5" t="n">
        <v>582.932</v>
      </c>
      <c r="H5" t="n">
        <v>621.599</v>
      </c>
      <c r="I5" t="n">
        <v>30</v>
      </c>
      <c r="J5" t="inlineStr">
        <is>
          <t>BTBR</t>
        </is>
      </c>
      <c r="K5" t="inlineStr">
        <is>
          <t>Male</t>
        </is>
      </c>
      <c r="L5" t="inlineStr">
        <is>
          <t>No focal subject</t>
        </is>
      </c>
      <c r="M5" t="n">
        <v>43.699</v>
      </c>
      <c r="N5" t="inlineStr">
        <is>
          <t>Explore_F</t>
        </is>
      </c>
      <c r="O5" t="inlineStr">
        <is>
          <t>Familiar</t>
        </is>
      </c>
      <c r="P5" t="inlineStr">
        <is>
          <t>STATE</t>
        </is>
      </c>
      <c r="Q5" t="n">
        <v>12.033</v>
      </c>
      <c r="R5" t="n">
        <v>12.367</v>
      </c>
      <c r="S5" t="n">
        <v>0.334</v>
      </c>
      <c r="T5" t="inlineStr">
        <is>
          <t>BTBR\training\c3m1.mp4</t>
        </is>
      </c>
      <c r="U5" t="n">
        <v>361</v>
      </c>
      <c r="V5" t="n">
        <v>370</v>
      </c>
      <c r="W5" t="n">
        <v/>
      </c>
      <c r="X5" t="n">
        <v/>
      </c>
      <c r="Y5" t="n">
        <v/>
      </c>
      <c r="Z5" t="n">
        <v/>
      </c>
      <c r="AA5">
        <f>SUMIFS($S$2:S5,$A$2:A5,A5,$N$2:N5,"Explore*")</f>
        <v/>
      </c>
      <c r="AB5">
        <f>IF(AND(LEFT(N5,7)="Explore",(AA5-IF(LEFT(N5,7)="Explore",S5,0))&lt;10),"SI","NO")</f>
        <v/>
      </c>
    </row>
    <row r="6">
      <c r="A6" t="inlineStr">
        <is>
          <t>c3m1_training</t>
        </is>
      </c>
      <c r="B6" t="inlineStr">
        <is>
          <t>2026-02-19 11:10:39.318</t>
        </is>
      </c>
      <c r="C6" t="n">
        <v/>
      </c>
      <c r="D6" t="inlineStr">
        <is>
          <t>Media file</t>
        </is>
      </c>
      <c r="E6" t="inlineStr">
        <is>
          <t>player #1:BTBR\training\c3m1.mp4</t>
        </is>
      </c>
      <c r="F6" t="n">
        <v>-15.3</v>
      </c>
      <c r="G6" t="n">
        <v>582.932</v>
      </c>
      <c r="H6" t="n">
        <v>621.599</v>
      </c>
      <c r="I6" t="n">
        <v>30</v>
      </c>
      <c r="J6" t="inlineStr">
        <is>
          <t>BTBR</t>
        </is>
      </c>
      <c r="K6" t="inlineStr">
        <is>
          <t>Male</t>
        </is>
      </c>
      <c r="L6" t="inlineStr">
        <is>
          <t>No focal subject</t>
        </is>
      </c>
      <c r="M6" t="n">
        <v>43.699</v>
      </c>
      <c r="N6" t="inlineStr">
        <is>
          <t>Explore_F2</t>
        </is>
      </c>
      <c r="O6" t="inlineStr">
        <is>
          <t>Second familiar</t>
        </is>
      </c>
      <c r="P6" t="inlineStr">
        <is>
          <t>STATE</t>
        </is>
      </c>
      <c r="Q6" t="n">
        <v>15.767</v>
      </c>
      <c r="R6" t="n">
        <v>16.4</v>
      </c>
      <c r="S6" t="n">
        <v>0.633</v>
      </c>
      <c r="T6" t="inlineStr">
        <is>
          <t>BTBR\training\c3m1.mp4</t>
        </is>
      </c>
      <c r="U6" t="n">
        <v>472</v>
      </c>
      <c r="V6" t="n">
        <v>491</v>
      </c>
      <c r="W6" t="n">
        <v/>
      </c>
      <c r="X6" t="n">
        <v/>
      </c>
      <c r="Y6" t="n">
        <v/>
      </c>
      <c r="Z6" t="n">
        <v/>
      </c>
      <c r="AA6">
        <f>SUMIFS($S$2:S6,$A$2:A6,A6,$N$2:N6,"Explore*")</f>
        <v/>
      </c>
      <c r="AB6">
        <f>IF(AND(LEFT(N6,7)="Explore",(AA6-IF(LEFT(N6,7)="Explore",S6,0))&lt;10),"SI","NO")</f>
        <v/>
      </c>
    </row>
    <row r="7">
      <c r="A7" t="inlineStr">
        <is>
          <t>c3m1_training</t>
        </is>
      </c>
      <c r="B7" t="inlineStr">
        <is>
          <t>2026-02-19 11:10:39.318</t>
        </is>
      </c>
      <c r="C7" t="n">
        <v/>
      </c>
      <c r="D7" t="inlineStr">
        <is>
          <t>Media file</t>
        </is>
      </c>
      <c r="E7" t="inlineStr">
        <is>
          <t>player #1:BTBR\training\c3m1.mp4</t>
        </is>
      </c>
      <c r="F7" t="n">
        <v>-15.3</v>
      </c>
      <c r="G7" t="n">
        <v>582.932</v>
      </c>
      <c r="H7" t="n">
        <v>621.599</v>
      </c>
      <c r="I7" t="n">
        <v>30</v>
      </c>
      <c r="J7" t="inlineStr">
        <is>
          <t>BTBR</t>
        </is>
      </c>
      <c r="K7" t="inlineStr">
        <is>
          <t>Male</t>
        </is>
      </c>
      <c r="L7" t="inlineStr">
        <is>
          <t>No focal subject</t>
        </is>
      </c>
      <c r="M7" t="n">
        <v>43.699</v>
      </c>
      <c r="N7" t="inlineStr">
        <is>
          <t>Explore_F2</t>
        </is>
      </c>
      <c r="O7" t="inlineStr">
        <is>
          <t>Second familiar</t>
        </is>
      </c>
      <c r="P7" t="inlineStr">
        <is>
          <t>STATE</t>
        </is>
      </c>
      <c r="Q7" t="n">
        <v>22.167</v>
      </c>
      <c r="R7" t="n">
        <v>22.567</v>
      </c>
      <c r="S7" t="n">
        <v>0.4</v>
      </c>
      <c r="T7" t="inlineStr">
        <is>
          <t>BTBR\training\c3m1.mp4</t>
        </is>
      </c>
      <c r="U7" t="n">
        <v>664</v>
      </c>
      <c r="V7" t="n">
        <v>676</v>
      </c>
      <c r="W7" t="n">
        <v/>
      </c>
      <c r="X7" t="n">
        <v/>
      </c>
      <c r="Y7" t="n">
        <v/>
      </c>
      <c r="Z7" t="n">
        <v/>
      </c>
      <c r="AA7">
        <f>SUMIFS($S$2:S7,$A$2:A7,A7,$N$2:N7,"Explore*")</f>
        <v/>
      </c>
      <c r="AB7">
        <f>IF(AND(LEFT(N7,7)="Explore",(AA7-IF(LEFT(N7,7)="Explore",S7,0))&lt;10),"SI","NO")</f>
        <v/>
      </c>
    </row>
    <row r="8">
      <c r="A8" t="inlineStr">
        <is>
          <t>c3m1_training</t>
        </is>
      </c>
      <c r="B8" t="inlineStr">
        <is>
          <t>2026-02-19 11:10:39.318</t>
        </is>
      </c>
      <c r="C8" t="n">
        <v/>
      </c>
      <c r="D8" t="inlineStr">
        <is>
          <t>Media file</t>
        </is>
      </c>
      <c r="E8" t="inlineStr">
        <is>
          <t>player #1:BTBR\training\c3m1.mp4</t>
        </is>
      </c>
      <c r="F8" t="n">
        <v>-15.3</v>
      </c>
      <c r="G8" t="n">
        <v>582.932</v>
      </c>
      <c r="H8" t="n">
        <v>621.599</v>
      </c>
      <c r="I8" t="n">
        <v>30</v>
      </c>
      <c r="J8" t="inlineStr">
        <is>
          <t>BTBR</t>
        </is>
      </c>
      <c r="K8" t="inlineStr">
        <is>
          <t>Male</t>
        </is>
      </c>
      <c r="L8" t="inlineStr">
        <is>
          <t>No focal subject</t>
        </is>
      </c>
      <c r="M8" t="n">
        <v>43.699</v>
      </c>
      <c r="N8" t="inlineStr">
        <is>
          <t>Explore_F2</t>
        </is>
      </c>
      <c r="O8" t="inlineStr">
        <is>
          <t>Second familiar</t>
        </is>
      </c>
      <c r="P8" t="inlineStr">
        <is>
          <t>STATE</t>
        </is>
      </c>
      <c r="Q8" t="n">
        <v>23.467</v>
      </c>
      <c r="R8" t="n">
        <v>23.733</v>
      </c>
      <c r="S8" t="n">
        <v>0.266</v>
      </c>
      <c r="T8" t="inlineStr">
        <is>
          <t>BTBR\training\c3m1.mp4</t>
        </is>
      </c>
      <c r="U8" t="n">
        <v>703</v>
      </c>
      <c r="V8" t="n">
        <v>711</v>
      </c>
      <c r="W8" t="n">
        <v/>
      </c>
      <c r="X8" t="n">
        <v/>
      </c>
      <c r="Y8" t="n">
        <v/>
      </c>
      <c r="Z8" t="n">
        <v/>
      </c>
      <c r="AA8">
        <f>SUMIFS($S$2:S8,$A$2:A8,A8,$N$2:N8,"Explore*")</f>
        <v/>
      </c>
      <c r="AB8">
        <f>IF(AND(LEFT(N8,7)="Explore",(AA8-IF(LEFT(N8,7)="Explore",S8,0))&lt;10),"SI","NO")</f>
        <v/>
      </c>
    </row>
    <row r="9">
      <c r="A9" t="inlineStr">
        <is>
          <t>c3m1_training</t>
        </is>
      </c>
      <c r="B9" t="inlineStr">
        <is>
          <t>2026-02-19 11:10:39.318</t>
        </is>
      </c>
      <c r="C9" t="n">
        <v/>
      </c>
      <c r="D9" t="inlineStr">
        <is>
          <t>Media file</t>
        </is>
      </c>
      <c r="E9" t="inlineStr">
        <is>
          <t>player #1:BTBR\training\c3m1.mp4</t>
        </is>
      </c>
      <c r="F9" t="n">
        <v>-15.3</v>
      </c>
      <c r="G9" t="n">
        <v>582.932</v>
      </c>
      <c r="H9" t="n">
        <v>621.599</v>
      </c>
      <c r="I9" t="n">
        <v>30</v>
      </c>
      <c r="J9" t="inlineStr">
        <is>
          <t>BTBR</t>
        </is>
      </c>
      <c r="K9" t="inlineStr">
        <is>
          <t>Male</t>
        </is>
      </c>
      <c r="L9" t="inlineStr">
        <is>
          <t>No focal subject</t>
        </is>
      </c>
      <c r="M9" t="n">
        <v>43.699</v>
      </c>
      <c r="N9" t="inlineStr">
        <is>
          <t>Explore_F</t>
        </is>
      </c>
      <c r="O9" t="inlineStr">
        <is>
          <t>Familiar</t>
        </is>
      </c>
      <c r="P9" t="inlineStr">
        <is>
          <t>STATE</t>
        </is>
      </c>
      <c r="Q9" t="n">
        <v>26.867</v>
      </c>
      <c r="R9" t="n">
        <v>27.1</v>
      </c>
      <c r="S9" t="n">
        <v>0.233</v>
      </c>
      <c r="T9" t="inlineStr">
        <is>
          <t>BTBR\training\c3m1.mp4</t>
        </is>
      </c>
      <c r="U9" t="n">
        <v>804</v>
      </c>
      <c r="V9" t="n">
        <v>811</v>
      </c>
      <c r="W9" t="n">
        <v/>
      </c>
      <c r="X9" t="n">
        <v/>
      </c>
      <c r="Y9" t="n">
        <v/>
      </c>
      <c r="Z9" t="n">
        <v/>
      </c>
      <c r="AA9">
        <f>SUMIFS($S$2:S9,$A$2:A9,A9,$N$2:N9,"Explore*")</f>
        <v/>
      </c>
      <c r="AB9">
        <f>IF(AND(LEFT(N9,7)="Explore",(AA9-IF(LEFT(N9,7)="Explore",S9,0))&lt;10),"SI","NO")</f>
        <v/>
      </c>
    </row>
    <row r="10">
      <c r="A10" t="inlineStr">
        <is>
          <t>c3m1_training</t>
        </is>
      </c>
      <c r="B10" t="inlineStr">
        <is>
          <t>2026-02-19 11:10:39.318</t>
        </is>
      </c>
      <c r="C10" t="n">
        <v/>
      </c>
      <c r="D10" t="inlineStr">
        <is>
          <t>Media file</t>
        </is>
      </c>
      <c r="E10" t="inlineStr">
        <is>
          <t>player #1:BTBR\training\c3m1.mp4</t>
        </is>
      </c>
      <c r="F10" t="n">
        <v>-15.3</v>
      </c>
      <c r="G10" t="n">
        <v>582.932</v>
      </c>
      <c r="H10" t="n">
        <v>621.599</v>
      </c>
      <c r="I10" t="n">
        <v>30</v>
      </c>
      <c r="J10" t="inlineStr">
        <is>
          <t>BTBR</t>
        </is>
      </c>
      <c r="K10" t="inlineStr">
        <is>
          <t>Male</t>
        </is>
      </c>
      <c r="L10" t="inlineStr">
        <is>
          <t>No focal subject</t>
        </is>
      </c>
      <c r="M10" t="n">
        <v>43.699</v>
      </c>
      <c r="N10" t="inlineStr">
        <is>
          <t>Explore_F2</t>
        </is>
      </c>
      <c r="O10" t="inlineStr">
        <is>
          <t>Second familiar</t>
        </is>
      </c>
      <c r="P10" t="inlineStr">
        <is>
          <t>STATE</t>
        </is>
      </c>
      <c r="Q10" t="n">
        <v>31.2</v>
      </c>
      <c r="R10" t="n">
        <v>31.4</v>
      </c>
      <c r="S10" t="n">
        <v>0.2</v>
      </c>
      <c r="T10" t="inlineStr">
        <is>
          <t>BTBR\training\c3m1.mp4</t>
        </is>
      </c>
      <c r="U10" t="n">
        <v>934</v>
      </c>
      <c r="V10" t="n">
        <v>940</v>
      </c>
      <c r="W10" t="n">
        <v/>
      </c>
      <c r="X10" t="n">
        <v/>
      </c>
      <c r="Y10" t="n">
        <v/>
      </c>
      <c r="Z10" t="n">
        <v/>
      </c>
      <c r="AA10">
        <f>SUMIFS($S$2:S10,$A$2:A10,A10,$N$2:N10,"Explore*")</f>
        <v/>
      </c>
      <c r="AB10">
        <f>IF(AND(LEFT(N10,7)="Explore",(AA10-IF(LEFT(N10,7)="Explore",S10,0))&lt;10),"SI","NO")</f>
        <v/>
      </c>
    </row>
    <row r="11">
      <c r="A11" t="inlineStr">
        <is>
          <t>c3m1_training</t>
        </is>
      </c>
      <c r="B11" t="inlineStr">
        <is>
          <t>2026-02-19 11:10:39.318</t>
        </is>
      </c>
      <c r="C11" t="n">
        <v/>
      </c>
      <c r="D11" t="inlineStr">
        <is>
          <t>Media file</t>
        </is>
      </c>
      <c r="E11" t="inlineStr">
        <is>
          <t>player #1:BTBR\training\c3m1.mp4</t>
        </is>
      </c>
      <c r="F11" t="n">
        <v>-15.3</v>
      </c>
      <c r="G11" t="n">
        <v>582.932</v>
      </c>
      <c r="H11" t="n">
        <v>621.599</v>
      </c>
      <c r="I11" t="n">
        <v>30</v>
      </c>
      <c r="J11" t="inlineStr">
        <is>
          <t>BTBR</t>
        </is>
      </c>
      <c r="K11" t="inlineStr">
        <is>
          <t>Male</t>
        </is>
      </c>
      <c r="L11" t="inlineStr">
        <is>
          <t>No focal subject</t>
        </is>
      </c>
      <c r="M11" t="n">
        <v>43.699</v>
      </c>
      <c r="N11" t="inlineStr">
        <is>
          <t>Explore_F</t>
        </is>
      </c>
      <c r="O11" t="inlineStr">
        <is>
          <t>Familiar</t>
        </is>
      </c>
      <c r="P11" t="inlineStr">
        <is>
          <t>STATE</t>
        </is>
      </c>
      <c r="Q11" t="n">
        <v>33.7</v>
      </c>
      <c r="R11" t="n">
        <v>34.3</v>
      </c>
      <c r="S11" t="n">
        <v>0.6</v>
      </c>
      <c r="T11" t="inlineStr">
        <is>
          <t>BTBR\training\c3m1.mp4</t>
        </is>
      </c>
      <c r="U11" t="n">
        <v>1009</v>
      </c>
      <c r="V11" t="n">
        <v>1027</v>
      </c>
      <c r="W11" t="n">
        <v/>
      </c>
      <c r="X11" t="n">
        <v/>
      </c>
      <c r="Y11" t="n">
        <v/>
      </c>
      <c r="Z11" t="n">
        <v/>
      </c>
      <c r="AA11">
        <f>SUMIFS($S$2:S11,$A$2:A11,A11,$N$2:N11,"Explore*")</f>
        <v/>
      </c>
      <c r="AB11">
        <f>IF(AND(LEFT(N11,7)="Explore",(AA11-IF(LEFT(N11,7)="Explore",S11,0))&lt;10),"SI","NO")</f>
        <v/>
      </c>
    </row>
    <row r="12">
      <c r="A12" t="inlineStr">
        <is>
          <t>c3m1_training</t>
        </is>
      </c>
      <c r="B12" t="inlineStr">
        <is>
          <t>2026-02-19 11:10:39.318</t>
        </is>
      </c>
      <c r="C12" t="n">
        <v/>
      </c>
      <c r="D12" t="inlineStr">
        <is>
          <t>Media file</t>
        </is>
      </c>
      <c r="E12" t="inlineStr">
        <is>
          <t>player #1:BTBR\training\c3m1.mp4</t>
        </is>
      </c>
      <c r="F12" t="n">
        <v>-15.3</v>
      </c>
      <c r="G12" t="n">
        <v>582.932</v>
      </c>
      <c r="H12" t="n">
        <v>621.599</v>
      </c>
      <c r="I12" t="n">
        <v>30</v>
      </c>
      <c r="J12" t="inlineStr">
        <is>
          <t>BTBR</t>
        </is>
      </c>
      <c r="K12" t="inlineStr">
        <is>
          <t>Male</t>
        </is>
      </c>
      <c r="L12" t="inlineStr">
        <is>
          <t>No focal subject</t>
        </is>
      </c>
      <c r="M12" t="n">
        <v>43.699</v>
      </c>
      <c r="N12" t="inlineStr">
        <is>
          <t>Explore_F2</t>
        </is>
      </c>
      <c r="O12" t="inlineStr">
        <is>
          <t>Second familiar</t>
        </is>
      </c>
      <c r="P12" t="inlineStr">
        <is>
          <t>STATE</t>
        </is>
      </c>
      <c r="Q12" t="n">
        <v>44.033</v>
      </c>
      <c r="R12" t="n">
        <v>44.333</v>
      </c>
      <c r="S12" t="n">
        <v>0.3</v>
      </c>
      <c r="T12" t="inlineStr">
        <is>
          <t>BTBR\training\c3m1.mp4</t>
        </is>
      </c>
      <c r="U12" t="n">
        <v>1319</v>
      </c>
      <c r="V12" t="n">
        <v>1327</v>
      </c>
      <c r="W12" t="n">
        <v/>
      </c>
      <c r="X12" t="n">
        <v/>
      </c>
      <c r="Y12" t="n">
        <v/>
      </c>
      <c r="Z12" t="n">
        <v/>
      </c>
      <c r="AA12">
        <f>SUMIFS($S$2:S12,$A$2:A12,A12,$N$2:N12,"Explore*")</f>
        <v/>
      </c>
      <c r="AB12">
        <f>IF(AND(LEFT(N12,7)="Explore",(AA12-IF(LEFT(N12,7)="Explore",S12,0))&lt;10),"SI","NO")</f>
        <v/>
      </c>
    </row>
    <row r="13">
      <c r="A13" t="inlineStr">
        <is>
          <t>c3m1_training</t>
        </is>
      </c>
      <c r="B13" t="inlineStr">
        <is>
          <t>2026-02-19 11:10:39.318</t>
        </is>
      </c>
      <c r="C13" t="n">
        <v/>
      </c>
      <c r="D13" t="inlineStr">
        <is>
          <t>Media file</t>
        </is>
      </c>
      <c r="E13" t="inlineStr">
        <is>
          <t>player #1:BTBR\training\c3m1.mp4</t>
        </is>
      </c>
      <c r="F13" t="n">
        <v>-15.3</v>
      </c>
      <c r="G13" t="n">
        <v>582.932</v>
      </c>
      <c r="H13" t="n">
        <v>621.599</v>
      </c>
      <c r="I13" t="n">
        <v>30</v>
      </c>
      <c r="J13" t="inlineStr">
        <is>
          <t>BTBR</t>
        </is>
      </c>
      <c r="K13" t="inlineStr">
        <is>
          <t>Male</t>
        </is>
      </c>
      <c r="L13" t="inlineStr">
        <is>
          <t>No focal subject</t>
        </is>
      </c>
      <c r="M13" t="n">
        <v>43.699</v>
      </c>
      <c r="N13" t="inlineStr">
        <is>
          <t>Explore_F2</t>
        </is>
      </c>
      <c r="O13" t="inlineStr">
        <is>
          <t>Second familiar</t>
        </is>
      </c>
      <c r="P13" t="inlineStr">
        <is>
          <t>STATE</t>
        </is>
      </c>
      <c r="Q13" t="n">
        <v>44.767</v>
      </c>
      <c r="R13" t="n">
        <v>45</v>
      </c>
      <c r="S13" t="n">
        <v>0.233</v>
      </c>
      <c r="T13" t="inlineStr">
        <is>
          <t>BTBR\training\c3m1.mp4</t>
        </is>
      </c>
      <c r="U13" t="n">
        <v>1340</v>
      </c>
      <c r="V13" t="n">
        <v>1349</v>
      </c>
      <c r="W13" t="n">
        <v/>
      </c>
      <c r="X13" t="n">
        <v/>
      </c>
      <c r="Y13" t="n">
        <v/>
      </c>
      <c r="Z13" t="n">
        <v/>
      </c>
      <c r="AA13">
        <f>SUMIFS($S$2:S13,$A$2:A13,A13,$N$2:N13,"Explore*")</f>
        <v/>
      </c>
      <c r="AB13">
        <f>IF(AND(LEFT(N13,7)="Explore",(AA13-IF(LEFT(N13,7)="Explore",S13,0))&lt;10),"SI","NO")</f>
        <v/>
      </c>
    </row>
    <row r="14">
      <c r="A14" t="inlineStr">
        <is>
          <t>c3m1_training</t>
        </is>
      </c>
      <c r="B14" t="inlineStr">
        <is>
          <t>2026-02-19 11:10:39.318</t>
        </is>
      </c>
      <c r="C14" t="n">
        <v/>
      </c>
      <c r="D14" t="inlineStr">
        <is>
          <t>Media file</t>
        </is>
      </c>
      <c r="E14" t="inlineStr">
        <is>
          <t>player #1:BTBR\training\c3m1.mp4</t>
        </is>
      </c>
      <c r="F14" t="n">
        <v>-15.3</v>
      </c>
      <c r="G14" t="n">
        <v>582.932</v>
      </c>
      <c r="H14" t="n">
        <v>621.599</v>
      </c>
      <c r="I14" t="n">
        <v>30</v>
      </c>
      <c r="J14" t="inlineStr">
        <is>
          <t>BTBR</t>
        </is>
      </c>
      <c r="K14" t="inlineStr">
        <is>
          <t>Male</t>
        </is>
      </c>
      <c r="L14" t="inlineStr">
        <is>
          <t>No focal subject</t>
        </is>
      </c>
      <c r="M14" t="n">
        <v>43.699</v>
      </c>
      <c r="N14" t="inlineStr">
        <is>
          <t>Explore_F2</t>
        </is>
      </c>
      <c r="O14" t="inlineStr">
        <is>
          <t>Second familiar</t>
        </is>
      </c>
      <c r="P14" t="inlineStr">
        <is>
          <t>STATE</t>
        </is>
      </c>
      <c r="Q14" t="n">
        <v>48.267</v>
      </c>
      <c r="R14" t="n">
        <v>48.633</v>
      </c>
      <c r="S14" t="n">
        <v>0.366</v>
      </c>
      <c r="T14" t="inlineStr">
        <is>
          <t>BTBR\training\c3m1.mp4</t>
        </is>
      </c>
      <c r="U14" t="n">
        <v>1445</v>
      </c>
      <c r="V14" t="n">
        <v>1456</v>
      </c>
      <c r="W14" t="n">
        <v/>
      </c>
      <c r="X14" t="n">
        <v/>
      </c>
      <c r="Y14" t="n">
        <v/>
      </c>
      <c r="Z14" t="n">
        <v/>
      </c>
      <c r="AA14">
        <f>SUMIFS($S$2:S14,$A$2:A14,A14,$N$2:N14,"Explore*")</f>
        <v/>
      </c>
      <c r="AB14">
        <f>IF(AND(LEFT(N14,7)="Explore",(AA14-IF(LEFT(N14,7)="Explore",S14,0))&lt;10),"SI","NO")</f>
        <v/>
      </c>
    </row>
    <row r="15">
      <c r="A15" t="inlineStr">
        <is>
          <t>c3m1_training</t>
        </is>
      </c>
      <c r="B15" t="inlineStr">
        <is>
          <t>2026-02-19 11:10:39.318</t>
        </is>
      </c>
      <c r="C15" t="n">
        <v/>
      </c>
      <c r="D15" t="inlineStr">
        <is>
          <t>Media file</t>
        </is>
      </c>
      <c r="E15" t="inlineStr">
        <is>
          <t>player #1:BTBR\training\c3m1.mp4</t>
        </is>
      </c>
      <c r="F15" t="n">
        <v>-15.3</v>
      </c>
      <c r="G15" t="n">
        <v>582.932</v>
      </c>
      <c r="H15" t="n">
        <v>621.599</v>
      </c>
      <c r="I15" t="n">
        <v>30</v>
      </c>
      <c r="J15" t="inlineStr">
        <is>
          <t>BTBR</t>
        </is>
      </c>
      <c r="K15" t="inlineStr">
        <is>
          <t>Male</t>
        </is>
      </c>
      <c r="L15" t="inlineStr">
        <is>
          <t>No focal subject</t>
        </is>
      </c>
      <c r="M15" t="n">
        <v>43.699</v>
      </c>
      <c r="N15" t="inlineStr">
        <is>
          <t>Explore_F</t>
        </is>
      </c>
      <c r="O15" t="inlineStr">
        <is>
          <t>Familiar</t>
        </is>
      </c>
      <c r="P15" t="inlineStr">
        <is>
          <t>STATE</t>
        </is>
      </c>
      <c r="Q15" t="n">
        <v>51</v>
      </c>
      <c r="R15" t="n">
        <v>51.367</v>
      </c>
      <c r="S15" t="n">
        <v>0.367</v>
      </c>
      <c r="T15" t="inlineStr">
        <is>
          <t>BTBR\training\c3m1.mp4</t>
        </is>
      </c>
      <c r="U15" t="n">
        <v>1529</v>
      </c>
      <c r="V15" t="n">
        <v>1538</v>
      </c>
      <c r="W15" t="n">
        <v/>
      </c>
      <c r="X15" t="n">
        <v/>
      </c>
      <c r="Y15" t="n">
        <v/>
      </c>
      <c r="Z15" t="n">
        <v/>
      </c>
      <c r="AA15">
        <f>SUMIFS($S$2:S15,$A$2:A15,A15,$N$2:N15,"Explore*")</f>
        <v/>
      </c>
      <c r="AB15">
        <f>IF(AND(LEFT(N15,7)="Explore",(AA15-IF(LEFT(N15,7)="Explore",S15,0))&lt;10),"SI","NO")</f>
        <v/>
      </c>
    </row>
    <row r="16">
      <c r="A16" t="inlineStr">
        <is>
          <t>c3m1_training</t>
        </is>
      </c>
      <c r="B16" t="inlineStr">
        <is>
          <t>2026-02-19 11:10:39.318</t>
        </is>
      </c>
      <c r="C16" t="n">
        <v/>
      </c>
      <c r="D16" t="inlineStr">
        <is>
          <t>Media file</t>
        </is>
      </c>
      <c r="E16" t="inlineStr">
        <is>
          <t>player #1:BTBR\training\c3m1.mp4</t>
        </is>
      </c>
      <c r="F16" t="n">
        <v>-15.3</v>
      </c>
      <c r="G16" t="n">
        <v>582.932</v>
      </c>
      <c r="H16" t="n">
        <v>621.599</v>
      </c>
      <c r="I16" t="n">
        <v>30</v>
      </c>
      <c r="J16" t="inlineStr">
        <is>
          <t>BTBR</t>
        </is>
      </c>
      <c r="K16" t="inlineStr">
        <is>
          <t>Male</t>
        </is>
      </c>
      <c r="L16" t="inlineStr">
        <is>
          <t>No focal subject</t>
        </is>
      </c>
      <c r="M16" t="n">
        <v>43.699</v>
      </c>
      <c r="N16" t="inlineStr">
        <is>
          <t>Explore_F</t>
        </is>
      </c>
      <c r="O16" t="inlineStr">
        <is>
          <t>Familiar</t>
        </is>
      </c>
      <c r="P16" t="inlineStr">
        <is>
          <t>STATE</t>
        </is>
      </c>
      <c r="Q16" t="n">
        <v>80</v>
      </c>
      <c r="R16" t="n">
        <v>80.3</v>
      </c>
      <c r="S16" t="n">
        <v>0.3</v>
      </c>
      <c r="T16" t="inlineStr">
        <is>
          <t>BTBR\training\c3m1.mp4</t>
        </is>
      </c>
      <c r="U16" t="n">
        <v>2397</v>
      </c>
      <c r="V16" t="n">
        <v>2404</v>
      </c>
      <c r="W16" t="n">
        <v/>
      </c>
      <c r="X16" t="n">
        <v/>
      </c>
      <c r="Y16" t="n">
        <v/>
      </c>
      <c r="Z16" t="n">
        <v/>
      </c>
      <c r="AA16">
        <f>SUMIFS($S$2:S16,$A$2:A16,A16,$N$2:N16,"Explore*")</f>
        <v/>
      </c>
      <c r="AB16">
        <f>IF(AND(LEFT(N16,7)="Explore",(AA16-IF(LEFT(N16,7)="Explore",S16,0))&lt;10),"SI","NO")</f>
        <v/>
      </c>
    </row>
    <row r="17">
      <c r="A17" t="inlineStr">
        <is>
          <t>c3m1_training</t>
        </is>
      </c>
      <c r="B17" t="inlineStr">
        <is>
          <t>2026-02-19 11:10:39.318</t>
        </is>
      </c>
      <c r="C17" t="n">
        <v/>
      </c>
      <c r="D17" t="inlineStr">
        <is>
          <t>Media file</t>
        </is>
      </c>
      <c r="E17" t="inlineStr">
        <is>
          <t>player #1:BTBR\training\c3m1.mp4</t>
        </is>
      </c>
      <c r="F17" t="n">
        <v>-15.3</v>
      </c>
      <c r="G17" t="n">
        <v>582.932</v>
      </c>
      <c r="H17" t="n">
        <v>621.599</v>
      </c>
      <c r="I17" t="n">
        <v>30</v>
      </c>
      <c r="J17" t="inlineStr">
        <is>
          <t>BTBR</t>
        </is>
      </c>
      <c r="K17" t="inlineStr">
        <is>
          <t>Male</t>
        </is>
      </c>
      <c r="L17" t="inlineStr">
        <is>
          <t>No focal subject</t>
        </is>
      </c>
      <c r="M17" t="n">
        <v>43.699</v>
      </c>
      <c r="N17" t="inlineStr">
        <is>
          <t>Explore_F2</t>
        </is>
      </c>
      <c r="O17" t="inlineStr">
        <is>
          <t>Second familiar</t>
        </is>
      </c>
      <c r="P17" t="inlineStr">
        <is>
          <t>STATE</t>
        </is>
      </c>
      <c r="Q17" t="n">
        <v>81.267</v>
      </c>
      <c r="R17" t="n">
        <v>81.733</v>
      </c>
      <c r="S17" t="n">
        <v>0.466</v>
      </c>
      <c r="T17" t="inlineStr">
        <is>
          <t>BTBR\training\c3m1.mp4</t>
        </is>
      </c>
      <c r="U17" t="n">
        <v>2433</v>
      </c>
      <c r="V17" t="n">
        <v>2447</v>
      </c>
      <c r="W17" t="n">
        <v/>
      </c>
      <c r="X17" t="n">
        <v/>
      </c>
      <c r="Y17" t="n">
        <v/>
      </c>
      <c r="Z17" t="n">
        <v/>
      </c>
      <c r="AA17">
        <f>SUMIFS($S$2:S17,$A$2:A17,A17,$N$2:N17,"Explore*")</f>
        <v/>
      </c>
      <c r="AB17">
        <f>IF(AND(LEFT(N17,7)="Explore",(AA17-IF(LEFT(N17,7)="Explore",S17,0))&lt;10),"SI","NO")</f>
        <v/>
      </c>
    </row>
    <row r="18">
      <c r="A18" t="inlineStr">
        <is>
          <t>c3m1_training</t>
        </is>
      </c>
      <c r="B18" t="inlineStr">
        <is>
          <t>2026-02-19 11:10:39.318</t>
        </is>
      </c>
      <c r="C18" t="n">
        <v/>
      </c>
      <c r="D18" t="inlineStr">
        <is>
          <t>Media file</t>
        </is>
      </c>
      <c r="E18" t="inlineStr">
        <is>
          <t>player #1:BTBR\training\c3m1.mp4</t>
        </is>
      </c>
      <c r="F18" t="n">
        <v>-15.3</v>
      </c>
      <c r="G18" t="n">
        <v>582.932</v>
      </c>
      <c r="H18" t="n">
        <v>621.599</v>
      </c>
      <c r="I18" t="n">
        <v>30</v>
      </c>
      <c r="J18" t="inlineStr">
        <is>
          <t>BTBR</t>
        </is>
      </c>
      <c r="K18" t="inlineStr">
        <is>
          <t>Male</t>
        </is>
      </c>
      <c r="L18" t="inlineStr">
        <is>
          <t>No focal subject</t>
        </is>
      </c>
      <c r="M18" t="n">
        <v>43.699</v>
      </c>
      <c r="N18" t="inlineStr">
        <is>
          <t>Explore_F2</t>
        </is>
      </c>
      <c r="O18" t="inlineStr">
        <is>
          <t>Second familiar</t>
        </is>
      </c>
      <c r="P18" t="inlineStr">
        <is>
          <t>STATE</t>
        </is>
      </c>
      <c r="Q18" t="n">
        <v>82.633</v>
      </c>
      <c r="R18" t="n">
        <v>83.267</v>
      </c>
      <c r="S18" t="n">
        <v>0.634</v>
      </c>
      <c r="T18" t="inlineStr">
        <is>
          <t>BTBR\training\c3m1.mp4</t>
        </is>
      </c>
      <c r="U18" t="n">
        <v>2474</v>
      </c>
      <c r="V18" t="n">
        <v>2493</v>
      </c>
      <c r="W18" t="n">
        <v/>
      </c>
      <c r="X18" t="n">
        <v/>
      </c>
      <c r="Y18" t="n">
        <v/>
      </c>
      <c r="Z18" t="n">
        <v/>
      </c>
      <c r="AA18">
        <f>SUMIFS($S$2:S18,$A$2:A18,A18,$N$2:N18,"Explore*")</f>
        <v/>
      </c>
      <c r="AB18">
        <f>IF(AND(LEFT(N18,7)="Explore",(AA18-IF(LEFT(N18,7)="Explore",S18,0))&lt;10),"SI","NO")</f>
        <v/>
      </c>
    </row>
    <row r="19">
      <c r="A19" t="inlineStr">
        <is>
          <t>c3m1_training</t>
        </is>
      </c>
      <c r="B19" t="inlineStr">
        <is>
          <t>2026-02-19 11:10:39.318</t>
        </is>
      </c>
      <c r="C19" t="n">
        <v/>
      </c>
      <c r="D19" t="inlineStr">
        <is>
          <t>Media file</t>
        </is>
      </c>
      <c r="E19" t="inlineStr">
        <is>
          <t>player #1:BTBR\training\c3m1.mp4</t>
        </is>
      </c>
      <c r="F19" t="n">
        <v>-15.3</v>
      </c>
      <c r="G19" t="n">
        <v>582.932</v>
      </c>
      <c r="H19" t="n">
        <v>621.599</v>
      </c>
      <c r="I19" t="n">
        <v>30</v>
      </c>
      <c r="J19" t="inlineStr">
        <is>
          <t>BTBR</t>
        </is>
      </c>
      <c r="K19" t="inlineStr">
        <is>
          <t>Male</t>
        </is>
      </c>
      <c r="L19" t="inlineStr">
        <is>
          <t>No focal subject</t>
        </is>
      </c>
      <c r="M19" t="n">
        <v>43.699</v>
      </c>
      <c r="N19" t="inlineStr">
        <is>
          <t>Explore_F</t>
        </is>
      </c>
      <c r="O19" t="inlineStr">
        <is>
          <t>Familiar</t>
        </is>
      </c>
      <c r="P19" t="inlineStr">
        <is>
          <t>STATE</t>
        </is>
      </c>
      <c r="Q19" t="n">
        <v>88.633</v>
      </c>
      <c r="R19" t="n">
        <v>88.93300000000001</v>
      </c>
      <c r="S19" t="n">
        <v>0.3</v>
      </c>
      <c r="T19" t="inlineStr">
        <is>
          <t>BTBR\training\c3m1.mp4</t>
        </is>
      </c>
      <c r="U19" t="n">
        <v>2653</v>
      </c>
      <c r="V19" t="n">
        <v>2662</v>
      </c>
      <c r="W19" t="n">
        <v/>
      </c>
      <c r="X19" t="n">
        <v/>
      </c>
      <c r="Y19" t="n">
        <v/>
      </c>
      <c r="Z19" t="n">
        <v/>
      </c>
      <c r="AA19">
        <f>SUMIFS($S$2:S19,$A$2:A19,A19,$N$2:N19,"Explore*")</f>
        <v/>
      </c>
      <c r="AB19">
        <f>IF(AND(LEFT(N19,7)="Explore",(AA19-IF(LEFT(N19,7)="Explore",S19,0))&lt;10),"SI","NO")</f>
        <v/>
      </c>
    </row>
    <row r="20">
      <c r="A20" t="inlineStr">
        <is>
          <t>c3m1_training</t>
        </is>
      </c>
      <c r="B20" t="inlineStr">
        <is>
          <t>2026-02-19 11:10:39.318</t>
        </is>
      </c>
      <c r="C20" t="n">
        <v/>
      </c>
      <c r="D20" t="inlineStr">
        <is>
          <t>Media file</t>
        </is>
      </c>
      <c r="E20" t="inlineStr">
        <is>
          <t>player #1:BTBR\training\c3m1.mp4</t>
        </is>
      </c>
      <c r="F20" t="n">
        <v>-15.3</v>
      </c>
      <c r="G20" t="n">
        <v>582.932</v>
      </c>
      <c r="H20" t="n">
        <v>621.599</v>
      </c>
      <c r="I20" t="n">
        <v>30</v>
      </c>
      <c r="J20" t="inlineStr">
        <is>
          <t>BTBR</t>
        </is>
      </c>
      <c r="K20" t="inlineStr">
        <is>
          <t>Male</t>
        </is>
      </c>
      <c r="L20" t="inlineStr">
        <is>
          <t>No focal subject</t>
        </is>
      </c>
      <c r="M20" t="n">
        <v>43.699</v>
      </c>
      <c r="N20" t="inlineStr">
        <is>
          <t>Explore_F</t>
        </is>
      </c>
      <c r="O20" t="inlineStr">
        <is>
          <t>Familiar</t>
        </is>
      </c>
      <c r="P20" t="inlineStr">
        <is>
          <t>STATE</t>
        </is>
      </c>
      <c r="Q20" t="n">
        <v>89.367</v>
      </c>
      <c r="R20" t="n">
        <v>90.733</v>
      </c>
      <c r="S20" t="n">
        <v>1.366</v>
      </c>
      <c r="T20" t="inlineStr">
        <is>
          <t>BTBR\training\c3m1.mp4</t>
        </is>
      </c>
      <c r="U20" t="n">
        <v>2675</v>
      </c>
      <c r="V20" t="n">
        <v>2716</v>
      </c>
      <c r="W20" t="n">
        <v/>
      </c>
      <c r="X20" t="n">
        <v/>
      </c>
      <c r="Y20" t="n">
        <v/>
      </c>
      <c r="Z20" t="n">
        <v/>
      </c>
      <c r="AA20">
        <f>SUMIFS($S$2:S20,$A$2:A20,A20,$N$2:N20,"Explore*")</f>
        <v/>
      </c>
      <c r="AB20">
        <f>IF(AND(LEFT(N20,7)="Explore",(AA20-IF(LEFT(N20,7)="Explore",S20,0))&lt;10),"SI","NO")</f>
        <v/>
      </c>
    </row>
    <row r="21">
      <c r="A21" t="inlineStr">
        <is>
          <t>c3m1_training</t>
        </is>
      </c>
      <c r="B21" t="inlineStr">
        <is>
          <t>2026-02-19 11:10:39.318</t>
        </is>
      </c>
      <c r="C21" t="n">
        <v/>
      </c>
      <c r="D21" t="inlineStr">
        <is>
          <t>Media file</t>
        </is>
      </c>
      <c r="E21" t="inlineStr">
        <is>
          <t>player #1:BTBR\training\c3m1.mp4</t>
        </is>
      </c>
      <c r="F21" t="n">
        <v>-15.3</v>
      </c>
      <c r="G21" t="n">
        <v>582.932</v>
      </c>
      <c r="H21" t="n">
        <v>621.599</v>
      </c>
      <c r="I21" t="n">
        <v>30</v>
      </c>
      <c r="J21" t="inlineStr">
        <is>
          <t>BTBR</t>
        </is>
      </c>
      <c r="K21" t="inlineStr">
        <is>
          <t>Male</t>
        </is>
      </c>
      <c r="L21" t="inlineStr">
        <is>
          <t>No focal subject</t>
        </is>
      </c>
      <c r="M21" t="n">
        <v>43.699</v>
      </c>
      <c r="N21" t="inlineStr">
        <is>
          <t>Explore_F2</t>
        </is>
      </c>
      <c r="O21" t="inlineStr">
        <is>
          <t>Second familiar</t>
        </is>
      </c>
      <c r="P21" t="inlineStr">
        <is>
          <t>STATE</t>
        </is>
      </c>
      <c r="Q21" t="n">
        <v>91.367</v>
      </c>
      <c r="R21" t="n">
        <v>92.733</v>
      </c>
      <c r="S21" t="n">
        <v>1.366</v>
      </c>
      <c r="T21" t="inlineStr">
        <is>
          <t>BTBR\training\c3m1.mp4</t>
        </is>
      </c>
      <c r="U21" t="n">
        <v>2735</v>
      </c>
      <c r="V21" t="n">
        <v>2776</v>
      </c>
      <c r="W21" t="n">
        <v/>
      </c>
      <c r="X21" t="n">
        <v/>
      </c>
      <c r="Y21" t="n">
        <v/>
      </c>
      <c r="Z21" t="n">
        <v/>
      </c>
      <c r="AA21">
        <f>SUMIFS($S$2:S21,$A$2:A21,A21,$N$2:N21,"Explore*")</f>
        <v/>
      </c>
      <c r="AB21">
        <f>IF(AND(LEFT(N21,7)="Explore",(AA21-IF(LEFT(N21,7)="Explore",S21,0))&lt;10),"SI","NO")</f>
        <v/>
      </c>
    </row>
    <row r="22">
      <c r="A22" t="inlineStr">
        <is>
          <t>c3m1_training</t>
        </is>
      </c>
      <c r="B22" t="inlineStr">
        <is>
          <t>2026-02-19 11:10:39.318</t>
        </is>
      </c>
      <c r="C22" t="n">
        <v/>
      </c>
      <c r="D22" t="inlineStr">
        <is>
          <t>Media file</t>
        </is>
      </c>
      <c r="E22" t="inlineStr">
        <is>
          <t>player #1:BTBR\training\c3m1.mp4</t>
        </is>
      </c>
      <c r="F22" t="n">
        <v>-15.3</v>
      </c>
      <c r="G22" t="n">
        <v>582.932</v>
      </c>
      <c r="H22" t="n">
        <v>621.599</v>
      </c>
      <c r="I22" t="n">
        <v>30</v>
      </c>
      <c r="J22" t="inlineStr">
        <is>
          <t>BTBR</t>
        </is>
      </c>
      <c r="K22" t="inlineStr">
        <is>
          <t>Male</t>
        </is>
      </c>
      <c r="L22" t="inlineStr">
        <is>
          <t>No focal subject</t>
        </is>
      </c>
      <c r="M22" t="n">
        <v>43.699</v>
      </c>
      <c r="N22" t="inlineStr">
        <is>
          <t>Explore_F2</t>
        </is>
      </c>
      <c r="O22" t="inlineStr">
        <is>
          <t>Second familiar</t>
        </is>
      </c>
      <c r="P22" t="inlineStr">
        <is>
          <t>STATE</t>
        </is>
      </c>
      <c r="Q22" t="n">
        <v>95.93300000000001</v>
      </c>
      <c r="R22" t="n">
        <v>96.767</v>
      </c>
      <c r="S22" t="n">
        <v>0.834</v>
      </c>
      <c r="T22" t="inlineStr">
        <is>
          <t>BTBR\training\c3m1.mp4</t>
        </is>
      </c>
      <c r="U22" t="n">
        <v>2872</v>
      </c>
      <c r="V22" t="n">
        <v>2897</v>
      </c>
      <c r="W22" t="n">
        <v/>
      </c>
      <c r="X22" t="n">
        <v/>
      </c>
      <c r="Y22" t="n">
        <v/>
      </c>
      <c r="Z22" t="n">
        <v/>
      </c>
      <c r="AA22">
        <f>SUMIFS($S$2:S22,$A$2:A22,A22,$N$2:N22,"Explore*")</f>
        <v/>
      </c>
      <c r="AB22">
        <f>IF(AND(LEFT(N22,7)="Explore",(AA22-IF(LEFT(N22,7)="Explore",S22,0))&lt;10),"SI","NO")</f>
        <v/>
      </c>
    </row>
    <row r="23">
      <c r="A23" t="inlineStr">
        <is>
          <t>c3m1_training</t>
        </is>
      </c>
      <c r="B23" t="inlineStr">
        <is>
          <t>2026-02-19 11:10:39.318</t>
        </is>
      </c>
      <c r="C23" t="n">
        <v/>
      </c>
      <c r="D23" t="inlineStr">
        <is>
          <t>Media file</t>
        </is>
      </c>
      <c r="E23" t="inlineStr">
        <is>
          <t>player #1:BTBR\training\c3m1.mp4</t>
        </is>
      </c>
      <c r="F23" t="n">
        <v>-15.3</v>
      </c>
      <c r="G23" t="n">
        <v>582.932</v>
      </c>
      <c r="H23" t="n">
        <v>621.599</v>
      </c>
      <c r="I23" t="n">
        <v>30</v>
      </c>
      <c r="J23" t="inlineStr">
        <is>
          <t>BTBR</t>
        </is>
      </c>
      <c r="K23" t="inlineStr">
        <is>
          <t>Male</t>
        </is>
      </c>
      <c r="L23" t="inlineStr">
        <is>
          <t>No focal subject</t>
        </is>
      </c>
      <c r="M23" t="n">
        <v>43.699</v>
      </c>
      <c r="N23" t="inlineStr">
        <is>
          <t>Explore_F</t>
        </is>
      </c>
      <c r="O23" t="inlineStr">
        <is>
          <t>Familiar</t>
        </is>
      </c>
      <c r="P23" t="inlineStr">
        <is>
          <t>STATE</t>
        </is>
      </c>
      <c r="Q23" t="n">
        <v>97.43300000000001</v>
      </c>
      <c r="R23" t="n">
        <v>97.7</v>
      </c>
      <c r="S23" t="n">
        <v>0.267</v>
      </c>
      <c r="T23" t="inlineStr">
        <is>
          <t>BTBR\training\c3m1.mp4</t>
        </is>
      </c>
      <c r="U23" t="n">
        <v>2917</v>
      </c>
      <c r="V23" t="n">
        <v>2925</v>
      </c>
      <c r="W23" t="n">
        <v/>
      </c>
      <c r="X23" t="n">
        <v/>
      </c>
      <c r="Y23" t="n">
        <v/>
      </c>
      <c r="Z23" t="n">
        <v/>
      </c>
      <c r="AA23">
        <f>SUMIFS($S$2:S23,$A$2:A23,A23,$N$2:N23,"Explore*")</f>
        <v/>
      </c>
      <c r="AB23">
        <f>IF(AND(LEFT(N23,7)="Explore",(AA23-IF(LEFT(N23,7)="Explore",S23,0))&lt;10),"SI","NO")</f>
        <v/>
      </c>
    </row>
    <row r="24">
      <c r="A24" t="inlineStr">
        <is>
          <t>c3m1_training</t>
        </is>
      </c>
      <c r="B24" t="inlineStr">
        <is>
          <t>2026-02-19 11:10:39.318</t>
        </is>
      </c>
      <c r="C24" t="n">
        <v/>
      </c>
      <c r="D24" t="inlineStr">
        <is>
          <t>Media file</t>
        </is>
      </c>
      <c r="E24" t="inlineStr">
        <is>
          <t>player #1:BTBR\training\c3m1.mp4</t>
        </is>
      </c>
      <c r="F24" t="n">
        <v>-15.3</v>
      </c>
      <c r="G24" t="n">
        <v>582.932</v>
      </c>
      <c r="H24" t="n">
        <v>621.599</v>
      </c>
      <c r="I24" t="n">
        <v>30</v>
      </c>
      <c r="J24" t="inlineStr">
        <is>
          <t>BTBR</t>
        </is>
      </c>
      <c r="K24" t="inlineStr">
        <is>
          <t>Male</t>
        </is>
      </c>
      <c r="L24" t="inlineStr">
        <is>
          <t>No focal subject</t>
        </is>
      </c>
      <c r="M24" t="n">
        <v>43.699</v>
      </c>
      <c r="N24" t="inlineStr">
        <is>
          <t>Explore_F</t>
        </is>
      </c>
      <c r="O24" t="inlineStr">
        <is>
          <t>Familiar</t>
        </is>
      </c>
      <c r="P24" t="inlineStr">
        <is>
          <t>STATE</t>
        </is>
      </c>
      <c r="Q24" t="n">
        <v>98.133</v>
      </c>
      <c r="R24" t="n">
        <v>99.40000000000001</v>
      </c>
      <c r="S24" t="n">
        <v>1.267</v>
      </c>
      <c r="T24" t="inlineStr">
        <is>
          <t>BTBR\training\c3m1.mp4</t>
        </is>
      </c>
      <c r="U24" t="n">
        <v>2938</v>
      </c>
      <c r="V24" t="n">
        <v>2976</v>
      </c>
      <c r="W24" t="n">
        <v/>
      </c>
      <c r="X24" t="n">
        <v/>
      </c>
      <c r="Y24" t="n">
        <v/>
      </c>
      <c r="Z24" t="n">
        <v/>
      </c>
      <c r="AA24">
        <f>SUMIFS($S$2:S24,$A$2:A24,A24,$N$2:N24,"Explore*")</f>
        <v/>
      </c>
      <c r="AB24">
        <f>IF(AND(LEFT(N24,7)="Explore",(AA24-IF(LEFT(N24,7)="Explore",S24,0))&lt;10),"SI","NO")</f>
        <v/>
      </c>
    </row>
    <row r="25">
      <c r="A25" t="inlineStr">
        <is>
          <t>c3m1_training</t>
        </is>
      </c>
      <c r="B25" t="inlineStr">
        <is>
          <t>2026-02-19 11:10:39.318</t>
        </is>
      </c>
      <c r="C25" t="n">
        <v/>
      </c>
      <c r="D25" t="inlineStr">
        <is>
          <t>Media file</t>
        </is>
      </c>
      <c r="E25" t="inlineStr">
        <is>
          <t>player #1:BTBR\training\c3m1.mp4</t>
        </is>
      </c>
      <c r="F25" t="n">
        <v>-15.3</v>
      </c>
      <c r="G25" t="n">
        <v>582.932</v>
      </c>
      <c r="H25" t="n">
        <v>621.599</v>
      </c>
      <c r="I25" t="n">
        <v>30</v>
      </c>
      <c r="J25" t="inlineStr">
        <is>
          <t>BTBR</t>
        </is>
      </c>
      <c r="K25" t="inlineStr">
        <is>
          <t>Male</t>
        </is>
      </c>
      <c r="L25" t="inlineStr">
        <is>
          <t>No focal subject</t>
        </is>
      </c>
      <c r="M25" t="n">
        <v>43.699</v>
      </c>
      <c r="N25" t="inlineStr">
        <is>
          <t>Explore_F</t>
        </is>
      </c>
      <c r="O25" t="inlineStr">
        <is>
          <t>Familiar</t>
        </is>
      </c>
      <c r="P25" t="inlineStr">
        <is>
          <t>STATE</t>
        </is>
      </c>
      <c r="Q25" t="n">
        <v>102.867</v>
      </c>
      <c r="R25" t="n">
        <v>103.133</v>
      </c>
      <c r="S25" t="n">
        <v>0.266</v>
      </c>
      <c r="T25" t="inlineStr">
        <is>
          <t>BTBR\training\c3m1.mp4</t>
        </is>
      </c>
      <c r="U25" t="n">
        <v>3080</v>
      </c>
      <c r="V25" t="n">
        <v>3088</v>
      </c>
      <c r="W25" t="n">
        <v/>
      </c>
      <c r="X25" t="n">
        <v/>
      </c>
      <c r="Y25" t="n">
        <v/>
      </c>
      <c r="Z25" t="n">
        <v/>
      </c>
      <c r="AA25">
        <f>SUMIFS($S$2:S25,$A$2:A25,A25,$N$2:N25,"Explore*")</f>
        <v/>
      </c>
      <c r="AB25">
        <f>IF(AND(LEFT(N25,7)="Explore",(AA25-IF(LEFT(N25,7)="Explore",S25,0))&lt;10),"SI","NO")</f>
        <v/>
      </c>
    </row>
    <row r="26">
      <c r="A26" t="inlineStr">
        <is>
          <t>c3m1_training</t>
        </is>
      </c>
      <c r="B26" t="inlineStr">
        <is>
          <t>2026-02-19 11:10:39.318</t>
        </is>
      </c>
      <c r="C26" t="n">
        <v/>
      </c>
      <c r="D26" t="inlineStr">
        <is>
          <t>Media file</t>
        </is>
      </c>
      <c r="E26" t="inlineStr">
        <is>
          <t>player #1:BTBR\training\c3m1.mp4</t>
        </is>
      </c>
      <c r="F26" t="n">
        <v>-15.3</v>
      </c>
      <c r="G26" t="n">
        <v>582.932</v>
      </c>
      <c r="H26" t="n">
        <v>621.599</v>
      </c>
      <c r="I26" t="n">
        <v>30</v>
      </c>
      <c r="J26" t="inlineStr">
        <is>
          <t>BTBR</t>
        </is>
      </c>
      <c r="K26" t="inlineStr">
        <is>
          <t>Male</t>
        </is>
      </c>
      <c r="L26" t="inlineStr">
        <is>
          <t>No focal subject</t>
        </is>
      </c>
      <c r="M26" t="n">
        <v>43.699</v>
      </c>
      <c r="N26" t="inlineStr">
        <is>
          <t>Explore_F2</t>
        </is>
      </c>
      <c r="O26" t="inlineStr">
        <is>
          <t>Second familiar</t>
        </is>
      </c>
      <c r="P26" t="inlineStr">
        <is>
          <t>STATE</t>
        </is>
      </c>
      <c r="Q26" t="n">
        <v>103.8</v>
      </c>
      <c r="R26" t="n">
        <v>104.4</v>
      </c>
      <c r="S26" t="n">
        <v>0.6</v>
      </c>
      <c r="T26" t="inlineStr">
        <is>
          <t>BTBR\training\c3m1.mp4</t>
        </is>
      </c>
      <c r="U26" t="n">
        <v>3107</v>
      </c>
      <c r="V26" t="n">
        <v>3125</v>
      </c>
      <c r="W26" t="n">
        <v/>
      </c>
      <c r="X26" t="n">
        <v/>
      </c>
      <c r="Y26" t="n">
        <v/>
      </c>
      <c r="Z26" t="n">
        <v/>
      </c>
      <c r="AA26">
        <f>SUMIFS($S$2:S26,$A$2:A26,A26,$N$2:N26,"Explore*")</f>
        <v/>
      </c>
      <c r="AB26">
        <f>IF(AND(LEFT(N26,7)="Explore",(AA26-IF(LEFT(N26,7)="Explore",S26,0))&lt;10),"SI","NO")</f>
        <v/>
      </c>
    </row>
    <row r="27">
      <c r="A27" t="inlineStr">
        <is>
          <t>c3m1_training</t>
        </is>
      </c>
      <c r="B27" t="inlineStr">
        <is>
          <t>2026-02-19 11:10:39.318</t>
        </is>
      </c>
      <c r="C27" t="n">
        <v/>
      </c>
      <c r="D27" t="inlineStr">
        <is>
          <t>Media file</t>
        </is>
      </c>
      <c r="E27" t="inlineStr">
        <is>
          <t>player #1:BTBR\training\c3m1.mp4</t>
        </is>
      </c>
      <c r="F27" t="n">
        <v>-15.3</v>
      </c>
      <c r="G27" t="n">
        <v>582.932</v>
      </c>
      <c r="H27" t="n">
        <v>621.599</v>
      </c>
      <c r="I27" t="n">
        <v>30</v>
      </c>
      <c r="J27" t="inlineStr">
        <is>
          <t>BTBR</t>
        </is>
      </c>
      <c r="K27" t="inlineStr">
        <is>
          <t>Male</t>
        </is>
      </c>
      <c r="L27" t="inlineStr">
        <is>
          <t>No focal subject</t>
        </is>
      </c>
      <c r="M27" t="n">
        <v>43.699</v>
      </c>
      <c r="N27" t="inlineStr">
        <is>
          <t>Explore_F</t>
        </is>
      </c>
      <c r="O27" t="inlineStr">
        <is>
          <t>Familiar</t>
        </is>
      </c>
      <c r="P27" t="inlineStr">
        <is>
          <t>STATE</t>
        </is>
      </c>
      <c r="Q27" t="n">
        <v>107.767</v>
      </c>
      <c r="R27" t="n">
        <v>108.8</v>
      </c>
      <c r="S27" t="n">
        <v>1.033</v>
      </c>
      <c r="T27" t="inlineStr">
        <is>
          <t>BTBR\training\c3m1.mp4</t>
        </is>
      </c>
      <c r="U27" t="n">
        <v>3226</v>
      </c>
      <c r="V27" t="n">
        <v>3257</v>
      </c>
      <c r="W27" t="n">
        <v/>
      </c>
      <c r="X27" t="n">
        <v/>
      </c>
      <c r="Y27" t="n">
        <v/>
      </c>
      <c r="Z27" t="n">
        <v/>
      </c>
      <c r="AA27">
        <f>SUMIFS($S$2:S27,$A$2:A27,A27,$N$2:N27,"Explore*")</f>
        <v/>
      </c>
      <c r="AB27">
        <f>IF(AND(LEFT(N27,7)="Explore",(AA27-IF(LEFT(N27,7)="Explore",S27,0))&lt;10),"SI","NO")</f>
        <v/>
      </c>
    </row>
    <row r="28">
      <c r="A28" t="inlineStr">
        <is>
          <t>c3m1_training</t>
        </is>
      </c>
      <c r="B28" t="inlineStr">
        <is>
          <t>2026-02-19 11:10:39.318</t>
        </is>
      </c>
      <c r="C28" t="n">
        <v/>
      </c>
      <c r="D28" t="inlineStr">
        <is>
          <t>Media file</t>
        </is>
      </c>
      <c r="E28" t="inlineStr">
        <is>
          <t>player #1:BTBR\training\c3m1.mp4</t>
        </is>
      </c>
      <c r="F28" t="n">
        <v>-15.3</v>
      </c>
      <c r="G28" t="n">
        <v>582.932</v>
      </c>
      <c r="H28" t="n">
        <v>621.599</v>
      </c>
      <c r="I28" t="n">
        <v>30</v>
      </c>
      <c r="J28" t="inlineStr">
        <is>
          <t>BTBR</t>
        </is>
      </c>
      <c r="K28" t="inlineStr">
        <is>
          <t>Male</t>
        </is>
      </c>
      <c r="L28" t="inlineStr">
        <is>
          <t>No focal subject</t>
        </is>
      </c>
      <c r="M28" t="n">
        <v>43.699</v>
      </c>
      <c r="N28" t="inlineStr">
        <is>
          <t>Explore_F</t>
        </is>
      </c>
      <c r="O28" t="inlineStr">
        <is>
          <t>Familiar</t>
        </is>
      </c>
      <c r="P28" t="inlineStr">
        <is>
          <t>STATE</t>
        </is>
      </c>
      <c r="Q28" t="n">
        <v>138.9</v>
      </c>
      <c r="R28" t="n">
        <v>139.367</v>
      </c>
      <c r="S28" t="n">
        <v>0.467</v>
      </c>
      <c r="T28" t="inlineStr">
        <is>
          <t>BTBR\training\c3m1.mp4</t>
        </is>
      </c>
      <c r="U28" t="n">
        <v>4158</v>
      </c>
      <c r="V28" t="n">
        <v>4172</v>
      </c>
      <c r="W28" t="n">
        <v/>
      </c>
      <c r="X28" t="n">
        <v/>
      </c>
      <c r="Y28" t="n">
        <v/>
      </c>
      <c r="Z28" t="n">
        <v/>
      </c>
      <c r="AA28">
        <f>SUMIFS($S$2:S28,$A$2:A28,A28,$N$2:N28,"Explore*")</f>
        <v/>
      </c>
      <c r="AB28">
        <f>IF(AND(LEFT(N28,7)="Explore",(AA28-IF(LEFT(N28,7)="Explore",S28,0))&lt;10),"SI","NO")</f>
        <v/>
      </c>
    </row>
    <row r="29">
      <c r="A29" t="inlineStr">
        <is>
          <t>c3m1_training</t>
        </is>
      </c>
      <c r="B29" t="inlineStr">
        <is>
          <t>2026-02-19 11:10:39.318</t>
        </is>
      </c>
      <c r="C29" t="n">
        <v/>
      </c>
      <c r="D29" t="inlineStr">
        <is>
          <t>Media file</t>
        </is>
      </c>
      <c r="E29" t="inlineStr">
        <is>
          <t>player #1:BTBR\training\c3m1.mp4</t>
        </is>
      </c>
      <c r="F29" t="n">
        <v>-15.3</v>
      </c>
      <c r="G29" t="n">
        <v>582.932</v>
      </c>
      <c r="H29" t="n">
        <v>621.599</v>
      </c>
      <c r="I29" t="n">
        <v>30</v>
      </c>
      <c r="J29" t="inlineStr">
        <is>
          <t>BTBR</t>
        </is>
      </c>
      <c r="K29" t="inlineStr">
        <is>
          <t>Male</t>
        </is>
      </c>
      <c r="L29" t="inlineStr">
        <is>
          <t>No focal subject</t>
        </is>
      </c>
      <c r="M29" t="n">
        <v>43.699</v>
      </c>
      <c r="N29" t="inlineStr">
        <is>
          <t>Explore_F</t>
        </is>
      </c>
      <c r="O29" t="inlineStr">
        <is>
          <t>Familiar</t>
        </is>
      </c>
      <c r="P29" t="inlineStr">
        <is>
          <t>STATE</t>
        </is>
      </c>
      <c r="Q29" t="n">
        <v>158.266</v>
      </c>
      <c r="R29" t="n">
        <v>159.533</v>
      </c>
      <c r="S29" t="n">
        <v>1.267</v>
      </c>
      <c r="T29" t="inlineStr">
        <is>
          <t>BTBR\training\c3m1.mp4</t>
        </is>
      </c>
      <c r="U29" t="n">
        <v>4738</v>
      </c>
      <c r="V29" t="n">
        <v>4777</v>
      </c>
      <c r="W29" t="n">
        <v/>
      </c>
      <c r="X29" t="n">
        <v/>
      </c>
      <c r="Y29" t="n">
        <v/>
      </c>
      <c r="Z29" t="n">
        <v/>
      </c>
      <c r="AA29">
        <f>SUMIFS($S$2:S29,$A$2:A29,A29,$N$2:N29,"Explore*")</f>
        <v/>
      </c>
      <c r="AB29">
        <f>IF(AND(LEFT(N29,7)="Explore",(AA29-IF(LEFT(N29,7)="Explore",S29,0))&lt;10),"SI","NO")</f>
        <v/>
      </c>
    </row>
    <row r="30">
      <c r="A30" t="inlineStr">
        <is>
          <t>c3m1_training</t>
        </is>
      </c>
      <c r="B30" t="inlineStr">
        <is>
          <t>2026-02-19 11:10:39.318</t>
        </is>
      </c>
      <c r="C30" t="n">
        <v/>
      </c>
      <c r="D30" t="inlineStr">
        <is>
          <t>Media file</t>
        </is>
      </c>
      <c r="E30" t="inlineStr">
        <is>
          <t>player #1:BTBR\training\c3m1.mp4</t>
        </is>
      </c>
      <c r="F30" t="n">
        <v>-15.3</v>
      </c>
      <c r="G30" t="n">
        <v>582.932</v>
      </c>
      <c r="H30" t="n">
        <v>621.599</v>
      </c>
      <c r="I30" t="n">
        <v>30</v>
      </c>
      <c r="J30" t="inlineStr">
        <is>
          <t>BTBR</t>
        </is>
      </c>
      <c r="K30" t="inlineStr">
        <is>
          <t>Male</t>
        </is>
      </c>
      <c r="L30" t="inlineStr">
        <is>
          <t>No focal subject</t>
        </is>
      </c>
      <c r="M30" t="n">
        <v>43.699</v>
      </c>
      <c r="N30" t="inlineStr">
        <is>
          <t>Explore_F</t>
        </is>
      </c>
      <c r="O30" t="inlineStr">
        <is>
          <t>Familiar</t>
        </is>
      </c>
      <c r="P30" t="inlineStr">
        <is>
          <t>STATE</t>
        </is>
      </c>
      <c r="Q30" t="n">
        <v>166.866</v>
      </c>
      <c r="R30" t="n">
        <v>167.766</v>
      </c>
      <c r="S30" t="n">
        <v>0.9</v>
      </c>
      <c r="T30" t="inlineStr">
        <is>
          <t>BTBR\training\c3m1.mp4</t>
        </is>
      </c>
      <c r="U30" t="n">
        <v>4996</v>
      </c>
      <c r="V30" t="n">
        <v>5022</v>
      </c>
      <c r="W30" t="n">
        <v/>
      </c>
      <c r="X30" t="n">
        <v/>
      </c>
      <c r="Y30" t="n">
        <v/>
      </c>
      <c r="Z30" t="n">
        <v/>
      </c>
      <c r="AA30">
        <f>SUMIFS($S$2:S30,$A$2:A30,A30,$N$2:N30,"Explore*")</f>
        <v/>
      </c>
      <c r="AB30">
        <f>IF(AND(LEFT(N30,7)="Explore",(AA30-IF(LEFT(N30,7)="Explore",S30,0))&lt;10),"SI","NO")</f>
        <v/>
      </c>
    </row>
    <row r="31">
      <c r="A31" t="inlineStr">
        <is>
          <t>c3m1_training</t>
        </is>
      </c>
      <c r="B31" t="inlineStr">
        <is>
          <t>2026-02-19 11:10:39.318</t>
        </is>
      </c>
      <c r="C31" t="n">
        <v/>
      </c>
      <c r="D31" t="inlineStr">
        <is>
          <t>Media file</t>
        </is>
      </c>
      <c r="E31" t="inlineStr">
        <is>
          <t>player #1:BTBR\training\c3m1.mp4</t>
        </is>
      </c>
      <c r="F31" t="n">
        <v>-15.3</v>
      </c>
      <c r="G31" t="n">
        <v>582.932</v>
      </c>
      <c r="H31" t="n">
        <v>621.599</v>
      </c>
      <c r="I31" t="n">
        <v>30</v>
      </c>
      <c r="J31" t="inlineStr">
        <is>
          <t>BTBR</t>
        </is>
      </c>
      <c r="K31" t="inlineStr">
        <is>
          <t>Male</t>
        </is>
      </c>
      <c r="L31" t="inlineStr">
        <is>
          <t>No focal subject</t>
        </is>
      </c>
      <c r="M31" t="n">
        <v>43.699</v>
      </c>
      <c r="N31" t="inlineStr">
        <is>
          <t>Explore_F</t>
        </is>
      </c>
      <c r="O31" t="inlineStr">
        <is>
          <t>Familiar</t>
        </is>
      </c>
      <c r="P31" t="inlineStr">
        <is>
          <t>STATE</t>
        </is>
      </c>
      <c r="Q31" t="n">
        <v>179.933</v>
      </c>
      <c r="R31" t="n">
        <v>180.166</v>
      </c>
      <c r="S31" t="n">
        <v>0.233</v>
      </c>
      <c r="T31" t="inlineStr">
        <is>
          <t>BTBR\training\c3m1.mp4</t>
        </is>
      </c>
      <c r="U31" t="n">
        <v>5387</v>
      </c>
      <c r="V31" t="n">
        <v>5394</v>
      </c>
      <c r="W31" t="n">
        <v/>
      </c>
      <c r="X31" t="n">
        <v/>
      </c>
      <c r="Y31" t="n">
        <v/>
      </c>
      <c r="Z31" t="n">
        <v/>
      </c>
      <c r="AA31">
        <f>SUMIFS($S$2:S31,$A$2:A31,A31,$N$2:N31,"Explore*")</f>
        <v/>
      </c>
      <c r="AB31">
        <f>IF(AND(LEFT(N31,7)="Explore",(AA31-IF(LEFT(N31,7)="Explore",S31,0))&lt;10),"SI","NO")</f>
        <v/>
      </c>
    </row>
    <row r="32">
      <c r="A32" t="inlineStr">
        <is>
          <t>c3m1_training</t>
        </is>
      </c>
      <c r="B32" t="inlineStr">
        <is>
          <t>2026-02-19 11:10:39.318</t>
        </is>
      </c>
      <c r="C32" t="n">
        <v/>
      </c>
      <c r="D32" t="inlineStr">
        <is>
          <t>Media file</t>
        </is>
      </c>
      <c r="E32" t="inlineStr">
        <is>
          <t>player #1:BTBR\training\c3m1.mp4</t>
        </is>
      </c>
      <c r="F32" t="n">
        <v>-15.3</v>
      </c>
      <c r="G32" t="n">
        <v>582.932</v>
      </c>
      <c r="H32" t="n">
        <v>621.599</v>
      </c>
      <c r="I32" t="n">
        <v>30</v>
      </c>
      <c r="J32" t="inlineStr">
        <is>
          <t>BTBR</t>
        </is>
      </c>
      <c r="K32" t="inlineStr">
        <is>
          <t>Male</t>
        </is>
      </c>
      <c r="L32" t="inlineStr">
        <is>
          <t>No focal subject</t>
        </is>
      </c>
      <c r="M32" t="n">
        <v>43.699</v>
      </c>
      <c r="N32" t="inlineStr">
        <is>
          <t>Explore_F2</t>
        </is>
      </c>
      <c r="O32" t="inlineStr">
        <is>
          <t>Second familiar</t>
        </is>
      </c>
      <c r="P32" t="inlineStr">
        <is>
          <t>STATE</t>
        </is>
      </c>
      <c r="Q32" t="n">
        <v>181.866</v>
      </c>
      <c r="R32" t="n">
        <v>182.366</v>
      </c>
      <c r="S32" t="n">
        <v>0.5</v>
      </c>
      <c r="T32" t="inlineStr">
        <is>
          <t>BTBR\training\c3m1.mp4</t>
        </is>
      </c>
      <c r="U32" t="n">
        <v>5445</v>
      </c>
      <c r="V32" t="n">
        <v>5460</v>
      </c>
      <c r="W32" t="n">
        <v/>
      </c>
      <c r="X32" t="n">
        <v/>
      </c>
      <c r="Y32" t="n">
        <v/>
      </c>
      <c r="Z32" t="n">
        <v/>
      </c>
      <c r="AA32">
        <f>SUMIFS($S$2:S32,$A$2:A32,A32,$N$2:N32,"Explore*")</f>
        <v/>
      </c>
      <c r="AB32">
        <f>IF(AND(LEFT(N32,7)="Explore",(AA32-IF(LEFT(N32,7)="Explore",S32,0))&lt;10),"SI","NO")</f>
        <v/>
      </c>
    </row>
    <row r="33">
      <c r="A33" t="inlineStr">
        <is>
          <t>c3m1_training</t>
        </is>
      </c>
      <c r="B33" t="inlineStr">
        <is>
          <t>2026-02-19 11:10:39.318</t>
        </is>
      </c>
      <c r="C33" t="n">
        <v/>
      </c>
      <c r="D33" t="inlineStr">
        <is>
          <t>Media file</t>
        </is>
      </c>
      <c r="E33" t="inlineStr">
        <is>
          <t>player #1:BTBR\training\c3m1.mp4</t>
        </is>
      </c>
      <c r="F33" t="n">
        <v>-15.3</v>
      </c>
      <c r="G33" t="n">
        <v>582.932</v>
      </c>
      <c r="H33" t="n">
        <v>621.599</v>
      </c>
      <c r="I33" t="n">
        <v>30</v>
      </c>
      <c r="J33" t="inlineStr">
        <is>
          <t>BTBR</t>
        </is>
      </c>
      <c r="K33" t="inlineStr">
        <is>
          <t>Male</t>
        </is>
      </c>
      <c r="L33" t="inlineStr">
        <is>
          <t>No focal subject</t>
        </is>
      </c>
      <c r="M33" t="n">
        <v>43.699</v>
      </c>
      <c r="N33" t="inlineStr">
        <is>
          <t>Explore_F2</t>
        </is>
      </c>
      <c r="O33" t="inlineStr">
        <is>
          <t>Second familiar</t>
        </is>
      </c>
      <c r="P33" t="inlineStr">
        <is>
          <t>STATE</t>
        </is>
      </c>
      <c r="Q33" t="n">
        <v>182.866</v>
      </c>
      <c r="R33" t="n">
        <v>185.933</v>
      </c>
      <c r="S33" t="n">
        <v>3.067</v>
      </c>
      <c r="T33" t="inlineStr">
        <is>
          <t>BTBR\training\c3m1.mp4</t>
        </is>
      </c>
      <c r="U33" t="n">
        <v>5475</v>
      </c>
      <c r="V33" t="n">
        <v>5566</v>
      </c>
      <c r="W33" t="n">
        <v/>
      </c>
      <c r="X33" t="n">
        <v/>
      </c>
      <c r="Y33" t="n">
        <v/>
      </c>
      <c r="Z33" t="n">
        <v/>
      </c>
      <c r="AA33">
        <f>SUMIFS($S$2:S33,$A$2:A33,A33,$N$2:N33,"Explore*")</f>
        <v/>
      </c>
      <c r="AB33">
        <f>IF(AND(LEFT(N33,7)="Explore",(AA33-IF(LEFT(N33,7)="Explore",S33,0))&lt;10),"SI","NO")</f>
        <v/>
      </c>
    </row>
    <row r="34">
      <c r="A34" t="inlineStr">
        <is>
          <t>c3m1_training</t>
        </is>
      </c>
      <c r="B34" t="inlineStr">
        <is>
          <t>2026-02-19 11:10:39.318</t>
        </is>
      </c>
      <c r="C34" t="n">
        <v/>
      </c>
      <c r="D34" t="inlineStr">
        <is>
          <t>Media file</t>
        </is>
      </c>
      <c r="E34" t="inlineStr">
        <is>
          <t>player #1:BTBR\training\c3m1.mp4</t>
        </is>
      </c>
      <c r="F34" t="n">
        <v>-15.3</v>
      </c>
      <c r="G34" t="n">
        <v>582.932</v>
      </c>
      <c r="H34" t="n">
        <v>621.599</v>
      </c>
      <c r="I34" t="n">
        <v>30</v>
      </c>
      <c r="J34" t="inlineStr">
        <is>
          <t>BTBR</t>
        </is>
      </c>
      <c r="K34" t="inlineStr">
        <is>
          <t>Male</t>
        </is>
      </c>
      <c r="L34" t="inlineStr">
        <is>
          <t>No focal subject</t>
        </is>
      </c>
      <c r="M34" t="n">
        <v>43.699</v>
      </c>
      <c r="N34" t="inlineStr">
        <is>
          <t>Explore_F2</t>
        </is>
      </c>
      <c r="O34" t="inlineStr">
        <is>
          <t>Second familiar</t>
        </is>
      </c>
      <c r="P34" t="inlineStr">
        <is>
          <t>STATE</t>
        </is>
      </c>
      <c r="Q34" t="n">
        <v>188.666</v>
      </c>
      <c r="R34" t="n">
        <v>190.166</v>
      </c>
      <c r="S34" t="n">
        <v>1.5</v>
      </c>
      <c r="T34" t="inlineStr">
        <is>
          <t>BTBR\training\c3m1.mp4</t>
        </is>
      </c>
      <c r="U34" t="n">
        <v>5648</v>
      </c>
      <c r="V34" t="n">
        <v>5693</v>
      </c>
      <c r="W34" t="n">
        <v/>
      </c>
      <c r="X34" t="n">
        <v/>
      </c>
      <c r="Y34" t="n">
        <v/>
      </c>
      <c r="Z34" t="n">
        <v/>
      </c>
      <c r="AA34">
        <f>SUMIFS($S$2:S34,$A$2:A34,A34,$N$2:N34,"Explore*")</f>
        <v/>
      </c>
      <c r="AB34">
        <f>IF(AND(LEFT(N34,7)="Explore",(AA34-IF(LEFT(N34,7)="Explore",S34,0))&lt;10),"SI","NO")</f>
        <v/>
      </c>
    </row>
    <row r="35">
      <c r="A35" t="inlineStr">
        <is>
          <t>c3m1_training</t>
        </is>
      </c>
      <c r="B35" t="inlineStr">
        <is>
          <t>2026-02-19 11:10:39.318</t>
        </is>
      </c>
      <c r="C35" t="n">
        <v/>
      </c>
      <c r="D35" t="inlineStr">
        <is>
          <t>Media file</t>
        </is>
      </c>
      <c r="E35" t="inlineStr">
        <is>
          <t>player #1:BTBR\training\c3m1.mp4</t>
        </is>
      </c>
      <c r="F35" t="n">
        <v>-15.3</v>
      </c>
      <c r="G35" t="n">
        <v>582.932</v>
      </c>
      <c r="H35" t="n">
        <v>621.599</v>
      </c>
      <c r="I35" t="n">
        <v>30</v>
      </c>
      <c r="J35" t="inlineStr">
        <is>
          <t>BTBR</t>
        </is>
      </c>
      <c r="K35" t="inlineStr">
        <is>
          <t>Male</t>
        </is>
      </c>
      <c r="L35" t="inlineStr">
        <is>
          <t>No focal subject</t>
        </is>
      </c>
      <c r="M35" t="n">
        <v>43.699</v>
      </c>
      <c r="N35" t="inlineStr">
        <is>
          <t>Explore_F</t>
        </is>
      </c>
      <c r="O35" t="inlineStr">
        <is>
          <t>Familiar</t>
        </is>
      </c>
      <c r="P35" t="inlineStr">
        <is>
          <t>STATE</t>
        </is>
      </c>
      <c r="Q35" t="n">
        <v>191.166</v>
      </c>
      <c r="R35" t="n">
        <v>192.566</v>
      </c>
      <c r="S35" t="n">
        <v>1.4</v>
      </c>
      <c r="T35" t="inlineStr">
        <is>
          <t>BTBR\training\c3m1.mp4</t>
        </is>
      </c>
      <c r="U35" t="n">
        <v>5723</v>
      </c>
      <c r="V35" t="n">
        <v>5765</v>
      </c>
      <c r="W35" t="n">
        <v/>
      </c>
      <c r="X35" t="n">
        <v/>
      </c>
      <c r="Y35" t="n">
        <v/>
      </c>
      <c r="Z35" t="n">
        <v/>
      </c>
      <c r="AA35">
        <f>SUMIFS($S$2:S35,$A$2:A35,A35,$N$2:N35,"Explore*")</f>
        <v/>
      </c>
      <c r="AB35">
        <f>IF(AND(LEFT(N35,7)="Explore",(AA35-IF(LEFT(N35,7)="Explore",S35,0))&lt;10),"SI","NO")</f>
        <v/>
      </c>
    </row>
    <row r="36">
      <c r="A36" t="inlineStr">
        <is>
          <t>c3m1_training</t>
        </is>
      </c>
      <c r="B36" t="inlineStr">
        <is>
          <t>2026-02-19 11:10:39.318</t>
        </is>
      </c>
      <c r="C36" t="n">
        <v/>
      </c>
      <c r="D36" t="inlineStr">
        <is>
          <t>Media file</t>
        </is>
      </c>
      <c r="E36" t="inlineStr">
        <is>
          <t>player #1:BTBR\training\c3m1.mp4</t>
        </is>
      </c>
      <c r="F36" t="n">
        <v>-15.3</v>
      </c>
      <c r="G36" t="n">
        <v>582.932</v>
      </c>
      <c r="H36" t="n">
        <v>621.599</v>
      </c>
      <c r="I36" t="n">
        <v>30</v>
      </c>
      <c r="J36" t="inlineStr">
        <is>
          <t>BTBR</t>
        </is>
      </c>
      <c r="K36" t="inlineStr">
        <is>
          <t>Male</t>
        </is>
      </c>
      <c r="L36" t="inlineStr">
        <is>
          <t>No focal subject</t>
        </is>
      </c>
      <c r="M36" t="n">
        <v>43.699</v>
      </c>
      <c r="N36" t="inlineStr">
        <is>
          <t>Explore_F</t>
        </is>
      </c>
      <c r="O36" t="inlineStr">
        <is>
          <t>Familiar</t>
        </is>
      </c>
      <c r="P36" t="inlineStr">
        <is>
          <t>STATE</t>
        </is>
      </c>
      <c r="Q36" t="n">
        <v>197.6</v>
      </c>
      <c r="R36" t="n">
        <v>198.5</v>
      </c>
      <c r="S36" t="n">
        <v>0.9</v>
      </c>
      <c r="T36" t="inlineStr">
        <is>
          <t>BTBR\training\c3m1.mp4</t>
        </is>
      </c>
      <c r="U36" t="n">
        <v>5916</v>
      </c>
      <c r="V36" t="n">
        <v>5945</v>
      </c>
      <c r="W36" t="n">
        <v/>
      </c>
      <c r="X36" t="n">
        <v/>
      </c>
      <c r="Y36" t="n">
        <v/>
      </c>
      <c r="Z36" t="n">
        <v/>
      </c>
      <c r="AA36">
        <f>SUMIFS($S$2:S36,$A$2:A36,A36,$N$2:N36,"Explore*")</f>
        <v/>
      </c>
      <c r="AB36">
        <f>IF(AND(LEFT(N36,7)="Explore",(AA36-IF(LEFT(N36,7)="Explore",S36,0))&lt;10),"SI","NO")</f>
        <v/>
      </c>
    </row>
    <row r="37">
      <c r="A37" t="inlineStr">
        <is>
          <t>c3m1_training</t>
        </is>
      </c>
      <c r="B37" t="inlineStr">
        <is>
          <t>2026-02-19 11:10:39.318</t>
        </is>
      </c>
      <c r="C37" t="n">
        <v/>
      </c>
      <c r="D37" t="inlineStr">
        <is>
          <t>Media file</t>
        </is>
      </c>
      <c r="E37" t="inlineStr">
        <is>
          <t>player #1:BTBR\training\c3m1.mp4</t>
        </is>
      </c>
      <c r="F37" t="n">
        <v>-15.3</v>
      </c>
      <c r="G37" t="n">
        <v>582.932</v>
      </c>
      <c r="H37" t="n">
        <v>621.599</v>
      </c>
      <c r="I37" t="n">
        <v>30</v>
      </c>
      <c r="J37" t="inlineStr">
        <is>
          <t>BTBR</t>
        </is>
      </c>
      <c r="K37" t="inlineStr">
        <is>
          <t>Male</t>
        </is>
      </c>
      <c r="L37" t="inlineStr">
        <is>
          <t>No focal subject</t>
        </is>
      </c>
      <c r="M37" t="n">
        <v>43.699</v>
      </c>
      <c r="N37" t="inlineStr">
        <is>
          <t>Explore_F2</t>
        </is>
      </c>
      <c r="O37" t="inlineStr">
        <is>
          <t>Second familiar</t>
        </is>
      </c>
      <c r="P37" t="inlineStr">
        <is>
          <t>STATE</t>
        </is>
      </c>
      <c r="Q37" t="n">
        <v>202</v>
      </c>
      <c r="R37" t="n">
        <v>203.133</v>
      </c>
      <c r="S37" t="n">
        <v>1.133</v>
      </c>
      <c r="T37" t="inlineStr">
        <is>
          <t>BTBR\training\c3m1.mp4</t>
        </is>
      </c>
      <c r="U37" t="n">
        <v>6074</v>
      </c>
      <c r="V37" t="n">
        <v>6081</v>
      </c>
      <c r="W37" t="n">
        <v/>
      </c>
      <c r="X37" t="n">
        <v/>
      </c>
      <c r="Y37" t="n">
        <v/>
      </c>
      <c r="Z37" t="n">
        <v/>
      </c>
      <c r="AA37">
        <f>SUMIFS($S$2:S37,$A$2:A37,A37,$N$2:N37,"Explore*")</f>
        <v/>
      </c>
      <c r="AB37">
        <f>IF(AND(LEFT(N37,7)="Explore",(AA37-IF(LEFT(N37,7)="Explore",S37,0))&lt;10),"SI","NO")</f>
        <v/>
      </c>
    </row>
    <row r="38">
      <c r="A38" t="inlineStr">
        <is>
          <t>c3m1_training</t>
        </is>
      </c>
      <c r="B38" t="inlineStr">
        <is>
          <t>2026-02-19 11:10:39.318</t>
        </is>
      </c>
      <c r="C38" t="n">
        <v/>
      </c>
      <c r="D38" t="inlineStr">
        <is>
          <t>Media file</t>
        </is>
      </c>
      <c r="E38" t="inlineStr">
        <is>
          <t>player #1:BTBR\training\c3m1.mp4</t>
        </is>
      </c>
      <c r="F38" t="n">
        <v>-15.3</v>
      </c>
      <c r="G38" t="n">
        <v>582.932</v>
      </c>
      <c r="H38" t="n">
        <v>621.599</v>
      </c>
      <c r="I38" t="n">
        <v>30</v>
      </c>
      <c r="J38" t="inlineStr">
        <is>
          <t>BTBR</t>
        </is>
      </c>
      <c r="K38" t="inlineStr">
        <is>
          <t>Male</t>
        </is>
      </c>
      <c r="L38" t="inlineStr">
        <is>
          <t>No focal subject</t>
        </is>
      </c>
      <c r="M38" t="n">
        <v>43.699</v>
      </c>
      <c r="N38" t="inlineStr">
        <is>
          <t>Explore_F</t>
        </is>
      </c>
      <c r="O38" t="inlineStr">
        <is>
          <t>Familiar</t>
        </is>
      </c>
      <c r="P38" t="inlineStr">
        <is>
          <t>STATE</t>
        </is>
      </c>
      <c r="Q38" t="n">
        <v>264.033</v>
      </c>
      <c r="R38" t="n">
        <v>265.233</v>
      </c>
      <c r="S38" t="n">
        <v>1.2</v>
      </c>
      <c r="T38" t="inlineStr">
        <is>
          <t>BTBR\training\c3m1.mp4</t>
        </is>
      </c>
      <c r="U38" t="n">
        <v>7904</v>
      </c>
      <c r="V38" t="n">
        <v>7941</v>
      </c>
      <c r="W38" t="n">
        <v/>
      </c>
      <c r="X38" t="n">
        <v/>
      </c>
      <c r="Y38" t="n">
        <v/>
      </c>
      <c r="Z38" t="n">
        <v/>
      </c>
      <c r="AA38">
        <f>SUMIFS($S$2:S38,$A$2:A38,A38,$N$2:N38,"Explore*")</f>
        <v/>
      </c>
      <c r="AB38">
        <f>IF(AND(LEFT(N38,7)="Explore",(AA38-IF(LEFT(N38,7)="Explore",S38,0))&lt;10),"SI","NO")</f>
        <v/>
      </c>
    </row>
    <row r="39">
      <c r="A39" t="inlineStr">
        <is>
          <t>c3m1_training</t>
        </is>
      </c>
      <c r="B39" t="inlineStr">
        <is>
          <t>2026-02-19 11:10:39.318</t>
        </is>
      </c>
      <c r="C39" t="n">
        <v/>
      </c>
      <c r="D39" t="inlineStr">
        <is>
          <t>Media file</t>
        </is>
      </c>
      <c r="E39" t="inlineStr">
        <is>
          <t>player #1:BTBR\training\c3m1.mp4</t>
        </is>
      </c>
      <c r="F39" t="n">
        <v>-15.3</v>
      </c>
      <c r="G39" t="n">
        <v>582.932</v>
      </c>
      <c r="H39" t="n">
        <v>621.599</v>
      </c>
      <c r="I39" t="n">
        <v>30</v>
      </c>
      <c r="J39" t="inlineStr">
        <is>
          <t>BTBR</t>
        </is>
      </c>
      <c r="K39" t="inlineStr">
        <is>
          <t>Male</t>
        </is>
      </c>
      <c r="L39" t="inlineStr">
        <is>
          <t>No focal subject</t>
        </is>
      </c>
      <c r="M39" t="n">
        <v>43.699</v>
      </c>
      <c r="N39" t="inlineStr">
        <is>
          <t>Explore_F</t>
        </is>
      </c>
      <c r="O39" t="inlineStr">
        <is>
          <t>Familiar</t>
        </is>
      </c>
      <c r="P39" t="inlineStr">
        <is>
          <t>STATE</t>
        </is>
      </c>
      <c r="Q39" t="n">
        <v>278.666</v>
      </c>
      <c r="R39" t="n">
        <v>279.4</v>
      </c>
      <c r="S39" t="n">
        <v>0.734</v>
      </c>
      <c r="T39" t="inlineStr">
        <is>
          <t>BTBR\training\c3m1.mp4</t>
        </is>
      </c>
      <c r="U39" t="n">
        <v>8342</v>
      </c>
      <c r="V39" t="n">
        <v>8364</v>
      </c>
      <c r="W39" t="n">
        <v/>
      </c>
      <c r="X39" t="n">
        <v/>
      </c>
      <c r="Y39" t="n">
        <v/>
      </c>
      <c r="Z39" t="n">
        <v/>
      </c>
      <c r="AA39">
        <f>SUMIFS($S$2:S39,$A$2:A39,A39,$N$2:N39,"Explore*")</f>
        <v/>
      </c>
      <c r="AB39">
        <f>IF(AND(LEFT(N39,7)="Explore",(AA39-IF(LEFT(N39,7)="Explore",S39,0))&lt;10),"SI","NO")</f>
        <v/>
      </c>
    </row>
    <row r="40">
      <c r="A40" t="inlineStr">
        <is>
          <t>c3m1_training</t>
        </is>
      </c>
      <c r="B40" t="inlineStr">
        <is>
          <t>2026-02-19 11:10:39.318</t>
        </is>
      </c>
      <c r="C40" t="n">
        <v/>
      </c>
      <c r="D40" t="inlineStr">
        <is>
          <t>Media file</t>
        </is>
      </c>
      <c r="E40" t="inlineStr">
        <is>
          <t>player #1:BTBR\training\c3m1.mp4</t>
        </is>
      </c>
      <c r="F40" t="n">
        <v>-15.3</v>
      </c>
      <c r="G40" t="n">
        <v>582.932</v>
      </c>
      <c r="H40" t="n">
        <v>621.599</v>
      </c>
      <c r="I40" t="n">
        <v>30</v>
      </c>
      <c r="J40" t="inlineStr">
        <is>
          <t>BTBR</t>
        </is>
      </c>
      <c r="K40" t="inlineStr">
        <is>
          <t>Male</t>
        </is>
      </c>
      <c r="L40" t="inlineStr">
        <is>
          <t>No focal subject</t>
        </is>
      </c>
      <c r="M40" t="n">
        <v>43.699</v>
      </c>
      <c r="N40" t="inlineStr">
        <is>
          <t>Explore_F2</t>
        </is>
      </c>
      <c r="O40" t="inlineStr">
        <is>
          <t>Second familiar</t>
        </is>
      </c>
      <c r="P40" t="inlineStr">
        <is>
          <t>STATE</t>
        </is>
      </c>
      <c r="Q40" t="n">
        <v>306.166</v>
      </c>
      <c r="R40" t="n">
        <v>306.666</v>
      </c>
      <c r="S40" t="n">
        <v>0.5</v>
      </c>
      <c r="T40" t="inlineStr">
        <is>
          <t>BTBR\training\c3m1.mp4</t>
        </is>
      </c>
      <c r="U40" t="n">
        <v>9624</v>
      </c>
      <c r="V40" t="n">
        <v>9639</v>
      </c>
      <c r="W40" t="n">
        <v/>
      </c>
      <c r="X40" t="n">
        <v/>
      </c>
      <c r="Y40" t="n">
        <v/>
      </c>
      <c r="Z40" t="n">
        <v/>
      </c>
      <c r="AA40">
        <f>SUMIFS($S$2:S40,$A$2:A40,A40,$N$2:N40,"Explore*")</f>
        <v/>
      </c>
      <c r="AB40">
        <f>IF(AND(LEFT(N40,7)="Explore",(AA40-IF(LEFT(N40,7)="Explore",S40,0))&lt;10),"SI","NO")</f>
        <v/>
      </c>
    </row>
    <row r="41">
      <c r="A41" t="inlineStr">
        <is>
          <t>c3m1_training</t>
        </is>
      </c>
      <c r="B41" t="inlineStr">
        <is>
          <t>2026-02-19 11:10:39.318</t>
        </is>
      </c>
      <c r="C41" t="n">
        <v/>
      </c>
      <c r="D41" t="inlineStr">
        <is>
          <t>Media file</t>
        </is>
      </c>
      <c r="E41" t="inlineStr">
        <is>
          <t>player #1:BTBR\training\c3m1.mp4</t>
        </is>
      </c>
      <c r="F41" t="n">
        <v>-15.3</v>
      </c>
      <c r="G41" t="n">
        <v>582.932</v>
      </c>
      <c r="H41" t="n">
        <v>621.599</v>
      </c>
      <c r="I41" t="n">
        <v>30</v>
      </c>
      <c r="J41" t="inlineStr">
        <is>
          <t>BTBR</t>
        </is>
      </c>
      <c r="K41" t="inlineStr">
        <is>
          <t>Male</t>
        </is>
      </c>
      <c r="L41" t="inlineStr">
        <is>
          <t>No focal subject</t>
        </is>
      </c>
      <c r="M41" t="n">
        <v>43.699</v>
      </c>
      <c r="N41" t="inlineStr">
        <is>
          <t>Explore_F</t>
        </is>
      </c>
      <c r="O41" t="inlineStr">
        <is>
          <t>Familiar</t>
        </is>
      </c>
      <c r="P41" t="inlineStr">
        <is>
          <t>STATE</t>
        </is>
      </c>
      <c r="Q41" t="n">
        <v>309.466</v>
      </c>
      <c r="R41" t="n">
        <v>310.333</v>
      </c>
      <c r="S41" t="n">
        <v>0.867</v>
      </c>
      <c r="T41" t="inlineStr">
        <is>
          <t>BTBR\training\c3m1.mp4</t>
        </is>
      </c>
      <c r="U41" t="n">
        <v>9723</v>
      </c>
      <c r="V41" t="n">
        <v>9749</v>
      </c>
      <c r="W41" t="n">
        <v/>
      </c>
      <c r="X41" t="n">
        <v/>
      </c>
      <c r="Y41" t="n">
        <v/>
      </c>
      <c r="Z41" t="n">
        <v/>
      </c>
      <c r="AA41">
        <f>SUMIFS($S$2:S41,$A$2:A41,A41,$N$2:N41,"Explore*")</f>
        <v/>
      </c>
      <c r="AB41">
        <f>IF(AND(LEFT(N41,7)="Explore",(AA41-IF(LEFT(N41,7)="Explore",S41,0))&lt;10),"SI","NO")</f>
        <v/>
      </c>
    </row>
    <row r="42">
      <c r="A42" t="inlineStr">
        <is>
          <t>c3m1_training</t>
        </is>
      </c>
      <c r="B42" t="inlineStr">
        <is>
          <t>2026-02-19 11:10:39.318</t>
        </is>
      </c>
      <c r="C42" t="n">
        <v/>
      </c>
      <c r="D42" t="inlineStr">
        <is>
          <t>Media file</t>
        </is>
      </c>
      <c r="E42" t="inlineStr">
        <is>
          <t>player #1:BTBR\training\c3m1.mp4</t>
        </is>
      </c>
      <c r="F42" t="n">
        <v>-15.3</v>
      </c>
      <c r="G42" t="n">
        <v>582.932</v>
      </c>
      <c r="H42" t="n">
        <v>621.599</v>
      </c>
      <c r="I42" t="n">
        <v>30</v>
      </c>
      <c r="J42" t="inlineStr">
        <is>
          <t>BTBR</t>
        </is>
      </c>
      <c r="K42" t="inlineStr">
        <is>
          <t>Male</t>
        </is>
      </c>
      <c r="L42" t="inlineStr">
        <is>
          <t>No focal subject</t>
        </is>
      </c>
      <c r="M42" t="n">
        <v>43.699</v>
      </c>
      <c r="N42" t="inlineStr">
        <is>
          <t>Explore_F2</t>
        </is>
      </c>
      <c r="O42" t="inlineStr">
        <is>
          <t>Second familiar</t>
        </is>
      </c>
      <c r="P42" t="inlineStr">
        <is>
          <t>STATE</t>
        </is>
      </c>
      <c r="Q42" t="n">
        <v>339.666</v>
      </c>
      <c r="R42" t="n">
        <v>340.5</v>
      </c>
      <c r="S42" t="n">
        <v>0.834</v>
      </c>
      <c r="T42" t="inlineStr">
        <is>
          <t>BTBR\training\c3m1.mp4</t>
        </is>
      </c>
      <c r="U42" t="n">
        <v>10627</v>
      </c>
      <c r="V42" t="n">
        <v>10652</v>
      </c>
      <c r="W42" t="n">
        <v/>
      </c>
      <c r="X42" t="n">
        <v/>
      </c>
      <c r="Y42" t="n">
        <v/>
      </c>
      <c r="Z42" t="n">
        <v/>
      </c>
      <c r="AA42">
        <f>SUMIFS($S$2:S42,$A$2:A42,A42,$N$2:N42,"Explore*")</f>
        <v/>
      </c>
      <c r="AB42">
        <f>IF(AND(LEFT(N42,7)="Explore",(AA42-IF(LEFT(N42,7)="Explore",S42,0))&lt;10),"SI","NO")</f>
        <v/>
      </c>
    </row>
    <row r="43">
      <c r="A43" t="inlineStr">
        <is>
          <t>c3m1_training</t>
        </is>
      </c>
      <c r="B43" t="inlineStr">
        <is>
          <t>2026-02-19 11:10:39.318</t>
        </is>
      </c>
      <c r="C43" t="n">
        <v/>
      </c>
      <c r="D43" t="inlineStr">
        <is>
          <t>Media file</t>
        </is>
      </c>
      <c r="E43" t="inlineStr">
        <is>
          <t>player #1:BTBR\training\c3m1.mp4</t>
        </is>
      </c>
      <c r="F43" t="n">
        <v>-15.3</v>
      </c>
      <c r="G43" t="n">
        <v>582.932</v>
      </c>
      <c r="H43" t="n">
        <v>621.599</v>
      </c>
      <c r="I43" t="n">
        <v>30</v>
      </c>
      <c r="J43" t="inlineStr">
        <is>
          <t>BTBR</t>
        </is>
      </c>
      <c r="K43" t="inlineStr">
        <is>
          <t>Male</t>
        </is>
      </c>
      <c r="L43" t="inlineStr">
        <is>
          <t>No focal subject</t>
        </is>
      </c>
      <c r="M43" t="n">
        <v>43.699</v>
      </c>
      <c r="N43" t="inlineStr">
        <is>
          <t>Explore_F</t>
        </is>
      </c>
      <c r="O43" t="inlineStr">
        <is>
          <t>Familiar</t>
        </is>
      </c>
      <c r="P43" t="inlineStr">
        <is>
          <t>STATE</t>
        </is>
      </c>
      <c r="Q43" t="n">
        <v>345.433</v>
      </c>
      <c r="R43" t="n">
        <v>346</v>
      </c>
      <c r="S43" t="n">
        <v>0.5669999999999999</v>
      </c>
      <c r="T43" t="inlineStr">
        <is>
          <t>BTBR\training\c3m1.mp4</t>
        </is>
      </c>
      <c r="U43" t="n">
        <v>10799</v>
      </c>
      <c r="V43" t="n">
        <v>10816</v>
      </c>
      <c r="W43" t="n">
        <v/>
      </c>
      <c r="X43" t="n">
        <v/>
      </c>
      <c r="Y43" t="n">
        <v/>
      </c>
      <c r="Z43" t="n">
        <v/>
      </c>
      <c r="AA43">
        <f>SUMIFS($S$2:S43,$A$2:A43,A43,$N$2:N43,"Explore*")</f>
        <v/>
      </c>
      <c r="AB43">
        <f>IF(AND(LEFT(N43,7)="Explore",(AA43-IF(LEFT(N43,7)="Explore",S43,0))&lt;10),"SI","NO")</f>
        <v/>
      </c>
    </row>
    <row r="44">
      <c r="A44" t="inlineStr">
        <is>
          <t>c3m1_training</t>
        </is>
      </c>
      <c r="B44" t="inlineStr">
        <is>
          <t>2026-02-19 11:10:39.318</t>
        </is>
      </c>
      <c r="C44" t="n">
        <v/>
      </c>
      <c r="D44" t="inlineStr">
        <is>
          <t>Media file</t>
        </is>
      </c>
      <c r="E44" t="inlineStr">
        <is>
          <t>player #1:BTBR\training\c3m1.mp4</t>
        </is>
      </c>
      <c r="F44" t="n">
        <v>-15.3</v>
      </c>
      <c r="G44" t="n">
        <v>582.932</v>
      </c>
      <c r="H44" t="n">
        <v>621.599</v>
      </c>
      <c r="I44" t="n">
        <v>30</v>
      </c>
      <c r="J44" t="inlineStr">
        <is>
          <t>BTBR</t>
        </is>
      </c>
      <c r="K44" t="inlineStr">
        <is>
          <t>Male</t>
        </is>
      </c>
      <c r="L44" t="inlineStr">
        <is>
          <t>No focal subject</t>
        </is>
      </c>
      <c r="M44" t="n">
        <v>43.699</v>
      </c>
      <c r="N44" t="inlineStr">
        <is>
          <t>Explore_F</t>
        </is>
      </c>
      <c r="O44" t="inlineStr">
        <is>
          <t>Familiar</t>
        </is>
      </c>
      <c r="P44" t="inlineStr">
        <is>
          <t>STATE</t>
        </is>
      </c>
      <c r="Q44" t="n">
        <v>357.2</v>
      </c>
      <c r="R44" t="n">
        <v>358.166</v>
      </c>
      <c r="S44" t="n">
        <v>0.966</v>
      </c>
      <c r="T44" t="inlineStr">
        <is>
          <t>BTBR\training\c3m1.mp4</t>
        </is>
      </c>
      <c r="U44" t="n">
        <v>11152</v>
      </c>
      <c r="V44" t="n">
        <v>11181</v>
      </c>
      <c r="W44" t="n">
        <v/>
      </c>
      <c r="X44" t="n">
        <v/>
      </c>
      <c r="Y44" t="n">
        <v/>
      </c>
      <c r="Z44" t="n">
        <v/>
      </c>
      <c r="AA44">
        <f>SUMIFS($S$2:S44,$A$2:A44,A44,$N$2:N44,"Explore*")</f>
        <v/>
      </c>
      <c r="AB44">
        <f>IF(AND(LEFT(N44,7)="Explore",(AA44-IF(LEFT(N44,7)="Explore",S44,0))&lt;10),"SI","NO")</f>
        <v/>
      </c>
    </row>
    <row r="45">
      <c r="A45" t="inlineStr">
        <is>
          <t>c3m1_training</t>
        </is>
      </c>
      <c r="B45" t="inlineStr">
        <is>
          <t>2026-02-19 11:10:39.318</t>
        </is>
      </c>
      <c r="C45" t="n">
        <v/>
      </c>
      <c r="D45" t="inlineStr">
        <is>
          <t>Media file</t>
        </is>
      </c>
      <c r="E45" t="inlineStr">
        <is>
          <t>player #1:BTBR\training\c3m1.mp4</t>
        </is>
      </c>
      <c r="F45" t="n">
        <v>-15.3</v>
      </c>
      <c r="G45" t="n">
        <v>582.932</v>
      </c>
      <c r="H45" t="n">
        <v>621.599</v>
      </c>
      <c r="I45" t="n">
        <v>30</v>
      </c>
      <c r="J45" t="inlineStr">
        <is>
          <t>BTBR</t>
        </is>
      </c>
      <c r="K45" t="inlineStr">
        <is>
          <t>Male</t>
        </is>
      </c>
      <c r="L45" t="inlineStr">
        <is>
          <t>No focal subject</t>
        </is>
      </c>
      <c r="M45" t="n">
        <v>43.699</v>
      </c>
      <c r="N45" t="inlineStr">
        <is>
          <t>Explore_F</t>
        </is>
      </c>
      <c r="O45" t="inlineStr">
        <is>
          <t>Familiar</t>
        </is>
      </c>
      <c r="P45" t="inlineStr">
        <is>
          <t>STATE</t>
        </is>
      </c>
      <c r="Q45" t="n">
        <v>364.9</v>
      </c>
      <c r="R45" t="n">
        <v>365.2</v>
      </c>
      <c r="S45" t="n">
        <v>0.3</v>
      </c>
      <c r="T45" t="inlineStr">
        <is>
          <t>BTBR\training\c3m1.mp4</t>
        </is>
      </c>
      <c r="U45" t="n">
        <v>11382</v>
      </c>
      <c r="V45" t="n">
        <v>11391</v>
      </c>
      <c r="W45" t="n">
        <v/>
      </c>
      <c r="X45" t="n">
        <v/>
      </c>
      <c r="Y45" t="n">
        <v/>
      </c>
      <c r="Z45" t="n">
        <v/>
      </c>
      <c r="AA45">
        <f>SUMIFS($S$2:S45,$A$2:A45,A45,$N$2:N45,"Explore*")</f>
        <v/>
      </c>
      <c r="AB45">
        <f>IF(AND(LEFT(N45,7)="Explore",(AA45-IF(LEFT(N45,7)="Explore",S45,0))&lt;10),"SI","NO")</f>
        <v/>
      </c>
    </row>
    <row r="46">
      <c r="A46" t="inlineStr">
        <is>
          <t>c3m1_training</t>
        </is>
      </c>
      <c r="B46" t="inlineStr">
        <is>
          <t>2026-02-19 11:10:39.318</t>
        </is>
      </c>
      <c r="C46" t="n">
        <v/>
      </c>
      <c r="D46" t="inlineStr">
        <is>
          <t>Media file</t>
        </is>
      </c>
      <c r="E46" t="inlineStr">
        <is>
          <t>player #1:BTBR\training\c3m1.mp4</t>
        </is>
      </c>
      <c r="F46" t="n">
        <v>-15.3</v>
      </c>
      <c r="G46" t="n">
        <v>582.932</v>
      </c>
      <c r="H46" t="n">
        <v>621.599</v>
      </c>
      <c r="I46" t="n">
        <v>30</v>
      </c>
      <c r="J46" t="inlineStr">
        <is>
          <t>BTBR</t>
        </is>
      </c>
      <c r="K46" t="inlineStr">
        <is>
          <t>Male</t>
        </is>
      </c>
      <c r="L46" t="inlineStr">
        <is>
          <t>No focal subject</t>
        </is>
      </c>
      <c r="M46" t="n">
        <v>43.699</v>
      </c>
      <c r="N46" t="inlineStr">
        <is>
          <t>Explore_F</t>
        </is>
      </c>
      <c r="O46" t="inlineStr">
        <is>
          <t>Familiar</t>
        </is>
      </c>
      <c r="P46" t="inlineStr">
        <is>
          <t>STATE</t>
        </is>
      </c>
      <c r="Q46" t="n">
        <v>367.2</v>
      </c>
      <c r="R46" t="n">
        <v>368.133</v>
      </c>
      <c r="S46" t="n">
        <v>0.9330000000000001</v>
      </c>
      <c r="T46" t="inlineStr">
        <is>
          <t>BTBR\training\c3m1.mp4</t>
        </is>
      </c>
      <c r="U46" t="n">
        <v>11451</v>
      </c>
      <c r="V46" t="n">
        <v>11479</v>
      </c>
      <c r="W46" t="n">
        <v/>
      </c>
      <c r="X46" t="n">
        <v/>
      </c>
      <c r="Y46" t="n">
        <v/>
      </c>
      <c r="Z46" t="n">
        <v/>
      </c>
      <c r="AA46">
        <f>SUMIFS($S$2:S46,$A$2:A46,A46,$N$2:N46,"Explore*")</f>
        <v/>
      </c>
      <c r="AB46">
        <f>IF(AND(LEFT(N46,7)="Explore",(AA46-IF(LEFT(N46,7)="Explore",S46,0))&lt;10),"SI","NO")</f>
        <v/>
      </c>
    </row>
    <row r="47">
      <c r="A47" t="inlineStr">
        <is>
          <t>c3m1_training</t>
        </is>
      </c>
      <c r="B47" t="inlineStr">
        <is>
          <t>2026-02-19 11:10:39.318</t>
        </is>
      </c>
      <c r="C47" t="n">
        <v/>
      </c>
      <c r="D47" t="inlineStr">
        <is>
          <t>Media file</t>
        </is>
      </c>
      <c r="E47" t="inlineStr">
        <is>
          <t>player #1:BTBR\training\c3m1.mp4</t>
        </is>
      </c>
      <c r="F47" t="n">
        <v>-15.3</v>
      </c>
      <c r="G47" t="n">
        <v>582.932</v>
      </c>
      <c r="H47" t="n">
        <v>621.599</v>
      </c>
      <c r="I47" t="n">
        <v>30</v>
      </c>
      <c r="J47" t="inlineStr">
        <is>
          <t>BTBR</t>
        </is>
      </c>
      <c r="K47" t="inlineStr">
        <is>
          <t>Male</t>
        </is>
      </c>
      <c r="L47" t="inlineStr">
        <is>
          <t>No focal subject</t>
        </is>
      </c>
      <c r="M47" t="n">
        <v>43.699</v>
      </c>
      <c r="N47" t="inlineStr">
        <is>
          <t>Explore_F</t>
        </is>
      </c>
      <c r="O47" t="inlineStr">
        <is>
          <t>Familiar</t>
        </is>
      </c>
      <c r="P47" t="inlineStr">
        <is>
          <t>STATE</t>
        </is>
      </c>
      <c r="Q47" t="n">
        <v>395.966</v>
      </c>
      <c r="R47" t="n">
        <v>396.5</v>
      </c>
      <c r="S47" t="n">
        <v>0.534</v>
      </c>
      <c r="T47" t="inlineStr">
        <is>
          <t>BTBR\training\c3m1.mp4</t>
        </is>
      </c>
      <c r="U47" t="n">
        <v>12312</v>
      </c>
      <c r="V47" t="n">
        <v>12328</v>
      </c>
      <c r="W47" t="n">
        <v/>
      </c>
      <c r="X47" t="n">
        <v/>
      </c>
      <c r="Y47" t="n">
        <v/>
      </c>
      <c r="Z47" t="n">
        <v/>
      </c>
      <c r="AA47">
        <f>SUMIFS($S$2:S47,$A$2:A47,A47,$N$2:N47,"Explore*")</f>
        <v/>
      </c>
      <c r="AB47">
        <f>IF(AND(LEFT(N47,7)="Explore",(AA47-IF(LEFT(N47,7)="Explore",S47,0))&lt;10),"SI","NO")</f>
        <v/>
      </c>
    </row>
    <row r="48">
      <c r="A48" t="inlineStr">
        <is>
          <t>c3m1_training</t>
        </is>
      </c>
      <c r="B48" t="inlineStr">
        <is>
          <t>2026-02-19 11:10:39.318</t>
        </is>
      </c>
      <c r="C48" t="n">
        <v/>
      </c>
      <c r="D48" t="inlineStr">
        <is>
          <t>Media file</t>
        </is>
      </c>
      <c r="E48" t="inlineStr">
        <is>
          <t>player #1:BTBR\training\c3m1.mp4</t>
        </is>
      </c>
      <c r="F48" t="n">
        <v>-15.3</v>
      </c>
      <c r="G48" t="n">
        <v>582.932</v>
      </c>
      <c r="H48" t="n">
        <v>621.599</v>
      </c>
      <c r="I48" t="n">
        <v>30</v>
      </c>
      <c r="J48" t="inlineStr">
        <is>
          <t>BTBR</t>
        </is>
      </c>
      <c r="K48" t="inlineStr">
        <is>
          <t>Male</t>
        </is>
      </c>
      <c r="L48" t="inlineStr">
        <is>
          <t>No focal subject</t>
        </is>
      </c>
      <c r="M48" t="n">
        <v>43.699</v>
      </c>
      <c r="N48" t="inlineStr">
        <is>
          <t>Explore_F2</t>
        </is>
      </c>
      <c r="O48" t="inlineStr">
        <is>
          <t>Second familiar</t>
        </is>
      </c>
      <c r="P48" t="inlineStr">
        <is>
          <t>STATE</t>
        </is>
      </c>
      <c r="Q48" t="n">
        <v>464.333</v>
      </c>
      <c r="R48" t="n">
        <v>464.733</v>
      </c>
      <c r="S48" t="n">
        <v>0.4</v>
      </c>
      <c r="T48" t="inlineStr">
        <is>
          <t>BTBR\training\c3m1.mp4</t>
        </is>
      </c>
      <c r="U48" t="n">
        <v>14359</v>
      </c>
      <c r="V48" t="n">
        <v>14371</v>
      </c>
      <c r="W48" t="n">
        <v/>
      </c>
      <c r="X48" t="n">
        <v/>
      </c>
      <c r="Y48" t="n">
        <v/>
      </c>
      <c r="Z48" t="n">
        <v/>
      </c>
      <c r="AA48">
        <f>SUMIFS($S$2:S48,$A$2:A48,A48,$N$2:N48,"Explore*")</f>
        <v/>
      </c>
      <c r="AB48">
        <f>IF(AND(LEFT(N48,7)="Explore",(AA48-IF(LEFT(N48,7)="Explore",S48,0))&lt;10),"SI","NO")</f>
        <v/>
      </c>
    </row>
    <row r="49">
      <c r="A49" t="inlineStr">
        <is>
          <t>c3m1_training</t>
        </is>
      </c>
      <c r="B49" t="inlineStr">
        <is>
          <t>2026-02-19 11:10:39.318</t>
        </is>
      </c>
      <c r="C49" t="n">
        <v/>
      </c>
      <c r="D49" t="inlineStr">
        <is>
          <t>Media file</t>
        </is>
      </c>
      <c r="E49" t="inlineStr">
        <is>
          <t>player #1:BTBR\training\c3m1.mp4</t>
        </is>
      </c>
      <c r="F49" t="n">
        <v>-15.3</v>
      </c>
      <c r="G49" t="n">
        <v>582.932</v>
      </c>
      <c r="H49" t="n">
        <v>621.599</v>
      </c>
      <c r="I49" t="n">
        <v>30</v>
      </c>
      <c r="J49" t="inlineStr">
        <is>
          <t>BTBR</t>
        </is>
      </c>
      <c r="K49" t="inlineStr">
        <is>
          <t>Male</t>
        </is>
      </c>
      <c r="L49" t="inlineStr">
        <is>
          <t>No focal subject</t>
        </is>
      </c>
      <c r="M49" t="n">
        <v>43.699</v>
      </c>
      <c r="N49" t="inlineStr">
        <is>
          <t>Explore_F</t>
        </is>
      </c>
      <c r="O49" t="inlineStr">
        <is>
          <t>Familiar</t>
        </is>
      </c>
      <c r="P49" t="inlineStr">
        <is>
          <t>STATE</t>
        </is>
      </c>
      <c r="Q49" t="n">
        <v>477.133</v>
      </c>
      <c r="R49" t="n">
        <v>477.599</v>
      </c>
      <c r="S49" t="n">
        <v>0.466</v>
      </c>
      <c r="T49" t="inlineStr">
        <is>
          <t>BTBR\training\c3m1.mp4</t>
        </is>
      </c>
      <c r="U49" t="n">
        <v>14742</v>
      </c>
      <c r="V49" t="n">
        <v>14756</v>
      </c>
      <c r="W49" t="n">
        <v/>
      </c>
      <c r="X49" t="n">
        <v/>
      </c>
      <c r="Y49" t="n">
        <v/>
      </c>
      <c r="Z49" t="n">
        <v/>
      </c>
      <c r="AA49">
        <f>SUMIFS($S$2:S49,$A$2:A49,A49,$N$2:N49,"Explore*")</f>
        <v/>
      </c>
      <c r="AB49">
        <f>IF(AND(LEFT(N49,7)="Explore",(AA49-IF(LEFT(N49,7)="Explore",S49,0))&lt;10),"SI","NO")</f>
        <v/>
      </c>
    </row>
    <row r="50">
      <c r="A50" t="inlineStr">
        <is>
          <t>c3m1_training</t>
        </is>
      </c>
      <c r="B50" t="inlineStr">
        <is>
          <t>2026-02-19 11:10:39.318</t>
        </is>
      </c>
      <c r="C50" t="n">
        <v/>
      </c>
      <c r="D50" t="inlineStr">
        <is>
          <t>Media file</t>
        </is>
      </c>
      <c r="E50" t="inlineStr">
        <is>
          <t>player #1:BTBR\training\c3m1.mp4</t>
        </is>
      </c>
      <c r="F50" t="n">
        <v>-15.3</v>
      </c>
      <c r="G50" t="n">
        <v>582.932</v>
      </c>
      <c r="H50" t="n">
        <v>621.599</v>
      </c>
      <c r="I50" t="n">
        <v>30</v>
      </c>
      <c r="J50" t="inlineStr">
        <is>
          <t>BTBR</t>
        </is>
      </c>
      <c r="K50" t="inlineStr">
        <is>
          <t>Male</t>
        </is>
      </c>
      <c r="L50" t="inlineStr">
        <is>
          <t>No focal subject</t>
        </is>
      </c>
      <c r="M50" t="n">
        <v>43.699</v>
      </c>
      <c r="N50" t="inlineStr">
        <is>
          <t>Explore_F2</t>
        </is>
      </c>
      <c r="O50" t="inlineStr">
        <is>
          <t>Second familiar</t>
        </is>
      </c>
      <c r="P50" t="inlineStr">
        <is>
          <t>STATE</t>
        </is>
      </c>
      <c r="Q50" t="n">
        <v>505.333</v>
      </c>
      <c r="R50" t="n">
        <v>506.233</v>
      </c>
      <c r="S50" t="n">
        <v>0.9</v>
      </c>
      <c r="T50" t="inlineStr">
        <is>
          <t>BTBR\training\c3m1.mp4</t>
        </is>
      </c>
      <c r="U50" t="n">
        <v>15586</v>
      </c>
      <c r="V50" t="n">
        <v>15613</v>
      </c>
      <c r="W50" t="n">
        <v/>
      </c>
      <c r="X50" t="n">
        <v/>
      </c>
      <c r="Y50" t="n">
        <v/>
      </c>
      <c r="Z50" t="n">
        <v/>
      </c>
      <c r="AA50">
        <f>SUMIFS($S$2:S50,$A$2:A50,A50,$N$2:N50,"Explore*")</f>
        <v/>
      </c>
      <c r="AB50">
        <f>IF(AND(LEFT(N50,7)="Explore",(AA50-IF(LEFT(N50,7)="Explore",S50,0))&lt;10),"SI","NO")</f>
        <v/>
      </c>
    </row>
    <row r="51">
      <c r="A51" t="inlineStr">
        <is>
          <t>c3m1_training</t>
        </is>
      </c>
      <c r="B51" t="inlineStr">
        <is>
          <t>2026-02-19 11:10:39.318</t>
        </is>
      </c>
      <c r="C51" t="n">
        <v/>
      </c>
      <c r="D51" t="inlineStr">
        <is>
          <t>Media file</t>
        </is>
      </c>
      <c r="E51" t="inlineStr">
        <is>
          <t>player #1:BTBR\training\c3m1.mp4</t>
        </is>
      </c>
      <c r="F51" t="n">
        <v>-15.3</v>
      </c>
      <c r="G51" t="n">
        <v>582.932</v>
      </c>
      <c r="H51" t="n">
        <v>621.599</v>
      </c>
      <c r="I51" t="n">
        <v>30</v>
      </c>
      <c r="J51" t="inlineStr">
        <is>
          <t>BTBR</t>
        </is>
      </c>
      <c r="K51" t="inlineStr">
        <is>
          <t>Male</t>
        </is>
      </c>
      <c r="L51" t="inlineStr">
        <is>
          <t>No focal subject</t>
        </is>
      </c>
      <c r="M51" t="n">
        <v>43.699</v>
      </c>
      <c r="N51" t="inlineStr">
        <is>
          <t>Explore_F2</t>
        </is>
      </c>
      <c r="O51" t="inlineStr">
        <is>
          <t>Second familiar</t>
        </is>
      </c>
      <c r="P51" t="inlineStr">
        <is>
          <t>STATE</t>
        </is>
      </c>
      <c r="Q51" t="n">
        <v>516.266</v>
      </c>
      <c r="R51" t="n">
        <v>516.866</v>
      </c>
      <c r="S51" t="n">
        <v>0.6</v>
      </c>
      <c r="T51" t="inlineStr">
        <is>
          <t>BTBR\training\c3m1.mp4</t>
        </is>
      </c>
      <c r="U51" t="n">
        <v>15914</v>
      </c>
      <c r="V51" t="n">
        <v>15932</v>
      </c>
      <c r="W51" t="n">
        <v/>
      </c>
      <c r="X51" t="n">
        <v/>
      </c>
      <c r="Y51" t="n">
        <v/>
      </c>
      <c r="Z51" t="n">
        <v/>
      </c>
      <c r="AA51">
        <f>SUMIFS($S$2:S51,$A$2:A51,A51,$N$2:N51,"Explore*")</f>
        <v/>
      </c>
      <c r="AB51">
        <f>IF(AND(LEFT(N51,7)="Explore",(AA51-IF(LEFT(N51,7)="Explore",S51,0))&lt;10),"SI","NO")</f>
        <v/>
      </c>
    </row>
    <row r="52">
      <c r="A52" t="inlineStr">
        <is>
          <t>c3m1_training</t>
        </is>
      </c>
      <c r="B52" t="inlineStr">
        <is>
          <t>2026-02-19 11:10:39.318</t>
        </is>
      </c>
      <c r="C52" t="n">
        <v/>
      </c>
      <c r="D52" t="inlineStr">
        <is>
          <t>Media file</t>
        </is>
      </c>
      <c r="E52" t="inlineStr">
        <is>
          <t>player #1:BTBR\training\c3m1.mp4</t>
        </is>
      </c>
      <c r="F52" t="n">
        <v>-15.3</v>
      </c>
      <c r="G52" t="n">
        <v>582.932</v>
      </c>
      <c r="H52" t="n">
        <v>621.599</v>
      </c>
      <c r="I52" t="n">
        <v>30</v>
      </c>
      <c r="J52" t="inlineStr">
        <is>
          <t>BTBR</t>
        </is>
      </c>
      <c r="K52" t="inlineStr">
        <is>
          <t>Male</t>
        </is>
      </c>
      <c r="L52" t="inlineStr">
        <is>
          <t>No focal subject</t>
        </is>
      </c>
      <c r="M52" t="n">
        <v>43.699</v>
      </c>
      <c r="N52" t="inlineStr">
        <is>
          <t>Explore_F2</t>
        </is>
      </c>
      <c r="O52" t="inlineStr">
        <is>
          <t>Second familiar</t>
        </is>
      </c>
      <c r="P52" t="inlineStr">
        <is>
          <t>STATE</t>
        </is>
      </c>
      <c r="Q52" t="n">
        <v>535.966</v>
      </c>
      <c r="R52" t="n">
        <v>536.766</v>
      </c>
      <c r="S52" t="n">
        <v>0.8</v>
      </c>
      <c r="T52" t="inlineStr">
        <is>
          <t>BTBR\training\c3m1.mp4</t>
        </is>
      </c>
      <c r="U52" t="n">
        <v>16503</v>
      </c>
      <c r="V52" t="n">
        <v>16527</v>
      </c>
      <c r="W52" t="n">
        <v/>
      </c>
      <c r="X52" t="n">
        <v/>
      </c>
      <c r="Y52" t="n">
        <v/>
      </c>
      <c r="Z52" t="n">
        <v/>
      </c>
      <c r="AA52">
        <f>SUMIFS($S$2:S52,$A$2:A52,A52,$N$2:N52,"Explore*")</f>
        <v/>
      </c>
      <c r="AB52">
        <f>IF(AND(LEFT(N52,7)="Explore",(AA52-IF(LEFT(N52,7)="Explore",S52,0))&lt;10),"SI","NO")</f>
        <v/>
      </c>
    </row>
    <row r="53">
      <c r="A53" t="inlineStr">
        <is>
          <t>c3m1_training</t>
        </is>
      </c>
      <c r="B53" t="inlineStr">
        <is>
          <t>2026-02-19 11:10:39.318</t>
        </is>
      </c>
      <c r="C53" t="n">
        <v/>
      </c>
      <c r="D53" t="inlineStr">
        <is>
          <t>Media file</t>
        </is>
      </c>
      <c r="E53" t="inlineStr">
        <is>
          <t>player #1:BTBR\training\c3m1.mp4</t>
        </is>
      </c>
      <c r="F53" t="n">
        <v>-15.3</v>
      </c>
      <c r="G53" t="n">
        <v>582.932</v>
      </c>
      <c r="H53" t="n">
        <v>621.599</v>
      </c>
      <c r="I53" t="n">
        <v>30</v>
      </c>
      <c r="J53" t="inlineStr">
        <is>
          <t>BTBR</t>
        </is>
      </c>
      <c r="K53" t="inlineStr">
        <is>
          <t>Male</t>
        </is>
      </c>
      <c r="L53" t="inlineStr">
        <is>
          <t>No focal subject</t>
        </is>
      </c>
      <c r="M53" t="n">
        <v>43.699</v>
      </c>
      <c r="N53" t="inlineStr">
        <is>
          <t>Explore_F</t>
        </is>
      </c>
      <c r="O53" t="inlineStr">
        <is>
          <t>Familiar</t>
        </is>
      </c>
      <c r="P53" t="inlineStr">
        <is>
          <t>STATE</t>
        </is>
      </c>
      <c r="Q53" t="n">
        <v>550.6660000000001</v>
      </c>
      <c r="R53" t="n">
        <v>552.2329999999999</v>
      </c>
      <c r="S53" t="n">
        <v>1.567</v>
      </c>
      <c r="T53" t="inlineStr">
        <is>
          <t>BTBR\training\c3m1.mp4</t>
        </is>
      </c>
      <c r="U53" t="n">
        <v>16943</v>
      </c>
      <c r="V53" t="n">
        <v>16990</v>
      </c>
      <c r="W53" t="n">
        <v/>
      </c>
      <c r="X53" t="n">
        <v/>
      </c>
      <c r="Y53" t="n">
        <v/>
      </c>
      <c r="Z53" t="n">
        <v/>
      </c>
      <c r="AA53">
        <f>SUMIFS($S$2:S53,$A$2:A53,A53,$N$2:N53,"Explore*")</f>
        <v/>
      </c>
      <c r="AB53">
        <f>IF(AND(LEFT(N53,7)="Explore",(AA53-IF(LEFT(N53,7)="Explore",S53,0))&lt;10),"SI","NO")</f>
        <v/>
      </c>
    </row>
    <row r="54">
      <c r="A54" t="inlineStr">
        <is>
          <t>c3m1_training</t>
        </is>
      </c>
      <c r="B54" t="inlineStr">
        <is>
          <t>2026-02-19 11:10:39.318</t>
        </is>
      </c>
      <c r="C54" t="n">
        <v/>
      </c>
      <c r="D54" t="inlineStr">
        <is>
          <t>Media file</t>
        </is>
      </c>
      <c r="E54" t="inlineStr">
        <is>
          <t>player #1:BTBR\training\c3m1.mp4</t>
        </is>
      </c>
      <c r="F54" t="n">
        <v>-15.3</v>
      </c>
      <c r="G54" t="n">
        <v>582.932</v>
      </c>
      <c r="H54" t="n">
        <v>621.599</v>
      </c>
      <c r="I54" t="n">
        <v>30</v>
      </c>
      <c r="J54" t="inlineStr">
        <is>
          <t>BTBR</t>
        </is>
      </c>
      <c r="K54" t="inlineStr">
        <is>
          <t>Male</t>
        </is>
      </c>
      <c r="L54" t="inlineStr">
        <is>
          <t>No focal subject</t>
        </is>
      </c>
      <c r="M54" t="n">
        <v>43.699</v>
      </c>
      <c r="N54" t="inlineStr">
        <is>
          <t>Explore_F2</t>
        </is>
      </c>
      <c r="O54" t="inlineStr">
        <is>
          <t>Second familiar</t>
        </is>
      </c>
      <c r="P54" t="inlineStr">
        <is>
          <t>STATE</t>
        </is>
      </c>
      <c r="Q54" t="n">
        <v>560.766</v>
      </c>
      <c r="R54" t="n">
        <v>560.999</v>
      </c>
      <c r="S54" t="n">
        <v>0.233</v>
      </c>
      <c r="T54" t="inlineStr">
        <is>
          <t>BTBR\training\c3m1.mp4</t>
        </is>
      </c>
      <c r="U54" t="n">
        <v>17246</v>
      </c>
      <c r="V54" t="n">
        <v>17253</v>
      </c>
      <c r="W54" t="n">
        <v/>
      </c>
      <c r="X54" t="n">
        <v/>
      </c>
      <c r="Y54" t="n">
        <v/>
      </c>
      <c r="Z54" t="n">
        <v/>
      </c>
      <c r="AA54">
        <f>SUMIFS($S$2:S54,$A$2:A54,A54,$N$2:N54,"Explore*")</f>
        <v/>
      </c>
      <c r="AB54">
        <f>IF(AND(LEFT(N54,7)="Explore",(AA54-IF(LEFT(N54,7)="Explore",S54,0))&lt;10),"SI","NO")</f>
        <v/>
      </c>
    </row>
    <row r="55">
      <c r="A55" t="inlineStr">
        <is>
          <t>c3m1_training</t>
        </is>
      </c>
      <c r="B55" t="inlineStr">
        <is>
          <t>2026-02-19 11:10:39.318</t>
        </is>
      </c>
      <c r="C55" t="n">
        <v/>
      </c>
      <c r="D55" t="inlineStr">
        <is>
          <t>Media file</t>
        </is>
      </c>
      <c r="E55" t="inlineStr">
        <is>
          <t>player #1:BTBR\training\c3m1.mp4</t>
        </is>
      </c>
      <c r="F55" t="n">
        <v>-15.3</v>
      </c>
      <c r="G55" t="n">
        <v>582.932</v>
      </c>
      <c r="H55" t="n">
        <v>621.599</v>
      </c>
      <c r="I55" t="n">
        <v>30</v>
      </c>
      <c r="J55" t="inlineStr">
        <is>
          <t>BTBR</t>
        </is>
      </c>
      <c r="K55" t="inlineStr">
        <is>
          <t>Male</t>
        </is>
      </c>
      <c r="L55" t="inlineStr">
        <is>
          <t>No focal subject</t>
        </is>
      </c>
      <c r="M55" t="n">
        <v>43.699</v>
      </c>
      <c r="N55" t="inlineStr">
        <is>
          <t>Explore_F</t>
        </is>
      </c>
      <c r="O55" t="inlineStr">
        <is>
          <t>Familiar</t>
        </is>
      </c>
      <c r="P55" t="inlineStr">
        <is>
          <t>STATE</t>
        </is>
      </c>
      <c r="Q55" t="n">
        <v>562.066</v>
      </c>
      <c r="R55" t="n">
        <v>563.299</v>
      </c>
      <c r="S55" t="n">
        <v>1.233</v>
      </c>
      <c r="T55" t="inlineStr">
        <is>
          <t>BTBR\training\c3m1.mp4</t>
        </is>
      </c>
      <c r="U55" t="n">
        <v>17285</v>
      </c>
      <c r="V55" t="n">
        <v>17322</v>
      </c>
      <c r="W55" t="n">
        <v/>
      </c>
      <c r="X55" t="n">
        <v/>
      </c>
      <c r="Y55" t="n">
        <v/>
      </c>
      <c r="Z55" t="n">
        <v/>
      </c>
      <c r="AA55">
        <f>SUMIFS($S$2:S55,$A$2:A55,A55,$N$2:N55,"Explore*")</f>
        <v/>
      </c>
      <c r="AB55">
        <f>IF(AND(LEFT(N55,7)="Explore",(AA55-IF(LEFT(N55,7)="Explore",S55,0))&lt;10),"SI","NO")</f>
        <v/>
      </c>
    </row>
    <row r="56">
      <c r="A56" t="inlineStr">
        <is>
          <t>c3m1_training</t>
        </is>
      </c>
      <c r="B56" t="inlineStr">
        <is>
          <t>2026-02-19 11:10:39.318</t>
        </is>
      </c>
      <c r="C56" t="n">
        <v/>
      </c>
      <c r="D56" t="inlineStr">
        <is>
          <t>Media file</t>
        </is>
      </c>
      <c r="E56" t="inlineStr">
        <is>
          <t>player #1:BTBR\training\c3m1.mp4</t>
        </is>
      </c>
      <c r="F56" t="n">
        <v>-15.3</v>
      </c>
      <c r="G56" t="n">
        <v>582.932</v>
      </c>
      <c r="H56" t="n">
        <v>621.599</v>
      </c>
      <c r="I56" t="n">
        <v>30</v>
      </c>
      <c r="J56" t="inlineStr">
        <is>
          <t>BTBR</t>
        </is>
      </c>
      <c r="K56" t="inlineStr">
        <is>
          <t>Male</t>
        </is>
      </c>
      <c r="L56" t="inlineStr">
        <is>
          <t>No focal subject</t>
        </is>
      </c>
      <c r="M56" t="n">
        <v>43.699</v>
      </c>
      <c r="N56" t="inlineStr">
        <is>
          <t>Explore_F2</t>
        </is>
      </c>
      <c r="O56" t="inlineStr">
        <is>
          <t>Second familiar</t>
        </is>
      </c>
      <c r="P56" t="inlineStr">
        <is>
          <t>STATE</t>
        </is>
      </c>
      <c r="Q56" t="n">
        <v>574.299</v>
      </c>
      <c r="R56" t="n">
        <v>575.533</v>
      </c>
      <c r="S56" t="n">
        <v>1.234</v>
      </c>
      <c r="T56" t="inlineStr">
        <is>
          <t>BTBR\training\c3m1.mp4</t>
        </is>
      </c>
      <c r="U56" t="n">
        <v>17651</v>
      </c>
      <c r="V56" t="n">
        <v>17688</v>
      </c>
      <c r="W56" t="n">
        <v/>
      </c>
      <c r="X56" t="n">
        <v/>
      </c>
      <c r="Y56" t="n">
        <v/>
      </c>
      <c r="Z56" t="n">
        <v/>
      </c>
      <c r="AA56">
        <f>SUMIFS($S$2:S56,$A$2:A56,A56,$N$2:N56,"Explore*")</f>
        <v/>
      </c>
      <c r="AB56">
        <f>IF(AND(LEFT(N56,7)="Explore",(AA56-IF(LEFT(N56,7)="Explore",S56,0))&lt;10),"SI","NO")</f>
        <v/>
      </c>
    </row>
    <row r="57">
      <c r="A57" t="inlineStr">
        <is>
          <t>c3m1_training</t>
        </is>
      </c>
      <c r="B57" t="inlineStr">
        <is>
          <t>2026-02-19 11:10:39.318</t>
        </is>
      </c>
      <c r="C57" t="n">
        <v/>
      </c>
      <c r="D57" t="inlineStr">
        <is>
          <t>Media file</t>
        </is>
      </c>
      <c r="E57" t="inlineStr">
        <is>
          <t>player #1:BTBR\training\c3m1.mp4</t>
        </is>
      </c>
      <c r="F57" t="n">
        <v>-15.3</v>
      </c>
      <c r="G57" t="n">
        <v>582.932</v>
      </c>
      <c r="H57" t="n">
        <v>621.599</v>
      </c>
      <c r="I57" t="n">
        <v>30</v>
      </c>
      <c r="J57" t="inlineStr">
        <is>
          <t>BTBR</t>
        </is>
      </c>
      <c r="K57" t="inlineStr">
        <is>
          <t>Male</t>
        </is>
      </c>
      <c r="L57" t="inlineStr">
        <is>
          <t>No focal subject</t>
        </is>
      </c>
      <c r="M57" t="n">
        <v>43.699</v>
      </c>
      <c r="N57" t="inlineStr">
        <is>
          <t>Explore_F</t>
        </is>
      </c>
      <c r="O57" t="inlineStr">
        <is>
          <t>Familiar</t>
        </is>
      </c>
      <c r="P57" t="inlineStr">
        <is>
          <t>STATE</t>
        </is>
      </c>
      <c r="Q57" t="n">
        <v>576.533</v>
      </c>
      <c r="R57" t="n">
        <v>576.933</v>
      </c>
      <c r="S57" t="n">
        <v>0.4</v>
      </c>
      <c r="T57" t="inlineStr">
        <is>
          <t>BTBR\training\c3m1.mp4</t>
        </is>
      </c>
      <c r="U57" t="n">
        <v>17718</v>
      </c>
      <c r="V57" t="n">
        <v>17730</v>
      </c>
      <c r="W57" t="n">
        <v/>
      </c>
      <c r="X57" t="n">
        <v/>
      </c>
      <c r="Y57" t="n">
        <v/>
      </c>
      <c r="Z57" t="n">
        <v/>
      </c>
      <c r="AA57">
        <f>SUMIFS($S$2:S57,$A$2:A57,A57,$N$2:N57,"Explore*")</f>
        <v/>
      </c>
      <c r="AB57">
        <f>IF(AND(LEFT(N57,7)="Explore",(AA57-IF(LEFT(N57,7)="Explore",S57,0))&lt;10),"SI","NO")</f>
        <v/>
      </c>
    </row>
    <row r="58">
      <c r="A58" t="inlineStr">
        <is>
          <t>c3m1_training</t>
        </is>
      </c>
      <c r="B58" t="inlineStr">
        <is>
          <t>2026-02-19 11:10:39.318</t>
        </is>
      </c>
      <c r="C58" t="n">
        <v/>
      </c>
      <c r="D58" t="inlineStr">
        <is>
          <t>Media file</t>
        </is>
      </c>
      <c r="E58" t="inlineStr">
        <is>
          <t>player #1:BTBR\training\c3m1.mp4</t>
        </is>
      </c>
      <c r="F58" t="n">
        <v>-15.3</v>
      </c>
      <c r="G58" t="n">
        <v>582.932</v>
      </c>
      <c r="H58" t="n">
        <v>621.599</v>
      </c>
      <c r="I58" t="n">
        <v>30</v>
      </c>
      <c r="J58" t="inlineStr">
        <is>
          <t>BTBR</t>
        </is>
      </c>
      <c r="K58" t="inlineStr">
        <is>
          <t>Male</t>
        </is>
      </c>
      <c r="L58" t="inlineStr">
        <is>
          <t>No focal subject</t>
        </is>
      </c>
      <c r="M58" t="n">
        <v>43.699</v>
      </c>
      <c r="N58" t="inlineStr">
        <is>
          <t>Explore_F</t>
        </is>
      </c>
      <c r="O58" t="inlineStr">
        <is>
          <t>Familiar</t>
        </is>
      </c>
      <c r="P58" t="inlineStr">
        <is>
          <t>STATE</t>
        </is>
      </c>
      <c r="Q58" t="n">
        <v>577.466</v>
      </c>
      <c r="R58" t="n">
        <v>578.533</v>
      </c>
      <c r="S58" t="n">
        <v>1.067</v>
      </c>
      <c r="T58" t="inlineStr">
        <is>
          <t>BTBR\training\c3m1.mp4</t>
        </is>
      </c>
      <c r="U58" t="n">
        <v>17746</v>
      </c>
      <c r="V58" t="n">
        <v>17778</v>
      </c>
      <c r="W58" t="n">
        <v/>
      </c>
      <c r="X58" t="n">
        <v/>
      </c>
      <c r="Y58" t="n">
        <v/>
      </c>
      <c r="Z58" t="n">
        <v/>
      </c>
      <c r="AA58">
        <f>SUMIFS($S$2:S58,$A$2:A58,A58,$N$2:N58,"Explore*")</f>
        <v/>
      </c>
      <c r="AB58">
        <f>IF(AND(LEFT(N58,7)="Explore",(AA58-IF(LEFT(N58,7)="Explore",S58,0))&lt;10),"SI","NO")</f>
        <v/>
      </c>
    </row>
    <row r="59">
      <c r="A59" t="inlineStr">
        <is>
          <t>c3m1_training</t>
        </is>
      </c>
      <c r="B59" t="inlineStr">
        <is>
          <t>2026-02-19 11:10:39.318</t>
        </is>
      </c>
      <c r="C59" t="n">
        <v/>
      </c>
      <c r="D59" t="inlineStr">
        <is>
          <t>Media file</t>
        </is>
      </c>
      <c r="E59" t="inlineStr">
        <is>
          <t>player #1:BTBR\training\c3m1.mp4</t>
        </is>
      </c>
      <c r="F59" t="n">
        <v>-15.3</v>
      </c>
      <c r="G59" t="n">
        <v>582.932</v>
      </c>
      <c r="H59" t="n">
        <v>621.599</v>
      </c>
      <c r="I59" t="n">
        <v>30</v>
      </c>
      <c r="J59" t="inlineStr">
        <is>
          <t>BTBR</t>
        </is>
      </c>
      <c r="K59" t="inlineStr">
        <is>
          <t>Male</t>
        </is>
      </c>
      <c r="L59" t="inlineStr">
        <is>
          <t>No focal subject</t>
        </is>
      </c>
      <c r="M59" t="n">
        <v>43.699</v>
      </c>
      <c r="N59" t="inlineStr">
        <is>
          <t>Explore_F</t>
        </is>
      </c>
      <c r="O59" t="inlineStr">
        <is>
          <t>Familiar</t>
        </is>
      </c>
      <c r="P59" t="inlineStr">
        <is>
          <t>STATE</t>
        </is>
      </c>
      <c r="Q59" t="n">
        <v>584.499</v>
      </c>
      <c r="R59" t="n">
        <v>585.599</v>
      </c>
      <c r="S59" t="n">
        <v>1.1</v>
      </c>
      <c r="T59" t="inlineStr">
        <is>
          <t>BTBR\training\c3m1.mp4</t>
        </is>
      </c>
      <c r="U59" t="n">
        <v>17956</v>
      </c>
      <c r="V59" t="n">
        <v>17989</v>
      </c>
      <c r="W59" t="n">
        <v/>
      </c>
      <c r="X59" t="n">
        <v/>
      </c>
      <c r="Y59" t="n">
        <v/>
      </c>
      <c r="Z59" t="n">
        <v/>
      </c>
      <c r="AA59">
        <f>SUMIFS($S$2:S59,$A$2:A59,A59,$N$2:N59,"Explore*")</f>
        <v/>
      </c>
      <c r="AB59">
        <f>IF(AND(LEFT(N59,7)="Explore",(AA59-IF(LEFT(N59,7)="Explore",S59,0))&lt;10),"SI","NO")</f>
        <v/>
      </c>
    </row>
    <row r="60">
      <c r="A60" t="inlineStr">
        <is>
          <t>c3m2_training</t>
        </is>
      </c>
      <c r="B60" t="inlineStr">
        <is>
          <t>2026-02-19 11:38:26.089</t>
        </is>
      </c>
      <c r="C60" t="n">
        <v/>
      </c>
      <c r="D60" t="inlineStr">
        <is>
          <t>Media file</t>
        </is>
      </c>
      <c r="E60" t="inlineStr">
        <is>
          <t>player #1:BTBR\training\c3m2.mp4</t>
        </is>
      </c>
      <c r="F60" t="n">
        <v>-10</v>
      </c>
      <c r="G60" t="n">
        <v>558.933</v>
      </c>
      <c r="H60" t="n">
        <v>624.566</v>
      </c>
      <c r="I60" t="n">
        <v>30</v>
      </c>
      <c r="J60" t="inlineStr">
        <is>
          <t>BTBR</t>
        </is>
      </c>
      <c r="K60" t="inlineStr">
        <is>
          <t>Male</t>
        </is>
      </c>
      <c r="L60" t="inlineStr">
        <is>
          <t>No focal subject</t>
        </is>
      </c>
      <c r="M60" t="n">
        <v>42.359</v>
      </c>
      <c r="N60" t="inlineStr">
        <is>
          <t>Explore_F2</t>
        </is>
      </c>
      <c r="O60" t="inlineStr">
        <is>
          <t>Second familiar</t>
        </is>
      </c>
      <c r="P60" t="inlineStr">
        <is>
          <t>STATE</t>
        </is>
      </c>
      <c r="Q60" t="n">
        <v>5.233</v>
      </c>
      <c r="R60" t="n">
        <v>5.467</v>
      </c>
      <c r="S60" t="n">
        <v>0.234</v>
      </c>
      <c r="T60" t="inlineStr">
        <is>
          <t>BTBR\training\c3m2.mp4</t>
        </is>
      </c>
      <c r="U60" t="n">
        <v>157</v>
      </c>
      <c r="V60" t="n">
        <v>164</v>
      </c>
      <c r="W60" t="n">
        <v/>
      </c>
      <c r="X60" t="n">
        <v/>
      </c>
      <c r="Y60" t="n">
        <v/>
      </c>
      <c r="Z60" t="n">
        <v/>
      </c>
      <c r="AA60">
        <f>SUMIFS($S$2:S60,$A$2:A60,A60,$N$2:N60,"Explore*")</f>
        <v/>
      </c>
      <c r="AB60">
        <f>IF(AND(LEFT(N60,7)="Explore",(AA60-IF(LEFT(N60,7)="Explore",S60,0))&lt;10),"SI","NO")</f>
        <v/>
      </c>
    </row>
    <row r="61">
      <c r="A61" t="inlineStr">
        <is>
          <t>c3m2_training</t>
        </is>
      </c>
      <c r="B61" t="inlineStr">
        <is>
          <t>2026-02-19 11:38:26.089</t>
        </is>
      </c>
      <c r="C61" t="n">
        <v/>
      </c>
      <c r="D61" t="inlineStr">
        <is>
          <t>Media file</t>
        </is>
      </c>
      <c r="E61" t="inlineStr">
        <is>
          <t>player #1:BTBR\training\c3m2.mp4</t>
        </is>
      </c>
      <c r="F61" t="n">
        <v>-10</v>
      </c>
      <c r="G61" t="n">
        <v>558.933</v>
      </c>
      <c r="H61" t="n">
        <v>624.566</v>
      </c>
      <c r="I61" t="n">
        <v>30</v>
      </c>
      <c r="J61" t="inlineStr">
        <is>
          <t>BTBR</t>
        </is>
      </c>
      <c r="K61" t="inlineStr">
        <is>
          <t>Male</t>
        </is>
      </c>
      <c r="L61" t="inlineStr">
        <is>
          <t>No focal subject</t>
        </is>
      </c>
      <c r="M61" t="n">
        <v>42.359</v>
      </c>
      <c r="N61" t="inlineStr">
        <is>
          <t>Explore_F</t>
        </is>
      </c>
      <c r="O61" t="inlineStr">
        <is>
          <t>Familiar</t>
        </is>
      </c>
      <c r="P61" t="inlineStr">
        <is>
          <t>STATE</t>
        </is>
      </c>
      <c r="Q61" t="n">
        <v>8.967000000000001</v>
      </c>
      <c r="R61" t="n">
        <v>9.4</v>
      </c>
      <c r="S61" t="n">
        <v>0.433</v>
      </c>
      <c r="T61" t="inlineStr">
        <is>
          <t>BTBR\training\c3m2.mp4</t>
        </is>
      </c>
      <c r="U61" t="n">
        <v>269</v>
      </c>
      <c r="V61" t="n">
        <v>282</v>
      </c>
      <c r="W61" t="n">
        <v/>
      </c>
      <c r="X61" t="n">
        <v/>
      </c>
      <c r="Y61" t="n">
        <v/>
      </c>
      <c r="Z61" t="n">
        <v/>
      </c>
      <c r="AA61">
        <f>SUMIFS($S$2:S61,$A$2:A61,A61,$N$2:N61,"Explore*")</f>
        <v/>
      </c>
      <c r="AB61">
        <f>IF(AND(LEFT(N61,7)="Explore",(AA61-IF(LEFT(N61,7)="Explore",S61,0))&lt;10),"SI","NO")</f>
        <v/>
      </c>
    </row>
    <row r="62">
      <c r="A62" t="inlineStr">
        <is>
          <t>c3m2_training</t>
        </is>
      </c>
      <c r="B62" t="inlineStr">
        <is>
          <t>2026-02-19 11:38:26.089</t>
        </is>
      </c>
      <c r="C62" t="n">
        <v/>
      </c>
      <c r="D62" t="inlineStr">
        <is>
          <t>Media file</t>
        </is>
      </c>
      <c r="E62" t="inlineStr">
        <is>
          <t>player #1:BTBR\training\c3m2.mp4</t>
        </is>
      </c>
      <c r="F62" t="n">
        <v>-10</v>
      </c>
      <c r="G62" t="n">
        <v>558.933</v>
      </c>
      <c r="H62" t="n">
        <v>624.566</v>
      </c>
      <c r="I62" t="n">
        <v>30</v>
      </c>
      <c r="J62" t="inlineStr">
        <is>
          <t>BTBR</t>
        </is>
      </c>
      <c r="K62" t="inlineStr">
        <is>
          <t>Male</t>
        </is>
      </c>
      <c r="L62" t="inlineStr">
        <is>
          <t>No focal subject</t>
        </is>
      </c>
      <c r="M62" t="n">
        <v>42.359</v>
      </c>
      <c r="N62" t="inlineStr">
        <is>
          <t>Explore_F2</t>
        </is>
      </c>
      <c r="O62" t="inlineStr">
        <is>
          <t>Second familiar</t>
        </is>
      </c>
      <c r="P62" t="inlineStr">
        <is>
          <t>STATE</t>
        </is>
      </c>
      <c r="Q62" t="n">
        <v>12.067</v>
      </c>
      <c r="R62" t="n">
        <v>12.633</v>
      </c>
      <c r="S62" t="n">
        <v>0.5659999999999999</v>
      </c>
      <c r="T62" t="inlineStr">
        <is>
          <t>BTBR\training\c3m2.mp4</t>
        </is>
      </c>
      <c r="U62" t="n">
        <v>362</v>
      </c>
      <c r="V62" t="n">
        <v>379</v>
      </c>
      <c r="W62" t="n">
        <v/>
      </c>
      <c r="X62" t="n">
        <v/>
      </c>
      <c r="Y62" t="n">
        <v/>
      </c>
      <c r="Z62" t="n">
        <v/>
      </c>
      <c r="AA62">
        <f>SUMIFS($S$2:S62,$A$2:A62,A62,$N$2:N62,"Explore*")</f>
        <v/>
      </c>
      <c r="AB62">
        <f>IF(AND(LEFT(N62,7)="Explore",(AA62-IF(LEFT(N62,7)="Explore",S62,0))&lt;10),"SI","NO")</f>
        <v/>
      </c>
    </row>
    <row r="63">
      <c r="A63" t="inlineStr">
        <is>
          <t>c3m2_training</t>
        </is>
      </c>
      <c r="B63" t="inlineStr">
        <is>
          <t>2026-02-19 11:38:26.089</t>
        </is>
      </c>
      <c r="C63" t="n">
        <v/>
      </c>
      <c r="D63" t="inlineStr">
        <is>
          <t>Media file</t>
        </is>
      </c>
      <c r="E63" t="inlineStr">
        <is>
          <t>player #1:BTBR\training\c3m2.mp4</t>
        </is>
      </c>
      <c r="F63" t="n">
        <v>-10</v>
      </c>
      <c r="G63" t="n">
        <v>558.933</v>
      </c>
      <c r="H63" t="n">
        <v>624.566</v>
      </c>
      <c r="I63" t="n">
        <v>30</v>
      </c>
      <c r="J63" t="inlineStr">
        <is>
          <t>BTBR</t>
        </is>
      </c>
      <c r="K63" t="inlineStr">
        <is>
          <t>Male</t>
        </is>
      </c>
      <c r="L63" t="inlineStr">
        <is>
          <t>No focal subject</t>
        </is>
      </c>
      <c r="M63" t="n">
        <v>42.359</v>
      </c>
      <c r="N63" t="inlineStr">
        <is>
          <t>Explore_F</t>
        </is>
      </c>
      <c r="O63" t="inlineStr">
        <is>
          <t>Familiar</t>
        </is>
      </c>
      <c r="P63" t="inlineStr">
        <is>
          <t>STATE</t>
        </is>
      </c>
      <c r="Q63" t="n">
        <v>13.7</v>
      </c>
      <c r="R63" t="n">
        <v>14.233</v>
      </c>
      <c r="S63" t="n">
        <v>0.533</v>
      </c>
      <c r="T63" t="inlineStr">
        <is>
          <t>BTBR\training\c3m2.mp4</t>
        </is>
      </c>
      <c r="U63" t="n">
        <v>411</v>
      </c>
      <c r="V63" t="n">
        <v>427</v>
      </c>
      <c r="W63" t="n">
        <v/>
      </c>
      <c r="X63" t="n">
        <v/>
      </c>
      <c r="Y63" t="n">
        <v/>
      </c>
      <c r="Z63" t="n">
        <v/>
      </c>
      <c r="AA63">
        <f>SUMIFS($S$2:S63,$A$2:A63,A63,$N$2:N63,"Explore*")</f>
        <v/>
      </c>
      <c r="AB63">
        <f>IF(AND(LEFT(N63,7)="Explore",(AA63-IF(LEFT(N63,7)="Explore",S63,0))&lt;10),"SI","NO")</f>
        <v/>
      </c>
    </row>
    <row r="64">
      <c r="A64" t="inlineStr">
        <is>
          <t>c3m2_training</t>
        </is>
      </c>
      <c r="B64" t="inlineStr">
        <is>
          <t>2026-02-19 11:38:26.089</t>
        </is>
      </c>
      <c r="C64" t="n">
        <v/>
      </c>
      <c r="D64" t="inlineStr">
        <is>
          <t>Media file</t>
        </is>
      </c>
      <c r="E64" t="inlineStr">
        <is>
          <t>player #1:BTBR\training\c3m2.mp4</t>
        </is>
      </c>
      <c r="F64" t="n">
        <v>-10</v>
      </c>
      <c r="G64" t="n">
        <v>558.933</v>
      </c>
      <c r="H64" t="n">
        <v>624.566</v>
      </c>
      <c r="I64" t="n">
        <v>30</v>
      </c>
      <c r="J64" t="inlineStr">
        <is>
          <t>BTBR</t>
        </is>
      </c>
      <c r="K64" t="inlineStr">
        <is>
          <t>Male</t>
        </is>
      </c>
      <c r="L64" t="inlineStr">
        <is>
          <t>No focal subject</t>
        </is>
      </c>
      <c r="M64" t="n">
        <v>42.359</v>
      </c>
      <c r="N64" t="inlineStr">
        <is>
          <t>Explore_F</t>
        </is>
      </c>
      <c r="O64" t="inlineStr">
        <is>
          <t>Familiar</t>
        </is>
      </c>
      <c r="P64" t="inlineStr">
        <is>
          <t>STATE</t>
        </is>
      </c>
      <c r="Q64" t="n">
        <v>16.767</v>
      </c>
      <c r="R64" t="n">
        <v>17.3</v>
      </c>
      <c r="S64" t="n">
        <v>0.533</v>
      </c>
      <c r="T64" t="inlineStr">
        <is>
          <t>BTBR\training\c3m2.mp4</t>
        </is>
      </c>
      <c r="U64" t="n">
        <v>503</v>
      </c>
      <c r="V64" t="n">
        <v>519</v>
      </c>
      <c r="W64" t="n">
        <v/>
      </c>
      <c r="X64" t="n">
        <v/>
      </c>
      <c r="Y64" t="n">
        <v/>
      </c>
      <c r="Z64" t="n">
        <v/>
      </c>
      <c r="AA64">
        <f>SUMIFS($S$2:S64,$A$2:A64,A64,$N$2:N64,"Explore*")</f>
        <v/>
      </c>
      <c r="AB64">
        <f>IF(AND(LEFT(N64,7)="Explore",(AA64-IF(LEFT(N64,7)="Explore",S64,0))&lt;10),"SI","NO")</f>
        <v/>
      </c>
    </row>
    <row r="65">
      <c r="A65" t="inlineStr">
        <is>
          <t>c3m2_training</t>
        </is>
      </c>
      <c r="B65" t="inlineStr">
        <is>
          <t>2026-02-19 11:38:26.089</t>
        </is>
      </c>
      <c r="C65" t="n">
        <v/>
      </c>
      <c r="D65" t="inlineStr">
        <is>
          <t>Media file</t>
        </is>
      </c>
      <c r="E65" t="inlineStr">
        <is>
          <t>player #1:BTBR\training\c3m2.mp4</t>
        </is>
      </c>
      <c r="F65" t="n">
        <v>-10</v>
      </c>
      <c r="G65" t="n">
        <v>558.933</v>
      </c>
      <c r="H65" t="n">
        <v>624.566</v>
      </c>
      <c r="I65" t="n">
        <v>30</v>
      </c>
      <c r="J65" t="inlineStr">
        <is>
          <t>BTBR</t>
        </is>
      </c>
      <c r="K65" t="inlineStr">
        <is>
          <t>Male</t>
        </is>
      </c>
      <c r="L65" t="inlineStr">
        <is>
          <t>No focal subject</t>
        </is>
      </c>
      <c r="M65" t="n">
        <v>42.359</v>
      </c>
      <c r="N65" t="inlineStr">
        <is>
          <t>Explore_F2</t>
        </is>
      </c>
      <c r="O65" t="inlineStr">
        <is>
          <t>Second familiar</t>
        </is>
      </c>
      <c r="P65" t="inlineStr">
        <is>
          <t>STATE</t>
        </is>
      </c>
      <c r="Q65" t="n">
        <v>17.833</v>
      </c>
      <c r="R65" t="n">
        <v>18.533</v>
      </c>
      <c r="S65" t="n">
        <v>0.7</v>
      </c>
      <c r="T65" t="inlineStr">
        <is>
          <t>BTBR\training\c3m2.mp4</t>
        </is>
      </c>
      <c r="U65" t="n">
        <v>535</v>
      </c>
      <c r="V65" t="n">
        <v>557</v>
      </c>
      <c r="W65" t="n">
        <v/>
      </c>
      <c r="X65" t="n">
        <v/>
      </c>
      <c r="Y65" t="n">
        <v/>
      </c>
      <c r="Z65" t="n">
        <v/>
      </c>
      <c r="AA65">
        <f>SUMIFS($S$2:S65,$A$2:A65,A65,$N$2:N65,"Explore*")</f>
        <v/>
      </c>
      <c r="AB65">
        <f>IF(AND(LEFT(N65,7)="Explore",(AA65-IF(LEFT(N65,7)="Explore",S65,0))&lt;10),"SI","NO")</f>
        <v/>
      </c>
    </row>
    <row r="66">
      <c r="A66" t="inlineStr">
        <is>
          <t>c3m2_training</t>
        </is>
      </c>
      <c r="B66" t="inlineStr">
        <is>
          <t>2026-02-19 11:38:26.089</t>
        </is>
      </c>
      <c r="C66" t="n">
        <v/>
      </c>
      <c r="D66" t="inlineStr">
        <is>
          <t>Media file</t>
        </is>
      </c>
      <c r="E66" t="inlineStr">
        <is>
          <t>player #1:BTBR\training\c3m2.mp4</t>
        </is>
      </c>
      <c r="F66" t="n">
        <v>-10</v>
      </c>
      <c r="G66" t="n">
        <v>558.933</v>
      </c>
      <c r="H66" t="n">
        <v>624.566</v>
      </c>
      <c r="I66" t="n">
        <v>30</v>
      </c>
      <c r="J66" t="inlineStr">
        <is>
          <t>BTBR</t>
        </is>
      </c>
      <c r="K66" t="inlineStr">
        <is>
          <t>Male</t>
        </is>
      </c>
      <c r="L66" t="inlineStr">
        <is>
          <t>No focal subject</t>
        </is>
      </c>
      <c r="M66" t="n">
        <v>42.359</v>
      </c>
      <c r="N66" t="inlineStr">
        <is>
          <t>Explore_F</t>
        </is>
      </c>
      <c r="O66" t="inlineStr">
        <is>
          <t>Familiar</t>
        </is>
      </c>
      <c r="P66" t="inlineStr">
        <is>
          <t>STATE</t>
        </is>
      </c>
      <c r="Q66" t="n">
        <v>21.633</v>
      </c>
      <c r="R66" t="n">
        <v>21.933</v>
      </c>
      <c r="S66" t="n">
        <v>0.3</v>
      </c>
      <c r="T66" t="inlineStr">
        <is>
          <t>BTBR\training\c3m2.mp4</t>
        </is>
      </c>
      <c r="U66" t="n">
        <v>649</v>
      </c>
      <c r="V66" t="n">
        <v>658</v>
      </c>
      <c r="W66" t="n">
        <v/>
      </c>
      <c r="X66" t="n">
        <v/>
      </c>
      <c r="Y66" t="n">
        <v/>
      </c>
      <c r="Z66" t="n">
        <v/>
      </c>
      <c r="AA66">
        <f>SUMIFS($S$2:S66,$A$2:A66,A66,$N$2:N66,"Explore*")</f>
        <v/>
      </c>
      <c r="AB66">
        <f>IF(AND(LEFT(N66,7)="Explore",(AA66-IF(LEFT(N66,7)="Explore",S66,0))&lt;10),"SI","NO")</f>
        <v/>
      </c>
    </row>
    <row r="67">
      <c r="A67" t="inlineStr">
        <is>
          <t>c3m2_training</t>
        </is>
      </c>
      <c r="B67" t="inlineStr">
        <is>
          <t>2026-02-19 11:38:26.089</t>
        </is>
      </c>
      <c r="C67" t="n">
        <v/>
      </c>
      <c r="D67" t="inlineStr">
        <is>
          <t>Media file</t>
        </is>
      </c>
      <c r="E67" t="inlineStr">
        <is>
          <t>player #1:BTBR\training\c3m2.mp4</t>
        </is>
      </c>
      <c r="F67" t="n">
        <v>-10</v>
      </c>
      <c r="G67" t="n">
        <v>558.933</v>
      </c>
      <c r="H67" t="n">
        <v>624.566</v>
      </c>
      <c r="I67" t="n">
        <v>30</v>
      </c>
      <c r="J67" t="inlineStr">
        <is>
          <t>BTBR</t>
        </is>
      </c>
      <c r="K67" t="inlineStr">
        <is>
          <t>Male</t>
        </is>
      </c>
      <c r="L67" t="inlineStr">
        <is>
          <t>No focal subject</t>
        </is>
      </c>
      <c r="M67" t="n">
        <v>42.359</v>
      </c>
      <c r="N67" t="inlineStr">
        <is>
          <t>Explore_F2</t>
        </is>
      </c>
      <c r="O67" t="inlineStr">
        <is>
          <t>Second familiar</t>
        </is>
      </c>
      <c r="P67" t="inlineStr">
        <is>
          <t>STATE</t>
        </is>
      </c>
      <c r="Q67" t="n">
        <v>24.8</v>
      </c>
      <c r="R67" t="n">
        <v>25.1</v>
      </c>
      <c r="S67" t="n">
        <v>0.3</v>
      </c>
      <c r="T67" t="inlineStr">
        <is>
          <t>BTBR\training\c3m2.mp4</t>
        </is>
      </c>
      <c r="U67" t="n">
        <v>744</v>
      </c>
      <c r="V67" t="n">
        <v>753</v>
      </c>
      <c r="W67" t="n">
        <v/>
      </c>
      <c r="X67" t="n">
        <v/>
      </c>
      <c r="Y67" t="n">
        <v/>
      </c>
      <c r="Z67" t="n">
        <v/>
      </c>
      <c r="AA67">
        <f>SUMIFS($S$2:S67,$A$2:A67,A67,$N$2:N67,"Explore*")</f>
        <v/>
      </c>
      <c r="AB67">
        <f>IF(AND(LEFT(N67,7)="Explore",(AA67-IF(LEFT(N67,7)="Explore",S67,0))&lt;10),"SI","NO")</f>
        <v/>
      </c>
    </row>
    <row r="68">
      <c r="A68" t="inlineStr">
        <is>
          <t>c3m2_training</t>
        </is>
      </c>
      <c r="B68" t="inlineStr">
        <is>
          <t>2026-02-19 11:38:26.089</t>
        </is>
      </c>
      <c r="C68" t="n">
        <v/>
      </c>
      <c r="D68" t="inlineStr">
        <is>
          <t>Media file</t>
        </is>
      </c>
      <c r="E68" t="inlineStr">
        <is>
          <t>player #1:BTBR\training\c3m2.mp4</t>
        </is>
      </c>
      <c r="F68" t="n">
        <v>-10</v>
      </c>
      <c r="G68" t="n">
        <v>558.933</v>
      </c>
      <c r="H68" t="n">
        <v>624.566</v>
      </c>
      <c r="I68" t="n">
        <v>30</v>
      </c>
      <c r="J68" t="inlineStr">
        <is>
          <t>BTBR</t>
        </is>
      </c>
      <c r="K68" t="inlineStr">
        <is>
          <t>Male</t>
        </is>
      </c>
      <c r="L68" t="inlineStr">
        <is>
          <t>No focal subject</t>
        </is>
      </c>
      <c r="M68" t="n">
        <v>42.359</v>
      </c>
      <c r="N68" t="inlineStr">
        <is>
          <t>Explore_F</t>
        </is>
      </c>
      <c r="O68" t="inlineStr">
        <is>
          <t>Familiar</t>
        </is>
      </c>
      <c r="P68" t="inlineStr">
        <is>
          <t>STATE</t>
        </is>
      </c>
      <c r="Q68" t="n">
        <v>27.667</v>
      </c>
      <c r="R68" t="n">
        <v>28</v>
      </c>
      <c r="S68" t="n">
        <v>0.333</v>
      </c>
      <c r="T68" t="inlineStr">
        <is>
          <t>BTBR\training\c3m2.mp4</t>
        </is>
      </c>
      <c r="U68" t="n">
        <v>830</v>
      </c>
      <c r="V68" t="n">
        <v>842</v>
      </c>
      <c r="W68" t="n">
        <v/>
      </c>
      <c r="X68" t="n">
        <v/>
      </c>
      <c r="Y68" t="n">
        <v/>
      </c>
      <c r="Z68" t="n">
        <v/>
      </c>
      <c r="AA68">
        <f>SUMIFS($S$2:S68,$A$2:A68,A68,$N$2:N68,"Explore*")</f>
        <v/>
      </c>
      <c r="AB68">
        <f>IF(AND(LEFT(N68,7)="Explore",(AA68-IF(LEFT(N68,7)="Explore",S68,0))&lt;10),"SI","NO")</f>
        <v/>
      </c>
    </row>
    <row r="69">
      <c r="A69" t="inlineStr">
        <is>
          <t>c3m2_training</t>
        </is>
      </c>
      <c r="B69" t="inlineStr">
        <is>
          <t>2026-02-19 11:38:26.089</t>
        </is>
      </c>
      <c r="C69" t="n">
        <v/>
      </c>
      <c r="D69" t="inlineStr">
        <is>
          <t>Media file</t>
        </is>
      </c>
      <c r="E69" t="inlineStr">
        <is>
          <t>player #1:BTBR\training\c3m2.mp4</t>
        </is>
      </c>
      <c r="F69" t="n">
        <v>-10</v>
      </c>
      <c r="G69" t="n">
        <v>558.933</v>
      </c>
      <c r="H69" t="n">
        <v>624.566</v>
      </c>
      <c r="I69" t="n">
        <v>30</v>
      </c>
      <c r="J69" t="inlineStr">
        <is>
          <t>BTBR</t>
        </is>
      </c>
      <c r="K69" t="inlineStr">
        <is>
          <t>Male</t>
        </is>
      </c>
      <c r="L69" t="inlineStr">
        <is>
          <t>No focal subject</t>
        </is>
      </c>
      <c r="M69" t="n">
        <v>42.359</v>
      </c>
      <c r="N69" t="inlineStr">
        <is>
          <t>Explore_F</t>
        </is>
      </c>
      <c r="O69" t="inlineStr">
        <is>
          <t>Familiar</t>
        </is>
      </c>
      <c r="P69" t="inlineStr">
        <is>
          <t>STATE</t>
        </is>
      </c>
      <c r="Q69" t="n">
        <v>28.933</v>
      </c>
      <c r="R69" t="n">
        <v>29.8</v>
      </c>
      <c r="S69" t="n">
        <v>0.867</v>
      </c>
      <c r="T69" t="inlineStr">
        <is>
          <t>BTBR\training\c3m2.mp4</t>
        </is>
      </c>
      <c r="U69" t="n">
        <v>868</v>
      </c>
      <c r="V69" t="n">
        <v>894</v>
      </c>
      <c r="W69" t="n">
        <v/>
      </c>
      <c r="X69" t="n">
        <v/>
      </c>
      <c r="Y69" t="n">
        <v/>
      </c>
      <c r="Z69" t="n">
        <v/>
      </c>
      <c r="AA69">
        <f>SUMIFS($S$2:S69,$A$2:A69,A69,$N$2:N69,"Explore*")</f>
        <v/>
      </c>
      <c r="AB69">
        <f>IF(AND(LEFT(N69,7)="Explore",(AA69-IF(LEFT(N69,7)="Explore",S69,0))&lt;10),"SI","NO")</f>
        <v/>
      </c>
    </row>
    <row r="70">
      <c r="A70" t="inlineStr">
        <is>
          <t>c3m2_training</t>
        </is>
      </c>
      <c r="B70" t="inlineStr">
        <is>
          <t>2026-02-19 11:38:26.089</t>
        </is>
      </c>
      <c r="C70" t="n">
        <v/>
      </c>
      <c r="D70" t="inlineStr">
        <is>
          <t>Media file</t>
        </is>
      </c>
      <c r="E70" t="inlineStr">
        <is>
          <t>player #1:BTBR\training\c3m2.mp4</t>
        </is>
      </c>
      <c r="F70" t="n">
        <v>-10</v>
      </c>
      <c r="G70" t="n">
        <v>558.933</v>
      </c>
      <c r="H70" t="n">
        <v>624.566</v>
      </c>
      <c r="I70" t="n">
        <v>30</v>
      </c>
      <c r="J70" t="inlineStr">
        <is>
          <t>BTBR</t>
        </is>
      </c>
      <c r="K70" t="inlineStr">
        <is>
          <t>Male</t>
        </is>
      </c>
      <c r="L70" t="inlineStr">
        <is>
          <t>No focal subject</t>
        </is>
      </c>
      <c r="M70" t="n">
        <v>42.359</v>
      </c>
      <c r="N70" t="inlineStr">
        <is>
          <t>Explore_F2</t>
        </is>
      </c>
      <c r="O70" t="inlineStr">
        <is>
          <t>Second familiar</t>
        </is>
      </c>
      <c r="P70" t="inlineStr">
        <is>
          <t>STATE</t>
        </is>
      </c>
      <c r="Q70" t="n">
        <v>30.567</v>
      </c>
      <c r="R70" t="n">
        <v>30.967</v>
      </c>
      <c r="S70" t="n">
        <v>0.4</v>
      </c>
      <c r="T70" t="inlineStr">
        <is>
          <t>BTBR\training\c3m2.mp4</t>
        </is>
      </c>
      <c r="U70" t="n">
        <v>917</v>
      </c>
      <c r="V70" t="n">
        <v>929</v>
      </c>
      <c r="W70" t="n">
        <v/>
      </c>
      <c r="X70" t="n">
        <v/>
      </c>
      <c r="Y70" t="n">
        <v/>
      </c>
      <c r="Z70" t="n">
        <v/>
      </c>
      <c r="AA70">
        <f>SUMIFS($S$2:S70,$A$2:A70,A70,$N$2:N70,"Explore*")</f>
        <v/>
      </c>
      <c r="AB70">
        <f>IF(AND(LEFT(N70,7)="Explore",(AA70-IF(LEFT(N70,7)="Explore",S70,0))&lt;10),"SI","NO")</f>
        <v/>
      </c>
    </row>
    <row r="71">
      <c r="A71" t="inlineStr">
        <is>
          <t>c3m2_training</t>
        </is>
      </c>
      <c r="B71" t="inlineStr">
        <is>
          <t>2026-02-19 11:38:26.089</t>
        </is>
      </c>
      <c r="C71" t="n">
        <v/>
      </c>
      <c r="D71" t="inlineStr">
        <is>
          <t>Media file</t>
        </is>
      </c>
      <c r="E71" t="inlineStr">
        <is>
          <t>player #1:BTBR\training\c3m2.mp4</t>
        </is>
      </c>
      <c r="F71" t="n">
        <v>-10</v>
      </c>
      <c r="G71" t="n">
        <v>558.933</v>
      </c>
      <c r="H71" t="n">
        <v>624.566</v>
      </c>
      <c r="I71" t="n">
        <v>30</v>
      </c>
      <c r="J71" t="inlineStr">
        <is>
          <t>BTBR</t>
        </is>
      </c>
      <c r="K71" t="inlineStr">
        <is>
          <t>Male</t>
        </is>
      </c>
      <c r="L71" t="inlineStr">
        <is>
          <t>No focal subject</t>
        </is>
      </c>
      <c r="M71" t="n">
        <v>42.359</v>
      </c>
      <c r="N71" t="inlineStr">
        <is>
          <t>Explore_F2</t>
        </is>
      </c>
      <c r="O71" t="inlineStr">
        <is>
          <t>Second familiar</t>
        </is>
      </c>
      <c r="P71" t="inlineStr">
        <is>
          <t>STATE</t>
        </is>
      </c>
      <c r="Q71" t="n">
        <v>35.167</v>
      </c>
      <c r="R71" t="n">
        <v>35.4</v>
      </c>
      <c r="S71" t="n">
        <v>0.233</v>
      </c>
      <c r="T71" t="inlineStr">
        <is>
          <t>BTBR\training\c3m2.mp4</t>
        </is>
      </c>
      <c r="U71" t="n">
        <v>1055</v>
      </c>
      <c r="V71" t="n">
        <v>1062</v>
      </c>
      <c r="W71" t="n">
        <v/>
      </c>
      <c r="X71" t="n">
        <v/>
      </c>
      <c r="Y71" t="n">
        <v/>
      </c>
      <c r="Z71" t="n">
        <v/>
      </c>
      <c r="AA71">
        <f>SUMIFS($S$2:S71,$A$2:A71,A71,$N$2:N71,"Explore*")</f>
        <v/>
      </c>
      <c r="AB71">
        <f>IF(AND(LEFT(N71,7)="Explore",(AA71-IF(LEFT(N71,7)="Explore",S71,0))&lt;10),"SI","NO")</f>
        <v/>
      </c>
    </row>
    <row r="72">
      <c r="A72" t="inlineStr">
        <is>
          <t>c3m2_training</t>
        </is>
      </c>
      <c r="B72" t="inlineStr">
        <is>
          <t>2026-02-19 11:38:26.089</t>
        </is>
      </c>
      <c r="C72" t="n">
        <v/>
      </c>
      <c r="D72" t="inlineStr">
        <is>
          <t>Media file</t>
        </is>
      </c>
      <c r="E72" t="inlineStr">
        <is>
          <t>player #1:BTBR\training\c3m2.mp4</t>
        </is>
      </c>
      <c r="F72" t="n">
        <v>-10</v>
      </c>
      <c r="G72" t="n">
        <v>558.933</v>
      </c>
      <c r="H72" t="n">
        <v>624.566</v>
      </c>
      <c r="I72" t="n">
        <v>30</v>
      </c>
      <c r="J72" t="inlineStr">
        <is>
          <t>BTBR</t>
        </is>
      </c>
      <c r="K72" t="inlineStr">
        <is>
          <t>Male</t>
        </is>
      </c>
      <c r="L72" t="inlineStr">
        <is>
          <t>No focal subject</t>
        </is>
      </c>
      <c r="M72" t="n">
        <v>42.359</v>
      </c>
      <c r="N72" t="inlineStr">
        <is>
          <t>Explore_F</t>
        </is>
      </c>
      <c r="O72" t="inlineStr">
        <is>
          <t>Familiar</t>
        </is>
      </c>
      <c r="P72" t="inlineStr">
        <is>
          <t>STATE</t>
        </is>
      </c>
      <c r="Q72" t="n">
        <v>36.067</v>
      </c>
      <c r="R72" t="n">
        <v>36.367</v>
      </c>
      <c r="S72" t="n">
        <v>0.3</v>
      </c>
      <c r="T72" t="inlineStr">
        <is>
          <t>BTBR\training\c3m2.mp4</t>
        </is>
      </c>
      <c r="U72" t="n">
        <v>1082</v>
      </c>
      <c r="V72" t="n">
        <v>1091</v>
      </c>
      <c r="W72" t="n">
        <v/>
      </c>
      <c r="X72" t="n">
        <v/>
      </c>
      <c r="Y72" t="n">
        <v/>
      </c>
      <c r="Z72" t="n">
        <v/>
      </c>
      <c r="AA72">
        <f>SUMIFS($S$2:S72,$A$2:A72,A72,$N$2:N72,"Explore*")</f>
        <v/>
      </c>
      <c r="AB72">
        <f>IF(AND(LEFT(N72,7)="Explore",(AA72-IF(LEFT(N72,7)="Explore",S72,0))&lt;10),"SI","NO")</f>
        <v/>
      </c>
    </row>
    <row r="73">
      <c r="A73" t="inlineStr">
        <is>
          <t>c3m2_training</t>
        </is>
      </c>
      <c r="B73" t="inlineStr">
        <is>
          <t>2026-02-19 11:38:26.089</t>
        </is>
      </c>
      <c r="C73" t="n">
        <v/>
      </c>
      <c r="D73" t="inlineStr">
        <is>
          <t>Media file</t>
        </is>
      </c>
      <c r="E73" t="inlineStr">
        <is>
          <t>player #1:BTBR\training\c3m2.mp4</t>
        </is>
      </c>
      <c r="F73" t="n">
        <v>-10</v>
      </c>
      <c r="G73" t="n">
        <v>558.933</v>
      </c>
      <c r="H73" t="n">
        <v>624.566</v>
      </c>
      <c r="I73" t="n">
        <v>30</v>
      </c>
      <c r="J73" t="inlineStr">
        <is>
          <t>BTBR</t>
        </is>
      </c>
      <c r="K73" t="inlineStr">
        <is>
          <t>Male</t>
        </is>
      </c>
      <c r="L73" t="inlineStr">
        <is>
          <t>No focal subject</t>
        </is>
      </c>
      <c r="M73" t="n">
        <v>42.359</v>
      </c>
      <c r="N73" t="inlineStr">
        <is>
          <t>Explore_F</t>
        </is>
      </c>
      <c r="O73" t="inlineStr">
        <is>
          <t>Familiar</t>
        </is>
      </c>
      <c r="P73" t="inlineStr">
        <is>
          <t>STATE</t>
        </is>
      </c>
      <c r="Q73" t="n">
        <v>37.633</v>
      </c>
      <c r="R73" t="n">
        <v>38.033</v>
      </c>
      <c r="S73" t="n">
        <v>0.4</v>
      </c>
      <c r="T73" t="inlineStr">
        <is>
          <t>BTBR\training\c3m2.mp4</t>
        </is>
      </c>
      <c r="U73" t="n">
        <v>1129</v>
      </c>
      <c r="V73" t="n">
        <v>1142</v>
      </c>
      <c r="W73" t="n">
        <v/>
      </c>
      <c r="X73" t="n">
        <v/>
      </c>
      <c r="Y73" t="n">
        <v/>
      </c>
      <c r="Z73" t="n">
        <v/>
      </c>
      <c r="AA73">
        <f>SUMIFS($S$2:S73,$A$2:A73,A73,$N$2:N73,"Explore*")</f>
        <v/>
      </c>
      <c r="AB73">
        <f>IF(AND(LEFT(N73,7)="Explore",(AA73-IF(LEFT(N73,7)="Explore",S73,0))&lt;10),"SI","NO")</f>
        <v/>
      </c>
    </row>
    <row r="74">
      <c r="A74" t="inlineStr">
        <is>
          <t>c3m2_training</t>
        </is>
      </c>
      <c r="B74" t="inlineStr">
        <is>
          <t>2026-02-19 11:38:26.089</t>
        </is>
      </c>
      <c r="C74" t="n">
        <v/>
      </c>
      <c r="D74" t="inlineStr">
        <is>
          <t>Media file</t>
        </is>
      </c>
      <c r="E74" t="inlineStr">
        <is>
          <t>player #1:BTBR\training\c3m2.mp4</t>
        </is>
      </c>
      <c r="F74" t="n">
        <v>-10</v>
      </c>
      <c r="G74" t="n">
        <v>558.933</v>
      </c>
      <c r="H74" t="n">
        <v>624.566</v>
      </c>
      <c r="I74" t="n">
        <v>30</v>
      </c>
      <c r="J74" t="inlineStr">
        <is>
          <t>BTBR</t>
        </is>
      </c>
      <c r="K74" t="inlineStr">
        <is>
          <t>Male</t>
        </is>
      </c>
      <c r="L74" t="inlineStr">
        <is>
          <t>No focal subject</t>
        </is>
      </c>
      <c r="M74" t="n">
        <v>42.359</v>
      </c>
      <c r="N74" t="inlineStr">
        <is>
          <t>Explore_F2</t>
        </is>
      </c>
      <c r="O74" t="inlineStr">
        <is>
          <t>Second familiar</t>
        </is>
      </c>
      <c r="P74" t="inlineStr">
        <is>
          <t>STATE</t>
        </is>
      </c>
      <c r="Q74" t="n">
        <v>39.467</v>
      </c>
      <c r="R74" t="n">
        <v>40.033</v>
      </c>
      <c r="S74" t="n">
        <v>0.5659999999999999</v>
      </c>
      <c r="T74" t="inlineStr">
        <is>
          <t>BTBR\training\c3m2.mp4</t>
        </is>
      </c>
      <c r="U74" t="n">
        <v>1184</v>
      </c>
      <c r="V74" t="n">
        <v>1202</v>
      </c>
      <c r="W74" t="n">
        <v/>
      </c>
      <c r="X74" t="n">
        <v/>
      </c>
      <c r="Y74" t="n">
        <v/>
      </c>
      <c r="Z74" t="n">
        <v/>
      </c>
      <c r="AA74">
        <f>SUMIFS($S$2:S74,$A$2:A74,A74,$N$2:N74,"Explore*")</f>
        <v/>
      </c>
      <c r="AB74">
        <f>IF(AND(LEFT(N74,7)="Explore",(AA74-IF(LEFT(N74,7)="Explore",S74,0))&lt;10),"SI","NO")</f>
        <v/>
      </c>
    </row>
    <row r="75">
      <c r="A75" t="inlineStr">
        <is>
          <t>c3m2_training</t>
        </is>
      </c>
      <c r="B75" t="inlineStr">
        <is>
          <t>2026-02-19 11:38:26.089</t>
        </is>
      </c>
      <c r="C75" t="n">
        <v/>
      </c>
      <c r="D75" t="inlineStr">
        <is>
          <t>Media file</t>
        </is>
      </c>
      <c r="E75" t="inlineStr">
        <is>
          <t>player #1:BTBR\training\c3m2.mp4</t>
        </is>
      </c>
      <c r="F75" t="n">
        <v>-10</v>
      </c>
      <c r="G75" t="n">
        <v>558.933</v>
      </c>
      <c r="H75" t="n">
        <v>624.566</v>
      </c>
      <c r="I75" t="n">
        <v>30</v>
      </c>
      <c r="J75" t="inlineStr">
        <is>
          <t>BTBR</t>
        </is>
      </c>
      <c r="K75" t="inlineStr">
        <is>
          <t>Male</t>
        </is>
      </c>
      <c r="L75" t="inlineStr">
        <is>
          <t>No focal subject</t>
        </is>
      </c>
      <c r="M75" t="n">
        <v>42.359</v>
      </c>
      <c r="N75" t="inlineStr">
        <is>
          <t>Explore_F</t>
        </is>
      </c>
      <c r="O75" t="inlineStr">
        <is>
          <t>Familiar</t>
        </is>
      </c>
      <c r="P75" t="inlineStr">
        <is>
          <t>STATE</t>
        </is>
      </c>
      <c r="Q75" t="n">
        <v>44.333</v>
      </c>
      <c r="R75" t="n">
        <v>44.7</v>
      </c>
      <c r="S75" t="n">
        <v>0.367</v>
      </c>
      <c r="T75" t="inlineStr">
        <is>
          <t>BTBR\training\c3m2.mp4</t>
        </is>
      </c>
      <c r="U75" t="n">
        <v>1330</v>
      </c>
      <c r="V75" t="n">
        <v>1341</v>
      </c>
      <c r="W75" t="n">
        <v/>
      </c>
      <c r="X75" t="n">
        <v/>
      </c>
      <c r="Y75" t="n">
        <v/>
      </c>
      <c r="Z75" t="n">
        <v/>
      </c>
      <c r="AA75">
        <f>SUMIFS($S$2:S75,$A$2:A75,A75,$N$2:N75,"Explore*")</f>
        <v/>
      </c>
      <c r="AB75">
        <f>IF(AND(LEFT(N75,7)="Explore",(AA75-IF(LEFT(N75,7)="Explore",S75,0))&lt;10),"SI","NO")</f>
        <v/>
      </c>
    </row>
    <row r="76">
      <c r="A76" t="inlineStr">
        <is>
          <t>c3m2_training</t>
        </is>
      </c>
      <c r="B76" t="inlineStr">
        <is>
          <t>2026-02-19 11:38:26.089</t>
        </is>
      </c>
      <c r="C76" t="n">
        <v/>
      </c>
      <c r="D76" t="inlineStr">
        <is>
          <t>Media file</t>
        </is>
      </c>
      <c r="E76" t="inlineStr">
        <is>
          <t>player #1:BTBR\training\c3m2.mp4</t>
        </is>
      </c>
      <c r="F76" t="n">
        <v>-10</v>
      </c>
      <c r="G76" t="n">
        <v>558.933</v>
      </c>
      <c r="H76" t="n">
        <v>624.566</v>
      </c>
      <c r="I76" t="n">
        <v>30</v>
      </c>
      <c r="J76" t="inlineStr">
        <is>
          <t>BTBR</t>
        </is>
      </c>
      <c r="K76" t="inlineStr">
        <is>
          <t>Male</t>
        </is>
      </c>
      <c r="L76" t="inlineStr">
        <is>
          <t>No focal subject</t>
        </is>
      </c>
      <c r="M76" t="n">
        <v>42.359</v>
      </c>
      <c r="N76" t="inlineStr">
        <is>
          <t>Explore_F2</t>
        </is>
      </c>
      <c r="O76" t="inlineStr">
        <is>
          <t>Second familiar</t>
        </is>
      </c>
      <c r="P76" t="inlineStr">
        <is>
          <t>STATE</t>
        </is>
      </c>
      <c r="Q76" t="n">
        <v>61.067</v>
      </c>
      <c r="R76" t="n">
        <v>62.167</v>
      </c>
      <c r="S76" t="n">
        <v>1.1</v>
      </c>
      <c r="T76" t="inlineStr">
        <is>
          <t>BTBR\training\c3m2.mp4</t>
        </is>
      </c>
      <c r="U76" t="n">
        <v>1832</v>
      </c>
      <c r="V76" t="n">
        <v>1865</v>
      </c>
      <c r="W76" t="n">
        <v/>
      </c>
      <c r="X76" t="n">
        <v/>
      </c>
      <c r="Y76" t="n">
        <v/>
      </c>
      <c r="Z76" t="n">
        <v/>
      </c>
      <c r="AA76">
        <f>SUMIFS($S$2:S76,$A$2:A76,A76,$N$2:N76,"Explore*")</f>
        <v/>
      </c>
      <c r="AB76">
        <f>IF(AND(LEFT(N76,7)="Explore",(AA76-IF(LEFT(N76,7)="Explore",S76,0))&lt;10),"SI","NO")</f>
        <v/>
      </c>
    </row>
    <row r="77">
      <c r="A77" t="inlineStr">
        <is>
          <t>c3m2_training</t>
        </is>
      </c>
      <c r="B77" t="inlineStr">
        <is>
          <t>2026-02-19 11:38:26.089</t>
        </is>
      </c>
      <c r="C77" t="n">
        <v/>
      </c>
      <c r="D77" t="inlineStr">
        <is>
          <t>Media file</t>
        </is>
      </c>
      <c r="E77" t="inlineStr">
        <is>
          <t>player #1:BTBR\training\c3m2.mp4</t>
        </is>
      </c>
      <c r="F77" t="n">
        <v>-10</v>
      </c>
      <c r="G77" t="n">
        <v>558.933</v>
      </c>
      <c r="H77" t="n">
        <v>624.566</v>
      </c>
      <c r="I77" t="n">
        <v>30</v>
      </c>
      <c r="J77" t="inlineStr">
        <is>
          <t>BTBR</t>
        </is>
      </c>
      <c r="K77" t="inlineStr">
        <is>
          <t>Male</t>
        </is>
      </c>
      <c r="L77" t="inlineStr">
        <is>
          <t>No focal subject</t>
        </is>
      </c>
      <c r="M77" t="n">
        <v>42.359</v>
      </c>
      <c r="N77" t="inlineStr">
        <is>
          <t>Explore_F</t>
        </is>
      </c>
      <c r="O77" t="inlineStr">
        <is>
          <t>Familiar</t>
        </is>
      </c>
      <c r="P77" t="inlineStr">
        <is>
          <t>STATE</t>
        </is>
      </c>
      <c r="Q77" t="n">
        <v>62.7</v>
      </c>
      <c r="R77" t="n">
        <v>64.2</v>
      </c>
      <c r="S77" t="n">
        <v>1.5</v>
      </c>
      <c r="T77" t="inlineStr">
        <is>
          <t>BTBR\training\c3m2.mp4</t>
        </is>
      </c>
      <c r="U77" t="n">
        <v>1881</v>
      </c>
      <c r="V77" t="n">
        <v>1926</v>
      </c>
      <c r="W77" t="n">
        <v/>
      </c>
      <c r="X77" t="n">
        <v/>
      </c>
      <c r="Y77" t="n">
        <v/>
      </c>
      <c r="Z77" t="n">
        <v/>
      </c>
      <c r="AA77">
        <f>SUMIFS($S$2:S77,$A$2:A77,A77,$N$2:N77,"Explore*")</f>
        <v/>
      </c>
      <c r="AB77">
        <f>IF(AND(LEFT(N77,7)="Explore",(AA77-IF(LEFT(N77,7)="Explore",S77,0))&lt;10),"SI","NO")</f>
        <v/>
      </c>
    </row>
    <row r="78">
      <c r="A78" t="inlineStr">
        <is>
          <t>c3m2_training</t>
        </is>
      </c>
      <c r="B78" t="inlineStr">
        <is>
          <t>2026-02-19 11:38:26.089</t>
        </is>
      </c>
      <c r="C78" t="n">
        <v/>
      </c>
      <c r="D78" t="inlineStr">
        <is>
          <t>Media file</t>
        </is>
      </c>
      <c r="E78" t="inlineStr">
        <is>
          <t>player #1:BTBR\training\c3m2.mp4</t>
        </is>
      </c>
      <c r="F78" t="n">
        <v>-10</v>
      </c>
      <c r="G78" t="n">
        <v>558.933</v>
      </c>
      <c r="H78" t="n">
        <v>624.566</v>
      </c>
      <c r="I78" t="n">
        <v>30</v>
      </c>
      <c r="J78" t="inlineStr">
        <is>
          <t>BTBR</t>
        </is>
      </c>
      <c r="K78" t="inlineStr">
        <is>
          <t>Male</t>
        </is>
      </c>
      <c r="L78" t="inlineStr">
        <is>
          <t>No focal subject</t>
        </is>
      </c>
      <c r="M78" t="n">
        <v>42.359</v>
      </c>
      <c r="N78" t="inlineStr">
        <is>
          <t>Explore_F</t>
        </is>
      </c>
      <c r="O78" t="inlineStr">
        <is>
          <t>Familiar</t>
        </is>
      </c>
      <c r="P78" t="inlineStr">
        <is>
          <t>STATE</t>
        </is>
      </c>
      <c r="Q78" t="n">
        <v>66.09999999999999</v>
      </c>
      <c r="R78" t="n">
        <v>66.667</v>
      </c>
      <c r="S78" t="n">
        <v>0.5669999999999999</v>
      </c>
      <c r="T78" t="inlineStr">
        <is>
          <t>BTBR\training\c3m2.mp4</t>
        </is>
      </c>
      <c r="U78" t="n">
        <v>1983</v>
      </c>
      <c r="V78" t="n">
        <v>2000</v>
      </c>
      <c r="W78" t="n">
        <v/>
      </c>
      <c r="X78" t="n">
        <v/>
      </c>
      <c r="Y78" t="n">
        <v/>
      </c>
      <c r="Z78" t="n">
        <v/>
      </c>
      <c r="AA78">
        <f>SUMIFS($S$2:S78,$A$2:A78,A78,$N$2:N78,"Explore*")</f>
        <v/>
      </c>
      <c r="AB78">
        <f>IF(AND(LEFT(N78,7)="Explore",(AA78-IF(LEFT(N78,7)="Explore",S78,0))&lt;10),"SI","NO")</f>
        <v/>
      </c>
    </row>
    <row r="79">
      <c r="A79" t="inlineStr">
        <is>
          <t>c3m2_training</t>
        </is>
      </c>
      <c r="B79" t="inlineStr">
        <is>
          <t>2026-02-19 11:38:26.089</t>
        </is>
      </c>
      <c r="C79" t="n">
        <v/>
      </c>
      <c r="D79" t="inlineStr">
        <is>
          <t>Media file</t>
        </is>
      </c>
      <c r="E79" t="inlineStr">
        <is>
          <t>player #1:BTBR\training\c3m2.mp4</t>
        </is>
      </c>
      <c r="F79" t="n">
        <v>-10</v>
      </c>
      <c r="G79" t="n">
        <v>558.933</v>
      </c>
      <c r="H79" t="n">
        <v>624.566</v>
      </c>
      <c r="I79" t="n">
        <v>30</v>
      </c>
      <c r="J79" t="inlineStr">
        <is>
          <t>BTBR</t>
        </is>
      </c>
      <c r="K79" t="inlineStr">
        <is>
          <t>Male</t>
        </is>
      </c>
      <c r="L79" t="inlineStr">
        <is>
          <t>No focal subject</t>
        </is>
      </c>
      <c r="M79" t="n">
        <v>42.359</v>
      </c>
      <c r="N79" t="inlineStr">
        <is>
          <t>Explore_F2</t>
        </is>
      </c>
      <c r="O79" t="inlineStr">
        <is>
          <t>Second familiar</t>
        </is>
      </c>
      <c r="P79" t="inlineStr">
        <is>
          <t>STATE</t>
        </is>
      </c>
      <c r="Q79" t="n">
        <v>67.8</v>
      </c>
      <c r="R79" t="n">
        <v>68.967</v>
      </c>
      <c r="S79" t="n">
        <v>1.167</v>
      </c>
      <c r="T79" t="inlineStr">
        <is>
          <t>BTBR\training\c3m2.mp4</t>
        </is>
      </c>
      <c r="U79" t="n">
        <v>2034</v>
      </c>
      <c r="V79" t="n">
        <v>2069</v>
      </c>
      <c r="W79" t="n">
        <v/>
      </c>
      <c r="X79" t="n">
        <v/>
      </c>
      <c r="Y79" t="n">
        <v/>
      </c>
      <c r="Z79" t="n">
        <v/>
      </c>
      <c r="AA79">
        <f>SUMIFS($S$2:S79,$A$2:A79,A79,$N$2:N79,"Explore*")</f>
        <v/>
      </c>
      <c r="AB79">
        <f>IF(AND(LEFT(N79,7)="Explore",(AA79-IF(LEFT(N79,7)="Explore",S79,0))&lt;10),"SI","NO")</f>
        <v/>
      </c>
    </row>
    <row r="80">
      <c r="A80" t="inlineStr">
        <is>
          <t>c3m2_training</t>
        </is>
      </c>
      <c r="B80" t="inlineStr">
        <is>
          <t>2026-02-19 11:38:26.089</t>
        </is>
      </c>
      <c r="C80" t="n">
        <v/>
      </c>
      <c r="D80" t="inlineStr">
        <is>
          <t>Media file</t>
        </is>
      </c>
      <c r="E80" t="inlineStr">
        <is>
          <t>player #1:BTBR\training\c3m2.mp4</t>
        </is>
      </c>
      <c r="F80" t="n">
        <v>-10</v>
      </c>
      <c r="G80" t="n">
        <v>558.933</v>
      </c>
      <c r="H80" t="n">
        <v>624.566</v>
      </c>
      <c r="I80" t="n">
        <v>30</v>
      </c>
      <c r="J80" t="inlineStr">
        <is>
          <t>BTBR</t>
        </is>
      </c>
      <c r="K80" t="inlineStr">
        <is>
          <t>Male</t>
        </is>
      </c>
      <c r="L80" t="inlineStr">
        <is>
          <t>No focal subject</t>
        </is>
      </c>
      <c r="M80" t="n">
        <v>42.359</v>
      </c>
      <c r="N80" t="inlineStr">
        <is>
          <t>Explore_F2</t>
        </is>
      </c>
      <c r="O80" t="inlineStr">
        <is>
          <t>Second familiar</t>
        </is>
      </c>
      <c r="P80" t="inlineStr">
        <is>
          <t>STATE</t>
        </is>
      </c>
      <c r="Q80" t="n">
        <v>73.56699999999999</v>
      </c>
      <c r="R80" t="n">
        <v>73.93300000000001</v>
      </c>
      <c r="S80" t="n">
        <v>0.366</v>
      </c>
      <c r="T80" t="inlineStr">
        <is>
          <t>BTBR\training\c3m2.mp4</t>
        </is>
      </c>
      <c r="U80" t="n">
        <v>2207</v>
      </c>
      <c r="V80" t="n">
        <v>2218</v>
      </c>
      <c r="W80" t="n">
        <v/>
      </c>
      <c r="X80" t="n">
        <v/>
      </c>
      <c r="Y80" t="n">
        <v/>
      </c>
      <c r="Z80" t="n">
        <v/>
      </c>
      <c r="AA80">
        <f>SUMIFS($S$2:S80,$A$2:A80,A80,$N$2:N80,"Explore*")</f>
        <v/>
      </c>
      <c r="AB80">
        <f>IF(AND(LEFT(N80,7)="Explore",(AA80-IF(LEFT(N80,7)="Explore",S80,0))&lt;10),"SI","NO")</f>
        <v/>
      </c>
    </row>
    <row r="81">
      <c r="A81" t="inlineStr">
        <is>
          <t>c3m2_training</t>
        </is>
      </c>
      <c r="B81" t="inlineStr">
        <is>
          <t>2026-02-19 11:38:26.089</t>
        </is>
      </c>
      <c r="C81" t="n">
        <v/>
      </c>
      <c r="D81" t="inlineStr">
        <is>
          <t>Media file</t>
        </is>
      </c>
      <c r="E81" t="inlineStr">
        <is>
          <t>player #1:BTBR\training\c3m2.mp4</t>
        </is>
      </c>
      <c r="F81" t="n">
        <v>-10</v>
      </c>
      <c r="G81" t="n">
        <v>558.933</v>
      </c>
      <c r="H81" t="n">
        <v>624.566</v>
      </c>
      <c r="I81" t="n">
        <v>30</v>
      </c>
      <c r="J81" t="inlineStr">
        <is>
          <t>BTBR</t>
        </is>
      </c>
      <c r="K81" t="inlineStr">
        <is>
          <t>Male</t>
        </is>
      </c>
      <c r="L81" t="inlineStr">
        <is>
          <t>No focal subject</t>
        </is>
      </c>
      <c r="M81" t="n">
        <v>42.359</v>
      </c>
      <c r="N81" t="inlineStr">
        <is>
          <t>Explore_F2</t>
        </is>
      </c>
      <c r="O81" t="inlineStr">
        <is>
          <t>Second familiar</t>
        </is>
      </c>
      <c r="P81" t="inlineStr">
        <is>
          <t>STATE</t>
        </is>
      </c>
      <c r="Q81" t="n">
        <v>74.7</v>
      </c>
      <c r="R81" t="n">
        <v>75.533</v>
      </c>
      <c r="S81" t="n">
        <v>0.833</v>
      </c>
      <c r="T81" t="inlineStr">
        <is>
          <t>BTBR\training\c3m2.mp4</t>
        </is>
      </c>
      <c r="U81" t="n">
        <v>2241</v>
      </c>
      <c r="V81" t="n">
        <v>2267</v>
      </c>
      <c r="W81" t="n">
        <v/>
      </c>
      <c r="X81" t="n">
        <v/>
      </c>
      <c r="Y81" t="n">
        <v/>
      </c>
      <c r="Z81" t="n">
        <v/>
      </c>
      <c r="AA81">
        <f>SUMIFS($S$2:S81,$A$2:A81,A81,$N$2:N81,"Explore*")</f>
        <v/>
      </c>
      <c r="AB81">
        <f>IF(AND(LEFT(N81,7)="Explore",(AA81-IF(LEFT(N81,7)="Explore",S81,0))&lt;10),"SI","NO")</f>
        <v/>
      </c>
    </row>
    <row r="82">
      <c r="A82" t="inlineStr">
        <is>
          <t>c3m2_training</t>
        </is>
      </c>
      <c r="B82" t="inlineStr">
        <is>
          <t>2026-02-19 11:38:26.089</t>
        </is>
      </c>
      <c r="C82" t="n">
        <v/>
      </c>
      <c r="D82" t="inlineStr">
        <is>
          <t>Media file</t>
        </is>
      </c>
      <c r="E82" t="inlineStr">
        <is>
          <t>player #1:BTBR\training\c3m2.mp4</t>
        </is>
      </c>
      <c r="F82" t="n">
        <v>-10</v>
      </c>
      <c r="G82" t="n">
        <v>558.933</v>
      </c>
      <c r="H82" t="n">
        <v>624.566</v>
      </c>
      <c r="I82" t="n">
        <v>30</v>
      </c>
      <c r="J82" t="inlineStr">
        <is>
          <t>BTBR</t>
        </is>
      </c>
      <c r="K82" t="inlineStr">
        <is>
          <t>Male</t>
        </is>
      </c>
      <c r="L82" t="inlineStr">
        <is>
          <t>No focal subject</t>
        </is>
      </c>
      <c r="M82" t="n">
        <v>42.359</v>
      </c>
      <c r="N82" t="inlineStr">
        <is>
          <t>Explore_F</t>
        </is>
      </c>
      <c r="O82" t="inlineStr">
        <is>
          <t>Familiar</t>
        </is>
      </c>
      <c r="P82" t="inlineStr">
        <is>
          <t>STATE</t>
        </is>
      </c>
      <c r="Q82" t="n">
        <v>76.467</v>
      </c>
      <c r="R82" t="n">
        <v>77.867</v>
      </c>
      <c r="S82" t="n">
        <v>1.4</v>
      </c>
      <c r="T82" t="inlineStr">
        <is>
          <t>BTBR\training\c3m2.mp4</t>
        </is>
      </c>
      <c r="U82" t="n">
        <v>2294</v>
      </c>
      <c r="V82" t="n">
        <v>2336</v>
      </c>
      <c r="W82" t="n">
        <v/>
      </c>
      <c r="X82" t="n">
        <v/>
      </c>
      <c r="Y82" t="n">
        <v/>
      </c>
      <c r="Z82" t="n">
        <v/>
      </c>
      <c r="AA82">
        <f>SUMIFS($S$2:S82,$A$2:A82,A82,$N$2:N82,"Explore*")</f>
        <v/>
      </c>
      <c r="AB82">
        <f>IF(AND(LEFT(N82,7)="Explore",(AA82-IF(LEFT(N82,7)="Explore",S82,0))&lt;10),"SI","NO")</f>
        <v/>
      </c>
    </row>
    <row r="83">
      <c r="A83" t="inlineStr">
        <is>
          <t>c3m2_training</t>
        </is>
      </c>
      <c r="B83" t="inlineStr">
        <is>
          <t>2026-02-19 11:38:26.089</t>
        </is>
      </c>
      <c r="C83" t="n">
        <v/>
      </c>
      <c r="D83" t="inlineStr">
        <is>
          <t>Media file</t>
        </is>
      </c>
      <c r="E83" t="inlineStr">
        <is>
          <t>player #1:BTBR\training\c3m2.mp4</t>
        </is>
      </c>
      <c r="F83" t="n">
        <v>-10</v>
      </c>
      <c r="G83" t="n">
        <v>558.933</v>
      </c>
      <c r="H83" t="n">
        <v>624.566</v>
      </c>
      <c r="I83" t="n">
        <v>30</v>
      </c>
      <c r="J83" t="inlineStr">
        <is>
          <t>BTBR</t>
        </is>
      </c>
      <c r="K83" t="inlineStr">
        <is>
          <t>Male</t>
        </is>
      </c>
      <c r="L83" t="inlineStr">
        <is>
          <t>No focal subject</t>
        </is>
      </c>
      <c r="M83" t="n">
        <v>42.359</v>
      </c>
      <c r="N83" t="inlineStr">
        <is>
          <t>Explore_F2</t>
        </is>
      </c>
      <c r="O83" t="inlineStr">
        <is>
          <t>Second familiar</t>
        </is>
      </c>
      <c r="P83" t="inlineStr">
        <is>
          <t>STATE</t>
        </is>
      </c>
      <c r="Q83" t="n">
        <v>81.133</v>
      </c>
      <c r="R83" t="n">
        <v>81.90000000000001</v>
      </c>
      <c r="S83" t="n">
        <v>0.767</v>
      </c>
      <c r="T83" t="inlineStr">
        <is>
          <t>BTBR\training\c3m2.mp4</t>
        </is>
      </c>
      <c r="U83" t="n">
        <v>2434</v>
      </c>
      <c r="V83" t="n">
        <v>2457</v>
      </c>
      <c r="W83" t="n">
        <v/>
      </c>
      <c r="X83" t="n">
        <v/>
      </c>
      <c r="Y83" t="n">
        <v/>
      </c>
      <c r="Z83" t="n">
        <v/>
      </c>
      <c r="AA83">
        <f>SUMIFS($S$2:S83,$A$2:A83,A83,$N$2:N83,"Explore*")</f>
        <v/>
      </c>
      <c r="AB83">
        <f>IF(AND(LEFT(N83,7)="Explore",(AA83-IF(LEFT(N83,7)="Explore",S83,0))&lt;10),"SI","NO")</f>
        <v/>
      </c>
    </row>
    <row r="84">
      <c r="A84" t="inlineStr">
        <is>
          <t>c3m2_training</t>
        </is>
      </c>
      <c r="B84" t="inlineStr">
        <is>
          <t>2026-02-19 11:38:26.089</t>
        </is>
      </c>
      <c r="C84" t="n">
        <v/>
      </c>
      <c r="D84" t="inlineStr">
        <is>
          <t>Media file</t>
        </is>
      </c>
      <c r="E84" t="inlineStr">
        <is>
          <t>player #1:BTBR\training\c3m2.mp4</t>
        </is>
      </c>
      <c r="F84" t="n">
        <v>-10</v>
      </c>
      <c r="G84" t="n">
        <v>558.933</v>
      </c>
      <c r="H84" t="n">
        <v>624.566</v>
      </c>
      <c r="I84" t="n">
        <v>30</v>
      </c>
      <c r="J84" t="inlineStr">
        <is>
          <t>BTBR</t>
        </is>
      </c>
      <c r="K84" t="inlineStr">
        <is>
          <t>Male</t>
        </is>
      </c>
      <c r="L84" t="inlineStr">
        <is>
          <t>No focal subject</t>
        </is>
      </c>
      <c r="M84" t="n">
        <v>42.359</v>
      </c>
      <c r="N84" t="inlineStr">
        <is>
          <t>Explore_F</t>
        </is>
      </c>
      <c r="O84" t="inlineStr">
        <is>
          <t>Familiar</t>
        </is>
      </c>
      <c r="P84" t="inlineStr">
        <is>
          <t>STATE</t>
        </is>
      </c>
      <c r="Q84" t="n">
        <v>82.733</v>
      </c>
      <c r="R84" t="n">
        <v>83.93300000000001</v>
      </c>
      <c r="S84" t="n">
        <v>1.2</v>
      </c>
      <c r="T84" t="inlineStr">
        <is>
          <t>BTBR\training\c3m2.mp4</t>
        </is>
      </c>
      <c r="U84" t="n">
        <v>2482</v>
      </c>
      <c r="V84" t="n">
        <v>2518</v>
      </c>
      <c r="W84" t="n">
        <v/>
      </c>
      <c r="X84" t="n">
        <v/>
      </c>
      <c r="Y84" t="n">
        <v/>
      </c>
      <c r="Z84" t="n">
        <v/>
      </c>
      <c r="AA84">
        <f>SUMIFS($S$2:S84,$A$2:A84,A84,$N$2:N84,"Explore*")</f>
        <v/>
      </c>
      <c r="AB84">
        <f>IF(AND(LEFT(N84,7)="Explore",(AA84-IF(LEFT(N84,7)="Explore",S84,0))&lt;10),"SI","NO")</f>
        <v/>
      </c>
    </row>
    <row r="85">
      <c r="A85" t="inlineStr">
        <is>
          <t>c3m2_training</t>
        </is>
      </c>
      <c r="B85" t="inlineStr">
        <is>
          <t>2026-02-19 11:38:26.089</t>
        </is>
      </c>
      <c r="C85" t="n">
        <v/>
      </c>
      <c r="D85" t="inlineStr">
        <is>
          <t>Media file</t>
        </is>
      </c>
      <c r="E85" t="inlineStr">
        <is>
          <t>player #1:BTBR\training\c3m2.mp4</t>
        </is>
      </c>
      <c r="F85" t="n">
        <v>-10</v>
      </c>
      <c r="G85" t="n">
        <v>558.933</v>
      </c>
      <c r="H85" t="n">
        <v>624.566</v>
      </c>
      <c r="I85" t="n">
        <v>30</v>
      </c>
      <c r="J85" t="inlineStr">
        <is>
          <t>BTBR</t>
        </is>
      </c>
      <c r="K85" t="inlineStr">
        <is>
          <t>Male</t>
        </is>
      </c>
      <c r="L85" t="inlineStr">
        <is>
          <t>No focal subject</t>
        </is>
      </c>
      <c r="M85" t="n">
        <v>42.359</v>
      </c>
      <c r="N85" t="inlineStr">
        <is>
          <t>Explore_F</t>
        </is>
      </c>
      <c r="O85" t="inlineStr">
        <is>
          <t>Familiar</t>
        </is>
      </c>
      <c r="P85" t="inlineStr">
        <is>
          <t>STATE</t>
        </is>
      </c>
      <c r="Q85" t="n">
        <v>96.367</v>
      </c>
      <c r="R85" t="n">
        <v>97.033</v>
      </c>
      <c r="S85" t="n">
        <v>0.666</v>
      </c>
      <c r="T85" t="inlineStr">
        <is>
          <t>BTBR\training\c3m2.mp4</t>
        </is>
      </c>
      <c r="U85" t="n">
        <v>2891</v>
      </c>
      <c r="V85" t="n">
        <v>2912</v>
      </c>
      <c r="W85" t="n">
        <v/>
      </c>
      <c r="X85" t="n">
        <v/>
      </c>
      <c r="Y85" t="n">
        <v/>
      </c>
      <c r="Z85" t="n">
        <v/>
      </c>
      <c r="AA85">
        <f>SUMIFS($S$2:S85,$A$2:A85,A85,$N$2:N85,"Explore*")</f>
        <v/>
      </c>
      <c r="AB85">
        <f>IF(AND(LEFT(N85,7)="Explore",(AA85-IF(LEFT(N85,7)="Explore",S85,0))&lt;10),"SI","NO")</f>
        <v/>
      </c>
    </row>
    <row r="86">
      <c r="A86" t="inlineStr">
        <is>
          <t>c3m2_training</t>
        </is>
      </c>
      <c r="B86" t="inlineStr">
        <is>
          <t>2026-02-19 11:38:26.089</t>
        </is>
      </c>
      <c r="C86" t="n">
        <v/>
      </c>
      <c r="D86" t="inlineStr">
        <is>
          <t>Media file</t>
        </is>
      </c>
      <c r="E86" t="inlineStr">
        <is>
          <t>player #1:BTBR\training\c3m2.mp4</t>
        </is>
      </c>
      <c r="F86" t="n">
        <v>-10</v>
      </c>
      <c r="G86" t="n">
        <v>558.933</v>
      </c>
      <c r="H86" t="n">
        <v>624.566</v>
      </c>
      <c r="I86" t="n">
        <v>30</v>
      </c>
      <c r="J86" t="inlineStr">
        <is>
          <t>BTBR</t>
        </is>
      </c>
      <c r="K86" t="inlineStr">
        <is>
          <t>Male</t>
        </is>
      </c>
      <c r="L86" t="inlineStr">
        <is>
          <t>No focal subject</t>
        </is>
      </c>
      <c r="M86" t="n">
        <v>42.359</v>
      </c>
      <c r="N86" t="inlineStr">
        <is>
          <t>Explore_F2</t>
        </is>
      </c>
      <c r="O86" t="inlineStr">
        <is>
          <t>Second familiar</t>
        </is>
      </c>
      <c r="P86" t="inlineStr">
        <is>
          <t>STATE</t>
        </is>
      </c>
      <c r="Q86" t="n">
        <v>107.867</v>
      </c>
      <c r="R86" t="n">
        <v>108.867</v>
      </c>
      <c r="S86" t="n">
        <v>1</v>
      </c>
      <c r="T86" t="inlineStr">
        <is>
          <t>BTBR\training\c3m2.mp4</t>
        </is>
      </c>
      <c r="U86" t="n">
        <v>3236</v>
      </c>
      <c r="V86" t="n">
        <v>3266</v>
      </c>
      <c r="W86" t="n">
        <v/>
      </c>
      <c r="X86" t="n">
        <v/>
      </c>
      <c r="Y86" t="n">
        <v/>
      </c>
      <c r="Z86" t="n">
        <v/>
      </c>
      <c r="AA86">
        <f>SUMIFS($S$2:S86,$A$2:A86,A86,$N$2:N86,"Explore*")</f>
        <v/>
      </c>
      <c r="AB86">
        <f>IF(AND(LEFT(N86,7)="Explore",(AA86-IF(LEFT(N86,7)="Explore",S86,0))&lt;10),"SI","NO")</f>
        <v/>
      </c>
    </row>
    <row r="87">
      <c r="A87" t="inlineStr">
        <is>
          <t>c3m2_training</t>
        </is>
      </c>
      <c r="B87" t="inlineStr">
        <is>
          <t>2026-02-19 11:38:26.089</t>
        </is>
      </c>
      <c r="C87" t="n">
        <v/>
      </c>
      <c r="D87" t="inlineStr">
        <is>
          <t>Media file</t>
        </is>
      </c>
      <c r="E87" t="inlineStr">
        <is>
          <t>player #1:BTBR\training\c3m2.mp4</t>
        </is>
      </c>
      <c r="F87" t="n">
        <v>-10</v>
      </c>
      <c r="G87" t="n">
        <v>558.933</v>
      </c>
      <c r="H87" t="n">
        <v>624.566</v>
      </c>
      <c r="I87" t="n">
        <v>30</v>
      </c>
      <c r="J87" t="inlineStr">
        <is>
          <t>BTBR</t>
        </is>
      </c>
      <c r="K87" t="inlineStr">
        <is>
          <t>Male</t>
        </is>
      </c>
      <c r="L87" t="inlineStr">
        <is>
          <t>No focal subject</t>
        </is>
      </c>
      <c r="M87" t="n">
        <v>42.359</v>
      </c>
      <c r="N87" t="inlineStr">
        <is>
          <t>Explore_F</t>
        </is>
      </c>
      <c r="O87" t="inlineStr">
        <is>
          <t>Familiar</t>
        </is>
      </c>
      <c r="P87" t="inlineStr">
        <is>
          <t>STATE</t>
        </is>
      </c>
      <c r="Q87" t="n">
        <v>109.5</v>
      </c>
      <c r="R87" t="n">
        <v>110.5</v>
      </c>
      <c r="S87" t="n">
        <v>1</v>
      </c>
      <c r="T87" t="inlineStr">
        <is>
          <t>BTBR\training\c3m2.mp4</t>
        </is>
      </c>
      <c r="U87" t="n">
        <v>3287</v>
      </c>
      <c r="V87" t="n">
        <v>3317</v>
      </c>
      <c r="W87" t="n">
        <v/>
      </c>
      <c r="X87" t="n">
        <v/>
      </c>
      <c r="Y87" t="n">
        <v/>
      </c>
      <c r="Z87" t="n">
        <v/>
      </c>
      <c r="AA87">
        <f>SUMIFS($S$2:S87,$A$2:A87,A87,$N$2:N87,"Explore*")</f>
        <v/>
      </c>
      <c r="AB87">
        <f>IF(AND(LEFT(N87,7)="Explore",(AA87-IF(LEFT(N87,7)="Explore",S87,0))&lt;10),"SI","NO")</f>
        <v/>
      </c>
    </row>
    <row r="88">
      <c r="A88" t="inlineStr">
        <is>
          <t>c3m2_training</t>
        </is>
      </c>
      <c r="B88" t="inlineStr">
        <is>
          <t>2026-02-19 11:38:26.089</t>
        </is>
      </c>
      <c r="C88" t="n">
        <v/>
      </c>
      <c r="D88" t="inlineStr">
        <is>
          <t>Media file</t>
        </is>
      </c>
      <c r="E88" t="inlineStr">
        <is>
          <t>player #1:BTBR\training\c3m2.mp4</t>
        </is>
      </c>
      <c r="F88" t="n">
        <v>-10</v>
      </c>
      <c r="G88" t="n">
        <v>558.933</v>
      </c>
      <c r="H88" t="n">
        <v>624.566</v>
      </c>
      <c r="I88" t="n">
        <v>30</v>
      </c>
      <c r="J88" t="inlineStr">
        <is>
          <t>BTBR</t>
        </is>
      </c>
      <c r="K88" t="inlineStr">
        <is>
          <t>Male</t>
        </is>
      </c>
      <c r="L88" t="inlineStr">
        <is>
          <t>No focal subject</t>
        </is>
      </c>
      <c r="M88" t="n">
        <v>42.359</v>
      </c>
      <c r="N88" t="inlineStr">
        <is>
          <t>Explore_F</t>
        </is>
      </c>
      <c r="O88" t="inlineStr">
        <is>
          <t>Familiar</t>
        </is>
      </c>
      <c r="P88" t="inlineStr">
        <is>
          <t>STATE</t>
        </is>
      </c>
      <c r="Q88" t="n">
        <v>112.4</v>
      </c>
      <c r="R88" t="n">
        <v>113.033</v>
      </c>
      <c r="S88" t="n">
        <v>0.633</v>
      </c>
      <c r="T88" t="inlineStr">
        <is>
          <t>BTBR\training\c3m2.mp4</t>
        </is>
      </c>
      <c r="U88" t="n">
        <v>3372</v>
      </c>
      <c r="V88" t="n">
        <v>3392</v>
      </c>
      <c r="W88" t="n">
        <v/>
      </c>
      <c r="X88" t="n">
        <v/>
      </c>
      <c r="Y88" t="n">
        <v/>
      </c>
      <c r="Z88" t="n">
        <v/>
      </c>
      <c r="AA88">
        <f>SUMIFS($S$2:S88,$A$2:A88,A88,$N$2:N88,"Explore*")</f>
        <v/>
      </c>
      <c r="AB88">
        <f>IF(AND(LEFT(N88,7)="Explore",(AA88-IF(LEFT(N88,7)="Explore",S88,0))&lt;10),"SI","NO")</f>
        <v/>
      </c>
    </row>
    <row r="89">
      <c r="A89" t="inlineStr">
        <is>
          <t>c3m2_training</t>
        </is>
      </c>
      <c r="B89" t="inlineStr">
        <is>
          <t>2026-02-19 11:38:26.089</t>
        </is>
      </c>
      <c r="C89" t="n">
        <v/>
      </c>
      <c r="D89" t="inlineStr">
        <is>
          <t>Media file</t>
        </is>
      </c>
      <c r="E89" t="inlineStr">
        <is>
          <t>player #1:BTBR\training\c3m2.mp4</t>
        </is>
      </c>
      <c r="F89" t="n">
        <v>-10</v>
      </c>
      <c r="G89" t="n">
        <v>558.933</v>
      </c>
      <c r="H89" t="n">
        <v>624.566</v>
      </c>
      <c r="I89" t="n">
        <v>30</v>
      </c>
      <c r="J89" t="inlineStr">
        <is>
          <t>BTBR</t>
        </is>
      </c>
      <c r="K89" t="inlineStr">
        <is>
          <t>Male</t>
        </is>
      </c>
      <c r="L89" t="inlineStr">
        <is>
          <t>No focal subject</t>
        </is>
      </c>
      <c r="M89" t="n">
        <v>42.359</v>
      </c>
      <c r="N89" t="inlineStr">
        <is>
          <t>Explore_F2</t>
        </is>
      </c>
      <c r="O89" t="inlineStr">
        <is>
          <t>Second familiar</t>
        </is>
      </c>
      <c r="P89" t="inlineStr">
        <is>
          <t>STATE</t>
        </is>
      </c>
      <c r="Q89" t="n">
        <v>115.333</v>
      </c>
      <c r="R89" t="n">
        <v>116.333</v>
      </c>
      <c r="S89" t="n">
        <v>1</v>
      </c>
      <c r="T89" t="inlineStr">
        <is>
          <t>BTBR\training\c3m2.mp4</t>
        </is>
      </c>
      <c r="U89" t="n">
        <v>3460</v>
      </c>
      <c r="V89" t="n">
        <v>3490</v>
      </c>
      <c r="W89" t="n">
        <v/>
      </c>
      <c r="X89" t="n">
        <v/>
      </c>
      <c r="Y89" t="n">
        <v/>
      </c>
      <c r="Z89" t="n">
        <v/>
      </c>
      <c r="AA89">
        <f>SUMIFS($S$2:S89,$A$2:A89,A89,$N$2:N89,"Explore*")</f>
        <v/>
      </c>
      <c r="AB89">
        <f>IF(AND(LEFT(N89,7)="Explore",(AA89-IF(LEFT(N89,7)="Explore",S89,0))&lt;10),"SI","NO")</f>
        <v/>
      </c>
    </row>
    <row r="90">
      <c r="A90" t="inlineStr">
        <is>
          <t>c3m2_training</t>
        </is>
      </c>
      <c r="B90" t="inlineStr">
        <is>
          <t>2026-02-19 11:38:26.089</t>
        </is>
      </c>
      <c r="C90" t="n">
        <v/>
      </c>
      <c r="D90" t="inlineStr">
        <is>
          <t>Media file</t>
        </is>
      </c>
      <c r="E90" t="inlineStr">
        <is>
          <t>player #1:BTBR\training\c3m2.mp4</t>
        </is>
      </c>
      <c r="F90" t="n">
        <v>-10</v>
      </c>
      <c r="G90" t="n">
        <v>558.933</v>
      </c>
      <c r="H90" t="n">
        <v>624.566</v>
      </c>
      <c r="I90" t="n">
        <v>30</v>
      </c>
      <c r="J90" t="inlineStr">
        <is>
          <t>BTBR</t>
        </is>
      </c>
      <c r="K90" t="inlineStr">
        <is>
          <t>Male</t>
        </is>
      </c>
      <c r="L90" t="inlineStr">
        <is>
          <t>No focal subject</t>
        </is>
      </c>
      <c r="M90" t="n">
        <v>42.359</v>
      </c>
      <c r="N90" t="inlineStr">
        <is>
          <t>Explore_F</t>
        </is>
      </c>
      <c r="O90" t="inlineStr">
        <is>
          <t>Familiar</t>
        </is>
      </c>
      <c r="P90" t="inlineStr">
        <is>
          <t>STATE</t>
        </is>
      </c>
      <c r="Q90" t="n">
        <v>121.9</v>
      </c>
      <c r="R90" t="n">
        <v>122.567</v>
      </c>
      <c r="S90" t="n">
        <v>0.667</v>
      </c>
      <c r="T90" t="inlineStr">
        <is>
          <t>BTBR\training\c3m2.mp4</t>
        </is>
      </c>
      <c r="U90" t="n">
        <v>3657</v>
      </c>
      <c r="V90" t="n">
        <v>3677</v>
      </c>
      <c r="W90" t="n">
        <v/>
      </c>
      <c r="X90" t="n">
        <v/>
      </c>
      <c r="Y90" t="n">
        <v/>
      </c>
      <c r="Z90" t="n">
        <v/>
      </c>
      <c r="AA90">
        <f>SUMIFS($S$2:S90,$A$2:A90,A90,$N$2:N90,"Explore*")</f>
        <v/>
      </c>
      <c r="AB90">
        <f>IF(AND(LEFT(N90,7)="Explore",(AA90-IF(LEFT(N90,7)="Explore",S90,0))&lt;10),"SI","NO")</f>
        <v/>
      </c>
    </row>
    <row r="91">
      <c r="A91" t="inlineStr">
        <is>
          <t>c3m2_training</t>
        </is>
      </c>
      <c r="B91" t="inlineStr">
        <is>
          <t>2026-02-19 11:38:26.089</t>
        </is>
      </c>
      <c r="C91" t="n">
        <v/>
      </c>
      <c r="D91" t="inlineStr">
        <is>
          <t>Media file</t>
        </is>
      </c>
      <c r="E91" t="inlineStr">
        <is>
          <t>player #1:BTBR\training\c3m2.mp4</t>
        </is>
      </c>
      <c r="F91" t="n">
        <v>-10</v>
      </c>
      <c r="G91" t="n">
        <v>558.933</v>
      </c>
      <c r="H91" t="n">
        <v>624.566</v>
      </c>
      <c r="I91" t="n">
        <v>30</v>
      </c>
      <c r="J91" t="inlineStr">
        <is>
          <t>BTBR</t>
        </is>
      </c>
      <c r="K91" t="inlineStr">
        <is>
          <t>Male</t>
        </is>
      </c>
      <c r="L91" t="inlineStr">
        <is>
          <t>No focal subject</t>
        </is>
      </c>
      <c r="M91" t="n">
        <v>42.359</v>
      </c>
      <c r="N91" t="inlineStr">
        <is>
          <t>Explore_F</t>
        </is>
      </c>
      <c r="O91" t="inlineStr">
        <is>
          <t>Familiar</t>
        </is>
      </c>
      <c r="P91" t="inlineStr">
        <is>
          <t>STATE</t>
        </is>
      </c>
      <c r="Q91" t="n">
        <v>124.067</v>
      </c>
      <c r="R91" t="n">
        <v>124.933</v>
      </c>
      <c r="S91" t="n">
        <v>0.866</v>
      </c>
      <c r="T91" t="inlineStr">
        <is>
          <t>BTBR\training\c3m2.mp4</t>
        </is>
      </c>
      <c r="U91" t="n">
        <v>3722</v>
      </c>
      <c r="V91" t="n">
        <v>3748</v>
      </c>
      <c r="W91" t="n">
        <v/>
      </c>
      <c r="X91" t="n">
        <v/>
      </c>
      <c r="Y91" t="n">
        <v/>
      </c>
      <c r="Z91" t="n">
        <v/>
      </c>
      <c r="AA91">
        <f>SUMIFS($S$2:S91,$A$2:A91,A91,$N$2:N91,"Explore*")</f>
        <v/>
      </c>
      <c r="AB91">
        <f>IF(AND(LEFT(N91,7)="Explore",(AA91-IF(LEFT(N91,7)="Explore",S91,0))&lt;10),"SI","NO")</f>
        <v/>
      </c>
    </row>
    <row r="92">
      <c r="A92" t="inlineStr">
        <is>
          <t>c3m2_training</t>
        </is>
      </c>
      <c r="B92" t="inlineStr">
        <is>
          <t>2026-02-19 11:38:26.089</t>
        </is>
      </c>
      <c r="C92" t="n">
        <v/>
      </c>
      <c r="D92" t="inlineStr">
        <is>
          <t>Media file</t>
        </is>
      </c>
      <c r="E92" t="inlineStr">
        <is>
          <t>player #1:BTBR\training\c3m2.mp4</t>
        </is>
      </c>
      <c r="F92" t="n">
        <v>-10</v>
      </c>
      <c r="G92" t="n">
        <v>558.933</v>
      </c>
      <c r="H92" t="n">
        <v>624.566</v>
      </c>
      <c r="I92" t="n">
        <v>30</v>
      </c>
      <c r="J92" t="inlineStr">
        <is>
          <t>BTBR</t>
        </is>
      </c>
      <c r="K92" t="inlineStr">
        <is>
          <t>Male</t>
        </is>
      </c>
      <c r="L92" t="inlineStr">
        <is>
          <t>No focal subject</t>
        </is>
      </c>
      <c r="M92" t="n">
        <v>42.359</v>
      </c>
      <c r="N92" t="inlineStr">
        <is>
          <t>Explore_F2</t>
        </is>
      </c>
      <c r="O92" t="inlineStr">
        <is>
          <t>Second familiar</t>
        </is>
      </c>
      <c r="P92" t="inlineStr">
        <is>
          <t>STATE</t>
        </is>
      </c>
      <c r="Q92" t="n">
        <v>126.233</v>
      </c>
      <c r="R92" t="n">
        <v>127.267</v>
      </c>
      <c r="S92" t="n">
        <v>1.034</v>
      </c>
      <c r="T92" t="inlineStr">
        <is>
          <t>BTBR\training\c3m2.mp4</t>
        </is>
      </c>
      <c r="U92" t="n">
        <v>3787</v>
      </c>
      <c r="V92" t="n">
        <v>3818</v>
      </c>
      <c r="W92" t="n">
        <v/>
      </c>
      <c r="X92" t="n">
        <v/>
      </c>
      <c r="Y92" t="n">
        <v/>
      </c>
      <c r="Z92" t="n">
        <v/>
      </c>
      <c r="AA92">
        <f>SUMIFS($S$2:S92,$A$2:A92,A92,$N$2:N92,"Explore*")</f>
        <v/>
      </c>
      <c r="AB92">
        <f>IF(AND(LEFT(N92,7)="Explore",(AA92-IF(LEFT(N92,7)="Explore",S92,0))&lt;10),"SI","NO")</f>
        <v/>
      </c>
    </row>
    <row r="93">
      <c r="A93" t="inlineStr">
        <is>
          <t>c3m2_training</t>
        </is>
      </c>
      <c r="B93" t="inlineStr">
        <is>
          <t>2026-02-19 11:38:26.089</t>
        </is>
      </c>
      <c r="C93" t="n">
        <v/>
      </c>
      <c r="D93" t="inlineStr">
        <is>
          <t>Media file</t>
        </is>
      </c>
      <c r="E93" t="inlineStr">
        <is>
          <t>player #1:BTBR\training\c3m2.mp4</t>
        </is>
      </c>
      <c r="F93" t="n">
        <v>-10</v>
      </c>
      <c r="G93" t="n">
        <v>558.933</v>
      </c>
      <c r="H93" t="n">
        <v>624.566</v>
      </c>
      <c r="I93" t="n">
        <v>30</v>
      </c>
      <c r="J93" t="inlineStr">
        <is>
          <t>BTBR</t>
        </is>
      </c>
      <c r="K93" t="inlineStr">
        <is>
          <t>Male</t>
        </is>
      </c>
      <c r="L93" t="inlineStr">
        <is>
          <t>No focal subject</t>
        </is>
      </c>
      <c r="M93" t="n">
        <v>42.359</v>
      </c>
      <c r="N93" t="inlineStr">
        <is>
          <t>Explore_F2</t>
        </is>
      </c>
      <c r="O93" t="inlineStr">
        <is>
          <t>Second familiar</t>
        </is>
      </c>
      <c r="P93" t="inlineStr">
        <is>
          <t>STATE</t>
        </is>
      </c>
      <c r="Q93" t="n">
        <v>133.6</v>
      </c>
      <c r="R93" t="n">
        <v>134.3</v>
      </c>
      <c r="S93" t="n">
        <v>0.7</v>
      </c>
      <c r="T93" t="inlineStr">
        <is>
          <t>BTBR\training\c3m2.mp4</t>
        </is>
      </c>
      <c r="U93" t="n">
        <v>4008</v>
      </c>
      <c r="V93" t="n">
        <v>4029</v>
      </c>
      <c r="W93" t="n">
        <v/>
      </c>
      <c r="X93" t="n">
        <v/>
      </c>
      <c r="Y93" t="n">
        <v/>
      </c>
      <c r="Z93" t="n">
        <v/>
      </c>
      <c r="AA93">
        <f>SUMIFS($S$2:S93,$A$2:A93,A93,$N$2:N93,"Explore*")</f>
        <v/>
      </c>
      <c r="AB93">
        <f>IF(AND(LEFT(N93,7)="Explore",(AA93-IF(LEFT(N93,7)="Explore",S93,0))&lt;10),"SI","NO")</f>
        <v/>
      </c>
    </row>
    <row r="94">
      <c r="A94" t="inlineStr">
        <is>
          <t>c3m2_training</t>
        </is>
      </c>
      <c r="B94" t="inlineStr">
        <is>
          <t>2026-02-19 11:38:26.089</t>
        </is>
      </c>
      <c r="C94" t="n">
        <v/>
      </c>
      <c r="D94" t="inlineStr">
        <is>
          <t>Media file</t>
        </is>
      </c>
      <c r="E94" t="inlineStr">
        <is>
          <t>player #1:BTBR\training\c3m2.mp4</t>
        </is>
      </c>
      <c r="F94" t="n">
        <v>-10</v>
      </c>
      <c r="G94" t="n">
        <v>558.933</v>
      </c>
      <c r="H94" t="n">
        <v>624.566</v>
      </c>
      <c r="I94" t="n">
        <v>30</v>
      </c>
      <c r="J94" t="inlineStr">
        <is>
          <t>BTBR</t>
        </is>
      </c>
      <c r="K94" t="inlineStr">
        <is>
          <t>Male</t>
        </is>
      </c>
      <c r="L94" t="inlineStr">
        <is>
          <t>No focal subject</t>
        </is>
      </c>
      <c r="M94" t="n">
        <v>42.359</v>
      </c>
      <c r="N94" t="inlineStr">
        <is>
          <t>Explore_F</t>
        </is>
      </c>
      <c r="O94" t="inlineStr">
        <is>
          <t>Familiar</t>
        </is>
      </c>
      <c r="P94" t="inlineStr">
        <is>
          <t>STATE</t>
        </is>
      </c>
      <c r="Q94" t="n">
        <v>135.9</v>
      </c>
      <c r="R94" t="n">
        <v>136.733</v>
      </c>
      <c r="S94" t="n">
        <v>0.833</v>
      </c>
      <c r="T94" t="inlineStr">
        <is>
          <t>BTBR\training\c3m2.mp4</t>
        </is>
      </c>
      <c r="U94" t="n">
        <v>4077</v>
      </c>
      <c r="V94" t="n">
        <v>4102</v>
      </c>
      <c r="W94" t="n">
        <v/>
      </c>
      <c r="X94" t="n">
        <v/>
      </c>
      <c r="Y94" t="n">
        <v/>
      </c>
      <c r="Z94" t="n">
        <v/>
      </c>
      <c r="AA94">
        <f>SUMIFS($S$2:S94,$A$2:A94,A94,$N$2:N94,"Explore*")</f>
        <v/>
      </c>
      <c r="AB94">
        <f>IF(AND(LEFT(N94,7)="Explore",(AA94-IF(LEFT(N94,7)="Explore",S94,0))&lt;10),"SI","NO")</f>
        <v/>
      </c>
    </row>
    <row r="95">
      <c r="A95" t="inlineStr">
        <is>
          <t>c3m2_training</t>
        </is>
      </c>
      <c r="B95" t="inlineStr">
        <is>
          <t>2026-02-19 11:38:26.089</t>
        </is>
      </c>
      <c r="C95" t="n">
        <v/>
      </c>
      <c r="D95" t="inlineStr">
        <is>
          <t>Media file</t>
        </is>
      </c>
      <c r="E95" t="inlineStr">
        <is>
          <t>player #1:BTBR\training\c3m2.mp4</t>
        </is>
      </c>
      <c r="F95" t="n">
        <v>-10</v>
      </c>
      <c r="G95" t="n">
        <v>558.933</v>
      </c>
      <c r="H95" t="n">
        <v>624.566</v>
      </c>
      <c r="I95" t="n">
        <v>30</v>
      </c>
      <c r="J95" t="inlineStr">
        <is>
          <t>BTBR</t>
        </is>
      </c>
      <c r="K95" t="inlineStr">
        <is>
          <t>Male</t>
        </is>
      </c>
      <c r="L95" t="inlineStr">
        <is>
          <t>No focal subject</t>
        </is>
      </c>
      <c r="M95" t="n">
        <v>42.359</v>
      </c>
      <c r="N95" t="inlineStr">
        <is>
          <t>Explore_F2</t>
        </is>
      </c>
      <c r="O95" t="inlineStr">
        <is>
          <t>Second familiar</t>
        </is>
      </c>
      <c r="P95" t="inlineStr">
        <is>
          <t>STATE</t>
        </is>
      </c>
      <c r="Q95" t="n">
        <v>138.467</v>
      </c>
      <c r="R95" t="n">
        <v>139.1</v>
      </c>
      <c r="S95" t="n">
        <v>0.633</v>
      </c>
      <c r="T95" t="inlineStr">
        <is>
          <t>BTBR\training\c3m2.mp4</t>
        </is>
      </c>
      <c r="U95" t="n">
        <v>4154</v>
      </c>
      <c r="V95" t="n">
        <v>4173</v>
      </c>
      <c r="W95" t="n">
        <v/>
      </c>
      <c r="X95" t="n">
        <v/>
      </c>
      <c r="Y95" t="n">
        <v/>
      </c>
      <c r="Z95" t="n">
        <v/>
      </c>
      <c r="AA95">
        <f>SUMIFS($S$2:S95,$A$2:A95,A95,$N$2:N95,"Explore*")</f>
        <v/>
      </c>
      <c r="AB95">
        <f>IF(AND(LEFT(N95,7)="Explore",(AA95-IF(LEFT(N95,7)="Explore",S95,0))&lt;10),"SI","NO")</f>
        <v/>
      </c>
    </row>
    <row r="96">
      <c r="A96" t="inlineStr">
        <is>
          <t>c3m2_training</t>
        </is>
      </c>
      <c r="B96" t="inlineStr">
        <is>
          <t>2026-02-19 11:38:26.089</t>
        </is>
      </c>
      <c r="C96" t="n">
        <v/>
      </c>
      <c r="D96" t="inlineStr">
        <is>
          <t>Media file</t>
        </is>
      </c>
      <c r="E96" t="inlineStr">
        <is>
          <t>player #1:BTBR\training\c3m2.mp4</t>
        </is>
      </c>
      <c r="F96" t="n">
        <v>-10</v>
      </c>
      <c r="G96" t="n">
        <v>558.933</v>
      </c>
      <c r="H96" t="n">
        <v>624.566</v>
      </c>
      <c r="I96" t="n">
        <v>30</v>
      </c>
      <c r="J96" t="inlineStr">
        <is>
          <t>BTBR</t>
        </is>
      </c>
      <c r="K96" t="inlineStr">
        <is>
          <t>Male</t>
        </is>
      </c>
      <c r="L96" t="inlineStr">
        <is>
          <t>No focal subject</t>
        </is>
      </c>
      <c r="M96" t="n">
        <v>42.359</v>
      </c>
      <c r="N96" t="inlineStr">
        <is>
          <t>Explore_F</t>
        </is>
      </c>
      <c r="O96" t="inlineStr">
        <is>
          <t>Familiar</t>
        </is>
      </c>
      <c r="P96" t="inlineStr">
        <is>
          <t>STATE</t>
        </is>
      </c>
      <c r="Q96" t="n">
        <v>140.367</v>
      </c>
      <c r="R96" t="n">
        <v>141.333</v>
      </c>
      <c r="S96" t="n">
        <v>0.966</v>
      </c>
      <c r="T96" t="inlineStr">
        <is>
          <t>BTBR\training\c3m2.mp4</t>
        </is>
      </c>
      <c r="U96" t="n">
        <v>4211</v>
      </c>
      <c r="V96" t="n">
        <v>4240</v>
      </c>
      <c r="W96" t="n">
        <v/>
      </c>
      <c r="X96" t="n">
        <v/>
      </c>
      <c r="Y96" t="n">
        <v/>
      </c>
      <c r="Z96" t="n">
        <v/>
      </c>
      <c r="AA96">
        <f>SUMIFS($S$2:S96,$A$2:A96,A96,$N$2:N96,"Explore*")</f>
        <v/>
      </c>
      <c r="AB96">
        <f>IF(AND(LEFT(N96,7)="Explore",(AA96-IF(LEFT(N96,7)="Explore",S96,0))&lt;10),"SI","NO")</f>
        <v/>
      </c>
    </row>
    <row r="97">
      <c r="A97" t="inlineStr">
        <is>
          <t>c3m2_training</t>
        </is>
      </c>
      <c r="B97" t="inlineStr">
        <is>
          <t>2026-02-19 11:38:26.089</t>
        </is>
      </c>
      <c r="C97" t="n">
        <v/>
      </c>
      <c r="D97" t="inlineStr">
        <is>
          <t>Media file</t>
        </is>
      </c>
      <c r="E97" t="inlineStr">
        <is>
          <t>player #1:BTBR\training\c3m2.mp4</t>
        </is>
      </c>
      <c r="F97" t="n">
        <v>-10</v>
      </c>
      <c r="G97" t="n">
        <v>558.933</v>
      </c>
      <c r="H97" t="n">
        <v>624.566</v>
      </c>
      <c r="I97" t="n">
        <v>30</v>
      </c>
      <c r="J97" t="inlineStr">
        <is>
          <t>BTBR</t>
        </is>
      </c>
      <c r="K97" t="inlineStr">
        <is>
          <t>Male</t>
        </is>
      </c>
      <c r="L97" t="inlineStr">
        <is>
          <t>No focal subject</t>
        </is>
      </c>
      <c r="M97" t="n">
        <v>42.359</v>
      </c>
      <c r="N97" t="inlineStr">
        <is>
          <t>Explore_F</t>
        </is>
      </c>
      <c r="O97" t="inlineStr">
        <is>
          <t>Familiar</t>
        </is>
      </c>
      <c r="P97" t="inlineStr">
        <is>
          <t>STATE</t>
        </is>
      </c>
      <c r="Q97" t="n">
        <v>145.1</v>
      </c>
      <c r="R97" t="n">
        <v>145.967</v>
      </c>
      <c r="S97" t="n">
        <v>0.867</v>
      </c>
      <c r="T97" t="inlineStr">
        <is>
          <t>BTBR\training\c3m2.mp4</t>
        </is>
      </c>
      <c r="U97" t="n">
        <v>4353</v>
      </c>
      <c r="V97" t="n">
        <v>4379</v>
      </c>
      <c r="W97" t="n">
        <v/>
      </c>
      <c r="X97" t="n">
        <v/>
      </c>
      <c r="Y97" t="n">
        <v/>
      </c>
      <c r="Z97" t="n">
        <v/>
      </c>
      <c r="AA97">
        <f>SUMIFS($S$2:S97,$A$2:A97,A97,$N$2:N97,"Explore*")</f>
        <v/>
      </c>
      <c r="AB97">
        <f>IF(AND(LEFT(N97,7)="Explore",(AA97-IF(LEFT(N97,7)="Explore",S97,0))&lt;10),"SI","NO")</f>
        <v/>
      </c>
    </row>
    <row r="98">
      <c r="A98" t="inlineStr">
        <is>
          <t>c3m2_training</t>
        </is>
      </c>
      <c r="B98" t="inlineStr">
        <is>
          <t>2026-02-19 11:38:26.089</t>
        </is>
      </c>
      <c r="C98" t="n">
        <v/>
      </c>
      <c r="D98" t="inlineStr">
        <is>
          <t>Media file</t>
        </is>
      </c>
      <c r="E98" t="inlineStr">
        <is>
          <t>player #1:BTBR\training\c3m2.mp4</t>
        </is>
      </c>
      <c r="F98" t="n">
        <v>-10</v>
      </c>
      <c r="G98" t="n">
        <v>558.933</v>
      </c>
      <c r="H98" t="n">
        <v>624.566</v>
      </c>
      <c r="I98" t="n">
        <v>30</v>
      </c>
      <c r="J98" t="inlineStr">
        <is>
          <t>BTBR</t>
        </is>
      </c>
      <c r="K98" t="inlineStr">
        <is>
          <t>Male</t>
        </is>
      </c>
      <c r="L98" t="inlineStr">
        <is>
          <t>No focal subject</t>
        </is>
      </c>
      <c r="M98" t="n">
        <v>42.359</v>
      </c>
      <c r="N98" t="inlineStr">
        <is>
          <t>Explore_F2</t>
        </is>
      </c>
      <c r="O98" t="inlineStr">
        <is>
          <t>Second familiar</t>
        </is>
      </c>
      <c r="P98" t="inlineStr">
        <is>
          <t>STATE</t>
        </is>
      </c>
      <c r="Q98" t="n">
        <v>148.467</v>
      </c>
      <c r="R98" t="n">
        <v>149.233</v>
      </c>
      <c r="S98" t="n">
        <v>0.766</v>
      </c>
      <c r="T98" t="inlineStr">
        <is>
          <t>BTBR\training\c3m2.mp4</t>
        </is>
      </c>
      <c r="U98" t="n">
        <v>4454</v>
      </c>
      <c r="V98" t="n">
        <v>4477</v>
      </c>
      <c r="W98" t="n">
        <v/>
      </c>
      <c r="X98" t="n">
        <v/>
      </c>
      <c r="Y98" t="n">
        <v/>
      </c>
      <c r="Z98" t="n">
        <v/>
      </c>
      <c r="AA98">
        <f>SUMIFS($S$2:S98,$A$2:A98,A98,$N$2:N98,"Explore*")</f>
        <v/>
      </c>
      <c r="AB98">
        <f>IF(AND(LEFT(N98,7)="Explore",(AA98-IF(LEFT(N98,7)="Explore",S98,0))&lt;10),"SI","NO")</f>
        <v/>
      </c>
    </row>
    <row r="99">
      <c r="A99" t="inlineStr">
        <is>
          <t>c3m2_training</t>
        </is>
      </c>
      <c r="B99" t="inlineStr">
        <is>
          <t>2026-02-19 11:38:26.089</t>
        </is>
      </c>
      <c r="C99" t="n">
        <v/>
      </c>
      <c r="D99" t="inlineStr">
        <is>
          <t>Media file</t>
        </is>
      </c>
      <c r="E99" t="inlineStr">
        <is>
          <t>player #1:BTBR\training\c3m2.mp4</t>
        </is>
      </c>
      <c r="F99" t="n">
        <v>-10</v>
      </c>
      <c r="G99" t="n">
        <v>558.933</v>
      </c>
      <c r="H99" t="n">
        <v>624.566</v>
      </c>
      <c r="I99" t="n">
        <v>30</v>
      </c>
      <c r="J99" t="inlineStr">
        <is>
          <t>BTBR</t>
        </is>
      </c>
      <c r="K99" t="inlineStr">
        <is>
          <t>Male</t>
        </is>
      </c>
      <c r="L99" t="inlineStr">
        <is>
          <t>No focal subject</t>
        </is>
      </c>
      <c r="M99" t="n">
        <v>42.359</v>
      </c>
      <c r="N99" t="inlineStr">
        <is>
          <t>Explore_F2</t>
        </is>
      </c>
      <c r="O99" t="inlineStr">
        <is>
          <t>Second familiar</t>
        </is>
      </c>
      <c r="P99" t="inlineStr">
        <is>
          <t>STATE</t>
        </is>
      </c>
      <c r="Q99" t="n">
        <v>162.866</v>
      </c>
      <c r="R99" t="n">
        <v>163.266</v>
      </c>
      <c r="S99" t="n">
        <v>0.4</v>
      </c>
      <c r="T99" t="inlineStr">
        <is>
          <t>BTBR\training\c3m2.mp4</t>
        </is>
      </c>
      <c r="U99" t="n">
        <v>4886</v>
      </c>
      <c r="V99" t="n">
        <v>4898</v>
      </c>
      <c r="W99" t="n">
        <v/>
      </c>
      <c r="X99" t="n">
        <v/>
      </c>
      <c r="Y99" t="n">
        <v/>
      </c>
      <c r="Z99" t="n">
        <v/>
      </c>
      <c r="AA99">
        <f>SUMIFS($S$2:S99,$A$2:A99,A99,$N$2:N99,"Explore*")</f>
        <v/>
      </c>
      <c r="AB99">
        <f>IF(AND(LEFT(N99,7)="Explore",(AA99-IF(LEFT(N99,7)="Explore",S99,0))&lt;10),"SI","NO")</f>
        <v/>
      </c>
    </row>
    <row r="100">
      <c r="A100" t="inlineStr">
        <is>
          <t>c3m2_training</t>
        </is>
      </c>
      <c r="B100" t="inlineStr">
        <is>
          <t>2026-02-19 11:38:26.089</t>
        </is>
      </c>
      <c r="C100" t="n">
        <v/>
      </c>
      <c r="D100" t="inlineStr">
        <is>
          <t>Media file</t>
        </is>
      </c>
      <c r="E100" t="inlineStr">
        <is>
          <t>player #1:BTBR\training\c3m2.mp4</t>
        </is>
      </c>
      <c r="F100" t="n">
        <v>-10</v>
      </c>
      <c r="G100" t="n">
        <v>558.933</v>
      </c>
      <c r="H100" t="n">
        <v>624.566</v>
      </c>
      <c r="I100" t="n">
        <v>30</v>
      </c>
      <c r="J100" t="inlineStr">
        <is>
          <t>BTBR</t>
        </is>
      </c>
      <c r="K100" t="inlineStr">
        <is>
          <t>Male</t>
        </is>
      </c>
      <c r="L100" t="inlineStr">
        <is>
          <t>No focal subject</t>
        </is>
      </c>
      <c r="M100" t="n">
        <v>42.359</v>
      </c>
      <c r="N100" t="inlineStr">
        <is>
          <t>Explore_F</t>
        </is>
      </c>
      <c r="O100" t="inlineStr">
        <is>
          <t>Familiar</t>
        </is>
      </c>
      <c r="P100" t="inlineStr">
        <is>
          <t>STATE</t>
        </is>
      </c>
      <c r="Q100" t="n">
        <v>197.366</v>
      </c>
      <c r="R100" t="n">
        <v>197.7</v>
      </c>
      <c r="S100" t="n">
        <v>0.334</v>
      </c>
      <c r="T100" t="inlineStr">
        <is>
          <t>BTBR\training\c3m2.mp4</t>
        </is>
      </c>
      <c r="U100" t="n">
        <v>5921</v>
      </c>
      <c r="V100" t="n">
        <v>5931</v>
      </c>
      <c r="W100" t="n">
        <v/>
      </c>
      <c r="X100" t="n">
        <v/>
      </c>
      <c r="Y100" t="n">
        <v/>
      </c>
      <c r="Z100" t="n">
        <v/>
      </c>
      <c r="AA100">
        <f>SUMIFS($S$2:S100,$A$2:A100,A100,$N$2:N100,"Explore*")</f>
        <v/>
      </c>
      <c r="AB100">
        <f>IF(AND(LEFT(N100,7)="Explore",(AA100-IF(LEFT(N100,7)="Explore",S100,0))&lt;10),"SI","NO")</f>
        <v/>
      </c>
    </row>
    <row r="101">
      <c r="A101" t="inlineStr">
        <is>
          <t>c3m2_training</t>
        </is>
      </c>
      <c r="B101" t="inlineStr">
        <is>
          <t>2026-02-19 11:38:26.089</t>
        </is>
      </c>
      <c r="C101" t="n">
        <v/>
      </c>
      <c r="D101" t="inlineStr">
        <is>
          <t>Media file</t>
        </is>
      </c>
      <c r="E101" t="inlineStr">
        <is>
          <t>player #1:BTBR\training\c3m2.mp4</t>
        </is>
      </c>
      <c r="F101" t="n">
        <v>-10</v>
      </c>
      <c r="G101" t="n">
        <v>558.933</v>
      </c>
      <c r="H101" t="n">
        <v>624.566</v>
      </c>
      <c r="I101" t="n">
        <v>30</v>
      </c>
      <c r="J101" t="inlineStr">
        <is>
          <t>BTBR</t>
        </is>
      </c>
      <c r="K101" t="inlineStr">
        <is>
          <t>Male</t>
        </is>
      </c>
      <c r="L101" t="inlineStr">
        <is>
          <t>No focal subject</t>
        </is>
      </c>
      <c r="M101" t="n">
        <v>42.359</v>
      </c>
      <c r="N101" t="inlineStr">
        <is>
          <t>Explore_F2</t>
        </is>
      </c>
      <c r="O101" t="inlineStr">
        <is>
          <t>Second familiar</t>
        </is>
      </c>
      <c r="P101" t="inlineStr">
        <is>
          <t>STATE</t>
        </is>
      </c>
      <c r="Q101" t="n">
        <v>223.9</v>
      </c>
      <c r="R101" t="n">
        <v>224.166</v>
      </c>
      <c r="S101" t="n">
        <v>0.266</v>
      </c>
      <c r="T101" t="inlineStr">
        <is>
          <t>BTBR\training\c3m2.mp4</t>
        </is>
      </c>
      <c r="U101" t="n">
        <v>6717</v>
      </c>
      <c r="V101" t="n">
        <v>6725</v>
      </c>
      <c r="W101" t="n">
        <v/>
      </c>
      <c r="X101" t="n">
        <v/>
      </c>
      <c r="Y101" t="n">
        <v/>
      </c>
      <c r="Z101" t="n">
        <v/>
      </c>
      <c r="AA101">
        <f>SUMIFS($S$2:S101,$A$2:A101,A101,$N$2:N101,"Explore*")</f>
        <v/>
      </c>
      <c r="AB101">
        <f>IF(AND(LEFT(N101,7)="Explore",(AA101-IF(LEFT(N101,7)="Explore",S101,0))&lt;10),"SI","NO")</f>
        <v/>
      </c>
    </row>
    <row r="102">
      <c r="A102" t="inlineStr">
        <is>
          <t>c3m2_training</t>
        </is>
      </c>
      <c r="B102" t="inlineStr">
        <is>
          <t>2026-02-19 11:38:26.089</t>
        </is>
      </c>
      <c r="C102" t="n">
        <v/>
      </c>
      <c r="D102" t="inlineStr">
        <is>
          <t>Media file</t>
        </is>
      </c>
      <c r="E102" t="inlineStr">
        <is>
          <t>player #1:BTBR\training\c3m2.mp4</t>
        </is>
      </c>
      <c r="F102" t="n">
        <v>-10</v>
      </c>
      <c r="G102" t="n">
        <v>558.933</v>
      </c>
      <c r="H102" t="n">
        <v>624.566</v>
      </c>
      <c r="I102" t="n">
        <v>30</v>
      </c>
      <c r="J102" t="inlineStr">
        <is>
          <t>BTBR</t>
        </is>
      </c>
      <c r="K102" t="inlineStr">
        <is>
          <t>Male</t>
        </is>
      </c>
      <c r="L102" t="inlineStr">
        <is>
          <t>No focal subject</t>
        </is>
      </c>
      <c r="M102" t="n">
        <v>42.359</v>
      </c>
      <c r="N102" t="inlineStr">
        <is>
          <t>Explore_F2</t>
        </is>
      </c>
      <c r="O102" t="inlineStr">
        <is>
          <t>Second familiar</t>
        </is>
      </c>
      <c r="P102" t="inlineStr">
        <is>
          <t>STATE</t>
        </is>
      </c>
      <c r="Q102" t="n">
        <v>238.766</v>
      </c>
      <c r="R102" t="n">
        <v>240.3</v>
      </c>
      <c r="S102" t="n">
        <v>1.534</v>
      </c>
      <c r="T102" t="inlineStr">
        <is>
          <t>BTBR\training\c3m2.mp4</t>
        </is>
      </c>
      <c r="U102" t="n">
        <v>7163</v>
      </c>
      <c r="V102" t="n">
        <v>7209</v>
      </c>
      <c r="W102" t="n">
        <v/>
      </c>
      <c r="X102" t="n">
        <v/>
      </c>
      <c r="Y102" t="n">
        <v/>
      </c>
      <c r="Z102" t="n">
        <v/>
      </c>
      <c r="AA102">
        <f>SUMIFS($S$2:S102,$A$2:A102,A102,$N$2:N102,"Explore*")</f>
        <v/>
      </c>
      <c r="AB102">
        <f>IF(AND(LEFT(N102,7)="Explore",(AA102-IF(LEFT(N102,7)="Explore",S102,0))&lt;10),"SI","NO")</f>
        <v/>
      </c>
    </row>
    <row r="103">
      <c r="A103" t="inlineStr">
        <is>
          <t>c3m2_training</t>
        </is>
      </c>
      <c r="B103" t="inlineStr">
        <is>
          <t>2026-02-19 11:38:26.089</t>
        </is>
      </c>
      <c r="C103" t="n">
        <v/>
      </c>
      <c r="D103" t="inlineStr">
        <is>
          <t>Media file</t>
        </is>
      </c>
      <c r="E103" t="inlineStr">
        <is>
          <t>player #1:BTBR\training\c3m2.mp4</t>
        </is>
      </c>
      <c r="F103" t="n">
        <v>-10</v>
      </c>
      <c r="G103" t="n">
        <v>558.933</v>
      </c>
      <c r="H103" t="n">
        <v>624.566</v>
      </c>
      <c r="I103" t="n">
        <v>30</v>
      </c>
      <c r="J103" t="inlineStr">
        <is>
          <t>BTBR</t>
        </is>
      </c>
      <c r="K103" t="inlineStr">
        <is>
          <t>Male</t>
        </is>
      </c>
      <c r="L103" t="inlineStr">
        <is>
          <t>No focal subject</t>
        </is>
      </c>
      <c r="M103" t="n">
        <v>42.359</v>
      </c>
      <c r="N103" t="inlineStr">
        <is>
          <t>Explore_F2</t>
        </is>
      </c>
      <c r="O103" t="inlineStr">
        <is>
          <t>Second familiar</t>
        </is>
      </c>
      <c r="P103" t="inlineStr">
        <is>
          <t>STATE</t>
        </is>
      </c>
      <c r="Q103" t="n">
        <v>249.333</v>
      </c>
      <c r="R103" t="n">
        <v>249.666</v>
      </c>
      <c r="S103" t="n">
        <v>0.333</v>
      </c>
      <c r="T103" t="inlineStr">
        <is>
          <t>BTBR\training\c3m2.mp4</t>
        </is>
      </c>
      <c r="U103" t="n">
        <v>7480</v>
      </c>
      <c r="V103" t="n">
        <v>7490</v>
      </c>
      <c r="W103" t="n">
        <v/>
      </c>
      <c r="X103" t="n">
        <v/>
      </c>
      <c r="Y103" t="n">
        <v/>
      </c>
      <c r="Z103" t="n">
        <v/>
      </c>
      <c r="AA103">
        <f>SUMIFS($S$2:S103,$A$2:A103,A103,$N$2:N103,"Explore*")</f>
        <v/>
      </c>
      <c r="AB103">
        <f>IF(AND(LEFT(N103,7)="Explore",(AA103-IF(LEFT(N103,7)="Explore",S103,0))&lt;10),"SI","NO")</f>
        <v/>
      </c>
    </row>
    <row r="104">
      <c r="A104" t="inlineStr">
        <is>
          <t>c3m2_training</t>
        </is>
      </c>
      <c r="B104" t="inlineStr">
        <is>
          <t>2026-02-19 11:38:26.089</t>
        </is>
      </c>
      <c r="C104" t="n">
        <v/>
      </c>
      <c r="D104" t="inlineStr">
        <is>
          <t>Media file</t>
        </is>
      </c>
      <c r="E104" t="inlineStr">
        <is>
          <t>player #1:BTBR\training\c3m2.mp4</t>
        </is>
      </c>
      <c r="F104" t="n">
        <v>-10</v>
      </c>
      <c r="G104" t="n">
        <v>558.933</v>
      </c>
      <c r="H104" t="n">
        <v>624.566</v>
      </c>
      <c r="I104" t="n">
        <v>30</v>
      </c>
      <c r="J104" t="inlineStr">
        <is>
          <t>BTBR</t>
        </is>
      </c>
      <c r="K104" t="inlineStr">
        <is>
          <t>Male</t>
        </is>
      </c>
      <c r="L104" t="inlineStr">
        <is>
          <t>No focal subject</t>
        </is>
      </c>
      <c r="M104" t="n">
        <v>42.359</v>
      </c>
      <c r="N104" t="inlineStr">
        <is>
          <t>Explore_F</t>
        </is>
      </c>
      <c r="O104" t="inlineStr">
        <is>
          <t>Familiar</t>
        </is>
      </c>
      <c r="P104" t="inlineStr">
        <is>
          <t>STATE</t>
        </is>
      </c>
      <c r="Q104" t="n">
        <v>256.033</v>
      </c>
      <c r="R104" t="n">
        <v>260.066</v>
      </c>
      <c r="S104" t="n">
        <v>4.033</v>
      </c>
      <c r="T104" t="inlineStr">
        <is>
          <t>BTBR\training\c3m2.mp4</t>
        </is>
      </c>
      <c r="U104" t="n">
        <v>7682</v>
      </c>
      <c r="V104" t="n">
        <v>7802</v>
      </c>
      <c r="W104" t="n">
        <v/>
      </c>
      <c r="X104" t="n">
        <v/>
      </c>
      <c r="Y104" t="n">
        <v/>
      </c>
      <c r="Z104" t="n">
        <v/>
      </c>
      <c r="AA104">
        <f>SUMIFS($S$2:S104,$A$2:A104,A104,$N$2:N104,"Explore*")</f>
        <v/>
      </c>
      <c r="AB104">
        <f>IF(AND(LEFT(N104,7)="Explore",(AA104-IF(LEFT(N104,7)="Explore",S104,0))&lt;10),"SI","NO")</f>
        <v/>
      </c>
    </row>
    <row r="105">
      <c r="A105" t="inlineStr">
        <is>
          <t>c3m2_training</t>
        </is>
      </c>
      <c r="B105" t="inlineStr">
        <is>
          <t>2026-02-19 11:38:26.089</t>
        </is>
      </c>
      <c r="C105" t="n">
        <v/>
      </c>
      <c r="D105" t="inlineStr">
        <is>
          <t>Media file</t>
        </is>
      </c>
      <c r="E105" t="inlineStr">
        <is>
          <t>player #1:BTBR\training\c3m2.mp4</t>
        </is>
      </c>
      <c r="F105" t="n">
        <v>-10</v>
      </c>
      <c r="G105" t="n">
        <v>558.933</v>
      </c>
      <c r="H105" t="n">
        <v>624.566</v>
      </c>
      <c r="I105" t="n">
        <v>30</v>
      </c>
      <c r="J105" t="inlineStr">
        <is>
          <t>BTBR</t>
        </is>
      </c>
      <c r="K105" t="inlineStr">
        <is>
          <t>Male</t>
        </is>
      </c>
      <c r="L105" t="inlineStr">
        <is>
          <t>No focal subject</t>
        </is>
      </c>
      <c r="M105" t="n">
        <v>42.359</v>
      </c>
      <c r="N105" t="inlineStr">
        <is>
          <t>Explore_F2</t>
        </is>
      </c>
      <c r="O105" t="inlineStr">
        <is>
          <t>Second familiar</t>
        </is>
      </c>
      <c r="P105" t="inlineStr">
        <is>
          <t>STATE</t>
        </is>
      </c>
      <c r="Q105" t="n">
        <v>262.9</v>
      </c>
      <c r="R105" t="n">
        <v>263.766</v>
      </c>
      <c r="S105" t="n">
        <v>0.866</v>
      </c>
      <c r="T105" t="inlineStr">
        <is>
          <t>BTBR\training\c3m2.mp4</t>
        </is>
      </c>
      <c r="U105" t="n">
        <v>7887</v>
      </c>
      <c r="V105" t="n">
        <v>7913</v>
      </c>
      <c r="W105" t="n">
        <v/>
      </c>
      <c r="X105" t="n">
        <v/>
      </c>
      <c r="Y105" t="n">
        <v/>
      </c>
      <c r="Z105" t="n">
        <v/>
      </c>
      <c r="AA105">
        <f>SUMIFS($S$2:S105,$A$2:A105,A105,$N$2:N105,"Explore*")</f>
        <v/>
      </c>
      <c r="AB105">
        <f>IF(AND(LEFT(N105,7)="Explore",(AA105-IF(LEFT(N105,7)="Explore",S105,0))&lt;10),"SI","NO")</f>
        <v/>
      </c>
    </row>
    <row r="106">
      <c r="A106" t="inlineStr">
        <is>
          <t>c3m2_training</t>
        </is>
      </c>
      <c r="B106" t="inlineStr">
        <is>
          <t>2026-02-19 11:38:26.089</t>
        </is>
      </c>
      <c r="C106" t="n">
        <v/>
      </c>
      <c r="D106" t="inlineStr">
        <is>
          <t>Media file</t>
        </is>
      </c>
      <c r="E106" t="inlineStr">
        <is>
          <t>player #1:BTBR\training\c3m2.mp4</t>
        </is>
      </c>
      <c r="F106" t="n">
        <v>-10</v>
      </c>
      <c r="G106" t="n">
        <v>558.933</v>
      </c>
      <c r="H106" t="n">
        <v>624.566</v>
      </c>
      <c r="I106" t="n">
        <v>30</v>
      </c>
      <c r="J106" t="inlineStr">
        <is>
          <t>BTBR</t>
        </is>
      </c>
      <c r="K106" t="inlineStr">
        <is>
          <t>Male</t>
        </is>
      </c>
      <c r="L106" t="inlineStr">
        <is>
          <t>No focal subject</t>
        </is>
      </c>
      <c r="M106" t="n">
        <v>42.359</v>
      </c>
      <c r="N106" t="inlineStr">
        <is>
          <t>Explore_F</t>
        </is>
      </c>
      <c r="O106" t="inlineStr">
        <is>
          <t>Familiar</t>
        </is>
      </c>
      <c r="P106" t="inlineStr">
        <is>
          <t>STATE</t>
        </is>
      </c>
      <c r="Q106" t="n">
        <v>286.6</v>
      </c>
      <c r="R106" t="n">
        <v>286.866</v>
      </c>
      <c r="S106" t="n">
        <v>0.266</v>
      </c>
      <c r="T106" t="inlineStr">
        <is>
          <t>BTBR\training\c3m2.mp4</t>
        </is>
      </c>
      <c r="U106" t="n">
        <v>8598</v>
      </c>
      <c r="V106" t="n">
        <v>8606</v>
      </c>
      <c r="W106" t="n">
        <v/>
      </c>
      <c r="X106" t="n">
        <v/>
      </c>
      <c r="Y106" t="n">
        <v/>
      </c>
      <c r="Z106" t="n">
        <v/>
      </c>
      <c r="AA106">
        <f>SUMIFS($S$2:S106,$A$2:A106,A106,$N$2:N106,"Explore*")</f>
        <v/>
      </c>
      <c r="AB106">
        <f>IF(AND(LEFT(N106,7)="Explore",(AA106-IF(LEFT(N106,7)="Explore",S106,0))&lt;10),"SI","NO")</f>
        <v/>
      </c>
    </row>
    <row r="107">
      <c r="A107" t="inlineStr">
        <is>
          <t>c3m2_training</t>
        </is>
      </c>
      <c r="B107" t="inlineStr">
        <is>
          <t>2026-02-19 11:38:26.089</t>
        </is>
      </c>
      <c r="C107" t="n">
        <v/>
      </c>
      <c r="D107" t="inlineStr">
        <is>
          <t>Media file</t>
        </is>
      </c>
      <c r="E107" t="inlineStr">
        <is>
          <t>player #1:BTBR\training\c3m2.mp4</t>
        </is>
      </c>
      <c r="F107" t="n">
        <v>-10</v>
      </c>
      <c r="G107" t="n">
        <v>558.933</v>
      </c>
      <c r="H107" t="n">
        <v>624.566</v>
      </c>
      <c r="I107" t="n">
        <v>30</v>
      </c>
      <c r="J107" t="inlineStr">
        <is>
          <t>BTBR</t>
        </is>
      </c>
      <c r="K107" t="inlineStr">
        <is>
          <t>Male</t>
        </is>
      </c>
      <c r="L107" t="inlineStr">
        <is>
          <t>No focal subject</t>
        </is>
      </c>
      <c r="M107" t="n">
        <v>42.359</v>
      </c>
      <c r="N107" t="inlineStr">
        <is>
          <t>Explore_F2</t>
        </is>
      </c>
      <c r="O107" t="inlineStr">
        <is>
          <t>Second familiar</t>
        </is>
      </c>
      <c r="P107" t="inlineStr">
        <is>
          <t>STATE</t>
        </is>
      </c>
      <c r="Q107" t="n">
        <v>292.333</v>
      </c>
      <c r="R107" t="n">
        <v>292.766</v>
      </c>
      <c r="S107" t="n">
        <v>0.433</v>
      </c>
      <c r="T107" t="inlineStr">
        <is>
          <t>BTBR\training\c3m2.mp4</t>
        </is>
      </c>
      <c r="U107" t="n">
        <v>8770</v>
      </c>
      <c r="V107" t="n">
        <v>8783</v>
      </c>
      <c r="W107" t="n">
        <v/>
      </c>
      <c r="X107" t="n">
        <v/>
      </c>
      <c r="Y107" t="n">
        <v/>
      </c>
      <c r="Z107" t="n">
        <v/>
      </c>
      <c r="AA107">
        <f>SUMIFS($S$2:S107,$A$2:A107,A107,$N$2:N107,"Explore*")</f>
        <v/>
      </c>
      <c r="AB107">
        <f>IF(AND(LEFT(N107,7)="Explore",(AA107-IF(LEFT(N107,7)="Explore",S107,0))&lt;10),"SI","NO")</f>
        <v/>
      </c>
    </row>
    <row r="108">
      <c r="A108" t="inlineStr">
        <is>
          <t>c3m2_training</t>
        </is>
      </c>
      <c r="B108" t="inlineStr">
        <is>
          <t>2026-02-19 11:38:26.089</t>
        </is>
      </c>
      <c r="C108" t="n">
        <v/>
      </c>
      <c r="D108" t="inlineStr">
        <is>
          <t>Media file</t>
        </is>
      </c>
      <c r="E108" t="inlineStr">
        <is>
          <t>player #1:BTBR\training\c3m2.mp4</t>
        </is>
      </c>
      <c r="F108" t="n">
        <v>-10</v>
      </c>
      <c r="G108" t="n">
        <v>558.933</v>
      </c>
      <c r="H108" t="n">
        <v>624.566</v>
      </c>
      <c r="I108" t="n">
        <v>30</v>
      </c>
      <c r="J108" t="inlineStr">
        <is>
          <t>BTBR</t>
        </is>
      </c>
      <c r="K108" t="inlineStr">
        <is>
          <t>Male</t>
        </is>
      </c>
      <c r="L108" t="inlineStr">
        <is>
          <t>No focal subject</t>
        </is>
      </c>
      <c r="M108" t="n">
        <v>42.359</v>
      </c>
      <c r="N108" t="inlineStr">
        <is>
          <t>Explore_F2</t>
        </is>
      </c>
      <c r="O108" t="inlineStr">
        <is>
          <t>Second familiar</t>
        </is>
      </c>
      <c r="P108" t="inlineStr">
        <is>
          <t>STATE</t>
        </is>
      </c>
      <c r="Q108" t="n">
        <v>298.466</v>
      </c>
      <c r="R108" t="n">
        <v>298.666</v>
      </c>
      <c r="S108" t="n">
        <v>0.2</v>
      </c>
      <c r="T108" t="inlineStr">
        <is>
          <t>BTBR\training\c3m2.mp4</t>
        </is>
      </c>
      <c r="U108" t="n">
        <v>8954</v>
      </c>
      <c r="V108" t="n">
        <v>8960</v>
      </c>
      <c r="W108" t="n">
        <v/>
      </c>
      <c r="X108" t="n">
        <v/>
      </c>
      <c r="Y108" t="n">
        <v/>
      </c>
      <c r="Z108" t="n">
        <v/>
      </c>
      <c r="AA108">
        <f>SUMIFS($S$2:S108,$A$2:A108,A108,$N$2:N108,"Explore*")</f>
        <v/>
      </c>
      <c r="AB108">
        <f>IF(AND(LEFT(N108,7)="Explore",(AA108-IF(LEFT(N108,7)="Explore",S108,0))&lt;10),"SI","NO")</f>
        <v/>
      </c>
    </row>
    <row r="109">
      <c r="A109" t="inlineStr">
        <is>
          <t>c3m2_training</t>
        </is>
      </c>
      <c r="B109" t="inlineStr">
        <is>
          <t>2026-02-19 11:38:26.089</t>
        </is>
      </c>
      <c r="C109" t="n">
        <v/>
      </c>
      <c r="D109" t="inlineStr">
        <is>
          <t>Media file</t>
        </is>
      </c>
      <c r="E109" t="inlineStr">
        <is>
          <t>player #1:BTBR\training\c3m2.mp4</t>
        </is>
      </c>
      <c r="F109" t="n">
        <v>-10</v>
      </c>
      <c r="G109" t="n">
        <v>558.933</v>
      </c>
      <c r="H109" t="n">
        <v>624.566</v>
      </c>
      <c r="I109" t="n">
        <v>30</v>
      </c>
      <c r="J109" t="inlineStr">
        <is>
          <t>BTBR</t>
        </is>
      </c>
      <c r="K109" t="inlineStr">
        <is>
          <t>Male</t>
        </is>
      </c>
      <c r="L109" t="inlineStr">
        <is>
          <t>No focal subject</t>
        </is>
      </c>
      <c r="M109" t="n">
        <v>42.359</v>
      </c>
      <c r="N109" t="inlineStr">
        <is>
          <t>Explore_F2</t>
        </is>
      </c>
      <c r="O109" t="inlineStr">
        <is>
          <t>Second familiar</t>
        </is>
      </c>
      <c r="P109" t="inlineStr">
        <is>
          <t>STATE</t>
        </is>
      </c>
      <c r="Q109" t="n">
        <v>306.8</v>
      </c>
      <c r="R109" t="n">
        <v>307.333</v>
      </c>
      <c r="S109" t="n">
        <v>0.533</v>
      </c>
      <c r="T109" t="inlineStr">
        <is>
          <t>BTBR\training\c3m2.mp4</t>
        </is>
      </c>
      <c r="U109" t="n">
        <v>9504</v>
      </c>
      <c r="V109" t="n">
        <v>9520</v>
      </c>
      <c r="W109" t="n">
        <v/>
      </c>
      <c r="X109" t="n">
        <v/>
      </c>
      <c r="Y109" t="n">
        <v/>
      </c>
      <c r="Z109" t="n">
        <v/>
      </c>
      <c r="AA109">
        <f>SUMIFS($S$2:S109,$A$2:A109,A109,$N$2:N109,"Explore*")</f>
        <v/>
      </c>
      <c r="AB109">
        <f>IF(AND(LEFT(N109,7)="Explore",(AA109-IF(LEFT(N109,7)="Explore",S109,0))&lt;10),"SI","NO")</f>
        <v/>
      </c>
    </row>
    <row r="110">
      <c r="A110" t="inlineStr">
        <is>
          <t>c3m2_training</t>
        </is>
      </c>
      <c r="B110" t="inlineStr">
        <is>
          <t>2026-02-19 11:38:26.089</t>
        </is>
      </c>
      <c r="C110" t="n">
        <v/>
      </c>
      <c r="D110" t="inlineStr">
        <is>
          <t>Media file</t>
        </is>
      </c>
      <c r="E110" t="inlineStr">
        <is>
          <t>player #1:BTBR\training\c3m2.mp4</t>
        </is>
      </c>
      <c r="F110" t="n">
        <v>-10</v>
      </c>
      <c r="G110" t="n">
        <v>558.933</v>
      </c>
      <c r="H110" t="n">
        <v>624.566</v>
      </c>
      <c r="I110" t="n">
        <v>30</v>
      </c>
      <c r="J110" t="inlineStr">
        <is>
          <t>BTBR</t>
        </is>
      </c>
      <c r="K110" t="inlineStr">
        <is>
          <t>Male</t>
        </is>
      </c>
      <c r="L110" t="inlineStr">
        <is>
          <t>No focal subject</t>
        </is>
      </c>
      <c r="M110" t="n">
        <v>42.359</v>
      </c>
      <c r="N110" t="inlineStr">
        <is>
          <t>Explore_F2</t>
        </is>
      </c>
      <c r="O110" t="inlineStr">
        <is>
          <t>Second familiar</t>
        </is>
      </c>
      <c r="P110" t="inlineStr">
        <is>
          <t>STATE</t>
        </is>
      </c>
      <c r="Q110" t="n">
        <v>330.2</v>
      </c>
      <c r="R110" t="n">
        <v>330.766</v>
      </c>
      <c r="S110" t="n">
        <v>0.5659999999999999</v>
      </c>
      <c r="T110" t="inlineStr">
        <is>
          <t>BTBR\training\c3m2.mp4</t>
        </is>
      </c>
      <c r="U110" t="n">
        <v>10206</v>
      </c>
      <c r="V110" t="n">
        <v>10223</v>
      </c>
      <c r="W110" t="n">
        <v/>
      </c>
      <c r="X110" t="n">
        <v/>
      </c>
      <c r="Y110" t="n">
        <v/>
      </c>
      <c r="Z110" t="n">
        <v/>
      </c>
      <c r="AA110">
        <f>SUMIFS($S$2:S110,$A$2:A110,A110,$N$2:N110,"Explore*")</f>
        <v/>
      </c>
      <c r="AB110">
        <f>IF(AND(LEFT(N110,7)="Explore",(AA110-IF(LEFT(N110,7)="Explore",S110,0))&lt;10),"SI","NO")</f>
        <v/>
      </c>
    </row>
    <row r="111">
      <c r="A111" t="inlineStr">
        <is>
          <t>c3m2_training</t>
        </is>
      </c>
      <c r="B111" t="inlineStr">
        <is>
          <t>2026-02-19 11:38:26.089</t>
        </is>
      </c>
      <c r="C111" t="n">
        <v/>
      </c>
      <c r="D111" t="inlineStr">
        <is>
          <t>Media file</t>
        </is>
      </c>
      <c r="E111" t="inlineStr">
        <is>
          <t>player #1:BTBR\training\c3m2.mp4</t>
        </is>
      </c>
      <c r="F111" t="n">
        <v>-10</v>
      </c>
      <c r="G111" t="n">
        <v>558.933</v>
      </c>
      <c r="H111" t="n">
        <v>624.566</v>
      </c>
      <c r="I111" t="n">
        <v>30</v>
      </c>
      <c r="J111" t="inlineStr">
        <is>
          <t>BTBR</t>
        </is>
      </c>
      <c r="K111" t="inlineStr">
        <is>
          <t>Male</t>
        </is>
      </c>
      <c r="L111" t="inlineStr">
        <is>
          <t>No focal subject</t>
        </is>
      </c>
      <c r="M111" t="n">
        <v>42.359</v>
      </c>
      <c r="N111" t="inlineStr">
        <is>
          <t>Explore_F2</t>
        </is>
      </c>
      <c r="O111" t="inlineStr">
        <is>
          <t>Second familiar</t>
        </is>
      </c>
      <c r="P111" t="inlineStr">
        <is>
          <t>STATE</t>
        </is>
      </c>
      <c r="Q111" t="n">
        <v>345.2</v>
      </c>
      <c r="R111" t="n">
        <v>345.433</v>
      </c>
      <c r="S111" t="n">
        <v>0.233</v>
      </c>
      <c r="T111" t="inlineStr">
        <is>
          <t>BTBR\training\c3m2.mp4</t>
        </is>
      </c>
      <c r="U111" t="n">
        <v>10656</v>
      </c>
      <c r="V111" t="n">
        <v>10663</v>
      </c>
      <c r="W111" t="n">
        <v/>
      </c>
      <c r="X111" t="n">
        <v/>
      </c>
      <c r="Y111" t="n">
        <v/>
      </c>
      <c r="Z111" t="n">
        <v/>
      </c>
      <c r="AA111">
        <f>SUMIFS($S$2:S111,$A$2:A111,A111,$N$2:N111,"Explore*")</f>
        <v/>
      </c>
      <c r="AB111">
        <f>IF(AND(LEFT(N111,7)="Explore",(AA111-IF(LEFT(N111,7)="Explore",S111,0))&lt;10),"SI","NO")</f>
        <v/>
      </c>
    </row>
    <row r="112">
      <c r="A112" t="inlineStr">
        <is>
          <t>c3m2_training</t>
        </is>
      </c>
      <c r="B112" t="inlineStr">
        <is>
          <t>2026-02-19 11:38:26.089</t>
        </is>
      </c>
      <c r="C112" t="n">
        <v/>
      </c>
      <c r="D112" t="inlineStr">
        <is>
          <t>Media file</t>
        </is>
      </c>
      <c r="E112" t="inlineStr">
        <is>
          <t>player #1:BTBR\training\c3m2.mp4</t>
        </is>
      </c>
      <c r="F112" t="n">
        <v>-10</v>
      </c>
      <c r="G112" t="n">
        <v>558.933</v>
      </c>
      <c r="H112" t="n">
        <v>624.566</v>
      </c>
      <c r="I112" t="n">
        <v>30</v>
      </c>
      <c r="J112" t="inlineStr">
        <is>
          <t>BTBR</t>
        </is>
      </c>
      <c r="K112" t="inlineStr">
        <is>
          <t>Male</t>
        </is>
      </c>
      <c r="L112" t="inlineStr">
        <is>
          <t>No focal subject</t>
        </is>
      </c>
      <c r="M112" t="n">
        <v>42.359</v>
      </c>
      <c r="N112" t="inlineStr">
        <is>
          <t>Explore_F2</t>
        </is>
      </c>
      <c r="O112" t="inlineStr">
        <is>
          <t>Second familiar</t>
        </is>
      </c>
      <c r="P112" t="inlineStr">
        <is>
          <t>STATE</t>
        </is>
      </c>
      <c r="Q112" t="n">
        <v>351.4</v>
      </c>
      <c r="R112" t="n">
        <v>351.866</v>
      </c>
      <c r="S112" t="n">
        <v>0.466</v>
      </c>
      <c r="T112" t="inlineStr">
        <is>
          <t>BTBR\training\c3m2.mp4</t>
        </is>
      </c>
      <c r="U112" t="n">
        <v>10842</v>
      </c>
      <c r="V112" t="n">
        <v>10856</v>
      </c>
      <c r="W112" t="n">
        <v/>
      </c>
      <c r="X112" t="n">
        <v/>
      </c>
      <c r="Y112" t="n">
        <v/>
      </c>
      <c r="Z112" t="n">
        <v/>
      </c>
      <c r="AA112">
        <f>SUMIFS($S$2:S112,$A$2:A112,A112,$N$2:N112,"Explore*")</f>
        <v/>
      </c>
      <c r="AB112">
        <f>IF(AND(LEFT(N112,7)="Explore",(AA112-IF(LEFT(N112,7)="Explore",S112,0))&lt;10),"SI","NO")</f>
        <v/>
      </c>
    </row>
    <row r="113">
      <c r="A113" t="inlineStr">
        <is>
          <t>c3m2_training</t>
        </is>
      </c>
      <c r="B113" t="inlineStr">
        <is>
          <t>2026-02-19 11:38:26.089</t>
        </is>
      </c>
      <c r="C113" t="n">
        <v/>
      </c>
      <c r="D113" t="inlineStr">
        <is>
          <t>Media file</t>
        </is>
      </c>
      <c r="E113" t="inlineStr">
        <is>
          <t>player #1:BTBR\training\c3m2.mp4</t>
        </is>
      </c>
      <c r="F113" t="n">
        <v>-10</v>
      </c>
      <c r="G113" t="n">
        <v>558.933</v>
      </c>
      <c r="H113" t="n">
        <v>624.566</v>
      </c>
      <c r="I113" t="n">
        <v>30</v>
      </c>
      <c r="J113" t="inlineStr">
        <is>
          <t>BTBR</t>
        </is>
      </c>
      <c r="K113" t="inlineStr">
        <is>
          <t>Male</t>
        </is>
      </c>
      <c r="L113" t="inlineStr">
        <is>
          <t>No focal subject</t>
        </is>
      </c>
      <c r="M113" t="n">
        <v>42.359</v>
      </c>
      <c r="N113" t="inlineStr">
        <is>
          <t>Explore_F</t>
        </is>
      </c>
      <c r="O113" t="inlineStr">
        <is>
          <t>Familiar</t>
        </is>
      </c>
      <c r="P113" t="inlineStr">
        <is>
          <t>STATE</t>
        </is>
      </c>
      <c r="Q113" t="n">
        <v>354.8</v>
      </c>
      <c r="R113" t="n">
        <v>355.166</v>
      </c>
      <c r="S113" t="n">
        <v>0.366</v>
      </c>
      <c r="T113" t="inlineStr">
        <is>
          <t>BTBR\training\c3m2.mp4</t>
        </is>
      </c>
      <c r="U113" t="n">
        <v>10944</v>
      </c>
      <c r="V113" t="n">
        <v>10955</v>
      </c>
      <c r="W113" t="n">
        <v/>
      </c>
      <c r="X113" t="n">
        <v/>
      </c>
      <c r="Y113" t="n">
        <v/>
      </c>
      <c r="Z113" t="n">
        <v/>
      </c>
      <c r="AA113">
        <f>SUMIFS($S$2:S113,$A$2:A113,A113,$N$2:N113,"Explore*")</f>
        <v/>
      </c>
      <c r="AB113">
        <f>IF(AND(LEFT(N113,7)="Explore",(AA113-IF(LEFT(N113,7)="Explore",S113,0))&lt;10),"SI","NO")</f>
        <v/>
      </c>
    </row>
    <row r="114">
      <c r="A114" t="inlineStr">
        <is>
          <t>c3m2_training</t>
        </is>
      </c>
      <c r="B114" t="inlineStr">
        <is>
          <t>2026-02-19 11:38:26.089</t>
        </is>
      </c>
      <c r="C114" t="n">
        <v/>
      </c>
      <c r="D114" t="inlineStr">
        <is>
          <t>Media file</t>
        </is>
      </c>
      <c r="E114" t="inlineStr">
        <is>
          <t>player #1:BTBR\training\c3m2.mp4</t>
        </is>
      </c>
      <c r="F114" t="n">
        <v>-10</v>
      </c>
      <c r="G114" t="n">
        <v>558.933</v>
      </c>
      <c r="H114" t="n">
        <v>624.566</v>
      </c>
      <c r="I114" t="n">
        <v>30</v>
      </c>
      <c r="J114" t="inlineStr">
        <is>
          <t>BTBR</t>
        </is>
      </c>
      <c r="K114" t="inlineStr">
        <is>
          <t>Male</t>
        </is>
      </c>
      <c r="L114" t="inlineStr">
        <is>
          <t>No focal subject</t>
        </is>
      </c>
      <c r="M114" t="n">
        <v>42.359</v>
      </c>
      <c r="N114" t="inlineStr">
        <is>
          <t>Explore_F2</t>
        </is>
      </c>
      <c r="O114" t="inlineStr">
        <is>
          <t>Second familiar</t>
        </is>
      </c>
      <c r="P114" t="inlineStr">
        <is>
          <t>STATE</t>
        </is>
      </c>
      <c r="Q114" t="n">
        <v>434.9</v>
      </c>
      <c r="R114" t="n">
        <v>435.2</v>
      </c>
      <c r="S114" t="n">
        <v>0.3</v>
      </c>
      <c r="T114" t="inlineStr">
        <is>
          <t>BTBR\training\c3m2.mp4</t>
        </is>
      </c>
      <c r="U114" t="n">
        <v>13347</v>
      </c>
      <c r="V114" t="n">
        <v>13356</v>
      </c>
      <c r="W114" t="n">
        <v/>
      </c>
      <c r="X114" t="n">
        <v/>
      </c>
      <c r="Y114" t="n">
        <v/>
      </c>
      <c r="Z114" t="n">
        <v/>
      </c>
      <c r="AA114">
        <f>SUMIFS($S$2:S114,$A$2:A114,A114,$N$2:N114,"Explore*")</f>
        <v/>
      </c>
      <c r="AB114">
        <f>IF(AND(LEFT(N114,7)="Explore",(AA114-IF(LEFT(N114,7)="Explore",S114,0))&lt;10),"SI","NO")</f>
        <v/>
      </c>
    </row>
    <row r="115">
      <c r="A115" t="inlineStr">
        <is>
          <t>c3m2_training</t>
        </is>
      </c>
      <c r="B115" t="inlineStr">
        <is>
          <t>2026-02-19 11:38:26.089</t>
        </is>
      </c>
      <c r="C115" t="n">
        <v/>
      </c>
      <c r="D115" t="inlineStr">
        <is>
          <t>Media file</t>
        </is>
      </c>
      <c r="E115" t="inlineStr">
        <is>
          <t>player #1:BTBR\training\c3m2.mp4</t>
        </is>
      </c>
      <c r="F115" t="n">
        <v>-10</v>
      </c>
      <c r="G115" t="n">
        <v>558.933</v>
      </c>
      <c r="H115" t="n">
        <v>624.566</v>
      </c>
      <c r="I115" t="n">
        <v>30</v>
      </c>
      <c r="J115" t="inlineStr">
        <is>
          <t>BTBR</t>
        </is>
      </c>
      <c r="K115" t="inlineStr">
        <is>
          <t>Male</t>
        </is>
      </c>
      <c r="L115" t="inlineStr">
        <is>
          <t>No focal subject</t>
        </is>
      </c>
      <c r="M115" t="n">
        <v>42.359</v>
      </c>
      <c r="N115" t="inlineStr">
        <is>
          <t>Explore_F</t>
        </is>
      </c>
      <c r="O115" t="inlineStr">
        <is>
          <t>Familiar</t>
        </is>
      </c>
      <c r="P115" t="inlineStr">
        <is>
          <t>STATE</t>
        </is>
      </c>
      <c r="Q115" t="n">
        <v>437.966</v>
      </c>
      <c r="R115" t="n">
        <v>438.6</v>
      </c>
      <c r="S115" t="n">
        <v>0.634</v>
      </c>
      <c r="T115" t="inlineStr">
        <is>
          <t>BTBR\training\c3m2.mp4</t>
        </is>
      </c>
      <c r="U115" t="n">
        <v>13439</v>
      </c>
      <c r="V115" t="n">
        <v>13458</v>
      </c>
      <c r="W115" t="n">
        <v/>
      </c>
      <c r="X115" t="n">
        <v/>
      </c>
      <c r="Y115" t="n">
        <v/>
      </c>
      <c r="Z115" t="n">
        <v/>
      </c>
      <c r="AA115">
        <f>SUMIFS($S$2:S115,$A$2:A115,A115,$N$2:N115,"Explore*")</f>
        <v/>
      </c>
      <c r="AB115">
        <f>IF(AND(LEFT(N115,7)="Explore",(AA115-IF(LEFT(N115,7)="Explore",S115,0))&lt;10),"SI","NO")</f>
        <v/>
      </c>
    </row>
    <row r="116">
      <c r="A116" t="inlineStr">
        <is>
          <t>c3m2_training</t>
        </is>
      </c>
      <c r="B116" t="inlineStr">
        <is>
          <t>2026-02-19 11:38:26.089</t>
        </is>
      </c>
      <c r="C116" t="n">
        <v/>
      </c>
      <c r="D116" t="inlineStr">
        <is>
          <t>Media file</t>
        </is>
      </c>
      <c r="E116" t="inlineStr">
        <is>
          <t>player #1:BTBR\training\c3m2.mp4</t>
        </is>
      </c>
      <c r="F116" t="n">
        <v>-10</v>
      </c>
      <c r="G116" t="n">
        <v>558.933</v>
      </c>
      <c r="H116" t="n">
        <v>624.566</v>
      </c>
      <c r="I116" t="n">
        <v>30</v>
      </c>
      <c r="J116" t="inlineStr">
        <is>
          <t>BTBR</t>
        </is>
      </c>
      <c r="K116" t="inlineStr">
        <is>
          <t>Male</t>
        </is>
      </c>
      <c r="L116" t="inlineStr">
        <is>
          <t>No focal subject</t>
        </is>
      </c>
      <c r="M116" t="n">
        <v>42.359</v>
      </c>
      <c r="N116" t="inlineStr">
        <is>
          <t>Explore_F2</t>
        </is>
      </c>
      <c r="O116" t="inlineStr">
        <is>
          <t>Second familiar</t>
        </is>
      </c>
      <c r="P116" t="inlineStr">
        <is>
          <t>STATE</t>
        </is>
      </c>
      <c r="Q116" t="n">
        <v>463.866</v>
      </c>
      <c r="R116" t="n">
        <v>464.466</v>
      </c>
      <c r="S116" t="n">
        <v>0.6</v>
      </c>
      <c r="T116" t="inlineStr">
        <is>
          <t>BTBR\training\c3m2.mp4</t>
        </is>
      </c>
      <c r="U116" t="n">
        <v>14216</v>
      </c>
      <c r="V116" t="n">
        <v>14234</v>
      </c>
      <c r="W116" t="n">
        <v/>
      </c>
      <c r="X116" t="n">
        <v/>
      </c>
      <c r="Y116" t="n">
        <v/>
      </c>
      <c r="Z116" t="n">
        <v/>
      </c>
      <c r="AA116">
        <f>SUMIFS($S$2:S116,$A$2:A116,A116,$N$2:N116,"Explore*")</f>
        <v/>
      </c>
      <c r="AB116">
        <f>IF(AND(LEFT(N116,7)="Explore",(AA116-IF(LEFT(N116,7)="Explore",S116,0))&lt;10),"SI","NO")</f>
        <v/>
      </c>
    </row>
    <row r="117">
      <c r="A117" t="inlineStr">
        <is>
          <t>c3m2_training</t>
        </is>
      </c>
      <c r="B117" t="inlineStr">
        <is>
          <t>2026-02-19 11:38:26.089</t>
        </is>
      </c>
      <c r="C117" t="n">
        <v/>
      </c>
      <c r="D117" t="inlineStr">
        <is>
          <t>Media file</t>
        </is>
      </c>
      <c r="E117" t="inlineStr">
        <is>
          <t>player #1:BTBR\training\c3m2.mp4</t>
        </is>
      </c>
      <c r="F117" t="n">
        <v>-10</v>
      </c>
      <c r="G117" t="n">
        <v>558.933</v>
      </c>
      <c r="H117" t="n">
        <v>624.566</v>
      </c>
      <c r="I117" t="n">
        <v>30</v>
      </c>
      <c r="J117" t="inlineStr">
        <is>
          <t>BTBR</t>
        </is>
      </c>
      <c r="K117" t="inlineStr">
        <is>
          <t>Male</t>
        </is>
      </c>
      <c r="L117" t="inlineStr">
        <is>
          <t>No focal subject</t>
        </is>
      </c>
      <c r="M117" t="n">
        <v>42.359</v>
      </c>
      <c r="N117" t="inlineStr">
        <is>
          <t>Explore_F</t>
        </is>
      </c>
      <c r="O117" t="inlineStr">
        <is>
          <t>Familiar</t>
        </is>
      </c>
      <c r="P117" t="inlineStr">
        <is>
          <t>STATE</t>
        </is>
      </c>
      <c r="Q117" t="n">
        <v>502.266</v>
      </c>
      <c r="R117" t="n">
        <v>503.133</v>
      </c>
      <c r="S117" t="n">
        <v>0.867</v>
      </c>
      <c r="T117" t="inlineStr">
        <is>
          <t>BTBR\training\c3m2.mp4</t>
        </is>
      </c>
      <c r="U117" t="n">
        <v>15368</v>
      </c>
      <c r="V117" t="n">
        <v>15394</v>
      </c>
      <c r="W117" t="n">
        <v/>
      </c>
      <c r="X117" t="n">
        <v/>
      </c>
      <c r="Y117" t="n">
        <v/>
      </c>
      <c r="Z117" t="n">
        <v/>
      </c>
      <c r="AA117">
        <f>SUMIFS($S$2:S117,$A$2:A117,A117,$N$2:N117,"Explore*")</f>
        <v/>
      </c>
      <c r="AB117">
        <f>IF(AND(LEFT(N117,7)="Explore",(AA117-IF(LEFT(N117,7)="Explore",S117,0))&lt;10),"SI","NO")</f>
        <v/>
      </c>
    </row>
    <row r="118">
      <c r="A118" t="inlineStr">
        <is>
          <t>c3m2_training</t>
        </is>
      </c>
      <c r="B118" t="inlineStr">
        <is>
          <t>2026-02-19 11:38:26.089</t>
        </is>
      </c>
      <c r="C118" t="n">
        <v/>
      </c>
      <c r="D118" t="inlineStr">
        <is>
          <t>Media file</t>
        </is>
      </c>
      <c r="E118" t="inlineStr">
        <is>
          <t>player #1:BTBR\training\c3m2.mp4</t>
        </is>
      </c>
      <c r="F118" t="n">
        <v>-10</v>
      </c>
      <c r="G118" t="n">
        <v>558.933</v>
      </c>
      <c r="H118" t="n">
        <v>624.566</v>
      </c>
      <c r="I118" t="n">
        <v>30</v>
      </c>
      <c r="J118" t="inlineStr">
        <is>
          <t>BTBR</t>
        </is>
      </c>
      <c r="K118" t="inlineStr">
        <is>
          <t>Male</t>
        </is>
      </c>
      <c r="L118" t="inlineStr">
        <is>
          <t>No focal subject</t>
        </is>
      </c>
      <c r="M118" t="n">
        <v>42.359</v>
      </c>
      <c r="N118" t="inlineStr">
        <is>
          <t>Explore_F2</t>
        </is>
      </c>
      <c r="O118" t="inlineStr">
        <is>
          <t>Second familiar</t>
        </is>
      </c>
      <c r="P118" t="inlineStr">
        <is>
          <t>STATE</t>
        </is>
      </c>
      <c r="Q118" t="n">
        <v>519.866</v>
      </c>
      <c r="R118" t="n">
        <v>520.566</v>
      </c>
      <c r="S118" t="n">
        <v>0.7</v>
      </c>
      <c r="T118" t="inlineStr">
        <is>
          <t>BTBR\training\c3m2.mp4</t>
        </is>
      </c>
      <c r="U118" t="n">
        <v>15896</v>
      </c>
      <c r="V118" t="n">
        <v>15917</v>
      </c>
      <c r="W118" t="n">
        <v/>
      </c>
      <c r="X118" t="n">
        <v/>
      </c>
      <c r="Y118" t="n">
        <v/>
      </c>
      <c r="Z118" t="n">
        <v/>
      </c>
      <c r="AA118">
        <f>SUMIFS($S$2:S118,$A$2:A118,A118,$N$2:N118,"Explore*")</f>
        <v/>
      </c>
      <c r="AB118">
        <f>IF(AND(LEFT(N118,7)="Explore",(AA118-IF(LEFT(N118,7)="Explore",S118,0))&lt;10),"SI","NO")</f>
        <v/>
      </c>
    </row>
    <row r="119">
      <c r="A119" t="inlineStr">
        <is>
          <t>c3m2_training</t>
        </is>
      </c>
      <c r="B119" t="inlineStr">
        <is>
          <t>2026-02-19 11:38:26.089</t>
        </is>
      </c>
      <c r="C119" t="n">
        <v/>
      </c>
      <c r="D119" t="inlineStr">
        <is>
          <t>Media file</t>
        </is>
      </c>
      <c r="E119" t="inlineStr">
        <is>
          <t>player #1:BTBR\training\c3m2.mp4</t>
        </is>
      </c>
      <c r="F119" t="n">
        <v>-10</v>
      </c>
      <c r="G119" t="n">
        <v>558.933</v>
      </c>
      <c r="H119" t="n">
        <v>624.566</v>
      </c>
      <c r="I119" t="n">
        <v>30</v>
      </c>
      <c r="J119" t="inlineStr">
        <is>
          <t>BTBR</t>
        </is>
      </c>
      <c r="K119" t="inlineStr">
        <is>
          <t>Male</t>
        </is>
      </c>
      <c r="L119" t="inlineStr">
        <is>
          <t>No focal subject</t>
        </is>
      </c>
      <c r="M119" t="n">
        <v>42.359</v>
      </c>
      <c r="N119" t="inlineStr">
        <is>
          <t>Explore_F</t>
        </is>
      </c>
      <c r="O119" t="inlineStr">
        <is>
          <t>Familiar</t>
        </is>
      </c>
      <c r="P119" t="inlineStr">
        <is>
          <t>STATE</t>
        </is>
      </c>
      <c r="Q119" t="n">
        <v>541.766</v>
      </c>
      <c r="R119" t="n">
        <v>542.366</v>
      </c>
      <c r="S119" t="n">
        <v>0.6</v>
      </c>
      <c r="T119" t="inlineStr">
        <is>
          <t>BTBR\training\c3m2.mp4</t>
        </is>
      </c>
      <c r="U119" t="n">
        <v>16553</v>
      </c>
      <c r="V119" t="n">
        <v>16571</v>
      </c>
      <c r="W119" t="n">
        <v/>
      </c>
      <c r="X119" t="n">
        <v/>
      </c>
      <c r="Y119" t="n">
        <v/>
      </c>
      <c r="Z119" t="n">
        <v/>
      </c>
      <c r="AA119">
        <f>SUMIFS($S$2:S119,$A$2:A119,A119,$N$2:N119,"Explore*")</f>
        <v/>
      </c>
      <c r="AB119">
        <f>IF(AND(LEFT(N119,7)="Explore",(AA119-IF(LEFT(N119,7)="Explore",S119,0))&lt;10),"SI","NO")</f>
        <v/>
      </c>
    </row>
    <row r="120">
      <c r="A120" t="inlineStr">
        <is>
          <t>c3m2_training</t>
        </is>
      </c>
      <c r="B120" t="inlineStr">
        <is>
          <t>2026-02-19 11:38:26.089</t>
        </is>
      </c>
      <c r="C120" t="n">
        <v/>
      </c>
      <c r="D120" t="inlineStr">
        <is>
          <t>Media file</t>
        </is>
      </c>
      <c r="E120" t="inlineStr">
        <is>
          <t>player #1:BTBR\training\c3m2.mp4</t>
        </is>
      </c>
      <c r="F120" t="n">
        <v>-10</v>
      </c>
      <c r="G120" t="n">
        <v>558.933</v>
      </c>
      <c r="H120" t="n">
        <v>624.566</v>
      </c>
      <c r="I120" t="n">
        <v>30</v>
      </c>
      <c r="J120" t="inlineStr">
        <is>
          <t>BTBR</t>
        </is>
      </c>
      <c r="K120" t="inlineStr">
        <is>
          <t>Male</t>
        </is>
      </c>
      <c r="L120" t="inlineStr">
        <is>
          <t>No focal subject</t>
        </is>
      </c>
      <c r="M120" t="n">
        <v>42.359</v>
      </c>
      <c r="N120" t="inlineStr">
        <is>
          <t>Explore_F</t>
        </is>
      </c>
      <c r="O120" t="inlineStr">
        <is>
          <t>Familiar</t>
        </is>
      </c>
      <c r="P120" t="inlineStr">
        <is>
          <t>STATE</t>
        </is>
      </c>
      <c r="Q120" t="n">
        <v>563.933</v>
      </c>
      <c r="R120" t="n">
        <v>564.1660000000001</v>
      </c>
      <c r="S120" t="n">
        <v>0.233</v>
      </c>
      <c r="T120" t="inlineStr">
        <is>
          <t>BTBR\training\c3m2.mp4</t>
        </is>
      </c>
      <c r="U120" t="n">
        <v>17218</v>
      </c>
      <c r="V120" t="n">
        <v>17225</v>
      </c>
      <c r="W120" t="n">
        <v/>
      </c>
      <c r="X120" t="n">
        <v/>
      </c>
      <c r="Y120" t="n">
        <v/>
      </c>
      <c r="Z120" t="n">
        <v/>
      </c>
      <c r="AA120">
        <f>SUMIFS($S$2:S120,$A$2:A120,A120,$N$2:N120,"Explore*")</f>
        <v/>
      </c>
      <c r="AB120">
        <f>IF(AND(LEFT(N120,7)="Explore",(AA120-IF(LEFT(N120,7)="Explore",S120,0))&lt;10),"SI","NO")</f>
        <v/>
      </c>
    </row>
    <row r="121">
      <c r="A121" t="inlineStr">
        <is>
          <t>c3m3_training</t>
        </is>
      </c>
      <c r="B121" t="inlineStr">
        <is>
          <t>2026-02-19 12:28:49.783</t>
        </is>
      </c>
      <c r="C121" t="n">
        <v/>
      </c>
      <c r="D121" t="inlineStr">
        <is>
          <t>Media file</t>
        </is>
      </c>
      <c r="E121" t="inlineStr">
        <is>
          <t>player #1:BTBR\training\c3m3.mp4</t>
        </is>
      </c>
      <c r="F121" t="n">
        <v>-11.7</v>
      </c>
      <c r="G121" t="n">
        <v>571.6319999999999</v>
      </c>
      <c r="H121" t="n">
        <v>615.533</v>
      </c>
      <c r="I121" t="n">
        <v>30</v>
      </c>
      <c r="J121" t="inlineStr">
        <is>
          <t>BTBR</t>
        </is>
      </c>
      <c r="K121" t="inlineStr">
        <is>
          <t>Male</t>
        </is>
      </c>
      <c r="L121" t="inlineStr">
        <is>
          <t>No focal subject</t>
        </is>
      </c>
      <c r="M121" t="n">
        <v>45.535</v>
      </c>
      <c r="N121" t="inlineStr">
        <is>
          <t>Explore_F</t>
        </is>
      </c>
      <c r="O121" t="inlineStr">
        <is>
          <t>Familiar</t>
        </is>
      </c>
      <c r="P121" t="inlineStr">
        <is>
          <t>STATE</t>
        </is>
      </c>
      <c r="Q121" t="n">
        <v>1.767</v>
      </c>
      <c r="R121" t="n">
        <v>2.8</v>
      </c>
      <c r="S121" t="n">
        <v>1.033</v>
      </c>
      <c r="T121" t="inlineStr">
        <is>
          <t>BTBR\training\c3m3.mp4</t>
        </is>
      </c>
      <c r="U121" t="n">
        <v>53</v>
      </c>
      <c r="V121" t="n">
        <v>84</v>
      </c>
      <c r="W121" t="n">
        <v/>
      </c>
      <c r="X121" t="n">
        <v/>
      </c>
      <c r="Y121" t="n">
        <v/>
      </c>
      <c r="Z121" t="n">
        <v/>
      </c>
      <c r="AA121">
        <f>SUMIFS($S$2:S121,$A$2:A121,A121,$N$2:N121,"Explore*")</f>
        <v/>
      </c>
      <c r="AB121">
        <f>IF(AND(LEFT(N121,7)="Explore",(AA121-IF(LEFT(N121,7)="Explore",S121,0))&lt;10),"SI","NO")</f>
        <v/>
      </c>
    </row>
    <row r="122">
      <c r="A122" t="inlineStr">
        <is>
          <t>c3m3_training</t>
        </is>
      </c>
      <c r="B122" t="inlineStr">
        <is>
          <t>2026-02-19 12:28:49.783</t>
        </is>
      </c>
      <c r="C122" t="n">
        <v/>
      </c>
      <c r="D122" t="inlineStr">
        <is>
          <t>Media file</t>
        </is>
      </c>
      <c r="E122" t="inlineStr">
        <is>
          <t>player #1:BTBR\training\c3m3.mp4</t>
        </is>
      </c>
      <c r="F122" t="n">
        <v>-11.7</v>
      </c>
      <c r="G122" t="n">
        <v>571.6319999999999</v>
      </c>
      <c r="H122" t="n">
        <v>615.533</v>
      </c>
      <c r="I122" t="n">
        <v>30</v>
      </c>
      <c r="J122" t="inlineStr">
        <is>
          <t>BTBR</t>
        </is>
      </c>
      <c r="K122" t="inlineStr">
        <is>
          <t>Male</t>
        </is>
      </c>
      <c r="L122" t="inlineStr">
        <is>
          <t>No focal subject</t>
        </is>
      </c>
      <c r="M122" t="n">
        <v>45.535</v>
      </c>
      <c r="N122" t="inlineStr">
        <is>
          <t>Explore_F2</t>
        </is>
      </c>
      <c r="O122" t="inlineStr">
        <is>
          <t>Second familiar</t>
        </is>
      </c>
      <c r="P122" t="inlineStr">
        <is>
          <t>STATE</t>
        </is>
      </c>
      <c r="Q122" t="n">
        <v>3.733</v>
      </c>
      <c r="R122" t="n">
        <v>4.967</v>
      </c>
      <c r="S122" t="n">
        <v>1.234</v>
      </c>
      <c r="T122" t="inlineStr">
        <is>
          <t>BTBR\training\c3m3.mp4</t>
        </is>
      </c>
      <c r="U122" t="n">
        <v>112</v>
      </c>
      <c r="V122" t="n">
        <v>149</v>
      </c>
      <c r="W122" t="n">
        <v/>
      </c>
      <c r="X122" t="n">
        <v/>
      </c>
      <c r="Y122" t="n">
        <v/>
      </c>
      <c r="Z122" t="n">
        <v/>
      </c>
      <c r="AA122">
        <f>SUMIFS($S$2:S122,$A$2:A122,A122,$N$2:N122,"Explore*")</f>
        <v/>
      </c>
      <c r="AB122">
        <f>IF(AND(LEFT(N122,7)="Explore",(AA122-IF(LEFT(N122,7)="Explore",S122,0))&lt;10),"SI","NO")</f>
        <v/>
      </c>
    </row>
    <row r="123">
      <c r="A123" t="inlineStr">
        <is>
          <t>c3m3_training</t>
        </is>
      </c>
      <c r="B123" t="inlineStr">
        <is>
          <t>2026-02-19 12:28:49.783</t>
        </is>
      </c>
      <c r="C123" t="n">
        <v/>
      </c>
      <c r="D123" t="inlineStr">
        <is>
          <t>Media file</t>
        </is>
      </c>
      <c r="E123" t="inlineStr">
        <is>
          <t>player #1:BTBR\training\c3m3.mp4</t>
        </is>
      </c>
      <c r="F123" t="n">
        <v>-11.7</v>
      </c>
      <c r="G123" t="n">
        <v>571.6319999999999</v>
      </c>
      <c r="H123" t="n">
        <v>615.533</v>
      </c>
      <c r="I123" t="n">
        <v>30</v>
      </c>
      <c r="J123" t="inlineStr">
        <is>
          <t>BTBR</t>
        </is>
      </c>
      <c r="K123" t="inlineStr">
        <is>
          <t>Male</t>
        </is>
      </c>
      <c r="L123" t="inlineStr">
        <is>
          <t>No focal subject</t>
        </is>
      </c>
      <c r="M123" t="n">
        <v>45.535</v>
      </c>
      <c r="N123" t="inlineStr">
        <is>
          <t>Explore_F2</t>
        </is>
      </c>
      <c r="O123" t="inlineStr">
        <is>
          <t>Second familiar</t>
        </is>
      </c>
      <c r="P123" t="inlineStr">
        <is>
          <t>STATE</t>
        </is>
      </c>
      <c r="Q123" t="n">
        <v>14.633</v>
      </c>
      <c r="R123" t="n">
        <v>15.433</v>
      </c>
      <c r="S123" t="n">
        <v>0.8</v>
      </c>
      <c r="T123" t="inlineStr">
        <is>
          <t>BTBR\training\c3m3.mp4</t>
        </is>
      </c>
      <c r="U123" t="n">
        <v>439</v>
      </c>
      <c r="V123" t="n">
        <v>463</v>
      </c>
      <c r="W123" t="n">
        <v/>
      </c>
      <c r="X123" t="n">
        <v/>
      </c>
      <c r="Y123" t="n">
        <v/>
      </c>
      <c r="Z123" t="n">
        <v/>
      </c>
      <c r="AA123">
        <f>SUMIFS($S$2:S123,$A$2:A123,A123,$N$2:N123,"Explore*")</f>
        <v/>
      </c>
      <c r="AB123">
        <f>IF(AND(LEFT(N123,7)="Explore",(AA123-IF(LEFT(N123,7)="Explore",S123,0))&lt;10),"SI","NO")</f>
        <v/>
      </c>
    </row>
    <row r="124">
      <c r="A124" t="inlineStr">
        <is>
          <t>c3m3_training</t>
        </is>
      </c>
      <c r="B124" t="inlineStr">
        <is>
          <t>2026-02-19 12:28:49.783</t>
        </is>
      </c>
      <c r="C124" t="n">
        <v/>
      </c>
      <c r="D124" t="inlineStr">
        <is>
          <t>Media file</t>
        </is>
      </c>
      <c r="E124" t="inlineStr">
        <is>
          <t>player #1:BTBR\training\c3m3.mp4</t>
        </is>
      </c>
      <c r="F124" t="n">
        <v>-11.7</v>
      </c>
      <c r="G124" t="n">
        <v>571.6319999999999</v>
      </c>
      <c r="H124" t="n">
        <v>615.533</v>
      </c>
      <c r="I124" t="n">
        <v>30</v>
      </c>
      <c r="J124" t="inlineStr">
        <is>
          <t>BTBR</t>
        </is>
      </c>
      <c r="K124" t="inlineStr">
        <is>
          <t>Male</t>
        </is>
      </c>
      <c r="L124" t="inlineStr">
        <is>
          <t>No focal subject</t>
        </is>
      </c>
      <c r="M124" t="n">
        <v>45.535</v>
      </c>
      <c r="N124" t="inlineStr">
        <is>
          <t>Explore_F</t>
        </is>
      </c>
      <c r="O124" t="inlineStr">
        <is>
          <t>Familiar</t>
        </is>
      </c>
      <c r="P124" t="inlineStr">
        <is>
          <t>STATE</t>
        </is>
      </c>
      <c r="Q124" t="n">
        <v>18.633</v>
      </c>
      <c r="R124" t="n">
        <v>19.233</v>
      </c>
      <c r="S124" t="n">
        <v>0.6</v>
      </c>
      <c r="T124" t="inlineStr">
        <is>
          <t>BTBR\training\c3m3.mp4</t>
        </is>
      </c>
      <c r="U124" t="n">
        <v>559</v>
      </c>
      <c r="V124" t="n">
        <v>577</v>
      </c>
      <c r="W124" t="n">
        <v/>
      </c>
      <c r="X124" t="n">
        <v/>
      </c>
      <c r="Y124" t="n">
        <v/>
      </c>
      <c r="Z124" t="n">
        <v/>
      </c>
      <c r="AA124">
        <f>SUMIFS($S$2:S124,$A$2:A124,A124,$N$2:N124,"Explore*")</f>
        <v/>
      </c>
      <c r="AB124">
        <f>IF(AND(LEFT(N124,7)="Explore",(AA124-IF(LEFT(N124,7)="Explore",S124,0))&lt;10),"SI","NO")</f>
        <v/>
      </c>
    </row>
    <row r="125">
      <c r="A125" t="inlineStr">
        <is>
          <t>c3m3_training</t>
        </is>
      </c>
      <c r="B125" t="inlineStr">
        <is>
          <t>2026-02-19 12:28:49.783</t>
        </is>
      </c>
      <c r="C125" t="n">
        <v/>
      </c>
      <c r="D125" t="inlineStr">
        <is>
          <t>Media file</t>
        </is>
      </c>
      <c r="E125" t="inlineStr">
        <is>
          <t>player #1:BTBR\training\c3m3.mp4</t>
        </is>
      </c>
      <c r="F125" t="n">
        <v>-11.7</v>
      </c>
      <c r="G125" t="n">
        <v>571.6319999999999</v>
      </c>
      <c r="H125" t="n">
        <v>615.533</v>
      </c>
      <c r="I125" t="n">
        <v>30</v>
      </c>
      <c r="J125" t="inlineStr">
        <is>
          <t>BTBR</t>
        </is>
      </c>
      <c r="K125" t="inlineStr">
        <is>
          <t>Male</t>
        </is>
      </c>
      <c r="L125" t="inlineStr">
        <is>
          <t>No focal subject</t>
        </is>
      </c>
      <c r="M125" t="n">
        <v>45.535</v>
      </c>
      <c r="N125" t="inlineStr">
        <is>
          <t>Explore_F</t>
        </is>
      </c>
      <c r="O125" t="inlineStr">
        <is>
          <t>Familiar</t>
        </is>
      </c>
      <c r="P125" t="inlineStr">
        <is>
          <t>STATE</t>
        </is>
      </c>
      <c r="Q125" t="n">
        <v>26.467</v>
      </c>
      <c r="R125" t="n">
        <v>27.433</v>
      </c>
      <c r="S125" t="n">
        <v>0.966</v>
      </c>
      <c r="T125" t="inlineStr">
        <is>
          <t>BTBR\training\c3m3.mp4</t>
        </is>
      </c>
      <c r="U125" t="n">
        <v>794</v>
      </c>
      <c r="V125" t="n">
        <v>823</v>
      </c>
      <c r="W125" t="n">
        <v/>
      </c>
      <c r="X125" t="n">
        <v/>
      </c>
      <c r="Y125" t="n">
        <v/>
      </c>
      <c r="Z125" t="n">
        <v/>
      </c>
      <c r="AA125">
        <f>SUMIFS($S$2:S125,$A$2:A125,A125,$N$2:N125,"Explore*")</f>
        <v/>
      </c>
      <c r="AB125">
        <f>IF(AND(LEFT(N125,7)="Explore",(AA125-IF(LEFT(N125,7)="Explore",S125,0))&lt;10),"SI","NO")</f>
        <v/>
      </c>
    </row>
    <row r="126">
      <c r="A126" t="inlineStr">
        <is>
          <t>c3m3_training</t>
        </is>
      </c>
      <c r="B126" t="inlineStr">
        <is>
          <t>2026-02-19 12:28:49.783</t>
        </is>
      </c>
      <c r="C126" t="n">
        <v/>
      </c>
      <c r="D126" t="inlineStr">
        <is>
          <t>Media file</t>
        </is>
      </c>
      <c r="E126" t="inlineStr">
        <is>
          <t>player #1:BTBR\training\c3m3.mp4</t>
        </is>
      </c>
      <c r="F126" t="n">
        <v>-11.7</v>
      </c>
      <c r="G126" t="n">
        <v>571.6319999999999</v>
      </c>
      <c r="H126" t="n">
        <v>615.533</v>
      </c>
      <c r="I126" t="n">
        <v>30</v>
      </c>
      <c r="J126" t="inlineStr">
        <is>
          <t>BTBR</t>
        </is>
      </c>
      <c r="K126" t="inlineStr">
        <is>
          <t>Male</t>
        </is>
      </c>
      <c r="L126" t="inlineStr">
        <is>
          <t>No focal subject</t>
        </is>
      </c>
      <c r="M126" t="n">
        <v>45.535</v>
      </c>
      <c r="N126" t="inlineStr">
        <is>
          <t>Explore_F</t>
        </is>
      </c>
      <c r="O126" t="inlineStr">
        <is>
          <t>Familiar</t>
        </is>
      </c>
      <c r="P126" t="inlineStr">
        <is>
          <t>STATE</t>
        </is>
      </c>
      <c r="Q126" t="n">
        <v>28.3</v>
      </c>
      <c r="R126" t="n">
        <v>29.767</v>
      </c>
      <c r="S126" t="n">
        <v>1.467</v>
      </c>
      <c r="T126" t="inlineStr">
        <is>
          <t>BTBR\training\c3m3.mp4</t>
        </is>
      </c>
      <c r="U126" t="n">
        <v>849</v>
      </c>
      <c r="V126" t="n">
        <v>893</v>
      </c>
      <c r="W126" t="n">
        <v/>
      </c>
      <c r="X126" t="n">
        <v/>
      </c>
      <c r="Y126" t="n">
        <v/>
      </c>
      <c r="Z126" t="n">
        <v/>
      </c>
      <c r="AA126">
        <f>SUMIFS($S$2:S126,$A$2:A126,A126,$N$2:N126,"Explore*")</f>
        <v/>
      </c>
      <c r="AB126">
        <f>IF(AND(LEFT(N126,7)="Explore",(AA126-IF(LEFT(N126,7)="Explore",S126,0))&lt;10),"SI","NO")</f>
        <v/>
      </c>
    </row>
    <row r="127">
      <c r="A127" t="inlineStr">
        <is>
          <t>c3m3_training</t>
        </is>
      </c>
      <c r="B127" t="inlineStr">
        <is>
          <t>2026-02-19 12:28:49.783</t>
        </is>
      </c>
      <c r="C127" t="n">
        <v/>
      </c>
      <c r="D127" t="inlineStr">
        <is>
          <t>Media file</t>
        </is>
      </c>
      <c r="E127" t="inlineStr">
        <is>
          <t>player #1:BTBR\training\c3m3.mp4</t>
        </is>
      </c>
      <c r="F127" t="n">
        <v>-11.7</v>
      </c>
      <c r="G127" t="n">
        <v>571.6319999999999</v>
      </c>
      <c r="H127" t="n">
        <v>615.533</v>
      </c>
      <c r="I127" t="n">
        <v>30</v>
      </c>
      <c r="J127" t="inlineStr">
        <is>
          <t>BTBR</t>
        </is>
      </c>
      <c r="K127" t="inlineStr">
        <is>
          <t>Male</t>
        </is>
      </c>
      <c r="L127" t="inlineStr">
        <is>
          <t>No focal subject</t>
        </is>
      </c>
      <c r="M127" t="n">
        <v>45.535</v>
      </c>
      <c r="N127" t="inlineStr">
        <is>
          <t>Explore_F2</t>
        </is>
      </c>
      <c r="O127" t="inlineStr">
        <is>
          <t>Second familiar</t>
        </is>
      </c>
      <c r="P127" t="inlineStr">
        <is>
          <t>STATE</t>
        </is>
      </c>
      <c r="Q127" t="n">
        <v>30.667</v>
      </c>
      <c r="R127" t="n">
        <v>32.933</v>
      </c>
      <c r="S127" t="n">
        <v>2.266</v>
      </c>
      <c r="T127" t="inlineStr">
        <is>
          <t>BTBR\training\c3m3.mp4</t>
        </is>
      </c>
      <c r="U127" t="n">
        <v>920</v>
      </c>
      <c r="V127" t="n">
        <v>988</v>
      </c>
      <c r="W127" t="n">
        <v/>
      </c>
      <c r="X127" t="n">
        <v/>
      </c>
      <c r="Y127" t="n">
        <v/>
      </c>
      <c r="Z127" t="n">
        <v/>
      </c>
      <c r="AA127">
        <f>SUMIFS($S$2:S127,$A$2:A127,A127,$N$2:N127,"Explore*")</f>
        <v/>
      </c>
      <c r="AB127">
        <f>IF(AND(LEFT(N127,7)="Explore",(AA127-IF(LEFT(N127,7)="Explore",S127,0))&lt;10),"SI","NO")</f>
        <v/>
      </c>
    </row>
    <row r="128">
      <c r="A128" t="inlineStr">
        <is>
          <t>c3m3_training</t>
        </is>
      </c>
      <c r="B128" t="inlineStr">
        <is>
          <t>2026-02-19 12:28:49.783</t>
        </is>
      </c>
      <c r="C128" t="n">
        <v/>
      </c>
      <c r="D128" t="inlineStr">
        <is>
          <t>Media file</t>
        </is>
      </c>
      <c r="E128" t="inlineStr">
        <is>
          <t>player #1:BTBR\training\c3m3.mp4</t>
        </is>
      </c>
      <c r="F128" t="n">
        <v>-11.7</v>
      </c>
      <c r="G128" t="n">
        <v>571.6319999999999</v>
      </c>
      <c r="H128" t="n">
        <v>615.533</v>
      </c>
      <c r="I128" t="n">
        <v>30</v>
      </c>
      <c r="J128" t="inlineStr">
        <is>
          <t>BTBR</t>
        </is>
      </c>
      <c r="K128" t="inlineStr">
        <is>
          <t>Male</t>
        </is>
      </c>
      <c r="L128" t="inlineStr">
        <is>
          <t>No focal subject</t>
        </is>
      </c>
      <c r="M128" t="n">
        <v>45.535</v>
      </c>
      <c r="N128" t="inlineStr">
        <is>
          <t>Explore_F</t>
        </is>
      </c>
      <c r="O128" t="inlineStr">
        <is>
          <t>Familiar</t>
        </is>
      </c>
      <c r="P128" t="inlineStr">
        <is>
          <t>STATE</t>
        </is>
      </c>
      <c r="Q128" t="n">
        <v>34.367</v>
      </c>
      <c r="R128" t="n">
        <v>35.7</v>
      </c>
      <c r="S128" t="n">
        <v>1.333</v>
      </c>
      <c r="T128" t="inlineStr">
        <is>
          <t>BTBR\training\c3m3.mp4</t>
        </is>
      </c>
      <c r="U128" t="n">
        <v>1031</v>
      </c>
      <c r="V128" t="n">
        <v>1071</v>
      </c>
      <c r="W128" t="n">
        <v/>
      </c>
      <c r="X128" t="n">
        <v/>
      </c>
      <c r="Y128" t="n">
        <v/>
      </c>
      <c r="Z128" t="n">
        <v/>
      </c>
      <c r="AA128">
        <f>SUMIFS($S$2:S128,$A$2:A128,A128,$N$2:N128,"Explore*")</f>
        <v/>
      </c>
      <c r="AB128">
        <f>IF(AND(LEFT(N128,7)="Explore",(AA128-IF(LEFT(N128,7)="Explore",S128,0))&lt;10),"SI","NO")</f>
        <v/>
      </c>
    </row>
    <row r="129">
      <c r="A129" t="inlineStr">
        <is>
          <t>c3m3_training</t>
        </is>
      </c>
      <c r="B129" t="inlineStr">
        <is>
          <t>2026-02-19 12:28:49.783</t>
        </is>
      </c>
      <c r="C129" t="n">
        <v/>
      </c>
      <c r="D129" t="inlineStr">
        <is>
          <t>Media file</t>
        </is>
      </c>
      <c r="E129" t="inlineStr">
        <is>
          <t>player #1:BTBR\training\c3m3.mp4</t>
        </is>
      </c>
      <c r="F129" t="n">
        <v>-11.7</v>
      </c>
      <c r="G129" t="n">
        <v>571.6319999999999</v>
      </c>
      <c r="H129" t="n">
        <v>615.533</v>
      </c>
      <c r="I129" t="n">
        <v>30</v>
      </c>
      <c r="J129" t="inlineStr">
        <is>
          <t>BTBR</t>
        </is>
      </c>
      <c r="K129" t="inlineStr">
        <is>
          <t>Male</t>
        </is>
      </c>
      <c r="L129" t="inlineStr">
        <is>
          <t>No focal subject</t>
        </is>
      </c>
      <c r="M129" t="n">
        <v>45.535</v>
      </c>
      <c r="N129" t="inlineStr">
        <is>
          <t>Explore_F</t>
        </is>
      </c>
      <c r="O129" t="inlineStr">
        <is>
          <t>Familiar</t>
        </is>
      </c>
      <c r="P129" t="inlineStr">
        <is>
          <t>STATE</t>
        </is>
      </c>
      <c r="Q129" t="n">
        <v>44.067</v>
      </c>
      <c r="R129" t="n">
        <v>45.067</v>
      </c>
      <c r="S129" t="n">
        <v>1</v>
      </c>
      <c r="T129" t="inlineStr">
        <is>
          <t>BTBR\training\c3m3.mp4</t>
        </is>
      </c>
      <c r="U129" t="n">
        <v>1322</v>
      </c>
      <c r="V129" t="n">
        <v>1352</v>
      </c>
      <c r="W129" t="n">
        <v/>
      </c>
      <c r="X129" t="n">
        <v/>
      </c>
      <c r="Y129" t="n">
        <v/>
      </c>
      <c r="Z129" t="n">
        <v/>
      </c>
      <c r="AA129">
        <f>SUMIFS($S$2:S129,$A$2:A129,A129,$N$2:N129,"Explore*")</f>
        <v/>
      </c>
      <c r="AB129">
        <f>IF(AND(LEFT(N129,7)="Explore",(AA129-IF(LEFT(N129,7)="Explore",S129,0))&lt;10),"SI","NO")</f>
        <v/>
      </c>
    </row>
    <row r="130">
      <c r="A130" t="inlineStr">
        <is>
          <t>c3m3_training</t>
        </is>
      </c>
      <c r="B130" t="inlineStr">
        <is>
          <t>2026-02-19 12:28:49.783</t>
        </is>
      </c>
      <c r="C130" t="n">
        <v/>
      </c>
      <c r="D130" t="inlineStr">
        <is>
          <t>Media file</t>
        </is>
      </c>
      <c r="E130" t="inlineStr">
        <is>
          <t>player #1:BTBR\training\c3m3.mp4</t>
        </is>
      </c>
      <c r="F130" t="n">
        <v>-11.7</v>
      </c>
      <c r="G130" t="n">
        <v>571.6319999999999</v>
      </c>
      <c r="H130" t="n">
        <v>615.533</v>
      </c>
      <c r="I130" t="n">
        <v>30</v>
      </c>
      <c r="J130" t="inlineStr">
        <is>
          <t>BTBR</t>
        </is>
      </c>
      <c r="K130" t="inlineStr">
        <is>
          <t>Male</t>
        </is>
      </c>
      <c r="L130" t="inlineStr">
        <is>
          <t>No focal subject</t>
        </is>
      </c>
      <c r="M130" t="n">
        <v>45.535</v>
      </c>
      <c r="N130" t="inlineStr">
        <is>
          <t>Explore_F2</t>
        </is>
      </c>
      <c r="O130" t="inlineStr">
        <is>
          <t>Second familiar</t>
        </is>
      </c>
      <c r="P130" t="inlineStr">
        <is>
          <t>STATE</t>
        </is>
      </c>
      <c r="Q130" t="n">
        <v>46.6</v>
      </c>
      <c r="R130" t="n">
        <v>47.5</v>
      </c>
      <c r="S130" t="n">
        <v>0.9</v>
      </c>
      <c r="T130" t="inlineStr">
        <is>
          <t>BTBR\training\c3m3.mp4</t>
        </is>
      </c>
      <c r="U130" t="n">
        <v>1398</v>
      </c>
      <c r="V130" t="n">
        <v>1427</v>
      </c>
      <c r="W130" t="n">
        <v/>
      </c>
      <c r="X130" t="n">
        <v/>
      </c>
      <c r="Y130" t="n">
        <v/>
      </c>
      <c r="Z130" t="n">
        <v/>
      </c>
      <c r="AA130">
        <f>SUMIFS($S$2:S130,$A$2:A130,A130,$N$2:N130,"Explore*")</f>
        <v/>
      </c>
      <c r="AB130">
        <f>IF(AND(LEFT(N130,7)="Explore",(AA130-IF(LEFT(N130,7)="Explore",S130,0))&lt;10),"SI","NO")</f>
        <v/>
      </c>
    </row>
    <row r="131">
      <c r="A131" t="inlineStr">
        <is>
          <t>c3m3_training</t>
        </is>
      </c>
      <c r="B131" t="inlineStr">
        <is>
          <t>2026-02-19 12:28:49.783</t>
        </is>
      </c>
      <c r="C131" t="n">
        <v/>
      </c>
      <c r="D131" t="inlineStr">
        <is>
          <t>Media file</t>
        </is>
      </c>
      <c r="E131" t="inlineStr">
        <is>
          <t>player #1:BTBR\training\c3m3.mp4</t>
        </is>
      </c>
      <c r="F131" t="n">
        <v>-11.7</v>
      </c>
      <c r="G131" t="n">
        <v>571.6319999999999</v>
      </c>
      <c r="H131" t="n">
        <v>615.533</v>
      </c>
      <c r="I131" t="n">
        <v>30</v>
      </c>
      <c r="J131" t="inlineStr">
        <is>
          <t>BTBR</t>
        </is>
      </c>
      <c r="K131" t="inlineStr">
        <is>
          <t>Male</t>
        </is>
      </c>
      <c r="L131" t="inlineStr">
        <is>
          <t>No focal subject</t>
        </is>
      </c>
      <c r="M131" t="n">
        <v>45.535</v>
      </c>
      <c r="N131" t="inlineStr">
        <is>
          <t>Explore_F</t>
        </is>
      </c>
      <c r="O131" t="inlineStr">
        <is>
          <t>Familiar</t>
        </is>
      </c>
      <c r="P131" t="inlineStr">
        <is>
          <t>STATE</t>
        </is>
      </c>
      <c r="Q131" t="n">
        <v>51.267</v>
      </c>
      <c r="R131" t="n">
        <v>52.5</v>
      </c>
      <c r="S131" t="n">
        <v>1.233</v>
      </c>
      <c r="T131" t="inlineStr">
        <is>
          <t>BTBR\training\c3m3.mp4</t>
        </is>
      </c>
      <c r="U131" t="n">
        <v>1538</v>
      </c>
      <c r="V131" t="n">
        <v>1577</v>
      </c>
      <c r="W131" t="n">
        <v/>
      </c>
      <c r="X131" t="n">
        <v/>
      </c>
      <c r="Y131" t="n">
        <v/>
      </c>
      <c r="Z131" t="n">
        <v/>
      </c>
      <c r="AA131">
        <f>SUMIFS($S$2:S131,$A$2:A131,A131,$N$2:N131,"Explore*")</f>
        <v/>
      </c>
      <c r="AB131">
        <f>IF(AND(LEFT(N131,7)="Explore",(AA131-IF(LEFT(N131,7)="Explore",S131,0))&lt;10),"SI","NO")</f>
        <v/>
      </c>
    </row>
    <row r="132">
      <c r="A132" t="inlineStr">
        <is>
          <t>c3m3_training</t>
        </is>
      </c>
      <c r="B132" t="inlineStr">
        <is>
          <t>2026-02-19 12:28:49.783</t>
        </is>
      </c>
      <c r="C132" t="n">
        <v/>
      </c>
      <c r="D132" t="inlineStr">
        <is>
          <t>Media file</t>
        </is>
      </c>
      <c r="E132" t="inlineStr">
        <is>
          <t>player #1:BTBR\training\c3m3.mp4</t>
        </is>
      </c>
      <c r="F132" t="n">
        <v>-11.7</v>
      </c>
      <c r="G132" t="n">
        <v>571.6319999999999</v>
      </c>
      <c r="H132" t="n">
        <v>615.533</v>
      </c>
      <c r="I132" t="n">
        <v>30</v>
      </c>
      <c r="J132" t="inlineStr">
        <is>
          <t>BTBR</t>
        </is>
      </c>
      <c r="K132" t="inlineStr">
        <is>
          <t>Male</t>
        </is>
      </c>
      <c r="L132" t="inlineStr">
        <is>
          <t>No focal subject</t>
        </is>
      </c>
      <c r="M132" t="n">
        <v>45.535</v>
      </c>
      <c r="N132" t="inlineStr">
        <is>
          <t>Explore_F2</t>
        </is>
      </c>
      <c r="O132" t="inlineStr">
        <is>
          <t>Second familiar</t>
        </is>
      </c>
      <c r="P132" t="inlineStr">
        <is>
          <t>STATE</t>
        </is>
      </c>
      <c r="Q132" t="n">
        <v>57.167</v>
      </c>
      <c r="R132" t="n">
        <v>57.9</v>
      </c>
      <c r="S132" t="n">
        <v>0.733</v>
      </c>
      <c r="T132" t="inlineStr">
        <is>
          <t>BTBR\training\c3m3.mp4</t>
        </is>
      </c>
      <c r="U132" t="n">
        <v>1715</v>
      </c>
      <c r="V132" t="n">
        <v>1737</v>
      </c>
      <c r="W132" t="n">
        <v/>
      </c>
      <c r="X132" t="n">
        <v/>
      </c>
      <c r="Y132" t="n">
        <v/>
      </c>
      <c r="Z132" t="n">
        <v/>
      </c>
      <c r="AA132">
        <f>SUMIFS($S$2:S132,$A$2:A132,A132,$N$2:N132,"Explore*")</f>
        <v/>
      </c>
      <c r="AB132">
        <f>IF(AND(LEFT(N132,7)="Explore",(AA132-IF(LEFT(N132,7)="Explore",S132,0))&lt;10),"SI","NO")</f>
        <v/>
      </c>
    </row>
    <row r="133">
      <c r="A133" t="inlineStr">
        <is>
          <t>c3m3_training</t>
        </is>
      </c>
      <c r="B133" t="inlineStr">
        <is>
          <t>2026-02-19 12:28:49.783</t>
        </is>
      </c>
      <c r="C133" t="n">
        <v/>
      </c>
      <c r="D133" t="inlineStr">
        <is>
          <t>Media file</t>
        </is>
      </c>
      <c r="E133" t="inlineStr">
        <is>
          <t>player #1:BTBR\training\c3m3.mp4</t>
        </is>
      </c>
      <c r="F133" t="n">
        <v>-11.7</v>
      </c>
      <c r="G133" t="n">
        <v>571.6319999999999</v>
      </c>
      <c r="H133" t="n">
        <v>615.533</v>
      </c>
      <c r="I133" t="n">
        <v>30</v>
      </c>
      <c r="J133" t="inlineStr">
        <is>
          <t>BTBR</t>
        </is>
      </c>
      <c r="K133" t="inlineStr">
        <is>
          <t>Male</t>
        </is>
      </c>
      <c r="L133" t="inlineStr">
        <is>
          <t>No focal subject</t>
        </is>
      </c>
      <c r="M133" t="n">
        <v>45.535</v>
      </c>
      <c r="N133" t="inlineStr">
        <is>
          <t>Explore_F</t>
        </is>
      </c>
      <c r="O133" t="inlineStr">
        <is>
          <t>Familiar</t>
        </is>
      </c>
      <c r="P133" t="inlineStr">
        <is>
          <t>STATE</t>
        </is>
      </c>
      <c r="Q133" t="n">
        <v>58.7</v>
      </c>
      <c r="R133" t="n">
        <v>59.867</v>
      </c>
      <c r="S133" t="n">
        <v>1.167</v>
      </c>
      <c r="T133" t="inlineStr">
        <is>
          <t>BTBR\training\c3m3.mp4</t>
        </is>
      </c>
      <c r="U133" t="n">
        <v>1761</v>
      </c>
      <c r="V133" t="n">
        <v>1796</v>
      </c>
      <c r="W133" t="n">
        <v/>
      </c>
      <c r="X133" t="n">
        <v/>
      </c>
      <c r="Y133" t="n">
        <v/>
      </c>
      <c r="Z133" t="n">
        <v/>
      </c>
      <c r="AA133">
        <f>SUMIFS($S$2:S133,$A$2:A133,A133,$N$2:N133,"Explore*")</f>
        <v/>
      </c>
      <c r="AB133">
        <f>IF(AND(LEFT(N133,7)="Explore",(AA133-IF(LEFT(N133,7)="Explore",S133,0))&lt;10),"SI","NO")</f>
        <v/>
      </c>
    </row>
    <row r="134">
      <c r="A134" t="inlineStr">
        <is>
          <t>c3m3_training</t>
        </is>
      </c>
      <c r="B134" t="inlineStr">
        <is>
          <t>2026-02-19 12:28:49.783</t>
        </is>
      </c>
      <c r="C134" t="n">
        <v/>
      </c>
      <c r="D134" t="inlineStr">
        <is>
          <t>Media file</t>
        </is>
      </c>
      <c r="E134" t="inlineStr">
        <is>
          <t>player #1:BTBR\training\c3m3.mp4</t>
        </is>
      </c>
      <c r="F134" t="n">
        <v>-11.7</v>
      </c>
      <c r="G134" t="n">
        <v>571.6319999999999</v>
      </c>
      <c r="H134" t="n">
        <v>615.533</v>
      </c>
      <c r="I134" t="n">
        <v>30</v>
      </c>
      <c r="J134" t="inlineStr">
        <is>
          <t>BTBR</t>
        </is>
      </c>
      <c r="K134" t="inlineStr">
        <is>
          <t>Male</t>
        </is>
      </c>
      <c r="L134" t="inlineStr">
        <is>
          <t>No focal subject</t>
        </is>
      </c>
      <c r="M134" t="n">
        <v>45.535</v>
      </c>
      <c r="N134" t="inlineStr">
        <is>
          <t>Explore_F2</t>
        </is>
      </c>
      <c r="O134" t="inlineStr">
        <is>
          <t>Second familiar</t>
        </is>
      </c>
      <c r="P134" t="inlineStr">
        <is>
          <t>STATE</t>
        </is>
      </c>
      <c r="Q134" t="n">
        <v>66.767</v>
      </c>
      <c r="R134" t="n">
        <v>67.833</v>
      </c>
      <c r="S134" t="n">
        <v>1.066</v>
      </c>
      <c r="T134" t="inlineStr">
        <is>
          <t>BTBR\training\c3m3.mp4</t>
        </is>
      </c>
      <c r="U134" t="n">
        <v>2003</v>
      </c>
      <c r="V134" t="n">
        <v>2035</v>
      </c>
      <c r="W134" t="n">
        <v/>
      </c>
      <c r="X134" t="n">
        <v/>
      </c>
      <c r="Y134" t="n">
        <v/>
      </c>
      <c r="Z134" t="n">
        <v/>
      </c>
      <c r="AA134">
        <f>SUMIFS($S$2:S134,$A$2:A134,A134,$N$2:N134,"Explore*")</f>
        <v/>
      </c>
      <c r="AB134">
        <f>IF(AND(LEFT(N134,7)="Explore",(AA134-IF(LEFT(N134,7)="Explore",S134,0))&lt;10),"SI","NO")</f>
        <v/>
      </c>
    </row>
    <row r="135">
      <c r="A135" t="inlineStr">
        <is>
          <t>c3m3_training</t>
        </is>
      </c>
      <c r="B135" t="inlineStr">
        <is>
          <t>2026-02-19 12:28:49.783</t>
        </is>
      </c>
      <c r="C135" t="n">
        <v/>
      </c>
      <c r="D135" t="inlineStr">
        <is>
          <t>Media file</t>
        </is>
      </c>
      <c r="E135" t="inlineStr">
        <is>
          <t>player #1:BTBR\training\c3m3.mp4</t>
        </is>
      </c>
      <c r="F135" t="n">
        <v>-11.7</v>
      </c>
      <c r="G135" t="n">
        <v>571.6319999999999</v>
      </c>
      <c r="H135" t="n">
        <v>615.533</v>
      </c>
      <c r="I135" t="n">
        <v>30</v>
      </c>
      <c r="J135" t="inlineStr">
        <is>
          <t>BTBR</t>
        </is>
      </c>
      <c r="K135" t="inlineStr">
        <is>
          <t>Male</t>
        </is>
      </c>
      <c r="L135" t="inlineStr">
        <is>
          <t>No focal subject</t>
        </is>
      </c>
      <c r="M135" t="n">
        <v>45.535</v>
      </c>
      <c r="N135" t="inlineStr">
        <is>
          <t>Explore_F2</t>
        </is>
      </c>
      <c r="O135" t="inlineStr">
        <is>
          <t>Second familiar</t>
        </is>
      </c>
      <c r="P135" t="inlineStr">
        <is>
          <t>STATE</t>
        </is>
      </c>
      <c r="Q135" t="n">
        <v>68.59999999999999</v>
      </c>
      <c r="R135" t="n">
        <v>69.467</v>
      </c>
      <c r="S135" t="n">
        <v>0.867</v>
      </c>
      <c r="T135" t="inlineStr">
        <is>
          <t>BTBR\training\c3m3.mp4</t>
        </is>
      </c>
      <c r="U135" t="n">
        <v>2058</v>
      </c>
      <c r="V135" t="n">
        <v>2084</v>
      </c>
      <c r="W135" t="n">
        <v/>
      </c>
      <c r="X135" t="n">
        <v/>
      </c>
      <c r="Y135" t="n">
        <v/>
      </c>
      <c r="Z135" t="n">
        <v/>
      </c>
      <c r="AA135">
        <f>SUMIFS($S$2:S135,$A$2:A135,A135,$N$2:N135,"Explore*")</f>
        <v/>
      </c>
      <c r="AB135">
        <f>IF(AND(LEFT(N135,7)="Explore",(AA135-IF(LEFT(N135,7)="Explore",S135,0))&lt;10),"SI","NO")</f>
        <v/>
      </c>
    </row>
    <row r="136">
      <c r="A136" t="inlineStr">
        <is>
          <t>c3m3_training</t>
        </is>
      </c>
      <c r="B136" t="inlineStr">
        <is>
          <t>2026-02-19 12:28:49.783</t>
        </is>
      </c>
      <c r="C136" t="n">
        <v/>
      </c>
      <c r="D136" t="inlineStr">
        <is>
          <t>Media file</t>
        </is>
      </c>
      <c r="E136" t="inlineStr">
        <is>
          <t>player #1:BTBR\training\c3m3.mp4</t>
        </is>
      </c>
      <c r="F136" t="n">
        <v>-11.7</v>
      </c>
      <c r="G136" t="n">
        <v>571.6319999999999</v>
      </c>
      <c r="H136" t="n">
        <v>615.533</v>
      </c>
      <c r="I136" t="n">
        <v>30</v>
      </c>
      <c r="J136" t="inlineStr">
        <is>
          <t>BTBR</t>
        </is>
      </c>
      <c r="K136" t="inlineStr">
        <is>
          <t>Male</t>
        </is>
      </c>
      <c r="L136" t="inlineStr">
        <is>
          <t>No focal subject</t>
        </is>
      </c>
      <c r="M136" t="n">
        <v>45.535</v>
      </c>
      <c r="N136" t="inlineStr">
        <is>
          <t>Explore_F</t>
        </is>
      </c>
      <c r="O136" t="inlineStr">
        <is>
          <t>Familiar</t>
        </is>
      </c>
      <c r="P136" t="inlineStr">
        <is>
          <t>STATE</t>
        </is>
      </c>
      <c r="Q136" t="n">
        <v>74.56699999999999</v>
      </c>
      <c r="R136" t="n">
        <v>76.2</v>
      </c>
      <c r="S136" t="n">
        <v>1.633</v>
      </c>
      <c r="T136" t="inlineStr">
        <is>
          <t>BTBR\training\c3m3.mp4</t>
        </is>
      </c>
      <c r="U136" t="n">
        <v>2237</v>
      </c>
      <c r="V136" t="n">
        <v>2286</v>
      </c>
      <c r="W136" t="n">
        <v/>
      </c>
      <c r="X136" t="n">
        <v/>
      </c>
      <c r="Y136" t="n">
        <v/>
      </c>
      <c r="Z136" t="n">
        <v/>
      </c>
      <c r="AA136">
        <f>SUMIFS($S$2:S136,$A$2:A136,A136,$N$2:N136,"Explore*")</f>
        <v/>
      </c>
      <c r="AB136">
        <f>IF(AND(LEFT(N136,7)="Explore",(AA136-IF(LEFT(N136,7)="Explore",S136,0))&lt;10),"SI","NO")</f>
        <v/>
      </c>
    </row>
    <row r="137">
      <c r="A137" t="inlineStr">
        <is>
          <t>c3m3_training</t>
        </is>
      </c>
      <c r="B137" t="inlineStr">
        <is>
          <t>2026-02-19 12:28:49.783</t>
        </is>
      </c>
      <c r="C137" t="n">
        <v/>
      </c>
      <c r="D137" t="inlineStr">
        <is>
          <t>Media file</t>
        </is>
      </c>
      <c r="E137" t="inlineStr">
        <is>
          <t>player #1:BTBR\training\c3m3.mp4</t>
        </is>
      </c>
      <c r="F137" t="n">
        <v>-11.7</v>
      </c>
      <c r="G137" t="n">
        <v>571.6319999999999</v>
      </c>
      <c r="H137" t="n">
        <v>615.533</v>
      </c>
      <c r="I137" t="n">
        <v>30</v>
      </c>
      <c r="J137" t="inlineStr">
        <is>
          <t>BTBR</t>
        </is>
      </c>
      <c r="K137" t="inlineStr">
        <is>
          <t>Male</t>
        </is>
      </c>
      <c r="L137" t="inlineStr">
        <is>
          <t>No focal subject</t>
        </is>
      </c>
      <c r="M137" t="n">
        <v>45.535</v>
      </c>
      <c r="N137" t="inlineStr">
        <is>
          <t>Explore_F2</t>
        </is>
      </c>
      <c r="O137" t="inlineStr">
        <is>
          <t>Second familiar</t>
        </is>
      </c>
      <c r="P137" t="inlineStr">
        <is>
          <t>STATE</t>
        </is>
      </c>
      <c r="Q137" t="n">
        <v>78.2</v>
      </c>
      <c r="R137" t="n">
        <v>78.867</v>
      </c>
      <c r="S137" t="n">
        <v>0.667</v>
      </c>
      <c r="T137" t="inlineStr">
        <is>
          <t>BTBR\training\c3m3.mp4</t>
        </is>
      </c>
      <c r="U137" t="n">
        <v>2346</v>
      </c>
      <c r="V137" t="n">
        <v>2366</v>
      </c>
      <c r="W137" t="n">
        <v/>
      </c>
      <c r="X137" t="n">
        <v/>
      </c>
      <c r="Y137" t="n">
        <v/>
      </c>
      <c r="Z137" t="n">
        <v/>
      </c>
      <c r="AA137">
        <f>SUMIFS($S$2:S137,$A$2:A137,A137,$N$2:N137,"Explore*")</f>
        <v/>
      </c>
      <c r="AB137">
        <f>IF(AND(LEFT(N137,7)="Explore",(AA137-IF(LEFT(N137,7)="Explore",S137,0))&lt;10),"SI","NO")</f>
        <v/>
      </c>
    </row>
    <row r="138">
      <c r="A138" t="inlineStr">
        <is>
          <t>c3m3_training</t>
        </is>
      </c>
      <c r="B138" t="inlineStr">
        <is>
          <t>2026-02-19 12:28:49.783</t>
        </is>
      </c>
      <c r="C138" t="n">
        <v/>
      </c>
      <c r="D138" t="inlineStr">
        <is>
          <t>Media file</t>
        </is>
      </c>
      <c r="E138" t="inlineStr">
        <is>
          <t>player #1:BTBR\training\c3m3.mp4</t>
        </is>
      </c>
      <c r="F138" t="n">
        <v>-11.7</v>
      </c>
      <c r="G138" t="n">
        <v>571.6319999999999</v>
      </c>
      <c r="H138" t="n">
        <v>615.533</v>
      </c>
      <c r="I138" t="n">
        <v>30</v>
      </c>
      <c r="J138" t="inlineStr">
        <is>
          <t>BTBR</t>
        </is>
      </c>
      <c r="K138" t="inlineStr">
        <is>
          <t>Male</t>
        </is>
      </c>
      <c r="L138" t="inlineStr">
        <is>
          <t>No focal subject</t>
        </is>
      </c>
      <c r="M138" t="n">
        <v>45.535</v>
      </c>
      <c r="N138" t="inlineStr">
        <is>
          <t>Explore_F2</t>
        </is>
      </c>
      <c r="O138" t="inlineStr">
        <is>
          <t>Second familiar</t>
        </is>
      </c>
      <c r="P138" t="inlineStr">
        <is>
          <t>STATE</t>
        </is>
      </c>
      <c r="Q138" t="n">
        <v>79.967</v>
      </c>
      <c r="R138" t="n">
        <v>81.167</v>
      </c>
      <c r="S138" t="n">
        <v>1.2</v>
      </c>
      <c r="T138" t="inlineStr">
        <is>
          <t>BTBR\training\c3m3.mp4</t>
        </is>
      </c>
      <c r="U138" t="n">
        <v>2398</v>
      </c>
      <c r="V138" t="n">
        <v>2434</v>
      </c>
      <c r="W138" t="n">
        <v/>
      </c>
      <c r="X138" t="n">
        <v/>
      </c>
      <c r="Y138" t="n">
        <v/>
      </c>
      <c r="Z138" t="n">
        <v/>
      </c>
      <c r="AA138">
        <f>SUMIFS($S$2:S138,$A$2:A138,A138,$N$2:N138,"Explore*")</f>
        <v/>
      </c>
      <c r="AB138">
        <f>IF(AND(LEFT(N138,7)="Explore",(AA138-IF(LEFT(N138,7)="Explore",S138,0))&lt;10),"SI","NO")</f>
        <v/>
      </c>
    </row>
    <row r="139">
      <c r="A139" t="inlineStr">
        <is>
          <t>c3m3_training</t>
        </is>
      </c>
      <c r="B139" t="inlineStr">
        <is>
          <t>2026-02-19 12:28:49.783</t>
        </is>
      </c>
      <c r="C139" t="n">
        <v/>
      </c>
      <c r="D139" t="inlineStr">
        <is>
          <t>Media file</t>
        </is>
      </c>
      <c r="E139" t="inlineStr">
        <is>
          <t>player #1:BTBR\training\c3m3.mp4</t>
        </is>
      </c>
      <c r="F139" t="n">
        <v>-11.7</v>
      </c>
      <c r="G139" t="n">
        <v>571.6319999999999</v>
      </c>
      <c r="H139" t="n">
        <v>615.533</v>
      </c>
      <c r="I139" t="n">
        <v>30</v>
      </c>
      <c r="J139" t="inlineStr">
        <is>
          <t>BTBR</t>
        </is>
      </c>
      <c r="K139" t="inlineStr">
        <is>
          <t>Male</t>
        </is>
      </c>
      <c r="L139" t="inlineStr">
        <is>
          <t>No focal subject</t>
        </is>
      </c>
      <c r="M139" t="n">
        <v>45.535</v>
      </c>
      <c r="N139" t="inlineStr">
        <is>
          <t>Explore_F</t>
        </is>
      </c>
      <c r="O139" t="inlineStr">
        <is>
          <t>Familiar</t>
        </is>
      </c>
      <c r="P139" t="inlineStr">
        <is>
          <t>STATE</t>
        </is>
      </c>
      <c r="Q139" t="n">
        <v>81.7</v>
      </c>
      <c r="R139" t="n">
        <v>82.533</v>
      </c>
      <c r="S139" t="n">
        <v>0.833</v>
      </c>
      <c r="T139" t="inlineStr">
        <is>
          <t>BTBR\training\c3m3.mp4</t>
        </is>
      </c>
      <c r="U139" t="n">
        <v>2450</v>
      </c>
      <c r="V139" t="n">
        <v>2476</v>
      </c>
      <c r="W139" t="n">
        <v/>
      </c>
      <c r="X139" t="n">
        <v/>
      </c>
      <c r="Y139" t="n">
        <v/>
      </c>
      <c r="Z139" t="n">
        <v/>
      </c>
      <c r="AA139">
        <f>SUMIFS($S$2:S139,$A$2:A139,A139,$N$2:N139,"Explore*")</f>
        <v/>
      </c>
      <c r="AB139">
        <f>IF(AND(LEFT(N139,7)="Explore",(AA139-IF(LEFT(N139,7)="Explore",S139,0))&lt;10),"SI","NO")</f>
        <v/>
      </c>
    </row>
    <row r="140">
      <c r="A140" t="inlineStr">
        <is>
          <t>c3m3_training</t>
        </is>
      </c>
      <c r="B140" t="inlineStr">
        <is>
          <t>2026-02-19 12:28:49.783</t>
        </is>
      </c>
      <c r="C140" t="n">
        <v/>
      </c>
      <c r="D140" t="inlineStr">
        <is>
          <t>Media file</t>
        </is>
      </c>
      <c r="E140" t="inlineStr">
        <is>
          <t>player #1:BTBR\training\c3m3.mp4</t>
        </is>
      </c>
      <c r="F140" t="n">
        <v>-11.7</v>
      </c>
      <c r="G140" t="n">
        <v>571.6319999999999</v>
      </c>
      <c r="H140" t="n">
        <v>615.533</v>
      </c>
      <c r="I140" t="n">
        <v>30</v>
      </c>
      <c r="J140" t="inlineStr">
        <is>
          <t>BTBR</t>
        </is>
      </c>
      <c r="K140" t="inlineStr">
        <is>
          <t>Male</t>
        </is>
      </c>
      <c r="L140" t="inlineStr">
        <is>
          <t>No focal subject</t>
        </is>
      </c>
      <c r="M140" t="n">
        <v>45.535</v>
      </c>
      <c r="N140" t="inlineStr">
        <is>
          <t>Explore_F2</t>
        </is>
      </c>
      <c r="O140" t="inlineStr">
        <is>
          <t>Second familiar</t>
        </is>
      </c>
      <c r="P140" t="inlineStr">
        <is>
          <t>STATE</t>
        </is>
      </c>
      <c r="Q140" t="n">
        <v>86.7</v>
      </c>
      <c r="R140" t="n">
        <v>87.06699999999999</v>
      </c>
      <c r="S140" t="n">
        <v>0.367</v>
      </c>
      <c r="T140" t="inlineStr">
        <is>
          <t>BTBR\training\c3m3.mp4</t>
        </is>
      </c>
      <c r="U140" t="n">
        <v>2600</v>
      </c>
      <c r="V140" t="n">
        <v>2611</v>
      </c>
      <c r="W140" t="n">
        <v/>
      </c>
      <c r="X140" t="n">
        <v/>
      </c>
      <c r="Y140" t="n">
        <v/>
      </c>
      <c r="Z140" t="n">
        <v/>
      </c>
      <c r="AA140">
        <f>SUMIFS($S$2:S140,$A$2:A140,A140,$N$2:N140,"Explore*")</f>
        <v/>
      </c>
      <c r="AB140">
        <f>IF(AND(LEFT(N140,7)="Explore",(AA140-IF(LEFT(N140,7)="Explore",S140,0))&lt;10),"SI","NO")</f>
        <v/>
      </c>
    </row>
    <row r="141">
      <c r="A141" t="inlineStr">
        <is>
          <t>c3m3_training</t>
        </is>
      </c>
      <c r="B141" t="inlineStr">
        <is>
          <t>2026-02-19 12:28:49.783</t>
        </is>
      </c>
      <c r="C141" t="n">
        <v/>
      </c>
      <c r="D141" t="inlineStr">
        <is>
          <t>Media file</t>
        </is>
      </c>
      <c r="E141" t="inlineStr">
        <is>
          <t>player #1:BTBR\training\c3m3.mp4</t>
        </is>
      </c>
      <c r="F141" t="n">
        <v>-11.7</v>
      </c>
      <c r="G141" t="n">
        <v>571.6319999999999</v>
      </c>
      <c r="H141" t="n">
        <v>615.533</v>
      </c>
      <c r="I141" t="n">
        <v>30</v>
      </c>
      <c r="J141" t="inlineStr">
        <is>
          <t>BTBR</t>
        </is>
      </c>
      <c r="K141" t="inlineStr">
        <is>
          <t>Male</t>
        </is>
      </c>
      <c r="L141" t="inlineStr">
        <is>
          <t>No focal subject</t>
        </is>
      </c>
      <c r="M141" t="n">
        <v>45.535</v>
      </c>
      <c r="N141" t="inlineStr">
        <is>
          <t>Explore_F2</t>
        </is>
      </c>
      <c r="O141" t="inlineStr">
        <is>
          <t>Second familiar</t>
        </is>
      </c>
      <c r="P141" t="inlineStr">
        <is>
          <t>STATE</t>
        </is>
      </c>
      <c r="Q141" t="n">
        <v>93.467</v>
      </c>
      <c r="R141" t="n">
        <v>93.867</v>
      </c>
      <c r="S141" t="n">
        <v>0.4</v>
      </c>
      <c r="T141" t="inlineStr">
        <is>
          <t>BTBR\training\c3m3.mp4</t>
        </is>
      </c>
      <c r="U141" t="n">
        <v>2803</v>
      </c>
      <c r="V141" t="n">
        <v>2815</v>
      </c>
      <c r="W141" t="n">
        <v/>
      </c>
      <c r="X141" t="n">
        <v/>
      </c>
      <c r="Y141" t="n">
        <v/>
      </c>
      <c r="Z141" t="n">
        <v/>
      </c>
      <c r="AA141">
        <f>SUMIFS($S$2:S141,$A$2:A141,A141,$N$2:N141,"Explore*")</f>
        <v/>
      </c>
      <c r="AB141">
        <f>IF(AND(LEFT(N141,7)="Explore",(AA141-IF(LEFT(N141,7)="Explore",S141,0))&lt;10),"SI","NO")</f>
        <v/>
      </c>
    </row>
    <row r="142">
      <c r="A142" t="inlineStr">
        <is>
          <t>c3m3_training</t>
        </is>
      </c>
      <c r="B142" t="inlineStr">
        <is>
          <t>2026-02-19 12:28:49.783</t>
        </is>
      </c>
      <c r="C142" t="n">
        <v/>
      </c>
      <c r="D142" t="inlineStr">
        <is>
          <t>Media file</t>
        </is>
      </c>
      <c r="E142" t="inlineStr">
        <is>
          <t>player #1:BTBR\training\c3m3.mp4</t>
        </is>
      </c>
      <c r="F142" t="n">
        <v>-11.7</v>
      </c>
      <c r="G142" t="n">
        <v>571.6319999999999</v>
      </c>
      <c r="H142" t="n">
        <v>615.533</v>
      </c>
      <c r="I142" t="n">
        <v>30</v>
      </c>
      <c r="J142" t="inlineStr">
        <is>
          <t>BTBR</t>
        </is>
      </c>
      <c r="K142" t="inlineStr">
        <is>
          <t>Male</t>
        </is>
      </c>
      <c r="L142" t="inlineStr">
        <is>
          <t>No focal subject</t>
        </is>
      </c>
      <c r="M142" t="n">
        <v>45.535</v>
      </c>
      <c r="N142" t="inlineStr">
        <is>
          <t>Explore_F</t>
        </is>
      </c>
      <c r="O142" t="inlineStr">
        <is>
          <t>Familiar</t>
        </is>
      </c>
      <c r="P142" t="inlineStr">
        <is>
          <t>STATE</t>
        </is>
      </c>
      <c r="Q142" t="n">
        <v>103.867</v>
      </c>
      <c r="R142" t="n">
        <v>104.2</v>
      </c>
      <c r="S142" t="n">
        <v>0.333</v>
      </c>
      <c r="T142" t="inlineStr">
        <is>
          <t>BTBR\training\c3m3.mp4</t>
        </is>
      </c>
      <c r="U142" t="n">
        <v>3115</v>
      </c>
      <c r="V142" t="n">
        <v>3125</v>
      </c>
      <c r="W142" t="n">
        <v/>
      </c>
      <c r="X142" t="n">
        <v/>
      </c>
      <c r="Y142" t="n">
        <v/>
      </c>
      <c r="Z142" t="n">
        <v/>
      </c>
      <c r="AA142">
        <f>SUMIFS($S$2:S142,$A$2:A142,A142,$N$2:N142,"Explore*")</f>
        <v/>
      </c>
      <c r="AB142">
        <f>IF(AND(LEFT(N142,7)="Explore",(AA142-IF(LEFT(N142,7)="Explore",S142,0))&lt;10),"SI","NO")</f>
        <v/>
      </c>
    </row>
    <row r="143">
      <c r="A143" t="inlineStr">
        <is>
          <t>c3m3_training</t>
        </is>
      </c>
      <c r="B143" t="inlineStr">
        <is>
          <t>2026-02-19 12:28:49.783</t>
        </is>
      </c>
      <c r="C143" t="n">
        <v/>
      </c>
      <c r="D143" t="inlineStr">
        <is>
          <t>Media file</t>
        </is>
      </c>
      <c r="E143" t="inlineStr">
        <is>
          <t>player #1:BTBR\training\c3m3.mp4</t>
        </is>
      </c>
      <c r="F143" t="n">
        <v>-11.7</v>
      </c>
      <c r="G143" t="n">
        <v>571.6319999999999</v>
      </c>
      <c r="H143" t="n">
        <v>615.533</v>
      </c>
      <c r="I143" t="n">
        <v>30</v>
      </c>
      <c r="J143" t="inlineStr">
        <is>
          <t>BTBR</t>
        </is>
      </c>
      <c r="K143" t="inlineStr">
        <is>
          <t>Male</t>
        </is>
      </c>
      <c r="L143" t="inlineStr">
        <is>
          <t>No focal subject</t>
        </is>
      </c>
      <c r="M143" t="n">
        <v>45.535</v>
      </c>
      <c r="N143" t="inlineStr">
        <is>
          <t>Explore_F</t>
        </is>
      </c>
      <c r="O143" t="inlineStr">
        <is>
          <t>Familiar</t>
        </is>
      </c>
      <c r="P143" t="inlineStr">
        <is>
          <t>STATE</t>
        </is>
      </c>
      <c r="Q143" t="n">
        <v>105.233</v>
      </c>
      <c r="R143" t="n">
        <v>106.267</v>
      </c>
      <c r="S143" t="n">
        <v>1.034</v>
      </c>
      <c r="T143" t="inlineStr">
        <is>
          <t>BTBR\training\c3m3.mp4</t>
        </is>
      </c>
      <c r="U143" t="n">
        <v>3156</v>
      </c>
      <c r="V143" t="n">
        <v>3187</v>
      </c>
      <c r="W143" t="n">
        <v/>
      </c>
      <c r="X143" t="n">
        <v/>
      </c>
      <c r="Y143" t="n">
        <v/>
      </c>
      <c r="Z143" t="n">
        <v/>
      </c>
      <c r="AA143">
        <f>SUMIFS($S$2:S143,$A$2:A143,A143,$N$2:N143,"Explore*")</f>
        <v/>
      </c>
      <c r="AB143">
        <f>IF(AND(LEFT(N143,7)="Explore",(AA143-IF(LEFT(N143,7)="Explore",S143,0))&lt;10),"SI","NO")</f>
        <v/>
      </c>
    </row>
    <row r="144">
      <c r="A144" t="inlineStr">
        <is>
          <t>c3m3_training</t>
        </is>
      </c>
      <c r="B144" t="inlineStr">
        <is>
          <t>2026-02-19 12:28:49.783</t>
        </is>
      </c>
      <c r="C144" t="n">
        <v/>
      </c>
      <c r="D144" t="inlineStr">
        <is>
          <t>Media file</t>
        </is>
      </c>
      <c r="E144" t="inlineStr">
        <is>
          <t>player #1:BTBR\training\c3m3.mp4</t>
        </is>
      </c>
      <c r="F144" t="n">
        <v>-11.7</v>
      </c>
      <c r="G144" t="n">
        <v>571.6319999999999</v>
      </c>
      <c r="H144" t="n">
        <v>615.533</v>
      </c>
      <c r="I144" t="n">
        <v>30</v>
      </c>
      <c r="J144" t="inlineStr">
        <is>
          <t>BTBR</t>
        </is>
      </c>
      <c r="K144" t="inlineStr">
        <is>
          <t>Male</t>
        </is>
      </c>
      <c r="L144" t="inlineStr">
        <is>
          <t>No focal subject</t>
        </is>
      </c>
      <c r="M144" t="n">
        <v>45.535</v>
      </c>
      <c r="N144" t="inlineStr">
        <is>
          <t>Explore_F2</t>
        </is>
      </c>
      <c r="O144" t="inlineStr">
        <is>
          <t>Second familiar</t>
        </is>
      </c>
      <c r="P144" t="inlineStr">
        <is>
          <t>STATE</t>
        </is>
      </c>
      <c r="Q144" t="n">
        <v>118.433</v>
      </c>
      <c r="R144" t="n">
        <v>118.867</v>
      </c>
      <c r="S144" t="n">
        <v>0.434</v>
      </c>
      <c r="T144" t="inlineStr">
        <is>
          <t>BTBR\training\c3m3.mp4</t>
        </is>
      </c>
      <c r="U144" t="n">
        <v>3552</v>
      </c>
      <c r="V144" t="n">
        <v>3565</v>
      </c>
      <c r="W144" t="n">
        <v/>
      </c>
      <c r="X144" t="n">
        <v/>
      </c>
      <c r="Y144" t="n">
        <v/>
      </c>
      <c r="Z144" t="n">
        <v/>
      </c>
      <c r="AA144">
        <f>SUMIFS($S$2:S144,$A$2:A144,A144,$N$2:N144,"Explore*")</f>
        <v/>
      </c>
      <c r="AB144">
        <f>IF(AND(LEFT(N144,7)="Explore",(AA144-IF(LEFT(N144,7)="Explore",S144,0))&lt;10),"SI","NO")</f>
        <v/>
      </c>
    </row>
    <row r="145">
      <c r="A145" t="inlineStr">
        <is>
          <t>c3m3_training</t>
        </is>
      </c>
      <c r="B145" t="inlineStr">
        <is>
          <t>2026-02-19 12:28:49.783</t>
        </is>
      </c>
      <c r="C145" t="n">
        <v/>
      </c>
      <c r="D145" t="inlineStr">
        <is>
          <t>Media file</t>
        </is>
      </c>
      <c r="E145" t="inlineStr">
        <is>
          <t>player #1:BTBR\training\c3m3.mp4</t>
        </is>
      </c>
      <c r="F145" t="n">
        <v>-11.7</v>
      </c>
      <c r="G145" t="n">
        <v>571.6319999999999</v>
      </c>
      <c r="H145" t="n">
        <v>615.533</v>
      </c>
      <c r="I145" t="n">
        <v>30</v>
      </c>
      <c r="J145" t="inlineStr">
        <is>
          <t>BTBR</t>
        </is>
      </c>
      <c r="K145" t="inlineStr">
        <is>
          <t>Male</t>
        </is>
      </c>
      <c r="L145" t="inlineStr">
        <is>
          <t>No focal subject</t>
        </is>
      </c>
      <c r="M145" t="n">
        <v>45.535</v>
      </c>
      <c r="N145" t="inlineStr">
        <is>
          <t>Explore_F2</t>
        </is>
      </c>
      <c r="O145" t="inlineStr">
        <is>
          <t>Second familiar</t>
        </is>
      </c>
      <c r="P145" t="inlineStr">
        <is>
          <t>STATE</t>
        </is>
      </c>
      <c r="Q145" t="n">
        <v>119.8</v>
      </c>
      <c r="R145" t="n">
        <v>120.867</v>
      </c>
      <c r="S145" t="n">
        <v>1.067</v>
      </c>
      <c r="T145" t="inlineStr">
        <is>
          <t>BTBR\training\c3m3.mp4</t>
        </is>
      </c>
      <c r="U145" t="n">
        <v>3593</v>
      </c>
      <c r="V145" t="n">
        <v>3625</v>
      </c>
      <c r="W145" t="n">
        <v/>
      </c>
      <c r="X145" t="n">
        <v/>
      </c>
      <c r="Y145" t="n">
        <v/>
      </c>
      <c r="Z145" t="n">
        <v/>
      </c>
      <c r="AA145">
        <f>SUMIFS($S$2:S145,$A$2:A145,A145,$N$2:N145,"Explore*")</f>
        <v/>
      </c>
      <c r="AB145">
        <f>IF(AND(LEFT(N145,7)="Explore",(AA145-IF(LEFT(N145,7)="Explore",S145,0))&lt;10),"SI","NO")</f>
        <v/>
      </c>
    </row>
    <row r="146">
      <c r="A146" t="inlineStr">
        <is>
          <t>c3m3_training</t>
        </is>
      </c>
      <c r="B146" t="inlineStr">
        <is>
          <t>2026-02-19 12:28:49.783</t>
        </is>
      </c>
      <c r="C146" t="n">
        <v/>
      </c>
      <c r="D146" t="inlineStr">
        <is>
          <t>Media file</t>
        </is>
      </c>
      <c r="E146" t="inlineStr">
        <is>
          <t>player #1:BTBR\training\c3m3.mp4</t>
        </is>
      </c>
      <c r="F146" t="n">
        <v>-11.7</v>
      </c>
      <c r="G146" t="n">
        <v>571.6319999999999</v>
      </c>
      <c r="H146" t="n">
        <v>615.533</v>
      </c>
      <c r="I146" t="n">
        <v>30</v>
      </c>
      <c r="J146" t="inlineStr">
        <is>
          <t>BTBR</t>
        </is>
      </c>
      <c r="K146" t="inlineStr">
        <is>
          <t>Male</t>
        </is>
      </c>
      <c r="L146" t="inlineStr">
        <is>
          <t>No focal subject</t>
        </is>
      </c>
      <c r="M146" t="n">
        <v>45.535</v>
      </c>
      <c r="N146" t="inlineStr">
        <is>
          <t>Explore_F</t>
        </is>
      </c>
      <c r="O146" t="inlineStr">
        <is>
          <t>Familiar</t>
        </is>
      </c>
      <c r="P146" t="inlineStr">
        <is>
          <t>STATE</t>
        </is>
      </c>
      <c r="Q146" t="n">
        <v>133.667</v>
      </c>
      <c r="R146" t="n">
        <v>134.867</v>
      </c>
      <c r="S146" t="n">
        <v>1.2</v>
      </c>
      <c r="T146" t="inlineStr">
        <is>
          <t>BTBR\training\c3m3.mp4</t>
        </is>
      </c>
      <c r="U146" t="n">
        <v>4009</v>
      </c>
      <c r="V146" t="n">
        <v>4045</v>
      </c>
      <c r="W146" t="n">
        <v/>
      </c>
      <c r="X146" t="n">
        <v/>
      </c>
      <c r="Y146" t="n">
        <v/>
      </c>
      <c r="Z146" t="n">
        <v/>
      </c>
      <c r="AA146">
        <f>SUMIFS($S$2:S146,$A$2:A146,A146,$N$2:N146,"Explore*")</f>
        <v/>
      </c>
      <c r="AB146">
        <f>IF(AND(LEFT(N146,7)="Explore",(AA146-IF(LEFT(N146,7)="Explore",S146,0))&lt;10),"SI","NO")</f>
        <v/>
      </c>
    </row>
    <row r="147">
      <c r="A147" t="inlineStr">
        <is>
          <t>c3m3_training</t>
        </is>
      </c>
      <c r="B147" t="inlineStr">
        <is>
          <t>2026-02-19 12:28:49.783</t>
        </is>
      </c>
      <c r="C147" t="n">
        <v/>
      </c>
      <c r="D147" t="inlineStr">
        <is>
          <t>Media file</t>
        </is>
      </c>
      <c r="E147" t="inlineStr">
        <is>
          <t>player #1:BTBR\training\c3m3.mp4</t>
        </is>
      </c>
      <c r="F147" t="n">
        <v>-11.7</v>
      </c>
      <c r="G147" t="n">
        <v>571.6319999999999</v>
      </c>
      <c r="H147" t="n">
        <v>615.533</v>
      </c>
      <c r="I147" t="n">
        <v>30</v>
      </c>
      <c r="J147" t="inlineStr">
        <is>
          <t>BTBR</t>
        </is>
      </c>
      <c r="K147" t="inlineStr">
        <is>
          <t>Male</t>
        </is>
      </c>
      <c r="L147" t="inlineStr">
        <is>
          <t>No focal subject</t>
        </is>
      </c>
      <c r="M147" t="n">
        <v>45.535</v>
      </c>
      <c r="N147" t="inlineStr">
        <is>
          <t>Explore_F2</t>
        </is>
      </c>
      <c r="O147" t="inlineStr">
        <is>
          <t>Second familiar</t>
        </is>
      </c>
      <c r="P147" t="inlineStr">
        <is>
          <t>STATE</t>
        </is>
      </c>
      <c r="Q147" t="n">
        <v>142.633</v>
      </c>
      <c r="R147" t="n">
        <v>144.033</v>
      </c>
      <c r="S147" t="n">
        <v>1.4</v>
      </c>
      <c r="T147" t="inlineStr">
        <is>
          <t>BTBR\training\c3m3.mp4</t>
        </is>
      </c>
      <c r="U147" t="n">
        <v>4278</v>
      </c>
      <c r="V147" t="n">
        <v>4321</v>
      </c>
      <c r="W147" t="n">
        <v/>
      </c>
      <c r="X147" t="n">
        <v/>
      </c>
      <c r="Y147" t="n">
        <v/>
      </c>
      <c r="Z147" t="n">
        <v/>
      </c>
      <c r="AA147">
        <f>SUMIFS($S$2:S147,$A$2:A147,A147,$N$2:N147,"Explore*")</f>
        <v/>
      </c>
      <c r="AB147">
        <f>IF(AND(LEFT(N147,7)="Explore",(AA147-IF(LEFT(N147,7)="Explore",S147,0))&lt;10),"SI","NO")</f>
        <v/>
      </c>
    </row>
    <row r="148">
      <c r="A148" t="inlineStr">
        <is>
          <t>c3m3_training</t>
        </is>
      </c>
      <c r="B148" t="inlineStr">
        <is>
          <t>2026-02-19 12:28:49.783</t>
        </is>
      </c>
      <c r="C148" t="n">
        <v/>
      </c>
      <c r="D148" t="inlineStr">
        <is>
          <t>Media file</t>
        </is>
      </c>
      <c r="E148" t="inlineStr">
        <is>
          <t>player #1:BTBR\training\c3m3.mp4</t>
        </is>
      </c>
      <c r="F148" t="n">
        <v>-11.7</v>
      </c>
      <c r="G148" t="n">
        <v>571.6319999999999</v>
      </c>
      <c r="H148" t="n">
        <v>615.533</v>
      </c>
      <c r="I148" t="n">
        <v>30</v>
      </c>
      <c r="J148" t="inlineStr">
        <is>
          <t>BTBR</t>
        </is>
      </c>
      <c r="K148" t="inlineStr">
        <is>
          <t>Male</t>
        </is>
      </c>
      <c r="L148" t="inlineStr">
        <is>
          <t>No focal subject</t>
        </is>
      </c>
      <c r="M148" t="n">
        <v>45.535</v>
      </c>
      <c r="N148" t="inlineStr">
        <is>
          <t>Explore_F</t>
        </is>
      </c>
      <c r="O148" t="inlineStr">
        <is>
          <t>Familiar</t>
        </is>
      </c>
      <c r="P148" t="inlineStr">
        <is>
          <t>STATE</t>
        </is>
      </c>
      <c r="Q148" t="n">
        <v>153</v>
      </c>
      <c r="R148" t="n">
        <v>153.633</v>
      </c>
      <c r="S148" t="n">
        <v>0.633</v>
      </c>
      <c r="T148" t="inlineStr">
        <is>
          <t>BTBR\training\c3m3.mp4</t>
        </is>
      </c>
      <c r="U148" t="n">
        <v>4591</v>
      </c>
      <c r="V148" t="n">
        <v>4608</v>
      </c>
      <c r="W148" t="n">
        <v/>
      </c>
      <c r="X148" t="n">
        <v/>
      </c>
      <c r="Y148" t="n">
        <v/>
      </c>
      <c r="Z148" t="n">
        <v/>
      </c>
      <c r="AA148">
        <f>SUMIFS($S$2:S148,$A$2:A148,A148,$N$2:N148,"Explore*")</f>
        <v/>
      </c>
      <c r="AB148">
        <f>IF(AND(LEFT(N148,7)="Explore",(AA148-IF(LEFT(N148,7)="Explore",S148,0))&lt;10),"SI","NO")</f>
        <v/>
      </c>
    </row>
    <row r="149">
      <c r="A149" t="inlineStr">
        <is>
          <t>c3m3_training</t>
        </is>
      </c>
      <c r="B149" t="inlineStr">
        <is>
          <t>2026-02-19 12:28:49.783</t>
        </is>
      </c>
      <c r="C149" t="n">
        <v/>
      </c>
      <c r="D149" t="inlineStr">
        <is>
          <t>Media file</t>
        </is>
      </c>
      <c r="E149" t="inlineStr">
        <is>
          <t>player #1:BTBR\training\c3m3.mp4</t>
        </is>
      </c>
      <c r="F149" t="n">
        <v>-11.7</v>
      </c>
      <c r="G149" t="n">
        <v>571.6319999999999</v>
      </c>
      <c r="H149" t="n">
        <v>615.533</v>
      </c>
      <c r="I149" t="n">
        <v>30</v>
      </c>
      <c r="J149" t="inlineStr">
        <is>
          <t>BTBR</t>
        </is>
      </c>
      <c r="K149" t="inlineStr">
        <is>
          <t>Male</t>
        </is>
      </c>
      <c r="L149" t="inlineStr">
        <is>
          <t>No focal subject</t>
        </is>
      </c>
      <c r="M149" t="n">
        <v>45.535</v>
      </c>
      <c r="N149" t="inlineStr">
        <is>
          <t>Explore_F</t>
        </is>
      </c>
      <c r="O149" t="inlineStr">
        <is>
          <t>Familiar</t>
        </is>
      </c>
      <c r="P149" t="inlineStr">
        <is>
          <t>STATE</t>
        </is>
      </c>
      <c r="Q149" t="n">
        <v>155.233</v>
      </c>
      <c r="R149" t="n">
        <v>155.833</v>
      </c>
      <c r="S149" t="n">
        <v>0.6</v>
      </c>
      <c r="T149" t="inlineStr">
        <is>
          <t>BTBR\training\c3m3.mp4</t>
        </is>
      </c>
      <c r="U149" t="n">
        <v>4656</v>
      </c>
      <c r="V149" t="n">
        <v>4674</v>
      </c>
      <c r="W149" t="n">
        <v/>
      </c>
      <c r="X149" t="n">
        <v/>
      </c>
      <c r="Y149" t="n">
        <v/>
      </c>
      <c r="Z149" t="n">
        <v/>
      </c>
      <c r="AA149">
        <f>SUMIFS($S$2:S149,$A$2:A149,A149,$N$2:N149,"Explore*")</f>
        <v/>
      </c>
      <c r="AB149">
        <f>IF(AND(LEFT(N149,7)="Explore",(AA149-IF(LEFT(N149,7)="Explore",S149,0))&lt;10),"SI","NO")</f>
        <v/>
      </c>
    </row>
    <row r="150">
      <c r="A150" t="inlineStr">
        <is>
          <t>c3m3_training</t>
        </is>
      </c>
      <c r="B150" t="inlineStr">
        <is>
          <t>2026-02-19 12:28:49.783</t>
        </is>
      </c>
      <c r="C150" t="n">
        <v/>
      </c>
      <c r="D150" t="inlineStr">
        <is>
          <t>Media file</t>
        </is>
      </c>
      <c r="E150" t="inlineStr">
        <is>
          <t>player #1:BTBR\training\c3m3.mp4</t>
        </is>
      </c>
      <c r="F150" t="n">
        <v>-11.7</v>
      </c>
      <c r="G150" t="n">
        <v>571.6319999999999</v>
      </c>
      <c r="H150" t="n">
        <v>615.533</v>
      </c>
      <c r="I150" t="n">
        <v>30</v>
      </c>
      <c r="J150" t="inlineStr">
        <is>
          <t>BTBR</t>
        </is>
      </c>
      <c r="K150" t="inlineStr">
        <is>
          <t>Male</t>
        </is>
      </c>
      <c r="L150" t="inlineStr">
        <is>
          <t>No focal subject</t>
        </is>
      </c>
      <c r="M150" t="n">
        <v>45.535</v>
      </c>
      <c r="N150" t="inlineStr">
        <is>
          <t>Explore_F2</t>
        </is>
      </c>
      <c r="O150" t="inlineStr">
        <is>
          <t>Second familiar</t>
        </is>
      </c>
      <c r="P150" t="inlineStr">
        <is>
          <t>STATE</t>
        </is>
      </c>
      <c r="Q150" t="n">
        <v>163.933</v>
      </c>
      <c r="R150" t="n">
        <v>165.033</v>
      </c>
      <c r="S150" t="n">
        <v>1.1</v>
      </c>
      <c r="T150" t="inlineStr">
        <is>
          <t>BTBR\training\c3m3.mp4</t>
        </is>
      </c>
      <c r="U150" t="n">
        <v>4917</v>
      </c>
      <c r="V150" t="n">
        <v>4951</v>
      </c>
      <c r="W150" t="n">
        <v/>
      </c>
      <c r="X150" t="n">
        <v/>
      </c>
      <c r="Y150" t="n">
        <v/>
      </c>
      <c r="Z150" t="n">
        <v/>
      </c>
      <c r="AA150">
        <f>SUMIFS($S$2:S150,$A$2:A150,A150,$N$2:N150,"Explore*")</f>
        <v/>
      </c>
      <c r="AB150">
        <f>IF(AND(LEFT(N150,7)="Explore",(AA150-IF(LEFT(N150,7)="Explore",S150,0))&lt;10),"SI","NO")</f>
        <v/>
      </c>
    </row>
    <row r="151">
      <c r="A151" t="inlineStr">
        <is>
          <t>c3m3_training</t>
        </is>
      </c>
      <c r="B151" t="inlineStr">
        <is>
          <t>2026-02-19 12:28:49.783</t>
        </is>
      </c>
      <c r="C151" t="n">
        <v/>
      </c>
      <c r="D151" t="inlineStr">
        <is>
          <t>Media file</t>
        </is>
      </c>
      <c r="E151" t="inlineStr">
        <is>
          <t>player #1:BTBR\training\c3m3.mp4</t>
        </is>
      </c>
      <c r="F151" t="n">
        <v>-11.7</v>
      </c>
      <c r="G151" t="n">
        <v>571.6319999999999</v>
      </c>
      <c r="H151" t="n">
        <v>615.533</v>
      </c>
      <c r="I151" t="n">
        <v>30</v>
      </c>
      <c r="J151" t="inlineStr">
        <is>
          <t>BTBR</t>
        </is>
      </c>
      <c r="K151" t="inlineStr">
        <is>
          <t>Male</t>
        </is>
      </c>
      <c r="L151" t="inlineStr">
        <is>
          <t>No focal subject</t>
        </is>
      </c>
      <c r="M151" t="n">
        <v>45.535</v>
      </c>
      <c r="N151" t="inlineStr">
        <is>
          <t>Explore_F</t>
        </is>
      </c>
      <c r="O151" t="inlineStr">
        <is>
          <t>Familiar</t>
        </is>
      </c>
      <c r="P151" t="inlineStr">
        <is>
          <t>STATE</t>
        </is>
      </c>
      <c r="Q151" t="n">
        <v>170.233</v>
      </c>
      <c r="R151" t="n">
        <v>171.166</v>
      </c>
      <c r="S151" t="n">
        <v>0.9330000000000001</v>
      </c>
      <c r="T151" t="inlineStr">
        <is>
          <t>BTBR\training\c3m3.mp4</t>
        </is>
      </c>
      <c r="U151" t="n">
        <v>5106</v>
      </c>
      <c r="V151" t="n">
        <v>5134</v>
      </c>
      <c r="W151" t="n">
        <v/>
      </c>
      <c r="X151" t="n">
        <v/>
      </c>
      <c r="Y151" t="n">
        <v/>
      </c>
      <c r="Z151" t="n">
        <v/>
      </c>
      <c r="AA151">
        <f>SUMIFS($S$2:S151,$A$2:A151,A151,$N$2:N151,"Explore*")</f>
        <v/>
      </c>
      <c r="AB151">
        <f>IF(AND(LEFT(N151,7)="Explore",(AA151-IF(LEFT(N151,7)="Explore",S151,0))&lt;10),"SI","NO")</f>
        <v/>
      </c>
    </row>
    <row r="152">
      <c r="A152" t="inlineStr">
        <is>
          <t>c3m3_training</t>
        </is>
      </c>
      <c r="B152" t="inlineStr">
        <is>
          <t>2026-02-19 12:28:49.783</t>
        </is>
      </c>
      <c r="C152" t="n">
        <v/>
      </c>
      <c r="D152" t="inlineStr">
        <is>
          <t>Media file</t>
        </is>
      </c>
      <c r="E152" t="inlineStr">
        <is>
          <t>player #1:BTBR\training\c3m3.mp4</t>
        </is>
      </c>
      <c r="F152" t="n">
        <v>-11.7</v>
      </c>
      <c r="G152" t="n">
        <v>571.6319999999999</v>
      </c>
      <c r="H152" t="n">
        <v>615.533</v>
      </c>
      <c r="I152" t="n">
        <v>30</v>
      </c>
      <c r="J152" t="inlineStr">
        <is>
          <t>BTBR</t>
        </is>
      </c>
      <c r="K152" t="inlineStr">
        <is>
          <t>Male</t>
        </is>
      </c>
      <c r="L152" t="inlineStr">
        <is>
          <t>No focal subject</t>
        </is>
      </c>
      <c r="M152" t="n">
        <v>45.535</v>
      </c>
      <c r="N152" t="inlineStr">
        <is>
          <t>Explore_F2</t>
        </is>
      </c>
      <c r="O152" t="inlineStr">
        <is>
          <t>Second familiar</t>
        </is>
      </c>
      <c r="P152" t="inlineStr">
        <is>
          <t>STATE</t>
        </is>
      </c>
      <c r="Q152" t="n">
        <v>181.433</v>
      </c>
      <c r="R152" t="n">
        <v>181.9</v>
      </c>
      <c r="S152" t="n">
        <v>0.467</v>
      </c>
      <c r="T152" t="inlineStr">
        <is>
          <t>BTBR\training\c3m3.mp4</t>
        </is>
      </c>
      <c r="U152" t="n">
        <v>5442</v>
      </c>
      <c r="V152" t="n">
        <v>5456</v>
      </c>
      <c r="W152" t="n">
        <v/>
      </c>
      <c r="X152" t="n">
        <v/>
      </c>
      <c r="Y152" t="n">
        <v/>
      </c>
      <c r="Z152" t="n">
        <v/>
      </c>
      <c r="AA152">
        <f>SUMIFS($S$2:S152,$A$2:A152,A152,$N$2:N152,"Explore*")</f>
        <v/>
      </c>
      <c r="AB152">
        <f>IF(AND(LEFT(N152,7)="Explore",(AA152-IF(LEFT(N152,7)="Explore",S152,0))&lt;10),"SI","NO")</f>
        <v/>
      </c>
    </row>
    <row r="153">
      <c r="A153" t="inlineStr">
        <is>
          <t>c3m3_training</t>
        </is>
      </c>
      <c r="B153" t="inlineStr">
        <is>
          <t>2026-02-19 12:28:49.783</t>
        </is>
      </c>
      <c r="C153" t="n">
        <v/>
      </c>
      <c r="D153" t="inlineStr">
        <is>
          <t>Media file</t>
        </is>
      </c>
      <c r="E153" t="inlineStr">
        <is>
          <t>player #1:BTBR\training\c3m3.mp4</t>
        </is>
      </c>
      <c r="F153" t="n">
        <v>-11.7</v>
      </c>
      <c r="G153" t="n">
        <v>571.6319999999999</v>
      </c>
      <c r="H153" t="n">
        <v>615.533</v>
      </c>
      <c r="I153" t="n">
        <v>30</v>
      </c>
      <c r="J153" t="inlineStr">
        <is>
          <t>BTBR</t>
        </is>
      </c>
      <c r="K153" t="inlineStr">
        <is>
          <t>Male</t>
        </is>
      </c>
      <c r="L153" t="inlineStr">
        <is>
          <t>No focal subject</t>
        </is>
      </c>
      <c r="M153" t="n">
        <v>45.535</v>
      </c>
      <c r="N153" t="inlineStr">
        <is>
          <t>Explore_F</t>
        </is>
      </c>
      <c r="O153" t="inlineStr">
        <is>
          <t>Familiar</t>
        </is>
      </c>
      <c r="P153" t="inlineStr">
        <is>
          <t>STATE</t>
        </is>
      </c>
      <c r="Q153" t="n">
        <v>188.666</v>
      </c>
      <c r="R153" t="n">
        <v>190.033</v>
      </c>
      <c r="S153" t="n">
        <v>1.367</v>
      </c>
      <c r="T153" t="inlineStr">
        <is>
          <t>BTBR\training\c3m3.mp4</t>
        </is>
      </c>
      <c r="U153" t="n">
        <v>5659</v>
      </c>
      <c r="V153" t="n">
        <v>5701</v>
      </c>
      <c r="W153" t="n">
        <v/>
      </c>
      <c r="X153" t="n">
        <v/>
      </c>
      <c r="Y153" t="n">
        <v/>
      </c>
      <c r="Z153" t="n">
        <v/>
      </c>
      <c r="AA153">
        <f>SUMIFS($S$2:S153,$A$2:A153,A153,$N$2:N153,"Explore*")</f>
        <v/>
      </c>
      <c r="AB153">
        <f>IF(AND(LEFT(N153,7)="Explore",(AA153-IF(LEFT(N153,7)="Explore",S153,0))&lt;10),"SI","NO")</f>
        <v/>
      </c>
    </row>
    <row r="154">
      <c r="A154" t="inlineStr">
        <is>
          <t>c3m3_training</t>
        </is>
      </c>
      <c r="B154" t="inlineStr">
        <is>
          <t>2026-02-19 12:28:49.783</t>
        </is>
      </c>
      <c r="C154" t="n">
        <v/>
      </c>
      <c r="D154" t="inlineStr">
        <is>
          <t>Media file</t>
        </is>
      </c>
      <c r="E154" t="inlineStr">
        <is>
          <t>player #1:BTBR\training\c3m3.mp4</t>
        </is>
      </c>
      <c r="F154" t="n">
        <v>-11.7</v>
      </c>
      <c r="G154" t="n">
        <v>571.6319999999999</v>
      </c>
      <c r="H154" t="n">
        <v>615.533</v>
      </c>
      <c r="I154" t="n">
        <v>30</v>
      </c>
      <c r="J154" t="inlineStr">
        <is>
          <t>BTBR</t>
        </is>
      </c>
      <c r="K154" t="inlineStr">
        <is>
          <t>Male</t>
        </is>
      </c>
      <c r="L154" t="inlineStr">
        <is>
          <t>No focal subject</t>
        </is>
      </c>
      <c r="M154" t="n">
        <v>45.535</v>
      </c>
      <c r="N154" t="inlineStr">
        <is>
          <t>Explore_F2</t>
        </is>
      </c>
      <c r="O154" t="inlineStr">
        <is>
          <t>Second familiar</t>
        </is>
      </c>
      <c r="P154" t="inlineStr">
        <is>
          <t>STATE</t>
        </is>
      </c>
      <c r="Q154" t="n">
        <v>203.7</v>
      </c>
      <c r="R154" t="n">
        <v>204.433</v>
      </c>
      <c r="S154" t="n">
        <v>0.733</v>
      </c>
      <c r="T154" t="inlineStr">
        <is>
          <t>BTBR\training\c3m3.mp4</t>
        </is>
      </c>
      <c r="U154" t="n">
        <v>6110</v>
      </c>
      <c r="V154" t="n">
        <v>6132</v>
      </c>
      <c r="W154" t="n">
        <v/>
      </c>
      <c r="X154" t="n">
        <v/>
      </c>
      <c r="Y154" t="n">
        <v/>
      </c>
      <c r="Z154" t="n">
        <v/>
      </c>
      <c r="AA154">
        <f>SUMIFS($S$2:S154,$A$2:A154,A154,$N$2:N154,"Explore*")</f>
        <v/>
      </c>
      <c r="AB154">
        <f>IF(AND(LEFT(N154,7)="Explore",(AA154-IF(LEFT(N154,7)="Explore",S154,0))&lt;10),"SI","NO")</f>
        <v/>
      </c>
    </row>
    <row r="155">
      <c r="A155" t="inlineStr">
        <is>
          <t>c3m3_training</t>
        </is>
      </c>
      <c r="B155" t="inlineStr">
        <is>
          <t>2026-02-19 12:28:49.783</t>
        </is>
      </c>
      <c r="C155" t="n">
        <v/>
      </c>
      <c r="D155" t="inlineStr">
        <is>
          <t>Media file</t>
        </is>
      </c>
      <c r="E155" t="inlineStr">
        <is>
          <t>player #1:BTBR\training\c3m3.mp4</t>
        </is>
      </c>
      <c r="F155" t="n">
        <v>-11.7</v>
      </c>
      <c r="G155" t="n">
        <v>571.6319999999999</v>
      </c>
      <c r="H155" t="n">
        <v>615.533</v>
      </c>
      <c r="I155" t="n">
        <v>30</v>
      </c>
      <c r="J155" t="inlineStr">
        <is>
          <t>BTBR</t>
        </is>
      </c>
      <c r="K155" t="inlineStr">
        <is>
          <t>Male</t>
        </is>
      </c>
      <c r="L155" t="inlineStr">
        <is>
          <t>No focal subject</t>
        </is>
      </c>
      <c r="M155" t="n">
        <v>45.535</v>
      </c>
      <c r="N155" t="inlineStr">
        <is>
          <t>Explore_F</t>
        </is>
      </c>
      <c r="O155" t="inlineStr">
        <is>
          <t>Familiar</t>
        </is>
      </c>
      <c r="P155" t="inlineStr">
        <is>
          <t>STATE</t>
        </is>
      </c>
      <c r="Q155" t="n">
        <v>216.566</v>
      </c>
      <c r="R155" t="n">
        <v>217.7</v>
      </c>
      <c r="S155" t="n">
        <v>1.134</v>
      </c>
      <c r="T155" t="inlineStr">
        <is>
          <t>BTBR\training\c3m3.mp4</t>
        </is>
      </c>
      <c r="U155" t="n">
        <v>6496</v>
      </c>
      <c r="V155" t="n">
        <v>6530</v>
      </c>
      <c r="W155" t="n">
        <v/>
      </c>
      <c r="X155" t="n">
        <v/>
      </c>
      <c r="Y155" t="n">
        <v/>
      </c>
      <c r="Z155" t="n">
        <v/>
      </c>
      <c r="AA155">
        <f>SUMIFS($S$2:S155,$A$2:A155,A155,$N$2:N155,"Explore*")</f>
        <v/>
      </c>
      <c r="AB155">
        <f>IF(AND(LEFT(N155,7)="Explore",(AA155-IF(LEFT(N155,7)="Explore",S155,0))&lt;10),"SI","NO")</f>
        <v/>
      </c>
    </row>
    <row r="156">
      <c r="A156" t="inlineStr">
        <is>
          <t>c3m3_training</t>
        </is>
      </c>
      <c r="B156" t="inlineStr">
        <is>
          <t>2026-02-19 12:28:49.783</t>
        </is>
      </c>
      <c r="C156" t="n">
        <v/>
      </c>
      <c r="D156" t="inlineStr">
        <is>
          <t>Media file</t>
        </is>
      </c>
      <c r="E156" t="inlineStr">
        <is>
          <t>player #1:BTBR\training\c3m3.mp4</t>
        </is>
      </c>
      <c r="F156" t="n">
        <v>-11.7</v>
      </c>
      <c r="G156" t="n">
        <v>571.6319999999999</v>
      </c>
      <c r="H156" t="n">
        <v>615.533</v>
      </c>
      <c r="I156" t="n">
        <v>30</v>
      </c>
      <c r="J156" t="inlineStr">
        <is>
          <t>BTBR</t>
        </is>
      </c>
      <c r="K156" t="inlineStr">
        <is>
          <t>Male</t>
        </is>
      </c>
      <c r="L156" t="inlineStr">
        <is>
          <t>No focal subject</t>
        </is>
      </c>
      <c r="M156" t="n">
        <v>45.535</v>
      </c>
      <c r="N156" t="inlineStr">
        <is>
          <t>Explore_F2</t>
        </is>
      </c>
      <c r="O156" t="inlineStr">
        <is>
          <t>Second familiar</t>
        </is>
      </c>
      <c r="P156" t="inlineStr">
        <is>
          <t>STATE</t>
        </is>
      </c>
      <c r="Q156" t="n">
        <v>227</v>
      </c>
      <c r="R156" t="n">
        <v>227.666</v>
      </c>
      <c r="S156" t="n">
        <v>0.666</v>
      </c>
      <c r="T156" t="inlineStr">
        <is>
          <t>BTBR\training\c3m3.mp4</t>
        </is>
      </c>
      <c r="U156" t="n">
        <v>6811</v>
      </c>
      <c r="V156" t="n">
        <v>6829</v>
      </c>
      <c r="W156" t="n">
        <v/>
      </c>
      <c r="X156" t="n">
        <v/>
      </c>
      <c r="Y156" t="n">
        <v/>
      </c>
      <c r="Z156" t="n">
        <v/>
      </c>
      <c r="AA156">
        <f>SUMIFS($S$2:S156,$A$2:A156,A156,$N$2:N156,"Explore*")</f>
        <v/>
      </c>
      <c r="AB156">
        <f>IF(AND(LEFT(N156,7)="Explore",(AA156-IF(LEFT(N156,7)="Explore",S156,0))&lt;10),"SI","NO")</f>
        <v/>
      </c>
    </row>
    <row r="157">
      <c r="A157" t="inlineStr">
        <is>
          <t>c3m3_training</t>
        </is>
      </c>
      <c r="B157" t="inlineStr">
        <is>
          <t>2026-02-19 12:28:49.783</t>
        </is>
      </c>
      <c r="C157" t="n">
        <v/>
      </c>
      <c r="D157" t="inlineStr">
        <is>
          <t>Media file</t>
        </is>
      </c>
      <c r="E157" t="inlineStr">
        <is>
          <t>player #1:BTBR\training\c3m3.mp4</t>
        </is>
      </c>
      <c r="F157" t="n">
        <v>-11.7</v>
      </c>
      <c r="G157" t="n">
        <v>571.6319999999999</v>
      </c>
      <c r="H157" t="n">
        <v>615.533</v>
      </c>
      <c r="I157" t="n">
        <v>30</v>
      </c>
      <c r="J157" t="inlineStr">
        <is>
          <t>BTBR</t>
        </is>
      </c>
      <c r="K157" t="inlineStr">
        <is>
          <t>Male</t>
        </is>
      </c>
      <c r="L157" t="inlineStr">
        <is>
          <t>No focal subject</t>
        </is>
      </c>
      <c r="M157" t="n">
        <v>45.535</v>
      </c>
      <c r="N157" t="inlineStr">
        <is>
          <t>Explore_F</t>
        </is>
      </c>
      <c r="O157" t="inlineStr">
        <is>
          <t>Familiar</t>
        </is>
      </c>
      <c r="P157" t="inlineStr">
        <is>
          <t>STATE</t>
        </is>
      </c>
      <c r="Q157" t="n">
        <v>239.166</v>
      </c>
      <c r="R157" t="n">
        <v>239.5</v>
      </c>
      <c r="S157" t="n">
        <v>0.334</v>
      </c>
      <c r="T157" t="inlineStr">
        <is>
          <t>BTBR\training\c3m3.mp4</t>
        </is>
      </c>
      <c r="U157" t="n">
        <v>7174</v>
      </c>
      <c r="V157" t="n">
        <v>7185</v>
      </c>
      <c r="W157" t="n">
        <v/>
      </c>
      <c r="X157" t="n">
        <v/>
      </c>
      <c r="Y157" t="n">
        <v/>
      </c>
      <c r="Z157" t="n">
        <v/>
      </c>
      <c r="AA157">
        <f>SUMIFS($S$2:S157,$A$2:A157,A157,$N$2:N157,"Explore*")</f>
        <v/>
      </c>
      <c r="AB157">
        <f>IF(AND(LEFT(N157,7)="Explore",(AA157-IF(LEFT(N157,7)="Explore",S157,0))&lt;10),"SI","NO")</f>
        <v/>
      </c>
    </row>
    <row r="158">
      <c r="A158" t="inlineStr">
        <is>
          <t>c3m3_training</t>
        </is>
      </c>
      <c r="B158" t="inlineStr">
        <is>
          <t>2026-02-19 12:28:49.783</t>
        </is>
      </c>
      <c r="C158" t="n">
        <v/>
      </c>
      <c r="D158" t="inlineStr">
        <is>
          <t>Media file</t>
        </is>
      </c>
      <c r="E158" t="inlineStr">
        <is>
          <t>player #1:BTBR\training\c3m3.mp4</t>
        </is>
      </c>
      <c r="F158" t="n">
        <v>-11.7</v>
      </c>
      <c r="G158" t="n">
        <v>571.6319999999999</v>
      </c>
      <c r="H158" t="n">
        <v>615.533</v>
      </c>
      <c r="I158" t="n">
        <v>30</v>
      </c>
      <c r="J158" t="inlineStr">
        <is>
          <t>BTBR</t>
        </is>
      </c>
      <c r="K158" t="inlineStr">
        <is>
          <t>Male</t>
        </is>
      </c>
      <c r="L158" t="inlineStr">
        <is>
          <t>No focal subject</t>
        </is>
      </c>
      <c r="M158" t="n">
        <v>45.535</v>
      </c>
      <c r="N158" t="inlineStr">
        <is>
          <t>Explore_F</t>
        </is>
      </c>
      <c r="O158" t="inlineStr">
        <is>
          <t>Familiar</t>
        </is>
      </c>
      <c r="P158" t="inlineStr">
        <is>
          <t>STATE</t>
        </is>
      </c>
      <c r="Q158" t="n">
        <v>240.5</v>
      </c>
      <c r="R158" t="n">
        <v>240.933</v>
      </c>
      <c r="S158" t="n">
        <v>0.433</v>
      </c>
      <c r="T158" t="inlineStr">
        <is>
          <t>BTBR\training\c3m3.mp4</t>
        </is>
      </c>
      <c r="U158" t="n">
        <v>7215</v>
      </c>
      <c r="V158" t="n">
        <v>7226</v>
      </c>
      <c r="W158" t="n">
        <v/>
      </c>
      <c r="X158" t="n">
        <v/>
      </c>
      <c r="Y158" t="n">
        <v/>
      </c>
      <c r="Z158" t="n">
        <v/>
      </c>
      <c r="AA158">
        <f>SUMIFS($S$2:S158,$A$2:A158,A158,$N$2:N158,"Explore*")</f>
        <v/>
      </c>
      <c r="AB158">
        <f>IF(AND(LEFT(N158,7)="Explore",(AA158-IF(LEFT(N158,7)="Explore",S158,0))&lt;10),"SI","NO")</f>
        <v/>
      </c>
    </row>
    <row r="159">
      <c r="A159" t="inlineStr">
        <is>
          <t>c3m3_training</t>
        </is>
      </c>
      <c r="B159" t="inlineStr">
        <is>
          <t>2026-02-19 12:28:49.783</t>
        </is>
      </c>
      <c r="C159" t="n">
        <v/>
      </c>
      <c r="D159" t="inlineStr">
        <is>
          <t>Media file</t>
        </is>
      </c>
      <c r="E159" t="inlineStr">
        <is>
          <t>player #1:BTBR\training\c3m3.mp4</t>
        </is>
      </c>
      <c r="F159" t="n">
        <v>-11.7</v>
      </c>
      <c r="G159" t="n">
        <v>571.6319999999999</v>
      </c>
      <c r="H159" t="n">
        <v>615.533</v>
      </c>
      <c r="I159" t="n">
        <v>30</v>
      </c>
      <c r="J159" t="inlineStr">
        <is>
          <t>BTBR</t>
        </is>
      </c>
      <c r="K159" t="inlineStr">
        <is>
          <t>Male</t>
        </is>
      </c>
      <c r="L159" t="inlineStr">
        <is>
          <t>No focal subject</t>
        </is>
      </c>
      <c r="M159" t="n">
        <v>45.535</v>
      </c>
      <c r="N159" t="inlineStr">
        <is>
          <t>Explore_F</t>
        </is>
      </c>
      <c r="O159" t="inlineStr">
        <is>
          <t>Familiar</t>
        </is>
      </c>
      <c r="P159" t="inlineStr">
        <is>
          <t>STATE</t>
        </is>
      </c>
      <c r="Q159" t="n">
        <v>268.866</v>
      </c>
      <c r="R159" t="n">
        <v>269.733</v>
      </c>
      <c r="S159" t="n">
        <v>0.867</v>
      </c>
      <c r="T159" t="inlineStr">
        <is>
          <t>BTBR\training\c3m3.mp4</t>
        </is>
      </c>
      <c r="U159" t="n">
        <v>8064</v>
      </c>
      <c r="V159" t="n">
        <v>8090</v>
      </c>
      <c r="W159" t="n">
        <v/>
      </c>
      <c r="X159" t="n">
        <v/>
      </c>
      <c r="Y159" t="n">
        <v/>
      </c>
      <c r="Z159" t="n">
        <v/>
      </c>
      <c r="AA159">
        <f>SUMIFS($S$2:S159,$A$2:A159,A159,$N$2:N159,"Explore*")</f>
        <v/>
      </c>
      <c r="AB159">
        <f>IF(AND(LEFT(N159,7)="Explore",(AA159-IF(LEFT(N159,7)="Explore",S159,0))&lt;10),"SI","NO")</f>
        <v/>
      </c>
    </row>
    <row r="160">
      <c r="A160" t="inlineStr">
        <is>
          <t>c3m3_training</t>
        </is>
      </c>
      <c r="B160" t="inlineStr">
        <is>
          <t>2026-02-19 12:28:49.783</t>
        </is>
      </c>
      <c r="C160" t="n">
        <v/>
      </c>
      <c r="D160" t="inlineStr">
        <is>
          <t>Media file</t>
        </is>
      </c>
      <c r="E160" t="inlineStr">
        <is>
          <t>player #1:BTBR\training\c3m3.mp4</t>
        </is>
      </c>
      <c r="F160" t="n">
        <v>-11.7</v>
      </c>
      <c r="G160" t="n">
        <v>571.6319999999999</v>
      </c>
      <c r="H160" t="n">
        <v>615.533</v>
      </c>
      <c r="I160" t="n">
        <v>30</v>
      </c>
      <c r="J160" t="inlineStr">
        <is>
          <t>BTBR</t>
        </is>
      </c>
      <c r="K160" t="inlineStr">
        <is>
          <t>Male</t>
        </is>
      </c>
      <c r="L160" t="inlineStr">
        <is>
          <t>No focal subject</t>
        </is>
      </c>
      <c r="M160" t="n">
        <v>45.535</v>
      </c>
      <c r="N160" t="inlineStr">
        <is>
          <t>Explore_F</t>
        </is>
      </c>
      <c r="O160" t="inlineStr">
        <is>
          <t>Familiar</t>
        </is>
      </c>
      <c r="P160" t="inlineStr">
        <is>
          <t>STATE</t>
        </is>
      </c>
      <c r="Q160" t="n">
        <v>297.633</v>
      </c>
      <c r="R160" t="n">
        <v>298.066</v>
      </c>
      <c r="S160" t="n">
        <v>0.433</v>
      </c>
      <c r="T160" t="inlineStr">
        <is>
          <t>BTBR\training\c3m3.mp4</t>
        </is>
      </c>
      <c r="U160" t="n">
        <v>9278</v>
      </c>
      <c r="V160" t="n">
        <v>9291</v>
      </c>
      <c r="W160" t="n">
        <v/>
      </c>
      <c r="X160" t="n">
        <v/>
      </c>
      <c r="Y160" t="n">
        <v/>
      </c>
      <c r="Z160" t="n">
        <v/>
      </c>
      <c r="AA160">
        <f>SUMIFS($S$2:S160,$A$2:A160,A160,$N$2:N160,"Explore*")</f>
        <v/>
      </c>
      <c r="AB160">
        <f>IF(AND(LEFT(N160,7)="Explore",(AA160-IF(LEFT(N160,7)="Explore",S160,0))&lt;10),"SI","NO")</f>
        <v/>
      </c>
    </row>
    <row r="161">
      <c r="A161" t="inlineStr">
        <is>
          <t>c3m3_training</t>
        </is>
      </c>
      <c r="B161" t="inlineStr">
        <is>
          <t>2026-02-19 12:28:49.783</t>
        </is>
      </c>
      <c r="C161" t="n">
        <v/>
      </c>
      <c r="D161" t="inlineStr">
        <is>
          <t>Media file</t>
        </is>
      </c>
      <c r="E161" t="inlineStr">
        <is>
          <t>player #1:BTBR\training\c3m3.mp4</t>
        </is>
      </c>
      <c r="F161" t="n">
        <v>-11.7</v>
      </c>
      <c r="G161" t="n">
        <v>571.6319999999999</v>
      </c>
      <c r="H161" t="n">
        <v>615.533</v>
      </c>
      <c r="I161" t="n">
        <v>30</v>
      </c>
      <c r="J161" t="inlineStr">
        <is>
          <t>BTBR</t>
        </is>
      </c>
      <c r="K161" t="inlineStr">
        <is>
          <t>Male</t>
        </is>
      </c>
      <c r="L161" t="inlineStr">
        <is>
          <t>No focal subject</t>
        </is>
      </c>
      <c r="M161" t="n">
        <v>45.535</v>
      </c>
      <c r="N161" t="inlineStr">
        <is>
          <t>Explore_F2</t>
        </is>
      </c>
      <c r="O161" t="inlineStr">
        <is>
          <t>Second familiar</t>
        </is>
      </c>
      <c r="P161" t="inlineStr">
        <is>
          <t>STATE</t>
        </is>
      </c>
      <c r="Q161" t="n">
        <v>302.333</v>
      </c>
      <c r="R161" t="n">
        <v>302.833</v>
      </c>
      <c r="S161" t="n">
        <v>0.5</v>
      </c>
      <c r="T161" t="inlineStr">
        <is>
          <t>BTBR\training\c3m3.mp4</t>
        </is>
      </c>
      <c r="U161" t="n">
        <v>9419</v>
      </c>
      <c r="V161" t="n">
        <v>9434</v>
      </c>
      <c r="W161" t="n">
        <v/>
      </c>
      <c r="X161" t="n">
        <v/>
      </c>
      <c r="Y161" t="n">
        <v/>
      </c>
      <c r="Z161" t="n">
        <v/>
      </c>
      <c r="AA161">
        <f>SUMIFS($S$2:S161,$A$2:A161,A161,$N$2:N161,"Explore*")</f>
        <v/>
      </c>
      <c r="AB161">
        <f>IF(AND(LEFT(N161,7)="Explore",(AA161-IF(LEFT(N161,7)="Explore",S161,0))&lt;10),"SI","NO")</f>
        <v/>
      </c>
    </row>
    <row r="162">
      <c r="A162" t="inlineStr">
        <is>
          <t>c3m3_training</t>
        </is>
      </c>
      <c r="B162" t="inlineStr">
        <is>
          <t>2026-02-19 12:28:49.783</t>
        </is>
      </c>
      <c r="C162" t="n">
        <v/>
      </c>
      <c r="D162" t="inlineStr">
        <is>
          <t>Media file</t>
        </is>
      </c>
      <c r="E162" t="inlineStr">
        <is>
          <t>player #1:BTBR\training\c3m3.mp4</t>
        </is>
      </c>
      <c r="F162" t="n">
        <v>-11.7</v>
      </c>
      <c r="G162" t="n">
        <v>571.6319999999999</v>
      </c>
      <c r="H162" t="n">
        <v>615.533</v>
      </c>
      <c r="I162" t="n">
        <v>30</v>
      </c>
      <c r="J162" t="inlineStr">
        <is>
          <t>BTBR</t>
        </is>
      </c>
      <c r="K162" t="inlineStr">
        <is>
          <t>Male</t>
        </is>
      </c>
      <c r="L162" t="inlineStr">
        <is>
          <t>No focal subject</t>
        </is>
      </c>
      <c r="M162" t="n">
        <v>45.535</v>
      </c>
      <c r="N162" t="inlineStr">
        <is>
          <t>Explore_F2</t>
        </is>
      </c>
      <c r="O162" t="inlineStr">
        <is>
          <t>Second familiar</t>
        </is>
      </c>
      <c r="P162" t="inlineStr">
        <is>
          <t>STATE</t>
        </is>
      </c>
      <c r="Q162" t="n">
        <v>324.633</v>
      </c>
      <c r="R162" t="n">
        <v>325</v>
      </c>
      <c r="S162" t="n">
        <v>0.367</v>
      </c>
      <c r="T162" t="inlineStr">
        <is>
          <t>BTBR\training\c3m3.mp4</t>
        </is>
      </c>
      <c r="U162" t="n">
        <v>10088</v>
      </c>
      <c r="V162" t="n">
        <v>10099</v>
      </c>
      <c r="W162" t="n">
        <v/>
      </c>
      <c r="X162" t="n">
        <v/>
      </c>
      <c r="Y162" t="n">
        <v/>
      </c>
      <c r="Z162" t="n">
        <v/>
      </c>
      <c r="AA162">
        <f>SUMIFS($S$2:S162,$A$2:A162,A162,$N$2:N162,"Explore*")</f>
        <v/>
      </c>
      <c r="AB162">
        <f>IF(AND(LEFT(N162,7)="Explore",(AA162-IF(LEFT(N162,7)="Explore",S162,0))&lt;10),"SI","NO")</f>
        <v/>
      </c>
    </row>
    <row r="163">
      <c r="A163" t="inlineStr">
        <is>
          <t>c3m3_training</t>
        </is>
      </c>
      <c r="B163" t="inlineStr">
        <is>
          <t>2026-02-19 12:28:49.783</t>
        </is>
      </c>
      <c r="C163" t="n">
        <v/>
      </c>
      <c r="D163" t="inlineStr">
        <is>
          <t>Media file</t>
        </is>
      </c>
      <c r="E163" t="inlineStr">
        <is>
          <t>player #1:BTBR\training\c3m3.mp4</t>
        </is>
      </c>
      <c r="F163" t="n">
        <v>-11.7</v>
      </c>
      <c r="G163" t="n">
        <v>571.6319999999999</v>
      </c>
      <c r="H163" t="n">
        <v>615.533</v>
      </c>
      <c r="I163" t="n">
        <v>30</v>
      </c>
      <c r="J163" t="inlineStr">
        <is>
          <t>BTBR</t>
        </is>
      </c>
      <c r="K163" t="inlineStr">
        <is>
          <t>Male</t>
        </is>
      </c>
      <c r="L163" t="inlineStr">
        <is>
          <t>No focal subject</t>
        </is>
      </c>
      <c r="M163" t="n">
        <v>45.535</v>
      </c>
      <c r="N163" t="inlineStr">
        <is>
          <t>Explore_F2</t>
        </is>
      </c>
      <c r="O163" t="inlineStr">
        <is>
          <t>Second familiar</t>
        </is>
      </c>
      <c r="P163" t="inlineStr">
        <is>
          <t>STATE</t>
        </is>
      </c>
      <c r="Q163" t="n">
        <v>326.333</v>
      </c>
      <c r="R163" t="n">
        <v>327.033</v>
      </c>
      <c r="S163" t="n">
        <v>0.7</v>
      </c>
      <c r="T163" t="inlineStr">
        <is>
          <t>BTBR\training\c3m3.mp4</t>
        </is>
      </c>
      <c r="U163" t="n">
        <v>10139</v>
      </c>
      <c r="V163" t="n">
        <v>10160</v>
      </c>
      <c r="W163" t="n">
        <v/>
      </c>
      <c r="X163" t="n">
        <v/>
      </c>
      <c r="Y163" t="n">
        <v/>
      </c>
      <c r="Z163" t="n">
        <v/>
      </c>
      <c r="AA163">
        <f>SUMIFS($S$2:S163,$A$2:A163,A163,$N$2:N163,"Explore*")</f>
        <v/>
      </c>
      <c r="AB163">
        <f>IF(AND(LEFT(N163,7)="Explore",(AA163-IF(LEFT(N163,7)="Explore",S163,0))&lt;10),"SI","NO")</f>
        <v/>
      </c>
    </row>
    <row r="164">
      <c r="A164" t="inlineStr">
        <is>
          <t>c3m3_training</t>
        </is>
      </c>
      <c r="B164" t="inlineStr">
        <is>
          <t>2026-02-19 12:28:49.783</t>
        </is>
      </c>
      <c r="C164" t="n">
        <v/>
      </c>
      <c r="D164" t="inlineStr">
        <is>
          <t>Media file</t>
        </is>
      </c>
      <c r="E164" t="inlineStr">
        <is>
          <t>player #1:BTBR\training\c3m3.mp4</t>
        </is>
      </c>
      <c r="F164" t="n">
        <v>-11.7</v>
      </c>
      <c r="G164" t="n">
        <v>571.6319999999999</v>
      </c>
      <c r="H164" t="n">
        <v>615.533</v>
      </c>
      <c r="I164" t="n">
        <v>30</v>
      </c>
      <c r="J164" t="inlineStr">
        <is>
          <t>BTBR</t>
        </is>
      </c>
      <c r="K164" t="inlineStr">
        <is>
          <t>Male</t>
        </is>
      </c>
      <c r="L164" t="inlineStr">
        <is>
          <t>No focal subject</t>
        </is>
      </c>
      <c r="M164" t="n">
        <v>45.535</v>
      </c>
      <c r="N164" t="inlineStr">
        <is>
          <t>Explore_F</t>
        </is>
      </c>
      <c r="O164" t="inlineStr">
        <is>
          <t>Familiar</t>
        </is>
      </c>
      <c r="P164" t="inlineStr">
        <is>
          <t>STATE</t>
        </is>
      </c>
      <c r="Q164" t="n">
        <v>337.266</v>
      </c>
      <c r="R164" t="n">
        <v>337.766</v>
      </c>
      <c r="S164" t="n">
        <v>0.5</v>
      </c>
      <c r="T164" t="inlineStr">
        <is>
          <t>BTBR\training\c3m3.mp4</t>
        </is>
      </c>
      <c r="U164" t="n">
        <v>10467</v>
      </c>
      <c r="V164" t="n">
        <v>10482</v>
      </c>
      <c r="W164" t="n">
        <v/>
      </c>
      <c r="X164" t="n">
        <v/>
      </c>
      <c r="Y164" t="n">
        <v/>
      </c>
      <c r="Z164" t="n">
        <v/>
      </c>
      <c r="AA164">
        <f>SUMIFS($S$2:S164,$A$2:A164,A164,$N$2:N164,"Explore*")</f>
        <v/>
      </c>
      <c r="AB164">
        <f>IF(AND(LEFT(N164,7)="Explore",(AA164-IF(LEFT(N164,7)="Explore",S164,0))&lt;10),"SI","NO")</f>
        <v/>
      </c>
    </row>
    <row r="165">
      <c r="A165" t="inlineStr">
        <is>
          <t>c3m3_training</t>
        </is>
      </c>
      <c r="B165" t="inlineStr">
        <is>
          <t>2026-02-19 12:28:49.783</t>
        </is>
      </c>
      <c r="C165" t="n">
        <v/>
      </c>
      <c r="D165" t="inlineStr">
        <is>
          <t>Media file</t>
        </is>
      </c>
      <c r="E165" t="inlineStr">
        <is>
          <t>player #1:BTBR\training\c3m3.mp4</t>
        </is>
      </c>
      <c r="F165" t="n">
        <v>-11.7</v>
      </c>
      <c r="G165" t="n">
        <v>571.6319999999999</v>
      </c>
      <c r="H165" t="n">
        <v>615.533</v>
      </c>
      <c r="I165" t="n">
        <v>30</v>
      </c>
      <c r="J165" t="inlineStr">
        <is>
          <t>BTBR</t>
        </is>
      </c>
      <c r="K165" t="inlineStr">
        <is>
          <t>Male</t>
        </is>
      </c>
      <c r="L165" t="inlineStr">
        <is>
          <t>No focal subject</t>
        </is>
      </c>
      <c r="M165" t="n">
        <v>45.535</v>
      </c>
      <c r="N165" t="inlineStr">
        <is>
          <t>Explore_F2</t>
        </is>
      </c>
      <c r="O165" t="inlineStr">
        <is>
          <t>Second familiar</t>
        </is>
      </c>
      <c r="P165" t="inlineStr">
        <is>
          <t>STATE</t>
        </is>
      </c>
      <c r="Q165" t="n">
        <v>339.6</v>
      </c>
      <c r="R165" t="n">
        <v>340.366</v>
      </c>
      <c r="S165" t="n">
        <v>0.766</v>
      </c>
      <c r="T165" t="inlineStr">
        <is>
          <t>BTBR\training\c3m3.mp4</t>
        </is>
      </c>
      <c r="U165" t="n">
        <v>10537</v>
      </c>
      <c r="V165" t="n">
        <v>10560</v>
      </c>
      <c r="W165" t="n">
        <v/>
      </c>
      <c r="X165" t="n">
        <v/>
      </c>
      <c r="Y165" t="n">
        <v/>
      </c>
      <c r="Z165" t="n">
        <v/>
      </c>
      <c r="AA165">
        <f>SUMIFS($S$2:S165,$A$2:A165,A165,$N$2:N165,"Explore*")</f>
        <v/>
      </c>
      <c r="AB165">
        <f>IF(AND(LEFT(N165,7)="Explore",(AA165-IF(LEFT(N165,7)="Explore",S165,0))&lt;10),"SI","NO")</f>
        <v/>
      </c>
    </row>
    <row r="166">
      <c r="A166" t="inlineStr">
        <is>
          <t>c3m3_training</t>
        </is>
      </c>
      <c r="B166" t="inlineStr">
        <is>
          <t>2026-02-19 12:28:49.783</t>
        </is>
      </c>
      <c r="C166" t="n">
        <v/>
      </c>
      <c r="D166" t="inlineStr">
        <is>
          <t>Media file</t>
        </is>
      </c>
      <c r="E166" t="inlineStr">
        <is>
          <t>player #1:BTBR\training\c3m3.mp4</t>
        </is>
      </c>
      <c r="F166" t="n">
        <v>-11.7</v>
      </c>
      <c r="G166" t="n">
        <v>571.6319999999999</v>
      </c>
      <c r="H166" t="n">
        <v>615.533</v>
      </c>
      <c r="I166" t="n">
        <v>30</v>
      </c>
      <c r="J166" t="inlineStr">
        <is>
          <t>BTBR</t>
        </is>
      </c>
      <c r="K166" t="inlineStr">
        <is>
          <t>Male</t>
        </is>
      </c>
      <c r="L166" t="inlineStr">
        <is>
          <t>No focal subject</t>
        </is>
      </c>
      <c r="M166" t="n">
        <v>45.535</v>
      </c>
      <c r="N166" t="inlineStr">
        <is>
          <t>Explore_F2</t>
        </is>
      </c>
      <c r="O166" t="inlineStr">
        <is>
          <t>Second familiar</t>
        </is>
      </c>
      <c r="P166" t="inlineStr">
        <is>
          <t>STATE</t>
        </is>
      </c>
      <c r="Q166" t="n">
        <v>389.433</v>
      </c>
      <c r="R166" t="n">
        <v>390.266</v>
      </c>
      <c r="S166" t="n">
        <v>0.833</v>
      </c>
      <c r="T166" t="inlineStr">
        <is>
          <t>BTBR\training\c3m3.mp4</t>
        </is>
      </c>
      <c r="U166" t="n">
        <v>12031</v>
      </c>
      <c r="V166" t="n">
        <v>12056</v>
      </c>
      <c r="W166" t="n">
        <v/>
      </c>
      <c r="X166" t="n">
        <v/>
      </c>
      <c r="Y166" t="n">
        <v/>
      </c>
      <c r="Z166" t="n">
        <v/>
      </c>
      <c r="AA166">
        <f>SUMIFS($S$2:S166,$A$2:A166,A166,$N$2:N166,"Explore*")</f>
        <v/>
      </c>
      <c r="AB166">
        <f>IF(AND(LEFT(N166,7)="Explore",(AA166-IF(LEFT(N166,7)="Explore",S166,0))&lt;10),"SI","NO")</f>
        <v/>
      </c>
    </row>
    <row r="167">
      <c r="A167" t="inlineStr">
        <is>
          <t>c3m3_training</t>
        </is>
      </c>
      <c r="B167" t="inlineStr">
        <is>
          <t>2026-02-19 12:28:49.783</t>
        </is>
      </c>
      <c r="C167" t="n">
        <v/>
      </c>
      <c r="D167" t="inlineStr">
        <is>
          <t>Media file</t>
        </is>
      </c>
      <c r="E167" t="inlineStr">
        <is>
          <t>player #1:BTBR\training\c3m3.mp4</t>
        </is>
      </c>
      <c r="F167" t="n">
        <v>-11.7</v>
      </c>
      <c r="G167" t="n">
        <v>571.6319999999999</v>
      </c>
      <c r="H167" t="n">
        <v>615.533</v>
      </c>
      <c r="I167" t="n">
        <v>30</v>
      </c>
      <c r="J167" t="inlineStr">
        <is>
          <t>BTBR</t>
        </is>
      </c>
      <c r="K167" t="inlineStr">
        <is>
          <t>Male</t>
        </is>
      </c>
      <c r="L167" t="inlineStr">
        <is>
          <t>No focal subject</t>
        </is>
      </c>
      <c r="M167" t="n">
        <v>45.535</v>
      </c>
      <c r="N167" t="inlineStr">
        <is>
          <t>Explore_F2</t>
        </is>
      </c>
      <c r="O167" t="inlineStr">
        <is>
          <t>Second familiar</t>
        </is>
      </c>
      <c r="P167" t="inlineStr">
        <is>
          <t>STATE</t>
        </is>
      </c>
      <c r="Q167" t="n">
        <v>429.766</v>
      </c>
      <c r="R167" t="n">
        <v>430.2</v>
      </c>
      <c r="S167" t="n">
        <v>0.434</v>
      </c>
      <c r="T167" t="inlineStr">
        <is>
          <t>BTBR\training\c3m3.mp4</t>
        </is>
      </c>
      <c r="U167" t="n">
        <v>13241</v>
      </c>
      <c r="V167" t="n">
        <v>13254</v>
      </c>
      <c r="W167" t="n">
        <v/>
      </c>
      <c r="X167" t="n">
        <v/>
      </c>
      <c r="Y167" t="n">
        <v/>
      </c>
      <c r="Z167" t="n">
        <v/>
      </c>
      <c r="AA167">
        <f>SUMIFS($S$2:S167,$A$2:A167,A167,$N$2:N167,"Explore*")</f>
        <v/>
      </c>
      <c r="AB167">
        <f>IF(AND(LEFT(N167,7)="Explore",(AA167-IF(LEFT(N167,7)="Explore",S167,0))&lt;10),"SI","NO")</f>
        <v/>
      </c>
    </row>
    <row r="168">
      <c r="A168" t="inlineStr">
        <is>
          <t>c3m3_training</t>
        </is>
      </c>
      <c r="B168" t="inlineStr">
        <is>
          <t>2026-02-19 12:28:49.783</t>
        </is>
      </c>
      <c r="C168" t="n">
        <v/>
      </c>
      <c r="D168" t="inlineStr">
        <is>
          <t>Media file</t>
        </is>
      </c>
      <c r="E168" t="inlineStr">
        <is>
          <t>player #1:BTBR\training\c3m3.mp4</t>
        </is>
      </c>
      <c r="F168" t="n">
        <v>-11.7</v>
      </c>
      <c r="G168" t="n">
        <v>571.6319999999999</v>
      </c>
      <c r="H168" t="n">
        <v>615.533</v>
      </c>
      <c r="I168" t="n">
        <v>30</v>
      </c>
      <c r="J168" t="inlineStr">
        <is>
          <t>BTBR</t>
        </is>
      </c>
      <c r="K168" t="inlineStr">
        <is>
          <t>Male</t>
        </is>
      </c>
      <c r="L168" t="inlineStr">
        <is>
          <t>No focal subject</t>
        </is>
      </c>
      <c r="M168" t="n">
        <v>45.535</v>
      </c>
      <c r="N168" t="inlineStr">
        <is>
          <t>Explore_F</t>
        </is>
      </c>
      <c r="O168" t="inlineStr">
        <is>
          <t>Familiar</t>
        </is>
      </c>
      <c r="P168" t="inlineStr">
        <is>
          <t>STATE</t>
        </is>
      </c>
      <c r="Q168" t="n">
        <v>447.966</v>
      </c>
      <c r="R168" t="n">
        <v>448.4</v>
      </c>
      <c r="S168" t="n">
        <v>0.434</v>
      </c>
      <c r="T168" t="inlineStr">
        <is>
          <t>BTBR\training\c3m3.mp4</t>
        </is>
      </c>
      <c r="U168" t="n">
        <v>13787</v>
      </c>
      <c r="V168" t="n">
        <v>13800</v>
      </c>
      <c r="W168" t="n">
        <v/>
      </c>
      <c r="X168" t="n">
        <v/>
      </c>
      <c r="Y168" t="n">
        <v/>
      </c>
      <c r="Z168" t="n">
        <v/>
      </c>
      <c r="AA168">
        <f>SUMIFS($S$2:S168,$A$2:A168,A168,$N$2:N168,"Explore*")</f>
        <v/>
      </c>
      <c r="AB168">
        <f>IF(AND(LEFT(N168,7)="Explore",(AA168-IF(LEFT(N168,7)="Explore",S168,0))&lt;10),"SI","NO")</f>
        <v/>
      </c>
    </row>
    <row r="169">
      <c r="A169" t="inlineStr">
        <is>
          <t>c3m3_training</t>
        </is>
      </c>
      <c r="B169" t="inlineStr">
        <is>
          <t>2026-02-19 12:28:49.783</t>
        </is>
      </c>
      <c r="C169" t="n">
        <v/>
      </c>
      <c r="D169" t="inlineStr">
        <is>
          <t>Media file</t>
        </is>
      </c>
      <c r="E169" t="inlineStr">
        <is>
          <t>player #1:BTBR\training\c3m3.mp4</t>
        </is>
      </c>
      <c r="F169" t="n">
        <v>-11.7</v>
      </c>
      <c r="G169" t="n">
        <v>571.6319999999999</v>
      </c>
      <c r="H169" t="n">
        <v>615.533</v>
      </c>
      <c r="I169" t="n">
        <v>30</v>
      </c>
      <c r="J169" t="inlineStr">
        <is>
          <t>BTBR</t>
        </is>
      </c>
      <c r="K169" t="inlineStr">
        <is>
          <t>Male</t>
        </is>
      </c>
      <c r="L169" t="inlineStr">
        <is>
          <t>No focal subject</t>
        </is>
      </c>
      <c r="M169" t="n">
        <v>45.535</v>
      </c>
      <c r="N169" t="inlineStr">
        <is>
          <t>Explore_F</t>
        </is>
      </c>
      <c r="O169" t="inlineStr">
        <is>
          <t>Familiar</t>
        </is>
      </c>
      <c r="P169" t="inlineStr">
        <is>
          <t>STATE</t>
        </is>
      </c>
      <c r="Q169" t="n">
        <v>449.3</v>
      </c>
      <c r="R169" t="n">
        <v>449.7</v>
      </c>
      <c r="S169" t="n">
        <v>0.4</v>
      </c>
      <c r="T169" t="inlineStr">
        <is>
          <t>BTBR\training\c3m3.mp4</t>
        </is>
      </c>
      <c r="U169" t="n">
        <v>13827</v>
      </c>
      <c r="V169" t="n">
        <v>13839</v>
      </c>
      <c r="W169" t="n">
        <v/>
      </c>
      <c r="X169" t="n">
        <v/>
      </c>
      <c r="Y169" t="n">
        <v/>
      </c>
      <c r="Z169" t="n">
        <v/>
      </c>
      <c r="AA169">
        <f>SUMIFS($S$2:S169,$A$2:A169,A169,$N$2:N169,"Explore*")</f>
        <v/>
      </c>
      <c r="AB169">
        <f>IF(AND(LEFT(N169,7)="Explore",(AA169-IF(LEFT(N169,7)="Explore",S169,0))&lt;10),"SI","NO")</f>
        <v/>
      </c>
    </row>
    <row r="170">
      <c r="A170" t="inlineStr">
        <is>
          <t>c3m3_training</t>
        </is>
      </c>
      <c r="B170" t="inlineStr">
        <is>
          <t>2026-02-19 12:28:49.783</t>
        </is>
      </c>
      <c r="C170" t="n">
        <v/>
      </c>
      <c r="D170" t="inlineStr">
        <is>
          <t>Media file</t>
        </is>
      </c>
      <c r="E170" t="inlineStr">
        <is>
          <t>player #1:BTBR\training\c3m3.mp4</t>
        </is>
      </c>
      <c r="F170" t="n">
        <v>-11.7</v>
      </c>
      <c r="G170" t="n">
        <v>571.6319999999999</v>
      </c>
      <c r="H170" t="n">
        <v>615.533</v>
      </c>
      <c r="I170" t="n">
        <v>30</v>
      </c>
      <c r="J170" t="inlineStr">
        <is>
          <t>BTBR</t>
        </is>
      </c>
      <c r="K170" t="inlineStr">
        <is>
          <t>Male</t>
        </is>
      </c>
      <c r="L170" t="inlineStr">
        <is>
          <t>No focal subject</t>
        </is>
      </c>
      <c r="M170" t="n">
        <v>45.535</v>
      </c>
      <c r="N170" t="inlineStr">
        <is>
          <t>Explore_F2</t>
        </is>
      </c>
      <c r="O170" t="inlineStr">
        <is>
          <t>Second familiar</t>
        </is>
      </c>
      <c r="P170" t="inlineStr">
        <is>
          <t>STATE</t>
        </is>
      </c>
      <c r="Q170" t="n">
        <v>458.766</v>
      </c>
      <c r="R170" t="n">
        <v>459.333</v>
      </c>
      <c r="S170" t="n">
        <v>0.5669999999999999</v>
      </c>
      <c r="T170" t="inlineStr">
        <is>
          <t>BTBR\training\c3m3.mp4</t>
        </is>
      </c>
      <c r="U170" t="n">
        <v>14111</v>
      </c>
      <c r="V170" t="n">
        <v>14128</v>
      </c>
      <c r="W170" t="n">
        <v/>
      </c>
      <c r="X170" t="n">
        <v/>
      </c>
      <c r="Y170" t="n">
        <v/>
      </c>
      <c r="Z170" t="n">
        <v/>
      </c>
      <c r="AA170">
        <f>SUMIFS($S$2:S170,$A$2:A170,A170,$N$2:N170,"Explore*")</f>
        <v/>
      </c>
      <c r="AB170">
        <f>IF(AND(LEFT(N170,7)="Explore",(AA170-IF(LEFT(N170,7)="Explore",S170,0))&lt;10),"SI","NO")</f>
        <v/>
      </c>
    </row>
    <row r="171">
      <c r="A171" t="inlineStr">
        <is>
          <t>c3m3_training</t>
        </is>
      </c>
      <c r="B171" t="inlineStr">
        <is>
          <t>2026-02-19 12:28:49.783</t>
        </is>
      </c>
      <c r="C171" t="n">
        <v/>
      </c>
      <c r="D171" t="inlineStr">
        <is>
          <t>Media file</t>
        </is>
      </c>
      <c r="E171" t="inlineStr">
        <is>
          <t>player #1:BTBR\training\c3m3.mp4</t>
        </is>
      </c>
      <c r="F171" t="n">
        <v>-11.7</v>
      </c>
      <c r="G171" t="n">
        <v>571.6319999999999</v>
      </c>
      <c r="H171" t="n">
        <v>615.533</v>
      </c>
      <c r="I171" t="n">
        <v>30</v>
      </c>
      <c r="J171" t="inlineStr">
        <is>
          <t>BTBR</t>
        </is>
      </c>
      <c r="K171" t="inlineStr">
        <is>
          <t>Male</t>
        </is>
      </c>
      <c r="L171" t="inlineStr">
        <is>
          <t>No focal subject</t>
        </is>
      </c>
      <c r="M171" t="n">
        <v>45.535</v>
      </c>
      <c r="N171" t="inlineStr">
        <is>
          <t>Explore_F</t>
        </is>
      </c>
      <c r="O171" t="inlineStr">
        <is>
          <t>Familiar</t>
        </is>
      </c>
      <c r="P171" t="inlineStr">
        <is>
          <t>STATE</t>
        </is>
      </c>
      <c r="Q171" t="n">
        <v>497.366</v>
      </c>
      <c r="R171" t="n">
        <v>497.833</v>
      </c>
      <c r="S171" t="n">
        <v>0.467</v>
      </c>
      <c r="T171" t="inlineStr">
        <is>
          <t>BTBR\training\c3m3.mp4</t>
        </is>
      </c>
      <c r="U171" t="n">
        <v>15269</v>
      </c>
      <c r="V171" t="n">
        <v>15283</v>
      </c>
      <c r="W171" t="n">
        <v/>
      </c>
      <c r="X171" t="n">
        <v/>
      </c>
      <c r="Y171" t="n">
        <v/>
      </c>
      <c r="Z171" t="n">
        <v/>
      </c>
      <c r="AA171">
        <f>SUMIFS($S$2:S171,$A$2:A171,A171,$N$2:N171,"Explore*")</f>
        <v/>
      </c>
      <c r="AB171">
        <f>IF(AND(LEFT(N171,7)="Explore",(AA171-IF(LEFT(N171,7)="Explore",S171,0))&lt;10),"SI","NO")</f>
        <v/>
      </c>
    </row>
    <row r="172">
      <c r="A172" t="inlineStr">
        <is>
          <t>c3m3_training</t>
        </is>
      </c>
      <c r="B172" t="inlineStr">
        <is>
          <t>2026-02-19 12:28:49.783</t>
        </is>
      </c>
      <c r="C172" t="n">
        <v/>
      </c>
      <c r="D172" t="inlineStr">
        <is>
          <t>Media file</t>
        </is>
      </c>
      <c r="E172" t="inlineStr">
        <is>
          <t>player #1:BTBR\training\c3m3.mp4</t>
        </is>
      </c>
      <c r="F172" t="n">
        <v>-11.7</v>
      </c>
      <c r="G172" t="n">
        <v>571.6319999999999</v>
      </c>
      <c r="H172" t="n">
        <v>615.533</v>
      </c>
      <c r="I172" t="n">
        <v>30</v>
      </c>
      <c r="J172" t="inlineStr">
        <is>
          <t>BTBR</t>
        </is>
      </c>
      <c r="K172" t="inlineStr">
        <is>
          <t>Male</t>
        </is>
      </c>
      <c r="L172" t="inlineStr">
        <is>
          <t>No focal subject</t>
        </is>
      </c>
      <c r="M172" t="n">
        <v>45.535</v>
      </c>
      <c r="N172" t="inlineStr">
        <is>
          <t>Explore_F2</t>
        </is>
      </c>
      <c r="O172" t="inlineStr">
        <is>
          <t>Second familiar</t>
        </is>
      </c>
      <c r="P172" t="inlineStr">
        <is>
          <t>STATE</t>
        </is>
      </c>
      <c r="Q172" t="n">
        <v>507.099</v>
      </c>
      <c r="R172" t="n">
        <v>507.833</v>
      </c>
      <c r="S172" t="n">
        <v>0.734</v>
      </c>
      <c r="T172" t="inlineStr">
        <is>
          <t>BTBR\training\c3m3.mp4</t>
        </is>
      </c>
      <c r="U172" t="n">
        <v>15561</v>
      </c>
      <c r="V172" t="n">
        <v>15583</v>
      </c>
      <c r="W172" t="n">
        <v/>
      </c>
      <c r="X172" t="n">
        <v/>
      </c>
      <c r="Y172" t="n">
        <v/>
      </c>
      <c r="Z172" t="n">
        <v/>
      </c>
      <c r="AA172">
        <f>SUMIFS($S$2:S172,$A$2:A172,A172,$N$2:N172,"Explore*")</f>
        <v/>
      </c>
      <c r="AB172">
        <f>IF(AND(LEFT(N172,7)="Explore",(AA172-IF(LEFT(N172,7)="Explore",S172,0))&lt;10),"SI","NO")</f>
        <v/>
      </c>
    </row>
    <row r="173">
      <c r="A173" t="inlineStr">
        <is>
          <t>c3m3_training</t>
        </is>
      </c>
      <c r="B173" t="inlineStr">
        <is>
          <t>2026-02-19 12:28:49.783</t>
        </is>
      </c>
      <c r="C173" t="n">
        <v/>
      </c>
      <c r="D173" t="inlineStr">
        <is>
          <t>Media file</t>
        </is>
      </c>
      <c r="E173" t="inlineStr">
        <is>
          <t>player #1:BTBR\training\c3m3.mp4</t>
        </is>
      </c>
      <c r="F173" t="n">
        <v>-11.7</v>
      </c>
      <c r="G173" t="n">
        <v>571.6319999999999</v>
      </c>
      <c r="H173" t="n">
        <v>615.533</v>
      </c>
      <c r="I173" t="n">
        <v>30</v>
      </c>
      <c r="J173" t="inlineStr">
        <is>
          <t>BTBR</t>
        </is>
      </c>
      <c r="K173" t="inlineStr">
        <is>
          <t>Male</t>
        </is>
      </c>
      <c r="L173" t="inlineStr">
        <is>
          <t>No focal subject</t>
        </is>
      </c>
      <c r="M173" t="n">
        <v>45.535</v>
      </c>
      <c r="N173" t="inlineStr">
        <is>
          <t>Explore_F</t>
        </is>
      </c>
      <c r="O173" t="inlineStr">
        <is>
          <t>Familiar</t>
        </is>
      </c>
      <c r="P173" t="inlineStr">
        <is>
          <t>STATE</t>
        </is>
      </c>
      <c r="Q173" t="n">
        <v>512.633</v>
      </c>
      <c r="R173" t="n">
        <v>512.999</v>
      </c>
      <c r="S173" t="n">
        <v>0.366</v>
      </c>
      <c r="T173" t="inlineStr">
        <is>
          <t>BTBR\training\c3m3.mp4</t>
        </is>
      </c>
      <c r="U173" t="n">
        <v>15727</v>
      </c>
      <c r="V173" t="n">
        <v>15738</v>
      </c>
      <c r="W173" t="n">
        <v/>
      </c>
      <c r="X173" t="n">
        <v/>
      </c>
      <c r="Y173" t="n">
        <v/>
      </c>
      <c r="Z173" t="n">
        <v/>
      </c>
      <c r="AA173">
        <f>SUMIFS($S$2:S173,$A$2:A173,A173,$N$2:N173,"Explore*")</f>
        <v/>
      </c>
      <c r="AB173">
        <f>IF(AND(LEFT(N173,7)="Explore",(AA173-IF(LEFT(N173,7)="Explore",S173,0))&lt;10),"SI","NO")</f>
        <v/>
      </c>
    </row>
    <row r="174">
      <c r="A174" t="inlineStr">
        <is>
          <t>c3m3_training</t>
        </is>
      </c>
      <c r="B174" t="inlineStr">
        <is>
          <t>2026-02-19 12:28:49.783</t>
        </is>
      </c>
      <c r="C174" t="n">
        <v/>
      </c>
      <c r="D174" t="inlineStr">
        <is>
          <t>Media file</t>
        </is>
      </c>
      <c r="E174" t="inlineStr">
        <is>
          <t>player #1:BTBR\training\c3m3.mp4</t>
        </is>
      </c>
      <c r="F174" t="n">
        <v>-11.7</v>
      </c>
      <c r="G174" t="n">
        <v>571.6319999999999</v>
      </c>
      <c r="H174" t="n">
        <v>615.533</v>
      </c>
      <c r="I174" t="n">
        <v>30</v>
      </c>
      <c r="J174" t="inlineStr">
        <is>
          <t>BTBR</t>
        </is>
      </c>
      <c r="K174" t="inlineStr">
        <is>
          <t>Male</t>
        </is>
      </c>
      <c r="L174" t="inlineStr">
        <is>
          <t>No focal subject</t>
        </is>
      </c>
      <c r="M174" t="n">
        <v>45.535</v>
      </c>
      <c r="N174" t="inlineStr">
        <is>
          <t>Explore_F</t>
        </is>
      </c>
      <c r="O174" t="inlineStr">
        <is>
          <t>Familiar</t>
        </is>
      </c>
      <c r="P174" t="inlineStr">
        <is>
          <t>STATE</t>
        </is>
      </c>
      <c r="Q174" t="n">
        <v>536.266</v>
      </c>
      <c r="R174" t="n">
        <v>536.7329999999999</v>
      </c>
      <c r="S174" t="n">
        <v>0.467</v>
      </c>
      <c r="T174" t="inlineStr">
        <is>
          <t>BTBR\training\c3m3.mp4</t>
        </is>
      </c>
      <c r="U174" t="n">
        <v>16436</v>
      </c>
      <c r="V174" t="n">
        <v>16450</v>
      </c>
      <c r="W174" t="n">
        <v/>
      </c>
      <c r="X174" t="n">
        <v/>
      </c>
      <c r="Y174" t="n">
        <v/>
      </c>
      <c r="Z174" t="n">
        <v/>
      </c>
      <c r="AA174">
        <f>SUMIFS($S$2:S174,$A$2:A174,A174,$N$2:N174,"Explore*")</f>
        <v/>
      </c>
      <c r="AB174">
        <f>IF(AND(LEFT(N174,7)="Explore",(AA174-IF(LEFT(N174,7)="Explore",S174,0))&lt;10),"SI","NO")</f>
        <v/>
      </c>
    </row>
    <row r="175">
      <c r="A175" t="inlineStr">
        <is>
          <t>c3m3_training</t>
        </is>
      </c>
      <c r="B175" t="inlineStr">
        <is>
          <t>2026-02-19 12:28:49.783</t>
        </is>
      </c>
      <c r="C175" t="n">
        <v/>
      </c>
      <c r="D175" t="inlineStr">
        <is>
          <t>Media file</t>
        </is>
      </c>
      <c r="E175" t="inlineStr">
        <is>
          <t>player #1:BTBR\training\c3m3.mp4</t>
        </is>
      </c>
      <c r="F175" t="n">
        <v>-11.7</v>
      </c>
      <c r="G175" t="n">
        <v>571.6319999999999</v>
      </c>
      <c r="H175" t="n">
        <v>615.533</v>
      </c>
      <c r="I175" t="n">
        <v>30</v>
      </c>
      <c r="J175" t="inlineStr">
        <is>
          <t>BTBR</t>
        </is>
      </c>
      <c r="K175" t="inlineStr">
        <is>
          <t>Male</t>
        </is>
      </c>
      <c r="L175" t="inlineStr">
        <is>
          <t>No focal subject</t>
        </is>
      </c>
      <c r="M175" t="n">
        <v>45.535</v>
      </c>
      <c r="N175" t="inlineStr">
        <is>
          <t>Explore_F</t>
        </is>
      </c>
      <c r="O175" t="inlineStr">
        <is>
          <t>Familiar</t>
        </is>
      </c>
      <c r="P175" t="inlineStr">
        <is>
          <t>STATE</t>
        </is>
      </c>
      <c r="Q175" t="n">
        <v>549.1660000000001</v>
      </c>
      <c r="R175" t="n">
        <v>549.633</v>
      </c>
      <c r="S175" t="n">
        <v>0.467</v>
      </c>
      <c r="T175" t="inlineStr">
        <is>
          <t>BTBR\training\c3m3.mp4</t>
        </is>
      </c>
      <c r="U175" t="n">
        <v>16822</v>
      </c>
      <c r="V175" t="n">
        <v>16836</v>
      </c>
      <c r="W175" t="n">
        <v/>
      </c>
      <c r="X175" t="n">
        <v/>
      </c>
      <c r="Y175" t="n">
        <v/>
      </c>
      <c r="Z175" t="n">
        <v/>
      </c>
      <c r="AA175">
        <f>SUMIFS($S$2:S175,$A$2:A175,A175,$N$2:N175,"Explore*")</f>
        <v/>
      </c>
      <c r="AB175">
        <f>IF(AND(LEFT(N175,7)="Explore",(AA175-IF(LEFT(N175,7)="Explore",S175,0))&lt;10),"SI","NO")</f>
        <v/>
      </c>
    </row>
    <row r="176">
      <c r="A176" t="inlineStr">
        <is>
          <t>c3m3_training</t>
        </is>
      </c>
      <c r="B176" t="inlineStr">
        <is>
          <t>2026-02-19 12:28:49.783</t>
        </is>
      </c>
      <c r="C176" t="n">
        <v/>
      </c>
      <c r="D176" t="inlineStr">
        <is>
          <t>Media file</t>
        </is>
      </c>
      <c r="E176" t="inlineStr">
        <is>
          <t>player #1:BTBR\training\c3m3.mp4</t>
        </is>
      </c>
      <c r="F176" t="n">
        <v>-11.7</v>
      </c>
      <c r="G176" t="n">
        <v>571.6319999999999</v>
      </c>
      <c r="H176" t="n">
        <v>615.533</v>
      </c>
      <c r="I176" t="n">
        <v>30</v>
      </c>
      <c r="J176" t="inlineStr">
        <is>
          <t>BTBR</t>
        </is>
      </c>
      <c r="K176" t="inlineStr">
        <is>
          <t>Male</t>
        </is>
      </c>
      <c r="L176" t="inlineStr">
        <is>
          <t>No focal subject</t>
        </is>
      </c>
      <c r="M176" t="n">
        <v>45.535</v>
      </c>
      <c r="N176" t="inlineStr">
        <is>
          <t>Explore_F2</t>
        </is>
      </c>
      <c r="O176" t="inlineStr">
        <is>
          <t>Second familiar</t>
        </is>
      </c>
      <c r="P176" t="inlineStr">
        <is>
          <t>STATE</t>
        </is>
      </c>
      <c r="Q176" t="n">
        <v>572.799</v>
      </c>
      <c r="R176" t="n">
        <v>573.399</v>
      </c>
      <c r="S176" t="n">
        <v>0.6</v>
      </c>
      <c r="T176" t="inlineStr">
        <is>
          <t>BTBR\training\c3m3.mp4</t>
        </is>
      </c>
      <c r="U176" t="n">
        <v>17531</v>
      </c>
      <c r="V176" t="n">
        <v>17549</v>
      </c>
      <c r="W176" t="n">
        <v/>
      </c>
      <c r="X176" t="n">
        <v/>
      </c>
      <c r="Y176" t="n">
        <v/>
      </c>
      <c r="Z176" t="n">
        <v/>
      </c>
      <c r="AA176">
        <f>SUMIFS($S$2:S176,$A$2:A176,A176,$N$2:N176,"Explore*")</f>
        <v/>
      </c>
      <c r="AB176">
        <f>IF(AND(LEFT(N176,7)="Explore",(AA176-IF(LEFT(N176,7)="Explore",S176,0))&lt;10),"SI","NO")</f>
        <v/>
      </c>
    </row>
    <row r="177">
      <c r="A177" t="inlineStr">
        <is>
          <t>c4f1_training</t>
        </is>
      </c>
      <c r="B177" t="inlineStr">
        <is>
          <t>2026-02-19 12:45:22.320</t>
        </is>
      </c>
      <c r="C177" t="n">
        <v/>
      </c>
      <c r="D177" t="inlineStr">
        <is>
          <t>Media file</t>
        </is>
      </c>
      <c r="E177" t="inlineStr">
        <is>
          <t>player #1:BTBR\training\c4f1.mp4</t>
        </is>
      </c>
      <c r="F177" t="n">
        <v>-25.567</v>
      </c>
      <c r="G177" t="n">
        <v>516.5</v>
      </c>
      <c r="H177" t="n">
        <v>655.633</v>
      </c>
      <c r="I177" t="n">
        <v>30</v>
      </c>
      <c r="J177" t="inlineStr">
        <is>
          <t>BTBR</t>
        </is>
      </c>
      <c r="K177" t="inlineStr">
        <is>
          <t xml:space="preserve"> Female</t>
        </is>
      </c>
      <c r="L177" t="inlineStr">
        <is>
          <t>No focal subject</t>
        </is>
      </c>
      <c r="M177" t="n">
        <v>36.134</v>
      </c>
      <c r="N177" t="inlineStr">
        <is>
          <t>Explore_F</t>
        </is>
      </c>
      <c r="O177" t="inlineStr">
        <is>
          <t>Familiar</t>
        </is>
      </c>
      <c r="P177" t="inlineStr">
        <is>
          <t>STATE</t>
        </is>
      </c>
      <c r="Q177" t="n">
        <v>7.966</v>
      </c>
      <c r="R177" t="n">
        <v>9.9</v>
      </c>
      <c r="S177" t="n">
        <v>1.934</v>
      </c>
      <c r="T177" t="inlineStr">
        <is>
          <t>BTBR\training\c4f1.mp4</t>
        </is>
      </c>
      <c r="U177" t="n">
        <v>239</v>
      </c>
      <c r="V177" t="n">
        <v>297</v>
      </c>
      <c r="W177" t="n">
        <v/>
      </c>
      <c r="X177" t="n">
        <v/>
      </c>
      <c r="Y177" t="n">
        <v/>
      </c>
      <c r="Z177" t="n">
        <v/>
      </c>
      <c r="AA177">
        <f>SUMIFS($S$2:S177,$A$2:A177,A177,$N$2:N177,"Explore*")</f>
        <v/>
      </c>
      <c r="AB177">
        <f>IF(AND(LEFT(N177,7)="Explore",(AA177-IF(LEFT(N177,7)="Explore",S177,0))&lt;10),"SI","NO")</f>
        <v/>
      </c>
    </row>
    <row r="178">
      <c r="A178" t="inlineStr">
        <is>
          <t>c4f1_training</t>
        </is>
      </c>
      <c r="B178" t="inlineStr">
        <is>
          <t>2026-02-19 12:45:22.320</t>
        </is>
      </c>
      <c r="C178" t="n">
        <v/>
      </c>
      <c r="D178" t="inlineStr">
        <is>
          <t>Media file</t>
        </is>
      </c>
      <c r="E178" t="inlineStr">
        <is>
          <t>player #1:BTBR\training\c4f1.mp4</t>
        </is>
      </c>
      <c r="F178" t="n">
        <v>-25.567</v>
      </c>
      <c r="G178" t="n">
        <v>516.5</v>
      </c>
      <c r="H178" t="n">
        <v>655.633</v>
      </c>
      <c r="I178" t="n">
        <v>30</v>
      </c>
      <c r="J178" t="inlineStr">
        <is>
          <t>BTBR</t>
        </is>
      </c>
      <c r="K178" t="inlineStr">
        <is>
          <t xml:space="preserve"> Female</t>
        </is>
      </c>
      <c r="L178" t="inlineStr">
        <is>
          <t>No focal subject</t>
        </is>
      </c>
      <c r="M178" t="n">
        <v>36.134</v>
      </c>
      <c r="N178" t="inlineStr">
        <is>
          <t>Explore_F2</t>
        </is>
      </c>
      <c r="O178" t="inlineStr">
        <is>
          <t>Second familiar</t>
        </is>
      </c>
      <c r="P178" t="inlineStr">
        <is>
          <t>STATE</t>
        </is>
      </c>
      <c r="Q178" t="n">
        <v>10.766</v>
      </c>
      <c r="R178" t="n">
        <v>11.533</v>
      </c>
      <c r="S178" t="n">
        <v>0.767</v>
      </c>
      <c r="T178" t="inlineStr">
        <is>
          <t>BTBR\training\c4f1.mp4</t>
        </is>
      </c>
      <c r="U178" t="n">
        <v>323</v>
      </c>
      <c r="V178" t="n">
        <v>347</v>
      </c>
      <c r="W178" t="n">
        <v/>
      </c>
      <c r="X178" t="n">
        <v/>
      </c>
      <c r="Y178" t="n">
        <v/>
      </c>
      <c r="Z178" t="n">
        <v/>
      </c>
      <c r="AA178">
        <f>SUMIFS($S$2:S178,$A$2:A178,A178,$N$2:N178,"Explore*")</f>
        <v/>
      </c>
      <c r="AB178">
        <f>IF(AND(LEFT(N178,7)="Explore",(AA178-IF(LEFT(N178,7)="Explore",S178,0))&lt;10),"SI","NO")</f>
        <v/>
      </c>
    </row>
    <row r="179">
      <c r="A179" t="inlineStr">
        <is>
          <t>c4f1_training</t>
        </is>
      </c>
      <c r="B179" t="inlineStr">
        <is>
          <t>2026-02-19 12:45:22.320</t>
        </is>
      </c>
      <c r="C179" t="n">
        <v/>
      </c>
      <c r="D179" t="inlineStr">
        <is>
          <t>Media file</t>
        </is>
      </c>
      <c r="E179" t="inlineStr">
        <is>
          <t>player #1:BTBR\training\c4f1.mp4</t>
        </is>
      </c>
      <c r="F179" t="n">
        <v>-25.567</v>
      </c>
      <c r="G179" t="n">
        <v>516.5</v>
      </c>
      <c r="H179" t="n">
        <v>655.633</v>
      </c>
      <c r="I179" t="n">
        <v>30</v>
      </c>
      <c r="J179" t="inlineStr">
        <is>
          <t>BTBR</t>
        </is>
      </c>
      <c r="K179" t="inlineStr">
        <is>
          <t xml:space="preserve"> Female</t>
        </is>
      </c>
      <c r="L179" t="inlineStr">
        <is>
          <t>No focal subject</t>
        </is>
      </c>
      <c r="M179" t="n">
        <v>36.134</v>
      </c>
      <c r="N179" t="inlineStr">
        <is>
          <t>Explore_F</t>
        </is>
      </c>
      <c r="O179" t="inlineStr">
        <is>
          <t>Familiar</t>
        </is>
      </c>
      <c r="P179" t="inlineStr">
        <is>
          <t>STATE</t>
        </is>
      </c>
      <c r="Q179" t="n">
        <v>15.5</v>
      </c>
      <c r="R179" t="n">
        <v>17.3</v>
      </c>
      <c r="S179" t="n">
        <v>1.8</v>
      </c>
      <c r="T179" t="inlineStr">
        <is>
          <t>BTBR\training\c4f1.mp4</t>
        </is>
      </c>
      <c r="U179" t="n">
        <v>466</v>
      </c>
      <c r="V179" t="n">
        <v>518</v>
      </c>
      <c r="W179" t="n">
        <v/>
      </c>
      <c r="X179" t="n">
        <v/>
      </c>
      <c r="Y179" t="n">
        <v/>
      </c>
      <c r="Z179" t="n">
        <v/>
      </c>
      <c r="AA179">
        <f>SUMIFS($S$2:S179,$A$2:A179,A179,$N$2:N179,"Explore*")</f>
        <v/>
      </c>
      <c r="AB179">
        <f>IF(AND(LEFT(N179,7)="Explore",(AA179-IF(LEFT(N179,7)="Explore",S179,0))&lt;10),"SI","NO")</f>
        <v/>
      </c>
    </row>
    <row r="180">
      <c r="A180" t="inlineStr">
        <is>
          <t>c4f1_training</t>
        </is>
      </c>
      <c r="B180" t="inlineStr">
        <is>
          <t>2026-02-19 12:45:22.320</t>
        </is>
      </c>
      <c r="C180" t="n">
        <v/>
      </c>
      <c r="D180" t="inlineStr">
        <is>
          <t>Media file</t>
        </is>
      </c>
      <c r="E180" t="inlineStr">
        <is>
          <t>player #1:BTBR\training\c4f1.mp4</t>
        </is>
      </c>
      <c r="F180" t="n">
        <v>-25.567</v>
      </c>
      <c r="G180" t="n">
        <v>516.5</v>
      </c>
      <c r="H180" t="n">
        <v>655.633</v>
      </c>
      <c r="I180" t="n">
        <v>30</v>
      </c>
      <c r="J180" t="inlineStr">
        <is>
          <t>BTBR</t>
        </is>
      </c>
      <c r="K180" t="inlineStr">
        <is>
          <t xml:space="preserve"> Female</t>
        </is>
      </c>
      <c r="L180" t="inlineStr">
        <is>
          <t>No focal subject</t>
        </is>
      </c>
      <c r="M180" t="n">
        <v>36.134</v>
      </c>
      <c r="N180" t="inlineStr">
        <is>
          <t>Explore_F2</t>
        </is>
      </c>
      <c r="O180" t="inlineStr">
        <is>
          <t>Second familiar</t>
        </is>
      </c>
      <c r="P180" t="inlineStr">
        <is>
          <t>STATE</t>
        </is>
      </c>
      <c r="Q180" t="n">
        <v>18.4</v>
      </c>
      <c r="R180" t="n">
        <v>18.7</v>
      </c>
      <c r="S180" t="n">
        <v>0.3</v>
      </c>
      <c r="T180" t="inlineStr">
        <is>
          <t>BTBR\training\c4f1.mp4</t>
        </is>
      </c>
      <c r="U180" t="n">
        <v>551</v>
      </c>
      <c r="V180" t="n">
        <v>560</v>
      </c>
      <c r="W180" t="n">
        <v/>
      </c>
      <c r="X180" t="n">
        <v/>
      </c>
      <c r="Y180" t="n">
        <v/>
      </c>
      <c r="Z180" t="n">
        <v/>
      </c>
      <c r="AA180">
        <f>SUMIFS($S$2:S180,$A$2:A180,A180,$N$2:N180,"Explore*")</f>
        <v/>
      </c>
      <c r="AB180">
        <f>IF(AND(LEFT(N180,7)="Explore",(AA180-IF(LEFT(N180,7)="Explore",S180,0))&lt;10),"SI","NO")</f>
        <v/>
      </c>
    </row>
    <row r="181">
      <c r="A181" t="inlineStr">
        <is>
          <t>c4f1_training</t>
        </is>
      </c>
      <c r="B181" t="inlineStr">
        <is>
          <t>2026-02-19 12:45:22.320</t>
        </is>
      </c>
      <c r="C181" t="n">
        <v/>
      </c>
      <c r="D181" t="inlineStr">
        <is>
          <t>Media file</t>
        </is>
      </c>
      <c r="E181" t="inlineStr">
        <is>
          <t>player #1:BTBR\training\c4f1.mp4</t>
        </is>
      </c>
      <c r="F181" t="n">
        <v>-25.567</v>
      </c>
      <c r="G181" t="n">
        <v>516.5</v>
      </c>
      <c r="H181" t="n">
        <v>655.633</v>
      </c>
      <c r="I181" t="n">
        <v>30</v>
      </c>
      <c r="J181" t="inlineStr">
        <is>
          <t>BTBR</t>
        </is>
      </c>
      <c r="K181" t="inlineStr">
        <is>
          <t xml:space="preserve"> Female</t>
        </is>
      </c>
      <c r="L181" t="inlineStr">
        <is>
          <t>No focal subject</t>
        </is>
      </c>
      <c r="M181" t="n">
        <v>36.134</v>
      </c>
      <c r="N181" t="inlineStr">
        <is>
          <t>Explore_F</t>
        </is>
      </c>
      <c r="O181" t="inlineStr">
        <is>
          <t>Familiar</t>
        </is>
      </c>
      <c r="P181" t="inlineStr">
        <is>
          <t>STATE</t>
        </is>
      </c>
      <c r="Q181" t="n">
        <v>22.866</v>
      </c>
      <c r="R181" t="n">
        <v>24.2</v>
      </c>
      <c r="S181" t="n">
        <v>1.334</v>
      </c>
      <c r="T181" t="inlineStr">
        <is>
          <t>BTBR\training\c4f1.mp4</t>
        </is>
      </c>
      <c r="U181" t="n">
        <v>685</v>
      </c>
      <c r="V181" t="n">
        <v>725</v>
      </c>
      <c r="W181" t="n">
        <v/>
      </c>
      <c r="X181" t="n">
        <v/>
      </c>
      <c r="Y181" t="n">
        <v/>
      </c>
      <c r="Z181" t="n">
        <v/>
      </c>
      <c r="AA181">
        <f>SUMIFS($S$2:S181,$A$2:A181,A181,$N$2:N181,"Explore*")</f>
        <v/>
      </c>
      <c r="AB181">
        <f>IF(AND(LEFT(N181,7)="Explore",(AA181-IF(LEFT(N181,7)="Explore",S181,0))&lt;10),"SI","NO")</f>
        <v/>
      </c>
    </row>
    <row r="182">
      <c r="A182" t="inlineStr">
        <is>
          <t>c4f1_training</t>
        </is>
      </c>
      <c r="B182" t="inlineStr">
        <is>
          <t>2026-02-19 12:45:22.320</t>
        </is>
      </c>
      <c r="C182" t="n">
        <v/>
      </c>
      <c r="D182" t="inlineStr">
        <is>
          <t>Media file</t>
        </is>
      </c>
      <c r="E182" t="inlineStr">
        <is>
          <t>player #1:BTBR\training\c4f1.mp4</t>
        </is>
      </c>
      <c r="F182" t="n">
        <v>-25.567</v>
      </c>
      <c r="G182" t="n">
        <v>516.5</v>
      </c>
      <c r="H182" t="n">
        <v>655.633</v>
      </c>
      <c r="I182" t="n">
        <v>30</v>
      </c>
      <c r="J182" t="inlineStr">
        <is>
          <t>BTBR</t>
        </is>
      </c>
      <c r="K182" t="inlineStr">
        <is>
          <t xml:space="preserve"> Female</t>
        </is>
      </c>
      <c r="L182" t="inlineStr">
        <is>
          <t>No focal subject</t>
        </is>
      </c>
      <c r="M182" t="n">
        <v>36.134</v>
      </c>
      <c r="N182" t="inlineStr">
        <is>
          <t>Explore_F2</t>
        </is>
      </c>
      <c r="O182" t="inlineStr">
        <is>
          <t>Second familiar</t>
        </is>
      </c>
      <c r="P182" t="inlineStr">
        <is>
          <t>STATE</t>
        </is>
      </c>
      <c r="Q182" t="n">
        <v>28.5</v>
      </c>
      <c r="R182" t="n">
        <v>30.133</v>
      </c>
      <c r="S182" t="n">
        <v>1.633</v>
      </c>
      <c r="T182" t="inlineStr">
        <is>
          <t>BTBR\training\c4f1.mp4</t>
        </is>
      </c>
      <c r="U182" t="n">
        <v>856</v>
      </c>
      <c r="V182" t="n">
        <v>903</v>
      </c>
      <c r="W182" t="n">
        <v/>
      </c>
      <c r="X182" t="n">
        <v/>
      </c>
      <c r="Y182" t="n">
        <v/>
      </c>
      <c r="Z182" t="n">
        <v/>
      </c>
      <c r="AA182">
        <f>SUMIFS($S$2:S182,$A$2:A182,A182,$N$2:N182,"Explore*")</f>
        <v/>
      </c>
      <c r="AB182">
        <f>IF(AND(LEFT(N182,7)="Explore",(AA182-IF(LEFT(N182,7)="Explore",S182,0))&lt;10),"SI","NO")</f>
        <v/>
      </c>
    </row>
    <row r="183">
      <c r="A183" t="inlineStr">
        <is>
          <t>c4f1_training</t>
        </is>
      </c>
      <c r="B183" t="inlineStr">
        <is>
          <t>2026-02-19 12:45:22.320</t>
        </is>
      </c>
      <c r="C183" t="n">
        <v/>
      </c>
      <c r="D183" t="inlineStr">
        <is>
          <t>Media file</t>
        </is>
      </c>
      <c r="E183" t="inlineStr">
        <is>
          <t>player #1:BTBR\training\c4f1.mp4</t>
        </is>
      </c>
      <c r="F183" t="n">
        <v>-25.567</v>
      </c>
      <c r="G183" t="n">
        <v>516.5</v>
      </c>
      <c r="H183" t="n">
        <v>655.633</v>
      </c>
      <c r="I183" t="n">
        <v>30</v>
      </c>
      <c r="J183" t="inlineStr">
        <is>
          <t>BTBR</t>
        </is>
      </c>
      <c r="K183" t="inlineStr">
        <is>
          <t xml:space="preserve"> Female</t>
        </is>
      </c>
      <c r="L183" t="inlineStr">
        <is>
          <t>No focal subject</t>
        </is>
      </c>
      <c r="M183" t="n">
        <v>36.134</v>
      </c>
      <c r="N183" t="inlineStr">
        <is>
          <t>Explore_F</t>
        </is>
      </c>
      <c r="O183" t="inlineStr">
        <is>
          <t>Familiar</t>
        </is>
      </c>
      <c r="P183" t="inlineStr">
        <is>
          <t>STATE</t>
        </is>
      </c>
      <c r="Q183" t="n">
        <v>31.1</v>
      </c>
      <c r="R183" t="n">
        <v>32.5</v>
      </c>
      <c r="S183" t="n">
        <v>1.4</v>
      </c>
      <c r="T183" t="inlineStr">
        <is>
          <t>BTBR\training\c4f1.mp4</t>
        </is>
      </c>
      <c r="U183" t="n">
        <v>932</v>
      </c>
      <c r="V183" t="n">
        <v>976</v>
      </c>
      <c r="W183" t="n">
        <v/>
      </c>
      <c r="X183" t="n">
        <v/>
      </c>
      <c r="Y183" t="n">
        <v/>
      </c>
      <c r="Z183" t="n">
        <v/>
      </c>
      <c r="AA183">
        <f>SUMIFS($S$2:S183,$A$2:A183,A183,$N$2:N183,"Explore*")</f>
        <v/>
      </c>
      <c r="AB183">
        <f>IF(AND(LEFT(N183,7)="Explore",(AA183-IF(LEFT(N183,7)="Explore",S183,0))&lt;10),"SI","NO")</f>
        <v/>
      </c>
    </row>
    <row r="184">
      <c r="A184" t="inlineStr">
        <is>
          <t>c4f1_training</t>
        </is>
      </c>
      <c r="B184" t="inlineStr">
        <is>
          <t>2026-02-19 12:45:22.320</t>
        </is>
      </c>
      <c r="C184" t="n">
        <v/>
      </c>
      <c r="D184" t="inlineStr">
        <is>
          <t>Media file</t>
        </is>
      </c>
      <c r="E184" t="inlineStr">
        <is>
          <t>player #1:BTBR\training\c4f1.mp4</t>
        </is>
      </c>
      <c r="F184" t="n">
        <v>-25.567</v>
      </c>
      <c r="G184" t="n">
        <v>516.5</v>
      </c>
      <c r="H184" t="n">
        <v>655.633</v>
      </c>
      <c r="I184" t="n">
        <v>30</v>
      </c>
      <c r="J184" t="inlineStr">
        <is>
          <t>BTBR</t>
        </is>
      </c>
      <c r="K184" t="inlineStr">
        <is>
          <t xml:space="preserve"> Female</t>
        </is>
      </c>
      <c r="L184" t="inlineStr">
        <is>
          <t>No focal subject</t>
        </is>
      </c>
      <c r="M184" t="n">
        <v>36.134</v>
      </c>
      <c r="N184" t="inlineStr">
        <is>
          <t>Explore_F2</t>
        </is>
      </c>
      <c r="O184" t="inlineStr">
        <is>
          <t>Second familiar</t>
        </is>
      </c>
      <c r="P184" t="inlineStr">
        <is>
          <t>STATE</t>
        </is>
      </c>
      <c r="Q184" t="n">
        <v>36.7</v>
      </c>
      <c r="R184" t="n">
        <v>37.2</v>
      </c>
      <c r="S184" t="n">
        <v>0.5</v>
      </c>
      <c r="T184" t="inlineStr">
        <is>
          <t>BTBR\training\c4f1.mp4</t>
        </is>
      </c>
      <c r="U184" t="n">
        <v>1100</v>
      </c>
      <c r="V184" t="n">
        <v>1114</v>
      </c>
      <c r="W184" t="n">
        <v/>
      </c>
      <c r="X184" t="n">
        <v/>
      </c>
      <c r="Y184" t="n">
        <v/>
      </c>
      <c r="Z184" t="n">
        <v/>
      </c>
      <c r="AA184">
        <f>SUMIFS($S$2:S184,$A$2:A184,A184,$N$2:N184,"Explore*")</f>
        <v/>
      </c>
      <c r="AB184">
        <f>IF(AND(LEFT(N184,7)="Explore",(AA184-IF(LEFT(N184,7)="Explore",S184,0))&lt;10),"SI","NO")</f>
        <v/>
      </c>
    </row>
    <row r="185">
      <c r="A185" t="inlineStr">
        <is>
          <t>c4f1_training</t>
        </is>
      </c>
      <c r="B185" t="inlineStr">
        <is>
          <t>2026-02-19 12:45:22.320</t>
        </is>
      </c>
      <c r="C185" t="n">
        <v/>
      </c>
      <c r="D185" t="inlineStr">
        <is>
          <t>Media file</t>
        </is>
      </c>
      <c r="E185" t="inlineStr">
        <is>
          <t>player #1:BTBR\training\c4f1.mp4</t>
        </is>
      </c>
      <c r="F185" t="n">
        <v>-25.567</v>
      </c>
      <c r="G185" t="n">
        <v>516.5</v>
      </c>
      <c r="H185" t="n">
        <v>655.633</v>
      </c>
      <c r="I185" t="n">
        <v>30</v>
      </c>
      <c r="J185" t="inlineStr">
        <is>
          <t>BTBR</t>
        </is>
      </c>
      <c r="K185" t="inlineStr">
        <is>
          <t xml:space="preserve"> Female</t>
        </is>
      </c>
      <c r="L185" t="inlineStr">
        <is>
          <t>No focal subject</t>
        </is>
      </c>
      <c r="M185" t="n">
        <v>36.134</v>
      </c>
      <c r="N185" t="inlineStr">
        <is>
          <t>Explore_F</t>
        </is>
      </c>
      <c r="O185" t="inlineStr">
        <is>
          <t>Familiar</t>
        </is>
      </c>
      <c r="P185" t="inlineStr">
        <is>
          <t>STATE</t>
        </is>
      </c>
      <c r="Q185" t="n">
        <v>41.166</v>
      </c>
      <c r="R185" t="n">
        <v>41.466</v>
      </c>
      <c r="S185" t="n">
        <v>0.3</v>
      </c>
      <c r="T185" t="inlineStr">
        <is>
          <t>BTBR\training\c4f1.mp4</t>
        </is>
      </c>
      <c r="U185" t="n">
        <v>1233</v>
      </c>
      <c r="V185" t="n">
        <v>1242</v>
      </c>
      <c r="W185" t="n">
        <v/>
      </c>
      <c r="X185" t="n">
        <v/>
      </c>
      <c r="Y185" t="n">
        <v/>
      </c>
      <c r="Z185" t="n">
        <v/>
      </c>
      <c r="AA185">
        <f>SUMIFS($S$2:S185,$A$2:A185,A185,$N$2:N185,"Explore*")</f>
        <v/>
      </c>
      <c r="AB185">
        <f>IF(AND(LEFT(N185,7)="Explore",(AA185-IF(LEFT(N185,7)="Explore",S185,0))&lt;10),"SI","NO")</f>
        <v/>
      </c>
    </row>
    <row r="186">
      <c r="A186" t="inlineStr">
        <is>
          <t>c4f1_training</t>
        </is>
      </c>
      <c r="B186" t="inlineStr">
        <is>
          <t>2026-02-19 12:45:22.320</t>
        </is>
      </c>
      <c r="C186" t="n">
        <v/>
      </c>
      <c r="D186" t="inlineStr">
        <is>
          <t>Media file</t>
        </is>
      </c>
      <c r="E186" t="inlineStr">
        <is>
          <t>player #1:BTBR\training\c4f1.mp4</t>
        </is>
      </c>
      <c r="F186" t="n">
        <v>-25.567</v>
      </c>
      <c r="G186" t="n">
        <v>516.5</v>
      </c>
      <c r="H186" t="n">
        <v>655.633</v>
      </c>
      <c r="I186" t="n">
        <v>30</v>
      </c>
      <c r="J186" t="inlineStr">
        <is>
          <t>BTBR</t>
        </is>
      </c>
      <c r="K186" t="inlineStr">
        <is>
          <t xml:space="preserve"> Female</t>
        </is>
      </c>
      <c r="L186" t="inlineStr">
        <is>
          <t>No focal subject</t>
        </is>
      </c>
      <c r="M186" t="n">
        <v>36.134</v>
      </c>
      <c r="N186" t="inlineStr">
        <is>
          <t>Explore_F</t>
        </is>
      </c>
      <c r="O186" t="inlineStr">
        <is>
          <t>Familiar</t>
        </is>
      </c>
      <c r="P186" t="inlineStr">
        <is>
          <t>STATE</t>
        </is>
      </c>
      <c r="Q186" t="n">
        <v>43.1</v>
      </c>
      <c r="R186" t="n">
        <v>44.066</v>
      </c>
      <c r="S186" t="n">
        <v>0.966</v>
      </c>
      <c r="T186" t="inlineStr">
        <is>
          <t>BTBR\training\c4f1.mp4</t>
        </is>
      </c>
      <c r="U186" t="n">
        <v>1291</v>
      </c>
      <c r="V186" t="n">
        <v>1320</v>
      </c>
      <c r="W186" t="n">
        <v/>
      </c>
      <c r="X186" t="n">
        <v/>
      </c>
      <c r="Y186" t="n">
        <v/>
      </c>
      <c r="Z186" t="n">
        <v/>
      </c>
      <c r="AA186">
        <f>SUMIFS($S$2:S186,$A$2:A186,A186,$N$2:N186,"Explore*")</f>
        <v/>
      </c>
      <c r="AB186">
        <f>IF(AND(LEFT(N186,7)="Explore",(AA186-IF(LEFT(N186,7)="Explore",S186,0))&lt;10),"SI","NO")</f>
        <v/>
      </c>
    </row>
    <row r="187">
      <c r="A187" t="inlineStr">
        <is>
          <t>c4f1_training</t>
        </is>
      </c>
      <c r="B187" t="inlineStr">
        <is>
          <t>2026-02-19 12:45:22.320</t>
        </is>
      </c>
      <c r="C187" t="n">
        <v/>
      </c>
      <c r="D187" t="inlineStr">
        <is>
          <t>Media file</t>
        </is>
      </c>
      <c r="E187" t="inlineStr">
        <is>
          <t>player #1:BTBR\training\c4f1.mp4</t>
        </is>
      </c>
      <c r="F187" t="n">
        <v>-25.567</v>
      </c>
      <c r="G187" t="n">
        <v>516.5</v>
      </c>
      <c r="H187" t="n">
        <v>655.633</v>
      </c>
      <c r="I187" t="n">
        <v>30</v>
      </c>
      <c r="J187" t="inlineStr">
        <is>
          <t>BTBR</t>
        </is>
      </c>
      <c r="K187" t="inlineStr">
        <is>
          <t xml:space="preserve"> Female</t>
        </is>
      </c>
      <c r="L187" t="inlineStr">
        <is>
          <t>No focal subject</t>
        </is>
      </c>
      <c r="M187" t="n">
        <v>36.134</v>
      </c>
      <c r="N187" t="inlineStr">
        <is>
          <t>Explore_F2</t>
        </is>
      </c>
      <c r="O187" t="inlineStr">
        <is>
          <t>Second familiar</t>
        </is>
      </c>
      <c r="P187" t="inlineStr">
        <is>
          <t>STATE</t>
        </is>
      </c>
      <c r="Q187" t="n">
        <v>51.133</v>
      </c>
      <c r="R187" t="n">
        <v>51.633</v>
      </c>
      <c r="S187" t="n">
        <v>0.5</v>
      </c>
      <c r="T187" t="inlineStr">
        <is>
          <t>BTBR\training\c4f1.mp4</t>
        </is>
      </c>
      <c r="U187" t="n">
        <v>1532</v>
      </c>
      <c r="V187" t="n">
        <v>1547</v>
      </c>
      <c r="W187" t="n">
        <v/>
      </c>
      <c r="X187" t="n">
        <v/>
      </c>
      <c r="Y187" t="n">
        <v/>
      </c>
      <c r="Z187" t="n">
        <v/>
      </c>
      <c r="AA187">
        <f>SUMIFS($S$2:S187,$A$2:A187,A187,$N$2:N187,"Explore*")</f>
        <v/>
      </c>
      <c r="AB187">
        <f>IF(AND(LEFT(N187,7)="Explore",(AA187-IF(LEFT(N187,7)="Explore",S187,0))&lt;10),"SI","NO")</f>
        <v/>
      </c>
    </row>
    <row r="188">
      <c r="A188" t="inlineStr">
        <is>
          <t>c4f1_training</t>
        </is>
      </c>
      <c r="B188" t="inlineStr">
        <is>
          <t>2026-02-19 12:45:22.320</t>
        </is>
      </c>
      <c r="C188" t="n">
        <v/>
      </c>
      <c r="D188" t="inlineStr">
        <is>
          <t>Media file</t>
        </is>
      </c>
      <c r="E188" t="inlineStr">
        <is>
          <t>player #1:BTBR\training\c4f1.mp4</t>
        </is>
      </c>
      <c r="F188" t="n">
        <v>-25.567</v>
      </c>
      <c r="G188" t="n">
        <v>516.5</v>
      </c>
      <c r="H188" t="n">
        <v>655.633</v>
      </c>
      <c r="I188" t="n">
        <v>30</v>
      </c>
      <c r="J188" t="inlineStr">
        <is>
          <t>BTBR</t>
        </is>
      </c>
      <c r="K188" t="inlineStr">
        <is>
          <t xml:space="preserve"> Female</t>
        </is>
      </c>
      <c r="L188" t="inlineStr">
        <is>
          <t>No focal subject</t>
        </is>
      </c>
      <c r="M188" t="n">
        <v>36.134</v>
      </c>
      <c r="N188" t="inlineStr">
        <is>
          <t>Explore_F2</t>
        </is>
      </c>
      <c r="O188" t="inlineStr">
        <is>
          <t>Second familiar</t>
        </is>
      </c>
      <c r="P188" t="inlineStr">
        <is>
          <t>STATE</t>
        </is>
      </c>
      <c r="Q188" t="n">
        <v>52.4</v>
      </c>
      <c r="R188" t="n">
        <v>53.466</v>
      </c>
      <c r="S188" t="n">
        <v>1.066</v>
      </c>
      <c r="T188" t="inlineStr">
        <is>
          <t>BTBR\training\c4f1.mp4</t>
        </is>
      </c>
      <c r="U188" t="n">
        <v>1570</v>
      </c>
      <c r="V188" t="n">
        <v>1602</v>
      </c>
      <c r="W188" t="n">
        <v/>
      </c>
      <c r="X188" t="n">
        <v/>
      </c>
      <c r="Y188" t="n">
        <v/>
      </c>
      <c r="Z188" t="n">
        <v/>
      </c>
      <c r="AA188">
        <f>SUMIFS($S$2:S188,$A$2:A188,A188,$N$2:N188,"Explore*")</f>
        <v/>
      </c>
      <c r="AB188">
        <f>IF(AND(LEFT(N188,7)="Explore",(AA188-IF(LEFT(N188,7)="Explore",S188,0))&lt;10),"SI","NO")</f>
        <v/>
      </c>
    </row>
    <row r="189">
      <c r="A189" t="inlineStr">
        <is>
          <t>c4f1_training</t>
        </is>
      </c>
      <c r="B189" t="inlineStr">
        <is>
          <t>2026-02-19 12:45:22.320</t>
        </is>
      </c>
      <c r="C189" t="n">
        <v/>
      </c>
      <c r="D189" t="inlineStr">
        <is>
          <t>Media file</t>
        </is>
      </c>
      <c r="E189" t="inlineStr">
        <is>
          <t>player #1:BTBR\training\c4f1.mp4</t>
        </is>
      </c>
      <c r="F189" t="n">
        <v>-25.567</v>
      </c>
      <c r="G189" t="n">
        <v>516.5</v>
      </c>
      <c r="H189" t="n">
        <v>655.633</v>
      </c>
      <c r="I189" t="n">
        <v>30</v>
      </c>
      <c r="J189" t="inlineStr">
        <is>
          <t>BTBR</t>
        </is>
      </c>
      <c r="K189" t="inlineStr">
        <is>
          <t xml:space="preserve"> Female</t>
        </is>
      </c>
      <c r="L189" t="inlineStr">
        <is>
          <t>No focal subject</t>
        </is>
      </c>
      <c r="M189" t="n">
        <v>36.134</v>
      </c>
      <c r="N189" t="inlineStr">
        <is>
          <t>Explore_F</t>
        </is>
      </c>
      <c r="O189" t="inlineStr">
        <is>
          <t>Familiar</t>
        </is>
      </c>
      <c r="P189" t="inlineStr">
        <is>
          <t>STATE</t>
        </is>
      </c>
      <c r="Q189" t="n">
        <v>57.233</v>
      </c>
      <c r="R189" t="n">
        <v>57.6</v>
      </c>
      <c r="S189" t="n">
        <v>0.367</v>
      </c>
      <c r="T189" t="inlineStr">
        <is>
          <t>BTBR\training\c4f1.mp4</t>
        </is>
      </c>
      <c r="U189" t="n">
        <v>1715</v>
      </c>
      <c r="V189" t="n">
        <v>1726</v>
      </c>
      <c r="W189" t="n">
        <v/>
      </c>
      <c r="X189" t="n">
        <v/>
      </c>
      <c r="Y189" t="n">
        <v/>
      </c>
      <c r="Z189" t="n">
        <v/>
      </c>
      <c r="AA189">
        <f>SUMIFS($S$2:S189,$A$2:A189,A189,$N$2:N189,"Explore*")</f>
        <v/>
      </c>
      <c r="AB189">
        <f>IF(AND(LEFT(N189,7)="Explore",(AA189-IF(LEFT(N189,7)="Explore",S189,0))&lt;10),"SI","NO")</f>
        <v/>
      </c>
    </row>
    <row r="190">
      <c r="A190" t="inlineStr">
        <is>
          <t>c4f1_training</t>
        </is>
      </c>
      <c r="B190" t="inlineStr">
        <is>
          <t>2026-02-19 12:45:22.320</t>
        </is>
      </c>
      <c r="C190" t="n">
        <v/>
      </c>
      <c r="D190" t="inlineStr">
        <is>
          <t>Media file</t>
        </is>
      </c>
      <c r="E190" t="inlineStr">
        <is>
          <t>player #1:BTBR\training\c4f1.mp4</t>
        </is>
      </c>
      <c r="F190" t="n">
        <v>-25.567</v>
      </c>
      <c r="G190" t="n">
        <v>516.5</v>
      </c>
      <c r="H190" t="n">
        <v>655.633</v>
      </c>
      <c r="I190" t="n">
        <v>30</v>
      </c>
      <c r="J190" t="inlineStr">
        <is>
          <t>BTBR</t>
        </is>
      </c>
      <c r="K190" t="inlineStr">
        <is>
          <t xml:space="preserve"> Female</t>
        </is>
      </c>
      <c r="L190" t="inlineStr">
        <is>
          <t>No focal subject</t>
        </is>
      </c>
      <c r="M190" t="n">
        <v>36.134</v>
      </c>
      <c r="N190" t="inlineStr">
        <is>
          <t>Explore_F</t>
        </is>
      </c>
      <c r="O190" t="inlineStr">
        <is>
          <t>Familiar</t>
        </is>
      </c>
      <c r="P190" t="inlineStr">
        <is>
          <t>STATE</t>
        </is>
      </c>
      <c r="Q190" t="n">
        <v>58.566</v>
      </c>
      <c r="R190" t="n">
        <v>59.2</v>
      </c>
      <c r="S190" t="n">
        <v>0.634</v>
      </c>
      <c r="T190" t="inlineStr">
        <is>
          <t>BTBR\training\c4f1.mp4</t>
        </is>
      </c>
      <c r="U190" t="n">
        <v>1755</v>
      </c>
      <c r="V190" t="n">
        <v>1774</v>
      </c>
      <c r="W190" t="n">
        <v/>
      </c>
      <c r="X190" t="n">
        <v/>
      </c>
      <c r="Y190" t="n">
        <v/>
      </c>
      <c r="Z190" t="n">
        <v/>
      </c>
      <c r="AA190">
        <f>SUMIFS($S$2:S190,$A$2:A190,A190,$N$2:N190,"Explore*")</f>
        <v/>
      </c>
      <c r="AB190">
        <f>IF(AND(LEFT(N190,7)="Explore",(AA190-IF(LEFT(N190,7)="Explore",S190,0))&lt;10),"SI","NO")</f>
        <v/>
      </c>
    </row>
    <row r="191">
      <c r="A191" t="inlineStr">
        <is>
          <t>c4f1_training</t>
        </is>
      </c>
      <c r="B191" t="inlineStr">
        <is>
          <t>2026-02-19 12:45:22.320</t>
        </is>
      </c>
      <c r="C191" t="n">
        <v/>
      </c>
      <c r="D191" t="inlineStr">
        <is>
          <t>Media file</t>
        </is>
      </c>
      <c r="E191" t="inlineStr">
        <is>
          <t>player #1:BTBR\training\c4f1.mp4</t>
        </is>
      </c>
      <c r="F191" t="n">
        <v>-25.567</v>
      </c>
      <c r="G191" t="n">
        <v>516.5</v>
      </c>
      <c r="H191" t="n">
        <v>655.633</v>
      </c>
      <c r="I191" t="n">
        <v>30</v>
      </c>
      <c r="J191" t="inlineStr">
        <is>
          <t>BTBR</t>
        </is>
      </c>
      <c r="K191" t="inlineStr">
        <is>
          <t xml:space="preserve"> Female</t>
        </is>
      </c>
      <c r="L191" t="inlineStr">
        <is>
          <t>No focal subject</t>
        </is>
      </c>
      <c r="M191" t="n">
        <v>36.134</v>
      </c>
      <c r="N191" t="inlineStr">
        <is>
          <t>Explore_F2</t>
        </is>
      </c>
      <c r="O191" t="inlineStr">
        <is>
          <t>Second familiar</t>
        </is>
      </c>
      <c r="P191" t="inlineStr">
        <is>
          <t>STATE</t>
        </is>
      </c>
      <c r="Q191" t="n">
        <v>59.833</v>
      </c>
      <c r="R191" t="n">
        <v>61.2</v>
      </c>
      <c r="S191" t="n">
        <v>1.367</v>
      </c>
      <c r="T191" t="inlineStr">
        <is>
          <t>BTBR\training\c4f1.mp4</t>
        </is>
      </c>
      <c r="U191" t="n">
        <v>1793</v>
      </c>
      <c r="V191" t="n">
        <v>1834</v>
      </c>
      <c r="W191" t="n">
        <v/>
      </c>
      <c r="X191" t="n">
        <v/>
      </c>
      <c r="Y191" t="n">
        <v/>
      </c>
      <c r="Z191" t="n">
        <v/>
      </c>
      <c r="AA191">
        <f>SUMIFS($S$2:S191,$A$2:A191,A191,$N$2:N191,"Explore*")</f>
        <v/>
      </c>
      <c r="AB191">
        <f>IF(AND(LEFT(N191,7)="Explore",(AA191-IF(LEFT(N191,7)="Explore",S191,0))&lt;10),"SI","NO")</f>
        <v/>
      </c>
    </row>
    <row r="192">
      <c r="A192" t="inlineStr">
        <is>
          <t>c4f1_training</t>
        </is>
      </c>
      <c r="B192" t="inlineStr">
        <is>
          <t>2026-02-19 12:45:22.320</t>
        </is>
      </c>
      <c r="C192" t="n">
        <v/>
      </c>
      <c r="D192" t="inlineStr">
        <is>
          <t>Media file</t>
        </is>
      </c>
      <c r="E192" t="inlineStr">
        <is>
          <t>player #1:BTBR\training\c4f1.mp4</t>
        </is>
      </c>
      <c r="F192" t="n">
        <v>-25.567</v>
      </c>
      <c r="G192" t="n">
        <v>516.5</v>
      </c>
      <c r="H192" t="n">
        <v>655.633</v>
      </c>
      <c r="I192" t="n">
        <v>30</v>
      </c>
      <c r="J192" t="inlineStr">
        <is>
          <t>BTBR</t>
        </is>
      </c>
      <c r="K192" t="inlineStr">
        <is>
          <t xml:space="preserve"> Female</t>
        </is>
      </c>
      <c r="L192" t="inlineStr">
        <is>
          <t>No focal subject</t>
        </is>
      </c>
      <c r="M192" t="n">
        <v>36.134</v>
      </c>
      <c r="N192" t="inlineStr">
        <is>
          <t>Explore_F</t>
        </is>
      </c>
      <c r="O192" t="inlineStr">
        <is>
          <t>Familiar</t>
        </is>
      </c>
      <c r="P192" t="inlineStr">
        <is>
          <t>STATE</t>
        </is>
      </c>
      <c r="Q192" t="n">
        <v>73.166</v>
      </c>
      <c r="R192" t="n">
        <v>73.666</v>
      </c>
      <c r="S192" t="n">
        <v>0.5</v>
      </c>
      <c r="T192" t="inlineStr">
        <is>
          <t>BTBR\training\c4f1.mp4</t>
        </is>
      </c>
      <c r="U192" t="n">
        <v>2192</v>
      </c>
      <c r="V192" t="n">
        <v>2207</v>
      </c>
      <c r="W192" t="n">
        <v/>
      </c>
      <c r="X192" t="n">
        <v/>
      </c>
      <c r="Y192" t="n">
        <v/>
      </c>
      <c r="Z192" t="n">
        <v/>
      </c>
      <c r="AA192">
        <f>SUMIFS($S$2:S192,$A$2:A192,A192,$N$2:N192,"Explore*")</f>
        <v/>
      </c>
      <c r="AB192">
        <f>IF(AND(LEFT(N192,7)="Explore",(AA192-IF(LEFT(N192,7)="Explore",S192,0))&lt;10),"SI","NO")</f>
        <v/>
      </c>
    </row>
    <row r="193">
      <c r="A193" t="inlineStr">
        <is>
          <t>c4f1_training</t>
        </is>
      </c>
      <c r="B193" t="inlineStr">
        <is>
          <t>2026-02-19 12:45:22.320</t>
        </is>
      </c>
      <c r="C193" t="n">
        <v/>
      </c>
      <c r="D193" t="inlineStr">
        <is>
          <t>Media file</t>
        </is>
      </c>
      <c r="E193" t="inlineStr">
        <is>
          <t>player #1:BTBR\training\c4f1.mp4</t>
        </is>
      </c>
      <c r="F193" t="n">
        <v>-25.567</v>
      </c>
      <c r="G193" t="n">
        <v>516.5</v>
      </c>
      <c r="H193" t="n">
        <v>655.633</v>
      </c>
      <c r="I193" t="n">
        <v>30</v>
      </c>
      <c r="J193" t="inlineStr">
        <is>
          <t>BTBR</t>
        </is>
      </c>
      <c r="K193" t="inlineStr">
        <is>
          <t xml:space="preserve"> Female</t>
        </is>
      </c>
      <c r="L193" t="inlineStr">
        <is>
          <t>No focal subject</t>
        </is>
      </c>
      <c r="M193" t="n">
        <v>36.134</v>
      </c>
      <c r="N193" t="inlineStr">
        <is>
          <t>Explore_F2</t>
        </is>
      </c>
      <c r="O193" t="inlineStr">
        <is>
          <t>Second familiar</t>
        </is>
      </c>
      <c r="P193" t="inlineStr">
        <is>
          <t>STATE</t>
        </is>
      </c>
      <c r="Q193" t="n">
        <v>75.866</v>
      </c>
      <c r="R193" t="n">
        <v>76.40000000000001</v>
      </c>
      <c r="S193" t="n">
        <v>0.534</v>
      </c>
      <c r="T193" t="inlineStr">
        <is>
          <t>BTBR\training\c4f1.mp4</t>
        </is>
      </c>
      <c r="U193" t="n">
        <v>2273</v>
      </c>
      <c r="V193" t="n">
        <v>2289</v>
      </c>
      <c r="W193" t="n">
        <v/>
      </c>
      <c r="X193" t="n">
        <v/>
      </c>
      <c r="Y193" t="n">
        <v/>
      </c>
      <c r="Z193" t="n">
        <v/>
      </c>
      <c r="AA193">
        <f>SUMIFS($S$2:S193,$A$2:A193,A193,$N$2:N193,"Explore*")</f>
        <v/>
      </c>
      <c r="AB193">
        <f>IF(AND(LEFT(N193,7)="Explore",(AA193-IF(LEFT(N193,7)="Explore",S193,0))&lt;10),"SI","NO")</f>
        <v/>
      </c>
    </row>
    <row r="194">
      <c r="A194" t="inlineStr">
        <is>
          <t>c4f1_training</t>
        </is>
      </c>
      <c r="B194" t="inlineStr">
        <is>
          <t>2026-02-19 12:45:22.320</t>
        </is>
      </c>
      <c r="C194" t="n">
        <v/>
      </c>
      <c r="D194" t="inlineStr">
        <is>
          <t>Media file</t>
        </is>
      </c>
      <c r="E194" t="inlineStr">
        <is>
          <t>player #1:BTBR\training\c4f1.mp4</t>
        </is>
      </c>
      <c r="F194" t="n">
        <v>-25.567</v>
      </c>
      <c r="G194" t="n">
        <v>516.5</v>
      </c>
      <c r="H194" t="n">
        <v>655.633</v>
      </c>
      <c r="I194" t="n">
        <v>30</v>
      </c>
      <c r="J194" t="inlineStr">
        <is>
          <t>BTBR</t>
        </is>
      </c>
      <c r="K194" t="inlineStr">
        <is>
          <t xml:space="preserve"> Female</t>
        </is>
      </c>
      <c r="L194" t="inlineStr">
        <is>
          <t>No focal subject</t>
        </is>
      </c>
      <c r="M194" t="n">
        <v>36.134</v>
      </c>
      <c r="N194" t="inlineStr">
        <is>
          <t>Explore_F</t>
        </is>
      </c>
      <c r="O194" t="inlineStr">
        <is>
          <t>Familiar</t>
        </is>
      </c>
      <c r="P194" t="inlineStr">
        <is>
          <t>STATE</t>
        </is>
      </c>
      <c r="Q194" t="n">
        <v>80.633</v>
      </c>
      <c r="R194" t="n">
        <v>80.93300000000001</v>
      </c>
      <c r="S194" t="n">
        <v>0.3</v>
      </c>
      <c r="T194" t="inlineStr">
        <is>
          <t>BTBR\training\c4f1.mp4</t>
        </is>
      </c>
      <c r="U194" t="n">
        <v>2416</v>
      </c>
      <c r="V194" t="n">
        <v>2425</v>
      </c>
      <c r="W194" t="n">
        <v/>
      </c>
      <c r="X194" t="n">
        <v/>
      </c>
      <c r="Y194" t="n">
        <v/>
      </c>
      <c r="Z194" t="n">
        <v/>
      </c>
      <c r="AA194">
        <f>SUMIFS($S$2:S194,$A$2:A194,A194,$N$2:N194,"Explore*")</f>
        <v/>
      </c>
      <c r="AB194">
        <f>IF(AND(LEFT(N194,7)="Explore",(AA194-IF(LEFT(N194,7)="Explore",S194,0))&lt;10),"SI","NO")</f>
        <v/>
      </c>
    </row>
    <row r="195">
      <c r="A195" t="inlineStr">
        <is>
          <t>c4f1_training</t>
        </is>
      </c>
      <c r="B195" t="inlineStr">
        <is>
          <t>2026-02-19 12:45:22.320</t>
        </is>
      </c>
      <c r="C195" t="n">
        <v/>
      </c>
      <c r="D195" t="inlineStr">
        <is>
          <t>Media file</t>
        </is>
      </c>
      <c r="E195" t="inlineStr">
        <is>
          <t>player #1:BTBR\training\c4f1.mp4</t>
        </is>
      </c>
      <c r="F195" t="n">
        <v>-25.567</v>
      </c>
      <c r="G195" t="n">
        <v>516.5</v>
      </c>
      <c r="H195" t="n">
        <v>655.633</v>
      </c>
      <c r="I195" t="n">
        <v>30</v>
      </c>
      <c r="J195" t="inlineStr">
        <is>
          <t>BTBR</t>
        </is>
      </c>
      <c r="K195" t="inlineStr">
        <is>
          <t xml:space="preserve"> Female</t>
        </is>
      </c>
      <c r="L195" t="inlineStr">
        <is>
          <t>No focal subject</t>
        </is>
      </c>
      <c r="M195" t="n">
        <v>36.134</v>
      </c>
      <c r="N195" t="inlineStr">
        <is>
          <t>Explore_F</t>
        </is>
      </c>
      <c r="O195" t="inlineStr">
        <is>
          <t>Familiar</t>
        </is>
      </c>
      <c r="P195" t="inlineStr">
        <is>
          <t>STATE</t>
        </is>
      </c>
      <c r="Q195" t="n">
        <v>105.8</v>
      </c>
      <c r="R195" t="n">
        <v>106.033</v>
      </c>
      <c r="S195" t="n">
        <v>0.233</v>
      </c>
      <c r="T195" t="inlineStr">
        <is>
          <t>BTBR\training\c4f1.mp4</t>
        </is>
      </c>
      <c r="U195" t="n">
        <v>3170</v>
      </c>
      <c r="V195" t="n">
        <v>3178</v>
      </c>
      <c r="W195" t="n">
        <v/>
      </c>
      <c r="X195" t="n">
        <v/>
      </c>
      <c r="Y195" t="n">
        <v/>
      </c>
      <c r="Z195" t="n">
        <v/>
      </c>
      <c r="AA195">
        <f>SUMIFS($S$2:S195,$A$2:A195,A195,$N$2:N195,"Explore*")</f>
        <v/>
      </c>
      <c r="AB195">
        <f>IF(AND(LEFT(N195,7)="Explore",(AA195-IF(LEFT(N195,7)="Explore",S195,0))&lt;10),"SI","NO")</f>
        <v/>
      </c>
    </row>
    <row r="196">
      <c r="A196" t="inlineStr">
        <is>
          <t>c4f1_training</t>
        </is>
      </c>
      <c r="B196" t="inlineStr">
        <is>
          <t>2026-02-19 12:45:22.320</t>
        </is>
      </c>
      <c r="C196" t="n">
        <v/>
      </c>
      <c r="D196" t="inlineStr">
        <is>
          <t>Media file</t>
        </is>
      </c>
      <c r="E196" t="inlineStr">
        <is>
          <t>player #1:BTBR\training\c4f1.mp4</t>
        </is>
      </c>
      <c r="F196" t="n">
        <v>-25.567</v>
      </c>
      <c r="G196" t="n">
        <v>516.5</v>
      </c>
      <c r="H196" t="n">
        <v>655.633</v>
      </c>
      <c r="I196" t="n">
        <v>30</v>
      </c>
      <c r="J196" t="inlineStr">
        <is>
          <t>BTBR</t>
        </is>
      </c>
      <c r="K196" t="inlineStr">
        <is>
          <t xml:space="preserve"> Female</t>
        </is>
      </c>
      <c r="L196" t="inlineStr">
        <is>
          <t>No focal subject</t>
        </is>
      </c>
      <c r="M196" t="n">
        <v>36.134</v>
      </c>
      <c r="N196" t="inlineStr">
        <is>
          <t>Explore_F</t>
        </is>
      </c>
      <c r="O196" t="inlineStr">
        <is>
          <t>Familiar</t>
        </is>
      </c>
      <c r="P196" t="inlineStr">
        <is>
          <t>STATE</t>
        </is>
      </c>
      <c r="Q196" t="n">
        <v>107.066</v>
      </c>
      <c r="R196" t="n">
        <v>107.633</v>
      </c>
      <c r="S196" t="n">
        <v>0.5669999999999999</v>
      </c>
      <c r="T196" t="inlineStr">
        <is>
          <t>BTBR\training\c4f1.mp4</t>
        </is>
      </c>
      <c r="U196" t="n">
        <v>3208</v>
      </c>
      <c r="V196" t="n">
        <v>3225</v>
      </c>
      <c r="W196" t="n">
        <v/>
      </c>
      <c r="X196" t="n">
        <v/>
      </c>
      <c r="Y196" t="n">
        <v/>
      </c>
      <c r="Z196" t="n">
        <v/>
      </c>
      <c r="AA196">
        <f>SUMIFS($S$2:S196,$A$2:A196,A196,$N$2:N196,"Explore*")</f>
        <v/>
      </c>
      <c r="AB196">
        <f>IF(AND(LEFT(N196,7)="Explore",(AA196-IF(LEFT(N196,7)="Explore",S196,0))&lt;10),"SI","NO")</f>
        <v/>
      </c>
    </row>
    <row r="197">
      <c r="A197" t="inlineStr">
        <is>
          <t>c4f1_training</t>
        </is>
      </c>
      <c r="B197" t="inlineStr">
        <is>
          <t>2026-02-19 12:45:22.320</t>
        </is>
      </c>
      <c r="C197" t="n">
        <v/>
      </c>
      <c r="D197" t="inlineStr">
        <is>
          <t>Media file</t>
        </is>
      </c>
      <c r="E197" t="inlineStr">
        <is>
          <t>player #1:BTBR\training\c4f1.mp4</t>
        </is>
      </c>
      <c r="F197" t="n">
        <v>-25.567</v>
      </c>
      <c r="G197" t="n">
        <v>516.5</v>
      </c>
      <c r="H197" t="n">
        <v>655.633</v>
      </c>
      <c r="I197" t="n">
        <v>30</v>
      </c>
      <c r="J197" t="inlineStr">
        <is>
          <t>BTBR</t>
        </is>
      </c>
      <c r="K197" t="inlineStr">
        <is>
          <t xml:space="preserve"> Female</t>
        </is>
      </c>
      <c r="L197" t="inlineStr">
        <is>
          <t>No focal subject</t>
        </is>
      </c>
      <c r="M197" t="n">
        <v>36.134</v>
      </c>
      <c r="N197" t="inlineStr">
        <is>
          <t>Explore_F</t>
        </is>
      </c>
      <c r="O197" t="inlineStr">
        <is>
          <t>Familiar</t>
        </is>
      </c>
      <c r="P197" t="inlineStr">
        <is>
          <t>STATE</t>
        </is>
      </c>
      <c r="Q197" t="n">
        <v>112.5</v>
      </c>
      <c r="R197" t="n">
        <v>113.933</v>
      </c>
      <c r="S197" t="n">
        <v>1.433</v>
      </c>
      <c r="T197" t="inlineStr">
        <is>
          <t>BTBR\training\c4f1.mp4</t>
        </is>
      </c>
      <c r="U197" t="n">
        <v>3372</v>
      </c>
      <c r="V197" t="n">
        <v>3413</v>
      </c>
      <c r="W197" t="n">
        <v/>
      </c>
      <c r="X197" t="n">
        <v/>
      </c>
      <c r="Y197" t="n">
        <v/>
      </c>
      <c r="Z197" t="n">
        <v/>
      </c>
      <c r="AA197">
        <f>SUMIFS($S$2:S197,$A$2:A197,A197,$N$2:N197,"Explore*")</f>
        <v/>
      </c>
      <c r="AB197">
        <f>IF(AND(LEFT(N197,7)="Explore",(AA197-IF(LEFT(N197,7)="Explore",S197,0))&lt;10),"SI","NO")</f>
        <v/>
      </c>
    </row>
    <row r="198">
      <c r="A198" t="inlineStr">
        <is>
          <t>c4f1_training</t>
        </is>
      </c>
      <c r="B198" t="inlineStr">
        <is>
          <t>2026-02-19 12:45:22.320</t>
        </is>
      </c>
      <c r="C198" t="n">
        <v/>
      </c>
      <c r="D198" t="inlineStr">
        <is>
          <t>Media file</t>
        </is>
      </c>
      <c r="E198" t="inlineStr">
        <is>
          <t>player #1:BTBR\training\c4f1.mp4</t>
        </is>
      </c>
      <c r="F198" t="n">
        <v>-25.567</v>
      </c>
      <c r="G198" t="n">
        <v>516.5</v>
      </c>
      <c r="H198" t="n">
        <v>655.633</v>
      </c>
      <c r="I198" t="n">
        <v>30</v>
      </c>
      <c r="J198" t="inlineStr">
        <is>
          <t>BTBR</t>
        </is>
      </c>
      <c r="K198" t="inlineStr">
        <is>
          <t xml:space="preserve"> Female</t>
        </is>
      </c>
      <c r="L198" t="inlineStr">
        <is>
          <t>No focal subject</t>
        </is>
      </c>
      <c r="M198" t="n">
        <v>36.134</v>
      </c>
      <c r="N198" t="inlineStr">
        <is>
          <t>Explore_F2</t>
        </is>
      </c>
      <c r="O198" t="inlineStr">
        <is>
          <t>Second familiar</t>
        </is>
      </c>
      <c r="P198" t="inlineStr">
        <is>
          <t>STATE</t>
        </is>
      </c>
      <c r="Q198" t="n">
        <v>123.466</v>
      </c>
      <c r="R198" t="n">
        <v>124.166</v>
      </c>
      <c r="S198" t="n">
        <v>0.7</v>
      </c>
      <c r="T198" t="inlineStr">
        <is>
          <t>BTBR\training\c4f1.mp4</t>
        </is>
      </c>
      <c r="U198" t="n">
        <v>3699</v>
      </c>
      <c r="V198" t="n">
        <v>3720</v>
      </c>
      <c r="W198" t="n">
        <v/>
      </c>
      <c r="X198" t="n">
        <v/>
      </c>
      <c r="Y198" t="n">
        <v/>
      </c>
      <c r="Z198" t="n">
        <v/>
      </c>
      <c r="AA198">
        <f>SUMIFS($S$2:S198,$A$2:A198,A198,$N$2:N198,"Explore*")</f>
        <v/>
      </c>
      <c r="AB198">
        <f>IF(AND(LEFT(N198,7)="Explore",(AA198-IF(LEFT(N198,7)="Explore",S198,0))&lt;10),"SI","NO")</f>
        <v/>
      </c>
    </row>
    <row r="199">
      <c r="A199" t="inlineStr">
        <is>
          <t>c4f1_training</t>
        </is>
      </c>
      <c r="B199" t="inlineStr">
        <is>
          <t>2026-02-19 12:45:22.320</t>
        </is>
      </c>
      <c r="C199" t="n">
        <v/>
      </c>
      <c r="D199" t="inlineStr">
        <is>
          <t>Media file</t>
        </is>
      </c>
      <c r="E199" t="inlineStr">
        <is>
          <t>player #1:BTBR\training\c4f1.mp4</t>
        </is>
      </c>
      <c r="F199" t="n">
        <v>-25.567</v>
      </c>
      <c r="G199" t="n">
        <v>516.5</v>
      </c>
      <c r="H199" t="n">
        <v>655.633</v>
      </c>
      <c r="I199" t="n">
        <v>30</v>
      </c>
      <c r="J199" t="inlineStr">
        <is>
          <t>BTBR</t>
        </is>
      </c>
      <c r="K199" t="inlineStr">
        <is>
          <t xml:space="preserve"> Female</t>
        </is>
      </c>
      <c r="L199" t="inlineStr">
        <is>
          <t>No focal subject</t>
        </is>
      </c>
      <c r="M199" t="n">
        <v>36.134</v>
      </c>
      <c r="N199" t="inlineStr">
        <is>
          <t>Explore_F2</t>
        </is>
      </c>
      <c r="O199" t="inlineStr">
        <is>
          <t>Second familiar</t>
        </is>
      </c>
      <c r="P199" t="inlineStr">
        <is>
          <t>STATE</t>
        </is>
      </c>
      <c r="Q199" t="n">
        <v>125.1</v>
      </c>
      <c r="R199" t="n">
        <v>126.133</v>
      </c>
      <c r="S199" t="n">
        <v>1.033</v>
      </c>
      <c r="T199" t="inlineStr">
        <is>
          <t>BTBR\training\c4f1.mp4</t>
        </is>
      </c>
      <c r="U199" t="n">
        <v>3748</v>
      </c>
      <c r="V199" t="n">
        <v>3779</v>
      </c>
      <c r="W199" t="n">
        <v/>
      </c>
      <c r="X199" t="n">
        <v/>
      </c>
      <c r="Y199" t="n">
        <v/>
      </c>
      <c r="Z199" t="n">
        <v/>
      </c>
      <c r="AA199">
        <f>SUMIFS($S$2:S199,$A$2:A199,A199,$N$2:N199,"Explore*")</f>
        <v/>
      </c>
      <c r="AB199">
        <f>IF(AND(LEFT(N199,7)="Explore",(AA199-IF(LEFT(N199,7)="Explore",S199,0))&lt;10),"SI","NO")</f>
        <v/>
      </c>
    </row>
    <row r="200">
      <c r="A200" t="inlineStr">
        <is>
          <t>c4f1_training</t>
        </is>
      </c>
      <c r="B200" t="inlineStr">
        <is>
          <t>2026-02-19 12:45:22.320</t>
        </is>
      </c>
      <c r="C200" t="n">
        <v/>
      </c>
      <c r="D200" t="inlineStr">
        <is>
          <t>Media file</t>
        </is>
      </c>
      <c r="E200" t="inlineStr">
        <is>
          <t>player #1:BTBR\training\c4f1.mp4</t>
        </is>
      </c>
      <c r="F200" t="n">
        <v>-25.567</v>
      </c>
      <c r="G200" t="n">
        <v>516.5</v>
      </c>
      <c r="H200" t="n">
        <v>655.633</v>
      </c>
      <c r="I200" t="n">
        <v>30</v>
      </c>
      <c r="J200" t="inlineStr">
        <is>
          <t>BTBR</t>
        </is>
      </c>
      <c r="K200" t="inlineStr">
        <is>
          <t xml:space="preserve"> Female</t>
        </is>
      </c>
      <c r="L200" t="inlineStr">
        <is>
          <t>No focal subject</t>
        </is>
      </c>
      <c r="M200" t="n">
        <v>36.134</v>
      </c>
      <c r="N200" t="inlineStr">
        <is>
          <t>Explore_F</t>
        </is>
      </c>
      <c r="O200" t="inlineStr">
        <is>
          <t>Familiar</t>
        </is>
      </c>
      <c r="P200" t="inlineStr">
        <is>
          <t>STATE</t>
        </is>
      </c>
      <c r="Q200" t="n">
        <v>127.366</v>
      </c>
      <c r="R200" t="n">
        <v>127.666</v>
      </c>
      <c r="S200" t="n">
        <v>0.3</v>
      </c>
      <c r="T200" t="inlineStr">
        <is>
          <t>BTBR\training\c4f1.mp4</t>
        </is>
      </c>
      <c r="U200" t="n">
        <v>3816</v>
      </c>
      <c r="V200" t="n">
        <v>3825</v>
      </c>
      <c r="W200" t="n">
        <v/>
      </c>
      <c r="X200" t="n">
        <v/>
      </c>
      <c r="Y200" t="n">
        <v/>
      </c>
      <c r="Z200" t="n">
        <v/>
      </c>
      <c r="AA200">
        <f>SUMIFS($S$2:S200,$A$2:A200,A200,$N$2:N200,"Explore*")</f>
        <v/>
      </c>
      <c r="AB200">
        <f>IF(AND(LEFT(N200,7)="Explore",(AA200-IF(LEFT(N200,7)="Explore",S200,0))&lt;10),"SI","NO")</f>
        <v/>
      </c>
    </row>
    <row r="201">
      <c r="A201" t="inlineStr">
        <is>
          <t>c4f1_training</t>
        </is>
      </c>
      <c r="B201" t="inlineStr">
        <is>
          <t>2026-02-19 12:45:22.320</t>
        </is>
      </c>
      <c r="C201" t="n">
        <v/>
      </c>
      <c r="D201" t="inlineStr">
        <is>
          <t>Media file</t>
        </is>
      </c>
      <c r="E201" t="inlineStr">
        <is>
          <t>player #1:BTBR\training\c4f1.mp4</t>
        </is>
      </c>
      <c r="F201" t="n">
        <v>-25.567</v>
      </c>
      <c r="G201" t="n">
        <v>516.5</v>
      </c>
      <c r="H201" t="n">
        <v>655.633</v>
      </c>
      <c r="I201" t="n">
        <v>30</v>
      </c>
      <c r="J201" t="inlineStr">
        <is>
          <t>BTBR</t>
        </is>
      </c>
      <c r="K201" t="inlineStr">
        <is>
          <t xml:space="preserve"> Female</t>
        </is>
      </c>
      <c r="L201" t="inlineStr">
        <is>
          <t>No focal subject</t>
        </is>
      </c>
      <c r="M201" t="n">
        <v>36.134</v>
      </c>
      <c r="N201" t="inlineStr">
        <is>
          <t>Explore_F</t>
        </is>
      </c>
      <c r="O201" t="inlineStr">
        <is>
          <t>Familiar</t>
        </is>
      </c>
      <c r="P201" t="inlineStr">
        <is>
          <t>STATE</t>
        </is>
      </c>
      <c r="Q201" t="n">
        <v>129.9</v>
      </c>
      <c r="R201" t="n">
        <v>130.233</v>
      </c>
      <c r="S201" t="n">
        <v>0.333</v>
      </c>
      <c r="T201" t="inlineStr">
        <is>
          <t>BTBR\training\c4f1.mp4</t>
        </is>
      </c>
      <c r="U201" t="n">
        <v>3892</v>
      </c>
      <c r="V201" t="n">
        <v>3902</v>
      </c>
      <c r="W201" t="n">
        <v/>
      </c>
      <c r="X201" t="n">
        <v/>
      </c>
      <c r="Y201" t="n">
        <v/>
      </c>
      <c r="Z201" t="n">
        <v/>
      </c>
      <c r="AA201">
        <f>SUMIFS($S$2:S201,$A$2:A201,A201,$N$2:N201,"Explore*")</f>
        <v/>
      </c>
      <c r="AB201">
        <f>IF(AND(LEFT(N201,7)="Explore",(AA201-IF(LEFT(N201,7)="Explore",S201,0))&lt;10),"SI","NO")</f>
        <v/>
      </c>
    </row>
    <row r="202">
      <c r="A202" t="inlineStr">
        <is>
          <t>c4f1_training</t>
        </is>
      </c>
      <c r="B202" t="inlineStr">
        <is>
          <t>2026-02-19 12:45:22.320</t>
        </is>
      </c>
      <c r="C202" t="n">
        <v/>
      </c>
      <c r="D202" t="inlineStr">
        <is>
          <t>Media file</t>
        </is>
      </c>
      <c r="E202" t="inlineStr">
        <is>
          <t>player #1:BTBR\training\c4f1.mp4</t>
        </is>
      </c>
      <c r="F202" t="n">
        <v>-25.567</v>
      </c>
      <c r="G202" t="n">
        <v>516.5</v>
      </c>
      <c r="H202" t="n">
        <v>655.633</v>
      </c>
      <c r="I202" t="n">
        <v>30</v>
      </c>
      <c r="J202" t="inlineStr">
        <is>
          <t>BTBR</t>
        </is>
      </c>
      <c r="K202" t="inlineStr">
        <is>
          <t xml:space="preserve"> Female</t>
        </is>
      </c>
      <c r="L202" t="inlineStr">
        <is>
          <t>No focal subject</t>
        </is>
      </c>
      <c r="M202" t="n">
        <v>36.134</v>
      </c>
      <c r="N202" t="inlineStr">
        <is>
          <t>Explore_F2</t>
        </is>
      </c>
      <c r="O202" t="inlineStr">
        <is>
          <t>Second familiar</t>
        </is>
      </c>
      <c r="P202" t="inlineStr">
        <is>
          <t>STATE</t>
        </is>
      </c>
      <c r="Q202" t="n">
        <v>131.9</v>
      </c>
      <c r="R202" t="n">
        <v>132.166</v>
      </c>
      <c r="S202" t="n">
        <v>0.266</v>
      </c>
      <c r="T202" t="inlineStr">
        <is>
          <t>BTBR\training\c4f1.mp4</t>
        </is>
      </c>
      <c r="U202" t="n">
        <v>3952</v>
      </c>
      <c r="V202" t="n">
        <v>3960</v>
      </c>
      <c r="W202" t="n">
        <v/>
      </c>
      <c r="X202" t="n">
        <v/>
      </c>
      <c r="Y202" t="n">
        <v/>
      </c>
      <c r="Z202" t="n">
        <v/>
      </c>
      <c r="AA202">
        <f>SUMIFS($S$2:S202,$A$2:A202,A202,$N$2:N202,"Explore*")</f>
        <v/>
      </c>
      <c r="AB202">
        <f>IF(AND(LEFT(N202,7)="Explore",(AA202-IF(LEFT(N202,7)="Explore",S202,0))&lt;10),"SI","NO")</f>
        <v/>
      </c>
    </row>
    <row r="203">
      <c r="A203" t="inlineStr">
        <is>
          <t>c4f1_training</t>
        </is>
      </c>
      <c r="B203" t="inlineStr">
        <is>
          <t>2026-02-19 12:45:22.320</t>
        </is>
      </c>
      <c r="C203" t="n">
        <v/>
      </c>
      <c r="D203" t="inlineStr">
        <is>
          <t>Media file</t>
        </is>
      </c>
      <c r="E203" t="inlineStr">
        <is>
          <t>player #1:BTBR\training\c4f1.mp4</t>
        </is>
      </c>
      <c r="F203" t="n">
        <v>-25.567</v>
      </c>
      <c r="G203" t="n">
        <v>516.5</v>
      </c>
      <c r="H203" t="n">
        <v>655.633</v>
      </c>
      <c r="I203" t="n">
        <v>30</v>
      </c>
      <c r="J203" t="inlineStr">
        <is>
          <t>BTBR</t>
        </is>
      </c>
      <c r="K203" t="inlineStr">
        <is>
          <t xml:space="preserve"> Female</t>
        </is>
      </c>
      <c r="L203" t="inlineStr">
        <is>
          <t>No focal subject</t>
        </is>
      </c>
      <c r="M203" t="n">
        <v>36.134</v>
      </c>
      <c r="N203" t="inlineStr">
        <is>
          <t>Explore_F</t>
        </is>
      </c>
      <c r="O203" t="inlineStr">
        <is>
          <t>Familiar</t>
        </is>
      </c>
      <c r="P203" t="inlineStr">
        <is>
          <t>STATE</t>
        </is>
      </c>
      <c r="Q203" t="n">
        <v>141.099</v>
      </c>
      <c r="R203" t="n">
        <v>141.366</v>
      </c>
      <c r="S203" t="n">
        <v>0.267</v>
      </c>
      <c r="T203" t="inlineStr">
        <is>
          <t>BTBR\training\c4f1.mp4</t>
        </is>
      </c>
      <c r="U203" t="n">
        <v>4227</v>
      </c>
      <c r="V203" t="n">
        <v>4235</v>
      </c>
      <c r="W203" t="n">
        <v/>
      </c>
      <c r="X203" t="n">
        <v/>
      </c>
      <c r="Y203" t="n">
        <v/>
      </c>
      <c r="Z203" t="n">
        <v/>
      </c>
      <c r="AA203">
        <f>SUMIFS($S$2:S203,$A$2:A203,A203,$N$2:N203,"Explore*")</f>
        <v/>
      </c>
      <c r="AB203">
        <f>IF(AND(LEFT(N203,7)="Explore",(AA203-IF(LEFT(N203,7)="Explore",S203,0))&lt;10),"SI","NO")</f>
        <v/>
      </c>
    </row>
    <row r="204">
      <c r="A204" t="inlineStr">
        <is>
          <t>c4f1_training</t>
        </is>
      </c>
      <c r="B204" t="inlineStr">
        <is>
          <t>2026-02-19 12:45:22.320</t>
        </is>
      </c>
      <c r="C204" t="n">
        <v/>
      </c>
      <c r="D204" t="inlineStr">
        <is>
          <t>Media file</t>
        </is>
      </c>
      <c r="E204" t="inlineStr">
        <is>
          <t>player #1:BTBR\training\c4f1.mp4</t>
        </is>
      </c>
      <c r="F204" t="n">
        <v>-25.567</v>
      </c>
      <c r="G204" t="n">
        <v>516.5</v>
      </c>
      <c r="H204" t="n">
        <v>655.633</v>
      </c>
      <c r="I204" t="n">
        <v>30</v>
      </c>
      <c r="J204" t="inlineStr">
        <is>
          <t>BTBR</t>
        </is>
      </c>
      <c r="K204" t="inlineStr">
        <is>
          <t xml:space="preserve"> Female</t>
        </is>
      </c>
      <c r="L204" t="inlineStr">
        <is>
          <t>No focal subject</t>
        </is>
      </c>
      <c r="M204" t="n">
        <v>36.134</v>
      </c>
      <c r="N204" t="inlineStr">
        <is>
          <t>Explore_F</t>
        </is>
      </c>
      <c r="O204" t="inlineStr">
        <is>
          <t>Familiar</t>
        </is>
      </c>
      <c r="P204" t="inlineStr">
        <is>
          <t>STATE</t>
        </is>
      </c>
      <c r="Q204" t="n">
        <v>150.333</v>
      </c>
      <c r="R204" t="n">
        <v>150.799</v>
      </c>
      <c r="S204" t="n">
        <v>0.466</v>
      </c>
      <c r="T204" t="inlineStr">
        <is>
          <t>BTBR\training\c4f1.mp4</t>
        </is>
      </c>
      <c r="U204" t="n">
        <v>4504</v>
      </c>
      <c r="V204" t="n">
        <v>4518</v>
      </c>
      <c r="W204" t="n">
        <v/>
      </c>
      <c r="X204" t="n">
        <v/>
      </c>
      <c r="Y204" t="n">
        <v/>
      </c>
      <c r="Z204" t="n">
        <v/>
      </c>
      <c r="AA204">
        <f>SUMIFS($S$2:S204,$A$2:A204,A204,$N$2:N204,"Explore*")</f>
        <v/>
      </c>
      <c r="AB204">
        <f>IF(AND(LEFT(N204,7)="Explore",(AA204-IF(LEFT(N204,7)="Explore",S204,0))&lt;10),"SI","NO")</f>
        <v/>
      </c>
    </row>
    <row r="205">
      <c r="A205" t="inlineStr">
        <is>
          <t>c4f1_training</t>
        </is>
      </c>
      <c r="B205" t="inlineStr">
        <is>
          <t>2026-02-19 12:45:22.320</t>
        </is>
      </c>
      <c r="C205" t="n">
        <v/>
      </c>
      <c r="D205" t="inlineStr">
        <is>
          <t>Media file</t>
        </is>
      </c>
      <c r="E205" t="inlineStr">
        <is>
          <t>player #1:BTBR\training\c4f1.mp4</t>
        </is>
      </c>
      <c r="F205" t="n">
        <v>-25.567</v>
      </c>
      <c r="G205" t="n">
        <v>516.5</v>
      </c>
      <c r="H205" t="n">
        <v>655.633</v>
      </c>
      <c r="I205" t="n">
        <v>30</v>
      </c>
      <c r="J205" t="inlineStr">
        <is>
          <t>BTBR</t>
        </is>
      </c>
      <c r="K205" t="inlineStr">
        <is>
          <t xml:space="preserve"> Female</t>
        </is>
      </c>
      <c r="L205" t="inlineStr">
        <is>
          <t>No focal subject</t>
        </is>
      </c>
      <c r="M205" t="n">
        <v>36.134</v>
      </c>
      <c r="N205" t="inlineStr">
        <is>
          <t>Explore_F2</t>
        </is>
      </c>
      <c r="O205" t="inlineStr">
        <is>
          <t>Second familiar</t>
        </is>
      </c>
      <c r="P205" t="inlineStr">
        <is>
          <t>STATE</t>
        </is>
      </c>
      <c r="Q205" t="n">
        <v>172.899</v>
      </c>
      <c r="R205" t="n">
        <v>174.699</v>
      </c>
      <c r="S205" t="n">
        <v>1.8</v>
      </c>
      <c r="T205" t="inlineStr">
        <is>
          <t>BTBR\training\c4f1.mp4</t>
        </is>
      </c>
      <c r="U205" t="n">
        <v>5180</v>
      </c>
      <c r="V205" t="n">
        <v>5234</v>
      </c>
      <c r="W205" t="n">
        <v/>
      </c>
      <c r="X205" t="n">
        <v/>
      </c>
      <c r="Y205" t="n">
        <v/>
      </c>
      <c r="Z205" t="n">
        <v/>
      </c>
      <c r="AA205">
        <f>SUMIFS($S$2:S205,$A$2:A205,A205,$N$2:N205,"Explore*")</f>
        <v/>
      </c>
      <c r="AB205">
        <f>IF(AND(LEFT(N205,7)="Explore",(AA205-IF(LEFT(N205,7)="Explore",S205,0))&lt;10),"SI","NO")</f>
        <v/>
      </c>
    </row>
    <row r="206">
      <c r="A206" t="inlineStr">
        <is>
          <t>c4f1_training</t>
        </is>
      </c>
      <c r="B206" t="inlineStr">
        <is>
          <t>2026-02-19 12:45:22.320</t>
        </is>
      </c>
      <c r="C206" t="n">
        <v/>
      </c>
      <c r="D206" t="inlineStr">
        <is>
          <t>Media file</t>
        </is>
      </c>
      <c r="E206" t="inlineStr">
        <is>
          <t>player #1:BTBR\training\c4f1.mp4</t>
        </is>
      </c>
      <c r="F206" t="n">
        <v>-25.567</v>
      </c>
      <c r="G206" t="n">
        <v>516.5</v>
      </c>
      <c r="H206" t="n">
        <v>655.633</v>
      </c>
      <c r="I206" t="n">
        <v>30</v>
      </c>
      <c r="J206" t="inlineStr">
        <is>
          <t>BTBR</t>
        </is>
      </c>
      <c r="K206" t="inlineStr">
        <is>
          <t xml:space="preserve"> Female</t>
        </is>
      </c>
      <c r="L206" t="inlineStr">
        <is>
          <t>No focal subject</t>
        </is>
      </c>
      <c r="M206" t="n">
        <v>36.134</v>
      </c>
      <c r="N206" t="inlineStr">
        <is>
          <t>Explore_F</t>
        </is>
      </c>
      <c r="O206" t="inlineStr">
        <is>
          <t>Familiar</t>
        </is>
      </c>
      <c r="P206" t="inlineStr">
        <is>
          <t>STATE</t>
        </is>
      </c>
      <c r="Q206" t="n">
        <v>180.499</v>
      </c>
      <c r="R206" t="n">
        <v>181.433</v>
      </c>
      <c r="S206" t="n">
        <v>0.9340000000000001</v>
      </c>
      <c r="T206" t="inlineStr">
        <is>
          <t>BTBR\training\c4f1.mp4</t>
        </is>
      </c>
      <c r="U206" t="n">
        <v>5408</v>
      </c>
      <c r="V206" t="n">
        <v>5436</v>
      </c>
      <c r="W206" t="n">
        <v/>
      </c>
      <c r="X206" t="n">
        <v/>
      </c>
      <c r="Y206" t="n">
        <v/>
      </c>
      <c r="Z206" t="n">
        <v/>
      </c>
      <c r="AA206">
        <f>SUMIFS($S$2:S206,$A$2:A206,A206,$N$2:N206,"Explore*")</f>
        <v/>
      </c>
      <c r="AB206">
        <f>IF(AND(LEFT(N206,7)="Explore",(AA206-IF(LEFT(N206,7)="Explore",S206,0))&lt;10),"SI","NO")</f>
        <v/>
      </c>
    </row>
    <row r="207">
      <c r="A207" t="inlineStr">
        <is>
          <t>c4f1_training</t>
        </is>
      </c>
      <c r="B207" t="inlineStr">
        <is>
          <t>2026-02-19 12:45:22.320</t>
        </is>
      </c>
      <c r="C207" t="n">
        <v/>
      </c>
      <c r="D207" t="inlineStr">
        <is>
          <t>Media file</t>
        </is>
      </c>
      <c r="E207" t="inlineStr">
        <is>
          <t>player #1:BTBR\training\c4f1.mp4</t>
        </is>
      </c>
      <c r="F207" t="n">
        <v>-25.567</v>
      </c>
      <c r="G207" t="n">
        <v>516.5</v>
      </c>
      <c r="H207" t="n">
        <v>655.633</v>
      </c>
      <c r="I207" t="n">
        <v>30</v>
      </c>
      <c r="J207" t="inlineStr">
        <is>
          <t>BTBR</t>
        </is>
      </c>
      <c r="K207" t="inlineStr">
        <is>
          <t xml:space="preserve"> Female</t>
        </is>
      </c>
      <c r="L207" t="inlineStr">
        <is>
          <t>No focal subject</t>
        </is>
      </c>
      <c r="M207" t="n">
        <v>36.134</v>
      </c>
      <c r="N207" t="inlineStr">
        <is>
          <t>Explore_F</t>
        </is>
      </c>
      <c r="O207" t="inlineStr">
        <is>
          <t>Familiar</t>
        </is>
      </c>
      <c r="P207" t="inlineStr">
        <is>
          <t>STATE</t>
        </is>
      </c>
      <c r="Q207" t="n">
        <v>201.166</v>
      </c>
      <c r="R207" t="n">
        <v>202.033</v>
      </c>
      <c r="S207" t="n">
        <v>0.867</v>
      </c>
      <c r="T207" t="inlineStr">
        <is>
          <t>BTBR\training\c4f1.mp4</t>
        </is>
      </c>
      <c r="U207" t="n">
        <v>6027</v>
      </c>
      <c r="V207" t="n">
        <v>6054</v>
      </c>
      <c r="W207" t="n">
        <v/>
      </c>
      <c r="X207" t="n">
        <v/>
      </c>
      <c r="Y207" t="n">
        <v/>
      </c>
      <c r="Z207" t="n">
        <v/>
      </c>
      <c r="AA207">
        <f>SUMIFS($S$2:S207,$A$2:A207,A207,$N$2:N207,"Explore*")</f>
        <v/>
      </c>
      <c r="AB207">
        <f>IF(AND(LEFT(N207,7)="Explore",(AA207-IF(LEFT(N207,7)="Explore",S207,0))&lt;10),"SI","NO")</f>
        <v/>
      </c>
    </row>
    <row r="208">
      <c r="A208" t="inlineStr">
        <is>
          <t>c4f1_training</t>
        </is>
      </c>
      <c r="B208" t="inlineStr">
        <is>
          <t>2026-02-19 12:45:22.320</t>
        </is>
      </c>
      <c r="C208" t="n">
        <v/>
      </c>
      <c r="D208" t="inlineStr">
        <is>
          <t>Media file</t>
        </is>
      </c>
      <c r="E208" t="inlineStr">
        <is>
          <t>player #1:BTBR\training\c4f1.mp4</t>
        </is>
      </c>
      <c r="F208" t="n">
        <v>-25.567</v>
      </c>
      <c r="G208" t="n">
        <v>516.5</v>
      </c>
      <c r="H208" t="n">
        <v>655.633</v>
      </c>
      <c r="I208" t="n">
        <v>30</v>
      </c>
      <c r="J208" t="inlineStr">
        <is>
          <t>BTBR</t>
        </is>
      </c>
      <c r="K208" t="inlineStr">
        <is>
          <t xml:space="preserve"> Female</t>
        </is>
      </c>
      <c r="L208" t="inlineStr">
        <is>
          <t>No focal subject</t>
        </is>
      </c>
      <c r="M208" t="n">
        <v>36.134</v>
      </c>
      <c r="N208" t="inlineStr">
        <is>
          <t>Explore_F</t>
        </is>
      </c>
      <c r="O208" t="inlineStr">
        <is>
          <t>Familiar</t>
        </is>
      </c>
      <c r="P208" t="inlineStr">
        <is>
          <t>STATE</t>
        </is>
      </c>
      <c r="Q208" t="n">
        <v>228.633</v>
      </c>
      <c r="R208" t="n">
        <v>228.999</v>
      </c>
      <c r="S208" t="n">
        <v>0.366</v>
      </c>
      <c r="T208" t="inlineStr">
        <is>
          <t>BTBR\training\c4f1.mp4</t>
        </is>
      </c>
      <c r="U208" t="n">
        <v>6850</v>
      </c>
      <c r="V208" t="n">
        <v>6861</v>
      </c>
      <c r="W208" t="n">
        <v/>
      </c>
      <c r="X208" t="n">
        <v/>
      </c>
      <c r="Y208" t="n">
        <v/>
      </c>
      <c r="Z208" t="n">
        <v/>
      </c>
      <c r="AA208">
        <f>SUMIFS($S$2:S208,$A$2:A208,A208,$N$2:N208,"Explore*")</f>
        <v/>
      </c>
      <c r="AB208">
        <f>IF(AND(LEFT(N208,7)="Explore",(AA208-IF(LEFT(N208,7)="Explore",S208,0))&lt;10),"SI","NO")</f>
        <v/>
      </c>
    </row>
    <row r="209">
      <c r="A209" t="inlineStr">
        <is>
          <t>c4f1_training</t>
        </is>
      </c>
      <c r="B209" t="inlineStr">
        <is>
          <t>2026-02-19 12:45:22.320</t>
        </is>
      </c>
      <c r="C209" t="n">
        <v/>
      </c>
      <c r="D209" t="inlineStr">
        <is>
          <t>Media file</t>
        </is>
      </c>
      <c r="E209" t="inlineStr">
        <is>
          <t>player #1:BTBR\training\c4f1.mp4</t>
        </is>
      </c>
      <c r="F209" t="n">
        <v>-25.567</v>
      </c>
      <c r="G209" t="n">
        <v>516.5</v>
      </c>
      <c r="H209" t="n">
        <v>655.633</v>
      </c>
      <c r="I209" t="n">
        <v>30</v>
      </c>
      <c r="J209" t="inlineStr">
        <is>
          <t>BTBR</t>
        </is>
      </c>
      <c r="K209" t="inlineStr">
        <is>
          <t xml:space="preserve"> Female</t>
        </is>
      </c>
      <c r="L209" t="inlineStr">
        <is>
          <t>No focal subject</t>
        </is>
      </c>
      <c r="M209" t="n">
        <v>36.134</v>
      </c>
      <c r="N209" t="inlineStr">
        <is>
          <t>Explore_F</t>
        </is>
      </c>
      <c r="O209" t="inlineStr">
        <is>
          <t>Familiar</t>
        </is>
      </c>
      <c r="P209" t="inlineStr">
        <is>
          <t>STATE</t>
        </is>
      </c>
      <c r="Q209" t="n">
        <v>230.733</v>
      </c>
      <c r="R209" t="n">
        <v>231.333</v>
      </c>
      <c r="S209" t="n">
        <v>0.6</v>
      </c>
      <c r="T209" t="inlineStr">
        <is>
          <t>BTBR\training\c4f1.mp4</t>
        </is>
      </c>
      <c r="U209" t="n">
        <v>6913</v>
      </c>
      <c r="V209" t="n">
        <v>6931</v>
      </c>
      <c r="W209" t="n">
        <v/>
      </c>
      <c r="X209" t="n">
        <v/>
      </c>
      <c r="Y209" t="n">
        <v/>
      </c>
      <c r="Z209" t="n">
        <v/>
      </c>
      <c r="AA209">
        <f>SUMIFS($S$2:S209,$A$2:A209,A209,$N$2:N209,"Explore*")</f>
        <v/>
      </c>
      <c r="AB209">
        <f>IF(AND(LEFT(N209,7)="Explore",(AA209-IF(LEFT(N209,7)="Explore",S209,0))&lt;10),"SI","NO")</f>
        <v/>
      </c>
    </row>
    <row r="210">
      <c r="A210" t="inlineStr">
        <is>
          <t>c4f1_training</t>
        </is>
      </c>
      <c r="B210" t="inlineStr">
        <is>
          <t>2026-02-19 12:45:22.320</t>
        </is>
      </c>
      <c r="C210" t="n">
        <v/>
      </c>
      <c r="D210" t="inlineStr">
        <is>
          <t>Media file</t>
        </is>
      </c>
      <c r="E210" t="inlineStr">
        <is>
          <t>player #1:BTBR\training\c4f1.mp4</t>
        </is>
      </c>
      <c r="F210" t="n">
        <v>-25.567</v>
      </c>
      <c r="G210" t="n">
        <v>516.5</v>
      </c>
      <c r="H210" t="n">
        <v>655.633</v>
      </c>
      <c r="I210" t="n">
        <v>30</v>
      </c>
      <c r="J210" t="inlineStr">
        <is>
          <t>BTBR</t>
        </is>
      </c>
      <c r="K210" t="inlineStr">
        <is>
          <t xml:space="preserve"> Female</t>
        </is>
      </c>
      <c r="L210" t="inlineStr">
        <is>
          <t>No focal subject</t>
        </is>
      </c>
      <c r="M210" t="n">
        <v>36.134</v>
      </c>
      <c r="N210" t="inlineStr">
        <is>
          <t>Explore_F2</t>
        </is>
      </c>
      <c r="O210" t="inlineStr">
        <is>
          <t>Second familiar</t>
        </is>
      </c>
      <c r="P210" t="inlineStr">
        <is>
          <t>STATE</t>
        </is>
      </c>
      <c r="Q210" t="n">
        <v>239.366</v>
      </c>
      <c r="R210" t="n">
        <v>240.299</v>
      </c>
      <c r="S210" t="n">
        <v>0.9330000000000001</v>
      </c>
      <c r="T210" t="inlineStr">
        <is>
          <t>BTBR\training\c4f1.mp4</t>
        </is>
      </c>
      <c r="U210" t="n">
        <v>7171</v>
      </c>
      <c r="V210" t="n">
        <v>7199</v>
      </c>
      <c r="W210" t="n">
        <v/>
      </c>
      <c r="X210" t="n">
        <v/>
      </c>
      <c r="Y210" t="n">
        <v/>
      </c>
      <c r="Z210" t="n">
        <v/>
      </c>
      <c r="AA210">
        <f>SUMIFS($S$2:S210,$A$2:A210,A210,$N$2:N210,"Explore*")</f>
        <v/>
      </c>
      <c r="AB210">
        <f>IF(AND(LEFT(N210,7)="Explore",(AA210-IF(LEFT(N210,7)="Explore",S210,0))&lt;10),"SI","NO")</f>
        <v/>
      </c>
    </row>
    <row r="211">
      <c r="A211" t="inlineStr">
        <is>
          <t>c4f1_training</t>
        </is>
      </c>
      <c r="B211" t="inlineStr">
        <is>
          <t>2026-02-19 12:45:22.320</t>
        </is>
      </c>
      <c r="C211" t="n">
        <v/>
      </c>
      <c r="D211" t="inlineStr">
        <is>
          <t>Media file</t>
        </is>
      </c>
      <c r="E211" t="inlineStr">
        <is>
          <t>player #1:BTBR\training\c4f1.mp4</t>
        </is>
      </c>
      <c r="F211" t="n">
        <v>-25.567</v>
      </c>
      <c r="G211" t="n">
        <v>516.5</v>
      </c>
      <c r="H211" t="n">
        <v>655.633</v>
      </c>
      <c r="I211" t="n">
        <v>30</v>
      </c>
      <c r="J211" t="inlineStr">
        <is>
          <t>BTBR</t>
        </is>
      </c>
      <c r="K211" t="inlineStr">
        <is>
          <t xml:space="preserve"> Female</t>
        </is>
      </c>
      <c r="L211" t="inlineStr">
        <is>
          <t>No focal subject</t>
        </is>
      </c>
      <c r="M211" t="n">
        <v>36.134</v>
      </c>
      <c r="N211" t="inlineStr">
        <is>
          <t>Explore_F</t>
        </is>
      </c>
      <c r="O211" t="inlineStr">
        <is>
          <t>Familiar</t>
        </is>
      </c>
      <c r="P211" t="inlineStr">
        <is>
          <t>STATE</t>
        </is>
      </c>
      <c r="Q211" t="n">
        <v>248.633</v>
      </c>
      <c r="R211" t="n">
        <v>249.433</v>
      </c>
      <c r="S211" t="n">
        <v>0.8</v>
      </c>
      <c r="T211" t="inlineStr">
        <is>
          <t>BTBR\training\c4f1.mp4</t>
        </is>
      </c>
      <c r="U211" t="n">
        <v>7449</v>
      </c>
      <c r="V211" t="n">
        <v>7473</v>
      </c>
      <c r="W211" t="n">
        <v/>
      </c>
      <c r="X211" t="n">
        <v/>
      </c>
      <c r="Y211" t="n">
        <v/>
      </c>
      <c r="Z211" t="n">
        <v/>
      </c>
      <c r="AA211">
        <f>SUMIFS($S$2:S211,$A$2:A211,A211,$N$2:N211,"Explore*")</f>
        <v/>
      </c>
      <c r="AB211">
        <f>IF(AND(LEFT(N211,7)="Explore",(AA211-IF(LEFT(N211,7)="Explore",S211,0))&lt;10),"SI","NO")</f>
        <v/>
      </c>
    </row>
    <row r="212">
      <c r="A212" t="inlineStr">
        <is>
          <t>c4f1_training</t>
        </is>
      </c>
      <c r="B212" t="inlineStr">
        <is>
          <t>2026-02-19 12:45:22.320</t>
        </is>
      </c>
      <c r="C212" t="n">
        <v/>
      </c>
      <c r="D212" t="inlineStr">
        <is>
          <t>Media file</t>
        </is>
      </c>
      <c r="E212" t="inlineStr">
        <is>
          <t>player #1:BTBR\training\c4f1.mp4</t>
        </is>
      </c>
      <c r="F212" t="n">
        <v>-25.567</v>
      </c>
      <c r="G212" t="n">
        <v>516.5</v>
      </c>
      <c r="H212" t="n">
        <v>655.633</v>
      </c>
      <c r="I212" t="n">
        <v>30</v>
      </c>
      <c r="J212" t="inlineStr">
        <is>
          <t>BTBR</t>
        </is>
      </c>
      <c r="K212" t="inlineStr">
        <is>
          <t xml:space="preserve"> Female</t>
        </is>
      </c>
      <c r="L212" t="inlineStr">
        <is>
          <t>No focal subject</t>
        </is>
      </c>
      <c r="M212" t="n">
        <v>36.134</v>
      </c>
      <c r="N212" t="inlineStr">
        <is>
          <t>Explore_F2</t>
        </is>
      </c>
      <c r="O212" t="inlineStr">
        <is>
          <t>Second familiar</t>
        </is>
      </c>
      <c r="P212" t="inlineStr">
        <is>
          <t>STATE</t>
        </is>
      </c>
      <c r="Q212" t="n">
        <v>286.899</v>
      </c>
      <c r="R212" t="n">
        <v>287.099</v>
      </c>
      <c r="S212" t="n">
        <v>0.2</v>
      </c>
      <c r="T212" t="inlineStr">
        <is>
          <t>BTBR\training\c4f1.mp4</t>
        </is>
      </c>
      <c r="U212" t="n">
        <v>8595</v>
      </c>
      <c r="V212" t="n">
        <v>8601</v>
      </c>
      <c r="W212" t="n">
        <v/>
      </c>
      <c r="X212" t="n">
        <v/>
      </c>
      <c r="Y212" t="n">
        <v/>
      </c>
      <c r="Z212" t="n">
        <v/>
      </c>
      <c r="AA212">
        <f>SUMIFS($S$2:S212,$A$2:A212,A212,$N$2:N212,"Explore*")</f>
        <v/>
      </c>
      <c r="AB212">
        <f>IF(AND(LEFT(N212,7)="Explore",(AA212-IF(LEFT(N212,7)="Explore",S212,0))&lt;10),"SI","NO")</f>
        <v/>
      </c>
    </row>
    <row r="213">
      <c r="A213" t="inlineStr">
        <is>
          <t>c4f1_training</t>
        </is>
      </c>
      <c r="B213" t="inlineStr">
        <is>
          <t>2026-02-19 12:45:22.320</t>
        </is>
      </c>
      <c r="C213" t="n">
        <v/>
      </c>
      <c r="D213" t="inlineStr">
        <is>
          <t>Media file</t>
        </is>
      </c>
      <c r="E213" t="inlineStr">
        <is>
          <t>player #1:BTBR\training\c4f1.mp4</t>
        </is>
      </c>
      <c r="F213" t="n">
        <v>-25.567</v>
      </c>
      <c r="G213" t="n">
        <v>516.5</v>
      </c>
      <c r="H213" t="n">
        <v>655.633</v>
      </c>
      <c r="I213" t="n">
        <v>30</v>
      </c>
      <c r="J213" t="inlineStr">
        <is>
          <t>BTBR</t>
        </is>
      </c>
      <c r="K213" t="inlineStr">
        <is>
          <t xml:space="preserve"> Female</t>
        </is>
      </c>
      <c r="L213" t="inlineStr">
        <is>
          <t>No focal subject</t>
        </is>
      </c>
      <c r="M213" t="n">
        <v>36.134</v>
      </c>
      <c r="N213" t="inlineStr">
        <is>
          <t>Explore_F2</t>
        </is>
      </c>
      <c r="O213" t="inlineStr">
        <is>
          <t>Second familiar</t>
        </is>
      </c>
      <c r="P213" t="inlineStr">
        <is>
          <t>STATE</t>
        </is>
      </c>
      <c r="Q213" t="n">
        <v>292.899</v>
      </c>
      <c r="R213" t="n">
        <v>293.299</v>
      </c>
      <c r="S213" t="n">
        <v>0.4</v>
      </c>
      <c r="T213" t="inlineStr">
        <is>
          <t>BTBR\training\c4f1.mp4</t>
        </is>
      </c>
      <c r="U213" t="n">
        <v>8775</v>
      </c>
      <c r="V213" t="n">
        <v>8787</v>
      </c>
      <c r="W213" t="n">
        <v/>
      </c>
      <c r="X213" t="n">
        <v/>
      </c>
      <c r="Y213" t="n">
        <v/>
      </c>
      <c r="Z213" t="n">
        <v/>
      </c>
      <c r="AA213">
        <f>SUMIFS($S$2:S213,$A$2:A213,A213,$N$2:N213,"Explore*")</f>
        <v/>
      </c>
      <c r="AB213">
        <f>IF(AND(LEFT(N213,7)="Explore",(AA213-IF(LEFT(N213,7)="Explore",S213,0))&lt;10),"SI","NO")</f>
        <v/>
      </c>
    </row>
    <row r="214">
      <c r="A214" t="inlineStr">
        <is>
          <t>c4f1_training</t>
        </is>
      </c>
      <c r="B214" t="inlineStr">
        <is>
          <t>2026-02-19 12:45:22.320</t>
        </is>
      </c>
      <c r="C214" t="n">
        <v/>
      </c>
      <c r="D214" t="inlineStr">
        <is>
          <t>Media file</t>
        </is>
      </c>
      <c r="E214" t="inlineStr">
        <is>
          <t>player #1:BTBR\training\c4f1.mp4</t>
        </is>
      </c>
      <c r="F214" t="n">
        <v>-25.567</v>
      </c>
      <c r="G214" t="n">
        <v>516.5</v>
      </c>
      <c r="H214" t="n">
        <v>655.633</v>
      </c>
      <c r="I214" t="n">
        <v>30</v>
      </c>
      <c r="J214" t="inlineStr">
        <is>
          <t>BTBR</t>
        </is>
      </c>
      <c r="K214" t="inlineStr">
        <is>
          <t xml:space="preserve"> Female</t>
        </is>
      </c>
      <c r="L214" t="inlineStr">
        <is>
          <t>No focal subject</t>
        </is>
      </c>
      <c r="M214" t="n">
        <v>36.134</v>
      </c>
      <c r="N214" t="inlineStr">
        <is>
          <t>Explore_F</t>
        </is>
      </c>
      <c r="O214" t="inlineStr">
        <is>
          <t>Familiar</t>
        </is>
      </c>
      <c r="P214" t="inlineStr">
        <is>
          <t>STATE</t>
        </is>
      </c>
      <c r="Q214" t="n">
        <v>384.866</v>
      </c>
      <c r="R214" t="n">
        <v>385.699</v>
      </c>
      <c r="S214" t="n">
        <v>0.833</v>
      </c>
      <c r="T214" t="inlineStr">
        <is>
          <t>BTBR\training\c4f1.mp4</t>
        </is>
      </c>
      <c r="U214" t="n">
        <v>12296</v>
      </c>
      <c r="V214" t="n">
        <v>12321</v>
      </c>
      <c r="W214" t="n">
        <v/>
      </c>
      <c r="X214" t="n">
        <v/>
      </c>
      <c r="Y214" t="n">
        <v/>
      </c>
      <c r="Z214" t="n">
        <v/>
      </c>
      <c r="AA214">
        <f>SUMIFS($S$2:S214,$A$2:A214,A214,$N$2:N214,"Explore*")</f>
        <v/>
      </c>
      <c r="AB214">
        <f>IF(AND(LEFT(N214,7)="Explore",(AA214-IF(LEFT(N214,7)="Explore",S214,0))&lt;10),"SI","NO")</f>
        <v/>
      </c>
    </row>
    <row r="215">
      <c r="A215" t="inlineStr">
        <is>
          <t>c4f1_training</t>
        </is>
      </c>
      <c r="B215" t="inlineStr">
        <is>
          <t>2026-02-19 12:45:22.320</t>
        </is>
      </c>
      <c r="C215" t="n">
        <v/>
      </c>
      <c r="D215" t="inlineStr">
        <is>
          <t>Media file</t>
        </is>
      </c>
      <c r="E215" t="inlineStr">
        <is>
          <t>player #1:BTBR\training\c4f1.mp4</t>
        </is>
      </c>
      <c r="F215" t="n">
        <v>-25.567</v>
      </c>
      <c r="G215" t="n">
        <v>516.5</v>
      </c>
      <c r="H215" t="n">
        <v>655.633</v>
      </c>
      <c r="I215" t="n">
        <v>30</v>
      </c>
      <c r="J215" t="inlineStr">
        <is>
          <t>BTBR</t>
        </is>
      </c>
      <c r="K215" t="inlineStr">
        <is>
          <t xml:space="preserve"> Female</t>
        </is>
      </c>
      <c r="L215" t="inlineStr">
        <is>
          <t>No focal subject</t>
        </is>
      </c>
      <c r="M215" t="n">
        <v>36.134</v>
      </c>
      <c r="N215" t="inlineStr">
        <is>
          <t>Explore_F</t>
        </is>
      </c>
      <c r="O215" t="inlineStr">
        <is>
          <t>Familiar</t>
        </is>
      </c>
      <c r="P215" t="inlineStr">
        <is>
          <t>STATE</t>
        </is>
      </c>
      <c r="Q215" t="n">
        <v>387.233</v>
      </c>
      <c r="R215" t="n">
        <v>388.166</v>
      </c>
      <c r="S215" t="n">
        <v>0.9330000000000001</v>
      </c>
      <c r="T215" t="inlineStr">
        <is>
          <t>BTBR\training\c4f1.mp4</t>
        </is>
      </c>
      <c r="U215" t="n">
        <v>12367</v>
      </c>
      <c r="V215" t="n">
        <v>12395</v>
      </c>
      <c r="W215" t="n">
        <v/>
      </c>
      <c r="X215" t="n">
        <v/>
      </c>
      <c r="Y215" t="n">
        <v/>
      </c>
      <c r="Z215" t="n">
        <v/>
      </c>
      <c r="AA215">
        <f>SUMIFS($S$2:S215,$A$2:A215,A215,$N$2:N215,"Explore*")</f>
        <v/>
      </c>
      <c r="AB215">
        <f>IF(AND(LEFT(N215,7)="Explore",(AA215-IF(LEFT(N215,7)="Explore",S215,0))&lt;10),"SI","NO")</f>
        <v/>
      </c>
    </row>
    <row r="216">
      <c r="A216" t="inlineStr">
        <is>
          <t>c4f1_training</t>
        </is>
      </c>
      <c r="B216" t="inlineStr">
        <is>
          <t>2026-02-19 12:45:22.320</t>
        </is>
      </c>
      <c r="C216" t="n">
        <v/>
      </c>
      <c r="D216" t="inlineStr">
        <is>
          <t>Media file</t>
        </is>
      </c>
      <c r="E216" t="inlineStr">
        <is>
          <t>player #1:BTBR\training\c4f1.mp4</t>
        </is>
      </c>
      <c r="F216" t="n">
        <v>-25.567</v>
      </c>
      <c r="G216" t="n">
        <v>516.5</v>
      </c>
      <c r="H216" t="n">
        <v>655.633</v>
      </c>
      <c r="I216" t="n">
        <v>30</v>
      </c>
      <c r="J216" t="inlineStr">
        <is>
          <t>BTBR</t>
        </is>
      </c>
      <c r="K216" t="inlineStr">
        <is>
          <t xml:space="preserve"> Female</t>
        </is>
      </c>
      <c r="L216" t="inlineStr">
        <is>
          <t>No focal subject</t>
        </is>
      </c>
      <c r="M216" t="n">
        <v>36.134</v>
      </c>
      <c r="N216" t="inlineStr">
        <is>
          <t>Explore_F2</t>
        </is>
      </c>
      <c r="O216" t="inlineStr">
        <is>
          <t>Second familiar</t>
        </is>
      </c>
      <c r="P216" t="inlineStr">
        <is>
          <t>STATE</t>
        </is>
      </c>
      <c r="Q216" t="n">
        <v>390.099</v>
      </c>
      <c r="R216" t="n">
        <v>390.966</v>
      </c>
      <c r="S216" t="n">
        <v>0.867</v>
      </c>
      <c r="T216" t="inlineStr">
        <is>
          <t>BTBR\training\c4f1.mp4</t>
        </is>
      </c>
      <c r="U216" t="n">
        <v>12453</v>
      </c>
      <c r="V216" t="n">
        <v>12479</v>
      </c>
      <c r="W216" t="n">
        <v/>
      </c>
      <c r="X216" t="n">
        <v/>
      </c>
      <c r="Y216" t="n">
        <v/>
      </c>
      <c r="Z216" t="n">
        <v/>
      </c>
      <c r="AA216">
        <f>SUMIFS($S$2:S216,$A$2:A216,A216,$N$2:N216,"Explore*")</f>
        <v/>
      </c>
      <c r="AB216">
        <f>IF(AND(LEFT(N216,7)="Explore",(AA216-IF(LEFT(N216,7)="Explore",S216,0))&lt;10),"SI","NO")</f>
        <v/>
      </c>
    </row>
    <row r="217">
      <c r="A217" t="inlineStr">
        <is>
          <t>c4f1_training</t>
        </is>
      </c>
      <c r="B217" t="inlineStr">
        <is>
          <t>2026-02-19 12:45:22.320</t>
        </is>
      </c>
      <c r="C217" t="n">
        <v/>
      </c>
      <c r="D217" t="inlineStr">
        <is>
          <t>Media file</t>
        </is>
      </c>
      <c r="E217" t="inlineStr">
        <is>
          <t>player #1:BTBR\training\c4f1.mp4</t>
        </is>
      </c>
      <c r="F217" t="n">
        <v>-25.567</v>
      </c>
      <c r="G217" t="n">
        <v>516.5</v>
      </c>
      <c r="H217" t="n">
        <v>655.633</v>
      </c>
      <c r="I217" t="n">
        <v>30</v>
      </c>
      <c r="J217" t="inlineStr">
        <is>
          <t>BTBR</t>
        </is>
      </c>
      <c r="K217" t="inlineStr">
        <is>
          <t xml:space="preserve"> Female</t>
        </is>
      </c>
      <c r="L217" t="inlineStr">
        <is>
          <t>No focal subject</t>
        </is>
      </c>
      <c r="M217" t="n">
        <v>36.134</v>
      </c>
      <c r="N217" t="inlineStr">
        <is>
          <t>Explore_F</t>
        </is>
      </c>
      <c r="O217" t="inlineStr">
        <is>
          <t>Familiar</t>
        </is>
      </c>
      <c r="P217" t="inlineStr">
        <is>
          <t>STATE</t>
        </is>
      </c>
      <c r="Q217" t="n">
        <v>405.566</v>
      </c>
      <c r="R217" t="n">
        <v>406.333</v>
      </c>
      <c r="S217" t="n">
        <v>0.767</v>
      </c>
      <c r="T217" t="inlineStr">
        <is>
          <t>BTBR\training\c4f1.mp4</t>
        </is>
      </c>
      <c r="U217" t="n">
        <v>12916</v>
      </c>
      <c r="V217" t="n">
        <v>12939</v>
      </c>
      <c r="W217" t="n">
        <v/>
      </c>
      <c r="X217" t="n">
        <v/>
      </c>
      <c r="Y217" t="n">
        <v/>
      </c>
      <c r="Z217" t="n">
        <v/>
      </c>
      <c r="AA217">
        <f>SUMIFS($S$2:S217,$A$2:A217,A217,$N$2:N217,"Explore*")</f>
        <v/>
      </c>
      <c r="AB217">
        <f>IF(AND(LEFT(N217,7)="Explore",(AA217-IF(LEFT(N217,7)="Explore",S217,0))&lt;10),"SI","NO")</f>
        <v/>
      </c>
    </row>
    <row r="218">
      <c r="A218" t="inlineStr">
        <is>
          <t>c4f1_training</t>
        </is>
      </c>
      <c r="B218" t="inlineStr">
        <is>
          <t>2026-02-19 12:45:22.320</t>
        </is>
      </c>
      <c r="C218" t="n">
        <v/>
      </c>
      <c r="D218" t="inlineStr">
        <is>
          <t>Media file</t>
        </is>
      </c>
      <c r="E218" t="inlineStr">
        <is>
          <t>player #1:BTBR\training\c4f1.mp4</t>
        </is>
      </c>
      <c r="F218" t="n">
        <v>-25.567</v>
      </c>
      <c r="G218" t="n">
        <v>516.5</v>
      </c>
      <c r="H218" t="n">
        <v>655.633</v>
      </c>
      <c r="I218" t="n">
        <v>30</v>
      </c>
      <c r="J218" t="inlineStr">
        <is>
          <t>BTBR</t>
        </is>
      </c>
      <c r="K218" t="inlineStr">
        <is>
          <t xml:space="preserve"> Female</t>
        </is>
      </c>
      <c r="L218" t="inlineStr">
        <is>
          <t>No focal subject</t>
        </is>
      </c>
      <c r="M218" t="n">
        <v>36.134</v>
      </c>
      <c r="N218" t="inlineStr">
        <is>
          <t>Explore_F</t>
        </is>
      </c>
      <c r="O218" t="inlineStr">
        <is>
          <t>Familiar</t>
        </is>
      </c>
      <c r="P218" t="inlineStr">
        <is>
          <t>STATE</t>
        </is>
      </c>
      <c r="Q218" t="n">
        <v>416.466</v>
      </c>
      <c r="R218" t="n">
        <v>417.133</v>
      </c>
      <c r="S218" t="n">
        <v>0.667</v>
      </c>
      <c r="T218" t="inlineStr">
        <is>
          <t>BTBR\training\c4f1.mp4</t>
        </is>
      </c>
      <c r="U218" t="n">
        <v>13243</v>
      </c>
      <c r="V218" t="n">
        <v>13263</v>
      </c>
      <c r="W218" t="n">
        <v/>
      </c>
      <c r="X218" t="n">
        <v/>
      </c>
      <c r="Y218" t="n">
        <v/>
      </c>
      <c r="Z218" t="n">
        <v/>
      </c>
      <c r="AA218">
        <f>SUMIFS($S$2:S218,$A$2:A218,A218,$N$2:N218,"Explore*")</f>
        <v/>
      </c>
      <c r="AB218">
        <f>IF(AND(LEFT(N218,7)="Explore",(AA218-IF(LEFT(N218,7)="Explore",S218,0))&lt;10),"SI","NO")</f>
        <v/>
      </c>
    </row>
    <row r="219">
      <c r="A219" t="inlineStr">
        <is>
          <t>c4f1_training</t>
        </is>
      </c>
      <c r="B219" t="inlineStr">
        <is>
          <t>2026-02-19 12:45:22.320</t>
        </is>
      </c>
      <c r="C219" t="n">
        <v/>
      </c>
      <c r="D219" t="inlineStr">
        <is>
          <t>Media file</t>
        </is>
      </c>
      <c r="E219" t="inlineStr">
        <is>
          <t>player #1:BTBR\training\c4f1.mp4</t>
        </is>
      </c>
      <c r="F219" t="n">
        <v>-25.567</v>
      </c>
      <c r="G219" t="n">
        <v>516.5</v>
      </c>
      <c r="H219" t="n">
        <v>655.633</v>
      </c>
      <c r="I219" t="n">
        <v>30</v>
      </c>
      <c r="J219" t="inlineStr">
        <is>
          <t>BTBR</t>
        </is>
      </c>
      <c r="K219" t="inlineStr">
        <is>
          <t xml:space="preserve"> Female</t>
        </is>
      </c>
      <c r="L219" t="inlineStr">
        <is>
          <t>No focal subject</t>
        </is>
      </c>
      <c r="M219" t="n">
        <v>36.134</v>
      </c>
      <c r="N219" t="inlineStr">
        <is>
          <t>Explore_F</t>
        </is>
      </c>
      <c r="O219" t="inlineStr">
        <is>
          <t>Familiar</t>
        </is>
      </c>
      <c r="P219" t="inlineStr">
        <is>
          <t>STATE</t>
        </is>
      </c>
      <c r="Q219" t="n">
        <v>430.799</v>
      </c>
      <c r="R219" t="n">
        <v>431.133</v>
      </c>
      <c r="S219" t="n">
        <v>0.334</v>
      </c>
      <c r="T219" t="inlineStr">
        <is>
          <t>BTBR\training\c4f1.mp4</t>
        </is>
      </c>
      <c r="U219" t="n">
        <v>13672</v>
      </c>
      <c r="V219" t="n">
        <v>13682</v>
      </c>
      <c r="W219" t="n">
        <v/>
      </c>
      <c r="X219" t="n">
        <v/>
      </c>
      <c r="Y219" t="n">
        <v/>
      </c>
      <c r="Z219" t="n">
        <v/>
      </c>
      <c r="AA219">
        <f>SUMIFS($S$2:S219,$A$2:A219,A219,$N$2:N219,"Explore*")</f>
        <v/>
      </c>
      <c r="AB219">
        <f>IF(AND(LEFT(N219,7)="Explore",(AA219-IF(LEFT(N219,7)="Explore",S219,0))&lt;10),"SI","NO")</f>
        <v/>
      </c>
    </row>
    <row r="220">
      <c r="A220" t="inlineStr">
        <is>
          <t>c4f1_training</t>
        </is>
      </c>
      <c r="B220" t="inlineStr">
        <is>
          <t>2026-02-19 12:45:22.320</t>
        </is>
      </c>
      <c r="C220" t="n">
        <v/>
      </c>
      <c r="D220" t="inlineStr">
        <is>
          <t>Media file</t>
        </is>
      </c>
      <c r="E220" t="inlineStr">
        <is>
          <t>player #1:BTBR\training\c4f1.mp4</t>
        </is>
      </c>
      <c r="F220" t="n">
        <v>-25.567</v>
      </c>
      <c r="G220" t="n">
        <v>516.5</v>
      </c>
      <c r="H220" t="n">
        <v>655.633</v>
      </c>
      <c r="I220" t="n">
        <v>30</v>
      </c>
      <c r="J220" t="inlineStr">
        <is>
          <t>BTBR</t>
        </is>
      </c>
      <c r="K220" t="inlineStr">
        <is>
          <t xml:space="preserve"> Female</t>
        </is>
      </c>
      <c r="L220" t="inlineStr">
        <is>
          <t>No focal subject</t>
        </is>
      </c>
      <c r="M220" t="n">
        <v>36.134</v>
      </c>
      <c r="N220" t="inlineStr">
        <is>
          <t>Explore_F2</t>
        </is>
      </c>
      <c r="O220" t="inlineStr">
        <is>
          <t>Second familiar</t>
        </is>
      </c>
      <c r="P220" t="inlineStr">
        <is>
          <t>STATE</t>
        </is>
      </c>
      <c r="Q220" t="n">
        <v>461.566</v>
      </c>
      <c r="R220" t="n">
        <v>462.566</v>
      </c>
      <c r="S220" t="n">
        <v>1</v>
      </c>
      <c r="T220" t="inlineStr">
        <is>
          <t>BTBR\training\c4f1.mp4</t>
        </is>
      </c>
      <c r="U220" t="n">
        <v>14594</v>
      </c>
      <c r="V220" t="n">
        <v>14624</v>
      </c>
      <c r="W220" t="n">
        <v/>
      </c>
      <c r="X220" t="n">
        <v/>
      </c>
      <c r="Y220" t="n">
        <v/>
      </c>
      <c r="Z220" t="n">
        <v/>
      </c>
      <c r="AA220">
        <f>SUMIFS($S$2:S220,$A$2:A220,A220,$N$2:N220,"Explore*")</f>
        <v/>
      </c>
      <c r="AB220">
        <f>IF(AND(LEFT(N220,7)="Explore",(AA220-IF(LEFT(N220,7)="Explore",S220,0))&lt;10),"SI","NO")</f>
        <v/>
      </c>
    </row>
    <row r="221">
      <c r="A221" t="inlineStr">
        <is>
          <t>c4f1_training</t>
        </is>
      </c>
      <c r="B221" t="inlineStr">
        <is>
          <t>2026-02-19 12:45:22.320</t>
        </is>
      </c>
      <c r="C221" t="n">
        <v/>
      </c>
      <c r="D221" t="inlineStr">
        <is>
          <t>Media file</t>
        </is>
      </c>
      <c r="E221" t="inlineStr">
        <is>
          <t>player #1:BTBR\training\c4f1.mp4</t>
        </is>
      </c>
      <c r="F221" t="n">
        <v>-25.567</v>
      </c>
      <c r="G221" t="n">
        <v>516.5</v>
      </c>
      <c r="H221" t="n">
        <v>655.633</v>
      </c>
      <c r="I221" t="n">
        <v>30</v>
      </c>
      <c r="J221" t="inlineStr">
        <is>
          <t>BTBR</t>
        </is>
      </c>
      <c r="K221" t="inlineStr">
        <is>
          <t xml:space="preserve"> Female</t>
        </is>
      </c>
      <c r="L221" t="inlineStr">
        <is>
          <t>No focal subject</t>
        </is>
      </c>
      <c r="M221" t="n">
        <v>36.134</v>
      </c>
      <c r="N221" t="inlineStr">
        <is>
          <t>Explore_F</t>
        </is>
      </c>
      <c r="O221" t="inlineStr">
        <is>
          <t>Familiar</t>
        </is>
      </c>
      <c r="P221" t="inlineStr">
        <is>
          <t>STATE</t>
        </is>
      </c>
      <c r="Q221" t="n">
        <v>517.066</v>
      </c>
      <c r="R221" t="n">
        <v>517.899</v>
      </c>
      <c r="S221" t="n">
        <v>0.833</v>
      </c>
      <c r="T221" t="inlineStr">
        <is>
          <t>BTBR\training\c4f1.mp4</t>
        </is>
      </c>
      <c r="U221" t="n">
        <v>16257</v>
      </c>
      <c r="V221" t="n">
        <v>16282</v>
      </c>
      <c r="W221" t="n">
        <v/>
      </c>
      <c r="X221" t="n">
        <v/>
      </c>
      <c r="Y221" t="n">
        <v/>
      </c>
      <c r="Z221" t="n">
        <v/>
      </c>
      <c r="AA221">
        <f>SUMIFS($S$2:S221,$A$2:A221,A221,$N$2:N221,"Explore*")</f>
        <v/>
      </c>
      <c r="AB221">
        <f>IF(AND(LEFT(N221,7)="Explore",(AA221-IF(LEFT(N221,7)="Explore",S221,0))&lt;10),"SI","NO")</f>
        <v/>
      </c>
    </row>
    <row r="222">
      <c r="A222" t="inlineStr">
        <is>
          <t>c4f1_training</t>
        </is>
      </c>
      <c r="B222" t="inlineStr">
        <is>
          <t>2026-02-19 12:45:22.320</t>
        </is>
      </c>
      <c r="C222" t="n">
        <v/>
      </c>
      <c r="D222" t="inlineStr">
        <is>
          <t>Media file</t>
        </is>
      </c>
      <c r="E222" t="inlineStr">
        <is>
          <t>player #1:BTBR\training\c4f1.mp4</t>
        </is>
      </c>
      <c r="F222" t="n">
        <v>-25.567</v>
      </c>
      <c r="G222" t="n">
        <v>516.5</v>
      </c>
      <c r="H222" t="n">
        <v>655.633</v>
      </c>
      <c r="I222" t="n">
        <v>30</v>
      </c>
      <c r="J222" t="inlineStr">
        <is>
          <t>BTBR</t>
        </is>
      </c>
      <c r="K222" t="inlineStr">
        <is>
          <t xml:space="preserve"> Female</t>
        </is>
      </c>
      <c r="L222" t="inlineStr">
        <is>
          <t>No focal subject</t>
        </is>
      </c>
      <c r="M222" t="n">
        <v>36.134</v>
      </c>
      <c r="N222" t="inlineStr">
        <is>
          <t>Explore_F2</t>
        </is>
      </c>
      <c r="O222" t="inlineStr">
        <is>
          <t>Second familiar</t>
        </is>
      </c>
      <c r="P222" t="inlineStr">
        <is>
          <t>STATE</t>
        </is>
      </c>
      <c r="Q222" t="n">
        <v>522.066</v>
      </c>
      <c r="R222" t="n">
        <v>522.699</v>
      </c>
      <c r="S222" t="n">
        <v>0.633</v>
      </c>
      <c r="T222" t="inlineStr">
        <is>
          <t>BTBR\training\c4f1.mp4</t>
        </is>
      </c>
      <c r="U222" t="n">
        <v>16407</v>
      </c>
      <c r="V222" t="n">
        <v>16426</v>
      </c>
      <c r="W222" t="n">
        <v/>
      </c>
      <c r="X222" t="n">
        <v/>
      </c>
      <c r="Y222" t="n">
        <v/>
      </c>
      <c r="Z222" t="n">
        <v/>
      </c>
      <c r="AA222">
        <f>SUMIFS($S$2:S222,$A$2:A222,A222,$N$2:N222,"Explore*")</f>
        <v/>
      </c>
      <c r="AB222">
        <f>IF(AND(LEFT(N222,7)="Explore",(AA222-IF(LEFT(N222,7)="Explore",S222,0))&lt;10),"SI","NO")</f>
        <v/>
      </c>
    </row>
    <row r="223">
      <c r="A223" t="inlineStr">
        <is>
          <t>c4f1_training</t>
        </is>
      </c>
      <c r="B223" t="inlineStr">
        <is>
          <t>2026-02-19 12:45:22.320</t>
        </is>
      </c>
      <c r="C223" t="n">
        <v/>
      </c>
      <c r="D223" t="inlineStr">
        <is>
          <t>Media file</t>
        </is>
      </c>
      <c r="E223" t="inlineStr">
        <is>
          <t>player #1:BTBR\training\c4f1.mp4</t>
        </is>
      </c>
      <c r="F223" t="n">
        <v>-25.567</v>
      </c>
      <c r="G223" t="n">
        <v>516.5</v>
      </c>
      <c r="H223" t="n">
        <v>655.633</v>
      </c>
      <c r="I223" t="n">
        <v>30</v>
      </c>
      <c r="J223" t="inlineStr">
        <is>
          <t>BTBR</t>
        </is>
      </c>
      <c r="K223" t="inlineStr">
        <is>
          <t xml:space="preserve"> Female</t>
        </is>
      </c>
      <c r="L223" t="inlineStr">
        <is>
          <t>No focal subject</t>
        </is>
      </c>
      <c r="M223" t="n">
        <v>36.134</v>
      </c>
      <c r="N223" t="inlineStr">
        <is>
          <t>Explore_F</t>
        </is>
      </c>
      <c r="O223" t="inlineStr">
        <is>
          <t>Familiar</t>
        </is>
      </c>
      <c r="P223" t="inlineStr">
        <is>
          <t>STATE</t>
        </is>
      </c>
      <c r="Q223" t="n">
        <v>523.899</v>
      </c>
      <c r="R223" t="n">
        <v>524.466</v>
      </c>
      <c r="S223" t="n">
        <v>0.5669999999999999</v>
      </c>
      <c r="T223" t="inlineStr">
        <is>
          <t>BTBR\training\c4f1.mp4</t>
        </is>
      </c>
      <c r="U223" t="n">
        <v>16462</v>
      </c>
      <c r="V223" t="n">
        <v>16479</v>
      </c>
      <c r="W223" t="n">
        <v/>
      </c>
      <c r="X223" t="n">
        <v/>
      </c>
      <c r="Y223" t="n">
        <v/>
      </c>
      <c r="Z223" t="n">
        <v/>
      </c>
      <c r="AA223">
        <f>SUMIFS($S$2:S223,$A$2:A223,A223,$N$2:N223,"Explore*")</f>
        <v/>
      </c>
      <c r="AB223">
        <f>IF(AND(LEFT(N223,7)="Explore",(AA223-IF(LEFT(N223,7)="Explore",S223,0))&lt;10),"SI","NO")</f>
        <v/>
      </c>
    </row>
    <row r="224">
      <c r="A224" t="inlineStr">
        <is>
          <t>c4f2_training</t>
        </is>
      </c>
      <c r="B224" t="inlineStr">
        <is>
          <t>2026-02-19 15:32:55.399</t>
        </is>
      </c>
      <c r="C224" t="n">
        <v/>
      </c>
      <c r="D224" t="inlineStr">
        <is>
          <t>Media file</t>
        </is>
      </c>
      <c r="E224" t="inlineStr">
        <is>
          <t>player #1:BTBR\training\c4f2.mp4</t>
        </is>
      </c>
      <c r="F224" t="n">
        <v>-21.267</v>
      </c>
      <c r="G224" t="n">
        <v>583.299</v>
      </c>
      <c r="H224" t="n">
        <v>640.066</v>
      </c>
      <c r="I224" t="n">
        <v>30</v>
      </c>
      <c r="J224" t="inlineStr">
        <is>
          <t>BTBR</t>
        </is>
      </c>
      <c r="K224" t="inlineStr">
        <is>
          <t xml:space="preserve"> Female</t>
        </is>
      </c>
      <c r="L224" t="inlineStr">
        <is>
          <t>No focal subject</t>
        </is>
      </c>
      <c r="M224" t="n">
        <v>61.164</v>
      </c>
      <c r="N224" t="inlineStr">
        <is>
          <t>Explore_F</t>
        </is>
      </c>
      <c r="O224" t="inlineStr">
        <is>
          <t>Familiar</t>
        </is>
      </c>
      <c r="P224" t="inlineStr">
        <is>
          <t>STATE</t>
        </is>
      </c>
      <c r="Q224" t="n">
        <v>4.3</v>
      </c>
      <c r="R224" t="n">
        <v>4.666</v>
      </c>
      <c r="S224" t="n">
        <v>0.366</v>
      </c>
      <c r="T224" t="inlineStr">
        <is>
          <t>BTBR\training\c4f2.mp4</t>
        </is>
      </c>
      <c r="U224" t="n">
        <v>129</v>
      </c>
      <c r="V224" t="n">
        <v>140</v>
      </c>
      <c r="W224" t="n">
        <v/>
      </c>
      <c r="X224" t="n">
        <v/>
      </c>
      <c r="Y224" t="n">
        <v/>
      </c>
      <c r="Z224" t="n">
        <v/>
      </c>
      <c r="AA224">
        <f>SUMIFS($S$2:S224,$A$2:A224,A224,$N$2:N224,"Explore*")</f>
        <v/>
      </c>
      <c r="AB224">
        <f>IF(AND(LEFT(N224,7)="Explore",(AA224-IF(LEFT(N224,7)="Explore",S224,0))&lt;10),"SI","NO")</f>
        <v/>
      </c>
    </row>
    <row r="225">
      <c r="A225" t="inlineStr">
        <is>
          <t>c4f2_training</t>
        </is>
      </c>
      <c r="B225" t="inlineStr">
        <is>
          <t>2026-02-19 15:32:55.399</t>
        </is>
      </c>
      <c r="C225" t="n">
        <v/>
      </c>
      <c r="D225" t="inlineStr">
        <is>
          <t>Media file</t>
        </is>
      </c>
      <c r="E225" t="inlineStr">
        <is>
          <t>player #1:BTBR\training\c4f2.mp4</t>
        </is>
      </c>
      <c r="F225" t="n">
        <v>-21.267</v>
      </c>
      <c r="G225" t="n">
        <v>583.299</v>
      </c>
      <c r="H225" t="n">
        <v>640.066</v>
      </c>
      <c r="I225" t="n">
        <v>30</v>
      </c>
      <c r="J225" t="inlineStr">
        <is>
          <t>BTBR</t>
        </is>
      </c>
      <c r="K225" t="inlineStr">
        <is>
          <t xml:space="preserve"> Female</t>
        </is>
      </c>
      <c r="L225" t="inlineStr">
        <is>
          <t>No focal subject</t>
        </is>
      </c>
      <c r="M225" t="n">
        <v>61.164</v>
      </c>
      <c r="N225" t="inlineStr">
        <is>
          <t>Explore_F2</t>
        </is>
      </c>
      <c r="O225" t="inlineStr">
        <is>
          <t>Second familiar</t>
        </is>
      </c>
      <c r="P225" t="inlineStr">
        <is>
          <t>STATE</t>
        </is>
      </c>
      <c r="Q225" t="n">
        <v>5.9</v>
      </c>
      <c r="R225" t="n">
        <v>6.466</v>
      </c>
      <c r="S225" t="n">
        <v>0.5659999999999999</v>
      </c>
      <c r="T225" t="inlineStr">
        <is>
          <t>BTBR\training\c4f2.mp4</t>
        </is>
      </c>
      <c r="U225" t="n">
        <v>177</v>
      </c>
      <c r="V225" t="n">
        <v>194</v>
      </c>
      <c r="W225" t="n">
        <v/>
      </c>
      <c r="X225" t="n">
        <v/>
      </c>
      <c r="Y225" t="n">
        <v/>
      </c>
      <c r="Z225" t="n">
        <v/>
      </c>
      <c r="AA225">
        <f>SUMIFS($S$2:S225,$A$2:A225,A225,$N$2:N225,"Explore*")</f>
        <v/>
      </c>
      <c r="AB225">
        <f>IF(AND(LEFT(N225,7)="Explore",(AA225-IF(LEFT(N225,7)="Explore",S225,0))&lt;10),"SI","NO")</f>
        <v/>
      </c>
    </row>
    <row r="226">
      <c r="A226" t="inlineStr">
        <is>
          <t>c4f2_training</t>
        </is>
      </c>
      <c r="B226" t="inlineStr">
        <is>
          <t>2026-02-19 15:32:55.399</t>
        </is>
      </c>
      <c r="C226" t="n">
        <v/>
      </c>
      <c r="D226" t="inlineStr">
        <is>
          <t>Media file</t>
        </is>
      </c>
      <c r="E226" t="inlineStr">
        <is>
          <t>player #1:BTBR\training\c4f2.mp4</t>
        </is>
      </c>
      <c r="F226" t="n">
        <v>-21.267</v>
      </c>
      <c r="G226" t="n">
        <v>583.299</v>
      </c>
      <c r="H226" t="n">
        <v>640.066</v>
      </c>
      <c r="I226" t="n">
        <v>30</v>
      </c>
      <c r="J226" t="inlineStr">
        <is>
          <t>BTBR</t>
        </is>
      </c>
      <c r="K226" t="inlineStr">
        <is>
          <t xml:space="preserve"> Female</t>
        </is>
      </c>
      <c r="L226" t="inlineStr">
        <is>
          <t>No focal subject</t>
        </is>
      </c>
      <c r="M226" t="n">
        <v>61.164</v>
      </c>
      <c r="N226" t="inlineStr">
        <is>
          <t>Explore_F2</t>
        </is>
      </c>
      <c r="O226" t="inlineStr">
        <is>
          <t>Second familiar</t>
        </is>
      </c>
      <c r="P226" t="inlineStr">
        <is>
          <t>STATE</t>
        </is>
      </c>
      <c r="Q226" t="n">
        <v>10.7</v>
      </c>
      <c r="R226" t="n">
        <v>11.4</v>
      </c>
      <c r="S226" t="n">
        <v>0.7</v>
      </c>
      <c r="T226" t="inlineStr">
        <is>
          <t>BTBR\training\c4f2.mp4</t>
        </is>
      </c>
      <c r="U226" t="n">
        <v>321</v>
      </c>
      <c r="V226" t="n">
        <v>342</v>
      </c>
      <c r="W226" t="n">
        <v/>
      </c>
      <c r="X226" t="n">
        <v/>
      </c>
      <c r="Y226" t="n">
        <v/>
      </c>
      <c r="Z226" t="n">
        <v/>
      </c>
      <c r="AA226">
        <f>SUMIFS($S$2:S226,$A$2:A226,A226,$N$2:N226,"Explore*")</f>
        <v/>
      </c>
      <c r="AB226">
        <f>IF(AND(LEFT(N226,7)="Explore",(AA226-IF(LEFT(N226,7)="Explore",S226,0))&lt;10),"SI","NO")</f>
        <v/>
      </c>
    </row>
    <row r="227">
      <c r="A227" t="inlineStr">
        <is>
          <t>c4f2_training</t>
        </is>
      </c>
      <c r="B227" t="inlineStr">
        <is>
          <t>2026-02-19 15:32:55.399</t>
        </is>
      </c>
      <c r="C227" t="n">
        <v/>
      </c>
      <c r="D227" t="inlineStr">
        <is>
          <t>Media file</t>
        </is>
      </c>
      <c r="E227" t="inlineStr">
        <is>
          <t>player #1:BTBR\training\c4f2.mp4</t>
        </is>
      </c>
      <c r="F227" t="n">
        <v>-21.267</v>
      </c>
      <c r="G227" t="n">
        <v>583.299</v>
      </c>
      <c r="H227" t="n">
        <v>640.066</v>
      </c>
      <c r="I227" t="n">
        <v>30</v>
      </c>
      <c r="J227" t="inlineStr">
        <is>
          <t>BTBR</t>
        </is>
      </c>
      <c r="K227" t="inlineStr">
        <is>
          <t xml:space="preserve"> Female</t>
        </is>
      </c>
      <c r="L227" t="inlineStr">
        <is>
          <t>No focal subject</t>
        </is>
      </c>
      <c r="M227" t="n">
        <v>61.164</v>
      </c>
      <c r="N227" t="inlineStr">
        <is>
          <t>Explore_F</t>
        </is>
      </c>
      <c r="O227" t="inlineStr">
        <is>
          <t>Familiar</t>
        </is>
      </c>
      <c r="P227" t="inlineStr">
        <is>
          <t>STATE</t>
        </is>
      </c>
      <c r="Q227" t="n">
        <v>14.166</v>
      </c>
      <c r="R227" t="n">
        <v>14.6</v>
      </c>
      <c r="S227" t="n">
        <v>0.434</v>
      </c>
      <c r="T227" t="inlineStr">
        <is>
          <t>BTBR\training\c4f2.mp4</t>
        </is>
      </c>
      <c r="U227" t="n">
        <v>425</v>
      </c>
      <c r="V227" t="n">
        <v>438</v>
      </c>
      <c r="W227" t="n">
        <v/>
      </c>
      <c r="X227" t="n">
        <v/>
      </c>
      <c r="Y227" t="n">
        <v/>
      </c>
      <c r="Z227" t="n">
        <v/>
      </c>
      <c r="AA227">
        <f>SUMIFS($S$2:S227,$A$2:A227,A227,$N$2:N227,"Explore*")</f>
        <v/>
      </c>
      <c r="AB227">
        <f>IF(AND(LEFT(N227,7)="Explore",(AA227-IF(LEFT(N227,7)="Explore",S227,0))&lt;10),"SI","NO")</f>
        <v/>
      </c>
    </row>
    <row r="228">
      <c r="A228" t="inlineStr">
        <is>
          <t>c4f2_training</t>
        </is>
      </c>
      <c r="B228" t="inlineStr">
        <is>
          <t>2026-02-19 15:32:55.399</t>
        </is>
      </c>
      <c r="C228" t="n">
        <v/>
      </c>
      <c r="D228" t="inlineStr">
        <is>
          <t>Media file</t>
        </is>
      </c>
      <c r="E228" t="inlineStr">
        <is>
          <t>player #1:BTBR\training\c4f2.mp4</t>
        </is>
      </c>
      <c r="F228" t="n">
        <v>-21.267</v>
      </c>
      <c r="G228" t="n">
        <v>583.299</v>
      </c>
      <c r="H228" t="n">
        <v>640.066</v>
      </c>
      <c r="I228" t="n">
        <v>30</v>
      </c>
      <c r="J228" t="inlineStr">
        <is>
          <t>BTBR</t>
        </is>
      </c>
      <c r="K228" t="inlineStr">
        <is>
          <t xml:space="preserve"> Female</t>
        </is>
      </c>
      <c r="L228" t="inlineStr">
        <is>
          <t>No focal subject</t>
        </is>
      </c>
      <c r="M228" t="n">
        <v>61.164</v>
      </c>
      <c r="N228" t="inlineStr">
        <is>
          <t>Explore_F2</t>
        </is>
      </c>
      <c r="O228" t="inlineStr">
        <is>
          <t>Second familiar</t>
        </is>
      </c>
      <c r="P228" t="inlineStr">
        <is>
          <t>STATE</t>
        </is>
      </c>
      <c r="Q228" t="n">
        <v>15.133</v>
      </c>
      <c r="R228" t="n">
        <v>16.033</v>
      </c>
      <c r="S228" t="n">
        <v>0.9</v>
      </c>
      <c r="T228" t="inlineStr">
        <is>
          <t>BTBR\training\c4f2.mp4</t>
        </is>
      </c>
      <c r="U228" t="n">
        <v>454</v>
      </c>
      <c r="V228" t="n">
        <v>482</v>
      </c>
      <c r="W228" t="n">
        <v/>
      </c>
      <c r="X228" t="n">
        <v/>
      </c>
      <c r="Y228" t="n">
        <v/>
      </c>
      <c r="Z228" t="n">
        <v/>
      </c>
      <c r="AA228">
        <f>SUMIFS($S$2:S228,$A$2:A228,A228,$N$2:N228,"Explore*")</f>
        <v/>
      </c>
      <c r="AB228">
        <f>IF(AND(LEFT(N228,7)="Explore",(AA228-IF(LEFT(N228,7)="Explore",S228,0))&lt;10),"SI","NO")</f>
        <v/>
      </c>
    </row>
    <row r="229">
      <c r="A229" t="inlineStr">
        <is>
          <t>c4f2_training</t>
        </is>
      </c>
      <c r="B229" t="inlineStr">
        <is>
          <t>2026-02-19 15:32:55.399</t>
        </is>
      </c>
      <c r="C229" t="n">
        <v/>
      </c>
      <c r="D229" t="inlineStr">
        <is>
          <t>Media file</t>
        </is>
      </c>
      <c r="E229" t="inlineStr">
        <is>
          <t>player #1:BTBR\training\c4f2.mp4</t>
        </is>
      </c>
      <c r="F229" t="n">
        <v>-21.267</v>
      </c>
      <c r="G229" t="n">
        <v>583.299</v>
      </c>
      <c r="H229" t="n">
        <v>640.066</v>
      </c>
      <c r="I229" t="n">
        <v>30</v>
      </c>
      <c r="J229" t="inlineStr">
        <is>
          <t>BTBR</t>
        </is>
      </c>
      <c r="K229" t="inlineStr">
        <is>
          <t xml:space="preserve"> Female</t>
        </is>
      </c>
      <c r="L229" t="inlineStr">
        <is>
          <t>No focal subject</t>
        </is>
      </c>
      <c r="M229" t="n">
        <v>61.164</v>
      </c>
      <c r="N229" t="inlineStr">
        <is>
          <t>Explore_F2</t>
        </is>
      </c>
      <c r="O229" t="inlineStr">
        <is>
          <t>Second familiar</t>
        </is>
      </c>
      <c r="P229" t="inlineStr">
        <is>
          <t>STATE</t>
        </is>
      </c>
      <c r="Q229" t="n">
        <v>19.033</v>
      </c>
      <c r="R229" t="n">
        <v>19.633</v>
      </c>
      <c r="S229" t="n">
        <v>0.6</v>
      </c>
      <c r="T229" t="inlineStr">
        <is>
          <t>BTBR\training\c4f2.mp4</t>
        </is>
      </c>
      <c r="U229" t="n">
        <v>572</v>
      </c>
      <c r="V229" t="n">
        <v>589</v>
      </c>
      <c r="W229" t="n">
        <v/>
      </c>
      <c r="X229" t="n">
        <v/>
      </c>
      <c r="Y229" t="n">
        <v/>
      </c>
      <c r="Z229" t="n">
        <v/>
      </c>
      <c r="AA229">
        <f>SUMIFS($S$2:S229,$A$2:A229,A229,$N$2:N229,"Explore*")</f>
        <v/>
      </c>
      <c r="AB229">
        <f>IF(AND(LEFT(N229,7)="Explore",(AA229-IF(LEFT(N229,7)="Explore",S229,0))&lt;10),"SI","NO")</f>
        <v/>
      </c>
    </row>
    <row r="230">
      <c r="A230" t="inlineStr">
        <is>
          <t>c4f2_training</t>
        </is>
      </c>
      <c r="B230" t="inlineStr">
        <is>
          <t>2026-02-19 15:32:55.399</t>
        </is>
      </c>
      <c r="C230" t="n">
        <v/>
      </c>
      <c r="D230" t="inlineStr">
        <is>
          <t>Media file</t>
        </is>
      </c>
      <c r="E230" t="inlineStr">
        <is>
          <t>player #1:BTBR\training\c4f2.mp4</t>
        </is>
      </c>
      <c r="F230" t="n">
        <v>-21.267</v>
      </c>
      <c r="G230" t="n">
        <v>583.299</v>
      </c>
      <c r="H230" t="n">
        <v>640.066</v>
      </c>
      <c r="I230" t="n">
        <v>30</v>
      </c>
      <c r="J230" t="inlineStr">
        <is>
          <t>BTBR</t>
        </is>
      </c>
      <c r="K230" t="inlineStr">
        <is>
          <t xml:space="preserve"> Female</t>
        </is>
      </c>
      <c r="L230" t="inlineStr">
        <is>
          <t>No focal subject</t>
        </is>
      </c>
      <c r="M230" t="n">
        <v>61.164</v>
      </c>
      <c r="N230" t="inlineStr">
        <is>
          <t>Explore_F</t>
        </is>
      </c>
      <c r="O230" t="inlineStr">
        <is>
          <t>Familiar</t>
        </is>
      </c>
      <c r="P230" t="inlineStr">
        <is>
          <t>STATE</t>
        </is>
      </c>
      <c r="Q230" t="n">
        <v>20.266</v>
      </c>
      <c r="R230" t="n">
        <v>20.533</v>
      </c>
      <c r="S230" t="n">
        <v>0.267</v>
      </c>
      <c r="T230" t="inlineStr">
        <is>
          <t>BTBR\training\c4f2.mp4</t>
        </is>
      </c>
      <c r="U230" t="n">
        <v>608</v>
      </c>
      <c r="V230" t="n">
        <v>617</v>
      </c>
      <c r="W230" t="n">
        <v/>
      </c>
      <c r="X230" t="n">
        <v/>
      </c>
      <c r="Y230" t="n">
        <v/>
      </c>
      <c r="Z230" t="n">
        <v/>
      </c>
      <c r="AA230">
        <f>SUMIFS($S$2:S230,$A$2:A230,A230,$N$2:N230,"Explore*")</f>
        <v/>
      </c>
      <c r="AB230">
        <f>IF(AND(LEFT(N230,7)="Explore",(AA230-IF(LEFT(N230,7)="Explore",S230,0))&lt;10),"SI","NO")</f>
        <v/>
      </c>
    </row>
    <row r="231">
      <c r="A231" t="inlineStr">
        <is>
          <t>c4f2_training</t>
        </is>
      </c>
      <c r="B231" t="inlineStr">
        <is>
          <t>2026-02-19 15:32:55.399</t>
        </is>
      </c>
      <c r="C231" t="n">
        <v/>
      </c>
      <c r="D231" t="inlineStr">
        <is>
          <t>Media file</t>
        </is>
      </c>
      <c r="E231" t="inlineStr">
        <is>
          <t>player #1:BTBR\training\c4f2.mp4</t>
        </is>
      </c>
      <c r="F231" t="n">
        <v>-21.267</v>
      </c>
      <c r="G231" t="n">
        <v>583.299</v>
      </c>
      <c r="H231" t="n">
        <v>640.066</v>
      </c>
      <c r="I231" t="n">
        <v>30</v>
      </c>
      <c r="J231" t="inlineStr">
        <is>
          <t>BTBR</t>
        </is>
      </c>
      <c r="K231" t="inlineStr">
        <is>
          <t xml:space="preserve"> Female</t>
        </is>
      </c>
      <c r="L231" t="inlineStr">
        <is>
          <t>No focal subject</t>
        </is>
      </c>
      <c r="M231" t="n">
        <v>61.164</v>
      </c>
      <c r="N231" t="inlineStr">
        <is>
          <t>Explore_F2</t>
        </is>
      </c>
      <c r="O231" t="inlineStr">
        <is>
          <t>Second familiar</t>
        </is>
      </c>
      <c r="P231" t="inlineStr">
        <is>
          <t>STATE</t>
        </is>
      </c>
      <c r="Q231" t="n">
        <v>25.1</v>
      </c>
      <c r="R231" t="n">
        <v>25.4</v>
      </c>
      <c r="S231" t="n">
        <v>0.3</v>
      </c>
      <c r="T231" t="inlineStr">
        <is>
          <t>BTBR\training\c4f2.mp4</t>
        </is>
      </c>
      <c r="U231" t="n">
        <v>753</v>
      </c>
      <c r="V231" t="n">
        <v>762</v>
      </c>
      <c r="W231" t="n">
        <v/>
      </c>
      <c r="X231" t="n">
        <v/>
      </c>
      <c r="Y231" t="n">
        <v/>
      </c>
      <c r="Z231" t="n">
        <v/>
      </c>
      <c r="AA231">
        <f>SUMIFS($S$2:S231,$A$2:A231,A231,$N$2:N231,"Explore*")</f>
        <v/>
      </c>
      <c r="AB231">
        <f>IF(AND(LEFT(N231,7)="Explore",(AA231-IF(LEFT(N231,7)="Explore",S231,0))&lt;10),"SI","NO")</f>
        <v/>
      </c>
    </row>
    <row r="232">
      <c r="A232" t="inlineStr">
        <is>
          <t>c4f2_training</t>
        </is>
      </c>
      <c r="B232" t="inlineStr">
        <is>
          <t>2026-02-19 15:32:55.399</t>
        </is>
      </c>
      <c r="C232" t="n">
        <v/>
      </c>
      <c r="D232" t="inlineStr">
        <is>
          <t>Media file</t>
        </is>
      </c>
      <c r="E232" t="inlineStr">
        <is>
          <t>player #1:BTBR\training\c4f2.mp4</t>
        </is>
      </c>
      <c r="F232" t="n">
        <v>-21.267</v>
      </c>
      <c r="G232" t="n">
        <v>583.299</v>
      </c>
      <c r="H232" t="n">
        <v>640.066</v>
      </c>
      <c r="I232" t="n">
        <v>30</v>
      </c>
      <c r="J232" t="inlineStr">
        <is>
          <t>BTBR</t>
        </is>
      </c>
      <c r="K232" t="inlineStr">
        <is>
          <t xml:space="preserve"> Female</t>
        </is>
      </c>
      <c r="L232" t="inlineStr">
        <is>
          <t>No focal subject</t>
        </is>
      </c>
      <c r="M232" t="n">
        <v>61.164</v>
      </c>
      <c r="N232" t="inlineStr">
        <is>
          <t>Explore_F</t>
        </is>
      </c>
      <c r="O232" t="inlineStr">
        <is>
          <t>Familiar</t>
        </is>
      </c>
      <c r="P232" t="inlineStr">
        <is>
          <t>STATE</t>
        </is>
      </c>
      <c r="Q232" t="n">
        <v>26.366</v>
      </c>
      <c r="R232" t="n">
        <v>26.6</v>
      </c>
      <c r="S232" t="n">
        <v>0.234</v>
      </c>
      <c r="T232" t="inlineStr">
        <is>
          <t>BTBR\training\c4f2.mp4</t>
        </is>
      </c>
      <c r="U232" t="n">
        <v>791</v>
      </c>
      <c r="V232" t="n">
        <v>798</v>
      </c>
      <c r="W232" t="n">
        <v/>
      </c>
      <c r="X232" t="n">
        <v/>
      </c>
      <c r="Y232" t="n">
        <v/>
      </c>
      <c r="Z232" t="n">
        <v/>
      </c>
      <c r="AA232">
        <f>SUMIFS($S$2:S232,$A$2:A232,A232,$N$2:N232,"Explore*")</f>
        <v/>
      </c>
      <c r="AB232">
        <f>IF(AND(LEFT(N232,7)="Explore",(AA232-IF(LEFT(N232,7)="Explore",S232,0))&lt;10),"SI","NO")</f>
        <v/>
      </c>
    </row>
    <row r="233">
      <c r="A233" t="inlineStr">
        <is>
          <t>c4f2_training</t>
        </is>
      </c>
      <c r="B233" t="inlineStr">
        <is>
          <t>2026-02-19 15:32:55.399</t>
        </is>
      </c>
      <c r="C233" t="n">
        <v/>
      </c>
      <c r="D233" t="inlineStr">
        <is>
          <t>Media file</t>
        </is>
      </c>
      <c r="E233" t="inlineStr">
        <is>
          <t>player #1:BTBR\training\c4f2.mp4</t>
        </is>
      </c>
      <c r="F233" t="n">
        <v>-21.267</v>
      </c>
      <c r="G233" t="n">
        <v>583.299</v>
      </c>
      <c r="H233" t="n">
        <v>640.066</v>
      </c>
      <c r="I233" t="n">
        <v>30</v>
      </c>
      <c r="J233" t="inlineStr">
        <is>
          <t>BTBR</t>
        </is>
      </c>
      <c r="K233" t="inlineStr">
        <is>
          <t xml:space="preserve"> Female</t>
        </is>
      </c>
      <c r="L233" t="inlineStr">
        <is>
          <t>No focal subject</t>
        </is>
      </c>
      <c r="M233" t="n">
        <v>61.164</v>
      </c>
      <c r="N233" t="inlineStr">
        <is>
          <t>Explore_F2</t>
        </is>
      </c>
      <c r="O233" t="inlineStr">
        <is>
          <t>Second familiar</t>
        </is>
      </c>
      <c r="P233" t="inlineStr">
        <is>
          <t>STATE</t>
        </is>
      </c>
      <c r="Q233" t="n">
        <v>28.566</v>
      </c>
      <c r="R233" t="n">
        <v>28.866</v>
      </c>
      <c r="S233" t="n">
        <v>0.3</v>
      </c>
      <c r="T233" t="inlineStr">
        <is>
          <t>BTBR\training\c4f2.mp4</t>
        </is>
      </c>
      <c r="U233" t="n">
        <v>857</v>
      </c>
      <c r="V233" t="n">
        <v>866</v>
      </c>
      <c r="W233" t="n">
        <v/>
      </c>
      <c r="X233" t="n">
        <v/>
      </c>
      <c r="Y233" t="n">
        <v/>
      </c>
      <c r="Z233" t="n">
        <v/>
      </c>
      <c r="AA233">
        <f>SUMIFS($S$2:S233,$A$2:A233,A233,$N$2:N233,"Explore*")</f>
        <v/>
      </c>
      <c r="AB233">
        <f>IF(AND(LEFT(N233,7)="Explore",(AA233-IF(LEFT(N233,7)="Explore",S233,0))&lt;10),"SI","NO")</f>
        <v/>
      </c>
    </row>
    <row r="234">
      <c r="A234" t="inlineStr">
        <is>
          <t>c4f2_training</t>
        </is>
      </c>
      <c r="B234" t="inlineStr">
        <is>
          <t>2026-02-19 15:32:55.399</t>
        </is>
      </c>
      <c r="C234" t="n">
        <v/>
      </c>
      <c r="D234" t="inlineStr">
        <is>
          <t>Media file</t>
        </is>
      </c>
      <c r="E234" t="inlineStr">
        <is>
          <t>player #1:BTBR\training\c4f2.mp4</t>
        </is>
      </c>
      <c r="F234" t="n">
        <v>-21.267</v>
      </c>
      <c r="G234" t="n">
        <v>583.299</v>
      </c>
      <c r="H234" t="n">
        <v>640.066</v>
      </c>
      <c r="I234" t="n">
        <v>30</v>
      </c>
      <c r="J234" t="inlineStr">
        <is>
          <t>BTBR</t>
        </is>
      </c>
      <c r="K234" t="inlineStr">
        <is>
          <t xml:space="preserve"> Female</t>
        </is>
      </c>
      <c r="L234" t="inlineStr">
        <is>
          <t>No focal subject</t>
        </is>
      </c>
      <c r="M234" t="n">
        <v>61.164</v>
      </c>
      <c r="N234" t="inlineStr">
        <is>
          <t>Explore_F</t>
        </is>
      </c>
      <c r="O234" t="inlineStr">
        <is>
          <t>Familiar</t>
        </is>
      </c>
      <c r="P234" t="inlineStr">
        <is>
          <t>STATE</t>
        </is>
      </c>
      <c r="Q234" t="n">
        <v>29.566</v>
      </c>
      <c r="R234" t="n">
        <v>30.333</v>
      </c>
      <c r="S234" t="n">
        <v>0.767</v>
      </c>
      <c r="T234" t="inlineStr">
        <is>
          <t>BTBR\training\c4f2.mp4</t>
        </is>
      </c>
      <c r="U234" t="n">
        <v>887</v>
      </c>
      <c r="V234" t="n">
        <v>910</v>
      </c>
      <c r="W234" t="n">
        <v/>
      </c>
      <c r="X234" t="n">
        <v/>
      </c>
      <c r="Y234" t="n">
        <v/>
      </c>
      <c r="Z234" t="n">
        <v/>
      </c>
      <c r="AA234">
        <f>SUMIFS($S$2:S234,$A$2:A234,A234,$N$2:N234,"Explore*")</f>
        <v/>
      </c>
      <c r="AB234">
        <f>IF(AND(LEFT(N234,7)="Explore",(AA234-IF(LEFT(N234,7)="Explore",S234,0))&lt;10),"SI","NO")</f>
        <v/>
      </c>
    </row>
    <row r="235">
      <c r="A235" t="inlineStr">
        <is>
          <t>c4f2_training</t>
        </is>
      </c>
      <c r="B235" t="inlineStr">
        <is>
          <t>2026-02-19 15:32:55.399</t>
        </is>
      </c>
      <c r="C235" t="n">
        <v/>
      </c>
      <c r="D235" t="inlineStr">
        <is>
          <t>Media file</t>
        </is>
      </c>
      <c r="E235" t="inlineStr">
        <is>
          <t>player #1:BTBR\training\c4f2.mp4</t>
        </is>
      </c>
      <c r="F235" t="n">
        <v>-21.267</v>
      </c>
      <c r="G235" t="n">
        <v>583.299</v>
      </c>
      <c r="H235" t="n">
        <v>640.066</v>
      </c>
      <c r="I235" t="n">
        <v>30</v>
      </c>
      <c r="J235" t="inlineStr">
        <is>
          <t>BTBR</t>
        </is>
      </c>
      <c r="K235" t="inlineStr">
        <is>
          <t xml:space="preserve"> Female</t>
        </is>
      </c>
      <c r="L235" t="inlineStr">
        <is>
          <t>No focal subject</t>
        </is>
      </c>
      <c r="M235" t="n">
        <v>61.164</v>
      </c>
      <c r="N235" t="inlineStr">
        <is>
          <t>Explore_F2</t>
        </is>
      </c>
      <c r="O235" t="inlineStr">
        <is>
          <t>Second familiar</t>
        </is>
      </c>
      <c r="P235" t="inlineStr">
        <is>
          <t>STATE</t>
        </is>
      </c>
      <c r="Q235" t="n">
        <v>32.233</v>
      </c>
      <c r="R235" t="n">
        <v>32.5</v>
      </c>
      <c r="S235" t="n">
        <v>0.267</v>
      </c>
      <c r="T235" t="inlineStr">
        <is>
          <t>BTBR\training\c4f2.mp4</t>
        </is>
      </c>
      <c r="U235" t="n">
        <v>967</v>
      </c>
      <c r="V235" t="n">
        <v>977</v>
      </c>
      <c r="W235" t="n">
        <v/>
      </c>
      <c r="X235" t="n">
        <v/>
      </c>
      <c r="Y235" t="n">
        <v/>
      </c>
      <c r="Z235" t="n">
        <v/>
      </c>
      <c r="AA235">
        <f>SUMIFS($S$2:S235,$A$2:A235,A235,$N$2:N235,"Explore*")</f>
        <v/>
      </c>
      <c r="AB235">
        <f>IF(AND(LEFT(N235,7)="Explore",(AA235-IF(LEFT(N235,7)="Explore",S235,0))&lt;10),"SI","NO")</f>
        <v/>
      </c>
    </row>
    <row r="236">
      <c r="A236" t="inlineStr">
        <is>
          <t>c4f2_training</t>
        </is>
      </c>
      <c r="B236" t="inlineStr">
        <is>
          <t>2026-02-19 15:32:55.399</t>
        </is>
      </c>
      <c r="C236" t="n">
        <v/>
      </c>
      <c r="D236" t="inlineStr">
        <is>
          <t>Media file</t>
        </is>
      </c>
      <c r="E236" t="inlineStr">
        <is>
          <t>player #1:BTBR\training\c4f2.mp4</t>
        </is>
      </c>
      <c r="F236" t="n">
        <v>-21.267</v>
      </c>
      <c r="G236" t="n">
        <v>583.299</v>
      </c>
      <c r="H236" t="n">
        <v>640.066</v>
      </c>
      <c r="I236" t="n">
        <v>30</v>
      </c>
      <c r="J236" t="inlineStr">
        <is>
          <t>BTBR</t>
        </is>
      </c>
      <c r="K236" t="inlineStr">
        <is>
          <t xml:space="preserve"> Female</t>
        </is>
      </c>
      <c r="L236" t="inlineStr">
        <is>
          <t>No focal subject</t>
        </is>
      </c>
      <c r="M236" t="n">
        <v>61.164</v>
      </c>
      <c r="N236" t="inlineStr">
        <is>
          <t>Explore_F</t>
        </is>
      </c>
      <c r="O236" t="inlineStr">
        <is>
          <t>Familiar</t>
        </is>
      </c>
      <c r="P236" t="inlineStr">
        <is>
          <t>STATE</t>
        </is>
      </c>
      <c r="Q236" t="n">
        <v>36.7</v>
      </c>
      <c r="R236" t="n">
        <v>37.033</v>
      </c>
      <c r="S236" t="n">
        <v>0.333</v>
      </c>
      <c r="T236" t="inlineStr">
        <is>
          <t>BTBR\training\c4f2.mp4</t>
        </is>
      </c>
      <c r="U236" t="n">
        <v>1101</v>
      </c>
      <c r="V236" t="n">
        <v>1112</v>
      </c>
      <c r="W236" t="n">
        <v/>
      </c>
      <c r="X236" t="n">
        <v/>
      </c>
      <c r="Y236" t="n">
        <v/>
      </c>
      <c r="Z236" t="n">
        <v/>
      </c>
      <c r="AA236">
        <f>SUMIFS($S$2:S236,$A$2:A236,A236,$N$2:N236,"Explore*")</f>
        <v/>
      </c>
      <c r="AB236">
        <f>IF(AND(LEFT(N236,7)="Explore",(AA236-IF(LEFT(N236,7)="Explore",S236,0))&lt;10),"SI","NO")</f>
        <v/>
      </c>
    </row>
    <row r="237">
      <c r="A237" t="inlineStr">
        <is>
          <t>c4f2_training</t>
        </is>
      </c>
      <c r="B237" t="inlineStr">
        <is>
          <t>2026-02-19 15:32:55.399</t>
        </is>
      </c>
      <c r="C237" t="n">
        <v/>
      </c>
      <c r="D237" t="inlineStr">
        <is>
          <t>Media file</t>
        </is>
      </c>
      <c r="E237" t="inlineStr">
        <is>
          <t>player #1:BTBR\training\c4f2.mp4</t>
        </is>
      </c>
      <c r="F237" t="n">
        <v>-21.267</v>
      </c>
      <c r="G237" t="n">
        <v>583.299</v>
      </c>
      <c r="H237" t="n">
        <v>640.066</v>
      </c>
      <c r="I237" t="n">
        <v>30</v>
      </c>
      <c r="J237" t="inlineStr">
        <is>
          <t>BTBR</t>
        </is>
      </c>
      <c r="K237" t="inlineStr">
        <is>
          <t xml:space="preserve"> Female</t>
        </is>
      </c>
      <c r="L237" t="inlineStr">
        <is>
          <t>No focal subject</t>
        </is>
      </c>
      <c r="M237" t="n">
        <v>61.164</v>
      </c>
      <c r="N237" t="inlineStr">
        <is>
          <t>Explore_F2</t>
        </is>
      </c>
      <c r="O237" t="inlineStr">
        <is>
          <t>Second familiar</t>
        </is>
      </c>
      <c r="P237" t="inlineStr">
        <is>
          <t>STATE</t>
        </is>
      </c>
      <c r="Q237" t="n">
        <v>37.466</v>
      </c>
      <c r="R237" t="n">
        <v>37.866</v>
      </c>
      <c r="S237" t="n">
        <v>0.4</v>
      </c>
      <c r="T237" t="inlineStr">
        <is>
          <t>BTBR\training\c4f2.mp4</t>
        </is>
      </c>
      <c r="U237" t="n">
        <v>1124</v>
      </c>
      <c r="V237" t="n">
        <v>1136</v>
      </c>
      <c r="W237" t="n">
        <v/>
      </c>
      <c r="X237" t="n">
        <v/>
      </c>
      <c r="Y237" t="n">
        <v/>
      </c>
      <c r="Z237" t="n">
        <v/>
      </c>
      <c r="AA237">
        <f>SUMIFS($S$2:S237,$A$2:A237,A237,$N$2:N237,"Explore*")</f>
        <v/>
      </c>
      <c r="AB237">
        <f>IF(AND(LEFT(N237,7)="Explore",(AA237-IF(LEFT(N237,7)="Explore",S237,0))&lt;10),"SI","NO")</f>
        <v/>
      </c>
    </row>
    <row r="238">
      <c r="A238" t="inlineStr">
        <is>
          <t>c4f2_training</t>
        </is>
      </c>
      <c r="B238" t="inlineStr">
        <is>
          <t>2026-02-19 15:32:55.399</t>
        </is>
      </c>
      <c r="C238" t="n">
        <v/>
      </c>
      <c r="D238" t="inlineStr">
        <is>
          <t>Media file</t>
        </is>
      </c>
      <c r="E238" t="inlineStr">
        <is>
          <t>player #1:BTBR\training\c4f2.mp4</t>
        </is>
      </c>
      <c r="F238" t="n">
        <v>-21.267</v>
      </c>
      <c r="G238" t="n">
        <v>583.299</v>
      </c>
      <c r="H238" t="n">
        <v>640.066</v>
      </c>
      <c r="I238" t="n">
        <v>30</v>
      </c>
      <c r="J238" t="inlineStr">
        <is>
          <t>BTBR</t>
        </is>
      </c>
      <c r="K238" t="inlineStr">
        <is>
          <t xml:space="preserve"> Female</t>
        </is>
      </c>
      <c r="L238" t="inlineStr">
        <is>
          <t>No focal subject</t>
        </is>
      </c>
      <c r="M238" t="n">
        <v>61.164</v>
      </c>
      <c r="N238" t="inlineStr">
        <is>
          <t>Explore_F</t>
        </is>
      </c>
      <c r="O238" t="inlineStr">
        <is>
          <t>Familiar</t>
        </is>
      </c>
      <c r="P238" t="inlineStr">
        <is>
          <t>STATE</t>
        </is>
      </c>
      <c r="Q238" t="n">
        <v>41.433</v>
      </c>
      <c r="R238" t="n">
        <v>41.666</v>
      </c>
      <c r="S238" t="n">
        <v>0.233</v>
      </c>
      <c r="T238" t="inlineStr">
        <is>
          <t>BTBR\training\c4f2.mp4</t>
        </is>
      </c>
      <c r="U238" t="n">
        <v>1243</v>
      </c>
      <c r="V238" t="n">
        <v>1250</v>
      </c>
      <c r="W238" t="n">
        <v/>
      </c>
      <c r="X238" t="n">
        <v/>
      </c>
      <c r="Y238" t="n">
        <v/>
      </c>
      <c r="Z238" t="n">
        <v/>
      </c>
      <c r="AA238">
        <f>SUMIFS($S$2:S238,$A$2:A238,A238,$N$2:N238,"Explore*")</f>
        <v/>
      </c>
      <c r="AB238">
        <f>IF(AND(LEFT(N238,7)="Explore",(AA238-IF(LEFT(N238,7)="Explore",S238,0))&lt;10),"SI","NO")</f>
        <v/>
      </c>
    </row>
    <row r="239">
      <c r="A239" t="inlineStr">
        <is>
          <t>c4f2_training</t>
        </is>
      </c>
      <c r="B239" t="inlineStr">
        <is>
          <t>2026-02-19 15:32:55.399</t>
        </is>
      </c>
      <c r="C239" t="n">
        <v/>
      </c>
      <c r="D239" t="inlineStr">
        <is>
          <t>Media file</t>
        </is>
      </c>
      <c r="E239" t="inlineStr">
        <is>
          <t>player #1:BTBR\training\c4f2.mp4</t>
        </is>
      </c>
      <c r="F239" t="n">
        <v>-21.267</v>
      </c>
      <c r="G239" t="n">
        <v>583.299</v>
      </c>
      <c r="H239" t="n">
        <v>640.066</v>
      </c>
      <c r="I239" t="n">
        <v>30</v>
      </c>
      <c r="J239" t="inlineStr">
        <is>
          <t>BTBR</t>
        </is>
      </c>
      <c r="K239" t="inlineStr">
        <is>
          <t xml:space="preserve"> Female</t>
        </is>
      </c>
      <c r="L239" t="inlineStr">
        <is>
          <t>No focal subject</t>
        </is>
      </c>
      <c r="M239" t="n">
        <v>61.164</v>
      </c>
      <c r="N239" t="inlineStr">
        <is>
          <t>Explore_F</t>
        </is>
      </c>
      <c r="O239" t="inlineStr">
        <is>
          <t>Familiar</t>
        </is>
      </c>
      <c r="P239" t="inlineStr">
        <is>
          <t>STATE</t>
        </is>
      </c>
      <c r="Q239" t="n">
        <v>43.266</v>
      </c>
      <c r="R239" t="n">
        <v>43.566</v>
      </c>
      <c r="S239" t="n">
        <v>0.3</v>
      </c>
      <c r="T239" t="inlineStr">
        <is>
          <t>BTBR\training\c4f2.mp4</t>
        </is>
      </c>
      <c r="U239" t="n">
        <v>1298</v>
      </c>
      <c r="V239" t="n">
        <v>1307</v>
      </c>
      <c r="W239" t="n">
        <v/>
      </c>
      <c r="X239" t="n">
        <v/>
      </c>
      <c r="Y239" t="n">
        <v/>
      </c>
      <c r="Z239" t="n">
        <v/>
      </c>
      <c r="AA239">
        <f>SUMIFS($S$2:S239,$A$2:A239,A239,$N$2:N239,"Explore*")</f>
        <v/>
      </c>
      <c r="AB239">
        <f>IF(AND(LEFT(N239,7)="Explore",(AA239-IF(LEFT(N239,7)="Explore",S239,0))&lt;10),"SI","NO")</f>
        <v/>
      </c>
    </row>
    <row r="240">
      <c r="A240" t="inlineStr">
        <is>
          <t>c4f2_training</t>
        </is>
      </c>
      <c r="B240" t="inlineStr">
        <is>
          <t>2026-02-19 15:32:55.399</t>
        </is>
      </c>
      <c r="C240" t="n">
        <v/>
      </c>
      <c r="D240" t="inlineStr">
        <is>
          <t>Media file</t>
        </is>
      </c>
      <c r="E240" t="inlineStr">
        <is>
          <t>player #1:BTBR\training\c4f2.mp4</t>
        </is>
      </c>
      <c r="F240" t="n">
        <v>-21.267</v>
      </c>
      <c r="G240" t="n">
        <v>583.299</v>
      </c>
      <c r="H240" t="n">
        <v>640.066</v>
      </c>
      <c r="I240" t="n">
        <v>30</v>
      </c>
      <c r="J240" t="inlineStr">
        <is>
          <t>BTBR</t>
        </is>
      </c>
      <c r="K240" t="inlineStr">
        <is>
          <t xml:space="preserve"> Female</t>
        </is>
      </c>
      <c r="L240" t="inlineStr">
        <is>
          <t>No focal subject</t>
        </is>
      </c>
      <c r="M240" t="n">
        <v>61.164</v>
      </c>
      <c r="N240" t="inlineStr">
        <is>
          <t>Explore_F</t>
        </is>
      </c>
      <c r="O240" t="inlineStr">
        <is>
          <t>Familiar</t>
        </is>
      </c>
      <c r="P240" t="inlineStr">
        <is>
          <t>STATE</t>
        </is>
      </c>
      <c r="Q240" t="n">
        <v>49.766</v>
      </c>
      <c r="R240" t="n">
        <v>50.166</v>
      </c>
      <c r="S240" t="n">
        <v>0.4</v>
      </c>
      <c r="T240" t="inlineStr">
        <is>
          <t>BTBR\training\c4f2.mp4</t>
        </is>
      </c>
      <c r="U240" t="n">
        <v>1493</v>
      </c>
      <c r="V240" t="n">
        <v>1505</v>
      </c>
      <c r="W240" t="n">
        <v/>
      </c>
      <c r="X240" t="n">
        <v/>
      </c>
      <c r="Y240" t="n">
        <v/>
      </c>
      <c r="Z240" t="n">
        <v/>
      </c>
      <c r="AA240">
        <f>SUMIFS($S$2:S240,$A$2:A240,A240,$N$2:N240,"Explore*")</f>
        <v/>
      </c>
      <c r="AB240">
        <f>IF(AND(LEFT(N240,7)="Explore",(AA240-IF(LEFT(N240,7)="Explore",S240,0))&lt;10),"SI","NO")</f>
        <v/>
      </c>
    </row>
    <row r="241">
      <c r="A241" t="inlineStr">
        <is>
          <t>c4f2_training</t>
        </is>
      </c>
      <c r="B241" t="inlineStr">
        <is>
          <t>2026-02-19 15:32:55.399</t>
        </is>
      </c>
      <c r="C241" t="n">
        <v/>
      </c>
      <c r="D241" t="inlineStr">
        <is>
          <t>Media file</t>
        </is>
      </c>
      <c r="E241" t="inlineStr">
        <is>
          <t>player #1:BTBR\training\c4f2.mp4</t>
        </is>
      </c>
      <c r="F241" t="n">
        <v>-21.267</v>
      </c>
      <c r="G241" t="n">
        <v>583.299</v>
      </c>
      <c r="H241" t="n">
        <v>640.066</v>
      </c>
      <c r="I241" t="n">
        <v>30</v>
      </c>
      <c r="J241" t="inlineStr">
        <is>
          <t>BTBR</t>
        </is>
      </c>
      <c r="K241" t="inlineStr">
        <is>
          <t xml:space="preserve"> Female</t>
        </is>
      </c>
      <c r="L241" t="inlineStr">
        <is>
          <t>No focal subject</t>
        </is>
      </c>
      <c r="M241" t="n">
        <v>61.164</v>
      </c>
      <c r="N241" t="inlineStr">
        <is>
          <t>Explore_F2</t>
        </is>
      </c>
      <c r="O241" t="inlineStr">
        <is>
          <t>Second familiar</t>
        </is>
      </c>
      <c r="P241" t="inlineStr">
        <is>
          <t>STATE</t>
        </is>
      </c>
      <c r="Q241" t="n">
        <v>54.133</v>
      </c>
      <c r="R241" t="n">
        <v>54.466</v>
      </c>
      <c r="S241" t="n">
        <v>0.333</v>
      </c>
      <c r="T241" t="inlineStr">
        <is>
          <t>BTBR\training\c4f2.mp4</t>
        </is>
      </c>
      <c r="U241" t="n">
        <v>1624</v>
      </c>
      <c r="V241" t="n">
        <v>1634</v>
      </c>
      <c r="W241" t="n">
        <v/>
      </c>
      <c r="X241" t="n">
        <v/>
      </c>
      <c r="Y241" t="n">
        <v/>
      </c>
      <c r="Z241" t="n">
        <v/>
      </c>
      <c r="AA241">
        <f>SUMIFS($S$2:S241,$A$2:A241,A241,$N$2:N241,"Explore*")</f>
        <v/>
      </c>
      <c r="AB241">
        <f>IF(AND(LEFT(N241,7)="Explore",(AA241-IF(LEFT(N241,7)="Explore",S241,0))&lt;10),"SI","NO")</f>
        <v/>
      </c>
    </row>
    <row r="242">
      <c r="A242" t="inlineStr">
        <is>
          <t>c4f2_training</t>
        </is>
      </c>
      <c r="B242" t="inlineStr">
        <is>
          <t>2026-02-19 15:32:55.399</t>
        </is>
      </c>
      <c r="C242" t="n">
        <v/>
      </c>
      <c r="D242" t="inlineStr">
        <is>
          <t>Media file</t>
        </is>
      </c>
      <c r="E242" t="inlineStr">
        <is>
          <t>player #1:BTBR\training\c4f2.mp4</t>
        </is>
      </c>
      <c r="F242" t="n">
        <v>-21.267</v>
      </c>
      <c r="G242" t="n">
        <v>583.299</v>
      </c>
      <c r="H242" t="n">
        <v>640.066</v>
      </c>
      <c r="I242" t="n">
        <v>30</v>
      </c>
      <c r="J242" t="inlineStr">
        <is>
          <t>BTBR</t>
        </is>
      </c>
      <c r="K242" t="inlineStr">
        <is>
          <t xml:space="preserve"> Female</t>
        </is>
      </c>
      <c r="L242" t="inlineStr">
        <is>
          <t>No focal subject</t>
        </is>
      </c>
      <c r="M242" t="n">
        <v>61.164</v>
      </c>
      <c r="N242" t="inlineStr">
        <is>
          <t>Explore_F</t>
        </is>
      </c>
      <c r="O242" t="inlineStr">
        <is>
          <t>Familiar</t>
        </is>
      </c>
      <c r="P242" t="inlineStr">
        <is>
          <t>STATE</t>
        </is>
      </c>
      <c r="Q242" t="n">
        <v>55.066</v>
      </c>
      <c r="R242" t="n">
        <v>55.433</v>
      </c>
      <c r="S242" t="n">
        <v>0.367</v>
      </c>
      <c r="T242" t="inlineStr">
        <is>
          <t>BTBR\training\c4f2.mp4</t>
        </is>
      </c>
      <c r="U242" t="n">
        <v>1652</v>
      </c>
      <c r="V242" t="n">
        <v>1663</v>
      </c>
      <c r="W242" t="n">
        <v/>
      </c>
      <c r="X242" t="n">
        <v/>
      </c>
      <c r="Y242" t="n">
        <v/>
      </c>
      <c r="Z242" t="n">
        <v/>
      </c>
      <c r="AA242">
        <f>SUMIFS($S$2:S242,$A$2:A242,A242,$N$2:N242,"Explore*")</f>
        <v/>
      </c>
      <c r="AB242">
        <f>IF(AND(LEFT(N242,7)="Explore",(AA242-IF(LEFT(N242,7)="Explore",S242,0))&lt;10),"SI","NO")</f>
        <v/>
      </c>
    </row>
    <row r="243">
      <c r="A243" t="inlineStr">
        <is>
          <t>c4f2_training</t>
        </is>
      </c>
      <c r="B243" t="inlineStr">
        <is>
          <t>2026-02-19 15:32:55.399</t>
        </is>
      </c>
      <c r="C243" t="n">
        <v/>
      </c>
      <c r="D243" t="inlineStr">
        <is>
          <t>Media file</t>
        </is>
      </c>
      <c r="E243" t="inlineStr">
        <is>
          <t>player #1:BTBR\training\c4f2.mp4</t>
        </is>
      </c>
      <c r="F243" t="n">
        <v>-21.267</v>
      </c>
      <c r="G243" t="n">
        <v>583.299</v>
      </c>
      <c r="H243" t="n">
        <v>640.066</v>
      </c>
      <c r="I243" t="n">
        <v>30</v>
      </c>
      <c r="J243" t="inlineStr">
        <is>
          <t>BTBR</t>
        </is>
      </c>
      <c r="K243" t="inlineStr">
        <is>
          <t xml:space="preserve"> Female</t>
        </is>
      </c>
      <c r="L243" t="inlineStr">
        <is>
          <t>No focal subject</t>
        </is>
      </c>
      <c r="M243" t="n">
        <v>61.164</v>
      </c>
      <c r="N243" t="inlineStr">
        <is>
          <t>Explore_F</t>
        </is>
      </c>
      <c r="O243" t="inlineStr">
        <is>
          <t>Familiar</t>
        </is>
      </c>
      <c r="P243" t="inlineStr">
        <is>
          <t>STATE</t>
        </is>
      </c>
      <c r="Q243" t="n">
        <v>61.633</v>
      </c>
      <c r="R243" t="n">
        <v>61.9</v>
      </c>
      <c r="S243" t="n">
        <v>0.267</v>
      </c>
      <c r="T243" t="inlineStr">
        <is>
          <t>BTBR\training\c4f2.mp4</t>
        </is>
      </c>
      <c r="U243" t="n">
        <v>1849</v>
      </c>
      <c r="V243" t="n">
        <v>1857</v>
      </c>
      <c r="W243" t="n">
        <v/>
      </c>
      <c r="X243" t="n">
        <v/>
      </c>
      <c r="Y243" t="n">
        <v/>
      </c>
      <c r="Z243" t="n">
        <v/>
      </c>
      <c r="AA243">
        <f>SUMIFS($S$2:S243,$A$2:A243,A243,$N$2:N243,"Explore*")</f>
        <v/>
      </c>
      <c r="AB243">
        <f>IF(AND(LEFT(N243,7)="Explore",(AA243-IF(LEFT(N243,7)="Explore",S243,0))&lt;10),"SI","NO")</f>
        <v/>
      </c>
    </row>
    <row r="244">
      <c r="A244" t="inlineStr">
        <is>
          <t>c4f2_training</t>
        </is>
      </c>
      <c r="B244" t="inlineStr">
        <is>
          <t>2026-02-19 15:32:55.399</t>
        </is>
      </c>
      <c r="C244" t="n">
        <v/>
      </c>
      <c r="D244" t="inlineStr">
        <is>
          <t>Media file</t>
        </is>
      </c>
      <c r="E244" t="inlineStr">
        <is>
          <t>player #1:BTBR\training\c4f2.mp4</t>
        </is>
      </c>
      <c r="F244" t="n">
        <v>-21.267</v>
      </c>
      <c r="G244" t="n">
        <v>583.299</v>
      </c>
      <c r="H244" t="n">
        <v>640.066</v>
      </c>
      <c r="I244" t="n">
        <v>30</v>
      </c>
      <c r="J244" t="inlineStr">
        <is>
          <t>BTBR</t>
        </is>
      </c>
      <c r="K244" t="inlineStr">
        <is>
          <t xml:space="preserve"> Female</t>
        </is>
      </c>
      <c r="L244" t="inlineStr">
        <is>
          <t>No focal subject</t>
        </is>
      </c>
      <c r="M244" t="n">
        <v>61.164</v>
      </c>
      <c r="N244" t="inlineStr">
        <is>
          <t>Explore_F2</t>
        </is>
      </c>
      <c r="O244" t="inlineStr">
        <is>
          <t>Second familiar</t>
        </is>
      </c>
      <c r="P244" t="inlineStr">
        <is>
          <t>STATE</t>
        </is>
      </c>
      <c r="Q244" t="n">
        <v>63.066</v>
      </c>
      <c r="R244" t="n">
        <v>63.433</v>
      </c>
      <c r="S244" t="n">
        <v>0.367</v>
      </c>
      <c r="T244" t="inlineStr">
        <is>
          <t>BTBR\training\c4f2.mp4</t>
        </is>
      </c>
      <c r="U244" t="n">
        <v>1892</v>
      </c>
      <c r="V244" t="n">
        <v>1903</v>
      </c>
      <c r="W244" t="n">
        <v/>
      </c>
      <c r="X244" t="n">
        <v/>
      </c>
      <c r="Y244" t="n">
        <v/>
      </c>
      <c r="Z244" t="n">
        <v/>
      </c>
      <c r="AA244">
        <f>SUMIFS($S$2:S244,$A$2:A244,A244,$N$2:N244,"Explore*")</f>
        <v/>
      </c>
      <c r="AB244">
        <f>IF(AND(LEFT(N244,7)="Explore",(AA244-IF(LEFT(N244,7)="Explore",S244,0))&lt;10),"SI","NO")</f>
        <v/>
      </c>
    </row>
    <row r="245">
      <c r="A245" t="inlineStr">
        <is>
          <t>c4f2_training</t>
        </is>
      </c>
      <c r="B245" t="inlineStr">
        <is>
          <t>2026-02-19 15:32:55.399</t>
        </is>
      </c>
      <c r="C245" t="n">
        <v/>
      </c>
      <c r="D245" t="inlineStr">
        <is>
          <t>Media file</t>
        </is>
      </c>
      <c r="E245" t="inlineStr">
        <is>
          <t>player #1:BTBR\training\c4f2.mp4</t>
        </is>
      </c>
      <c r="F245" t="n">
        <v>-21.267</v>
      </c>
      <c r="G245" t="n">
        <v>583.299</v>
      </c>
      <c r="H245" t="n">
        <v>640.066</v>
      </c>
      <c r="I245" t="n">
        <v>30</v>
      </c>
      <c r="J245" t="inlineStr">
        <is>
          <t>BTBR</t>
        </is>
      </c>
      <c r="K245" t="inlineStr">
        <is>
          <t xml:space="preserve"> Female</t>
        </is>
      </c>
      <c r="L245" t="inlineStr">
        <is>
          <t>No focal subject</t>
        </is>
      </c>
      <c r="M245" t="n">
        <v>61.164</v>
      </c>
      <c r="N245" t="inlineStr">
        <is>
          <t>Explore_F2</t>
        </is>
      </c>
      <c r="O245" t="inlineStr">
        <is>
          <t>Second familiar</t>
        </is>
      </c>
      <c r="P245" t="inlineStr">
        <is>
          <t>STATE</t>
        </is>
      </c>
      <c r="Q245" t="n">
        <v>64.5</v>
      </c>
      <c r="R245" t="n">
        <v>64.8</v>
      </c>
      <c r="S245" t="n">
        <v>0.3</v>
      </c>
      <c r="T245" t="inlineStr">
        <is>
          <t>BTBR\training\c4f2.mp4</t>
        </is>
      </c>
      <c r="U245" t="n">
        <v>1937</v>
      </c>
      <c r="V245" t="n">
        <v>1944</v>
      </c>
      <c r="W245" t="n">
        <v/>
      </c>
      <c r="X245" t="n">
        <v/>
      </c>
      <c r="Y245" t="n">
        <v/>
      </c>
      <c r="Z245" t="n">
        <v/>
      </c>
      <c r="AA245">
        <f>SUMIFS($S$2:S245,$A$2:A245,A245,$N$2:N245,"Explore*")</f>
        <v/>
      </c>
      <c r="AB245">
        <f>IF(AND(LEFT(N245,7)="Explore",(AA245-IF(LEFT(N245,7)="Explore",S245,0))&lt;10),"SI","NO")</f>
        <v/>
      </c>
    </row>
    <row r="246">
      <c r="A246" t="inlineStr">
        <is>
          <t>c4f2_training</t>
        </is>
      </c>
      <c r="B246" t="inlineStr">
        <is>
          <t>2026-02-19 15:32:55.399</t>
        </is>
      </c>
      <c r="C246" t="n">
        <v/>
      </c>
      <c r="D246" t="inlineStr">
        <is>
          <t>Media file</t>
        </is>
      </c>
      <c r="E246" t="inlineStr">
        <is>
          <t>player #1:BTBR\training\c4f2.mp4</t>
        </is>
      </c>
      <c r="F246" t="n">
        <v>-21.267</v>
      </c>
      <c r="G246" t="n">
        <v>583.299</v>
      </c>
      <c r="H246" t="n">
        <v>640.066</v>
      </c>
      <c r="I246" t="n">
        <v>30</v>
      </c>
      <c r="J246" t="inlineStr">
        <is>
          <t>BTBR</t>
        </is>
      </c>
      <c r="K246" t="inlineStr">
        <is>
          <t xml:space="preserve"> Female</t>
        </is>
      </c>
      <c r="L246" t="inlineStr">
        <is>
          <t>No focal subject</t>
        </is>
      </c>
      <c r="M246" t="n">
        <v>61.164</v>
      </c>
      <c r="N246" t="inlineStr">
        <is>
          <t>Explore_F</t>
        </is>
      </c>
      <c r="O246" t="inlineStr">
        <is>
          <t>Familiar</t>
        </is>
      </c>
      <c r="P246" t="inlineStr">
        <is>
          <t>STATE</t>
        </is>
      </c>
      <c r="Q246" t="n">
        <v>66.333</v>
      </c>
      <c r="R246" t="n">
        <v>66.8</v>
      </c>
      <c r="S246" t="n">
        <v>0.467</v>
      </c>
      <c r="T246" t="inlineStr">
        <is>
          <t>BTBR\training\c4f2.mp4</t>
        </is>
      </c>
      <c r="U246" t="n">
        <v>1990</v>
      </c>
      <c r="V246" t="n">
        <v>2004</v>
      </c>
      <c r="W246" t="n">
        <v/>
      </c>
      <c r="X246" t="n">
        <v/>
      </c>
      <c r="Y246" t="n">
        <v/>
      </c>
      <c r="Z246" t="n">
        <v/>
      </c>
      <c r="AA246">
        <f>SUMIFS($S$2:S246,$A$2:A246,A246,$N$2:N246,"Explore*")</f>
        <v/>
      </c>
      <c r="AB246">
        <f>IF(AND(LEFT(N246,7)="Explore",(AA246-IF(LEFT(N246,7)="Explore",S246,0))&lt;10),"SI","NO")</f>
        <v/>
      </c>
    </row>
    <row r="247">
      <c r="A247" t="inlineStr">
        <is>
          <t>c4f2_training</t>
        </is>
      </c>
      <c r="B247" t="inlineStr">
        <is>
          <t>2026-02-19 15:32:55.399</t>
        </is>
      </c>
      <c r="C247" t="n">
        <v/>
      </c>
      <c r="D247" t="inlineStr">
        <is>
          <t>Media file</t>
        </is>
      </c>
      <c r="E247" t="inlineStr">
        <is>
          <t>player #1:BTBR\training\c4f2.mp4</t>
        </is>
      </c>
      <c r="F247" t="n">
        <v>-21.267</v>
      </c>
      <c r="G247" t="n">
        <v>583.299</v>
      </c>
      <c r="H247" t="n">
        <v>640.066</v>
      </c>
      <c r="I247" t="n">
        <v>30</v>
      </c>
      <c r="J247" t="inlineStr">
        <is>
          <t>BTBR</t>
        </is>
      </c>
      <c r="K247" t="inlineStr">
        <is>
          <t xml:space="preserve"> Female</t>
        </is>
      </c>
      <c r="L247" t="inlineStr">
        <is>
          <t>No focal subject</t>
        </is>
      </c>
      <c r="M247" t="n">
        <v>61.164</v>
      </c>
      <c r="N247" t="inlineStr">
        <is>
          <t>Explore_F</t>
        </is>
      </c>
      <c r="O247" t="inlineStr">
        <is>
          <t>Familiar</t>
        </is>
      </c>
      <c r="P247" t="inlineStr">
        <is>
          <t>STATE</t>
        </is>
      </c>
      <c r="Q247" t="n">
        <v>67.733</v>
      </c>
      <c r="R247" t="n">
        <v>68</v>
      </c>
      <c r="S247" t="n">
        <v>0.267</v>
      </c>
      <c r="T247" t="inlineStr">
        <is>
          <t>BTBR\training\c4f2.mp4</t>
        </is>
      </c>
      <c r="U247" t="n">
        <v>2032</v>
      </c>
      <c r="V247" t="n">
        <v>2042</v>
      </c>
      <c r="W247" t="n">
        <v/>
      </c>
      <c r="X247" t="n">
        <v/>
      </c>
      <c r="Y247" t="n">
        <v/>
      </c>
      <c r="Z247" t="n">
        <v/>
      </c>
      <c r="AA247">
        <f>SUMIFS($S$2:S247,$A$2:A247,A247,$N$2:N247,"Explore*")</f>
        <v/>
      </c>
      <c r="AB247">
        <f>IF(AND(LEFT(N247,7)="Explore",(AA247-IF(LEFT(N247,7)="Explore",S247,0))&lt;10),"SI","NO")</f>
        <v/>
      </c>
    </row>
    <row r="248">
      <c r="A248" t="inlineStr">
        <is>
          <t>c4f2_training</t>
        </is>
      </c>
      <c r="B248" t="inlineStr">
        <is>
          <t>2026-02-19 15:32:55.399</t>
        </is>
      </c>
      <c r="C248" t="n">
        <v/>
      </c>
      <c r="D248" t="inlineStr">
        <is>
          <t>Media file</t>
        </is>
      </c>
      <c r="E248" t="inlineStr">
        <is>
          <t>player #1:BTBR\training\c4f2.mp4</t>
        </is>
      </c>
      <c r="F248" t="n">
        <v>-21.267</v>
      </c>
      <c r="G248" t="n">
        <v>583.299</v>
      </c>
      <c r="H248" t="n">
        <v>640.066</v>
      </c>
      <c r="I248" t="n">
        <v>30</v>
      </c>
      <c r="J248" t="inlineStr">
        <is>
          <t>BTBR</t>
        </is>
      </c>
      <c r="K248" t="inlineStr">
        <is>
          <t xml:space="preserve"> Female</t>
        </is>
      </c>
      <c r="L248" t="inlineStr">
        <is>
          <t>No focal subject</t>
        </is>
      </c>
      <c r="M248" t="n">
        <v>61.164</v>
      </c>
      <c r="N248" t="inlineStr">
        <is>
          <t>Explore_F2</t>
        </is>
      </c>
      <c r="O248" t="inlineStr">
        <is>
          <t>Second familiar</t>
        </is>
      </c>
      <c r="P248" t="inlineStr">
        <is>
          <t>STATE</t>
        </is>
      </c>
      <c r="Q248" t="n">
        <v>70.7</v>
      </c>
      <c r="R248" t="n">
        <v>71</v>
      </c>
      <c r="S248" t="n">
        <v>0.3</v>
      </c>
      <c r="T248" t="inlineStr">
        <is>
          <t>BTBR\training\c4f2.mp4</t>
        </is>
      </c>
      <c r="U248" t="n">
        <v>2121</v>
      </c>
      <c r="V248" t="n">
        <v>2132</v>
      </c>
      <c r="W248" t="n">
        <v/>
      </c>
      <c r="X248" t="n">
        <v/>
      </c>
      <c r="Y248" t="n">
        <v/>
      </c>
      <c r="Z248" t="n">
        <v/>
      </c>
      <c r="AA248">
        <f>SUMIFS($S$2:S248,$A$2:A248,A248,$N$2:N248,"Explore*")</f>
        <v/>
      </c>
      <c r="AB248">
        <f>IF(AND(LEFT(N248,7)="Explore",(AA248-IF(LEFT(N248,7)="Explore",S248,0))&lt;10),"SI","NO")</f>
        <v/>
      </c>
    </row>
    <row r="249">
      <c r="A249" t="inlineStr">
        <is>
          <t>c4f2_training</t>
        </is>
      </c>
      <c r="B249" t="inlineStr">
        <is>
          <t>2026-02-19 15:32:55.399</t>
        </is>
      </c>
      <c r="C249" t="n">
        <v/>
      </c>
      <c r="D249" t="inlineStr">
        <is>
          <t>Media file</t>
        </is>
      </c>
      <c r="E249" t="inlineStr">
        <is>
          <t>player #1:BTBR\training\c4f2.mp4</t>
        </is>
      </c>
      <c r="F249" t="n">
        <v>-21.267</v>
      </c>
      <c r="G249" t="n">
        <v>583.299</v>
      </c>
      <c r="H249" t="n">
        <v>640.066</v>
      </c>
      <c r="I249" t="n">
        <v>30</v>
      </c>
      <c r="J249" t="inlineStr">
        <is>
          <t>BTBR</t>
        </is>
      </c>
      <c r="K249" t="inlineStr">
        <is>
          <t xml:space="preserve"> Female</t>
        </is>
      </c>
      <c r="L249" t="inlineStr">
        <is>
          <t>No focal subject</t>
        </is>
      </c>
      <c r="M249" t="n">
        <v>61.164</v>
      </c>
      <c r="N249" t="inlineStr">
        <is>
          <t>Explore_F</t>
        </is>
      </c>
      <c r="O249" t="inlineStr">
        <is>
          <t>Familiar</t>
        </is>
      </c>
      <c r="P249" t="inlineStr">
        <is>
          <t>STATE</t>
        </is>
      </c>
      <c r="Q249" t="n">
        <v>73.066</v>
      </c>
      <c r="R249" t="n">
        <v>73.46599999999999</v>
      </c>
      <c r="S249" t="n">
        <v>0.4</v>
      </c>
      <c r="T249" t="inlineStr">
        <is>
          <t>BTBR\training\c4f2.mp4</t>
        </is>
      </c>
      <c r="U249" t="n">
        <v>2192</v>
      </c>
      <c r="V249" t="n">
        <v>2204</v>
      </c>
      <c r="W249" t="n">
        <v/>
      </c>
      <c r="X249" t="n">
        <v/>
      </c>
      <c r="Y249" t="n">
        <v/>
      </c>
      <c r="Z249" t="n">
        <v/>
      </c>
      <c r="AA249">
        <f>SUMIFS($S$2:S249,$A$2:A249,A249,$N$2:N249,"Explore*")</f>
        <v/>
      </c>
      <c r="AB249">
        <f>IF(AND(LEFT(N249,7)="Explore",(AA249-IF(LEFT(N249,7)="Explore",S249,0))&lt;10),"SI","NO")</f>
        <v/>
      </c>
    </row>
    <row r="250">
      <c r="A250" t="inlineStr">
        <is>
          <t>c4f2_training</t>
        </is>
      </c>
      <c r="B250" t="inlineStr">
        <is>
          <t>2026-02-19 15:32:55.399</t>
        </is>
      </c>
      <c r="C250" t="n">
        <v/>
      </c>
      <c r="D250" t="inlineStr">
        <is>
          <t>Media file</t>
        </is>
      </c>
      <c r="E250" t="inlineStr">
        <is>
          <t>player #1:BTBR\training\c4f2.mp4</t>
        </is>
      </c>
      <c r="F250" t="n">
        <v>-21.267</v>
      </c>
      <c r="G250" t="n">
        <v>583.299</v>
      </c>
      <c r="H250" t="n">
        <v>640.066</v>
      </c>
      <c r="I250" t="n">
        <v>30</v>
      </c>
      <c r="J250" t="inlineStr">
        <is>
          <t>BTBR</t>
        </is>
      </c>
      <c r="K250" t="inlineStr">
        <is>
          <t xml:space="preserve"> Female</t>
        </is>
      </c>
      <c r="L250" t="inlineStr">
        <is>
          <t>No focal subject</t>
        </is>
      </c>
      <c r="M250" t="n">
        <v>61.164</v>
      </c>
      <c r="N250" t="inlineStr">
        <is>
          <t>Explore_F2</t>
        </is>
      </c>
      <c r="O250" t="inlineStr">
        <is>
          <t>Second familiar</t>
        </is>
      </c>
      <c r="P250" t="inlineStr">
        <is>
          <t>STATE</t>
        </is>
      </c>
      <c r="Q250" t="n">
        <v>77.3</v>
      </c>
      <c r="R250" t="n">
        <v>77.666</v>
      </c>
      <c r="S250" t="n">
        <v>0.366</v>
      </c>
      <c r="T250" t="inlineStr">
        <is>
          <t>BTBR\training\c4f2.mp4</t>
        </is>
      </c>
      <c r="U250" t="n">
        <v>2319</v>
      </c>
      <c r="V250" t="n">
        <v>2330</v>
      </c>
      <c r="W250" t="n">
        <v/>
      </c>
      <c r="X250" t="n">
        <v/>
      </c>
      <c r="Y250" t="n">
        <v/>
      </c>
      <c r="Z250" t="n">
        <v/>
      </c>
      <c r="AA250">
        <f>SUMIFS($S$2:S250,$A$2:A250,A250,$N$2:N250,"Explore*")</f>
        <v/>
      </c>
      <c r="AB250">
        <f>IF(AND(LEFT(N250,7)="Explore",(AA250-IF(LEFT(N250,7)="Explore",S250,0))&lt;10),"SI","NO")</f>
        <v/>
      </c>
    </row>
    <row r="251">
      <c r="A251" t="inlineStr">
        <is>
          <t>c4f2_training</t>
        </is>
      </c>
      <c r="B251" t="inlineStr">
        <is>
          <t>2026-02-19 15:32:55.399</t>
        </is>
      </c>
      <c r="C251" t="n">
        <v/>
      </c>
      <c r="D251" t="inlineStr">
        <is>
          <t>Media file</t>
        </is>
      </c>
      <c r="E251" t="inlineStr">
        <is>
          <t>player #1:BTBR\training\c4f2.mp4</t>
        </is>
      </c>
      <c r="F251" t="n">
        <v>-21.267</v>
      </c>
      <c r="G251" t="n">
        <v>583.299</v>
      </c>
      <c r="H251" t="n">
        <v>640.066</v>
      </c>
      <c r="I251" t="n">
        <v>30</v>
      </c>
      <c r="J251" t="inlineStr">
        <is>
          <t>BTBR</t>
        </is>
      </c>
      <c r="K251" t="inlineStr">
        <is>
          <t xml:space="preserve"> Female</t>
        </is>
      </c>
      <c r="L251" t="inlineStr">
        <is>
          <t>No focal subject</t>
        </is>
      </c>
      <c r="M251" t="n">
        <v>61.164</v>
      </c>
      <c r="N251" t="inlineStr">
        <is>
          <t>Explore_F2</t>
        </is>
      </c>
      <c r="O251" t="inlineStr">
        <is>
          <t>Second familiar</t>
        </is>
      </c>
      <c r="P251" t="inlineStr">
        <is>
          <t>STATE</t>
        </is>
      </c>
      <c r="Q251" t="n">
        <v>87.43300000000001</v>
      </c>
      <c r="R251" t="n">
        <v>87.733</v>
      </c>
      <c r="S251" t="n">
        <v>0.3</v>
      </c>
      <c r="T251" t="inlineStr">
        <is>
          <t>BTBR\training\c4f2.mp4</t>
        </is>
      </c>
      <c r="U251" t="n">
        <v>2623</v>
      </c>
      <c r="V251" t="n">
        <v>2632</v>
      </c>
      <c r="W251" t="n">
        <v/>
      </c>
      <c r="X251" t="n">
        <v/>
      </c>
      <c r="Y251" t="n">
        <v/>
      </c>
      <c r="Z251" t="n">
        <v/>
      </c>
      <c r="AA251">
        <f>SUMIFS($S$2:S251,$A$2:A251,A251,$N$2:N251,"Explore*")</f>
        <v/>
      </c>
      <c r="AB251">
        <f>IF(AND(LEFT(N251,7)="Explore",(AA251-IF(LEFT(N251,7)="Explore",S251,0))&lt;10),"SI","NO")</f>
        <v/>
      </c>
    </row>
    <row r="252">
      <c r="A252" t="inlineStr">
        <is>
          <t>c4f2_training</t>
        </is>
      </c>
      <c r="B252" t="inlineStr">
        <is>
          <t>2026-02-19 15:32:55.399</t>
        </is>
      </c>
      <c r="C252" t="n">
        <v/>
      </c>
      <c r="D252" t="inlineStr">
        <is>
          <t>Media file</t>
        </is>
      </c>
      <c r="E252" t="inlineStr">
        <is>
          <t>player #1:BTBR\training\c4f2.mp4</t>
        </is>
      </c>
      <c r="F252" t="n">
        <v>-21.267</v>
      </c>
      <c r="G252" t="n">
        <v>583.299</v>
      </c>
      <c r="H252" t="n">
        <v>640.066</v>
      </c>
      <c r="I252" t="n">
        <v>30</v>
      </c>
      <c r="J252" t="inlineStr">
        <is>
          <t>BTBR</t>
        </is>
      </c>
      <c r="K252" t="inlineStr">
        <is>
          <t xml:space="preserve"> Female</t>
        </is>
      </c>
      <c r="L252" t="inlineStr">
        <is>
          <t>No focal subject</t>
        </is>
      </c>
      <c r="M252" t="n">
        <v>61.164</v>
      </c>
      <c r="N252" t="inlineStr">
        <is>
          <t>Explore_F</t>
        </is>
      </c>
      <c r="O252" t="inlineStr">
        <is>
          <t>Familiar</t>
        </is>
      </c>
      <c r="P252" t="inlineStr">
        <is>
          <t>STATE</t>
        </is>
      </c>
      <c r="Q252" t="n">
        <v>89.26600000000001</v>
      </c>
      <c r="R252" t="n">
        <v>89.833</v>
      </c>
      <c r="S252" t="n">
        <v>0.5669999999999999</v>
      </c>
      <c r="T252" t="inlineStr">
        <is>
          <t>BTBR\training\c4f2.mp4</t>
        </is>
      </c>
      <c r="U252" t="n">
        <v>2678</v>
      </c>
      <c r="V252" t="n">
        <v>2695</v>
      </c>
      <c r="W252" t="n">
        <v/>
      </c>
      <c r="X252" t="n">
        <v/>
      </c>
      <c r="Y252" t="n">
        <v/>
      </c>
      <c r="Z252" t="n">
        <v/>
      </c>
      <c r="AA252">
        <f>SUMIFS($S$2:S252,$A$2:A252,A252,$N$2:N252,"Explore*")</f>
        <v/>
      </c>
      <c r="AB252">
        <f>IF(AND(LEFT(N252,7)="Explore",(AA252-IF(LEFT(N252,7)="Explore",S252,0))&lt;10),"SI","NO")</f>
        <v/>
      </c>
    </row>
    <row r="253">
      <c r="A253" t="inlineStr">
        <is>
          <t>c4f2_training</t>
        </is>
      </c>
      <c r="B253" t="inlineStr">
        <is>
          <t>2026-02-19 15:32:55.399</t>
        </is>
      </c>
      <c r="C253" t="n">
        <v/>
      </c>
      <c r="D253" t="inlineStr">
        <is>
          <t>Media file</t>
        </is>
      </c>
      <c r="E253" t="inlineStr">
        <is>
          <t>player #1:BTBR\training\c4f2.mp4</t>
        </is>
      </c>
      <c r="F253" t="n">
        <v>-21.267</v>
      </c>
      <c r="G253" t="n">
        <v>583.299</v>
      </c>
      <c r="H253" t="n">
        <v>640.066</v>
      </c>
      <c r="I253" t="n">
        <v>30</v>
      </c>
      <c r="J253" t="inlineStr">
        <is>
          <t>BTBR</t>
        </is>
      </c>
      <c r="K253" t="inlineStr">
        <is>
          <t xml:space="preserve"> Female</t>
        </is>
      </c>
      <c r="L253" t="inlineStr">
        <is>
          <t>No focal subject</t>
        </is>
      </c>
      <c r="M253" t="n">
        <v>61.164</v>
      </c>
      <c r="N253" t="inlineStr">
        <is>
          <t>Explore_F2</t>
        </is>
      </c>
      <c r="O253" t="inlineStr">
        <is>
          <t>Second familiar</t>
        </is>
      </c>
      <c r="P253" t="inlineStr">
        <is>
          <t>STATE</t>
        </is>
      </c>
      <c r="Q253" t="n">
        <v>103.366</v>
      </c>
      <c r="R253" t="n">
        <v>103.666</v>
      </c>
      <c r="S253" t="n">
        <v>0.3</v>
      </c>
      <c r="T253" t="inlineStr">
        <is>
          <t>BTBR\training\c4f2.mp4</t>
        </is>
      </c>
      <c r="U253" t="n">
        <v>3101</v>
      </c>
      <c r="V253" t="n">
        <v>3110</v>
      </c>
      <c r="W253" t="n">
        <v/>
      </c>
      <c r="X253" t="n">
        <v/>
      </c>
      <c r="Y253" t="n">
        <v/>
      </c>
      <c r="Z253" t="n">
        <v/>
      </c>
      <c r="AA253">
        <f>SUMIFS($S$2:S253,$A$2:A253,A253,$N$2:N253,"Explore*")</f>
        <v/>
      </c>
      <c r="AB253">
        <f>IF(AND(LEFT(N253,7)="Explore",(AA253-IF(LEFT(N253,7)="Explore",S253,0))&lt;10),"SI","NO")</f>
        <v/>
      </c>
    </row>
    <row r="254">
      <c r="A254" t="inlineStr">
        <is>
          <t>c4f2_training</t>
        </is>
      </c>
      <c r="B254" t="inlineStr">
        <is>
          <t>2026-02-19 15:32:55.399</t>
        </is>
      </c>
      <c r="C254" t="n">
        <v/>
      </c>
      <c r="D254" t="inlineStr">
        <is>
          <t>Media file</t>
        </is>
      </c>
      <c r="E254" t="inlineStr">
        <is>
          <t>player #1:BTBR\training\c4f2.mp4</t>
        </is>
      </c>
      <c r="F254" t="n">
        <v>-21.267</v>
      </c>
      <c r="G254" t="n">
        <v>583.299</v>
      </c>
      <c r="H254" t="n">
        <v>640.066</v>
      </c>
      <c r="I254" t="n">
        <v>30</v>
      </c>
      <c r="J254" t="inlineStr">
        <is>
          <t>BTBR</t>
        </is>
      </c>
      <c r="K254" t="inlineStr">
        <is>
          <t xml:space="preserve"> Female</t>
        </is>
      </c>
      <c r="L254" t="inlineStr">
        <is>
          <t>No focal subject</t>
        </is>
      </c>
      <c r="M254" t="n">
        <v>61.164</v>
      </c>
      <c r="N254" t="inlineStr">
        <is>
          <t>Explore_F</t>
        </is>
      </c>
      <c r="O254" t="inlineStr">
        <is>
          <t>Familiar</t>
        </is>
      </c>
      <c r="P254" t="inlineStr">
        <is>
          <t>STATE</t>
        </is>
      </c>
      <c r="Q254" t="n">
        <v>104.9</v>
      </c>
      <c r="R254" t="n">
        <v>105.2</v>
      </c>
      <c r="S254" t="n">
        <v>0.3</v>
      </c>
      <c r="T254" t="inlineStr">
        <is>
          <t>BTBR\training\c4f2.mp4</t>
        </is>
      </c>
      <c r="U254" t="n">
        <v>3147</v>
      </c>
      <c r="V254" t="n">
        <v>3156</v>
      </c>
      <c r="W254" t="n">
        <v/>
      </c>
      <c r="X254" t="n">
        <v/>
      </c>
      <c r="Y254" t="n">
        <v/>
      </c>
      <c r="Z254" t="n">
        <v/>
      </c>
      <c r="AA254">
        <f>SUMIFS($S$2:S254,$A$2:A254,A254,$N$2:N254,"Explore*")</f>
        <v/>
      </c>
      <c r="AB254">
        <f>IF(AND(LEFT(N254,7)="Explore",(AA254-IF(LEFT(N254,7)="Explore",S254,0))&lt;10),"SI","NO")</f>
        <v/>
      </c>
    </row>
    <row r="255">
      <c r="A255" t="inlineStr">
        <is>
          <t>c4f2_training</t>
        </is>
      </c>
      <c r="B255" t="inlineStr">
        <is>
          <t>2026-02-19 15:32:55.399</t>
        </is>
      </c>
      <c r="C255" t="n">
        <v/>
      </c>
      <c r="D255" t="inlineStr">
        <is>
          <t>Media file</t>
        </is>
      </c>
      <c r="E255" t="inlineStr">
        <is>
          <t>player #1:BTBR\training\c4f2.mp4</t>
        </is>
      </c>
      <c r="F255" t="n">
        <v>-21.267</v>
      </c>
      <c r="G255" t="n">
        <v>583.299</v>
      </c>
      <c r="H255" t="n">
        <v>640.066</v>
      </c>
      <c r="I255" t="n">
        <v>30</v>
      </c>
      <c r="J255" t="inlineStr">
        <is>
          <t>BTBR</t>
        </is>
      </c>
      <c r="K255" t="inlineStr">
        <is>
          <t xml:space="preserve"> Female</t>
        </is>
      </c>
      <c r="L255" t="inlineStr">
        <is>
          <t>No focal subject</t>
        </is>
      </c>
      <c r="M255" t="n">
        <v>61.164</v>
      </c>
      <c r="N255" t="inlineStr">
        <is>
          <t>Explore_F2</t>
        </is>
      </c>
      <c r="O255" t="inlineStr">
        <is>
          <t>Second familiar</t>
        </is>
      </c>
      <c r="P255" t="inlineStr">
        <is>
          <t>STATE</t>
        </is>
      </c>
      <c r="Q255" t="n">
        <v>107.533</v>
      </c>
      <c r="R255" t="n">
        <v>107.866</v>
      </c>
      <c r="S255" t="n">
        <v>0.333</v>
      </c>
      <c r="T255" t="inlineStr">
        <is>
          <t>BTBR\training\c4f2.mp4</t>
        </is>
      </c>
      <c r="U255" t="n">
        <v>3227</v>
      </c>
      <c r="V255" t="n">
        <v>3236</v>
      </c>
      <c r="W255" t="n">
        <v/>
      </c>
      <c r="X255" t="n">
        <v/>
      </c>
      <c r="Y255" t="n">
        <v/>
      </c>
      <c r="Z255" t="n">
        <v/>
      </c>
      <c r="AA255">
        <f>SUMIFS($S$2:S255,$A$2:A255,A255,$N$2:N255,"Explore*")</f>
        <v/>
      </c>
      <c r="AB255">
        <f>IF(AND(LEFT(N255,7)="Explore",(AA255-IF(LEFT(N255,7)="Explore",S255,0))&lt;10),"SI","NO")</f>
        <v/>
      </c>
    </row>
    <row r="256">
      <c r="A256" t="inlineStr">
        <is>
          <t>c4f2_training</t>
        </is>
      </c>
      <c r="B256" t="inlineStr">
        <is>
          <t>2026-02-19 15:32:55.399</t>
        </is>
      </c>
      <c r="C256" t="n">
        <v/>
      </c>
      <c r="D256" t="inlineStr">
        <is>
          <t>Media file</t>
        </is>
      </c>
      <c r="E256" t="inlineStr">
        <is>
          <t>player #1:BTBR\training\c4f2.mp4</t>
        </is>
      </c>
      <c r="F256" t="n">
        <v>-21.267</v>
      </c>
      <c r="G256" t="n">
        <v>583.299</v>
      </c>
      <c r="H256" t="n">
        <v>640.066</v>
      </c>
      <c r="I256" t="n">
        <v>30</v>
      </c>
      <c r="J256" t="inlineStr">
        <is>
          <t>BTBR</t>
        </is>
      </c>
      <c r="K256" t="inlineStr">
        <is>
          <t xml:space="preserve"> Female</t>
        </is>
      </c>
      <c r="L256" t="inlineStr">
        <is>
          <t>No focal subject</t>
        </is>
      </c>
      <c r="M256" t="n">
        <v>61.164</v>
      </c>
      <c r="N256" t="inlineStr">
        <is>
          <t>Explore_F</t>
        </is>
      </c>
      <c r="O256" t="inlineStr">
        <is>
          <t>Familiar</t>
        </is>
      </c>
      <c r="P256" t="inlineStr">
        <is>
          <t>STATE</t>
        </is>
      </c>
      <c r="Q256" t="n">
        <v>109.5</v>
      </c>
      <c r="R256" t="n">
        <v>110.033</v>
      </c>
      <c r="S256" t="n">
        <v>0.533</v>
      </c>
      <c r="T256" t="inlineStr">
        <is>
          <t>BTBR\training\c4f2.mp4</t>
        </is>
      </c>
      <c r="U256" t="n">
        <v>3287</v>
      </c>
      <c r="V256" t="n">
        <v>3302</v>
      </c>
      <c r="W256" t="n">
        <v/>
      </c>
      <c r="X256" t="n">
        <v/>
      </c>
      <c r="Y256" t="n">
        <v/>
      </c>
      <c r="Z256" t="n">
        <v/>
      </c>
      <c r="AA256">
        <f>SUMIFS($S$2:S256,$A$2:A256,A256,$N$2:N256,"Explore*")</f>
        <v/>
      </c>
      <c r="AB256">
        <f>IF(AND(LEFT(N256,7)="Explore",(AA256-IF(LEFT(N256,7)="Explore",S256,0))&lt;10),"SI","NO")</f>
        <v/>
      </c>
    </row>
    <row r="257">
      <c r="A257" t="inlineStr">
        <is>
          <t>c4f2_training</t>
        </is>
      </c>
      <c r="B257" t="inlineStr">
        <is>
          <t>2026-02-19 15:32:55.399</t>
        </is>
      </c>
      <c r="C257" t="n">
        <v/>
      </c>
      <c r="D257" t="inlineStr">
        <is>
          <t>Media file</t>
        </is>
      </c>
      <c r="E257" t="inlineStr">
        <is>
          <t>player #1:BTBR\training\c4f2.mp4</t>
        </is>
      </c>
      <c r="F257" t="n">
        <v>-21.267</v>
      </c>
      <c r="G257" t="n">
        <v>583.299</v>
      </c>
      <c r="H257" t="n">
        <v>640.066</v>
      </c>
      <c r="I257" t="n">
        <v>30</v>
      </c>
      <c r="J257" t="inlineStr">
        <is>
          <t>BTBR</t>
        </is>
      </c>
      <c r="K257" t="inlineStr">
        <is>
          <t xml:space="preserve"> Female</t>
        </is>
      </c>
      <c r="L257" t="inlineStr">
        <is>
          <t>No focal subject</t>
        </is>
      </c>
      <c r="M257" t="n">
        <v>61.164</v>
      </c>
      <c r="N257" t="inlineStr">
        <is>
          <t>Explore_F2</t>
        </is>
      </c>
      <c r="O257" t="inlineStr">
        <is>
          <t>Second familiar</t>
        </is>
      </c>
      <c r="P257" t="inlineStr">
        <is>
          <t>STATE</t>
        </is>
      </c>
      <c r="Q257" t="n">
        <v>114.833</v>
      </c>
      <c r="R257" t="n">
        <v>115.233</v>
      </c>
      <c r="S257" t="n">
        <v>0.4</v>
      </c>
      <c r="T257" t="inlineStr">
        <is>
          <t>BTBR\training\c4f2.mp4</t>
        </is>
      </c>
      <c r="U257" t="n">
        <v>3445</v>
      </c>
      <c r="V257" t="n">
        <v>3457</v>
      </c>
      <c r="W257" t="n">
        <v/>
      </c>
      <c r="X257" t="n">
        <v/>
      </c>
      <c r="Y257" t="n">
        <v/>
      </c>
      <c r="Z257" t="n">
        <v/>
      </c>
      <c r="AA257">
        <f>SUMIFS($S$2:S257,$A$2:A257,A257,$N$2:N257,"Explore*")</f>
        <v/>
      </c>
      <c r="AB257">
        <f>IF(AND(LEFT(N257,7)="Explore",(AA257-IF(LEFT(N257,7)="Explore",S257,0))&lt;10),"SI","NO")</f>
        <v/>
      </c>
    </row>
    <row r="258">
      <c r="A258" t="inlineStr">
        <is>
          <t>c4f2_training</t>
        </is>
      </c>
      <c r="B258" t="inlineStr">
        <is>
          <t>2026-02-19 15:32:55.399</t>
        </is>
      </c>
      <c r="C258" t="n">
        <v/>
      </c>
      <c r="D258" t="inlineStr">
        <is>
          <t>Media file</t>
        </is>
      </c>
      <c r="E258" t="inlineStr">
        <is>
          <t>player #1:BTBR\training\c4f2.mp4</t>
        </is>
      </c>
      <c r="F258" t="n">
        <v>-21.267</v>
      </c>
      <c r="G258" t="n">
        <v>583.299</v>
      </c>
      <c r="H258" t="n">
        <v>640.066</v>
      </c>
      <c r="I258" t="n">
        <v>30</v>
      </c>
      <c r="J258" t="inlineStr">
        <is>
          <t>BTBR</t>
        </is>
      </c>
      <c r="K258" t="inlineStr">
        <is>
          <t xml:space="preserve"> Female</t>
        </is>
      </c>
      <c r="L258" t="inlineStr">
        <is>
          <t>No focal subject</t>
        </is>
      </c>
      <c r="M258" t="n">
        <v>61.164</v>
      </c>
      <c r="N258" t="inlineStr">
        <is>
          <t>Explore_F2</t>
        </is>
      </c>
      <c r="O258" t="inlineStr">
        <is>
          <t>Second familiar</t>
        </is>
      </c>
      <c r="P258" t="inlineStr">
        <is>
          <t>STATE</t>
        </is>
      </c>
      <c r="Q258" t="n">
        <v>132.066</v>
      </c>
      <c r="R258" t="n">
        <v>132.4</v>
      </c>
      <c r="S258" t="n">
        <v>0.334</v>
      </c>
      <c r="T258" t="inlineStr">
        <is>
          <t>BTBR\training\c4f2.mp4</t>
        </is>
      </c>
      <c r="U258" t="n">
        <v>3962</v>
      </c>
      <c r="V258" t="n">
        <v>3972</v>
      </c>
      <c r="W258" t="n">
        <v/>
      </c>
      <c r="X258" t="n">
        <v/>
      </c>
      <c r="Y258" t="n">
        <v/>
      </c>
      <c r="Z258" t="n">
        <v/>
      </c>
      <c r="AA258">
        <f>SUMIFS($S$2:S258,$A$2:A258,A258,$N$2:N258,"Explore*")</f>
        <v/>
      </c>
      <c r="AB258">
        <f>IF(AND(LEFT(N258,7)="Explore",(AA258-IF(LEFT(N258,7)="Explore",S258,0))&lt;10),"SI","NO")</f>
        <v/>
      </c>
    </row>
    <row r="259">
      <c r="A259" t="inlineStr">
        <is>
          <t>c4f2_training</t>
        </is>
      </c>
      <c r="B259" t="inlineStr">
        <is>
          <t>2026-02-19 15:32:55.399</t>
        </is>
      </c>
      <c r="C259" t="n">
        <v/>
      </c>
      <c r="D259" t="inlineStr">
        <is>
          <t>Media file</t>
        </is>
      </c>
      <c r="E259" t="inlineStr">
        <is>
          <t>player #1:BTBR\training\c4f2.mp4</t>
        </is>
      </c>
      <c r="F259" t="n">
        <v>-21.267</v>
      </c>
      <c r="G259" t="n">
        <v>583.299</v>
      </c>
      <c r="H259" t="n">
        <v>640.066</v>
      </c>
      <c r="I259" t="n">
        <v>30</v>
      </c>
      <c r="J259" t="inlineStr">
        <is>
          <t>BTBR</t>
        </is>
      </c>
      <c r="K259" t="inlineStr">
        <is>
          <t xml:space="preserve"> Female</t>
        </is>
      </c>
      <c r="L259" t="inlineStr">
        <is>
          <t>No focal subject</t>
        </is>
      </c>
      <c r="M259" t="n">
        <v>61.164</v>
      </c>
      <c r="N259" t="inlineStr">
        <is>
          <t>Explore_F2</t>
        </is>
      </c>
      <c r="O259" t="inlineStr">
        <is>
          <t>Second familiar</t>
        </is>
      </c>
      <c r="P259" t="inlineStr">
        <is>
          <t>STATE</t>
        </is>
      </c>
      <c r="Q259" t="n">
        <v>147.733</v>
      </c>
      <c r="R259" t="n">
        <v>150.499</v>
      </c>
      <c r="S259" t="n">
        <v>2.766</v>
      </c>
      <c r="T259" t="inlineStr">
        <is>
          <t>BTBR\training\c4f2.mp4</t>
        </is>
      </c>
      <c r="U259" t="n">
        <v>4432</v>
      </c>
      <c r="V259" t="n">
        <v>4515</v>
      </c>
      <c r="W259" t="n">
        <v/>
      </c>
      <c r="X259" t="n">
        <v/>
      </c>
      <c r="Y259" t="n">
        <v/>
      </c>
      <c r="Z259" t="n">
        <v/>
      </c>
      <c r="AA259">
        <f>SUMIFS($S$2:S259,$A$2:A259,A259,$N$2:N259,"Explore*")</f>
        <v/>
      </c>
      <c r="AB259">
        <f>IF(AND(LEFT(N259,7)="Explore",(AA259-IF(LEFT(N259,7)="Explore",S259,0))&lt;10),"SI","NO")</f>
        <v/>
      </c>
    </row>
    <row r="260">
      <c r="A260" t="inlineStr">
        <is>
          <t>c4f2_training</t>
        </is>
      </c>
      <c r="B260" t="inlineStr">
        <is>
          <t>2026-02-19 15:32:55.399</t>
        </is>
      </c>
      <c r="C260" t="n">
        <v/>
      </c>
      <c r="D260" t="inlineStr">
        <is>
          <t>Media file</t>
        </is>
      </c>
      <c r="E260" t="inlineStr">
        <is>
          <t>player #1:BTBR\training\c4f2.mp4</t>
        </is>
      </c>
      <c r="F260" t="n">
        <v>-21.267</v>
      </c>
      <c r="G260" t="n">
        <v>583.299</v>
      </c>
      <c r="H260" t="n">
        <v>640.066</v>
      </c>
      <c r="I260" t="n">
        <v>30</v>
      </c>
      <c r="J260" t="inlineStr">
        <is>
          <t>BTBR</t>
        </is>
      </c>
      <c r="K260" t="inlineStr">
        <is>
          <t xml:space="preserve"> Female</t>
        </is>
      </c>
      <c r="L260" t="inlineStr">
        <is>
          <t>No focal subject</t>
        </is>
      </c>
      <c r="M260" t="n">
        <v>61.164</v>
      </c>
      <c r="N260" t="inlineStr">
        <is>
          <t>Explore_F</t>
        </is>
      </c>
      <c r="O260" t="inlineStr">
        <is>
          <t>Familiar</t>
        </is>
      </c>
      <c r="P260" t="inlineStr">
        <is>
          <t>STATE</t>
        </is>
      </c>
      <c r="Q260" t="n">
        <v>151.499</v>
      </c>
      <c r="R260" t="n">
        <v>153.633</v>
      </c>
      <c r="S260" t="n">
        <v>2.134</v>
      </c>
      <c r="T260" t="inlineStr">
        <is>
          <t>BTBR\training\c4f2.mp4</t>
        </is>
      </c>
      <c r="U260" t="n">
        <v>4545</v>
      </c>
      <c r="V260" t="n">
        <v>4609</v>
      </c>
      <c r="W260" t="n">
        <v/>
      </c>
      <c r="X260" t="n">
        <v/>
      </c>
      <c r="Y260" t="n">
        <v/>
      </c>
      <c r="Z260" t="n">
        <v/>
      </c>
      <c r="AA260">
        <f>SUMIFS($S$2:S260,$A$2:A260,A260,$N$2:N260,"Explore*")</f>
        <v/>
      </c>
      <c r="AB260">
        <f>IF(AND(LEFT(N260,7)="Explore",(AA260-IF(LEFT(N260,7)="Explore",S260,0))&lt;10),"SI","NO")</f>
        <v/>
      </c>
    </row>
    <row r="261">
      <c r="A261" t="inlineStr">
        <is>
          <t>c4f2_training</t>
        </is>
      </c>
      <c r="B261" t="inlineStr">
        <is>
          <t>2026-02-19 15:32:55.399</t>
        </is>
      </c>
      <c r="C261" t="n">
        <v/>
      </c>
      <c r="D261" t="inlineStr">
        <is>
          <t>Media file</t>
        </is>
      </c>
      <c r="E261" t="inlineStr">
        <is>
          <t>player #1:BTBR\training\c4f2.mp4</t>
        </is>
      </c>
      <c r="F261" t="n">
        <v>-21.267</v>
      </c>
      <c r="G261" t="n">
        <v>583.299</v>
      </c>
      <c r="H261" t="n">
        <v>640.066</v>
      </c>
      <c r="I261" t="n">
        <v>30</v>
      </c>
      <c r="J261" t="inlineStr">
        <is>
          <t>BTBR</t>
        </is>
      </c>
      <c r="K261" t="inlineStr">
        <is>
          <t xml:space="preserve"> Female</t>
        </is>
      </c>
      <c r="L261" t="inlineStr">
        <is>
          <t>No focal subject</t>
        </is>
      </c>
      <c r="M261" t="n">
        <v>61.164</v>
      </c>
      <c r="N261" t="inlineStr">
        <is>
          <t>Explore_F</t>
        </is>
      </c>
      <c r="O261" t="inlineStr">
        <is>
          <t>Familiar</t>
        </is>
      </c>
      <c r="P261" t="inlineStr">
        <is>
          <t>STATE</t>
        </is>
      </c>
      <c r="Q261" t="n">
        <v>155.099</v>
      </c>
      <c r="R261" t="n">
        <v>156.299</v>
      </c>
      <c r="S261" t="n">
        <v>1.2</v>
      </c>
      <c r="T261" t="inlineStr">
        <is>
          <t>BTBR\training\c4f2.mp4</t>
        </is>
      </c>
      <c r="U261" t="n">
        <v>4653</v>
      </c>
      <c r="V261" t="n">
        <v>4689</v>
      </c>
      <c r="W261" t="n">
        <v/>
      </c>
      <c r="X261" t="n">
        <v/>
      </c>
      <c r="Y261" t="n">
        <v/>
      </c>
      <c r="Z261" t="n">
        <v/>
      </c>
      <c r="AA261">
        <f>SUMIFS($S$2:S261,$A$2:A261,A261,$N$2:N261,"Explore*")</f>
        <v/>
      </c>
      <c r="AB261">
        <f>IF(AND(LEFT(N261,7)="Explore",(AA261-IF(LEFT(N261,7)="Explore",S261,0))&lt;10),"SI","NO")</f>
        <v/>
      </c>
    </row>
    <row r="262">
      <c r="A262" t="inlineStr">
        <is>
          <t>c4f2_training</t>
        </is>
      </c>
      <c r="B262" t="inlineStr">
        <is>
          <t>2026-02-19 15:32:55.399</t>
        </is>
      </c>
      <c r="C262" t="n">
        <v/>
      </c>
      <c r="D262" t="inlineStr">
        <is>
          <t>Media file</t>
        </is>
      </c>
      <c r="E262" t="inlineStr">
        <is>
          <t>player #1:BTBR\training\c4f2.mp4</t>
        </is>
      </c>
      <c r="F262" t="n">
        <v>-21.267</v>
      </c>
      <c r="G262" t="n">
        <v>583.299</v>
      </c>
      <c r="H262" t="n">
        <v>640.066</v>
      </c>
      <c r="I262" t="n">
        <v>30</v>
      </c>
      <c r="J262" t="inlineStr">
        <is>
          <t>BTBR</t>
        </is>
      </c>
      <c r="K262" t="inlineStr">
        <is>
          <t xml:space="preserve"> Female</t>
        </is>
      </c>
      <c r="L262" t="inlineStr">
        <is>
          <t>No focal subject</t>
        </is>
      </c>
      <c r="M262" t="n">
        <v>61.164</v>
      </c>
      <c r="N262" t="inlineStr">
        <is>
          <t>Explore_F2</t>
        </is>
      </c>
      <c r="O262" t="inlineStr">
        <is>
          <t>Second familiar</t>
        </is>
      </c>
      <c r="P262" t="inlineStr">
        <is>
          <t>STATE</t>
        </is>
      </c>
      <c r="Q262" t="n">
        <v>157.533</v>
      </c>
      <c r="R262" t="n">
        <v>158.466</v>
      </c>
      <c r="S262" t="n">
        <v>0.9330000000000001</v>
      </c>
      <c r="T262" t="inlineStr">
        <is>
          <t>BTBR\training\c4f2.mp4</t>
        </is>
      </c>
      <c r="U262" t="n">
        <v>4727</v>
      </c>
      <c r="V262" t="n">
        <v>4754</v>
      </c>
      <c r="W262" t="n">
        <v/>
      </c>
      <c r="X262" t="n">
        <v/>
      </c>
      <c r="Y262" t="n">
        <v/>
      </c>
      <c r="Z262" t="n">
        <v/>
      </c>
      <c r="AA262">
        <f>SUMIFS($S$2:S262,$A$2:A262,A262,$N$2:N262,"Explore*")</f>
        <v/>
      </c>
      <c r="AB262">
        <f>IF(AND(LEFT(N262,7)="Explore",(AA262-IF(LEFT(N262,7)="Explore",S262,0))&lt;10),"SI","NO")</f>
        <v/>
      </c>
    </row>
    <row r="263">
      <c r="A263" t="inlineStr">
        <is>
          <t>c4f2_training</t>
        </is>
      </c>
      <c r="B263" t="inlineStr">
        <is>
          <t>2026-02-19 15:32:55.399</t>
        </is>
      </c>
      <c r="C263" t="n">
        <v/>
      </c>
      <c r="D263" t="inlineStr">
        <is>
          <t>Media file</t>
        </is>
      </c>
      <c r="E263" t="inlineStr">
        <is>
          <t>player #1:BTBR\training\c4f2.mp4</t>
        </is>
      </c>
      <c r="F263" t="n">
        <v>-21.267</v>
      </c>
      <c r="G263" t="n">
        <v>583.299</v>
      </c>
      <c r="H263" t="n">
        <v>640.066</v>
      </c>
      <c r="I263" t="n">
        <v>30</v>
      </c>
      <c r="J263" t="inlineStr">
        <is>
          <t>BTBR</t>
        </is>
      </c>
      <c r="K263" t="inlineStr">
        <is>
          <t xml:space="preserve"> Female</t>
        </is>
      </c>
      <c r="L263" t="inlineStr">
        <is>
          <t>No focal subject</t>
        </is>
      </c>
      <c r="M263" t="n">
        <v>61.164</v>
      </c>
      <c r="N263" t="inlineStr">
        <is>
          <t>Explore_F2</t>
        </is>
      </c>
      <c r="O263" t="inlineStr">
        <is>
          <t>Second familiar</t>
        </is>
      </c>
      <c r="P263" t="inlineStr">
        <is>
          <t>STATE</t>
        </is>
      </c>
      <c r="Q263" t="n">
        <v>161.133</v>
      </c>
      <c r="R263" t="n">
        <v>162.666</v>
      </c>
      <c r="S263" t="n">
        <v>1.533</v>
      </c>
      <c r="T263" t="inlineStr">
        <is>
          <t>BTBR\training\c4f2.mp4</t>
        </is>
      </c>
      <c r="U263" t="n">
        <v>4834</v>
      </c>
      <c r="V263" t="n">
        <v>4880</v>
      </c>
      <c r="W263" t="n">
        <v/>
      </c>
      <c r="X263" t="n">
        <v/>
      </c>
      <c r="Y263" t="n">
        <v/>
      </c>
      <c r="Z263" t="n">
        <v/>
      </c>
      <c r="AA263">
        <f>SUMIFS($S$2:S263,$A$2:A263,A263,$N$2:N263,"Explore*")</f>
        <v/>
      </c>
      <c r="AB263">
        <f>IF(AND(LEFT(N263,7)="Explore",(AA263-IF(LEFT(N263,7)="Explore",S263,0))&lt;10),"SI","NO")</f>
        <v/>
      </c>
    </row>
    <row r="264">
      <c r="A264" t="inlineStr">
        <is>
          <t>c4f2_training</t>
        </is>
      </c>
      <c r="B264" t="inlineStr">
        <is>
          <t>2026-02-19 15:32:55.399</t>
        </is>
      </c>
      <c r="C264" t="n">
        <v/>
      </c>
      <c r="D264" t="inlineStr">
        <is>
          <t>Media file</t>
        </is>
      </c>
      <c r="E264" t="inlineStr">
        <is>
          <t>player #1:BTBR\training\c4f2.mp4</t>
        </is>
      </c>
      <c r="F264" t="n">
        <v>-21.267</v>
      </c>
      <c r="G264" t="n">
        <v>583.299</v>
      </c>
      <c r="H264" t="n">
        <v>640.066</v>
      </c>
      <c r="I264" t="n">
        <v>30</v>
      </c>
      <c r="J264" t="inlineStr">
        <is>
          <t>BTBR</t>
        </is>
      </c>
      <c r="K264" t="inlineStr">
        <is>
          <t xml:space="preserve"> Female</t>
        </is>
      </c>
      <c r="L264" t="inlineStr">
        <is>
          <t>No focal subject</t>
        </is>
      </c>
      <c r="M264" t="n">
        <v>61.164</v>
      </c>
      <c r="N264" t="inlineStr">
        <is>
          <t>Explore_F2</t>
        </is>
      </c>
      <c r="O264" t="inlineStr">
        <is>
          <t>Second familiar</t>
        </is>
      </c>
      <c r="P264" t="inlineStr">
        <is>
          <t>STATE</t>
        </is>
      </c>
      <c r="Q264" t="n">
        <v>165.933</v>
      </c>
      <c r="R264" t="n">
        <v>166.933</v>
      </c>
      <c r="S264" t="n">
        <v>1</v>
      </c>
      <c r="T264" t="inlineStr">
        <is>
          <t>BTBR\training\c4f2.mp4</t>
        </is>
      </c>
      <c r="U264" t="n">
        <v>4978</v>
      </c>
      <c r="V264" t="n">
        <v>5008</v>
      </c>
      <c r="W264" t="n">
        <v/>
      </c>
      <c r="X264" t="n">
        <v/>
      </c>
      <c r="Y264" t="n">
        <v/>
      </c>
      <c r="Z264" t="n">
        <v/>
      </c>
      <c r="AA264">
        <f>SUMIFS($S$2:S264,$A$2:A264,A264,$N$2:N264,"Explore*")</f>
        <v/>
      </c>
      <c r="AB264">
        <f>IF(AND(LEFT(N264,7)="Explore",(AA264-IF(LEFT(N264,7)="Explore",S264,0))&lt;10),"SI","NO")</f>
        <v/>
      </c>
    </row>
    <row r="265">
      <c r="A265" t="inlineStr">
        <is>
          <t>c4f2_training</t>
        </is>
      </c>
      <c r="B265" t="inlineStr">
        <is>
          <t>2026-02-19 15:32:55.399</t>
        </is>
      </c>
      <c r="C265" t="n">
        <v/>
      </c>
      <c r="D265" t="inlineStr">
        <is>
          <t>Media file</t>
        </is>
      </c>
      <c r="E265" t="inlineStr">
        <is>
          <t>player #1:BTBR\training\c4f2.mp4</t>
        </is>
      </c>
      <c r="F265" t="n">
        <v>-21.267</v>
      </c>
      <c r="G265" t="n">
        <v>583.299</v>
      </c>
      <c r="H265" t="n">
        <v>640.066</v>
      </c>
      <c r="I265" t="n">
        <v>30</v>
      </c>
      <c r="J265" t="inlineStr">
        <is>
          <t>BTBR</t>
        </is>
      </c>
      <c r="K265" t="inlineStr">
        <is>
          <t xml:space="preserve"> Female</t>
        </is>
      </c>
      <c r="L265" t="inlineStr">
        <is>
          <t>No focal subject</t>
        </is>
      </c>
      <c r="M265" t="n">
        <v>61.164</v>
      </c>
      <c r="N265" t="inlineStr">
        <is>
          <t>Explore_F</t>
        </is>
      </c>
      <c r="O265" t="inlineStr">
        <is>
          <t>Familiar</t>
        </is>
      </c>
      <c r="P265" t="inlineStr">
        <is>
          <t>STATE</t>
        </is>
      </c>
      <c r="Q265" t="n">
        <v>187.266</v>
      </c>
      <c r="R265" t="n">
        <v>188.399</v>
      </c>
      <c r="S265" t="n">
        <v>1.133</v>
      </c>
      <c r="T265" t="inlineStr">
        <is>
          <t>BTBR\training\c4f2.mp4</t>
        </is>
      </c>
      <c r="U265" t="n">
        <v>5618</v>
      </c>
      <c r="V265" t="n">
        <v>5652</v>
      </c>
      <c r="W265" t="n">
        <v/>
      </c>
      <c r="X265" t="n">
        <v/>
      </c>
      <c r="Y265" t="n">
        <v/>
      </c>
      <c r="Z265" t="n">
        <v/>
      </c>
      <c r="AA265">
        <f>SUMIFS($S$2:S265,$A$2:A265,A265,$N$2:N265,"Explore*")</f>
        <v/>
      </c>
      <c r="AB265">
        <f>IF(AND(LEFT(N265,7)="Explore",(AA265-IF(LEFT(N265,7)="Explore",S265,0))&lt;10),"SI","NO")</f>
        <v/>
      </c>
    </row>
    <row r="266">
      <c r="A266" t="inlineStr">
        <is>
          <t>c4f2_training</t>
        </is>
      </c>
      <c r="B266" t="inlineStr">
        <is>
          <t>2026-02-19 15:32:55.399</t>
        </is>
      </c>
      <c r="C266" t="n">
        <v/>
      </c>
      <c r="D266" t="inlineStr">
        <is>
          <t>Media file</t>
        </is>
      </c>
      <c r="E266" t="inlineStr">
        <is>
          <t>player #1:BTBR\training\c4f2.mp4</t>
        </is>
      </c>
      <c r="F266" t="n">
        <v>-21.267</v>
      </c>
      <c r="G266" t="n">
        <v>583.299</v>
      </c>
      <c r="H266" t="n">
        <v>640.066</v>
      </c>
      <c r="I266" t="n">
        <v>30</v>
      </c>
      <c r="J266" t="inlineStr">
        <is>
          <t>BTBR</t>
        </is>
      </c>
      <c r="K266" t="inlineStr">
        <is>
          <t xml:space="preserve"> Female</t>
        </is>
      </c>
      <c r="L266" t="inlineStr">
        <is>
          <t>No focal subject</t>
        </is>
      </c>
      <c r="M266" t="n">
        <v>61.164</v>
      </c>
      <c r="N266" t="inlineStr">
        <is>
          <t>Explore_F2</t>
        </is>
      </c>
      <c r="O266" t="inlineStr">
        <is>
          <t>Second familiar</t>
        </is>
      </c>
      <c r="P266" t="inlineStr">
        <is>
          <t>STATE</t>
        </is>
      </c>
      <c r="Q266" t="n">
        <v>191.366</v>
      </c>
      <c r="R266" t="n">
        <v>192.133</v>
      </c>
      <c r="S266" t="n">
        <v>0.767</v>
      </c>
      <c r="T266" t="inlineStr">
        <is>
          <t>BTBR\training\c4f2.mp4</t>
        </is>
      </c>
      <c r="U266" t="n">
        <v>5741</v>
      </c>
      <c r="V266" t="n">
        <v>5764</v>
      </c>
      <c r="W266" t="n">
        <v/>
      </c>
      <c r="X266" t="n">
        <v/>
      </c>
      <c r="Y266" t="n">
        <v/>
      </c>
      <c r="Z266" t="n">
        <v/>
      </c>
      <c r="AA266">
        <f>SUMIFS($S$2:S266,$A$2:A266,A266,$N$2:N266,"Explore*")</f>
        <v/>
      </c>
      <c r="AB266">
        <f>IF(AND(LEFT(N266,7)="Explore",(AA266-IF(LEFT(N266,7)="Explore",S266,0))&lt;10),"SI","NO")</f>
        <v/>
      </c>
    </row>
    <row r="267">
      <c r="A267" t="inlineStr">
        <is>
          <t>c4f2_training</t>
        </is>
      </c>
      <c r="B267" t="inlineStr">
        <is>
          <t>2026-02-19 15:32:55.399</t>
        </is>
      </c>
      <c r="C267" t="n">
        <v/>
      </c>
      <c r="D267" t="inlineStr">
        <is>
          <t>Media file</t>
        </is>
      </c>
      <c r="E267" t="inlineStr">
        <is>
          <t>player #1:BTBR\training\c4f2.mp4</t>
        </is>
      </c>
      <c r="F267" t="n">
        <v>-21.267</v>
      </c>
      <c r="G267" t="n">
        <v>583.299</v>
      </c>
      <c r="H267" t="n">
        <v>640.066</v>
      </c>
      <c r="I267" t="n">
        <v>30</v>
      </c>
      <c r="J267" t="inlineStr">
        <is>
          <t>BTBR</t>
        </is>
      </c>
      <c r="K267" t="inlineStr">
        <is>
          <t xml:space="preserve"> Female</t>
        </is>
      </c>
      <c r="L267" t="inlineStr">
        <is>
          <t>No focal subject</t>
        </is>
      </c>
      <c r="M267" t="n">
        <v>61.164</v>
      </c>
      <c r="N267" t="inlineStr">
        <is>
          <t>Explore_F</t>
        </is>
      </c>
      <c r="O267" t="inlineStr">
        <is>
          <t>Familiar</t>
        </is>
      </c>
      <c r="P267" t="inlineStr">
        <is>
          <t>STATE</t>
        </is>
      </c>
      <c r="Q267" t="n">
        <v>193.633</v>
      </c>
      <c r="R267" t="n">
        <v>194.399</v>
      </c>
      <c r="S267" t="n">
        <v>0.766</v>
      </c>
      <c r="T267" t="inlineStr">
        <is>
          <t>BTBR\training\c4f2.mp4</t>
        </is>
      </c>
      <c r="U267" t="n">
        <v>5809</v>
      </c>
      <c r="V267" t="n">
        <v>5832</v>
      </c>
      <c r="W267" t="n">
        <v/>
      </c>
      <c r="X267" t="n">
        <v/>
      </c>
      <c r="Y267" t="n">
        <v/>
      </c>
      <c r="Z267" t="n">
        <v/>
      </c>
      <c r="AA267">
        <f>SUMIFS($S$2:S267,$A$2:A267,A267,$N$2:N267,"Explore*")</f>
        <v/>
      </c>
      <c r="AB267">
        <f>IF(AND(LEFT(N267,7)="Explore",(AA267-IF(LEFT(N267,7)="Explore",S267,0))&lt;10),"SI","NO")</f>
        <v/>
      </c>
    </row>
    <row r="268">
      <c r="A268" t="inlineStr">
        <is>
          <t>c4f2_training</t>
        </is>
      </c>
      <c r="B268" t="inlineStr">
        <is>
          <t>2026-02-19 15:32:55.399</t>
        </is>
      </c>
      <c r="C268" t="n">
        <v/>
      </c>
      <c r="D268" t="inlineStr">
        <is>
          <t>Media file</t>
        </is>
      </c>
      <c r="E268" t="inlineStr">
        <is>
          <t>player #1:BTBR\training\c4f2.mp4</t>
        </is>
      </c>
      <c r="F268" t="n">
        <v>-21.267</v>
      </c>
      <c r="G268" t="n">
        <v>583.299</v>
      </c>
      <c r="H268" t="n">
        <v>640.066</v>
      </c>
      <c r="I268" t="n">
        <v>30</v>
      </c>
      <c r="J268" t="inlineStr">
        <is>
          <t>BTBR</t>
        </is>
      </c>
      <c r="K268" t="inlineStr">
        <is>
          <t xml:space="preserve"> Female</t>
        </is>
      </c>
      <c r="L268" t="inlineStr">
        <is>
          <t>No focal subject</t>
        </is>
      </c>
      <c r="M268" t="n">
        <v>61.164</v>
      </c>
      <c r="N268" t="inlineStr">
        <is>
          <t>Explore_F2</t>
        </is>
      </c>
      <c r="O268" t="inlineStr">
        <is>
          <t>Second familiar</t>
        </is>
      </c>
      <c r="P268" t="inlineStr">
        <is>
          <t>STATE</t>
        </is>
      </c>
      <c r="Q268" t="n">
        <v>195.199</v>
      </c>
      <c r="R268" t="n">
        <v>196.566</v>
      </c>
      <c r="S268" t="n">
        <v>1.367</v>
      </c>
      <c r="T268" t="inlineStr">
        <is>
          <t>BTBR\training\c4f2.mp4</t>
        </is>
      </c>
      <c r="U268" t="n">
        <v>5856</v>
      </c>
      <c r="V268" t="n">
        <v>5897</v>
      </c>
      <c r="W268" t="n">
        <v/>
      </c>
      <c r="X268" t="n">
        <v/>
      </c>
      <c r="Y268" t="n">
        <v/>
      </c>
      <c r="Z268" t="n">
        <v/>
      </c>
      <c r="AA268">
        <f>SUMIFS($S$2:S268,$A$2:A268,A268,$N$2:N268,"Explore*")</f>
        <v/>
      </c>
      <c r="AB268">
        <f>IF(AND(LEFT(N268,7)="Explore",(AA268-IF(LEFT(N268,7)="Explore",S268,0))&lt;10),"SI","NO")</f>
        <v/>
      </c>
    </row>
    <row r="269">
      <c r="A269" t="inlineStr">
        <is>
          <t>c4f2_training</t>
        </is>
      </c>
      <c r="B269" t="inlineStr">
        <is>
          <t>2026-02-19 15:32:55.399</t>
        </is>
      </c>
      <c r="C269" t="n">
        <v/>
      </c>
      <c r="D269" t="inlineStr">
        <is>
          <t>Media file</t>
        </is>
      </c>
      <c r="E269" t="inlineStr">
        <is>
          <t>player #1:BTBR\training\c4f2.mp4</t>
        </is>
      </c>
      <c r="F269" t="n">
        <v>-21.267</v>
      </c>
      <c r="G269" t="n">
        <v>583.299</v>
      </c>
      <c r="H269" t="n">
        <v>640.066</v>
      </c>
      <c r="I269" t="n">
        <v>30</v>
      </c>
      <c r="J269" t="inlineStr">
        <is>
          <t>BTBR</t>
        </is>
      </c>
      <c r="K269" t="inlineStr">
        <is>
          <t xml:space="preserve"> Female</t>
        </is>
      </c>
      <c r="L269" t="inlineStr">
        <is>
          <t>No focal subject</t>
        </is>
      </c>
      <c r="M269" t="n">
        <v>61.164</v>
      </c>
      <c r="N269" t="inlineStr">
        <is>
          <t>Explore_F</t>
        </is>
      </c>
      <c r="O269" t="inlineStr">
        <is>
          <t>Familiar</t>
        </is>
      </c>
      <c r="P269" t="inlineStr">
        <is>
          <t>STATE</t>
        </is>
      </c>
      <c r="Q269" t="n">
        <v>209.933</v>
      </c>
      <c r="R269" t="n">
        <v>210.799</v>
      </c>
      <c r="S269" t="n">
        <v>0.866</v>
      </c>
      <c r="T269" t="inlineStr">
        <is>
          <t>BTBR\training\c4f2.mp4</t>
        </is>
      </c>
      <c r="U269" t="n">
        <v>6298</v>
      </c>
      <c r="V269" t="n">
        <v>6324</v>
      </c>
      <c r="W269" t="n">
        <v/>
      </c>
      <c r="X269" t="n">
        <v/>
      </c>
      <c r="Y269" t="n">
        <v/>
      </c>
      <c r="Z269" t="n">
        <v/>
      </c>
      <c r="AA269">
        <f>SUMIFS($S$2:S269,$A$2:A269,A269,$N$2:N269,"Explore*")</f>
        <v/>
      </c>
      <c r="AB269">
        <f>IF(AND(LEFT(N269,7)="Explore",(AA269-IF(LEFT(N269,7)="Explore",S269,0))&lt;10),"SI","NO")</f>
        <v/>
      </c>
    </row>
    <row r="270">
      <c r="A270" t="inlineStr">
        <is>
          <t>c4f2_training</t>
        </is>
      </c>
      <c r="B270" t="inlineStr">
        <is>
          <t>2026-02-19 15:32:55.399</t>
        </is>
      </c>
      <c r="C270" t="n">
        <v/>
      </c>
      <c r="D270" t="inlineStr">
        <is>
          <t>Media file</t>
        </is>
      </c>
      <c r="E270" t="inlineStr">
        <is>
          <t>player #1:BTBR\training\c4f2.mp4</t>
        </is>
      </c>
      <c r="F270" t="n">
        <v>-21.267</v>
      </c>
      <c r="G270" t="n">
        <v>583.299</v>
      </c>
      <c r="H270" t="n">
        <v>640.066</v>
      </c>
      <c r="I270" t="n">
        <v>30</v>
      </c>
      <c r="J270" t="inlineStr">
        <is>
          <t>BTBR</t>
        </is>
      </c>
      <c r="K270" t="inlineStr">
        <is>
          <t xml:space="preserve"> Female</t>
        </is>
      </c>
      <c r="L270" t="inlineStr">
        <is>
          <t>No focal subject</t>
        </is>
      </c>
      <c r="M270" t="n">
        <v>61.164</v>
      </c>
      <c r="N270" t="inlineStr">
        <is>
          <t>Explore_F2</t>
        </is>
      </c>
      <c r="O270" t="inlineStr">
        <is>
          <t>Second familiar</t>
        </is>
      </c>
      <c r="P270" t="inlineStr">
        <is>
          <t>STATE</t>
        </is>
      </c>
      <c r="Q270" t="n">
        <v>211.566</v>
      </c>
      <c r="R270" t="n">
        <v>212.333</v>
      </c>
      <c r="S270" t="n">
        <v>0.767</v>
      </c>
      <c r="T270" t="inlineStr">
        <is>
          <t>BTBR\training\c4f2.mp4</t>
        </is>
      </c>
      <c r="U270" t="n">
        <v>6347</v>
      </c>
      <c r="V270" t="n">
        <v>6370</v>
      </c>
      <c r="W270" t="n">
        <v/>
      </c>
      <c r="X270" t="n">
        <v/>
      </c>
      <c r="Y270" t="n">
        <v/>
      </c>
      <c r="Z270" t="n">
        <v/>
      </c>
      <c r="AA270">
        <f>SUMIFS($S$2:S270,$A$2:A270,A270,$N$2:N270,"Explore*")</f>
        <v/>
      </c>
      <c r="AB270">
        <f>IF(AND(LEFT(N270,7)="Explore",(AA270-IF(LEFT(N270,7)="Explore",S270,0))&lt;10),"SI","NO")</f>
        <v/>
      </c>
    </row>
    <row r="271">
      <c r="A271" t="inlineStr">
        <is>
          <t>c4f2_training</t>
        </is>
      </c>
      <c r="B271" t="inlineStr">
        <is>
          <t>2026-02-19 15:32:55.399</t>
        </is>
      </c>
      <c r="C271" t="n">
        <v/>
      </c>
      <c r="D271" t="inlineStr">
        <is>
          <t>Media file</t>
        </is>
      </c>
      <c r="E271" t="inlineStr">
        <is>
          <t>player #1:BTBR\training\c4f2.mp4</t>
        </is>
      </c>
      <c r="F271" t="n">
        <v>-21.267</v>
      </c>
      <c r="G271" t="n">
        <v>583.299</v>
      </c>
      <c r="H271" t="n">
        <v>640.066</v>
      </c>
      <c r="I271" t="n">
        <v>30</v>
      </c>
      <c r="J271" t="inlineStr">
        <is>
          <t>BTBR</t>
        </is>
      </c>
      <c r="K271" t="inlineStr">
        <is>
          <t xml:space="preserve"> Female</t>
        </is>
      </c>
      <c r="L271" t="inlineStr">
        <is>
          <t>No focal subject</t>
        </is>
      </c>
      <c r="M271" t="n">
        <v>61.164</v>
      </c>
      <c r="N271" t="inlineStr">
        <is>
          <t>Explore_F</t>
        </is>
      </c>
      <c r="O271" t="inlineStr">
        <is>
          <t>Familiar</t>
        </is>
      </c>
      <c r="P271" t="inlineStr">
        <is>
          <t>STATE</t>
        </is>
      </c>
      <c r="Q271" t="n">
        <v>214.766</v>
      </c>
      <c r="R271" t="n">
        <v>215.633</v>
      </c>
      <c r="S271" t="n">
        <v>0.867</v>
      </c>
      <c r="T271" t="inlineStr">
        <is>
          <t>BTBR\training\c4f2.mp4</t>
        </is>
      </c>
      <c r="U271" t="n">
        <v>6443</v>
      </c>
      <c r="V271" t="n">
        <v>6469</v>
      </c>
      <c r="W271" t="n">
        <v/>
      </c>
      <c r="X271" t="n">
        <v/>
      </c>
      <c r="Y271" t="n">
        <v/>
      </c>
      <c r="Z271" t="n">
        <v/>
      </c>
      <c r="AA271">
        <f>SUMIFS($S$2:S271,$A$2:A271,A271,$N$2:N271,"Explore*")</f>
        <v/>
      </c>
      <c r="AB271">
        <f>IF(AND(LEFT(N271,7)="Explore",(AA271-IF(LEFT(N271,7)="Explore",S271,0))&lt;10),"SI","NO")</f>
        <v/>
      </c>
    </row>
    <row r="272">
      <c r="A272" t="inlineStr">
        <is>
          <t>c4f2_training</t>
        </is>
      </c>
      <c r="B272" t="inlineStr">
        <is>
          <t>2026-02-19 15:32:55.399</t>
        </is>
      </c>
      <c r="C272" t="n">
        <v/>
      </c>
      <c r="D272" t="inlineStr">
        <is>
          <t>Media file</t>
        </is>
      </c>
      <c r="E272" t="inlineStr">
        <is>
          <t>player #1:BTBR\training\c4f2.mp4</t>
        </is>
      </c>
      <c r="F272" t="n">
        <v>-21.267</v>
      </c>
      <c r="G272" t="n">
        <v>583.299</v>
      </c>
      <c r="H272" t="n">
        <v>640.066</v>
      </c>
      <c r="I272" t="n">
        <v>30</v>
      </c>
      <c r="J272" t="inlineStr">
        <is>
          <t>BTBR</t>
        </is>
      </c>
      <c r="K272" t="inlineStr">
        <is>
          <t xml:space="preserve"> Female</t>
        </is>
      </c>
      <c r="L272" t="inlineStr">
        <is>
          <t>No focal subject</t>
        </is>
      </c>
      <c r="M272" t="n">
        <v>61.164</v>
      </c>
      <c r="N272" t="inlineStr">
        <is>
          <t>Explore_F2</t>
        </is>
      </c>
      <c r="O272" t="inlineStr">
        <is>
          <t>Second familiar</t>
        </is>
      </c>
      <c r="P272" t="inlineStr">
        <is>
          <t>STATE</t>
        </is>
      </c>
      <c r="Q272" t="n">
        <v>216.299</v>
      </c>
      <c r="R272" t="n">
        <v>216.899</v>
      </c>
      <c r="S272" t="n">
        <v>0.6</v>
      </c>
      <c r="T272" t="inlineStr">
        <is>
          <t>BTBR\training\c4f2.mp4</t>
        </is>
      </c>
      <c r="U272" t="n">
        <v>6489</v>
      </c>
      <c r="V272" t="n">
        <v>6507</v>
      </c>
      <c r="W272" t="n">
        <v/>
      </c>
      <c r="X272" t="n">
        <v/>
      </c>
      <c r="Y272" t="n">
        <v/>
      </c>
      <c r="Z272" t="n">
        <v/>
      </c>
      <c r="AA272">
        <f>SUMIFS($S$2:S272,$A$2:A272,A272,$N$2:N272,"Explore*")</f>
        <v/>
      </c>
      <c r="AB272">
        <f>IF(AND(LEFT(N272,7)="Explore",(AA272-IF(LEFT(N272,7)="Explore",S272,0))&lt;10),"SI","NO")</f>
        <v/>
      </c>
    </row>
    <row r="273">
      <c r="A273" t="inlineStr">
        <is>
          <t>c4f2_training</t>
        </is>
      </c>
      <c r="B273" t="inlineStr">
        <is>
          <t>2026-02-19 15:32:55.399</t>
        </is>
      </c>
      <c r="C273" t="n">
        <v/>
      </c>
      <c r="D273" t="inlineStr">
        <is>
          <t>Media file</t>
        </is>
      </c>
      <c r="E273" t="inlineStr">
        <is>
          <t>player #1:BTBR\training\c4f2.mp4</t>
        </is>
      </c>
      <c r="F273" t="n">
        <v>-21.267</v>
      </c>
      <c r="G273" t="n">
        <v>583.299</v>
      </c>
      <c r="H273" t="n">
        <v>640.066</v>
      </c>
      <c r="I273" t="n">
        <v>30</v>
      </c>
      <c r="J273" t="inlineStr">
        <is>
          <t>BTBR</t>
        </is>
      </c>
      <c r="K273" t="inlineStr">
        <is>
          <t xml:space="preserve"> Female</t>
        </is>
      </c>
      <c r="L273" t="inlineStr">
        <is>
          <t>No focal subject</t>
        </is>
      </c>
      <c r="M273" t="n">
        <v>61.164</v>
      </c>
      <c r="N273" t="inlineStr">
        <is>
          <t>Explore_F2</t>
        </is>
      </c>
      <c r="O273" t="inlineStr">
        <is>
          <t>Second familiar</t>
        </is>
      </c>
      <c r="P273" t="inlineStr">
        <is>
          <t>STATE</t>
        </is>
      </c>
      <c r="Q273" t="n">
        <v>218.799</v>
      </c>
      <c r="R273" t="n">
        <v>220.033</v>
      </c>
      <c r="S273" t="n">
        <v>1.234</v>
      </c>
      <c r="T273" t="inlineStr">
        <is>
          <t>BTBR\training\c4f2.mp4</t>
        </is>
      </c>
      <c r="U273" t="n">
        <v>6564</v>
      </c>
      <c r="V273" t="n">
        <v>6602</v>
      </c>
      <c r="W273" t="n">
        <v/>
      </c>
      <c r="X273" t="n">
        <v/>
      </c>
      <c r="Y273" t="n">
        <v/>
      </c>
      <c r="Z273" t="n">
        <v/>
      </c>
      <c r="AA273">
        <f>SUMIFS($S$2:S273,$A$2:A273,A273,$N$2:N273,"Explore*")</f>
        <v/>
      </c>
      <c r="AB273">
        <f>IF(AND(LEFT(N273,7)="Explore",(AA273-IF(LEFT(N273,7)="Explore",S273,0))&lt;10),"SI","NO")</f>
        <v/>
      </c>
    </row>
    <row r="274">
      <c r="A274" t="inlineStr">
        <is>
          <t>c4f2_training</t>
        </is>
      </c>
      <c r="B274" t="inlineStr">
        <is>
          <t>2026-02-19 15:32:55.399</t>
        </is>
      </c>
      <c r="C274" t="n">
        <v/>
      </c>
      <c r="D274" t="inlineStr">
        <is>
          <t>Media file</t>
        </is>
      </c>
      <c r="E274" t="inlineStr">
        <is>
          <t>player #1:BTBR\training\c4f2.mp4</t>
        </is>
      </c>
      <c r="F274" t="n">
        <v>-21.267</v>
      </c>
      <c r="G274" t="n">
        <v>583.299</v>
      </c>
      <c r="H274" t="n">
        <v>640.066</v>
      </c>
      <c r="I274" t="n">
        <v>30</v>
      </c>
      <c r="J274" t="inlineStr">
        <is>
          <t>BTBR</t>
        </is>
      </c>
      <c r="K274" t="inlineStr">
        <is>
          <t xml:space="preserve"> Female</t>
        </is>
      </c>
      <c r="L274" t="inlineStr">
        <is>
          <t>No focal subject</t>
        </is>
      </c>
      <c r="M274" t="n">
        <v>61.164</v>
      </c>
      <c r="N274" t="inlineStr">
        <is>
          <t>Explore_F</t>
        </is>
      </c>
      <c r="O274" t="inlineStr">
        <is>
          <t>Familiar</t>
        </is>
      </c>
      <c r="P274" t="inlineStr">
        <is>
          <t>STATE</t>
        </is>
      </c>
      <c r="Q274" t="n">
        <v>223.433</v>
      </c>
      <c r="R274" t="n">
        <v>224.366</v>
      </c>
      <c r="S274" t="n">
        <v>0.9330000000000001</v>
      </c>
      <c r="T274" t="inlineStr">
        <is>
          <t>BTBR\training\c4f2.mp4</t>
        </is>
      </c>
      <c r="U274" t="n">
        <v>6703</v>
      </c>
      <c r="V274" t="n">
        <v>6731</v>
      </c>
      <c r="W274" t="n">
        <v/>
      </c>
      <c r="X274" t="n">
        <v/>
      </c>
      <c r="Y274" t="n">
        <v/>
      </c>
      <c r="Z274" t="n">
        <v/>
      </c>
      <c r="AA274">
        <f>SUMIFS($S$2:S274,$A$2:A274,A274,$N$2:N274,"Explore*")</f>
        <v/>
      </c>
      <c r="AB274">
        <f>IF(AND(LEFT(N274,7)="Explore",(AA274-IF(LEFT(N274,7)="Explore",S274,0))&lt;10),"SI","NO")</f>
        <v/>
      </c>
    </row>
    <row r="275">
      <c r="A275" t="inlineStr">
        <is>
          <t>c4f2_training</t>
        </is>
      </c>
      <c r="B275" t="inlineStr">
        <is>
          <t>2026-02-19 15:32:55.399</t>
        </is>
      </c>
      <c r="C275" t="n">
        <v/>
      </c>
      <c r="D275" t="inlineStr">
        <is>
          <t>Media file</t>
        </is>
      </c>
      <c r="E275" t="inlineStr">
        <is>
          <t>player #1:BTBR\training\c4f2.mp4</t>
        </is>
      </c>
      <c r="F275" t="n">
        <v>-21.267</v>
      </c>
      <c r="G275" t="n">
        <v>583.299</v>
      </c>
      <c r="H275" t="n">
        <v>640.066</v>
      </c>
      <c r="I275" t="n">
        <v>30</v>
      </c>
      <c r="J275" t="inlineStr">
        <is>
          <t>BTBR</t>
        </is>
      </c>
      <c r="K275" t="inlineStr">
        <is>
          <t xml:space="preserve"> Female</t>
        </is>
      </c>
      <c r="L275" t="inlineStr">
        <is>
          <t>No focal subject</t>
        </is>
      </c>
      <c r="M275" t="n">
        <v>61.164</v>
      </c>
      <c r="N275" t="inlineStr">
        <is>
          <t>Explore_F</t>
        </is>
      </c>
      <c r="O275" t="inlineStr">
        <is>
          <t>Familiar</t>
        </is>
      </c>
      <c r="P275" t="inlineStr">
        <is>
          <t>STATE</t>
        </is>
      </c>
      <c r="Q275" t="n">
        <v>241.433</v>
      </c>
      <c r="R275" t="n">
        <v>241.833</v>
      </c>
      <c r="S275" t="n">
        <v>0.4</v>
      </c>
      <c r="T275" t="inlineStr">
        <is>
          <t>BTBR\training\c4f2.mp4</t>
        </is>
      </c>
      <c r="U275" t="n">
        <v>7243</v>
      </c>
      <c r="V275" t="n">
        <v>7255</v>
      </c>
      <c r="W275" t="n">
        <v/>
      </c>
      <c r="X275" t="n">
        <v/>
      </c>
      <c r="Y275" t="n">
        <v/>
      </c>
      <c r="Z275" t="n">
        <v/>
      </c>
      <c r="AA275">
        <f>SUMIFS($S$2:S275,$A$2:A275,A275,$N$2:N275,"Explore*")</f>
        <v/>
      </c>
      <c r="AB275">
        <f>IF(AND(LEFT(N275,7)="Explore",(AA275-IF(LEFT(N275,7)="Explore",S275,0))&lt;10),"SI","NO")</f>
        <v/>
      </c>
    </row>
    <row r="276">
      <c r="A276" t="inlineStr">
        <is>
          <t>c4f2_training</t>
        </is>
      </c>
      <c r="B276" t="inlineStr">
        <is>
          <t>2026-02-19 15:32:55.399</t>
        </is>
      </c>
      <c r="C276" t="n">
        <v/>
      </c>
      <c r="D276" t="inlineStr">
        <is>
          <t>Media file</t>
        </is>
      </c>
      <c r="E276" t="inlineStr">
        <is>
          <t>player #1:BTBR\training\c4f2.mp4</t>
        </is>
      </c>
      <c r="F276" t="n">
        <v>-21.267</v>
      </c>
      <c r="G276" t="n">
        <v>583.299</v>
      </c>
      <c r="H276" t="n">
        <v>640.066</v>
      </c>
      <c r="I276" t="n">
        <v>30</v>
      </c>
      <c r="J276" t="inlineStr">
        <is>
          <t>BTBR</t>
        </is>
      </c>
      <c r="K276" t="inlineStr">
        <is>
          <t xml:space="preserve"> Female</t>
        </is>
      </c>
      <c r="L276" t="inlineStr">
        <is>
          <t>No focal subject</t>
        </is>
      </c>
      <c r="M276" t="n">
        <v>61.164</v>
      </c>
      <c r="N276" t="inlineStr">
        <is>
          <t>Explore_F</t>
        </is>
      </c>
      <c r="O276" t="inlineStr">
        <is>
          <t>Familiar</t>
        </is>
      </c>
      <c r="P276" t="inlineStr">
        <is>
          <t>STATE</t>
        </is>
      </c>
      <c r="Q276" t="n">
        <v>246.433</v>
      </c>
      <c r="R276" t="n">
        <v>247.966</v>
      </c>
      <c r="S276" t="n">
        <v>1.533</v>
      </c>
      <c r="T276" t="inlineStr">
        <is>
          <t>BTBR\training\c4f2.mp4</t>
        </is>
      </c>
      <c r="U276" t="n">
        <v>7393</v>
      </c>
      <c r="V276" t="n">
        <v>7439</v>
      </c>
      <c r="W276" t="n">
        <v/>
      </c>
      <c r="X276" t="n">
        <v/>
      </c>
      <c r="Y276" t="n">
        <v/>
      </c>
      <c r="Z276" t="n">
        <v/>
      </c>
      <c r="AA276">
        <f>SUMIFS($S$2:S276,$A$2:A276,A276,$N$2:N276,"Explore*")</f>
        <v/>
      </c>
      <c r="AB276">
        <f>IF(AND(LEFT(N276,7)="Explore",(AA276-IF(LEFT(N276,7)="Explore",S276,0))&lt;10),"SI","NO")</f>
        <v/>
      </c>
    </row>
    <row r="277">
      <c r="A277" t="inlineStr">
        <is>
          <t>c4f2_training</t>
        </is>
      </c>
      <c r="B277" t="inlineStr">
        <is>
          <t>2026-02-19 15:32:55.399</t>
        </is>
      </c>
      <c r="C277" t="n">
        <v/>
      </c>
      <c r="D277" t="inlineStr">
        <is>
          <t>Media file</t>
        </is>
      </c>
      <c r="E277" t="inlineStr">
        <is>
          <t>player #1:BTBR\training\c4f2.mp4</t>
        </is>
      </c>
      <c r="F277" t="n">
        <v>-21.267</v>
      </c>
      <c r="G277" t="n">
        <v>583.299</v>
      </c>
      <c r="H277" t="n">
        <v>640.066</v>
      </c>
      <c r="I277" t="n">
        <v>30</v>
      </c>
      <c r="J277" t="inlineStr">
        <is>
          <t>BTBR</t>
        </is>
      </c>
      <c r="K277" t="inlineStr">
        <is>
          <t xml:space="preserve"> Female</t>
        </is>
      </c>
      <c r="L277" t="inlineStr">
        <is>
          <t>No focal subject</t>
        </is>
      </c>
      <c r="M277" t="n">
        <v>61.164</v>
      </c>
      <c r="N277" t="inlineStr">
        <is>
          <t>Explore_F</t>
        </is>
      </c>
      <c r="O277" t="inlineStr">
        <is>
          <t>Familiar</t>
        </is>
      </c>
      <c r="P277" t="inlineStr">
        <is>
          <t>STATE</t>
        </is>
      </c>
      <c r="Q277" t="n">
        <v>250.266</v>
      </c>
      <c r="R277" t="n">
        <v>250.866</v>
      </c>
      <c r="S277" t="n">
        <v>0.6</v>
      </c>
      <c r="T277" t="inlineStr">
        <is>
          <t>BTBR\training\c4f2.mp4</t>
        </is>
      </c>
      <c r="U277" t="n">
        <v>7508</v>
      </c>
      <c r="V277" t="n">
        <v>7526</v>
      </c>
      <c r="W277" t="n">
        <v/>
      </c>
      <c r="X277" t="n">
        <v/>
      </c>
      <c r="Y277" t="n">
        <v/>
      </c>
      <c r="Z277" t="n">
        <v/>
      </c>
      <c r="AA277">
        <f>SUMIFS($S$2:S277,$A$2:A277,A277,$N$2:N277,"Explore*")</f>
        <v/>
      </c>
      <c r="AB277">
        <f>IF(AND(LEFT(N277,7)="Explore",(AA277-IF(LEFT(N277,7)="Explore",S277,0))&lt;10),"SI","NO")</f>
        <v/>
      </c>
    </row>
    <row r="278">
      <c r="A278" t="inlineStr">
        <is>
          <t>c4f2_training</t>
        </is>
      </c>
      <c r="B278" t="inlineStr">
        <is>
          <t>2026-02-19 15:32:55.399</t>
        </is>
      </c>
      <c r="C278" t="n">
        <v/>
      </c>
      <c r="D278" t="inlineStr">
        <is>
          <t>Media file</t>
        </is>
      </c>
      <c r="E278" t="inlineStr">
        <is>
          <t>player #1:BTBR\training\c4f2.mp4</t>
        </is>
      </c>
      <c r="F278" t="n">
        <v>-21.267</v>
      </c>
      <c r="G278" t="n">
        <v>583.299</v>
      </c>
      <c r="H278" t="n">
        <v>640.066</v>
      </c>
      <c r="I278" t="n">
        <v>30</v>
      </c>
      <c r="J278" t="inlineStr">
        <is>
          <t>BTBR</t>
        </is>
      </c>
      <c r="K278" t="inlineStr">
        <is>
          <t xml:space="preserve"> Female</t>
        </is>
      </c>
      <c r="L278" t="inlineStr">
        <is>
          <t>No focal subject</t>
        </is>
      </c>
      <c r="M278" t="n">
        <v>61.164</v>
      </c>
      <c r="N278" t="inlineStr">
        <is>
          <t>Explore_F2</t>
        </is>
      </c>
      <c r="O278" t="inlineStr">
        <is>
          <t>Second familiar</t>
        </is>
      </c>
      <c r="P278" t="inlineStr">
        <is>
          <t>STATE</t>
        </is>
      </c>
      <c r="Q278" t="n">
        <v>260.766</v>
      </c>
      <c r="R278" t="n">
        <v>261.766</v>
      </c>
      <c r="S278" t="n">
        <v>1</v>
      </c>
      <c r="T278" t="inlineStr">
        <is>
          <t>BTBR\training\c4f2.mp4</t>
        </is>
      </c>
      <c r="U278" t="n">
        <v>7823</v>
      </c>
      <c r="V278" t="n">
        <v>7853</v>
      </c>
      <c r="W278" t="n">
        <v/>
      </c>
      <c r="X278" t="n">
        <v/>
      </c>
      <c r="Y278" t="n">
        <v/>
      </c>
      <c r="Z278" t="n">
        <v/>
      </c>
      <c r="AA278">
        <f>SUMIFS($S$2:S278,$A$2:A278,A278,$N$2:N278,"Explore*")</f>
        <v/>
      </c>
      <c r="AB278">
        <f>IF(AND(LEFT(N278,7)="Explore",(AA278-IF(LEFT(N278,7)="Explore",S278,0))&lt;10),"SI","NO")</f>
        <v/>
      </c>
    </row>
    <row r="279">
      <c r="A279" t="inlineStr">
        <is>
          <t>c4f2_training</t>
        </is>
      </c>
      <c r="B279" t="inlineStr">
        <is>
          <t>2026-02-19 15:32:55.399</t>
        </is>
      </c>
      <c r="C279" t="n">
        <v/>
      </c>
      <c r="D279" t="inlineStr">
        <is>
          <t>Media file</t>
        </is>
      </c>
      <c r="E279" t="inlineStr">
        <is>
          <t>player #1:BTBR\training\c4f2.mp4</t>
        </is>
      </c>
      <c r="F279" t="n">
        <v>-21.267</v>
      </c>
      <c r="G279" t="n">
        <v>583.299</v>
      </c>
      <c r="H279" t="n">
        <v>640.066</v>
      </c>
      <c r="I279" t="n">
        <v>30</v>
      </c>
      <c r="J279" t="inlineStr">
        <is>
          <t>BTBR</t>
        </is>
      </c>
      <c r="K279" t="inlineStr">
        <is>
          <t xml:space="preserve"> Female</t>
        </is>
      </c>
      <c r="L279" t="inlineStr">
        <is>
          <t>No focal subject</t>
        </is>
      </c>
      <c r="M279" t="n">
        <v>61.164</v>
      </c>
      <c r="N279" t="inlineStr">
        <is>
          <t>Explore_F2</t>
        </is>
      </c>
      <c r="O279" t="inlineStr">
        <is>
          <t>Second familiar</t>
        </is>
      </c>
      <c r="P279" t="inlineStr">
        <is>
          <t>STATE</t>
        </is>
      </c>
      <c r="Q279" t="n">
        <v>274.033</v>
      </c>
      <c r="R279" t="n">
        <v>274.333</v>
      </c>
      <c r="S279" t="n">
        <v>0.3</v>
      </c>
      <c r="T279" t="inlineStr">
        <is>
          <t>BTBR\training\c4f2.mp4</t>
        </is>
      </c>
      <c r="U279" t="n">
        <v>8222</v>
      </c>
      <c r="V279" t="n">
        <v>8230</v>
      </c>
      <c r="W279" t="n">
        <v/>
      </c>
      <c r="X279" t="n">
        <v/>
      </c>
      <c r="Y279" t="n">
        <v/>
      </c>
      <c r="Z279" t="n">
        <v/>
      </c>
      <c r="AA279">
        <f>SUMIFS($S$2:S279,$A$2:A279,A279,$N$2:N279,"Explore*")</f>
        <v/>
      </c>
      <c r="AB279">
        <f>IF(AND(LEFT(N279,7)="Explore",(AA279-IF(LEFT(N279,7)="Explore",S279,0))&lt;10),"SI","NO")</f>
        <v/>
      </c>
    </row>
    <row r="280">
      <c r="A280" t="inlineStr">
        <is>
          <t>c4f2_training</t>
        </is>
      </c>
      <c r="B280" t="inlineStr">
        <is>
          <t>2026-02-19 15:32:55.399</t>
        </is>
      </c>
      <c r="C280" t="n">
        <v/>
      </c>
      <c r="D280" t="inlineStr">
        <is>
          <t>Media file</t>
        </is>
      </c>
      <c r="E280" t="inlineStr">
        <is>
          <t>player #1:BTBR\training\c4f2.mp4</t>
        </is>
      </c>
      <c r="F280" t="n">
        <v>-21.267</v>
      </c>
      <c r="G280" t="n">
        <v>583.299</v>
      </c>
      <c r="H280" t="n">
        <v>640.066</v>
      </c>
      <c r="I280" t="n">
        <v>30</v>
      </c>
      <c r="J280" t="inlineStr">
        <is>
          <t>BTBR</t>
        </is>
      </c>
      <c r="K280" t="inlineStr">
        <is>
          <t xml:space="preserve"> Female</t>
        </is>
      </c>
      <c r="L280" t="inlineStr">
        <is>
          <t>No focal subject</t>
        </is>
      </c>
      <c r="M280" t="n">
        <v>61.164</v>
      </c>
      <c r="N280" t="inlineStr">
        <is>
          <t>Explore_F</t>
        </is>
      </c>
      <c r="O280" t="inlineStr">
        <is>
          <t>Familiar</t>
        </is>
      </c>
      <c r="P280" t="inlineStr">
        <is>
          <t>STATE</t>
        </is>
      </c>
      <c r="Q280" t="n">
        <v>276.433</v>
      </c>
      <c r="R280" t="n">
        <v>277.766</v>
      </c>
      <c r="S280" t="n">
        <v>1.333</v>
      </c>
      <c r="T280" t="inlineStr">
        <is>
          <t>BTBR\training\c4f2.mp4</t>
        </is>
      </c>
      <c r="U280" t="n">
        <v>8293</v>
      </c>
      <c r="V280" t="n">
        <v>8333</v>
      </c>
      <c r="W280" t="n">
        <v/>
      </c>
      <c r="X280" t="n">
        <v/>
      </c>
      <c r="Y280" t="n">
        <v/>
      </c>
      <c r="Z280" t="n">
        <v/>
      </c>
      <c r="AA280">
        <f>SUMIFS($S$2:S280,$A$2:A280,A280,$N$2:N280,"Explore*")</f>
        <v/>
      </c>
      <c r="AB280">
        <f>IF(AND(LEFT(N280,7)="Explore",(AA280-IF(LEFT(N280,7)="Explore",S280,0))&lt;10),"SI","NO")</f>
        <v/>
      </c>
    </row>
    <row r="281">
      <c r="A281" t="inlineStr">
        <is>
          <t>c4f2_training</t>
        </is>
      </c>
      <c r="B281" t="inlineStr">
        <is>
          <t>2026-02-19 15:32:55.399</t>
        </is>
      </c>
      <c r="C281" t="n">
        <v/>
      </c>
      <c r="D281" t="inlineStr">
        <is>
          <t>Media file</t>
        </is>
      </c>
      <c r="E281" t="inlineStr">
        <is>
          <t>player #1:BTBR\training\c4f2.mp4</t>
        </is>
      </c>
      <c r="F281" t="n">
        <v>-21.267</v>
      </c>
      <c r="G281" t="n">
        <v>583.299</v>
      </c>
      <c r="H281" t="n">
        <v>640.066</v>
      </c>
      <c r="I281" t="n">
        <v>30</v>
      </c>
      <c r="J281" t="inlineStr">
        <is>
          <t>BTBR</t>
        </is>
      </c>
      <c r="K281" t="inlineStr">
        <is>
          <t xml:space="preserve"> Female</t>
        </is>
      </c>
      <c r="L281" t="inlineStr">
        <is>
          <t>No focal subject</t>
        </is>
      </c>
      <c r="M281" t="n">
        <v>61.164</v>
      </c>
      <c r="N281" t="inlineStr">
        <is>
          <t>Explore_F2</t>
        </is>
      </c>
      <c r="O281" t="inlineStr">
        <is>
          <t>Second familiar</t>
        </is>
      </c>
      <c r="P281" t="inlineStr">
        <is>
          <t>STATE</t>
        </is>
      </c>
      <c r="Q281" t="n">
        <v>288.899</v>
      </c>
      <c r="R281" t="n">
        <v>289.199</v>
      </c>
      <c r="S281" t="n">
        <v>0.3</v>
      </c>
      <c r="T281" t="inlineStr">
        <is>
          <t>BTBR\training\c4f2.mp4</t>
        </is>
      </c>
      <c r="U281" t="n">
        <v>8667</v>
      </c>
      <c r="V281" t="n">
        <v>8676</v>
      </c>
      <c r="W281" t="n">
        <v/>
      </c>
      <c r="X281" t="n">
        <v/>
      </c>
      <c r="Y281" t="n">
        <v/>
      </c>
      <c r="Z281" t="n">
        <v/>
      </c>
      <c r="AA281">
        <f>SUMIFS($S$2:S281,$A$2:A281,A281,$N$2:N281,"Explore*")</f>
        <v/>
      </c>
      <c r="AB281">
        <f>IF(AND(LEFT(N281,7)="Explore",(AA281-IF(LEFT(N281,7)="Explore",S281,0))&lt;10),"SI","NO")</f>
        <v/>
      </c>
    </row>
    <row r="282">
      <c r="A282" t="inlineStr">
        <is>
          <t>c4f2_training</t>
        </is>
      </c>
      <c r="B282" t="inlineStr">
        <is>
          <t>2026-02-19 15:32:55.399</t>
        </is>
      </c>
      <c r="C282" t="n">
        <v/>
      </c>
      <c r="D282" t="inlineStr">
        <is>
          <t>Media file</t>
        </is>
      </c>
      <c r="E282" t="inlineStr">
        <is>
          <t>player #1:BTBR\training\c4f2.mp4</t>
        </is>
      </c>
      <c r="F282" t="n">
        <v>-21.267</v>
      </c>
      <c r="G282" t="n">
        <v>583.299</v>
      </c>
      <c r="H282" t="n">
        <v>640.066</v>
      </c>
      <c r="I282" t="n">
        <v>30</v>
      </c>
      <c r="J282" t="inlineStr">
        <is>
          <t>BTBR</t>
        </is>
      </c>
      <c r="K282" t="inlineStr">
        <is>
          <t xml:space="preserve"> Female</t>
        </is>
      </c>
      <c r="L282" t="inlineStr">
        <is>
          <t>No focal subject</t>
        </is>
      </c>
      <c r="M282" t="n">
        <v>61.164</v>
      </c>
      <c r="N282" t="inlineStr">
        <is>
          <t>Explore_F</t>
        </is>
      </c>
      <c r="O282" t="inlineStr">
        <is>
          <t>Familiar</t>
        </is>
      </c>
      <c r="P282" t="inlineStr">
        <is>
          <t>STATE</t>
        </is>
      </c>
      <c r="Q282" t="n">
        <v>289.966</v>
      </c>
      <c r="R282" t="n">
        <v>290.266</v>
      </c>
      <c r="S282" t="n">
        <v>0.3</v>
      </c>
      <c r="T282" t="inlineStr">
        <is>
          <t>BTBR\training\c4f2.mp4</t>
        </is>
      </c>
      <c r="U282" t="n">
        <v>8699</v>
      </c>
      <c r="V282" t="n">
        <v>8708</v>
      </c>
      <c r="W282" t="n">
        <v/>
      </c>
      <c r="X282" t="n">
        <v/>
      </c>
      <c r="Y282" t="n">
        <v/>
      </c>
      <c r="Z282" t="n">
        <v/>
      </c>
      <c r="AA282">
        <f>SUMIFS($S$2:S282,$A$2:A282,A282,$N$2:N282,"Explore*")</f>
        <v/>
      </c>
      <c r="AB282">
        <f>IF(AND(LEFT(N282,7)="Explore",(AA282-IF(LEFT(N282,7)="Explore",S282,0))&lt;10),"SI","NO")</f>
        <v/>
      </c>
    </row>
    <row r="283">
      <c r="A283" t="inlineStr">
        <is>
          <t>c4f2_training</t>
        </is>
      </c>
      <c r="B283" t="inlineStr">
        <is>
          <t>2026-02-19 15:32:55.399</t>
        </is>
      </c>
      <c r="C283" t="n">
        <v/>
      </c>
      <c r="D283" t="inlineStr">
        <is>
          <t>Media file</t>
        </is>
      </c>
      <c r="E283" t="inlineStr">
        <is>
          <t>player #1:BTBR\training\c4f2.mp4</t>
        </is>
      </c>
      <c r="F283" t="n">
        <v>-21.267</v>
      </c>
      <c r="G283" t="n">
        <v>583.299</v>
      </c>
      <c r="H283" t="n">
        <v>640.066</v>
      </c>
      <c r="I283" t="n">
        <v>30</v>
      </c>
      <c r="J283" t="inlineStr">
        <is>
          <t>BTBR</t>
        </is>
      </c>
      <c r="K283" t="inlineStr">
        <is>
          <t xml:space="preserve"> Female</t>
        </is>
      </c>
      <c r="L283" t="inlineStr">
        <is>
          <t>No focal subject</t>
        </is>
      </c>
      <c r="M283" t="n">
        <v>61.164</v>
      </c>
      <c r="N283" t="inlineStr">
        <is>
          <t>Explore_F2</t>
        </is>
      </c>
      <c r="O283" t="inlineStr">
        <is>
          <t>Second familiar</t>
        </is>
      </c>
      <c r="P283" t="inlineStr">
        <is>
          <t>STATE</t>
        </is>
      </c>
      <c r="Q283" t="n">
        <v>313.933</v>
      </c>
      <c r="R283" t="n">
        <v>314.933</v>
      </c>
      <c r="S283" t="n">
        <v>1</v>
      </c>
      <c r="T283" t="inlineStr">
        <is>
          <t>BTBR\training\c4f2.mp4</t>
        </is>
      </c>
      <c r="U283" t="n">
        <v>10056</v>
      </c>
      <c r="V283" t="n">
        <v>10086</v>
      </c>
      <c r="W283" t="n">
        <v/>
      </c>
      <c r="X283" t="n">
        <v/>
      </c>
      <c r="Y283" t="n">
        <v/>
      </c>
      <c r="Z283" t="n">
        <v/>
      </c>
      <c r="AA283">
        <f>SUMIFS($S$2:S283,$A$2:A283,A283,$N$2:N283,"Explore*")</f>
        <v/>
      </c>
      <c r="AB283">
        <f>IF(AND(LEFT(N283,7)="Explore",(AA283-IF(LEFT(N283,7)="Explore",S283,0))&lt;10),"SI","NO")</f>
        <v/>
      </c>
    </row>
    <row r="284">
      <c r="A284" t="inlineStr">
        <is>
          <t>c4f2_training</t>
        </is>
      </c>
      <c r="B284" t="inlineStr">
        <is>
          <t>2026-02-19 15:32:55.399</t>
        </is>
      </c>
      <c r="C284" t="n">
        <v/>
      </c>
      <c r="D284" t="inlineStr">
        <is>
          <t>Media file</t>
        </is>
      </c>
      <c r="E284" t="inlineStr">
        <is>
          <t>player #1:BTBR\training\c4f2.mp4</t>
        </is>
      </c>
      <c r="F284" t="n">
        <v>-21.267</v>
      </c>
      <c r="G284" t="n">
        <v>583.299</v>
      </c>
      <c r="H284" t="n">
        <v>640.066</v>
      </c>
      <c r="I284" t="n">
        <v>30</v>
      </c>
      <c r="J284" t="inlineStr">
        <is>
          <t>BTBR</t>
        </is>
      </c>
      <c r="K284" t="inlineStr">
        <is>
          <t xml:space="preserve"> Female</t>
        </is>
      </c>
      <c r="L284" t="inlineStr">
        <is>
          <t>No focal subject</t>
        </is>
      </c>
      <c r="M284" t="n">
        <v>61.164</v>
      </c>
      <c r="N284" t="inlineStr">
        <is>
          <t>Explore_F2</t>
        </is>
      </c>
      <c r="O284" t="inlineStr">
        <is>
          <t>Second familiar</t>
        </is>
      </c>
      <c r="P284" t="inlineStr">
        <is>
          <t>STATE</t>
        </is>
      </c>
      <c r="Q284" t="n">
        <v>324.566</v>
      </c>
      <c r="R284" t="n">
        <v>325.933</v>
      </c>
      <c r="S284" t="n">
        <v>1.367</v>
      </c>
      <c r="T284" t="inlineStr">
        <is>
          <t>BTBR\training\c4f2.mp4</t>
        </is>
      </c>
      <c r="U284" t="n">
        <v>10375</v>
      </c>
      <c r="V284" t="n">
        <v>10416</v>
      </c>
      <c r="W284" t="n">
        <v/>
      </c>
      <c r="X284" t="n">
        <v/>
      </c>
      <c r="Y284" t="n">
        <v/>
      </c>
      <c r="Z284" t="n">
        <v/>
      </c>
      <c r="AA284">
        <f>SUMIFS($S$2:S284,$A$2:A284,A284,$N$2:N284,"Explore*")</f>
        <v/>
      </c>
      <c r="AB284">
        <f>IF(AND(LEFT(N284,7)="Explore",(AA284-IF(LEFT(N284,7)="Explore",S284,0))&lt;10),"SI","NO")</f>
        <v/>
      </c>
    </row>
    <row r="285">
      <c r="A285" t="inlineStr">
        <is>
          <t>c4f2_training</t>
        </is>
      </c>
      <c r="B285" t="inlineStr">
        <is>
          <t>2026-02-19 15:32:55.399</t>
        </is>
      </c>
      <c r="C285" t="n">
        <v/>
      </c>
      <c r="D285" t="inlineStr">
        <is>
          <t>Media file</t>
        </is>
      </c>
      <c r="E285" t="inlineStr">
        <is>
          <t>player #1:BTBR\training\c4f2.mp4</t>
        </is>
      </c>
      <c r="F285" t="n">
        <v>-21.267</v>
      </c>
      <c r="G285" t="n">
        <v>583.299</v>
      </c>
      <c r="H285" t="n">
        <v>640.066</v>
      </c>
      <c r="I285" t="n">
        <v>30</v>
      </c>
      <c r="J285" t="inlineStr">
        <is>
          <t>BTBR</t>
        </is>
      </c>
      <c r="K285" t="inlineStr">
        <is>
          <t xml:space="preserve"> Female</t>
        </is>
      </c>
      <c r="L285" t="inlineStr">
        <is>
          <t>No focal subject</t>
        </is>
      </c>
      <c r="M285" t="n">
        <v>61.164</v>
      </c>
      <c r="N285" t="inlineStr">
        <is>
          <t>Explore_F</t>
        </is>
      </c>
      <c r="O285" t="inlineStr">
        <is>
          <t>Familiar</t>
        </is>
      </c>
      <c r="P285" t="inlineStr">
        <is>
          <t>STATE</t>
        </is>
      </c>
      <c r="Q285" t="n">
        <v>328.833</v>
      </c>
      <c r="R285" t="n">
        <v>330.066</v>
      </c>
      <c r="S285" t="n">
        <v>1.233</v>
      </c>
      <c r="T285" t="inlineStr">
        <is>
          <t>BTBR\training\c4f2.mp4</t>
        </is>
      </c>
      <c r="U285" t="n">
        <v>10503</v>
      </c>
      <c r="V285" t="n">
        <v>10540</v>
      </c>
      <c r="W285" t="n">
        <v/>
      </c>
      <c r="X285" t="n">
        <v/>
      </c>
      <c r="Y285" t="n">
        <v/>
      </c>
      <c r="Z285" t="n">
        <v/>
      </c>
      <c r="AA285">
        <f>SUMIFS($S$2:S285,$A$2:A285,A285,$N$2:N285,"Explore*")</f>
        <v/>
      </c>
      <c r="AB285">
        <f>IF(AND(LEFT(N285,7)="Explore",(AA285-IF(LEFT(N285,7)="Explore",S285,0))&lt;10),"SI","NO")</f>
        <v/>
      </c>
    </row>
    <row r="286">
      <c r="A286" t="inlineStr">
        <is>
          <t>c4f2_training</t>
        </is>
      </c>
      <c r="B286" t="inlineStr">
        <is>
          <t>2026-02-19 15:32:55.399</t>
        </is>
      </c>
      <c r="C286" t="n">
        <v/>
      </c>
      <c r="D286" t="inlineStr">
        <is>
          <t>Media file</t>
        </is>
      </c>
      <c r="E286" t="inlineStr">
        <is>
          <t>player #1:BTBR\training\c4f2.mp4</t>
        </is>
      </c>
      <c r="F286" t="n">
        <v>-21.267</v>
      </c>
      <c r="G286" t="n">
        <v>583.299</v>
      </c>
      <c r="H286" t="n">
        <v>640.066</v>
      </c>
      <c r="I286" t="n">
        <v>30</v>
      </c>
      <c r="J286" t="inlineStr">
        <is>
          <t>BTBR</t>
        </is>
      </c>
      <c r="K286" t="inlineStr">
        <is>
          <t xml:space="preserve"> Female</t>
        </is>
      </c>
      <c r="L286" t="inlineStr">
        <is>
          <t>No focal subject</t>
        </is>
      </c>
      <c r="M286" t="n">
        <v>61.164</v>
      </c>
      <c r="N286" t="inlineStr">
        <is>
          <t>Explore_F</t>
        </is>
      </c>
      <c r="O286" t="inlineStr">
        <is>
          <t>Familiar</t>
        </is>
      </c>
      <c r="P286" t="inlineStr">
        <is>
          <t>STATE</t>
        </is>
      </c>
      <c r="Q286" t="n">
        <v>332.933</v>
      </c>
      <c r="R286" t="n">
        <v>333.966</v>
      </c>
      <c r="S286" t="n">
        <v>1.033</v>
      </c>
      <c r="T286" t="inlineStr">
        <is>
          <t>BTBR\training\c4f2.mp4</t>
        </is>
      </c>
      <c r="U286" t="n">
        <v>10626</v>
      </c>
      <c r="V286" t="n">
        <v>10657</v>
      </c>
      <c r="W286" t="n">
        <v/>
      </c>
      <c r="X286" t="n">
        <v/>
      </c>
      <c r="Y286" t="n">
        <v/>
      </c>
      <c r="Z286" t="n">
        <v/>
      </c>
      <c r="AA286">
        <f>SUMIFS($S$2:S286,$A$2:A286,A286,$N$2:N286,"Explore*")</f>
        <v/>
      </c>
      <c r="AB286">
        <f>IF(AND(LEFT(N286,7)="Explore",(AA286-IF(LEFT(N286,7)="Explore",S286,0))&lt;10),"SI","NO")</f>
        <v/>
      </c>
    </row>
    <row r="287">
      <c r="A287" t="inlineStr">
        <is>
          <t>c4f2_training</t>
        </is>
      </c>
      <c r="B287" t="inlineStr">
        <is>
          <t>2026-02-19 15:32:55.399</t>
        </is>
      </c>
      <c r="C287" t="n">
        <v/>
      </c>
      <c r="D287" t="inlineStr">
        <is>
          <t>Media file</t>
        </is>
      </c>
      <c r="E287" t="inlineStr">
        <is>
          <t>player #1:BTBR\training\c4f2.mp4</t>
        </is>
      </c>
      <c r="F287" t="n">
        <v>-21.267</v>
      </c>
      <c r="G287" t="n">
        <v>583.299</v>
      </c>
      <c r="H287" t="n">
        <v>640.066</v>
      </c>
      <c r="I287" t="n">
        <v>30</v>
      </c>
      <c r="J287" t="inlineStr">
        <is>
          <t>BTBR</t>
        </is>
      </c>
      <c r="K287" t="inlineStr">
        <is>
          <t xml:space="preserve"> Female</t>
        </is>
      </c>
      <c r="L287" t="inlineStr">
        <is>
          <t>No focal subject</t>
        </is>
      </c>
      <c r="M287" t="n">
        <v>61.164</v>
      </c>
      <c r="N287" t="inlineStr">
        <is>
          <t>Explore_F2</t>
        </is>
      </c>
      <c r="O287" t="inlineStr">
        <is>
          <t>Second familiar</t>
        </is>
      </c>
      <c r="P287" t="inlineStr">
        <is>
          <t>STATE</t>
        </is>
      </c>
      <c r="Q287" t="n">
        <v>334.833</v>
      </c>
      <c r="R287" t="n">
        <v>335.199</v>
      </c>
      <c r="S287" t="n">
        <v>0.366</v>
      </c>
      <c r="T287" t="inlineStr">
        <is>
          <t>BTBR\training\c4f2.mp4</t>
        </is>
      </c>
      <c r="U287" t="n">
        <v>10683</v>
      </c>
      <c r="V287" t="n">
        <v>10694</v>
      </c>
      <c r="W287" t="n">
        <v/>
      </c>
      <c r="X287" t="n">
        <v/>
      </c>
      <c r="Y287" t="n">
        <v/>
      </c>
      <c r="Z287" t="n">
        <v/>
      </c>
      <c r="AA287">
        <f>SUMIFS($S$2:S287,$A$2:A287,A287,$N$2:N287,"Explore*")</f>
        <v/>
      </c>
      <c r="AB287">
        <f>IF(AND(LEFT(N287,7)="Explore",(AA287-IF(LEFT(N287,7)="Explore",S287,0))&lt;10),"SI","NO")</f>
        <v/>
      </c>
    </row>
    <row r="288">
      <c r="A288" t="inlineStr">
        <is>
          <t>c4f2_training</t>
        </is>
      </c>
      <c r="B288" t="inlineStr">
        <is>
          <t>2026-02-19 15:32:55.399</t>
        </is>
      </c>
      <c r="C288" t="n">
        <v/>
      </c>
      <c r="D288" t="inlineStr">
        <is>
          <t>Media file</t>
        </is>
      </c>
      <c r="E288" t="inlineStr">
        <is>
          <t>player #1:BTBR\training\c4f2.mp4</t>
        </is>
      </c>
      <c r="F288" t="n">
        <v>-21.267</v>
      </c>
      <c r="G288" t="n">
        <v>583.299</v>
      </c>
      <c r="H288" t="n">
        <v>640.066</v>
      </c>
      <c r="I288" t="n">
        <v>30</v>
      </c>
      <c r="J288" t="inlineStr">
        <is>
          <t>BTBR</t>
        </is>
      </c>
      <c r="K288" t="inlineStr">
        <is>
          <t xml:space="preserve"> Female</t>
        </is>
      </c>
      <c r="L288" t="inlineStr">
        <is>
          <t>No focal subject</t>
        </is>
      </c>
      <c r="M288" t="n">
        <v>61.164</v>
      </c>
      <c r="N288" t="inlineStr">
        <is>
          <t>Explore_F</t>
        </is>
      </c>
      <c r="O288" t="inlineStr">
        <is>
          <t>Familiar</t>
        </is>
      </c>
      <c r="P288" t="inlineStr">
        <is>
          <t>STATE</t>
        </is>
      </c>
      <c r="Q288" t="n">
        <v>346.233</v>
      </c>
      <c r="R288" t="n">
        <v>346.599</v>
      </c>
      <c r="S288" t="n">
        <v>0.366</v>
      </c>
      <c r="T288" t="inlineStr">
        <is>
          <t>BTBR\training\c4f2.mp4</t>
        </is>
      </c>
      <c r="U288" t="n">
        <v>11025</v>
      </c>
      <c r="V288" t="n">
        <v>11036</v>
      </c>
      <c r="W288" t="n">
        <v/>
      </c>
      <c r="X288" t="n">
        <v/>
      </c>
      <c r="Y288" t="n">
        <v/>
      </c>
      <c r="Z288" t="n">
        <v/>
      </c>
      <c r="AA288">
        <f>SUMIFS($S$2:S288,$A$2:A288,A288,$N$2:N288,"Explore*")</f>
        <v/>
      </c>
      <c r="AB288">
        <f>IF(AND(LEFT(N288,7)="Explore",(AA288-IF(LEFT(N288,7)="Explore",S288,0))&lt;10),"SI","NO")</f>
        <v/>
      </c>
    </row>
    <row r="289">
      <c r="A289" t="inlineStr">
        <is>
          <t>c4f2_training</t>
        </is>
      </c>
      <c r="B289" t="inlineStr">
        <is>
          <t>2026-02-19 15:32:55.399</t>
        </is>
      </c>
      <c r="C289" t="n">
        <v/>
      </c>
      <c r="D289" t="inlineStr">
        <is>
          <t>Media file</t>
        </is>
      </c>
      <c r="E289" t="inlineStr">
        <is>
          <t>player #1:BTBR\training\c4f2.mp4</t>
        </is>
      </c>
      <c r="F289" t="n">
        <v>-21.267</v>
      </c>
      <c r="G289" t="n">
        <v>583.299</v>
      </c>
      <c r="H289" t="n">
        <v>640.066</v>
      </c>
      <c r="I289" t="n">
        <v>30</v>
      </c>
      <c r="J289" t="inlineStr">
        <is>
          <t>BTBR</t>
        </is>
      </c>
      <c r="K289" t="inlineStr">
        <is>
          <t xml:space="preserve"> Female</t>
        </is>
      </c>
      <c r="L289" t="inlineStr">
        <is>
          <t>No focal subject</t>
        </is>
      </c>
      <c r="M289" t="n">
        <v>61.164</v>
      </c>
      <c r="N289" t="inlineStr">
        <is>
          <t>Explore_F2</t>
        </is>
      </c>
      <c r="O289" t="inlineStr">
        <is>
          <t>Second familiar</t>
        </is>
      </c>
      <c r="P289" t="inlineStr">
        <is>
          <t>STATE</t>
        </is>
      </c>
      <c r="Q289" t="n">
        <v>349.333</v>
      </c>
      <c r="R289" t="n">
        <v>349.933</v>
      </c>
      <c r="S289" t="n">
        <v>0.6</v>
      </c>
      <c r="T289" t="inlineStr">
        <is>
          <t>BTBR\training\c4f2.mp4</t>
        </is>
      </c>
      <c r="U289" t="n">
        <v>11118</v>
      </c>
      <c r="V289" t="n">
        <v>11136</v>
      </c>
      <c r="W289" t="n">
        <v/>
      </c>
      <c r="X289" t="n">
        <v/>
      </c>
      <c r="Y289" t="n">
        <v/>
      </c>
      <c r="Z289" t="n">
        <v/>
      </c>
      <c r="AA289">
        <f>SUMIFS($S$2:S289,$A$2:A289,A289,$N$2:N289,"Explore*")</f>
        <v/>
      </c>
      <c r="AB289">
        <f>IF(AND(LEFT(N289,7)="Explore",(AA289-IF(LEFT(N289,7)="Explore",S289,0))&lt;10),"SI","NO")</f>
        <v/>
      </c>
    </row>
    <row r="290">
      <c r="A290" t="inlineStr">
        <is>
          <t>c4f2_training</t>
        </is>
      </c>
      <c r="B290" t="inlineStr">
        <is>
          <t>2026-02-19 15:32:55.399</t>
        </is>
      </c>
      <c r="C290" t="n">
        <v/>
      </c>
      <c r="D290" t="inlineStr">
        <is>
          <t>Media file</t>
        </is>
      </c>
      <c r="E290" t="inlineStr">
        <is>
          <t>player #1:BTBR\training\c4f2.mp4</t>
        </is>
      </c>
      <c r="F290" t="n">
        <v>-21.267</v>
      </c>
      <c r="G290" t="n">
        <v>583.299</v>
      </c>
      <c r="H290" t="n">
        <v>640.066</v>
      </c>
      <c r="I290" t="n">
        <v>30</v>
      </c>
      <c r="J290" t="inlineStr">
        <is>
          <t>BTBR</t>
        </is>
      </c>
      <c r="K290" t="inlineStr">
        <is>
          <t xml:space="preserve"> Female</t>
        </is>
      </c>
      <c r="L290" t="inlineStr">
        <is>
          <t>No focal subject</t>
        </is>
      </c>
      <c r="M290" t="n">
        <v>61.164</v>
      </c>
      <c r="N290" t="inlineStr">
        <is>
          <t>Explore_F</t>
        </is>
      </c>
      <c r="O290" t="inlineStr">
        <is>
          <t>Familiar</t>
        </is>
      </c>
      <c r="P290" t="inlineStr">
        <is>
          <t>STATE</t>
        </is>
      </c>
      <c r="Q290" t="n">
        <v>352.399</v>
      </c>
      <c r="R290" t="n">
        <v>352.699</v>
      </c>
      <c r="S290" t="n">
        <v>0.3</v>
      </c>
      <c r="T290" t="inlineStr">
        <is>
          <t>BTBR\training\c4f2.mp4</t>
        </is>
      </c>
      <c r="U290" t="n">
        <v>11210</v>
      </c>
      <c r="V290" t="n">
        <v>11219</v>
      </c>
      <c r="W290" t="n">
        <v/>
      </c>
      <c r="X290" t="n">
        <v/>
      </c>
      <c r="Y290" t="n">
        <v/>
      </c>
      <c r="Z290" t="n">
        <v/>
      </c>
      <c r="AA290">
        <f>SUMIFS($S$2:S290,$A$2:A290,A290,$N$2:N290,"Explore*")</f>
        <v/>
      </c>
      <c r="AB290">
        <f>IF(AND(LEFT(N290,7)="Explore",(AA290-IF(LEFT(N290,7)="Explore",S290,0))&lt;10),"SI","NO")</f>
        <v/>
      </c>
    </row>
    <row r="291">
      <c r="A291" t="inlineStr">
        <is>
          <t>c4f2_training</t>
        </is>
      </c>
      <c r="B291" t="inlineStr">
        <is>
          <t>2026-02-19 15:32:55.399</t>
        </is>
      </c>
      <c r="C291" t="n">
        <v/>
      </c>
      <c r="D291" t="inlineStr">
        <is>
          <t>Media file</t>
        </is>
      </c>
      <c r="E291" t="inlineStr">
        <is>
          <t>player #1:BTBR\training\c4f2.mp4</t>
        </is>
      </c>
      <c r="F291" t="n">
        <v>-21.267</v>
      </c>
      <c r="G291" t="n">
        <v>583.299</v>
      </c>
      <c r="H291" t="n">
        <v>640.066</v>
      </c>
      <c r="I291" t="n">
        <v>30</v>
      </c>
      <c r="J291" t="inlineStr">
        <is>
          <t>BTBR</t>
        </is>
      </c>
      <c r="K291" t="inlineStr">
        <is>
          <t xml:space="preserve"> Female</t>
        </is>
      </c>
      <c r="L291" t="inlineStr">
        <is>
          <t>No focal subject</t>
        </is>
      </c>
      <c r="M291" t="n">
        <v>61.164</v>
      </c>
      <c r="N291" t="inlineStr">
        <is>
          <t>Explore_F2</t>
        </is>
      </c>
      <c r="O291" t="inlineStr">
        <is>
          <t>Second familiar</t>
        </is>
      </c>
      <c r="P291" t="inlineStr">
        <is>
          <t>STATE</t>
        </is>
      </c>
      <c r="Q291" t="n">
        <v>355.999</v>
      </c>
      <c r="R291" t="n">
        <v>356.733</v>
      </c>
      <c r="S291" t="n">
        <v>0.734</v>
      </c>
      <c r="T291" t="inlineStr">
        <is>
          <t>BTBR\training\c4f2.mp4</t>
        </is>
      </c>
      <c r="U291" t="n">
        <v>11318</v>
      </c>
      <c r="V291" t="n">
        <v>11340</v>
      </c>
      <c r="W291" t="n">
        <v/>
      </c>
      <c r="X291" t="n">
        <v/>
      </c>
      <c r="Y291" t="n">
        <v/>
      </c>
      <c r="Z291" t="n">
        <v/>
      </c>
      <c r="AA291">
        <f>SUMIFS($S$2:S291,$A$2:A291,A291,$N$2:N291,"Explore*")</f>
        <v/>
      </c>
      <c r="AB291">
        <f>IF(AND(LEFT(N291,7)="Explore",(AA291-IF(LEFT(N291,7)="Explore",S291,0))&lt;10),"SI","NO")</f>
        <v/>
      </c>
    </row>
    <row r="292">
      <c r="A292" t="inlineStr">
        <is>
          <t>c4f2_training</t>
        </is>
      </c>
      <c r="B292" t="inlineStr">
        <is>
          <t>2026-02-19 15:32:55.399</t>
        </is>
      </c>
      <c r="C292" t="n">
        <v/>
      </c>
      <c r="D292" t="inlineStr">
        <is>
          <t>Media file</t>
        </is>
      </c>
      <c r="E292" t="inlineStr">
        <is>
          <t>player #1:BTBR\training\c4f2.mp4</t>
        </is>
      </c>
      <c r="F292" t="n">
        <v>-21.267</v>
      </c>
      <c r="G292" t="n">
        <v>583.299</v>
      </c>
      <c r="H292" t="n">
        <v>640.066</v>
      </c>
      <c r="I292" t="n">
        <v>30</v>
      </c>
      <c r="J292" t="inlineStr">
        <is>
          <t>BTBR</t>
        </is>
      </c>
      <c r="K292" t="inlineStr">
        <is>
          <t xml:space="preserve"> Female</t>
        </is>
      </c>
      <c r="L292" t="inlineStr">
        <is>
          <t>No focal subject</t>
        </is>
      </c>
      <c r="M292" t="n">
        <v>61.164</v>
      </c>
      <c r="N292" t="inlineStr">
        <is>
          <t>Explore_F</t>
        </is>
      </c>
      <c r="O292" t="inlineStr">
        <is>
          <t>Familiar</t>
        </is>
      </c>
      <c r="P292" t="inlineStr">
        <is>
          <t>STATE</t>
        </is>
      </c>
      <c r="Q292" t="n">
        <v>369.999</v>
      </c>
      <c r="R292" t="n">
        <v>370.766</v>
      </c>
      <c r="S292" t="n">
        <v>0.767</v>
      </c>
      <c r="T292" t="inlineStr">
        <is>
          <t>BTBR\training\c4f2.mp4</t>
        </is>
      </c>
      <c r="U292" t="n">
        <v>11738</v>
      </c>
      <c r="V292" t="n">
        <v>11761</v>
      </c>
      <c r="W292" t="n">
        <v/>
      </c>
      <c r="X292" t="n">
        <v/>
      </c>
      <c r="Y292" t="n">
        <v/>
      </c>
      <c r="Z292" t="n">
        <v/>
      </c>
      <c r="AA292">
        <f>SUMIFS($S$2:S292,$A$2:A292,A292,$N$2:N292,"Explore*")</f>
        <v/>
      </c>
      <c r="AB292">
        <f>IF(AND(LEFT(N292,7)="Explore",(AA292-IF(LEFT(N292,7)="Explore",S292,0))&lt;10),"SI","NO")</f>
        <v/>
      </c>
    </row>
    <row r="293">
      <c r="A293" t="inlineStr">
        <is>
          <t>c4f2_training</t>
        </is>
      </c>
      <c r="B293" t="inlineStr">
        <is>
          <t>2026-02-19 15:32:55.399</t>
        </is>
      </c>
      <c r="C293" t="n">
        <v/>
      </c>
      <c r="D293" t="inlineStr">
        <is>
          <t>Media file</t>
        </is>
      </c>
      <c r="E293" t="inlineStr">
        <is>
          <t>player #1:BTBR\training\c4f2.mp4</t>
        </is>
      </c>
      <c r="F293" t="n">
        <v>-21.267</v>
      </c>
      <c r="G293" t="n">
        <v>583.299</v>
      </c>
      <c r="H293" t="n">
        <v>640.066</v>
      </c>
      <c r="I293" t="n">
        <v>30</v>
      </c>
      <c r="J293" t="inlineStr">
        <is>
          <t>BTBR</t>
        </is>
      </c>
      <c r="K293" t="inlineStr">
        <is>
          <t xml:space="preserve"> Female</t>
        </is>
      </c>
      <c r="L293" t="inlineStr">
        <is>
          <t>No focal subject</t>
        </is>
      </c>
      <c r="M293" t="n">
        <v>61.164</v>
      </c>
      <c r="N293" t="inlineStr">
        <is>
          <t>Explore_F2</t>
        </is>
      </c>
      <c r="O293" t="inlineStr">
        <is>
          <t>Second familiar</t>
        </is>
      </c>
      <c r="P293" t="inlineStr">
        <is>
          <t>STATE</t>
        </is>
      </c>
      <c r="Q293" t="n">
        <v>380.499</v>
      </c>
      <c r="R293" t="n">
        <v>381.199</v>
      </c>
      <c r="S293" t="n">
        <v>0.7</v>
      </c>
      <c r="T293" t="inlineStr">
        <is>
          <t>BTBR\training\c4f2.mp4</t>
        </is>
      </c>
      <c r="U293" t="n">
        <v>12053</v>
      </c>
      <c r="V293" t="n">
        <v>12074</v>
      </c>
      <c r="W293" t="n">
        <v/>
      </c>
      <c r="X293" t="n">
        <v/>
      </c>
      <c r="Y293" t="n">
        <v/>
      </c>
      <c r="Z293" t="n">
        <v/>
      </c>
      <c r="AA293">
        <f>SUMIFS($S$2:S293,$A$2:A293,A293,$N$2:N293,"Explore*")</f>
        <v/>
      </c>
      <c r="AB293">
        <f>IF(AND(LEFT(N293,7)="Explore",(AA293-IF(LEFT(N293,7)="Explore",S293,0))&lt;10),"SI","NO")</f>
        <v/>
      </c>
    </row>
    <row r="294">
      <c r="A294" t="inlineStr">
        <is>
          <t>c4f2_training</t>
        </is>
      </c>
      <c r="B294" t="inlineStr">
        <is>
          <t>2026-02-19 15:32:55.399</t>
        </is>
      </c>
      <c r="C294" t="n">
        <v/>
      </c>
      <c r="D294" t="inlineStr">
        <is>
          <t>Media file</t>
        </is>
      </c>
      <c r="E294" t="inlineStr">
        <is>
          <t>player #1:BTBR\training\c4f2.mp4</t>
        </is>
      </c>
      <c r="F294" t="n">
        <v>-21.267</v>
      </c>
      <c r="G294" t="n">
        <v>583.299</v>
      </c>
      <c r="H294" t="n">
        <v>640.066</v>
      </c>
      <c r="I294" t="n">
        <v>30</v>
      </c>
      <c r="J294" t="inlineStr">
        <is>
          <t>BTBR</t>
        </is>
      </c>
      <c r="K294" t="inlineStr">
        <is>
          <t xml:space="preserve"> Female</t>
        </is>
      </c>
      <c r="L294" t="inlineStr">
        <is>
          <t>No focal subject</t>
        </is>
      </c>
      <c r="M294" t="n">
        <v>61.164</v>
      </c>
      <c r="N294" t="inlineStr">
        <is>
          <t>Explore_F</t>
        </is>
      </c>
      <c r="O294" t="inlineStr">
        <is>
          <t>Familiar</t>
        </is>
      </c>
      <c r="P294" t="inlineStr">
        <is>
          <t>STATE</t>
        </is>
      </c>
      <c r="Q294" t="n">
        <v>390.699</v>
      </c>
      <c r="R294" t="n">
        <v>391.466</v>
      </c>
      <c r="S294" t="n">
        <v>0.767</v>
      </c>
      <c r="T294" t="inlineStr">
        <is>
          <t>BTBR\training\c4f2.mp4</t>
        </is>
      </c>
      <c r="U294" t="n">
        <v>12359</v>
      </c>
      <c r="V294" t="n">
        <v>12382</v>
      </c>
      <c r="W294" t="n">
        <v/>
      </c>
      <c r="X294" t="n">
        <v/>
      </c>
      <c r="Y294" t="n">
        <v/>
      </c>
      <c r="Z294" t="n">
        <v/>
      </c>
      <c r="AA294">
        <f>SUMIFS($S$2:S294,$A$2:A294,A294,$N$2:N294,"Explore*")</f>
        <v/>
      </c>
      <c r="AB294">
        <f>IF(AND(LEFT(N294,7)="Explore",(AA294-IF(LEFT(N294,7)="Explore",S294,0))&lt;10),"SI","NO")</f>
        <v/>
      </c>
    </row>
    <row r="295">
      <c r="A295" t="inlineStr">
        <is>
          <t>c4f2_training</t>
        </is>
      </c>
      <c r="B295" t="inlineStr">
        <is>
          <t>2026-02-19 15:32:55.399</t>
        </is>
      </c>
      <c r="C295" t="n">
        <v/>
      </c>
      <c r="D295" t="inlineStr">
        <is>
          <t>Media file</t>
        </is>
      </c>
      <c r="E295" t="inlineStr">
        <is>
          <t>player #1:BTBR\training\c4f2.mp4</t>
        </is>
      </c>
      <c r="F295" t="n">
        <v>-21.267</v>
      </c>
      <c r="G295" t="n">
        <v>583.299</v>
      </c>
      <c r="H295" t="n">
        <v>640.066</v>
      </c>
      <c r="I295" t="n">
        <v>30</v>
      </c>
      <c r="J295" t="inlineStr">
        <is>
          <t>BTBR</t>
        </is>
      </c>
      <c r="K295" t="inlineStr">
        <is>
          <t xml:space="preserve"> Female</t>
        </is>
      </c>
      <c r="L295" t="inlineStr">
        <is>
          <t>No focal subject</t>
        </is>
      </c>
      <c r="M295" t="n">
        <v>61.164</v>
      </c>
      <c r="N295" t="inlineStr">
        <is>
          <t>Explore_F2</t>
        </is>
      </c>
      <c r="O295" t="inlineStr">
        <is>
          <t>Second familiar</t>
        </is>
      </c>
      <c r="P295" t="inlineStr">
        <is>
          <t>STATE</t>
        </is>
      </c>
      <c r="Q295" t="n">
        <v>402.366</v>
      </c>
      <c r="R295" t="n">
        <v>403.433</v>
      </c>
      <c r="S295" t="n">
        <v>1.067</v>
      </c>
      <c r="T295" t="inlineStr">
        <is>
          <t>BTBR\training\c4f2.mp4</t>
        </is>
      </c>
      <c r="U295" t="n">
        <v>12709</v>
      </c>
      <c r="V295" t="n">
        <v>12741</v>
      </c>
      <c r="W295" t="n">
        <v/>
      </c>
      <c r="X295" t="n">
        <v/>
      </c>
      <c r="Y295" t="n">
        <v/>
      </c>
      <c r="Z295" t="n">
        <v/>
      </c>
      <c r="AA295">
        <f>SUMIFS($S$2:S295,$A$2:A295,A295,$N$2:N295,"Explore*")</f>
        <v/>
      </c>
      <c r="AB295">
        <f>IF(AND(LEFT(N295,7)="Explore",(AA295-IF(LEFT(N295,7)="Explore",S295,0))&lt;10),"SI","NO")</f>
        <v/>
      </c>
    </row>
    <row r="296">
      <c r="A296" t="inlineStr">
        <is>
          <t>c4f2_training</t>
        </is>
      </c>
      <c r="B296" t="inlineStr">
        <is>
          <t>2026-02-19 15:32:55.399</t>
        </is>
      </c>
      <c r="C296" t="n">
        <v/>
      </c>
      <c r="D296" t="inlineStr">
        <is>
          <t>Media file</t>
        </is>
      </c>
      <c r="E296" t="inlineStr">
        <is>
          <t>player #1:BTBR\training\c4f2.mp4</t>
        </is>
      </c>
      <c r="F296" t="n">
        <v>-21.267</v>
      </c>
      <c r="G296" t="n">
        <v>583.299</v>
      </c>
      <c r="H296" t="n">
        <v>640.066</v>
      </c>
      <c r="I296" t="n">
        <v>30</v>
      </c>
      <c r="J296" t="inlineStr">
        <is>
          <t>BTBR</t>
        </is>
      </c>
      <c r="K296" t="inlineStr">
        <is>
          <t xml:space="preserve"> Female</t>
        </is>
      </c>
      <c r="L296" t="inlineStr">
        <is>
          <t>No focal subject</t>
        </is>
      </c>
      <c r="M296" t="n">
        <v>61.164</v>
      </c>
      <c r="N296" t="inlineStr">
        <is>
          <t>Explore_F2</t>
        </is>
      </c>
      <c r="O296" t="inlineStr">
        <is>
          <t>Second familiar</t>
        </is>
      </c>
      <c r="P296" t="inlineStr">
        <is>
          <t>STATE</t>
        </is>
      </c>
      <c r="Q296" t="n">
        <v>408.633</v>
      </c>
      <c r="R296" t="n">
        <v>409.366</v>
      </c>
      <c r="S296" t="n">
        <v>0.733</v>
      </c>
      <c r="T296" t="inlineStr">
        <is>
          <t>BTBR\training\c4f2.mp4</t>
        </is>
      </c>
      <c r="U296" t="n">
        <v>12897</v>
      </c>
      <c r="V296" t="n">
        <v>12919</v>
      </c>
      <c r="W296" t="n">
        <v/>
      </c>
      <c r="X296" t="n">
        <v/>
      </c>
      <c r="Y296" t="n">
        <v/>
      </c>
      <c r="Z296" t="n">
        <v/>
      </c>
      <c r="AA296">
        <f>SUMIFS($S$2:S296,$A$2:A296,A296,$N$2:N296,"Explore*")</f>
        <v/>
      </c>
      <c r="AB296">
        <f>IF(AND(LEFT(N296,7)="Explore",(AA296-IF(LEFT(N296,7)="Explore",S296,0))&lt;10),"SI","NO")</f>
        <v/>
      </c>
    </row>
    <row r="297">
      <c r="A297" t="inlineStr">
        <is>
          <t>c4f2_training</t>
        </is>
      </c>
      <c r="B297" t="inlineStr">
        <is>
          <t>2026-02-19 15:32:55.399</t>
        </is>
      </c>
      <c r="C297" t="n">
        <v/>
      </c>
      <c r="D297" t="inlineStr">
        <is>
          <t>Media file</t>
        </is>
      </c>
      <c r="E297" t="inlineStr">
        <is>
          <t>player #1:BTBR\training\c4f2.mp4</t>
        </is>
      </c>
      <c r="F297" t="n">
        <v>-21.267</v>
      </c>
      <c r="G297" t="n">
        <v>583.299</v>
      </c>
      <c r="H297" t="n">
        <v>640.066</v>
      </c>
      <c r="I297" t="n">
        <v>30</v>
      </c>
      <c r="J297" t="inlineStr">
        <is>
          <t>BTBR</t>
        </is>
      </c>
      <c r="K297" t="inlineStr">
        <is>
          <t xml:space="preserve"> Female</t>
        </is>
      </c>
      <c r="L297" t="inlineStr">
        <is>
          <t>No focal subject</t>
        </is>
      </c>
      <c r="M297" t="n">
        <v>61.164</v>
      </c>
      <c r="N297" t="inlineStr">
        <is>
          <t>Explore_F2</t>
        </is>
      </c>
      <c r="O297" t="inlineStr">
        <is>
          <t>Second familiar</t>
        </is>
      </c>
      <c r="P297" t="inlineStr">
        <is>
          <t>STATE</t>
        </is>
      </c>
      <c r="Q297" t="n">
        <v>414.266</v>
      </c>
      <c r="R297" t="n">
        <v>415.199</v>
      </c>
      <c r="S297" t="n">
        <v>0.9330000000000001</v>
      </c>
      <c r="T297" t="inlineStr">
        <is>
          <t>BTBR\training\c4f2.mp4</t>
        </is>
      </c>
      <c r="U297" t="n">
        <v>13066</v>
      </c>
      <c r="V297" t="n">
        <v>13094</v>
      </c>
      <c r="W297" t="n">
        <v/>
      </c>
      <c r="X297" t="n">
        <v/>
      </c>
      <c r="Y297" t="n">
        <v/>
      </c>
      <c r="Z297" t="n">
        <v/>
      </c>
      <c r="AA297">
        <f>SUMIFS($S$2:S297,$A$2:A297,A297,$N$2:N297,"Explore*")</f>
        <v/>
      </c>
      <c r="AB297">
        <f>IF(AND(LEFT(N297,7)="Explore",(AA297-IF(LEFT(N297,7)="Explore",S297,0))&lt;10),"SI","NO")</f>
        <v/>
      </c>
    </row>
    <row r="298">
      <c r="A298" t="inlineStr">
        <is>
          <t>c4f2_training</t>
        </is>
      </c>
      <c r="B298" t="inlineStr">
        <is>
          <t>2026-02-19 15:32:55.399</t>
        </is>
      </c>
      <c r="C298" t="n">
        <v/>
      </c>
      <c r="D298" t="inlineStr">
        <is>
          <t>Media file</t>
        </is>
      </c>
      <c r="E298" t="inlineStr">
        <is>
          <t>player #1:BTBR\training\c4f2.mp4</t>
        </is>
      </c>
      <c r="F298" t="n">
        <v>-21.267</v>
      </c>
      <c r="G298" t="n">
        <v>583.299</v>
      </c>
      <c r="H298" t="n">
        <v>640.066</v>
      </c>
      <c r="I298" t="n">
        <v>30</v>
      </c>
      <c r="J298" t="inlineStr">
        <is>
          <t>BTBR</t>
        </is>
      </c>
      <c r="K298" t="inlineStr">
        <is>
          <t xml:space="preserve"> Female</t>
        </is>
      </c>
      <c r="L298" t="inlineStr">
        <is>
          <t>No focal subject</t>
        </is>
      </c>
      <c r="M298" t="n">
        <v>61.164</v>
      </c>
      <c r="N298" t="inlineStr">
        <is>
          <t>Explore_F</t>
        </is>
      </c>
      <c r="O298" t="inlineStr">
        <is>
          <t>Familiar</t>
        </is>
      </c>
      <c r="P298" t="inlineStr">
        <is>
          <t>STATE</t>
        </is>
      </c>
      <c r="Q298" t="n">
        <v>416.799</v>
      </c>
      <c r="R298" t="n">
        <v>417.599</v>
      </c>
      <c r="S298" t="n">
        <v>0.8</v>
      </c>
      <c r="T298" t="inlineStr">
        <is>
          <t>BTBR\training\c4f2.mp4</t>
        </is>
      </c>
      <c r="U298" t="n">
        <v>13142</v>
      </c>
      <c r="V298" t="n">
        <v>13166</v>
      </c>
      <c r="W298" t="n">
        <v/>
      </c>
      <c r="X298" t="n">
        <v/>
      </c>
      <c r="Y298" t="n">
        <v/>
      </c>
      <c r="Z298" t="n">
        <v/>
      </c>
      <c r="AA298">
        <f>SUMIFS($S$2:S298,$A$2:A298,A298,$N$2:N298,"Explore*")</f>
        <v/>
      </c>
      <c r="AB298">
        <f>IF(AND(LEFT(N298,7)="Explore",(AA298-IF(LEFT(N298,7)="Explore",S298,0))&lt;10),"SI","NO")</f>
        <v/>
      </c>
    </row>
    <row r="299">
      <c r="A299" t="inlineStr">
        <is>
          <t>c4f2_training</t>
        </is>
      </c>
      <c r="B299" t="inlineStr">
        <is>
          <t>2026-02-19 15:32:55.399</t>
        </is>
      </c>
      <c r="C299" t="n">
        <v/>
      </c>
      <c r="D299" t="inlineStr">
        <is>
          <t>Media file</t>
        </is>
      </c>
      <c r="E299" t="inlineStr">
        <is>
          <t>player #1:BTBR\training\c4f2.mp4</t>
        </is>
      </c>
      <c r="F299" t="n">
        <v>-21.267</v>
      </c>
      <c r="G299" t="n">
        <v>583.299</v>
      </c>
      <c r="H299" t="n">
        <v>640.066</v>
      </c>
      <c r="I299" t="n">
        <v>30</v>
      </c>
      <c r="J299" t="inlineStr">
        <is>
          <t>BTBR</t>
        </is>
      </c>
      <c r="K299" t="inlineStr">
        <is>
          <t xml:space="preserve"> Female</t>
        </is>
      </c>
      <c r="L299" t="inlineStr">
        <is>
          <t>No focal subject</t>
        </is>
      </c>
      <c r="M299" t="n">
        <v>61.164</v>
      </c>
      <c r="N299" t="inlineStr">
        <is>
          <t>Explore_F</t>
        </is>
      </c>
      <c r="O299" t="inlineStr">
        <is>
          <t>Familiar</t>
        </is>
      </c>
      <c r="P299" t="inlineStr">
        <is>
          <t>STATE</t>
        </is>
      </c>
      <c r="Q299" t="n">
        <v>452.166</v>
      </c>
      <c r="R299" t="n">
        <v>453.033</v>
      </c>
      <c r="S299" t="n">
        <v>0.867</v>
      </c>
      <c r="T299" t="inlineStr">
        <is>
          <t>BTBR\training\c4f2.mp4</t>
        </is>
      </c>
      <c r="U299" t="n">
        <v>14203</v>
      </c>
      <c r="V299" t="n">
        <v>14229</v>
      </c>
      <c r="W299" t="n">
        <v/>
      </c>
      <c r="X299" t="n">
        <v/>
      </c>
      <c r="Y299" t="n">
        <v/>
      </c>
      <c r="Z299" t="n">
        <v/>
      </c>
      <c r="AA299">
        <f>SUMIFS($S$2:S299,$A$2:A299,A299,$N$2:N299,"Explore*")</f>
        <v/>
      </c>
      <c r="AB299">
        <f>IF(AND(LEFT(N299,7)="Explore",(AA299-IF(LEFT(N299,7)="Explore",S299,0))&lt;10),"SI","NO")</f>
        <v/>
      </c>
    </row>
    <row r="300">
      <c r="A300" t="inlineStr">
        <is>
          <t>c4f2_training</t>
        </is>
      </c>
      <c r="B300" t="inlineStr">
        <is>
          <t>2026-02-19 15:32:55.399</t>
        </is>
      </c>
      <c r="C300" t="n">
        <v/>
      </c>
      <c r="D300" t="inlineStr">
        <is>
          <t>Media file</t>
        </is>
      </c>
      <c r="E300" t="inlineStr">
        <is>
          <t>player #1:BTBR\training\c4f2.mp4</t>
        </is>
      </c>
      <c r="F300" t="n">
        <v>-21.267</v>
      </c>
      <c r="G300" t="n">
        <v>583.299</v>
      </c>
      <c r="H300" t="n">
        <v>640.066</v>
      </c>
      <c r="I300" t="n">
        <v>30</v>
      </c>
      <c r="J300" t="inlineStr">
        <is>
          <t>BTBR</t>
        </is>
      </c>
      <c r="K300" t="inlineStr">
        <is>
          <t xml:space="preserve"> Female</t>
        </is>
      </c>
      <c r="L300" t="inlineStr">
        <is>
          <t>No focal subject</t>
        </is>
      </c>
      <c r="M300" t="n">
        <v>61.164</v>
      </c>
      <c r="N300" t="inlineStr">
        <is>
          <t>Explore_F2</t>
        </is>
      </c>
      <c r="O300" t="inlineStr">
        <is>
          <t>Second familiar</t>
        </is>
      </c>
      <c r="P300" t="inlineStr">
        <is>
          <t>STATE</t>
        </is>
      </c>
      <c r="Q300" t="n">
        <v>465.833</v>
      </c>
      <c r="R300" t="n">
        <v>466.466</v>
      </c>
      <c r="S300" t="n">
        <v>0.633</v>
      </c>
      <c r="T300" t="inlineStr">
        <is>
          <t>BTBR\training\c4f2.mp4</t>
        </is>
      </c>
      <c r="U300" t="n">
        <v>14613</v>
      </c>
      <c r="V300" t="n">
        <v>14632</v>
      </c>
      <c r="W300" t="n">
        <v/>
      </c>
      <c r="X300" t="n">
        <v/>
      </c>
      <c r="Y300" t="n">
        <v/>
      </c>
      <c r="Z300" t="n">
        <v/>
      </c>
      <c r="AA300">
        <f>SUMIFS($S$2:S300,$A$2:A300,A300,$N$2:N300,"Explore*")</f>
        <v/>
      </c>
      <c r="AB300">
        <f>IF(AND(LEFT(N300,7)="Explore",(AA300-IF(LEFT(N300,7)="Explore",S300,0))&lt;10),"SI","NO")</f>
        <v/>
      </c>
    </row>
    <row r="301">
      <c r="A301" t="inlineStr">
        <is>
          <t>c4f2_training</t>
        </is>
      </c>
      <c r="B301" t="inlineStr">
        <is>
          <t>2026-02-19 15:32:55.399</t>
        </is>
      </c>
      <c r="C301" t="n">
        <v/>
      </c>
      <c r="D301" t="inlineStr">
        <is>
          <t>Media file</t>
        </is>
      </c>
      <c r="E301" t="inlineStr">
        <is>
          <t>player #1:BTBR\training\c4f2.mp4</t>
        </is>
      </c>
      <c r="F301" t="n">
        <v>-21.267</v>
      </c>
      <c r="G301" t="n">
        <v>583.299</v>
      </c>
      <c r="H301" t="n">
        <v>640.066</v>
      </c>
      <c r="I301" t="n">
        <v>30</v>
      </c>
      <c r="J301" t="inlineStr">
        <is>
          <t>BTBR</t>
        </is>
      </c>
      <c r="K301" t="inlineStr">
        <is>
          <t xml:space="preserve"> Female</t>
        </is>
      </c>
      <c r="L301" t="inlineStr">
        <is>
          <t>No focal subject</t>
        </is>
      </c>
      <c r="M301" t="n">
        <v>61.164</v>
      </c>
      <c r="N301" t="inlineStr">
        <is>
          <t>Explore_F</t>
        </is>
      </c>
      <c r="O301" t="inlineStr">
        <is>
          <t>Familiar</t>
        </is>
      </c>
      <c r="P301" t="inlineStr">
        <is>
          <t>STATE</t>
        </is>
      </c>
      <c r="Q301" t="n">
        <v>467.566</v>
      </c>
      <c r="R301" t="n">
        <v>468.299</v>
      </c>
      <c r="S301" t="n">
        <v>0.733</v>
      </c>
      <c r="T301" t="inlineStr">
        <is>
          <t>BTBR\training\c4f2.mp4</t>
        </is>
      </c>
      <c r="U301" t="n">
        <v>14665</v>
      </c>
      <c r="V301" t="n">
        <v>14687</v>
      </c>
      <c r="W301" t="n">
        <v/>
      </c>
      <c r="X301" t="n">
        <v/>
      </c>
      <c r="Y301" t="n">
        <v/>
      </c>
      <c r="Z301" t="n">
        <v/>
      </c>
      <c r="AA301">
        <f>SUMIFS($S$2:S301,$A$2:A301,A301,$N$2:N301,"Explore*")</f>
        <v/>
      </c>
      <c r="AB301">
        <f>IF(AND(LEFT(N301,7)="Explore",(AA301-IF(LEFT(N301,7)="Explore",S301,0))&lt;10),"SI","NO")</f>
        <v/>
      </c>
    </row>
    <row r="302">
      <c r="A302" t="inlineStr">
        <is>
          <t>c4f2_training</t>
        </is>
      </c>
      <c r="B302" t="inlineStr">
        <is>
          <t>2026-02-19 15:32:55.399</t>
        </is>
      </c>
      <c r="C302" t="n">
        <v/>
      </c>
      <c r="D302" t="inlineStr">
        <is>
          <t>Media file</t>
        </is>
      </c>
      <c r="E302" t="inlineStr">
        <is>
          <t>player #1:BTBR\training\c4f2.mp4</t>
        </is>
      </c>
      <c r="F302" t="n">
        <v>-21.267</v>
      </c>
      <c r="G302" t="n">
        <v>583.299</v>
      </c>
      <c r="H302" t="n">
        <v>640.066</v>
      </c>
      <c r="I302" t="n">
        <v>30</v>
      </c>
      <c r="J302" t="inlineStr">
        <is>
          <t>BTBR</t>
        </is>
      </c>
      <c r="K302" t="inlineStr">
        <is>
          <t xml:space="preserve"> Female</t>
        </is>
      </c>
      <c r="L302" t="inlineStr">
        <is>
          <t>No focal subject</t>
        </is>
      </c>
      <c r="M302" t="n">
        <v>61.164</v>
      </c>
      <c r="N302" t="inlineStr">
        <is>
          <t>Explore_F</t>
        </is>
      </c>
      <c r="O302" t="inlineStr">
        <is>
          <t>Familiar</t>
        </is>
      </c>
      <c r="P302" t="inlineStr">
        <is>
          <t>STATE</t>
        </is>
      </c>
      <c r="Q302" t="n">
        <v>478.399</v>
      </c>
      <c r="R302" t="n">
        <v>479.099</v>
      </c>
      <c r="S302" t="n">
        <v>0.7</v>
      </c>
      <c r="T302" t="inlineStr">
        <is>
          <t>BTBR\training\c4f2.mp4</t>
        </is>
      </c>
      <c r="U302" t="n">
        <v>14990</v>
      </c>
      <c r="V302" t="n">
        <v>15011</v>
      </c>
      <c r="W302" t="n">
        <v/>
      </c>
      <c r="X302" t="n">
        <v/>
      </c>
      <c r="Y302" t="n">
        <v/>
      </c>
      <c r="Z302" t="n">
        <v/>
      </c>
      <c r="AA302">
        <f>SUMIFS($S$2:S302,$A$2:A302,A302,$N$2:N302,"Explore*")</f>
        <v/>
      </c>
      <c r="AB302">
        <f>IF(AND(LEFT(N302,7)="Explore",(AA302-IF(LEFT(N302,7)="Explore",S302,0))&lt;10),"SI","NO")</f>
        <v/>
      </c>
    </row>
    <row r="303">
      <c r="A303" t="inlineStr">
        <is>
          <t>c4f2_training</t>
        </is>
      </c>
      <c r="B303" t="inlineStr">
        <is>
          <t>2026-02-19 15:32:55.399</t>
        </is>
      </c>
      <c r="C303" t="n">
        <v/>
      </c>
      <c r="D303" t="inlineStr">
        <is>
          <t>Media file</t>
        </is>
      </c>
      <c r="E303" t="inlineStr">
        <is>
          <t>player #1:BTBR\training\c4f2.mp4</t>
        </is>
      </c>
      <c r="F303" t="n">
        <v>-21.267</v>
      </c>
      <c r="G303" t="n">
        <v>583.299</v>
      </c>
      <c r="H303" t="n">
        <v>640.066</v>
      </c>
      <c r="I303" t="n">
        <v>30</v>
      </c>
      <c r="J303" t="inlineStr">
        <is>
          <t>BTBR</t>
        </is>
      </c>
      <c r="K303" t="inlineStr">
        <is>
          <t xml:space="preserve"> Female</t>
        </is>
      </c>
      <c r="L303" t="inlineStr">
        <is>
          <t>No focal subject</t>
        </is>
      </c>
      <c r="M303" t="n">
        <v>61.164</v>
      </c>
      <c r="N303" t="inlineStr">
        <is>
          <t>Explore_F</t>
        </is>
      </c>
      <c r="O303" t="inlineStr">
        <is>
          <t>Familiar</t>
        </is>
      </c>
      <c r="P303" t="inlineStr">
        <is>
          <t>STATE</t>
        </is>
      </c>
      <c r="Q303" t="n">
        <v>485.499</v>
      </c>
      <c r="R303" t="n">
        <v>486.099</v>
      </c>
      <c r="S303" t="n">
        <v>0.6</v>
      </c>
      <c r="T303" t="inlineStr">
        <is>
          <t>BTBR\training\c4f2.mp4</t>
        </is>
      </c>
      <c r="U303" t="n">
        <v>15203</v>
      </c>
      <c r="V303" t="n">
        <v>15221</v>
      </c>
      <c r="W303" t="n">
        <v/>
      </c>
      <c r="X303" t="n">
        <v/>
      </c>
      <c r="Y303" t="n">
        <v/>
      </c>
      <c r="Z303" t="n">
        <v/>
      </c>
      <c r="AA303">
        <f>SUMIFS($S$2:S303,$A$2:A303,A303,$N$2:N303,"Explore*")</f>
        <v/>
      </c>
      <c r="AB303">
        <f>IF(AND(LEFT(N303,7)="Explore",(AA303-IF(LEFT(N303,7)="Explore",S303,0))&lt;10),"SI","NO")</f>
        <v/>
      </c>
    </row>
    <row r="304">
      <c r="A304" t="inlineStr">
        <is>
          <t>c4f2_training</t>
        </is>
      </c>
      <c r="B304" t="inlineStr">
        <is>
          <t>2026-02-19 15:32:55.399</t>
        </is>
      </c>
      <c r="C304" t="n">
        <v/>
      </c>
      <c r="D304" t="inlineStr">
        <is>
          <t>Media file</t>
        </is>
      </c>
      <c r="E304" t="inlineStr">
        <is>
          <t>player #1:BTBR\training\c4f2.mp4</t>
        </is>
      </c>
      <c r="F304" t="n">
        <v>-21.267</v>
      </c>
      <c r="G304" t="n">
        <v>583.299</v>
      </c>
      <c r="H304" t="n">
        <v>640.066</v>
      </c>
      <c r="I304" t="n">
        <v>30</v>
      </c>
      <c r="J304" t="inlineStr">
        <is>
          <t>BTBR</t>
        </is>
      </c>
      <c r="K304" t="inlineStr">
        <is>
          <t xml:space="preserve"> Female</t>
        </is>
      </c>
      <c r="L304" t="inlineStr">
        <is>
          <t>No focal subject</t>
        </is>
      </c>
      <c r="M304" t="n">
        <v>61.164</v>
      </c>
      <c r="N304" t="inlineStr">
        <is>
          <t>Explore_F</t>
        </is>
      </c>
      <c r="O304" t="inlineStr">
        <is>
          <t>Familiar</t>
        </is>
      </c>
      <c r="P304" t="inlineStr">
        <is>
          <t>STATE</t>
        </is>
      </c>
      <c r="Q304" t="n">
        <v>494.232</v>
      </c>
      <c r="R304" t="n">
        <v>495.232</v>
      </c>
      <c r="S304" t="n">
        <v>1</v>
      </c>
      <c r="T304" t="inlineStr">
        <is>
          <t>BTBR\training\c4f2.mp4</t>
        </is>
      </c>
      <c r="U304" t="n">
        <v>15465</v>
      </c>
      <c r="V304" t="n">
        <v>15495</v>
      </c>
      <c r="W304" t="n">
        <v/>
      </c>
      <c r="X304" t="n">
        <v/>
      </c>
      <c r="Y304" t="n">
        <v/>
      </c>
      <c r="Z304" t="n">
        <v/>
      </c>
      <c r="AA304">
        <f>SUMIFS($S$2:S304,$A$2:A304,A304,$N$2:N304,"Explore*")</f>
        <v/>
      </c>
      <c r="AB304">
        <f>IF(AND(LEFT(N304,7)="Explore",(AA304-IF(LEFT(N304,7)="Explore",S304,0))&lt;10),"SI","NO")</f>
        <v/>
      </c>
    </row>
    <row r="305">
      <c r="A305" t="inlineStr">
        <is>
          <t>c4f2_training</t>
        </is>
      </c>
      <c r="B305" t="inlineStr">
        <is>
          <t>2026-02-19 15:32:55.399</t>
        </is>
      </c>
      <c r="C305" t="n">
        <v/>
      </c>
      <c r="D305" t="inlineStr">
        <is>
          <t>Media file</t>
        </is>
      </c>
      <c r="E305" t="inlineStr">
        <is>
          <t>player #1:BTBR\training\c4f2.mp4</t>
        </is>
      </c>
      <c r="F305" t="n">
        <v>-21.267</v>
      </c>
      <c r="G305" t="n">
        <v>583.299</v>
      </c>
      <c r="H305" t="n">
        <v>640.066</v>
      </c>
      <c r="I305" t="n">
        <v>30</v>
      </c>
      <c r="J305" t="inlineStr">
        <is>
          <t>BTBR</t>
        </is>
      </c>
      <c r="K305" t="inlineStr">
        <is>
          <t xml:space="preserve"> Female</t>
        </is>
      </c>
      <c r="L305" t="inlineStr">
        <is>
          <t>No focal subject</t>
        </is>
      </c>
      <c r="M305" t="n">
        <v>61.164</v>
      </c>
      <c r="N305" t="inlineStr">
        <is>
          <t>Explore_F2</t>
        </is>
      </c>
      <c r="O305" t="inlineStr">
        <is>
          <t>Second familiar</t>
        </is>
      </c>
      <c r="P305" t="inlineStr">
        <is>
          <t>STATE</t>
        </is>
      </c>
      <c r="Q305" t="n">
        <v>505.032</v>
      </c>
      <c r="R305" t="n">
        <v>505.566</v>
      </c>
      <c r="S305" t="n">
        <v>0.534</v>
      </c>
      <c r="T305" t="inlineStr">
        <is>
          <t>BTBR\training\c4f2.mp4</t>
        </is>
      </c>
      <c r="U305" t="n">
        <v>15789</v>
      </c>
      <c r="V305" t="n">
        <v>15805</v>
      </c>
      <c r="W305" t="n">
        <v/>
      </c>
      <c r="X305" t="n">
        <v/>
      </c>
      <c r="Y305" t="n">
        <v/>
      </c>
      <c r="Z305" t="n">
        <v/>
      </c>
      <c r="AA305">
        <f>SUMIFS($S$2:S305,$A$2:A305,A305,$N$2:N305,"Explore*")</f>
        <v/>
      </c>
      <c r="AB305">
        <f>IF(AND(LEFT(N305,7)="Explore",(AA305-IF(LEFT(N305,7)="Explore",S305,0))&lt;10),"SI","NO")</f>
        <v/>
      </c>
    </row>
    <row r="306">
      <c r="A306" t="inlineStr">
        <is>
          <t>c4f2_training</t>
        </is>
      </c>
      <c r="B306" t="inlineStr">
        <is>
          <t>2026-02-19 15:32:55.399</t>
        </is>
      </c>
      <c r="C306" t="n">
        <v/>
      </c>
      <c r="D306" t="inlineStr">
        <is>
          <t>Media file</t>
        </is>
      </c>
      <c r="E306" t="inlineStr">
        <is>
          <t>player #1:BTBR\training\c4f2.mp4</t>
        </is>
      </c>
      <c r="F306" t="n">
        <v>-21.267</v>
      </c>
      <c r="G306" t="n">
        <v>583.299</v>
      </c>
      <c r="H306" t="n">
        <v>640.066</v>
      </c>
      <c r="I306" t="n">
        <v>30</v>
      </c>
      <c r="J306" t="inlineStr">
        <is>
          <t>BTBR</t>
        </is>
      </c>
      <c r="K306" t="inlineStr">
        <is>
          <t xml:space="preserve"> Female</t>
        </is>
      </c>
      <c r="L306" t="inlineStr">
        <is>
          <t>No focal subject</t>
        </is>
      </c>
      <c r="M306" t="n">
        <v>61.164</v>
      </c>
      <c r="N306" t="inlineStr">
        <is>
          <t>Explore_F2</t>
        </is>
      </c>
      <c r="O306" t="inlineStr">
        <is>
          <t>Second familiar</t>
        </is>
      </c>
      <c r="P306" t="inlineStr">
        <is>
          <t>STATE</t>
        </is>
      </c>
      <c r="Q306" t="n">
        <v>515.366</v>
      </c>
      <c r="R306" t="n">
        <v>516.199</v>
      </c>
      <c r="S306" t="n">
        <v>0.833</v>
      </c>
      <c r="T306" t="inlineStr">
        <is>
          <t>BTBR\training\c4f2.mp4</t>
        </is>
      </c>
      <c r="U306" t="n">
        <v>16099</v>
      </c>
      <c r="V306" t="n">
        <v>16124</v>
      </c>
      <c r="W306" t="n">
        <v/>
      </c>
      <c r="X306" t="n">
        <v/>
      </c>
      <c r="Y306" t="n">
        <v/>
      </c>
      <c r="Z306" t="n">
        <v/>
      </c>
      <c r="AA306">
        <f>SUMIFS($S$2:S306,$A$2:A306,A306,$N$2:N306,"Explore*")</f>
        <v/>
      </c>
      <c r="AB306">
        <f>IF(AND(LEFT(N306,7)="Explore",(AA306-IF(LEFT(N306,7)="Explore",S306,0))&lt;10),"SI","NO")</f>
        <v/>
      </c>
    </row>
    <row r="307">
      <c r="A307" t="inlineStr">
        <is>
          <t>c4f2_training</t>
        </is>
      </c>
      <c r="B307" t="inlineStr">
        <is>
          <t>2026-02-19 15:32:55.399</t>
        </is>
      </c>
      <c r="C307" t="n">
        <v/>
      </c>
      <c r="D307" t="inlineStr">
        <is>
          <t>Media file</t>
        </is>
      </c>
      <c r="E307" t="inlineStr">
        <is>
          <t>player #1:BTBR\training\c4f2.mp4</t>
        </is>
      </c>
      <c r="F307" t="n">
        <v>-21.267</v>
      </c>
      <c r="G307" t="n">
        <v>583.299</v>
      </c>
      <c r="H307" t="n">
        <v>640.066</v>
      </c>
      <c r="I307" t="n">
        <v>30</v>
      </c>
      <c r="J307" t="inlineStr">
        <is>
          <t>BTBR</t>
        </is>
      </c>
      <c r="K307" t="inlineStr">
        <is>
          <t xml:space="preserve"> Female</t>
        </is>
      </c>
      <c r="L307" t="inlineStr">
        <is>
          <t>No focal subject</t>
        </is>
      </c>
      <c r="M307" t="n">
        <v>61.164</v>
      </c>
      <c r="N307" t="inlineStr">
        <is>
          <t>Explore_F2</t>
        </is>
      </c>
      <c r="O307" t="inlineStr">
        <is>
          <t>Second familiar</t>
        </is>
      </c>
      <c r="P307" t="inlineStr">
        <is>
          <t>STATE</t>
        </is>
      </c>
      <c r="Q307" t="n">
        <v>519.766</v>
      </c>
      <c r="R307" t="n">
        <v>520.432</v>
      </c>
      <c r="S307" t="n">
        <v>0.666</v>
      </c>
      <c r="T307" t="inlineStr">
        <is>
          <t>BTBR\training\c4f2.mp4</t>
        </is>
      </c>
      <c r="U307" t="n">
        <v>16231</v>
      </c>
      <c r="V307" t="n">
        <v>16251</v>
      </c>
      <c r="W307" t="n">
        <v/>
      </c>
      <c r="X307" t="n">
        <v/>
      </c>
      <c r="Y307" t="n">
        <v/>
      </c>
      <c r="Z307" t="n">
        <v/>
      </c>
      <c r="AA307">
        <f>SUMIFS($S$2:S307,$A$2:A307,A307,$N$2:N307,"Explore*")</f>
        <v/>
      </c>
      <c r="AB307">
        <f>IF(AND(LEFT(N307,7)="Explore",(AA307-IF(LEFT(N307,7)="Explore",S307,0))&lt;10),"SI","NO")</f>
        <v/>
      </c>
    </row>
    <row r="308">
      <c r="A308" t="inlineStr">
        <is>
          <t>c4f2_training</t>
        </is>
      </c>
      <c r="B308" t="inlineStr">
        <is>
          <t>2026-02-19 15:32:55.399</t>
        </is>
      </c>
      <c r="C308" t="n">
        <v/>
      </c>
      <c r="D308" t="inlineStr">
        <is>
          <t>Media file</t>
        </is>
      </c>
      <c r="E308" t="inlineStr">
        <is>
          <t>player #1:BTBR\training\c4f2.mp4</t>
        </is>
      </c>
      <c r="F308" t="n">
        <v>-21.267</v>
      </c>
      <c r="G308" t="n">
        <v>583.299</v>
      </c>
      <c r="H308" t="n">
        <v>640.066</v>
      </c>
      <c r="I308" t="n">
        <v>30</v>
      </c>
      <c r="J308" t="inlineStr">
        <is>
          <t>BTBR</t>
        </is>
      </c>
      <c r="K308" t="inlineStr">
        <is>
          <t xml:space="preserve"> Female</t>
        </is>
      </c>
      <c r="L308" t="inlineStr">
        <is>
          <t>No focal subject</t>
        </is>
      </c>
      <c r="M308" t="n">
        <v>61.164</v>
      </c>
      <c r="N308" t="inlineStr">
        <is>
          <t>Explore_F2</t>
        </is>
      </c>
      <c r="O308" t="inlineStr">
        <is>
          <t>Second familiar</t>
        </is>
      </c>
      <c r="P308" t="inlineStr">
        <is>
          <t>STATE</t>
        </is>
      </c>
      <c r="Q308" t="n">
        <v>525.766</v>
      </c>
      <c r="R308" t="n">
        <v>526.999</v>
      </c>
      <c r="S308" t="n">
        <v>1.233</v>
      </c>
      <c r="T308" t="inlineStr">
        <is>
          <t>BTBR\training\c4f2.mp4</t>
        </is>
      </c>
      <c r="U308" t="n">
        <v>16411</v>
      </c>
      <c r="V308" t="n">
        <v>16448</v>
      </c>
      <c r="W308" t="n">
        <v/>
      </c>
      <c r="X308" t="n">
        <v/>
      </c>
      <c r="Y308" t="n">
        <v/>
      </c>
      <c r="Z308" t="n">
        <v/>
      </c>
      <c r="AA308">
        <f>SUMIFS($S$2:S308,$A$2:A308,A308,$N$2:N308,"Explore*")</f>
        <v/>
      </c>
      <c r="AB308">
        <f>IF(AND(LEFT(N308,7)="Explore",(AA308-IF(LEFT(N308,7)="Explore",S308,0))&lt;10),"SI","NO")</f>
        <v/>
      </c>
    </row>
    <row r="309">
      <c r="A309" t="inlineStr">
        <is>
          <t>c4f2_training</t>
        </is>
      </c>
      <c r="B309" t="inlineStr">
        <is>
          <t>2026-02-19 15:32:55.399</t>
        </is>
      </c>
      <c r="C309" t="n">
        <v/>
      </c>
      <c r="D309" t="inlineStr">
        <is>
          <t>Media file</t>
        </is>
      </c>
      <c r="E309" t="inlineStr">
        <is>
          <t>player #1:BTBR\training\c4f2.mp4</t>
        </is>
      </c>
      <c r="F309" t="n">
        <v>-21.267</v>
      </c>
      <c r="G309" t="n">
        <v>583.299</v>
      </c>
      <c r="H309" t="n">
        <v>640.066</v>
      </c>
      <c r="I309" t="n">
        <v>30</v>
      </c>
      <c r="J309" t="inlineStr">
        <is>
          <t>BTBR</t>
        </is>
      </c>
      <c r="K309" t="inlineStr">
        <is>
          <t xml:space="preserve"> Female</t>
        </is>
      </c>
      <c r="L309" t="inlineStr">
        <is>
          <t>No focal subject</t>
        </is>
      </c>
      <c r="M309" t="n">
        <v>61.164</v>
      </c>
      <c r="N309" t="inlineStr">
        <is>
          <t>Explore_F</t>
        </is>
      </c>
      <c r="O309" t="inlineStr">
        <is>
          <t>Familiar</t>
        </is>
      </c>
      <c r="P309" t="inlineStr">
        <is>
          <t>STATE</t>
        </is>
      </c>
      <c r="Q309" t="n">
        <v>575.466</v>
      </c>
      <c r="R309" t="n">
        <v>576.032</v>
      </c>
      <c r="S309" t="n">
        <v>0.5659999999999999</v>
      </c>
      <c r="T309" t="inlineStr">
        <is>
          <t>BTBR\training\c4f2.mp4</t>
        </is>
      </c>
      <c r="U309" t="n">
        <v>17902</v>
      </c>
      <c r="V309" t="n">
        <v>17919</v>
      </c>
      <c r="W309" t="n">
        <v/>
      </c>
      <c r="X309" t="n">
        <v/>
      </c>
      <c r="Y309" t="n">
        <v/>
      </c>
      <c r="Z309" t="n">
        <v/>
      </c>
      <c r="AA309">
        <f>SUMIFS($S$2:S309,$A$2:A309,A309,$N$2:N309,"Explore*")</f>
        <v/>
      </c>
      <c r="AB309">
        <f>IF(AND(LEFT(N309,7)="Explore",(AA309-IF(LEFT(N309,7)="Explore",S309,0))&lt;10),"SI","NO")</f>
        <v/>
      </c>
    </row>
    <row r="310">
      <c r="A310" t="inlineStr">
        <is>
          <t>c4f2_training</t>
        </is>
      </c>
      <c r="B310" t="inlineStr">
        <is>
          <t>2026-02-19 15:32:55.399</t>
        </is>
      </c>
      <c r="C310" t="n">
        <v/>
      </c>
      <c r="D310" t="inlineStr">
        <is>
          <t>Media file</t>
        </is>
      </c>
      <c r="E310" t="inlineStr">
        <is>
          <t>player #1:BTBR\training\c4f2.mp4</t>
        </is>
      </c>
      <c r="F310" t="n">
        <v>-21.267</v>
      </c>
      <c r="G310" t="n">
        <v>583.299</v>
      </c>
      <c r="H310" t="n">
        <v>640.066</v>
      </c>
      <c r="I310" t="n">
        <v>30</v>
      </c>
      <c r="J310" t="inlineStr">
        <is>
          <t>BTBR</t>
        </is>
      </c>
      <c r="K310" t="inlineStr">
        <is>
          <t xml:space="preserve"> Female</t>
        </is>
      </c>
      <c r="L310" t="inlineStr">
        <is>
          <t>No focal subject</t>
        </is>
      </c>
      <c r="M310" t="n">
        <v>61.164</v>
      </c>
      <c r="N310" t="inlineStr">
        <is>
          <t>Explore_F2</t>
        </is>
      </c>
      <c r="O310" t="inlineStr">
        <is>
          <t>Second familiar</t>
        </is>
      </c>
      <c r="P310" t="inlineStr">
        <is>
          <t>STATE</t>
        </is>
      </c>
      <c r="Q310" t="n">
        <v>586.066</v>
      </c>
      <c r="R310" t="n">
        <v>587.599</v>
      </c>
      <c r="S310" t="n">
        <v>1.533</v>
      </c>
      <c r="T310" t="inlineStr">
        <is>
          <t>BTBR\training\c4f2.mp4</t>
        </is>
      </c>
      <c r="U310" t="n">
        <v>18220</v>
      </c>
      <c r="V310" t="n">
        <v>18266</v>
      </c>
      <c r="W310" t="n">
        <v/>
      </c>
      <c r="X310" t="n">
        <v/>
      </c>
      <c r="Y310" t="n">
        <v/>
      </c>
      <c r="Z310" t="n">
        <v/>
      </c>
      <c r="AA310">
        <f>SUMIFS($S$2:S310,$A$2:A310,A310,$N$2:N310,"Explore*")</f>
        <v/>
      </c>
      <c r="AB310">
        <f>IF(AND(LEFT(N310,7)="Explore",(AA310-IF(LEFT(N310,7)="Explore",S310,0))&lt;10),"SI","NO")</f>
        <v/>
      </c>
    </row>
    <row r="311">
      <c r="A311" t="inlineStr">
        <is>
          <t>c4f3_training</t>
        </is>
      </c>
      <c r="B311" t="inlineStr">
        <is>
          <t>2026-02-19 15:46:12.451</t>
        </is>
      </c>
      <c r="C311" t="n">
        <v/>
      </c>
      <c r="D311" t="inlineStr">
        <is>
          <t>Media file</t>
        </is>
      </c>
      <c r="E311" t="inlineStr">
        <is>
          <t>player #1:BTBR\training\c4f3.mp4</t>
        </is>
      </c>
      <c r="F311" t="n">
        <v>-9.532999999999999</v>
      </c>
      <c r="G311" t="n">
        <v>586.066</v>
      </c>
      <c r="H311" t="n">
        <v>623.2329999999999</v>
      </c>
      <c r="I311" t="n">
        <v>30</v>
      </c>
      <c r="J311" t="inlineStr">
        <is>
          <t>BTBR</t>
        </is>
      </c>
      <c r="K311" t="inlineStr">
        <is>
          <t xml:space="preserve"> Female</t>
        </is>
      </c>
      <c r="L311" t="inlineStr">
        <is>
          <t>No focal subject</t>
        </is>
      </c>
      <c r="M311" t="n">
        <v>58.397</v>
      </c>
      <c r="N311" t="inlineStr">
        <is>
          <t>Explore_F2</t>
        </is>
      </c>
      <c r="O311" t="inlineStr">
        <is>
          <t>Second familiar</t>
        </is>
      </c>
      <c r="P311" t="inlineStr">
        <is>
          <t>STATE</t>
        </is>
      </c>
      <c r="Q311" t="n">
        <v>4.067</v>
      </c>
      <c r="R311" t="n">
        <v>5.467</v>
      </c>
      <c r="S311" t="n">
        <v>1.4</v>
      </c>
      <c r="T311" t="inlineStr">
        <is>
          <t>BTBR\training\c4f3.mp4</t>
        </is>
      </c>
      <c r="U311" t="n">
        <v>122</v>
      </c>
      <c r="V311" t="n">
        <v>164</v>
      </c>
      <c r="W311" t="n">
        <v/>
      </c>
      <c r="X311" t="n">
        <v/>
      </c>
      <c r="Y311" t="n">
        <v/>
      </c>
      <c r="Z311" t="n">
        <v/>
      </c>
      <c r="AA311">
        <f>SUMIFS($S$2:S311,$A$2:A311,A311,$N$2:N311,"Explore*")</f>
        <v/>
      </c>
      <c r="AB311">
        <f>IF(AND(LEFT(N311,7)="Explore",(AA311-IF(LEFT(N311,7)="Explore",S311,0))&lt;10),"SI","NO")</f>
        <v/>
      </c>
    </row>
    <row r="312">
      <c r="A312" t="inlineStr">
        <is>
          <t>c4f3_training</t>
        </is>
      </c>
      <c r="B312" t="inlineStr">
        <is>
          <t>2026-02-19 15:46:12.451</t>
        </is>
      </c>
      <c r="C312" t="n">
        <v/>
      </c>
      <c r="D312" t="inlineStr">
        <is>
          <t>Media file</t>
        </is>
      </c>
      <c r="E312" t="inlineStr">
        <is>
          <t>player #1:BTBR\training\c4f3.mp4</t>
        </is>
      </c>
      <c r="F312" t="n">
        <v>-9.532999999999999</v>
      </c>
      <c r="G312" t="n">
        <v>586.066</v>
      </c>
      <c r="H312" t="n">
        <v>623.2329999999999</v>
      </c>
      <c r="I312" t="n">
        <v>30</v>
      </c>
      <c r="J312" t="inlineStr">
        <is>
          <t>BTBR</t>
        </is>
      </c>
      <c r="K312" t="inlineStr">
        <is>
          <t xml:space="preserve"> Female</t>
        </is>
      </c>
      <c r="L312" t="inlineStr">
        <is>
          <t>No focal subject</t>
        </is>
      </c>
      <c r="M312" t="n">
        <v>58.397</v>
      </c>
      <c r="N312" t="inlineStr">
        <is>
          <t>Explore_F</t>
        </is>
      </c>
      <c r="O312" t="inlineStr">
        <is>
          <t>Familiar</t>
        </is>
      </c>
      <c r="P312" t="inlineStr">
        <is>
          <t>STATE</t>
        </is>
      </c>
      <c r="Q312" t="n">
        <v>9.067</v>
      </c>
      <c r="R312" t="n">
        <v>10.634</v>
      </c>
      <c r="S312" t="n">
        <v>1.567</v>
      </c>
      <c r="T312" t="inlineStr">
        <is>
          <t>BTBR\training\c4f3.mp4</t>
        </is>
      </c>
      <c r="U312" t="n">
        <v>272</v>
      </c>
      <c r="V312" t="n">
        <v>319</v>
      </c>
      <c r="W312" t="n">
        <v/>
      </c>
      <c r="X312" t="n">
        <v/>
      </c>
      <c r="Y312" t="n">
        <v/>
      </c>
      <c r="Z312" t="n">
        <v/>
      </c>
      <c r="AA312">
        <f>SUMIFS($S$2:S312,$A$2:A312,A312,$N$2:N312,"Explore*")</f>
        <v/>
      </c>
      <c r="AB312">
        <f>IF(AND(LEFT(N312,7)="Explore",(AA312-IF(LEFT(N312,7)="Explore",S312,0))&lt;10),"SI","NO")</f>
        <v/>
      </c>
    </row>
    <row r="313">
      <c r="A313" t="inlineStr">
        <is>
          <t>c4f3_training</t>
        </is>
      </c>
      <c r="B313" t="inlineStr">
        <is>
          <t>2026-02-19 15:46:12.451</t>
        </is>
      </c>
      <c r="C313" t="n">
        <v/>
      </c>
      <c r="D313" t="inlineStr">
        <is>
          <t>Media file</t>
        </is>
      </c>
      <c r="E313" t="inlineStr">
        <is>
          <t>player #1:BTBR\training\c4f3.mp4</t>
        </is>
      </c>
      <c r="F313" t="n">
        <v>-9.532999999999999</v>
      </c>
      <c r="G313" t="n">
        <v>586.066</v>
      </c>
      <c r="H313" t="n">
        <v>623.2329999999999</v>
      </c>
      <c r="I313" t="n">
        <v>30</v>
      </c>
      <c r="J313" t="inlineStr">
        <is>
          <t>BTBR</t>
        </is>
      </c>
      <c r="K313" t="inlineStr">
        <is>
          <t xml:space="preserve"> Female</t>
        </is>
      </c>
      <c r="L313" t="inlineStr">
        <is>
          <t>No focal subject</t>
        </is>
      </c>
      <c r="M313" t="n">
        <v>58.397</v>
      </c>
      <c r="N313" t="inlineStr">
        <is>
          <t>Explore_F</t>
        </is>
      </c>
      <c r="O313" t="inlineStr">
        <is>
          <t>Familiar</t>
        </is>
      </c>
      <c r="P313" t="inlineStr">
        <is>
          <t>STATE</t>
        </is>
      </c>
      <c r="Q313" t="n">
        <v>16.634</v>
      </c>
      <c r="R313" t="n">
        <v>17.4</v>
      </c>
      <c r="S313" t="n">
        <v>0.766</v>
      </c>
      <c r="T313" t="inlineStr">
        <is>
          <t>BTBR\training\c4f3.mp4</t>
        </is>
      </c>
      <c r="U313" t="n">
        <v>499</v>
      </c>
      <c r="V313" t="n">
        <v>522</v>
      </c>
      <c r="W313" t="n">
        <v/>
      </c>
      <c r="X313" t="n">
        <v/>
      </c>
      <c r="Y313" t="n">
        <v/>
      </c>
      <c r="Z313" t="n">
        <v/>
      </c>
      <c r="AA313">
        <f>SUMIFS($S$2:S313,$A$2:A313,A313,$N$2:N313,"Explore*")</f>
        <v/>
      </c>
      <c r="AB313">
        <f>IF(AND(LEFT(N313,7)="Explore",(AA313-IF(LEFT(N313,7)="Explore",S313,0))&lt;10),"SI","NO")</f>
        <v/>
      </c>
    </row>
    <row r="314">
      <c r="A314" t="inlineStr">
        <is>
          <t>c4f3_training</t>
        </is>
      </c>
      <c r="B314" t="inlineStr">
        <is>
          <t>2026-02-19 15:46:12.451</t>
        </is>
      </c>
      <c r="C314" t="n">
        <v/>
      </c>
      <c r="D314" t="inlineStr">
        <is>
          <t>Media file</t>
        </is>
      </c>
      <c r="E314" t="inlineStr">
        <is>
          <t>player #1:BTBR\training\c4f3.mp4</t>
        </is>
      </c>
      <c r="F314" t="n">
        <v>-9.532999999999999</v>
      </c>
      <c r="G314" t="n">
        <v>586.066</v>
      </c>
      <c r="H314" t="n">
        <v>623.2329999999999</v>
      </c>
      <c r="I314" t="n">
        <v>30</v>
      </c>
      <c r="J314" t="inlineStr">
        <is>
          <t>BTBR</t>
        </is>
      </c>
      <c r="K314" t="inlineStr">
        <is>
          <t xml:space="preserve"> Female</t>
        </is>
      </c>
      <c r="L314" t="inlineStr">
        <is>
          <t>No focal subject</t>
        </is>
      </c>
      <c r="M314" t="n">
        <v>58.397</v>
      </c>
      <c r="N314" t="inlineStr">
        <is>
          <t>Explore_F2</t>
        </is>
      </c>
      <c r="O314" t="inlineStr">
        <is>
          <t>Second familiar</t>
        </is>
      </c>
      <c r="P314" t="inlineStr">
        <is>
          <t>STATE</t>
        </is>
      </c>
      <c r="Q314" t="n">
        <v>18.167</v>
      </c>
      <c r="R314" t="n">
        <v>18.8</v>
      </c>
      <c r="S314" t="n">
        <v>0.633</v>
      </c>
      <c r="T314" t="inlineStr">
        <is>
          <t>BTBR\training\c4f3.mp4</t>
        </is>
      </c>
      <c r="U314" t="n">
        <v>545</v>
      </c>
      <c r="V314" t="n">
        <v>564</v>
      </c>
      <c r="W314" t="n">
        <v/>
      </c>
      <c r="X314" t="n">
        <v/>
      </c>
      <c r="Y314" t="n">
        <v/>
      </c>
      <c r="Z314" t="n">
        <v/>
      </c>
      <c r="AA314">
        <f>SUMIFS($S$2:S314,$A$2:A314,A314,$N$2:N314,"Explore*")</f>
        <v/>
      </c>
      <c r="AB314">
        <f>IF(AND(LEFT(N314,7)="Explore",(AA314-IF(LEFT(N314,7)="Explore",S314,0))&lt;10),"SI","NO")</f>
        <v/>
      </c>
    </row>
    <row r="315">
      <c r="A315" t="inlineStr">
        <is>
          <t>c4f3_training</t>
        </is>
      </c>
      <c r="B315" t="inlineStr">
        <is>
          <t>2026-02-19 15:46:12.451</t>
        </is>
      </c>
      <c r="C315" t="n">
        <v/>
      </c>
      <c r="D315" t="inlineStr">
        <is>
          <t>Media file</t>
        </is>
      </c>
      <c r="E315" t="inlineStr">
        <is>
          <t>player #1:BTBR\training\c4f3.mp4</t>
        </is>
      </c>
      <c r="F315" t="n">
        <v>-9.532999999999999</v>
      </c>
      <c r="G315" t="n">
        <v>586.066</v>
      </c>
      <c r="H315" t="n">
        <v>623.2329999999999</v>
      </c>
      <c r="I315" t="n">
        <v>30</v>
      </c>
      <c r="J315" t="inlineStr">
        <is>
          <t>BTBR</t>
        </is>
      </c>
      <c r="K315" t="inlineStr">
        <is>
          <t xml:space="preserve"> Female</t>
        </is>
      </c>
      <c r="L315" t="inlineStr">
        <is>
          <t>No focal subject</t>
        </is>
      </c>
      <c r="M315" t="n">
        <v>58.397</v>
      </c>
      <c r="N315" t="inlineStr">
        <is>
          <t>Explore_F2</t>
        </is>
      </c>
      <c r="O315" t="inlineStr">
        <is>
          <t>Second familiar</t>
        </is>
      </c>
      <c r="P315" t="inlineStr">
        <is>
          <t>STATE</t>
        </is>
      </c>
      <c r="Q315" t="n">
        <v>21.834</v>
      </c>
      <c r="R315" t="n">
        <v>22.2</v>
      </c>
      <c r="S315" t="n">
        <v>0.366</v>
      </c>
      <c r="T315" t="inlineStr">
        <is>
          <t>BTBR\training\c4f3.mp4</t>
        </is>
      </c>
      <c r="U315" t="n">
        <v>655</v>
      </c>
      <c r="V315" t="n">
        <v>666</v>
      </c>
      <c r="W315" t="n">
        <v/>
      </c>
      <c r="X315" t="n">
        <v/>
      </c>
      <c r="Y315" t="n">
        <v/>
      </c>
      <c r="Z315" t="n">
        <v/>
      </c>
      <c r="AA315">
        <f>SUMIFS($S$2:S315,$A$2:A315,A315,$N$2:N315,"Explore*")</f>
        <v/>
      </c>
      <c r="AB315">
        <f>IF(AND(LEFT(N315,7)="Explore",(AA315-IF(LEFT(N315,7)="Explore",S315,0))&lt;10),"SI","NO")</f>
        <v/>
      </c>
    </row>
    <row r="316">
      <c r="A316" t="inlineStr">
        <is>
          <t>c4f3_training</t>
        </is>
      </c>
      <c r="B316" t="inlineStr">
        <is>
          <t>2026-02-19 15:46:12.451</t>
        </is>
      </c>
      <c r="C316" t="n">
        <v/>
      </c>
      <c r="D316" t="inlineStr">
        <is>
          <t>Media file</t>
        </is>
      </c>
      <c r="E316" t="inlineStr">
        <is>
          <t>player #1:BTBR\training\c4f3.mp4</t>
        </is>
      </c>
      <c r="F316" t="n">
        <v>-9.532999999999999</v>
      </c>
      <c r="G316" t="n">
        <v>586.066</v>
      </c>
      <c r="H316" t="n">
        <v>623.2329999999999</v>
      </c>
      <c r="I316" t="n">
        <v>30</v>
      </c>
      <c r="J316" t="inlineStr">
        <is>
          <t>BTBR</t>
        </is>
      </c>
      <c r="K316" t="inlineStr">
        <is>
          <t xml:space="preserve"> Female</t>
        </is>
      </c>
      <c r="L316" t="inlineStr">
        <is>
          <t>No focal subject</t>
        </is>
      </c>
      <c r="M316" t="n">
        <v>58.397</v>
      </c>
      <c r="N316" t="inlineStr">
        <is>
          <t>Explore_F</t>
        </is>
      </c>
      <c r="O316" t="inlineStr">
        <is>
          <t>Familiar</t>
        </is>
      </c>
      <c r="P316" t="inlineStr">
        <is>
          <t>STATE</t>
        </is>
      </c>
      <c r="Q316" t="n">
        <v>24.267</v>
      </c>
      <c r="R316" t="n">
        <v>25.134</v>
      </c>
      <c r="S316" t="n">
        <v>0.867</v>
      </c>
      <c r="T316" t="inlineStr">
        <is>
          <t>BTBR\training\c4f3.mp4</t>
        </is>
      </c>
      <c r="U316" t="n">
        <v>728</v>
      </c>
      <c r="V316" t="n">
        <v>754</v>
      </c>
      <c r="W316" t="n">
        <v/>
      </c>
      <c r="X316" t="n">
        <v/>
      </c>
      <c r="Y316" t="n">
        <v/>
      </c>
      <c r="Z316" t="n">
        <v/>
      </c>
      <c r="AA316">
        <f>SUMIFS($S$2:S316,$A$2:A316,A316,$N$2:N316,"Explore*")</f>
        <v/>
      </c>
      <c r="AB316">
        <f>IF(AND(LEFT(N316,7)="Explore",(AA316-IF(LEFT(N316,7)="Explore",S316,0))&lt;10),"SI","NO")</f>
        <v/>
      </c>
    </row>
    <row r="317">
      <c r="A317" t="inlineStr">
        <is>
          <t>c4f3_training</t>
        </is>
      </c>
      <c r="B317" t="inlineStr">
        <is>
          <t>2026-02-19 15:46:12.451</t>
        </is>
      </c>
      <c r="C317" t="n">
        <v/>
      </c>
      <c r="D317" t="inlineStr">
        <is>
          <t>Media file</t>
        </is>
      </c>
      <c r="E317" t="inlineStr">
        <is>
          <t>player #1:BTBR\training\c4f3.mp4</t>
        </is>
      </c>
      <c r="F317" t="n">
        <v>-9.532999999999999</v>
      </c>
      <c r="G317" t="n">
        <v>586.066</v>
      </c>
      <c r="H317" t="n">
        <v>623.2329999999999</v>
      </c>
      <c r="I317" t="n">
        <v>30</v>
      </c>
      <c r="J317" t="inlineStr">
        <is>
          <t>BTBR</t>
        </is>
      </c>
      <c r="K317" t="inlineStr">
        <is>
          <t xml:space="preserve"> Female</t>
        </is>
      </c>
      <c r="L317" t="inlineStr">
        <is>
          <t>No focal subject</t>
        </is>
      </c>
      <c r="M317" t="n">
        <v>58.397</v>
      </c>
      <c r="N317" t="inlineStr">
        <is>
          <t>Explore_F2</t>
        </is>
      </c>
      <c r="O317" t="inlineStr">
        <is>
          <t>Second familiar</t>
        </is>
      </c>
      <c r="P317" t="inlineStr">
        <is>
          <t>STATE</t>
        </is>
      </c>
      <c r="Q317" t="n">
        <v>26.234</v>
      </c>
      <c r="R317" t="n">
        <v>26.934</v>
      </c>
      <c r="S317" t="n">
        <v>0.7</v>
      </c>
      <c r="T317" t="inlineStr">
        <is>
          <t>BTBR\training\c4f3.mp4</t>
        </is>
      </c>
      <c r="U317" t="n">
        <v>787</v>
      </c>
      <c r="V317" t="n">
        <v>808</v>
      </c>
      <c r="W317" t="n">
        <v/>
      </c>
      <c r="X317" t="n">
        <v/>
      </c>
      <c r="Y317" t="n">
        <v/>
      </c>
      <c r="Z317" t="n">
        <v/>
      </c>
      <c r="AA317">
        <f>SUMIFS($S$2:S317,$A$2:A317,A317,$N$2:N317,"Explore*")</f>
        <v/>
      </c>
      <c r="AB317">
        <f>IF(AND(LEFT(N317,7)="Explore",(AA317-IF(LEFT(N317,7)="Explore",S317,0))&lt;10),"SI","NO")</f>
        <v/>
      </c>
    </row>
    <row r="318">
      <c r="A318" t="inlineStr">
        <is>
          <t>c4f3_training</t>
        </is>
      </c>
      <c r="B318" t="inlineStr">
        <is>
          <t>2026-02-19 15:46:12.451</t>
        </is>
      </c>
      <c r="C318" t="n">
        <v/>
      </c>
      <c r="D318" t="inlineStr">
        <is>
          <t>Media file</t>
        </is>
      </c>
      <c r="E318" t="inlineStr">
        <is>
          <t>player #1:BTBR\training\c4f3.mp4</t>
        </is>
      </c>
      <c r="F318" t="n">
        <v>-9.532999999999999</v>
      </c>
      <c r="G318" t="n">
        <v>586.066</v>
      </c>
      <c r="H318" t="n">
        <v>623.2329999999999</v>
      </c>
      <c r="I318" t="n">
        <v>30</v>
      </c>
      <c r="J318" t="inlineStr">
        <is>
          <t>BTBR</t>
        </is>
      </c>
      <c r="K318" t="inlineStr">
        <is>
          <t xml:space="preserve"> Female</t>
        </is>
      </c>
      <c r="L318" t="inlineStr">
        <is>
          <t>No focal subject</t>
        </is>
      </c>
      <c r="M318" t="n">
        <v>58.397</v>
      </c>
      <c r="N318" t="inlineStr">
        <is>
          <t>Explore_F</t>
        </is>
      </c>
      <c r="O318" t="inlineStr">
        <is>
          <t>Familiar</t>
        </is>
      </c>
      <c r="P318" t="inlineStr">
        <is>
          <t>STATE</t>
        </is>
      </c>
      <c r="Q318" t="n">
        <v>31.3</v>
      </c>
      <c r="R318" t="n">
        <v>31.667</v>
      </c>
      <c r="S318" t="n">
        <v>0.367</v>
      </c>
      <c r="T318" t="inlineStr">
        <is>
          <t>BTBR\training\c4f3.mp4</t>
        </is>
      </c>
      <c r="U318" t="n">
        <v>939</v>
      </c>
      <c r="V318" t="n">
        <v>950</v>
      </c>
      <c r="W318" t="n">
        <v/>
      </c>
      <c r="X318" t="n">
        <v/>
      </c>
      <c r="Y318" t="n">
        <v/>
      </c>
      <c r="Z318" t="n">
        <v/>
      </c>
      <c r="AA318">
        <f>SUMIFS($S$2:S318,$A$2:A318,A318,$N$2:N318,"Explore*")</f>
        <v/>
      </c>
      <c r="AB318">
        <f>IF(AND(LEFT(N318,7)="Explore",(AA318-IF(LEFT(N318,7)="Explore",S318,0))&lt;10),"SI","NO")</f>
        <v/>
      </c>
    </row>
    <row r="319">
      <c r="A319" t="inlineStr">
        <is>
          <t>c4f3_training</t>
        </is>
      </c>
      <c r="B319" t="inlineStr">
        <is>
          <t>2026-02-19 15:46:12.451</t>
        </is>
      </c>
      <c r="C319" t="n">
        <v/>
      </c>
      <c r="D319" t="inlineStr">
        <is>
          <t>Media file</t>
        </is>
      </c>
      <c r="E319" t="inlineStr">
        <is>
          <t>player #1:BTBR\training\c4f3.mp4</t>
        </is>
      </c>
      <c r="F319" t="n">
        <v>-9.532999999999999</v>
      </c>
      <c r="G319" t="n">
        <v>586.066</v>
      </c>
      <c r="H319" t="n">
        <v>623.2329999999999</v>
      </c>
      <c r="I319" t="n">
        <v>30</v>
      </c>
      <c r="J319" t="inlineStr">
        <is>
          <t>BTBR</t>
        </is>
      </c>
      <c r="K319" t="inlineStr">
        <is>
          <t xml:space="preserve"> Female</t>
        </is>
      </c>
      <c r="L319" t="inlineStr">
        <is>
          <t>No focal subject</t>
        </is>
      </c>
      <c r="M319" t="n">
        <v>58.397</v>
      </c>
      <c r="N319" t="inlineStr">
        <is>
          <t>Explore_F</t>
        </is>
      </c>
      <c r="O319" t="inlineStr">
        <is>
          <t>Familiar</t>
        </is>
      </c>
      <c r="P319" t="inlineStr">
        <is>
          <t>STATE</t>
        </is>
      </c>
      <c r="Q319" t="n">
        <v>35.7</v>
      </c>
      <c r="R319" t="n">
        <v>36.2</v>
      </c>
      <c r="S319" t="n">
        <v>0.5</v>
      </c>
      <c r="T319" t="inlineStr">
        <is>
          <t>BTBR\training\c4f3.mp4</t>
        </is>
      </c>
      <c r="U319" t="n">
        <v>1071</v>
      </c>
      <c r="V319" t="n">
        <v>1086</v>
      </c>
      <c r="W319" t="n">
        <v/>
      </c>
      <c r="X319" t="n">
        <v/>
      </c>
      <c r="Y319" t="n">
        <v/>
      </c>
      <c r="Z319" t="n">
        <v/>
      </c>
      <c r="AA319">
        <f>SUMIFS($S$2:S319,$A$2:A319,A319,$N$2:N319,"Explore*")</f>
        <v/>
      </c>
      <c r="AB319">
        <f>IF(AND(LEFT(N319,7)="Explore",(AA319-IF(LEFT(N319,7)="Explore",S319,0))&lt;10),"SI","NO")</f>
        <v/>
      </c>
    </row>
    <row r="320">
      <c r="A320" t="inlineStr">
        <is>
          <t>c4f3_training</t>
        </is>
      </c>
      <c r="B320" t="inlineStr">
        <is>
          <t>2026-02-19 15:46:12.451</t>
        </is>
      </c>
      <c r="C320" t="n">
        <v/>
      </c>
      <c r="D320" t="inlineStr">
        <is>
          <t>Media file</t>
        </is>
      </c>
      <c r="E320" t="inlineStr">
        <is>
          <t>player #1:BTBR\training\c4f3.mp4</t>
        </is>
      </c>
      <c r="F320" t="n">
        <v>-9.532999999999999</v>
      </c>
      <c r="G320" t="n">
        <v>586.066</v>
      </c>
      <c r="H320" t="n">
        <v>623.2329999999999</v>
      </c>
      <c r="I320" t="n">
        <v>30</v>
      </c>
      <c r="J320" t="inlineStr">
        <is>
          <t>BTBR</t>
        </is>
      </c>
      <c r="K320" t="inlineStr">
        <is>
          <t xml:space="preserve"> Female</t>
        </is>
      </c>
      <c r="L320" t="inlineStr">
        <is>
          <t>No focal subject</t>
        </is>
      </c>
      <c r="M320" t="n">
        <v>58.397</v>
      </c>
      <c r="N320" t="inlineStr">
        <is>
          <t>Explore_F</t>
        </is>
      </c>
      <c r="O320" t="inlineStr">
        <is>
          <t>Familiar</t>
        </is>
      </c>
      <c r="P320" t="inlineStr">
        <is>
          <t>STATE</t>
        </is>
      </c>
      <c r="Q320" t="n">
        <v>37.367</v>
      </c>
      <c r="R320" t="n">
        <v>37.634</v>
      </c>
      <c r="S320" t="n">
        <v>0.267</v>
      </c>
      <c r="T320" t="inlineStr">
        <is>
          <t>BTBR\training\c4f3.mp4</t>
        </is>
      </c>
      <c r="U320" t="n">
        <v>1121</v>
      </c>
      <c r="V320" t="n">
        <v>1129</v>
      </c>
      <c r="W320" t="n">
        <v/>
      </c>
      <c r="X320" t="n">
        <v/>
      </c>
      <c r="Y320" t="n">
        <v/>
      </c>
      <c r="Z320" t="n">
        <v/>
      </c>
      <c r="AA320">
        <f>SUMIFS($S$2:S320,$A$2:A320,A320,$N$2:N320,"Explore*")</f>
        <v/>
      </c>
      <c r="AB320">
        <f>IF(AND(LEFT(N320,7)="Explore",(AA320-IF(LEFT(N320,7)="Explore",S320,0))&lt;10),"SI","NO")</f>
        <v/>
      </c>
    </row>
    <row r="321">
      <c r="A321" t="inlineStr">
        <is>
          <t>c4f3_training</t>
        </is>
      </c>
      <c r="B321" t="inlineStr">
        <is>
          <t>2026-02-19 15:46:12.451</t>
        </is>
      </c>
      <c r="C321" t="n">
        <v/>
      </c>
      <c r="D321" t="inlineStr">
        <is>
          <t>Media file</t>
        </is>
      </c>
      <c r="E321" t="inlineStr">
        <is>
          <t>player #1:BTBR\training\c4f3.mp4</t>
        </is>
      </c>
      <c r="F321" t="n">
        <v>-9.532999999999999</v>
      </c>
      <c r="G321" t="n">
        <v>586.066</v>
      </c>
      <c r="H321" t="n">
        <v>623.2329999999999</v>
      </c>
      <c r="I321" t="n">
        <v>30</v>
      </c>
      <c r="J321" t="inlineStr">
        <is>
          <t>BTBR</t>
        </is>
      </c>
      <c r="K321" t="inlineStr">
        <is>
          <t xml:space="preserve"> Female</t>
        </is>
      </c>
      <c r="L321" t="inlineStr">
        <is>
          <t>No focal subject</t>
        </is>
      </c>
      <c r="M321" t="n">
        <v>58.397</v>
      </c>
      <c r="N321" t="inlineStr">
        <is>
          <t>Explore_F2</t>
        </is>
      </c>
      <c r="O321" t="inlineStr">
        <is>
          <t>Second familiar</t>
        </is>
      </c>
      <c r="P321" t="inlineStr">
        <is>
          <t>STATE</t>
        </is>
      </c>
      <c r="Q321" t="n">
        <v>43.3</v>
      </c>
      <c r="R321" t="n">
        <v>43.534</v>
      </c>
      <c r="S321" t="n">
        <v>0.234</v>
      </c>
      <c r="T321" t="inlineStr">
        <is>
          <t>BTBR\training\c4f3.mp4</t>
        </is>
      </c>
      <c r="U321" t="n">
        <v>1299</v>
      </c>
      <c r="V321" t="n">
        <v>1307</v>
      </c>
      <c r="W321" t="n">
        <v/>
      </c>
      <c r="X321" t="n">
        <v/>
      </c>
      <c r="Y321" t="n">
        <v/>
      </c>
      <c r="Z321" t="n">
        <v/>
      </c>
      <c r="AA321">
        <f>SUMIFS($S$2:S321,$A$2:A321,A321,$N$2:N321,"Explore*")</f>
        <v/>
      </c>
      <c r="AB321">
        <f>IF(AND(LEFT(N321,7)="Explore",(AA321-IF(LEFT(N321,7)="Explore",S321,0))&lt;10),"SI","NO")</f>
        <v/>
      </c>
    </row>
    <row r="322">
      <c r="A322" t="inlineStr">
        <is>
          <t>c4f3_training</t>
        </is>
      </c>
      <c r="B322" t="inlineStr">
        <is>
          <t>2026-02-19 15:46:12.451</t>
        </is>
      </c>
      <c r="C322" t="n">
        <v/>
      </c>
      <c r="D322" t="inlineStr">
        <is>
          <t>Media file</t>
        </is>
      </c>
      <c r="E322" t="inlineStr">
        <is>
          <t>player #1:BTBR\training\c4f3.mp4</t>
        </is>
      </c>
      <c r="F322" t="n">
        <v>-9.532999999999999</v>
      </c>
      <c r="G322" t="n">
        <v>586.066</v>
      </c>
      <c r="H322" t="n">
        <v>623.2329999999999</v>
      </c>
      <c r="I322" t="n">
        <v>30</v>
      </c>
      <c r="J322" t="inlineStr">
        <is>
          <t>BTBR</t>
        </is>
      </c>
      <c r="K322" t="inlineStr">
        <is>
          <t xml:space="preserve"> Female</t>
        </is>
      </c>
      <c r="L322" t="inlineStr">
        <is>
          <t>No focal subject</t>
        </is>
      </c>
      <c r="M322" t="n">
        <v>58.397</v>
      </c>
      <c r="N322" t="inlineStr">
        <is>
          <t>Explore_F</t>
        </is>
      </c>
      <c r="O322" t="inlineStr">
        <is>
          <t>Familiar</t>
        </is>
      </c>
      <c r="P322" t="inlineStr">
        <is>
          <t>STATE</t>
        </is>
      </c>
      <c r="Q322" t="n">
        <v>47.834</v>
      </c>
      <c r="R322" t="n">
        <v>48.167</v>
      </c>
      <c r="S322" t="n">
        <v>0.333</v>
      </c>
      <c r="T322" t="inlineStr">
        <is>
          <t>BTBR\training\c4f3.mp4</t>
        </is>
      </c>
      <c r="U322" t="n">
        <v>1435</v>
      </c>
      <c r="V322" t="n">
        <v>1445</v>
      </c>
      <c r="W322" t="n">
        <v/>
      </c>
      <c r="X322" t="n">
        <v/>
      </c>
      <c r="Y322" t="n">
        <v/>
      </c>
      <c r="Z322" t="n">
        <v/>
      </c>
      <c r="AA322">
        <f>SUMIFS($S$2:S322,$A$2:A322,A322,$N$2:N322,"Explore*")</f>
        <v/>
      </c>
      <c r="AB322">
        <f>IF(AND(LEFT(N322,7)="Explore",(AA322-IF(LEFT(N322,7)="Explore",S322,0))&lt;10),"SI","NO")</f>
        <v/>
      </c>
    </row>
    <row r="323">
      <c r="A323" t="inlineStr">
        <is>
          <t>c4f3_training</t>
        </is>
      </c>
      <c r="B323" t="inlineStr">
        <is>
          <t>2026-02-19 15:46:12.451</t>
        </is>
      </c>
      <c r="C323" t="n">
        <v/>
      </c>
      <c r="D323" t="inlineStr">
        <is>
          <t>Media file</t>
        </is>
      </c>
      <c r="E323" t="inlineStr">
        <is>
          <t>player #1:BTBR\training\c4f3.mp4</t>
        </is>
      </c>
      <c r="F323" t="n">
        <v>-9.532999999999999</v>
      </c>
      <c r="G323" t="n">
        <v>586.066</v>
      </c>
      <c r="H323" t="n">
        <v>623.2329999999999</v>
      </c>
      <c r="I323" t="n">
        <v>30</v>
      </c>
      <c r="J323" t="inlineStr">
        <is>
          <t>BTBR</t>
        </is>
      </c>
      <c r="K323" t="inlineStr">
        <is>
          <t xml:space="preserve"> Female</t>
        </is>
      </c>
      <c r="L323" t="inlineStr">
        <is>
          <t>No focal subject</t>
        </is>
      </c>
      <c r="M323" t="n">
        <v>58.397</v>
      </c>
      <c r="N323" t="inlineStr">
        <is>
          <t>Explore_F2</t>
        </is>
      </c>
      <c r="O323" t="inlineStr">
        <is>
          <t>Second familiar</t>
        </is>
      </c>
      <c r="P323" t="inlineStr">
        <is>
          <t>STATE</t>
        </is>
      </c>
      <c r="Q323" t="n">
        <v>50.367</v>
      </c>
      <c r="R323" t="n">
        <v>50.634</v>
      </c>
      <c r="S323" t="n">
        <v>0.267</v>
      </c>
      <c r="T323" t="inlineStr">
        <is>
          <t>BTBR\training\c4f3.mp4</t>
        </is>
      </c>
      <c r="U323" t="n">
        <v>1511</v>
      </c>
      <c r="V323" t="n">
        <v>1519</v>
      </c>
      <c r="W323" t="n">
        <v/>
      </c>
      <c r="X323" t="n">
        <v/>
      </c>
      <c r="Y323" t="n">
        <v/>
      </c>
      <c r="Z323" t="n">
        <v/>
      </c>
      <c r="AA323">
        <f>SUMIFS($S$2:S323,$A$2:A323,A323,$N$2:N323,"Explore*")</f>
        <v/>
      </c>
      <c r="AB323">
        <f>IF(AND(LEFT(N323,7)="Explore",(AA323-IF(LEFT(N323,7)="Explore",S323,0))&lt;10),"SI","NO")</f>
        <v/>
      </c>
    </row>
    <row r="324">
      <c r="A324" t="inlineStr">
        <is>
          <t>c4f3_training</t>
        </is>
      </c>
      <c r="B324" t="inlineStr">
        <is>
          <t>2026-02-19 15:46:12.451</t>
        </is>
      </c>
      <c r="C324" t="n">
        <v/>
      </c>
      <c r="D324" t="inlineStr">
        <is>
          <t>Media file</t>
        </is>
      </c>
      <c r="E324" t="inlineStr">
        <is>
          <t>player #1:BTBR\training\c4f3.mp4</t>
        </is>
      </c>
      <c r="F324" t="n">
        <v>-9.532999999999999</v>
      </c>
      <c r="G324" t="n">
        <v>586.066</v>
      </c>
      <c r="H324" t="n">
        <v>623.2329999999999</v>
      </c>
      <c r="I324" t="n">
        <v>30</v>
      </c>
      <c r="J324" t="inlineStr">
        <is>
          <t>BTBR</t>
        </is>
      </c>
      <c r="K324" t="inlineStr">
        <is>
          <t xml:space="preserve"> Female</t>
        </is>
      </c>
      <c r="L324" t="inlineStr">
        <is>
          <t>No focal subject</t>
        </is>
      </c>
      <c r="M324" t="n">
        <v>58.397</v>
      </c>
      <c r="N324" t="inlineStr">
        <is>
          <t>Explore_F</t>
        </is>
      </c>
      <c r="O324" t="inlineStr">
        <is>
          <t>Familiar</t>
        </is>
      </c>
      <c r="P324" t="inlineStr">
        <is>
          <t>STATE</t>
        </is>
      </c>
      <c r="Q324" t="n">
        <v>59.567</v>
      </c>
      <c r="R324" t="n">
        <v>59.967</v>
      </c>
      <c r="S324" t="n">
        <v>0.4</v>
      </c>
      <c r="T324" t="inlineStr">
        <is>
          <t>BTBR\training\c4f3.mp4</t>
        </is>
      </c>
      <c r="U324" t="n">
        <v>1787</v>
      </c>
      <c r="V324" t="n">
        <v>1799</v>
      </c>
      <c r="W324" t="n">
        <v/>
      </c>
      <c r="X324" t="n">
        <v/>
      </c>
      <c r="Y324" t="n">
        <v/>
      </c>
      <c r="Z324" t="n">
        <v/>
      </c>
      <c r="AA324">
        <f>SUMIFS($S$2:S324,$A$2:A324,A324,$N$2:N324,"Explore*")</f>
        <v/>
      </c>
      <c r="AB324">
        <f>IF(AND(LEFT(N324,7)="Explore",(AA324-IF(LEFT(N324,7)="Explore",S324,0))&lt;10),"SI","NO")</f>
        <v/>
      </c>
    </row>
    <row r="325">
      <c r="A325" t="inlineStr">
        <is>
          <t>c4f3_training</t>
        </is>
      </c>
      <c r="B325" t="inlineStr">
        <is>
          <t>2026-02-19 15:46:12.451</t>
        </is>
      </c>
      <c r="C325" t="n">
        <v/>
      </c>
      <c r="D325" t="inlineStr">
        <is>
          <t>Media file</t>
        </is>
      </c>
      <c r="E325" t="inlineStr">
        <is>
          <t>player #1:BTBR\training\c4f3.mp4</t>
        </is>
      </c>
      <c r="F325" t="n">
        <v>-9.532999999999999</v>
      </c>
      <c r="G325" t="n">
        <v>586.066</v>
      </c>
      <c r="H325" t="n">
        <v>623.2329999999999</v>
      </c>
      <c r="I325" t="n">
        <v>30</v>
      </c>
      <c r="J325" t="inlineStr">
        <is>
          <t>BTBR</t>
        </is>
      </c>
      <c r="K325" t="inlineStr">
        <is>
          <t xml:space="preserve"> Female</t>
        </is>
      </c>
      <c r="L325" t="inlineStr">
        <is>
          <t>No focal subject</t>
        </is>
      </c>
      <c r="M325" t="n">
        <v>58.397</v>
      </c>
      <c r="N325" t="inlineStr">
        <is>
          <t>Explore_F</t>
        </is>
      </c>
      <c r="O325" t="inlineStr">
        <is>
          <t>Familiar</t>
        </is>
      </c>
      <c r="P325" t="inlineStr">
        <is>
          <t>STATE</t>
        </is>
      </c>
      <c r="Q325" t="n">
        <v>60.467</v>
      </c>
      <c r="R325" t="n">
        <v>60.767</v>
      </c>
      <c r="S325" t="n">
        <v>0.3</v>
      </c>
      <c r="T325" t="inlineStr">
        <is>
          <t>BTBR\training\c4f3.mp4</t>
        </is>
      </c>
      <c r="U325" t="n">
        <v>1814</v>
      </c>
      <c r="V325" t="n">
        <v>1823</v>
      </c>
      <c r="W325" t="n">
        <v/>
      </c>
      <c r="X325" t="n">
        <v/>
      </c>
      <c r="Y325" t="n">
        <v/>
      </c>
      <c r="Z325" t="n">
        <v/>
      </c>
      <c r="AA325">
        <f>SUMIFS($S$2:S325,$A$2:A325,A325,$N$2:N325,"Explore*")</f>
        <v/>
      </c>
      <c r="AB325">
        <f>IF(AND(LEFT(N325,7)="Explore",(AA325-IF(LEFT(N325,7)="Explore",S325,0))&lt;10),"SI","NO")</f>
        <v/>
      </c>
    </row>
    <row r="326">
      <c r="A326" t="inlineStr">
        <is>
          <t>c4f3_training</t>
        </is>
      </c>
      <c r="B326" t="inlineStr">
        <is>
          <t>2026-02-19 15:46:12.451</t>
        </is>
      </c>
      <c r="C326" t="n">
        <v/>
      </c>
      <c r="D326" t="inlineStr">
        <is>
          <t>Media file</t>
        </is>
      </c>
      <c r="E326" t="inlineStr">
        <is>
          <t>player #1:BTBR\training\c4f3.mp4</t>
        </is>
      </c>
      <c r="F326" t="n">
        <v>-9.532999999999999</v>
      </c>
      <c r="G326" t="n">
        <v>586.066</v>
      </c>
      <c r="H326" t="n">
        <v>623.2329999999999</v>
      </c>
      <c r="I326" t="n">
        <v>30</v>
      </c>
      <c r="J326" t="inlineStr">
        <is>
          <t>BTBR</t>
        </is>
      </c>
      <c r="K326" t="inlineStr">
        <is>
          <t xml:space="preserve"> Female</t>
        </is>
      </c>
      <c r="L326" t="inlineStr">
        <is>
          <t>No focal subject</t>
        </is>
      </c>
      <c r="M326" t="n">
        <v>58.397</v>
      </c>
      <c r="N326" t="inlineStr">
        <is>
          <t>Explore_F</t>
        </is>
      </c>
      <c r="O326" t="inlineStr">
        <is>
          <t>Familiar</t>
        </is>
      </c>
      <c r="P326" t="inlineStr">
        <is>
          <t>STATE</t>
        </is>
      </c>
      <c r="Q326" t="n">
        <v>61.967</v>
      </c>
      <c r="R326" t="n">
        <v>62.234</v>
      </c>
      <c r="S326" t="n">
        <v>0.267</v>
      </c>
      <c r="T326" t="inlineStr">
        <is>
          <t>BTBR\training\c4f3.mp4</t>
        </is>
      </c>
      <c r="U326" t="n">
        <v>1859</v>
      </c>
      <c r="V326" t="n">
        <v>1867</v>
      </c>
      <c r="W326" t="n">
        <v/>
      </c>
      <c r="X326" t="n">
        <v/>
      </c>
      <c r="Y326" t="n">
        <v/>
      </c>
      <c r="Z326" t="n">
        <v/>
      </c>
      <c r="AA326">
        <f>SUMIFS($S$2:S326,$A$2:A326,A326,$N$2:N326,"Explore*")</f>
        <v/>
      </c>
      <c r="AB326">
        <f>IF(AND(LEFT(N326,7)="Explore",(AA326-IF(LEFT(N326,7)="Explore",S326,0))&lt;10),"SI","NO")</f>
        <v/>
      </c>
    </row>
    <row r="327">
      <c r="A327" t="inlineStr">
        <is>
          <t>c4f3_training</t>
        </is>
      </c>
      <c r="B327" t="inlineStr">
        <is>
          <t>2026-02-19 15:46:12.451</t>
        </is>
      </c>
      <c r="C327" t="n">
        <v/>
      </c>
      <c r="D327" t="inlineStr">
        <is>
          <t>Media file</t>
        </is>
      </c>
      <c r="E327" t="inlineStr">
        <is>
          <t>player #1:BTBR\training\c4f3.mp4</t>
        </is>
      </c>
      <c r="F327" t="n">
        <v>-9.532999999999999</v>
      </c>
      <c r="G327" t="n">
        <v>586.066</v>
      </c>
      <c r="H327" t="n">
        <v>623.2329999999999</v>
      </c>
      <c r="I327" t="n">
        <v>30</v>
      </c>
      <c r="J327" t="inlineStr">
        <is>
          <t>BTBR</t>
        </is>
      </c>
      <c r="K327" t="inlineStr">
        <is>
          <t xml:space="preserve"> Female</t>
        </is>
      </c>
      <c r="L327" t="inlineStr">
        <is>
          <t>No focal subject</t>
        </is>
      </c>
      <c r="M327" t="n">
        <v>58.397</v>
      </c>
      <c r="N327" t="inlineStr">
        <is>
          <t>Explore_F2</t>
        </is>
      </c>
      <c r="O327" t="inlineStr">
        <is>
          <t>Second familiar</t>
        </is>
      </c>
      <c r="P327" t="inlineStr">
        <is>
          <t>STATE</t>
        </is>
      </c>
      <c r="Q327" t="n">
        <v>64.03400000000001</v>
      </c>
      <c r="R327" t="n">
        <v>64.334</v>
      </c>
      <c r="S327" t="n">
        <v>0.3</v>
      </c>
      <c r="T327" t="inlineStr">
        <is>
          <t>BTBR\training\c4f3.mp4</t>
        </is>
      </c>
      <c r="U327" t="n">
        <v>1922</v>
      </c>
      <c r="V327" t="n">
        <v>1930</v>
      </c>
      <c r="W327" t="n">
        <v/>
      </c>
      <c r="X327" t="n">
        <v/>
      </c>
      <c r="Y327" t="n">
        <v/>
      </c>
      <c r="Z327" t="n">
        <v/>
      </c>
      <c r="AA327">
        <f>SUMIFS($S$2:S327,$A$2:A327,A327,$N$2:N327,"Explore*")</f>
        <v/>
      </c>
      <c r="AB327">
        <f>IF(AND(LEFT(N327,7)="Explore",(AA327-IF(LEFT(N327,7)="Explore",S327,0))&lt;10),"SI","NO")</f>
        <v/>
      </c>
    </row>
    <row r="328">
      <c r="A328" t="inlineStr">
        <is>
          <t>c4f3_training</t>
        </is>
      </c>
      <c r="B328" t="inlineStr">
        <is>
          <t>2026-02-19 15:46:12.451</t>
        </is>
      </c>
      <c r="C328" t="n">
        <v/>
      </c>
      <c r="D328" t="inlineStr">
        <is>
          <t>Media file</t>
        </is>
      </c>
      <c r="E328" t="inlineStr">
        <is>
          <t>player #1:BTBR\training\c4f3.mp4</t>
        </is>
      </c>
      <c r="F328" t="n">
        <v>-9.532999999999999</v>
      </c>
      <c r="G328" t="n">
        <v>586.066</v>
      </c>
      <c r="H328" t="n">
        <v>623.2329999999999</v>
      </c>
      <c r="I328" t="n">
        <v>30</v>
      </c>
      <c r="J328" t="inlineStr">
        <is>
          <t>BTBR</t>
        </is>
      </c>
      <c r="K328" t="inlineStr">
        <is>
          <t xml:space="preserve"> Female</t>
        </is>
      </c>
      <c r="L328" t="inlineStr">
        <is>
          <t>No focal subject</t>
        </is>
      </c>
      <c r="M328" t="n">
        <v>58.397</v>
      </c>
      <c r="N328" t="inlineStr">
        <is>
          <t>Explore_F2</t>
        </is>
      </c>
      <c r="O328" t="inlineStr">
        <is>
          <t>Second familiar</t>
        </is>
      </c>
      <c r="P328" t="inlineStr">
        <is>
          <t>STATE</t>
        </is>
      </c>
      <c r="Q328" t="n">
        <v>87</v>
      </c>
      <c r="R328" t="n">
        <v>87.23399999999999</v>
      </c>
      <c r="S328" t="n">
        <v>0.234</v>
      </c>
      <c r="T328" t="inlineStr">
        <is>
          <t>BTBR\training\c4f3.mp4</t>
        </is>
      </c>
      <c r="U328" t="n">
        <v>2612</v>
      </c>
      <c r="V328" t="n">
        <v>2617</v>
      </c>
      <c r="W328" t="n">
        <v/>
      </c>
      <c r="X328" t="n">
        <v/>
      </c>
      <c r="Y328" t="n">
        <v/>
      </c>
      <c r="Z328" t="n">
        <v/>
      </c>
      <c r="AA328">
        <f>SUMIFS($S$2:S328,$A$2:A328,A328,$N$2:N328,"Explore*")</f>
        <v/>
      </c>
      <c r="AB328">
        <f>IF(AND(LEFT(N328,7)="Explore",(AA328-IF(LEFT(N328,7)="Explore",S328,0))&lt;10),"SI","NO")</f>
        <v/>
      </c>
    </row>
    <row r="329">
      <c r="A329" t="inlineStr">
        <is>
          <t>c4f3_training</t>
        </is>
      </c>
      <c r="B329" t="inlineStr">
        <is>
          <t>2026-02-19 15:46:12.451</t>
        </is>
      </c>
      <c r="C329" t="n">
        <v/>
      </c>
      <c r="D329" t="inlineStr">
        <is>
          <t>Media file</t>
        </is>
      </c>
      <c r="E329" t="inlineStr">
        <is>
          <t>player #1:BTBR\training\c4f3.mp4</t>
        </is>
      </c>
      <c r="F329" t="n">
        <v>-9.532999999999999</v>
      </c>
      <c r="G329" t="n">
        <v>586.066</v>
      </c>
      <c r="H329" t="n">
        <v>623.2329999999999</v>
      </c>
      <c r="I329" t="n">
        <v>30</v>
      </c>
      <c r="J329" t="inlineStr">
        <is>
          <t>BTBR</t>
        </is>
      </c>
      <c r="K329" t="inlineStr">
        <is>
          <t xml:space="preserve"> Female</t>
        </is>
      </c>
      <c r="L329" t="inlineStr">
        <is>
          <t>No focal subject</t>
        </is>
      </c>
      <c r="M329" t="n">
        <v>58.397</v>
      </c>
      <c r="N329" t="inlineStr">
        <is>
          <t>Explore_F</t>
        </is>
      </c>
      <c r="O329" t="inlineStr">
        <is>
          <t>Familiar</t>
        </is>
      </c>
      <c r="P329" t="inlineStr">
        <is>
          <t>STATE</t>
        </is>
      </c>
      <c r="Q329" t="n">
        <v>89.73399999999999</v>
      </c>
      <c r="R329" t="n">
        <v>92.06699999999999</v>
      </c>
      <c r="S329" t="n">
        <v>2.333</v>
      </c>
      <c r="T329" t="inlineStr">
        <is>
          <t>BTBR\training\c4f3.mp4</t>
        </is>
      </c>
      <c r="U329" t="n">
        <v>2692</v>
      </c>
      <c r="V329" t="n">
        <v>2762</v>
      </c>
      <c r="W329" t="n">
        <v/>
      </c>
      <c r="X329" t="n">
        <v/>
      </c>
      <c r="Y329" t="n">
        <v/>
      </c>
      <c r="Z329" t="n">
        <v/>
      </c>
      <c r="AA329">
        <f>SUMIFS($S$2:S329,$A$2:A329,A329,$N$2:N329,"Explore*")</f>
        <v/>
      </c>
      <c r="AB329">
        <f>IF(AND(LEFT(N329,7)="Explore",(AA329-IF(LEFT(N329,7)="Explore",S329,0))&lt;10),"SI","NO")</f>
        <v/>
      </c>
    </row>
    <row r="330">
      <c r="A330" t="inlineStr">
        <is>
          <t>c4f3_training</t>
        </is>
      </c>
      <c r="B330" t="inlineStr">
        <is>
          <t>2026-02-19 15:46:12.451</t>
        </is>
      </c>
      <c r="C330" t="n">
        <v/>
      </c>
      <c r="D330" t="inlineStr">
        <is>
          <t>Media file</t>
        </is>
      </c>
      <c r="E330" t="inlineStr">
        <is>
          <t>player #1:BTBR\training\c4f3.mp4</t>
        </is>
      </c>
      <c r="F330" t="n">
        <v>-9.532999999999999</v>
      </c>
      <c r="G330" t="n">
        <v>586.066</v>
      </c>
      <c r="H330" t="n">
        <v>623.2329999999999</v>
      </c>
      <c r="I330" t="n">
        <v>30</v>
      </c>
      <c r="J330" t="inlineStr">
        <is>
          <t>BTBR</t>
        </is>
      </c>
      <c r="K330" t="inlineStr">
        <is>
          <t xml:space="preserve"> Female</t>
        </is>
      </c>
      <c r="L330" t="inlineStr">
        <is>
          <t>No focal subject</t>
        </is>
      </c>
      <c r="M330" t="n">
        <v>58.397</v>
      </c>
      <c r="N330" t="inlineStr">
        <is>
          <t>Explore_F</t>
        </is>
      </c>
      <c r="O330" t="inlineStr">
        <is>
          <t>Familiar</t>
        </is>
      </c>
      <c r="P330" t="inlineStr">
        <is>
          <t>STATE</t>
        </is>
      </c>
      <c r="Q330" t="n">
        <v>94.23399999999999</v>
      </c>
      <c r="R330" t="n">
        <v>94.53400000000001</v>
      </c>
      <c r="S330" t="n">
        <v>0.3</v>
      </c>
      <c r="T330" t="inlineStr">
        <is>
          <t>BTBR\training\c4f3.mp4</t>
        </is>
      </c>
      <c r="U330" t="n">
        <v>2827</v>
      </c>
      <c r="V330" t="n">
        <v>2837</v>
      </c>
      <c r="W330" t="n">
        <v/>
      </c>
      <c r="X330" t="n">
        <v/>
      </c>
      <c r="Y330" t="n">
        <v/>
      </c>
      <c r="Z330" t="n">
        <v/>
      </c>
      <c r="AA330">
        <f>SUMIFS($S$2:S330,$A$2:A330,A330,$N$2:N330,"Explore*")</f>
        <v/>
      </c>
      <c r="AB330">
        <f>IF(AND(LEFT(N330,7)="Explore",(AA330-IF(LEFT(N330,7)="Explore",S330,0))&lt;10),"SI","NO")</f>
        <v/>
      </c>
    </row>
    <row r="331">
      <c r="A331" t="inlineStr">
        <is>
          <t>c4f3_training</t>
        </is>
      </c>
      <c r="B331" t="inlineStr">
        <is>
          <t>2026-02-19 15:46:12.451</t>
        </is>
      </c>
      <c r="C331" t="n">
        <v/>
      </c>
      <c r="D331" t="inlineStr">
        <is>
          <t>Media file</t>
        </is>
      </c>
      <c r="E331" t="inlineStr">
        <is>
          <t>player #1:BTBR\training\c4f3.mp4</t>
        </is>
      </c>
      <c r="F331" t="n">
        <v>-9.532999999999999</v>
      </c>
      <c r="G331" t="n">
        <v>586.066</v>
      </c>
      <c r="H331" t="n">
        <v>623.2329999999999</v>
      </c>
      <c r="I331" t="n">
        <v>30</v>
      </c>
      <c r="J331" t="inlineStr">
        <is>
          <t>BTBR</t>
        </is>
      </c>
      <c r="K331" t="inlineStr">
        <is>
          <t xml:space="preserve"> Female</t>
        </is>
      </c>
      <c r="L331" t="inlineStr">
        <is>
          <t>No focal subject</t>
        </is>
      </c>
      <c r="M331" t="n">
        <v>58.397</v>
      </c>
      <c r="N331" t="inlineStr">
        <is>
          <t>Explore_F</t>
        </is>
      </c>
      <c r="O331" t="inlineStr">
        <is>
          <t>Familiar</t>
        </is>
      </c>
      <c r="P331" t="inlineStr">
        <is>
          <t>STATE</t>
        </is>
      </c>
      <c r="Q331" t="n">
        <v>95.3</v>
      </c>
      <c r="R331" t="n">
        <v>97.867</v>
      </c>
      <c r="S331" t="n">
        <v>2.567</v>
      </c>
      <c r="T331" t="inlineStr">
        <is>
          <t>BTBR\training\c4f3.mp4</t>
        </is>
      </c>
      <c r="U331" t="n">
        <v>2859</v>
      </c>
      <c r="V331" t="n">
        <v>2936</v>
      </c>
      <c r="W331" t="n">
        <v/>
      </c>
      <c r="X331" t="n">
        <v/>
      </c>
      <c r="Y331" t="n">
        <v/>
      </c>
      <c r="Z331" t="n">
        <v/>
      </c>
      <c r="AA331">
        <f>SUMIFS($S$2:S331,$A$2:A331,A331,$N$2:N331,"Explore*")</f>
        <v/>
      </c>
      <c r="AB331">
        <f>IF(AND(LEFT(N331,7)="Explore",(AA331-IF(LEFT(N331,7)="Explore",S331,0))&lt;10),"SI","NO")</f>
        <v/>
      </c>
    </row>
    <row r="332">
      <c r="A332" t="inlineStr">
        <is>
          <t>c4f3_training</t>
        </is>
      </c>
      <c r="B332" t="inlineStr">
        <is>
          <t>2026-02-19 15:46:12.451</t>
        </is>
      </c>
      <c r="C332" t="n">
        <v/>
      </c>
      <c r="D332" t="inlineStr">
        <is>
          <t>Media file</t>
        </is>
      </c>
      <c r="E332" t="inlineStr">
        <is>
          <t>player #1:BTBR\training\c4f3.mp4</t>
        </is>
      </c>
      <c r="F332" t="n">
        <v>-9.532999999999999</v>
      </c>
      <c r="G332" t="n">
        <v>586.066</v>
      </c>
      <c r="H332" t="n">
        <v>623.2329999999999</v>
      </c>
      <c r="I332" t="n">
        <v>30</v>
      </c>
      <c r="J332" t="inlineStr">
        <is>
          <t>BTBR</t>
        </is>
      </c>
      <c r="K332" t="inlineStr">
        <is>
          <t xml:space="preserve"> Female</t>
        </is>
      </c>
      <c r="L332" t="inlineStr">
        <is>
          <t>No focal subject</t>
        </is>
      </c>
      <c r="M332" t="n">
        <v>58.397</v>
      </c>
      <c r="N332" t="inlineStr">
        <is>
          <t>Explore_F2</t>
        </is>
      </c>
      <c r="O332" t="inlineStr">
        <is>
          <t>Second familiar</t>
        </is>
      </c>
      <c r="P332" t="inlineStr">
        <is>
          <t>STATE</t>
        </is>
      </c>
      <c r="Q332" t="n">
        <v>99.467</v>
      </c>
      <c r="R332" t="n">
        <v>102.167</v>
      </c>
      <c r="S332" t="n">
        <v>2.7</v>
      </c>
      <c r="T332" t="inlineStr">
        <is>
          <t>BTBR\training\c4f3.mp4</t>
        </is>
      </c>
      <c r="U332" t="n">
        <v>2984</v>
      </c>
      <c r="V332" t="n">
        <v>3065</v>
      </c>
      <c r="W332" t="n">
        <v/>
      </c>
      <c r="X332" t="n">
        <v/>
      </c>
      <c r="Y332" t="n">
        <v/>
      </c>
      <c r="Z332" t="n">
        <v/>
      </c>
      <c r="AA332">
        <f>SUMIFS($S$2:S332,$A$2:A332,A332,$N$2:N332,"Explore*")</f>
        <v/>
      </c>
      <c r="AB332">
        <f>IF(AND(LEFT(N332,7)="Explore",(AA332-IF(LEFT(N332,7)="Explore",S332,0))&lt;10),"SI","NO")</f>
        <v/>
      </c>
    </row>
    <row r="333">
      <c r="A333" t="inlineStr">
        <is>
          <t>c4f3_training</t>
        </is>
      </c>
      <c r="B333" t="inlineStr">
        <is>
          <t>2026-02-19 15:46:12.451</t>
        </is>
      </c>
      <c r="C333" t="n">
        <v/>
      </c>
      <c r="D333" t="inlineStr">
        <is>
          <t>Media file</t>
        </is>
      </c>
      <c r="E333" t="inlineStr">
        <is>
          <t>player #1:BTBR\training\c4f3.mp4</t>
        </is>
      </c>
      <c r="F333" t="n">
        <v>-9.532999999999999</v>
      </c>
      <c r="G333" t="n">
        <v>586.066</v>
      </c>
      <c r="H333" t="n">
        <v>623.2329999999999</v>
      </c>
      <c r="I333" t="n">
        <v>30</v>
      </c>
      <c r="J333" t="inlineStr">
        <is>
          <t>BTBR</t>
        </is>
      </c>
      <c r="K333" t="inlineStr">
        <is>
          <t xml:space="preserve"> Female</t>
        </is>
      </c>
      <c r="L333" t="inlineStr">
        <is>
          <t>No focal subject</t>
        </is>
      </c>
      <c r="M333" t="n">
        <v>58.397</v>
      </c>
      <c r="N333" t="inlineStr">
        <is>
          <t>Explore_F2</t>
        </is>
      </c>
      <c r="O333" t="inlineStr">
        <is>
          <t>Second familiar</t>
        </is>
      </c>
      <c r="P333" t="inlineStr">
        <is>
          <t>STATE</t>
        </is>
      </c>
      <c r="Q333" t="n">
        <v>107.567</v>
      </c>
      <c r="R333" t="n">
        <v>108.4</v>
      </c>
      <c r="S333" t="n">
        <v>0.833</v>
      </c>
      <c r="T333" t="inlineStr">
        <is>
          <t>BTBR\training\c4f3.mp4</t>
        </is>
      </c>
      <c r="U333" t="n">
        <v>3227</v>
      </c>
      <c r="V333" t="n">
        <v>3252</v>
      </c>
      <c r="W333" t="n">
        <v/>
      </c>
      <c r="X333" t="n">
        <v/>
      </c>
      <c r="Y333" t="n">
        <v/>
      </c>
      <c r="Z333" t="n">
        <v/>
      </c>
      <c r="AA333">
        <f>SUMIFS($S$2:S333,$A$2:A333,A333,$N$2:N333,"Explore*")</f>
        <v/>
      </c>
      <c r="AB333">
        <f>IF(AND(LEFT(N333,7)="Explore",(AA333-IF(LEFT(N333,7)="Explore",S333,0))&lt;10),"SI","NO")</f>
        <v/>
      </c>
    </row>
    <row r="334">
      <c r="A334" t="inlineStr">
        <is>
          <t>c4f3_training</t>
        </is>
      </c>
      <c r="B334" t="inlineStr">
        <is>
          <t>2026-02-19 15:46:12.451</t>
        </is>
      </c>
      <c r="C334" t="n">
        <v/>
      </c>
      <c r="D334" t="inlineStr">
        <is>
          <t>Media file</t>
        </is>
      </c>
      <c r="E334" t="inlineStr">
        <is>
          <t>player #1:BTBR\training\c4f3.mp4</t>
        </is>
      </c>
      <c r="F334" t="n">
        <v>-9.532999999999999</v>
      </c>
      <c r="G334" t="n">
        <v>586.066</v>
      </c>
      <c r="H334" t="n">
        <v>623.2329999999999</v>
      </c>
      <c r="I334" t="n">
        <v>30</v>
      </c>
      <c r="J334" t="inlineStr">
        <is>
          <t>BTBR</t>
        </is>
      </c>
      <c r="K334" t="inlineStr">
        <is>
          <t xml:space="preserve"> Female</t>
        </is>
      </c>
      <c r="L334" t="inlineStr">
        <is>
          <t>No focal subject</t>
        </is>
      </c>
      <c r="M334" t="n">
        <v>58.397</v>
      </c>
      <c r="N334" t="inlineStr">
        <is>
          <t>Explore_F2</t>
        </is>
      </c>
      <c r="O334" t="inlineStr">
        <is>
          <t>Second familiar</t>
        </is>
      </c>
      <c r="P334" t="inlineStr">
        <is>
          <t>STATE</t>
        </is>
      </c>
      <c r="Q334" t="n">
        <v>126.667</v>
      </c>
      <c r="R334" t="n">
        <v>129.467</v>
      </c>
      <c r="S334" t="n">
        <v>2.8</v>
      </c>
      <c r="T334" t="inlineStr">
        <is>
          <t>BTBR\training\c4f3.mp4</t>
        </is>
      </c>
      <c r="U334" t="n">
        <v>3800</v>
      </c>
      <c r="V334" t="n">
        <v>3884</v>
      </c>
      <c r="W334" t="n">
        <v/>
      </c>
      <c r="X334" t="n">
        <v/>
      </c>
      <c r="Y334" t="n">
        <v/>
      </c>
      <c r="Z334" t="n">
        <v/>
      </c>
      <c r="AA334">
        <f>SUMIFS($S$2:S334,$A$2:A334,A334,$N$2:N334,"Explore*")</f>
        <v/>
      </c>
      <c r="AB334">
        <f>IF(AND(LEFT(N334,7)="Explore",(AA334-IF(LEFT(N334,7)="Explore",S334,0))&lt;10),"SI","NO")</f>
        <v/>
      </c>
    </row>
    <row r="335">
      <c r="A335" t="inlineStr">
        <is>
          <t>c4f3_training</t>
        </is>
      </c>
      <c r="B335" t="inlineStr">
        <is>
          <t>2026-02-19 15:46:12.451</t>
        </is>
      </c>
      <c r="C335" t="n">
        <v/>
      </c>
      <c r="D335" t="inlineStr">
        <is>
          <t>Media file</t>
        </is>
      </c>
      <c r="E335" t="inlineStr">
        <is>
          <t>player #1:BTBR\training\c4f3.mp4</t>
        </is>
      </c>
      <c r="F335" t="n">
        <v>-9.532999999999999</v>
      </c>
      <c r="G335" t="n">
        <v>586.066</v>
      </c>
      <c r="H335" t="n">
        <v>623.2329999999999</v>
      </c>
      <c r="I335" t="n">
        <v>30</v>
      </c>
      <c r="J335" t="inlineStr">
        <is>
          <t>BTBR</t>
        </is>
      </c>
      <c r="K335" t="inlineStr">
        <is>
          <t xml:space="preserve"> Female</t>
        </is>
      </c>
      <c r="L335" t="inlineStr">
        <is>
          <t>No focal subject</t>
        </is>
      </c>
      <c r="M335" t="n">
        <v>58.397</v>
      </c>
      <c r="N335" t="inlineStr">
        <is>
          <t>Explore_F</t>
        </is>
      </c>
      <c r="O335" t="inlineStr">
        <is>
          <t>Familiar</t>
        </is>
      </c>
      <c r="P335" t="inlineStr">
        <is>
          <t>STATE</t>
        </is>
      </c>
      <c r="Q335" t="n">
        <v>131.234</v>
      </c>
      <c r="R335" t="n">
        <v>132.734</v>
      </c>
      <c r="S335" t="n">
        <v>1.5</v>
      </c>
      <c r="T335" t="inlineStr">
        <is>
          <t>BTBR\training\c4f3.mp4</t>
        </is>
      </c>
      <c r="U335" t="n">
        <v>3937</v>
      </c>
      <c r="V335" t="n">
        <v>3982</v>
      </c>
      <c r="W335" t="n">
        <v/>
      </c>
      <c r="X335" t="n">
        <v/>
      </c>
      <c r="Y335" t="n">
        <v/>
      </c>
      <c r="Z335" t="n">
        <v/>
      </c>
      <c r="AA335">
        <f>SUMIFS($S$2:S335,$A$2:A335,A335,$N$2:N335,"Explore*")</f>
        <v/>
      </c>
      <c r="AB335">
        <f>IF(AND(LEFT(N335,7)="Explore",(AA335-IF(LEFT(N335,7)="Explore",S335,0))&lt;10),"SI","NO")</f>
        <v/>
      </c>
    </row>
    <row r="336">
      <c r="A336" t="inlineStr">
        <is>
          <t>c4f3_training</t>
        </is>
      </c>
      <c r="B336" t="inlineStr">
        <is>
          <t>2026-02-19 15:46:12.451</t>
        </is>
      </c>
      <c r="C336" t="n">
        <v/>
      </c>
      <c r="D336" t="inlineStr">
        <is>
          <t>Media file</t>
        </is>
      </c>
      <c r="E336" t="inlineStr">
        <is>
          <t>player #1:BTBR\training\c4f3.mp4</t>
        </is>
      </c>
      <c r="F336" t="n">
        <v>-9.532999999999999</v>
      </c>
      <c r="G336" t="n">
        <v>586.066</v>
      </c>
      <c r="H336" t="n">
        <v>623.2329999999999</v>
      </c>
      <c r="I336" t="n">
        <v>30</v>
      </c>
      <c r="J336" t="inlineStr">
        <is>
          <t>BTBR</t>
        </is>
      </c>
      <c r="K336" t="inlineStr">
        <is>
          <t xml:space="preserve"> Female</t>
        </is>
      </c>
      <c r="L336" t="inlineStr">
        <is>
          <t>No focal subject</t>
        </is>
      </c>
      <c r="M336" t="n">
        <v>58.397</v>
      </c>
      <c r="N336" t="inlineStr">
        <is>
          <t>Explore_F</t>
        </is>
      </c>
      <c r="O336" t="inlineStr">
        <is>
          <t>Familiar</t>
        </is>
      </c>
      <c r="P336" t="inlineStr">
        <is>
          <t>STATE</t>
        </is>
      </c>
      <c r="Q336" t="n">
        <v>133.367</v>
      </c>
      <c r="R336" t="n">
        <v>134.767</v>
      </c>
      <c r="S336" t="n">
        <v>1.4</v>
      </c>
      <c r="T336" t="inlineStr">
        <is>
          <t>BTBR\training\c4f3.mp4</t>
        </is>
      </c>
      <c r="U336" t="n">
        <v>4001</v>
      </c>
      <c r="V336" t="n">
        <v>4043</v>
      </c>
      <c r="W336" t="n">
        <v/>
      </c>
      <c r="X336" t="n">
        <v/>
      </c>
      <c r="Y336" t="n">
        <v/>
      </c>
      <c r="Z336" t="n">
        <v/>
      </c>
      <c r="AA336">
        <f>SUMIFS($S$2:S336,$A$2:A336,A336,$N$2:N336,"Explore*")</f>
        <v/>
      </c>
      <c r="AB336">
        <f>IF(AND(LEFT(N336,7)="Explore",(AA336-IF(LEFT(N336,7)="Explore",S336,0))&lt;10),"SI","NO")</f>
        <v/>
      </c>
    </row>
    <row r="337">
      <c r="A337" t="inlineStr">
        <is>
          <t>c4f3_training</t>
        </is>
      </c>
      <c r="B337" t="inlineStr">
        <is>
          <t>2026-02-19 15:46:12.451</t>
        </is>
      </c>
      <c r="C337" t="n">
        <v/>
      </c>
      <c r="D337" t="inlineStr">
        <is>
          <t>Media file</t>
        </is>
      </c>
      <c r="E337" t="inlineStr">
        <is>
          <t>player #1:BTBR\training\c4f3.mp4</t>
        </is>
      </c>
      <c r="F337" t="n">
        <v>-9.532999999999999</v>
      </c>
      <c r="G337" t="n">
        <v>586.066</v>
      </c>
      <c r="H337" t="n">
        <v>623.2329999999999</v>
      </c>
      <c r="I337" t="n">
        <v>30</v>
      </c>
      <c r="J337" t="inlineStr">
        <is>
          <t>BTBR</t>
        </is>
      </c>
      <c r="K337" t="inlineStr">
        <is>
          <t xml:space="preserve"> Female</t>
        </is>
      </c>
      <c r="L337" t="inlineStr">
        <is>
          <t>No focal subject</t>
        </is>
      </c>
      <c r="M337" t="n">
        <v>58.397</v>
      </c>
      <c r="N337" t="inlineStr">
        <is>
          <t>Explore_F</t>
        </is>
      </c>
      <c r="O337" t="inlineStr">
        <is>
          <t>Familiar</t>
        </is>
      </c>
      <c r="P337" t="inlineStr">
        <is>
          <t>STATE</t>
        </is>
      </c>
      <c r="Q337" t="n">
        <v>136.834</v>
      </c>
      <c r="R337" t="n">
        <v>138.1</v>
      </c>
      <c r="S337" t="n">
        <v>1.266</v>
      </c>
      <c r="T337" t="inlineStr">
        <is>
          <t>BTBR\training\c4f3.mp4</t>
        </is>
      </c>
      <c r="U337" t="n">
        <v>4105</v>
      </c>
      <c r="V337" t="n">
        <v>4143</v>
      </c>
      <c r="W337" t="n">
        <v/>
      </c>
      <c r="X337" t="n">
        <v/>
      </c>
      <c r="Y337" t="n">
        <v/>
      </c>
      <c r="Z337" t="n">
        <v/>
      </c>
      <c r="AA337">
        <f>SUMIFS($S$2:S337,$A$2:A337,A337,$N$2:N337,"Explore*")</f>
        <v/>
      </c>
      <c r="AB337">
        <f>IF(AND(LEFT(N337,7)="Explore",(AA337-IF(LEFT(N337,7)="Explore",S337,0))&lt;10),"SI","NO")</f>
        <v/>
      </c>
    </row>
    <row r="338">
      <c r="A338" t="inlineStr">
        <is>
          <t>c4f3_training</t>
        </is>
      </c>
      <c r="B338" t="inlineStr">
        <is>
          <t>2026-02-19 15:46:12.451</t>
        </is>
      </c>
      <c r="C338" t="n">
        <v/>
      </c>
      <c r="D338" t="inlineStr">
        <is>
          <t>Media file</t>
        </is>
      </c>
      <c r="E338" t="inlineStr">
        <is>
          <t>player #1:BTBR\training\c4f3.mp4</t>
        </is>
      </c>
      <c r="F338" t="n">
        <v>-9.532999999999999</v>
      </c>
      <c r="G338" t="n">
        <v>586.066</v>
      </c>
      <c r="H338" t="n">
        <v>623.2329999999999</v>
      </c>
      <c r="I338" t="n">
        <v>30</v>
      </c>
      <c r="J338" t="inlineStr">
        <is>
          <t>BTBR</t>
        </is>
      </c>
      <c r="K338" t="inlineStr">
        <is>
          <t xml:space="preserve"> Female</t>
        </is>
      </c>
      <c r="L338" t="inlineStr">
        <is>
          <t>No focal subject</t>
        </is>
      </c>
      <c r="M338" t="n">
        <v>58.397</v>
      </c>
      <c r="N338" t="inlineStr">
        <is>
          <t>Explore_F</t>
        </is>
      </c>
      <c r="O338" t="inlineStr">
        <is>
          <t>Familiar</t>
        </is>
      </c>
      <c r="P338" t="inlineStr">
        <is>
          <t>STATE</t>
        </is>
      </c>
      <c r="Q338" t="n">
        <v>139.8</v>
      </c>
      <c r="R338" t="n">
        <v>140.334</v>
      </c>
      <c r="S338" t="n">
        <v>0.534</v>
      </c>
      <c r="T338" t="inlineStr">
        <is>
          <t>BTBR\training\c4f3.mp4</t>
        </is>
      </c>
      <c r="U338" t="n">
        <v>4194</v>
      </c>
      <c r="V338" t="n">
        <v>4210</v>
      </c>
      <c r="W338" t="n">
        <v/>
      </c>
      <c r="X338" t="n">
        <v/>
      </c>
      <c r="Y338" t="n">
        <v/>
      </c>
      <c r="Z338" t="n">
        <v/>
      </c>
      <c r="AA338">
        <f>SUMIFS($S$2:S338,$A$2:A338,A338,$N$2:N338,"Explore*")</f>
        <v/>
      </c>
      <c r="AB338">
        <f>IF(AND(LEFT(N338,7)="Explore",(AA338-IF(LEFT(N338,7)="Explore",S338,0))&lt;10),"SI","NO")</f>
        <v/>
      </c>
    </row>
    <row r="339">
      <c r="A339" t="inlineStr">
        <is>
          <t>c4f3_training</t>
        </is>
      </c>
      <c r="B339" t="inlineStr">
        <is>
          <t>2026-02-19 15:46:12.451</t>
        </is>
      </c>
      <c r="C339" t="n">
        <v/>
      </c>
      <c r="D339" t="inlineStr">
        <is>
          <t>Media file</t>
        </is>
      </c>
      <c r="E339" t="inlineStr">
        <is>
          <t>player #1:BTBR\training\c4f3.mp4</t>
        </is>
      </c>
      <c r="F339" t="n">
        <v>-9.532999999999999</v>
      </c>
      <c r="G339" t="n">
        <v>586.066</v>
      </c>
      <c r="H339" t="n">
        <v>623.2329999999999</v>
      </c>
      <c r="I339" t="n">
        <v>30</v>
      </c>
      <c r="J339" t="inlineStr">
        <is>
          <t>BTBR</t>
        </is>
      </c>
      <c r="K339" t="inlineStr">
        <is>
          <t xml:space="preserve"> Female</t>
        </is>
      </c>
      <c r="L339" t="inlineStr">
        <is>
          <t>No focal subject</t>
        </is>
      </c>
      <c r="M339" t="n">
        <v>58.397</v>
      </c>
      <c r="N339" t="inlineStr">
        <is>
          <t>Explore_F</t>
        </is>
      </c>
      <c r="O339" t="inlineStr">
        <is>
          <t>Familiar</t>
        </is>
      </c>
      <c r="P339" t="inlineStr">
        <is>
          <t>STATE</t>
        </is>
      </c>
      <c r="Q339" t="n">
        <v>146.434</v>
      </c>
      <c r="R339" t="n">
        <v>147.067</v>
      </c>
      <c r="S339" t="n">
        <v>0.633</v>
      </c>
      <c r="T339" t="inlineStr">
        <is>
          <t>BTBR\training\c4f3.mp4</t>
        </is>
      </c>
      <c r="U339" t="n">
        <v>4393</v>
      </c>
      <c r="V339" t="n">
        <v>4412</v>
      </c>
      <c r="W339" t="n">
        <v/>
      </c>
      <c r="X339" t="n">
        <v/>
      </c>
      <c r="Y339" t="n">
        <v/>
      </c>
      <c r="Z339" t="n">
        <v/>
      </c>
      <c r="AA339">
        <f>SUMIFS($S$2:S339,$A$2:A339,A339,$N$2:N339,"Explore*")</f>
        <v/>
      </c>
      <c r="AB339">
        <f>IF(AND(LEFT(N339,7)="Explore",(AA339-IF(LEFT(N339,7)="Explore",S339,0))&lt;10),"SI","NO")</f>
        <v/>
      </c>
    </row>
    <row r="340">
      <c r="A340" t="inlineStr">
        <is>
          <t>c4f3_training</t>
        </is>
      </c>
      <c r="B340" t="inlineStr">
        <is>
          <t>2026-02-19 15:46:12.451</t>
        </is>
      </c>
      <c r="C340" t="n">
        <v/>
      </c>
      <c r="D340" t="inlineStr">
        <is>
          <t>Media file</t>
        </is>
      </c>
      <c r="E340" t="inlineStr">
        <is>
          <t>player #1:BTBR\training\c4f3.mp4</t>
        </is>
      </c>
      <c r="F340" t="n">
        <v>-9.532999999999999</v>
      </c>
      <c r="G340" t="n">
        <v>586.066</v>
      </c>
      <c r="H340" t="n">
        <v>623.2329999999999</v>
      </c>
      <c r="I340" t="n">
        <v>30</v>
      </c>
      <c r="J340" t="inlineStr">
        <is>
          <t>BTBR</t>
        </is>
      </c>
      <c r="K340" t="inlineStr">
        <is>
          <t xml:space="preserve"> Female</t>
        </is>
      </c>
      <c r="L340" t="inlineStr">
        <is>
          <t>No focal subject</t>
        </is>
      </c>
      <c r="M340" t="n">
        <v>58.397</v>
      </c>
      <c r="N340" t="inlineStr">
        <is>
          <t>Explore_F</t>
        </is>
      </c>
      <c r="O340" t="inlineStr">
        <is>
          <t>Familiar</t>
        </is>
      </c>
      <c r="P340" t="inlineStr">
        <is>
          <t>STATE</t>
        </is>
      </c>
      <c r="Q340" t="n">
        <v>162.2</v>
      </c>
      <c r="R340" t="n">
        <v>163.033</v>
      </c>
      <c r="S340" t="n">
        <v>0.833</v>
      </c>
      <c r="T340" t="inlineStr">
        <is>
          <t>BTBR\training\c4f3.mp4</t>
        </is>
      </c>
      <c r="U340" t="n">
        <v>4866</v>
      </c>
      <c r="V340" t="n">
        <v>4892</v>
      </c>
      <c r="W340" t="n">
        <v/>
      </c>
      <c r="X340" t="n">
        <v/>
      </c>
      <c r="Y340" t="n">
        <v/>
      </c>
      <c r="Z340" t="n">
        <v/>
      </c>
      <c r="AA340">
        <f>SUMIFS($S$2:S340,$A$2:A340,A340,$N$2:N340,"Explore*")</f>
        <v/>
      </c>
      <c r="AB340">
        <f>IF(AND(LEFT(N340,7)="Explore",(AA340-IF(LEFT(N340,7)="Explore",S340,0))&lt;10),"SI","NO")</f>
        <v/>
      </c>
    </row>
    <row r="341">
      <c r="A341" t="inlineStr">
        <is>
          <t>c4f3_training</t>
        </is>
      </c>
      <c r="B341" t="inlineStr">
        <is>
          <t>2026-02-19 15:46:12.451</t>
        </is>
      </c>
      <c r="C341" t="n">
        <v/>
      </c>
      <c r="D341" t="inlineStr">
        <is>
          <t>Media file</t>
        </is>
      </c>
      <c r="E341" t="inlineStr">
        <is>
          <t>player #1:BTBR\training\c4f3.mp4</t>
        </is>
      </c>
      <c r="F341" t="n">
        <v>-9.532999999999999</v>
      </c>
      <c r="G341" t="n">
        <v>586.066</v>
      </c>
      <c r="H341" t="n">
        <v>623.2329999999999</v>
      </c>
      <c r="I341" t="n">
        <v>30</v>
      </c>
      <c r="J341" t="inlineStr">
        <is>
          <t>BTBR</t>
        </is>
      </c>
      <c r="K341" t="inlineStr">
        <is>
          <t xml:space="preserve"> Female</t>
        </is>
      </c>
      <c r="L341" t="inlineStr">
        <is>
          <t>No focal subject</t>
        </is>
      </c>
      <c r="M341" t="n">
        <v>58.397</v>
      </c>
      <c r="N341" t="inlineStr">
        <is>
          <t>Explore_F2</t>
        </is>
      </c>
      <c r="O341" t="inlineStr">
        <is>
          <t>Second familiar</t>
        </is>
      </c>
      <c r="P341" t="inlineStr">
        <is>
          <t>STATE</t>
        </is>
      </c>
      <c r="Q341" t="n">
        <v>165.4</v>
      </c>
      <c r="R341" t="n">
        <v>167.267</v>
      </c>
      <c r="S341" t="n">
        <v>1.867</v>
      </c>
      <c r="T341" t="inlineStr">
        <is>
          <t>BTBR\training\c4f3.mp4</t>
        </is>
      </c>
      <c r="U341" t="n">
        <v>4962</v>
      </c>
      <c r="V341" t="n">
        <v>5018</v>
      </c>
      <c r="W341" t="n">
        <v/>
      </c>
      <c r="X341" t="n">
        <v/>
      </c>
      <c r="Y341" t="n">
        <v/>
      </c>
      <c r="Z341" t="n">
        <v/>
      </c>
      <c r="AA341">
        <f>SUMIFS($S$2:S341,$A$2:A341,A341,$N$2:N341,"Explore*")</f>
        <v/>
      </c>
      <c r="AB341">
        <f>IF(AND(LEFT(N341,7)="Explore",(AA341-IF(LEFT(N341,7)="Explore",S341,0))&lt;10),"SI","NO")</f>
        <v/>
      </c>
    </row>
    <row r="342">
      <c r="A342" t="inlineStr">
        <is>
          <t>c4f3_training</t>
        </is>
      </c>
      <c r="B342" t="inlineStr">
        <is>
          <t>2026-02-19 15:46:12.451</t>
        </is>
      </c>
      <c r="C342" t="n">
        <v/>
      </c>
      <c r="D342" t="inlineStr">
        <is>
          <t>Media file</t>
        </is>
      </c>
      <c r="E342" t="inlineStr">
        <is>
          <t>player #1:BTBR\training\c4f3.mp4</t>
        </is>
      </c>
      <c r="F342" t="n">
        <v>-9.532999999999999</v>
      </c>
      <c r="G342" t="n">
        <v>586.066</v>
      </c>
      <c r="H342" t="n">
        <v>623.2329999999999</v>
      </c>
      <c r="I342" t="n">
        <v>30</v>
      </c>
      <c r="J342" t="inlineStr">
        <is>
          <t>BTBR</t>
        </is>
      </c>
      <c r="K342" t="inlineStr">
        <is>
          <t xml:space="preserve"> Female</t>
        </is>
      </c>
      <c r="L342" t="inlineStr">
        <is>
          <t>No focal subject</t>
        </is>
      </c>
      <c r="M342" t="n">
        <v>58.397</v>
      </c>
      <c r="N342" t="inlineStr">
        <is>
          <t>Explore_F</t>
        </is>
      </c>
      <c r="O342" t="inlineStr">
        <is>
          <t>Familiar</t>
        </is>
      </c>
      <c r="P342" t="inlineStr">
        <is>
          <t>STATE</t>
        </is>
      </c>
      <c r="Q342" t="n">
        <v>169.133</v>
      </c>
      <c r="R342" t="n">
        <v>172</v>
      </c>
      <c r="S342" t="n">
        <v>2.867</v>
      </c>
      <c r="T342" t="inlineStr">
        <is>
          <t>BTBR\training\c4f3.mp4</t>
        </is>
      </c>
      <c r="U342" t="n">
        <v>5074</v>
      </c>
      <c r="V342" t="n">
        <v>5162</v>
      </c>
      <c r="W342" t="n">
        <v/>
      </c>
      <c r="X342" t="n">
        <v/>
      </c>
      <c r="Y342" t="n">
        <v/>
      </c>
      <c r="Z342" t="n">
        <v/>
      </c>
      <c r="AA342">
        <f>SUMIFS($S$2:S342,$A$2:A342,A342,$N$2:N342,"Explore*")</f>
        <v/>
      </c>
      <c r="AB342">
        <f>IF(AND(LEFT(N342,7)="Explore",(AA342-IF(LEFT(N342,7)="Explore",S342,0))&lt;10),"SI","NO")</f>
        <v/>
      </c>
    </row>
    <row r="343">
      <c r="A343" t="inlineStr">
        <is>
          <t>c4f3_training</t>
        </is>
      </c>
      <c r="B343" t="inlineStr">
        <is>
          <t>2026-02-19 15:46:12.451</t>
        </is>
      </c>
      <c r="C343" t="n">
        <v/>
      </c>
      <c r="D343" t="inlineStr">
        <is>
          <t>Media file</t>
        </is>
      </c>
      <c r="E343" t="inlineStr">
        <is>
          <t>player #1:BTBR\training\c4f3.mp4</t>
        </is>
      </c>
      <c r="F343" t="n">
        <v>-9.532999999999999</v>
      </c>
      <c r="G343" t="n">
        <v>586.066</v>
      </c>
      <c r="H343" t="n">
        <v>623.2329999999999</v>
      </c>
      <c r="I343" t="n">
        <v>30</v>
      </c>
      <c r="J343" t="inlineStr">
        <is>
          <t>BTBR</t>
        </is>
      </c>
      <c r="K343" t="inlineStr">
        <is>
          <t xml:space="preserve"> Female</t>
        </is>
      </c>
      <c r="L343" t="inlineStr">
        <is>
          <t>No focal subject</t>
        </is>
      </c>
      <c r="M343" t="n">
        <v>58.397</v>
      </c>
      <c r="N343" t="inlineStr">
        <is>
          <t>Explore_F2</t>
        </is>
      </c>
      <c r="O343" t="inlineStr">
        <is>
          <t>Second familiar</t>
        </is>
      </c>
      <c r="P343" t="inlineStr">
        <is>
          <t>STATE</t>
        </is>
      </c>
      <c r="Q343" t="n">
        <v>204.9</v>
      </c>
      <c r="R343" t="n">
        <v>205.967</v>
      </c>
      <c r="S343" t="n">
        <v>1.067</v>
      </c>
      <c r="T343" t="inlineStr">
        <is>
          <t>BTBR\training\c4f3.mp4</t>
        </is>
      </c>
      <c r="U343" t="n">
        <v>6147</v>
      </c>
      <c r="V343" t="n">
        <v>6179</v>
      </c>
      <c r="W343" t="n">
        <v/>
      </c>
      <c r="X343" t="n">
        <v/>
      </c>
      <c r="Y343" t="n">
        <v/>
      </c>
      <c r="Z343" t="n">
        <v/>
      </c>
      <c r="AA343">
        <f>SUMIFS($S$2:S343,$A$2:A343,A343,$N$2:N343,"Explore*")</f>
        <v/>
      </c>
      <c r="AB343">
        <f>IF(AND(LEFT(N343,7)="Explore",(AA343-IF(LEFT(N343,7)="Explore",S343,0))&lt;10),"SI","NO")</f>
        <v/>
      </c>
    </row>
    <row r="344">
      <c r="A344" t="inlineStr">
        <is>
          <t>c4f3_training</t>
        </is>
      </c>
      <c r="B344" t="inlineStr">
        <is>
          <t>2026-02-19 15:46:12.451</t>
        </is>
      </c>
      <c r="C344" t="n">
        <v/>
      </c>
      <c r="D344" t="inlineStr">
        <is>
          <t>Media file</t>
        </is>
      </c>
      <c r="E344" t="inlineStr">
        <is>
          <t>player #1:BTBR\training\c4f3.mp4</t>
        </is>
      </c>
      <c r="F344" t="n">
        <v>-9.532999999999999</v>
      </c>
      <c r="G344" t="n">
        <v>586.066</v>
      </c>
      <c r="H344" t="n">
        <v>623.2329999999999</v>
      </c>
      <c r="I344" t="n">
        <v>30</v>
      </c>
      <c r="J344" t="inlineStr">
        <is>
          <t>BTBR</t>
        </is>
      </c>
      <c r="K344" t="inlineStr">
        <is>
          <t xml:space="preserve"> Female</t>
        </is>
      </c>
      <c r="L344" t="inlineStr">
        <is>
          <t>No focal subject</t>
        </is>
      </c>
      <c r="M344" t="n">
        <v>58.397</v>
      </c>
      <c r="N344" t="inlineStr">
        <is>
          <t>Explore_F</t>
        </is>
      </c>
      <c r="O344" t="inlineStr">
        <is>
          <t>Familiar</t>
        </is>
      </c>
      <c r="P344" t="inlineStr">
        <is>
          <t>STATE</t>
        </is>
      </c>
      <c r="Q344" t="n">
        <v>222.567</v>
      </c>
      <c r="R344" t="n">
        <v>223.6</v>
      </c>
      <c r="S344" t="n">
        <v>1.033</v>
      </c>
      <c r="T344" t="inlineStr">
        <is>
          <t>BTBR\training\c4f3.mp4</t>
        </is>
      </c>
      <c r="U344" t="n">
        <v>6677</v>
      </c>
      <c r="V344" t="n">
        <v>6708</v>
      </c>
      <c r="W344" t="n">
        <v/>
      </c>
      <c r="X344" t="n">
        <v/>
      </c>
      <c r="Y344" t="n">
        <v/>
      </c>
      <c r="Z344" t="n">
        <v/>
      </c>
      <c r="AA344">
        <f>SUMIFS($S$2:S344,$A$2:A344,A344,$N$2:N344,"Explore*")</f>
        <v/>
      </c>
      <c r="AB344">
        <f>IF(AND(LEFT(N344,7)="Explore",(AA344-IF(LEFT(N344,7)="Explore",S344,0))&lt;10),"SI","NO")</f>
        <v/>
      </c>
    </row>
    <row r="345">
      <c r="A345" t="inlineStr">
        <is>
          <t>c4f3_training</t>
        </is>
      </c>
      <c r="B345" t="inlineStr">
        <is>
          <t>2026-02-19 15:46:12.451</t>
        </is>
      </c>
      <c r="C345" t="n">
        <v/>
      </c>
      <c r="D345" t="inlineStr">
        <is>
          <t>Media file</t>
        </is>
      </c>
      <c r="E345" t="inlineStr">
        <is>
          <t>player #1:BTBR\training\c4f3.mp4</t>
        </is>
      </c>
      <c r="F345" t="n">
        <v>-9.532999999999999</v>
      </c>
      <c r="G345" t="n">
        <v>586.066</v>
      </c>
      <c r="H345" t="n">
        <v>623.2329999999999</v>
      </c>
      <c r="I345" t="n">
        <v>30</v>
      </c>
      <c r="J345" t="inlineStr">
        <is>
          <t>BTBR</t>
        </is>
      </c>
      <c r="K345" t="inlineStr">
        <is>
          <t xml:space="preserve"> Female</t>
        </is>
      </c>
      <c r="L345" t="inlineStr">
        <is>
          <t>No focal subject</t>
        </is>
      </c>
      <c r="M345" t="n">
        <v>58.397</v>
      </c>
      <c r="N345" t="inlineStr">
        <is>
          <t>Explore_F</t>
        </is>
      </c>
      <c r="O345" t="inlineStr">
        <is>
          <t>Familiar</t>
        </is>
      </c>
      <c r="P345" t="inlineStr">
        <is>
          <t>STATE</t>
        </is>
      </c>
      <c r="Q345" t="n">
        <v>246.567</v>
      </c>
      <c r="R345" t="n">
        <v>247.7</v>
      </c>
      <c r="S345" t="n">
        <v>1.133</v>
      </c>
      <c r="T345" t="inlineStr">
        <is>
          <t>BTBR\training\c4f3.mp4</t>
        </is>
      </c>
      <c r="U345" t="n">
        <v>7397</v>
      </c>
      <c r="V345" t="n">
        <v>7431</v>
      </c>
      <c r="W345" t="n">
        <v/>
      </c>
      <c r="X345" t="n">
        <v/>
      </c>
      <c r="Y345" t="n">
        <v/>
      </c>
      <c r="Z345" t="n">
        <v/>
      </c>
      <c r="AA345">
        <f>SUMIFS($S$2:S345,$A$2:A345,A345,$N$2:N345,"Explore*")</f>
        <v/>
      </c>
      <c r="AB345">
        <f>IF(AND(LEFT(N345,7)="Explore",(AA345-IF(LEFT(N345,7)="Explore",S345,0))&lt;10),"SI","NO")</f>
        <v/>
      </c>
    </row>
    <row r="346">
      <c r="A346" t="inlineStr">
        <is>
          <t>c4f3_training</t>
        </is>
      </c>
      <c r="B346" t="inlineStr">
        <is>
          <t>2026-02-19 15:46:12.451</t>
        </is>
      </c>
      <c r="C346" t="n">
        <v/>
      </c>
      <c r="D346" t="inlineStr">
        <is>
          <t>Media file</t>
        </is>
      </c>
      <c r="E346" t="inlineStr">
        <is>
          <t>player #1:BTBR\training\c4f3.mp4</t>
        </is>
      </c>
      <c r="F346" t="n">
        <v>-9.532999999999999</v>
      </c>
      <c r="G346" t="n">
        <v>586.066</v>
      </c>
      <c r="H346" t="n">
        <v>623.2329999999999</v>
      </c>
      <c r="I346" t="n">
        <v>30</v>
      </c>
      <c r="J346" t="inlineStr">
        <is>
          <t>BTBR</t>
        </is>
      </c>
      <c r="K346" t="inlineStr">
        <is>
          <t xml:space="preserve"> Female</t>
        </is>
      </c>
      <c r="L346" t="inlineStr">
        <is>
          <t>No focal subject</t>
        </is>
      </c>
      <c r="M346" t="n">
        <v>58.397</v>
      </c>
      <c r="N346" t="inlineStr">
        <is>
          <t>Explore_F</t>
        </is>
      </c>
      <c r="O346" t="inlineStr">
        <is>
          <t>Familiar</t>
        </is>
      </c>
      <c r="P346" t="inlineStr">
        <is>
          <t>STATE</t>
        </is>
      </c>
      <c r="Q346" t="n">
        <v>261.2</v>
      </c>
      <c r="R346" t="n">
        <v>262.233</v>
      </c>
      <c r="S346" t="n">
        <v>1.033</v>
      </c>
      <c r="T346" t="inlineStr">
        <is>
          <t>BTBR\training\c4f3.mp4</t>
        </is>
      </c>
      <c r="U346" t="n">
        <v>7836</v>
      </c>
      <c r="V346" t="n">
        <v>7867</v>
      </c>
      <c r="W346" t="n">
        <v/>
      </c>
      <c r="X346" t="n">
        <v/>
      </c>
      <c r="Y346" t="n">
        <v/>
      </c>
      <c r="Z346" t="n">
        <v/>
      </c>
      <c r="AA346">
        <f>SUMIFS($S$2:S346,$A$2:A346,A346,$N$2:N346,"Explore*")</f>
        <v/>
      </c>
      <c r="AB346">
        <f>IF(AND(LEFT(N346,7)="Explore",(AA346-IF(LEFT(N346,7)="Explore",S346,0))&lt;10),"SI","NO")</f>
        <v/>
      </c>
    </row>
    <row r="347">
      <c r="A347" t="inlineStr">
        <is>
          <t>c4f3_training</t>
        </is>
      </c>
      <c r="B347" t="inlineStr">
        <is>
          <t>2026-02-19 15:46:12.451</t>
        </is>
      </c>
      <c r="C347" t="n">
        <v/>
      </c>
      <c r="D347" t="inlineStr">
        <is>
          <t>Media file</t>
        </is>
      </c>
      <c r="E347" t="inlineStr">
        <is>
          <t>player #1:BTBR\training\c4f3.mp4</t>
        </is>
      </c>
      <c r="F347" t="n">
        <v>-9.532999999999999</v>
      </c>
      <c r="G347" t="n">
        <v>586.066</v>
      </c>
      <c r="H347" t="n">
        <v>623.2329999999999</v>
      </c>
      <c r="I347" t="n">
        <v>30</v>
      </c>
      <c r="J347" t="inlineStr">
        <is>
          <t>BTBR</t>
        </is>
      </c>
      <c r="K347" t="inlineStr">
        <is>
          <t xml:space="preserve"> Female</t>
        </is>
      </c>
      <c r="L347" t="inlineStr">
        <is>
          <t>No focal subject</t>
        </is>
      </c>
      <c r="M347" t="n">
        <v>58.397</v>
      </c>
      <c r="N347" t="inlineStr">
        <is>
          <t>Explore_F2</t>
        </is>
      </c>
      <c r="O347" t="inlineStr">
        <is>
          <t>Second familiar</t>
        </is>
      </c>
      <c r="P347" t="inlineStr">
        <is>
          <t>STATE</t>
        </is>
      </c>
      <c r="Q347" t="n">
        <v>293.9</v>
      </c>
      <c r="R347" t="n">
        <v>295.733</v>
      </c>
      <c r="S347" t="n">
        <v>1.833</v>
      </c>
      <c r="T347" t="inlineStr">
        <is>
          <t>BTBR\training\c4f3.mp4</t>
        </is>
      </c>
      <c r="U347" t="n">
        <v>8817</v>
      </c>
      <c r="V347" t="n">
        <v>8872</v>
      </c>
      <c r="W347" t="n">
        <v/>
      </c>
      <c r="X347" t="n">
        <v/>
      </c>
      <c r="Y347" t="n">
        <v/>
      </c>
      <c r="Z347" t="n">
        <v/>
      </c>
      <c r="AA347">
        <f>SUMIFS($S$2:S347,$A$2:A347,A347,$N$2:N347,"Explore*")</f>
        <v/>
      </c>
      <c r="AB347">
        <f>IF(AND(LEFT(N347,7)="Explore",(AA347-IF(LEFT(N347,7)="Explore",S347,0))&lt;10),"SI","NO")</f>
        <v/>
      </c>
    </row>
    <row r="348">
      <c r="A348" t="inlineStr">
        <is>
          <t>c4f3_training</t>
        </is>
      </c>
      <c r="B348" t="inlineStr">
        <is>
          <t>2026-02-19 15:46:12.451</t>
        </is>
      </c>
      <c r="C348" t="n">
        <v/>
      </c>
      <c r="D348" t="inlineStr">
        <is>
          <t>Media file</t>
        </is>
      </c>
      <c r="E348" t="inlineStr">
        <is>
          <t>player #1:BTBR\training\c4f3.mp4</t>
        </is>
      </c>
      <c r="F348" t="n">
        <v>-9.532999999999999</v>
      </c>
      <c r="G348" t="n">
        <v>586.066</v>
      </c>
      <c r="H348" t="n">
        <v>623.2329999999999</v>
      </c>
      <c r="I348" t="n">
        <v>30</v>
      </c>
      <c r="J348" t="inlineStr">
        <is>
          <t>BTBR</t>
        </is>
      </c>
      <c r="K348" t="inlineStr">
        <is>
          <t xml:space="preserve"> Female</t>
        </is>
      </c>
      <c r="L348" t="inlineStr">
        <is>
          <t>No focal subject</t>
        </is>
      </c>
      <c r="M348" t="n">
        <v>58.397</v>
      </c>
      <c r="N348" t="inlineStr">
        <is>
          <t>Explore_F2</t>
        </is>
      </c>
      <c r="O348" t="inlineStr">
        <is>
          <t>Second familiar</t>
        </is>
      </c>
      <c r="P348" t="inlineStr">
        <is>
          <t>STATE</t>
        </is>
      </c>
      <c r="Q348" t="n">
        <v>313.067</v>
      </c>
      <c r="R348" t="n">
        <v>314.167</v>
      </c>
      <c r="S348" t="n">
        <v>1.1</v>
      </c>
      <c r="T348" t="inlineStr">
        <is>
          <t>BTBR\training\c4f3.mp4</t>
        </is>
      </c>
      <c r="U348" t="n">
        <v>9678</v>
      </c>
      <c r="V348" t="n">
        <v>9711</v>
      </c>
      <c r="W348" t="n">
        <v/>
      </c>
      <c r="X348" t="n">
        <v/>
      </c>
      <c r="Y348" t="n">
        <v/>
      </c>
      <c r="Z348" t="n">
        <v/>
      </c>
      <c r="AA348">
        <f>SUMIFS($S$2:S348,$A$2:A348,A348,$N$2:N348,"Explore*")</f>
        <v/>
      </c>
      <c r="AB348">
        <f>IF(AND(LEFT(N348,7)="Explore",(AA348-IF(LEFT(N348,7)="Explore",S348,0))&lt;10),"SI","NO")</f>
        <v/>
      </c>
    </row>
    <row r="349">
      <c r="A349" t="inlineStr">
        <is>
          <t>c4f3_training</t>
        </is>
      </c>
      <c r="B349" t="inlineStr">
        <is>
          <t>2026-02-19 15:46:12.451</t>
        </is>
      </c>
      <c r="C349" t="n">
        <v/>
      </c>
      <c r="D349" t="inlineStr">
        <is>
          <t>Media file</t>
        </is>
      </c>
      <c r="E349" t="inlineStr">
        <is>
          <t>player #1:BTBR\training\c4f3.mp4</t>
        </is>
      </c>
      <c r="F349" t="n">
        <v>-9.532999999999999</v>
      </c>
      <c r="G349" t="n">
        <v>586.066</v>
      </c>
      <c r="H349" t="n">
        <v>623.2329999999999</v>
      </c>
      <c r="I349" t="n">
        <v>30</v>
      </c>
      <c r="J349" t="inlineStr">
        <is>
          <t>BTBR</t>
        </is>
      </c>
      <c r="K349" t="inlineStr">
        <is>
          <t xml:space="preserve"> Female</t>
        </is>
      </c>
      <c r="L349" t="inlineStr">
        <is>
          <t>No focal subject</t>
        </is>
      </c>
      <c r="M349" t="n">
        <v>58.397</v>
      </c>
      <c r="N349" t="inlineStr">
        <is>
          <t>Explore_F</t>
        </is>
      </c>
      <c r="O349" t="inlineStr">
        <is>
          <t>Familiar</t>
        </is>
      </c>
      <c r="P349" t="inlineStr">
        <is>
          <t>STATE</t>
        </is>
      </c>
      <c r="Q349" t="n">
        <v>322.867</v>
      </c>
      <c r="R349" t="n">
        <v>323.333</v>
      </c>
      <c r="S349" t="n">
        <v>0.466</v>
      </c>
      <c r="T349" t="inlineStr">
        <is>
          <t>BTBR\training\c4f3.mp4</t>
        </is>
      </c>
      <c r="U349" t="n">
        <v>9972</v>
      </c>
      <c r="V349" t="n">
        <v>9986</v>
      </c>
      <c r="W349" t="n">
        <v/>
      </c>
      <c r="X349" t="n">
        <v/>
      </c>
      <c r="Y349" t="n">
        <v/>
      </c>
      <c r="Z349" t="n">
        <v/>
      </c>
      <c r="AA349">
        <f>SUMIFS($S$2:S349,$A$2:A349,A349,$N$2:N349,"Explore*")</f>
        <v/>
      </c>
      <c r="AB349">
        <f>IF(AND(LEFT(N349,7)="Explore",(AA349-IF(LEFT(N349,7)="Explore",S349,0))&lt;10),"SI","NO")</f>
        <v/>
      </c>
    </row>
    <row r="350">
      <c r="A350" t="inlineStr">
        <is>
          <t>c4f3_training</t>
        </is>
      </c>
      <c r="B350" t="inlineStr">
        <is>
          <t>2026-02-19 15:46:12.451</t>
        </is>
      </c>
      <c r="C350" t="n">
        <v/>
      </c>
      <c r="D350" t="inlineStr">
        <is>
          <t>Media file</t>
        </is>
      </c>
      <c r="E350" t="inlineStr">
        <is>
          <t>player #1:BTBR\training\c4f3.mp4</t>
        </is>
      </c>
      <c r="F350" t="n">
        <v>-9.532999999999999</v>
      </c>
      <c r="G350" t="n">
        <v>586.066</v>
      </c>
      <c r="H350" t="n">
        <v>623.2329999999999</v>
      </c>
      <c r="I350" t="n">
        <v>30</v>
      </c>
      <c r="J350" t="inlineStr">
        <is>
          <t>BTBR</t>
        </is>
      </c>
      <c r="K350" t="inlineStr">
        <is>
          <t xml:space="preserve"> Female</t>
        </is>
      </c>
      <c r="L350" t="inlineStr">
        <is>
          <t>No focal subject</t>
        </is>
      </c>
      <c r="M350" t="n">
        <v>58.397</v>
      </c>
      <c r="N350" t="inlineStr">
        <is>
          <t>Explore_F</t>
        </is>
      </c>
      <c r="O350" t="inlineStr">
        <is>
          <t>Familiar</t>
        </is>
      </c>
      <c r="P350" t="inlineStr">
        <is>
          <t>STATE</t>
        </is>
      </c>
      <c r="Q350" t="n">
        <v>334.667</v>
      </c>
      <c r="R350" t="n">
        <v>335.733</v>
      </c>
      <c r="S350" t="n">
        <v>1.066</v>
      </c>
      <c r="T350" t="inlineStr">
        <is>
          <t>BTBR\training\c4f3.mp4</t>
        </is>
      </c>
      <c r="U350" t="n">
        <v>10326</v>
      </c>
      <c r="V350" t="n">
        <v>10358</v>
      </c>
      <c r="W350" t="n">
        <v/>
      </c>
      <c r="X350" t="n">
        <v/>
      </c>
      <c r="Y350" t="n">
        <v/>
      </c>
      <c r="Z350" t="n">
        <v/>
      </c>
      <c r="AA350">
        <f>SUMIFS($S$2:S350,$A$2:A350,A350,$N$2:N350,"Explore*")</f>
        <v/>
      </c>
      <c r="AB350">
        <f>IF(AND(LEFT(N350,7)="Explore",(AA350-IF(LEFT(N350,7)="Explore",S350,0))&lt;10),"SI","NO")</f>
        <v/>
      </c>
    </row>
    <row r="351">
      <c r="A351" t="inlineStr">
        <is>
          <t>c4f3_training</t>
        </is>
      </c>
      <c r="B351" t="inlineStr">
        <is>
          <t>2026-02-19 15:46:12.451</t>
        </is>
      </c>
      <c r="C351" t="n">
        <v/>
      </c>
      <c r="D351" t="inlineStr">
        <is>
          <t>Media file</t>
        </is>
      </c>
      <c r="E351" t="inlineStr">
        <is>
          <t>player #1:BTBR\training\c4f3.mp4</t>
        </is>
      </c>
      <c r="F351" t="n">
        <v>-9.532999999999999</v>
      </c>
      <c r="G351" t="n">
        <v>586.066</v>
      </c>
      <c r="H351" t="n">
        <v>623.2329999999999</v>
      </c>
      <c r="I351" t="n">
        <v>30</v>
      </c>
      <c r="J351" t="inlineStr">
        <is>
          <t>BTBR</t>
        </is>
      </c>
      <c r="K351" t="inlineStr">
        <is>
          <t xml:space="preserve"> Female</t>
        </is>
      </c>
      <c r="L351" t="inlineStr">
        <is>
          <t>No focal subject</t>
        </is>
      </c>
      <c r="M351" t="n">
        <v>58.397</v>
      </c>
      <c r="N351" t="inlineStr">
        <is>
          <t>Explore_F2</t>
        </is>
      </c>
      <c r="O351" t="inlineStr">
        <is>
          <t>Second familiar</t>
        </is>
      </c>
      <c r="P351" t="inlineStr">
        <is>
          <t>STATE</t>
        </is>
      </c>
      <c r="Q351" t="n">
        <v>337.833</v>
      </c>
      <c r="R351" t="n">
        <v>338.333</v>
      </c>
      <c r="S351" t="n">
        <v>0.5</v>
      </c>
      <c r="T351" t="inlineStr">
        <is>
          <t>BTBR\training\c4f3.mp4</t>
        </is>
      </c>
      <c r="U351" t="n">
        <v>10420</v>
      </c>
      <c r="V351" t="n">
        <v>10435</v>
      </c>
      <c r="W351" t="n">
        <v/>
      </c>
      <c r="X351" t="n">
        <v/>
      </c>
      <c r="Y351" t="n">
        <v/>
      </c>
      <c r="Z351" t="n">
        <v/>
      </c>
      <c r="AA351">
        <f>SUMIFS($S$2:S351,$A$2:A351,A351,$N$2:N351,"Explore*")</f>
        <v/>
      </c>
      <c r="AB351">
        <f>IF(AND(LEFT(N351,7)="Explore",(AA351-IF(LEFT(N351,7)="Explore",S351,0))&lt;10),"SI","NO")</f>
        <v/>
      </c>
    </row>
    <row r="352">
      <c r="A352" t="inlineStr">
        <is>
          <t>c4f3_training</t>
        </is>
      </c>
      <c r="B352" t="inlineStr">
        <is>
          <t>2026-02-19 15:46:12.451</t>
        </is>
      </c>
      <c r="C352" t="n">
        <v/>
      </c>
      <c r="D352" t="inlineStr">
        <is>
          <t>Media file</t>
        </is>
      </c>
      <c r="E352" t="inlineStr">
        <is>
          <t>player #1:BTBR\training\c4f3.mp4</t>
        </is>
      </c>
      <c r="F352" t="n">
        <v>-9.532999999999999</v>
      </c>
      <c r="G352" t="n">
        <v>586.066</v>
      </c>
      <c r="H352" t="n">
        <v>623.2329999999999</v>
      </c>
      <c r="I352" t="n">
        <v>30</v>
      </c>
      <c r="J352" t="inlineStr">
        <is>
          <t>BTBR</t>
        </is>
      </c>
      <c r="K352" t="inlineStr">
        <is>
          <t xml:space="preserve"> Female</t>
        </is>
      </c>
      <c r="L352" t="inlineStr">
        <is>
          <t>No focal subject</t>
        </is>
      </c>
      <c r="M352" t="n">
        <v>58.397</v>
      </c>
      <c r="N352" t="inlineStr">
        <is>
          <t>Explore_F</t>
        </is>
      </c>
      <c r="O352" t="inlineStr">
        <is>
          <t>Familiar</t>
        </is>
      </c>
      <c r="P352" t="inlineStr">
        <is>
          <t>STATE</t>
        </is>
      </c>
      <c r="Q352" t="n">
        <v>340.6</v>
      </c>
      <c r="R352" t="n">
        <v>341.4</v>
      </c>
      <c r="S352" t="n">
        <v>0.8</v>
      </c>
      <c r="T352" t="inlineStr">
        <is>
          <t>BTBR\training\c4f3.mp4</t>
        </is>
      </c>
      <c r="U352" t="n">
        <v>10503</v>
      </c>
      <c r="V352" t="n">
        <v>10527</v>
      </c>
      <c r="W352" t="n">
        <v/>
      </c>
      <c r="X352" t="n">
        <v/>
      </c>
      <c r="Y352" t="n">
        <v/>
      </c>
      <c r="Z352" t="n">
        <v/>
      </c>
      <c r="AA352">
        <f>SUMIFS($S$2:S352,$A$2:A352,A352,$N$2:N352,"Explore*")</f>
        <v/>
      </c>
      <c r="AB352">
        <f>IF(AND(LEFT(N352,7)="Explore",(AA352-IF(LEFT(N352,7)="Explore",S352,0))&lt;10),"SI","NO")</f>
        <v/>
      </c>
    </row>
    <row r="353">
      <c r="A353" t="inlineStr">
        <is>
          <t>c4f3_training</t>
        </is>
      </c>
      <c r="B353" t="inlineStr">
        <is>
          <t>2026-02-19 15:46:12.451</t>
        </is>
      </c>
      <c r="C353" t="n">
        <v/>
      </c>
      <c r="D353" t="inlineStr">
        <is>
          <t>Media file</t>
        </is>
      </c>
      <c r="E353" t="inlineStr">
        <is>
          <t>player #1:BTBR\training\c4f3.mp4</t>
        </is>
      </c>
      <c r="F353" t="n">
        <v>-9.532999999999999</v>
      </c>
      <c r="G353" t="n">
        <v>586.066</v>
      </c>
      <c r="H353" t="n">
        <v>623.2329999999999</v>
      </c>
      <c r="I353" t="n">
        <v>30</v>
      </c>
      <c r="J353" t="inlineStr">
        <is>
          <t>BTBR</t>
        </is>
      </c>
      <c r="K353" t="inlineStr">
        <is>
          <t xml:space="preserve"> Female</t>
        </is>
      </c>
      <c r="L353" t="inlineStr">
        <is>
          <t>No focal subject</t>
        </is>
      </c>
      <c r="M353" t="n">
        <v>58.397</v>
      </c>
      <c r="N353" t="inlineStr">
        <is>
          <t>Explore_F2</t>
        </is>
      </c>
      <c r="O353" t="inlineStr">
        <is>
          <t>Second familiar</t>
        </is>
      </c>
      <c r="P353" t="inlineStr">
        <is>
          <t>STATE</t>
        </is>
      </c>
      <c r="Q353" t="n">
        <v>376.767</v>
      </c>
      <c r="R353" t="n">
        <v>377.433</v>
      </c>
      <c r="S353" t="n">
        <v>0.666</v>
      </c>
      <c r="T353" t="inlineStr">
        <is>
          <t>BTBR\training\c4f3.mp4</t>
        </is>
      </c>
      <c r="U353" t="n">
        <v>11588</v>
      </c>
      <c r="V353" t="n">
        <v>11608</v>
      </c>
      <c r="W353" t="n">
        <v/>
      </c>
      <c r="X353" t="n">
        <v/>
      </c>
      <c r="Y353" t="n">
        <v/>
      </c>
      <c r="Z353" t="n">
        <v/>
      </c>
      <c r="AA353">
        <f>SUMIFS($S$2:S353,$A$2:A353,A353,$N$2:N353,"Explore*")</f>
        <v/>
      </c>
      <c r="AB353">
        <f>IF(AND(LEFT(N353,7)="Explore",(AA353-IF(LEFT(N353,7)="Explore",S353,0))&lt;10),"SI","NO")</f>
        <v/>
      </c>
    </row>
    <row r="354">
      <c r="A354" t="inlineStr">
        <is>
          <t>c4f3_training</t>
        </is>
      </c>
      <c r="B354" t="inlineStr">
        <is>
          <t>2026-02-19 15:46:12.451</t>
        </is>
      </c>
      <c r="C354" t="n">
        <v/>
      </c>
      <c r="D354" t="inlineStr">
        <is>
          <t>Media file</t>
        </is>
      </c>
      <c r="E354" t="inlineStr">
        <is>
          <t>player #1:BTBR\training\c4f3.mp4</t>
        </is>
      </c>
      <c r="F354" t="n">
        <v>-9.532999999999999</v>
      </c>
      <c r="G354" t="n">
        <v>586.066</v>
      </c>
      <c r="H354" t="n">
        <v>623.2329999999999</v>
      </c>
      <c r="I354" t="n">
        <v>30</v>
      </c>
      <c r="J354" t="inlineStr">
        <is>
          <t>BTBR</t>
        </is>
      </c>
      <c r="K354" t="inlineStr">
        <is>
          <t xml:space="preserve"> Female</t>
        </is>
      </c>
      <c r="L354" t="inlineStr">
        <is>
          <t>No focal subject</t>
        </is>
      </c>
      <c r="M354" t="n">
        <v>58.397</v>
      </c>
      <c r="N354" t="inlineStr">
        <is>
          <t>Explore_F</t>
        </is>
      </c>
      <c r="O354" t="inlineStr">
        <is>
          <t>Familiar</t>
        </is>
      </c>
      <c r="P354" t="inlineStr">
        <is>
          <t>STATE</t>
        </is>
      </c>
      <c r="Q354" t="n">
        <v>379.367</v>
      </c>
      <c r="R354" t="n">
        <v>379.967</v>
      </c>
      <c r="S354" t="n">
        <v>0.6</v>
      </c>
      <c r="T354" t="inlineStr">
        <is>
          <t>BTBR\training\c4f3.mp4</t>
        </is>
      </c>
      <c r="U354" t="n">
        <v>11666</v>
      </c>
      <c r="V354" t="n">
        <v>11684</v>
      </c>
      <c r="W354" t="n">
        <v/>
      </c>
      <c r="X354" t="n">
        <v/>
      </c>
      <c r="Y354" t="n">
        <v/>
      </c>
      <c r="Z354" t="n">
        <v/>
      </c>
      <c r="AA354">
        <f>SUMIFS($S$2:S354,$A$2:A354,A354,$N$2:N354,"Explore*")</f>
        <v/>
      </c>
      <c r="AB354">
        <f>IF(AND(LEFT(N354,7)="Explore",(AA354-IF(LEFT(N354,7)="Explore",S354,0))&lt;10),"SI","NO")</f>
        <v/>
      </c>
    </row>
    <row r="355">
      <c r="A355" t="inlineStr">
        <is>
          <t>c4f3_training</t>
        </is>
      </c>
      <c r="B355" t="inlineStr">
        <is>
          <t>2026-02-19 15:46:12.451</t>
        </is>
      </c>
      <c r="C355" t="n">
        <v/>
      </c>
      <c r="D355" t="inlineStr">
        <is>
          <t>Media file</t>
        </is>
      </c>
      <c r="E355" t="inlineStr">
        <is>
          <t>player #1:BTBR\training\c4f3.mp4</t>
        </is>
      </c>
      <c r="F355" t="n">
        <v>-9.532999999999999</v>
      </c>
      <c r="G355" t="n">
        <v>586.066</v>
      </c>
      <c r="H355" t="n">
        <v>623.2329999999999</v>
      </c>
      <c r="I355" t="n">
        <v>30</v>
      </c>
      <c r="J355" t="inlineStr">
        <is>
          <t>BTBR</t>
        </is>
      </c>
      <c r="K355" t="inlineStr">
        <is>
          <t xml:space="preserve"> Female</t>
        </is>
      </c>
      <c r="L355" t="inlineStr">
        <is>
          <t>No focal subject</t>
        </is>
      </c>
      <c r="M355" t="n">
        <v>58.397</v>
      </c>
      <c r="N355" t="inlineStr">
        <is>
          <t>Explore_F</t>
        </is>
      </c>
      <c r="O355" t="inlineStr">
        <is>
          <t>Familiar</t>
        </is>
      </c>
      <c r="P355" t="inlineStr">
        <is>
          <t>STATE</t>
        </is>
      </c>
      <c r="Q355" t="n">
        <v>406.267</v>
      </c>
      <c r="R355" t="n">
        <v>406.867</v>
      </c>
      <c r="S355" t="n">
        <v>0.6</v>
      </c>
      <c r="T355" t="inlineStr">
        <is>
          <t>BTBR\training\c4f3.mp4</t>
        </is>
      </c>
      <c r="U355" t="n">
        <v>12473</v>
      </c>
      <c r="V355" t="n">
        <v>12491</v>
      </c>
      <c r="W355" t="n">
        <v/>
      </c>
      <c r="X355" t="n">
        <v/>
      </c>
      <c r="Y355" t="n">
        <v/>
      </c>
      <c r="Z355" t="n">
        <v/>
      </c>
      <c r="AA355">
        <f>SUMIFS($S$2:S355,$A$2:A355,A355,$N$2:N355,"Explore*")</f>
        <v/>
      </c>
      <c r="AB355">
        <f>IF(AND(LEFT(N355,7)="Explore",(AA355-IF(LEFT(N355,7)="Explore",S355,0))&lt;10),"SI","NO")</f>
        <v/>
      </c>
    </row>
    <row r="356">
      <c r="A356" t="inlineStr">
        <is>
          <t>c4f3_training</t>
        </is>
      </c>
      <c r="B356" t="inlineStr">
        <is>
          <t>2026-02-19 15:46:12.451</t>
        </is>
      </c>
      <c r="C356" t="n">
        <v/>
      </c>
      <c r="D356" t="inlineStr">
        <is>
          <t>Media file</t>
        </is>
      </c>
      <c r="E356" t="inlineStr">
        <is>
          <t>player #1:BTBR\training\c4f3.mp4</t>
        </is>
      </c>
      <c r="F356" t="n">
        <v>-9.532999999999999</v>
      </c>
      <c r="G356" t="n">
        <v>586.066</v>
      </c>
      <c r="H356" t="n">
        <v>623.2329999999999</v>
      </c>
      <c r="I356" t="n">
        <v>30</v>
      </c>
      <c r="J356" t="inlineStr">
        <is>
          <t>BTBR</t>
        </is>
      </c>
      <c r="K356" t="inlineStr">
        <is>
          <t xml:space="preserve"> Female</t>
        </is>
      </c>
      <c r="L356" t="inlineStr">
        <is>
          <t>No focal subject</t>
        </is>
      </c>
      <c r="M356" t="n">
        <v>58.397</v>
      </c>
      <c r="N356" t="inlineStr">
        <is>
          <t>Explore_F</t>
        </is>
      </c>
      <c r="O356" t="inlineStr">
        <is>
          <t>Familiar</t>
        </is>
      </c>
      <c r="P356" t="inlineStr">
        <is>
          <t>STATE</t>
        </is>
      </c>
      <c r="Q356" t="n">
        <v>409.167</v>
      </c>
      <c r="R356" t="n">
        <v>410.067</v>
      </c>
      <c r="S356" t="n">
        <v>0.9</v>
      </c>
      <c r="T356" t="inlineStr">
        <is>
          <t>BTBR\training\c4f3.mp4</t>
        </is>
      </c>
      <c r="U356" t="n">
        <v>12560</v>
      </c>
      <c r="V356" t="n">
        <v>12587</v>
      </c>
      <c r="W356" t="n">
        <v/>
      </c>
      <c r="X356" t="n">
        <v/>
      </c>
      <c r="Y356" t="n">
        <v/>
      </c>
      <c r="Z356" t="n">
        <v/>
      </c>
      <c r="AA356">
        <f>SUMIFS($S$2:S356,$A$2:A356,A356,$N$2:N356,"Explore*")</f>
        <v/>
      </c>
      <c r="AB356">
        <f>IF(AND(LEFT(N356,7)="Explore",(AA356-IF(LEFT(N356,7)="Explore",S356,0))&lt;10),"SI","NO")</f>
        <v/>
      </c>
    </row>
    <row r="357">
      <c r="A357" t="inlineStr">
        <is>
          <t>c4f3_training</t>
        </is>
      </c>
      <c r="B357" t="inlineStr">
        <is>
          <t>2026-02-19 15:46:12.451</t>
        </is>
      </c>
      <c r="C357" t="n">
        <v/>
      </c>
      <c r="D357" t="inlineStr">
        <is>
          <t>Media file</t>
        </is>
      </c>
      <c r="E357" t="inlineStr">
        <is>
          <t>player #1:BTBR\training\c4f3.mp4</t>
        </is>
      </c>
      <c r="F357" t="n">
        <v>-9.532999999999999</v>
      </c>
      <c r="G357" t="n">
        <v>586.066</v>
      </c>
      <c r="H357" t="n">
        <v>623.2329999999999</v>
      </c>
      <c r="I357" t="n">
        <v>30</v>
      </c>
      <c r="J357" t="inlineStr">
        <is>
          <t>BTBR</t>
        </is>
      </c>
      <c r="K357" t="inlineStr">
        <is>
          <t xml:space="preserve"> Female</t>
        </is>
      </c>
      <c r="L357" t="inlineStr">
        <is>
          <t>No focal subject</t>
        </is>
      </c>
      <c r="M357" t="n">
        <v>58.397</v>
      </c>
      <c r="N357" t="inlineStr">
        <is>
          <t>Explore_F2</t>
        </is>
      </c>
      <c r="O357" t="inlineStr">
        <is>
          <t>Second familiar</t>
        </is>
      </c>
      <c r="P357" t="inlineStr">
        <is>
          <t>STATE</t>
        </is>
      </c>
      <c r="Q357" t="n">
        <v>411.167</v>
      </c>
      <c r="R357" t="n">
        <v>412.167</v>
      </c>
      <c r="S357" t="n">
        <v>1</v>
      </c>
      <c r="T357" t="inlineStr">
        <is>
          <t>BTBR\training\c4f3.mp4</t>
        </is>
      </c>
      <c r="U357" t="n">
        <v>12620</v>
      </c>
      <c r="V357" t="n">
        <v>12650</v>
      </c>
      <c r="W357" t="n">
        <v/>
      </c>
      <c r="X357" t="n">
        <v/>
      </c>
      <c r="Y357" t="n">
        <v/>
      </c>
      <c r="Z357" t="n">
        <v/>
      </c>
      <c r="AA357">
        <f>SUMIFS($S$2:S357,$A$2:A357,A357,$N$2:N357,"Explore*")</f>
        <v/>
      </c>
      <c r="AB357">
        <f>IF(AND(LEFT(N357,7)="Explore",(AA357-IF(LEFT(N357,7)="Explore",S357,0))&lt;10),"SI","NO")</f>
        <v/>
      </c>
    </row>
    <row r="358">
      <c r="A358" t="inlineStr">
        <is>
          <t>c4f3_training</t>
        </is>
      </c>
      <c r="B358" t="inlineStr">
        <is>
          <t>2026-02-19 15:46:12.451</t>
        </is>
      </c>
      <c r="C358" t="n">
        <v/>
      </c>
      <c r="D358" t="inlineStr">
        <is>
          <t>Media file</t>
        </is>
      </c>
      <c r="E358" t="inlineStr">
        <is>
          <t>player #1:BTBR\training\c4f3.mp4</t>
        </is>
      </c>
      <c r="F358" t="n">
        <v>-9.532999999999999</v>
      </c>
      <c r="G358" t="n">
        <v>586.066</v>
      </c>
      <c r="H358" t="n">
        <v>623.2329999999999</v>
      </c>
      <c r="I358" t="n">
        <v>30</v>
      </c>
      <c r="J358" t="inlineStr">
        <is>
          <t>BTBR</t>
        </is>
      </c>
      <c r="K358" t="inlineStr">
        <is>
          <t xml:space="preserve"> Female</t>
        </is>
      </c>
      <c r="L358" t="inlineStr">
        <is>
          <t>No focal subject</t>
        </is>
      </c>
      <c r="M358" t="n">
        <v>58.397</v>
      </c>
      <c r="N358" t="inlineStr">
        <is>
          <t>Explore_F2</t>
        </is>
      </c>
      <c r="O358" t="inlineStr">
        <is>
          <t>Second familiar</t>
        </is>
      </c>
      <c r="P358" t="inlineStr">
        <is>
          <t>STATE</t>
        </is>
      </c>
      <c r="Q358" t="n">
        <v>432.6</v>
      </c>
      <c r="R358" t="n">
        <v>433.633</v>
      </c>
      <c r="S358" t="n">
        <v>1.033</v>
      </c>
      <c r="T358" t="inlineStr">
        <is>
          <t>BTBR\training\c4f3.mp4</t>
        </is>
      </c>
      <c r="U358" t="n">
        <v>13263</v>
      </c>
      <c r="V358" t="n">
        <v>13294</v>
      </c>
      <c r="W358" t="n">
        <v/>
      </c>
      <c r="X358" t="n">
        <v/>
      </c>
      <c r="Y358" t="n">
        <v/>
      </c>
      <c r="Z358" t="n">
        <v/>
      </c>
      <c r="AA358">
        <f>SUMIFS($S$2:S358,$A$2:A358,A358,$N$2:N358,"Explore*")</f>
        <v/>
      </c>
      <c r="AB358">
        <f>IF(AND(LEFT(N358,7)="Explore",(AA358-IF(LEFT(N358,7)="Explore",S358,0))&lt;10),"SI","NO")</f>
        <v/>
      </c>
    </row>
    <row r="359">
      <c r="A359" t="inlineStr">
        <is>
          <t>c4f3_training</t>
        </is>
      </c>
      <c r="B359" t="inlineStr">
        <is>
          <t>2026-02-19 15:46:12.451</t>
        </is>
      </c>
      <c r="C359" t="n">
        <v/>
      </c>
      <c r="D359" t="inlineStr">
        <is>
          <t>Media file</t>
        </is>
      </c>
      <c r="E359" t="inlineStr">
        <is>
          <t>player #1:BTBR\training\c4f3.mp4</t>
        </is>
      </c>
      <c r="F359" t="n">
        <v>-9.532999999999999</v>
      </c>
      <c r="G359" t="n">
        <v>586.066</v>
      </c>
      <c r="H359" t="n">
        <v>623.2329999999999</v>
      </c>
      <c r="I359" t="n">
        <v>30</v>
      </c>
      <c r="J359" t="inlineStr">
        <is>
          <t>BTBR</t>
        </is>
      </c>
      <c r="K359" t="inlineStr">
        <is>
          <t xml:space="preserve"> Female</t>
        </is>
      </c>
      <c r="L359" t="inlineStr">
        <is>
          <t>No focal subject</t>
        </is>
      </c>
      <c r="M359" t="n">
        <v>58.397</v>
      </c>
      <c r="N359" t="inlineStr">
        <is>
          <t>Explore_F</t>
        </is>
      </c>
      <c r="O359" t="inlineStr">
        <is>
          <t>Familiar</t>
        </is>
      </c>
      <c r="P359" t="inlineStr">
        <is>
          <t>STATE</t>
        </is>
      </c>
      <c r="Q359" t="n">
        <v>438.467</v>
      </c>
      <c r="R359" t="n">
        <v>439</v>
      </c>
      <c r="S359" t="n">
        <v>0.533</v>
      </c>
      <c r="T359" t="inlineStr">
        <is>
          <t>BTBR\training\c4f3.mp4</t>
        </is>
      </c>
      <c r="U359" t="n">
        <v>13439</v>
      </c>
      <c r="V359" t="n">
        <v>13455</v>
      </c>
      <c r="W359" t="n">
        <v/>
      </c>
      <c r="X359" t="n">
        <v/>
      </c>
      <c r="Y359" t="n">
        <v/>
      </c>
      <c r="Z359" t="n">
        <v/>
      </c>
      <c r="AA359">
        <f>SUMIFS($S$2:S359,$A$2:A359,A359,$N$2:N359,"Explore*")</f>
        <v/>
      </c>
      <c r="AB359">
        <f>IF(AND(LEFT(N359,7)="Explore",(AA359-IF(LEFT(N359,7)="Explore",S359,0))&lt;10),"SI","NO")</f>
        <v/>
      </c>
    </row>
    <row r="360">
      <c r="A360" t="inlineStr">
        <is>
          <t>c4f3_training</t>
        </is>
      </c>
      <c r="B360" t="inlineStr">
        <is>
          <t>2026-02-19 15:46:12.451</t>
        </is>
      </c>
      <c r="C360" t="n">
        <v/>
      </c>
      <c r="D360" t="inlineStr">
        <is>
          <t>Media file</t>
        </is>
      </c>
      <c r="E360" t="inlineStr">
        <is>
          <t>player #1:BTBR\training\c4f3.mp4</t>
        </is>
      </c>
      <c r="F360" t="n">
        <v>-9.532999999999999</v>
      </c>
      <c r="G360" t="n">
        <v>586.066</v>
      </c>
      <c r="H360" t="n">
        <v>623.2329999999999</v>
      </c>
      <c r="I360" t="n">
        <v>30</v>
      </c>
      <c r="J360" t="inlineStr">
        <is>
          <t>BTBR</t>
        </is>
      </c>
      <c r="K360" t="inlineStr">
        <is>
          <t xml:space="preserve"> Female</t>
        </is>
      </c>
      <c r="L360" t="inlineStr">
        <is>
          <t>No focal subject</t>
        </is>
      </c>
      <c r="M360" t="n">
        <v>58.397</v>
      </c>
      <c r="N360" t="inlineStr">
        <is>
          <t>Explore_F2</t>
        </is>
      </c>
      <c r="O360" t="inlineStr">
        <is>
          <t>Second familiar</t>
        </is>
      </c>
      <c r="P360" t="inlineStr">
        <is>
          <t>STATE</t>
        </is>
      </c>
      <c r="Q360" t="n">
        <v>477.467</v>
      </c>
      <c r="R360" t="n">
        <v>478.033</v>
      </c>
      <c r="S360" t="n">
        <v>0.5659999999999999</v>
      </c>
      <c r="T360" t="inlineStr">
        <is>
          <t>BTBR\training\c4f3.mp4</t>
        </is>
      </c>
      <c r="U360" t="n">
        <v>14609</v>
      </c>
      <c r="V360" t="n">
        <v>14626</v>
      </c>
      <c r="W360" t="n">
        <v/>
      </c>
      <c r="X360" t="n">
        <v/>
      </c>
      <c r="Y360" t="n">
        <v/>
      </c>
      <c r="Z360" t="n">
        <v/>
      </c>
      <c r="AA360">
        <f>SUMIFS($S$2:S360,$A$2:A360,A360,$N$2:N360,"Explore*")</f>
        <v/>
      </c>
      <c r="AB360">
        <f>IF(AND(LEFT(N360,7)="Explore",(AA360-IF(LEFT(N360,7)="Explore",S360,0))&lt;10),"SI","NO")</f>
        <v/>
      </c>
    </row>
    <row r="361">
      <c r="A361" t="inlineStr">
        <is>
          <t>c4f3_training</t>
        </is>
      </c>
      <c r="B361" t="inlineStr">
        <is>
          <t>2026-02-19 15:46:12.451</t>
        </is>
      </c>
      <c r="C361" t="n">
        <v/>
      </c>
      <c r="D361" t="inlineStr">
        <is>
          <t>Media file</t>
        </is>
      </c>
      <c r="E361" t="inlineStr">
        <is>
          <t>player #1:BTBR\training\c4f3.mp4</t>
        </is>
      </c>
      <c r="F361" t="n">
        <v>-9.532999999999999</v>
      </c>
      <c r="G361" t="n">
        <v>586.066</v>
      </c>
      <c r="H361" t="n">
        <v>623.2329999999999</v>
      </c>
      <c r="I361" t="n">
        <v>30</v>
      </c>
      <c r="J361" t="inlineStr">
        <is>
          <t>BTBR</t>
        </is>
      </c>
      <c r="K361" t="inlineStr">
        <is>
          <t xml:space="preserve"> Female</t>
        </is>
      </c>
      <c r="L361" t="inlineStr">
        <is>
          <t>No focal subject</t>
        </is>
      </c>
      <c r="M361" t="n">
        <v>58.397</v>
      </c>
      <c r="N361" t="inlineStr">
        <is>
          <t>Explore_F</t>
        </is>
      </c>
      <c r="O361" t="inlineStr">
        <is>
          <t>Familiar</t>
        </is>
      </c>
      <c r="P361" t="inlineStr">
        <is>
          <t>STATE</t>
        </is>
      </c>
      <c r="Q361" t="n">
        <v>490.233</v>
      </c>
      <c r="R361" t="n">
        <v>490.8</v>
      </c>
      <c r="S361" t="n">
        <v>0.5669999999999999</v>
      </c>
      <c r="T361" t="inlineStr">
        <is>
          <t>BTBR\training\c4f3.mp4</t>
        </is>
      </c>
      <c r="U361" t="n">
        <v>14992</v>
      </c>
      <c r="V361" t="n">
        <v>15009</v>
      </c>
      <c r="W361" t="n">
        <v/>
      </c>
      <c r="X361" t="n">
        <v/>
      </c>
      <c r="Y361" t="n">
        <v/>
      </c>
      <c r="Z361" t="n">
        <v/>
      </c>
      <c r="AA361">
        <f>SUMIFS($S$2:S361,$A$2:A361,A361,$N$2:N361,"Explore*")</f>
        <v/>
      </c>
      <c r="AB361">
        <f>IF(AND(LEFT(N361,7)="Explore",(AA361-IF(LEFT(N361,7)="Explore",S361,0))&lt;10),"SI","NO")</f>
        <v/>
      </c>
    </row>
    <row r="362">
      <c r="A362" t="inlineStr">
        <is>
          <t>c4f3_training</t>
        </is>
      </c>
      <c r="B362" t="inlineStr">
        <is>
          <t>2026-02-19 15:46:12.451</t>
        </is>
      </c>
      <c r="C362" t="n">
        <v/>
      </c>
      <c r="D362" t="inlineStr">
        <is>
          <t>Media file</t>
        </is>
      </c>
      <c r="E362" t="inlineStr">
        <is>
          <t>player #1:BTBR\training\c4f3.mp4</t>
        </is>
      </c>
      <c r="F362" t="n">
        <v>-9.532999999999999</v>
      </c>
      <c r="G362" t="n">
        <v>586.066</v>
      </c>
      <c r="H362" t="n">
        <v>623.2329999999999</v>
      </c>
      <c r="I362" t="n">
        <v>30</v>
      </c>
      <c r="J362" t="inlineStr">
        <is>
          <t>BTBR</t>
        </is>
      </c>
      <c r="K362" t="inlineStr">
        <is>
          <t xml:space="preserve"> Female</t>
        </is>
      </c>
      <c r="L362" t="inlineStr">
        <is>
          <t>No focal subject</t>
        </is>
      </c>
      <c r="M362" t="n">
        <v>58.397</v>
      </c>
      <c r="N362" t="inlineStr">
        <is>
          <t>Explore_F2</t>
        </is>
      </c>
      <c r="O362" t="inlineStr">
        <is>
          <t>Second familiar</t>
        </is>
      </c>
      <c r="P362" t="inlineStr">
        <is>
          <t>STATE</t>
        </is>
      </c>
      <c r="Q362" t="n">
        <v>501.033</v>
      </c>
      <c r="R362" t="n">
        <v>501.666</v>
      </c>
      <c r="S362" t="n">
        <v>0.633</v>
      </c>
      <c r="T362" t="inlineStr">
        <is>
          <t>BTBR\training\c4f3.mp4</t>
        </is>
      </c>
      <c r="U362" t="n">
        <v>15316</v>
      </c>
      <c r="V362" t="n">
        <v>15335</v>
      </c>
      <c r="W362" t="n">
        <v/>
      </c>
      <c r="X362" t="n">
        <v/>
      </c>
      <c r="Y362" t="n">
        <v/>
      </c>
      <c r="Z362" t="n">
        <v/>
      </c>
      <c r="AA362">
        <f>SUMIFS($S$2:S362,$A$2:A362,A362,$N$2:N362,"Explore*")</f>
        <v/>
      </c>
      <c r="AB362">
        <f>IF(AND(LEFT(N362,7)="Explore",(AA362-IF(LEFT(N362,7)="Explore",S362,0))&lt;10),"SI","NO")</f>
        <v/>
      </c>
    </row>
    <row r="363">
      <c r="A363" t="inlineStr">
        <is>
          <t>c4f3_training</t>
        </is>
      </c>
      <c r="B363" t="inlineStr">
        <is>
          <t>2026-02-19 15:46:12.451</t>
        </is>
      </c>
      <c r="C363" t="n">
        <v/>
      </c>
      <c r="D363" t="inlineStr">
        <is>
          <t>Media file</t>
        </is>
      </c>
      <c r="E363" t="inlineStr">
        <is>
          <t>player #1:BTBR\training\c4f3.mp4</t>
        </is>
      </c>
      <c r="F363" t="n">
        <v>-9.532999999999999</v>
      </c>
      <c r="G363" t="n">
        <v>586.066</v>
      </c>
      <c r="H363" t="n">
        <v>623.2329999999999</v>
      </c>
      <c r="I363" t="n">
        <v>30</v>
      </c>
      <c r="J363" t="inlineStr">
        <is>
          <t>BTBR</t>
        </is>
      </c>
      <c r="K363" t="inlineStr">
        <is>
          <t xml:space="preserve"> Female</t>
        </is>
      </c>
      <c r="L363" t="inlineStr">
        <is>
          <t>No focal subject</t>
        </is>
      </c>
      <c r="M363" t="n">
        <v>58.397</v>
      </c>
      <c r="N363" t="inlineStr">
        <is>
          <t>Explore_F</t>
        </is>
      </c>
      <c r="O363" t="inlineStr">
        <is>
          <t>Familiar</t>
        </is>
      </c>
      <c r="P363" t="inlineStr">
        <is>
          <t>STATE</t>
        </is>
      </c>
      <c r="Q363" t="n">
        <v>509.366</v>
      </c>
      <c r="R363" t="n">
        <v>509.833</v>
      </c>
      <c r="S363" t="n">
        <v>0.467</v>
      </c>
      <c r="T363" t="inlineStr">
        <is>
          <t>BTBR\training\c4f3.mp4</t>
        </is>
      </c>
      <c r="U363" t="n">
        <v>15566</v>
      </c>
      <c r="V363" t="n">
        <v>15580</v>
      </c>
      <c r="W363" t="n">
        <v/>
      </c>
      <c r="X363" t="n">
        <v/>
      </c>
      <c r="Y363" t="n">
        <v/>
      </c>
      <c r="Z363" t="n">
        <v/>
      </c>
      <c r="AA363">
        <f>SUMIFS($S$2:S363,$A$2:A363,A363,$N$2:N363,"Explore*")</f>
        <v/>
      </c>
      <c r="AB363">
        <f>IF(AND(LEFT(N363,7)="Explore",(AA363-IF(LEFT(N363,7)="Explore",S363,0))&lt;10),"SI","NO")</f>
        <v/>
      </c>
    </row>
    <row r="364">
      <c r="A364" t="inlineStr">
        <is>
          <t>c4f3_training</t>
        </is>
      </c>
      <c r="B364" t="inlineStr">
        <is>
          <t>2026-02-19 15:46:12.451</t>
        </is>
      </c>
      <c r="C364" t="n">
        <v/>
      </c>
      <c r="D364" t="inlineStr">
        <is>
          <t>Media file</t>
        </is>
      </c>
      <c r="E364" t="inlineStr">
        <is>
          <t>player #1:BTBR\training\c4f3.mp4</t>
        </is>
      </c>
      <c r="F364" t="n">
        <v>-9.532999999999999</v>
      </c>
      <c r="G364" t="n">
        <v>586.066</v>
      </c>
      <c r="H364" t="n">
        <v>623.2329999999999</v>
      </c>
      <c r="I364" t="n">
        <v>30</v>
      </c>
      <c r="J364" t="inlineStr">
        <is>
          <t>BTBR</t>
        </is>
      </c>
      <c r="K364" t="inlineStr">
        <is>
          <t xml:space="preserve"> Female</t>
        </is>
      </c>
      <c r="L364" t="inlineStr">
        <is>
          <t>No focal subject</t>
        </is>
      </c>
      <c r="M364" t="n">
        <v>58.397</v>
      </c>
      <c r="N364" t="inlineStr">
        <is>
          <t>Explore_F</t>
        </is>
      </c>
      <c r="O364" t="inlineStr">
        <is>
          <t>Familiar</t>
        </is>
      </c>
      <c r="P364" t="inlineStr">
        <is>
          <t>STATE</t>
        </is>
      </c>
      <c r="Q364" t="n">
        <v>554.6</v>
      </c>
      <c r="R364" t="n">
        <v>555.266</v>
      </c>
      <c r="S364" t="n">
        <v>0.666</v>
      </c>
      <c r="T364" t="inlineStr">
        <is>
          <t>BTBR\training\c4f3.mp4</t>
        </is>
      </c>
      <c r="U364" t="n">
        <v>16923</v>
      </c>
      <c r="V364" t="n">
        <v>16943</v>
      </c>
      <c r="W364" t="n">
        <v/>
      </c>
      <c r="X364" t="n">
        <v/>
      </c>
      <c r="Y364" t="n">
        <v/>
      </c>
      <c r="Z364" t="n">
        <v/>
      </c>
      <c r="AA364">
        <f>SUMIFS($S$2:S364,$A$2:A364,A364,$N$2:N364,"Explore*")</f>
        <v/>
      </c>
      <c r="AB364">
        <f>IF(AND(LEFT(N364,7)="Explore",(AA364-IF(LEFT(N364,7)="Explore",S364,0))&lt;10),"SI","NO")</f>
        <v/>
      </c>
    </row>
    <row r="365">
      <c r="A365" t="inlineStr">
        <is>
          <t>c4f3_training</t>
        </is>
      </c>
      <c r="B365" t="inlineStr">
        <is>
          <t>2026-02-19 15:46:12.451</t>
        </is>
      </c>
      <c r="C365" t="n">
        <v/>
      </c>
      <c r="D365" t="inlineStr">
        <is>
          <t>Media file</t>
        </is>
      </c>
      <c r="E365" t="inlineStr">
        <is>
          <t>player #1:BTBR\training\c4f3.mp4</t>
        </is>
      </c>
      <c r="F365" t="n">
        <v>-9.532999999999999</v>
      </c>
      <c r="G365" t="n">
        <v>586.066</v>
      </c>
      <c r="H365" t="n">
        <v>623.2329999999999</v>
      </c>
      <c r="I365" t="n">
        <v>30</v>
      </c>
      <c r="J365" t="inlineStr">
        <is>
          <t>BTBR</t>
        </is>
      </c>
      <c r="K365" t="inlineStr">
        <is>
          <t xml:space="preserve"> Female</t>
        </is>
      </c>
      <c r="L365" t="inlineStr">
        <is>
          <t>No focal subject</t>
        </is>
      </c>
      <c r="M365" t="n">
        <v>58.397</v>
      </c>
      <c r="N365" t="inlineStr">
        <is>
          <t>Explore_F2</t>
        </is>
      </c>
      <c r="O365" t="inlineStr">
        <is>
          <t>Second familiar</t>
        </is>
      </c>
      <c r="P365" t="inlineStr">
        <is>
          <t>STATE</t>
        </is>
      </c>
      <c r="Q365" t="n">
        <v>563.333</v>
      </c>
      <c r="R365" t="n">
        <v>563.833</v>
      </c>
      <c r="S365" t="n">
        <v>0.5</v>
      </c>
      <c r="T365" t="inlineStr">
        <is>
          <t>BTBR\training\c4f3.mp4</t>
        </is>
      </c>
      <c r="U365" t="n">
        <v>17185</v>
      </c>
      <c r="V365" t="n">
        <v>17200</v>
      </c>
      <c r="W365" t="n">
        <v/>
      </c>
      <c r="X365" t="n">
        <v/>
      </c>
      <c r="Y365" t="n">
        <v/>
      </c>
      <c r="Z365" t="n">
        <v/>
      </c>
      <c r="AA365">
        <f>SUMIFS($S$2:S365,$A$2:A365,A365,$N$2:N365,"Explore*")</f>
        <v/>
      </c>
      <c r="AB365">
        <f>IF(AND(LEFT(N365,7)="Explore",(AA365-IF(LEFT(N365,7)="Explore",S365,0))&lt;10),"SI","NO")</f>
        <v/>
      </c>
    </row>
    <row r="366">
      <c r="A366" t="inlineStr">
        <is>
          <t>c4f3_training</t>
        </is>
      </c>
      <c r="B366" t="inlineStr">
        <is>
          <t>2026-02-19 15:46:12.451</t>
        </is>
      </c>
      <c r="C366" t="n">
        <v/>
      </c>
      <c r="D366" t="inlineStr">
        <is>
          <t>Media file</t>
        </is>
      </c>
      <c r="E366" t="inlineStr">
        <is>
          <t>player #1:BTBR\training\c4f3.mp4</t>
        </is>
      </c>
      <c r="F366" t="n">
        <v>-9.532999999999999</v>
      </c>
      <c r="G366" t="n">
        <v>586.066</v>
      </c>
      <c r="H366" t="n">
        <v>623.2329999999999</v>
      </c>
      <c r="I366" t="n">
        <v>30</v>
      </c>
      <c r="J366" t="inlineStr">
        <is>
          <t>BTBR</t>
        </is>
      </c>
      <c r="K366" t="inlineStr">
        <is>
          <t xml:space="preserve"> Female</t>
        </is>
      </c>
      <c r="L366" t="inlineStr">
        <is>
          <t>No focal subject</t>
        </is>
      </c>
      <c r="M366" t="n">
        <v>58.397</v>
      </c>
      <c r="N366" t="inlineStr">
        <is>
          <t>Explore_F</t>
        </is>
      </c>
      <c r="O366" t="inlineStr">
        <is>
          <t>Familiar</t>
        </is>
      </c>
      <c r="P366" t="inlineStr">
        <is>
          <t>STATE</t>
        </is>
      </c>
      <c r="Q366" t="n">
        <v>579</v>
      </c>
      <c r="R366" t="n">
        <v>580.633</v>
      </c>
      <c r="S366" t="n">
        <v>1.633</v>
      </c>
      <c r="T366" t="inlineStr">
        <is>
          <t>BTBR\training\c4f3.mp4</t>
        </is>
      </c>
      <c r="U366" t="n">
        <v>17655</v>
      </c>
      <c r="V366" t="n">
        <v>17704</v>
      </c>
      <c r="W366" t="n">
        <v/>
      </c>
      <c r="X366" t="n">
        <v/>
      </c>
      <c r="Y366" t="n">
        <v/>
      </c>
      <c r="Z366" t="n">
        <v/>
      </c>
      <c r="AA366">
        <f>SUMIFS($S$2:S366,$A$2:A366,A366,$N$2:N366,"Explore*")</f>
        <v/>
      </c>
      <c r="AB366">
        <f>IF(AND(LEFT(N366,7)="Explore",(AA366-IF(LEFT(N366,7)="Explore",S366,0))&lt;10),"SI","NO")</f>
        <v/>
      </c>
    </row>
    <row r="367">
      <c r="A367" t="inlineStr">
        <is>
          <t>c4f3_training</t>
        </is>
      </c>
      <c r="B367" t="inlineStr">
        <is>
          <t>2026-02-19 15:46:12.451</t>
        </is>
      </c>
      <c r="C367" t="n">
        <v/>
      </c>
      <c r="D367" t="inlineStr">
        <is>
          <t>Media file</t>
        </is>
      </c>
      <c r="E367" t="inlineStr">
        <is>
          <t>player #1:BTBR\training\c4f3.mp4</t>
        </is>
      </c>
      <c r="F367" t="n">
        <v>-9.532999999999999</v>
      </c>
      <c r="G367" t="n">
        <v>586.066</v>
      </c>
      <c r="H367" t="n">
        <v>623.2329999999999</v>
      </c>
      <c r="I367" t="n">
        <v>30</v>
      </c>
      <c r="J367" t="inlineStr">
        <is>
          <t>BTBR</t>
        </is>
      </c>
      <c r="K367" t="inlineStr">
        <is>
          <t xml:space="preserve"> Female</t>
        </is>
      </c>
      <c r="L367" t="inlineStr">
        <is>
          <t>No focal subject</t>
        </is>
      </c>
      <c r="M367" t="n">
        <v>58.397</v>
      </c>
      <c r="N367" t="inlineStr">
        <is>
          <t>Explore_F</t>
        </is>
      </c>
      <c r="O367" t="inlineStr">
        <is>
          <t>Familiar</t>
        </is>
      </c>
      <c r="P367" t="inlineStr">
        <is>
          <t>STATE</t>
        </is>
      </c>
      <c r="Q367" t="n">
        <v>581.366</v>
      </c>
      <c r="R367" t="n">
        <v>586.4</v>
      </c>
      <c r="S367" t="n">
        <v>5.034</v>
      </c>
      <c r="T367" t="inlineStr">
        <is>
          <t>BTBR\training\c4f3.mp4</t>
        </is>
      </c>
      <c r="U367" t="n">
        <v>17726</v>
      </c>
      <c r="V367" t="n">
        <v>17877</v>
      </c>
      <c r="W367" t="n">
        <v/>
      </c>
      <c r="X367" t="n">
        <v/>
      </c>
      <c r="Y367" t="n">
        <v/>
      </c>
      <c r="Z367" t="n">
        <v/>
      </c>
      <c r="AA367">
        <f>SUMIFS($S$2:S367,$A$2:A367,A367,$N$2:N367,"Explore*")</f>
        <v/>
      </c>
      <c r="AB367">
        <f>IF(AND(LEFT(N367,7)="Explore",(AA367-IF(LEFT(N367,7)="Explore",S367,0))&lt;10),"SI","NO")</f>
        <v/>
      </c>
    </row>
    <row r="368">
      <c r="A368" t="inlineStr">
        <is>
          <t>c4f3_training</t>
        </is>
      </c>
      <c r="B368" t="inlineStr">
        <is>
          <t>2026-02-19 15:46:12.451</t>
        </is>
      </c>
      <c r="C368" t="n">
        <v/>
      </c>
      <c r="D368" t="inlineStr">
        <is>
          <t>Media file</t>
        </is>
      </c>
      <c r="E368" t="inlineStr">
        <is>
          <t>player #1:BTBR\training\c4f3.mp4</t>
        </is>
      </c>
      <c r="F368" t="n">
        <v>-9.532999999999999</v>
      </c>
      <c r="G368" t="n">
        <v>586.066</v>
      </c>
      <c r="H368" t="n">
        <v>623.2329999999999</v>
      </c>
      <c r="I368" t="n">
        <v>30</v>
      </c>
      <c r="J368" t="inlineStr">
        <is>
          <t>BTBR</t>
        </is>
      </c>
      <c r="K368" t="inlineStr">
        <is>
          <t xml:space="preserve"> Female</t>
        </is>
      </c>
      <c r="L368" t="inlineStr">
        <is>
          <t>No focal subject</t>
        </is>
      </c>
      <c r="M368" t="n">
        <v>58.397</v>
      </c>
      <c r="N368" t="inlineStr">
        <is>
          <t>Explore_F2</t>
        </is>
      </c>
      <c r="O368" t="inlineStr">
        <is>
          <t>Second familiar</t>
        </is>
      </c>
      <c r="P368" t="inlineStr">
        <is>
          <t>STATE</t>
        </is>
      </c>
      <c r="Q368" t="n">
        <v>589.366</v>
      </c>
      <c r="R368" t="n">
        <v>590.133</v>
      </c>
      <c r="S368" t="n">
        <v>0.767</v>
      </c>
      <c r="T368" t="inlineStr">
        <is>
          <t>BTBR\training\c4f3.mp4</t>
        </is>
      </c>
      <c r="U368" t="n">
        <v>17966</v>
      </c>
      <c r="V368" t="n">
        <v>17989</v>
      </c>
      <c r="W368" t="n">
        <v/>
      </c>
      <c r="X368" t="n">
        <v/>
      </c>
      <c r="Y368" t="n">
        <v/>
      </c>
      <c r="Z368" t="n">
        <v/>
      </c>
      <c r="AA368">
        <f>SUMIFS($S$2:S368,$A$2:A368,A368,$N$2:N368,"Explore*")</f>
        <v/>
      </c>
      <c r="AB368">
        <f>IF(AND(LEFT(N368,7)="Explore",(AA368-IF(LEFT(N368,7)="Explore",S368,0))&lt;10),"SI","NO")</f>
        <v/>
      </c>
    </row>
    <row r="369">
      <c r="A369" t="inlineStr">
        <is>
          <t>c5m1_training</t>
        </is>
      </c>
      <c r="B369" t="inlineStr">
        <is>
          <t>2026-02-19 15:58:52.725</t>
        </is>
      </c>
      <c r="C369" t="n">
        <v/>
      </c>
      <c r="D369" t="inlineStr">
        <is>
          <t>Media file</t>
        </is>
      </c>
      <c r="E369" t="inlineStr">
        <is>
          <t>player #1:BTBR\training\c5m1.mp4</t>
        </is>
      </c>
      <c r="F369" t="n">
        <v>-11.1</v>
      </c>
      <c r="G369" t="n">
        <v>593.7</v>
      </c>
      <c r="H369" t="n">
        <v>726.833</v>
      </c>
      <c r="I369" t="n">
        <v>30</v>
      </c>
      <c r="J369" t="inlineStr">
        <is>
          <t>BTBR</t>
        </is>
      </c>
      <c r="K369" t="inlineStr">
        <is>
          <t>Male</t>
        </is>
      </c>
      <c r="L369" t="inlineStr">
        <is>
          <t>No focal subject</t>
        </is>
      </c>
      <c r="M369" t="n">
        <v>41.468</v>
      </c>
      <c r="N369" t="inlineStr">
        <is>
          <t>Explore_F2</t>
        </is>
      </c>
      <c r="O369" t="inlineStr">
        <is>
          <t>Second familiar</t>
        </is>
      </c>
      <c r="P369" t="inlineStr">
        <is>
          <t>STATE</t>
        </is>
      </c>
      <c r="Q369" t="n">
        <v>3.533</v>
      </c>
      <c r="R369" t="n">
        <v>4.133</v>
      </c>
      <c r="S369" t="n">
        <v>0.6</v>
      </c>
      <c r="T369" t="inlineStr">
        <is>
          <t>BTBR\training\c5m1.mp4</t>
        </is>
      </c>
      <c r="U369" t="n">
        <v>107</v>
      </c>
      <c r="V369" t="n">
        <v>124</v>
      </c>
      <c r="W369" t="n">
        <v/>
      </c>
      <c r="X369" t="n">
        <v/>
      </c>
      <c r="Y369" t="n">
        <v/>
      </c>
      <c r="Z369" t="n">
        <v/>
      </c>
      <c r="AA369">
        <f>SUMIFS($S$2:S369,$A$2:A369,A369,$N$2:N369,"Explore*")</f>
        <v/>
      </c>
      <c r="AB369">
        <f>IF(AND(LEFT(N369,7)="Explore",(AA369-IF(LEFT(N369,7)="Explore",S369,0))&lt;10),"SI","NO")</f>
        <v/>
      </c>
    </row>
    <row r="370">
      <c r="A370" t="inlineStr">
        <is>
          <t>c5m1_training</t>
        </is>
      </c>
      <c r="B370" t="inlineStr">
        <is>
          <t>2026-02-19 15:58:52.725</t>
        </is>
      </c>
      <c r="C370" t="n">
        <v/>
      </c>
      <c r="D370" t="inlineStr">
        <is>
          <t>Media file</t>
        </is>
      </c>
      <c r="E370" t="inlineStr">
        <is>
          <t>player #1:BTBR\training\c5m1.mp4</t>
        </is>
      </c>
      <c r="F370" t="n">
        <v>-11.1</v>
      </c>
      <c r="G370" t="n">
        <v>593.7</v>
      </c>
      <c r="H370" t="n">
        <v>726.833</v>
      </c>
      <c r="I370" t="n">
        <v>30</v>
      </c>
      <c r="J370" t="inlineStr">
        <is>
          <t>BTBR</t>
        </is>
      </c>
      <c r="K370" t="inlineStr">
        <is>
          <t>Male</t>
        </is>
      </c>
      <c r="L370" t="inlineStr">
        <is>
          <t>No focal subject</t>
        </is>
      </c>
      <c r="M370" t="n">
        <v>41.468</v>
      </c>
      <c r="N370" t="inlineStr">
        <is>
          <t>Explore_F</t>
        </is>
      </c>
      <c r="O370" t="inlineStr">
        <is>
          <t>Familiar</t>
        </is>
      </c>
      <c r="P370" t="inlineStr">
        <is>
          <t>STATE</t>
        </is>
      </c>
      <c r="Q370" t="n">
        <v>5.467</v>
      </c>
      <c r="R370" t="n">
        <v>5.767</v>
      </c>
      <c r="S370" t="n">
        <v>0.3</v>
      </c>
      <c r="T370" t="inlineStr">
        <is>
          <t>BTBR\training\c5m1.mp4</t>
        </is>
      </c>
      <c r="U370" t="n">
        <v>164</v>
      </c>
      <c r="V370" t="n">
        <v>173</v>
      </c>
      <c r="W370" t="n">
        <v/>
      </c>
      <c r="X370" t="n">
        <v/>
      </c>
      <c r="Y370" t="n">
        <v/>
      </c>
      <c r="Z370" t="n">
        <v/>
      </c>
      <c r="AA370">
        <f>SUMIFS($S$2:S370,$A$2:A370,A370,$N$2:N370,"Explore*")</f>
        <v/>
      </c>
      <c r="AB370">
        <f>IF(AND(LEFT(N370,7)="Explore",(AA370-IF(LEFT(N370,7)="Explore",S370,0))&lt;10),"SI","NO")</f>
        <v/>
      </c>
    </row>
    <row r="371">
      <c r="A371" t="inlineStr">
        <is>
          <t>c5m1_training</t>
        </is>
      </c>
      <c r="B371" t="inlineStr">
        <is>
          <t>2026-02-19 15:58:52.725</t>
        </is>
      </c>
      <c r="C371" t="n">
        <v/>
      </c>
      <c r="D371" t="inlineStr">
        <is>
          <t>Media file</t>
        </is>
      </c>
      <c r="E371" t="inlineStr">
        <is>
          <t>player #1:BTBR\training\c5m1.mp4</t>
        </is>
      </c>
      <c r="F371" t="n">
        <v>-11.1</v>
      </c>
      <c r="G371" t="n">
        <v>593.7</v>
      </c>
      <c r="H371" t="n">
        <v>726.833</v>
      </c>
      <c r="I371" t="n">
        <v>30</v>
      </c>
      <c r="J371" t="inlineStr">
        <is>
          <t>BTBR</t>
        </is>
      </c>
      <c r="K371" t="inlineStr">
        <is>
          <t>Male</t>
        </is>
      </c>
      <c r="L371" t="inlineStr">
        <is>
          <t>No focal subject</t>
        </is>
      </c>
      <c r="M371" t="n">
        <v>41.468</v>
      </c>
      <c r="N371" t="inlineStr">
        <is>
          <t>Explore_F2</t>
        </is>
      </c>
      <c r="O371" t="inlineStr">
        <is>
          <t>Second familiar</t>
        </is>
      </c>
      <c r="P371" t="inlineStr">
        <is>
          <t>STATE</t>
        </is>
      </c>
      <c r="Q371" t="n">
        <v>9.1</v>
      </c>
      <c r="R371" t="n">
        <v>10.9</v>
      </c>
      <c r="S371" t="n">
        <v>1.8</v>
      </c>
      <c r="T371" t="inlineStr">
        <is>
          <t>BTBR\training\c5m1.mp4</t>
        </is>
      </c>
      <c r="U371" t="n">
        <v>273</v>
      </c>
      <c r="V371" t="n">
        <v>327</v>
      </c>
      <c r="W371" t="n">
        <v/>
      </c>
      <c r="X371" t="n">
        <v/>
      </c>
      <c r="Y371" t="n">
        <v/>
      </c>
      <c r="Z371" t="n">
        <v/>
      </c>
      <c r="AA371">
        <f>SUMIFS($S$2:S371,$A$2:A371,A371,$N$2:N371,"Explore*")</f>
        <v/>
      </c>
      <c r="AB371">
        <f>IF(AND(LEFT(N371,7)="Explore",(AA371-IF(LEFT(N371,7)="Explore",S371,0))&lt;10),"SI","NO")</f>
        <v/>
      </c>
    </row>
    <row r="372">
      <c r="A372" t="inlineStr">
        <is>
          <t>c5m1_training</t>
        </is>
      </c>
      <c r="B372" t="inlineStr">
        <is>
          <t>2026-02-19 15:58:52.725</t>
        </is>
      </c>
      <c r="C372" t="n">
        <v/>
      </c>
      <c r="D372" t="inlineStr">
        <is>
          <t>Media file</t>
        </is>
      </c>
      <c r="E372" t="inlineStr">
        <is>
          <t>player #1:BTBR\training\c5m1.mp4</t>
        </is>
      </c>
      <c r="F372" t="n">
        <v>-11.1</v>
      </c>
      <c r="G372" t="n">
        <v>593.7</v>
      </c>
      <c r="H372" t="n">
        <v>726.833</v>
      </c>
      <c r="I372" t="n">
        <v>30</v>
      </c>
      <c r="J372" t="inlineStr">
        <is>
          <t>BTBR</t>
        </is>
      </c>
      <c r="K372" t="inlineStr">
        <is>
          <t>Male</t>
        </is>
      </c>
      <c r="L372" t="inlineStr">
        <is>
          <t>No focal subject</t>
        </is>
      </c>
      <c r="M372" t="n">
        <v>41.468</v>
      </c>
      <c r="N372" t="inlineStr">
        <is>
          <t>Explore_F</t>
        </is>
      </c>
      <c r="O372" t="inlineStr">
        <is>
          <t>Familiar</t>
        </is>
      </c>
      <c r="P372" t="inlineStr">
        <is>
          <t>STATE</t>
        </is>
      </c>
      <c r="Q372" t="n">
        <v>12.5</v>
      </c>
      <c r="R372" t="n">
        <v>12.767</v>
      </c>
      <c r="S372" t="n">
        <v>0.267</v>
      </c>
      <c r="T372" t="inlineStr">
        <is>
          <t>BTBR\training\c5m1.mp4</t>
        </is>
      </c>
      <c r="U372" t="n">
        <v>377</v>
      </c>
      <c r="V372" t="n">
        <v>383</v>
      </c>
      <c r="W372" t="n">
        <v/>
      </c>
      <c r="X372" t="n">
        <v/>
      </c>
      <c r="Y372" t="n">
        <v/>
      </c>
      <c r="Z372" t="n">
        <v/>
      </c>
      <c r="AA372">
        <f>SUMIFS($S$2:S372,$A$2:A372,A372,$N$2:N372,"Explore*")</f>
        <v/>
      </c>
      <c r="AB372">
        <f>IF(AND(LEFT(N372,7)="Explore",(AA372-IF(LEFT(N372,7)="Explore",S372,0))&lt;10),"SI","NO")</f>
        <v/>
      </c>
    </row>
    <row r="373">
      <c r="A373" t="inlineStr">
        <is>
          <t>c5m1_training</t>
        </is>
      </c>
      <c r="B373" t="inlineStr">
        <is>
          <t>2026-02-19 15:58:52.725</t>
        </is>
      </c>
      <c r="C373" t="n">
        <v/>
      </c>
      <c r="D373" t="inlineStr">
        <is>
          <t>Media file</t>
        </is>
      </c>
      <c r="E373" t="inlineStr">
        <is>
          <t>player #1:BTBR\training\c5m1.mp4</t>
        </is>
      </c>
      <c r="F373" t="n">
        <v>-11.1</v>
      </c>
      <c r="G373" t="n">
        <v>593.7</v>
      </c>
      <c r="H373" t="n">
        <v>726.833</v>
      </c>
      <c r="I373" t="n">
        <v>30</v>
      </c>
      <c r="J373" t="inlineStr">
        <is>
          <t>BTBR</t>
        </is>
      </c>
      <c r="K373" t="inlineStr">
        <is>
          <t>Male</t>
        </is>
      </c>
      <c r="L373" t="inlineStr">
        <is>
          <t>No focal subject</t>
        </is>
      </c>
      <c r="M373" t="n">
        <v>41.468</v>
      </c>
      <c r="N373" t="inlineStr">
        <is>
          <t>Explore_F2</t>
        </is>
      </c>
      <c r="O373" t="inlineStr">
        <is>
          <t>Second familiar</t>
        </is>
      </c>
      <c r="P373" t="inlineStr">
        <is>
          <t>STATE</t>
        </is>
      </c>
      <c r="Q373" t="n">
        <v>15.933</v>
      </c>
      <c r="R373" t="n">
        <v>17.767</v>
      </c>
      <c r="S373" t="n">
        <v>1.834</v>
      </c>
      <c r="T373" t="inlineStr">
        <is>
          <t>BTBR\training\c5m1.mp4</t>
        </is>
      </c>
      <c r="U373" t="n">
        <v>478</v>
      </c>
      <c r="V373" t="n">
        <v>533</v>
      </c>
      <c r="W373" t="n">
        <v/>
      </c>
      <c r="X373" t="n">
        <v/>
      </c>
      <c r="Y373" t="n">
        <v/>
      </c>
      <c r="Z373" t="n">
        <v/>
      </c>
      <c r="AA373">
        <f>SUMIFS($S$2:S373,$A$2:A373,A373,$N$2:N373,"Explore*")</f>
        <v/>
      </c>
      <c r="AB373">
        <f>IF(AND(LEFT(N373,7)="Explore",(AA373-IF(LEFT(N373,7)="Explore",S373,0))&lt;10),"SI","NO")</f>
        <v/>
      </c>
    </row>
    <row r="374">
      <c r="A374" t="inlineStr">
        <is>
          <t>c5m1_training</t>
        </is>
      </c>
      <c r="B374" t="inlineStr">
        <is>
          <t>2026-02-19 15:58:52.725</t>
        </is>
      </c>
      <c r="C374" t="n">
        <v/>
      </c>
      <c r="D374" t="inlineStr">
        <is>
          <t>Media file</t>
        </is>
      </c>
      <c r="E374" t="inlineStr">
        <is>
          <t>player #1:BTBR\training\c5m1.mp4</t>
        </is>
      </c>
      <c r="F374" t="n">
        <v>-11.1</v>
      </c>
      <c r="G374" t="n">
        <v>593.7</v>
      </c>
      <c r="H374" t="n">
        <v>726.833</v>
      </c>
      <c r="I374" t="n">
        <v>30</v>
      </c>
      <c r="J374" t="inlineStr">
        <is>
          <t>BTBR</t>
        </is>
      </c>
      <c r="K374" t="inlineStr">
        <is>
          <t>Male</t>
        </is>
      </c>
      <c r="L374" t="inlineStr">
        <is>
          <t>No focal subject</t>
        </is>
      </c>
      <c r="M374" t="n">
        <v>41.468</v>
      </c>
      <c r="N374" t="inlineStr">
        <is>
          <t>Explore_F</t>
        </is>
      </c>
      <c r="O374" t="inlineStr">
        <is>
          <t>Familiar</t>
        </is>
      </c>
      <c r="P374" t="inlineStr">
        <is>
          <t>STATE</t>
        </is>
      </c>
      <c r="Q374" t="n">
        <v>21.367</v>
      </c>
      <c r="R374" t="n">
        <v>22.667</v>
      </c>
      <c r="S374" t="n">
        <v>1.3</v>
      </c>
      <c r="T374" t="inlineStr">
        <is>
          <t>BTBR\training\c5m1.mp4</t>
        </is>
      </c>
      <c r="U374" t="n">
        <v>641</v>
      </c>
      <c r="V374" t="n">
        <v>680</v>
      </c>
      <c r="W374" t="n">
        <v/>
      </c>
      <c r="X374" t="n">
        <v/>
      </c>
      <c r="Y374" t="n">
        <v/>
      </c>
      <c r="Z374" t="n">
        <v/>
      </c>
      <c r="AA374">
        <f>SUMIFS($S$2:S374,$A$2:A374,A374,$N$2:N374,"Explore*")</f>
        <v/>
      </c>
      <c r="AB374">
        <f>IF(AND(LEFT(N374,7)="Explore",(AA374-IF(LEFT(N374,7)="Explore",S374,0))&lt;10),"SI","NO")</f>
        <v/>
      </c>
    </row>
    <row r="375">
      <c r="A375" t="inlineStr">
        <is>
          <t>c5m1_training</t>
        </is>
      </c>
      <c r="B375" t="inlineStr">
        <is>
          <t>2026-02-19 15:58:52.725</t>
        </is>
      </c>
      <c r="C375" t="n">
        <v/>
      </c>
      <c r="D375" t="inlineStr">
        <is>
          <t>Media file</t>
        </is>
      </c>
      <c r="E375" t="inlineStr">
        <is>
          <t>player #1:BTBR\training\c5m1.mp4</t>
        </is>
      </c>
      <c r="F375" t="n">
        <v>-11.1</v>
      </c>
      <c r="G375" t="n">
        <v>593.7</v>
      </c>
      <c r="H375" t="n">
        <v>726.833</v>
      </c>
      <c r="I375" t="n">
        <v>30</v>
      </c>
      <c r="J375" t="inlineStr">
        <is>
          <t>BTBR</t>
        </is>
      </c>
      <c r="K375" t="inlineStr">
        <is>
          <t>Male</t>
        </is>
      </c>
      <c r="L375" t="inlineStr">
        <is>
          <t>No focal subject</t>
        </is>
      </c>
      <c r="M375" t="n">
        <v>41.468</v>
      </c>
      <c r="N375" t="inlineStr">
        <is>
          <t>Explore_F2</t>
        </is>
      </c>
      <c r="O375" t="inlineStr">
        <is>
          <t>Second familiar</t>
        </is>
      </c>
      <c r="P375" t="inlineStr">
        <is>
          <t>STATE</t>
        </is>
      </c>
      <c r="Q375" t="n">
        <v>32.9</v>
      </c>
      <c r="R375" t="n">
        <v>33.933</v>
      </c>
      <c r="S375" t="n">
        <v>1.033</v>
      </c>
      <c r="T375" t="inlineStr">
        <is>
          <t>BTBR\training\c5m1.mp4</t>
        </is>
      </c>
      <c r="U375" t="n">
        <v>987</v>
      </c>
      <c r="V375" t="n">
        <v>1018</v>
      </c>
      <c r="W375" t="n">
        <v/>
      </c>
      <c r="X375" t="n">
        <v/>
      </c>
      <c r="Y375" t="n">
        <v/>
      </c>
      <c r="Z375" t="n">
        <v/>
      </c>
      <c r="AA375">
        <f>SUMIFS($S$2:S375,$A$2:A375,A375,$N$2:N375,"Explore*")</f>
        <v/>
      </c>
      <c r="AB375">
        <f>IF(AND(LEFT(N375,7)="Explore",(AA375-IF(LEFT(N375,7)="Explore",S375,0))&lt;10),"SI","NO")</f>
        <v/>
      </c>
    </row>
    <row r="376">
      <c r="A376" t="inlineStr">
        <is>
          <t>c5m1_training</t>
        </is>
      </c>
      <c r="B376" t="inlineStr">
        <is>
          <t>2026-02-19 15:58:52.725</t>
        </is>
      </c>
      <c r="C376" t="n">
        <v/>
      </c>
      <c r="D376" t="inlineStr">
        <is>
          <t>Media file</t>
        </is>
      </c>
      <c r="E376" t="inlineStr">
        <is>
          <t>player #1:BTBR\training\c5m1.mp4</t>
        </is>
      </c>
      <c r="F376" t="n">
        <v>-11.1</v>
      </c>
      <c r="G376" t="n">
        <v>593.7</v>
      </c>
      <c r="H376" t="n">
        <v>726.833</v>
      </c>
      <c r="I376" t="n">
        <v>30</v>
      </c>
      <c r="J376" t="inlineStr">
        <is>
          <t>BTBR</t>
        </is>
      </c>
      <c r="K376" t="inlineStr">
        <is>
          <t>Male</t>
        </is>
      </c>
      <c r="L376" t="inlineStr">
        <is>
          <t>No focal subject</t>
        </is>
      </c>
      <c r="M376" t="n">
        <v>41.468</v>
      </c>
      <c r="N376" t="inlineStr">
        <is>
          <t>Explore_F</t>
        </is>
      </c>
      <c r="O376" t="inlineStr">
        <is>
          <t>Familiar</t>
        </is>
      </c>
      <c r="P376" t="inlineStr">
        <is>
          <t>STATE</t>
        </is>
      </c>
      <c r="Q376" t="n">
        <v>38.533</v>
      </c>
      <c r="R376" t="n">
        <v>39.333</v>
      </c>
      <c r="S376" t="n">
        <v>0.8</v>
      </c>
      <c r="T376" t="inlineStr">
        <is>
          <t>BTBR\training\c5m1.mp4</t>
        </is>
      </c>
      <c r="U376" t="n">
        <v>1157</v>
      </c>
      <c r="V376" t="n">
        <v>1180</v>
      </c>
      <c r="W376" t="n">
        <v/>
      </c>
      <c r="X376" t="n">
        <v/>
      </c>
      <c r="Y376" t="n">
        <v/>
      </c>
      <c r="Z376" t="n">
        <v/>
      </c>
      <c r="AA376">
        <f>SUMIFS($S$2:S376,$A$2:A376,A376,$N$2:N376,"Explore*")</f>
        <v/>
      </c>
      <c r="AB376">
        <f>IF(AND(LEFT(N376,7)="Explore",(AA376-IF(LEFT(N376,7)="Explore",S376,0))&lt;10),"SI","NO")</f>
        <v/>
      </c>
    </row>
    <row r="377">
      <c r="A377" t="inlineStr">
        <is>
          <t>c5m1_training</t>
        </is>
      </c>
      <c r="B377" t="inlineStr">
        <is>
          <t>2026-02-19 15:58:52.725</t>
        </is>
      </c>
      <c r="C377" t="n">
        <v/>
      </c>
      <c r="D377" t="inlineStr">
        <is>
          <t>Media file</t>
        </is>
      </c>
      <c r="E377" t="inlineStr">
        <is>
          <t>player #1:BTBR\training\c5m1.mp4</t>
        </is>
      </c>
      <c r="F377" t="n">
        <v>-11.1</v>
      </c>
      <c r="G377" t="n">
        <v>593.7</v>
      </c>
      <c r="H377" t="n">
        <v>726.833</v>
      </c>
      <c r="I377" t="n">
        <v>30</v>
      </c>
      <c r="J377" t="inlineStr">
        <is>
          <t>BTBR</t>
        </is>
      </c>
      <c r="K377" t="inlineStr">
        <is>
          <t>Male</t>
        </is>
      </c>
      <c r="L377" t="inlineStr">
        <is>
          <t>No focal subject</t>
        </is>
      </c>
      <c r="M377" t="n">
        <v>41.468</v>
      </c>
      <c r="N377" t="inlineStr">
        <is>
          <t>Explore_F2</t>
        </is>
      </c>
      <c r="O377" t="inlineStr">
        <is>
          <t>Second familiar</t>
        </is>
      </c>
      <c r="P377" t="inlineStr">
        <is>
          <t>STATE</t>
        </is>
      </c>
      <c r="Q377" t="n">
        <v>44.233</v>
      </c>
      <c r="R377" t="n">
        <v>45.5</v>
      </c>
      <c r="S377" t="n">
        <v>1.267</v>
      </c>
      <c r="T377" t="inlineStr">
        <is>
          <t>BTBR\training\c5m1.mp4</t>
        </is>
      </c>
      <c r="U377" t="n">
        <v>1327</v>
      </c>
      <c r="V377" t="n">
        <v>1367</v>
      </c>
      <c r="W377" t="n">
        <v/>
      </c>
      <c r="X377" t="n">
        <v/>
      </c>
      <c r="Y377" t="n">
        <v/>
      </c>
      <c r="Z377" t="n">
        <v/>
      </c>
      <c r="AA377">
        <f>SUMIFS($S$2:S377,$A$2:A377,A377,$N$2:N377,"Explore*")</f>
        <v/>
      </c>
      <c r="AB377">
        <f>IF(AND(LEFT(N377,7)="Explore",(AA377-IF(LEFT(N377,7)="Explore",S377,0))&lt;10),"SI","NO")</f>
        <v/>
      </c>
    </row>
    <row r="378">
      <c r="A378" t="inlineStr">
        <is>
          <t>c5m1_training</t>
        </is>
      </c>
      <c r="B378" t="inlineStr">
        <is>
          <t>2026-02-19 15:58:52.725</t>
        </is>
      </c>
      <c r="C378" t="n">
        <v/>
      </c>
      <c r="D378" t="inlineStr">
        <is>
          <t>Media file</t>
        </is>
      </c>
      <c r="E378" t="inlineStr">
        <is>
          <t>player #1:BTBR\training\c5m1.mp4</t>
        </is>
      </c>
      <c r="F378" t="n">
        <v>-11.1</v>
      </c>
      <c r="G378" t="n">
        <v>593.7</v>
      </c>
      <c r="H378" t="n">
        <v>726.833</v>
      </c>
      <c r="I378" t="n">
        <v>30</v>
      </c>
      <c r="J378" t="inlineStr">
        <is>
          <t>BTBR</t>
        </is>
      </c>
      <c r="K378" t="inlineStr">
        <is>
          <t>Male</t>
        </is>
      </c>
      <c r="L378" t="inlineStr">
        <is>
          <t>No focal subject</t>
        </is>
      </c>
      <c r="M378" t="n">
        <v>41.468</v>
      </c>
      <c r="N378" t="inlineStr">
        <is>
          <t>Explore_F</t>
        </is>
      </c>
      <c r="O378" t="inlineStr">
        <is>
          <t>Familiar</t>
        </is>
      </c>
      <c r="P378" t="inlineStr">
        <is>
          <t>STATE</t>
        </is>
      </c>
      <c r="Q378" t="n">
        <v>50.5</v>
      </c>
      <c r="R378" t="n">
        <v>51.2</v>
      </c>
      <c r="S378" t="n">
        <v>0.7</v>
      </c>
      <c r="T378" t="inlineStr">
        <is>
          <t>BTBR\training\c5m1.mp4</t>
        </is>
      </c>
      <c r="U378" t="n">
        <v>1517</v>
      </c>
      <c r="V378" t="n">
        <v>1536</v>
      </c>
      <c r="W378" t="n">
        <v/>
      </c>
      <c r="X378" t="n">
        <v/>
      </c>
      <c r="Y378" t="n">
        <v/>
      </c>
      <c r="Z378" t="n">
        <v/>
      </c>
      <c r="AA378">
        <f>SUMIFS($S$2:S378,$A$2:A378,A378,$N$2:N378,"Explore*")</f>
        <v/>
      </c>
      <c r="AB378">
        <f>IF(AND(LEFT(N378,7)="Explore",(AA378-IF(LEFT(N378,7)="Explore",S378,0))&lt;10),"SI","NO")</f>
        <v/>
      </c>
    </row>
    <row r="379">
      <c r="A379" t="inlineStr">
        <is>
          <t>c5m1_training</t>
        </is>
      </c>
      <c r="B379" t="inlineStr">
        <is>
          <t>2026-02-19 15:58:52.725</t>
        </is>
      </c>
      <c r="C379" t="n">
        <v/>
      </c>
      <c r="D379" t="inlineStr">
        <is>
          <t>Media file</t>
        </is>
      </c>
      <c r="E379" t="inlineStr">
        <is>
          <t>player #1:BTBR\training\c5m1.mp4</t>
        </is>
      </c>
      <c r="F379" t="n">
        <v>-11.1</v>
      </c>
      <c r="G379" t="n">
        <v>593.7</v>
      </c>
      <c r="H379" t="n">
        <v>726.833</v>
      </c>
      <c r="I379" t="n">
        <v>30</v>
      </c>
      <c r="J379" t="inlineStr">
        <is>
          <t>BTBR</t>
        </is>
      </c>
      <c r="K379" t="inlineStr">
        <is>
          <t>Male</t>
        </is>
      </c>
      <c r="L379" t="inlineStr">
        <is>
          <t>No focal subject</t>
        </is>
      </c>
      <c r="M379" t="n">
        <v>41.468</v>
      </c>
      <c r="N379" t="inlineStr">
        <is>
          <t>Explore_F</t>
        </is>
      </c>
      <c r="O379" t="inlineStr">
        <is>
          <t>Familiar</t>
        </is>
      </c>
      <c r="P379" t="inlineStr">
        <is>
          <t>STATE</t>
        </is>
      </c>
      <c r="Q379" t="n">
        <v>59.033</v>
      </c>
      <c r="R379" t="n">
        <v>59.833</v>
      </c>
      <c r="S379" t="n">
        <v>0.8</v>
      </c>
      <c r="T379" t="inlineStr">
        <is>
          <t>BTBR\training\c5m1.mp4</t>
        </is>
      </c>
      <c r="U379" t="n">
        <v>1772</v>
      </c>
      <c r="V379" t="n">
        <v>1795</v>
      </c>
      <c r="W379" t="n">
        <v/>
      </c>
      <c r="X379" t="n">
        <v/>
      </c>
      <c r="Y379" t="n">
        <v/>
      </c>
      <c r="Z379" t="n">
        <v/>
      </c>
      <c r="AA379">
        <f>SUMIFS($S$2:S379,$A$2:A379,A379,$N$2:N379,"Explore*")</f>
        <v/>
      </c>
      <c r="AB379">
        <f>IF(AND(LEFT(N379,7)="Explore",(AA379-IF(LEFT(N379,7)="Explore",S379,0))&lt;10),"SI","NO")</f>
        <v/>
      </c>
    </row>
    <row r="380">
      <c r="A380" t="inlineStr">
        <is>
          <t>c5m1_training</t>
        </is>
      </c>
      <c r="B380" t="inlineStr">
        <is>
          <t>2026-02-19 15:58:52.725</t>
        </is>
      </c>
      <c r="C380" t="n">
        <v/>
      </c>
      <c r="D380" t="inlineStr">
        <is>
          <t>Media file</t>
        </is>
      </c>
      <c r="E380" t="inlineStr">
        <is>
          <t>player #1:BTBR\training\c5m1.mp4</t>
        </is>
      </c>
      <c r="F380" t="n">
        <v>-11.1</v>
      </c>
      <c r="G380" t="n">
        <v>593.7</v>
      </c>
      <c r="H380" t="n">
        <v>726.833</v>
      </c>
      <c r="I380" t="n">
        <v>30</v>
      </c>
      <c r="J380" t="inlineStr">
        <is>
          <t>BTBR</t>
        </is>
      </c>
      <c r="K380" t="inlineStr">
        <is>
          <t>Male</t>
        </is>
      </c>
      <c r="L380" t="inlineStr">
        <is>
          <t>No focal subject</t>
        </is>
      </c>
      <c r="M380" t="n">
        <v>41.468</v>
      </c>
      <c r="N380" t="inlineStr">
        <is>
          <t>Explore_F2</t>
        </is>
      </c>
      <c r="O380" t="inlineStr">
        <is>
          <t>Second familiar</t>
        </is>
      </c>
      <c r="P380" t="inlineStr">
        <is>
          <t>STATE</t>
        </is>
      </c>
      <c r="Q380" t="n">
        <v>65</v>
      </c>
      <c r="R380" t="n">
        <v>65.93300000000001</v>
      </c>
      <c r="S380" t="n">
        <v>0.9330000000000001</v>
      </c>
      <c r="T380" t="inlineStr">
        <is>
          <t>BTBR\training\c5m1.mp4</t>
        </is>
      </c>
      <c r="U380" t="n">
        <v>1952</v>
      </c>
      <c r="V380" t="n">
        <v>1978</v>
      </c>
      <c r="W380" t="n">
        <v/>
      </c>
      <c r="X380" t="n">
        <v/>
      </c>
      <c r="Y380" t="n">
        <v/>
      </c>
      <c r="Z380" t="n">
        <v/>
      </c>
      <c r="AA380">
        <f>SUMIFS($S$2:S380,$A$2:A380,A380,$N$2:N380,"Explore*")</f>
        <v/>
      </c>
      <c r="AB380">
        <f>IF(AND(LEFT(N380,7)="Explore",(AA380-IF(LEFT(N380,7)="Explore",S380,0))&lt;10),"SI","NO")</f>
        <v/>
      </c>
    </row>
    <row r="381">
      <c r="A381" t="inlineStr">
        <is>
          <t>c5m1_training</t>
        </is>
      </c>
      <c r="B381" t="inlineStr">
        <is>
          <t>2026-02-19 15:58:52.725</t>
        </is>
      </c>
      <c r="C381" t="n">
        <v/>
      </c>
      <c r="D381" t="inlineStr">
        <is>
          <t>Media file</t>
        </is>
      </c>
      <c r="E381" t="inlineStr">
        <is>
          <t>player #1:BTBR\training\c5m1.mp4</t>
        </is>
      </c>
      <c r="F381" t="n">
        <v>-11.1</v>
      </c>
      <c r="G381" t="n">
        <v>593.7</v>
      </c>
      <c r="H381" t="n">
        <v>726.833</v>
      </c>
      <c r="I381" t="n">
        <v>30</v>
      </c>
      <c r="J381" t="inlineStr">
        <is>
          <t>BTBR</t>
        </is>
      </c>
      <c r="K381" t="inlineStr">
        <is>
          <t>Male</t>
        </is>
      </c>
      <c r="L381" t="inlineStr">
        <is>
          <t>No focal subject</t>
        </is>
      </c>
      <c r="M381" t="n">
        <v>41.468</v>
      </c>
      <c r="N381" t="inlineStr">
        <is>
          <t>Explore_F</t>
        </is>
      </c>
      <c r="O381" t="inlineStr">
        <is>
          <t>Familiar</t>
        </is>
      </c>
      <c r="P381" t="inlineStr">
        <is>
          <t>STATE</t>
        </is>
      </c>
      <c r="Q381" t="n">
        <v>71.133</v>
      </c>
      <c r="R381" t="n">
        <v>72.133</v>
      </c>
      <c r="S381" t="n">
        <v>1</v>
      </c>
      <c r="T381" t="inlineStr">
        <is>
          <t>BTBR\training\c5m1.mp4</t>
        </is>
      </c>
      <c r="U381" t="n">
        <v>2134</v>
      </c>
      <c r="V381" t="n">
        <v>2164</v>
      </c>
      <c r="W381" t="n">
        <v/>
      </c>
      <c r="X381" t="n">
        <v/>
      </c>
      <c r="Y381" t="n">
        <v/>
      </c>
      <c r="Z381" t="n">
        <v/>
      </c>
      <c r="AA381">
        <f>SUMIFS($S$2:S381,$A$2:A381,A381,$N$2:N381,"Explore*")</f>
        <v/>
      </c>
      <c r="AB381">
        <f>IF(AND(LEFT(N381,7)="Explore",(AA381-IF(LEFT(N381,7)="Explore",S381,0))&lt;10),"SI","NO")</f>
        <v/>
      </c>
    </row>
    <row r="382">
      <c r="A382" t="inlineStr">
        <is>
          <t>c5m1_training</t>
        </is>
      </c>
      <c r="B382" t="inlineStr">
        <is>
          <t>2026-02-19 15:58:52.725</t>
        </is>
      </c>
      <c r="C382" t="n">
        <v/>
      </c>
      <c r="D382" t="inlineStr">
        <is>
          <t>Media file</t>
        </is>
      </c>
      <c r="E382" t="inlineStr">
        <is>
          <t>player #1:BTBR\training\c5m1.mp4</t>
        </is>
      </c>
      <c r="F382" t="n">
        <v>-11.1</v>
      </c>
      <c r="G382" t="n">
        <v>593.7</v>
      </c>
      <c r="H382" t="n">
        <v>726.833</v>
      </c>
      <c r="I382" t="n">
        <v>30</v>
      </c>
      <c r="J382" t="inlineStr">
        <is>
          <t>BTBR</t>
        </is>
      </c>
      <c r="K382" t="inlineStr">
        <is>
          <t>Male</t>
        </is>
      </c>
      <c r="L382" t="inlineStr">
        <is>
          <t>No focal subject</t>
        </is>
      </c>
      <c r="M382" t="n">
        <v>41.468</v>
      </c>
      <c r="N382" t="inlineStr">
        <is>
          <t>Explore_F</t>
        </is>
      </c>
      <c r="O382" t="inlineStr">
        <is>
          <t>Familiar</t>
        </is>
      </c>
      <c r="P382" t="inlineStr">
        <is>
          <t>STATE</t>
        </is>
      </c>
      <c r="Q382" t="n">
        <v>82.5</v>
      </c>
      <c r="R382" t="n">
        <v>83.367</v>
      </c>
      <c r="S382" t="n">
        <v>0.867</v>
      </c>
      <c r="T382" t="inlineStr">
        <is>
          <t>BTBR\training\c5m1.mp4</t>
        </is>
      </c>
      <c r="U382" t="n">
        <v>2477</v>
      </c>
      <c r="V382" t="n">
        <v>2501</v>
      </c>
      <c r="W382" t="n">
        <v/>
      </c>
      <c r="X382" t="n">
        <v/>
      </c>
      <c r="Y382" t="n">
        <v/>
      </c>
      <c r="Z382" t="n">
        <v/>
      </c>
      <c r="AA382">
        <f>SUMIFS($S$2:S382,$A$2:A382,A382,$N$2:N382,"Explore*")</f>
        <v/>
      </c>
      <c r="AB382">
        <f>IF(AND(LEFT(N382,7)="Explore",(AA382-IF(LEFT(N382,7)="Explore",S382,0))&lt;10),"SI","NO")</f>
        <v/>
      </c>
    </row>
    <row r="383">
      <c r="A383" t="inlineStr">
        <is>
          <t>c5m1_training</t>
        </is>
      </c>
      <c r="B383" t="inlineStr">
        <is>
          <t>2026-02-19 15:58:52.725</t>
        </is>
      </c>
      <c r="C383" t="n">
        <v/>
      </c>
      <c r="D383" t="inlineStr">
        <is>
          <t>Media file</t>
        </is>
      </c>
      <c r="E383" t="inlineStr">
        <is>
          <t>player #1:BTBR\training\c5m1.mp4</t>
        </is>
      </c>
      <c r="F383" t="n">
        <v>-11.1</v>
      </c>
      <c r="G383" t="n">
        <v>593.7</v>
      </c>
      <c r="H383" t="n">
        <v>726.833</v>
      </c>
      <c r="I383" t="n">
        <v>30</v>
      </c>
      <c r="J383" t="inlineStr">
        <is>
          <t>BTBR</t>
        </is>
      </c>
      <c r="K383" t="inlineStr">
        <is>
          <t>Male</t>
        </is>
      </c>
      <c r="L383" t="inlineStr">
        <is>
          <t>No focal subject</t>
        </is>
      </c>
      <c r="M383" t="n">
        <v>41.468</v>
      </c>
      <c r="N383" t="inlineStr">
        <is>
          <t>Explore_F2</t>
        </is>
      </c>
      <c r="O383" t="inlineStr">
        <is>
          <t>Second familiar</t>
        </is>
      </c>
      <c r="P383" t="inlineStr">
        <is>
          <t>STATE</t>
        </is>
      </c>
      <c r="Q383" t="n">
        <v>89.767</v>
      </c>
      <c r="R383" t="n">
        <v>90.56699999999999</v>
      </c>
      <c r="S383" t="n">
        <v>0.8</v>
      </c>
      <c r="T383" t="inlineStr">
        <is>
          <t>BTBR\training\c5m1.mp4</t>
        </is>
      </c>
      <c r="U383" t="n">
        <v>2693</v>
      </c>
      <c r="V383" t="n">
        <v>2717</v>
      </c>
      <c r="W383" t="n">
        <v/>
      </c>
      <c r="X383" t="n">
        <v/>
      </c>
      <c r="Y383" t="n">
        <v/>
      </c>
      <c r="Z383" t="n">
        <v/>
      </c>
      <c r="AA383">
        <f>SUMIFS($S$2:S383,$A$2:A383,A383,$N$2:N383,"Explore*")</f>
        <v/>
      </c>
      <c r="AB383">
        <f>IF(AND(LEFT(N383,7)="Explore",(AA383-IF(LEFT(N383,7)="Explore",S383,0))&lt;10),"SI","NO")</f>
        <v/>
      </c>
    </row>
    <row r="384">
      <c r="A384" t="inlineStr">
        <is>
          <t>c5m1_training</t>
        </is>
      </c>
      <c r="B384" t="inlineStr">
        <is>
          <t>2026-02-19 15:58:52.725</t>
        </is>
      </c>
      <c r="C384" t="n">
        <v/>
      </c>
      <c r="D384" t="inlineStr">
        <is>
          <t>Media file</t>
        </is>
      </c>
      <c r="E384" t="inlineStr">
        <is>
          <t>player #1:BTBR\training\c5m1.mp4</t>
        </is>
      </c>
      <c r="F384" t="n">
        <v>-11.1</v>
      </c>
      <c r="G384" t="n">
        <v>593.7</v>
      </c>
      <c r="H384" t="n">
        <v>726.833</v>
      </c>
      <c r="I384" t="n">
        <v>30</v>
      </c>
      <c r="J384" t="inlineStr">
        <is>
          <t>BTBR</t>
        </is>
      </c>
      <c r="K384" t="inlineStr">
        <is>
          <t>Male</t>
        </is>
      </c>
      <c r="L384" t="inlineStr">
        <is>
          <t>No focal subject</t>
        </is>
      </c>
      <c r="M384" t="n">
        <v>41.468</v>
      </c>
      <c r="N384" t="inlineStr">
        <is>
          <t>Explore_F</t>
        </is>
      </c>
      <c r="O384" t="inlineStr">
        <is>
          <t>Familiar</t>
        </is>
      </c>
      <c r="P384" t="inlineStr">
        <is>
          <t>STATE</t>
        </is>
      </c>
      <c r="Q384" t="n">
        <v>93.40000000000001</v>
      </c>
      <c r="R384" t="n">
        <v>94.09999999999999</v>
      </c>
      <c r="S384" t="n">
        <v>0.7</v>
      </c>
      <c r="T384" t="inlineStr">
        <is>
          <t>BTBR\training\c5m1.mp4</t>
        </is>
      </c>
      <c r="U384" t="n">
        <v>2802</v>
      </c>
      <c r="V384" t="n">
        <v>2823</v>
      </c>
      <c r="W384" t="n">
        <v/>
      </c>
      <c r="X384" t="n">
        <v/>
      </c>
      <c r="Y384" t="n">
        <v/>
      </c>
      <c r="Z384" t="n">
        <v/>
      </c>
      <c r="AA384">
        <f>SUMIFS($S$2:S384,$A$2:A384,A384,$N$2:N384,"Explore*")</f>
        <v/>
      </c>
      <c r="AB384">
        <f>IF(AND(LEFT(N384,7)="Explore",(AA384-IF(LEFT(N384,7)="Explore",S384,0))&lt;10),"SI","NO")</f>
        <v/>
      </c>
    </row>
    <row r="385">
      <c r="A385" t="inlineStr">
        <is>
          <t>c5m1_training</t>
        </is>
      </c>
      <c r="B385" t="inlineStr">
        <is>
          <t>2026-02-19 15:58:52.725</t>
        </is>
      </c>
      <c r="C385" t="n">
        <v/>
      </c>
      <c r="D385" t="inlineStr">
        <is>
          <t>Media file</t>
        </is>
      </c>
      <c r="E385" t="inlineStr">
        <is>
          <t>player #1:BTBR\training\c5m1.mp4</t>
        </is>
      </c>
      <c r="F385" t="n">
        <v>-11.1</v>
      </c>
      <c r="G385" t="n">
        <v>593.7</v>
      </c>
      <c r="H385" t="n">
        <v>726.833</v>
      </c>
      <c r="I385" t="n">
        <v>30</v>
      </c>
      <c r="J385" t="inlineStr">
        <is>
          <t>BTBR</t>
        </is>
      </c>
      <c r="K385" t="inlineStr">
        <is>
          <t>Male</t>
        </is>
      </c>
      <c r="L385" t="inlineStr">
        <is>
          <t>No focal subject</t>
        </is>
      </c>
      <c r="M385" t="n">
        <v>41.468</v>
      </c>
      <c r="N385" t="inlineStr">
        <is>
          <t>Explore_F2</t>
        </is>
      </c>
      <c r="O385" t="inlineStr">
        <is>
          <t>Second familiar</t>
        </is>
      </c>
      <c r="P385" t="inlineStr">
        <is>
          <t>STATE</t>
        </is>
      </c>
      <c r="Q385" t="n">
        <v>98.2</v>
      </c>
      <c r="R385" t="n">
        <v>98.93300000000001</v>
      </c>
      <c r="S385" t="n">
        <v>0.733</v>
      </c>
      <c r="T385" t="inlineStr">
        <is>
          <t>BTBR\training\c5m1.mp4</t>
        </is>
      </c>
      <c r="U385" t="n">
        <v>2946</v>
      </c>
      <c r="V385" t="n">
        <v>2968</v>
      </c>
      <c r="W385" t="n">
        <v/>
      </c>
      <c r="X385" t="n">
        <v/>
      </c>
      <c r="Y385" t="n">
        <v/>
      </c>
      <c r="Z385" t="n">
        <v/>
      </c>
      <c r="AA385">
        <f>SUMIFS($S$2:S385,$A$2:A385,A385,$N$2:N385,"Explore*")</f>
        <v/>
      </c>
      <c r="AB385">
        <f>IF(AND(LEFT(N385,7)="Explore",(AA385-IF(LEFT(N385,7)="Explore",S385,0))&lt;10),"SI","NO")</f>
        <v/>
      </c>
    </row>
    <row r="386">
      <c r="A386" t="inlineStr">
        <is>
          <t>c5m1_training</t>
        </is>
      </c>
      <c r="B386" t="inlineStr">
        <is>
          <t>2026-02-19 15:58:52.725</t>
        </is>
      </c>
      <c r="C386" t="n">
        <v/>
      </c>
      <c r="D386" t="inlineStr">
        <is>
          <t>Media file</t>
        </is>
      </c>
      <c r="E386" t="inlineStr">
        <is>
          <t>player #1:BTBR\training\c5m1.mp4</t>
        </is>
      </c>
      <c r="F386" t="n">
        <v>-11.1</v>
      </c>
      <c r="G386" t="n">
        <v>593.7</v>
      </c>
      <c r="H386" t="n">
        <v>726.833</v>
      </c>
      <c r="I386" t="n">
        <v>30</v>
      </c>
      <c r="J386" t="inlineStr">
        <is>
          <t>BTBR</t>
        </is>
      </c>
      <c r="K386" t="inlineStr">
        <is>
          <t>Male</t>
        </is>
      </c>
      <c r="L386" t="inlineStr">
        <is>
          <t>No focal subject</t>
        </is>
      </c>
      <c r="M386" t="n">
        <v>41.468</v>
      </c>
      <c r="N386" t="inlineStr">
        <is>
          <t>Explore_F</t>
        </is>
      </c>
      <c r="O386" t="inlineStr">
        <is>
          <t>Familiar</t>
        </is>
      </c>
      <c r="P386" t="inlineStr">
        <is>
          <t>STATE</t>
        </is>
      </c>
      <c r="Q386" t="n">
        <v>113.1</v>
      </c>
      <c r="R386" t="n">
        <v>114.233</v>
      </c>
      <c r="S386" t="n">
        <v>1.133</v>
      </c>
      <c r="T386" t="inlineStr">
        <is>
          <t>BTBR\training\c5m1.mp4</t>
        </is>
      </c>
      <c r="U386" t="n">
        <v>3393</v>
      </c>
      <c r="V386" t="n">
        <v>3427</v>
      </c>
      <c r="W386" t="n">
        <v/>
      </c>
      <c r="X386" t="n">
        <v/>
      </c>
      <c r="Y386" t="n">
        <v/>
      </c>
      <c r="Z386" t="n">
        <v/>
      </c>
      <c r="AA386">
        <f>SUMIFS($S$2:S386,$A$2:A386,A386,$N$2:N386,"Explore*")</f>
        <v/>
      </c>
      <c r="AB386">
        <f>IF(AND(LEFT(N386,7)="Explore",(AA386-IF(LEFT(N386,7)="Explore",S386,0))&lt;10),"SI","NO")</f>
        <v/>
      </c>
    </row>
    <row r="387">
      <c r="A387" t="inlineStr">
        <is>
          <t>c5m1_training</t>
        </is>
      </c>
      <c r="B387" t="inlineStr">
        <is>
          <t>2026-02-19 15:58:52.725</t>
        </is>
      </c>
      <c r="C387" t="n">
        <v/>
      </c>
      <c r="D387" t="inlineStr">
        <is>
          <t>Media file</t>
        </is>
      </c>
      <c r="E387" t="inlineStr">
        <is>
          <t>player #1:BTBR\training\c5m1.mp4</t>
        </is>
      </c>
      <c r="F387" t="n">
        <v>-11.1</v>
      </c>
      <c r="G387" t="n">
        <v>593.7</v>
      </c>
      <c r="H387" t="n">
        <v>726.833</v>
      </c>
      <c r="I387" t="n">
        <v>30</v>
      </c>
      <c r="J387" t="inlineStr">
        <is>
          <t>BTBR</t>
        </is>
      </c>
      <c r="K387" t="inlineStr">
        <is>
          <t>Male</t>
        </is>
      </c>
      <c r="L387" t="inlineStr">
        <is>
          <t>No focal subject</t>
        </is>
      </c>
      <c r="M387" t="n">
        <v>41.468</v>
      </c>
      <c r="N387" t="inlineStr">
        <is>
          <t>Explore_F2</t>
        </is>
      </c>
      <c r="O387" t="inlineStr">
        <is>
          <t>Second familiar</t>
        </is>
      </c>
      <c r="P387" t="inlineStr">
        <is>
          <t>STATE</t>
        </is>
      </c>
      <c r="Q387" t="n">
        <v>118.933</v>
      </c>
      <c r="R387" t="n">
        <v>120</v>
      </c>
      <c r="S387" t="n">
        <v>1.067</v>
      </c>
      <c r="T387" t="inlineStr">
        <is>
          <t>BTBR\training\c5m1.mp4</t>
        </is>
      </c>
      <c r="U387" t="n">
        <v>3568</v>
      </c>
      <c r="V387" t="n">
        <v>3602</v>
      </c>
      <c r="W387" t="n">
        <v/>
      </c>
      <c r="X387" t="n">
        <v/>
      </c>
      <c r="Y387" t="n">
        <v/>
      </c>
      <c r="Z387" t="n">
        <v/>
      </c>
      <c r="AA387">
        <f>SUMIFS($S$2:S387,$A$2:A387,A387,$N$2:N387,"Explore*")</f>
        <v/>
      </c>
      <c r="AB387">
        <f>IF(AND(LEFT(N387,7)="Explore",(AA387-IF(LEFT(N387,7)="Explore",S387,0))&lt;10),"SI","NO")</f>
        <v/>
      </c>
    </row>
    <row r="388">
      <c r="A388" t="inlineStr">
        <is>
          <t>c5m1_training</t>
        </is>
      </c>
      <c r="B388" t="inlineStr">
        <is>
          <t>2026-02-19 15:58:52.725</t>
        </is>
      </c>
      <c r="C388" t="n">
        <v/>
      </c>
      <c r="D388" t="inlineStr">
        <is>
          <t>Media file</t>
        </is>
      </c>
      <c r="E388" t="inlineStr">
        <is>
          <t>player #1:BTBR\training\c5m1.mp4</t>
        </is>
      </c>
      <c r="F388" t="n">
        <v>-11.1</v>
      </c>
      <c r="G388" t="n">
        <v>593.7</v>
      </c>
      <c r="H388" t="n">
        <v>726.833</v>
      </c>
      <c r="I388" t="n">
        <v>30</v>
      </c>
      <c r="J388" t="inlineStr">
        <is>
          <t>BTBR</t>
        </is>
      </c>
      <c r="K388" t="inlineStr">
        <is>
          <t>Male</t>
        </is>
      </c>
      <c r="L388" t="inlineStr">
        <is>
          <t>No focal subject</t>
        </is>
      </c>
      <c r="M388" t="n">
        <v>41.468</v>
      </c>
      <c r="N388" t="inlineStr">
        <is>
          <t>Explore_F</t>
        </is>
      </c>
      <c r="O388" t="inlineStr">
        <is>
          <t>Familiar</t>
        </is>
      </c>
      <c r="P388" t="inlineStr">
        <is>
          <t>STATE</t>
        </is>
      </c>
      <c r="Q388" t="n">
        <v>123.533</v>
      </c>
      <c r="R388" t="n">
        <v>124.233</v>
      </c>
      <c r="S388" t="n">
        <v>0.7</v>
      </c>
      <c r="T388" t="inlineStr">
        <is>
          <t>BTBR\training\c5m1.mp4</t>
        </is>
      </c>
      <c r="U388" t="n">
        <v>3707</v>
      </c>
      <c r="V388" t="n">
        <v>3727</v>
      </c>
      <c r="W388" t="n">
        <v/>
      </c>
      <c r="X388" t="n">
        <v/>
      </c>
      <c r="Y388" t="n">
        <v/>
      </c>
      <c r="Z388" t="n">
        <v/>
      </c>
      <c r="AA388">
        <f>SUMIFS($S$2:S388,$A$2:A388,A388,$N$2:N388,"Explore*")</f>
        <v/>
      </c>
      <c r="AB388">
        <f>IF(AND(LEFT(N388,7)="Explore",(AA388-IF(LEFT(N388,7)="Explore",S388,0))&lt;10),"SI","NO")</f>
        <v/>
      </c>
    </row>
    <row r="389">
      <c r="A389" t="inlineStr">
        <is>
          <t>c5m1_training</t>
        </is>
      </c>
      <c r="B389" t="inlineStr">
        <is>
          <t>2026-02-19 15:58:52.725</t>
        </is>
      </c>
      <c r="C389" t="n">
        <v/>
      </c>
      <c r="D389" t="inlineStr">
        <is>
          <t>Media file</t>
        </is>
      </c>
      <c r="E389" t="inlineStr">
        <is>
          <t>player #1:BTBR\training\c5m1.mp4</t>
        </is>
      </c>
      <c r="F389" t="n">
        <v>-11.1</v>
      </c>
      <c r="G389" t="n">
        <v>593.7</v>
      </c>
      <c r="H389" t="n">
        <v>726.833</v>
      </c>
      <c r="I389" t="n">
        <v>30</v>
      </c>
      <c r="J389" t="inlineStr">
        <is>
          <t>BTBR</t>
        </is>
      </c>
      <c r="K389" t="inlineStr">
        <is>
          <t>Male</t>
        </is>
      </c>
      <c r="L389" t="inlineStr">
        <is>
          <t>No focal subject</t>
        </is>
      </c>
      <c r="M389" t="n">
        <v>41.468</v>
      </c>
      <c r="N389" t="inlineStr">
        <is>
          <t>Explore_F2</t>
        </is>
      </c>
      <c r="O389" t="inlineStr">
        <is>
          <t>Second familiar</t>
        </is>
      </c>
      <c r="P389" t="inlineStr">
        <is>
          <t>STATE</t>
        </is>
      </c>
      <c r="Q389" t="n">
        <v>146.667</v>
      </c>
      <c r="R389" t="n">
        <v>147.5</v>
      </c>
      <c r="S389" t="n">
        <v>0.833</v>
      </c>
      <c r="T389" t="inlineStr">
        <is>
          <t>BTBR\training\c5m1.mp4</t>
        </is>
      </c>
      <c r="U389" t="n">
        <v>4400</v>
      </c>
      <c r="V389" t="n">
        <v>4427</v>
      </c>
      <c r="W389" t="n">
        <v/>
      </c>
      <c r="X389" t="n">
        <v/>
      </c>
      <c r="Y389" t="n">
        <v/>
      </c>
      <c r="Z389" t="n">
        <v/>
      </c>
      <c r="AA389">
        <f>SUMIFS($S$2:S389,$A$2:A389,A389,$N$2:N389,"Explore*")</f>
        <v/>
      </c>
      <c r="AB389">
        <f>IF(AND(LEFT(N389,7)="Explore",(AA389-IF(LEFT(N389,7)="Explore",S389,0))&lt;10),"SI","NO")</f>
        <v/>
      </c>
    </row>
    <row r="390">
      <c r="A390" t="inlineStr">
        <is>
          <t>c5m1_training</t>
        </is>
      </c>
      <c r="B390" t="inlineStr">
        <is>
          <t>2026-02-19 15:58:52.725</t>
        </is>
      </c>
      <c r="C390" t="n">
        <v/>
      </c>
      <c r="D390" t="inlineStr">
        <is>
          <t>Media file</t>
        </is>
      </c>
      <c r="E390" t="inlineStr">
        <is>
          <t>player #1:BTBR\training\c5m1.mp4</t>
        </is>
      </c>
      <c r="F390" t="n">
        <v>-11.1</v>
      </c>
      <c r="G390" t="n">
        <v>593.7</v>
      </c>
      <c r="H390" t="n">
        <v>726.833</v>
      </c>
      <c r="I390" t="n">
        <v>30</v>
      </c>
      <c r="J390" t="inlineStr">
        <is>
          <t>BTBR</t>
        </is>
      </c>
      <c r="K390" t="inlineStr">
        <is>
          <t>Male</t>
        </is>
      </c>
      <c r="L390" t="inlineStr">
        <is>
          <t>No focal subject</t>
        </is>
      </c>
      <c r="M390" t="n">
        <v>41.468</v>
      </c>
      <c r="N390" t="inlineStr">
        <is>
          <t>Explore_F</t>
        </is>
      </c>
      <c r="O390" t="inlineStr">
        <is>
          <t>Familiar</t>
        </is>
      </c>
      <c r="P390" t="inlineStr">
        <is>
          <t>STATE</t>
        </is>
      </c>
      <c r="Q390" t="n">
        <v>150.733</v>
      </c>
      <c r="R390" t="n">
        <v>151.733</v>
      </c>
      <c r="S390" t="n">
        <v>1</v>
      </c>
      <c r="T390" t="inlineStr">
        <is>
          <t>BTBR\training\c5m1.mp4</t>
        </is>
      </c>
      <c r="U390" t="n">
        <v>4522</v>
      </c>
      <c r="V390" t="n">
        <v>4552</v>
      </c>
      <c r="W390" t="n">
        <v/>
      </c>
      <c r="X390" t="n">
        <v/>
      </c>
      <c r="Y390" t="n">
        <v/>
      </c>
      <c r="Z390" t="n">
        <v/>
      </c>
      <c r="AA390">
        <f>SUMIFS($S$2:S390,$A$2:A390,A390,$N$2:N390,"Explore*")</f>
        <v/>
      </c>
      <c r="AB390">
        <f>IF(AND(LEFT(N390,7)="Explore",(AA390-IF(LEFT(N390,7)="Explore",S390,0))&lt;10),"SI","NO")</f>
        <v/>
      </c>
    </row>
    <row r="391">
      <c r="A391" t="inlineStr">
        <is>
          <t>c5m1_training</t>
        </is>
      </c>
      <c r="B391" t="inlineStr">
        <is>
          <t>2026-02-19 15:58:52.725</t>
        </is>
      </c>
      <c r="C391" t="n">
        <v/>
      </c>
      <c r="D391" t="inlineStr">
        <is>
          <t>Media file</t>
        </is>
      </c>
      <c r="E391" t="inlineStr">
        <is>
          <t>player #1:BTBR\training\c5m1.mp4</t>
        </is>
      </c>
      <c r="F391" t="n">
        <v>-11.1</v>
      </c>
      <c r="G391" t="n">
        <v>593.7</v>
      </c>
      <c r="H391" t="n">
        <v>726.833</v>
      </c>
      <c r="I391" t="n">
        <v>30</v>
      </c>
      <c r="J391" t="inlineStr">
        <is>
          <t>BTBR</t>
        </is>
      </c>
      <c r="K391" t="inlineStr">
        <is>
          <t>Male</t>
        </is>
      </c>
      <c r="L391" t="inlineStr">
        <is>
          <t>No focal subject</t>
        </is>
      </c>
      <c r="M391" t="n">
        <v>41.468</v>
      </c>
      <c r="N391" t="inlineStr">
        <is>
          <t>Explore_F</t>
        </is>
      </c>
      <c r="O391" t="inlineStr">
        <is>
          <t>Familiar</t>
        </is>
      </c>
      <c r="P391" t="inlineStr">
        <is>
          <t>STATE</t>
        </is>
      </c>
      <c r="Q391" t="n">
        <v>158.466</v>
      </c>
      <c r="R391" t="n">
        <v>158.866</v>
      </c>
      <c r="S391" t="n">
        <v>0.4</v>
      </c>
      <c r="T391" t="inlineStr">
        <is>
          <t>BTBR\training\c5m1.mp4</t>
        </is>
      </c>
      <c r="U391" t="n">
        <v>4754</v>
      </c>
      <c r="V391" t="n">
        <v>4766</v>
      </c>
      <c r="W391" t="n">
        <v/>
      </c>
      <c r="X391" t="n">
        <v/>
      </c>
      <c r="Y391" t="n">
        <v/>
      </c>
      <c r="Z391" t="n">
        <v/>
      </c>
      <c r="AA391">
        <f>SUMIFS($S$2:S391,$A$2:A391,A391,$N$2:N391,"Explore*")</f>
        <v/>
      </c>
      <c r="AB391">
        <f>IF(AND(LEFT(N391,7)="Explore",(AA391-IF(LEFT(N391,7)="Explore",S391,0))&lt;10),"SI","NO")</f>
        <v/>
      </c>
    </row>
    <row r="392">
      <c r="A392" t="inlineStr">
        <is>
          <t>c5m1_training</t>
        </is>
      </c>
      <c r="B392" t="inlineStr">
        <is>
          <t>2026-02-19 15:58:52.725</t>
        </is>
      </c>
      <c r="C392" t="n">
        <v/>
      </c>
      <c r="D392" t="inlineStr">
        <is>
          <t>Media file</t>
        </is>
      </c>
      <c r="E392" t="inlineStr">
        <is>
          <t>player #1:BTBR\training\c5m1.mp4</t>
        </is>
      </c>
      <c r="F392" t="n">
        <v>-11.1</v>
      </c>
      <c r="G392" t="n">
        <v>593.7</v>
      </c>
      <c r="H392" t="n">
        <v>726.833</v>
      </c>
      <c r="I392" t="n">
        <v>30</v>
      </c>
      <c r="J392" t="inlineStr">
        <is>
          <t>BTBR</t>
        </is>
      </c>
      <c r="K392" t="inlineStr">
        <is>
          <t>Male</t>
        </is>
      </c>
      <c r="L392" t="inlineStr">
        <is>
          <t>No focal subject</t>
        </is>
      </c>
      <c r="M392" t="n">
        <v>41.468</v>
      </c>
      <c r="N392" t="inlineStr">
        <is>
          <t>Explore_F2</t>
        </is>
      </c>
      <c r="O392" t="inlineStr">
        <is>
          <t>Second familiar</t>
        </is>
      </c>
      <c r="P392" t="inlineStr">
        <is>
          <t>STATE</t>
        </is>
      </c>
      <c r="Q392" t="n">
        <v>168.833</v>
      </c>
      <c r="R392" t="n">
        <v>169.466</v>
      </c>
      <c r="S392" t="n">
        <v>0.633</v>
      </c>
      <c r="T392" t="inlineStr">
        <is>
          <t>BTBR\training\c5m1.mp4</t>
        </is>
      </c>
      <c r="U392" t="n">
        <v>5065</v>
      </c>
      <c r="V392" t="n">
        <v>5084</v>
      </c>
      <c r="W392" t="n">
        <v/>
      </c>
      <c r="X392" t="n">
        <v/>
      </c>
      <c r="Y392" t="n">
        <v/>
      </c>
      <c r="Z392" t="n">
        <v/>
      </c>
      <c r="AA392">
        <f>SUMIFS($S$2:S392,$A$2:A392,A392,$N$2:N392,"Explore*")</f>
        <v/>
      </c>
      <c r="AB392">
        <f>IF(AND(LEFT(N392,7)="Explore",(AA392-IF(LEFT(N392,7)="Explore",S392,0))&lt;10),"SI","NO")</f>
        <v/>
      </c>
    </row>
    <row r="393">
      <c r="A393" t="inlineStr">
        <is>
          <t>c5m1_training</t>
        </is>
      </c>
      <c r="B393" t="inlineStr">
        <is>
          <t>2026-02-19 15:58:52.725</t>
        </is>
      </c>
      <c r="C393" t="n">
        <v/>
      </c>
      <c r="D393" t="inlineStr">
        <is>
          <t>Media file</t>
        </is>
      </c>
      <c r="E393" t="inlineStr">
        <is>
          <t>player #1:BTBR\training\c5m1.mp4</t>
        </is>
      </c>
      <c r="F393" t="n">
        <v>-11.1</v>
      </c>
      <c r="G393" t="n">
        <v>593.7</v>
      </c>
      <c r="H393" t="n">
        <v>726.833</v>
      </c>
      <c r="I393" t="n">
        <v>30</v>
      </c>
      <c r="J393" t="inlineStr">
        <is>
          <t>BTBR</t>
        </is>
      </c>
      <c r="K393" t="inlineStr">
        <is>
          <t>Male</t>
        </is>
      </c>
      <c r="L393" t="inlineStr">
        <is>
          <t>No focal subject</t>
        </is>
      </c>
      <c r="M393" t="n">
        <v>41.468</v>
      </c>
      <c r="N393" t="inlineStr">
        <is>
          <t>Explore_F</t>
        </is>
      </c>
      <c r="O393" t="inlineStr">
        <is>
          <t>Familiar</t>
        </is>
      </c>
      <c r="P393" t="inlineStr">
        <is>
          <t>STATE</t>
        </is>
      </c>
      <c r="Q393" t="n">
        <v>176.5</v>
      </c>
      <c r="R393" t="n">
        <v>176.9</v>
      </c>
      <c r="S393" t="n">
        <v>0.4</v>
      </c>
      <c r="T393" t="inlineStr">
        <is>
          <t>BTBR\training\c5m1.mp4</t>
        </is>
      </c>
      <c r="U393" t="n">
        <v>5297</v>
      </c>
      <c r="V393" t="n">
        <v>5307</v>
      </c>
      <c r="W393" t="n">
        <v/>
      </c>
      <c r="X393" t="n">
        <v/>
      </c>
      <c r="Y393" t="n">
        <v/>
      </c>
      <c r="Z393" t="n">
        <v/>
      </c>
      <c r="AA393">
        <f>SUMIFS($S$2:S393,$A$2:A393,A393,$N$2:N393,"Explore*")</f>
        <v/>
      </c>
      <c r="AB393">
        <f>IF(AND(LEFT(N393,7)="Explore",(AA393-IF(LEFT(N393,7)="Explore",S393,0))&lt;10),"SI","NO")</f>
        <v/>
      </c>
    </row>
    <row r="394">
      <c r="A394" t="inlineStr">
        <is>
          <t>c5m1_training</t>
        </is>
      </c>
      <c r="B394" t="inlineStr">
        <is>
          <t>2026-02-19 15:58:52.725</t>
        </is>
      </c>
      <c r="C394" t="n">
        <v/>
      </c>
      <c r="D394" t="inlineStr">
        <is>
          <t>Media file</t>
        </is>
      </c>
      <c r="E394" t="inlineStr">
        <is>
          <t>player #1:BTBR\training\c5m1.mp4</t>
        </is>
      </c>
      <c r="F394" t="n">
        <v>-11.1</v>
      </c>
      <c r="G394" t="n">
        <v>593.7</v>
      </c>
      <c r="H394" t="n">
        <v>726.833</v>
      </c>
      <c r="I394" t="n">
        <v>30</v>
      </c>
      <c r="J394" t="inlineStr">
        <is>
          <t>BTBR</t>
        </is>
      </c>
      <c r="K394" t="inlineStr">
        <is>
          <t>Male</t>
        </is>
      </c>
      <c r="L394" t="inlineStr">
        <is>
          <t>No focal subject</t>
        </is>
      </c>
      <c r="M394" t="n">
        <v>41.468</v>
      </c>
      <c r="N394" t="inlineStr">
        <is>
          <t>Explore_F</t>
        </is>
      </c>
      <c r="O394" t="inlineStr">
        <is>
          <t>Familiar</t>
        </is>
      </c>
      <c r="P394" t="inlineStr">
        <is>
          <t>STATE</t>
        </is>
      </c>
      <c r="Q394" t="n">
        <v>181.266</v>
      </c>
      <c r="R394" t="n">
        <v>181.933</v>
      </c>
      <c r="S394" t="n">
        <v>0.667</v>
      </c>
      <c r="T394" t="inlineStr">
        <is>
          <t>BTBR\training\c5m1.mp4</t>
        </is>
      </c>
      <c r="U394" t="n">
        <v>5438</v>
      </c>
      <c r="V394" t="n">
        <v>5458</v>
      </c>
      <c r="W394" t="n">
        <v/>
      </c>
      <c r="X394" t="n">
        <v/>
      </c>
      <c r="Y394" t="n">
        <v/>
      </c>
      <c r="Z394" t="n">
        <v/>
      </c>
      <c r="AA394">
        <f>SUMIFS($S$2:S394,$A$2:A394,A394,$N$2:N394,"Explore*")</f>
        <v/>
      </c>
      <c r="AB394">
        <f>IF(AND(LEFT(N394,7)="Explore",(AA394-IF(LEFT(N394,7)="Explore",S394,0))&lt;10),"SI","NO")</f>
        <v/>
      </c>
    </row>
    <row r="395">
      <c r="A395" t="inlineStr">
        <is>
          <t>c5m1_training</t>
        </is>
      </c>
      <c r="B395" t="inlineStr">
        <is>
          <t>2026-02-19 15:58:52.725</t>
        </is>
      </c>
      <c r="C395" t="n">
        <v/>
      </c>
      <c r="D395" t="inlineStr">
        <is>
          <t>Media file</t>
        </is>
      </c>
      <c r="E395" t="inlineStr">
        <is>
          <t>player #1:BTBR\training\c5m1.mp4</t>
        </is>
      </c>
      <c r="F395" t="n">
        <v>-11.1</v>
      </c>
      <c r="G395" t="n">
        <v>593.7</v>
      </c>
      <c r="H395" t="n">
        <v>726.833</v>
      </c>
      <c r="I395" t="n">
        <v>30</v>
      </c>
      <c r="J395" t="inlineStr">
        <is>
          <t>BTBR</t>
        </is>
      </c>
      <c r="K395" t="inlineStr">
        <is>
          <t>Male</t>
        </is>
      </c>
      <c r="L395" t="inlineStr">
        <is>
          <t>No focal subject</t>
        </is>
      </c>
      <c r="M395" t="n">
        <v>41.468</v>
      </c>
      <c r="N395" t="inlineStr">
        <is>
          <t>Explore_F2</t>
        </is>
      </c>
      <c r="O395" t="inlineStr">
        <is>
          <t>Second familiar</t>
        </is>
      </c>
      <c r="P395" t="inlineStr">
        <is>
          <t>STATE</t>
        </is>
      </c>
      <c r="Q395" t="n">
        <v>184.833</v>
      </c>
      <c r="R395" t="n">
        <v>185.466</v>
      </c>
      <c r="S395" t="n">
        <v>0.633</v>
      </c>
      <c r="T395" t="inlineStr">
        <is>
          <t>BTBR\training\c5m1.mp4</t>
        </is>
      </c>
      <c r="U395" t="n">
        <v>5545</v>
      </c>
      <c r="V395" t="n">
        <v>5564</v>
      </c>
      <c r="W395" t="n">
        <v/>
      </c>
      <c r="X395" t="n">
        <v/>
      </c>
      <c r="Y395" t="n">
        <v/>
      </c>
      <c r="Z395" t="n">
        <v/>
      </c>
      <c r="AA395">
        <f>SUMIFS($S$2:S395,$A$2:A395,A395,$N$2:N395,"Explore*")</f>
        <v/>
      </c>
      <c r="AB395">
        <f>IF(AND(LEFT(N395,7)="Explore",(AA395-IF(LEFT(N395,7)="Explore",S395,0))&lt;10),"SI","NO")</f>
        <v/>
      </c>
    </row>
    <row r="396">
      <c r="A396" t="inlineStr">
        <is>
          <t>c5m1_training</t>
        </is>
      </c>
      <c r="B396" t="inlineStr">
        <is>
          <t>2026-02-19 15:58:52.725</t>
        </is>
      </c>
      <c r="C396" t="n">
        <v/>
      </c>
      <c r="D396" t="inlineStr">
        <is>
          <t>Media file</t>
        </is>
      </c>
      <c r="E396" t="inlineStr">
        <is>
          <t>player #1:BTBR\training\c5m1.mp4</t>
        </is>
      </c>
      <c r="F396" t="n">
        <v>-11.1</v>
      </c>
      <c r="G396" t="n">
        <v>593.7</v>
      </c>
      <c r="H396" t="n">
        <v>726.833</v>
      </c>
      <c r="I396" t="n">
        <v>30</v>
      </c>
      <c r="J396" t="inlineStr">
        <is>
          <t>BTBR</t>
        </is>
      </c>
      <c r="K396" t="inlineStr">
        <is>
          <t>Male</t>
        </is>
      </c>
      <c r="L396" t="inlineStr">
        <is>
          <t>No focal subject</t>
        </is>
      </c>
      <c r="M396" t="n">
        <v>41.468</v>
      </c>
      <c r="N396" t="inlineStr">
        <is>
          <t>Explore_F</t>
        </is>
      </c>
      <c r="O396" t="inlineStr">
        <is>
          <t>Familiar</t>
        </is>
      </c>
      <c r="P396" t="inlineStr">
        <is>
          <t>STATE</t>
        </is>
      </c>
      <c r="Q396" t="n">
        <v>188.666</v>
      </c>
      <c r="R396" t="n">
        <v>189.133</v>
      </c>
      <c r="S396" t="n">
        <v>0.467</v>
      </c>
      <c r="T396" t="inlineStr">
        <is>
          <t>BTBR\training\c5m1.mp4</t>
        </is>
      </c>
      <c r="U396" t="n">
        <v>5660</v>
      </c>
      <c r="V396" t="n">
        <v>5674</v>
      </c>
      <c r="W396" t="n">
        <v/>
      </c>
      <c r="X396" t="n">
        <v/>
      </c>
      <c r="Y396" t="n">
        <v/>
      </c>
      <c r="Z396" t="n">
        <v/>
      </c>
      <c r="AA396">
        <f>SUMIFS($S$2:S396,$A$2:A396,A396,$N$2:N396,"Explore*")</f>
        <v/>
      </c>
      <c r="AB396">
        <f>IF(AND(LEFT(N396,7)="Explore",(AA396-IF(LEFT(N396,7)="Explore",S396,0))&lt;10),"SI","NO")</f>
        <v/>
      </c>
    </row>
    <row r="397">
      <c r="A397" t="inlineStr">
        <is>
          <t>c5m1_training</t>
        </is>
      </c>
      <c r="B397" t="inlineStr">
        <is>
          <t>2026-02-19 15:58:52.725</t>
        </is>
      </c>
      <c r="C397" t="n">
        <v/>
      </c>
      <c r="D397" t="inlineStr">
        <is>
          <t>Media file</t>
        </is>
      </c>
      <c r="E397" t="inlineStr">
        <is>
          <t>player #1:BTBR\training\c5m1.mp4</t>
        </is>
      </c>
      <c r="F397" t="n">
        <v>-11.1</v>
      </c>
      <c r="G397" t="n">
        <v>593.7</v>
      </c>
      <c r="H397" t="n">
        <v>726.833</v>
      </c>
      <c r="I397" t="n">
        <v>30</v>
      </c>
      <c r="J397" t="inlineStr">
        <is>
          <t>BTBR</t>
        </is>
      </c>
      <c r="K397" t="inlineStr">
        <is>
          <t>Male</t>
        </is>
      </c>
      <c r="L397" t="inlineStr">
        <is>
          <t>No focal subject</t>
        </is>
      </c>
      <c r="M397" t="n">
        <v>41.468</v>
      </c>
      <c r="N397" t="inlineStr">
        <is>
          <t>Explore_F</t>
        </is>
      </c>
      <c r="O397" t="inlineStr">
        <is>
          <t>Familiar</t>
        </is>
      </c>
      <c r="P397" t="inlineStr">
        <is>
          <t>STATE</t>
        </is>
      </c>
      <c r="Q397" t="n">
        <v>198.833</v>
      </c>
      <c r="R397" t="n">
        <v>199.3</v>
      </c>
      <c r="S397" t="n">
        <v>0.467</v>
      </c>
      <c r="T397" t="inlineStr">
        <is>
          <t>BTBR\training\c5m1.mp4</t>
        </is>
      </c>
      <c r="U397" t="n">
        <v>5965</v>
      </c>
      <c r="V397" t="n">
        <v>5979</v>
      </c>
      <c r="W397" t="n">
        <v/>
      </c>
      <c r="X397" t="n">
        <v/>
      </c>
      <c r="Y397" t="n">
        <v/>
      </c>
      <c r="Z397" t="n">
        <v/>
      </c>
      <c r="AA397">
        <f>SUMIFS($S$2:S397,$A$2:A397,A397,$N$2:N397,"Explore*")</f>
        <v/>
      </c>
      <c r="AB397">
        <f>IF(AND(LEFT(N397,7)="Explore",(AA397-IF(LEFT(N397,7)="Explore",S397,0))&lt;10),"SI","NO")</f>
        <v/>
      </c>
    </row>
    <row r="398">
      <c r="A398" t="inlineStr">
        <is>
          <t>c5m1_training</t>
        </is>
      </c>
      <c r="B398" t="inlineStr">
        <is>
          <t>2026-02-19 15:58:52.725</t>
        </is>
      </c>
      <c r="C398" t="n">
        <v/>
      </c>
      <c r="D398" t="inlineStr">
        <is>
          <t>Media file</t>
        </is>
      </c>
      <c r="E398" t="inlineStr">
        <is>
          <t>player #1:BTBR\training\c5m1.mp4</t>
        </is>
      </c>
      <c r="F398" t="n">
        <v>-11.1</v>
      </c>
      <c r="G398" t="n">
        <v>593.7</v>
      </c>
      <c r="H398" t="n">
        <v>726.833</v>
      </c>
      <c r="I398" t="n">
        <v>30</v>
      </c>
      <c r="J398" t="inlineStr">
        <is>
          <t>BTBR</t>
        </is>
      </c>
      <c r="K398" t="inlineStr">
        <is>
          <t>Male</t>
        </is>
      </c>
      <c r="L398" t="inlineStr">
        <is>
          <t>No focal subject</t>
        </is>
      </c>
      <c r="M398" t="n">
        <v>41.468</v>
      </c>
      <c r="N398" t="inlineStr">
        <is>
          <t>Explore_F2</t>
        </is>
      </c>
      <c r="O398" t="inlineStr">
        <is>
          <t>Second familiar</t>
        </is>
      </c>
      <c r="P398" t="inlineStr">
        <is>
          <t>STATE</t>
        </is>
      </c>
      <c r="Q398" t="n">
        <v>208.233</v>
      </c>
      <c r="R398" t="n">
        <v>209</v>
      </c>
      <c r="S398" t="n">
        <v>0.767</v>
      </c>
      <c r="T398" t="inlineStr">
        <is>
          <t>BTBR\training\c5m1.mp4</t>
        </is>
      </c>
      <c r="U398" t="n">
        <v>6247</v>
      </c>
      <c r="V398" t="n">
        <v>6272</v>
      </c>
      <c r="W398" t="n">
        <v/>
      </c>
      <c r="X398" t="n">
        <v/>
      </c>
      <c r="Y398" t="n">
        <v/>
      </c>
      <c r="Z398" t="n">
        <v/>
      </c>
      <c r="AA398">
        <f>SUMIFS($S$2:S398,$A$2:A398,A398,$N$2:N398,"Explore*")</f>
        <v/>
      </c>
      <c r="AB398">
        <f>IF(AND(LEFT(N398,7)="Explore",(AA398-IF(LEFT(N398,7)="Explore",S398,0))&lt;10),"SI","NO")</f>
        <v/>
      </c>
    </row>
    <row r="399">
      <c r="A399" t="inlineStr">
        <is>
          <t>c5m1_training</t>
        </is>
      </c>
      <c r="B399" t="inlineStr">
        <is>
          <t>2026-02-19 15:58:52.725</t>
        </is>
      </c>
      <c r="C399" t="n">
        <v/>
      </c>
      <c r="D399" t="inlineStr">
        <is>
          <t>Media file</t>
        </is>
      </c>
      <c r="E399" t="inlineStr">
        <is>
          <t>player #1:BTBR\training\c5m1.mp4</t>
        </is>
      </c>
      <c r="F399" t="n">
        <v>-11.1</v>
      </c>
      <c r="G399" t="n">
        <v>593.7</v>
      </c>
      <c r="H399" t="n">
        <v>726.833</v>
      </c>
      <c r="I399" t="n">
        <v>30</v>
      </c>
      <c r="J399" t="inlineStr">
        <is>
          <t>BTBR</t>
        </is>
      </c>
      <c r="K399" t="inlineStr">
        <is>
          <t>Male</t>
        </is>
      </c>
      <c r="L399" t="inlineStr">
        <is>
          <t>No focal subject</t>
        </is>
      </c>
      <c r="M399" t="n">
        <v>41.468</v>
      </c>
      <c r="N399" t="inlineStr">
        <is>
          <t>Explore_F</t>
        </is>
      </c>
      <c r="O399" t="inlineStr">
        <is>
          <t>Familiar</t>
        </is>
      </c>
      <c r="P399" t="inlineStr">
        <is>
          <t>STATE</t>
        </is>
      </c>
      <c r="Q399" t="n">
        <v>209.5</v>
      </c>
      <c r="R399" t="n">
        <v>210.133</v>
      </c>
      <c r="S399" t="n">
        <v>0.633</v>
      </c>
      <c r="T399" t="inlineStr">
        <is>
          <t>BTBR\training\c5m1.mp4</t>
        </is>
      </c>
      <c r="U399" t="n">
        <v>6287</v>
      </c>
      <c r="V399" t="n">
        <v>6304</v>
      </c>
      <c r="W399" t="n">
        <v/>
      </c>
      <c r="X399" t="n">
        <v/>
      </c>
      <c r="Y399" t="n">
        <v/>
      </c>
      <c r="Z399" t="n">
        <v/>
      </c>
      <c r="AA399">
        <f>SUMIFS($S$2:S399,$A$2:A399,A399,$N$2:N399,"Explore*")</f>
        <v/>
      </c>
      <c r="AB399">
        <f>IF(AND(LEFT(N399,7)="Explore",(AA399-IF(LEFT(N399,7)="Explore",S399,0))&lt;10),"SI","NO")</f>
        <v/>
      </c>
    </row>
    <row r="400">
      <c r="A400" t="inlineStr">
        <is>
          <t>c5m1_training</t>
        </is>
      </c>
      <c r="B400" t="inlineStr">
        <is>
          <t>2026-02-19 15:58:52.725</t>
        </is>
      </c>
      <c r="C400" t="n">
        <v/>
      </c>
      <c r="D400" t="inlineStr">
        <is>
          <t>Media file</t>
        </is>
      </c>
      <c r="E400" t="inlineStr">
        <is>
          <t>player #1:BTBR\training\c5m1.mp4</t>
        </is>
      </c>
      <c r="F400" t="n">
        <v>-11.1</v>
      </c>
      <c r="G400" t="n">
        <v>593.7</v>
      </c>
      <c r="H400" t="n">
        <v>726.833</v>
      </c>
      <c r="I400" t="n">
        <v>30</v>
      </c>
      <c r="J400" t="inlineStr">
        <is>
          <t>BTBR</t>
        </is>
      </c>
      <c r="K400" t="inlineStr">
        <is>
          <t>Male</t>
        </is>
      </c>
      <c r="L400" t="inlineStr">
        <is>
          <t>No focal subject</t>
        </is>
      </c>
      <c r="M400" t="n">
        <v>41.468</v>
      </c>
      <c r="N400" t="inlineStr">
        <is>
          <t>Explore_F</t>
        </is>
      </c>
      <c r="O400" t="inlineStr">
        <is>
          <t>Familiar</t>
        </is>
      </c>
      <c r="P400" t="inlineStr">
        <is>
          <t>STATE</t>
        </is>
      </c>
      <c r="Q400" t="n">
        <v>216.033</v>
      </c>
      <c r="R400" t="n">
        <v>216.3</v>
      </c>
      <c r="S400" t="n">
        <v>0.267</v>
      </c>
      <c r="T400" t="inlineStr">
        <is>
          <t>BTBR\training\c5m1.mp4</t>
        </is>
      </c>
      <c r="U400" t="n">
        <v>6482</v>
      </c>
      <c r="V400" t="n">
        <v>6489</v>
      </c>
      <c r="W400" t="n">
        <v/>
      </c>
      <c r="X400" t="n">
        <v/>
      </c>
      <c r="Y400" t="n">
        <v/>
      </c>
      <c r="Z400" t="n">
        <v/>
      </c>
      <c r="AA400">
        <f>SUMIFS($S$2:S400,$A$2:A400,A400,$N$2:N400,"Explore*")</f>
        <v/>
      </c>
      <c r="AB400">
        <f>IF(AND(LEFT(N400,7)="Explore",(AA400-IF(LEFT(N400,7)="Explore",S400,0))&lt;10),"SI","NO")</f>
        <v/>
      </c>
    </row>
    <row r="401">
      <c r="A401" t="inlineStr">
        <is>
          <t>c5m1_training</t>
        </is>
      </c>
      <c r="B401" t="inlineStr">
        <is>
          <t>2026-02-19 15:58:52.725</t>
        </is>
      </c>
      <c r="C401" t="n">
        <v/>
      </c>
      <c r="D401" t="inlineStr">
        <is>
          <t>Media file</t>
        </is>
      </c>
      <c r="E401" t="inlineStr">
        <is>
          <t>player #1:BTBR\training\c5m1.mp4</t>
        </is>
      </c>
      <c r="F401" t="n">
        <v>-11.1</v>
      </c>
      <c r="G401" t="n">
        <v>593.7</v>
      </c>
      <c r="H401" t="n">
        <v>726.833</v>
      </c>
      <c r="I401" t="n">
        <v>30</v>
      </c>
      <c r="J401" t="inlineStr">
        <is>
          <t>BTBR</t>
        </is>
      </c>
      <c r="K401" t="inlineStr">
        <is>
          <t>Male</t>
        </is>
      </c>
      <c r="L401" t="inlineStr">
        <is>
          <t>No focal subject</t>
        </is>
      </c>
      <c r="M401" t="n">
        <v>41.468</v>
      </c>
      <c r="N401" t="inlineStr">
        <is>
          <t>Explore_F</t>
        </is>
      </c>
      <c r="O401" t="inlineStr">
        <is>
          <t>Familiar</t>
        </is>
      </c>
      <c r="P401" t="inlineStr">
        <is>
          <t>STATE</t>
        </is>
      </c>
      <c r="Q401" t="n">
        <v>216.933</v>
      </c>
      <c r="R401" t="n">
        <v>217.4</v>
      </c>
      <c r="S401" t="n">
        <v>0.467</v>
      </c>
      <c r="T401" t="inlineStr">
        <is>
          <t>BTBR\training\c5m1.mp4</t>
        </is>
      </c>
      <c r="U401" t="n">
        <v>6508</v>
      </c>
      <c r="V401" t="n">
        <v>6522</v>
      </c>
      <c r="W401" t="n">
        <v/>
      </c>
      <c r="X401" t="n">
        <v/>
      </c>
      <c r="Y401" t="n">
        <v/>
      </c>
      <c r="Z401" t="n">
        <v/>
      </c>
      <c r="AA401">
        <f>SUMIFS($S$2:S401,$A$2:A401,A401,$N$2:N401,"Explore*")</f>
        <v/>
      </c>
      <c r="AB401">
        <f>IF(AND(LEFT(N401,7)="Explore",(AA401-IF(LEFT(N401,7)="Explore",S401,0))&lt;10),"SI","NO")</f>
        <v/>
      </c>
    </row>
    <row r="402">
      <c r="A402" t="inlineStr">
        <is>
          <t>c5m1_training</t>
        </is>
      </c>
      <c r="B402" t="inlineStr">
        <is>
          <t>2026-02-19 15:58:52.725</t>
        </is>
      </c>
      <c r="C402" t="n">
        <v/>
      </c>
      <c r="D402" t="inlineStr">
        <is>
          <t>Media file</t>
        </is>
      </c>
      <c r="E402" t="inlineStr">
        <is>
          <t>player #1:BTBR\training\c5m1.mp4</t>
        </is>
      </c>
      <c r="F402" t="n">
        <v>-11.1</v>
      </c>
      <c r="G402" t="n">
        <v>593.7</v>
      </c>
      <c r="H402" t="n">
        <v>726.833</v>
      </c>
      <c r="I402" t="n">
        <v>30</v>
      </c>
      <c r="J402" t="inlineStr">
        <is>
          <t>BTBR</t>
        </is>
      </c>
      <c r="K402" t="inlineStr">
        <is>
          <t>Male</t>
        </is>
      </c>
      <c r="L402" t="inlineStr">
        <is>
          <t>No focal subject</t>
        </is>
      </c>
      <c r="M402" t="n">
        <v>41.468</v>
      </c>
      <c r="N402" t="inlineStr">
        <is>
          <t>Explore_F2</t>
        </is>
      </c>
      <c r="O402" t="inlineStr">
        <is>
          <t>Second familiar</t>
        </is>
      </c>
      <c r="P402" t="inlineStr">
        <is>
          <t>STATE</t>
        </is>
      </c>
      <c r="Q402" t="n">
        <v>219.1</v>
      </c>
      <c r="R402" t="n">
        <v>219.7</v>
      </c>
      <c r="S402" t="n">
        <v>0.6</v>
      </c>
      <c r="T402" t="inlineStr">
        <is>
          <t>BTBR\training\c5m1.mp4</t>
        </is>
      </c>
      <c r="U402" t="n">
        <v>6573</v>
      </c>
      <c r="V402" t="n">
        <v>6591</v>
      </c>
      <c r="W402" t="n">
        <v/>
      </c>
      <c r="X402" t="n">
        <v/>
      </c>
      <c r="Y402" t="n">
        <v/>
      </c>
      <c r="Z402" t="n">
        <v/>
      </c>
      <c r="AA402">
        <f>SUMIFS($S$2:S402,$A$2:A402,A402,$N$2:N402,"Explore*")</f>
        <v/>
      </c>
      <c r="AB402">
        <f>IF(AND(LEFT(N402,7)="Explore",(AA402-IF(LEFT(N402,7)="Explore",S402,0))&lt;10),"SI","NO")</f>
        <v/>
      </c>
    </row>
    <row r="403">
      <c r="A403" t="inlineStr">
        <is>
          <t>c5m1_training</t>
        </is>
      </c>
      <c r="B403" t="inlineStr">
        <is>
          <t>2026-02-19 15:58:52.725</t>
        </is>
      </c>
      <c r="C403" t="n">
        <v/>
      </c>
      <c r="D403" t="inlineStr">
        <is>
          <t>Media file</t>
        </is>
      </c>
      <c r="E403" t="inlineStr">
        <is>
          <t>player #1:BTBR\training\c5m1.mp4</t>
        </is>
      </c>
      <c r="F403" t="n">
        <v>-11.1</v>
      </c>
      <c r="G403" t="n">
        <v>593.7</v>
      </c>
      <c r="H403" t="n">
        <v>726.833</v>
      </c>
      <c r="I403" t="n">
        <v>30</v>
      </c>
      <c r="J403" t="inlineStr">
        <is>
          <t>BTBR</t>
        </is>
      </c>
      <c r="K403" t="inlineStr">
        <is>
          <t>Male</t>
        </is>
      </c>
      <c r="L403" t="inlineStr">
        <is>
          <t>No focal subject</t>
        </is>
      </c>
      <c r="M403" t="n">
        <v>41.468</v>
      </c>
      <c r="N403" t="inlineStr">
        <is>
          <t>Explore_F2</t>
        </is>
      </c>
      <c r="O403" t="inlineStr">
        <is>
          <t>Second familiar</t>
        </is>
      </c>
      <c r="P403" t="inlineStr">
        <is>
          <t>STATE</t>
        </is>
      </c>
      <c r="Q403" t="n">
        <v>230.5</v>
      </c>
      <c r="R403" t="n">
        <v>230.866</v>
      </c>
      <c r="S403" t="n">
        <v>0.366</v>
      </c>
      <c r="T403" t="inlineStr">
        <is>
          <t>BTBR\training\c5m1.mp4</t>
        </is>
      </c>
      <c r="U403" t="n">
        <v>6917</v>
      </c>
      <c r="V403" t="n">
        <v>6926</v>
      </c>
      <c r="W403" t="n">
        <v/>
      </c>
      <c r="X403" t="n">
        <v/>
      </c>
      <c r="Y403" t="n">
        <v/>
      </c>
      <c r="Z403" t="n">
        <v/>
      </c>
      <c r="AA403">
        <f>SUMIFS($S$2:S403,$A$2:A403,A403,$N$2:N403,"Explore*")</f>
        <v/>
      </c>
      <c r="AB403">
        <f>IF(AND(LEFT(N403,7)="Explore",(AA403-IF(LEFT(N403,7)="Explore",S403,0))&lt;10),"SI","NO")</f>
        <v/>
      </c>
    </row>
    <row r="404">
      <c r="A404" t="inlineStr">
        <is>
          <t>c5m1_training</t>
        </is>
      </c>
      <c r="B404" t="inlineStr">
        <is>
          <t>2026-02-19 15:58:52.725</t>
        </is>
      </c>
      <c r="C404" t="n">
        <v/>
      </c>
      <c r="D404" t="inlineStr">
        <is>
          <t>Media file</t>
        </is>
      </c>
      <c r="E404" t="inlineStr">
        <is>
          <t>player #1:BTBR\training\c5m1.mp4</t>
        </is>
      </c>
      <c r="F404" t="n">
        <v>-11.1</v>
      </c>
      <c r="G404" t="n">
        <v>593.7</v>
      </c>
      <c r="H404" t="n">
        <v>726.833</v>
      </c>
      <c r="I404" t="n">
        <v>30</v>
      </c>
      <c r="J404" t="inlineStr">
        <is>
          <t>BTBR</t>
        </is>
      </c>
      <c r="K404" t="inlineStr">
        <is>
          <t>Male</t>
        </is>
      </c>
      <c r="L404" t="inlineStr">
        <is>
          <t>No focal subject</t>
        </is>
      </c>
      <c r="M404" t="n">
        <v>41.468</v>
      </c>
      <c r="N404" t="inlineStr">
        <is>
          <t>Explore_F</t>
        </is>
      </c>
      <c r="O404" t="inlineStr">
        <is>
          <t>Familiar</t>
        </is>
      </c>
      <c r="P404" t="inlineStr">
        <is>
          <t>STATE</t>
        </is>
      </c>
      <c r="Q404" t="n">
        <v>236.866</v>
      </c>
      <c r="R404" t="n">
        <v>237.133</v>
      </c>
      <c r="S404" t="n">
        <v>0.267</v>
      </c>
      <c r="T404" t="inlineStr">
        <is>
          <t>BTBR\training\c5m1.mp4</t>
        </is>
      </c>
      <c r="U404" t="n">
        <v>7106</v>
      </c>
      <c r="V404" t="n">
        <v>7114</v>
      </c>
      <c r="W404" t="n">
        <v/>
      </c>
      <c r="X404" t="n">
        <v/>
      </c>
      <c r="Y404" t="n">
        <v/>
      </c>
      <c r="Z404" t="n">
        <v/>
      </c>
      <c r="AA404">
        <f>SUMIFS($S$2:S404,$A$2:A404,A404,$N$2:N404,"Explore*")</f>
        <v/>
      </c>
      <c r="AB404">
        <f>IF(AND(LEFT(N404,7)="Explore",(AA404-IF(LEFT(N404,7)="Explore",S404,0))&lt;10),"SI","NO")</f>
        <v/>
      </c>
    </row>
    <row r="405">
      <c r="A405" t="inlineStr">
        <is>
          <t>c5m1_training</t>
        </is>
      </c>
      <c r="B405" t="inlineStr">
        <is>
          <t>2026-02-19 15:58:52.725</t>
        </is>
      </c>
      <c r="C405" t="n">
        <v/>
      </c>
      <c r="D405" t="inlineStr">
        <is>
          <t>Media file</t>
        </is>
      </c>
      <c r="E405" t="inlineStr">
        <is>
          <t>player #1:BTBR\training\c5m1.mp4</t>
        </is>
      </c>
      <c r="F405" t="n">
        <v>-11.1</v>
      </c>
      <c r="G405" t="n">
        <v>593.7</v>
      </c>
      <c r="H405" t="n">
        <v>726.833</v>
      </c>
      <c r="I405" t="n">
        <v>30</v>
      </c>
      <c r="J405" t="inlineStr">
        <is>
          <t>BTBR</t>
        </is>
      </c>
      <c r="K405" t="inlineStr">
        <is>
          <t>Male</t>
        </is>
      </c>
      <c r="L405" t="inlineStr">
        <is>
          <t>No focal subject</t>
        </is>
      </c>
      <c r="M405" t="n">
        <v>41.468</v>
      </c>
      <c r="N405" t="inlineStr">
        <is>
          <t>Explore_F2</t>
        </is>
      </c>
      <c r="O405" t="inlineStr">
        <is>
          <t>Second familiar</t>
        </is>
      </c>
      <c r="P405" t="inlineStr">
        <is>
          <t>STATE</t>
        </is>
      </c>
      <c r="Q405" t="n">
        <v>259.6</v>
      </c>
      <c r="R405" t="n">
        <v>260.133</v>
      </c>
      <c r="S405" t="n">
        <v>0.533</v>
      </c>
      <c r="T405" t="inlineStr">
        <is>
          <t>BTBR\training\c5m1.mp4</t>
        </is>
      </c>
      <c r="U405" t="n">
        <v>7788</v>
      </c>
      <c r="V405" t="n">
        <v>7804</v>
      </c>
      <c r="W405" t="n">
        <v/>
      </c>
      <c r="X405" t="n">
        <v/>
      </c>
      <c r="Y405" t="n">
        <v/>
      </c>
      <c r="Z405" t="n">
        <v/>
      </c>
      <c r="AA405">
        <f>SUMIFS($S$2:S405,$A$2:A405,A405,$N$2:N405,"Explore*")</f>
        <v/>
      </c>
      <c r="AB405">
        <f>IF(AND(LEFT(N405,7)="Explore",(AA405-IF(LEFT(N405,7)="Explore",S405,0))&lt;10),"SI","NO")</f>
        <v/>
      </c>
    </row>
    <row r="406">
      <c r="A406" t="inlineStr">
        <is>
          <t>c5m1_training</t>
        </is>
      </c>
      <c r="B406" t="inlineStr">
        <is>
          <t>2026-02-19 15:58:52.725</t>
        </is>
      </c>
      <c r="C406" t="n">
        <v/>
      </c>
      <c r="D406" t="inlineStr">
        <is>
          <t>Media file</t>
        </is>
      </c>
      <c r="E406" t="inlineStr">
        <is>
          <t>player #1:BTBR\training\c5m1.mp4</t>
        </is>
      </c>
      <c r="F406" t="n">
        <v>-11.1</v>
      </c>
      <c r="G406" t="n">
        <v>593.7</v>
      </c>
      <c r="H406" t="n">
        <v>726.833</v>
      </c>
      <c r="I406" t="n">
        <v>30</v>
      </c>
      <c r="J406" t="inlineStr">
        <is>
          <t>BTBR</t>
        </is>
      </c>
      <c r="K406" t="inlineStr">
        <is>
          <t>Male</t>
        </is>
      </c>
      <c r="L406" t="inlineStr">
        <is>
          <t>No focal subject</t>
        </is>
      </c>
      <c r="M406" t="n">
        <v>41.468</v>
      </c>
      <c r="N406" t="inlineStr">
        <is>
          <t>Explore_F</t>
        </is>
      </c>
      <c r="O406" t="inlineStr">
        <is>
          <t>Familiar</t>
        </is>
      </c>
      <c r="P406" t="inlineStr">
        <is>
          <t>STATE</t>
        </is>
      </c>
      <c r="Q406" t="n">
        <v>263.733</v>
      </c>
      <c r="R406" t="n">
        <v>264.266</v>
      </c>
      <c r="S406" t="n">
        <v>0.533</v>
      </c>
      <c r="T406" t="inlineStr">
        <is>
          <t>BTBR\training\c5m1.mp4</t>
        </is>
      </c>
      <c r="U406" t="n">
        <v>7912</v>
      </c>
      <c r="V406" t="n">
        <v>7928</v>
      </c>
      <c r="W406" t="n">
        <v/>
      </c>
      <c r="X406" t="n">
        <v/>
      </c>
      <c r="Y406" t="n">
        <v/>
      </c>
      <c r="Z406" t="n">
        <v/>
      </c>
      <c r="AA406">
        <f>SUMIFS($S$2:S406,$A$2:A406,A406,$N$2:N406,"Explore*")</f>
        <v/>
      </c>
      <c r="AB406">
        <f>IF(AND(LEFT(N406,7)="Explore",(AA406-IF(LEFT(N406,7)="Explore",S406,0))&lt;10),"SI","NO")</f>
        <v/>
      </c>
    </row>
    <row r="407">
      <c r="A407" t="inlineStr">
        <is>
          <t>c5m1_training</t>
        </is>
      </c>
      <c r="B407" t="inlineStr">
        <is>
          <t>2026-02-19 15:58:52.725</t>
        </is>
      </c>
      <c r="C407" t="n">
        <v/>
      </c>
      <c r="D407" t="inlineStr">
        <is>
          <t>Media file</t>
        </is>
      </c>
      <c r="E407" t="inlineStr">
        <is>
          <t>player #1:BTBR\training\c5m1.mp4</t>
        </is>
      </c>
      <c r="F407" t="n">
        <v>-11.1</v>
      </c>
      <c r="G407" t="n">
        <v>593.7</v>
      </c>
      <c r="H407" t="n">
        <v>726.833</v>
      </c>
      <c r="I407" t="n">
        <v>30</v>
      </c>
      <c r="J407" t="inlineStr">
        <is>
          <t>BTBR</t>
        </is>
      </c>
      <c r="K407" t="inlineStr">
        <is>
          <t>Male</t>
        </is>
      </c>
      <c r="L407" t="inlineStr">
        <is>
          <t>No focal subject</t>
        </is>
      </c>
      <c r="M407" t="n">
        <v>41.468</v>
      </c>
      <c r="N407" t="inlineStr">
        <is>
          <t>Explore_F2</t>
        </is>
      </c>
      <c r="O407" t="inlineStr">
        <is>
          <t>Second familiar</t>
        </is>
      </c>
      <c r="P407" t="inlineStr">
        <is>
          <t>STATE</t>
        </is>
      </c>
      <c r="Q407" t="n">
        <v>277.266</v>
      </c>
      <c r="R407" t="n">
        <v>278.133</v>
      </c>
      <c r="S407" t="n">
        <v>0.867</v>
      </c>
      <c r="T407" t="inlineStr">
        <is>
          <t>BTBR\training\c5m1.mp4</t>
        </is>
      </c>
      <c r="U407" t="n">
        <v>8318</v>
      </c>
      <c r="V407" t="n">
        <v>8344</v>
      </c>
      <c r="W407" t="n">
        <v/>
      </c>
      <c r="X407" t="n">
        <v/>
      </c>
      <c r="Y407" t="n">
        <v/>
      </c>
      <c r="Z407" t="n">
        <v/>
      </c>
      <c r="AA407">
        <f>SUMIFS($S$2:S407,$A$2:A407,A407,$N$2:N407,"Explore*")</f>
        <v/>
      </c>
      <c r="AB407">
        <f>IF(AND(LEFT(N407,7)="Explore",(AA407-IF(LEFT(N407,7)="Explore",S407,0))&lt;10),"SI","NO")</f>
        <v/>
      </c>
    </row>
    <row r="408">
      <c r="A408" t="inlineStr">
        <is>
          <t>c5m1_training</t>
        </is>
      </c>
      <c r="B408" t="inlineStr">
        <is>
          <t>2026-02-19 15:58:52.725</t>
        </is>
      </c>
      <c r="C408" t="n">
        <v/>
      </c>
      <c r="D408" t="inlineStr">
        <is>
          <t>Media file</t>
        </is>
      </c>
      <c r="E408" t="inlineStr">
        <is>
          <t>player #1:BTBR\training\c5m1.mp4</t>
        </is>
      </c>
      <c r="F408" t="n">
        <v>-11.1</v>
      </c>
      <c r="G408" t="n">
        <v>593.7</v>
      </c>
      <c r="H408" t="n">
        <v>726.833</v>
      </c>
      <c r="I408" t="n">
        <v>30</v>
      </c>
      <c r="J408" t="inlineStr">
        <is>
          <t>BTBR</t>
        </is>
      </c>
      <c r="K408" t="inlineStr">
        <is>
          <t>Male</t>
        </is>
      </c>
      <c r="L408" t="inlineStr">
        <is>
          <t>No focal subject</t>
        </is>
      </c>
      <c r="M408" t="n">
        <v>41.468</v>
      </c>
      <c r="N408" t="inlineStr">
        <is>
          <t>Explore_F2</t>
        </is>
      </c>
      <c r="O408" t="inlineStr">
        <is>
          <t>Second familiar</t>
        </is>
      </c>
      <c r="P408" t="inlineStr">
        <is>
          <t>STATE</t>
        </is>
      </c>
      <c r="Q408" t="n">
        <v>287.5</v>
      </c>
      <c r="R408" t="n">
        <v>288.033</v>
      </c>
      <c r="S408" t="n">
        <v>0.533</v>
      </c>
      <c r="T408" t="inlineStr">
        <is>
          <t>BTBR\training\c5m1.mp4</t>
        </is>
      </c>
      <c r="U408" t="n">
        <v>8627</v>
      </c>
      <c r="V408" t="n">
        <v>8642</v>
      </c>
      <c r="W408" t="n">
        <v/>
      </c>
      <c r="X408" t="n">
        <v/>
      </c>
      <c r="Y408" t="n">
        <v/>
      </c>
      <c r="Z408" t="n">
        <v/>
      </c>
      <c r="AA408">
        <f>SUMIFS($S$2:S408,$A$2:A408,A408,$N$2:N408,"Explore*")</f>
        <v/>
      </c>
      <c r="AB408">
        <f>IF(AND(LEFT(N408,7)="Explore",(AA408-IF(LEFT(N408,7)="Explore",S408,0))&lt;10),"SI","NO")</f>
        <v/>
      </c>
    </row>
    <row r="409">
      <c r="A409" t="inlineStr">
        <is>
          <t>c5m1_training</t>
        </is>
      </c>
      <c r="B409" t="inlineStr">
        <is>
          <t>2026-02-19 15:58:52.725</t>
        </is>
      </c>
      <c r="C409" t="n">
        <v/>
      </c>
      <c r="D409" t="inlineStr">
        <is>
          <t>Media file</t>
        </is>
      </c>
      <c r="E409" t="inlineStr">
        <is>
          <t>player #1:BTBR\training\c5m1.mp4</t>
        </is>
      </c>
      <c r="F409" t="n">
        <v>-11.1</v>
      </c>
      <c r="G409" t="n">
        <v>593.7</v>
      </c>
      <c r="H409" t="n">
        <v>726.833</v>
      </c>
      <c r="I409" t="n">
        <v>30</v>
      </c>
      <c r="J409" t="inlineStr">
        <is>
          <t>BTBR</t>
        </is>
      </c>
      <c r="K409" t="inlineStr">
        <is>
          <t>Male</t>
        </is>
      </c>
      <c r="L409" t="inlineStr">
        <is>
          <t>No focal subject</t>
        </is>
      </c>
      <c r="M409" t="n">
        <v>41.468</v>
      </c>
      <c r="N409" t="inlineStr">
        <is>
          <t>Explore_F2</t>
        </is>
      </c>
      <c r="O409" t="inlineStr">
        <is>
          <t>Second familiar</t>
        </is>
      </c>
      <c r="P409" t="inlineStr">
        <is>
          <t>STATE</t>
        </is>
      </c>
      <c r="Q409" t="n">
        <v>301.933</v>
      </c>
      <c r="R409" t="n">
        <v>302.366</v>
      </c>
      <c r="S409" t="n">
        <v>0.433</v>
      </c>
      <c r="T409" t="inlineStr">
        <is>
          <t>BTBR\training\c5m1.mp4</t>
        </is>
      </c>
      <c r="U409" t="n">
        <v>9391</v>
      </c>
      <c r="V409" t="n">
        <v>9404</v>
      </c>
      <c r="W409" t="n">
        <v/>
      </c>
      <c r="X409" t="n">
        <v/>
      </c>
      <c r="Y409" t="n">
        <v/>
      </c>
      <c r="Z409" t="n">
        <v/>
      </c>
      <c r="AA409">
        <f>SUMIFS($S$2:S409,$A$2:A409,A409,$N$2:N409,"Explore*")</f>
        <v/>
      </c>
      <c r="AB409">
        <f>IF(AND(LEFT(N409,7)="Explore",(AA409-IF(LEFT(N409,7)="Explore",S409,0))&lt;10),"SI","NO")</f>
        <v/>
      </c>
    </row>
    <row r="410">
      <c r="A410" t="inlineStr">
        <is>
          <t>c5m1_training</t>
        </is>
      </c>
      <c r="B410" t="inlineStr">
        <is>
          <t>2026-02-19 15:58:52.725</t>
        </is>
      </c>
      <c r="C410" t="n">
        <v/>
      </c>
      <c r="D410" t="inlineStr">
        <is>
          <t>Media file</t>
        </is>
      </c>
      <c r="E410" t="inlineStr">
        <is>
          <t>player #1:BTBR\training\c5m1.mp4</t>
        </is>
      </c>
      <c r="F410" t="n">
        <v>-11.1</v>
      </c>
      <c r="G410" t="n">
        <v>593.7</v>
      </c>
      <c r="H410" t="n">
        <v>726.833</v>
      </c>
      <c r="I410" t="n">
        <v>30</v>
      </c>
      <c r="J410" t="inlineStr">
        <is>
          <t>BTBR</t>
        </is>
      </c>
      <c r="K410" t="inlineStr">
        <is>
          <t>Male</t>
        </is>
      </c>
      <c r="L410" t="inlineStr">
        <is>
          <t>No focal subject</t>
        </is>
      </c>
      <c r="M410" t="n">
        <v>41.468</v>
      </c>
      <c r="N410" t="inlineStr">
        <is>
          <t>Explore_F</t>
        </is>
      </c>
      <c r="O410" t="inlineStr">
        <is>
          <t>Familiar</t>
        </is>
      </c>
      <c r="P410" t="inlineStr">
        <is>
          <t>STATE</t>
        </is>
      </c>
      <c r="Q410" t="n">
        <v>308.2</v>
      </c>
      <c r="R410" t="n">
        <v>308.933</v>
      </c>
      <c r="S410" t="n">
        <v>0.733</v>
      </c>
      <c r="T410" t="inlineStr">
        <is>
          <t>BTBR\training\c5m1.mp4</t>
        </is>
      </c>
      <c r="U410" t="n">
        <v>9579</v>
      </c>
      <c r="V410" t="n">
        <v>9602</v>
      </c>
      <c r="W410" t="n">
        <v/>
      </c>
      <c r="X410" t="n">
        <v/>
      </c>
      <c r="Y410" t="n">
        <v/>
      </c>
      <c r="Z410" t="n">
        <v/>
      </c>
      <c r="AA410">
        <f>SUMIFS($S$2:S410,$A$2:A410,A410,$N$2:N410,"Explore*")</f>
        <v/>
      </c>
      <c r="AB410">
        <f>IF(AND(LEFT(N410,7)="Explore",(AA410-IF(LEFT(N410,7)="Explore",S410,0))&lt;10),"SI","NO")</f>
        <v/>
      </c>
    </row>
    <row r="411">
      <c r="A411" t="inlineStr">
        <is>
          <t>c5m1_training</t>
        </is>
      </c>
      <c r="B411" t="inlineStr">
        <is>
          <t>2026-02-19 15:58:52.725</t>
        </is>
      </c>
      <c r="C411" t="n">
        <v/>
      </c>
      <c r="D411" t="inlineStr">
        <is>
          <t>Media file</t>
        </is>
      </c>
      <c r="E411" t="inlineStr">
        <is>
          <t>player #1:BTBR\training\c5m1.mp4</t>
        </is>
      </c>
      <c r="F411" t="n">
        <v>-11.1</v>
      </c>
      <c r="G411" t="n">
        <v>593.7</v>
      </c>
      <c r="H411" t="n">
        <v>726.833</v>
      </c>
      <c r="I411" t="n">
        <v>30</v>
      </c>
      <c r="J411" t="inlineStr">
        <is>
          <t>BTBR</t>
        </is>
      </c>
      <c r="K411" t="inlineStr">
        <is>
          <t>Male</t>
        </is>
      </c>
      <c r="L411" t="inlineStr">
        <is>
          <t>No focal subject</t>
        </is>
      </c>
      <c r="M411" t="n">
        <v>41.468</v>
      </c>
      <c r="N411" t="inlineStr">
        <is>
          <t>Explore_F2</t>
        </is>
      </c>
      <c r="O411" t="inlineStr">
        <is>
          <t>Second familiar</t>
        </is>
      </c>
      <c r="P411" t="inlineStr">
        <is>
          <t>STATE</t>
        </is>
      </c>
      <c r="Q411" t="n">
        <v>315.2</v>
      </c>
      <c r="R411" t="n">
        <v>315.633</v>
      </c>
      <c r="S411" t="n">
        <v>0.433</v>
      </c>
      <c r="T411" t="inlineStr">
        <is>
          <t>BTBR\training\c5m1.mp4</t>
        </is>
      </c>
      <c r="U411" t="n">
        <v>9789</v>
      </c>
      <c r="V411" t="n">
        <v>9802</v>
      </c>
      <c r="W411" t="n">
        <v/>
      </c>
      <c r="X411" t="n">
        <v/>
      </c>
      <c r="Y411" t="n">
        <v/>
      </c>
      <c r="Z411" t="n">
        <v/>
      </c>
      <c r="AA411">
        <f>SUMIFS($S$2:S411,$A$2:A411,A411,$N$2:N411,"Explore*")</f>
        <v/>
      </c>
      <c r="AB411">
        <f>IF(AND(LEFT(N411,7)="Explore",(AA411-IF(LEFT(N411,7)="Explore",S411,0))&lt;10),"SI","NO")</f>
        <v/>
      </c>
    </row>
    <row r="412">
      <c r="A412" t="inlineStr">
        <is>
          <t>c5m1_training</t>
        </is>
      </c>
      <c r="B412" t="inlineStr">
        <is>
          <t>2026-02-19 15:58:52.725</t>
        </is>
      </c>
      <c r="C412" t="n">
        <v/>
      </c>
      <c r="D412" t="inlineStr">
        <is>
          <t>Media file</t>
        </is>
      </c>
      <c r="E412" t="inlineStr">
        <is>
          <t>player #1:BTBR\training\c5m1.mp4</t>
        </is>
      </c>
      <c r="F412" t="n">
        <v>-11.1</v>
      </c>
      <c r="G412" t="n">
        <v>593.7</v>
      </c>
      <c r="H412" t="n">
        <v>726.833</v>
      </c>
      <c r="I412" t="n">
        <v>30</v>
      </c>
      <c r="J412" t="inlineStr">
        <is>
          <t>BTBR</t>
        </is>
      </c>
      <c r="K412" t="inlineStr">
        <is>
          <t>Male</t>
        </is>
      </c>
      <c r="L412" t="inlineStr">
        <is>
          <t>No focal subject</t>
        </is>
      </c>
      <c r="M412" t="n">
        <v>41.468</v>
      </c>
      <c r="N412" t="inlineStr">
        <is>
          <t>Explore_F</t>
        </is>
      </c>
      <c r="O412" t="inlineStr">
        <is>
          <t>Familiar</t>
        </is>
      </c>
      <c r="P412" t="inlineStr">
        <is>
          <t>STATE</t>
        </is>
      </c>
      <c r="Q412" t="n">
        <v>325.066</v>
      </c>
      <c r="R412" t="n">
        <v>326.233</v>
      </c>
      <c r="S412" t="n">
        <v>1.167</v>
      </c>
      <c r="T412" t="inlineStr">
        <is>
          <t>BTBR\training\c5m1.mp4</t>
        </is>
      </c>
      <c r="U412" t="n">
        <v>10085</v>
      </c>
      <c r="V412" t="n">
        <v>10120</v>
      </c>
      <c r="W412" t="n">
        <v/>
      </c>
      <c r="X412" t="n">
        <v/>
      </c>
      <c r="Y412" t="n">
        <v/>
      </c>
      <c r="Z412" t="n">
        <v/>
      </c>
      <c r="AA412">
        <f>SUMIFS($S$2:S412,$A$2:A412,A412,$N$2:N412,"Explore*")</f>
        <v/>
      </c>
      <c r="AB412">
        <f>IF(AND(LEFT(N412,7)="Explore",(AA412-IF(LEFT(N412,7)="Explore",S412,0))&lt;10),"SI","NO")</f>
        <v/>
      </c>
    </row>
    <row r="413">
      <c r="A413" t="inlineStr">
        <is>
          <t>c5m1_training</t>
        </is>
      </c>
      <c r="B413" t="inlineStr">
        <is>
          <t>2026-02-19 15:58:52.725</t>
        </is>
      </c>
      <c r="C413" t="n">
        <v/>
      </c>
      <c r="D413" t="inlineStr">
        <is>
          <t>Media file</t>
        </is>
      </c>
      <c r="E413" t="inlineStr">
        <is>
          <t>player #1:BTBR\training\c5m1.mp4</t>
        </is>
      </c>
      <c r="F413" t="n">
        <v>-11.1</v>
      </c>
      <c r="G413" t="n">
        <v>593.7</v>
      </c>
      <c r="H413" t="n">
        <v>726.833</v>
      </c>
      <c r="I413" t="n">
        <v>30</v>
      </c>
      <c r="J413" t="inlineStr">
        <is>
          <t>BTBR</t>
        </is>
      </c>
      <c r="K413" t="inlineStr">
        <is>
          <t>Male</t>
        </is>
      </c>
      <c r="L413" t="inlineStr">
        <is>
          <t>No focal subject</t>
        </is>
      </c>
      <c r="M413" t="n">
        <v>41.468</v>
      </c>
      <c r="N413" t="inlineStr">
        <is>
          <t>Explore_F2</t>
        </is>
      </c>
      <c r="O413" t="inlineStr">
        <is>
          <t>Second familiar</t>
        </is>
      </c>
      <c r="P413" t="inlineStr">
        <is>
          <t>STATE</t>
        </is>
      </c>
      <c r="Q413" t="n">
        <v>344</v>
      </c>
      <c r="R413" t="n">
        <v>344.533</v>
      </c>
      <c r="S413" t="n">
        <v>0.533</v>
      </c>
      <c r="T413" t="inlineStr">
        <is>
          <t>BTBR\training\c5m1.mp4</t>
        </is>
      </c>
      <c r="U413" t="n">
        <v>10653</v>
      </c>
      <c r="V413" t="n">
        <v>10669</v>
      </c>
      <c r="W413" t="n">
        <v/>
      </c>
      <c r="X413" t="n">
        <v/>
      </c>
      <c r="Y413" t="n">
        <v/>
      </c>
      <c r="Z413" t="n">
        <v/>
      </c>
      <c r="AA413">
        <f>SUMIFS($S$2:S413,$A$2:A413,A413,$N$2:N413,"Explore*")</f>
        <v/>
      </c>
      <c r="AB413">
        <f>IF(AND(LEFT(N413,7)="Explore",(AA413-IF(LEFT(N413,7)="Explore",S413,0))&lt;10),"SI","NO")</f>
        <v/>
      </c>
    </row>
    <row r="414">
      <c r="A414" t="inlineStr">
        <is>
          <t>c5m1_training</t>
        </is>
      </c>
      <c r="B414" t="inlineStr">
        <is>
          <t>2026-02-19 15:58:52.725</t>
        </is>
      </c>
      <c r="C414" t="n">
        <v/>
      </c>
      <c r="D414" t="inlineStr">
        <is>
          <t>Media file</t>
        </is>
      </c>
      <c r="E414" t="inlineStr">
        <is>
          <t>player #1:BTBR\training\c5m1.mp4</t>
        </is>
      </c>
      <c r="F414" t="n">
        <v>-11.1</v>
      </c>
      <c r="G414" t="n">
        <v>593.7</v>
      </c>
      <c r="H414" t="n">
        <v>726.833</v>
      </c>
      <c r="I414" t="n">
        <v>30</v>
      </c>
      <c r="J414" t="inlineStr">
        <is>
          <t>BTBR</t>
        </is>
      </c>
      <c r="K414" t="inlineStr">
        <is>
          <t>Male</t>
        </is>
      </c>
      <c r="L414" t="inlineStr">
        <is>
          <t>No focal subject</t>
        </is>
      </c>
      <c r="M414" t="n">
        <v>41.468</v>
      </c>
      <c r="N414" t="inlineStr">
        <is>
          <t>Explore_F2</t>
        </is>
      </c>
      <c r="O414" t="inlineStr">
        <is>
          <t>Second familiar</t>
        </is>
      </c>
      <c r="P414" t="inlineStr">
        <is>
          <t>STATE</t>
        </is>
      </c>
      <c r="Q414" t="n">
        <v>382.433</v>
      </c>
      <c r="R414" t="n">
        <v>382.866</v>
      </c>
      <c r="S414" t="n">
        <v>0.433</v>
      </c>
      <c r="T414" t="inlineStr">
        <is>
          <t>BTBR\training\c5m1.mp4</t>
        </is>
      </c>
      <c r="U414" t="n">
        <v>11806</v>
      </c>
      <c r="V414" t="n">
        <v>11819</v>
      </c>
      <c r="W414" t="n">
        <v/>
      </c>
      <c r="X414" t="n">
        <v/>
      </c>
      <c r="Y414" t="n">
        <v/>
      </c>
      <c r="Z414" t="n">
        <v/>
      </c>
      <c r="AA414">
        <f>SUMIFS($S$2:S414,$A$2:A414,A414,$N$2:N414,"Explore*")</f>
        <v/>
      </c>
      <c r="AB414">
        <f>IF(AND(LEFT(N414,7)="Explore",(AA414-IF(LEFT(N414,7)="Explore",S414,0))&lt;10),"SI","NO")</f>
        <v/>
      </c>
    </row>
    <row r="415">
      <c r="A415" t="inlineStr">
        <is>
          <t>c5m1_training</t>
        </is>
      </c>
      <c r="B415" t="inlineStr">
        <is>
          <t>2026-02-19 15:58:52.725</t>
        </is>
      </c>
      <c r="C415" t="n">
        <v/>
      </c>
      <c r="D415" t="inlineStr">
        <is>
          <t>Media file</t>
        </is>
      </c>
      <c r="E415" t="inlineStr">
        <is>
          <t>player #1:BTBR\training\c5m1.mp4</t>
        </is>
      </c>
      <c r="F415" t="n">
        <v>-11.1</v>
      </c>
      <c r="G415" t="n">
        <v>593.7</v>
      </c>
      <c r="H415" t="n">
        <v>726.833</v>
      </c>
      <c r="I415" t="n">
        <v>30</v>
      </c>
      <c r="J415" t="inlineStr">
        <is>
          <t>BTBR</t>
        </is>
      </c>
      <c r="K415" t="inlineStr">
        <is>
          <t>Male</t>
        </is>
      </c>
      <c r="L415" t="inlineStr">
        <is>
          <t>No focal subject</t>
        </is>
      </c>
      <c r="M415" t="n">
        <v>41.468</v>
      </c>
      <c r="N415" t="inlineStr">
        <is>
          <t>Explore_F</t>
        </is>
      </c>
      <c r="O415" t="inlineStr">
        <is>
          <t>Familiar</t>
        </is>
      </c>
      <c r="P415" t="inlineStr">
        <is>
          <t>STATE</t>
        </is>
      </c>
      <c r="Q415" t="n">
        <v>387.433</v>
      </c>
      <c r="R415" t="n">
        <v>387.733</v>
      </c>
      <c r="S415" t="n">
        <v>0.3</v>
      </c>
      <c r="T415" t="inlineStr">
        <is>
          <t>BTBR\training\c5m1.mp4</t>
        </is>
      </c>
      <c r="U415" t="n">
        <v>11956</v>
      </c>
      <c r="V415" t="n">
        <v>11965</v>
      </c>
      <c r="W415" t="n">
        <v/>
      </c>
      <c r="X415" t="n">
        <v/>
      </c>
      <c r="Y415" t="n">
        <v/>
      </c>
      <c r="Z415" t="n">
        <v/>
      </c>
      <c r="AA415">
        <f>SUMIFS($S$2:S415,$A$2:A415,A415,$N$2:N415,"Explore*")</f>
        <v/>
      </c>
      <c r="AB415">
        <f>IF(AND(LEFT(N415,7)="Explore",(AA415-IF(LEFT(N415,7)="Explore",S415,0))&lt;10),"SI","NO")</f>
        <v/>
      </c>
    </row>
    <row r="416">
      <c r="A416" t="inlineStr">
        <is>
          <t>c5m1_training</t>
        </is>
      </c>
      <c r="B416" t="inlineStr">
        <is>
          <t>2026-02-19 15:58:52.725</t>
        </is>
      </c>
      <c r="C416" t="n">
        <v/>
      </c>
      <c r="D416" t="inlineStr">
        <is>
          <t>Media file</t>
        </is>
      </c>
      <c r="E416" t="inlineStr">
        <is>
          <t>player #1:BTBR\training\c5m1.mp4</t>
        </is>
      </c>
      <c r="F416" t="n">
        <v>-11.1</v>
      </c>
      <c r="G416" t="n">
        <v>593.7</v>
      </c>
      <c r="H416" t="n">
        <v>726.833</v>
      </c>
      <c r="I416" t="n">
        <v>30</v>
      </c>
      <c r="J416" t="inlineStr">
        <is>
          <t>BTBR</t>
        </is>
      </c>
      <c r="K416" t="inlineStr">
        <is>
          <t>Male</t>
        </is>
      </c>
      <c r="L416" t="inlineStr">
        <is>
          <t>No focal subject</t>
        </is>
      </c>
      <c r="M416" t="n">
        <v>41.468</v>
      </c>
      <c r="N416" t="inlineStr">
        <is>
          <t>Explore_F2</t>
        </is>
      </c>
      <c r="O416" t="inlineStr">
        <is>
          <t>Second familiar</t>
        </is>
      </c>
      <c r="P416" t="inlineStr">
        <is>
          <t>STATE</t>
        </is>
      </c>
      <c r="Q416" t="n">
        <v>397.833</v>
      </c>
      <c r="R416" t="n">
        <v>398.133</v>
      </c>
      <c r="S416" t="n">
        <v>0.3</v>
      </c>
      <c r="T416" t="inlineStr">
        <is>
          <t>BTBR\training\c5m1.mp4</t>
        </is>
      </c>
      <c r="U416" t="n">
        <v>12268</v>
      </c>
      <c r="V416" t="n">
        <v>12277</v>
      </c>
      <c r="W416" t="n">
        <v/>
      </c>
      <c r="X416" t="n">
        <v/>
      </c>
      <c r="Y416" t="n">
        <v/>
      </c>
      <c r="Z416" t="n">
        <v/>
      </c>
      <c r="AA416">
        <f>SUMIFS($S$2:S416,$A$2:A416,A416,$N$2:N416,"Explore*")</f>
        <v/>
      </c>
      <c r="AB416">
        <f>IF(AND(LEFT(N416,7)="Explore",(AA416-IF(LEFT(N416,7)="Explore",S416,0))&lt;10),"SI","NO")</f>
        <v/>
      </c>
    </row>
    <row r="417">
      <c r="A417" t="inlineStr">
        <is>
          <t>c5m1_training</t>
        </is>
      </c>
      <c r="B417" t="inlineStr">
        <is>
          <t>2026-02-19 15:58:52.725</t>
        </is>
      </c>
      <c r="C417" t="n">
        <v/>
      </c>
      <c r="D417" t="inlineStr">
        <is>
          <t>Media file</t>
        </is>
      </c>
      <c r="E417" t="inlineStr">
        <is>
          <t>player #1:BTBR\training\c5m1.mp4</t>
        </is>
      </c>
      <c r="F417" t="n">
        <v>-11.1</v>
      </c>
      <c r="G417" t="n">
        <v>593.7</v>
      </c>
      <c r="H417" t="n">
        <v>726.833</v>
      </c>
      <c r="I417" t="n">
        <v>30</v>
      </c>
      <c r="J417" t="inlineStr">
        <is>
          <t>BTBR</t>
        </is>
      </c>
      <c r="K417" t="inlineStr">
        <is>
          <t>Male</t>
        </is>
      </c>
      <c r="L417" t="inlineStr">
        <is>
          <t>No focal subject</t>
        </is>
      </c>
      <c r="M417" t="n">
        <v>41.468</v>
      </c>
      <c r="N417" t="inlineStr">
        <is>
          <t>Explore_F</t>
        </is>
      </c>
      <c r="O417" t="inlineStr">
        <is>
          <t>Familiar</t>
        </is>
      </c>
      <c r="P417" t="inlineStr">
        <is>
          <t>STATE</t>
        </is>
      </c>
      <c r="Q417" t="n">
        <v>418.133</v>
      </c>
      <c r="R417" t="n">
        <v>418.466</v>
      </c>
      <c r="S417" t="n">
        <v>0.333</v>
      </c>
      <c r="T417" t="inlineStr">
        <is>
          <t>BTBR\training\c5m1.mp4</t>
        </is>
      </c>
      <c r="U417" t="n">
        <v>12877</v>
      </c>
      <c r="V417" t="n">
        <v>12887</v>
      </c>
      <c r="W417" t="n">
        <v/>
      </c>
      <c r="X417" t="n">
        <v/>
      </c>
      <c r="Y417" t="n">
        <v/>
      </c>
      <c r="Z417" t="n">
        <v/>
      </c>
      <c r="AA417">
        <f>SUMIFS($S$2:S417,$A$2:A417,A417,$N$2:N417,"Explore*")</f>
        <v/>
      </c>
      <c r="AB417">
        <f>IF(AND(LEFT(N417,7)="Explore",(AA417-IF(LEFT(N417,7)="Explore",S417,0))&lt;10),"SI","NO")</f>
        <v/>
      </c>
    </row>
    <row r="418">
      <c r="A418" t="inlineStr">
        <is>
          <t>c5m1_training</t>
        </is>
      </c>
      <c r="B418" t="inlineStr">
        <is>
          <t>2026-02-19 15:58:52.725</t>
        </is>
      </c>
      <c r="C418" t="n">
        <v/>
      </c>
      <c r="D418" t="inlineStr">
        <is>
          <t>Media file</t>
        </is>
      </c>
      <c r="E418" t="inlineStr">
        <is>
          <t>player #1:BTBR\training\c5m1.mp4</t>
        </is>
      </c>
      <c r="F418" t="n">
        <v>-11.1</v>
      </c>
      <c r="G418" t="n">
        <v>593.7</v>
      </c>
      <c r="H418" t="n">
        <v>726.833</v>
      </c>
      <c r="I418" t="n">
        <v>30</v>
      </c>
      <c r="J418" t="inlineStr">
        <is>
          <t>BTBR</t>
        </is>
      </c>
      <c r="K418" t="inlineStr">
        <is>
          <t>Male</t>
        </is>
      </c>
      <c r="L418" t="inlineStr">
        <is>
          <t>No focal subject</t>
        </is>
      </c>
      <c r="M418" t="n">
        <v>41.468</v>
      </c>
      <c r="N418" t="inlineStr">
        <is>
          <t>Explore_F2</t>
        </is>
      </c>
      <c r="O418" t="inlineStr">
        <is>
          <t>Second familiar</t>
        </is>
      </c>
      <c r="P418" t="inlineStr">
        <is>
          <t>STATE</t>
        </is>
      </c>
      <c r="Q418" t="n">
        <v>427.666</v>
      </c>
      <c r="R418" t="n">
        <v>428.2</v>
      </c>
      <c r="S418" t="n">
        <v>0.534</v>
      </c>
      <c r="T418" t="inlineStr">
        <is>
          <t>BTBR\training\c5m1.mp4</t>
        </is>
      </c>
      <c r="U418" t="n">
        <v>13163</v>
      </c>
      <c r="V418" t="n">
        <v>13179</v>
      </c>
      <c r="W418" t="n">
        <v/>
      </c>
      <c r="X418" t="n">
        <v/>
      </c>
      <c r="Y418" t="n">
        <v/>
      </c>
      <c r="Z418" t="n">
        <v/>
      </c>
      <c r="AA418">
        <f>SUMIFS($S$2:S418,$A$2:A418,A418,$N$2:N418,"Explore*")</f>
        <v/>
      </c>
      <c r="AB418">
        <f>IF(AND(LEFT(N418,7)="Explore",(AA418-IF(LEFT(N418,7)="Explore",S418,0))&lt;10),"SI","NO")</f>
        <v/>
      </c>
    </row>
    <row r="419">
      <c r="A419" t="inlineStr">
        <is>
          <t>c5m1_training</t>
        </is>
      </c>
      <c r="B419" t="inlineStr">
        <is>
          <t>2026-02-19 15:58:52.725</t>
        </is>
      </c>
      <c r="C419" t="n">
        <v/>
      </c>
      <c r="D419" t="inlineStr">
        <is>
          <t>Media file</t>
        </is>
      </c>
      <c r="E419" t="inlineStr">
        <is>
          <t>player #1:BTBR\training\c5m1.mp4</t>
        </is>
      </c>
      <c r="F419" t="n">
        <v>-11.1</v>
      </c>
      <c r="G419" t="n">
        <v>593.7</v>
      </c>
      <c r="H419" t="n">
        <v>726.833</v>
      </c>
      <c r="I419" t="n">
        <v>30</v>
      </c>
      <c r="J419" t="inlineStr">
        <is>
          <t>BTBR</t>
        </is>
      </c>
      <c r="K419" t="inlineStr">
        <is>
          <t>Male</t>
        </is>
      </c>
      <c r="L419" t="inlineStr">
        <is>
          <t>No focal subject</t>
        </is>
      </c>
      <c r="M419" t="n">
        <v>41.468</v>
      </c>
      <c r="N419" t="inlineStr">
        <is>
          <t>Explore_F</t>
        </is>
      </c>
      <c r="O419" t="inlineStr">
        <is>
          <t>Familiar</t>
        </is>
      </c>
      <c r="P419" t="inlineStr">
        <is>
          <t>STATE</t>
        </is>
      </c>
      <c r="Q419" t="n">
        <v>432.366</v>
      </c>
      <c r="R419" t="n">
        <v>432.933</v>
      </c>
      <c r="S419" t="n">
        <v>0.5669999999999999</v>
      </c>
      <c r="T419" t="inlineStr">
        <is>
          <t>BTBR\training\c5m1.mp4</t>
        </is>
      </c>
      <c r="U419" t="n">
        <v>13304</v>
      </c>
      <c r="V419" t="n">
        <v>13321</v>
      </c>
      <c r="W419" t="n">
        <v/>
      </c>
      <c r="X419" t="n">
        <v/>
      </c>
      <c r="Y419" t="n">
        <v/>
      </c>
      <c r="Z419" t="n">
        <v/>
      </c>
      <c r="AA419">
        <f>SUMIFS($S$2:S419,$A$2:A419,A419,$N$2:N419,"Explore*")</f>
        <v/>
      </c>
      <c r="AB419">
        <f>IF(AND(LEFT(N419,7)="Explore",(AA419-IF(LEFT(N419,7)="Explore",S419,0))&lt;10),"SI","NO")</f>
        <v/>
      </c>
    </row>
    <row r="420">
      <c r="A420" t="inlineStr">
        <is>
          <t>c5m1_training</t>
        </is>
      </c>
      <c r="B420" t="inlineStr">
        <is>
          <t>2026-02-19 15:58:52.725</t>
        </is>
      </c>
      <c r="C420" t="n">
        <v/>
      </c>
      <c r="D420" t="inlineStr">
        <is>
          <t>Media file</t>
        </is>
      </c>
      <c r="E420" t="inlineStr">
        <is>
          <t>player #1:BTBR\training\c5m1.mp4</t>
        </is>
      </c>
      <c r="F420" t="n">
        <v>-11.1</v>
      </c>
      <c r="G420" t="n">
        <v>593.7</v>
      </c>
      <c r="H420" t="n">
        <v>726.833</v>
      </c>
      <c r="I420" t="n">
        <v>30</v>
      </c>
      <c r="J420" t="inlineStr">
        <is>
          <t>BTBR</t>
        </is>
      </c>
      <c r="K420" t="inlineStr">
        <is>
          <t>Male</t>
        </is>
      </c>
      <c r="L420" t="inlineStr">
        <is>
          <t>No focal subject</t>
        </is>
      </c>
      <c r="M420" t="n">
        <v>41.468</v>
      </c>
      <c r="N420" t="inlineStr">
        <is>
          <t>Explore_F2</t>
        </is>
      </c>
      <c r="O420" t="inlineStr">
        <is>
          <t>Second familiar</t>
        </is>
      </c>
      <c r="P420" t="inlineStr">
        <is>
          <t>STATE</t>
        </is>
      </c>
      <c r="Q420" t="n">
        <v>440.1</v>
      </c>
      <c r="R420" t="n">
        <v>440.466</v>
      </c>
      <c r="S420" t="n">
        <v>0.366</v>
      </c>
      <c r="T420" t="inlineStr">
        <is>
          <t>BTBR\training\c5m1.mp4</t>
        </is>
      </c>
      <c r="U420" t="n">
        <v>13536</v>
      </c>
      <c r="V420" t="n">
        <v>13547</v>
      </c>
      <c r="W420" t="n">
        <v/>
      </c>
      <c r="X420" t="n">
        <v/>
      </c>
      <c r="Y420" t="n">
        <v/>
      </c>
      <c r="Z420" t="n">
        <v/>
      </c>
      <c r="AA420">
        <f>SUMIFS($S$2:S420,$A$2:A420,A420,$N$2:N420,"Explore*")</f>
        <v/>
      </c>
      <c r="AB420">
        <f>IF(AND(LEFT(N420,7)="Explore",(AA420-IF(LEFT(N420,7)="Explore",S420,0))&lt;10),"SI","NO")</f>
        <v/>
      </c>
    </row>
    <row r="421">
      <c r="A421" t="inlineStr">
        <is>
          <t>c5m1_training</t>
        </is>
      </c>
      <c r="B421" t="inlineStr">
        <is>
          <t>2026-02-19 15:58:52.725</t>
        </is>
      </c>
      <c r="C421" t="n">
        <v/>
      </c>
      <c r="D421" t="inlineStr">
        <is>
          <t>Media file</t>
        </is>
      </c>
      <c r="E421" t="inlineStr">
        <is>
          <t>player #1:BTBR\training\c5m1.mp4</t>
        </is>
      </c>
      <c r="F421" t="n">
        <v>-11.1</v>
      </c>
      <c r="G421" t="n">
        <v>593.7</v>
      </c>
      <c r="H421" t="n">
        <v>726.833</v>
      </c>
      <c r="I421" t="n">
        <v>30</v>
      </c>
      <c r="J421" t="inlineStr">
        <is>
          <t>BTBR</t>
        </is>
      </c>
      <c r="K421" t="inlineStr">
        <is>
          <t>Male</t>
        </is>
      </c>
      <c r="L421" t="inlineStr">
        <is>
          <t>No focal subject</t>
        </is>
      </c>
      <c r="M421" t="n">
        <v>41.468</v>
      </c>
      <c r="N421" t="inlineStr">
        <is>
          <t>Explore_F</t>
        </is>
      </c>
      <c r="O421" t="inlineStr">
        <is>
          <t>Familiar</t>
        </is>
      </c>
      <c r="P421" t="inlineStr">
        <is>
          <t>STATE</t>
        </is>
      </c>
      <c r="Q421" t="n">
        <v>452.066</v>
      </c>
      <c r="R421" t="n">
        <v>452.433</v>
      </c>
      <c r="S421" t="n">
        <v>0.367</v>
      </c>
      <c r="T421" t="inlineStr">
        <is>
          <t>BTBR\training\c5m1.mp4</t>
        </is>
      </c>
      <c r="U421" t="n">
        <v>13895</v>
      </c>
      <c r="V421" t="n">
        <v>13906</v>
      </c>
      <c r="W421" t="n">
        <v/>
      </c>
      <c r="X421" t="n">
        <v/>
      </c>
      <c r="Y421" t="n">
        <v/>
      </c>
      <c r="Z421" t="n">
        <v/>
      </c>
      <c r="AA421">
        <f>SUMIFS($S$2:S421,$A$2:A421,A421,$N$2:N421,"Explore*")</f>
        <v/>
      </c>
      <c r="AB421">
        <f>IF(AND(LEFT(N421,7)="Explore",(AA421-IF(LEFT(N421,7)="Explore",S421,0))&lt;10),"SI","NO")</f>
        <v/>
      </c>
    </row>
    <row r="422">
      <c r="A422" t="inlineStr">
        <is>
          <t>c5m1_training</t>
        </is>
      </c>
      <c r="B422" t="inlineStr">
        <is>
          <t>2026-02-19 15:58:52.725</t>
        </is>
      </c>
      <c r="C422" t="n">
        <v/>
      </c>
      <c r="D422" t="inlineStr">
        <is>
          <t>Media file</t>
        </is>
      </c>
      <c r="E422" t="inlineStr">
        <is>
          <t>player #1:BTBR\training\c5m1.mp4</t>
        </is>
      </c>
      <c r="F422" t="n">
        <v>-11.1</v>
      </c>
      <c r="G422" t="n">
        <v>593.7</v>
      </c>
      <c r="H422" t="n">
        <v>726.833</v>
      </c>
      <c r="I422" t="n">
        <v>30</v>
      </c>
      <c r="J422" t="inlineStr">
        <is>
          <t>BTBR</t>
        </is>
      </c>
      <c r="K422" t="inlineStr">
        <is>
          <t>Male</t>
        </is>
      </c>
      <c r="L422" t="inlineStr">
        <is>
          <t>No focal subject</t>
        </is>
      </c>
      <c r="M422" t="n">
        <v>41.468</v>
      </c>
      <c r="N422" t="inlineStr">
        <is>
          <t>Explore_F2</t>
        </is>
      </c>
      <c r="O422" t="inlineStr">
        <is>
          <t>Second familiar</t>
        </is>
      </c>
      <c r="P422" t="inlineStr">
        <is>
          <t>STATE</t>
        </is>
      </c>
      <c r="Q422" t="n">
        <v>456.3</v>
      </c>
      <c r="R422" t="n">
        <v>456.7</v>
      </c>
      <c r="S422" t="n">
        <v>0.4</v>
      </c>
      <c r="T422" t="inlineStr">
        <is>
          <t>BTBR\training\c5m1.mp4</t>
        </is>
      </c>
      <c r="U422" t="n">
        <v>14022</v>
      </c>
      <c r="V422" t="n">
        <v>14034</v>
      </c>
      <c r="W422" t="n">
        <v/>
      </c>
      <c r="X422" t="n">
        <v/>
      </c>
      <c r="Y422" t="n">
        <v/>
      </c>
      <c r="Z422" t="n">
        <v/>
      </c>
      <c r="AA422">
        <f>SUMIFS($S$2:S422,$A$2:A422,A422,$N$2:N422,"Explore*")</f>
        <v/>
      </c>
      <c r="AB422">
        <f>IF(AND(LEFT(N422,7)="Explore",(AA422-IF(LEFT(N422,7)="Explore",S422,0))&lt;10),"SI","NO")</f>
        <v/>
      </c>
    </row>
    <row r="423">
      <c r="A423" t="inlineStr">
        <is>
          <t>c5m1_training</t>
        </is>
      </c>
      <c r="B423" t="inlineStr">
        <is>
          <t>2026-02-19 15:58:52.725</t>
        </is>
      </c>
      <c r="C423" t="n">
        <v/>
      </c>
      <c r="D423" t="inlineStr">
        <is>
          <t>Media file</t>
        </is>
      </c>
      <c r="E423" t="inlineStr">
        <is>
          <t>player #1:BTBR\training\c5m1.mp4</t>
        </is>
      </c>
      <c r="F423" t="n">
        <v>-11.1</v>
      </c>
      <c r="G423" t="n">
        <v>593.7</v>
      </c>
      <c r="H423" t="n">
        <v>726.833</v>
      </c>
      <c r="I423" t="n">
        <v>30</v>
      </c>
      <c r="J423" t="inlineStr">
        <is>
          <t>BTBR</t>
        </is>
      </c>
      <c r="K423" t="inlineStr">
        <is>
          <t>Male</t>
        </is>
      </c>
      <c r="L423" t="inlineStr">
        <is>
          <t>No focal subject</t>
        </is>
      </c>
      <c r="M423" t="n">
        <v>41.468</v>
      </c>
      <c r="N423" t="inlineStr">
        <is>
          <t>Explore_F</t>
        </is>
      </c>
      <c r="O423" t="inlineStr">
        <is>
          <t>Familiar</t>
        </is>
      </c>
      <c r="P423" t="inlineStr">
        <is>
          <t>STATE</t>
        </is>
      </c>
      <c r="Q423" t="n">
        <v>461.733</v>
      </c>
      <c r="R423" t="n">
        <v>462.2</v>
      </c>
      <c r="S423" t="n">
        <v>0.467</v>
      </c>
      <c r="T423" t="inlineStr">
        <is>
          <t>BTBR\training\c5m1.mp4</t>
        </is>
      </c>
      <c r="U423" t="n">
        <v>14185</v>
      </c>
      <c r="V423" t="n">
        <v>14199</v>
      </c>
      <c r="W423" t="n">
        <v/>
      </c>
      <c r="X423" t="n">
        <v/>
      </c>
      <c r="Y423" t="n">
        <v/>
      </c>
      <c r="Z423" t="n">
        <v/>
      </c>
      <c r="AA423">
        <f>SUMIFS($S$2:S423,$A$2:A423,A423,$N$2:N423,"Explore*")</f>
        <v/>
      </c>
      <c r="AB423">
        <f>IF(AND(LEFT(N423,7)="Explore",(AA423-IF(LEFT(N423,7)="Explore",S423,0))&lt;10),"SI","NO")</f>
        <v/>
      </c>
    </row>
    <row r="424">
      <c r="A424" t="inlineStr">
        <is>
          <t>c5m1_training</t>
        </is>
      </c>
      <c r="B424" t="inlineStr">
        <is>
          <t>2026-02-19 15:58:52.725</t>
        </is>
      </c>
      <c r="C424" t="n">
        <v/>
      </c>
      <c r="D424" t="inlineStr">
        <is>
          <t>Media file</t>
        </is>
      </c>
      <c r="E424" t="inlineStr">
        <is>
          <t>player #1:BTBR\training\c5m1.mp4</t>
        </is>
      </c>
      <c r="F424" t="n">
        <v>-11.1</v>
      </c>
      <c r="G424" t="n">
        <v>593.7</v>
      </c>
      <c r="H424" t="n">
        <v>726.833</v>
      </c>
      <c r="I424" t="n">
        <v>30</v>
      </c>
      <c r="J424" t="inlineStr">
        <is>
          <t>BTBR</t>
        </is>
      </c>
      <c r="K424" t="inlineStr">
        <is>
          <t>Male</t>
        </is>
      </c>
      <c r="L424" t="inlineStr">
        <is>
          <t>No focal subject</t>
        </is>
      </c>
      <c r="M424" t="n">
        <v>41.468</v>
      </c>
      <c r="N424" t="inlineStr">
        <is>
          <t>Explore_F2</t>
        </is>
      </c>
      <c r="O424" t="inlineStr">
        <is>
          <t>Second familiar</t>
        </is>
      </c>
      <c r="P424" t="inlineStr">
        <is>
          <t>STATE</t>
        </is>
      </c>
      <c r="Q424" t="n">
        <v>469.666</v>
      </c>
      <c r="R424" t="n">
        <v>470.6</v>
      </c>
      <c r="S424" t="n">
        <v>0.9340000000000001</v>
      </c>
      <c r="T424" t="inlineStr">
        <is>
          <t>BTBR\training\c5m1.mp4</t>
        </is>
      </c>
      <c r="U424" t="n">
        <v>14423</v>
      </c>
      <c r="V424" t="n">
        <v>14451</v>
      </c>
      <c r="W424" t="n">
        <v/>
      </c>
      <c r="X424" t="n">
        <v/>
      </c>
      <c r="Y424" t="n">
        <v/>
      </c>
      <c r="Z424" t="n">
        <v/>
      </c>
      <c r="AA424">
        <f>SUMIFS($S$2:S424,$A$2:A424,A424,$N$2:N424,"Explore*")</f>
        <v/>
      </c>
      <c r="AB424">
        <f>IF(AND(LEFT(N424,7)="Explore",(AA424-IF(LEFT(N424,7)="Explore",S424,0))&lt;10),"SI","NO")</f>
        <v/>
      </c>
    </row>
    <row r="425">
      <c r="A425" t="inlineStr">
        <is>
          <t>c5m1_training</t>
        </is>
      </c>
      <c r="B425" t="inlineStr">
        <is>
          <t>2026-02-19 15:58:52.725</t>
        </is>
      </c>
      <c r="C425" t="n">
        <v/>
      </c>
      <c r="D425" t="inlineStr">
        <is>
          <t>Media file</t>
        </is>
      </c>
      <c r="E425" t="inlineStr">
        <is>
          <t>player #1:BTBR\training\c5m1.mp4</t>
        </is>
      </c>
      <c r="F425" t="n">
        <v>-11.1</v>
      </c>
      <c r="G425" t="n">
        <v>593.7</v>
      </c>
      <c r="H425" t="n">
        <v>726.833</v>
      </c>
      <c r="I425" t="n">
        <v>30</v>
      </c>
      <c r="J425" t="inlineStr">
        <is>
          <t>BTBR</t>
        </is>
      </c>
      <c r="K425" t="inlineStr">
        <is>
          <t>Male</t>
        </is>
      </c>
      <c r="L425" t="inlineStr">
        <is>
          <t>No focal subject</t>
        </is>
      </c>
      <c r="M425" t="n">
        <v>41.468</v>
      </c>
      <c r="N425" t="inlineStr">
        <is>
          <t>Explore_F</t>
        </is>
      </c>
      <c r="O425" t="inlineStr">
        <is>
          <t>Familiar</t>
        </is>
      </c>
      <c r="P425" t="inlineStr">
        <is>
          <t>STATE</t>
        </is>
      </c>
      <c r="Q425" t="n">
        <v>495.933</v>
      </c>
      <c r="R425" t="n">
        <v>496.299</v>
      </c>
      <c r="S425" t="n">
        <v>0.366</v>
      </c>
      <c r="T425" t="inlineStr">
        <is>
          <t>BTBR\training\c5m1.mp4</t>
        </is>
      </c>
      <c r="U425" t="n">
        <v>15211</v>
      </c>
      <c r="V425" t="n">
        <v>15222</v>
      </c>
      <c r="W425" t="n">
        <v/>
      </c>
      <c r="X425" t="n">
        <v/>
      </c>
      <c r="Y425" t="n">
        <v/>
      </c>
      <c r="Z425" t="n">
        <v/>
      </c>
      <c r="AA425">
        <f>SUMIFS($S$2:S425,$A$2:A425,A425,$N$2:N425,"Explore*")</f>
        <v/>
      </c>
      <c r="AB425">
        <f>IF(AND(LEFT(N425,7)="Explore",(AA425-IF(LEFT(N425,7)="Explore",S425,0))&lt;10),"SI","NO")</f>
        <v/>
      </c>
    </row>
    <row r="426">
      <c r="A426" t="inlineStr">
        <is>
          <t>c5m1_training</t>
        </is>
      </c>
      <c r="B426" t="inlineStr">
        <is>
          <t>2026-02-19 15:58:52.725</t>
        </is>
      </c>
      <c r="C426" t="n">
        <v/>
      </c>
      <c r="D426" t="inlineStr">
        <is>
          <t>Media file</t>
        </is>
      </c>
      <c r="E426" t="inlineStr">
        <is>
          <t>player #1:BTBR\training\c5m1.mp4</t>
        </is>
      </c>
      <c r="F426" t="n">
        <v>-11.1</v>
      </c>
      <c r="G426" t="n">
        <v>593.7</v>
      </c>
      <c r="H426" t="n">
        <v>726.833</v>
      </c>
      <c r="I426" t="n">
        <v>30</v>
      </c>
      <c r="J426" t="inlineStr">
        <is>
          <t>BTBR</t>
        </is>
      </c>
      <c r="K426" t="inlineStr">
        <is>
          <t>Male</t>
        </is>
      </c>
      <c r="L426" t="inlineStr">
        <is>
          <t>No focal subject</t>
        </is>
      </c>
      <c r="M426" t="n">
        <v>41.468</v>
      </c>
      <c r="N426" t="inlineStr">
        <is>
          <t>Explore_F</t>
        </is>
      </c>
      <c r="O426" t="inlineStr">
        <is>
          <t>Familiar</t>
        </is>
      </c>
      <c r="P426" t="inlineStr">
        <is>
          <t>STATE</t>
        </is>
      </c>
      <c r="Q426" t="n">
        <v>508.966</v>
      </c>
      <c r="R426" t="n">
        <v>509.333</v>
      </c>
      <c r="S426" t="n">
        <v>0.367</v>
      </c>
      <c r="T426" t="inlineStr">
        <is>
          <t>BTBR\training\c5m1.mp4</t>
        </is>
      </c>
      <c r="U426" t="n">
        <v>15602</v>
      </c>
      <c r="V426" t="n">
        <v>15613</v>
      </c>
      <c r="W426" t="n">
        <v/>
      </c>
      <c r="X426" t="n">
        <v/>
      </c>
      <c r="Y426" t="n">
        <v/>
      </c>
      <c r="Z426" t="n">
        <v/>
      </c>
      <c r="AA426">
        <f>SUMIFS($S$2:S426,$A$2:A426,A426,$N$2:N426,"Explore*")</f>
        <v/>
      </c>
      <c r="AB426">
        <f>IF(AND(LEFT(N426,7)="Explore",(AA426-IF(LEFT(N426,7)="Explore",S426,0))&lt;10),"SI","NO")</f>
        <v/>
      </c>
    </row>
    <row r="427">
      <c r="A427" t="inlineStr">
        <is>
          <t>c5m1_training</t>
        </is>
      </c>
      <c r="B427" t="inlineStr">
        <is>
          <t>2026-02-19 15:58:52.725</t>
        </is>
      </c>
      <c r="C427" t="n">
        <v/>
      </c>
      <c r="D427" t="inlineStr">
        <is>
          <t>Media file</t>
        </is>
      </c>
      <c r="E427" t="inlineStr">
        <is>
          <t>player #1:BTBR\training\c5m1.mp4</t>
        </is>
      </c>
      <c r="F427" t="n">
        <v>-11.1</v>
      </c>
      <c r="G427" t="n">
        <v>593.7</v>
      </c>
      <c r="H427" t="n">
        <v>726.833</v>
      </c>
      <c r="I427" t="n">
        <v>30</v>
      </c>
      <c r="J427" t="inlineStr">
        <is>
          <t>BTBR</t>
        </is>
      </c>
      <c r="K427" t="inlineStr">
        <is>
          <t>Male</t>
        </is>
      </c>
      <c r="L427" t="inlineStr">
        <is>
          <t>No focal subject</t>
        </is>
      </c>
      <c r="M427" t="n">
        <v>41.468</v>
      </c>
      <c r="N427" t="inlineStr">
        <is>
          <t>Explore_F2</t>
        </is>
      </c>
      <c r="O427" t="inlineStr">
        <is>
          <t>Second familiar</t>
        </is>
      </c>
      <c r="P427" t="inlineStr">
        <is>
          <t>STATE</t>
        </is>
      </c>
      <c r="Q427" t="n">
        <v>513.399</v>
      </c>
      <c r="R427" t="n">
        <v>513.766</v>
      </c>
      <c r="S427" t="n">
        <v>0.367</v>
      </c>
      <c r="T427" t="inlineStr">
        <is>
          <t>BTBR\training\c5m1.mp4</t>
        </is>
      </c>
      <c r="U427" t="n">
        <v>15735</v>
      </c>
      <c r="V427" t="n">
        <v>15746</v>
      </c>
      <c r="W427" t="n">
        <v/>
      </c>
      <c r="X427" t="n">
        <v/>
      </c>
      <c r="Y427" t="n">
        <v/>
      </c>
      <c r="Z427" t="n">
        <v/>
      </c>
      <c r="AA427">
        <f>SUMIFS($S$2:S427,$A$2:A427,A427,$N$2:N427,"Explore*")</f>
        <v/>
      </c>
      <c r="AB427">
        <f>IF(AND(LEFT(N427,7)="Explore",(AA427-IF(LEFT(N427,7)="Explore",S427,0))&lt;10),"SI","NO")</f>
        <v/>
      </c>
    </row>
    <row r="428">
      <c r="A428" t="inlineStr">
        <is>
          <t>c5m1_training</t>
        </is>
      </c>
      <c r="B428" t="inlineStr">
        <is>
          <t>2026-02-19 15:58:52.725</t>
        </is>
      </c>
      <c r="C428" t="n">
        <v/>
      </c>
      <c r="D428" t="inlineStr">
        <is>
          <t>Media file</t>
        </is>
      </c>
      <c r="E428" t="inlineStr">
        <is>
          <t>player #1:BTBR\training\c5m1.mp4</t>
        </is>
      </c>
      <c r="F428" t="n">
        <v>-11.1</v>
      </c>
      <c r="G428" t="n">
        <v>593.7</v>
      </c>
      <c r="H428" t="n">
        <v>726.833</v>
      </c>
      <c r="I428" t="n">
        <v>30</v>
      </c>
      <c r="J428" t="inlineStr">
        <is>
          <t>BTBR</t>
        </is>
      </c>
      <c r="K428" t="inlineStr">
        <is>
          <t>Male</t>
        </is>
      </c>
      <c r="L428" t="inlineStr">
        <is>
          <t>No focal subject</t>
        </is>
      </c>
      <c r="M428" t="n">
        <v>41.468</v>
      </c>
      <c r="N428" t="inlineStr">
        <is>
          <t>Explore_F</t>
        </is>
      </c>
      <c r="O428" t="inlineStr">
        <is>
          <t>Familiar</t>
        </is>
      </c>
      <c r="P428" t="inlineStr">
        <is>
          <t>STATE</t>
        </is>
      </c>
      <c r="Q428" t="n">
        <v>519.366</v>
      </c>
      <c r="R428" t="n">
        <v>519.699</v>
      </c>
      <c r="S428" t="n">
        <v>0.333</v>
      </c>
      <c r="T428" t="inlineStr">
        <is>
          <t>BTBR\training\c5m1.mp4</t>
        </is>
      </c>
      <c r="U428" t="n">
        <v>15914</v>
      </c>
      <c r="V428" t="n">
        <v>15924</v>
      </c>
      <c r="W428" t="n">
        <v/>
      </c>
      <c r="X428" t="n">
        <v/>
      </c>
      <c r="Y428" t="n">
        <v/>
      </c>
      <c r="Z428" t="n">
        <v/>
      </c>
      <c r="AA428">
        <f>SUMIFS($S$2:S428,$A$2:A428,A428,$N$2:N428,"Explore*")</f>
        <v/>
      </c>
      <c r="AB428">
        <f>IF(AND(LEFT(N428,7)="Explore",(AA428-IF(LEFT(N428,7)="Explore",S428,0))&lt;10),"SI","NO")</f>
        <v/>
      </c>
    </row>
    <row r="429">
      <c r="A429" t="inlineStr">
        <is>
          <t>c5m1_training</t>
        </is>
      </c>
      <c r="B429" t="inlineStr">
        <is>
          <t>2026-02-19 15:58:52.725</t>
        </is>
      </c>
      <c r="C429" t="n">
        <v/>
      </c>
      <c r="D429" t="inlineStr">
        <is>
          <t>Media file</t>
        </is>
      </c>
      <c r="E429" t="inlineStr">
        <is>
          <t>player #1:BTBR\training\c5m1.mp4</t>
        </is>
      </c>
      <c r="F429" t="n">
        <v>-11.1</v>
      </c>
      <c r="G429" t="n">
        <v>593.7</v>
      </c>
      <c r="H429" t="n">
        <v>726.833</v>
      </c>
      <c r="I429" t="n">
        <v>30</v>
      </c>
      <c r="J429" t="inlineStr">
        <is>
          <t>BTBR</t>
        </is>
      </c>
      <c r="K429" t="inlineStr">
        <is>
          <t>Male</t>
        </is>
      </c>
      <c r="L429" t="inlineStr">
        <is>
          <t>No focal subject</t>
        </is>
      </c>
      <c r="M429" t="n">
        <v>41.468</v>
      </c>
      <c r="N429" t="inlineStr">
        <is>
          <t>Explore_F</t>
        </is>
      </c>
      <c r="O429" t="inlineStr">
        <is>
          <t>Familiar</t>
        </is>
      </c>
      <c r="P429" t="inlineStr">
        <is>
          <t>STATE</t>
        </is>
      </c>
      <c r="Q429" t="n">
        <v>543.6660000000001</v>
      </c>
      <c r="R429" t="n">
        <v>544.1660000000001</v>
      </c>
      <c r="S429" t="n">
        <v>0.5</v>
      </c>
      <c r="T429" t="inlineStr">
        <is>
          <t>BTBR\training\c5m1.mp4</t>
        </is>
      </c>
      <c r="U429" t="n">
        <v>16643</v>
      </c>
      <c r="V429" t="n">
        <v>16658</v>
      </c>
      <c r="W429" t="n">
        <v/>
      </c>
      <c r="X429" t="n">
        <v/>
      </c>
      <c r="Y429" t="n">
        <v/>
      </c>
      <c r="Z429" t="n">
        <v/>
      </c>
      <c r="AA429">
        <f>SUMIFS($S$2:S429,$A$2:A429,A429,$N$2:N429,"Explore*")</f>
        <v/>
      </c>
      <c r="AB429">
        <f>IF(AND(LEFT(N429,7)="Explore",(AA429-IF(LEFT(N429,7)="Explore",S429,0))&lt;10),"SI","NO")</f>
        <v/>
      </c>
    </row>
    <row r="430">
      <c r="A430" t="inlineStr">
        <is>
          <t>c5m1_training</t>
        </is>
      </c>
      <c r="B430" t="inlineStr">
        <is>
          <t>2026-02-19 15:58:52.725</t>
        </is>
      </c>
      <c r="C430" t="n">
        <v/>
      </c>
      <c r="D430" t="inlineStr">
        <is>
          <t>Media file</t>
        </is>
      </c>
      <c r="E430" t="inlineStr">
        <is>
          <t>player #1:BTBR\training\c5m1.mp4</t>
        </is>
      </c>
      <c r="F430" t="n">
        <v>-11.1</v>
      </c>
      <c r="G430" t="n">
        <v>593.7</v>
      </c>
      <c r="H430" t="n">
        <v>726.833</v>
      </c>
      <c r="I430" t="n">
        <v>30</v>
      </c>
      <c r="J430" t="inlineStr">
        <is>
          <t>BTBR</t>
        </is>
      </c>
      <c r="K430" t="inlineStr">
        <is>
          <t>Male</t>
        </is>
      </c>
      <c r="L430" t="inlineStr">
        <is>
          <t>No focal subject</t>
        </is>
      </c>
      <c r="M430" t="n">
        <v>41.468</v>
      </c>
      <c r="N430" t="inlineStr">
        <is>
          <t>Explore_F</t>
        </is>
      </c>
      <c r="O430" t="inlineStr">
        <is>
          <t>Familiar</t>
        </is>
      </c>
      <c r="P430" t="inlineStr">
        <is>
          <t>STATE</t>
        </is>
      </c>
      <c r="Q430" t="n">
        <v>558.599</v>
      </c>
      <c r="R430" t="n">
        <v>558.933</v>
      </c>
      <c r="S430" t="n">
        <v>0.334</v>
      </c>
      <c r="T430" t="inlineStr">
        <is>
          <t>BTBR\training\c5m1.mp4</t>
        </is>
      </c>
      <c r="U430" t="n">
        <v>17091</v>
      </c>
      <c r="V430" t="n">
        <v>17101</v>
      </c>
      <c r="W430" t="n">
        <v/>
      </c>
      <c r="X430" t="n">
        <v/>
      </c>
      <c r="Y430" t="n">
        <v/>
      </c>
      <c r="Z430" t="n">
        <v/>
      </c>
      <c r="AA430">
        <f>SUMIFS($S$2:S430,$A$2:A430,A430,$N$2:N430,"Explore*")</f>
        <v/>
      </c>
      <c r="AB430">
        <f>IF(AND(LEFT(N430,7)="Explore",(AA430-IF(LEFT(N430,7)="Explore",S430,0))&lt;10),"SI","NO")</f>
        <v/>
      </c>
    </row>
    <row r="431">
      <c r="A431" t="inlineStr">
        <is>
          <t>c5m1_training</t>
        </is>
      </c>
      <c r="B431" t="inlineStr">
        <is>
          <t>2026-02-19 15:58:52.725</t>
        </is>
      </c>
      <c r="C431" t="n">
        <v/>
      </c>
      <c r="D431" t="inlineStr">
        <is>
          <t>Media file</t>
        </is>
      </c>
      <c r="E431" t="inlineStr">
        <is>
          <t>player #1:BTBR\training\c5m1.mp4</t>
        </is>
      </c>
      <c r="F431" t="n">
        <v>-11.1</v>
      </c>
      <c r="G431" t="n">
        <v>593.7</v>
      </c>
      <c r="H431" t="n">
        <v>726.833</v>
      </c>
      <c r="I431" t="n">
        <v>30</v>
      </c>
      <c r="J431" t="inlineStr">
        <is>
          <t>BTBR</t>
        </is>
      </c>
      <c r="K431" t="inlineStr">
        <is>
          <t>Male</t>
        </is>
      </c>
      <c r="L431" t="inlineStr">
        <is>
          <t>No focal subject</t>
        </is>
      </c>
      <c r="M431" t="n">
        <v>41.468</v>
      </c>
      <c r="N431" t="inlineStr">
        <is>
          <t>Explore_F</t>
        </is>
      </c>
      <c r="O431" t="inlineStr">
        <is>
          <t>Familiar</t>
        </is>
      </c>
      <c r="P431" t="inlineStr">
        <is>
          <t>STATE</t>
        </is>
      </c>
      <c r="Q431" t="n">
        <v>579.366</v>
      </c>
      <c r="R431" t="n">
        <v>579.866</v>
      </c>
      <c r="S431" t="n">
        <v>0.5</v>
      </c>
      <c r="T431" t="inlineStr">
        <is>
          <t>BTBR\training\c5m1.mp4</t>
        </is>
      </c>
      <c r="U431" t="n">
        <v>17714</v>
      </c>
      <c r="V431" t="n">
        <v>17729</v>
      </c>
      <c r="W431" t="n">
        <v/>
      </c>
      <c r="X431" t="n">
        <v/>
      </c>
      <c r="Y431" t="n">
        <v/>
      </c>
      <c r="Z431" t="n">
        <v/>
      </c>
      <c r="AA431">
        <f>SUMIFS($S$2:S431,$A$2:A431,A431,$N$2:N431,"Explore*")</f>
        <v/>
      </c>
      <c r="AB431">
        <f>IF(AND(LEFT(N431,7)="Explore",(AA431-IF(LEFT(N431,7)="Explore",S431,0))&lt;10),"SI","NO")</f>
        <v/>
      </c>
    </row>
    <row r="432">
      <c r="A432" t="inlineStr">
        <is>
          <t>c5m1_training</t>
        </is>
      </c>
      <c r="B432" t="inlineStr">
        <is>
          <t>2026-02-19 15:58:52.725</t>
        </is>
      </c>
      <c r="C432" t="n">
        <v/>
      </c>
      <c r="D432" t="inlineStr">
        <is>
          <t>Media file</t>
        </is>
      </c>
      <c r="E432" t="inlineStr">
        <is>
          <t>player #1:BTBR\training\c5m1.mp4</t>
        </is>
      </c>
      <c r="F432" t="n">
        <v>-11.1</v>
      </c>
      <c r="G432" t="n">
        <v>593.7</v>
      </c>
      <c r="H432" t="n">
        <v>726.833</v>
      </c>
      <c r="I432" t="n">
        <v>30</v>
      </c>
      <c r="J432" t="inlineStr">
        <is>
          <t>BTBR</t>
        </is>
      </c>
      <c r="K432" t="inlineStr">
        <is>
          <t>Male</t>
        </is>
      </c>
      <c r="L432" t="inlineStr">
        <is>
          <t>No focal subject</t>
        </is>
      </c>
      <c r="M432" t="n">
        <v>41.468</v>
      </c>
      <c r="N432" t="inlineStr">
        <is>
          <t>Explore_F2</t>
        </is>
      </c>
      <c r="O432" t="inlineStr">
        <is>
          <t>Second familiar</t>
        </is>
      </c>
      <c r="P432" t="inlineStr">
        <is>
          <t>STATE</t>
        </is>
      </c>
      <c r="Q432" t="n">
        <v>596.799</v>
      </c>
      <c r="R432" t="n">
        <v>597.2329999999999</v>
      </c>
      <c r="S432" t="n">
        <v>0.434</v>
      </c>
      <c r="T432" t="inlineStr">
        <is>
          <t>BTBR\training\c5m1.mp4</t>
        </is>
      </c>
      <c r="U432" t="n">
        <v>18237</v>
      </c>
      <c r="V432" t="n">
        <v>18250</v>
      </c>
      <c r="W432" t="n">
        <v/>
      </c>
      <c r="X432" t="n">
        <v/>
      </c>
      <c r="Y432" t="n">
        <v/>
      </c>
      <c r="Z432" t="n">
        <v/>
      </c>
      <c r="AA432">
        <f>SUMIFS($S$2:S432,$A$2:A432,A432,$N$2:N432,"Explore*")</f>
        <v/>
      </c>
      <c r="AB432">
        <f>IF(AND(LEFT(N432,7)="Explore",(AA432-IF(LEFT(N432,7)="Explore",S432,0))&lt;10),"SI","NO")</f>
        <v/>
      </c>
    </row>
    <row r="433">
      <c r="A433" t="inlineStr">
        <is>
          <t>c5m2_training</t>
        </is>
      </c>
      <c r="B433" t="inlineStr">
        <is>
          <t>2026-02-20 10:46:35.941</t>
        </is>
      </c>
      <c r="C433" t="n">
        <v/>
      </c>
      <c r="D433" t="inlineStr">
        <is>
          <t>Media file</t>
        </is>
      </c>
      <c r="E433" t="inlineStr">
        <is>
          <t>player #1:BTBR\training\c5m2.mp4</t>
        </is>
      </c>
      <c r="F433" t="n">
        <v>-9.766999999999999</v>
      </c>
      <c r="G433" t="n">
        <v>590.966</v>
      </c>
      <c r="H433" t="n">
        <v>627.766</v>
      </c>
      <c r="I433" t="n">
        <v>30</v>
      </c>
      <c r="J433" t="inlineStr">
        <is>
          <t>BTBR</t>
        </is>
      </c>
      <c r="K433" t="inlineStr">
        <is>
          <t>Male</t>
        </is>
      </c>
      <c r="L433" t="inlineStr">
        <is>
          <t>No focal subject</t>
        </is>
      </c>
      <c r="M433" t="n">
        <v>39.369</v>
      </c>
      <c r="N433" t="inlineStr">
        <is>
          <t>Explore_F</t>
        </is>
      </c>
      <c r="O433" t="inlineStr">
        <is>
          <t>Familiar</t>
        </is>
      </c>
      <c r="P433" t="inlineStr">
        <is>
          <t>STATE</t>
        </is>
      </c>
      <c r="Q433" t="n">
        <v>4.5</v>
      </c>
      <c r="R433" t="n">
        <v>5.066</v>
      </c>
      <c r="S433" t="n">
        <v>0.5659999999999999</v>
      </c>
      <c r="T433" t="inlineStr">
        <is>
          <t>BTBR\training\c5m2.mp4</t>
        </is>
      </c>
      <c r="U433" t="n">
        <v>137</v>
      </c>
      <c r="V433" t="n">
        <v>152</v>
      </c>
      <c r="W433" t="n">
        <v/>
      </c>
      <c r="X433" t="n">
        <v/>
      </c>
      <c r="Y433" t="n">
        <v/>
      </c>
      <c r="Z433" t="n">
        <v/>
      </c>
      <c r="AA433">
        <f>SUMIFS($S$2:S433,$A$2:A433,A433,$N$2:N433,"Explore*")</f>
        <v/>
      </c>
      <c r="AB433">
        <f>IF(AND(LEFT(N433,7)="Explore",(AA433-IF(LEFT(N433,7)="Explore",S433,0))&lt;10),"SI","NO")</f>
        <v/>
      </c>
    </row>
    <row r="434">
      <c r="A434" t="inlineStr">
        <is>
          <t>c5m2_training</t>
        </is>
      </c>
      <c r="B434" t="inlineStr">
        <is>
          <t>2026-02-20 10:46:35.941</t>
        </is>
      </c>
      <c r="C434" t="n">
        <v/>
      </c>
      <c r="D434" t="inlineStr">
        <is>
          <t>Media file</t>
        </is>
      </c>
      <c r="E434" t="inlineStr">
        <is>
          <t>player #1:BTBR\training\c5m2.mp4</t>
        </is>
      </c>
      <c r="F434" t="n">
        <v>-9.766999999999999</v>
      </c>
      <c r="G434" t="n">
        <v>590.966</v>
      </c>
      <c r="H434" t="n">
        <v>627.766</v>
      </c>
      <c r="I434" t="n">
        <v>30</v>
      </c>
      <c r="J434" t="inlineStr">
        <is>
          <t>BTBR</t>
        </is>
      </c>
      <c r="K434" t="inlineStr">
        <is>
          <t>Male</t>
        </is>
      </c>
      <c r="L434" t="inlineStr">
        <is>
          <t>No focal subject</t>
        </is>
      </c>
      <c r="M434" t="n">
        <v>39.369</v>
      </c>
      <c r="N434" t="inlineStr">
        <is>
          <t>Explore_F</t>
        </is>
      </c>
      <c r="O434" t="inlineStr">
        <is>
          <t>Familiar</t>
        </is>
      </c>
      <c r="P434" t="inlineStr">
        <is>
          <t>STATE</t>
        </is>
      </c>
      <c r="Q434" t="n">
        <v>9.632999999999999</v>
      </c>
      <c r="R434" t="n">
        <v>10.166</v>
      </c>
      <c r="S434" t="n">
        <v>0.533</v>
      </c>
      <c r="T434" t="inlineStr">
        <is>
          <t>BTBR\training\c5m2.mp4</t>
        </is>
      </c>
      <c r="U434" t="n">
        <v>289</v>
      </c>
      <c r="V434" t="n">
        <v>305</v>
      </c>
      <c r="W434" t="n">
        <v/>
      </c>
      <c r="X434" t="n">
        <v/>
      </c>
      <c r="Y434" t="n">
        <v/>
      </c>
      <c r="Z434" t="n">
        <v/>
      </c>
      <c r="AA434">
        <f>SUMIFS($S$2:S434,$A$2:A434,A434,$N$2:N434,"Explore*")</f>
        <v/>
      </c>
      <c r="AB434">
        <f>IF(AND(LEFT(N434,7)="Explore",(AA434-IF(LEFT(N434,7)="Explore",S434,0))&lt;10),"SI","NO")</f>
        <v/>
      </c>
    </row>
    <row r="435">
      <c r="A435" t="inlineStr">
        <is>
          <t>c5m2_training</t>
        </is>
      </c>
      <c r="B435" t="inlineStr">
        <is>
          <t>2026-02-20 10:46:35.941</t>
        </is>
      </c>
      <c r="C435" t="n">
        <v/>
      </c>
      <c r="D435" t="inlineStr">
        <is>
          <t>Media file</t>
        </is>
      </c>
      <c r="E435" t="inlineStr">
        <is>
          <t>player #1:BTBR\training\c5m2.mp4</t>
        </is>
      </c>
      <c r="F435" t="n">
        <v>-9.766999999999999</v>
      </c>
      <c r="G435" t="n">
        <v>590.966</v>
      </c>
      <c r="H435" t="n">
        <v>627.766</v>
      </c>
      <c r="I435" t="n">
        <v>30</v>
      </c>
      <c r="J435" t="inlineStr">
        <is>
          <t>BTBR</t>
        </is>
      </c>
      <c r="K435" t="inlineStr">
        <is>
          <t>Male</t>
        </is>
      </c>
      <c r="L435" t="inlineStr">
        <is>
          <t>No focal subject</t>
        </is>
      </c>
      <c r="M435" t="n">
        <v>39.369</v>
      </c>
      <c r="N435" t="inlineStr">
        <is>
          <t>Explore_F2</t>
        </is>
      </c>
      <c r="O435" t="inlineStr">
        <is>
          <t>Second familiar</t>
        </is>
      </c>
      <c r="P435" t="inlineStr">
        <is>
          <t>STATE</t>
        </is>
      </c>
      <c r="Q435" t="n">
        <v>12.466</v>
      </c>
      <c r="R435" t="n">
        <v>13.2</v>
      </c>
      <c r="S435" t="n">
        <v>0.734</v>
      </c>
      <c r="T435" t="inlineStr">
        <is>
          <t>BTBR\training\c5m2.mp4</t>
        </is>
      </c>
      <c r="U435" t="n">
        <v>374</v>
      </c>
      <c r="V435" t="n">
        <v>396</v>
      </c>
      <c r="W435" t="n">
        <v/>
      </c>
      <c r="X435" t="n">
        <v/>
      </c>
      <c r="Y435" t="n">
        <v/>
      </c>
      <c r="Z435" t="n">
        <v/>
      </c>
      <c r="AA435">
        <f>SUMIFS($S$2:S435,$A$2:A435,A435,$N$2:N435,"Explore*")</f>
        <v/>
      </c>
      <c r="AB435">
        <f>IF(AND(LEFT(N435,7)="Explore",(AA435-IF(LEFT(N435,7)="Explore",S435,0))&lt;10),"SI","NO")</f>
        <v/>
      </c>
    </row>
    <row r="436">
      <c r="A436" t="inlineStr">
        <is>
          <t>c5m2_training</t>
        </is>
      </c>
      <c r="B436" t="inlineStr">
        <is>
          <t>2026-02-20 10:46:35.941</t>
        </is>
      </c>
      <c r="C436" t="n">
        <v/>
      </c>
      <c r="D436" t="inlineStr">
        <is>
          <t>Media file</t>
        </is>
      </c>
      <c r="E436" t="inlineStr">
        <is>
          <t>player #1:BTBR\training\c5m2.mp4</t>
        </is>
      </c>
      <c r="F436" t="n">
        <v>-9.766999999999999</v>
      </c>
      <c r="G436" t="n">
        <v>590.966</v>
      </c>
      <c r="H436" t="n">
        <v>627.766</v>
      </c>
      <c r="I436" t="n">
        <v>30</v>
      </c>
      <c r="J436" t="inlineStr">
        <is>
          <t>BTBR</t>
        </is>
      </c>
      <c r="K436" t="inlineStr">
        <is>
          <t>Male</t>
        </is>
      </c>
      <c r="L436" t="inlineStr">
        <is>
          <t>No focal subject</t>
        </is>
      </c>
      <c r="M436" t="n">
        <v>39.369</v>
      </c>
      <c r="N436" t="inlineStr">
        <is>
          <t>Explore_F2</t>
        </is>
      </c>
      <c r="O436" t="inlineStr">
        <is>
          <t>Second familiar</t>
        </is>
      </c>
      <c r="P436" t="inlineStr">
        <is>
          <t>STATE</t>
        </is>
      </c>
      <c r="Q436" t="n">
        <v>16.7</v>
      </c>
      <c r="R436" t="n">
        <v>17.1</v>
      </c>
      <c r="S436" t="n">
        <v>0.4</v>
      </c>
      <c r="T436" t="inlineStr">
        <is>
          <t>BTBR\training\c5m2.mp4</t>
        </is>
      </c>
      <c r="U436" t="n">
        <v>501</v>
      </c>
      <c r="V436" t="n">
        <v>513</v>
      </c>
      <c r="W436" t="n">
        <v/>
      </c>
      <c r="X436" t="n">
        <v/>
      </c>
      <c r="Y436" t="n">
        <v/>
      </c>
      <c r="Z436" t="n">
        <v/>
      </c>
      <c r="AA436">
        <f>SUMIFS($S$2:S436,$A$2:A436,A436,$N$2:N436,"Explore*")</f>
        <v/>
      </c>
      <c r="AB436">
        <f>IF(AND(LEFT(N436,7)="Explore",(AA436-IF(LEFT(N436,7)="Explore",S436,0))&lt;10),"SI","NO")</f>
        <v/>
      </c>
    </row>
    <row r="437">
      <c r="A437" t="inlineStr">
        <is>
          <t>c5m2_training</t>
        </is>
      </c>
      <c r="B437" t="inlineStr">
        <is>
          <t>2026-02-20 10:46:35.941</t>
        </is>
      </c>
      <c r="C437" t="n">
        <v/>
      </c>
      <c r="D437" t="inlineStr">
        <is>
          <t>Media file</t>
        </is>
      </c>
      <c r="E437" t="inlineStr">
        <is>
          <t>player #1:BTBR\training\c5m2.mp4</t>
        </is>
      </c>
      <c r="F437" t="n">
        <v>-9.766999999999999</v>
      </c>
      <c r="G437" t="n">
        <v>590.966</v>
      </c>
      <c r="H437" t="n">
        <v>627.766</v>
      </c>
      <c r="I437" t="n">
        <v>30</v>
      </c>
      <c r="J437" t="inlineStr">
        <is>
          <t>BTBR</t>
        </is>
      </c>
      <c r="K437" t="inlineStr">
        <is>
          <t>Male</t>
        </is>
      </c>
      <c r="L437" t="inlineStr">
        <is>
          <t>No focal subject</t>
        </is>
      </c>
      <c r="M437" t="n">
        <v>39.369</v>
      </c>
      <c r="N437" t="inlineStr">
        <is>
          <t>Explore_F</t>
        </is>
      </c>
      <c r="O437" t="inlineStr">
        <is>
          <t>Familiar</t>
        </is>
      </c>
      <c r="P437" t="inlineStr">
        <is>
          <t>STATE</t>
        </is>
      </c>
      <c r="Q437" t="n">
        <v>18.633</v>
      </c>
      <c r="R437" t="n">
        <v>18.9</v>
      </c>
      <c r="S437" t="n">
        <v>0.267</v>
      </c>
      <c r="T437" t="inlineStr">
        <is>
          <t>BTBR\training\c5m2.mp4</t>
        </is>
      </c>
      <c r="U437" t="n">
        <v>559</v>
      </c>
      <c r="V437" t="n">
        <v>567</v>
      </c>
      <c r="W437" t="n">
        <v/>
      </c>
      <c r="X437" t="n">
        <v/>
      </c>
      <c r="Y437" t="n">
        <v/>
      </c>
      <c r="Z437" t="n">
        <v/>
      </c>
      <c r="AA437">
        <f>SUMIFS($S$2:S437,$A$2:A437,A437,$N$2:N437,"Explore*")</f>
        <v/>
      </c>
      <c r="AB437">
        <f>IF(AND(LEFT(N437,7)="Explore",(AA437-IF(LEFT(N437,7)="Explore",S437,0))&lt;10),"SI","NO")</f>
        <v/>
      </c>
    </row>
    <row r="438">
      <c r="A438" t="inlineStr">
        <is>
          <t>c5m2_training</t>
        </is>
      </c>
      <c r="B438" t="inlineStr">
        <is>
          <t>2026-02-20 10:46:35.941</t>
        </is>
      </c>
      <c r="C438" t="n">
        <v/>
      </c>
      <c r="D438" t="inlineStr">
        <is>
          <t>Media file</t>
        </is>
      </c>
      <c r="E438" t="inlineStr">
        <is>
          <t>player #1:BTBR\training\c5m2.mp4</t>
        </is>
      </c>
      <c r="F438" t="n">
        <v>-9.766999999999999</v>
      </c>
      <c r="G438" t="n">
        <v>590.966</v>
      </c>
      <c r="H438" t="n">
        <v>627.766</v>
      </c>
      <c r="I438" t="n">
        <v>30</v>
      </c>
      <c r="J438" t="inlineStr">
        <is>
          <t>BTBR</t>
        </is>
      </c>
      <c r="K438" t="inlineStr">
        <is>
          <t>Male</t>
        </is>
      </c>
      <c r="L438" t="inlineStr">
        <is>
          <t>No focal subject</t>
        </is>
      </c>
      <c r="M438" t="n">
        <v>39.369</v>
      </c>
      <c r="N438" t="inlineStr">
        <is>
          <t>Explore_F2</t>
        </is>
      </c>
      <c r="O438" t="inlineStr">
        <is>
          <t>Second familiar</t>
        </is>
      </c>
      <c r="P438" t="inlineStr">
        <is>
          <t>STATE</t>
        </is>
      </c>
      <c r="Q438" t="n">
        <v>21.633</v>
      </c>
      <c r="R438" t="n">
        <v>22.033</v>
      </c>
      <c r="S438" t="n">
        <v>0.4</v>
      </c>
      <c r="T438" t="inlineStr">
        <is>
          <t>BTBR\training\c5m2.mp4</t>
        </is>
      </c>
      <c r="U438" t="n">
        <v>649</v>
      </c>
      <c r="V438" t="n">
        <v>662</v>
      </c>
      <c r="W438" t="n">
        <v/>
      </c>
      <c r="X438" t="n">
        <v/>
      </c>
      <c r="Y438" t="n">
        <v/>
      </c>
      <c r="Z438" t="n">
        <v/>
      </c>
      <c r="AA438">
        <f>SUMIFS($S$2:S438,$A$2:A438,A438,$N$2:N438,"Explore*")</f>
        <v/>
      </c>
      <c r="AB438">
        <f>IF(AND(LEFT(N438,7)="Explore",(AA438-IF(LEFT(N438,7)="Explore",S438,0))&lt;10),"SI","NO")</f>
        <v/>
      </c>
    </row>
    <row r="439">
      <c r="A439" t="inlineStr">
        <is>
          <t>c5m2_training</t>
        </is>
      </c>
      <c r="B439" t="inlineStr">
        <is>
          <t>2026-02-20 10:46:35.941</t>
        </is>
      </c>
      <c r="C439" t="n">
        <v/>
      </c>
      <c r="D439" t="inlineStr">
        <is>
          <t>Media file</t>
        </is>
      </c>
      <c r="E439" t="inlineStr">
        <is>
          <t>player #1:BTBR\training\c5m2.mp4</t>
        </is>
      </c>
      <c r="F439" t="n">
        <v>-9.766999999999999</v>
      </c>
      <c r="G439" t="n">
        <v>590.966</v>
      </c>
      <c r="H439" t="n">
        <v>627.766</v>
      </c>
      <c r="I439" t="n">
        <v>30</v>
      </c>
      <c r="J439" t="inlineStr">
        <is>
          <t>BTBR</t>
        </is>
      </c>
      <c r="K439" t="inlineStr">
        <is>
          <t>Male</t>
        </is>
      </c>
      <c r="L439" t="inlineStr">
        <is>
          <t>No focal subject</t>
        </is>
      </c>
      <c r="M439" t="n">
        <v>39.369</v>
      </c>
      <c r="N439" t="inlineStr">
        <is>
          <t>Explore_F</t>
        </is>
      </c>
      <c r="O439" t="inlineStr">
        <is>
          <t>Familiar</t>
        </is>
      </c>
      <c r="P439" t="inlineStr">
        <is>
          <t>STATE</t>
        </is>
      </c>
      <c r="Q439" t="n">
        <v>35.166</v>
      </c>
      <c r="R439" t="n">
        <v>35.566</v>
      </c>
      <c r="S439" t="n">
        <v>0.4</v>
      </c>
      <c r="T439" t="inlineStr">
        <is>
          <t>BTBR\training\c5m2.mp4</t>
        </is>
      </c>
      <c r="U439" t="n">
        <v>1055</v>
      </c>
      <c r="V439" t="n">
        <v>1067</v>
      </c>
      <c r="W439" t="n">
        <v/>
      </c>
      <c r="X439" t="n">
        <v/>
      </c>
      <c r="Y439" t="n">
        <v/>
      </c>
      <c r="Z439" t="n">
        <v/>
      </c>
      <c r="AA439">
        <f>SUMIFS($S$2:S439,$A$2:A439,A439,$N$2:N439,"Explore*")</f>
        <v/>
      </c>
      <c r="AB439">
        <f>IF(AND(LEFT(N439,7)="Explore",(AA439-IF(LEFT(N439,7)="Explore",S439,0))&lt;10),"SI","NO")</f>
        <v/>
      </c>
    </row>
    <row r="440">
      <c r="A440" t="inlineStr">
        <is>
          <t>c5m2_training</t>
        </is>
      </c>
      <c r="B440" t="inlineStr">
        <is>
          <t>2026-02-20 10:46:35.941</t>
        </is>
      </c>
      <c r="C440" t="n">
        <v/>
      </c>
      <c r="D440" t="inlineStr">
        <is>
          <t>Media file</t>
        </is>
      </c>
      <c r="E440" t="inlineStr">
        <is>
          <t>player #1:BTBR\training\c5m2.mp4</t>
        </is>
      </c>
      <c r="F440" t="n">
        <v>-9.766999999999999</v>
      </c>
      <c r="G440" t="n">
        <v>590.966</v>
      </c>
      <c r="H440" t="n">
        <v>627.766</v>
      </c>
      <c r="I440" t="n">
        <v>30</v>
      </c>
      <c r="J440" t="inlineStr">
        <is>
          <t>BTBR</t>
        </is>
      </c>
      <c r="K440" t="inlineStr">
        <is>
          <t>Male</t>
        </is>
      </c>
      <c r="L440" t="inlineStr">
        <is>
          <t>No focal subject</t>
        </is>
      </c>
      <c r="M440" t="n">
        <v>39.369</v>
      </c>
      <c r="N440" t="inlineStr">
        <is>
          <t>Explore_F</t>
        </is>
      </c>
      <c r="O440" t="inlineStr">
        <is>
          <t>Familiar</t>
        </is>
      </c>
      <c r="P440" t="inlineStr">
        <is>
          <t>STATE</t>
        </is>
      </c>
      <c r="Q440" t="n">
        <v>36.333</v>
      </c>
      <c r="R440" t="n">
        <v>36.5</v>
      </c>
      <c r="S440" t="n">
        <v>0.167</v>
      </c>
      <c r="T440" t="inlineStr">
        <is>
          <t>BTBR\training\c5m2.mp4</t>
        </is>
      </c>
      <c r="U440" t="n">
        <v>1090</v>
      </c>
      <c r="V440" t="n">
        <v>1097</v>
      </c>
      <c r="W440" t="n">
        <v/>
      </c>
      <c r="X440" t="n">
        <v/>
      </c>
      <c r="Y440" t="n">
        <v/>
      </c>
      <c r="Z440" t="n">
        <v/>
      </c>
      <c r="AA440">
        <f>SUMIFS($S$2:S440,$A$2:A440,A440,$N$2:N440,"Explore*")</f>
        <v/>
      </c>
      <c r="AB440">
        <f>IF(AND(LEFT(N440,7)="Explore",(AA440-IF(LEFT(N440,7)="Explore",S440,0))&lt;10),"SI","NO")</f>
        <v/>
      </c>
    </row>
    <row r="441">
      <c r="A441" t="inlineStr">
        <is>
          <t>c5m2_training</t>
        </is>
      </c>
      <c r="B441" t="inlineStr">
        <is>
          <t>2026-02-20 10:46:35.941</t>
        </is>
      </c>
      <c r="C441" t="n">
        <v/>
      </c>
      <c r="D441" t="inlineStr">
        <is>
          <t>Media file</t>
        </is>
      </c>
      <c r="E441" t="inlineStr">
        <is>
          <t>player #1:BTBR\training\c5m2.mp4</t>
        </is>
      </c>
      <c r="F441" t="n">
        <v>-9.766999999999999</v>
      </c>
      <c r="G441" t="n">
        <v>590.966</v>
      </c>
      <c r="H441" t="n">
        <v>627.766</v>
      </c>
      <c r="I441" t="n">
        <v>30</v>
      </c>
      <c r="J441" t="inlineStr">
        <is>
          <t>BTBR</t>
        </is>
      </c>
      <c r="K441" t="inlineStr">
        <is>
          <t>Male</t>
        </is>
      </c>
      <c r="L441" t="inlineStr">
        <is>
          <t>No focal subject</t>
        </is>
      </c>
      <c r="M441" t="n">
        <v>39.369</v>
      </c>
      <c r="N441" t="inlineStr">
        <is>
          <t>Explore_F2</t>
        </is>
      </c>
      <c r="O441" t="inlineStr">
        <is>
          <t>Second familiar</t>
        </is>
      </c>
      <c r="P441" t="inlineStr">
        <is>
          <t>STATE</t>
        </is>
      </c>
      <c r="Q441" t="n">
        <v>36.833</v>
      </c>
      <c r="R441" t="n">
        <v>37.233</v>
      </c>
      <c r="S441" t="n">
        <v>0.4</v>
      </c>
      <c r="T441" t="inlineStr">
        <is>
          <t>BTBR\training\c5m2.mp4</t>
        </is>
      </c>
      <c r="U441" t="n">
        <v>1105</v>
      </c>
      <c r="V441" t="n">
        <v>1117</v>
      </c>
      <c r="W441" t="n">
        <v/>
      </c>
      <c r="X441" t="n">
        <v/>
      </c>
      <c r="Y441" t="n">
        <v/>
      </c>
      <c r="Z441" t="n">
        <v/>
      </c>
      <c r="AA441">
        <f>SUMIFS($S$2:S441,$A$2:A441,A441,$N$2:N441,"Explore*")</f>
        <v/>
      </c>
      <c r="AB441">
        <f>IF(AND(LEFT(N441,7)="Explore",(AA441-IF(LEFT(N441,7)="Explore",S441,0))&lt;10),"SI","NO")</f>
        <v/>
      </c>
    </row>
    <row r="442">
      <c r="A442" t="inlineStr">
        <is>
          <t>c5m2_training</t>
        </is>
      </c>
      <c r="B442" t="inlineStr">
        <is>
          <t>2026-02-20 10:46:35.941</t>
        </is>
      </c>
      <c r="C442" t="n">
        <v/>
      </c>
      <c r="D442" t="inlineStr">
        <is>
          <t>Media file</t>
        </is>
      </c>
      <c r="E442" t="inlineStr">
        <is>
          <t>player #1:BTBR\training\c5m2.mp4</t>
        </is>
      </c>
      <c r="F442" t="n">
        <v>-9.766999999999999</v>
      </c>
      <c r="G442" t="n">
        <v>590.966</v>
      </c>
      <c r="H442" t="n">
        <v>627.766</v>
      </c>
      <c r="I442" t="n">
        <v>30</v>
      </c>
      <c r="J442" t="inlineStr">
        <is>
          <t>BTBR</t>
        </is>
      </c>
      <c r="K442" t="inlineStr">
        <is>
          <t>Male</t>
        </is>
      </c>
      <c r="L442" t="inlineStr">
        <is>
          <t>No focal subject</t>
        </is>
      </c>
      <c r="M442" t="n">
        <v>39.369</v>
      </c>
      <c r="N442" t="inlineStr">
        <is>
          <t>Explore_F</t>
        </is>
      </c>
      <c r="O442" t="inlineStr">
        <is>
          <t>Familiar</t>
        </is>
      </c>
      <c r="P442" t="inlineStr">
        <is>
          <t>STATE</t>
        </is>
      </c>
      <c r="Q442" t="n">
        <v>40.633</v>
      </c>
      <c r="R442" t="n">
        <v>41.966</v>
      </c>
      <c r="S442" t="n">
        <v>1.333</v>
      </c>
      <c r="T442" t="inlineStr">
        <is>
          <t>BTBR\training\c5m2.mp4</t>
        </is>
      </c>
      <c r="U442" t="n">
        <v>1219</v>
      </c>
      <c r="V442" t="n">
        <v>1259</v>
      </c>
      <c r="W442" t="n">
        <v/>
      </c>
      <c r="X442" t="n">
        <v/>
      </c>
      <c r="Y442" t="n">
        <v/>
      </c>
      <c r="Z442" t="n">
        <v/>
      </c>
      <c r="AA442">
        <f>SUMIFS($S$2:S442,$A$2:A442,A442,$N$2:N442,"Explore*")</f>
        <v/>
      </c>
      <c r="AB442">
        <f>IF(AND(LEFT(N442,7)="Explore",(AA442-IF(LEFT(N442,7)="Explore",S442,0))&lt;10),"SI","NO")</f>
        <v/>
      </c>
    </row>
    <row r="443">
      <c r="A443" t="inlineStr">
        <is>
          <t>c5m2_training</t>
        </is>
      </c>
      <c r="B443" t="inlineStr">
        <is>
          <t>2026-02-20 10:46:35.941</t>
        </is>
      </c>
      <c r="C443" t="n">
        <v/>
      </c>
      <c r="D443" t="inlineStr">
        <is>
          <t>Media file</t>
        </is>
      </c>
      <c r="E443" t="inlineStr">
        <is>
          <t>player #1:BTBR\training\c5m2.mp4</t>
        </is>
      </c>
      <c r="F443" t="n">
        <v>-9.766999999999999</v>
      </c>
      <c r="G443" t="n">
        <v>590.966</v>
      </c>
      <c r="H443" t="n">
        <v>627.766</v>
      </c>
      <c r="I443" t="n">
        <v>30</v>
      </c>
      <c r="J443" t="inlineStr">
        <is>
          <t>BTBR</t>
        </is>
      </c>
      <c r="K443" t="inlineStr">
        <is>
          <t>Male</t>
        </is>
      </c>
      <c r="L443" t="inlineStr">
        <is>
          <t>No focal subject</t>
        </is>
      </c>
      <c r="M443" t="n">
        <v>39.369</v>
      </c>
      <c r="N443" t="inlineStr">
        <is>
          <t>Explore_F2</t>
        </is>
      </c>
      <c r="O443" t="inlineStr">
        <is>
          <t>Second familiar</t>
        </is>
      </c>
      <c r="P443" t="inlineStr">
        <is>
          <t>STATE</t>
        </is>
      </c>
      <c r="Q443" t="n">
        <v>42.5</v>
      </c>
      <c r="R443" t="n">
        <v>42.933</v>
      </c>
      <c r="S443" t="n">
        <v>0.433</v>
      </c>
      <c r="T443" t="inlineStr">
        <is>
          <t>BTBR\training\c5m2.mp4</t>
        </is>
      </c>
      <c r="U443" t="n">
        <v>1277</v>
      </c>
      <c r="V443" t="n">
        <v>1288</v>
      </c>
      <c r="W443" t="n">
        <v/>
      </c>
      <c r="X443" t="n">
        <v/>
      </c>
      <c r="Y443" t="n">
        <v/>
      </c>
      <c r="Z443" t="n">
        <v/>
      </c>
      <c r="AA443">
        <f>SUMIFS($S$2:S443,$A$2:A443,A443,$N$2:N443,"Explore*")</f>
        <v/>
      </c>
      <c r="AB443">
        <f>IF(AND(LEFT(N443,7)="Explore",(AA443-IF(LEFT(N443,7)="Explore",S443,0))&lt;10),"SI","NO")</f>
        <v/>
      </c>
    </row>
    <row r="444">
      <c r="A444" t="inlineStr">
        <is>
          <t>c5m2_training</t>
        </is>
      </c>
      <c r="B444" t="inlineStr">
        <is>
          <t>2026-02-20 10:46:35.941</t>
        </is>
      </c>
      <c r="C444" t="n">
        <v/>
      </c>
      <c r="D444" t="inlineStr">
        <is>
          <t>Media file</t>
        </is>
      </c>
      <c r="E444" t="inlineStr">
        <is>
          <t>player #1:BTBR\training\c5m2.mp4</t>
        </is>
      </c>
      <c r="F444" t="n">
        <v>-9.766999999999999</v>
      </c>
      <c r="G444" t="n">
        <v>590.966</v>
      </c>
      <c r="H444" t="n">
        <v>627.766</v>
      </c>
      <c r="I444" t="n">
        <v>30</v>
      </c>
      <c r="J444" t="inlineStr">
        <is>
          <t>BTBR</t>
        </is>
      </c>
      <c r="K444" t="inlineStr">
        <is>
          <t>Male</t>
        </is>
      </c>
      <c r="L444" t="inlineStr">
        <is>
          <t>No focal subject</t>
        </is>
      </c>
      <c r="M444" t="n">
        <v>39.369</v>
      </c>
      <c r="N444" t="inlineStr">
        <is>
          <t>Explore_F2</t>
        </is>
      </c>
      <c r="O444" t="inlineStr">
        <is>
          <t>Second familiar</t>
        </is>
      </c>
      <c r="P444" t="inlineStr">
        <is>
          <t>STATE</t>
        </is>
      </c>
      <c r="Q444" t="n">
        <v>43.7</v>
      </c>
      <c r="R444" t="n">
        <v>45.133</v>
      </c>
      <c r="S444" t="n">
        <v>1.433</v>
      </c>
      <c r="T444" t="inlineStr">
        <is>
          <t>BTBR\training\c5m2.mp4</t>
        </is>
      </c>
      <c r="U444" t="n">
        <v>1311</v>
      </c>
      <c r="V444" t="n">
        <v>1354</v>
      </c>
      <c r="W444" t="n">
        <v/>
      </c>
      <c r="X444" t="n">
        <v/>
      </c>
      <c r="Y444" t="n">
        <v/>
      </c>
      <c r="Z444" t="n">
        <v/>
      </c>
      <c r="AA444">
        <f>SUMIFS($S$2:S444,$A$2:A444,A444,$N$2:N444,"Explore*")</f>
        <v/>
      </c>
      <c r="AB444">
        <f>IF(AND(LEFT(N444,7)="Explore",(AA444-IF(LEFT(N444,7)="Explore",S444,0))&lt;10),"SI","NO")</f>
        <v/>
      </c>
    </row>
    <row r="445">
      <c r="A445" t="inlineStr">
        <is>
          <t>c5m2_training</t>
        </is>
      </c>
      <c r="B445" t="inlineStr">
        <is>
          <t>2026-02-20 10:46:35.941</t>
        </is>
      </c>
      <c r="C445" t="n">
        <v/>
      </c>
      <c r="D445" t="inlineStr">
        <is>
          <t>Media file</t>
        </is>
      </c>
      <c r="E445" t="inlineStr">
        <is>
          <t>player #1:BTBR\training\c5m2.mp4</t>
        </is>
      </c>
      <c r="F445" t="n">
        <v>-9.766999999999999</v>
      </c>
      <c r="G445" t="n">
        <v>590.966</v>
      </c>
      <c r="H445" t="n">
        <v>627.766</v>
      </c>
      <c r="I445" t="n">
        <v>30</v>
      </c>
      <c r="J445" t="inlineStr">
        <is>
          <t>BTBR</t>
        </is>
      </c>
      <c r="K445" t="inlineStr">
        <is>
          <t>Male</t>
        </is>
      </c>
      <c r="L445" t="inlineStr">
        <is>
          <t>No focal subject</t>
        </is>
      </c>
      <c r="M445" t="n">
        <v>39.369</v>
      </c>
      <c r="N445" t="inlineStr">
        <is>
          <t>Explore_F</t>
        </is>
      </c>
      <c r="O445" t="inlineStr">
        <is>
          <t>Familiar</t>
        </is>
      </c>
      <c r="P445" t="inlineStr">
        <is>
          <t>STATE</t>
        </is>
      </c>
      <c r="Q445" t="n">
        <v>46.9</v>
      </c>
      <c r="R445" t="n">
        <v>48.033</v>
      </c>
      <c r="S445" t="n">
        <v>1.133</v>
      </c>
      <c r="T445" t="inlineStr">
        <is>
          <t>BTBR\training\c5m2.mp4</t>
        </is>
      </c>
      <c r="U445" t="n">
        <v>1407</v>
      </c>
      <c r="V445" t="n">
        <v>1442</v>
      </c>
      <c r="W445" t="n">
        <v/>
      </c>
      <c r="X445" t="n">
        <v/>
      </c>
      <c r="Y445" t="n">
        <v/>
      </c>
      <c r="Z445" t="n">
        <v/>
      </c>
      <c r="AA445">
        <f>SUMIFS($S$2:S445,$A$2:A445,A445,$N$2:N445,"Explore*")</f>
        <v/>
      </c>
      <c r="AB445">
        <f>IF(AND(LEFT(N445,7)="Explore",(AA445-IF(LEFT(N445,7)="Explore",S445,0))&lt;10),"SI","NO")</f>
        <v/>
      </c>
    </row>
    <row r="446">
      <c r="A446" t="inlineStr">
        <is>
          <t>c5m2_training</t>
        </is>
      </c>
      <c r="B446" t="inlineStr">
        <is>
          <t>2026-02-20 10:46:35.941</t>
        </is>
      </c>
      <c r="C446" t="n">
        <v/>
      </c>
      <c r="D446" t="inlineStr">
        <is>
          <t>Media file</t>
        </is>
      </c>
      <c r="E446" t="inlineStr">
        <is>
          <t>player #1:BTBR\training\c5m2.mp4</t>
        </is>
      </c>
      <c r="F446" t="n">
        <v>-9.766999999999999</v>
      </c>
      <c r="G446" t="n">
        <v>590.966</v>
      </c>
      <c r="H446" t="n">
        <v>627.766</v>
      </c>
      <c r="I446" t="n">
        <v>30</v>
      </c>
      <c r="J446" t="inlineStr">
        <is>
          <t>BTBR</t>
        </is>
      </c>
      <c r="K446" t="inlineStr">
        <is>
          <t>Male</t>
        </is>
      </c>
      <c r="L446" t="inlineStr">
        <is>
          <t>No focal subject</t>
        </is>
      </c>
      <c r="M446" t="n">
        <v>39.369</v>
      </c>
      <c r="N446" t="inlineStr">
        <is>
          <t>Explore_F</t>
        </is>
      </c>
      <c r="O446" t="inlineStr">
        <is>
          <t>Familiar</t>
        </is>
      </c>
      <c r="P446" t="inlineStr">
        <is>
          <t>STATE</t>
        </is>
      </c>
      <c r="Q446" t="n">
        <v>54.466</v>
      </c>
      <c r="R446" t="n">
        <v>55.433</v>
      </c>
      <c r="S446" t="n">
        <v>0.967</v>
      </c>
      <c r="T446" t="inlineStr">
        <is>
          <t>BTBR\training\c5m2.mp4</t>
        </is>
      </c>
      <c r="U446" t="n">
        <v>1634</v>
      </c>
      <c r="V446" t="n">
        <v>1663</v>
      </c>
      <c r="W446" t="n">
        <v/>
      </c>
      <c r="X446" t="n">
        <v/>
      </c>
      <c r="Y446" t="n">
        <v/>
      </c>
      <c r="Z446" t="n">
        <v/>
      </c>
      <c r="AA446">
        <f>SUMIFS($S$2:S446,$A$2:A446,A446,$N$2:N446,"Explore*")</f>
        <v/>
      </c>
      <c r="AB446">
        <f>IF(AND(LEFT(N446,7)="Explore",(AA446-IF(LEFT(N446,7)="Explore",S446,0))&lt;10),"SI","NO")</f>
        <v/>
      </c>
    </row>
    <row r="447">
      <c r="A447" t="inlineStr">
        <is>
          <t>c5m2_training</t>
        </is>
      </c>
      <c r="B447" t="inlineStr">
        <is>
          <t>2026-02-20 10:46:35.941</t>
        </is>
      </c>
      <c r="C447" t="n">
        <v/>
      </c>
      <c r="D447" t="inlineStr">
        <is>
          <t>Media file</t>
        </is>
      </c>
      <c r="E447" t="inlineStr">
        <is>
          <t>player #1:BTBR\training\c5m2.mp4</t>
        </is>
      </c>
      <c r="F447" t="n">
        <v>-9.766999999999999</v>
      </c>
      <c r="G447" t="n">
        <v>590.966</v>
      </c>
      <c r="H447" t="n">
        <v>627.766</v>
      </c>
      <c r="I447" t="n">
        <v>30</v>
      </c>
      <c r="J447" t="inlineStr">
        <is>
          <t>BTBR</t>
        </is>
      </c>
      <c r="K447" t="inlineStr">
        <is>
          <t>Male</t>
        </is>
      </c>
      <c r="L447" t="inlineStr">
        <is>
          <t>No focal subject</t>
        </is>
      </c>
      <c r="M447" t="n">
        <v>39.369</v>
      </c>
      <c r="N447" t="inlineStr">
        <is>
          <t>Explore_F</t>
        </is>
      </c>
      <c r="O447" t="inlineStr">
        <is>
          <t>Familiar</t>
        </is>
      </c>
      <c r="P447" t="inlineStr">
        <is>
          <t>STATE</t>
        </is>
      </c>
      <c r="Q447" t="n">
        <v>71</v>
      </c>
      <c r="R447" t="n">
        <v>71.833</v>
      </c>
      <c r="S447" t="n">
        <v>0.833</v>
      </c>
      <c r="T447" t="inlineStr">
        <is>
          <t>BTBR\training\c5m2.mp4</t>
        </is>
      </c>
      <c r="U447" t="n">
        <v>2132</v>
      </c>
      <c r="V447" t="n">
        <v>2155</v>
      </c>
      <c r="W447" t="n">
        <v/>
      </c>
      <c r="X447" t="n">
        <v/>
      </c>
      <c r="Y447" t="n">
        <v/>
      </c>
      <c r="Z447" t="n">
        <v/>
      </c>
      <c r="AA447">
        <f>SUMIFS($S$2:S447,$A$2:A447,A447,$N$2:N447,"Explore*")</f>
        <v/>
      </c>
      <c r="AB447">
        <f>IF(AND(LEFT(N447,7)="Explore",(AA447-IF(LEFT(N447,7)="Explore",S447,0))&lt;10),"SI","NO")</f>
        <v/>
      </c>
    </row>
    <row r="448">
      <c r="A448" t="inlineStr">
        <is>
          <t>c5m2_training</t>
        </is>
      </c>
      <c r="B448" t="inlineStr">
        <is>
          <t>2026-02-20 10:46:35.941</t>
        </is>
      </c>
      <c r="C448" t="n">
        <v/>
      </c>
      <c r="D448" t="inlineStr">
        <is>
          <t>Media file</t>
        </is>
      </c>
      <c r="E448" t="inlineStr">
        <is>
          <t>player #1:BTBR\training\c5m2.mp4</t>
        </is>
      </c>
      <c r="F448" t="n">
        <v>-9.766999999999999</v>
      </c>
      <c r="G448" t="n">
        <v>590.966</v>
      </c>
      <c r="H448" t="n">
        <v>627.766</v>
      </c>
      <c r="I448" t="n">
        <v>30</v>
      </c>
      <c r="J448" t="inlineStr">
        <is>
          <t>BTBR</t>
        </is>
      </c>
      <c r="K448" t="inlineStr">
        <is>
          <t>Male</t>
        </is>
      </c>
      <c r="L448" t="inlineStr">
        <is>
          <t>No focal subject</t>
        </is>
      </c>
      <c r="M448" t="n">
        <v>39.369</v>
      </c>
      <c r="N448" t="inlineStr">
        <is>
          <t>Explore_F2</t>
        </is>
      </c>
      <c r="O448" t="inlineStr">
        <is>
          <t>Second familiar</t>
        </is>
      </c>
      <c r="P448" t="inlineStr">
        <is>
          <t>STATE</t>
        </is>
      </c>
      <c r="Q448" t="n">
        <v>74</v>
      </c>
      <c r="R448" t="n">
        <v>74.333</v>
      </c>
      <c r="S448" t="n">
        <v>0.333</v>
      </c>
      <c r="T448" t="inlineStr">
        <is>
          <t>BTBR\training\c5m2.mp4</t>
        </is>
      </c>
      <c r="U448" t="n">
        <v>2222</v>
      </c>
      <c r="V448" t="n">
        <v>2230</v>
      </c>
      <c r="W448" t="n">
        <v/>
      </c>
      <c r="X448" t="n">
        <v/>
      </c>
      <c r="Y448" t="n">
        <v/>
      </c>
      <c r="Z448" t="n">
        <v/>
      </c>
      <c r="AA448">
        <f>SUMIFS($S$2:S448,$A$2:A448,A448,$N$2:N448,"Explore*")</f>
        <v/>
      </c>
      <c r="AB448">
        <f>IF(AND(LEFT(N448,7)="Explore",(AA448-IF(LEFT(N448,7)="Explore",S448,0))&lt;10),"SI","NO")</f>
        <v/>
      </c>
    </row>
    <row r="449">
      <c r="A449" t="inlineStr">
        <is>
          <t>c5m2_training</t>
        </is>
      </c>
      <c r="B449" t="inlineStr">
        <is>
          <t>2026-02-20 10:46:35.941</t>
        </is>
      </c>
      <c r="C449" t="n">
        <v/>
      </c>
      <c r="D449" t="inlineStr">
        <is>
          <t>Media file</t>
        </is>
      </c>
      <c r="E449" t="inlineStr">
        <is>
          <t>player #1:BTBR\training\c5m2.mp4</t>
        </is>
      </c>
      <c r="F449" t="n">
        <v>-9.766999999999999</v>
      </c>
      <c r="G449" t="n">
        <v>590.966</v>
      </c>
      <c r="H449" t="n">
        <v>627.766</v>
      </c>
      <c r="I449" t="n">
        <v>30</v>
      </c>
      <c r="J449" t="inlineStr">
        <is>
          <t>BTBR</t>
        </is>
      </c>
      <c r="K449" t="inlineStr">
        <is>
          <t>Male</t>
        </is>
      </c>
      <c r="L449" t="inlineStr">
        <is>
          <t>No focal subject</t>
        </is>
      </c>
      <c r="M449" t="n">
        <v>39.369</v>
      </c>
      <c r="N449" t="inlineStr">
        <is>
          <t>Explore_F</t>
        </is>
      </c>
      <c r="O449" t="inlineStr">
        <is>
          <t>Familiar</t>
        </is>
      </c>
      <c r="P449" t="inlineStr">
        <is>
          <t>STATE</t>
        </is>
      </c>
      <c r="Q449" t="n">
        <v>75.43300000000001</v>
      </c>
      <c r="R449" t="n">
        <v>75.733</v>
      </c>
      <c r="S449" t="n">
        <v>0.3</v>
      </c>
      <c r="T449" t="inlineStr">
        <is>
          <t>BTBR\training\c5m2.mp4</t>
        </is>
      </c>
      <c r="U449" t="n">
        <v>2263</v>
      </c>
      <c r="V449" t="n">
        <v>2272</v>
      </c>
      <c r="W449" t="n">
        <v/>
      </c>
      <c r="X449" t="n">
        <v/>
      </c>
      <c r="Y449" t="n">
        <v/>
      </c>
      <c r="Z449" t="n">
        <v/>
      </c>
      <c r="AA449">
        <f>SUMIFS($S$2:S449,$A$2:A449,A449,$N$2:N449,"Explore*")</f>
        <v/>
      </c>
      <c r="AB449">
        <f>IF(AND(LEFT(N449,7)="Explore",(AA449-IF(LEFT(N449,7)="Explore",S449,0))&lt;10),"SI","NO")</f>
        <v/>
      </c>
    </row>
    <row r="450">
      <c r="A450" t="inlineStr">
        <is>
          <t>c5m2_training</t>
        </is>
      </c>
      <c r="B450" t="inlineStr">
        <is>
          <t>2026-02-20 10:46:35.941</t>
        </is>
      </c>
      <c r="C450" t="n">
        <v/>
      </c>
      <c r="D450" t="inlineStr">
        <is>
          <t>Media file</t>
        </is>
      </c>
      <c r="E450" t="inlineStr">
        <is>
          <t>player #1:BTBR\training\c5m2.mp4</t>
        </is>
      </c>
      <c r="F450" t="n">
        <v>-9.766999999999999</v>
      </c>
      <c r="G450" t="n">
        <v>590.966</v>
      </c>
      <c r="H450" t="n">
        <v>627.766</v>
      </c>
      <c r="I450" t="n">
        <v>30</v>
      </c>
      <c r="J450" t="inlineStr">
        <is>
          <t>BTBR</t>
        </is>
      </c>
      <c r="K450" t="inlineStr">
        <is>
          <t>Male</t>
        </is>
      </c>
      <c r="L450" t="inlineStr">
        <is>
          <t>No focal subject</t>
        </is>
      </c>
      <c r="M450" t="n">
        <v>39.369</v>
      </c>
      <c r="N450" t="inlineStr">
        <is>
          <t>Explore_F</t>
        </is>
      </c>
      <c r="O450" t="inlineStr">
        <is>
          <t>Familiar</t>
        </is>
      </c>
      <c r="P450" t="inlineStr">
        <is>
          <t>STATE</t>
        </is>
      </c>
      <c r="Q450" t="n">
        <v>76.40000000000001</v>
      </c>
      <c r="R450" t="n">
        <v>77.40000000000001</v>
      </c>
      <c r="S450" t="n">
        <v>1</v>
      </c>
      <c r="T450" t="inlineStr">
        <is>
          <t>BTBR\training\c5m2.mp4</t>
        </is>
      </c>
      <c r="U450" t="n">
        <v>2292</v>
      </c>
      <c r="V450" t="n">
        <v>2322</v>
      </c>
      <c r="W450" t="n">
        <v/>
      </c>
      <c r="X450" t="n">
        <v/>
      </c>
      <c r="Y450" t="n">
        <v/>
      </c>
      <c r="Z450" t="n">
        <v/>
      </c>
      <c r="AA450">
        <f>SUMIFS($S$2:S450,$A$2:A450,A450,$N$2:N450,"Explore*")</f>
        <v/>
      </c>
      <c r="AB450">
        <f>IF(AND(LEFT(N450,7)="Explore",(AA450-IF(LEFT(N450,7)="Explore",S450,0))&lt;10),"SI","NO")</f>
        <v/>
      </c>
    </row>
    <row r="451">
      <c r="A451" t="inlineStr">
        <is>
          <t>c5m2_training</t>
        </is>
      </c>
      <c r="B451" t="inlineStr">
        <is>
          <t>2026-02-20 10:46:35.941</t>
        </is>
      </c>
      <c r="C451" t="n">
        <v/>
      </c>
      <c r="D451" t="inlineStr">
        <is>
          <t>Media file</t>
        </is>
      </c>
      <c r="E451" t="inlineStr">
        <is>
          <t>player #1:BTBR\training\c5m2.mp4</t>
        </is>
      </c>
      <c r="F451" t="n">
        <v>-9.766999999999999</v>
      </c>
      <c r="G451" t="n">
        <v>590.966</v>
      </c>
      <c r="H451" t="n">
        <v>627.766</v>
      </c>
      <c r="I451" t="n">
        <v>30</v>
      </c>
      <c r="J451" t="inlineStr">
        <is>
          <t>BTBR</t>
        </is>
      </c>
      <c r="K451" t="inlineStr">
        <is>
          <t>Male</t>
        </is>
      </c>
      <c r="L451" t="inlineStr">
        <is>
          <t>No focal subject</t>
        </is>
      </c>
      <c r="M451" t="n">
        <v>39.369</v>
      </c>
      <c r="N451" t="inlineStr">
        <is>
          <t>Explore_F2</t>
        </is>
      </c>
      <c r="O451" t="inlineStr">
        <is>
          <t>Second familiar</t>
        </is>
      </c>
      <c r="P451" t="inlineStr">
        <is>
          <t>STATE</t>
        </is>
      </c>
      <c r="Q451" t="n">
        <v>80.43300000000001</v>
      </c>
      <c r="R451" t="n">
        <v>80.7</v>
      </c>
      <c r="S451" t="n">
        <v>0.267</v>
      </c>
      <c r="T451" t="inlineStr">
        <is>
          <t>BTBR\training\c5m2.mp4</t>
        </is>
      </c>
      <c r="U451" t="n">
        <v>2413</v>
      </c>
      <c r="V451" t="n">
        <v>2421</v>
      </c>
      <c r="W451" t="n">
        <v/>
      </c>
      <c r="X451" t="n">
        <v/>
      </c>
      <c r="Y451" t="n">
        <v/>
      </c>
      <c r="Z451" t="n">
        <v/>
      </c>
      <c r="AA451">
        <f>SUMIFS($S$2:S451,$A$2:A451,A451,$N$2:N451,"Explore*")</f>
        <v/>
      </c>
      <c r="AB451">
        <f>IF(AND(LEFT(N451,7)="Explore",(AA451-IF(LEFT(N451,7)="Explore",S451,0))&lt;10),"SI","NO")</f>
        <v/>
      </c>
    </row>
    <row r="452">
      <c r="A452" t="inlineStr">
        <is>
          <t>c5m2_training</t>
        </is>
      </c>
      <c r="B452" t="inlineStr">
        <is>
          <t>2026-02-20 10:46:35.941</t>
        </is>
      </c>
      <c r="C452" t="n">
        <v/>
      </c>
      <c r="D452" t="inlineStr">
        <is>
          <t>Media file</t>
        </is>
      </c>
      <c r="E452" t="inlineStr">
        <is>
          <t>player #1:BTBR\training\c5m2.mp4</t>
        </is>
      </c>
      <c r="F452" t="n">
        <v>-9.766999999999999</v>
      </c>
      <c r="G452" t="n">
        <v>590.966</v>
      </c>
      <c r="H452" t="n">
        <v>627.766</v>
      </c>
      <c r="I452" t="n">
        <v>30</v>
      </c>
      <c r="J452" t="inlineStr">
        <is>
          <t>BTBR</t>
        </is>
      </c>
      <c r="K452" t="inlineStr">
        <is>
          <t>Male</t>
        </is>
      </c>
      <c r="L452" t="inlineStr">
        <is>
          <t>No focal subject</t>
        </is>
      </c>
      <c r="M452" t="n">
        <v>39.369</v>
      </c>
      <c r="N452" t="inlineStr">
        <is>
          <t>Explore_F</t>
        </is>
      </c>
      <c r="O452" t="inlineStr">
        <is>
          <t>Familiar</t>
        </is>
      </c>
      <c r="P452" t="inlineStr">
        <is>
          <t>STATE</t>
        </is>
      </c>
      <c r="Q452" t="n">
        <v>82.533</v>
      </c>
      <c r="R452" t="n">
        <v>83.43300000000001</v>
      </c>
      <c r="S452" t="n">
        <v>0.9</v>
      </c>
      <c r="T452" t="inlineStr">
        <is>
          <t>BTBR\training\c5m2.mp4</t>
        </is>
      </c>
      <c r="U452" t="n">
        <v>2477</v>
      </c>
      <c r="V452" t="n">
        <v>2503</v>
      </c>
      <c r="W452" t="n">
        <v/>
      </c>
      <c r="X452" t="n">
        <v/>
      </c>
      <c r="Y452" t="n">
        <v/>
      </c>
      <c r="Z452" t="n">
        <v/>
      </c>
      <c r="AA452">
        <f>SUMIFS($S$2:S452,$A$2:A452,A452,$N$2:N452,"Explore*")</f>
        <v/>
      </c>
      <c r="AB452">
        <f>IF(AND(LEFT(N452,7)="Explore",(AA452-IF(LEFT(N452,7)="Explore",S452,0))&lt;10),"SI","NO")</f>
        <v/>
      </c>
    </row>
    <row r="453">
      <c r="A453" t="inlineStr">
        <is>
          <t>c5m2_training</t>
        </is>
      </c>
      <c r="B453" t="inlineStr">
        <is>
          <t>2026-02-20 10:46:35.941</t>
        </is>
      </c>
      <c r="C453" t="n">
        <v/>
      </c>
      <c r="D453" t="inlineStr">
        <is>
          <t>Media file</t>
        </is>
      </c>
      <c r="E453" t="inlineStr">
        <is>
          <t>player #1:BTBR\training\c5m2.mp4</t>
        </is>
      </c>
      <c r="F453" t="n">
        <v>-9.766999999999999</v>
      </c>
      <c r="G453" t="n">
        <v>590.966</v>
      </c>
      <c r="H453" t="n">
        <v>627.766</v>
      </c>
      <c r="I453" t="n">
        <v>30</v>
      </c>
      <c r="J453" t="inlineStr">
        <is>
          <t>BTBR</t>
        </is>
      </c>
      <c r="K453" t="inlineStr">
        <is>
          <t>Male</t>
        </is>
      </c>
      <c r="L453" t="inlineStr">
        <is>
          <t>No focal subject</t>
        </is>
      </c>
      <c r="M453" t="n">
        <v>39.369</v>
      </c>
      <c r="N453" t="inlineStr">
        <is>
          <t>Explore_F2</t>
        </is>
      </c>
      <c r="O453" t="inlineStr">
        <is>
          <t>Second familiar</t>
        </is>
      </c>
      <c r="P453" t="inlineStr">
        <is>
          <t>STATE</t>
        </is>
      </c>
      <c r="Q453" t="n">
        <v>90.2</v>
      </c>
      <c r="R453" t="n">
        <v>90.533</v>
      </c>
      <c r="S453" t="n">
        <v>0.333</v>
      </c>
      <c r="T453" t="inlineStr">
        <is>
          <t>BTBR\training\c5m2.mp4</t>
        </is>
      </c>
      <c r="U453" t="n">
        <v>2706</v>
      </c>
      <c r="V453" t="n">
        <v>2717</v>
      </c>
      <c r="W453" t="n">
        <v/>
      </c>
      <c r="X453" t="n">
        <v/>
      </c>
      <c r="Y453" t="n">
        <v/>
      </c>
      <c r="Z453" t="n">
        <v/>
      </c>
      <c r="AA453">
        <f>SUMIFS($S$2:S453,$A$2:A453,A453,$N$2:N453,"Explore*")</f>
        <v/>
      </c>
      <c r="AB453">
        <f>IF(AND(LEFT(N453,7)="Explore",(AA453-IF(LEFT(N453,7)="Explore",S453,0))&lt;10),"SI","NO")</f>
        <v/>
      </c>
    </row>
    <row r="454">
      <c r="A454" t="inlineStr">
        <is>
          <t>c5m2_training</t>
        </is>
      </c>
      <c r="B454" t="inlineStr">
        <is>
          <t>2026-02-20 10:46:35.941</t>
        </is>
      </c>
      <c r="C454" t="n">
        <v/>
      </c>
      <c r="D454" t="inlineStr">
        <is>
          <t>Media file</t>
        </is>
      </c>
      <c r="E454" t="inlineStr">
        <is>
          <t>player #1:BTBR\training\c5m2.mp4</t>
        </is>
      </c>
      <c r="F454" t="n">
        <v>-9.766999999999999</v>
      </c>
      <c r="G454" t="n">
        <v>590.966</v>
      </c>
      <c r="H454" t="n">
        <v>627.766</v>
      </c>
      <c r="I454" t="n">
        <v>30</v>
      </c>
      <c r="J454" t="inlineStr">
        <is>
          <t>BTBR</t>
        </is>
      </c>
      <c r="K454" t="inlineStr">
        <is>
          <t>Male</t>
        </is>
      </c>
      <c r="L454" t="inlineStr">
        <is>
          <t>No focal subject</t>
        </is>
      </c>
      <c r="M454" t="n">
        <v>39.369</v>
      </c>
      <c r="N454" t="inlineStr">
        <is>
          <t>Explore_F</t>
        </is>
      </c>
      <c r="O454" t="inlineStr">
        <is>
          <t>Familiar</t>
        </is>
      </c>
      <c r="P454" t="inlineStr">
        <is>
          <t>STATE</t>
        </is>
      </c>
      <c r="Q454" t="n">
        <v>115.466</v>
      </c>
      <c r="R454" t="n">
        <v>115.7</v>
      </c>
      <c r="S454" t="n">
        <v>0.234</v>
      </c>
      <c r="T454" t="inlineStr">
        <is>
          <t>BTBR\training\c5m2.mp4</t>
        </is>
      </c>
      <c r="U454" t="n">
        <v>3464</v>
      </c>
      <c r="V454" t="n">
        <v>3471</v>
      </c>
      <c r="W454" t="n">
        <v/>
      </c>
      <c r="X454" t="n">
        <v/>
      </c>
      <c r="Y454" t="n">
        <v/>
      </c>
      <c r="Z454" t="n">
        <v/>
      </c>
      <c r="AA454">
        <f>SUMIFS($S$2:S454,$A$2:A454,A454,$N$2:N454,"Explore*")</f>
        <v/>
      </c>
      <c r="AB454">
        <f>IF(AND(LEFT(N454,7)="Explore",(AA454-IF(LEFT(N454,7)="Explore",S454,0))&lt;10),"SI","NO")</f>
        <v/>
      </c>
    </row>
    <row r="455">
      <c r="A455" t="inlineStr">
        <is>
          <t>c5m2_training</t>
        </is>
      </c>
      <c r="B455" t="inlineStr">
        <is>
          <t>2026-02-20 10:46:35.941</t>
        </is>
      </c>
      <c r="C455" t="n">
        <v/>
      </c>
      <c r="D455" t="inlineStr">
        <is>
          <t>Media file</t>
        </is>
      </c>
      <c r="E455" t="inlineStr">
        <is>
          <t>player #1:BTBR\training\c5m2.mp4</t>
        </is>
      </c>
      <c r="F455" t="n">
        <v>-9.766999999999999</v>
      </c>
      <c r="G455" t="n">
        <v>590.966</v>
      </c>
      <c r="H455" t="n">
        <v>627.766</v>
      </c>
      <c r="I455" t="n">
        <v>30</v>
      </c>
      <c r="J455" t="inlineStr">
        <is>
          <t>BTBR</t>
        </is>
      </c>
      <c r="K455" t="inlineStr">
        <is>
          <t>Male</t>
        </is>
      </c>
      <c r="L455" t="inlineStr">
        <is>
          <t>No focal subject</t>
        </is>
      </c>
      <c r="M455" t="n">
        <v>39.369</v>
      </c>
      <c r="N455" t="inlineStr">
        <is>
          <t>Explore_F2</t>
        </is>
      </c>
      <c r="O455" t="inlineStr">
        <is>
          <t>Second familiar</t>
        </is>
      </c>
      <c r="P455" t="inlineStr">
        <is>
          <t>STATE</t>
        </is>
      </c>
      <c r="Q455" t="n">
        <v>116.033</v>
      </c>
      <c r="R455" t="n">
        <v>116.4</v>
      </c>
      <c r="S455" t="n">
        <v>0.367</v>
      </c>
      <c r="T455" t="inlineStr">
        <is>
          <t>BTBR\training\c5m2.mp4</t>
        </is>
      </c>
      <c r="U455" t="n">
        <v>3482</v>
      </c>
      <c r="V455" t="n">
        <v>3492</v>
      </c>
      <c r="W455" t="n">
        <v/>
      </c>
      <c r="X455" t="n">
        <v/>
      </c>
      <c r="Y455" t="n">
        <v/>
      </c>
      <c r="Z455" t="n">
        <v/>
      </c>
      <c r="AA455">
        <f>SUMIFS($S$2:S455,$A$2:A455,A455,$N$2:N455,"Explore*")</f>
        <v/>
      </c>
      <c r="AB455">
        <f>IF(AND(LEFT(N455,7)="Explore",(AA455-IF(LEFT(N455,7)="Explore",S455,0))&lt;10),"SI","NO")</f>
        <v/>
      </c>
    </row>
    <row r="456">
      <c r="A456" t="inlineStr">
        <is>
          <t>c5m2_training</t>
        </is>
      </c>
      <c r="B456" t="inlineStr">
        <is>
          <t>2026-02-20 10:46:35.941</t>
        </is>
      </c>
      <c r="C456" t="n">
        <v/>
      </c>
      <c r="D456" t="inlineStr">
        <is>
          <t>Media file</t>
        </is>
      </c>
      <c r="E456" t="inlineStr">
        <is>
          <t>player #1:BTBR\training\c5m2.mp4</t>
        </is>
      </c>
      <c r="F456" t="n">
        <v>-9.766999999999999</v>
      </c>
      <c r="G456" t="n">
        <v>590.966</v>
      </c>
      <c r="H456" t="n">
        <v>627.766</v>
      </c>
      <c r="I456" t="n">
        <v>30</v>
      </c>
      <c r="J456" t="inlineStr">
        <is>
          <t>BTBR</t>
        </is>
      </c>
      <c r="K456" t="inlineStr">
        <is>
          <t>Male</t>
        </is>
      </c>
      <c r="L456" t="inlineStr">
        <is>
          <t>No focal subject</t>
        </is>
      </c>
      <c r="M456" t="n">
        <v>39.369</v>
      </c>
      <c r="N456" t="inlineStr">
        <is>
          <t>Explore_F2</t>
        </is>
      </c>
      <c r="O456" t="inlineStr">
        <is>
          <t>Second familiar</t>
        </is>
      </c>
      <c r="P456" t="inlineStr">
        <is>
          <t>STATE</t>
        </is>
      </c>
      <c r="Q456" t="n">
        <v>117.3</v>
      </c>
      <c r="R456" t="n">
        <v>117.933</v>
      </c>
      <c r="S456" t="n">
        <v>0.633</v>
      </c>
      <c r="T456" t="inlineStr">
        <is>
          <t>BTBR\training\c5m2.mp4</t>
        </is>
      </c>
      <c r="U456" t="n">
        <v>3519</v>
      </c>
      <c r="V456" t="n">
        <v>3538</v>
      </c>
      <c r="W456" t="n">
        <v/>
      </c>
      <c r="X456" t="n">
        <v/>
      </c>
      <c r="Y456" t="n">
        <v/>
      </c>
      <c r="Z456" t="n">
        <v/>
      </c>
      <c r="AA456">
        <f>SUMIFS($S$2:S456,$A$2:A456,A456,$N$2:N456,"Explore*")</f>
        <v/>
      </c>
      <c r="AB456">
        <f>IF(AND(LEFT(N456,7)="Explore",(AA456-IF(LEFT(N456,7)="Explore",S456,0))&lt;10),"SI","NO")</f>
        <v/>
      </c>
    </row>
    <row r="457">
      <c r="A457" t="inlineStr">
        <is>
          <t>c5m2_training</t>
        </is>
      </c>
      <c r="B457" t="inlineStr">
        <is>
          <t>2026-02-20 10:46:35.941</t>
        </is>
      </c>
      <c r="C457" t="n">
        <v/>
      </c>
      <c r="D457" t="inlineStr">
        <is>
          <t>Media file</t>
        </is>
      </c>
      <c r="E457" t="inlineStr">
        <is>
          <t>player #1:BTBR\training\c5m2.mp4</t>
        </is>
      </c>
      <c r="F457" t="n">
        <v>-9.766999999999999</v>
      </c>
      <c r="G457" t="n">
        <v>590.966</v>
      </c>
      <c r="H457" t="n">
        <v>627.766</v>
      </c>
      <c r="I457" t="n">
        <v>30</v>
      </c>
      <c r="J457" t="inlineStr">
        <is>
          <t>BTBR</t>
        </is>
      </c>
      <c r="K457" t="inlineStr">
        <is>
          <t>Male</t>
        </is>
      </c>
      <c r="L457" t="inlineStr">
        <is>
          <t>No focal subject</t>
        </is>
      </c>
      <c r="M457" t="n">
        <v>39.369</v>
      </c>
      <c r="N457" t="inlineStr">
        <is>
          <t>Explore_F</t>
        </is>
      </c>
      <c r="O457" t="inlineStr">
        <is>
          <t>Familiar</t>
        </is>
      </c>
      <c r="P457" t="inlineStr">
        <is>
          <t>STATE</t>
        </is>
      </c>
      <c r="Q457" t="n">
        <v>118.533</v>
      </c>
      <c r="R457" t="n">
        <v>119.8</v>
      </c>
      <c r="S457" t="n">
        <v>1.267</v>
      </c>
      <c r="T457" t="inlineStr">
        <is>
          <t>BTBR\training\c5m2.mp4</t>
        </is>
      </c>
      <c r="U457" t="n">
        <v>3557</v>
      </c>
      <c r="V457" t="n">
        <v>3594</v>
      </c>
      <c r="W457" t="n">
        <v/>
      </c>
      <c r="X457" t="n">
        <v/>
      </c>
      <c r="Y457" t="n">
        <v/>
      </c>
      <c r="Z457" t="n">
        <v/>
      </c>
      <c r="AA457">
        <f>SUMIFS($S$2:S457,$A$2:A457,A457,$N$2:N457,"Explore*")</f>
        <v/>
      </c>
      <c r="AB457">
        <f>IF(AND(LEFT(N457,7)="Explore",(AA457-IF(LEFT(N457,7)="Explore",S457,0))&lt;10),"SI","NO")</f>
        <v/>
      </c>
    </row>
    <row r="458">
      <c r="A458" t="inlineStr">
        <is>
          <t>c5m2_training</t>
        </is>
      </c>
      <c r="B458" t="inlineStr">
        <is>
          <t>2026-02-20 10:46:35.941</t>
        </is>
      </c>
      <c r="C458" t="n">
        <v/>
      </c>
      <c r="D458" t="inlineStr">
        <is>
          <t>Media file</t>
        </is>
      </c>
      <c r="E458" t="inlineStr">
        <is>
          <t>player #1:BTBR\training\c5m2.mp4</t>
        </is>
      </c>
      <c r="F458" t="n">
        <v>-9.766999999999999</v>
      </c>
      <c r="G458" t="n">
        <v>590.966</v>
      </c>
      <c r="H458" t="n">
        <v>627.766</v>
      </c>
      <c r="I458" t="n">
        <v>30</v>
      </c>
      <c r="J458" t="inlineStr">
        <is>
          <t>BTBR</t>
        </is>
      </c>
      <c r="K458" t="inlineStr">
        <is>
          <t>Male</t>
        </is>
      </c>
      <c r="L458" t="inlineStr">
        <is>
          <t>No focal subject</t>
        </is>
      </c>
      <c r="M458" t="n">
        <v>39.369</v>
      </c>
      <c r="N458" t="inlineStr">
        <is>
          <t>Explore_F2</t>
        </is>
      </c>
      <c r="O458" t="inlineStr">
        <is>
          <t>Second familiar</t>
        </is>
      </c>
      <c r="P458" t="inlineStr">
        <is>
          <t>STATE</t>
        </is>
      </c>
      <c r="Q458" t="n">
        <v>122.4</v>
      </c>
      <c r="R458" t="n">
        <v>122.6</v>
      </c>
      <c r="S458" t="n">
        <v>0.2</v>
      </c>
      <c r="T458" t="inlineStr">
        <is>
          <t>BTBR\training\c5m2.mp4</t>
        </is>
      </c>
      <c r="U458" t="n">
        <v>3672</v>
      </c>
      <c r="V458" t="n">
        <v>3678</v>
      </c>
      <c r="W458" t="n">
        <v/>
      </c>
      <c r="X458" t="n">
        <v/>
      </c>
      <c r="Y458" t="n">
        <v/>
      </c>
      <c r="Z458" t="n">
        <v/>
      </c>
      <c r="AA458">
        <f>SUMIFS($S$2:S458,$A$2:A458,A458,$N$2:N458,"Explore*")</f>
        <v/>
      </c>
      <c r="AB458">
        <f>IF(AND(LEFT(N458,7)="Explore",(AA458-IF(LEFT(N458,7)="Explore",S458,0))&lt;10),"SI","NO")</f>
        <v/>
      </c>
    </row>
    <row r="459">
      <c r="A459" t="inlineStr">
        <is>
          <t>c5m2_training</t>
        </is>
      </c>
      <c r="B459" t="inlineStr">
        <is>
          <t>2026-02-20 10:46:35.941</t>
        </is>
      </c>
      <c r="C459" t="n">
        <v/>
      </c>
      <c r="D459" t="inlineStr">
        <is>
          <t>Media file</t>
        </is>
      </c>
      <c r="E459" t="inlineStr">
        <is>
          <t>player #1:BTBR\training\c5m2.mp4</t>
        </is>
      </c>
      <c r="F459" t="n">
        <v>-9.766999999999999</v>
      </c>
      <c r="G459" t="n">
        <v>590.966</v>
      </c>
      <c r="H459" t="n">
        <v>627.766</v>
      </c>
      <c r="I459" t="n">
        <v>30</v>
      </c>
      <c r="J459" t="inlineStr">
        <is>
          <t>BTBR</t>
        </is>
      </c>
      <c r="K459" t="inlineStr">
        <is>
          <t>Male</t>
        </is>
      </c>
      <c r="L459" t="inlineStr">
        <is>
          <t>No focal subject</t>
        </is>
      </c>
      <c r="M459" t="n">
        <v>39.369</v>
      </c>
      <c r="N459" t="inlineStr">
        <is>
          <t>Explore_F2</t>
        </is>
      </c>
      <c r="O459" t="inlineStr">
        <is>
          <t>Second familiar</t>
        </is>
      </c>
      <c r="P459" t="inlineStr">
        <is>
          <t>STATE</t>
        </is>
      </c>
      <c r="Q459" t="n">
        <v>123.1</v>
      </c>
      <c r="R459" t="n">
        <v>124</v>
      </c>
      <c r="S459" t="n">
        <v>0.9</v>
      </c>
      <c r="T459" t="inlineStr">
        <is>
          <t>BTBR\training\c5m2.mp4</t>
        </is>
      </c>
      <c r="U459" t="n">
        <v>3693</v>
      </c>
      <c r="V459" t="n">
        <v>3722</v>
      </c>
      <c r="W459" t="n">
        <v/>
      </c>
      <c r="X459" t="n">
        <v/>
      </c>
      <c r="Y459" t="n">
        <v/>
      </c>
      <c r="Z459" t="n">
        <v/>
      </c>
      <c r="AA459">
        <f>SUMIFS($S$2:S459,$A$2:A459,A459,$N$2:N459,"Explore*")</f>
        <v/>
      </c>
      <c r="AB459">
        <f>IF(AND(LEFT(N459,7)="Explore",(AA459-IF(LEFT(N459,7)="Explore",S459,0))&lt;10),"SI","NO")</f>
        <v/>
      </c>
    </row>
    <row r="460">
      <c r="A460" t="inlineStr">
        <is>
          <t>c5m2_training</t>
        </is>
      </c>
      <c r="B460" t="inlineStr">
        <is>
          <t>2026-02-20 10:46:35.941</t>
        </is>
      </c>
      <c r="C460" t="n">
        <v/>
      </c>
      <c r="D460" t="inlineStr">
        <is>
          <t>Media file</t>
        </is>
      </c>
      <c r="E460" t="inlineStr">
        <is>
          <t>player #1:BTBR\training\c5m2.mp4</t>
        </is>
      </c>
      <c r="F460" t="n">
        <v>-9.766999999999999</v>
      </c>
      <c r="G460" t="n">
        <v>590.966</v>
      </c>
      <c r="H460" t="n">
        <v>627.766</v>
      </c>
      <c r="I460" t="n">
        <v>30</v>
      </c>
      <c r="J460" t="inlineStr">
        <is>
          <t>BTBR</t>
        </is>
      </c>
      <c r="K460" t="inlineStr">
        <is>
          <t>Male</t>
        </is>
      </c>
      <c r="L460" t="inlineStr">
        <is>
          <t>No focal subject</t>
        </is>
      </c>
      <c r="M460" t="n">
        <v>39.369</v>
      </c>
      <c r="N460" t="inlineStr">
        <is>
          <t>Explore_F</t>
        </is>
      </c>
      <c r="O460" t="inlineStr">
        <is>
          <t>Familiar</t>
        </is>
      </c>
      <c r="P460" t="inlineStr">
        <is>
          <t>STATE</t>
        </is>
      </c>
      <c r="Q460" t="n">
        <v>125.2</v>
      </c>
      <c r="R460" t="n">
        <v>125.7</v>
      </c>
      <c r="S460" t="n">
        <v>0.5</v>
      </c>
      <c r="T460" t="inlineStr">
        <is>
          <t>BTBR\training\c5m2.mp4</t>
        </is>
      </c>
      <c r="U460" t="n">
        <v>3756</v>
      </c>
      <c r="V460" t="n">
        <v>3770</v>
      </c>
      <c r="W460" t="n">
        <v/>
      </c>
      <c r="X460" t="n">
        <v/>
      </c>
      <c r="Y460" t="n">
        <v/>
      </c>
      <c r="Z460" t="n">
        <v/>
      </c>
      <c r="AA460">
        <f>SUMIFS($S$2:S460,$A$2:A460,A460,$N$2:N460,"Explore*")</f>
        <v/>
      </c>
      <c r="AB460">
        <f>IF(AND(LEFT(N460,7)="Explore",(AA460-IF(LEFT(N460,7)="Explore",S460,0))&lt;10),"SI","NO")</f>
        <v/>
      </c>
    </row>
    <row r="461">
      <c r="A461" t="inlineStr">
        <is>
          <t>c5m2_training</t>
        </is>
      </c>
      <c r="B461" t="inlineStr">
        <is>
          <t>2026-02-20 10:46:35.941</t>
        </is>
      </c>
      <c r="C461" t="n">
        <v/>
      </c>
      <c r="D461" t="inlineStr">
        <is>
          <t>Media file</t>
        </is>
      </c>
      <c r="E461" t="inlineStr">
        <is>
          <t>player #1:BTBR\training\c5m2.mp4</t>
        </is>
      </c>
      <c r="F461" t="n">
        <v>-9.766999999999999</v>
      </c>
      <c r="G461" t="n">
        <v>590.966</v>
      </c>
      <c r="H461" t="n">
        <v>627.766</v>
      </c>
      <c r="I461" t="n">
        <v>30</v>
      </c>
      <c r="J461" t="inlineStr">
        <is>
          <t>BTBR</t>
        </is>
      </c>
      <c r="K461" t="inlineStr">
        <is>
          <t>Male</t>
        </is>
      </c>
      <c r="L461" t="inlineStr">
        <is>
          <t>No focal subject</t>
        </is>
      </c>
      <c r="M461" t="n">
        <v>39.369</v>
      </c>
      <c r="N461" t="inlineStr">
        <is>
          <t>Explore_F</t>
        </is>
      </c>
      <c r="O461" t="inlineStr">
        <is>
          <t>Familiar</t>
        </is>
      </c>
      <c r="P461" t="inlineStr">
        <is>
          <t>STATE</t>
        </is>
      </c>
      <c r="Q461" t="n">
        <v>126.133</v>
      </c>
      <c r="R461" t="n">
        <v>127.166</v>
      </c>
      <c r="S461" t="n">
        <v>1.033</v>
      </c>
      <c r="T461" t="inlineStr">
        <is>
          <t>BTBR\training\c5m2.mp4</t>
        </is>
      </c>
      <c r="U461" t="n">
        <v>3783</v>
      </c>
      <c r="V461" t="n">
        <v>3814</v>
      </c>
      <c r="W461" t="n">
        <v/>
      </c>
      <c r="X461" t="n">
        <v/>
      </c>
      <c r="Y461" t="n">
        <v/>
      </c>
      <c r="Z461" t="n">
        <v/>
      </c>
      <c r="AA461">
        <f>SUMIFS($S$2:S461,$A$2:A461,A461,$N$2:N461,"Explore*")</f>
        <v/>
      </c>
      <c r="AB461">
        <f>IF(AND(LEFT(N461,7)="Explore",(AA461-IF(LEFT(N461,7)="Explore",S461,0))&lt;10),"SI","NO")</f>
        <v/>
      </c>
    </row>
    <row r="462">
      <c r="A462" t="inlineStr">
        <is>
          <t>c5m2_training</t>
        </is>
      </c>
      <c r="B462" t="inlineStr">
        <is>
          <t>2026-02-20 10:46:35.941</t>
        </is>
      </c>
      <c r="C462" t="n">
        <v/>
      </c>
      <c r="D462" t="inlineStr">
        <is>
          <t>Media file</t>
        </is>
      </c>
      <c r="E462" t="inlineStr">
        <is>
          <t>player #1:BTBR\training\c5m2.mp4</t>
        </is>
      </c>
      <c r="F462" t="n">
        <v>-9.766999999999999</v>
      </c>
      <c r="G462" t="n">
        <v>590.966</v>
      </c>
      <c r="H462" t="n">
        <v>627.766</v>
      </c>
      <c r="I462" t="n">
        <v>30</v>
      </c>
      <c r="J462" t="inlineStr">
        <is>
          <t>BTBR</t>
        </is>
      </c>
      <c r="K462" t="inlineStr">
        <is>
          <t>Male</t>
        </is>
      </c>
      <c r="L462" t="inlineStr">
        <is>
          <t>No focal subject</t>
        </is>
      </c>
      <c r="M462" t="n">
        <v>39.369</v>
      </c>
      <c r="N462" t="inlineStr">
        <is>
          <t>Explore_F2</t>
        </is>
      </c>
      <c r="O462" t="inlineStr">
        <is>
          <t>Second familiar</t>
        </is>
      </c>
      <c r="P462" t="inlineStr">
        <is>
          <t>STATE</t>
        </is>
      </c>
      <c r="Q462" t="n">
        <v>129.266</v>
      </c>
      <c r="R462" t="n">
        <v>130.3</v>
      </c>
      <c r="S462" t="n">
        <v>1.034</v>
      </c>
      <c r="T462" t="inlineStr">
        <is>
          <t>BTBR\training\c5m2.mp4</t>
        </is>
      </c>
      <c r="U462" t="n">
        <v>3877</v>
      </c>
      <c r="V462" t="n">
        <v>3908</v>
      </c>
      <c r="W462" t="n">
        <v/>
      </c>
      <c r="X462" t="n">
        <v/>
      </c>
      <c r="Y462" t="n">
        <v/>
      </c>
      <c r="Z462" t="n">
        <v/>
      </c>
      <c r="AA462">
        <f>SUMIFS($S$2:S462,$A$2:A462,A462,$N$2:N462,"Explore*")</f>
        <v/>
      </c>
      <c r="AB462">
        <f>IF(AND(LEFT(N462,7)="Explore",(AA462-IF(LEFT(N462,7)="Explore",S462,0))&lt;10),"SI","NO")</f>
        <v/>
      </c>
    </row>
    <row r="463">
      <c r="A463" t="inlineStr">
        <is>
          <t>c5m2_training</t>
        </is>
      </c>
      <c r="B463" t="inlineStr">
        <is>
          <t>2026-02-20 10:46:35.941</t>
        </is>
      </c>
      <c r="C463" t="n">
        <v/>
      </c>
      <c r="D463" t="inlineStr">
        <is>
          <t>Media file</t>
        </is>
      </c>
      <c r="E463" t="inlineStr">
        <is>
          <t>player #1:BTBR\training\c5m2.mp4</t>
        </is>
      </c>
      <c r="F463" t="n">
        <v>-9.766999999999999</v>
      </c>
      <c r="G463" t="n">
        <v>590.966</v>
      </c>
      <c r="H463" t="n">
        <v>627.766</v>
      </c>
      <c r="I463" t="n">
        <v>30</v>
      </c>
      <c r="J463" t="inlineStr">
        <is>
          <t>BTBR</t>
        </is>
      </c>
      <c r="K463" t="inlineStr">
        <is>
          <t>Male</t>
        </is>
      </c>
      <c r="L463" t="inlineStr">
        <is>
          <t>No focal subject</t>
        </is>
      </c>
      <c r="M463" t="n">
        <v>39.369</v>
      </c>
      <c r="N463" t="inlineStr">
        <is>
          <t>Explore_F2</t>
        </is>
      </c>
      <c r="O463" t="inlineStr">
        <is>
          <t>Second familiar</t>
        </is>
      </c>
      <c r="P463" t="inlineStr">
        <is>
          <t>STATE</t>
        </is>
      </c>
      <c r="Q463" t="n">
        <v>144.8</v>
      </c>
      <c r="R463" t="n">
        <v>145.066</v>
      </c>
      <c r="S463" t="n">
        <v>0.266</v>
      </c>
      <c r="T463" t="inlineStr">
        <is>
          <t>BTBR\training\c5m2.mp4</t>
        </is>
      </c>
      <c r="U463" t="n">
        <v>4343</v>
      </c>
      <c r="V463" t="n">
        <v>4351</v>
      </c>
      <c r="W463" t="n">
        <v/>
      </c>
      <c r="X463" t="n">
        <v/>
      </c>
      <c r="Y463" t="n">
        <v/>
      </c>
      <c r="Z463" t="n">
        <v/>
      </c>
      <c r="AA463">
        <f>SUMIFS($S$2:S463,$A$2:A463,A463,$N$2:N463,"Explore*")</f>
        <v/>
      </c>
      <c r="AB463">
        <f>IF(AND(LEFT(N463,7)="Explore",(AA463-IF(LEFT(N463,7)="Explore",S463,0))&lt;10),"SI","NO")</f>
        <v/>
      </c>
    </row>
    <row r="464">
      <c r="A464" t="inlineStr">
        <is>
          <t>c5m2_training</t>
        </is>
      </c>
      <c r="B464" t="inlineStr">
        <is>
          <t>2026-02-20 10:46:35.941</t>
        </is>
      </c>
      <c r="C464" t="n">
        <v/>
      </c>
      <c r="D464" t="inlineStr">
        <is>
          <t>Media file</t>
        </is>
      </c>
      <c r="E464" t="inlineStr">
        <is>
          <t>player #1:BTBR\training\c5m2.mp4</t>
        </is>
      </c>
      <c r="F464" t="n">
        <v>-9.766999999999999</v>
      </c>
      <c r="G464" t="n">
        <v>590.966</v>
      </c>
      <c r="H464" t="n">
        <v>627.766</v>
      </c>
      <c r="I464" t="n">
        <v>30</v>
      </c>
      <c r="J464" t="inlineStr">
        <is>
          <t>BTBR</t>
        </is>
      </c>
      <c r="K464" t="inlineStr">
        <is>
          <t>Male</t>
        </is>
      </c>
      <c r="L464" t="inlineStr">
        <is>
          <t>No focal subject</t>
        </is>
      </c>
      <c r="M464" t="n">
        <v>39.369</v>
      </c>
      <c r="N464" t="inlineStr">
        <is>
          <t>Explore_F2</t>
        </is>
      </c>
      <c r="O464" t="inlineStr">
        <is>
          <t>Second familiar</t>
        </is>
      </c>
      <c r="P464" t="inlineStr">
        <is>
          <t>STATE</t>
        </is>
      </c>
      <c r="Q464" t="n">
        <v>157.599</v>
      </c>
      <c r="R464" t="n">
        <v>158.533</v>
      </c>
      <c r="S464" t="n">
        <v>0.9340000000000001</v>
      </c>
      <c r="T464" t="inlineStr">
        <is>
          <t>BTBR\training\c5m2.mp4</t>
        </is>
      </c>
      <c r="U464" t="n">
        <v>4727</v>
      </c>
      <c r="V464" t="n">
        <v>4756</v>
      </c>
      <c r="W464" t="n">
        <v/>
      </c>
      <c r="X464" t="n">
        <v/>
      </c>
      <c r="Y464" t="n">
        <v/>
      </c>
      <c r="Z464" t="n">
        <v/>
      </c>
      <c r="AA464">
        <f>SUMIFS($S$2:S464,$A$2:A464,A464,$N$2:N464,"Explore*")</f>
        <v/>
      </c>
      <c r="AB464">
        <f>IF(AND(LEFT(N464,7)="Explore",(AA464-IF(LEFT(N464,7)="Explore",S464,0))&lt;10),"SI","NO")</f>
        <v/>
      </c>
    </row>
    <row r="465">
      <c r="A465" t="inlineStr">
        <is>
          <t>c5m2_training</t>
        </is>
      </c>
      <c r="B465" t="inlineStr">
        <is>
          <t>2026-02-20 10:46:35.941</t>
        </is>
      </c>
      <c r="C465" t="n">
        <v/>
      </c>
      <c r="D465" t="inlineStr">
        <is>
          <t>Media file</t>
        </is>
      </c>
      <c r="E465" t="inlineStr">
        <is>
          <t>player #1:BTBR\training\c5m2.mp4</t>
        </is>
      </c>
      <c r="F465" t="n">
        <v>-9.766999999999999</v>
      </c>
      <c r="G465" t="n">
        <v>590.966</v>
      </c>
      <c r="H465" t="n">
        <v>627.766</v>
      </c>
      <c r="I465" t="n">
        <v>30</v>
      </c>
      <c r="J465" t="inlineStr">
        <is>
          <t>BTBR</t>
        </is>
      </c>
      <c r="K465" t="inlineStr">
        <is>
          <t>Male</t>
        </is>
      </c>
      <c r="L465" t="inlineStr">
        <is>
          <t>No focal subject</t>
        </is>
      </c>
      <c r="M465" t="n">
        <v>39.369</v>
      </c>
      <c r="N465" t="inlineStr">
        <is>
          <t>Explore_F</t>
        </is>
      </c>
      <c r="O465" t="inlineStr">
        <is>
          <t>Familiar</t>
        </is>
      </c>
      <c r="P465" t="inlineStr">
        <is>
          <t>STATE</t>
        </is>
      </c>
      <c r="Q465" t="n">
        <v>172.733</v>
      </c>
      <c r="R465" t="n">
        <v>172.999</v>
      </c>
      <c r="S465" t="n">
        <v>0.266</v>
      </c>
      <c r="T465" t="inlineStr">
        <is>
          <t>BTBR\training\c5m2.mp4</t>
        </is>
      </c>
      <c r="U465" t="n">
        <v>5181</v>
      </c>
      <c r="V465" t="n">
        <v>5189</v>
      </c>
      <c r="W465" t="n">
        <v/>
      </c>
      <c r="X465" t="n">
        <v/>
      </c>
      <c r="Y465" t="n">
        <v/>
      </c>
      <c r="Z465" t="n">
        <v/>
      </c>
      <c r="AA465">
        <f>SUMIFS($S$2:S465,$A$2:A465,A465,$N$2:N465,"Explore*")</f>
        <v/>
      </c>
      <c r="AB465">
        <f>IF(AND(LEFT(N465,7)="Explore",(AA465-IF(LEFT(N465,7)="Explore",S465,0))&lt;10),"SI","NO")</f>
        <v/>
      </c>
    </row>
    <row r="466">
      <c r="A466" t="inlineStr">
        <is>
          <t>c5m2_training</t>
        </is>
      </c>
      <c r="B466" t="inlineStr">
        <is>
          <t>2026-02-20 10:46:35.941</t>
        </is>
      </c>
      <c r="C466" t="n">
        <v/>
      </c>
      <c r="D466" t="inlineStr">
        <is>
          <t>Media file</t>
        </is>
      </c>
      <c r="E466" t="inlineStr">
        <is>
          <t>player #1:BTBR\training\c5m2.mp4</t>
        </is>
      </c>
      <c r="F466" t="n">
        <v>-9.766999999999999</v>
      </c>
      <c r="G466" t="n">
        <v>590.966</v>
      </c>
      <c r="H466" t="n">
        <v>627.766</v>
      </c>
      <c r="I466" t="n">
        <v>30</v>
      </c>
      <c r="J466" t="inlineStr">
        <is>
          <t>BTBR</t>
        </is>
      </c>
      <c r="K466" t="inlineStr">
        <is>
          <t>Male</t>
        </is>
      </c>
      <c r="L466" t="inlineStr">
        <is>
          <t>No focal subject</t>
        </is>
      </c>
      <c r="M466" t="n">
        <v>39.369</v>
      </c>
      <c r="N466" t="inlineStr">
        <is>
          <t>Explore_F</t>
        </is>
      </c>
      <c r="O466" t="inlineStr">
        <is>
          <t>Familiar</t>
        </is>
      </c>
      <c r="P466" t="inlineStr">
        <is>
          <t>STATE</t>
        </is>
      </c>
      <c r="Q466" t="n">
        <v>173.466</v>
      </c>
      <c r="R466" t="n">
        <v>174.299</v>
      </c>
      <c r="S466" t="n">
        <v>0.833</v>
      </c>
      <c r="T466" t="inlineStr">
        <is>
          <t>BTBR\training\c5m2.mp4</t>
        </is>
      </c>
      <c r="U466" t="n">
        <v>5203</v>
      </c>
      <c r="V466" t="n">
        <v>5228</v>
      </c>
      <c r="W466" t="n">
        <v/>
      </c>
      <c r="X466" t="n">
        <v/>
      </c>
      <c r="Y466" t="n">
        <v/>
      </c>
      <c r="Z466" t="n">
        <v/>
      </c>
      <c r="AA466">
        <f>SUMIFS($S$2:S466,$A$2:A466,A466,$N$2:N466,"Explore*")</f>
        <v/>
      </c>
      <c r="AB466">
        <f>IF(AND(LEFT(N466,7)="Explore",(AA466-IF(LEFT(N466,7)="Explore",S466,0))&lt;10),"SI","NO")</f>
        <v/>
      </c>
    </row>
    <row r="467">
      <c r="A467" t="inlineStr">
        <is>
          <t>c5m2_training</t>
        </is>
      </c>
      <c r="B467" t="inlineStr">
        <is>
          <t>2026-02-20 10:46:35.941</t>
        </is>
      </c>
      <c r="C467" t="n">
        <v/>
      </c>
      <c r="D467" t="inlineStr">
        <is>
          <t>Media file</t>
        </is>
      </c>
      <c r="E467" t="inlineStr">
        <is>
          <t>player #1:BTBR\training\c5m2.mp4</t>
        </is>
      </c>
      <c r="F467" t="n">
        <v>-9.766999999999999</v>
      </c>
      <c r="G467" t="n">
        <v>590.966</v>
      </c>
      <c r="H467" t="n">
        <v>627.766</v>
      </c>
      <c r="I467" t="n">
        <v>30</v>
      </c>
      <c r="J467" t="inlineStr">
        <is>
          <t>BTBR</t>
        </is>
      </c>
      <c r="K467" t="inlineStr">
        <is>
          <t>Male</t>
        </is>
      </c>
      <c r="L467" t="inlineStr">
        <is>
          <t>No focal subject</t>
        </is>
      </c>
      <c r="M467" t="n">
        <v>39.369</v>
      </c>
      <c r="N467" t="inlineStr">
        <is>
          <t>Explore_F</t>
        </is>
      </c>
      <c r="O467" t="inlineStr">
        <is>
          <t>Familiar</t>
        </is>
      </c>
      <c r="P467" t="inlineStr">
        <is>
          <t>STATE</t>
        </is>
      </c>
      <c r="Q467" t="n">
        <v>192.299</v>
      </c>
      <c r="R467" t="n">
        <v>193.166</v>
      </c>
      <c r="S467" t="n">
        <v>0.867</v>
      </c>
      <c r="T467" t="inlineStr">
        <is>
          <t>BTBR\training\c5m2.mp4</t>
        </is>
      </c>
      <c r="U467" t="n">
        <v>5768</v>
      </c>
      <c r="V467" t="n">
        <v>5794</v>
      </c>
      <c r="W467" t="n">
        <v/>
      </c>
      <c r="X467" t="n">
        <v/>
      </c>
      <c r="Y467" t="n">
        <v/>
      </c>
      <c r="Z467" t="n">
        <v/>
      </c>
      <c r="AA467">
        <f>SUMIFS($S$2:S467,$A$2:A467,A467,$N$2:N467,"Explore*")</f>
        <v/>
      </c>
      <c r="AB467">
        <f>IF(AND(LEFT(N467,7)="Explore",(AA467-IF(LEFT(N467,7)="Explore",S467,0))&lt;10),"SI","NO")</f>
        <v/>
      </c>
    </row>
    <row r="468">
      <c r="A468" t="inlineStr">
        <is>
          <t>c5m2_training</t>
        </is>
      </c>
      <c r="B468" t="inlineStr">
        <is>
          <t>2026-02-20 10:46:35.941</t>
        </is>
      </c>
      <c r="C468" t="n">
        <v/>
      </c>
      <c r="D468" t="inlineStr">
        <is>
          <t>Media file</t>
        </is>
      </c>
      <c r="E468" t="inlineStr">
        <is>
          <t>player #1:BTBR\training\c5m2.mp4</t>
        </is>
      </c>
      <c r="F468" t="n">
        <v>-9.766999999999999</v>
      </c>
      <c r="G468" t="n">
        <v>590.966</v>
      </c>
      <c r="H468" t="n">
        <v>627.766</v>
      </c>
      <c r="I468" t="n">
        <v>30</v>
      </c>
      <c r="J468" t="inlineStr">
        <is>
          <t>BTBR</t>
        </is>
      </c>
      <c r="K468" t="inlineStr">
        <is>
          <t>Male</t>
        </is>
      </c>
      <c r="L468" t="inlineStr">
        <is>
          <t>No focal subject</t>
        </is>
      </c>
      <c r="M468" t="n">
        <v>39.369</v>
      </c>
      <c r="N468" t="inlineStr">
        <is>
          <t>Explore_F</t>
        </is>
      </c>
      <c r="O468" t="inlineStr">
        <is>
          <t>Familiar</t>
        </is>
      </c>
      <c r="P468" t="inlineStr">
        <is>
          <t>STATE</t>
        </is>
      </c>
      <c r="Q468" t="n">
        <v>194.866</v>
      </c>
      <c r="R468" t="n">
        <v>195.433</v>
      </c>
      <c r="S468" t="n">
        <v>0.5669999999999999</v>
      </c>
      <c r="T468" t="inlineStr">
        <is>
          <t>BTBR\training\c5m2.mp4</t>
        </is>
      </c>
      <c r="U468" t="n">
        <v>5845</v>
      </c>
      <c r="V468" t="n">
        <v>5862</v>
      </c>
      <c r="W468" t="n">
        <v/>
      </c>
      <c r="X468" t="n">
        <v/>
      </c>
      <c r="Y468" t="n">
        <v/>
      </c>
      <c r="Z468" t="n">
        <v/>
      </c>
      <c r="AA468">
        <f>SUMIFS($S$2:S468,$A$2:A468,A468,$N$2:N468,"Explore*")</f>
        <v/>
      </c>
      <c r="AB468">
        <f>IF(AND(LEFT(N468,7)="Explore",(AA468-IF(LEFT(N468,7)="Explore",S468,0))&lt;10),"SI","NO")</f>
        <v/>
      </c>
    </row>
    <row r="469">
      <c r="A469" t="inlineStr">
        <is>
          <t>c5m2_training</t>
        </is>
      </c>
      <c r="B469" t="inlineStr">
        <is>
          <t>2026-02-20 10:46:35.941</t>
        </is>
      </c>
      <c r="C469" t="n">
        <v/>
      </c>
      <c r="D469" t="inlineStr">
        <is>
          <t>Media file</t>
        </is>
      </c>
      <c r="E469" t="inlineStr">
        <is>
          <t>player #1:BTBR\training\c5m2.mp4</t>
        </is>
      </c>
      <c r="F469" t="n">
        <v>-9.766999999999999</v>
      </c>
      <c r="G469" t="n">
        <v>590.966</v>
      </c>
      <c r="H469" t="n">
        <v>627.766</v>
      </c>
      <c r="I469" t="n">
        <v>30</v>
      </c>
      <c r="J469" t="inlineStr">
        <is>
          <t>BTBR</t>
        </is>
      </c>
      <c r="K469" t="inlineStr">
        <is>
          <t>Male</t>
        </is>
      </c>
      <c r="L469" t="inlineStr">
        <is>
          <t>No focal subject</t>
        </is>
      </c>
      <c r="M469" t="n">
        <v>39.369</v>
      </c>
      <c r="N469" t="inlineStr">
        <is>
          <t>Explore_F2</t>
        </is>
      </c>
      <c r="O469" t="inlineStr">
        <is>
          <t>Second familiar</t>
        </is>
      </c>
      <c r="P469" t="inlineStr">
        <is>
          <t>STATE</t>
        </is>
      </c>
      <c r="Q469" t="n">
        <v>196.699</v>
      </c>
      <c r="R469" t="n">
        <v>197.433</v>
      </c>
      <c r="S469" t="n">
        <v>0.734</v>
      </c>
      <c r="T469" t="inlineStr">
        <is>
          <t>BTBR\training\c5m2.mp4</t>
        </is>
      </c>
      <c r="U469" t="n">
        <v>5900</v>
      </c>
      <c r="V469" t="n">
        <v>5922</v>
      </c>
      <c r="W469" t="n">
        <v/>
      </c>
      <c r="X469" t="n">
        <v/>
      </c>
      <c r="Y469" t="n">
        <v/>
      </c>
      <c r="Z469" t="n">
        <v/>
      </c>
      <c r="AA469">
        <f>SUMIFS($S$2:S469,$A$2:A469,A469,$N$2:N469,"Explore*")</f>
        <v/>
      </c>
      <c r="AB469">
        <f>IF(AND(LEFT(N469,7)="Explore",(AA469-IF(LEFT(N469,7)="Explore",S469,0))&lt;10),"SI","NO")</f>
        <v/>
      </c>
    </row>
    <row r="470">
      <c r="A470" t="inlineStr">
        <is>
          <t>c5m2_training</t>
        </is>
      </c>
      <c r="B470" t="inlineStr">
        <is>
          <t>2026-02-20 10:46:35.941</t>
        </is>
      </c>
      <c r="C470" t="n">
        <v/>
      </c>
      <c r="D470" t="inlineStr">
        <is>
          <t>Media file</t>
        </is>
      </c>
      <c r="E470" t="inlineStr">
        <is>
          <t>player #1:BTBR\training\c5m2.mp4</t>
        </is>
      </c>
      <c r="F470" t="n">
        <v>-9.766999999999999</v>
      </c>
      <c r="G470" t="n">
        <v>590.966</v>
      </c>
      <c r="H470" t="n">
        <v>627.766</v>
      </c>
      <c r="I470" t="n">
        <v>30</v>
      </c>
      <c r="J470" t="inlineStr">
        <is>
          <t>BTBR</t>
        </is>
      </c>
      <c r="K470" t="inlineStr">
        <is>
          <t>Male</t>
        </is>
      </c>
      <c r="L470" t="inlineStr">
        <is>
          <t>No focal subject</t>
        </is>
      </c>
      <c r="M470" t="n">
        <v>39.369</v>
      </c>
      <c r="N470" t="inlineStr">
        <is>
          <t>Explore_F</t>
        </is>
      </c>
      <c r="O470" t="inlineStr">
        <is>
          <t>Familiar</t>
        </is>
      </c>
      <c r="P470" t="inlineStr">
        <is>
          <t>STATE</t>
        </is>
      </c>
      <c r="Q470" t="n">
        <v>198.133</v>
      </c>
      <c r="R470" t="n">
        <v>198.433</v>
      </c>
      <c r="S470" t="n">
        <v>0.3</v>
      </c>
      <c r="T470" t="inlineStr">
        <is>
          <t>BTBR\training\c5m2.mp4</t>
        </is>
      </c>
      <c r="U470" t="n">
        <v>5943</v>
      </c>
      <c r="V470" t="n">
        <v>5952</v>
      </c>
      <c r="W470" t="n">
        <v/>
      </c>
      <c r="X470" t="n">
        <v/>
      </c>
      <c r="Y470" t="n">
        <v/>
      </c>
      <c r="Z470" t="n">
        <v/>
      </c>
      <c r="AA470">
        <f>SUMIFS($S$2:S470,$A$2:A470,A470,$N$2:N470,"Explore*")</f>
        <v/>
      </c>
      <c r="AB470">
        <f>IF(AND(LEFT(N470,7)="Explore",(AA470-IF(LEFT(N470,7)="Explore",S470,0))&lt;10),"SI","NO")</f>
        <v/>
      </c>
    </row>
    <row r="471">
      <c r="A471" t="inlineStr">
        <is>
          <t>c5m2_training</t>
        </is>
      </c>
      <c r="B471" t="inlineStr">
        <is>
          <t>2026-02-20 10:46:35.941</t>
        </is>
      </c>
      <c r="C471" t="n">
        <v/>
      </c>
      <c r="D471" t="inlineStr">
        <is>
          <t>Media file</t>
        </is>
      </c>
      <c r="E471" t="inlineStr">
        <is>
          <t>player #1:BTBR\training\c5m2.mp4</t>
        </is>
      </c>
      <c r="F471" t="n">
        <v>-9.766999999999999</v>
      </c>
      <c r="G471" t="n">
        <v>590.966</v>
      </c>
      <c r="H471" t="n">
        <v>627.766</v>
      </c>
      <c r="I471" t="n">
        <v>30</v>
      </c>
      <c r="J471" t="inlineStr">
        <is>
          <t>BTBR</t>
        </is>
      </c>
      <c r="K471" t="inlineStr">
        <is>
          <t>Male</t>
        </is>
      </c>
      <c r="L471" t="inlineStr">
        <is>
          <t>No focal subject</t>
        </is>
      </c>
      <c r="M471" t="n">
        <v>39.369</v>
      </c>
      <c r="N471" t="inlineStr">
        <is>
          <t>Explore_F</t>
        </is>
      </c>
      <c r="O471" t="inlineStr">
        <is>
          <t>Familiar</t>
        </is>
      </c>
      <c r="P471" t="inlineStr">
        <is>
          <t>STATE</t>
        </is>
      </c>
      <c r="Q471" t="n">
        <v>199.066</v>
      </c>
      <c r="R471" t="n">
        <v>199.966</v>
      </c>
      <c r="S471" t="n">
        <v>0.9</v>
      </c>
      <c r="T471" t="inlineStr">
        <is>
          <t>BTBR\training\c5m2.mp4</t>
        </is>
      </c>
      <c r="U471" t="n">
        <v>5971</v>
      </c>
      <c r="V471" t="n">
        <v>5998</v>
      </c>
      <c r="W471" t="n">
        <v/>
      </c>
      <c r="X471" t="n">
        <v/>
      </c>
      <c r="Y471" t="n">
        <v/>
      </c>
      <c r="Z471" t="n">
        <v/>
      </c>
      <c r="AA471">
        <f>SUMIFS($S$2:S471,$A$2:A471,A471,$N$2:N471,"Explore*")</f>
        <v/>
      </c>
      <c r="AB471">
        <f>IF(AND(LEFT(N471,7)="Explore",(AA471-IF(LEFT(N471,7)="Explore",S471,0))&lt;10),"SI","NO")</f>
        <v/>
      </c>
    </row>
    <row r="472">
      <c r="A472" t="inlineStr">
        <is>
          <t>c5m2_training</t>
        </is>
      </c>
      <c r="B472" t="inlineStr">
        <is>
          <t>2026-02-20 10:46:35.941</t>
        </is>
      </c>
      <c r="C472" t="n">
        <v/>
      </c>
      <c r="D472" t="inlineStr">
        <is>
          <t>Media file</t>
        </is>
      </c>
      <c r="E472" t="inlineStr">
        <is>
          <t>player #1:BTBR\training\c5m2.mp4</t>
        </is>
      </c>
      <c r="F472" t="n">
        <v>-9.766999999999999</v>
      </c>
      <c r="G472" t="n">
        <v>590.966</v>
      </c>
      <c r="H472" t="n">
        <v>627.766</v>
      </c>
      <c r="I472" t="n">
        <v>30</v>
      </c>
      <c r="J472" t="inlineStr">
        <is>
          <t>BTBR</t>
        </is>
      </c>
      <c r="K472" t="inlineStr">
        <is>
          <t>Male</t>
        </is>
      </c>
      <c r="L472" t="inlineStr">
        <is>
          <t>No focal subject</t>
        </is>
      </c>
      <c r="M472" t="n">
        <v>39.369</v>
      </c>
      <c r="N472" t="inlineStr">
        <is>
          <t>Explore_F2</t>
        </is>
      </c>
      <c r="O472" t="inlineStr">
        <is>
          <t>Second familiar</t>
        </is>
      </c>
      <c r="P472" t="inlineStr">
        <is>
          <t>STATE</t>
        </is>
      </c>
      <c r="Q472" t="n">
        <v>201.866</v>
      </c>
      <c r="R472" t="n">
        <v>202.933</v>
      </c>
      <c r="S472" t="n">
        <v>1.067</v>
      </c>
      <c r="T472" t="inlineStr">
        <is>
          <t>BTBR\training\c5m2.mp4</t>
        </is>
      </c>
      <c r="U472" t="n">
        <v>6055</v>
      </c>
      <c r="V472" t="n">
        <v>6087</v>
      </c>
      <c r="W472" t="n">
        <v/>
      </c>
      <c r="X472" t="n">
        <v/>
      </c>
      <c r="Y472" t="n">
        <v/>
      </c>
      <c r="Z472" t="n">
        <v/>
      </c>
      <c r="AA472">
        <f>SUMIFS($S$2:S472,$A$2:A472,A472,$N$2:N472,"Explore*")</f>
        <v/>
      </c>
      <c r="AB472">
        <f>IF(AND(LEFT(N472,7)="Explore",(AA472-IF(LEFT(N472,7)="Explore",S472,0))&lt;10),"SI","NO")</f>
        <v/>
      </c>
    </row>
    <row r="473">
      <c r="A473" t="inlineStr">
        <is>
          <t>c5m2_training</t>
        </is>
      </c>
      <c r="B473" t="inlineStr">
        <is>
          <t>2026-02-20 10:46:35.941</t>
        </is>
      </c>
      <c r="C473" t="n">
        <v/>
      </c>
      <c r="D473" t="inlineStr">
        <is>
          <t>Media file</t>
        </is>
      </c>
      <c r="E473" t="inlineStr">
        <is>
          <t>player #1:BTBR\training\c5m2.mp4</t>
        </is>
      </c>
      <c r="F473" t="n">
        <v>-9.766999999999999</v>
      </c>
      <c r="G473" t="n">
        <v>590.966</v>
      </c>
      <c r="H473" t="n">
        <v>627.766</v>
      </c>
      <c r="I473" t="n">
        <v>30</v>
      </c>
      <c r="J473" t="inlineStr">
        <is>
          <t>BTBR</t>
        </is>
      </c>
      <c r="K473" t="inlineStr">
        <is>
          <t>Male</t>
        </is>
      </c>
      <c r="L473" t="inlineStr">
        <is>
          <t>No focal subject</t>
        </is>
      </c>
      <c r="M473" t="n">
        <v>39.369</v>
      </c>
      <c r="N473" t="inlineStr">
        <is>
          <t>Explore_F</t>
        </is>
      </c>
      <c r="O473" t="inlineStr">
        <is>
          <t>Familiar</t>
        </is>
      </c>
      <c r="P473" t="inlineStr">
        <is>
          <t>STATE</t>
        </is>
      </c>
      <c r="Q473" t="n">
        <v>212.333</v>
      </c>
      <c r="R473" t="n">
        <v>213.166</v>
      </c>
      <c r="S473" t="n">
        <v>0.833</v>
      </c>
      <c r="T473" t="inlineStr">
        <is>
          <t>BTBR\training\c5m2.mp4</t>
        </is>
      </c>
      <c r="U473" t="n">
        <v>6369</v>
      </c>
      <c r="V473" t="n">
        <v>6394</v>
      </c>
      <c r="W473" t="n">
        <v/>
      </c>
      <c r="X473" t="n">
        <v/>
      </c>
      <c r="Y473" t="n">
        <v/>
      </c>
      <c r="Z473" t="n">
        <v/>
      </c>
      <c r="AA473">
        <f>SUMIFS($S$2:S473,$A$2:A473,A473,$N$2:N473,"Explore*")</f>
        <v/>
      </c>
      <c r="AB473">
        <f>IF(AND(LEFT(N473,7)="Explore",(AA473-IF(LEFT(N473,7)="Explore",S473,0))&lt;10),"SI","NO")</f>
        <v/>
      </c>
    </row>
    <row r="474">
      <c r="A474" t="inlineStr">
        <is>
          <t>c5m2_training</t>
        </is>
      </c>
      <c r="B474" t="inlineStr">
        <is>
          <t>2026-02-20 10:46:35.941</t>
        </is>
      </c>
      <c r="C474" t="n">
        <v/>
      </c>
      <c r="D474" t="inlineStr">
        <is>
          <t>Media file</t>
        </is>
      </c>
      <c r="E474" t="inlineStr">
        <is>
          <t>player #1:BTBR\training\c5m2.mp4</t>
        </is>
      </c>
      <c r="F474" t="n">
        <v>-9.766999999999999</v>
      </c>
      <c r="G474" t="n">
        <v>590.966</v>
      </c>
      <c r="H474" t="n">
        <v>627.766</v>
      </c>
      <c r="I474" t="n">
        <v>30</v>
      </c>
      <c r="J474" t="inlineStr">
        <is>
          <t>BTBR</t>
        </is>
      </c>
      <c r="K474" t="inlineStr">
        <is>
          <t>Male</t>
        </is>
      </c>
      <c r="L474" t="inlineStr">
        <is>
          <t>No focal subject</t>
        </is>
      </c>
      <c r="M474" t="n">
        <v>39.369</v>
      </c>
      <c r="N474" t="inlineStr">
        <is>
          <t>Explore_F</t>
        </is>
      </c>
      <c r="O474" t="inlineStr">
        <is>
          <t>Familiar</t>
        </is>
      </c>
      <c r="P474" t="inlineStr">
        <is>
          <t>STATE</t>
        </is>
      </c>
      <c r="Q474" t="n">
        <v>222.366</v>
      </c>
      <c r="R474" t="n">
        <v>222.699</v>
      </c>
      <c r="S474" t="n">
        <v>0.333</v>
      </c>
      <c r="T474" t="inlineStr">
        <is>
          <t>BTBR\training\c5m2.mp4</t>
        </is>
      </c>
      <c r="U474" t="n">
        <v>6670</v>
      </c>
      <c r="V474" t="n">
        <v>6680</v>
      </c>
      <c r="W474" t="n">
        <v/>
      </c>
      <c r="X474" t="n">
        <v/>
      </c>
      <c r="Y474" t="n">
        <v/>
      </c>
      <c r="Z474" t="n">
        <v/>
      </c>
      <c r="AA474">
        <f>SUMIFS($S$2:S474,$A$2:A474,A474,$N$2:N474,"Explore*")</f>
        <v/>
      </c>
      <c r="AB474">
        <f>IF(AND(LEFT(N474,7)="Explore",(AA474-IF(LEFT(N474,7)="Explore",S474,0))&lt;10),"SI","NO")</f>
        <v/>
      </c>
    </row>
    <row r="475">
      <c r="A475" t="inlineStr">
        <is>
          <t>c5m2_training</t>
        </is>
      </c>
      <c r="B475" t="inlineStr">
        <is>
          <t>2026-02-20 10:46:35.941</t>
        </is>
      </c>
      <c r="C475" t="n">
        <v/>
      </c>
      <c r="D475" t="inlineStr">
        <is>
          <t>Media file</t>
        </is>
      </c>
      <c r="E475" t="inlineStr">
        <is>
          <t>player #1:BTBR\training\c5m2.mp4</t>
        </is>
      </c>
      <c r="F475" t="n">
        <v>-9.766999999999999</v>
      </c>
      <c r="G475" t="n">
        <v>590.966</v>
      </c>
      <c r="H475" t="n">
        <v>627.766</v>
      </c>
      <c r="I475" t="n">
        <v>30</v>
      </c>
      <c r="J475" t="inlineStr">
        <is>
          <t>BTBR</t>
        </is>
      </c>
      <c r="K475" t="inlineStr">
        <is>
          <t>Male</t>
        </is>
      </c>
      <c r="L475" t="inlineStr">
        <is>
          <t>No focal subject</t>
        </is>
      </c>
      <c r="M475" t="n">
        <v>39.369</v>
      </c>
      <c r="N475" t="inlineStr">
        <is>
          <t>Explore_F</t>
        </is>
      </c>
      <c r="O475" t="inlineStr">
        <is>
          <t>Familiar</t>
        </is>
      </c>
      <c r="P475" t="inlineStr">
        <is>
          <t>STATE</t>
        </is>
      </c>
      <c r="Q475" t="n">
        <v>227.899</v>
      </c>
      <c r="R475" t="n">
        <v>228.499</v>
      </c>
      <c r="S475" t="n">
        <v>0.6</v>
      </c>
      <c r="T475" t="inlineStr">
        <is>
          <t>BTBR\training\c5m2.mp4</t>
        </is>
      </c>
      <c r="U475" t="n">
        <v>6836</v>
      </c>
      <c r="V475" t="n">
        <v>6854</v>
      </c>
      <c r="W475" t="n">
        <v/>
      </c>
      <c r="X475" t="n">
        <v/>
      </c>
      <c r="Y475" t="n">
        <v/>
      </c>
      <c r="Z475" t="n">
        <v/>
      </c>
      <c r="AA475">
        <f>SUMIFS($S$2:S475,$A$2:A475,A475,$N$2:N475,"Explore*")</f>
        <v/>
      </c>
      <c r="AB475">
        <f>IF(AND(LEFT(N475,7)="Explore",(AA475-IF(LEFT(N475,7)="Explore",S475,0))&lt;10),"SI","NO")</f>
        <v/>
      </c>
    </row>
    <row r="476">
      <c r="A476" t="inlineStr">
        <is>
          <t>c5m2_training</t>
        </is>
      </c>
      <c r="B476" t="inlineStr">
        <is>
          <t>2026-02-20 10:46:35.941</t>
        </is>
      </c>
      <c r="C476" t="n">
        <v/>
      </c>
      <c r="D476" t="inlineStr">
        <is>
          <t>Media file</t>
        </is>
      </c>
      <c r="E476" t="inlineStr">
        <is>
          <t>player #1:BTBR\training\c5m2.mp4</t>
        </is>
      </c>
      <c r="F476" t="n">
        <v>-9.766999999999999</v>
      </c>
      <c r="G476" t="n">
        <v>590.966</v>
      </c>
      <c r="H476" t="n">
        <v>627.766</v>
      </c>
      <c r="I476" t="n">
        <v>30</v>
      </c>
      <c r="J476" t="inlineStr">
        <is>
          <t>BTBR</t>
        </is>
      </c>
      <c r="K476" t="inlineStr">
        <is>
          <t>Male</t>
        </is>
      </c>
      <c r="L476" t="inlineStr">
        <is>
          <t>No focal subject</t>
        </is>
      </c>
      <c r="M476" t="n">
        <v>39.369</v>
      </c>
      <c r="N476" t="inlineStr">
        <is>
          <t>Explore_F2</t>
        </is>
      </c>
      <c r="O476" t="inlineStr">
        <is>
          <t>Second familiar</t>
        </is>
      </c>
      <c r="P476" t="inlineStr">
        <is>
          <t>STATE</t>
        </is>
      </c>
      <c r="Q476" t="n">
        <v>295.533</v>
      </c>
      <c r="R476" t="n">
        <v>296.599</v>
      </c>
      <c r="S476" t="n">
        <v>1.066</v>
      </c>
      <c r="T476" t="inlineStr">
        <is>
          <t>BTBR\training\c5m2.mp4</t>
        </is>
      </c>
      <c r="U476" t="n">
        <v>8866</v>
      </c>
      <c r="V476" t="n">
        <v>8897</v>
      </c>
      <c r="W476" t="n">
        <v/>
      </c>
      <c r="X476" t="n">
        <v/>
      </c>
      <c r="Y476" t="n">
        <v/>
      </c>
      <c r="Z476" t="n">
        <v/>
      </c>
      <c r="AA476">
        <f>SUMIFS($S$2:S476,$A$2:A476,A476,$N$2:N476,"Explore*")</f>
        <v/>
      </c>
      <c r="AB476">
        <f>IF(AND(LEFT(N476,7)="Explore",(AA476-IF(LEFT(N476,7)="Explore",S476,0))&lt;10),"SI","NO")</f>
        <v/>
      </c>
    </row>
    <row r="477">
      <c r="A477" t="inlineStr">
        <is>
          <t>c5m2_training</t>
        </is>
      </c>
      <c r="B477" t="inlineStr">
        <is>
          <t>2026-02-20 10:46:35.941</t>
        </is>
      </c>
      <c r="C477" t="n">
        <v/>
      </c>
      <c r="D477" t="inlineStr">
        <is>
          <t>Media file</t>
        </is>
      </c>
      <c r="E477" t="inlineStr">
        <is>
          <t>player #1:BTBR\training\c5m2.mp4</t>
        </is>
      </c>
      <c r="F477" t="n">
        <v>-9.766999999999999</v>
      </c>
      <c r="G477" t="n">
        <v>590.966</v>
      </c>
      <c r="H477" t="n">
        <v>627.766</v>
      </c>
      <c r="I477" t="n">
        <v>30</v>
      </c>
      <c r="J477" t="inlineStr">
        <is>
          <t>BTBR</t>
        </is>
      </c>
      <c r="K477" t="inlineStr">
        <is>
          <t>Male</t>
        </is>
      </c>
      <c r="L477" t="inlineStr">
        <is>
          <t>No focal subject</t>
        </is>
      </c>
      <c r="M477" t="n">
        <v>39.369</v>
      </c>
      <c r="N477" t="inlineStr">
        <is>
          <t>Explore_F2</t>
        </is>
      </c>
      <c r="O477" t="inlineStr">
        <is>
          <t>Second familiar</t>
        </is>
      </c>
      <c r="P477" t="inlineStr">
        <is>
          <t>STATE</t>
        </is>
      </c>
      <c r="Q477" t="n">
        <v>312.133</v>
      </c>
      <c r="R477" t="n">
        <v>313.133</v>
      </c>
      <c r="S477" t="n">
        <v>1</v>
      </c>
      <c r="T477" t="inlineStr">
        <is>
          <t>BTBR\training\c5m2.mp4</t>
        </is>
      </c>
      <c r="U477" t="n">
        <v>9656</v>
      </c>
      <c r="V477" t="n">
        <v>9686</v>
      </c>
      <c r="W477" t="n">
        <v/>
      </c>
      <c r="X477" t="n">
        <v/>
      </c>
      <c r="Y477" t="n">
        <v/>
      </c>
      <c r="Z477" t="n">
        <v/>
      </c>
      <c r="AA477">
        <f>SUMIFS($S$2:S477,$A$2:A477,A477,$N$2:N477,"Explore*")</f>
        <v/>
      </c>
      <c r="AB477">
        <f>IF(AND(LEFT(N477,7)="Explore",(AA477-IF(LEFT(N477,7)="Explore",S477,0))&lt;10),"SI","NO")</f>
        <v/>
      </c>
    </row>
    <row r="478">
      <c r="A478" t="inlineStr">
        <is>
          <t>c5m2_training</t>
        </is>
      </c>
      <c r="B478" t="inlineStr">
        <is>
          <t>2026-02-20 10:46:35.941</t>
        </is>
      </c>
      <c r="C478" t="n">
        <v/>
      </c>
      <c r="D478" t="inlineStr">
        <is>
          <t>Media file</t>
        </is>
      </c>
      <c r="E478" t="inlineStr">
        <is>
          <t>player #1:BTBR\training\c5m2.mp4</t>
        </is>
      </c>
      <c r="F478" t="n">
        <v>-9.766999999999999</v>
      </c>
      <c r="G478" t="n">
        <v>590.966</v>
      </c>
      <c r="H478" t="n">
        <v>627.766</v>
      </c>
      <c r="I478" t="n">
        <v>30</v>
      </c>
      <c r="J478" t="inlineStr">
        <is>
          <t>BTBR</t>
        </is>
      </c>
      <c r="K478" t="inlineStr">
        <is>
          <t>Male</t>
        </is>
      </c>
      <c r="L478" t="inlineStr">
        <is>
          <t>No focal subject</t>
        </is>
      </c>
      <c r="M478" t="n">
        <v>39.369</v>
      </c>
      <c r="N478" t="inlineStr">
        <is>
          <t>Explore_F</t>
        </is>
      </c>
      <c r="O478" t="inlineStr">
        <is>
          <t>Familiar</t>
        </is>
      </c>
      <c r="P478" t="inlineStr">
        <is>
          <t>STATE</t>
        </is>
      </c>
      <c r="Q478" t="n">
        <v>329.899</v>
      </c>
      <c r="R478" t="n">
        <v>331.033</v>
      </c>
      <c r="S478" t="n">
        <v>1.134</v>
      </c>
      <c r="T478" t="inlineStr">
        <is>
          <t>BTBR\training\c5m2.mp4</t>
        </is>
      </c>
      <c r="U478" t="n">
        <v>10189</v>
      </c>
      <c r="V478" t="n">
        <v>10223</v>
      </c>
      <c r="W478" t="n">
        <v/>
      </c>
      <c r="X478" t="n">
        <v/>
      </c>
      <c r="Y478" t="n">
        <v/>
      </c>
      <c r="Z478" t="n">
        <v/>
      </c>
      <c r="AA478">
        <f>SUMIFS($S$2:S478,$A$2:A478,A478,$N$2:N478,"Explore*")</f>
        <v/>
      </c>
      <c r="AB478">
        <f>IF(AND(LEFT(N478,7)="Explore",(AA478-IF(LEFT(N478,7)="Explore",S478,0))&lt;10),"SI","NO")</f>
        <v/>
      </c>
    </row>
    <row r="479">
      <c r="A479" t="inlineStr">
        <is>
          <t>c5m2_training</t>
        </is>
      </c>
      <c r="B479" t="inlineStr">
        <is>
          <t>2026-02-20 10:46:35.941</t>
        </is>
      </c>
      <c r="C479" t="n">
        <v/>
      </c>
      <c r="D479" t="inlineStr">
        <is>
          <t>Media file</t>
        </is>
      </c>
      <c r="E479" t="inlineStr">
        <is>
          <t>player #1:BTBR\training\c5m2.mp4</t>
        </is>
      </c>
      <c r="F479" t="n">
        <v>-9.766999999999999</v>
      </c>
      <c r="G479" t="n">
        <v>590.966</v>
      </c>
      <c r="H479" t="n">
        <v>627.766</v>
      </c>
      <c r="I479" t="n">
        <v>30</v>
      </c>
      <c r="J479" t="inlineStr">
        <is>
          <t>BTBR</t>
        </is>
      </c>
      <c r="K479" t="inlineStr">
        <is>
          <t>Male</t>
        </is>
      </c>
      <c r="L479" t="inlineStr">
        <is>
          <t>No focal subject</t>
        </is>
      </c>
      <c r="M479" t="n">
        <v>39.369</v>
      </c>
      <c r="N479" t="inlineStr">
        <is>
          <t>Explore_F</t>
        </is>
      </c>
      <c r="O479" t="inlineStr">
        <is>
          <t>Familiar</t>
        </is>
      </c>
      <c r="P479" t="inlineStr">
        <is>
          <t>STATE</t>
        </is>
      </c>
      <c r="Q479" t="n">
        <v>340.833</v>
      </c>
      <c r="R479" t="n">
        <v>341.799</v>
      </c>
      <c r="S479" t="n">
        <v>0.966</v>
      </c>
      <c r="T479" t="inlineStr">
        <is>
          <t>BTBR\training\c5m2.mp4</t>
        </is>
      </c>
      <c r="U479" t="n">
        <v>10517</v>
      </c>
      <c r="V479" t="n">
        <v>10546</v>
      </c>
      <c r="W479" t="n">
        <v/>
      </c>
      <c r="X479" t="n">
        <v/>
      </c>
      <c r="Y479" t="n">
        <v/>
      </c>
      <c r="Z479" t="n">
        <v/>
      </c>
      <c r="AA479">
        <f>SUMIFS($S$2:S479,$A$2:A479,A479,$N$2:N479,"Explore*")</f>
        <v/>
      </c>
      <c r="AB479">
        <f>IF(AND(LEFT(N479,7)="Explore",(AA479-IF(LEFT(N479,7)="Explore",S479,0))&lt;10),"SI","NO")</f>
        <v/>
      </c>
    </row>
    <row r="480">
      <c r="A480" t="inlineStr">
        <is>
          <t>c5m2_training</t>
        </is>
      </c>
      <c r="B480" t="inlineStr">
        <is>
          <t>2026-02-20 10:46:35.941</t>
        </is>
      </c>
      <c r="C480" t="n">
        <v/>
      </c>
      <c r="D480" t="inlineStr">
        <is>
          <t>Media file</t>
        </is>
      </c>
      <c r="E480" t="inlineStr">
        <is>
          <t>player #1:BTBR\training\c5m2.mp4</t>
        </is>
      </c>
      <c r="F480" t="n">
        <v>-9.766999999999999</v>
      </c>
      <c r="G480" t="n">
        <v>590.966</v>
      </c>
      <c r="H480" t="n">
        <v>627.766</v>
      </c>
      <c r="I480" t="n">
        <v>30</v>
      </c>
      <c r="J480" t="inlineStr">
        <is>
          <t>BTBR</t>
        </is>
      </c>
      <c r="K480" t="inlineStr">
        <is>
          <t>Male</t>
        </is>
      </c>
      <c r="L480" t="inlineStr">
        <is>
          <t>No focal subject</t>
        </is>
      </c>
      <c r="M480" t="n">
        <v>39.369</v>
      </c>
      <c r="N480" t="inlineStr">
        <is>
          <t>Explore_F</t>
        </is>
      </c>
      <c r="O480" t="inlineStr">
        <is>
          <t>Familiar</t>
        </is>
      </c>
      <c r="P480" t="inlineStr">
        <is>
          <t>STATE</t>
        </is>
      </c>
      <c r="Q480" t="n">
        <v>372.599</v>
      </c>
      <c r="R480" t="n">
        <v>373.333</v>
      </c>
      <c r="S480" t="n">
        <v>0.734</v>
      </c>
      <c r="T480" t="inlineStr">
        <is>
          <t>BTBR\training\c5m2.mp4</t>
        </is>
      </c>
      <c r="U480" t="n">
        <v>11469</v>
      </c>
      <c r="V480" t="n">
        <v>11491</v>
      </c>
      <c r="W480" t="n">
        <v/>
      </c>
      <c r="X480" t="n">
        <v/>
      </c>
      <c r="Y480" t="n">
        <v/>
      </c>
      <c r="Z480" t="n">
        <v/>
      </c>
      <c r="AA480">
        <f>SUMIFS($S$2:S480,$A$2:A480,A480,$N$2:N480,"Explore*")</f>
        <v/>
      </c>
      <c r="AB480">
        <f>IF(AND(LEFT(N480,7)="Explore",(AA480-IF(LEFT(N480,7)="Explore",S480,0))&lt;10),"SI","NO")</f>
        <v/>
      </c>
    </row>
    <row r="481">
      <c r="A481" t="inlineStr">
        <is>
          <t>c5m2_training</t>
        </is>
      </c>
      <c r="B481" t="inlineStr">
        <is>
          <t>2026-02-20 10:46:35.941</t>
        </is>
      </c>
      <c r="C481" t="n">
        <v/>
      </c>
      <c r="D481" t="inlineStr">
        <is>
          <t>Media file</t>
        </is>
      </c>
      <c r="E481" t="inlineStr">
        <is>
          <t>player #1:BTBR\training\c5m2.mp4</t>
        </is>
      </c>
      <c r="F481" t="n">
        <v>-9.766999999999999</v>
      </c>
      <c r="G481" t="n">
        <v>590.966</v>
      </c>
      <c r="H481" t="n">
        <v>627.766</v>
      </c>
      <c r="I481" t="n">
        <v>30</v>
      </c>
      <c r="J481" t="inlineStr">
        <is>
          <t>BTBR</t>
        </is>
      </c>
      <c r="K481" t="inlineStr">
        <is>
          <t>Male</t>
        </is>
      </c>
      <c r="L481" t="inlineStr">
        <is>
          <t>No focal subject</t>
        </is>
      </c>
      <c r="M481" t="n">
        <v>39.369</v>
      </c>
      <c r="N481" t="inlineStr">
        <is>
          <t>Explore_F</t>
        </is>
      </c>
      <c r="O481" t="inlineStr">
        <is>
          <t>Familiar</t>
        </is>
      </c>
      <c r="P481" t="inlineStr">
        <is>
          <t>STATE</t>
        </is>
      </c>
      <c r="Q481" t="n">
        <v>385.199</v>
      </c>
      <c r="R481" t="n">
        <v>385.766</v>
      </c>
      <c r="S481" t="n">
        <v>0.5669999999999999</v>
      </c>
      <c r="T481" t="inlineStr">
        <is>
          <t>BTBR\training\c5m2.mp4</t>
        </is>
      </c>
      <c r="U481" t="n">
        <v>11847</v>
      </c>
      <c r="V481" t="n">
        <v>11864</v>
      </c>
      <c r="W481" t="n">
        <v/>
      </c>
      <c r="X481" t="n">
        <v/>
      </c>
      <c r="Y481" t="n">
        <v/>
      </c>
      <c r="Z481" t="n">
        <v/>
      </c>
      <c r="AA481">
        <f>SUMIFS($S$2:S481,$A$2:A481,A481,$N$2:N481,"Explore*")</f>
        <v/>
      </c>
      <c r="AB481">
        <f>IF(AND(LEFT(N481,7)="Explore",(AA481-IF(LEFT(N481,7)="Explore",S481,0))&lt;10),"SI","NO")</f>
        <v/>
      </c>
    </row>
    <row r="482">
      <c r="A482" t="inlineStr">
        <is>
          <t>c5m2_training</t>
        </is>
      </c>
      <c r="B482" t="inlineStr">
        <is>
          <t>2026-02-20 10:46:35.941</t>
        </is>
      </c>
      <c r="C482" t="n">
        <v/>
      </c>
      <c r="D482" t="inlineStr">
        <is>
          <t>Media file</t>
        </is>
      </c>
      <c r="E482" t="inlineStr">
        <is>
          <t>player #1:BTBR\training\c5m2.mp4</t>
        </is>
      </c>
      <c r="F482" t="n">
        <v>-9.766999999999999</v>
      </c>
      <c r="G482" t="n">
        <v>590.966</v>
      </c>
      <c r="H482" t="n">
        <v>627.766</v>
      </c>
      <c r="I482" t="n">
        <v>30</v>
      </c>
      <c r="J482" t="inlineStr">
        <is>
          <t>BTBR</t>
        </is>
      </c>
      <c r="K482" t="inlineStr">
        <is>
          <t>Male</t>
        </is>
      </c>
      <c r="L482" t="inlineStr">
        <is>
          <t>No focal subject</t>
        </is>
      </c>
      <c r="M482" t="n">
        <v>39.369</v>
      </c>
      <c r="N482" t="inlineStr">
        <is>
          <t>Explore_F</t>
        </is>
      </c>
      <c r="O482" t="inlineStr">
        <is>
          <t>Familiar</t>
        </is>
      </c>
      <c r="P482" t="inlineStr">
        <is>
          <t>STATE</t>
        </is>
      </c>
      <c r="Q482" t="n">
        <v>403.399</v>
      </c>
      <c r="R482" t="n">
        <v>404.233</v>
      </c>
      <c r="S482" t="n">
        <v>0.834</v>
      </c>
      <c r="T482" t="inlineStr">
        <is>
          <t>BTBR\training\c5m2.mp4</t>
        </is>
      </c>
      <c r="U482" t="n">
        <v>12393</v>
      </c>
      <c r="V482" t="n">
        <v>12418</v>
      </c>
      <c r="W482" t="n">
        <v/>
      </c>
      <c r="X482" t="n">
        <v/>
      </c>
      <c r="Y482" t="n">
        <v/>
      </c>
      <c r="Z482" t="n">
        <v/>
      </c>
      <c r="AA482">
        <f>SUMIFS($S$2:S482,$A$2:A482,A482,$N$2:N482,"Explore*")</f>
        <v/>
      </c>
      <c r="AB482">
        <f>IF(AND(LEFT(N482,7)="Explore",(AA482-IF(LEFT(N482,7)="Explore",S482,0))&lt;10),"SI","NO")</f>
        <v/>
      </c>
    </row>
    <row r="483">
      <c r="A483" t="inlineStr">
        <is>
          <t>c5m2_training</t>
        </is>
      </c>
      <c r="B483" t="inlineStr">
        <is>
          <t>2026-02-20 10:46:35.941</t>
        </is>
      </c>
      <c r="C483" t="n">
        <v/>
      </c>
      <c r="D483" t="inlineStr">
        <is>
          <t>Media file</t>
        </is>
      </c>
      <c r="E483" t="inlineStr">
        <is>
          <t>player #1:BTBR\training\c5m2.mp4</t>
        </is>
      </c>
      <c r="F483" t="n">
        <v>-9.766999999999999</v>
      </c>
      <c r="G483" t="n">
        <v>590.966</v>
      </c>
      <c r="H483" t="n">
        <v>627.766</v>
      </c>
      <c r="I483" t="n">
        <v>30</v>
      </c>
      <c r="J483" t="inlineStr">
        <is>
          <t>BTBR</t>
        </is>
      </c>
      <c r="K483" t="inlineStr">
        <is>
          <t>Male</t>
        </is>
      </c>
      <c r="L483" t="inlineStr">
        <is>
          <t>No focal subject</t>
        </is>
      </c>
      <c r="M483" t="n">
        <v>39.369</v>
      </c>
      <c r="N483" t="inlineStr">
        <is>
          <t>Explore_F2</t>
        </is>
      </c>
      <c r="O483" t="inlineStr">
        <is>
          <t>Second familiar</t>
        </is>
      </c>
      <c r="P483" t="inlineStr">
        <is>
          <t>STATE</t>
        </is>
      </c>
      <c r="Q483" t="n">
        <v>411.733</v>
      </c>
      <c r="R483" t="n">
        <v>412.599</v>
      </c>
      <c r="S483" t="n">
        <v>0.866</v>
      </c>
      <c r="T483" t="inlineStr">
        <is>
          <t>BTBR\training\c5m2.mp4</t>
        </is>
      </c>
      <c r="U483" t="n">
        <v>12643</v>
      </c>
      <c r="V483" t="n">
        <v>12669</v>
      </c>
      <c r="W483" t="n">
        <v/>
      </c>
      <c r="X483" t="n">
        <v/>
      </c>
      <c r="Y483" t="n">
        <v/>
      </c>
      <c r="Z483" t="n">
        <v/>
      </c>
      <c r="AA483">
        <f>SUMIFS($S$2:S483,$A$2:A483,A483,$N$2:N483,"Explore*")</f>
        <v/>
      </c>
      <c r="AB483">
        <f>IF(AND(LEFT(N483,7)="Explore",(AA483-IF(LEFT(N483,7)="Explore",S483,0))&lt;10),"SI","NO")</f>
        <v/>
      </c>
    </row>
    <row r="484">
      <c r="A484" t="inlineStr">
        <is>
          <t>c5m2_training</t>
        </is>
      </c>
      <c r="B484" t="inlineStr">
        <is>
          <t>2026-02-20 10:46:35.941</t>
        </is>
      </c>
      <c r="C484" t="n">
        <v/>
      </c>
      <c r="D484" t="inlineStr">
        <is>
          <t>Media file</t>
        </is>
      </c>
      <c r="E484" t="inlineStr">
        <is>
          <t>player #1:BTBR\training\c5m2.mp4</t>
        </is>
      </c>
      <c r="F484" t="n">
        <v>-9.766999999999999</v>
      </c>
      <c r="G484" t="n">
        <v>590.966</v>
      </c>
      <c r="H484" t="n">
        <v>627.766</v>
      </c>
      <c r="I484" t="n">
        <v>30</v>
      </c>
      <c r="J484" t="inlineStr">
        <is>
          <t>BTBR</t>
        </is>
      </c>
      <c r="K484" t="inlineStr">
        <is>
          <t>Male</t>
        </is>
      </c>
      <c r="L484" t="inlineStr">
        <is>
          <t>No focal subject</t>
        </is>
      </c>
      <c r="M484" t="n">
        <v>39.369</v>
      </c>
      <c r="N484" t="inlineStr">
        <is>
          <t>Explore_F</t>
        </is>
      </c>
      <c r="O484" t="inlineStr">
        <is>
          <t>Familiar</t>
        </is>
      </c>
      <c r="P484" t="inlineStr">
        <is>
          <t>STATE</t>
        </is>
      </c>
      <c r="Q484" t="n">
        <v>436.399</v>
      </c>
      <c r="R484" t="n">
        <v>437.466</v>
      </c>
      <c r="S484" t="n">
        <v>1.067</v>
      </c>
      <c r="T484" t="inlineStr">
        <is>
          <t>BTBR\training\c5m2.mp4</t>
        </is>
      </c>
      <c r="U484" t="n">
        <v>13383</v>
      </c>
      <c r="V484" t="n">
        <v>13415</v>
      </c>
      <c r="W484" t="n">
        <v/>
      </c>
      <c r="X484" t="n">
        <v/>
      </c>
      <c r="Y484" t="n">
        <v/>
      </c>
      <c r="Z484" t="n">
        <v/>
      </c>
      <c r="AA484">
        <f>SUMIFS($S$2:S484,$A$2:A484,A484,$N$2:N484,"Explore*")</f>
        <v/>
      </c>
      <c r="AB484">
        <f>IF(AND(LEFT(N484,7)="Explore",(AA484-IF(LEFT(N484,7)="Explore",S484,0))&lt;10),"SI","NO")</f>
        <v/>
      </c>
    </row>
    <row r="485">
      <c r="A485" t="inlineStr">
        <is>
          <t>c5m2_training</t>
        </is>
      </c>
      <c r="B485" t="inlineStr">
        <is>
          <t>2026-02-20 10:46:35.941</t>
        </is>
      </c>
      <c r="C485" t="n">
        <v/>
      </c>
      <c r="D485" t="inlineStr">
        <is>
          <t>Media file</t>
        </is>
      </c>
      <c r="E485" t="inlineStr">
        <is>
          <t>player #1:BTBR\training\c5m2.mp4</t>
        </is>
      </c>
      <c r="F485" t="n">
        <v>-9.766999999999999</v>
      </c>
      <c r="G485" t="n">
        <v>590.966</v>
      </c>
      <c r="H485" t="n">
        <v>627.766</v>
      </c>
      <c r="I485" t="n">
        <v>30</v>
      </c>
      <c r="J485" t="inlineStr">
        <is>
          <t>BTBR</t>
        </is>
      </c>
      <c r="K485" t="inlineStr">
        <is>
          <t>Male</t>
        </is>
      </c>
      <c r="L485" t="inlineStr">
        <is>
          <t>No focal subject</t>
        </is>
      </c>
      <c r="M485" t="n">
        <v>39.369</v>
      </c>
      <c r="N485" t="inlineStr">
        <is>
          <t>Explore_F</t>
        </is>
      </c>
      <c r="O485" t="inlineStr">
        <is>
          <t>Familiar</t>
        </is>
      </c>
      <c r="P485" t="inlineStr">
        <is>
          <t>STATE</t>
        </is>
      </c>
      <c r="Q485" t="n">
        <v>485.032</v>
      </c>
      <c r="R485" t="n">
        <v>486.066</v>
      </c>
      <c r="S485" t="n">
        <v>1.034</v>
      </c>
      <c r="T485" t="inlineStr">
        <is>
          <t>BTBR\training\c5m2.mp4</t>
        </is>
      </c>
      <c r="U485" t="n">
        <v>14843</v>
      </c>
      <c r="V485" t="n">
        <v>14873</v>
      </c>
      <c r="W485" t="n">
        <v/>
      </c>
      <c r="X485" t="n">
        <v/>
      </c>
      <c r="Y485" t="n">
        <v/>
      </c>
      <c r="Z485" t="n">
        <v/>
      </c>
      <c r="AA485">
        <f>SUMIFS($S$2:S485,$A$2:A485,A485,$N$2:N485,"Explore*")</f>
        <v/>
      </c>
      <c r="AB485">
        <f>IF(AND(LEFT(N485,7)="Explore",(AA485-IF(LEFT(N485,7)="Explore",S485,0))&lt;10),"SI","NO")</f>
        <v/>
      </c>
    </row>
    <row r="486">
      <c r="A486" t="inlineStr">
        <is>
          <t>c5m2_training</t>
        </is>
      </c>
      <c r="B486" t="inlineStr">
        <is>
          <t>2026-02-20 10:46:35.941</t>
        </is>
      </c>
      <c r="C486" t="n">
        <v/>
      </c>
      <c r="D486" t="inlineStr">
        <is>
          <t>Media file</t>
        </is>
      </c>
      <c r="E486" t="inlineStr">
        <is>
          <t>player #1:BTBR\training\c5m2.mp4</t>
        </is>
      </c>
      <c r="F486" t="n">
        <v>-9.766999999999999</v>
      </c>
      <c r="G486" t="n">
        <v>590.966</v>
      </c>
      <c r="H486" t="n">
        <v>627.766</v>
      </c>
      <c r="I486" t="n">
        <v>30</v>
      </c>
      <c r="J486" t="inlineStr">
        <is>
          <t>BTBR</t>
        </is>
      </c>
      <c r="K486" t="inlineStr">
        <is>
          <t>Male</t>
        </is>
      </c>
      <c r="L486" t="inlineStr">
        <is>
          <t>No focal subject</t>
        </is>
      </c>
      <c r="M486" t="n">
        <v>39.369</v>
      </c>
      <c r="N486" t="inlineStr">
        <is>
          <t>Explore_F</t>
        </is>
      </c>
      <c r="O486" t="inlineStr">
        <is>
          <t>Familiar</t>
        </is>
      </c>
      <c r="P486" t="inlineStr">
        <is>
          <t>STATE</t>
        </is>
      </c>
      <c r="Q486" t="n">
        <v>552.899</v>
      </c>
      <c r="R486" t="n">
        <v>553.699</v>
      </c>
      <c r="S486" t="n">
        <v>0.8</v>
      </c>
      <c r="T486" t="inlineStr">
        <is>
          <t>BTBR\training\c5m2.mp4</t>
        </is>
      </c>
      <c r="U486" t="n">
        <v>16878</v>
      </c>
      <c r="V486" t="n">
        <v>16902</v>
      </c>
      <c r="W486" t="n">
        <v/>
      </c>
      <c r="X486" t="n">
        <v/>
      </c>
      <c r="Y486" t="n">
        <v/>
      </c>
      <c r="Z486" t="n">
        <v/>
      </c>
      <c r="AA486">
        <f>SUMIFS($S$2:S486,$A$2:A486,A486,$N$2:N486,"Explore*")</f>
        <v/>
      </c>
      <c r="AB486">
        <f>IF(AND(LEFT(N486,7)="Explore",(AA486-IF(LEFT(N486,7)="Explore",S486,0))&lt;10),"SI","NO")</f>
        <v/>
      </c>
    </row>
    <row r="487">
      <c r="A487" t="inlineStr">
        <is>
          <t>c5m2_training</t>
        </is>
      </c>
      <c r="B487" t="inlineStr">
        <is>
          <t>2026-02-20 10:46:35.941</t>
        </is>
      </c>
      <c r="C487" t="n">
        <v/>
      </c>
      <c r="D487" t="inlineStr">
        <is>
          <t>Media file</t>
        </is>
      </c>
      <c r="E487" t="inlineStr">
        <is>
          <t>player #1:BTBR\training\c5m2.mp4</t>
        </is>
      </c>
      <c r="F487" t="n">
        <v>-9.766999999999999</v>
      </c>
      <c r="G487" t="n">
        <v>590.966</v>
      </c>
      <c r="H487" t="n">
        <v>627.766</v>
      </c>
      <c r="I487" t="n">
        <v>30</v>
      </c>
      <c r="J487" t="inlineStr">
        <is>
          <t>BTBR</t>
        </is>
      </c>
      <c r="K487" t="inlineStr">
        <is>
          <t>Male</t>
        </is>
      </c>
      <c r="L487" t="inlineStr">
        <is>
          <t>No focal subject</t>
        </is>
      </c>
      <c r="M487" t="n">
        <v>39.369</v>
      </c>
      <c r="N487" t="inlineStr">
        <is>
          <t>Explore_F2</t>
        </is>
      </c>
      <c r="O487" t="inlineStr">
        <is>
          <t>Second familiar</t>
        </is>
      </c>
      <c r="P487" t="inlineStr">
        <is>
          <t>STATE</t>
        </is>
      </c>
      <c r="Q487" t="n">
        <v>588.732</v>
      </c>
      <c r="R487" t="n">
        <v>589.399</v>
      </c>
      <c r="S487" t="n">
        <v>0.667</v>
      </c>
      <c r="T487" t="inlineStr">
        <is>
          <t>BTBR\training\c5m2.mp4</t>
        </is>
      </c>
      <c r="U487" t="n">
        <v>17954</v>
      </c>
      <c r="V487" t="n">
        <v>17973</v>
      </c>
      <c r="W487" t="n">
        <v/>
      </c>
      <c r="X487" t="n">
        <v/>
      </c>
      <c r="Y487" t="n">
        <v/>
      </c>
      <c r="Z487" t="n">
        <v/>
      </c>
      <c r="AA487">
        <f>SUMIFS($S$2:S487,$A$2:A487,A487,$N$2:N487,"Explore*")</f>
        <v/>
      </c>
      <c r="AB487">
        <f>IF(AND(LEFT(N487,7)="Explore",(AA487-IF(LEFT(N487,7)="Explore",S487,0))&lt;10),"SI","NO")</f>
        <v/>
      </c>
    </row>
    <row r="488">
      <c r="A488" t="inlineStr">
        <is>
          <t>c5m2_training</t>
        </is>
      </c>
      <c r="B488" t="inlineStr">
        <is>
          <t>2026-02-20 10:46:35.941</t>
        </is>
      </c>
      <c r="C488" t="n">
        <v/>
      </c>
      <c r="D488" t="inlineStr">
        <is>
          <t>Media file</t>
        </is>
      </c>
      <c r="E488" t="inlineStr">
        <is>
          <t>player #1:BTBR\training\c5m2.mp4</t>
        </is>
      </c>
      <c r="F488" t="n">
        <v>-9.766999999999999</v>
      </c>
      <c r="G488" t="n">
        <v>590.966</v>
      </c>
      <c r="H488" t="n">
        <v>627.766</v>
      </c>
      <c r="I488" t="n">
        <v>30</v>
      </c>
      <c r="J488" t="inlineStr">
        <is>
          <t>BTBR</t>
        </is>
      </c>
      <c r="K488" t="inlineStr">
        <is>
          <t>Male</t>
        </is>
      </c>
      <c r="L488" t="inlineStr">
        <is>
          <t>No focal subject</t>
        </is>
      </c>
      <c r="M488" t="n">
        <v>39.369</v>
      </c>
      <c r="N488" t="inlineStr">
        <is>
          <t>Explore_F</t>
        </is>
      </c>
      <c r="O488" t="inlineStr">
        <is>
          <t>Familiar</t>
        </is>
      </c>
      <c r="P488" t="inlineStr">
        <is>
          <t>STATE</t>
        </is>
      </c>
      <c r="Q488" t="n">
        <v>594.6319999999999</v>
      </c>
      <c r="R488" t="n">
        <v>595.466</v>
      </c>
      <c r="S488" t="n">
        <v>0.834</v>
      </c>
      <c r="T488" t="inlineStr">
        <is>
          <t>BTBR\training\c5m2.mp4</t>
        </is>
      </c>
      <c r="U488" t="n">
        <v>18130</v>
      </c>
      <c r="V488" t="n">
        <v>18155</v>
      </c>
      <c r="W488" t="n">
        <v/>
      </c>
      <c r="X488" t="n">
        <v/>
      </c>
      <c r="Y488" t="n">
        <v/>
      </c>
      <c r="Z488" t="n">
        <v/>
      </c>
      <c r="AA488">
        <f>SUMIFS($S$2:S488,$A$2:A488,A488,$N$2:N488,"Explore*")</f>
        <v/>
      </c>
      <c r="AB488">
        <f>IF(AND(LEFT(N488,7)="Explore",(AA488-IF(LEFT(N488,7)="Explore",S488,0))&lt;10),"SI","NO")</f>
        <v/>
      </c>
    </row>
    <row r="489">
      <c r="A489" t="inlineStr">
        <is>
          <t>c5m3_training</t>
        </is>
      </c>
      <c r="B489" t="inlineStr">
        <is>
          <t>2026-02-20 11:09:33.569</t>
        </is>
      </c>
      <c r="C489" t="n">
        <v/>
      </c>
      <c r="D489" t="inlineStr">
        <is>
          <t>Media file</t>
        </is>
      </c>
      <c r="E489" t="inlineStr">
        <is>
          <t>player #1:BTBR\training\c5m3.mp4</t>
        </is>
      </c>
      <c r="F489" t="n">
        <v>-18.033</v>
      </c>
      <c r="G489" t="n">
        <v>559.966</v>
      </c>
      <c r="H489" t="n">
        <v>730.299</v>
      </c>
      <c r="I489" t="n">
        <v>30</v>
      </c>
      <c r="J489" t="inlineStr">
        <is>
          <t>BTBR</t>
        </is>
      </c>
      <c r="K489" t="inlineStr">
        <is>
          <t>Male</t>
        </is>
      </c>
      <c r="L489" t="inlineStr">
        <is>
          <t>No focal subject</t>
        </is>
      </c>
      <c r="M489" t="n">
        <v>39.065</v>
      </c>
      <c r="N489" t="inlineStr">
        <is>
          <t>Explore_F2</t>
        </is>
      </c>
      <c r="O489" t="inlineStr">
        <is>
          <t>Second familiar</t>
        </is>
      </c>
      <c r="P489" t="inlineStr">
        <is>
          <t>STATE</t>
        </is>
      </c>
      <c r="Q489" t="n">
        <v>9.234</v>
      </c>
      <c r="R489" t="n">
        <v>10.267</v>
      </c>
      <c r="S489" t="n">
        <v>1.033</v>
      </c>
      <c r="T489" t="inlineStr">
        <is>
          <t>BTBR\training\c5m3.mp4</t>
        </is>
      </c>
      <c r="U489" t="n">
        <v>277</v>
      </c>
      <c r="V489" t="n">
        <v>308</v>
      </c>
      <c r="W489" t="n">
        <v/>
      </c>
      <c r="X489" t="n">
        <v/>
      </c>
      <c r="Y489" t="n">
        <v/>
      </c>
      <c r="Z489" t="n">
        <v/>
      </c>
      <c r="AA489">
        <f>SUMIFS($S$2:S489,$A$2:A489,A489,$N$2:N489,"Explore*")</f>
        <v/>
      </c>
      <c r="AB489">
        <f>IF(AND(LEFT(N489,7)="Explore",(AA489-IF(LEFT(N489,7)="Explore",S489,0))&lt;10),"SI","NO")</f>
        <v/>
      </c>
    </row>
    <row r="490">
      <c r="A490" t="inlineStr">
        <is>
          <t>c5m3_training</t>
        </is>
      </c>
      <c r="B490" t="inlineStr">
        <is>
          <t>2026-02-20 11:09:33.569</t>
        </is>
      </c>
      <c r="C490" t="n">
        <v/>
      </c>
      <c r="D490" t="inlineStr">
        <is>
          <t>Media file</t>
        </is>
      </c>
      <c r="E490" t="inlineStr">
        <is>
          <t>player #1:BTBR\training\c5m3.mp4</t>
        </is>
      </c>
      <c r="F490" t="n">
        <v>-18.033</v>
      </c>
      <c r="G490" t="n">
        <v>559.966</v>
      </c>
      <c r="H490" t="n">
        <v>730.299</v>
      </c>
      <c r="I490" t="n">
        <v>30</v>
      </c>
      <c r="J490" t="inlineStr">
        <is>
          <t>BTBR</t>
        </is>
      </c>
      <c r="K490" t="inlineStr">
        <is>
          <t>Male</t>
        </is>
      </c>
      <c r="L490" t="inlineStr">
        <is>
          <t>No focal subject</t>
        </is>
      </c>
      <c r="M490" t="n">
        <v>39.065</v>
      </c>
      <c r="N490" t="inlineStr">
        <is>
          <t>Explore_F</t>
        </is>
      </c>
      <c r="O490" t="inlineStr">
        <is>
          <t>Familiar</t>
        </is>
      </c>
      <c r="P490" t="inlineStr">
        <is>
          <t>STATE</t>
        </is>
      </c>
      <c r="Q490" t="n">
        <v>20.934</v>
      </c>
      <c r="R490" t="n">
        <v>21.434</v>
      </c>
      <c r="S490" t="n">
        <v>0.5</v>
      </c>
      <c r="T490" t="inlineStr">
        <is>
          <t>BTBR\training\c5m3.mp4</t>
        </is>
      </c>
      <c r="U490" t="n">
        <v>628</v>
      </c>
      <c r="V490" t="n">
        <v>643</v>
      </c>
      <c r="W490" t="n">
        <v/>
      </c>
      <c r="X490" t="n">
        <v/>
      </c>
      <c r="Y490" t="n">
        <v/>
      </c>
      <c r="Z490" t="n">
        <v/>
      </c>
      <c r="AA490">
        <f>SUMIFS($S$2:S490,$A$2:A490,A490,$N$2:N490,"Explore*")</f>
        <v/>
      </c>
      <c r="AB490">
        <f>IF(AND(LEFT(N490,7)="Explore",(AA490-IF(LEFT(N490,7)="Explore",S490,0))&lt;10),"SI","NO")</f>
        <v/>
      </c>
    </row>
    <row r="491">
      <c r="A491" t="inlineStr">
        <is>
          <t>c5m3_training</t>
        </is>
      </c>
      <c r="B491" t="inlineStr">
        <is>
          <t>2026-02-20 11:09:33.569</t>
        </is>
      </c>
      <c r="C491" t="n">
        <v/>
      </c>
      <c r="D491" t="inlineStr">
        <is>
          <t>Media file</t>
        </is>
      </c>
      <c r="E491" t="inlineStr">
        <is>
          <t>player #1:BTBR\training\c5m3.mp4</t>
        </is>
      </c>
      <c r="F491" t="n">
        <v>-18.033</v>
      </c>
      <c r="G491" t="n">
        <v>559.966</v>
      </c>
      <c r="H491" t="n">
        <v>730.299</v>
      </c>
      <c r="I491" t="n">
        <v>30</v>
      </c>
      <c r="J491" t="inlineStr">
        <is>
          <t>BTBR</t>
        </is>
      </c>
      <c r="K491" t="inlineStr">
        <is>
          <t>Male</t>
        </is>
      </c>
      <c r="L491" t="inlineStr">
        <is>
          <t>No focal subject</t>
        </is>
      </c>
      <c r="M491" t="n">
        <v>39.065</v>
      </c>
      <c r="N491" t="inlineStr">
        <is>
          <t>Explore_F2</t>
        </is>
      </c>
      <c r="O491" t="inlineStr">
        <is>
          <t>Second familiar</t>
        </is>
      </c>
      <c r="P491" t="inlineStr">
        <is>
          <t>STATE</t>
        </is>
      </c>
      <c r="Q491" t="n">
        <v>26.034</v>
      </c>
      <c r="R491" t="n">
        <v>26.334</v>
      </c>
      <c r="S491" t="n">
        <v>0.3</v>
      </c>
      <c r="T491" t="inlineStr">
        <is>
          <t>BTBR\training\c5m3.mp4</t>
        </is>
      </c>
      <c r="U491" t="n">
        <v>782</v>
      </c>
      <c r="V491" t="n">
        <v>790</v>
      </c>
      <c r="W491" t="n">
        <v/>
      </c>
      <c r="X491" t="n">
        <v/>
      </c>
      <c r="Y491" t="n">
        <v/>
      </c>
      <c r="Z491" t="n">
        <v/>
      </c>
      <c r="AA491">
        <f>SUMIFS($S$2:S491,$A$2:A491,A491,$N$2:N491,"Explore*")</f>
        <v/>
      </c>
      <c r="AB491">
        <f>IF(AND(LEFT(N491,7)="Explore",(AA491-IF(LEFT(N491,7)="Explore",S491,0))&lt;10),"SI","NO")</f>
        <v/>
      </c>
    </row>
    <row r="492">
      <c r="A492" t="inlineStr">
        <is>
          <t>c5m3_training</t>
        </is>
      </c>
      <c r="B492" t="inlineStr">
        <is>
          <t>2026-02-20 11:09:33.569</t>
        </is>
      </c>
      <c r="C492" t="n">
        <v/>
      </c>
      <c r="D492" t="inlineStr">
        <is>
          <t>Media file</t>
        </is>
      </c>
      <c r="E492" t="inlineStr">
        <is>
          <t>player #1:BTBR\training\c5m3.mp4</t>
        </is>
      </c>
      <c r="F492" t="n">
        <v>-18.033</v>
      </c>
      <c r="G492" t="n">
        <v>559.966</v>
      </c>
      <c r="H492" t="n">
        <v>730.299</v>
      </c>
      <c r="I492" t="n">
        <v>30</v>
      </c>
      <c r="J492" t="inlineStr">
        <is>
          <t>BTBR</t>
        </is>
      </c>
      <c r="K492" t="inlineStr">
        <is>
          <t>Male</t>
        </is>
      </c>
      <c r="L492" t="inlineStr">
        <is>
          <t>No focal subject</t>
        </is>
      </c>
      <c r="M492" t="n">
        <v>39.065</v>
      </c>
      <c r="N492" t="inlineStr">
        <is>
          <t>Explore_F</t>
        </is>
      </c>
      <c r="O492" t="inlineStr">
        <is>
          <t>Familiar</t>
        </is>
      </c>
      <c r="P492" t="inlineStr">
        <is>
          <t>STATE</t>
        </is>
      </c>
      <c r="Q492" t="n">
        <v>29.3</v>
      </c>
      <c r="R492" t="n">
        <v>29.667</v>
      </c>
      <c r="S492" t="n">
        <v>0.367</v>
      </c>
      <c r="T492" t="inlineStr">
        <is>
          <t>BTBR\training\c5m3.mp4</t>
        </is>
      </c>
      <c r="U492" t="n">
        <v>879</v>
      </c>
      <c r="V492" t="n">
        <v>890</v>
      </c>
      <c r="W492" t="n">
        <v/>
      </c>
      <c r="X492" t="n">
        <v/>
      </c>
      <c r="Y492" t="n">
        <v/>
      </c>
      <c r="Z492" t="n">
        <v/>
      </c>
      <c r="AA492">
        <f>SUMIFS($S$2:S492,$A$2:A492,A492,$N$2:N492,"Explore*")</f>
        <v/>
      </c>
      <c r="AB492">
        <f>IF(AND(LEFT(N492,7)="Explore",(AA492-IF(LEFT(N492,7)="Explore",S492,0))&lt;10),"SI","NO")</f>
        <v/>
      </c>
    </row>
    <row r="493">
      <c r="A493" t="inlineStr">
        <is>
          <t>c5m3_training</t>
        </is>
      </c>
      <c r="B493" t="inlineStr">
        <is>
          <t>2026-02-20 11:09:33.569</t>
        </is>
      </c>
      <c r="C493" t="n">
        <v/>
      </c>
      <c r="D493" t="inlineStr">
        <is>
          <t>Media file</t>
        </is>
      </c>
      <c r="E493" t="inlineStr">
        <is>
          <t>player #1:BTBR\training\c5m3.mp4</t>
        </is>
      </c>
      <c r="F493" t="n">
        <v>-18.033</v>
      </c>
      <c r="G493" t="n">
        <v>559.966</v>
      </c>
      <c r="H493" t="n">
        <v>730.299</v>
      </c>
      <c r="I493" t="n">
        <v>30</v>
      </c>
      <c r="J493" t="inlineStr">
        <is>
          <t>BTBR</t>
        </is>
      </c>
      <c r="K493" t="inlineStr">
        <is>
          <t>Male</t>
        </is>
      </c>
      <c r="L493" t="inlineStr">
        <is>
          <t>No focal subject</t>
        </is>
      </c>
      <c r="M493" t="n">
        <v>39.065</v>
      </c>
      <c r="N493" t="inlineStr">
        <is>
          <t>Explore_F</t>
        </is>
      </c>
      <c r="O493" t="inlineStr">
        <is>
          <t>Familiar</t>
        </is>
      </c>
      <c r="P493" t="inlineStr">
        <is>
          <t>STATE</t>
        </is>
      </c>
      <c r="Q493" t="n">
        <v>35.967</v>
      </c>
      <c r="R493" t="n">
        <v>36.567</v>
      </c>
      <c r="S493" t="n">
        <v>0.6</v>
      </c>
      <c r="T493" t="inlineStr">
        <is>
          <t>BTBR\training\c5m3.mp4</t>
        </is>
      </c>
      <c r="U493" t="n">
        <v>1079</v>
      </c>
      <c r="V493" t="n">
        <v>1097</v>
      </c>
      <c r="W493" t="n">
        <v/>
      </c>
      <c r="X493" t="n">
        <v/>
      </c>
      <c r="Y493" t="n">
        <v/>
      </c>
      <c r="Z493" t="n">
        <v/>
      </c>
      <c r="AA493">
        <f>SUMIFS($S$2:S493,$A$2:A493,A493,$N$2:N493,"Explore*")</f>
        <v/>
      </c>
      <c r="AB493">
        <f>IF(AND(LEFT(N493,7)="Explore",(AA493-IF(LEFT(N493,7)="Explore",S493,0))&lt;10),"SI","NO")</f>
        <v/>
      </c>
    </row>
    <row r="494">
      <c r="A494" t="inlineStr">
        <is>
          <t>c5m3_training</t>
        </is>
      </c>
      <c r="B494" t="inlineStr">
        <is>
          <t>2026-02-20 11:09:33.569</t>
        </is>
      </c>
      <c r="C494" t="n">
        <v/>
      </c>
      <c r="D494" t="inlineStr">
        <is>
          <t>Media file</t>
        </is>
      </c>
      <c r="E494" t="inlineStr">
        <is>
          <t>player #1:BTBR\training\c5m3.mp4</t>
        </is>
      </c>
      <c r="F494" t="n">
        <v>-18.033</v>
      </c>
      <c r="G494" t="n">
        <v>559.966</v>
      </c>
      <c r="H494" t="n">
        <v>730.299</v>
      </c>
      <c r="I494" t="n">
        <v>30</v>
      </c>
      <c r="J494" t="inlineStr">
        <is>
          <t>BTBR</t>
        </is>
      </c>
      <c r="K494" t="inlineStr">
        <is>
          <t>Male</t>
        </is>
      </c>
      <c r="L494" t="inlineStr">
        <is>
          <t>No focal subject</t>
        </is>
      </c>
      <c r="M494" t="n">
        <v>39.065</v>
      </c>
      <c r="N494" t="inlineStr">
        <is>
          <t>Explore_F</t>
        </is>
      </c>
      <c r="O494" t="inlineStr">
        <is>
          <t>Familiar</t>
        </is>
      </c>
      <c r="P494" t="inlineStr">
        <is>
          <t>STATE</t>
        </is>
      </c>
      <c r="Q494" t="n">
        <v>39.267</v>
      </c>
      <c r="R494" t="n">
        <v>40.567</v>
      </c>
      <c r="S494" t="n">
        <v>1.3</v>
      </c>
      <c r="T494" t="inlineStr">
        <is>
          <t>BTBR\training\c5m3.mp4</t>
        </is>
      </c>
      <c r="U494" t="n">
        <v>1178</v>
      </c>
      <c r="V494" t="n">
        <v>1217</v>
      </c>
      <c r="W494" t="n">
        <v/>
      </c>
      <c r="X494" t="n">
        <v/>
      </c>
      <c r="Y494" t="n">
        <v/>
      </c>
      <c r="Z494" t="n">
        <v/>
      </c>
      <c r="AA494">
        <f>SUMIFS($S$2:S494,$A$2:A494,A494,$N$2:N494,"Explore*")</f>
        <v/>
      </c>
      <c r="AB494">
        <f>IF(AND(LEFT(N494,7)="Explore",(AA494-IF(LEFT(N494,7)="Explore",S494,0))&lt;10),"SI","NO")</f>
        <v/>
      </c>
    </row>
    <row r="495">
      <c r="A495" t="inlineStr">
        <is>
          <t>c5m3_training</t>
        </is>
      </c>
      <c r="B495" t="inlineStr">
        <is>
          <t>2026-02-20 11:09:33.569</t>
        </is>
      </c>
      <c r="C495" t="n">
        <v/>
      </c>
      <c r="D495" t="inlineStr">
        <is>
          <t>Media file</t>
        </is>
      </c>
      <c r="E495" t="inlineStr">
        <is>
          <t>player #1:BTBR\training\c5m3.mp4</t>
        </is>
      </c>
      <c r="F495" t="n">
        <v>-18.033</v>
      </c>
      <c r="G495" t="n">
        <v>559.966</v>
      </c>
      <c r="H495" t="n">
        <v>730.299</v>
      </c>
      <c r="I495" t="n">
        <v>30</v>
      </c>
      <c r="J495" t="inlineStr">
        <is>
          <t>BTBR</t>
        </is>
      </c>
      <c r="K495" t="inlineStr">
        <is>
          <t>Male</t>
        </is>
      </c>
      <c r="L495" t="inlineStr">
        <is>
          <t>No focal subject</t>
        </is>
      </c>
      <c r="M495" t="n">
        <v>39.065</v>
      </c>
      <c r="N495" t="inlineStr">
        <is>
          <t>Explore_F2</t>
        </is>
      </c>
      <c r="O495" t="inlineStr">
        <is>
          <t>Second familiar</t>
        </is>
      </c>
      <c r="P495" t="inlineStr">
        <is>
          <t>STATE</t>
        </is>
      </c>
      <c r="Q495" t="n">
        <v>43.334</v>
      </c>
      <c r="R495" t="n">
        <v>43.7</v>
      </c>
      <c r="S495" t="n">
        <v>0.366</v>
      </c>
      <c r="T495" t="inlineStr">
        <is>
          <t>BTBR\training\c5m3.mp4</t>
        </is>
      </c>
      <c r="U495" t="n">
        <v>1300</v>
      </c>
      <c r="V495" t="n">
        <v>1311</v>
      </c>
      <c r="W495" t="n">
        <v/>
      </c>
      <c r="X495" t="n">
        <v/>
      </c>
      <c r="Y495" t="n">
        <v/>
      </c>
      <c r="Z495" t="n">
        <v/>
      </c>
      <c r="AA495">
        <f>SUMIFS($S$2:S495,$A$2:A495,A495,$N$2:N495,"Explore*")</f>
        <v/>
      </c>
      <c r="AB495">
        <f>IF(AND(LEFT(N495,7)="Explore",(AA495-IF(LEFT(N495,7)="Explore",S495,0))&lt;10),"SI","NO")</f>
        <v/>
      </c>
    </row>
    <row r="496">
      <c r="A496" t="inlineStr">
        <is>
          <t>c5m3_training</t>
        </is>
      </c>
      <c r="B496" t="inlineStr">
        <is>
          <t>2026-02-20 11:09:33.569</t>
        </is>
      </c>
      <c r="C496" t="n">
        <v/>
      </c>
      <c r="D496" t="inlineStr">
        <is>
          <t>Media file</t>
        </is>
      </c>
      <c r="E496" t="inlineStr">
        <is>
          <t>player #1:BTBR\training\c5m3.mp4</t>
        </is>
      </c>
      <c r="F496" t="n">
        <v>-18.033</v>
      </c>
      <c r="G496" t="n">
        <v>559.966</v>
      </c>
      <c r="H496" t="n">
        <v>730.299</v>
      </c>
      <c r="I496" t="n">
        <v>30</v>
      </c>
      <c r="J496" t="inlineStr">
        <is>
          <t>BTBR</t>
        </is>
      </c>
      <c r="K496" t="inlineStr">
        <is>
          <t>Male</t>
        </is>
      </c>
      <c r="L496" t="inlineStr">
        <is>
          <t>No focal subject</t>
        </is>
      </c>
      <c r="M496" t="n">
        <v>39.065</v>
      </c>
      <c r="N496" t="inlineStr">
        <is>
          <t>Explore_F</t>
        </is>
      </c>
      <c r="O496" t="inlineStr">
        <is>
          <t>Familiar</t>
        </is>
      </c>
      <c r="P496" t="inlineStr">
        <is>
          <t>STATE</t>
        </is>
      </c>
      <c r="Q496" t="n">
        <v>46.334</v>
      </c>
      <c r="R496" t="n">
        <v>48.234</v>
      </c>
      <c r="S496" t="n">
        <v>1.9</v>
      </c>
      <c r="T496" t="inlineStr">
        <is>
          <t>BTBR\training\c5m3.mp4</t>
        </is>
      </c>
      <c r="U496" t="n">
        <v>1390</v>
      </c>
      <c r="V496" t="n">
        <v>1447</v>
      </c>
      <c r="W496" t="n">
        <v/>
      </c>
      <c r="X496" t="n">
        <v/>
      </c>
      <c r="Y496" t="n">
        <v/>
      </c>
      <c r="Z496" t="n">
        <v/>
      </c>
      <c r="AA496">
        <f>SUMIFS($S$2:S496,$A$2:A496,A496,$N$2:N496,"Explore*")</f>
        <v/>
      </c>
      <c r="AB496">
        <f>IF(AND(LEFT(N496,7)="Explore",(AA496-IF(LEFT(N496,7)="Explore",S496,0))&lt;10),"SI","NO")</f>
        <v/>
      </c>
    </row>
    <row r="497">
      <c r="A497" t="inlineStr">
        <is>
          <t>c5m3_training</t>
        </is>
      </c>
      <c r="B497" t="inlineStr">
        <is>
          <t>2026-02-20 11:09:33.569</t>
        </is>
      </c>
      <c r="C497" t="n">
        <v/>
      </c>
      <c r="D497" t="inlineStr">
        <is>
          <t>Media file</t>
        </is>
      </c>
      <c r="E497" t="inlineStr">
        <is>
          <t>player #1:BTBR\training\c5m3.mp4</t>
        </is>
      </c>
      <c r="F497" t="n">
        <v>-18.033</v>
      </c>
      <c r="G497" t="n">
        <v>559.966</v>
      </c>
      <c r="H497" t="n">
        <v>730.299</v>
      </c>
      <c r="I497" t="n">
        <v>30</v>
      </c>
      <c r="J497" t="inlineStr">
        <is>
          <t>BTBR</t>
        </is>
      </c>
      <c r="K497" t="inlineStr">
        <is>
          <t>Male</t>
        </is>
      </c>
      <c r="L497" t="inlineStr">
        <is>
          <t>No focal subject</t>
        </is>
      </c>
      <c r="M497" t="n">
        <v>39.065</v>
      </c>
      <c r="N497" t="inlineStr">
        <is>
          <t>Explore_F</t>
        </is>
      </c>
      <c r="O497" t="inlineStr">
        <is>
          <t>Familiar</t>
        </is>
      </c>
      <c r="P497" t="inlineStr">
        <is>
          <t>STATE</t>
        </is>
      </c>
      <c r="Q497" t="n">
        <v>58.9</v>
      </c>
      <c r="R497" t="n">
        <v>60.434</v>
      </c>
      <c r="S497" t="n">
        <v>1.534</v>
      </c>
      <c r="T497" t="inlineStr">
        <is>
          <t>BTBR\training\c5m3.mp4</t>
        </is>
      </c>
      <c r="U497" t="n">
        <v>1767</v>
      </c>
      <c r="V497" t="n">
        <v>1813</v>
      </c>
      <c r="W497" t="n">
        <v/>
      </c>
      <c r="X497" t="n">
        <v/>
      </c>
      <c r="Y497" t="n">
        <v/>
      </c>
      <c r="Z497" t="n">
        <v/>
      </c>
      <c r="AA497">
        <f>SUMIFS($S$2:S497,$A$2:A497,A497,$N$2:N497,"Explore*")</f>
        <v/>
      </c>
      <c r="AB497">
        <f>IF(AND(LEFT(N497,7)="Explore",(AA497-IF(LEFT(N497,7)="Explore",S497,0))&lt;10),"SI","NO")</f>
        <v/>
      </c>
    </row>
    <row r="498">
      <c r="A498" t="inlineStr">
        <is>
          <t>c5m3_training</t>
        </is>
      </c>
      <c r="B498" t="inlineStr">
        <is>
          <t>2026-02-20 11:09:33.569</t>
        </is>
      </c>
      <c r="C498" t="n">
        <v/>
      </c>
      <c r="D498" t="inlineStr">
        <is>
          <t>Media file</t>
        </is>
      </c>
      <c r="E498" t="inlineStr">
        <is>
          <t>player #1:BTBR\training\c5m3.mp4</t>
        </is>
      </c>
      <c r="F498" t="n">
        <v>-18.033</v>
      </c>
      <c r="G498" t="n">
        <v>559.966</v>
      </c>
      <c r="H498" t="n">
        <v>730.299</v>
      </c>
      <c r="I498" t="n">
        <v>30</v>
      </c>
      <c r="J498" t="inlineStr">
        <is>
          <t>BTBR</t>
        </is>
      </c>
      <c r="K498" t="inlineStr">
        <is>
          <t>Male</t>
        </is>
      </c>
      <c r="L498" t="inlineStr">
        <is>
          <t>No focal subject</t>
        </is>
      </c>
      <c r="M498" t="n">
        <v>39.065</v>
      </c>
      <c r="N498" t="inlineStr">
        <is>
          <t>Explore_F</t>
        </is>
      </c>
      <c r="O498" t="inlineStr">
        <is>
          <t>Familiar</t>
        </is>
      </c>
      <c r="P498" t="inlineStr">
        <is>
          <t>STATE</t>
        </is>
      </c>
      <c r="Q498" t="n">
        <v>63.467</v>
      </c>
      <c r="R498" t="n">
        <v>64.73399999999999</v>
      </c>
      <c r="S498" t="n">
        <v>1.267</v>
      </c>
      <c r="T498" t="inlineStr">
        <is>
          <t>BTBR\training\c5m3.mp4</t>
        </is>
      </c>
      <c r="U498" t="n">
        <v>1904</v>
      </c>
      <c r="V498" t="n">
        <v>1942</v>
      </c>
      <c r="W498" t="n">
        <v/>
      </c>
      <c r="X498" t="n">
        <v/>
      </c>
      <c r="Y498" t="n">
        <v/>
      </c>
      <c r="Z498" t="n">
        <v/>
      </c>
      <c r="AA498">
        <f>SUMIFS($S$2:S498,$A$2:A498,A498,$N$2:N498,"Explore*")</f>
        <v/>
      </c>
      <c r="AB498">
        <f>IF(AND(LEFT(N498,7)="Explore",(AA498-IF(LEFT(N498,7)="Explore",S498,0))&lt;10),"SI","NO")</f>
        <v/>
      </c>
    </row>
    <row r="499">
      <c r="A499" t="inlineStr">
        <is>
          <t>c5m3_training</t>
        </is>
      </c>
      <c r="B499" t="inlineStr">
        <is>
          <t>2026-02-20 11:09:33.569</t>
        </is>
      </c>
      <c r="C499" t="n">
        <v/>
      </c>
      <c r="D499" t="inlineStr">
        <is>
          <t>Media file</t>
        </is>
      </c>
      <c r="E499" t="inlineStr">
        <is>
          <t>player #1:BTBR\training\c5m3.mp4</t>
        </is>
      </c>
      <c r="F499" t="n">
        <v>-18.033</v>
      </c>
      <c r="G499" t="n">
        <v>559.966</v>
      </c>
      <c r="H499" t="n">
        <v>730.299</v>
      </c>
      <c r="I499" t="n">
        <v>30</v>
      </c>
      <c r="J499" t="inlineStr">
        <is>
          <t>BTBR</t>
        </is>
      </c>
      <c r="K499" t="inlineStr">
        <is>
          <t>Male</t>
        </is>
      </c>
      <c r="L499" t="inlineStr">
        <is>
          <t>No focal subject</t>
        </is>
      </c>
      <c r="M499" t="n">
        <v>39.065</v>
      </c>
      <c r="N499" t="inlineStr">
        <is>
          <t>Explore_F2</t>
        </is>
      </c>
      <c r="O499" t="inlineStr">
        <is>
          <t>Second familiar</t>
        </is>
      </c>
      <c r="P499" t="inlineStr">
        <is>
          <t>STATE</t>
        </is>
      </c>
      <c r="Q499" t="n">
        <v>66.90000000000001</v>
      </c>
      <c r="R499" t="n">
        <v>67.667</v>
      </c>
      <c r="S499" t="n">
        <v>0.767</v>
      </c>
      <c r="T499" t="inlineStr">
        <is>
          <t>BTBR\training\c5m3.mp4</t>
        </is>
      </c>
      <c r="U499" t="n">
        <v>2007</v>
      </c>
      <c r="V499" t="n">
        <v>2030</v>
      </c>
      <c r="W499" t="n">
        <v/>
      </c>
      <c r="X499" t="n">
        <v/>
      </c>
      <c r="Y499" t="n">
        <v/>
      </c>
      <c r="Z499" t="n">
        <v/>
      </c>
      <c r="AA499">
        <f>SUMIFS($S$2:S499,$A$2:A499,A499,$N$2:N499,"Explore*")</f>
        <v/>
      </c>
      <c r="AB499">
        <f>IF(AND(LEFT(N499,7)="Explore",(AA499-IF(LEFT(N499,7)="Explore",S499,0))&lt;10),"SI","NO")</f>
        <v/>
      </c>
    </row>
    <row r="500">
      <c r="A500" t="inlineStr">
        <is>
          <t>c5m3_training</t>
        </is>
      </c>
      <c r="B500" t="inlineStr">
        <is>
          <t>2026-02-20 11:09:33.569</t>
        </is>
      </c>
      <c r="C500" t="n">
        <v/>
      </c>
      <c r="D500" t="inlineStr">
        <is>
          <t>Media file</t>
        </is>
      </c>
      <c r="E500" t="inlineStr">
        <is>
          <t>player #1:BTBR\training\c5m3.mp4</t>
        </is>
      </c>
      <c r="F500" t="n">
        <v>-18.033</v>
      </c>
      <c r="G500" t="n">
        <v>559.966</v>
      </c>
      <c r="H500" t="n">
        <v>730.299</v>
      </c>
      <c r="I500" t="n">
        <v>30</v>
      </c>
      <c r="J500" t="inlineStr">
        <is>
          <t>BTBR</t>
        </is>
      </c>
      <c r="K500" t="inlineStr">
        <is>
          <t>Male</t>
        </is>
      </c>
      <c r="L500" t="inlineStr">
        <is>
          <t>No focal subject</t>
        </is>
      </c>
      <c r="M500" t="n">
        <v>39.065</v>
      </c>
      <c r="N500" t="inlineStr">
        <is>
          <t>Explore_F2</t>
        </is>
      </c>
      <c r="O500" t="inlineStr">
        <is>
          <t>Second familiar</t>
        </is>
      </c>
      <c r="P500" t="inlineStr">
        <is>
          <t>STATE</t>
        </is>
      </c>
      <c r="Q500" t="n">
        <v>68.467</v>
      </c>
      <c r="R500" t="n">
        <v>68.8</v>
      </c>
      <c r="S500" t="n">
        <v>0.333</v>
      </c>
      <c r="T500" t="inlineStr">
        <is>
          <t>BTBR\training\c5m3.mp4</t>
        </is>
      </c>
      <c r="U500" t="n">
        <v>2054</v>
      </c>
      <c r="V500" t="n">
        <v>2064</v>
      </c>
      <c r="W500" t="n">
        <v/>
      </c>
      <c r="X500" t="n">
        <v/>
      </c>
      <c r="Y500" t="n">
        <v/>
      </c>
      <c r="Z500" t="n">
        <v/>
      </c>
      <c r="AA500">
        <f>SUMIFS($S$2:S500,$A$2:A500,A500,$N$2:N500,"Explore*")</f>
        <v/>
      </c>
      <c r="AB500">
        <f>IF(AND(LEFT(N500,7)="Explore",(AA500-IF(LEFT(N500,7)="Explore",S500,0))&lt;10),"SI","NO")</f>
        <v/>
      </c>
    </row>
    <row r="501">
      <c r="A501" t="inlineStr">
        <is>
          <t>c5m3_training</t>
        </is>
      </c>
      <c r="B501" t="inlineStr">
        <is>
          <t>2026-02-20 11:09:33.569</t>
        </is>
      </c>
      <c r="C501" t="n">
        <v/>
      </c>
      <c r="D501" t="inlineStr">
        <is>
          <t>Media file</t>
        </is>
      </c>
      <c r="E501" t="inlineStr">
        <is>
          <t>player #1:BTBR\training\c5m3.mp4</t>
        </is>
      </c>
      <c r="F501" t="n">
        <v>-18.033</v>
      </c>
      <c r="G501" t="n">
        <v>559.966</v>
      </c>
      <c r="H501" t="n">
        <v>730.299</v>
      </c>
      <c r="I501" t="n">
        <v>30</v>
      </c>
      <c r="J501" t="inlineStr">
        <is>
          <t>BTBR</t>
        </is>
      </c>
      <c r="K501" t="inlineStr">
        <is>
          <t>Male</t>
        </is>
      </c>
      <c r="L501" t="inlineStr">
        <is>
          <t>No focal subject</t>
        </is>
      </c>
      <c r="M501" t="n">
        <v>39.065</v>
      </c>
      <c r="N501" t="inlineStr">
        <is>
          <t>Explore_F</t>
        </is>
      </c>
      <c r="O501" t="inlineStr">
        <is>
          <t>Familiar</t>
        </is>
      </c>
      <c r="P501" t="inlineStr">
        <is>
          <t>STATE</t>
        </is>
      </c>
      <c r="Q501" t="n">
        <v>70.7</v>
      </c>
      <c r="R501" t="n">
        <v>71.09999999999999</v>
      </c>
      <c r="S501" t="n">
        <v>0.4</v>
      </c>
      <c r="T501" t="inlineStr">
        <is>
          <t>BTBR\training\c5m3.mp4</t>
        </is>
      </c>
      <c r="U501" t="n">
        <v>2121</v>
      </c>
      <c r="V501" t="n">
        <v>2133</v>
      </c>
      <c r="W501" t="n">
        <v/>
      </c>
      <c r="X501" t="n">
        <v/>
      </c>
      <c r="Y501" t="n">
        <v/>
      </c>
      <c r="Z501" t="n">
        <v/>
      </c>
      <c r="AA501">
        <f>SUMIFS($S$2:S501,$A$2:A501,A501,$N$2:N501,"Explore*")</f>
        <v/>
      </c>
      <c r="AB501">
        <f>IF(AND(LEFT(N501,7)="Explore",(AA501-IF(LEFT(N501,7)="Explore",S501,0))&lt;10),"SI","NO")</f>
        <v/>
      </c>
    </row>
    <row r="502">
      <c r="A502" t="inlineStr">
        <is>
          <t>c5m3_training</t>
        </is>
      </c>
      <c r="B502" t="inlineStr">
        <is>
          <t>2026-02-20 11:09:33.569</t>
        </is>
      </c>
      <c r="C502" t="n">
        <v/>
      </c>
      <c r="D502" t="inlineStr">
        <is>
          <t>Media file</t>
        </is>
      </c>
      <c r="E502" t="inlineStr">
        <is>
          <t>player #1:BTBR\training\c5m3.mp4</t>
        </is>
      </c>
      <c r="F502" t="n">
        <v>-18.033</v>
      </c>
      <c r="G502" t="n">
        <v>559.966</v>
      </c>
      <c r="H502" t="n">
        <v>730.299</v>
      </c>
      <c r="I502" t="n">
        <v>30</v>
      </c>
      <c r="J502" t="inlineStr">
        <is>
          <t>BTBR</t>
        </is>
      </c>
      <c r="K502" t="inlineStr">
        <is>
          <t>Male</t>
        </is>
      </c>
      <c r="L502" t="inlineStr">
        <is>
          <t>No focal subject</t>
        </is>
      </c>
      <c r="M502" t="n">
        <v>39.065</v>
      </c>
      <c r="N502" t="inlineStr">
        <is>
          <t>Explore_F</t>
        </is>
      </c>
      <c r="O502" t="inlineStr">
        <is>
          <t>Familiar</t>
        </is>
      </c>
      <c r="P502" t="inlineStr">
        <is>
          <t>STATE</t>
        </is>
      </c>
      <c r="Q502" t="n">
        <v>71.667</v>
      </c>
      <c r="R502" t="n">
        <v>71.90000000000001</v>
      </c>
      <c r="S502" t="n">
        <v>0.233</v>
      </c>
      <c r="T502" t="inlineStr">
        <is>
          <t>BTBR\training\c5m3.mp4</t>
        </is>
      </c>
      <c r="U502" t="n">
        <v>2150</v>
      </c>
      <c r="V502" t="n">
        <v>2157</v>
      </c>
      <c r="W502" t="n">
        <v/>
      </c>
      <c r="X502" t="n">
        <v/>
      </c>
      <c r="Y502" t="n">
        <v/>
      </c>
      <c r="Z502" t="n">
        <v/>
      </c>
      <c r="AA502">
        <f>SUMIFS($S$2:S502,$A$2:A502,A502,$N$2:N502,"Explore*")</f>
        <v/>
      </c>
      <c r="AB502">
        <f>IF(AND(LEFT(N502,7)="Explore",(AA502-IF(LEFT(N502,7)="Explore",S502,0))&lt;10),"SI","NO")</f>
        <v/>
      </c>
    </row>
    <row r="503">
      <c r="A503" t="inlineStr">
        <is>
          <t>c5m3_training</t>
        </is>
      </c>
      <c r="B503" t="inlineStr">
        <is>
          <t>2026-02-20 11:09:33.569</t>
        </is>
      </c>
      <c r="C503" t="n">
        <v/>
      </c>
      <c r="D503" t="inlineStr">
        <is>
          <t>Media file</t>
        </is>
      </c>
      <c r="E503" t="inlineStr">
        <is>
          <t>player #1:BTBR\training\c5m3.mp4</t>
        </is>
      </c>
      <c r="F503" t="n">
        <v>-18.033</v>
      </c>
      <c r="G503" t="n">
        <v>559.966</v>
      </c>
      <c r="H503" t="n">
        <v>730.299</v>
      </c>
      <c r="I503" t="n">
        <v>30</v>
      </c>
      <c r="J503" t="inlineStr">
        <is>
          <t>BTBR</t>
        </is>
      </c>
      <c r="K503" t="inlineStr">
        <is>
          <t>Male</t>
        </is>
      </c>
      <c r="L503" t="inlineStr">
        <is>
          <t>No focal subject</t>
        </is>
      </c>
      <c r="M503" t="n">
        <v>39.065</v>
      </c>
      <c r="N503" t="inlineStr">
        <is>
          <t>Explore_F2</t>
        </is>
      </c>
      <c r="O503" t="inlineStr">
        <is>
          <t>Second familiar</t>
        </is>
      </c>
      <c r="P503" t="inlineStr">
        <is>
          <t>STATE</t>
        </is>
      </c>
      <c r="Q503" t="n">
        <v>72.134</v>
      </c>
      <c r="R503" t="n">
        <v>72.867</v>
      </c>
      <c r="S503" t="n">
        <v>0.733</v>
      </c>
      <c r="T503" t="inlineStr">
        <is>
          <t>BTBR\training\c5m3.mp4</t>
        </is>
      </c>
      <c r="U503" t="n">
        <v>2164</v>
      </c>
      <c r="V503" t="n">
        <v>2186</v>
      </c>
      <c r="W503" t="n">
        <v/>
      </c>
      <c r="X503" t="n">
        <v/>
      </c>
      <c r="Y503" t="n">
        <v/>
      </c>
      <c r="Z503" t="n">
        <v/>
      </c>
      <c r="AA503">
        <f>SUMIFS($S$2:S503,$A$2:A503,A503,$N$2:N503,"Explore*")</f>
        <v/>
      </c>
      <c r="AB503">
        <f>IF(AND(LEFT(N503,7)="Explore",(AA503-IF(LEFT(N503,7)="Explore",S503,0))&lt;10),"SI","NO")</f>
        <v/>
      </c>
    </row>
    <row r="504">
      <c r="A504" t="inlineStr">
        <is>
          <t>c5m3_training</t>
        </is>
      </c>
      <c r="B504" t="inlineStr">
        <is>
          <t>2026-02-20 11:09:33.569</t>
        </is>
      </c>
      <c r="C504" t="n">
        <v/>
      </c>
      <c r="D504" t="inlineStr">
        <is>
          <t>Media file</t>
        </is>
      </c>
      <c r="E504" t="inlineStr">
        <is>
          <t>player #1:BTBR\training\c5m3.mp4</t>
        </is>
      </c>
      <c r="F504" t="n">
        <v>-18.033</v>
      </c>
      <c r="G504" t="n">
        <v>559.966</v>
      </c>
      <c r="H504" t="n">
        <v>730.299</v>
      </c>
      <c r="I504" t="n">
        <v>30</v>
      </c>
      <c r="J504" t="inlineStr">
        <is>
          <t>BTBR</t>
        </is>
      </c>
      <c r="K504" t="inlineStr">
        <is>
          <t>Male</t>
        </is>
      </c>
      <c r="L504" t="inlineStr">
        <is>
          <t>No focal subject</t>
        </is>
      </c>
      <c r="M504" t="n">
        <v>39.065</v>
      </c>
      <c r="N504" t="inlineStr">
        <is>
          <t>Explore_F</t>
        </is>
      </c>
      <c r="O504" t="inlineStr">
        <is>
          <t>Familiar</t>
        </is>
      </c>
      <c r="P504" t="inlineStr">
        <is>
          <t>STATE</t>
        </is>
      </c>
      <c r="Q504" t="n">
        <v>88.7</v>
      </c>
      <c r="R504" t="n">
        <v>89.834</v>
      </c>
      <c r="S504" t="n">
        <v>1.134</v>
      </c>
      <c r="T504" t="inlineStr">
        <is>
          <t>BTBR\training\c5m3.mp4</t>
        </is>
      </c>
      <c r="U504" t="n">
        <v>2661</v>
      </c>
      <c r="V504" t="n">
        <v>2695</v>
      </c>
      <c r="W504" t="n">
        <v/>
      </c>
      <c r="X504" t="n">
        <v/>
      </c>
      <c r="Y504" t="n">
        <v/>
      </c>
      <c r="Z504" t="n">
        <v/>
      </c>
      <c r="AA504">
        <f>SUMIFS($S$2:S504,$A$2:A504,A504,$N$2:N504,"Explore*")</f>
        <v/>
      </c>
      <c r="AB504">
        <f>IF(AND(LEFT(N504,7)="Explore",(AA504-IF(LEFT(N504,7)="Explore",S504,0))&lt;10),"SI","NO")</f>
        <v/>
      </c>
    </row>
    <row r="505">
      <c r="A505" t="inlineStr">
        <is>
          <t>c5m3_training</t>
        </is>
      </c>
      <c r="B505" t="inlineStr">
        <is>
          <t>2026-02-20 11:09:33.569</t>
        </is>
      </c>
      <c r="C505" t="n">
        <v/>
      </c>
      <c r="D505" t="inlineStr">
        <is>
          <t>Media file</t>
        </is>
      </c>
      <c r="E505" t="inlineStr">
        <is>
          <t>player #1:BTBR\training\c5m3.mp4</t>
        </is>
      </c>
      <c r="F505" t="n">
        <v>-18.033</v>
      </c>
      <c r="G505" t="n">
        <v>559.966</v>
      </c>
      <c r="H505" t="n">
        <v>730.299</v>
      </c>
      <c r="I505" t="n">
        <v>30</v>
      </c>
      <c r="J505" t="inlineStr">
        <is>
          <t>BTBR</t>
        </is>
      </c>
      <c r="K505" t="inlineStr">
        <is>
          <t>Male</t>
        </is>
      </c>
      <c r="L505" t="inlineStr">
        <is>
          <t>No focal subject</t>
        </is>
      </c>
      <c r="M505" t="n">
        <v>39.065</v>
      </c>
      <c r="N505" t="inlineStr">
        <is>
          <t>Explore_F</t>
        </is>
      </c>
      <c r="O505" t="inlineStr">
        <is>
          <t>Familiar</t>
        </is>
      </c>
      <c r="P505" t="inlineStr">
        <is>
          <t>STATE</t>
        </is>
      </c>
      <c r="Q505" t="n">
        <v>98.334</v>
      </c>
      <c r="R505" t="n">
        <v>98.7</v>
      </c>
      <c r="S505" t="n">
        <v>0.366</v>
      </c>
      <c r="T505" t="inlineStr">
        <is>
          <t>BTBR\training\c5m3.mp4</t>
        </is>
      </c>
      <c r="U505" t="n">
        <v>2950</v>
      </c>
      <c r="V505" t="n">
        <v>2961</v>
      </c>
      <c r="W505" t="n">
        <v/>
      </c>
      <c r="X505" t="n">
        <v/>
      </c>
      <c r="Y505" t="n">
        <v/>
      </c>
      <c r="Z505" t="n">
        <v/>
      </c>
      <c r="AA505">
        <f>SUMIFS($S$2:S505,$A$2:A505,A505,$N$2:N505,"Explore*")</f>
        <v/>
      </c>
      <c r="AB505">
        <f>IF(AND(LEFT(N505,7)="Explore",(AA505-IF(LEFT(N505,7)="Explore",S505,0))&lt;10),"SI","NO")</f>
        <v/>
      </c>
    </row>
    <row r="506">
      <c r="A506" t="inlineStr">
        <is>
          <t>c5m3_training</t>
        </is>
      </c>
      <c r="B506" t="inlineStr">
        <is>
          <t>2026-02-20 11:09:33.569</t>
        </is>
      </c>
      <c r="C506" t="n">
        <v/>
      </c>
      <c r="D506" t="inlineStr">
        <is>
          <t>Media file</t>
        </is>
      </c>
      <c r="E506" t="inlineStr">
        <is>
          <t>player #1:BTBR\training\c5m3.mp4</t>
        </is>
      </c>
      <c r="F506" t="n">
        <v>-18.033</v>
      </c>
      <c r="G506" t="n">
        <v>559.966</v>
      </c>
      <c r="H506" t="n">
        <v>730.299</v>
      </c>
      <c r="I506" t="n">
        <v>30</v>
      </c>
      <c r="J506" t="inlineStr">
        <is>
          <t>BTBR</t>
        </is>
      </c>
      <c r="K506" t="inlineStr">
        <is>
          <t>Male</t>
        </is>
      </c>
      <c r="L506" t="inlineStr">
        <is>
          <t>No focal subject</t>
        </is>
      </c>
      <c r="M506" t="n">
        <v>39.065</v>
      </c>
      <c r="N506" t="inlineStr">
        <is>
          <t>Explore_F</t>
        </is>
      </c>
      <c r="O506" t="inlineStr">
        <is>
          <t>Familiar</t>
        </is>
      </c>
      <c r="P506" t="inlineStr">
        <is>
          <t>STATE</t>
        </is>
      </c>
      <c r="Q506" t="n">
        <v>109.434</v>
      </c>
      <c r="R506" t="n">
        <v>110.834</v>
      </c>
      <c r="S506" t="n">
        <v>1.4</v>
      </c>
      <c r="T506" t="inlineStr">
        <is>
          <t>BTBR\training\c5m3.mp4</t>
        </is>
      </c>
      <c r="U506" t="n">
        <v>3283</v>
      </c>
      <c r="V506" t="n">
        <v>3325</v>
      </c>
      <c r="W506" t="n">
        <v/>
      </c>
      <c r="X506" t="n">
        <v/>
      </c>
      <c r="Y506" t="n">
        <v/>
      </c>
      <c r="Z506" t="n">
        <v/>
      </c>
      <c r="AA506">
        <f>SUMIFS($S$2:S506,$A$2:A506,A506,$N$2:N506,"Explore*")</f>
        <v/>
      </c>
      <c r="AB506">
        <f>IF(AND(LEFT(N506,7)="Explore",(AA506-IF(LEFT(N506,7)="Explore",S506,0))&lt;10),"SI","NO")</f>
        <v/>
      </c>
    </row>
    <row r="507">
      <c r="A507" t="inlineStr">
        <is>
          <t>c5m3_training</t>
        </is>
      </c>
      <c r="B507" t="inlineStr">
        <is>
          <t>2026-02-20 11:09:33.569</t>
        </is>
      </c>
      <c r="C507" t="n">
        <v/>
      </c>
      <c r="D507" t="inlineStr">
        <is>
          <t>Media file</t>
        </is>
      </c>
      <c r="E507" t="inlineStr">
        <is>
          <t>player #1:BTBR\training\c5m3.mp4</t>
        </is>
      </c>
      <c r="F507" t="n">
        <v>-18.033</v>
      </c>
      <c r="G507" t="n">
        <v>559.966</v>
      </c>
      <c r="H507" t="n">
        <v>730.299</v>
      </c>
      <c r="I507" t="n">
        <v>30</v>
      </c>
      <c r="J507" t="inlineStr">
        <is>
          <t>BTBR</t>
        </is>
      </c>
      <c r="K507" t="inlineStr">
        <is>
          <t>Male</t>
        </is>
      </c>
      <c r="L507" t="inlineStr">
        <is>
          <t>No focal subject</t>
        </is>
      </c>
      <c r="M507" t="n">
        <v>39.065</v>
      </c>
      <c r="N507" t="inlineStr">
        <is>
          <t>Explore_F</t>
        </is>
      </c>
      <c r="O507" t="inlineStr">
        <is>
          <t>Familiar</t>
        </is>
      </c>
      <c r="P507" t="inlineStr">
        <is>
          <t>STATE</t>
        </is>
      </c>
      <c r="Q507" t="n">
        <v>125.867</v>
      </c>
      <c r="R507" t="n">
        <v>126.167</v>
      </c>
      <c r="S507" t="n">
        <v>0.3</v>
      </c>
      <c r="T507" t="inlineStr">
        <is>
          <t>BTBR\training\c5m3.mp4</t>
        </is>
      </c>
      <c r="U507" t="n">
        <v>3776</v>
      </c>
      <c r="V507" t="n">
        <v>3785</v>
      </c>
      <c r="W507" t="n">
        <v/>
      </c>
      <c r="X507" t="n">
        <v/>
      </c>
      <c r="Y507" t="n">
        <v/>
      </c>
      <c r="Z507" t="n">
        <v/>
      </c>
      <c r="AA507">
        <f>SUMIFS($S$2:S507,$A$2:A507,A507,$N$2:N507,"Explore*")</f>
        <v/>
      </c>
      <c r="AB507">
        <f>IF(AND(LEFT(N507,7)="Explore",(AA507-IF(LEFT(N507,7)="Explore",S507,0))&lt;10),"SI","NO")</f>
        <v/>
      </c>
    </row>
    <row r="508">
      <c r="A508" t="inlineStr">
        <is>
          <t>c5m3_training</t>
        </is>
      </c>
      <c r="B508" t="inlineStr">
        <is>
          <t>2026-02-20 11:09:33.569</t>
        </is>
      </c>
      <c r="C508" t="n">
        <v/>
      </c>
      <c r="D508" t="inlineStr">
        <is>
          <t>Media file</t>
        </is>
      </c>
      <c r="E508" t="inlineStr">
        <is>
          <t>player #1:BTBR\training\c5m3.mp4</t>
        </is>
      </c>
      <c r="F508" t="n">
        <v>-18.033</v>
      </c>
      <c r="G508" t="n">
        <v>559.966</v>
      </c>
      <c r="H508" t="n">
        <v>730.299</v>
      </c>
      <c r="I508" t="n">
        <v>30</v>
      </c>
      <c r="J508" t="inlineStr">
        <is>
          <t>BTBR</t>
        </is>
      </c>
      <c r="K508" t="inlineStr">
        <is>
          <t>Male</t>
        </is>
      </c>
      <c r="L508" t="inlineStr">
        <is>
          <t>No focal subject</t>
        </is>
      </c>
      <c r="M508" t="n">
        <v>39.065</v>
      </c>
      <c r="N508" t="inlineStr">
        <is>
          <t>Explore_F2</t>
        </is>
      </c>
      <c r="O508" t="inlineStr">
        <is>
          <t>Second familiar</t>
        </is>
      </c>
      <c r="P508" t="inlineStr">
        <is>
          <t>STATE</t>
        </is>
      </c>
      <c r="Q508" t="n">
        <v>127.234</v>
      </c>
      <c r="R508" t="n">
        <v>130.367</v>
      </c>
      <c r="S508" t="n">
        <v>3.133</v>
      </c>
      <c r="T508" t="inlineStr">
        <is>
          <t>BTBR\training\c5m3.mp4</t>
        </is>
      </c>
      <c r="U508" t="n">
        <v>3817</v>
      </c>
      <c r="V508" t="n">
        <v>3911</v>
      </c>
      <c r="W508" t="n">
        <v/>
      </c>
      <c r="X508" t="n">
        <v/>
      </c>
      <c r="Y508" t="n">
        <v/>
      </c>
      <c r="Z508" t="n">
        <v/>
      </c>
      <c r="AA508">
        <f>SUMIFS($S$2:S508,$A$2:A508,A508,$N$2:N508,"Explore*")</f>
        <v/>
      </c>
      <c r="AB508">
        <f>IF(AND(LEFT(N508,7)="Explore",(AA508-IF(LEFT(N508,7)="Explore",S508,0))&lt;10),"SI","NO")</f>
        <v/>
      </c>
    </row>
    <row r="509">
      <c r="A509" t="inlineStr">
        <is>
          <t>c5m3_training</t>
        </is>
      </c>
      <c r="B509" t="inlineStr">
        <is>
          <t>2026-02-20 11:09:33.569</t>
        </is>
      </c>
      <c r="C509" t="n">
        <v/>
      </c>
      <c r="D509" t="inlineStr">
        <is>
          <t>Media file</t>
        </is>
      </c>
      <c r="E509" t="inlineStr">
        <is>
          <t>player #1:BTBR\training\c5m3.mp4</t>
        </is>
      </c>
      <c r="F509" t="n">
        <v>-18.033</v>
      </c>
      <c r="G509" t="n">
        <v>559.966</v>
      </c>
      <c r="H509" t="n">
        <v>730.299</v>
      </c>
      <c r="I509" t="n">
        <v>30</v>
      </c>
      <c r="J509" t="inlineStr">
        <is>
          <t>BTBR</t>
        </is>
      </c>
      <c r="K509" t="inlineStr">
        <is>
          <t>Male</t>
        </is>
      </c>
      <c r="L509" t="inlineStr">
        <is>
          <t>No focal subject</t>
        </is>
      </c>
      <c r="M509" t="n">
        <v>39.065</v>
      </c>
      <c r="N509" t="inlineStr">
        <is>
          <t>Explore_F</t>
        </is>
      </c>
      <c r="O509" t="inlineStr">
        <is>
          <t>Familiar</t>
        </is>
      </c>
      <c r="P509" t="inlineStr">
        <is>
          <t>STATE</t>
        </is>
      </c>
      <c r="Q509" t="n">
        <v>134.167</v>
      </c>
      <c r="R509" t="n">
        <v>135.2</v>
      </c>
      <c r="S509" t="n">
        <v>1.033</v>
      </c>
      <c r="T509" t="inlineStr">
        <is>
          <t>BTBR\training\c5m3.mp4</t>
        </is>
      </c>
      <c r="U509" t="n">
        <v>4025</v>
      </c>
      <c r="V509" t="n">
        <v>4056</v>
      </c>
      <c r="W509" t="n">
        <v/>
      </c>
      <c r="X509" t="n">
        <v/>
      </c>
      <c r="Y509" t="n">
        <v/>
      </c>
      <c r="Z509" t="n">
        <v/>
      </c>
      <c r="AA509">
        <f>SUMIFS($S$2:S509,$A$2:A509,A509,$N$2:N509,"Explore*")</f>
        <v/>
      </c>
      <c r="AB509">
        <f>IF(AND(LEFT(N509,7)="Explore",(AA509-IF(LEFT(N509,7)="Explore",S509,0))&lt;10),"SI","NO")</f>
        <v/>
      </c>
    </row>
    <row r="510">
      <c r="A510" t="inlineStr">
        <is>
          <t>c5m3_training</t>
        </is>
      </c>
      <c r="B510" t="inlineStr">
        <is>
          <t>2026-02-20 11:09:33.569</t>
        </is>
      </c>
      <c r="C510" t="n">
        <v/>
      </c>
      <c r="D510" t="inlineStr">
        <is>
          <t>Media file</t>
        </is>
      </c>
      <c r="E510" t="inlineStr">
        <is>
          <t>player #1:BTBR\training\c5m3.mp4</t>
        </is>
      </c>
      <c r="F510" t="n">
        <v>-18.033</v>
      </c>
      <c r="G510" t="n">
        <v>559.966</v>
      </c>
      <c r="H510" t="n">
        <v>730.299</v>
      </c>
      <c r="I510" t="n">
        <v>30</v>
      </c>
      <c r="J510" t="inlineStr">
        <is>
          <t>BTBR</t>
        </is>
      </c>
      <c r="K510" t="inlineStr">
        <is>
          <t>Male</t>
        </is>
      </c>
      <c r="L510" t="inlineStr">
        <is>
          <t>No focal subject</t>
        </is>
      </c>
      <c r="M510" t="n">
        <v>39.065</v>
      </c>
      <c r="N510" t="inlineStr">
        <is>
          <t>Explore_F2</t>
        </is>
      </c>
      <c r="O510" t="inlineStr">
        <is>
          <t>Second familiar</t>
        </is>
      </c>
      <c r="P510" t="inlineStr">
        <is>
          <t>STATE</t>
        </is>
      </c>
      <c r="Q510" t="n">
        <v>136.5</v>
      </c>
      <c r="R510" t="n">
        <v>137.267</v>
      </c>
      <c r="S510" t="n">
        <v>0.767</v>
      </c>
      <c r="T510" t="inlineStr">
        <is>
          <t>BTBR\training\c5m3.mp4</t>
        </is>
      </c>
      <c r="U510" t="n">
        <v>4097</v>
      </c>
      <c r="V510" t="n">
        <v>4118</v>
      </c>
      <c r="W510" t="n">
        <v/>
      </c>
      <c r="X510" t="n">
        <v/>
      </c>
      <c r="Y510" t="n">
        <v/>
      </c>
      <c r="Z510" t="n">
        <v/>
      </c>
      <c r="AA510">
        <f>SUMIFS($S$2:S510,$A$2:A510,A510,$N$2:N510,"Explore*")</f>
        <v/>
      </c>
      <c r="AB510">
        <f>IF(AND(LEFT(N510,7)="Explore",(AA510-IF(LEFT(N510,7)="Explore",S510,0))&lt;10),"SI","NO")</f>
        <v/>
      </c>
    </row>
    <row r="511">
      <c r="A511" t="inlineStr">
        <is>
          <t>c5m3_training</t>
        </is>
      </c>
      <c r="B511" t="inlineStr">
        <is>
          <t>2026-02-20 11:09:33.569</t>
        </is>
      </c>
      <c r="C511" t="n">
        <v/>
      </c>
      <c r="D511" t="inlineStr">
        <is>
          <t>Media file</t>
        </is>
      </c>
      <c r="E511" t="inlineStr">
        <is>
          <t>player #1:BTBR\training\c5m3.mp4</t>
        </is>
      </c>
      <c r="F511" t="n">
        <v>-18.033</v>
      </c>
      <c r="G511" t="n">
        <v>559.966</v>
      </c>
      <c r="H511" t="n">
        <v>730.299</v>
      </c>
      <c r="I511" t="n">
        <v>30</v>
      </c>
      <c r="J511" t="inlineStr">
        <is>
          <t>BTBR</t>
        </is>
      </c>
      <c r="K511" t="inlineStr">
        <is>
          <t>Male</t>
        </is>
      </c>
      <c r="L511" t="inlineStr">
        <is>
          <t>No focal subject</t>
        </is>
      </c>
      <c r="M511" t="n">
        <v>39.065</v>
      </c>
      <c r="N511" t="inlineStr">
        <is>
          <t>Explore_F2</t>
        </is>
      </c>
      <c r="O511" t="inlineStr">
        <is>
          <t>Second familiar</t>
        </is>
      </c>
      <c r="P511" t="inlineStr">
        <is>
          <t>STATE</t>
        </is>
      </c>
      <c r="Q511" t="n">
        <v>137.7</v>
      </c>
      <c r="R511" t="n">
        <v>138.9</v>
      </c>
      <c r="S511" t="n">
        <v>1.2</v>
      </c>
      <c r="T511" t="inlineStr">
        <is>
          <t>BTBR\training\c5m3.mp4</t>
        </is>
      </c>
      <c r="U511" t="n">
        <v>4131</v>
      </c>
      <c r="V511" t="n">
        <v>4167</v>
      </c>
      <c r="W511" t="n">
        <v/>
      </c>
      <c r="X511" t="n">
        <v/>
      </c>
      <c r="Y511" t="n">
        <v/>
      </c>
      <c r="Z511" t="n">
        <v/>
      </c>
      <c r="AA511">
        <f>SUMIFS($S$2:S511,$A$2:A511,A511,$N$2:N511,"Explore*")</f>
        <v/>
      </c>
      <c r="AB511">
        <f>IF(AND(LEFT(N511,7)="Explore",(AA511-IF(LEFT(N511,7)="Explore",S511,0))&lt;10),"SI","NO")</f>
        <v/>
      </c>
    </row>
    <row r="512">
      <c r="A512" t="inlineStr">
        <is>
          <t>c5m3_training</t>
        </is>
      </c>
      <c r="B512" t="inlineStr">
        <is>
          <t>2026-02-20 11:09:33.569</t>
        </is>
      </c>
      <c r="C512" t="n">
        <v/>
      </c>
      <c r="D512" t="inlineStr">
        <is>
          <t>Media file</t>
        </is>
      </c>
      <c r="E512" t="inlineStr">
        <is>
          <t>player #1:BTBR\training\c5m3.mp4</t>
        </is>
      </c>
      <c r="F512" t="n">
        <v>-18.033</v>
      </c>
      <c r="G512" t="n">
        <v>559.966</v>
      </c>
      <c r="H512" t="n">
        <v>730.299</v>
      </c>
      <c r="I512" t="n">
        <v>30</v>
      </c>
      <c r="J512" t="inlineStr">
        <is>
          <t>BTBR</t>
        </is>
      </c>
      <c r="K512" t="inlineStr">
        <is>
          <t>Male</t>
        </is>
      </c>
      <c r="L512" t="inlineStr">
        <is>
          <t>No focal subject</t>
        </is>
      </c>
      <c r="M512" t="n">
        <v>39.065</v>
      </c>
      <c r="N512" t="inlineStr">
        <is>
          <t>Explore_F</t>
        </is>
      </c>
      <c r="O512" t="inlineStr">
        <is>
          <t>Familiar</t>
        </is>
      </c>
      <c r="P512" t="inlineStr">
        <is>
          <t>STATE</t>
        </is>
      </c>
      <c r="Q512" t="n">
        <v>145.533</v>
      </c>
      <c r="R512" t="n">
        <v>146</v>
      </c>
      <c r="S512" t="n">
        <v>0.467</v>
      </c>
      <c r="T512" t="inlineStr">
        <is>
          <t>BTBR\training\c5m3.mp4</t>
        </is>
      </c>
      <c r="U512" t="n">
        <v>4367</v>
      </c>
      <c r="V512" t="n">
        <v>4382</v>
      </c>
      <c r="W512" t="n">
        <v/>
      </c>
      <c r="X512" t="n">
        <v/>
      </c>
      <c r="Y512" t="n">
        <v/>
      </c>
      <c r="Z512" t="n">
        <v/>
      </c>
      <c r="AA512">
        <f>SUMIFS($S$2:S512,$A$2:A512,A512,$N$2:N512,"Explore*")</f>
        <v/>
      </c>
      <c r="AB512">
        <f>IF(AND(LEFT(N512,7)="Explore",(AA512-IF(LEFT(N512,7)="Explore",S512,0))&lt;10),"SI","NO")</f>
        <v/>
      </c>
    </row>
    <row r="513">
      <c r="A513" t="inlineStr">
        <is>
          <t>c5m3_training</t>
        </is>
      </c>
      <c r="B513" t="inlineStr">
        <is>
          <t>2026-02-20 11:09:33.569</t>
        </is>
      </c>
      <c r="C513" t="n">
        <v/>
      </c>
      <c r="D513" t="inlineStr">
        <is>
          <t>Media file</t>
        </is>
      </c>
      <c r="E513" t="inlineStr">
        <is>
          <t>player #1:BTBR\training\c5m3.mp4</t>
        </is>
      </c>
      <c r="F513" t="n">
        <v>-18.033</v>
      </c>
      <c r="G513" t="n">
        <v>559.966</v>
      </c>
      <c r="H513" t="n">
        <v>730.299</v>
      </c>
      <c r="I513" t="n">
        <v>30</v>
      </c>
      <c r="J513" t="inlineStr">
        <is>
          <t>BTBR</t>
        </is>
      </c>
      <c r="K513" t="inlineStr">
        <is>
          <t>Male</t>
        </is>
      </c>
      <c r="L513" t="inlineStr">
        <is>
          <t>No focal subject</t>
        </is>
      </c>
      <c r="M513" t="n">
        <v>39.065</v>
      </c>
      <c r="N513" t="inlineStr">
        <is>
          <t>Explore_F2</t>
        </is>
      </c>
      <c r="O513" t="inlineStr">
        <is>
          <t>Second familiar</t>
        </is>
      </c>
      <c r="P513" t="inlineStr">
        <is>
          <t>STATE</t>
        </is>
      </c>
      <c r="Q513" t="n">
        <v>187.9</v>
      </c>
      <c r="R513" t="n">
        <v>188.2</v>
      </c>
      <c r="S513" t="n">
        <v>0.3</v>
      </c>
      <c r="T513" t="inlineStr">
        <is>
          <t>BTBR\training\c5m3.mp4</t>
        </is>
      </c>
      <c r="U513" t="n">
        <v>5636</v>
      </c>
      <c r="V513" t="n">
        <v>5645</v>
      </c>
      <c r="W513" t="n">
        <v/>
      </c>
      <c r="X513" t="n">
        <v/>
      </c>
      <c r="Y513" t="n">
        <v/>
      </c>
      <c r="Z513" t="n">
        <v/>
      </c>
      <c r="AA513">
        <f>SUMIFS($S$2:S513,$A$2:A513,A513,$N$2:N513,"Explore*")</f>
        <v/>
      </c>
      <c r="AB513">
        <f>IF(AND(LEFT(N513,7)="Explore",(AA513-IF(LEFT(N513,7)="Explore",S513,0))&lt;10),"SI","NO")</f>
        <v/>
      </c>
    </row>
    <row r="514">
      <c r="A514" t="inlineStr">
        <is>
          <t>c5m3_training</t>
        </is>
      </c>
      <c r="B514" t="inlineStr">
        <is>
          <t>2026-02-20 11:09:33.569</t>
        </is>
      </c>
      <c r="C514" t="n">
        <v/>
      </c>
      <c r="D514" t="inlineStr">
        <is>
          <t>Media file</t>
        </is>
      </c>
      <c r="E514" t="inlineStr">
        <is>
          <t>player #1:BTBR\training\c5m3.mp4</t>
        </is>
      </c>
      <c r="F514" t="n">
        <v>-18.033</v>
      </c>
      <c r="G514" t="n">
        <v>559.966</v>
      </c>
      <c r="H514" t="n">
        <v>730.299</v>
      </c>
      <c r="I514" t="n">
        <v>30</v>
      </c>
      <c r="J514" t="inlineStr">
        <is>
          <t>BTBR</t>
        </is>
      </c>
      <c r="K514" t="inlineStr">
        <is>
          <t>Male</t>
        </is>
      </c>
      <c r="L514" t="inlineStr">
        <is>
          <t>No focal subject</t>
        </is>
      </c>
      <c r="M514" t="n">
        <v>39.065</v>
      </c>
      <c r="N514" t="inlineStr">
        <is>
          <t>Explore_F2</t>
        </is>
      </c>
      <c r="O514" t="inlineStr">
        <is>
          <t>Second familiar</t>
        </is>
      </c>
      <c r="P514" t="inlineStr">
        <is>
          <t>STATE</t>
        </is>
      </c>
      <c r="Q514" t="n">
        <v>192.067</v>
      </c>
      <c r="R514" t="n">
        <v>193.533</v>
      </c>
      <c r="S514" t="n">
        <v>1.466</v>
      </c>
      <c r="T514" t="inlineStr">
        <is>
          <t>BTBR\training\c5m3.mp4</t>
        </is>
      </c>
      <c r="U514" t="n">
        <v>5761</v>
      </c>
      <c r="V514" t="n">
        <v>5806</v>
      </c>
      <c r="W514" t="n">
        <v/>
      </c>
      <c r="X514" t="n">
        <v/>
      </c>
      <c r="Y514" t="n">
        <v/>
      </c>
      <c r="Z514" t="n">
        <v/>
      </c>
      <c r="AA514">
        <f>SUMIFS($S$2:S514,$A$2:A514,A514,$N$2:N514,"Explore*")</f>
        <v/>
      </c>
      <c r="AB514">
        <f>IF(AND(LEFT(N514,7)="Explore",(AA514-IF(LEFT(N514,7)="Explore",S514,0))&lt;10),"SI","NO")</f>
        <v/>
      </c>
    </row>
    <row r="515">
      <c r="A515" t="inlineStr">
        <is>
          <t>c5m3_training</t>
        </is>
      </c>
      <c r="B515" t="inlineStr">
        <is>
          <t>2026-02-20 11:09:33.569</t>
        </is>
      </c>
      <c r="C515" t="n">
        <v/>
      </c>
      <c r="D515" t="inlineStr">
        <is>
          <t>Media file</t>
        </is>
      </c>
      <c r="E515" t="inlineStr">
        <is>
          <t>player #1:BTBR\training\c5m3.mp4</t>
        </is>
      </c>
      <c r="F515" t="n">
        <v>-18.033</v>
      </c>
      <c r="G515" t="n">
        <v>559.966</v>
      </c>
      <c r="H515" t="n">
        <v>730.299</v>
      </c>
      <c r="I515" t="n">
        <v>30</v>
      </c>
      <c r="J515" t="inlineStr">
        <is>
          <t>BTBR</t>
        </is>
      </c>
      <c r="K515" t="inlineStr">
        <is>
          <t>Male</t>
        </is>
      </c>
      <c r="L515" t="inlineStr">
        <is>
          <t>No focal subject</t>
        </is>
      </c>
      <c r="M515" t="n">
        <v>39.065</v>
      </c>
      <c r="N515" t="inlineStr">
        <is>
          <t>Explore_F2</t>
        </is>
      </c>
      <c r="O515" t="inlineStr">
        <is>
          <t>Second familiar</t>
        </is>
      </c>
      <c r="P515" t="inlineStr">
        <is>
          <t>STATE</t>
        </is>
      </c>
      <c r="Q515" t="n">
        <v>196.067</v>
      </c>
      <c r="R515" t="n">
        <v>196.267</v>
      </c>
      <c r="S515" t="n">
        <v>0.2</v>
      </c>
      <c r="T515" t="inlineStr">
        <is>
          <t>BTBR\training\c5m3.mp4</t>
        </is>
      </c>
      <c r="U515" t="n">
        <v>5881</v>
      </c>
      <c r="V515" t="n">
        <v>5887</v>
      </c>
      <c r="W515" t="n">
        <v/>
      </c>
      <c r="X515" t="n">
        <v/>
      </c>
      <c r="Y515" t="n">
        <v/>
      </c>
      <c r="Z515" t="n">
        <v/>
      </c>
      <c r="AA515">
        <f>SUMIFS($S$2:S515,$A$2:A515,A515,$N$2:N515,"Explore*")</f>
        <v/>
      </c>
      <c r="AB515">
        <f>IF(AND(LEFT(N515,7)="Explore",(AA515-IF(LEFT(N515,7)="Explore",S515,0))&lt;10),"SI","NO")</f>
        <v/>
      </c>
    </row>
    <row r="516">
      <c r="A516" t="inlineStr">
        <is>
          <t>c5m3_training</t>
        </is>
      </c>
      <c r="B516" t="inlineStr">
        <is>
          <t>2026-02-20 11:09:33.569</t>
        </is>
      </c>
      <c r="C516" t="n">
        <v/>
      </c>
      <c r="D516" t="inlineStr">
        <is>
          <t>Media file</t>
        </is>
      </c>
      <c r="E516" t="inlineStr">
        <is>
          <t>player #1:BTBR\training\c5m3.mp4</t>
        </is>
      </c>
      <c r="F516" t="n">
        <v>-18.033</v>
      </c>
      <c r="G516" t="n">
        <v>559.966</v>
      </c>
      <c r="H516" t="n">
        <v>730.299</v>
      </c>
      <c r="I516" t="n">
        <v>30</v>
      </c>
      <c r="J516" t="inlineStr">
        <is>
          <t>BTBR</t>
        </is>
      </c>
      <c r="K516" t="inlineStr">
        <is>
          <t>Male</t>
        </is>
      </c>
      <c r="L516" t="inlineStr">
        <is>
          <t>No focal subject</t>
        </is>
      </c>
      <c r="M516" t="n">
        <v>39.065</v>
      </c>
      <c r="N516" t="inlineStr">
        <is>
          <t>Explore_F2</t>
        </is>
      </c>
      <c r="O516" t="inlineStr">
        <is>
          <t>Second familiar</t>
        </is>
      </c>
      <c r="P516" t="inlineStr">
        <is>
          <t>STATE</t>
        </is>
      </c>
      <c r="Q516" t="n">
        <v>206.167</v>
      </c>
      <c r="R516" t="n">
        <v>209.067</v>
      </c>
      <c r="S516" t="n">
        <v>2.9</v>
      </c>
      <c r="T516" t="inlineStr">
        <is>
          <t>BTBR\training\c5m3.mp4</t>
        </is>
      </c>
      <c r="U516" t="n">
        <v>6184</v>
      </c>
      <c r="V516" t="n">
        <v>6271</v>
      </c>
      <c r="W516" t="n">
        <v/>
      </c>
      <c r="X516" t="n">
        <v/>
      </c>
      <c r="Y516" t="n">
        <v/>
      </c>
      <c r="Z516" t="n">
        <v/>
      </c>
      <c r="AA516">
        <f>SUMIFS($S$2:S516,$A$2:A516,A516,$N$2:N516,"Explore*")</f>
        <v/>
      </c>
      <c r="AB516">
        <f>IF(AND(LEFT(N516,7)="Explore",(AA516-IF(LEFT(N516,7)="Explore",S516,0))&lt;10),"SI","NO")</f>
        <v/>
      </c>
    </row>
    <row r="517">
      <c r="A517" t="inlineStr">
        <is>
          <t>c5m3_training</t>
        </is>
      </c>
      <c r="B517" t="inlineStr">
        <is>
          <t>2026-02-20 11:09:33.569</t>
        </is>
      </c>
      <c r="C517" t="n">
        <v/>
      </c>
      <c r="D517" t="inlineStr">
        <is>
          <t>Media file</t>
        </is>
      </c>
      <c r="E517" t="inlineStr">
        <is>
          <t>player #1:BTBR\training\c5m3.mp4</t>
        </is>
      </c>
      <c r="F517" t="n">
        <v>-18.033</v>
      </c>
      <c r="G517" t="n">
        <v>559.966</v>
      </c>
      <c r="H517" t="n">
        <v>730.299</v>
      </c>
      <c r="I517" t="n">
        <v>30</v>
      </c>
      <c r="J517" t="inlineStr">
        <is>
          <t>BTBR</t>
        </is>
      </c>
      <c r="K517" t="inlineStr">
        <is>
          <t>Male</t>
        </is>
      </c>
      <c r="L517" t="inlineStr">
        <is>
          <t>No focal subject</t>
        </is>
      </c>
      <c r="M517" t="n">
        <v>39.065</v>
      </c>
      <c r="N517" t="inlineStr">
        <is>
          <t>Explore_F</t>
        </is>
      </c>
      <c r="O517" t="inlineStr">
        <is>
          <t>Familiar</t>
        </is>
      </c>
      <c r="P517" t="inlineStr">
        <is>
          <t>STATE</t>
        </is>
      </c>
      <c r="Q517" t="n">
        <v>214.667</v>
      </c>
      <c r="R517" t="n">
        <v>216</v>
      </c>
      <c r="S517" t="n">
        <v>1.333</v>
      </c>
      <c r="T517" t="inlineStr">
        <is>
          <t>BTBR\training\c5m3.mp4</t>
        </is>
      </c>
      <c r="U517" t="n">
        <v>6439</v>
      </c>
      <c r="V517" t="n">
        <v>6481</v>
      </c>
      <c r="W517" t="n">
        <v/>
      </c>
      <c r="X517" t="n">
        <v/>
      </c>
      <c r="Y517" t="n">
        <v/>
      </c>
      <c r="Z517" t="n">
        <v/>
      </c>
      <c r="AA517">
        <f>SUMIFS($S$2:S517,$A$2:A517,A517,$N$2:N517,"Explore*")</f>
        <v/>
      </c>
      <c r="AB517">
        <f>IF(AND(LEFT(N517,7)="Explore",(AA517-IF(LEFT(N517,7)="Explore",S517,0))&lt;10),"SI","NO")</f>
        <v/>
      </c>
    </row>
    <row r="518">
      <c r="A518" t="inlineStr">
        <is>
          <t>c5m3_training</t>
        </is>
      </c>
      <c r="B518" t="inlineStr">
        <is>
          <t>2026-02-20 11:09:33.569</t>
        </is>
      </c>
      <c r="C518" t="n">
        <v/>
      </c>
      <c r="D518" t="inlineStr">
        <is>
          <t>Media file</t>
        </is>
      </c>
      <c r="E518" t="inlineStr">
        <is>
          <t>player #1:BTBR\training\c5m3.mp4</t>
        </is>
      </c>
      <c r="F518" t="n">
        <v>-18.033</v>
      </c>
      <c r="G518" t="n">
        <v>559.966</v>
      </c>
      <c r="H518" t="n">
        <v>730.299</v>
      </c>
      <c r="I518" t="n">
        <v>30</v>
      </c>
      <c r="J518" t="inlineStr">
        <is>
          <t>BTBR</t>
        </is>
      </c>
      <c r="K518" t="inlineStr">
        <is>
          <t>Male</t>
        </is>
      </c>
      <c r="L518" t="inlineStr">
        <is>
          <t>No focal subject</t>
        </is>
      </c>
      <c r="M518" t="n">
        <v>39.065</v>
      </c>
      <c r="N518" t="inlineStr">
        <is>
          <t>Explore_F2</t>
        </is>
      </c>
      <c r="O518" t="inlineStr">
        <is>
          <t>Second familiar</t>
        </is>
      </c>
      <c r="P518" t="inlineStr">
        <is>
          <t>STATE</t>
        </is>
      </c>
      <c r="Q518" t="n">
        <v>220.867</v>
      </c>
      <c r="R518" t="n">
        <v>221.033</v>
      </c>
      <c r="S518" t="n">
        <v>0.166</v>
      </c>
      <c r="T518" t="inlineStr">
        <is>
          <t>BTBR\training\c5m3.mp4</t>
        </is>
      </c>
      <c r="U518" t="n">
        <v>6625</v>
      </c>
      <c r="V518" t="n">
        <v>6631</v>
      </c>
      <c r="W518" t="n">
        <v/>
      </c>
      <c r="X518" t="n">
        <v/>
      </c>
      <c r="Y518" t="n">
        <v/>
      </c>
      <c r="Z518" t="n">
        <v/>
      </c>
      <c r="AA518">
        <f>SUMIFS($S$2:S518,$A$2:A518,A518,$N$2:N518,"Explore*")</f>
        <v/>
      </c>
      <c r="AB518">
        <f>IF(AND(LEFT(N518,7)="Explore",(AA518-IF(LEFT(N518,7)="Explore",S518,0))&lt;10),"SI","NO")</f>
        <v/>
      </c>
    </row>
    <row r="519">
      <c r="A519" t="inlineStr">
        <is>
          <t>c5m3_training</t>
        </is>
      </c>
      <c r="B519" t="inlineStr">
        <is>
          <t>2026-02-20 11:09:33.569</t>
        </is>
      </c>
      <c r="C519" t="n">
        <v/>
      </c>
      <c r="D519" t="inlineStr">
        <is>
          <t>Media file</t>
        </is>
      </c>
      <c r="E519" t="inlineStr">
        <is>
          <t>player #1:BTBR\training\c5m3.mp4</t>
        </is>
      </c>
      <c r="F519" t="n">
        <v>-18.033</v>
      </c>
      <c r="G519" t="n">
        <v>559.966</v>
      </c>
      <c r="H519" t="n">
        <v>730.299</v>
      </c>
      <c r="I519" t="n">
        <v>30</v>
      </c>
      <c r="J519" t="inlineStr">
        <is>
          <t>BTBR</t>
        </is>
      </c>
      <c r="K519" t="inlineStr">
        <is>
          <t>Male</t>
        </is>
      </c>
      <c r="L519" t="inlineStr">
        <is>
          <t>No focal subject</t>
        </is>
      </c>
      <c r="M519" t="n">
        <v>39.065</v>
      </c>
      <c r="N519" t="inlineStr">
        <is>
          <t>Explore_F2</t>
        </is>
      </c>
      <c r="O519" t="inlineStr">
        <is>
          <t>Second familiar</t>
        </is>
      </c>
      <c r="P519" t="inlineStr">
        <is>
          <t>STATE</t>
        </is>
      </c>
      <c r="Q519" t="n">
        <v>230.5</v>
      </c>
      <c r="R519" t="n">
        <v>231.867</v>
      </c>
      <c r="S519" t="n">
        <v>1.367</v>
      </c>
      <c r="T519" t="inlineStr">
        <is>
          <t>BTBR\training\c5m3.mp4</t>
        </is>
      </c>
      <c r="U519" t="n">
        <v>6916</v>
      </c>
      <c r="V519" t="n">
        <v>6955</v>
      </c>
      <c r="W519" t="n">
        <v/>
      </c>
      <c r="X519" t="n">
        <v/>
      </c>
      <c r="Y519" t="n">
        <v/>
      </c>
      <c r="Z519" t="n">
        <v/>
      </c>
      <c r="AA519">
        <f>SUMIFS($S$2:S519,$A$2:A519,A519,$N$2:N519,"Explore*")</f>
        <v/>
      </c>
      <c r="AB519">
        <f>IF(AND(LEFT(N519,7)="Explore",(AA519-IF(LEFT(N519,7)="Explore",S519,0))&lt;10),"SI","NO")</f>
        <v/>
      </c>
    </row>
    <row r="520">
      <c r="A520" t="inlineStr">
        <is>
          <t>c5m3_training</t>
        </is>
      </c>
      <c r="B520" t="inlineStr">
        <is>
          <t>2026-02-20 11:09:33.569</t>
        </is>
      </c>
      <c r="C520" t="n">
        <v/>
      </c>
      <c r="D520" t="inlineStr">
        <is>
          <t>Media file</t>
        </is>
      </c>
      <c r="E520" t="inlineStr">
        <is>
          <t>player #1:BTBR\training\c5m3.mp4</t>
        </is>
      </c>
      <c r="F520" t="n">
        <v>-18.033</v>
      </c>
      <c r="G520" t="n">
        <v>559.966</v>
      </c>
      <c r="H520" t="n">
        <v>730.299</v>
      </c>
      <c r="I520" t="n">
        <v>30</v>
      </c>
      <c r="J520" t="inlineStr">
        <is>
          <t>BTBR</t>
        </is>
      </c>
      <c r="K520" t="inlineStr">
        <is>
          <t>Male</t>
        </is>
      </c>
      <c r="L520" t="inlineStr">
        <is>
          <t>No focal subject</t>
        </is>
      </c>
      <c r="M520" t="n">
        <v>39.065</v>
      </c>
      <c r="N520" t="inlineStr">
        <is>
          <t>Explore_F2</t>
        </is>
      </c>
      <c r="O520" t="inlineStr">
        <is>
          <t>Second familiar</t>
        </is>
      </c>
      <c r="P520" t="inlineStr">
        <is>
          <t>STATE</t>
        </is>
      </c>
      <c r="Q520" t="n">
        <v>263.767</v>
      </c>
      <c r="R520" t="n">
        <v>264.133</v>
      </c>
      <c r="S520" t="n">
        <v>0.366</v>
      </c>
      <c r="T520" t="inlineStr">
        <is>
          <t>BTBR\training\c5m3.mp4</t>
        </is>
      </c>
      <c r="U520" t="n">
        <v>7912</v>
      </c>
      <c r="V520" t="n">
        <v>7923</v>
      </c>
      <c r="W520" t="n">
        <v/>
      </c>
      <c r="X520" t="n">
        <v/>
      </c>
      <c r="Y520" t="n">
        <v/>
      </c>
      <c r="Z520" t="n">
        <v/>
      </c>
      <c r="AA520">
        <f>SUMIFS($S$2:S520,$A$2:A520,A520,$N$2:N520,"Explore*")</f>
        <v/>
      </c>
      <c r="AB520">
        <f>IF(AND(LEFT(N520,7)="Explore",(AA520-IF(LEFT(N520,7)="Explore",S520,0))&lt;10),"SI","NO")</f>
        <v/>
      </c>
    </row>
    <row r="521">
      <c r="A521" t="inlineStr">
        <is>
          <t>c5m3_training</t>
        </is>
      </c>
      <c r="B521" t="inlineStr">
        <is>
          <t>2026-02-20 11:09:33.569</t>
        </is>
      </c>
      <c r="C521" t="n">
        <v/>
      </c>
      <c r="D521" t="inlineStr">
        <is>
          <t>Media file</t>
        </is>
      </c>
      <c r="E521" t="inlineStr">
        <is>
          <t>player #1:BTBR\training\c5m3.mp4</t>
        </is>
      </c>
      <c r="F521" t="n">
        <v>-18.033</v>
      </c>
      <c r="G521" t="n">
        <v>559.966</v>
      </c>
      <c r="H521" t="n">
        <v>730.299</v>
      </c>
      <c r="I521" t="n">
        <v>30</v>
      </c>
      <c r="J521" t="inlineStr">
        <is>
          <t>BTBR</t>
        </is>
      </c>
      <c r="K521" t="inlineStr">
        <is>
          <t>Male</t>
        </is>
      </c>
      <c r="L521" t="inlineStr">
        <is>
          <t>No focal subject</t>
        </is>
      </c>
      <c r="M521" t="n">
        <v>39.065</v>
      </c>
      <c r="N521" t="inlineStr">
        <is>
          <t>Explore_F2</t>
        </is>
      </c>
      <c r="O521" t="inlineStr">
        <is>
          <t>Second familiar</t>
        </is>
      </c>
      <c r="P521" t="inlineStr">
        <is>
          <t>STATE</t>
        </is>
      </c>
      <c r="Q521" t="n">
        <v>320.867</v>
      </c>
      <c r="R521" t="n">
        <v>321.9</v>
      </c>
      <c r="S521" t="n">
        <v>1.033</v>
      </c>
      <c r="T521" t="inlineStr">
        <is>
          <t>BTBR\training\c5m3.mp4</t>
        </is>
      </c>
      <c r="U521" t="n">
        <v>10166</v>
      </c>
      <c r="V521" t="n">
        <v>10197</v>
      </c>
      <c r="W521" t="n">
        <v/>
      </c>
      <c r="X521" t="n">
        <v/>
      </c>
      <c r="Y521" t="n">
        <v/>
      </c>
      <c r="Z521" t="n">
        <v/>
      </c>
      <c r="AA521">
        <f>SUMIFS($S$2:S521,$A$2:A521,A521,$N$2:N521,"Explore*")</f>
        <v/>
      </c>
      <c r="AB521">
        <f>IF(AND(LEFT(N521,7)="Explore",(AA521-IF(LEFT(N521,7)="Explore",S521,0))&lt;10),"SI","NO")</f>
        <v/>
      </c>
    </row>
    <row r="522">
      <c r="A522" t="inlineStr">
        <is>
          <t>c5m3_training</t>
        </is>
      </c>
      <c r="B522" t="inlineStr">
        <is>
          <t>2026-02-20 11:09:33.569</t>
        </is>
      </c>
      <c r="C522" t="n">
        <v/>
      </c>
      <c r="D522" t="inlineStr">
        <is>
          <t>Media file</t>
        </is>
      </c>
      <c r="E522" t="inlineStr">
        <is>
          <t>player #1:BTBR\training\c5m3.mp4</t>
        </is>
      </c>
      <c r="F522" t="n">
        <v>-18.033</v>
      </c>
      <c r="G522" t="n">
        <v>559.966</v>
      </c>
      <c r="H522" t="n">
        <v>730.299</v>
      </c>
      <c r="I522" t="n">
        <v>30</v>
      </c>
      <c r="J522" t="inlineStr">
        <is>
          <t>BTBR</t>
        </is>
      </c>
      <c r="K522" t="inlineStr">
        <is>
          <t>Male</t>
        </is>
      </c>
      <c r="L522" t="inlineStr">
        <is>
          <t>No focal subject</t>
        </is>
      </c>
      <c r="M522" t="n">
        <v>39.065</v>
      </c>
      <c r="N522" t="inlineStr">
        <is>
          <t>Explore_F</t>
        </is>
      </c>
      <c r="O522" t="inlineStr">
        <is>
          <t>Familiar</t>
        </is>
      </c>
      <c r="P522" t="inlineStr">
        <is>
          <t>STATE</t>
        </is>
      </c>
      <c r="Q522" t="n">
        <v>348.433</v>
      </c>
      <c r="R522" t="n">
        <v>349.067</v>
      </c>
      <c r="S522" t="n">
        <v>0.634</v>
      </c>
      <c r="T522" t="inlineStr">
        <is>
          <t>BTBR\training\c5m3.mp4</t>
        </is>
      </c>
      <c r="U522" t="n">
        <v>10993</v>
      </c>
      <c r="V522" t="n">
        <v>11012</v>
      </c>
      <c r="W522" t="n">
        <v/>
      </c>
      <c r="X522" t="n">
        <v/>
      </c>
      <c r="Y522" t="n">
        <v/>
      </c>
      <c r="Z522" t="n">
        <v/>
      </c>
      <c r="AA522">
        <f>SUMIFS($S$2:S522,$A$2:A522,A522,$N$2:N522,"Explore*")</f>
        <v/>
      </c>
      <c r="AB522">
        <f>IF(AND(LEFT(N522,7)="Explore",(AA522-IF(LEFT(N522,7)="Explore",S522,0))&lt;10),"SI","NO")</f>
        <v/>
      </c>
    </row>
    <row r="523">
      <c r="A523" t="inlineStr">
        <is>
          <t>c5m3_training</t>
        </is>
      </c>
      <c r="B523" t="inlineStr">
        <is>
          <t>2026-02-20 11:09:33.569</t>
        </is>
      </c>
      <c r="C523" t="n">
        <v/>
      </c>
      <c r="D523" t="inlineStr">
        <is>
          <t>Media file</t>
        </is>
      </c>
      <c r="E523" t="inlineStr">
        <is>
          <t>player #1:BTBR\training\c5m3.mp4</t>
        </is>
      </c>
      <c r="F523" t="n">
        <v>-18.033</v>
      </c>
      <c r="G523" t="n">
        <v>559.966</v>
      </c>
      <c r="H523" t="n">
        <v>730.299</v>
      </c>
      <c r="I523" t="n">
        <v>30</v>
      </c>
      <c r="J523" t="inlineStr">
        <is>
          <t>BTBR</t>
        </is>
      </c>
      <c r="K523" t="inlineStr">
        <is>
          <t>Male</t>
        </is>
      </c>
      <c r="L523" t="inlineStr">
        <is>
          <t>No focal subject</t>
        </is>
      </c>
      <c r="M523" t="n">
        <v>39.065</v>
      </c>
      <c r="N523" t="inlineStr">
        <is>
          <t>Explore_F2</t>
        </is>
      </c>
      <c r="O523" t="inlineStr">
        <is>
          <t>Second familiar</t>
        </is>
      </c>
      <c r="P523" t="inlineStr">
        <is>
          <t>STATE</t>
        </is>
      </c>
      <c r="Q523" t="n">
        <v>382.267</v>
      </c>
      <c r="R523" t="n">
        <v>383.467</v>
      </c>
      <c r="S523" t="n">
        <v>1.2</v>
      </c>
      <c r="T523" t="inlineStr">
        <is>
          <t>BTBR\training\c5m3.mp4</t>
        </is>
      </c>
      <c r="U523" t="n">
        <v>12008</v>
      </c>
      <c r="V523" t="n">
        <v>12044</v>
      </c>
      <c r="W523" t="n">
        <v/>
      </c>
      <c r="X523" t="n">
        <v/>
      </c>
      <c r="Y523" t="n">
        <v/>
      </c>
      <c r="Z523" t="n">
        <v/>
      </c>
      <c r="AA523">
        <f>SUMIFS($S$2:S523,$A$2:A523,A523,$N$2:N523,"Explore*")</f>
        <v/>
      </c>
      <c r="AB523">
        <f>IF(AND(LEFT(N523,7)="Explore",(AA523-IF(LEFT(N523,7)="Explore",S523,0))&lt;10),"SI","NO")</f>
        <v/>
      </c>
    </row>
    <row r="524">
      <c r="A524" t="inlineStr">
        <is>
          <t>c5m3_training</t>
        </is>
      </c>
      <c r="B524" t="inlineStr">
        <is>
          <t>2026-02-20 11:09:33.569</t>
        </is>
      </c>
      <c r="C524" t="n">
        <v/>
      </c>
      <c r="D524" t="inlineStr">
        <is>
          <t>Media file</t>
        </is>
      </c>
      <c r="E524" t="inlineStr">
        <is>
          <t>player #1:BTBR\training\c5m3.mp4</t>
        </is>
      </c>
      <c r="F524" t="n">
        <v>-18.033</v>
      </c>
      <c r="G524" t="n">
        <v>559.966</v>
      </c>
      <c r="H524" t="n">
        <v>730.299</v>
      </c>
      <c r="I524" t="n">
        <v>30</v>
      </c>
      <c r="J524" t="inlineStr">
        <is>
          <t>BTBR</t>
        </is>
      </c>
      <c r="K524" t="inlineStr">
        <is>
          <t>Male</t>
        </is>
      </c>
      <c r="L524" t="inlineStr">
        <is>
          <t>No focal subject</t>
        </is>
      </c>
      <c r="M524" t="n">
        <v>39.065</v>
      </c>
      <c r="N524" t="inlineStr">
        <is>
          <t>Explore_F2</t>
        </is>
      </c>
      <c r="O524" t="inlineStr">
        <is>
          <t>Second familiar</t>
        </is>
      </c>
      <c r="P524" t="inlineStr">
        <is>
          <t>STATE</t>
        </is>
      </c>
      <c r="Q524" t="n">
        <v>411.433</v>
      </c>
      <c r="R524" t="n">
        <v>413.2</v>
      </c>
      <c r="S524" t="n">
        <v>1.767</v>
      </c>
      <c r="T524" t="inlineStr">
        <is>
          <t>BTBR\training\c5m3.mp4</t>
        </is>
      </c>
      <c r="U524" t="n">
        <v>12883</v>
      </c>
      <c r="V524" t="n">
        <v>12936</v>
      </c>
      <c r="W524" t="n">
        <v/>
      </c>
      <c r="X524" t="n">
        <v/>
      </c>
      <c r="Y524" t="n">
        <v/>
      </c>
      <c r="Z524" t="n">
        <v/>
      </c>
      <c r="AA524">
        <f>SUMIFS($S$2:S524,$A$2:A524,A524,$N$2:N524,"Explore*")</f>
        <v/>
      </c>
      <c r="AB524">
        <f>IF(AND(LEFT(N524,7)="Explore",(AA524-IF(LEFT(N524,7)="Explore",S524,0))&lt;10),"SI","NO")</f>
        <v/>
      </c>
    </row>
    <row r="525">
      <c r="A525" t="inlineStr">
        <is>
          <t>c5m3_training</t>
        </is>
      </c>
      <c r="B525" t="inlineStr">
        <is>
          <t>2026-02-20 11:09:33.569</t>
        </is>
      </c>
      <c r="C525" t="n">
        <v/>
      </c>
      <c r="D525" t="inlineStr">
        <is>
          <t>Media file</t>
        </is>
      </c>
      <c r="E525" t="inlineStr">
        <is>
          <t>player #1:BTBR\training\c5m3.mp4</t>
        </is>
      </c>
      <c r="F525" t="n">
        <v>-18.033</v>
      </c>
      <c r="G525" t="n">
        <v>559.966</v>
      </c>
      <c r="H525" t="n">
        <v>730.299</v>
      </c>
      <c r="I525" t="n">
        <v>30</v>
      </c>
      <c r="J525" t="inlineStr">
        <is>
          <t>BTBR</t>
        </is>
      </c>
      <c r="K525" t="inlineStr">
        <is>
          <t>Male</t>
        </is>
      </c>
      <c r="L525" t="inlineStr">
        <is>
          <t>No focal subject</t>
        </is>
      </c>
      <c r="M525" t="n">
        <v>39.065</v>
      </c>
      <c r="N525" t="inlineStr">
        <is>
          <t>Explore_F2</t>
        </is>
      </c>
      <c r="O525" t="inlineStr">
        <is>
          <t>Second familiar</t>
        </is>
      </c>
      <c r="P525" t="inlineStr">
        <is>
          <t>STATE</t>
        </is>
      </c>
      <c r="Q525" t="n">
        <v>438.767</v>
      </c>
      <c r="R525" t="n">
        <v>439.767</v>
      </c>
      <c r="S525" t="n">
        <v>1</v>
      </c>
      <c r="T525" t="inlineStr">
        <is>
          <t>BTBR\training\c5m3.mp4</t>
        </is>
      </c>
      <c r="U525" t="n">
        <v>13702</v>
      </c>
      <c r="V525" t="n">
        <v>13732</v>
      </c>
      <c r="W525" t="n">
        <v/>
      </c>
      <c r="X525" t="n">
        <v/>
      </c>
      <c r="Y525" t="n">
        <v/>
      </c>
      <c r="Z525" t="n">
        <v/>
      </c>
      <c r="AA525">
        <f>SUMIFS($S$2:S525,$A$2:A525,A525,$N$2:N525,"Explore*")</f>
        <v/>
      </c>
      <c r="AB525">
        <f>IF(AND(LEFT(N525,7)="Explore",(AA525-IF(LEFT(N525,7)="Explore",S525,0))&lt;10),"SI","NO")</f>
        <v/>
      </c>
    </row>
    <row r="526">
      <c r="A526" t="inlineStr">
        <is>
          <t>c5m3_training</t>
        </is>
      </c>
      <c r="B526" t="inlineStr">
        <is>
          <t>2026-02-20 11:09:33.569</t>
        </is>
      </c>
      <c r="C526" t="n">
        <v/>
      </c>
      <c r="D526" t="inlineStr">
        <is>
          <t>Media file</t>
        </is>
      </c>
      <c r="E526" t="inlineStr">
        <is>
          <t>player #1:BTBR\training\c5m3.mp4</t>
        </is>
      </c>
      <c r="F526" t="n">
        <v>-18.033</v>
      </c>
      <c r="G526" t="n">
        <v>559.966</v>
      </c>
      <c r="H526" t="n">
        <v>730.299</v>
      </c>
      <c r="I526" t="n">
        <v>30</v>
      </c>
      <c r="J526" t="inlineStr">
        <is>
          <t>BTBR</t>
        </is>
      </c>
      <c r="K526" t="inlineStr">
        <is>
          <t>Male</t>
        </is>
      </c>
      <c r="L526" t="inlineStr">
        <is>
          <t>No focal subject</t>
        </is>
      </c>
      <c r="M526" t="n">
        <v>39.065</v>
      </c>
      <c r="N526" t="inlineStr">
        <is>
          <t>Explore_F2</t>
        </is>
      </c>
      <c r="O526" t="inlineStr">
        <is>
          <t>Second familiar</t>
        </is>
      </c>
      <c r="P526" t="inlineStr">
        <is>
          <t>STATE</t>
        </is>
      </c>
      <c r="Q526" t="n">
        <v>465.067</v>
      </c>
      <c r="R526" t="n">
        <v>466.733</v>
      </c>
      <c r="S526" t="n">
        <v>1.666</v>
      </c>
      <c r="T526" t="inlineStr">
        <is>
          <t>BTBR\training\c5m3.mp4</t>
        </is>
      </c>
      <c r="U526" t="n">
        <v>14491</v>
      </c>
      <c r="V526" t="n">
        <v>14541</v>
      </c>
      <c r="W526" t="n">
        <v/>
      </c>
      <c r="X526" t="n">
        <v/>
      </c>
      <c r="Y526" t="n">
        <v/>
      </c>
      <c r="Z526" t="n">
        <v/>
      </c>
      <c r="AA526">
        <f>SUMIFS($S$2:S526,$A$2:A526,A526,$N$2:N526,"Explore*")</f>
        <v/>
      </c>
      <c r="AB526">
        <f>IF(AND(LEFT(N526,7)="Explore",(AA526-IF(LEFT(N526,7)="Explore",S526,0))&lt;10),"SI","NO")</f>
        <v/>
      </c>
    </row>
    <row r="527">
      <c r="A527" t="inlineStr">
        <is>
          <t>c5m3_training</t>
        </is>
      </c>
      <c r="B527" t="inlineStr">
        <is>
          <t>2026-02-20 11:09:33.569</t>
        </is>
      </c>
      <c r="C527" t="n">
        <v/>
      </c>
      <c r="D527" t="inlineStr">
        <is>
          <t>Media file</t>
        </is>
      </c>
      <c r="E527" t="inlineStr">
        <is>
          <t>player #1:BTBR\training\c5m3.mp4</t>
        </is>
      </c>
      <c r="F527" t="n">
        <v>-18.033</v>
      </c>
      <c r="G527" t="n">
        <v>559.966</v>
      </c>
      <c r="H527" t="n">
        <v>730.299</v>
      </c>
      <c r="I527" t="n">
        <v>30</v>
      </c>
      <c r="J527" t="inlineStr">
        <is>
          <t>BTBR</t>
        </is>
      </c>
      <c r="K527" t="inlineStr">
        <is>
          <t>Male</t>
        </is>
      </c>
      <c r="L527" t="inlineStr">
        <is>
          <t>No focal subject</t>
        </is>
      </c>
      <c r="M527" t="n">
        <v>39.065</v>
      </c>
      <c r="N527" t="inlineStr">
        <is>
          <t>Explore_F</t>
        </is>
      </c>
      <c r="O527" t="inlineStr">
        <is>
          <t>Familiar</t>
        </is>
      </c>
      <c r="P527" t="inlineStr">
        <is>
          <t>STATE</t>
        </is>
      </c>
      <c r="Q527" t="n">
        <v>559.466</v>
      </c>
      <c r="R527" t="n">
        <v>560.133</v>
      </c>
      <c r="S527" t="n">
        <v>0.667</v>
      </c>
      <c r="T527" t="inlineStr">
        <is>
          <t>BTBR\training\c5m3.mp4</t>
        </is>
      </c>
      <c r="U527" t="n">
        <v>17323</v>
      </c>
      <c r="V527" t="n">
        <v>17343</v>
      </c>
      <c r="W527" t="n">
        <v/>
      </c>
      <c r="X527" t="n">
        <v/>
      </c>
      <c r="Y527" t="n">
        <v/>
      </c>
      <c r="Z527" t="n">
        <v/>
      </c>
      <c r="AA527">
        <f>SUMIFS($S$2:S527,$A$2:A527,A527,$N$2:N527,"Explore*")</f>
        <v/>
      </c>
      <c r="AB527">
        <f>IF(AND(LEFT(N527,7)="Explore",(AA527-IF(LEFT(N527,7)="Explore",S527,0))&lt;10),"SI","NO")</f>
        <v/>
      </c>
    </row>
    <row r="528">
      <c r="A528" t="inlineStr">
        <is>
          <t>c5m3_training</t>
        </is>
      </c>
      <c r="B528" t="inlineStr">
        <is>
          <t>2026-02-20 11:09:33.569</t>
        </is>
      </c>
      <c r="C528" t="n">
        <v/>
      </c>
      <c r="D528" t="inlineStr">
        <is>
          <t>Media file</t>
        </is>
      </c>
      <c r="E528" t="inlineStr">
        <is>
          <t>player #1:BTBR\training\c5m3.mp4</t>
        </is>
      </c>
      <c r="F528" t="n">
        <v>-18.033</v>
      </c>
      <c r="G528" t="n">
        <v>559.966</v>
      </c>
      <c r="H528" t="n">
        <v>730.299</v>
      </c>
      <c r="I528" t="n">
        <v>30</v>
      </c>
      <c r="J528" t="inlineStr">
        <is>
          <t>BTBR</t>
        </is>
      </c>
      <c r="K528" t="inlineStr">
        <is>
          <t>Male</t>
        </is>
      </c>
      <c r="L528" t="inlineStr">
        <is>
          <t>No focal subject</t>
        </is>
      </c>
      <c r="M528" t="n">
        <v>39.065</v>
      </c>
      <c r="N528" t="inlineStr">
        <is>
          <t>Explore_F2</t>
        </is>
      </c>
      <c r="O528" t="inlineStr">
        <is>
          <t>Second familiar</t>
        </is>
      </c>
      <c r="P528" t="inlineStr">
        <is>
          <t>STATE</t>
        </is>
      </c>
      <c r="Q528" t="n">
        <v>566</v>
      </c>
      <c r="R528" t="n">
        <v>567.2329999999999</v>
      </c>
      <c r="S528" t="n">
        <v>1.233</v>
      </c>
      <c r="T528" t="inlineStr">
        <is>
          <t>BTBR\training\c5m3.mp4</t>
        </is>
      </c>
      <c r="U528" t="n">
        <v>17519</v>
      </c>
      <c r="V528" t="n">
        <v>17556</v>
      </c>
      <c r="W528" t="n">
        <v/>
      </c>
      <c r="X528" t="n">
        <v/>
      </c>
      <c r="Y528" t="n">
        <v/>
      </c>
      <c r="Z528" t="n">
        <v/>
      </c>
      <c r="AA528">
        <f>SUMIFS($S$2:S528,$A$2:A528,A528,$N$2:N528,"Explore*")</f>
        <v/>
      </c>
      <c r="AB528">
        <f>IF(AND(LEFT(N528,7)="Explore",(AA528-IF(LEFT(N528,7)="Explore",S528,0))&lt;10),"SI","NO")</f>
        <v/>
      </c>
    </row>
    <row r="529">
      <c r="A529" t="inlineStr">
        <is>
          <t>c5m3_training</t>
        </is>
      </c>
      <c r="B529" t="inlineStr">
        <is>
          <t>2026-02-20 11:09:33.569</t>
        </is>
      </c>
      <c r="C529" t="n">
        <v/>
      </c>
      <c r="D529" t="inlineStr">
        <is>
          <t>Media file</t>
        </is>
      </c>
      <c r="E529" t="inlineStr">
        <is>
          <t>player #1:BTBR\training\c5m3.mp4</t>
        </is>
      </c>
      <c r="F529" t="n">
        <v>-18.033</v>
      </c>
      <c r="G529" t="n">
        <v>559.966</v>
      </c>
      <c r="H529" t="n">
        <v>730.299</v>
      </c>
      <c r="I529" t="n">
        <v>30</v>
      </c>
      <c r="J529" t="inlineStr">
        <is>
          <t>BTBR</t>
        </is>
      </c>
      <c r="K529" t="inlineStr">
        <is>
          <t>Male</t>
        </is>
      </c>
      <c r="L529" t="inlineStr">
        <is>
          <t>No focal subject</t>
        </is>
      </c>
      <c r="M529" t="n">
        <v>39.065</v>
      </c>
      <c r="N529" t="inlineStr">
        <is>
          <t>Explore_F</t>
        </is>
      </c>
      <c r="O529" t="inlineStr">
        <is>
          <t>Familiar</t>
        </is>
      </c>
      <c r="P529" t="inlineStr">
        <is>
          <t>STATE</t>
        </is>
      </c>
      <c r="Q529" t="n">
        <v>568.866</v>
      </c>
      <c r="R529" t="n">
        <v>569.2</v>
      </c>
      <c r="S529" t="n">
        <v>0.334</v>
      </c>
      <c r="T529" t="inlineStr">
        <is>
          <t>BTBR\training\c5m3.mp4</t>
        </is>
      </c>
      <c r="U529" t="n">
        <v>17605</v>
      </c>
      <c r="V529" t="n">
        <v>17615</v>
      </c>
      <c r="W529" t="n">
        <v/>
      </c>
      <c r="X529" t="n">
        <v/>
      </c>
      <c r="Y529" t="n">
        <v/>
      </c>
      <c r="Z529" t="n">
        <v/>
      </c>
      <c r="AA529">
        <f>SUMIFS($S$2:S529,$A$2:A529,A529,$N$2:N529,"Explore*")</f>
        <v/>
      </c>
      <c r="AB529">
        <f>IF(AND(LEFT(N529,7)="Explore",(AA529-IF(LEFT(N529,7)="Explore",S529,0))&lt;10),"SI","NO")</f>
        <v/>
      </c>
    </row>
    <row r="530">
      <c r="A530" t="inlineStr">
        <is>
          <t>c5m4_training</t>
        </is>
      </c>
      <c r="B530" t="inlineStr">
        <is>
          <t>2026-02-20 11:17:23.228</t>
        </is>
      </c>
      <c r="C530" t="n">
        <v/>
      </c>
      <c r="D530" t="inlineStr">
        <is>
          <t>Media file</t>
        </is>
      </c>
      <c r="E530" t="inlineStr">
        <is>
          <t>player #1:BTBR\training\c5m4.mp4</t>
        </is>
      </c>
      <c r="F530" t="n">
        <v>-9.667</v>
      </c>
      <c r="G530" t="n">
        <v>584.066</v>
      </c>
      <c r="H530" t="n">
        <v>642.433</v>
      </c>
      <c r="I530" t="n">
        <v>30</v>
      </c>
      <c r="J530" t="inlineStr">
        <is>
          <t>BTBR</t>
        </is>
      </c>
      <c r="K530" t="inlineStr">
        <is>
          <t>Male</t>
        </is>
      </c>
      <c r="L530" t="inlineStr">
        <is>
          <t>No focal subject</t>
        </is>
      </c>
      <c r="M530" t="n">
        <v>65.768</v>
      </c>
      <c r="N530" t="inlineStr">
        <is>
          <t>Explore_F2</t>
        </is>
      </c>
      <c r="O530" t="inlineStr">
        <is>
          <t>Second familiar</t>
        </is>
      </c>
      <c r="P530" t="inlineStr">
        <is>
          <t>STATE</t>
        </is>
      </c>
      <c r="Q530" t="n">
        <v>5.366</v>
      </c>
      <c r="R530" t="n">
        <v>6.8</v>
      </c>
      <c r="S530" t="n">
        <v>1.434</v>
      </c>
      <c r="T530" t="inlineStr">
        <is>
          <t>BTBR\training\c5m4.mp4</t>
        </is>
      </c>
      <c r="U530" t="n">
        <v>161</v>
      </c>
      <c r="V530" t="n">
        <v>204</v>
      </c>
      <c r="W530" t="n">
        <v/>
      </c>
      <c r="X530" t="n">
        <v/>
      </c>
      <c r="Y530" t="n">
        <v/>
      </c>
      <c r="Z530" t="n">
        <v/>
      </c>
      <c r="AA530">
        <f>SUMIFS($S$2:S530,$A$2:A530,A530,$N$2:N530,"Explore*")</f>
        <v/>
      </c>
      <c r="AB530">
        <f>IF(AND(LEFT(N530,7)="Explore",(AA530-IF(LEFT(N530,7)="Explore",S530,0))&lt;10),"SI","NO")</f>
        <v/>
      </c>
    </row>
    <row r="531">
      <c r="A531" t="inlineStr">
        <is>
          <t>c5m4_training</t>
        </is>
      </c>
      <c r="B531" t="inlineStr">
        <is>
          <t>2026-02-20 11:17:23.228</t>
        </is>
      </c>
      <c r="C531" t="n">
        <v/>
      </c>
      <c r="D531" t="inlineStr">
        <is>
          <t>Media file</t>
        </is>
      </c>
      <c r="E531" t="inlineStr">
        <is>
          <t>player #1:BTBR\training\c5m4.mp4</t>
        </is>
      </c>
      <c r="F531" t="n">
        <v>-9.667</v>
      </c>
      <c r="G531" t="n">
        <v>584.066</v>
      </c>
      <c r="H531" t="n">
        <v>642.433</v>
      </c>
      <c r="I531" t="n">
        <v>30</v>
      </c>
      <c r="J531" t="inlineStr">
        <is>
          <t>BTBR</t>
        </is>
      </c>
      <c r="K531" t="inlineStr">
        <is>
          <t>Male</t>
        </is>
      </c>
      <c r="L531" t="inlineStr">
        <is>
          <t>No focal subject</t>
        </is>
      </c>
      <c r="M531" t="n">
        <v>65.768</v>
      </c>
      <c r="N531" t="inlineStr">
        <is>
          <t>Explore_F</t>
        </is>
      </c>
      <c r="O531" t="inlineStr">
        <is>
          <t>Familiar</t>
        </is>
      </c>
      <c r="P531" t="inlineStr">
        <is>
          <t>STATE</t>
        </is>
      </c>
      <c r="Q531" t="n">
        <v>9.766</v>
      </c>
      <c r="R531" t="n">
        <v>10.066</v>
      </c>
      <c r="S531" t="n">
        <v>0.3</v>
      </c>
      <c r="T531" t="inlineStr">
        <is>
          <t>BTBR\training\c5m4.mp4</t>
        </is>
      </c>
      <c r="U531" t="n">
        <v>293</v>
      </c>
      <c r="V531" t="n">
        <v>302</v>
      </c>
      <c r="W531" t="n">
        <v/>
      </c>
      <c r="X531" t="n">
        <v/>
      </c>
      <c r="Y531" t="n">
        <v/>
      </c>
      <c r="Z531" t="n">
        <v/>
      </c>
      <c r="AA531">
        <f>SUMIFS($S$2:S531,$A$2:A531,A531,$N$2:N531,"Explore*")</f>
        <v/>
      </c>
      <c r="AB531">
        <f>IF(AND(LEFT(N531,7)="Explore",(AA531-IF(LEFT(N531,7)="Explore",S531,0))&lt;10),"SI","NO")</f>
        <v/>
      </c>
    </row>
    <row r="532">
      <c r="A532" t="inlineStr">
        <is>
          <t>c5m4_training</t>
        </is>
      </c>
      <c r="B532" t="inlineStr">
        <is>
          <t>2026-02-20 11:17:23.228</t>
        </is>
      </c>
      <c r="C532" t="n">
        <v/>
      </c>
      <c r="D532" t="inlineStr">
        <is>
          <t>Media file</t>
        </is>
      </c>
      <c r="E532" t="inlineStr">
        <is>
          <t>player #1:BTBR\training\c5m4.mp4</t>
        </is>
      </c>
      <c r="F532" t="n">
        <v>-9.667</v>
      </c>
      <c r="G532" t="n">
        <v>584.066</v>
      </c>
      <c r="H532" t="n">
        <v>642.433</v>
      </c>
      <c r="I532" t="n">
        <v>30</v>
      </c>
      <c r="J532" t="inlineStr">
        <is>
          <t>BTBR</t>
        </is>
      </c>
      <c r="K532" t="inlineStr">
        <is>
          <t>Male</t>
        </is>
      </c>
      <c r="L532" t="inlineStr">
        <is>
          <t>No focal subject</t>
        </is>
      </c>
      <c r="M532" t="n">
        <v>65.768</v>
      </c>
      <c r="N532" t="inlineStr">
        <is>
          <t>Explore_F</t>
        </is>
      </c>
      <c r="O532" t="inlineStr">
        <is>
          <t>Familiar</t>
        </is>
      </c>
      <c r="P532" t="inlineStr">
        <is>
          <t>STATE</t>
        </is>
      </c>
      <c r="Q532" t="n">
        <v>11</v>
      </c>
      <c r="R532" t="n">
        <v>12.366</v>
      </c>
      <c r="S532" t="n">
        <v>1.366</v>
      </c>
      <c r="T532" t="inlineStr">
        <is>
          <t>BTBR\training\c5m4.mp4</t>
        </is>
      </c>
      <c r="U532" t="n">
        <v>332</v>
      </c>
      <c r="V532" t="n">
        <v>371</v>
      </c>
      <c r="W532" t="n">
        <v/>
      </c>
      <c r="X532" t="n">
        <v/>
      </c>
      <c r="Y532" t="n">
        <v/>
      </c>
      <c r="Z532" t="n">
        <v/>
      </c>
      <c r="AA532">
        <f>SUMIFS($S$2:S532,$A$2:A532,A532,$N$2:N532,"Explore*")</f>
        <v/>
      </c>
      <c r="AB532">
        <f>IF(AND(LEFT(N532,7)="Explore",(AA532-IF(LEFT(N532,7)="Explore",S532,0))&lt;10),"SI","NO")</f>
        <v/>
      </c>
    </row>
    <row r="533">
      <c r="A533" t="inlineStr">
        <is>
          <t>c5m4_training</t>
        </is>
      </c>
      <c r="B533" t="inlineStr">
        <is>
          <t>2026-02-20 11:17:23.228</t>
        </is>
      </c>
      <c r="C533" t="n">
        <v/>
      </c>
      <c r="D533" t="inlineStr">
        <is>
          <t>Media file</t>
        </is>
      </c>
      <c r="E533" t="inlineStr">
        <is>
          <t>player #1:BTBR\training\c5m4.mp4</t>
        </is>
      </c>
      <c r="F533" t="n">
        <v>-9.667</v>
      </c>
      <c r="G533" t="n">
        <v>584.066</v>
      </c>
      <c r="H533" t="n">
        <v>642.433</v>
      </c>
      <c r="I533" t="n">
        <v>30</v>
      </c>
      <c r="J533" t="inlineStr">
        <is>
          <t>BTBR</t>
        </is>
      </c>
      <c r="K533" t="inlineStr">
        <is>
          <t>Male</t>
        </is>
      </c>
      <c r="L533" t="inlineStr">
        <is>
          <t>No focal subject</t>
        </is>
      </c>
      <c r="M533" t="n">
        <v>65.768</v>
      </c>
      <c r="N533" t="inlineStr">
        <is>
          <t>Explore_F2</t>
        </is>
      </c>
      <c r="O533" t="inlineStr">
        <is>
          <t>Second familiar</t>
        </is>
      </c>
      <c r="P533" t="inlineStr">
        <is>
          <t>STATE</t>
        </is>
      </c>
      <c r="Q533" t="n">
        <v>15.5</v>
      </c>
      <c r="R533" t="n">
        <v>16.3</v>
      </c>
      <c r="S533" t="n">
        <v>0.8</v>
      </c>
      <c r="T533" t="inlineStr">
        <is>
          <t>BTBR\training\c5m4.mp4</t>
        </is>
      </c>
      <c r="U533" t="n">
        <v>467</v>
      </c>
      <c r="V533" t="n">
        <v>489</v>
      </c>
      <c r="W533" t="n">
        <v/>
      </c>
      <c r="X533" t="n">
        <v/>
      </c>
      <c r="Y533" t="n">
        <v/>
      </c>
      <c r="Z533" t="n">
        <v/>
      </c>
      <c r="AA533">
        <f>SUMIFS($S$2:S533,$A$2:A533,A533,$N$2:N533,"Explore*")</f>
        <v/>
      </c>
      <c r="AB533">
        <f>IF(AND(LEFT(N533,7)="Explore",(AA533-IF(LEFT(N533,7)="Explore",S533,0))&lt;10),"SI","NO")</f>
        <v/>
      </c>
    </row>
    <row r="534">
      <c r="A534" t="inlineStr">
        <is>
          <t>c5m4_training</t>
        </is>
      </c>
      <c r="B534" t="inlineStr">
        <is>
          <t>2026-02-20 11:17:23.228</t>
        </is>
      </c>
      <c r="C534" t="n">
        <v/>
      </c>
      <c r="D534" t="inlineStr">
        <is>
          <t>Media file</t>
        </is>
      </c>
      <c r="E534" t="inlineStr">
        <is>
          <t>player #1:BTBR\training\c5m4.mp4</t>
        </is>
      </c>
      <c r="F534" t="n">
        <v>-9.667</v>
      </c>
      <c r="G534" t="n">
        <v>584.066</v>
      </c>
      <c r="H534" t="n">
        <v>642.433</v>
      </c>
      <c r="I534" t="n">
        <v>30</v>
      </c>
      <c r="J534" t="inlineStr">
        <is>
          <t>BTBR</t>
        </is>
      </c>
      <c r="K534" t="inlineStr">
        <is>
          <t>Male</t>
        </is>
      </c>
      <c r="L534" t="inlineStr">
        <is>
          <t>No focal subject</t>
        </is>
      </c>
      <c r="M534" t="n">
        <v>65.768</v>
      </c>
      <c r="N534" t="inlineStr">
        <is>
          <t>Explore_F</t>
        </is>
      </c>
      <c r="O534" t="inlineStr">
        <is>
          <t>Familiar</t>
        </is>
      </c>
      <c r="P534" t="inlineStr">
        <is>
          <t>STATE</t>
        </is>
      </c>
      <c r="Q534" t="n">
        <v>18.666</v>
      </c>
      <c r="R534" t="n">
        <v>18.966</v>
      </c>
      <c r="S534" t="n">
        <v>0.3</v>
      </c>
      <c r="T534" t="inlineStr">
        <is>
          <t>BTBR\training\c5m4.mp4</t>
        </is>
      </c>
      <c r="U534" t="n">
        <v>560</v>
      </c>
      <c r="V534" t="n">
        <v>569</v>
      </c>
      <c r="W534" t="n">
        <v/>
      </c>
      <c r="X534" t="n">
        <v/>
      </c>
      <c r="Y534" t="n">
        <v/>
      </c>
      <c r="Z534" t="n">
        <v/>
      </c>
      <c r="AA534">
        <f>SUMIFS($S$2:S534,$A$2:A534,A534,$N$2:N534,"Explore*")</f>
        <v/>
      </c>
      <c r="AB534">
        <f>IF(AND(LEFT(N534,7)="Explore",(AA534-IF(LEFT(N534,7)="Explore",S534,0))&lt;10),"SI","NO")</f>
        <v/>
      </c>
    </row>
    <row r="535">
      <c r="A535" t="inlineStr">
        <is>
          <t>c5m4_training</t>
        </is>
      </c>
      <c r="B535" t="inlineStr">
        <is>
          <t>2026-02-20 11:17:23.228</t>
        </is>
      </c>
      <c r="C535" t="n">
        <v/>
      </c>
      <c r="D535" t="inlineStr">
        <is>
          <t>Media file</t>
        </is>
      </c>
      <c r="E535" t="inlineStr">
        <is>
          <t>player #1:BTBR\training\c5m4.mp4</t>
        </is>
      </c>
      <c r="F535" t="n">
        <v>-9.667</v>
      </c>
      <c r="G535" t="n">
        <v>584.066</v>
      </c>
      <c r="H535" t="n">
        <v>642.433</v>
      </c>
      <c r="I535" t="n">
        <v>30</v>
      </c>
      <c r="J535" t="inlineStr">
        <is>
          <t>BTBR</t>
        </is>
      </c>
      <c r="K535" t="inlineStr">
        <is>
          <t>Male</t>
        </is>
      </c>
      <c r="L535" t="inlineStr">
        <is>
          <t>No focal subject</t>
        </is>
      </c>
      <c r="M535" t="n">
        <v>65.768</v>
      </c>
      <c r="N535" t="inlineStr">
        <is>
          <t>Explore_F</t>
        </is>
      </c>
      <c r="O535" t="inlineStr">
        <is>
          <t>Familiar</t>
        </is>
      </c>
      <c r="P535" t="inlineStr">
        <is>
          <t>STATE</t>
        </is>
      </c>
      <c r="Q535" t="n">
        <v>19.6</v>
      </c>
      <c r="R535" t="n">
        <v>20.5</v>
      </c>
      <c r="S535" t="n">
        <v>0.9</v>
      </c>
      <c r="T535" t="inlineStr">
        <is>
          <t>BTBR\training\c5m4.mp4</t>
        </is>
      </c>
      <c r="U535" t="n">
        <v>588</v>
      </c>
      <c r="V535" t="n">
        <v>617</v>
      </c>
      <c r="W535" t="n">
        <v/>
      </c>
      <c r="X535" t="n">
        <v/>
      </c>
      <c r="Y535" t="n">
        <v/>
      </c>
      <c r="Z535" t="n">
        <v/>
      </c>
      <c r="AA535">
        <f>SUMIFS($S$2:S535,$A$2:A535,A535,$N$2:N535,"Explore*")</f>
        <v/>
      </c>
      <c r="AB535">
        <f>IF(AND(LEFT(N535,7)="Explore",(AA535-IF(LEFT(N535,7)="Explore",S535,0))&lt;10),"SI","NO")</f>
        <v/>
      </c>
    </row>
    <row r="536">
      <c r="A536" t="inlineStr">
        <is>
          <t>c5m4_training</t>
        </is>
      </c>
      <c r="B536" t="inlineStr">
        <is>
          <t>2026-02-20 11:17:23.228</t>
        </is>
      </c>
      <c r="C536" t="n">
        <v/>
      </c>
      <c r="D536" t="inlineStr">
        <is>
          <t>Media file</t>
        </is>
      </c>
      <c r="E536" t="inlineStr">
        <is>
          <t>player #1:BTBR\training\c5m4.mp4</t>
        </is>
      </c>
      <c r="F536" t="n">
        <v>-9.667</v>
      </c>
      <c r="G536" t="n">
        <v>584.066</v>
      </c>
      <c r="H536" t="n">
        <v>642.433</v>
      </c>
      <c r="I536" t="n">
        <v>30</v>
      </c>
      <c r="J536" t="inlineStr">
        <is>
          <t>BTBR</t>
        </is>
      </c>
      <c r="K536" t="inlineStr">
        <is>
          <t>Male</t>
        </is>
      </c>
      <c r="L536" t="inlineStr">
        <is>
          <t>No focal subject</t>
        </is>
      </c>
      <c r="M536" t="n">
        <v>65.768</v>
      </c>
      <c r="N536" t="inlineStr">
        <is>
          <t>Explore_F2</t>
        </is>
      </c>
      <c r="O536" t="inlineStr">
        <is>
          <t>Second familiar</t>
        </is>
      </c>
      <c r="P536" t="inlineStr">
        <is>
          <t>STATE</t>
        </is>
      </c>
      <c r="Q536" t="n">
        <v>22.733</v>
      </c>
      <c r="R536" t="n">
        <v>24.133</v>
      </c>
      <c r="S536" t="n">
        <v>1.4</v>
      </c>
      <c r="T536" t="inlineStr">
        <is>
          <t>BTBR\training\c5m4.mp4</t>
        </is>
      </c>
      <c r="U536" t="n">
        <v>682</v>
      </c>
      <c r="V536" t="n">
        <v>724</v>
      </c>
      <c r="W536" t="n">
        <v/>
      </c>
      <c r="X536" t="n">
        <v/>
      </c>
      <c r="Y536" t="n">
        <v/>
      </c>
      <c r="Z536" t="n">
        <v/>
      </c>
      <c r="AA536">
        <f>SUMIFS($S$2:S536,$A$2:A536,A536,$N$2:N536,"Explore*")</f>
        <v/>
      </c>
      <c r="AB536">
        <f>IF(AND(LEFT(N536,7)="Explore",(AA536-IF(LEFT(N536,7)="Explore",S536,0))&lt;10),"SI","NO")</f>
        <v/>
      </c>
    </row>
    <row r="537">
      <c r="A537" t="inlineStr">
        <is>
          <t>c5m4_training</t>
        </is>
      </c>
      <c r="B537" t="inlineStr">
        <is>
          <t>2026-02-20 11:17:23.228</t>
        </is>
      </c>
      <c r="C537" t="n">
        <v/>
      </c>
      <c r="D537" t="inlineStr">
        <is>
          <t>Media file</t>
        </is>
      </c>
      <c r="E537" t="inlineStr">
        <is>
          <t>player #1:BTBR\training\c5m4.mp4</t>
        </is>
      </c>
      <c r="F537" t="n">
        <v>-9.667</v>
      </c>
      <c r="G537" t="n">
        <v>584.066</v>
      </c>
      <c r="H537" t="n">
        <v>642.433</v>
      </c>
      <c r="I537" t="n">
        <v>30</v>
      </c>
      <c r="J537" t="inlineStr">
        <is>
          <t>BTBR</t>
        </is>
      </c>
      <c r="K537" t="inlineStr">
        <is>
          <t>Male</t>
        </is>
      </c>
      <c r="L537" t="inlineStr">
        <is>
          <t>No focal subject</t>
        </is>
      </c>
      <c r="M537" t="n">
        <v>65.768</v>
      </c>
      <c r="N537" t="inlineStr">
        <is>
          <t>Explore_F</t>
        </is>
      </c>
      <c r="O537" t="inlineStr">
        <is>
          <t>Familiar</t>
        </is>
      </c>
      <c r="P537" t="inlineStr">
        <is>
          <t>STATE</t>
        </is>
      </c>
      <c r="Q537" t="n">
        <v>24.733</v>
      </c>
      <c r="R537" t="n">
        <v>25.066</v>
      </c>
      <c r="S537" t="n">
        <v>0.333</v>
      </c>
      <c r="T537" t="inlineStr">
        <is>
          <t>BTBR\training\c5m4.mp4</t>
        </is>
      </c>
      <c r="U537" t="n">
        <v>742</v>
      </c>
      <c r="V537" t="n">
        <v>752</v>
      </c>
      <c r="W537" t="n">
        <v/>
      </c>
      <c r="X537" t="n">
        <v/>
      </c>
      <c r="Y537" t="n">
        <v/>
      </c>
      <c r="Z537" t="n">
        <v/>
      </c>
      <c r="AA537">
        <f>SUMIFS($S$2:S537,$A$2:A537,A537,$N$2:N537,"Explore*")</f>
        <v/>
      </c>
      <c r="AB537">
        <f>IF(AND(LEFT(N537,7)="Explore",(AA537-IF(LEFT(N537,7)="Explore",S537,0))&lt;10),"SI","NO")</f>
        <v/>
      </c>
    </row>
    <row r="538">
      <c r="A538" t="inlineStr">
        <is>
          <t>c5m4_training</t>
        </is>
      </c>
      <c r="B538" t="inlineStr">
        <is>
          <t>2026-02-20 11:17:23.228</t>
        </is>
      </c>
      <c r="C538" t="n">
        <v/>
      </c>
      <c r="D538" t="inlineStr">
        <is>
          <t>Media file</t>
        </is>
      </c>
      <c r="E538" t="inlineStr">
        <is>
          <t>player #1:BTBR\training\c5m4.mp4</t>
        </is>
      </c>
      <c r="F538" t="n">
        <v>-9.667</v>
      </c>
      <c r="G538" t="n">
        <v>584.066</v>
      </c>
      <c r="H538" t="n">
        <v>642.433</v>
      </c>
      <c r="I538" t="n">
        <v>30</v>
      </c>
      <c r="J538" t="inlineStr">
        <is>
          <t>BTBR</t>
        </is>
      </c>
      <c r="K538" t="inlineStr">
        <is>
          <t>Male</t>
        </is>
      </c>
      <c r="L538" t="inlineStr">
        <is>
          <t>No focal subject</t>
        </is>
      </c>
      <c r="M538" t="n">
        <v>65.768</v>
      </c>
      <c r="N538" t="inlineStr">
        <is>
          <t>Explore_F</t>
        </is>
      </c>
      <c r="O538" t="inlineStr">
        <is>
          <t>Familiar</t>
        </is>
      </c>
      <c r="P538" t="inlineStr">
        <is>
          <t>STATE</t>
        </is>
      </c>
      <c r="Q538" t="n">
        <v>29.9</v>
      </c>
      <c r="R538" t="n">
        <v>31.6</v>
      </c>
      <c r="S538" t="n">
        <v>1.7</v>
      </c>
      <c r="T538" t="inlineStr">
        <is>
          <t>BTBR\training\c5m4.mp4</t>
        </is>
      </c>
      <c r="U538" t="n">
        <v>897</v>
      </c>
      <c r="V538" t="n">
        <v>948</v>
      </c>
      <c r="W538" t="n">
        <v/>
      </c>
      <c r="X538" t="n">
        <v/>
      </c>
      <c r="Y538" t="n">
        <v/>
      </c>
      <c r="Z538" t="n">
        <v/>
      </c>
      <c r="AA538">
        <f>SUMIFS($S$2:S538,$A$2:A538,A538,$N$2:N538,"Explore*")</f>
        <v/>
      </c>
      <c r="AB538">
        <f>IF(AND(LEFT(N538,7)="Explore",(AA538-IF(LEFT(N538,7)="Explore",S538,0))&lt;10),"SI","NO")</f>
        <v/>
      </c>
    </row>
    <row r="539">
      <c r="A539" t="inlineStr">
        <is>
          <t>c5m4_training</t>
        </is>
      </c>
      <c r="B539" t="inlineStr">
        <is>
          <t>2026-02-20 11:17:23.228</t>
        </is>
      </c>
      <c r="C539" t="n">
        <v/>
      </c>
      <c r="D539" t="inlineStr">
        <is>
          <t>Media file</t>
        </is>
      </c>
      <c r="E539" t="inlineStr">
        <is>
          <t>player #1:BTBR\training\c5m4.mp4</t>
        </is>
      </c>
      <c r="F539" t="n">
        <v>-9.667</v>
      </c>
      <c r="G539" t="n">
        <v>584.066</v>
      </c>
      <c r="H539" t="n">
        <v>642.433</v>
      </c>
      <c r="I539" t="n">
        <v>30</v>
      </c>
      <c r="J539" t="inlineStr">
        <is>
          <t>BTBR</t>
        </is>
      </c>
      <c r="K539" t="inlineStr">
        <is>
          <t>Male</t>
        </is>
      </c>
      <c r="L539" t="inlineStr">
        <is>
          <t>No focal subject</t>
        </is>
      </c>
      <c r="M539" t="n">
        <v>65.768</v>
      </c>
      <c r="N539" t="inlineStr">
        <is>
          <t>Explore_F</t>
        </is>
      </c>
      <c r="O539" t="inlineStr">
        <is>
          <t>Familiar</t>
        </is>
      </c>
      <c r="P539" t="inlineStr">
        <is>
          <t>STATE</t>
        </is>
      </c>
      <c r="Q539" t="n">
        <v>38.466</v>
      </c>
      <c r="R539" t="n">
        <v>39.4</v>
      </c>
      <c r="S539" t="n">
        <v>0.9340000000000001</v>
      </c>
      <c r="T539" t="inlineStr">
        <is>
          <t>BTBR\training\c5m4.mp4</t>
        </is>
      </c>
      <c r="U539" t="n">
        <v>1154</v>
      </c>
      <c r="V539" t="n">
        <v>1182</v>
      </c>
      <c r="W539" t="n">
        <v/>
      </c>
      <c r="X539" t="n">
        <v/>
      </c>
      <c r="Y539" t="n">
        <v/>
      </c>
      <c r="Z539" t="n">
        <v/>
      </c>
      <c r="AA539">
        <f>SUMIFS($S$2:S539,$A$2:A539,A539,$N$2:N539,"Explore*")</f>
        <v/>
      </c>
      <c r="AB539">
        <f>IF(AND(LEFT(N539,7)="Explore",(AA539-IF(LEFT(N539,7)="Explore",S539,0))&lt;10),"SI","NO")</f>
        <v/>
      </c>
    </row>
    <row r="540">
      <c r="A540" t="inlineStr">
        <is>
          <t>c5m4_training</t>
        </is>
      </c>
      <c r="B540" t="inlineStr">
        <is>
          <t>2026-02-20 11:17:23.228</t>
        </is>
      </c>
      <c r="C540" t="n">
        <v/>
      </c>
      <c r="D540" t="inlineStr">
        <is>
          <t>Media file</t>
        </is>
      </c>
      <c r="E540" t="inlineStr">
        <is>
          <t>player #1:BTBR\training\c5m4.mp4</t>
        </is>
      </c>
      <c r="F540" t="n">
        <v>-9.667</v>
      </c>
      <c r="G540" t="n">
        <v>584.066</v>
      </c>
      <c r="H540" t="n">
        <v>642.433</v>
      </c>
      <c r="I540" t="n">
        <v>30</v>
      </c>
      <c r="J540" t="inlineStr">
        <is>
          <t>BTBR</t>
        </is>
      </c>
      <c r="K540" t="inlineStr">
        <is>
          <t>Male</t>
        </is>
      </c>
      <c r="L540" t="inlineStr">
        <is>
          <t>No focal subject</t>
        </is>
      </c>
      <c r="M540" t="n">
        <v>65.768</v>
      </c>
      <c r="N540" t="inlineStr">
        <is>
          <t>Explore_F</t>
        </is>
      </c>
      <c r="O540" t="inlineStr">
        <is>
          <t>Familiar</t>
        </is>
      </c>
      <c r="P540" t="inlineStr">
        <is>
          <t>STATE</t>
        </is>
      </c>
      <c r="Q540" t="n">
        <v>41.833</v>
      </c>
      <c r="R540" t="n">
        <v>43</v>
      </c>
      <c r="S540" t="n">
        <v>1.167</v>
      </c>
      <c r="T540" t="inlineStr">
        <is>
          <t>BTBR\training\c5m4.mp4</t>
        </is>
      </c>
      <c r="U540" t="n">
        <v>1255</v>
      </c>
      <c r="V540" t="n">
        <v>1292</v>
      </c>
      <c r="W540" t="n">
        <v/>
      </c>
      <c r="X540" t="n">
        <v/>
      </c>
      <c r="Y540" t="n">
        <v/>
      </c>
      <c r="Z540" t="n">
        <v/>
      </c>
      <c r="AA540">
        <f>SUMIFS($S$2:S540,$A$2:A540,A540,$N$2:N540,"Explore*")</f>
        <v/>
      </c>
      <c r="AB540">
        <f>IF(AND(LEFT(N540,7)="Explore",(AA540-IF(LEFT(N540,7)="Explore",S540,0))&lt;10),"SI","NO")</f>
        <v/>
      </c>
    </row>
    <row r="541">
      <c r="A541" t="inlineStr">
        <is>
          <t>c5m4_training</t>
        </is>
      </c>
      <c r="B541" t="inlineStr">
        <is>
          <t>2026-02-20 11:17:23.228</t>
        </is>
      </c>
      <c r="C541" t="n">
        <v/>
      </c>
      <c r="D541" t="inlineStr">
        <is>
          <t>Media file</t>
        </is>
      </c>
      <c r="E541" t="inlineStr">
        <is>
          <t>player #1:BTBR\training\c5m4.mp4</t>
        </is>
      </c>
      <c r="F541" t="n">
        <v>-9.667</v>
      </c>
      <c r="G541" t="n">
        <v>584.066</v>
      </c>
      <c r="H541" t="n">
        <v>642.433</v>
      </c>
      <c r="I541" t="n">
        <v>30</v>
      </c>
      <c r="J541" t="inlineStr">
        <is>
          <t>BTBR</t>
        </is>
      </c>
      <c r="K541" t="inlineStr">
        <is>
          <t>Male</t>
        </is>
      </c>
      <c r="L541" t="inlineStr">
        <is>
          <t>No focal subject</t>
        </is>
      </c>
      <c r="M541" t="n">
        <v>65.768</v>
      </c>
      <c r="N541" t="inlineStr">
        <is>
          <t>Explore_F2</t>
        </is>
      </c>
      <c r="O541" t="inlineStr">
        <is>
          <t>Second familiar</t>
        </is>
      </c>
      <c r="P541" t="inlineStr">
        <is>
          <t>STATE</t>
        </is>
      </c>
      <c r="Q541" t="n">
        <v>44</v>
      </c>
      <c r="R541" t="n">
        <v>46.266</v>
      </c>
      <c r="S541" t="n">
        <v>2.266</v>
      </c>
      <c r="T541" t="inlineStr">
        <is>
          <t>BTBR\training\c5m4.mp4</t>
        </is>
      </c>
      <c r="U541" t="n">
        <v>1322</v>
      </c>
      <c r="V541" t="n">
        <v>1388</v>
      </c>
      <c r="W541" t="n">
        <v/>
      </c>
      <c r="X541" t="n">
        <v/>
      </c>
      <c r="Y541" t="n">
        <v/>
      </c>
      <c r="Z541" t="n">
        <v/>
      </c>
      <c r="AA541">
        <f>SUMIFS($S$2:S541,$A$2:A541,A541,$N$2:N541,"Explore*")</f>
        <v/>
      </c>
      <c r="AB541">
        <f>IF(AND(LEFT(N541,7)="Explore",(AA541-IF(LEFT(N541,7)="Explore",S541,0))&lt;10),"SI","NO")</f>
        <v/>
      </c>
    </row>
    <row r="542">
      <c r="A542" t="inlineStr">
        <is>
          <t>c5m4_training</t>
        </is>
      </c>
      <c r="B542" t="inlineStr">
        <is>
          <t>2026-02-20 11:17:23.228</t>
        </is>
      </c>
      <c r="C542" t="n">
        <v/>
      </c>
      <c r="D542" t="inlineStr">
        <is>
          <t>Media file</t>
        </is>
      </c>
      <c r="E542" t="inlineStr">
        <is>
          <t>player #1:BTBR\training\c5m4.mp4</t>
        </is>
      </c>
      <c r="F542" t="n">
        <v>-9.667</v>
      </c>
      <c r="G542" t="n">
        <v>584.066</v>
      </c>
      <c r="H542" t="n">
        <v>642.433</v>
      </c>
      <c r="I542" t="n">
        <v>30</v>
      </c>
      <c r="J542" t="inlineStr">
        <is>
          <t>BTBR</t>
        </is>
      </c>
      <c r="K542" t="inlineStr">
        <is>
          <t>Male</t>
        </is>
      </c>
      <c r="L542" t="inlineStr">
        <is>
          <t>No focal subject</t>
        </is>
      </c>
      <c r="M542" t="n">
        <v>65.768</v>
      </c>
      <c r="N542" t="inlineStr">
        <is>
          <t>Explore_F</t>
        </is>
      </c>
      <c r="O542" t="inlineStr">
        <is>
          <t>Familiar</t>
        </is>
      </c>
      <c r="P542" t="inlineStr">
        <is>
          <t>STATE</t>
        </is>
      </c>
      <c r="Q542" t="n">
        <v>50.5</v>
      </c>
      <c r="R542" t="n">
        <v>51.433</v>
      </c>
      <c r="S542" t="n">
        <v>0.9330000000000001</v>
      </c>
      <c r="T542" t="inlineStr">
        <is>
          <t>BTBR\training\c5m4.mp4</t>
        </is>
      </c>
      <c r="U542" t="n">
        <v>1517</v>
      </c>
      <c r="V542" t="n">
        <v>1543</v>
      </c>
      <c r="W542" t="n">
        <v/>
      </c>
      <c r="X542" t="n">
        <v/>
      </c>
      <c r="Y542" t="n">
        <v/>
      </c>
      <c r="Z542" t="n">
        <v/>
      </c>
      <c r="AA542">
        <f>SUMIFS($S$2:S542,$A$2:A542,A542,$N$2:N542,"Explore*")</f>
        <v/>
      </c>
      <c r="AB542">
        <f>IF(AND(LEFT(N542,7)="Explore",(AA542-IF(LEFT(N542,7)="Explore",S542,0))&lt;10),"SI","NO")</f>
        <v/>
      </c>
    </row>
    <row r="543">
      <c r="A543" t="inlineStr">
        <is>
          <t>c5m4_training</t>
        </is>
      </c>
      <c r="B543" t="inlineStr">
        <is>
          <t>2026-02-20 11:17:23.228</t>
        </is>
      </c>
      <c r="C543" t="n">
        <v/>
      </c>
      <c r="D543" t="inlineStr">
        <is>
          <t>Media file</t>
        </is>
      </c>
      <c r="E543" t="inlineStr">
        <is>
          <t>player #1:BTBR\training\c5m4.mp4</t>
        </is>
      </c>
      <c r="F543" t="n">
        <v>-9.667</v>
      </c>
      <c r="G543" t="n">
        <v>584.066</v>
      </c>
      <c r="H543" t="n">
        <v>642.433</v>
      </c>
      <c r="I543" t="n">
        <v>30</v>
      </c>
      <c r="J543" t="inlineStr">
        <is>
          <t>BTBR</t>
        </is>
      </c>
      <c r="K543" t="inlineStr">
        <is>
          <t>Male</t>
        </is>
      </c>
      <c r="L543" t="inlineStr">
        <is>
          <t>No focal subject</t>
        </is>
      </c>
      <c r="M543" t="n">
        <v>65.768</v>
      </c>
      <c r="N543" t="inlineStr">
        <is>
          <t>Explore_F2</t>
        </is>
      </c>
      <c r="O543" t="inlineStr">
        <is>
          <t>Second familiar</t>
        </is>
      </c>
      <c r="P543" t="inlineStr">
        <is>
          <t>STATE</t>
        </is>
      </c>
      <c r="Q543" t="n">
        <v>67.033</v>
      </c>
      <c r="R543" t="n">
        <v>68.5</v>
      </c>
      <c r="S543" t="n">
        <v>1.467</v>
      </c>
      <c r="T543" t="inlineStr">
        <is>
          <t>BTBR\training\c5m4.mp4</t>
        </is>
      </c>
      <c r="U543" t="n">
        <v>2012</v>
      </c>
      <c r="V543" t="n">
        <v>2057</v>
      </c>
      <c r="W543" t="n">
        <v/>
      </c>
      <c r="X543" t="n">
        <v/>
      </c>
      <c r="Y543" t="n">
        <v/>
      </c>
      <c r="Z543" t="n">
        <v/>
      </c>
      <c r="AA543">
        <f>SUMIFS($S$2:S543,$A$2:A543,A543,$N$2:N543,"Explore*")</f>
        <v/>
      </c>
      <c r="AB543">
        <f>IF(AND(LEFT(N543,7)="Explore",(AA543-IF(LEFT(N543,7)="Explore",S543,0))&lt;10),"SI","NO")</f>
        <v/>
      </c>
    </row>
    <row r="544">
      <c r="A544" t="inlineStr">
        <is>
          <t>c5m4_training</t>
        </is>
      </c>
      <c r="B544" t="inlineStr">
        <is>
          <t>2026-02-20 11:17:23.228</t>
        </is>
      </c>
      <c r="C544" t="n">
        <v/>
      </c>
      <c r="D544" t="inlineStr">
        <is>
          <t>Media file</t>
        </is>
      </c>
      <c r="E544" t="inlineStr">
        <is>
          <t>player #1:BTBR\training\c5m4.mp4</t>
        </is>
      </c>
      <c r="F544" t="n">
        <v>-9.667</v>
      </c>
      <c r="G544" t="n">
        <v>584.066</v>
      </c>
      <c r="H544" t="n">
        <v>642.433</v>
      </c>
      <c r="I544" t="n">
        <v>30</v>
      </c>
      <c r="J544" t="inlineStr">
        <is>
          <t>BTBR</t>
        </is>
      </c>
      <c r="K544" t="inlineStr">
        <is>
          <t>Male</t>
        </is>
      </c>
      <c r="L544" t="inlineStr">
        <is>
          <t>No focal subject</t>
        </is>
      </c>
      <c r="M544" t="n">
        <v>65.768</v>
      </c>
      <c r="N544" t="inlineStr">
        <is>
          <t>Explore_F</t>
        </is>
      </c>
      <c r="O544" t="inlineStr">
        <is>
          <t>Familiar</t>
        </is>
      </c>
      <c r="P544" t="inlineStr">
        <is>
          <t>STATE</t>
        </is>
      </c>
      <c r="Q544" t="n">
        <v>74.066</v>
      </c>
      <c r="R544" t="n">
        <v>76.43300000000001</v>
      </c>
      <c r="S544" t="n">
        <v>2.367</v>
      </c>
      <c r="T544" t="inlineStr">
        <is>
          <t>BTBR\training\c5m4.mp4</t>
        </is>
      </c>
      <c r="U544" t="n">
        <v>2222</v>
      </c>
      <c r="V544" t="n">
        <v>2293</v>
      </c>
      <c r="W544" t="n">
        <v/>
      </c>
      <c r="X544" t="n">
        <v/>
      </c>
      <c r="Y544" t="n">
        <v/>
      </c>
      <c r="Z544" t="n">
        <v/>
      </c>
      <c r="AA544">
        <f>SUMIFS($S$2:S544,$A$2:A544,A544,$N$2:N544,"Explore*")</f>
        <v/>
      </c>
      <c r="AB544">
        <f>IF(AND(LEFT(N544,7)="Explore",(AA544-IF(LEFT(N544,7)="Explore",S544,0))&lt;10),"SI","NO")</f>
        <v/>
      </c>
    </row>
    <row r="545">
      <c r="A545" t="inlineStr">
        <is>
          <t>c5m4_training</t>
        </is>
      </c>
      <c r="B545" t="inlineStr">
        <is>
          <t>2026-02-20 11:17:23.228</t>
        </is>
      </c>
      <c r="C545" t="n">
        <v/>
      </c>
      <c r="D545" t="inlineStr">
        <is>
          <t>Media file</t>
        </is>
      </c>
      <c r="E545" t="inlineStr">
        <is>
          <t>player #1:BTBR\training\c5m4.mp4</t>
        </is>
      </c>
      <c r="F545" t="n">
        <v>-9.667</v>
      </c>
      <c r="G545" t="n">
        <v>584.066</v>
      </c>
      <c r="H545" t="n">
        <v>642.433</v>
      </c>
      <c r="I545" t="n">
        <v>30</v>
      </c>
      <c r="J545" t="inlineStr">
        <is>
          <t>BTBR</t>
        </is>
      </c>
      <c r="K545" t="inlineStr">
        <is>
          <t>Male</t>
        </is>
      </c>
      <c r="L545" t="inlineStr">
        <is>
          <t>No focal subject</t>
        </is>
      </c>
      <c r="M545" t="n">
        <v>65.768</v>
      </c>
      <c r="N545" t="inlineStr">
        <is>
          <t>Explore_F</t>
        </is>
      </c>
      <c r="O545" t="inlineStr">
        <is>
          <t>Familiar</t>
        </is>
      </c>
      <c r="P545" t="inlineStr">
        <is>
          <t>STATE</t>
        </is>
      </c>
      <c r="Q545" t="n">
        <v>79.233</v>
      </c>
      <c r="R545" t="n">
        <v>79.666</v>
      </c>
      <c r="S545" t="n">
        <v>0.433</v>
      </c>
      <c r="T545" t="inlineStr">
        <is>
          <t>BTBR\training\c5m4.mp4</t>
        </is>
      </c>
      <c r="U545" t="n">
        <v>2377</v>
      </c>
      <c r="V545" t="n">
        <v>2390</v>
      </c>
      <c r="W545" t="n">
        <v/>
      </c>
      <c r="X545" t="n">
        <v/>
      </c>
      <c r="Y545" t="n">
        <v/>
      </c>
      <c r="Z545" t="n">
        <v/>
      </c>
      <c r="AA545">
        <f>SUMIFS($S$2:S545,$A$2:A545,A545,$N$2:N545,"Explore*")</f>
        <v/>
      </c>
      <c r="AB545">
        <f>IF(AND(LEFT(N545,7)="Explore",(AA545-IF(LEFT(N545,7)="Explore",S545,0))&lt;10),"SI","NO")</f>
        <v/>
      </c>
    </row>
    <row r="546">
      <c r="A546" t="inlineStr">
        <is>
          <t>c5m4_training</t>
        </is>
      </c>
      <c r="B546" t="inlineStr">
        <is>
          <t>2026-02-20 11:17:23.228</t>
        </is>
      </c>
      <c r="C546" t="n">
        <v/>
      </c>
      <c r="D546" t="inlineStr">
        <is>
          <t>Media file</t>
        </is>
      </c>
      <c r="E546" t="inlineStr">
        <is>
          <t>player #1:BTBR\training\c5m4.mp4</t>
        </is>
      </c>
      <c r="F546" t="n">
        <v>-9.667</v>
      </c>
      <c r="G546" t="n">
        <v>584.066</v>
      </c>
      <c r="H546" t="n">
        <v>642.433</v>
      </c>
      <c r="I546" t="n">
        <v>30</v>
      </c>
      <c r="J546" t="inlineStr">
        <is>
          <t>BTBR</t>
        </is>
      </c>
      <c r="K546" t="inlineStr">
        <is>
          <t>Male</t>
        </is>
      </c>
      <c r="L546" t="inlineStr">
        <is>
          <t>No focal subject</t>
        </is>
      </c>
      <c r="M546" t="n">
        <v>65.768</v>
      </c>
      <c r="N546" t="inlineStr">
        <is>
          <t>Explore_F2</t>
        </is>
      </c>
      <c r="O546" t="inlineStr">
        <is>
          <t>Second familiar</t>
        </is>
      </c>
      <c r="P546" t="inlineStr">
        <is>
          <t>STATE</t>
        </is>
      </c>
      <c r="Q546" t="n">
        <v>83.833</v>
      </c>
      <c r="R546" t="n">
        <v>84.733</v>
      </c>
      <c r="S546" t="n">
        <v>0.9</v>
      </c>
      <c r="T546" t="inlineStr">
        <is>
          <t>BTBR\training\c5m4.mp4</t>
        </is>
      </c>
      <c r="U546" t="n">
        <v>2515</v>
      </c>
      <c r="V546" t="n">
        <v>2542</v>
      </c>
      <c r="W546" t="n">
        <v/>
      </c>
      <c r="X546" t="n">
        <v/>
      </c>
      <c r="Y546" t="n">
        <v/>
      </c>
      <c r="Z546" t="n">
        <v/>
      </c>
      <c r="AA546">
        <f>SUMIFS($S$2:S546,$A$2:A546,A546,$N$2:N546,"Explore*")</f>
        <v/>
      </c>
      <c r="AB546">
        <f>IF(AND(LEFT(N546,7)="Explore",(AA546-IF(LEFT(N546,7)="Explore",S546,0))&lt;10),"SI","NO")</f>
        <v/>
      </c>
    </row>
    <row r="547">
      <c r="A547" t="inlineStr">
        <is>
          <t>c5m4_training</t>
        </is>
      </c>
      <c r="B547" t="inlineStr">
        <is>
          <t>2026-02-20 11:17:23.228</t>
        </is>
      </c>
      <c r="C547" t="n">
        <v/>
      </c>
      <c r="D547" t="inlineStr">
        <is>
          <t>Media file</t>
        </is>
      </c>
      <c r="E547" t="inlineStr">
        <is>
          <t>player #1:BTBR\training\c5m4.mp4</t>
        </is>
      </c>
      <c r="F547" t="n">
        <v>-9.667</v>
      </c>
      <c r="G547" t="n">
        <v>584.066</v>
      </c>
      <c r="H547" t="n">
        <v>642.433</v>
      </c>
      <c r="I547" t="n">
        <v>30</v>
      </c>
      <c r="J547" t="inlineStr">
        <is>
          <t>BTBR</t>
        </is>
      </c>
      <c r="K547" t="inlineStr">
        <is>
          <t>Male</t>
        </is>
      </c>
      <c r="L547" t="inlineStr">
        <is>
          <t>No focal subject</t>
        </is>
      </c>
      <c r="M547" t="n">
        <v>65.768</v>
      </c>
      <c r="N547" t="inlineStr">
        <is>
          <t>Explore_F</t>
        </is>
      </c>
      <c r="O547" t="inlineStr">
        <is>
          <t>Familiar</t>
        </is>
      </c>
      <c r="P547" t="inlineStr">
        <is>
          <t>STATE</t>
        </is>
      </c>
      <c r="Q547" t="n">
        <v>87.033</v>
      </c>
      <c r="R547" t="n">
        <v>87.566</v>
      </c>
      <c r="S547" t="n">
        <v>0.533</v>
      </c>
      <c r="T547" t="inlineStr">
        <is>
          <t>BTBR\training\c5m4.mp4</t>
        </is>
      </c>
      <c r="U547" t="n">
        <v>2612</v>
      </c>
      <c r="V547" t="n">
        <v>2627</v>
      </c>
      <c r="W547" t="n">
        <v/>
      </c>
      <c r="X547" t="n">
        <v/>
      </c>
      <c r="Y547" t="n">
        <v/>
      </c>
      <c r="Z547" t="n">
        <v/>
      </c>
      <c r="AA547">
        <f>SUMIFS($S$2:S547,$A$2:A547,A547,$N$2:N547,"Explore*")</f>
        <v/>
      </c>
      <c r="AB547">
        <f>IF(AND(LEFT(N547,7)="Explore",(AA547-IF(LEFT(N547,7)="Explore",S547,0))&lt;10),"SI","NO")</f>
        <v/>
      </c>
    </row>
    <row r="548">
      <c r="A548" t="inlineStr">
        <is>
          <t>c5m4_training</t>
        </is>
      </c>
      <c r="B548" t="inlineStr">
        <is>
          <t>2026-02-20 11:17:23.228</t>
        </is>
      </c>
      <c r="C548" t="n">
        <v/>
      </c>
      <c r="D548" t="inlineStr">
        <is>
          <t>Media file</t>
        </is>
      </c>
      <c r="E548" t="inlineStr">
        <is>
          <t>player #1:BTBR\training\c5m4.mp4</t>
        </is>
      </c>
      <c r="F548" t="n">
        <v>-9.667</v>
      </c>
      <c r="G548" t="n">
        <v>584.066</v>
      </c>
      <c r="H548" t="n">
        <v>642.433</v>
      </c>
      <c r="I548" t="n">
        <v>30</v>
      </c>
      <c r="J548" t="inlineStr">
        <is>
          <t>BTBR</t>
        </is>
      </c>
      <c r="K548" t="inlineStr">
        <is>
          <t>Male</t>
        </is>
      </c>
      <c r="L548" t="inlineStr">
        <is>
          <t>No focal subject</t>
        </is>
      </c>
      <c r="M548" t="n">
        <v>65.768</v>
      </c>
      <c r="N548" t="inlineStr">
        <is>
          <t>Explore_F</t>
        </is>
      </c>
      <c r="O548" t="inlineStr">
        <is>
          <t>Familiar</t>
        </is>
      </c>
      <c r="P548" t="inlineStr">
        <is>
          <t>STATE</t>
        </is>
      </c>
      <c r="Q548" t="n">
        <v>88.43300000000001</v>
      </c>
      <c r="R548" t="n">
        <v>90.166</v>
      </c>
      <c r="S548" t="n">
        <v>1.733</v>
      </c>
      <c r="T548" t="inlineStr">
        <is>
          <t>BTBR\training\c5m4.mp4</t>
        </is>
      </c>
      <c r="U548" t="n">
        <v>2653</v>
      </c>
      <c r="V548" t="n">
        <v>2705</v>
      </c>
      <c r="W548" t="n">
        <v/>
      </c>
      <c r="X548" t="n">
        <v/>
      </c>
      <c r="Y548" t="n">
        <v/>
      </c>
      <c r="Z548" t="n">
        <v/>
      </c>
      <c r="AA548">
        <f>SUMIFS($S$2:S548,$A$2:A548,A548,$N$2:N548,"Explore*")</f>
        <v/>
      </c>
      <c r="AB548">
        <f>IF(AND(LEFT(N548,7)="Explore",(AA548-IF(LEFT(N548,7)="Explore",S548,0))&lt;10),"SI","NO")</f>
        <v/>
      </c>
    </row>
    <row r="549">
      <c r="A549" t="inlineStr">
        <is>
          <t>c5m4_training</t>
        </is>
      </c>
      <c r="B549" t="inlineStr">
        <is>
          <t>2026-02-20 11:17:23.228</t>
        </is>
      </c>
      <c r="C549" t="n">
        <v/>
      </c>
      <c r="D549" t="inlineStr">
        <is>
          <t>Media file</t>
        </is>
      </c>
      <c r="E549" t="inlineStr">
        <is>
          <t>player #1:BTBR\training\c5m4.mp4</t>
        </is>
      </c>
      <c r="F549" t="n">
        <v>-9.667</v>
      </c>
      <c r="G549" t="n">
        <v>584.066</v>
      </c>
      <c r="H549" t="n">
        <v>642.433</v>
      </c>
      <c r="I549" t="n">
        <v>30</v>
      </c>
      <c r="J549" t="inlineStr">
        <is>
          <t>BTBR</t>
        </is>
      </c>
      <c r="K549" t="inlineStr">
        <is>
          <t>Male</t>
        </is>
      </c>
      <c r="L549" t="inlineStr">
        <is>
          <t>No focal subject</t>
        </is>
      </c>
      <c r="M549" t="n">
        <v>65.768</v>
      </c>
      <c r="N549" t="inlineStr">
        <is>
          <t>Explore_F2</t>
        </is>
      </c>
      <c r="O549" t="inlineStr">
        <is>
          <t>Second familiar</t>
        </is>
      </c>
      <c r="P549" t="inlineStr">
        <is>
          <t>STATE</t>
        </is>
      </c>
      <c r="Q549" t="n">
        <v>96.3</v>
      </c>
      <c r="R549" t="n">
        <v>96.733</v>
      </c>
      <c r="S549" t="n">
        <v>0.433</v>
      </c>
      <c r="T549" t="inlineStr">
        <is>
          <t>BTBR\training\c5m4.mp4</t>
        </is>
      </c>
      <c r="U549" t="n">
        <v>2889</v>
      </c>
      <c r="V549" t="n">
        <v>2902</v>
      </c>
      <c r="W549" t="n">
        <v/>
      </c>
      <c r="X549" t="n">
        <v/>
      </c>
      <c r="Y549" t="n">
        <v/>
      </c>
      <c r="Z549" t="n">
        <v/>
      </c>
      <c r="AA549">
        <f>SUMIFS($S$2:S549,$A$2:A549,A549,$N$2:N549,"Explore*")</f>
        <v/>
      </c>
      <c r="AB549">
        <f>IF(AND(LEFT(N549,7)="Explore",(AA549-IF(LEFT(N549,7)="Explore",S549,0))&lt;10),"SI","NO")</f>
        <v/>
      </c>
    </row>
    <row r="550">
      <c r="A550" t="inlineStr">
        <is>
          <t>c5m4_training</t>
        </is>
      </c>
      <c r="B550" t="inlineStr">
        <is>
          <t>2026-02-20 11:17:23.228</t>
        </is>
      </c>
      <c r="C550" t="n">
        <v/>
      </c>
      <c r="D550" t="inlineStr">
        <is>
          <t>Media file</t>
        </is>
      </c>
      <c r="E550" t="inlineStr">
        <is>
          <t>player #1:BTBR\training\c5m4.mp4</t>
        </is>
      </c>
      <c r="F550" t="n">
        <v>-9.667</v>
      </c>
      <c r="G550" t="n">
        <v>584.066</v>
      </c>
      <c r="H550" t="n">
        <v>642.433</v>
      </c>
      <c r="I550" t="n">
        <v>30</v>
      </c>
      <c r="J550" t="inlineStr">
        <is>
          <t>BTBR</t>
        </is>
      </c>
      <c r="K550" t="inlineStr">
        <is>
          <t>Male</t>
        </is>
      </c>
      <c r="L550" t="inlineStr">
        <is>
          <t>No focal subject</t>
        </is>
      </c>
      <c r="M550" t="n">
        <v>65.768</v>
      </c>
      <c r="N550" t="inlineStr">
        <is>
          <t>Explore_F2</t>
        </is>
      </c>
      <c r="O550" t="inlineStr">
        <is>
          <t>Second familiar</t>
        </is>
      </c>
      <c r="P550" t="inlineStr">
        <is>
          <t>STATE</t>
        </is>
      </c>
      <c r="Q550" t="n">
        <v>112.5</v>
      </c>
      <c r="R550" t="n">
        <v>113.8</v>
      </c>
      <c r="S550" t="n">
        <v>1.3</v>
      </c>
      <c r="T550" t="inlineStr">
        <is>
          <t>BTBR\training\c5m4.mp4</t>
        </is>
      </c>
      <c r="U550" t="n">
        <v>3377</v>
      </c>
      <c r="V550" t="n">
        <v>3414</v>
      </c>
      <c r="W550" t="n">
        <v/>
      </c>
      <c r="X550" t="n">
        <v/>
      </c>
      <c r="Y550" t="n">
        <v/>
      </c>
      <c r="Z550" t="n">
        <v/>
      </c>
      <c r="AA550">
        <f>SUMIFS($S$2:S550,$A$2:A550,A550,$N$2:N550,"Explore*")</f>
        <v/>
      </c>
      <c r="AB550">
        <f>IF(AND(LEFT(N550,7)="Explore",(AA550-IF(LEFT(N550,7)="Explore",S550,0))&lt;10),"SI","NO")</f>
        <v/>
      </c>
    </row>
    <row r="551">
      <c r="A551" t="inlineStr">
        <is>
          <t>c5m4_training</t>
        </is>
      </c>
      <c r="B551" t="inlineStr">
        <is>
          <t>2026-02-20 11:17:23.228</t>
        </is>
      </c>
      <c r="C551" t="n">
        <v/>
      </c>
      <c r="D551" t="inlineStr">
        <is>
          <t>Media file</t>
        </is>
      </c>
      <c r="E551" t="inlineStr">
        <is>
          <t>player #1:BTBR\training\c5m4.mp4</t>
        </is>
      </c>
      <c r="F551" t="n">
        <v>-9.667</v>
      </c>
      <c r="G551" t="n">
        <v>584.066</v>
      </c>
      <c r="H551" t="n">
        <v>642.433</v>
      </c>
      <c r="I551" t="n">
        <v>30</v>
      </c>
      <c r="J551" t="inlineStr">
        <is>
          <t>BTBR</t>
        </is>
      </c>
      <c r="K551" t="inlineStr">
        <is>
          <t>Male</t>
        </is>
      </c>
      <c r="L551" t="inlineStr">
        <is>
          <t>No focal subject</t>
        </is>
      </c>
      <c r="M551" t="n">
        <v>65.768</v>
      </c>
      <c r="N551" t="inlineStr">
        <is>
          <t>Explore_F</t>
        </is>
      </c>
      <c r="O551" t="inlineStr">
        <is>
          <t>Familiar</t>
        </is>
      </c>
      <c r="P551" t="inlineStr">
        <is>
          <t>STATE</t>
        </is>
      </c>
      <c r="Q551" t="n">
        <v>115.566</v>
      </c>
      <c r="R551" t="n">
        <v>117.333</v>
      </c>
      <c r="S551" t="n">
        <v>1.767</v>
      </c>
      <c r="T551" t="inlineStr">
        <is>
          <t>BTBR\training\c5m4.mp4</t>
        </is>
      </c>
      <c r="U551" t="n">
        <v>3467</v>
      </c>
      <c r="V551" t="n">
        <v>3520</v>
      </c>
      <c r="W551" t="n">
        <v/>
      </c>
      <c r="X551" t="n">
        <v/>
      </c>
      <c r="Y551" t="n">
        <v/>
      </c>
      <c r="Z551" t="n">
        <v/>
      </c>
      <c r="AA551">
        <f>SUMIFS($S$2:S551,$A$2:A551,A551,$N$2:N551,"Explore*")</f>
        <v/>
      </c>
      <c r="AB551">
        <f>IF(AND(LEFT(N551,7)="Explore",(AA551-IF(LEFT(N551,7)="Explore",S551,0))&lt;10),"SI","NO")</f>
        <v/>
      </c>
    </row>
    <row r="552">
      <c r="A552" t="inlineStr">
        <is>
          <t>c5m4_training</t>
        </is>
      </c>
      <c r="B552" t="inlineStr">
        <is>
          <t>2026-02-20 11:17:23.228</t>
        </is>
      </c>
      <c r="C552" t="n">
        <v/>
      </c>
      <c r="D552" t="inlineStr">
        <is>
          <t>Media file</t>
        </is>
      </c>
      <c r="E552" t="inlineStr">
        <is>
          <t>player #1:BTBR\training\c5m4.mp4</t>
        </is>
      </c>
      <c r="F552" t="n">
        <v>-9.667</v>
      </c>
      <c r="G552" t="n">
        <v>584.066</v>
      </c>
      <c r="H552" t="n">
        <v>642.433</v>
      </c>
      <c r="I552" t="n">
        <v>30</v>
      </c>
      <c r="J552" t="inlineStr">
        <is>
          <t>BTBR</t>
        </is>
      </c>
      <c r="K552" t="inlineStr">
        <is>
          <t>Male</t>
        </is>
      </c>
      <c r="L552" t="inlineStr">
        <is>
          <t>No focal subject</t>
        </is>
      </c>
      <c r="M552" t="n">
        <v>65.768</v>
      </c>
      <c r="N552" t="inlineStr">
        <is>
          <t>Explore_F2</t>
        </is>
      </c>
      <c r="O552" t="inlineStr">
        <is>
          <t>Second familiar</t>
        </is>
      </c>
      <c r="P552" t="inlineStr">
        <is>
          <t>STATE</t>
        </is>
      </c>
      <c r="Q552" t="n">
        <v>130.566</v>
      </c>
      <c r="R552" t="n">
        <v>131.133</v>
      </c>
      <c r="S552" t="n">
        <v>0.5669999999999999</v>
      </c>
      <c r="T552" t="inlineStr">
        <is>
          <t>BTBR\training\c5m4.mp4</t>
        </is>
      </c>
      <c r="U552" t="n">
        <v>3917</v>
      </c>
      <c r="V552" t="n">
        <v>3934</v>
      </c>
      <c r="W552" t="n">
        <v/>
      </c>
      <c r="X552" t="n">
        <v/>
      </c>
      <c r="Y552" t="n">
        <v/>
      </c>
      <c r="Z552" t="n">
        <v/>
      </c>
      <c r="AA552">
        <f>SUMIFS($S$2:S552,$A$2:A552,A552,$N$2:N552,"Explore*")</f>
        <v/>
      </c>
      <c r="AB552">
        <f>IF(AND(LEFT(N552,7)="Explore",(AA552-IF(LEFT(N552,7)="Explore",S552,0))&lt;10),"SI","NO")</f>
        <v/>
      </c>
    </row>
    <row r="553">
      <c r="A553" t="inlineStr">
        <is>
          <t>c5m4_training</t>
        </is>
      </c>
      <c r="B553" t="inlineStr">
        <is>
          <t>2026-02-20 11:17:23.228</t>
        </is>
      </c>
      <c r="C553" t="n">
        <v/>
      </c>
      <c r="D553" t="inlineStr">
        <is>
          <t>Media file</t>
        </is>
      </c>
      <c r="E553" t="inlineStr">
        <is>
          <t>player #1:BTBR\training\c5m4.mp4</t>
        </is>
      </c>
      <c r="F553" t="n">
        <v>-9.667</v>
      </c>
      <c r="G553" t="n">
        <v>584.066</v>
      </c>
      <c r="H553" t="n">
        <v>642.433</v>
      </c>
      <c r="I553" t="n">
        <v>30</v>
      </c>
      <c r="J553" t="inlineStr">
        <is>
          <t>BTBR</t>
        </is>
      </c>
      <c r="K553" t="inlineStr">
        <is>
          <t>Male</t>
        </is>
      </c>
      <c r="L553" t="inlineStr">
        <is>
          <t>No focal subject</t>
        </is>
      </c>
      <c r="M553" t="n">
        <v>65.768</v>
      </c>
      <c r="N553" t="inlineStr">
        <is>
          <t>Explore_F</t>
        </is>
      </c>
      <c r="O553" t="inlineStr">
        <is>
          <t>Familiar</t>
        </is>
      </c>
      <c r="P553" t="inlineStr">
        <is>
          <t>STATE</t>
        </is>
      </c>
      <c r="Q553" t="n">
        <v>133.4</v>
      </c>
      <c r="R553" t="n">
        <v>134.2</v>
      </c>
      <c r="S553" t="n">
        <v>0.8</v>
      </c>
      <c r="T553" t="inlineStr">
        <is>
          <t>BTBR\training\c5m4.mp4</t>
        </is>
      </c>
      <c r="U553" t="n">
        <v>4002</v>
      </c>
      <c r="V553" t="n">
        <v>4026</v>
      </c>
      <c r="W553" t="n">
        <v/>
      </c>
      <c r="X553" t="n">
        <v/>
      </c>
      <c r="Y553" t="n">
        <v/>
      </c>
      <c r="Z553" t="n">
        <v/>
      </c>
      <c r="AA553">
        <f>SUMIFS($S$2:S553,$A$2:A553,A553,$N$2:N553,"Explore*")</f>
        <v/>
      </c>
      <c r="AB553">
        <f>IF(AND(LEFT(N553,7)="Explore",(AA553-IF(LEFT(N553,7)="Explore",S553,0))&lt;10),"SI","NO")</f>
        <v/>
      </c>
    </row>
    <row r="554">
      <c r="A554" t="inlineStr">
        <is>
          <t>c5m4_training</t>
        </is>
      </c>
      <c r="B554" t="inlineStr">
        <is>
          <t>2026-02-20 11:17:23.228</t>
        </is>
      </c>
      <c r="C554" t="n">
        <v/>
      </c>
      <c r="D554" t="inlineStr">
        <is>
          <t>Media file</t>
        </is>
      </c>
      <c r="E554" t="inlineStr">
        <is>
          <t>player #1:BTBR\training\c5m4.mp4</t>
        </is>
      </c>
      <c r="F554" t="n">
        <v>-9.667</v>
      </c>
      <c r="G554" t="n">
        <v>584.066</v>
      </c>
      <c r="H554" t="n">
        <v>642.433</v>
      </c>
      <c r="I554" t="n">
        <v>30</v>
      </c>
      <c r="J554" t="inlineStr">
        <is>
          <t>BTBR</t>
        </is>
      </c>
      <c r="K554" t="inlineStr">
        <is>
          <t>Male</t>
        </is>
      </c>
      <c r="L554" t="inlineStr">
        <is>
          <t>No focal subject</t>
        </is>
      </c>
      <c r="M554" t="n">
        <v>65.768</v>
      </c>
      <c r="N554" t="inlineStr">
        <is>
          <t>Explore_F2</t>
        </is>
      </c>
      <c r="O554" t="inlineStr">
        <is>
          <t>Second familiar</t>
        </is>
      </c>
      <c r="P554" t="inlineStr">
        <is>
          <t>STATE</t>
        </is>
      </c>
      <c r="Q554" t="n">
        <v>135.933</v>
      </c>
      <c r="R554" t="n">
        <v>136.8</v>
      </c>
      <c r="S554" t="n">
        <v>0.867</v>
      </c>
      <c r="T554" t="inlineStr">
        <is>
          <t>BTBR\training\c5m4.mp4</t>
        </is>
      </c>
      <c r="U554" t="n">
        <v>4078</v>
      </c>
      <c r="V554" t="n">
        <v>4104</v>
      </c>
      <c r="W554" t="n">
        <v/>
      </c>
      <c r="X554" t="n">
        <v/>
      </c>
      <c r="Y554" t="n">
        <v/>
      </c>
      <c r="Z554" t="n">
        <v/>
      </c>
      <c r="AA554">
        <f>SUMIFS($S$2:S554,$A$2:A554,A554,$N$2:N554,"Explore*")</f>
        <v/>
      </c>
      <c r="AB554">
        <f>IF(AND(LEFT(N554,7)="Explore",(AA554-IF(LEFT(N554,7)="Explore",S554,0))&lt;10),"SI","NO")</f>
        <v/>
      </c>
    </row>
    <row r="555">
      <c r="A555" t="inlineStr">
        <is>
          <t>c5m4_training</t>
        </is>
      </c>
      <c r="B555" t="inlineStr">
        <is>
          <t>2026-02-20 11:17:23.228</t>
        </is>
      </c>
      <c r="C555" t="n">
        <v/>
      </c>
      <c r="D555" t="inlineStr">
        <is>
          <t>Media file</t>
        </is>
      </c>
      <c r="E555" t="inlineStr">
        <is>
          <t>player #1:BTBR\training\c5m4.mp4</t>
        </is>
      </c>
      <c r="F555" t="n">
        <v>-9.667</v>
      </c>
      <c r="G555" t="n">
        <v>584.066</v>
      </c>
      <c r="H555" t="n">
        <v>642.433</v>
      </c>
      <c r="I555" t="n">
        <v>30</v>
      </c>
      <c r="J555" t="inlineStr">
        <is>
          <t>BTBR</t>
        </is>
      </c>
      <c r="K555" t="inlineStr">
        <is>
          <t>Male</t>
        </is>
      </c>
      <c r="L555" t="inlineStr">
        <is>
          <t>No focal subject</t>
        </is>
      </c>
      <c r="M555" t="n">
        <v>65.768</v>
      </c>
      <c r="N555" t="inlineStr">
        <is>
          <t>Explore_F2</t>
        </is>
      </c>
      <c r="O555" t="inlineStr">
        <is>
          <t>Second familiar</t>
        </is>
      </c>
      <c r="P555" t="inlineStr">
        <is>
          <t>STATE</t>
        </is>
      </c>
      <c r="Q555" t="n">
        <v>146</v>
      </c>
      <c r="R555" t="n">
        <v>147.1</v>
      </c>
      <c r="S555" t="n">
        <v>1.1</v>
      </c>
      <c r="T555" t="inlineStr">
        <is>
          <t>BTBR\training\c5m4.mp4</t>
        </is>
      </c>
      <c r="U555" t="n">
        <v>4382</v>
      </c>
      <c r="V555" t="n">
        <v>4413</v>
      </c>
      <c r="W555" t="n">
        <v/>
      </c>
      <c r="X555" t="n">
        <v/>
      </c>
      <c r="Y555" t="n">
        <v/>
      </c>
      <c r="Z555" t="n">
        <v/>
      </c>
      <c r="AA555">
        <f>SUMIFS($S$2:S555,$A$2:A555,A555,$N$2:N555,"Explore*")</f>
        <v/>
      </c>
      <c r="AB555">
        <f>IF(AND(LEFT(N555,7)="Explore",(AA555-IF(LEFT(N555,7)="Explore",S555,0))&lt;10),"SI","NO")</f>
        <v/>
      </c>
    </row>
    <row r="556">
      <c r="A556" t="inlineStr">
        <is>
          <t>c5m4_training</t>
        </is>
      </c>
      <c r="B556" t="inlineStr">
        <is>
          <t>2026-02-20 11:17:23.228</t>
        </is>
      </c>
      <c r="C556" t="n">
        <v/>
      </c>
      <c r="D556" t="inlineStr">
        <is>
          <t>Media file</t>
        </is>
      </c>
      <c r="E556" t="inlineStr">
        <is>
          <t>player #1:BTBR\training\c5m4.mp4</t>
        </is>
      </c>
      <c r="F556" t="n">
        <v>-9.667</v>
      </c>
      <c r="G556" t="n">
        <v>584.066</v>
      </c>
      <c r="H556" t="n">
        <v>642.433</v>
      </c>
      <c r="I556" t="n">
        <v>30</v>
      </c>
      <c r="J556" t="inlineStr">
        <is>
          <t>BTBR</t>
        </is>
      </c>
      <c r="K556" t="inlineStr">
        <is>
          <t>Male</t>
        </is>
      </c>
      <c r="L556" t="inlineStr">
        <is>
          <t>No focal subject</t>
        </is>
      </c>
      <c r="M556" t="n">
        <v>65.768</v>
      </c>
      <c r="N556" t="inlineStr">
        <is>
          <t>Explore_F2</t>
        </is>
      </c>
      <c r="O556" t="inlineStr">
        <is>
          <t>Second familiar</t>
        </is>
      </c>
      <c r="P556" t="inlineStr">
        <is>
          <t>STATE</t>
        </is>
      </c>
      <c r="Q556" t="n">
        <v>150.4</v>
      </c>
      <c r="R556" t="n">
        <v>151.633</v>
      </c>
      <c r="S556" t="n">
        <v>1.233</v>
      </c>
      <c r="T556" t="inlineStr">
        <is>
          <t>BTBR\training\c5m4.mp4</t>
        </is>
      </c>
      <c r="U556" t="n">
        <v>4512</v>
      </c>
      <c r="V556" t="n">
        <v>4549</v>
      </c>
      <c r="W556" t="n">
        <v/>
      </c>
      <c r="X556" t="n">
        <v/>
      </c>
      <c r="Y556" t="n">
        <v/>
      </c>
      <c r="Z556" t="n">
        <v/>
      </c>
      <c r="AA556">
        <f>SUMIFS($S$2:S556,$A$2:A556,A556,$N$2:N556,"Explore*")</f>
        <v/>
      </c>
      <c r="AB556">
        <f>IF(AND(LEFT(N556,7)="Explore",(AA556-IF(LEFT(N556,7)="Explore",S556,0))&lt;10),"SI","NO")</f>
        <v/>
      </c>
    </row>
    <row r="557">
      <c r="A557" t="inlineStr">
        <is>
          <t>c5m4_training</t>
        </is>
      </c>
      <c r="B557" t="inlineStr">
        <is>
          <t>2026-02-20 11:17:23.228</t>
        </is>
      </c>
      <c r="C557" t="n">
        <v/>
      </c>
      <c r="D557" t="inlineStr">
        <is>
          <t>Media file</t>
        </is>
      </c>
      <c r="E557" t="inlineStr">
        <is>
          <t>player #1:BTBR\training\c5m4.mp4</t>
        </is>
      </c>
      <c r="F557" t="n">
        <v>-9.667</v>
      </c>
      <c r="G557" t="n">
        <v>584.066</v>
      </c>
      <c r="H557" t="n">
        <v>642.433</v>
      </c>
      <c r="I557" t="n">
        <v>30</v>
      </c>
      <c r="J557" t="inlineStr">
        <is>
          <t>BTBR</t>
        </is>
      </c>
      <c r="K557" t="inlineStr">
        <is>
          <t>Male</t>
        </is>
      </c>
      <c r="L557" t="inlineStr">
        <is>
          <t>No focal subject</t>
        </is>
      </c>
      <c r="M557" t="n">
        <v>65.768</v>
      </c>
      <c r="N557" t="inlineStr">
        <is>
          <t>Explore_F2</t>
        </is>
      </c>
      <c r="O557" t="inlineStr">
        <is>
          <t>Second familiar</t>
        </is>
      </c>
      <c r="P557" t="inlineStr">
        <is>
          <t>STATE</t>
        </is>
      </c>
      <c r="Q557" t="n">
        <v>158.866</v>
      </c>
      <c r="R557" t="n">
        <v>159.699</v>
      </c>
      <c r="S557" t="n">
        <v>0.833</v>
      </c>
      <c r="T557" t="inlineStr">
        <is>
          <t>BTBR\training\c5m4.mp4</t>
        </is>
      </c>
      <c r="U557" t="n">
        <v>4766</v>
      </c>
      <c r="V557" t="n">
        <v>4791</v>
      </c>
      <c r="W557" t="n">
        <v/>
      </c>
      <c r="X557" t="n">
        <v/>
      </c>
      <c r="Y557" t="n">
        <v/>
      </c>
      <c r="Z557" t="n">
        <v/>
      </c>
      <c r="AA557">
        <f>SUMIFS($S$2:S557,$A$2:A557,A557,$N$2:N557,"Explore*")</f>
        <v/>
      </c>
      <c r="AB557">
        <f>IF(AND(LEFT(N557,7)="Explore",(AA557-IF(LEFT(N557,7)="Explore",S557,0))&lt;10),"SI","NO")</f>
        <v/>
      </c>
    </row>
    <row r="558">
      <c r="A558" t="inlineStr">
        <is>
          <t>c5m4_training</t>
        </is>
      </c>
      <c r="B558" t="inlineStr">
        <is>
          <t>2026-02-20 11:17:23.228</t>
        </is>
      </c>
      <c r="C558" t="n">
        <v/>
      </c>
      <c r="D558" t="inlineStr">
        <is>
          <t>Media file</t>
        </is>
      </c>
      <c r="E558" t="inlineStr">
        <is>
          <t>player #1:BTBR\training\c5m4.mp4</t>
        </is>
      </c>
      <c r="F558" t="n">
        <v>-9.667</v>
      </c>
      <c r="G558" t="n">
        <v>584.066</v>
      </c>
      <c r="H558" t="n">
        <v>642.433</v>
      </c>
      <c r="I558" t="n">
        <v>30</v>
      </c>
      <c r="J558" t="inlineStr">
        <is>
          <t>BTBR</t>
        </is>
      </c>
      <c r="K558" t="inlineStr">
        <is>
          <t>Male</t>
        </is>
      </c>
      <c r="L558" t="inlineStr">
        <is>
          <t>No focal subject</t>
        </is>
      </c>
      <c r="M558" t="n">
        <v>65.768</v>
      </c>
      <c r="N558" t="inlineStr">
        <is>
          <t>Explore_F</t>
        </is>
      </c>
      <c r="O558" t="inlineStr">
        <is>
          <t>Familiar</t>
        </is>
      </c>
      <c r="P558" t="inlineStr">
        <is>
          <t>STATE</t>
        </is>
      </c>
      <c r="Q558" t="n">
        <v>160.833</v>
      </c>
      <c r="R558" t="n">
        <v>162.199</v>
      </c>
      <c r="S558" t="n">
        <v>1.366</v>
      </c>
      <c r="T558" t="inlineStr">
        <is>
          <t>BTBR\training\c5m4.mp4</t>
        </is>
      </c>
      <c r="U558" t="n">
        <v>4825</v>
      </c>
      <c r="V558" t="n">
        <v>4866</v>
      </c>
      <c r="W558" t="n">
        <v/>
      </c>
      <c r="X558" t="n">
        <v/>
      </c>
      <c r="Y558" t="n">
        <v/>
      </c>
      <c r="Z558" t="n">
        <v/>
      </c>
      <c r="AA558">
        <f>SUMIFS($S$2:S558,$A$2:A558,A558,$N$2:N558,"Explore*")</f>
        <v/>
      </c>
      <c r="AB558">
        <f>IF(AND(LEFT(N558,7)="Explore",(AA558-IF(LEFT(N558,7)="Explore",S558,0))&lt;10),"SI","NO")</f>
        <v/>
      </c>
    </row>
    <row r="559">
      <c r="A559" t="inlineStr">
        <is>
          <t>c5m4_training</t>
        </is>
      </c>
      <c r="B559" t="inlineStr">
        <is>
          <t>2026-02-20 11:17:23.228</t>
        </is>
      </c>
      <c r="C559" t="n">
        <v/>
      </c>
      <c r="D559" t="inlineStr">
        <is>
          <t>Media file</t>
        </is>
      </c>
      <c r="E559" t="inlineStr">
        <is>
          <t>player #1:BTBR\training\c5m4.mp4</t>
        </is>
      </c>
      <c r="F559" t="n">
        <v>-9.667</v>
      </c>
      <c r="G559" t="n">
        <v>584.066</v>
      </c>
      <c r="H559" t="n">
        <v>642.433</v>
      </c>
      <c r="I559" t="n">
        <v>30</v>
      </c>
      <c r="J559" t="inlineStr">
        <is>
          <t>BTBR</t>
        </is>
      </c>
      <c r="K559" t="inlineStr">
        <is>
          <t>Male</t>
        </is>
      </c>
      <c r="L559" t="inlineStr">
        <is>
          <t>No focal subject</t>
        </is>
      </c>
      <c r="M559" t="n">
        <v>65.768</v>
      </c>
      <c r="N559" t="inlineStr">
        <is>
          <t>Explore_F2</t>
        </is>
      </c>
      <c r="O559" t="inlineStr">
        <is>
          <t>Second familiar</t>
        </is>
      </c>
      <c r="P559" t="inlineStr">
        <is>
          <t>STATE</t>
        </is>
      </c>
      <c r="Q559" t="n">
        <v>164.499</v>
      </c>
      <c r="R559" t="n">
        <v>165.599</v>
      </c>
      <c r="S559" t="n">
        <v>1.1</v>
      </c>
      <c r="T559" t="inlineStr">
        <is>
          <t>BTBR\training\c5m4.mp4</t>
        </is>
      </c>
      <c r="U559" t="n">
        <v>4935</v>
      </c>
      <c r="V559" t="n">
        <v>4968</v>
      </c>
      <c r="W559" t="n">
        <v/>
      </c>
      <c r="X559" t="n">
        <v/>
      </c>
      <c r="Y559" t="n">
        <v/>
      </c>
      <c r="Z559" t="n">
        <v/>
      </c>
      <c r="AA559">
        <f>SUMIFS($S$2:S559,$A$2:A559,A559,$N$2:N559,"Explore*")</f>
        <v/>
      </c>
      <c r="AB559">
        <f>IF(AND(LEFT(N559,7)="Explore",(AA559-IF(LEFT(N559,7)="Explore",S559,0))&lt;10),"SI","NO")</f>
        <v/>
      </c>
    </row>
    <row r="560">
      <c r="A560" t="inlineStr">
        <is>
          <t>c5m4_training</t>
        </is>
      </c>
      <c r="B560" t="inlineStr">
        <is>
          <t>2026-02-20 11:17:23.228</t>
        </is>
      </c>
      <c r="C560" t="n">
        <v/>
      </c>
      <c r="D560" t="inlineStr">
        <is>
          <t>Media file</t>
        </is>
      </c>
      <c r="E560" t="inlineStr">
        <is>
          <t>player #1:BTBR\training\c5m4.mp4</t>
        </is>
      </c>
      <c r="F560" t="n">
        <v>-9.667</v>
      </c>
      <c r="G560" t="n">
        <v>584.066</v>
      </c>
      <c r="H560" t="n">
        <v>642.433</v>
      </c>
      <c r="I560" t="n">
        <v>30</v>
      </c>
      <c r="J560" t="inlineStr">
        <is>
          <t>BTBR</t>
        </is>
      </c>
      <c r="K560" t="inlineStr">
        <is>
          <t>Male</t>
        </is>
      </c>
      <c r="L560" t="inlineStr">
        <is>
          <t>No focal subject</t>
        </is>
      </c>
      <c r="M560" t="n">
        <v>65.768</v>
      </c>
      <c r="N560" t="inlineStr">
        <is>
          <t>Explore_F</t>
        </is>
      </c>
      <c r="O560" t="inlineStr">
        <is>
          <t>Familiar</t>
        </is>
      </c>
      <c r="P560" t="inlineStr">
        <is>
          <t>STATE</t>
        </is>
      </c>
      <c r="Q560" t="n">
        <v>167.699</v>
      </c>
      <c r="R560" t="n">
        <v>168.733</v>
      </c>
      <c r="S560" t="n">
        <v>1.034</v>
      </c>
      <c r="T560" t="inlineStr">
        <is>
          <t>BTBR\training\c5m4.mp4</t>
        </is>
      </c>
      <c r="U560" t="n">
        <v>5031</v>
      </c>
      <c r="V560" t="n">
        <v>5062</v>
      </c>
      <c r="W560" t="n">
        <v/>
      </c>
      <c r="X560" t="n">
        <v/>
      </c>
      <c r="Y560" t="n">
        <v/>
      </c>
      <c r="Z560" t="n">
        <v/>
      </c>
      <c r="AA560">
        <f>SUMIFS($S$2:S560,$A$2:A560,A560,$N$2:N560,"Explore*")</f>
        <v/>
      </c>
      <c r="AB560">
        <f>IF(AND(LEFT(N560,7)="Explore",(AA560-IF(LEFT(N560,7)="Explore",S560,0))&lt;10),"SI","NO")</f>
        <v/>
      </c>
    </row>
    <row r="561">
      <c r="A561" t="inlineStr">
        <is>
          <t>c5m4_training</t>
        </is>
      </c>
      <c r="B561" t="inlineStr">
        <is>
          <t>2026-02-20 11:17:23.228</t>
        </is>
      </c>
      <c r="C561" t="n">
        <v/>
      </c>
      <c r="D561" t="inlineStr">
        <is>
          <t>Media file</t>
        </is>
      </c>
      <c r="E561" t="inlineStr">
        <is>
          <t>player #1:BTBR\training\c5m4.mp4</t>
        </is>
      </c>
      <c r="F561" t="n">
        <v>-9.667</v>
      </c>
      <c r="G561" t="n">
        <v>584.066</v>
      </c>
      <c r="H561" t="n">
        <v>642.433</v>
      </c>
      <c r="I561" t="n">
        <v>30</v>
      </c>
      <c r="J561" t="inlineStr">
        <is>
          <t>BTBR</t>
        </is>
      </c>
      <c r="K561" t="inlineStr">
        <is>
          <t>Male</t>
        </is>
      </c>
      <c r="L561" t="inlineStr">
        <is>
          <t>No focal subject</t>
        </is>
      </c>
      <c r="M561" t="n">
        <v>65.768</v>
      </c>
      <c r="N561" t="inlineStr">
        <is>
          <t>Explore_F2</t>
        </is>
      </c>
      <c r="O561" t="inlineStr">
        <is>
          <t>Second familiar</t>
        </is>
      </c>
      <c r="P561" t="inlineStr">
        <is>
          <t>STATE</t>
        </is>
      </c>
      <c r="Q561" t="n">
        <v>170.499</v>
      </c>
      <c r="R561" t="n">
        <v>171.733</v>
      </c>
      <c r="S561" t="n">
        <v>1.234</v>
      </c>
      <c r="T561" t="inlineStr">
        <is>
          <t>BTBR\training\c5m4.mp4</t>
        </is>
      </c>
      <c r="U561" t="n">
        <v>5115</v>
      </c>
      <c r="V561" t="n">
        <v>5152</v>
      </c>
      <c r="W561" t="n">
        <v/>
      </c>
      <c r="X561" t="n">
        <v/>
      </c>
      <c r="Y561" t="n">
        <v/>
      </c>
      <c r="Z561" t="n">
        <v/>
      </c>
      <c r="AA561">
        <f>SUMIFS($S$2:S561,$A$2:A561,A561,$N$2:N561,"Explore*")</f>
        <v/>
      </c>
      <c r="AB561">
        <f>IF(AND(LEFT(N561,7)="Explore",(AA561-IF(LEFT(N561,7)="Explore",S561,0))&lt;10),"SI","NO")</f>
        <v/>
      </c>
    </row>
    <row r="562">
      <c r="A562" t="inlineStr">
        <is>
          <t>c5m4_training</t>
        </is>
      </c>
      <c r="B562" t="inlineStr">
        <is>
          <t>2026-02-20 11:17:23.228</t>
        </is>
      </c>
      <c r="C562" t="n">
        <v/>
      </c>
      <c r="D562" t="inlineStr">
        <is>
          <t>Media file</t>
        </is>
      </c>
      <c r="E562" t="inlineStr">
        <is>
          <t>player #1:BTBR\training\c5m4.mp4</t>
        </is>
      </c>
      <c r="F562" t="n">
        <v>-9.667</v>
      </c>
      <c r="G562" t="n">
        <v>584.066</v>
      </c>
      <c r="H562" t="n">
        <v>642.433</v>
      </c>
      <c r="I562" t="n">
        <v>30</v>
      </c>
      <c r="J562" t="inlineStr">
        <is>
          <t>BTBR</t>
        </is>
      </c>
      <c r="K562" t="inlineStr">
        <is>
          <t>Male</t>
        </is>
      </c>
      <c r="L562" t="inlineStr">
        <is>
          <t>No focal subject</t>
        </is>
      </c>
      <c r="M562" t="n">
        <v>65.768</v>
      </c>
      <c r="N562" t="inlineStr">
        <is>
          <t>Explore_F</t>
        </is>
      </c>
      <c r="O562" t="inlineStr">
        <is>
          <t>Familiar</t>
        </is>
      </c>
      <c r="P562" t="inlineStr">
        <is>
          <t>STATE</t>
        </is>
      </c>
      <c r="Q562" t="n">
        <v>172.866</v>
      </c>
      <c r="R562" t="n">
        <v>174.566</v>
      </c>
      <c r="S562" t="n">
        <v>1.7</v>
      </c>
      <c r="T562" t="inlineStr">
        <is>
          <t>BTBR\training\c5m4.mp4</t>
        </is>
      </c>
      <c r="U562" t="n">
        <v>5186</v>
      </c>
      <c r="V562" t="n">
        <v>5237</v>
      </c>
      <c r="W562" t="n">
        <v/>
      </c>
      <c r="X562" t="n">
        <v/>
      </c>
      <c r="Y562" t="n">
        <v/>
      </c>
      <c r="Z562" t="n">
        <v/>
      </c>
      <c r="AA562">
        <f>SUMIFS($S$2:S562,$A$2:A562,A562,$N$2:N562,"Explore*")</f>
        <v/>
      </c>
      <c r="AB562">
        <f>IF(AND(LEFT(N562,7)="Explore",(AA562-IF(LEFT(N562,7)="Explore",S562,0))&lt;10),"SI","NO")</f>
        <v/>
      </c>
    </row>
    <row r="563">
      <c r="A563" t="inlineStr">
        <is>
          <t>c5m4_training</t>
        </is>
      </c>
      <c r="B563" t="inlineStr">
        <is>
          <t>2026-02-20 11:17:23.228</t>
        </is>
      </c>
      <c r="C563" t="n">
        <v/>
      </c>
      <c r="D563" t="inlineStr">
        <is>
          <t>Media file</t>
        </is>
      </c>
      <c r="E563" t="inlineStr">
        <is>
          <t>player #1:BTBR\training\c5m4.mp4</t>
        </is>
      </c>
      <c r="F563" t="n">
        <v>-9.667</v>
      </c>
      <c r="G563" t="n">
        <v>584.066</v>
      </c>
      <c r="H563" t="n">
        <v>642.433</v>
      </c>
      <c r="I563" t="n">
        <v>30</v>
      </c>
      <c r="J563" t="inlineStr">
        <is>
          <t>BTBR</t>
        </is>
      </c>
      <c r="K563" t="inlineStr">
        <is>
          <t>Male</t>
        </is>
      </c>
      <c r="L563" t="inlineStr">
        <is>
          <t>No focal subject</t>
        </is>
      </c>
      <c r="M563" t="n">
        <v>65.768</v>
      </c>
      <c r="N563" t="inlineStr">
        <is>
          <t>Explore_F2</t>
        </is>
      </c>
      <c r="O563" t="inlineStr">
        <is>
          <t>Second familiar</t>
        </is>
      </c>
      <c r="P563" t="inlineStr">
        <is>
          <t>STATE</t>
        </is>
      </c>
      <c r="Q563" t="n">
        <v>186.366</v>
      </c>
      <c r="R563" t="n">
        <v>187.499</v>
      </c>
      <c r="S563" t="n">
        <v>1.133</v>
      </c>
      <c r="T563" t="inlineStr">
        <is>
          <t>BTBR\training\c5m4.mp4</t>
        </is>
      </c>
      <c r="U563" t="n">
        <v>5591</v>
      </c>
      <c r="V563" t="n">
        <v>5625</v>
      </c>
      <c r="W563" t="n">
        <v/>
      </c>
      <c r="X563" t="n">
        <v/>
      </c>
      <c r="Y563" t="n">
        <v/>
      </c>
      <c r="Z563" t="n">
        <v/>
      </c>
      <c r="AA563">
        <f>SUMIFS($S$2:S563,$A$2:A563,A563,$N$2:N563,"Explore*")</f>
        <v/>
      </c>
      <c r="AB563">
        <f>IF(AND(LEFT(N563,7)="Explore",(AA563-IF(LEFT(N563,7)="Explore",S563,0))&lt;10),"SI","NO")</f>
        <v/>
      </c>
    </row>
    <row r="564">
      <c r="A564" t="inlineStr">
        <is>
          <t>c5m4_training</t>
        </is>
      </c>
      <c r="B564" t="inlineStr">
        <is>
          <t>2026-02-20 11:17:23.228</t>
        </is>
      </c>
      <c r="C564" t="n">
        <v/>
      </c>
      <c r="D564" t="inlineStr">
        <is>
          <t>Media file</t>
        </is>
      </c>
      <c r="E564" t="inlineStr">
        <is>
          <t>player #1:BTBR\training\c5m4.mp4</t>
        </is>
      </c>
      <c r="F564" t="n">
        <v>-9.667</v>
      </c>
      <c r="G564" t="n">
        <v>584.066</v>
      </c>
      <c r="H564" t="n">
        <v>642.433</v>
      </c>
      <c r="I564" t="n">
        <v>30</v>
      </c>
      <c r="J564" t="inlineStr">
        <is>
          <t>BTBR</t>
        </is>
      </c>
      <c r="K564" t="inlineStr">
        <is>
          <t>Male</t>
        </is>
      </c>
      <c r="L564" t="inlineStr">
        <is>
          <t>No focal subject</t>
        </is>
      </c>
      <c r="M564" t="n">
        <v>65.768</v>
      </c>
      <c r="N564" t="inlineStr">
        <is>
          <t>Explore_F</t>
        </is>
      </c>
      <c r="O564" t="inlineStr">
        <is>
          <t>Familiar</t>
        </is>
      </c>
      <c r="P564" t="inlineStr">
        <is>
          <t>STATE</t>
        </is>
      </c>
      <c r="Q564" t="n">
        <v>192.233</v>
      </c>
      <c r="R564" t="n">
        <v>193.666</v>
      </c>
      <c r="S564" t="n">
        <v>1.433</v>
      </c>
      <c r="T564" t="inlineStr">
        <is>
          <t>BTBR\training\c5m4.mp4</t>
        </is>
      </c>
      <c r="U564" t="n">
        <v>5767</v>
      </c>
      <c r="V564" t="n">
        <v>5810</v>
      </c>
      <c r="W564" t="n">
        <v/>
      </c>
      <c r="X564" t="n">
        <v/>
      </c>
      <c r="Y564" t="n">
        <v/>
      </c>
      <c r="Z564" t="n">
        <v/>
      </c>
      <c r="AA564">
        <f>SUMIFS($S$2:S564,$A$2:A564,A564,$N$2:N564,"Explore*")</f>
        <v/>
      </c>
      <c r="AB564">
        <f>IF(AND(LEFT(N564,7)="Explore",(AA564-IF(LEFT(N564,7)="Explore",S564,0))&lt;10),"SI","NO")</f>
        <v/>
      </c>
    </row>
    <row r="565">
      <c r="A565" t="inlineStr">
        <is>
          <t>c5m4_training</t>
        </is>
      </c>
      <c r="B565" t="inlineStr">
        <is>
          <t>2026-02-20 11:17:23.228</t>
        </is>
      </c>
      <c r="C565" t="n">
        <v/>
      </c>
      <c r="D565" t="inlineStr">
        <is>
          <t>Media file</t>
        </is>
      </c>
      <c r="E565" t="inlineStr">
        <is>
          <t>player #1:BTBR\training\c5m4.mp4</t>
        </is>
      </c>
      <c r="F565" t="n">
        <v>-9.667</v>
      </c>
      <c r="G565" t="n">
        <v>584.066</v>
      </c>
      <c r="H565" t="n">
        <v>642.433</v>
      </c>
      <c r="I565" t="n">
        <v>30</v>
      </c>
      <c r="J565" t="inlineStr">
        <is>
          <t>BTBR</t>
        </is>
      </c>
      <c r="K565" t="inlineStr">
        <is>
          <t>Male</t>
        </is>
      </c>
      <c r="L565" t="inlineStr">
        <is>
          <t>No focal subject</t>
        </is>
      </c>
      <c r="M565" t="n">
        <v>65.768</v>
      </c>
      <c r="N565" t="inlineStr">
        <is>
          <t>Explore_F2</t>
        </is>
      </c>
      <c r="O565" t="inlineStr">
        <is>
          <t>Second familiar</t>
        </is>
      </c>
      <c r="P565" t="inlineStr">
        <is>
          <t>STATE</t>
        </is>
      </c>
      <c r="Q565" t="n">
        <v>196.099</v>
      </c>
      <c r="R565" t="n">
        <v>197.033</v>
      </c>
      <c r="S565" t="n">
        <v>0.9340000000000001</v>
      </c>
      <c r="T565" t="inlineStr">
        <is>
          <t>BTBR\training\c5m4.mp4</t>
        </is>
      </c>
      <c r="U565" t="n">
        <v>5883</v>
      </c>
      <c r="V565" t="n">
        <v>5912</v>
      </c>
      <c r="W565" t="n">
        <v/>
      </c>
      <c r="X565" t="n">
        <v/>
      </c>
      <c r="Y565" t="n">
        <v/>
      </c>
      <c r="Z565" t="n">
        <v/>
      </c>
      <c r="AA565">
        <f>SUMIFS($S$2:S565,$A$2:A565,A565,$N$2:N565,"Explore*")</f>
        <v/>
      </c>
      <c r="AB565">
        <f>IF(AND(LEFT(N565,7)="Explore",(AA565-IF(LEFT(N565,7)="Explore",S565,0))&lt;10),"SI","NO")</f>
        <v/>
      </c>
    </row>
    <row r="566">
      <c r="A566" t="inlineStr">
        <is>
          <t>c5m4_training</t>
        </is>
      </c>
      <c r="B566" t="inlineStr">
        <is>
          <t>2026-02-20 11:17:23.228</t>
        </is>
      </c>
      <c r="C566" t="n">
        <v/>
      </c>
      <c r="D566" t="inlineStr">
        <is>
          <t>Media file</t>
        </is>
      </c>
      <c r="E566" t="inlineStr">
        <is>
          <t>player #1:BTBR\training\c5m4.mp4</t>
        </is>
      </c>
      <c r="F566" t="n">
        <v>-9.667</v>
      </c>
      <c r="G566" t="n">
        <v>584.066</v>
      </c>
      <c r="H566" t="n">
        <v>642.433</v>
      </c>
      <c r="I566" t="n">
        <v>30</v>
      </c>
      <c r="J566" t="inlineStr">
        <is>
          <t>BTBR</t>
        </is>
      </c>
      <c r="K566" t="inlineStr">
        <is>
          <t>Male</t>
        </is>
      </c>
      <c r="L566" t="inlineStr">
        <is>
          <t>No focal subject</t>
        </is>
      </c>
      <c r="M566" t="n">
        <v>65.768</v>
      </c>
      <c r="N566" t="inlineStr">
        <is>
          <t>Explore_F</t>
        </is>
      </c>
      <c r="O566" t="inlineStr">
        <is>
          <t>Familiar</t>
        </is>
      </c>
      <c r="P566" t="inlineStr">
        <is>
          <t>STATE</t>
        </is>
      </c>
      <c r="Q566" t="n">
        <v>203.799</v>
      </c>
      <c r="R566" t="n">
        <v>204.966</v>
      </c>
      <c r="S566" t="n">
        <v>1.167</v>
      </c>
      <c r="T566" t="inlineStr">
        <is>
          <t>BTBR\training\c5m4.mp4</t>
        </is>
      </c>
      <c r="U566" t="n">
        <v>6114</v>
      </c>
      <c r="V566" t="n">
        <v>6149</v>
      </c>
      <c r="W566" t="n">
        <v/>
      </c>
      <c r="X566" t="n">
        <v/>
      </c>
      <c r="Y566" t="n">
        <v/>
      </c>
      <c r="Z566" t="n">
        <v/>
      </c>
      <c r="AA566">
        <f>SUMIFS($S$2:S566,$A$2:A566,A566,$N$2:N566,"Explore*")</f>
        <v/>
      </c>
      <c r="AB566">
        <f>IF(AND(LEFT(N566,7)="Explore",(AA566-IF(LEFT(N566,7)="Explore",S566,0))&lt;10),"SI","NO")</f>
        <v/>
      </c>
    </row>
    <row r="567">
      <c r="A567" t="inlineStr">
        <is>
          <t>c5m4_training</t>
        </is>
      </c>
      <c r="B567" t="inlineStr">
        <is>
          <t>2026-02-20 11:17:23.228</t>
        </is>
      </c>
      <c r="C567" t="n">
        <v/>
      </c>
      <c r="D567" t="inlineStr">
        <is>
          <t>Media file</t>
        </is>
      </c>
      <c r="E567" t="inlineStr">
        <is>
          <t>player #1:BTBR\training\c5m4.mp4</t>
        </is>
      </c>
      <c r="F567" t="n">
        <v>-9.667</v>
      </c>
      <c r="G567" t="n">
        <v>584.066</v>
      </c>
      <c r="H567" t="n">
        <v>642.433</v>
      </c>
      <c r="I567" t="n">
        <v>30</v>
      </c>
      <c r="J567" t="inlineStr">
        <is>
          <t>BTBR</t>
        </is>
      </c>
      <c r="K567" t="inlineStr">
        <is>
          <t>Male</t>
        </is>
      </c>
      <c r="L567" t="inlineStr">
        <is>
          <t>No focal subject</t>
        </is>
      </c>
      <c r="M567" t="n">
        <v>65.768</v>
      </c>
      <c r="N567" t="inlineStr">
        <is>
          <t>Explore_F2</t>
        </is>
      </c>
      <c r="O567" t="inlineStr">
        <is>
          <t>Second familiar</t>
        </is>
      </c>
      <c r="P567" t="inlineStr">
        <is>
          <t>STATE</t>
        </is>
      </c>
      <c r="Q567" t="n">
        <v>214.799</v>
      </c>
      <c r="R567" t="n">
        <v>215.899</v>
      </c>
      <c r="S567" t="n">
        <v>1.1</v>
      </c>
      <c r="T567" t="inlineStr">
        <is>
          <t>BTBR\training\c5m4.mp4</t>
        </is>
      </c>
      <c r="U567" t="n">
        <v>6444</v>
      </c>
      <c r="V567" t="n">
        <v>6477</v>
      </c>
      <c r="W567" t="n">
        <v/>
      </c>
      <c r="X567" t="n">
        <v/>
      </c>
      <c r="Y567" t="n">
        <v/>
      </c>
      <c r="Z567" t="n">
        <v/>
      </c>
      <c r="AA567">
        <f>SUMIFS($S$2:S567,$A$2:A567,A567,$N$2:N567,"Explore*")</f>
        <v/>
      </c>
      <c r="AB567">
        <f>IF(AND(LEFT(N567,7)="Explore",(AA567-IF(LEFT(N567,7)="Explore",S567,0))&lt;10),"SI","NO")</f>
        <v/>
      </c>
    </row>
    <row r="568">
      <c r="A568" t="inlineStr">
        <is>
          <t>c5m4_training</t>
        </is>
      </c>
      <c r="B568" t="inlineStr">
        <is>
          <t>2026-02-20 11:17:23.228</t>
        </is>
      </c>
      <c r="C568" t="n">
        <v/>
      </c>
      <c r="D568" t="inlineStr">
        <is>
          <t>Media file</t>
        </is>
      </c>
      <c r="E568" t="inlineStr">
        <is>
          <t>player #1:BTBR\training\c5m4.mp4</t>
        </is>
      </c>
      <c r="F568" t="n">
        <v>-9.667</v>
      </c>
      <c r="G568" t="n">
        <v>584.066</v>
      </c>
      <c r="H568" t="n">
        <v>642.433</v>
      </c>
      <c r="I568" t="n">
        <v>30</v>
      </c>
      <c r="J568" t="inlineStr">
        <is>
          <t>BTBR</t>
        </is>
      </c>
      <c r="K568" t="inlineStr">
        <is>
          <t>Male</t>
        </is>
      </c>
      <c r="L568" t="inlineStr">
        <is>
          <t>No focal subject</t>
        </is>
      </c>
      <c r="M568" t="n">
        <v>65.768</v>
      </c>
      <c r="N568" t="inlineStr">
        <is>
          <t>Explore_F2</t>
        </is>
      </c>
      <c r="O568" t="inlineStr">
        <is>
          <t>Second familiar</t>
        </is>
      </c>
      <c r="P568" t="inlineStr">
        <is>
          <t>STATE</t>
        </is>
      </c>
      <c r="Q568" t="n">
        <v>224.133</v>
      </c>
      <c r="R568" t="n">
        <v>225.433</v>
      </c>
      <c r="S568" t="n">
        <v>1.3</v>
      </c>
      <c r="T568" t="inlineStr">
        <is>
          <t>BTBR\training\c5m4.mp4</t>
        </is>
      </c>
      <c r="U568" t="n">
        <v>6724</v>
      </c>
      <c r="V568" t="n">
        <v>6763</v>
      </c>
      <c r="W568" t="n">
        <v/>
      </c>
      <c r="X568" t="n">
        <v/>
      </c>
      <c r="Y568" t="n">
        <v/>
      </c>
      <c r="Z568" t="n">
        <v/>
      </c>
      <c r="AA568">
        <f>SUMIFS($S$2:S568,$A$2:A568,A568,$N$2:N568,"Explore*")</f>
        <v/>
      </c>
      <c r="AB568">
        <f>IF(AND(LEFT(N568,7)="Explore",(AA568-IF(LEFT(N568,7)="Explore",S568,0))&lt;10),"SI","NO")</f>
        <v/>
      </c>
    </row>
    <row r="569">
      <c r="A569" t="inlineStr">
        <is>
          <t>c5m4_training</t>
        </is>
      </c>
      <c r="B569" t="inlineStr">
        <is>
          <t>2026-02-20 11:17:23.228</t>
        </is>
      </c>
      <c r="C569" t="n">
        <v/>
      </c>
      <c r="D569" t="inlineStr">
        <is>
          <t>Media file</t>
        </is>
      </c>
      <c r="E569" t="inlineStr">
        <is>
          <t>player #1:BTBR\training\c5m4.mp4</t>
        </is>
      </c>
      <c r="F569" t="n">
        <v>-9.667</v>
      </c>
      <c r="G569" t="n">
        <v>584.066</v>
      </c>
      <c r="H569" t="n">
        <v>642.433</v>
      </c>
      <c r="I569" t="n">
        <v>30</v>
      </c>
      <c r="J569" t="inlineStr">
        <is>
          <t>BTBR</t>
        </is>
      </c>
      <c r="K569" t="inlineStr">
        <is>
          <t>Male</t>
        </is>
      </c>
      <c r="L569" t="inlineStr">
        <is>
          <t>No focal subject</t>
        </is>
      </c>
      <c r="M569" t="n">
        <v>65.768</v>
      </c>
      <c r="N569" t="inlineStr">
        <is>
          <t>Explore_F2</t>
        </is>
      </c>
      <c r="O569" t="inlineStr">
        <is>
          <t>Second familiar</t>
        </is>
      </c>
      <c r="P569" t="inlineStr">
        <is>
          <t>STATE</t>
        </is>
      </c>
      <c r="Q569" t="n">
        <v>268.466</v>
      </c>
      <c r="R569" t="n">
        <v>269.833</v>
      </c>
      <c r="S569" t="n">
        <v>1.367</v>
      </c>
      <c r="T569" t="inlineStr">
        <is>
          <t>BTBR\training\c5m4.mp4</t>
        </is>
      </c>
      <c r="U569" t="n">
        <v>8054</v>
      </c>
      <c r="V569" t="n">
        <v>8095</v>
      </c>
      <c r="W569" t="n">
        <v/>
      </c>
      <c r="X569" t="n">
        <v/>
      </c>
      <c r="Y569" t="n">
        <v/>
      </c>
      <c r="Z569" t="n">
        <v/>
      </c>
      <c r="AA569">
        <f>SUMIFS($S$2:S569,$A$2:A569,A569,$N$2:N569,"Explore*")</f>
        <v/>
      </c>
      <c r="AB569">
        <f>IF(AND(LEFT(N569,7)="Explore",(AA569-IF(LEFT(N569,7)="Explore",S569,0))&lt;10),"SI","NO")</f>
        <v/>
      </c>
    </row>
    <row r="570">
      <c r="A570" t="inlineStr">
        <is>
          <t>c5m4_training</t>
        </is>
      </c>
      <c r="B570" t="inlineStr">
        <is>
          <t>2026-02-20 11:17:23.228</t>
        </is>
      </c>
      <c r="C570" t="n">
        <v/>
      </c>
      <c r="D570" t="inlineStr">
        <is>
          <t>Media file</t>
        </is>
      </c>
      <c r="E570" t="inlineStr">
        <is>
          <t>player #1:BTBR\training\c5m4.mp4</t>
        </is>
      </c>
      <c r="F570" t="n">
        <v>-9.667</v>
      </c>
      <c r="G570" t="n">
        <v>584.066</v>
      </c>
      <c r="H570" t="n">
        <v>642.433</v>
      </c>
      <c r="I570" t="n">
        <v>30</v>
      </c>
      <c r="J570" t="inlineStr">
        <is>
          <t>BTBR</t>
        </is>
      </c>
      <c r="K570" t="inlineStr">
        <is>
          <t>Male</t>
        </is>
      </c>
      <c r="L570" t="inlineStr">
        <is>
          <t>No focal subject</t>
        </is>
      </c>
      <c r="M570" t="n">
        <v>65.768</v>
      </c>
      <c r="N570" t="inlineStr">
        <is>
          <t>Explore_F</t>
        </is>
      </c>
      <c r="O570" t="inlineStr">
        <is>
          <t>Familiar</t>
        </is>
      </c>
      <c r="P570" t="inlineStr">
        <is>
          <t>STATE</t>
        </is>
      </c>
      <c r="Q570" t="n">
        <v>277.299</v>
      </c>
      <c r="R570" t="n">
        <v>280.233</v>
      </c>
      <c r="S570" t="n">
        <v>2.934</v>
      </c>
      <c r="T570" t="inlineStr">
        <is>
          <t>BTBR\training\c5m4.mp4</t>
        </is>
      </c>
      <c r="U570" t="n">
        <v>8319</v>
      </c>
      <c r="V570" t="n">
        <v>8407</v>
      </c>
      <c r="W570" t="n">
        <v/>
      </c>
      <c r="X570" t="n">
        <v/>
      </c>
      <c r="Y570" t="n">
        <v/>
      </c>
      <c r="Z570" t="n">
        <v/>
      </c>
      <c r="AA570">
        <f>SUMIFS($S$2:S570,$A$2:A570,A570,$N$2:N570,"Explore*")</f>
        <v/>
      </c>
      <c r="AB570">
        <f>IF(AND(LEFT(N570,7)="Explore",(AA570-IF(LEFT(N570,7)="Explore",S570,0))&lt;10),"SI","NO")</f>
        <v/>
      </c>
    </row>
    <row r="571">
      <c r="A571" t="inlineStr">
        <is>
          <t>c5m4_training</t>
        </is>
      </c>
      <c r="B571" t="inlineStr">
        <is>
          <t>2026-02-20 11:17:23.228</t>
        </is>
      </c>
      <c r="C571" t="n">
        <v/>
      </c>
      <c r="D571" t="inlineStr">
        <is>
          <t>Media file</t>
        </is>
      </c>
      <c r="E571" t="inlineStr">
        <is>
          <t>player #1:BTBR\training\c5m4.mp4</t>
        </is>
      </c>
      <c r="F571" t="n">
        <v>-9.667</v>
      </c>
      <c r="G571" t="n">
        <v>584.066</v>
      </c>
      <c r="H571" t="n">
        <v>642.433</v>
      </c>
      <c r="I571" t="n">
        <v>30</v>
      </c>
      <c r="J571" t="inlineStr">
        <is>
          <t>BTBR</t>
        </is>
      </c>
      <c r="K571" t="inlineStr">
        <is>
          <t>Male</t>
        </is>
      </c>
      <c r="L571" t="inlineStr">
        <is>
          <t>No focal subject</t>
        </is>
      </c>
      <c r="M571" t="n">
        <v>65.768</v>
      </c>
      <c r="N571" t="inlineStr">
        <is>
          <t>Explore_F2</t>
        </is>
      </c>
      <c r="O571" t="inlineStr">
        <is>
          <t>Second familiar</t>
        </is>
      </c>
      <c r="P571" t="inlineStr">
        <is>
          <t>STATE</t>
        </is>
      </c>
      <c r="Q571" t="n">
        <v>284.999</v>
      </c>
      <c r="R571" t="n">
        <v>287.599</v>
      </c>
      <c r="S571" t="n">
        <v>2.6</v>
      </c>
      <c r="T571" t="inlineStr">
        <is>
          <t>BTBR\training\c5m4.mp4</t>
        </is>
      </c>
      <c r="U571" t="n">
        <v>8550</v>
      </c>
      <c r="V571" t="n">
        <v>8628</v>
      </c>
      <c r="W571" t="n">
        <v/>
      </c>
      <c r="X571" t="n">
        <v/>
      </c>
      <c r="Y571" t="n">
        <v/>
      </c>
      <c r="Z571" t="n">
        <v/>
      </c>
      <c r="AA571">
        <f>SUMIFS($S$2:S571,$A$2:A571,A571,$N$2:N571,"Explore*")</f>
        <v/>
      </c>
      <c r="AB571">
        <f>IF(AND(LEFT(N571,7)="Explore",(AA571-IF(LEFT(N571,7)="Explore",S571,0))&lt;10),"SI","NO")</f>
        <v/>
      </c>
    </row>
    <row r="572">
      <c r="A572" t="inlineStr">
        <is>
          <t>c5m4_training</t>
        </is>
      </c>
      <c r="B572" t="inlineStr">
        <is>
          <t>2026-02-20 11:17:23.228</t>
        </is>
      </c>
      <c r="C572" t="n">
        <v/>
      </c>
      <c r="D572" t="inlineStr">
        <is>
          <t>Media file</t>
        </is>
      </c>
      <c r="E572" t="inlineStr">
        <is>
          <t>player #1:BTBR\training\c5m4.mp4</t>
        </is>
      </c>
      <c r="F572" t="n">
        <v>-9.667</v>
      </c>
      <c r="G572" t="n">
        <v>584.066</v>
      </c>
      <c r="H572" t="n">
        <v>642.433</v>
      </c>
      <c r="I572" t="n">
        <v>30</v>
      </c>
      <c r="J572" t="inlineStr">
        <is>
          <t>BTBR</t>
        </is>
      </c>
      <c r="K572" t="inlineStr">
        <is>
          <t>Male</t>
        </is>
      </c>
      <c r="L572" t="inlineStr">
        <is>
          <t>No focal subject</t>
        </is>
      </c>
      <c r="M572" t="n">
        <v>65.768</v>
      </c>
      <c r="N572" t="inlineStr">
        <is>
          <t>Explore_F2</t>
        </is>
      </c>
      <c r="O572" t="inlineStr">
        <is>
          <t>Second familiar</t>
        </is>
      </c>
      <c r="P572" t="inlineStr">
        <is>
          <t>STATE</t>
        </is>
      </c>
      <c r="Q572" t="n">
        <v>290.333</v>
      </c>
      <c r="R572" t="n">
        <v>291.299</v>
      </c>
      <c r="S572" t="n">
        <v>0.966</v>
      </c>
      <c r="T572" t="inlineStr">
        <is>
          <t>BTBR\training\c5m4.mp4</t>
        </is>
      </c>
      <c r="U572" t="n">
        <v>8710</v>
      </c>
      <c r="V572" t="n">
        <v>8739</v>
      </c>
      <c r="W572" t="n">
        <v/>
      </c>
      <c r="X572" t="n">
        <v/>
      </c>
      <c r="Y572" t="n">
        <v/>
      </c>
      <c r="Z572" t="n">
        <v/>
      </c>
      <c r="AA572">
        <f>SUMIFS($S$2:S572,$A$2:A572,A572,$N$2:N572,"Explore*")</f>
        <v/>
      </c>
      <c r="AB572">
        <f>IF(AND(LEFT(N572,7)="Explore",(AA572-IF(LEFT(N572,7)="Explore",S572,0))&lt;10),"SI","NO")</f>
        <v/>
      </c>
    </row>
    <row r="573">
      <c r="A573" t="inlineStr">
        <is>
          <t>c5m4_training</t>
        </is>
      </c>
      <c r="B573" t="inlineStr">
        <is>
          <t>2026-02-20 11:17:23.228</t>
        </is>
      </c>
      <c r="C573" t="n">
        <v/>
      </c>
      <c r="D573" t="inlineStr">
        <is>
          <t>Media file</t>
        </is>
      </c>
      <c r="E573" t="inlineStr">
        <is>
          <t>player #1:BTBR\training\c5m4.mp4</t>
        </is>
      </c>
      <c r="F573" t="n">
        <v>-9.667</v>
      </c>
      <c r="G573" t="n">
        <v>584.066</v>
      </c>
      <c r="H573" t="n">
        <v>642.433</v>
      </c>
      <c r="I573" t="n">
        <v>30</v>
      </c>
      <c r="J573" t="inlineStr">
        <is>
          <t>BTBR</t>
        </is>
      </c>
      <c r="K573" t="inlineStr">
        <is>
          <t>Male</t>
        </is>
      </c>
      <c r="L573" t="inlineStr">
        <is>
          <t>No focal subject</t>
        </is>
      </c>
      <c r="M573" t="n">
        <v>65.768</v>
      </c>
      <c r="N573" t="inlineStr">
        <is>
          <t>Explore_F</t>
        </is>
      </c>
      <c r="O573" t="inlineStr">
        <is>
          <t>Familiar</t>
        </is>
      </c>
      <c r="P573" t="inlineStr">
        <is>
          <t>STATE</t>
        </is>
      </c>
      <c r="Q573" t="n">
        <v>292.566</v>
      </c>
      <c r="R573" t="n">
        <v>293.533</v>
      </c>
      <c r="S573" t="n">
        <v>0.967</v>
      </c>
      <c r="T573" t="inlineStr">
        <is>
          <t>BTBR\training\c5m4.mp4</t>
        </is>
      </c>
      <c r="U573" t="n">
        <v>8777</v>
      </c>
      <c r="V573" t="n">
        <v>8807</v>
      </c>
      <c r="W573" t="n">
        <v/>
      </c>
      <c r="X573" t="n">
        <v/>
      </c>
      <c r="Y573" t="n">
        <v/>
      </c>
      <c r="Z573" t="n">
        <v/>
      </c>
      <c r="AA573">
        <f>SUMIFS($S$2:S573,$A$2:A573,A573,$N$2:N573,"Explore*")</f>
        <v/>
      </c>
      <c r="AB573">
        <f>IF(AND(LEFT(N573,7)="Explore",(AA573-IF(LEFT(N573,7)="Explore",S573,0))&lt;10),"SI","NO")</f>
        <v/>
      </c>
    </row>
    <row r="574">
      <c r="A574" t="inlineStr">
        <is>
          <t>c5m4_training</t>
        </is>
      </c>
      <c r="B574" t="inlineStr">
        <is>
          <t>2026-02-20 11:17:23.228</t>
        </is>
      </c>
      <c r="C574" t="n">
        <v/>
      </c>
      <c r="D574" t="inlineStr">
        <is>
          <t>Media file</t>
        </is>
      </c>
      <c r="E574" t="inlineStr">
        <is>
          <t>player #1:BTBR\training\c5m4.mp4</t>
        </is>
      </c>
      <c r="F574" t="n">
        <v>-9.667</v>
      </c>
      <c r="G574" t="n">
        <v>584.066</v>
      </c>
      <c r="H574" t="n">
        <v>642.433</v>
      </c>
      <c r="I574" t="n">
        <v>30</v>
      </c>
      <c r="J574" t="inlineStr">
        <is>
          <t>BTBR</t>
        </is>
      </c>
      <c r="K574" t="inlineStr">
        <is>
          <t>Male</t>
        </is>
      </c>
      <c r="L574" t="inlineStr">
        <is>
          <t>No focal subject</t>
        </is>
      </c>
      <c r="M574" t="n">
        <v>65.768</v>
      </c>
      <c r="N574" t="inlineStr">
        <is>
          <t>Explore_F</t>
        </is>
      </c>
      <c r="O574" t="inlineStr">
        <is>
          <t>Familiar</t>
        </is>
      </c>
      <c r="P574" t="inlineStr">
        <is>
          <t>STATE</t>
        </is>
      </c>
      <c r="Q574" t="n">
        <v>308.266</v>
      </c>
      <c r="R574" t="n">
        <v>308.799</v>
      </c>
      <c r="S574" t="n">
        <v>0.533</v>
      </c>
      <c r="T574" t="inlineStr">
        <is>
          <t>BTBR\training\c5m4.mp4</t>
        </is>
      </c>
      <c r="U574" t="n">
        <v>9538</v>
      </c>
      <c r="V574" t="n">
        <v>9554</v>
      </c>
      <c r="W574" t="n">
        <v/>
      </c>
      <c r="X574" t="n">
        <v/>
      </c>
      <c r="Y574" t="n">
        <v/>
      </c>
      <c r="Z574" t="n">
        <v/>
      </c>
      <c r="AA574">
        <f>SUMIFS($S$2:S574,$A$2:A574,A574,$N$2:N574,"Explore*")</f>
        <v/>
      </c>
      <c r="AB574">
        <f>IF(AND(LEFT(N574,7)="Explore",(AA574-IF(LEFT(N574,7)="Explore",S574,0))&lt;10),"SI","NO")</f>
        <v/>
      </c>
    </row>
    <row r="575">
      <c r="A575" t="inlineStr">
        <is>
          <t>c5m4_training</t>
        </is>
      </c>
      <c r="B575" t="inlineStr">
        <is>
          <t>2026-02-20 11:17:23.228</t>
        </is>
      </c>
      <c r="C575" t="n">
        <v/>
      </c>
      <c r="D575" t="inlineStr">
        <is>
          <t>Media file</t>
        </is>
      </c>
      <c r="E575" t="inlineStr">
        <is>
          <t>player #1:BTBR\training\c5m4.mp4</t>
        </is>
      </c>
      <c r="F575" t="n">
        <v>-9.667</v>
      </c>
      <c r="G575" t="n">
        <v>584.066</v>
      </c>
      <c r="H575" t="n">
        <v>642.433</v>
      </c>
      <c r="I575" t="n">
        <v>30</v>
      </c>
      <c r="J575" t="inlineStr">
        <is>
          <t>BTBR</t>
        </is>
      </c>
      <c r="K575" t="inlineStr">
        <is>
          <t>Male</t>
        </is>
      </c>
      <c r="L575" t="inlineStr">
        <is>
          <t>No focal subject</t>
        </is>
      </c>
      <c r="M575" t="n">
        <v>65.768</v>
      </c>
      <c r="N575" t="inlineStr">
        <is>
          <t>Explore_F</t>
        </is>
      </c>
      <c r="O575" t="inlineStr">
        <is>
          <t>Familiar</t>
        </is>
      </c>
      <c r="P575" t="inlineStr">
        <is>
          <t>STATE</t>
        </is>
      </c>
      <c r="Q575" t="n">
        <v>354.899</v>
      </c>
      <c r="R575" t="n">
        <v>355.633</v>
      </c>
      <c r="S575" t="n">
        <v>0.734</v>
      </c>
      <c r="T575" t="inlineStr">
        <is>
          <t>BTBR\training\c5m4.mp4</t>
        </is>
      </c>
      <c r="U575" t="n">
        <v>10937</v>
      </c>
      <c r="V575" t="n">
        <v>10959</v>
      </c>
      <c r="W575" t="n">
        <v/>
      </c>
      <c r="X575" t="n">
        <v/>
      </c>
      <c r="Y575" t="n">
        <v/>
      </c>
      <c r="Z575" t="n">
        <v/>
      </c>
      <c r="AA575">
        <f>SUMIFS($S$2:S575,$A$2:A575,A575,$N$2:N575,"Explore*")</f>
        <v/>
      </c>
      <c r="AB575">
        <f>IF(AND(LEFT(N575,7)="Explore",(AA575-IF(LEFT(N575,7)="Explore",S575,0))&lt;10),"SI","NO")</f>
        <v/>
      </c>
    </row>
    <row r="576">
      <c r="A576" t="inlineStr">
        <is>
          <t>c5m4_training</t>
        </is>
      </c>
      <c r="B576" t="inlineStr">
        <is>
          <t>2026-02-20 11:17:23.228</t>
        </is>
      </c>
      <c r="C576" t="n">
        <v/>
      </c>
      <c r="D576" t="inlineStr">
        <is>
          <t>Media file</t>
        </is>
      </c>
      <c r="E576" t="inlineStr">
        <is>
          <t>player #1:BTBR\training\c5m4.mp4</t>
        </is>
      </c>
      <c r="F576" t="n">
        <v>-9.667</v>
      </c>
      <c r="G576" t="n">
        <v>584.066</v>
      </c>
      <c r="H576" t="n">
        <v>642.433</v>
      </c>
      <c r="I576" t="n">
        <v>30</v>
      </c>
      <c r="J576" t="inlineStr">
        <is>
          <t>BTBR</t>
        </is>
      </c>
      <c r="K576" t="inlineStr">
        <is>
          <t>Male</t>
        </is>
      </c>
      <c r="L576" t="inlineStr">
        <is>
          <t>No focal subject</t>
        </is>
      </c>
      <c r="M576" t="n">
        <v>65.768</v>
      </c>
      <c r="N576" t="inlineStr">
        <is>
          <t>Explore_F2</t>
        </is>
      </c>
      <c r="O576" t="inlineStr">
        <is>
          <t>Second familiar</t>
        </is>
      </c>
      <c r="P576" t="inlineStr">
        <is>
          <t>STATE</t>
        </is>
      </c>
      <c r="Q576" t="n">
        <v>373.799</v>
      </c>
      <c r="R576" t="n">
        <v>374.966</v>
      </c>
      <c r="S576" t="n">
        <v>1.167</v>
      </c>
      <c r="T576" t="inlineStr">
        <is>
          <t>BTBR\training\c5m4.mp4</t>
        </is>
      </c>
      <c r="U576" t="n">
        <v>11504</v>
      </c>
      <c r="V576" t="n">
        <v>11539</v>
      </c>
      <c r="W576" t="n">
        <v/>
      </c>
      <c r="X576" t="n">
        <v/>
      </c>
      <c r="Y576" t="n">
        <v/>
      </c>
      <c r="Z576" t="n">
        <v/>
      </c>
      <c r="AA576">
        <f>SUMIFS($S$2:S576,$A$2:A576,A576,$N$2:N576,"Explore*")</f>
        <v/>
      </c>
      <c r="AB576">
        <f>IF(AND(LEFT(N576,7)="Explore",(AA576-IF(LEFT(N576,7)="Explore",S576,0))&lt;10),"SI","NO")</f>
        <v/>
      </c>
    </row>
    <row r="577">
      <c r="A577" t="inlineStr">
        <is>
          <t>c5m4_training</t>
        </is>
      </c>
      <c r="B577" t="inlineStr">
        <is>
          <t>2026-02-20 11:17:23.228</t>
        </is>
      </c>
      <c r="C577" t="n">
        <v/>
      </c>
      <c r="D577" t="inlineStr">
        <is>
          <t>Media file</t>
        </is>
      </c>
      <c r="E577" t="inlineStr">
        <is>
          <t>player #1:BTBR\training\c5m4.mp4</t>
        </is>
      </c>
      <c r="F577" t="n">
        <v>-9.667</v>
      </c>
      <c r="G577" t="n">
        <v>584.066</v>
      </c>
      <c r="H577" t="n">
        <v>642.433</v>
      </c>
      <c r="I577" t="n">
        <v>30</v>
      </c>
      <c r="J577" t="inlineStr">
        <is>
          <t>BTBR</t>
        </is>
      </c>
      <c r="K577" t="inlineStr">
        <is>
          <t>Male</t>
        </is>
      </c>
      <c r="L577" t="inlineStr">
        <is>
          <t>No focal subject</t>
        </is>
      </c>
      <c r="M577" t="n">
        <v>65.768</v>
      </c>
      <c r="N577" t="inlineStr">
        <is>
          <t>Explore_F2</t>
        </is>
      </c>
      <c r="O577" t="inlineStr">
        <is>
          <t>Second familiar</t>
        </is>
      </c>
      <c r="P577" t="inlineStr">
        <is>
          <t>STATE</t>
        </is>
      </c>
      <c r="Q577" t="n">
        <v>393.433</v>
      </c>
      <c r="R577" t="n">
        <v>394.599</v>
      </c>
      <c r="S577" t="n">
        <v>1.166</v>
      </c>
      <c r="T577" t="inlineStr">
        <is>
          <t>BTBR\training\c5m4.mp4</t>
        </is>
      </c>
      <c r="U577" t="n">
        <v>12093</v>
      </c>
      <c r="V577" t="n">
        <v>12128</v>
      </c>
      <c r="W577" t="n">
        <v/>
      </c>
      <c r="X577" t="n">
        <v/>
      </c>
      <c r="Y577" t="n">
        <v/>
      </c>
      <c r="Z577" t="n">
        <v/>
      </c>
      <c r="AA577">
        <f>SUMIFS($S$2:S577,$A$2:A577,A577,$N$2:N577,"Explore*")</f>
        <v/>
      </c>
      <c r="AB577">
        <f>IF(AND(LEFT(N577,7)="Explore",(AA577-IF(LEFT(N577,7)="Explore",S577,0))&lt;10),"SI","NO")</f>
        <v/>
      </c>
    </row>
    <row r="578">
      <c r="A578" t="inlineStr">
        <is>
          <t>c5m4_training</t>
        </is>
      </c>
      <c r="B578" t="inlineStr">
        <is>
          <t>2026-02-20 11:17:23.228</t>
        </is>
      </c>
      <c r="C578" t="n">
        <v/>
      </c>
      <c r="D578" t="inlineStr">
        <is>
          <t>Media file</t>
        </is>
      </c>
      <c r="E578" t="inlineStr">
        <is>
          <t>player #1:BTBR\training\c5m4.mp4</t>
        </is>
      </c>
      <c r="F578" t="n">
        <v>-9.667</v>
      </c>
      <c r="G578" t="n">
        <v>584.066</v>
      </c>
      <c r="H578" t="n">
        <v>642.433</v>
      </c>
      <c r="I578" t="n">
        <v>30</v>
      </c>
      <c r="J578" t="inlineStr">
        <is>
          <t>BTBR</t>
        </is>
      </c>
      <c r="K578" t="inlineStr">
        <is>
          <t>Male</t>
        </is>
      </c>
      <c r="L578" t="inlineStr">
        <is>
          <t>No focal subject</t>
        </is>
      </c>
      <c r="M578" t="n">
        <v>65.768</v>
      </c>
      <c r="N578" t="inlineStr">
        <is>
          <t>Explore_F2</t>
        </is>
      </c>
      <c r="O578" t="inlineStr">
        <is>
          <t>Second familiar</t>
        </is>
      </c>
      <c r="P578" t="inlineStr">
        <is>
          <t>STATE</t>
        </is>
      </c>
      <c r="Q578" t="n">
        <v>404.366</v>
      </c>
      <c r="R578" t="n">
        <v>406.366</v>
      </c>
      <c r="S578" t="n">
        <v>2</v>
      </c>
      <c r="T578" t="inlineStr">
        <is>
          <t>BTBR\training\c5m4.mp4</t>
        </is>
      </c>
      <c r="U578" t="n">
        <v>12421</v>
      </c>
      <c r="V578" t="n">
        <v>12481</v>
      </c>
      <c r="W578" t="n">
        <v/>
      </c>
      <c r="X578" t="n">
        <v/>
      </c>
      <c r="Y578" t="n">
        <v/>
      </c>
      <c r="Z578" t="n">
        <v/>
      </c>
      <c r="AA578">
        <f>SUMIFS($S$2:S578,$A$2:A578,A578,$N$2:N578,"Explore*")</f>
        <v/>
      </c>
      <c r="AB578">
        <f>IF(AND(LEFT(N578,7)="Explore",(AA578-IF(LEFT(N578,7)="Explore",S578,0))&lt;10),"SI","NO")</f>
        <v/>
      </c>
    </row>
    <row r="579">
      <c r="A579" t="inlineStr">
        <is>
          <t>c5m4_training</t>
        </is>
      </c>
      <c r="B579" t="inlineStr">
        <is>
          <t>2026-02-20 11:17:23.228</t>
        </is>
      </c>
      <c r="C579" t="n">
        <v/>
      </c>
      <c r="D579" t="inlineStr">
        <is>
          <t>Media file</t>
        </is>
      </c>
      <c r="E579" t="inlineStr">
        <is>
          <t>player #1:BTBR\training\c5m4.mp4</t>
        </is>
      </c>
      <c r="F579" t="n">
        <v>-9.667</v>
      </c>
      <c r="G579" t="n">
        <v>584.066</v>
      </c>
      <c r="H579" t="n">
        <v>642.433</v>
      </c>
      <c r="I579" t="n">
        <v>30</v>
      </c>
      <c r="J579" t="inlineStr">
        <is>
          <t>BTBR</t>
        </is>
      </c>
      <c r="K579" t="inlineStr">
        <is>
          <t>Male</t>
        </is>
      </c>
      <c r="L579" t="inlineStr">
        <is>
          <t>No focal subject</t>
        </is>
      </c>
      <c r="M579" t="n">
        <v>65.768</v>
      </c>
      <c r="N579" t="inlineStr">
        <is>
          <t>Explore_F2</t>
        </is>
      </c>
      <c r="O579" t="inlineStr">
        <is>
          <t>Second familiar</t>
        </is>
      </c>
      <c r="P579" t="inlineStr">
        <is>
          <t>STATE</t>
        </is>
      </c>
      <c r="Q579" t="n">
        <v>421.699</v>
      </c>
      <c r="R579" t="n">
        <v>422.333</v>
      </c>
      <c r="S579" t="n">
        <v>0.634</v>
      </c>
      <c r="T579" t="inlineStr">
        <is>
          <t>BTBR\training\c5m4.mp4</t>
        </is>
      </c>
      <c r="U579" t="n">
        <v>12941</v>
      </c>
      <c r="V579" t="n">
        <v>12960</v>
      </c>
      <c r="W579" t="n">
        <v/>
      </c>
      <c r="X579" t="n">
        <v/>
      </c>
      <c r="Y579" t="n">
        <v/>
      </c>
      <c r="Z579" t="n">
        <v/>
      </c>
      <c r="AA579">
        <f>SUMIFS($S$2:S579,$A$2:A579,A579,$N$2:N579,"Explore*")</f>
        <v/>
      </c>
      <c r="AB579">
        <f>IF(AND(LEFT(N579,7)="Explore",(AA579-IF(LEFT(N579,7)="Explore",S579,0))&lt;10),"SI","NO")</f>
        <v/>
      </c>
    </row>
    <row r="580">
      <c r="A580" t="inlineStr">
        <is>
          <t>c5m4_training</t>
        </is>
      </c>
      <c r="B580" t="inlineStr">
        <is>
          <t>2026-02-20 11:17:23.228</t>
        </is>
      </c>
      <c r="C580" t="n">
        <v/>
      </c>
      <c r="D580" t="inlineStr">
        <is>
          <t>Media file</t>
        </is>
      </c>
      <c r="E580" t="inlineStr">
        <is>
          <t>player #1:BTBR\training\c5m4.mp4</t>
        </is>
      </c>
      <c r="F580" t="n">
        <v>-9.667</v>
      </c>
      <c r="G580" t="n">
        <v>584.066</v>
      </c>
      <c r="H580" t="n">
        <v>642.433</v>
      </c>
      <c r="I580" t="n">
        <v>30</v>
      </c>
      <c r="J580" t="inlineStr">
        <is>
          <t>BTBR</t>
        </is>
      </c>
      <c r="K580" t="inlineStr">
        <is>
          <t>Male</t>
        </is>
      </c>
      <c r="L580" t="inlineStr">
        <is>
          <t>No focal subject</t>
        </is>
      </c>
      <c r="M580" t="n">
        <v>65.768</v>
      </c>
      <c r="N580" t="inlineStr">
        <is>
          <t>Explore_F2</t>
        </is>
      </c>
      <c r="O580" t="inlineStr">
        <is>
          <t>Second familiar</t>
        </is>
      </c>
      <c r="P580" t="inlineStr">
        <is>
          <t>STATE</t>
        </is>
      </c>
      <c r="Q580" t="n">
        <v>430.266</v>
      </c>
      <c r="R580" t="n">
        <v>431.033</v>
      </c>
      <c r="S580" t="n">
        <v>0.767</v>
      </c>
      <c r="T580" t="inlineStr">
        <is>
          <t>BTBR\training\c5m4.mp4</t>
        </is>
      </c>
      <c r="U580" t="n">
        <v>13198</v>
      </c>
      <c r="V580" t="n">
        <v>13221</v>
      </c>
      <c r="W580" t="n">
        <v/>
      </c>
      <c r="X580" t="n">
        <v/>
      </c>
      <c r="Y580" t="n">
        <v/>
      </c>
      <c r="Z580" t="n">
        <v/>
      </c>
      <c r="AA580">
        <f>SUMIFS($S$2:S580,$A$2:A580,A580,$N$2:N580,"Explore*")</f>
        <v/>
      </c>
      <c r="AB580">
        <f>IF(AND(LEFT(N580,7)="Explore",(AA580-IF(LEFT(N580,7)="Explore",S580,0))&lt;10),"SI","NO")</f>
        <v/>
      </c>
    </row>
    <row r="581">
      <c r="A581" t="inlineStr">
        <is>
          <t>c5m4_training</t>
        </is>
      </c>
      <c r="B581" t="inlineStr">
        <is>
          <t>2026-02-20 11:17:23.228</t>
        </is>
      </c>
      <c r="C581" t="n">
        <v/>
      </c>
      <c r="D581" t="inlineStr">
        <is>
          <t>Media file</t>
        </is>
      </c>
      <c r="E581" t="inlineStr">
        <is>
          <t>player #1:BTBR\training\c5m4.mp4</t>
        </is>
      </c>
      <c r="F581" t="n">
        <v>-9.667</v>
      </c>
      <c r="G581" t="n">
        <v>584.066</v>
      </c>
      <c r="H581" t="n">
        <v>642.433</v>
      </c>
      <c r="I581" t="n">
        <v>30</v>
      </c>
      <c r="J581" t="inlineStr">
        <is>
          <t>BTBR</t>
        </is>
      </c>
      <c r="K581" t="inlineStr">
        <is>
          <t>Male</t>
        </is>
      </c>
      <c r="L581" t="inlineStr">
        <is>
          <t>No focal subject</t>
        </is>
      </c>
      <c r="M581" t="n">
        <v>65.768</v>
      </c>
      <c r="N581" t="inlineStr">
        <is>
          <t>Explore_F2</t>
        </is>
      </c>
      <c r="O581" t="inlineStr">
        <is>
          <t>Second familiar</t>
        </is>
      </c>
      <c r="P581" t="inlineStr">
        <is>
          <t>STATE</t>
        </is>
      </c>
      <c r="Q581" t="n">
        <v>463.199</v>
      </c>
      <c r="R581" t="n">
        <v>464.166</v>
      </c>
      <c r="S581" t="n">
        <v>0.967</v>
      </c>
      <c r="T581" t="inlineStr">
        <is>
          <t>BTBR\training\c5m4.mp4</t>
        </is>
      </c>
      <c r="U581" t="n">
        <v>14186</v>
      </c>
      <c r="V581" t="n">
        <v>14215</v>
      </c>
      <c r="W581" t="n">
        <v/>
      </c>
      <c r="X581" t="n">
        <v/>
      </c>
      <c r="Y581" t="n">
        <v/>
      </c>
      <c r="Z581" t="n">
        <v/>
      </c>
      <c r="AA581">
        <f>SUMIFS($S$2:S581,$A$2:A581,A581,$N$2:N581,"Explore*")</f>
        <v/>
      </c>
      <c r="AB581">
        <f>IF(AND(LEFT(N581,7)="Explore",(AA581-IF(LEFT(N581,7)="Explore",S581,0))&lt;10),"SI","NO")</f>
        <v/>
      </c>
    </row>
    <row r="582">
      <c r="A582" t="inlineStr">
        <is>
          <t>c5m4_training</t>
        </is>
      </c>
      <c r="B582" t="inlineStr">
        <is>
          <t>2026-02-20 11:17:23.228</t>
        </is>
      </c>
      <c r="C582" t="n">
        <v/>
      </c>
      <c r="D582" t="inlineStr">
        <is>
          <t>Media file</t>
        </is>
      </c>
      <c r="E582" t="inlineStr">
        <is>
          <t>player #1:BTBR\training\c5m4.mp4</t>
        </is>
      </c>
      <c r="F582" t="n">
        <v>-9.667</v>
      </c>
      <c r="G582" t="n">
        <v>584.066</v>
      </c>
      <c r="H582" t="n">
        <v>642.433</v>
      </c>
      <c r="I582" t="n">
        <v>30</v>
      </c>
      <c r="J582" t="inlineStr">
        <is>
          <t>BTBR</t>
        </is>
      </c>
      <c r="K582" t="inlineStr">
        <is>
          <t>Male</t>
        </is>
      </c>
      <c r="L582" t="inlineStr">
        <is>
          <t>No focal subject</t>
        </is>
      </c>
      <c r="M582" t="n">
        <v>65.768</v>
      </c>
      <c r="N582" t="inlineStr">
        <is>
          <t>Explore_F</t>
        </is>
      </c>
      <c r="O582" t="inlineStr">
        <is>
          <t>Familiar</t>
        </is>
      </c>
      <c r="P582" t="inlineStr">
        <is>
          <t>STATE</t>
        </is>
      </c>
      <c r="Q582" t="n">
        <v>465.466</v>
      </c>
      <c r="R582" t="n">
        <v>466.166</v>
      </c>
      <c r="S582" t="n">
        <v>0.7</v>
      </c>
      <c r="T582" t="inlineStr">
        <is>
          <t>BTBR\training\c5m4.mp4</t>
        </is>
      </c>
      <c r="U582" t="n">
        <v>14254</v>
      </c>
      <c r="V582" t="n">
        <v>14275</v>
      </c>
      <c r="W582" t="n">
        <v/>
      </c>
      <c r="X582" t="n">
        <v/>
      </c>
      <c r="Y582" t="n">
        <v/>
      </c>
      <c r="Z582" t="n">
        <v/>
      </c>
      <c r="AA582">
        <f>SUMIFS($S$2:S582,$A$2:A582,A582,$N$2:N582,"Explore*")</f>
        <v/>
      </c>
      <c r="AB582">
        <f>IF(AND(LEFT(N582,7)="Explore",(AA582-IF(LEFT(N582,7)="Explore",S582,0))&lt;10),"SI","NO")</f>
        <v/>
      </c>
    </row>
    <row r="583">
      <c r="A583" t="inlineStr">
        <is>
          <t>c5m4_training</t>
        </is>
      </c>
      <c r="B583" t="inlineStr">
        <is>
          <t>2026-02-20 11:17:23.228</t>
        </is>
      </c>
      <c r="C583" t="n">
        <v/>
      </c>
      <c r="D583" t="inlineStr">
        <is>
          <t>Media file</t>
        </is>
      </c>
      <c r="E583" t="inlineStr">
        <is>
          <t>player #1:BTBR\training\c5m4.mp4</t>
        </is>
      </c>
      <c r="F583" t="n">
        <v>-9.667</v>
      </c>
      <c r="G583" t="n">
        <v>584.066</v>
      </c>
      <c r="H583" t="n">
        <v>642.433</v>
      </c>
      <c r="I583" t="n">
        <v>30</v>
      </c>
      <c r="J583" t="inlineStr">
        <is>
          <t>BTBR</t>
        </is>
      </c>
      <c r="K583" t="inlineStr">
        <is>
          <t>Male</t>
        </is>
      </c>
      <c r="L583" t="inlineStr">
        <is>
          <t>No focal subject</t>
        </is>
      </c>
      <c r="M583" t="n">
        <v>65.768</v>
      </c>
      <c r="N583" t="inlineStr">
        <is>
          <t>Explore_F2</t>
        </is>
      </c>
      <c r="O583" t="inlineStr">
        <is>
          <t>Second familiar</t>
        </is>
      </c>
      <c r="P583" t="inlineStr">
        <is>
          <t>STATE</t>
        </is>
      </c>
      <c r="Q583" t="n">
        <v>477.866</v>
      </c>
      <c r="R583" t="n">
        <v>478.666</v>
      </c>
      <c r="S583" t="n">
        <v>0.8</v>
      </c>
      <c r="T583" t="inlineStr">
        <is>
          <t>BTBR\training\c5m4.mp4</t>
        </is>
      </c>
      <c r="U583" t="n">
        <v>14626</v>
      </c>
      <c r="V583" t="n">
        <v>14650</v>
      </c>
      <c r="W583" t="n">
        <v/>
      </c>
      <c r="X583" t="n">
        <v/>
      </c>
      <c r="Y583" t="n">
        <v/>
      </c>
      <c r="Z583" t="n">
        <v/>
      </c>
      <c r="AA583">
        <f>SUMIFS($S$2:S583,$A$2:A583,A583,$N$2:N583,"Explore*")</f>
        <v/>
      </c>
      <c r="AB583">
        <f>IF(AND(LEFT(N583,7)="Explore",(AA583-IF(LEFT(N583,7)="Explore",S583,0))&lt;10),"SI","NO")</f>
        <v/>
      </c>
    </row>
    <row r="584">
      <c r="A584" t="inlineStr">
        <is>
          <t>c5m4_training</t>
        </is>
      </c>
      <c r="B584" t="inlineStr">
        <is>
          <t>2026-02-20 11:17:23.228</t>
        </is>
      </c>
      <c r="C584" t="n">
        <v/>
      </c>
      <c r="D584" t="inlineStr">
        <is>
          <t>Media file</t>
        </is>
      </c>
      <c r="E584" t="inlineStr">
        <is>
          <t>player #1:BTBR\training\c5m4.mp4</t>
        </is>
      </c>
      <c r="F584" t="n">
        <v>-9.667</v>
      </c>
      <c r="G584" t="n">
        <v>584.066</v>
      </c>
      <c r="H584" t="n">
        <v>642.433</v>
      </c>
      <c r="I584" t="n">
        <v>30</v>
      </c>
      <c r="J584" t="inlineStr">
        <is>
          <t>BTBR</t>
        </is>
      </c>
      <c r="K584" t="inlineStr">
        <is>
          <t>Male</t>
        </is>
      </c>
      <c r="L584" t="inlineStr">
        <is>
          <t>No focal subject</t>
        </is>
      </c>
      <c r="M584" t="n">
        <v>65.768</v>
      </c>
      <c r="N584" t="inlineStr">
        <is>
          <t>Explore_F</t>
        </is>
      </c>
      <c r="O584" t="inlineStr">
        <is>
          <t>Familiar</t>
        </is>
      </c>
      <c r="P584" t="inlineStr">
        <is>
          <t>STATE</t>
        </is>
      </c>
      <c r="Q584" t="n">
        <v>488.666</v>
      </c>
      <c r="R584" t="n">
        <v>489.132</v>
      </c>
      <c r="S584" t="n">
        <v>0.466</v>
      </c>
      <c r="T584" t="inlineStr">
        <is>
          <t>BTBR\training\c5m4.mp4</t>
        </is>
      </c>
      <c r="U584" t="n">
        <v>14950</v>
      </c>
      <c r="V584" t="n">
        <v>14964</v>
      </c>
      <c r="W584" t="n">
        <v/>
      </c>
      <c r="X584" t="n">
        <v/>
      </c>
      <c r="Y584" t="n">
        <v/>
      </c>
      <c r="Z584" t="n">
        <v/>
      </c>
      <c r="AA584">
        <f>SUMIFS($S$2:S584,$A$2:A584,A584,$N$2:N584,"Explore*")</f>
        <v/>
      </c>
      <c r="AB584">
        <f>IF(AND(LEFT(N584,7)="Explore",(AA584-IF(LEFT(N584,7)="Explore",S584,0))&lt;10),"SI","NO")</f>
        <v/>
      </c>
    </row>
    <row r="585">
      <c r="A585" t="inlineStr">
        <is>
          <t>c5m4_training</t>
        </is>
      </c>
      <c r="B585" t="inlineStr">
        <is>
          <t>2026-02-20 11:17:23.228</t>
        </is>
      </c>
      <c r="C585" t="n">
        <v/>
      </c>
      <c r="D585" t="inlineStr">
        <is>
          <t>Media file</t>
        </is>
      </c>
      <c r="E585" t="inlineStr">
        <is>
          <t>player #1:BTBR\training\c5m4.mp4</t>
        </is>
      </c>
      <c r="F585" t="n">
        <v>-9.667</v>
      </c>
      <c r="G585" t="n">
        <v>584.066</v>
      </c>
      <c r="H585" t="n">
        <v>642.433</v>
      </c>
      <c r="I585" t="n">
        <v>30</v>
      </c>
      <c r="J585" t="inlineStr">
        <is>
          <t>BTBR</t>
        </is>
      </c>
      <c r="K585" t="inlineStr">
        <is>
          <t>Male</t>
        </is>
      </c>
      <c r="L585" t="inlineStr">
        <is>
          <t>No focal subject</t>
        </is>
      </c>
      <c r="M585" t="n">
        <v>65.768</v>
      </c>
      <c r="N585" t="inlineStr">
        <is>
          <t>Explore_F2</t>
        </is>
      </c>
      <c r="O585" t="inlineStr">
        <is>
          <t>Second familiar</t>
        </is>
      </c>
      <c r="P585" t="inlineStr">
        <is>
          <t>STATE</t>
        </is>
      </c>
      <c r="Q585" t="n">
        <v>493.732</v>
      </c>
      <c r="R585" t="n">
        <v>494.499</v>
      </c>
      <c r="S585" t="n">
        <v>0.767</v>
      </c>
      <c r="T585" t="inlineStr">
        <is>
          <t>BTBR\training\c5m4.mp4</t>
        </is>
      </c>
      <c r="U585" t="n">
        <v>15102</v>
      </c>
      <c r="V585" t="n">
        <v>15125</v>
      </c>
      <c r="W585" t="n">
        <v/>
      </c>
      <c r="X585" t="n">
        <v/>
      </c>
      <c r="Y585" t="n">
        <v/>
      </c>
      <c r="Z585" t="n">
        <v/>
      </c>
      <c r="AA585">
        <f>SUMIFS($S$2:S585,$A$2:A585,A585,$N$2:N585,"Explore*")</f>
        <v/>
      </c>
      <c r="AB585">
        <f>IF(AND(LEFT(N585,7)="Explore",(AA585-IF(LEFT(N585,7)="Explore",S585,0))&lt;10),"SI","NO")</f>
        <v/>
      </c>
    </row>
    <row r="586">
      <c r="A586" t="inlineStr">
        <is>
          <t>c5m4_training</t>
        </is>
      </c>
      <c r="B586" t="inlineStr">
        <is>
          <t>2026-02-20 11:17:23.228</t>
        </is>
      </c>
      <c r="C586" t="n">
        <v/>
      </c>
      <c r="D586" t="inlineStr">
        <is>
          <t>Media file</t>
        </is>
      </c>
      <c r="E586" t="inlineStr">
        <is>
          <t>player #1:BTBR\training\c5m4.mp4</t>
        </is>
      </c>
      <c r="F586" t="n">
        <v>-9.667</v>
      </c>
      <c r="G586" t="n">
        <v>584.066</v>
      </c>
      <c r="H586" t="n">
        <v>642.433</v>
      </c>
      <c r="I586" t="n">
        <v>30</v>
      </c>
      <c r="J586" t="inlineStr">
        <is>
          <t>BTBR</t>
        </is>
      </c>
      <c r="K586" t="inlineStr">
        <is>
          <t>Male</t>
        </is>
      </c>
      <c r="L586" t="inlineStr">
        <is>
          <t>No focal subject</t>
        </is>
      </c>
      <c r="M586" t="n">
        <v>65.768</v>
      </c>
      <c r="N586" t="inlineStr">
        <is>
          <t>Explore_F2</t>
        </is>
      </c>
      <c r="O586" t="inlineStr">
        <is>
          <t>Second familiar</t>
        </is>
      </c>
      <c r="P586" t="inlineStr">
        <is>
          <t>STATE</t>
        </is>
      </c>
      <c r="Q586" t="n">
        <v>544.232</v>
      </c>
      <c r="R586" t="n">
        <v>545.1319999999999</v>
      </c>
      <c r="S586" t="n">
        <v>0.9</v>
      </c>
      <c r="T586" t="inlineStr">
        <is>
          <t>BTBR\training\c5m4.mp4</t>
        </is>
      </c>
      <c r="U586" t="n">
        <v>16617</v>
      </c>
      <c r="V586" t="n">
        <v>16644</v>
      </c>
      <c r="W586" t="n">
        <v/>
      </c>
      <c r="X586" t="n">
        <v/>
      </c>
      <c r="Y586" t="n">
        <v/>
      </c>
      <c r="Z586" t="n">
        <v/>
      </c>
      <c r="AA586">
        <f>SUMIFS($S$2:S586,$A$2:A586,A586,$N$2:N586,"Explore*")</f>
        <v/>
      </c>
      <c r="AB586">
        <f>IF(AND(LEFT(N586,7)="Explore",(AA586-IF(LEFT(N586,7)="Explore",S586,0))&lt;10),"SI","NO")</f>
        <v/>
      </c>
    </row>
    <row r="587">
      <c r="A587" t="inlineStr">
        <is>
          <t>c5m4_training</t>
        </is>
      </c>
      <c r="B587" t="inlineStr">
        <is>
          <t>2026-02-20 11:17:23.228</t>
        </is>
      </c>
      <c r="C587" t="n">
        <v/>
      </c>
      <c r="D587" t="inlineStr">
        <is>
          <t>Media file</t>
        </is>
      </c>
      <c r="E587" t="inlineStr">
        <is>
          <t>player #1:BTBR\training\c5m4.mp4</t>
        </is>
      </c>
      <c r="F587" t="n">
        <v>-9.667</v>
      </c>
      <c r="G587" t="n">
        <v>584.066</v>
      </c>
      <c r="H587" t="n">
        <v>642.433</v>
      </c>
      <c r="I587" t="n">
        <v>30</v>
      </c>
      <c r="J587" t="inlineStr">
        <is>
          <t>BTBR</t>
        </is>
      </c>
      <c r="K587" t="inlineStr">
        <is>
          <t>Male</t>
        </is>
      </c>
      <c r="L587" t="inlineStr">
        <is>
          <t>No focal subject</t>
        </is>
      </c>
      <c r="M587" t="n">
        <v>65.768</v>
      </c>
      <c r="N587" t="inlineStr">
        <is>
          <t>Explore_F2</t>
        </is>
      </c>
      <c r="O587" t="inlineStr">
        <is>
          <t>Second familiar</t>
        </is>
      </c>
      <c r="P587" t="inlineStr">
        <is>
          <t>STATE</t>
        </is>
      </c>
      <c r="Q587" t="n">
        <v>568.099</v>
      </c>
      <c r="R587" t="n">
        <v>568.832</v>
      </c>
      <c r="S587" t="n">
        <v>0.733</v>
      </c>
      <c r="T587" t="inlineStr">
        <is>
          <t>BTBR\training\c5m4.mp4</t>
        </is>
      </c>
      <c r="U587" t="n">
        <v>17333</v>
      </c>
      <c r="V587" t="n">
        <v>17355</v>
      </c>
      <c r="W587" t="n">
        <v/>
      </c>
      <c r="X587" t="n">
        <v/>
      </c>
      <c r="Y587" t="n">
        <v/>
      </c>
      <c r="Z587" t="n">
        <v/>
      </c>
      <c r="AA587">
        <f>SUMIFS($S$2:S587,$A$2:A587,A587,$N$2:N587,"Explore*")</f>
        <v/>
      </c>
      <c r="AB587">
        <f>IF(AND(LEFT(N587,7)="Explore",(AA587-IF(LEFT(N587,7)="Explore",S587,0))&lt;10),"SI","NO")</f>
        <v/>
      </c>
    </row>
    <row r="588">
      <c r="A588" t="inlineStr">
        <is>
          <t>c5m4_training</t>
        </is>
      </c>
      <c r="B588" t="inlineStr">
        <is>
          <t>2026-02-20 11:17:23.228</t>
        </is>
      </c>
      <c r="C588" t="n">
        <v/>
      </c>
      <c r="D588" t="inlineStr">
        <is>
          <t>Media file</t>
        </is>
      </c>
      <c r="E588" t="inlineStr">
        <is>
          <t>player #1:BTBR\training\c5m4.mp4</t>
        </is>
      </c>
      <c r="F588" t="n">
        <v>-9.667</v>
      </c>
      <c r="G588" t="n">
        <v>584.066</v>
      </c>
      <c r="H588" t="n">
        <v>642.433</v>
      </c>
      <c r="I588" t="n">
        <v>30</v>
      </c>
      <c r="J588" t="inlineStr">
        <is>
          <t>BTBR</t>
        </is>
      </c>
      <c r="K588" t="inlineStr">
        <is>
          <t>Male</t>
        </is>
      </c>
      <c r="L588" t="inlineStr">
        <is>
          <t>No focal subject</t>
        </is>
      </c>
      <c r="M588" t="n">
        <v>65.768</v>
      </c>
      <c r="N588" t="inlineStr">
        <is>
          <t>Explore_F2</t>
        </is>
      </c>
      <c r="O588" t="inlineStr">
        <is>
          <t>Second familiar</t>
        </is>
      </c>
      <c r="P588" t="inlineStr">
        <is>
          <t>STATE</t>
        </is>
      </c>
      <c r="Q588" t="n">
        <v>588.499</v>
      </c>
      <c r="R588" t="n">
        <v>589.432</v>
      </c>
      <c r="S588" t="n">
        <v>0.9330000000000001</v>
      </c>
      <c r="T588" t="inlineStr">
        <is>
          <t>BTBR\training\c5m4.mp4</t>
        </is>
      </c>
      <c r="U588" t="n">
        <v>17945</v>
      </c>
      <c r="V588" t="n">
        <v>17973</v>
      </c>
      <c r="W588" t="n">
        <v/>
      </c>
      <c r="X588" t="n">
        <v/>
      </c>
      <c r="Y588" t="n">
        <v/>
      </c>
      <c r="Z588" t="n">
        <v/>
      </c>
      <c r="AA588">
        <f>SUMIFS($S$2:S588,$A$2:A588,A588,$N$2:N588,"Explore*")</f>
        <v/>
      </c>
      <c r="AB588">
        <f>IF(AND(LEFT(N588,7)="Explore",(AA588-IF(LEFT(N588,7)="Explore",S588,0))&lt;10),"SI","NO")</f>
        <v/>
      </c>
    </row>
    <row r="589">
      <c r="A589" t="inlineStr">
        <is>
          <t>c7m1_training</t>
        </is>
      </c>
      <c r="B589" t="inlineStr">
        <is>
          <t>2026-05-06 11:37:07.125</t>
        </is>
      </c>
      <c r="C589" t="n">
        <v/>
      </c>
      <c r="D589" t="inlineStr">
        <is>
          <t>Media file</t>
        </is>
      </c>
      <c r="E589" t="inlineStr">
        <is>
          <t>player #1:C:/Users/manuel.felline/Documents/BEHAVIOR BTBR/NOR second cohort/BTBR/training/c7_m1.mp4</t>
        </is>
      </c>
      <c r="F589" t="n">
        <v>-13.2</v>
      </c>
      <c r="G589" t="n">
        <v>589.066</v>
      </c>
      <c r="H589" t="n">
        <v>627.466</v>
      </c>
      <c r="I589" t="n">
        <v>30</v>
      </c>
      <c r="J589" t="inlineStr">
        <is>
          <t>BTBR</t>
        </is>
      </c>
      <c r="K589" t="inlineStr">
        <is>
          <t>Male</t>
        </is>
      </c>
      <c r="L589" t="inlineStr">
        <is>
          <t>No focal subject</t>
        </is>
      </c>
      <c r="M589" t="n">
        <v>29.066</v>
      </c>
      <c r="N589" t="inlineStr">
        <is>
          <t>Explore_F2</t>
        </is>
      </c>
      <c r="O589" t="inlineStr">
        <is>
          <t>Second familiar</t>
        </is>
      </c>
      <c r="P589" t="inlineStr">
        <is>
          <t>STATE</t>
        </is>
      </c>
      <c r="Q589" t="n">
        <v>7.7</v>
      </c>
      <c r="R589" t="n">
        <v>8.266999999999999</v>
      </c>
      <c r="S589" t="n">
        <v>0.5669999999999999</v>
      </c>
      <c r="T589" t="inlineStr">
        <is>
          <t>C:/Users/manuel.felline/Documents/BEHAVIOR BTBR/NOR second cohort/BTBR/training/c7_m1.mp4</t>
        </is>
      </c>
      <c r="U589" t="n">
        <v>627</v>
      </c>
      <c r="V589" t="n">
        <v>644</v>
      </c>
      <c r="W589" t="n">
        <v/>
      </c>
      <c r="X589" t="n">
        <v/>
      </c>
      <c r="Y589" t="n">
        <v/>
      </c>
      <c r="Z589" t="n">
        <v/>
      </c>
      <c r="AA589">
        <f>SUMIFS($S$2:S589,$A$2:A589,A589,$N$2:N589,"Explore*")</f>
        <v/>
      </c>
      <c r="AB589">
        <f>IF(AND(LEFT(N589,7)="Explore",(AA589-IF(LEFT(N589,7)="Explore",S589,0))&lt;10),"SI","NO")</f>
        <v/>
      </c>
    </row>
    <row r="590">
      <c r="A590" t="inlineStr">
        <is>
          <t>c7m1_training</t>
        </is>
      </c>
      <c r="B590" t="inlineStr">
        <is>
          <t>2026-05-06 11:37:07.125</t>
        </is>
      </c>
      <c r="C590" t="n">
        <v/>
      </c>
      <c r="D590" t="inlineStr">
        <is>
          <t>Media file</t>
        </is>
      </c>
      <c r="E590" t="inlineStr">
        <is>
          <t>player #1:C:/Users/manuel.felline/Documents/BEHAVIOR BTBR/NOR second cohort/BTBR/training/c7_m1.mp4</t>
        </is>
      </c>
      <c r="F590" t="n">
        <v>-13.2</v>
      </c>
      <c r="G590" t="n">
        <v>589.066</v>
      </c>
      <c r="H590" t="n">
        <v>627.466</v>
      </c>
      <c r="I590" t="n">
        <v>30</v>
      </c>
      <c r="J590" t="inlineStr">
        <is>
          <t>BTBR</t>
        </is>
      </c>
      <c r="K590" t="inlineStr">
        <is>
          <t>Male</t>
        </is>
      </c>
      <c r="L590" t="inlineStr">
        <is>
          <t>No focal subject</t>
        </is>
      </c>
      <c r="M590" t="n">
        <v>29.066</v>
      </c>
      <c r="N590" t="inlineStr">
        <is>
          <t>Explore_F</t>
        </is>
      </c>
      <c r="O590" t="inlineStr">
        <is>
          <t>Familiar</t>
        </is>
      </c>
      <c r="P590" t="inlineStr">
        <is>
          <t>STATE</t>
        </is>
      </c>
      <c r="Q590" t="n">
        <v>10.1</v>
      </c>
      <c r="R590" t="n">
        <v>10.433</v>
      </c>
      <c r="S590" t="n">
        <v>0.333</v>
      </c>
      <c r="T590" t="inlineStr">
        <is>
          <t>C:/Users/manuel.felline/Documents/BEHAVIOR BTBR/NOR second cohort/BTBR/training/c7_m1.mp4</t>
        </is>
      </c>
      <c r="U590" t="n">
        <v>699</v>
      </c>
      <c r="V590" t="n">
        <v>709</v>
      </c>
      <c r="W590" t="n">
        <v/>
      </c>
      <c r="X590" t="n">
        <v/>
      </c>
      <c r="Y590" t="n">
        <v/>
      </c>
      <c r="Z590" t="n">
        <v/>
      </c>
      <c r="AA590">
        <f>SUMIFS($S$2:S590,$A$2:A590,A590,$N$2:N590,"Explore*")</f>
        <v/>
      </c>
      <c r="AB590">
        <f>IF(AND(LEFT(N590,7)="Explore",(AA590-IF(LEFT(N590,7)="Explore",S590,0))&lt;10),"SI","NO")</f>
        <v/>
      </c>
    </row>
    <row r="591">
      <c r="A591" t="inlineStr">
        <is>
          <t>c7m1_training</t>
        </is>
      </c>
      <c r="B591" t="inlineStr">
        <is>
          <t>2026-05-06 11:37:07.125</t>
        </is>
      </c>
      <c r="C591" t="n">
        <v/>
      </c>
      <c r="D591" t="inlineStr">
        <is>
          <t>Media file</t>
        </is>
      </c>
      <c r="E591" t="inlineStr">
        <is>
          <t>player #1:C:/Users/manuel.felline/Documents/BEHAVIOR BTBR/NOR second cohort/BTBR/training/c7_m1.mp4</t>
        </is>
      </c>
      <c r="F591" t="n">
        <v>-13.2</v>
      </c>
      <c r="G591" t="n">
        <v>589.066</v>
      </c>
      <c r="H591" t="n">
        <v>627.466</v>
      </c>
      <c r="I591" t="n">
        <v>30</v>
      </c>
      <c r="J591" t="inlineStr">
        <is>
          <t>BTBR</t>
        </is>
      </c>
      <c r="K591" t="inlineStr">
        <is>
          <t>Male</t>
        </is>
      </c>
      <c r="L591" t="inlineStr">
        <is>
          <t>No focal subject</t>
        </is>
      </c>
      <c r="M591" t="n">
        <v>29.066</v>
      </c>
      <c r="N591" t="inlineStr">
        <is>
          <t>Explore_F2</t>
        </is>
      </c>
      <c r="O591" t="inlineStr">
        <is>
          <t>Second familiar</t>
        </is>
      </c>
      <c r="P591" t="inlineStr">
        <is>
          <t>STATE</t>
        </is>
      </c>
      <c r="Q591" t="n">
        <v>13.867</v>
      </c>
      <c r="R591" t="n">
        <v>14.133</v>
      </c>
      <c r="S591" t="n">
        <v>0.266</v>
      </c>
      <c r="T591" t="inlineStr">
        <is>
          <t>C:/Users/manuel.felline/Documents/BEHAVIOR BTBR/NOR second cohort/BTBR/training/c7_m1.mp4</t>
        </is>
      </c>
      <c r="U591" t="n">
        <v>812</v>
      </c>
      <c r="V591" t="n">
        <v>821</v>
      </c>
      <c r="W591" t="n">
        <v/>
      </c>
      <c r="X591" t="n">
        <v/>
      </c>
      <c r="Y591" t="n">
        <v/>
      </c>
      <c r="Z591" t="n">
        <v/>
      </c>
      <c r="AA591">
        <f>SUMIFS($S$2:S591,$A$2:A591,A591,$N$2:N591,"Explore*")</f>
        <v/>
      </c>
      <c r="AB591">
        <f>IF(AND(LEFT(N591,7)="Explore",(AA591-IF(LEFT(N591,7)="Explore",S591,0))&lt;10),"SI","NO")</f>
        <v/>
      </c>
    </row>
    <row r="592">
      <c r="A592" t="inlineStr">
        <is>
          <t>c7m1_training</t>
        </is>
      </c>
      <c r="B592" t="inlineStr">
        <is>
          <t>2026-05-06 11:37:07.125</t>
        </is>
      </c>
      <c r="C592" t="n">
        <v/>
      </c>
      <c r="D592" t="inlineStr">
        <is>
          <t>Media file</t>
        </is>
      </c>
      <c r="E592" t="inlineStr">
        <is>
          <t>player #1:C:/Users/manuel.felline/Documents/BEHAVIOR BTBR/NOR second cohort/BTBR/training/c7_m1.mp4</t>
        </is>
      </c>
      <c r="F592" t="n">
        <v>-13.2</v>
      </c>
      <c r="G592" t="n">
        <v>589.066</v>
      </c>
      <c r="H592" t="n">
        <v>627.466</v>
      </c>
      <c r="I592" t="n">
        <v>30</v>
      </c>
      <c r="J592" t="inlineStr">
        <is>
          <t>BTBR</t>
        </is>
      </c>
      <c r="K592" t="inlineStr">
        <is>
          <t>Male</t>
        </is>
      </c>
      <c r="L592" t="inlineStr">
        <is>
          <t>No focal subject</t>
        </is>
      </c>
      <c r="M592" t="n">
        <v>29.066</v>
      </c>
      <c r="N592" t="inlineStr">
        <is>
          <t>Explore_F</t>
        </is>
      </c>
      <c r="O592" t="inlineStr">
        <is>
          <t>Familiar</t>
        </is>
      </c>
      <c r="P592" t="inlineStr">
        <is>
          <t>STATE</t>
        </is>
      </c>
      <c r="Q592" t="n">
        <v>15.2</v>
      </c>
      <c r="R592" t="n">
        <v>17.167</v>
      </c>
      <c r="S592" t="n">
        <v>1.967</v>
      </c>
      <c r="T592" t="inlineStr">
        <is>
          <t>C:/Users/manuel.felline/Documents/BEHAVIOR BTBR/NOR second cohort/BTBR/training/c7_m1.mp4</t>
        </is>
      </c>
      <c r="U592" t="n">
        <v>852</v>
      </c>
      <c r="V592" t="n">
        <v>911</v>
      </c>
      <c r="W592" t="n">
        <v/>
      </c>
      <c r="X592" t="n">
        <v/>
      </c>
      <c r="Y592" t="n">
        <v/>
      </c>
      <c r="Z592" t="n">
        <v/>
      </c>
      <c r="AA592">
        <f>SUMIFS($S$2:S592,$A$2:A592,A592,$N$2:N592,"Explore*")</f>
        <v/>
      </c>
      <c r="AB592">
        <f>IF(AND(LEFT(N592,7)="Explore",(AA592-IF(LEFT(N592,7)="Explore",S592,0))&lt;10),"SI","NO")</f>
        <v/>
      </c>
    </row>
    <row r="593">
      <c r="A593" t="inlineStr">
        <is>
          <t>c7m1_training</t>
        </is>
      </c>
      <c r="B593" t="inlineStr">
        <is>
          <t>2026-05-06 11:37:07.125</t>
        </is>
      </c>
      <c r="C593" t="n">
        <v/>
      </c>
      <c r="D593" t="inlineStr">
        <is>
          <t>Media file</t>
        </is>
      </c>
      <c r="E593" t="inlineStr">
        <is>
          <t>player #1:C:/Users/manuel.felline/Documents/BEHAVIOR BTBR/NOR second cohort/BTBR/training/c7_m1.mp4</t>
        </is>
      </c>
      <c r="F593" t="n">
        <v>-13.2</v>
      </c>
      <c r="G593" t="n">
        <v>589.066</v>
      </c>
      <c r="H593" t="n">
        <v>627.466</v>
      </c>
      <c r="I593" t="n">
        <v>30</v>
      </c>
      <c r="J593" t="inlineStr">
        <is>
          <t>BTBR</t>
        </is>
      </c>
      <c r="K593" t="inlineStr">
        <is>
          <t>Male</t>
        </is>
      </c>
      <c r="L593" t="inlineStr">
        <is>
          <t>No focal subject</t>
        </is>
      </c>
      <c r="M593" t="n">
        <v>29.066</v>
      </c>
      <c r="N593" t="inlineStr">
        <is>
          <t>Explore_F</t>
        </is>
      </c>
      <c r="O593" t="inlineStr">
        <is>
          <t>Familiar</t>
        </is>
      </c>
      <c r="P593" t="inlineStr">
        <is>
          <t>STATE</t>
        </is>
      </c>
      <c r="Q593" t="n">
        <v>19.9</v>
      </c>
      <c r="R593" t="n">
        <v>21</v>
      </c>
      <c r="S593" t="n">
        <v>1.1</v>
      </c>
      <c r="T593" t="inlineStr">
        <is>
          <t>C:/Users/manuel.felline/Documents/BEHAVIOR BTBR/NOR second cohort/BTBR/training/c7_m1.mp4</t>
        </is>
      </c>
      <c r="U593" t="n">
        <v>993</v>
      </c>
      <c r="V593" t="n">
        <v>1026</v>
      </c>
      <c r="W593" t="n">
        <v/>
      </c>
      <c r="X593" t="n">
        <v/>
      </c>
      <c r="Y593" t="n">
        <v/>
      </c>
      <c r="Z593" t="n">
        <v/>
      </c>
      <c r="AA593">
        <f>SUMIFS($S$2:S593,$A$2:A593,A593,$N$2:N593,"Explore*")</f>
        <v/>
      </c>
      <c r="AB593">
        <f>IF(AND(LEFT(N593,7)="Explore",(AA593-IF(LEFT(N593,7)="Explore",S593,0))&lt;10),"SI","NO")</f>
        <v/>
      </c>
    </row>
    <row r="594">
      <c r="A594" t="inlineStr">
        <is>
          <t>c7m1_training</t>
        </is>
      </c>
      <c r="B594" t="inlineStr">
        <is>
          <t>2026-05-06 11:37:07.125</t>
        </is>
      </c>
      <c r="C594" t="n">
        <v/>
      </c>
      <c r="D594" t="inlineStr">
        <is>
          <t>Media file</t>
        </is>
      </c>
      <c r="E594" t="inlineStr">
        <is>
          <t>player #1:C:/Users/manuel.felline/Documents/BEHAVIOR BTBR/NOR second cohort/BTBR/training/c7_m1.mp4</t>
        </is>
      </c>
      <c r="F594" t="n">
        <v>-13.2</v>
      </c>
      <c r="G594" t="n">
        <v>589.066</v>
      </c>
      <c r="H594" t="n">
        <v>627.466</v>
      </c>
      <c r="I594" t="n">
        <v>30</v>
      </c>
      <c r="J594" t="inlineStr">
        <is>
          <t>BTBR</t>
        </is>
      </c>
      <c r="K594" t="inlineStr">
        <is>
          <t>Male</t>
        </is>
      </c>
      <c r="L594" t="inlineStr">
        <is>
          <t>No focal subject</t>
        </is>
      </c>
      <c r="M594" t="n">
        <v>29.066</v>
      </c>
      <c r="N594" t="inlineStr">
        <is>
          <t>Explore_F</t>
        </is>
      </c>
      <c r="O594" t="inlineStr">
        <is>
          <t>Familiar</t>
        </is>
      </c>
      <c r="P594" t="inlineStr">
        <is>
          <t>STATE</t>
        </is>
      </c>
      <c r="Q594" t="n">
        <v>26.533</v>
      </c>
      <c r="R594" t="n">
        <v>28.4</v>
      </c>
      <c r="S594" t="n">
        <v>1.867</v>
      </c>
      <c r="T594" t="inlineStr">
        <is>
          <t>C:/Users/manuel.felline/Documents/BEHAVIOR BTBR/NOR second cohort/BTBR/training/c7_m1.mp4</t>
        </is>
      </c>
      <c r="U594" t="n">
        <v>1192</v>
      </c>
      <c r="V594" t="n">
        <v>1248</v>
      </c>
      <c r="W594" t="n">
        <v/>
      </c>
      <c r="X594" t="n">
        <v/>
      </c>
      <c r="Y594" t="n">
        <v/>
      </c>
      <c r="Z594" t="n">
        <v/>
      </c>
      <c r="AA594">
        <f>SUMIFS($S$2:S594,$A$2:A594,A594,$N$2:N594,"Explore*")</f>
        <v/>
      </c>
      <c r="AB594">
        <f>IF(AND(LEFT(N594,7)="Explore",(AA594-IF(LEFT(N594,7)="Explore",S594,0))&lt;10),"SI","NO")</f>
        <v/>
      </c>
    </row>
    <row r="595">
      <c r="A595" t="inlineStr">
        <is>
          <t>c7m1_training</t>
        </is>
      </c>
      <c r="B595" t="inlineStr">
        <is>
          <t>2026-05-06 11:37:07.125</t>
        </is>
      </c>
      <c r="C595" t="n">
        <v/>
      </c>
      <c r="D595" t="inlineStr">
        <is>
          <t>Media file</t>
        </is>
      </c>
      <c r="E595" t="inlineStr">
        <is>
          <t>player #1:C:/Users/manuel.felline/Documents/BEHAVIOR BTBR/NOR second cohort/BTBR/training/c7_m1.mp4</t>
        </is>
      </c>
      <c r="F595" t="n">
        <v>-13.2</v>
      </c>
      <c r="G595" t="n">
        <v>589.066</v>
      </c>
      <c r="H595" t="n">
        <v>627.466</v>
      </c>
      <c r="I595" t="n">
        <v>30</v>
      </c>
      <c r="J595" t="inlineStr">
        <is>
          <t>BTBR</t>
        </is>
      </c>
      <c r="K595" t="inlineStr">
        <is>
          <t>Male</t>
        </is>
      </c>
      <c r="L595" t="inlineStr">
        <is>
          <t>No focal subject</t>
        </is>
      </c>
      <c r="M595" t="n">
        <v>29.066</v>
      </c>
      <c r="N595" t="inlineStr">
        <is>
          <t>Explore_F</t>
        </is>
      </c>
      <c r="O595" t="inlineStr">
        <is>
          <t>Familiar</t>
        </is>
      </c>
      <c r="P595" t="inlineStr">
        <is>
          <t>STATE</t>
        </is>
      </c>
      <c r="Q595" t="n">
        <v>31.9</v>
      </c>
      <c r="R595" t="n">
        <v>32.433</v>
      </c>
      <c r="S595" t="n">
        <v>0.533</v>
      </c>
      <c r="T595" t="inlineStr">
        <is>
          <t>C:/Users/manuel.felline/Documents/BEHAVIOR BTBR/NOR second cohort/BTBR/training/c7_m1.mp4</t>
        </is>
      </c>
      <c r="U595" t="n">
        <v>1353</v>
      </c>
      <c r="V595" t="n">
        <v>1369</v>
      </c>
      <c r="W595" t="n">
        <v/>
      </c>
      <c r="X595" t="n">
        <v/>
      </c>
      <c r="Y595" t="n">
        <v/>
      </c>
      <c r="Z595" t="n">
        <v/>
      </c>
      <c r="AA595">
        <f>SUMIFS($S$2:S595,$A$2:A595,A595,$N$2:N595,"Explore*")</f>
        <v/>
      </c>
      <c r="AB595">
        <f>IF(AND(LEFT(N595,7)="Explore",(AA595-IF(LEFT(N595,7)="Explore",S595,0))&lt;10),"SI","NO")</f>
        <v/>
      </c>
    </row>
    <row r="596">
      <c r="A596" t="inlineStr">
        <is>
          <t>c7m1_training</t>
        </is>
      </c>
      <c r="B596" t="inlineStr">
        <is>
          <t>2026-05-06 11:37:07.125</t>
        </is>
      </c>
      <c r="C596" t="n">
        <v/>
      </c>
      <c r="D596" t="inlineStr">
        <is>
          <t>Media file</t>
        </is>
      </c>
      <c r="E596" t="inlineStr">
        <is>
          <t>player #1:C:/Users/manuel.felline/Documents/BEHAVIOR BTBR/NOR second cohort/BTBR/training/c7_m1.mp4</t>
        </is>
      </c>
      <c r="F596" t="n">
        <v>-13.2</v>
      </c>
      <c r="G596" t="n">
        <v>589.066</v>
      </c>
      <c r="H596" t="n">
        <v>627.466</v>
      </c>
      <c r="I596" t="n">
        <v>30</v>
      </c>
      <c r="J596" t="inlineStr">
        <is>
          <t>BTBR</t>
        </is>
      </c>
      <c r="K596" t="inlineStr">
        <is>
          <t>Male</t>
        </is>
      </c>
      <c r="L596" t="inlineStr">
        <is>
          <t>No focal subject</t>
        </is>
      </c>
      <c r="M596" t="n">
        <v>29.066</v>
      </c>
      <c r="N596" t="inlineStr">
        <is>
          <t>Explore_F</t>
        </is>
      </c>
      <c r="O596" t="inlineStr">
        <is>
          <t>Familiar</t>
        </is>
      </c>
      <c r="P596" t="inlineStr">
        <is>
          <t>STATE</t>
        </is>
      </c>
      <c r="Q596" t="n">
        <v>37.467</v>
      </c>
      <c r="R596" t="n">
        <v>37.833</v>
      </c>
      <c r="S596" t="n">
        <v>0.366</v>
      </c>
      <c r="T596" t="inlineStr">
        <is>
          <t>C:/Users/manuel.felline/Documents/BEHAVIOR BTBR/NOR second cohort/BTBR/training/c7_m1.mp4</t>
        </is>
      </c>
      <c r="U596" t="n">
        <v>1520</v>
      </c>
      <c r="V596" t="n">
        <v>1531</v>
      </c>
      <c r="W596" t="n">
        <v/>
      </c>
      <c r="X596" t="n">
        <v/>
      </c>
      <c r="Y596" t="n">
        <v/>
      </c>
      <c r="Z596" t="n">
        <v/>
      </c>
      <c r="AA596">
        <f>SUMIFS($S$2:S596,$A$2:A596,A596,$N$2:N596,"Explore*")</f>
        <v/>
      </c>
      <c r="AB596">
        <f>IF(AND(LEFT(N596,7)="Explore",(AA596-IF(LEFT(N596,7)="Explore",S596,0))&lt;10),"SI","NO")</f>
        <v/>
      </c>
    </row>
    <row r="597">
      <c r="A597" t="inlineStr">
        <is>
          <t>c7m1_training</t>
        </is>
      </c>
      <c r="B597" t="inlineStr">
        <is>
          <t>2026-05-06 11:37:07.125</t>
        </is>
      </c>
      <c r="C597" t="n">
        <v/>
      </c>
      <c r="D597" t="inlineStr">
        <is>
          <t>Media file</t>
        </is>
      </c>
      <c r="E597" t="inlineStr">
        <is>
          <t>player #1:C:/Users/manuel.felline/Documents/BEHAVIOR BTBR/NOR second cohort/BTBR/training/c7_m1.mp4</t>
        </is>
      </c>
      <c r="F597" t="n">
        <v>-13.2</v>
      </c>
      <c r="G597" t="n">
        <v>589.066</v>
      </c>
      <c r="H597" t="n">
        <v>627.466</v>
      </c>
      <c r="I597" t="n">
        <v>30</v>
      </c>
      <c r="J597" t="inlineStr">
        <is>
          <t>BTBR</t>
        </is>
      </c>
      <c r="K597" t="inlineStr">
        <is>
          <t>Male</t>
        </is>
      </c>
      <c r="L597" t="inlineStr">
        <is>
          <t>No focal subject</t>
        </is>
      </c>
      <c r="M597" t="n">
        <v>29.066</v>
      </c>
      <c r="N597" t="inlineStr">
        <is>
          <t>Explore_F2</t>
        </is>
      </c>
      <c r="O597" t="inlineStr">
        <is>
          <t>Second familiar</t>
        </is>
      </c>
      <c r="P597" t="inlineStr">
        <is>
          <t>STATE</t>
        </is>
      </c>
      <c r="Q597" t="n">
        <v>55.433</v>
      </c>
      <c r="R597" t="n">
        <v>57.267</v>
      </c>
      <c r="S597" t="n">
        <v>1.834</v>
      </c>
      <c r="T597" t="inlineStr">
        <is>
          <t>C:/Users/manuel.felline/Documents/BEHAVIOR BTBR/NOR second cohort/BTBR/training/c7_m1.mp4</t>
        </is>
      </c>
      <c r="U597" t="n">
        <v>2058</v>
      </c>
      <c r="V597" t="n">
        <v>2113</v>
      </c>
      <c r="W597" t="n">
        <v/>
      </c>
      <c r="X597" t="n">
        <v/>
      </c>
      <c r="Y597" t="n">
        <v/>
      </c>
      <c r="Z597" t="n">
        <v/>
      </c>
      <c r="AA597">
        <f>SUMIFS($S$2:S597,$A$2:A597,A597,$N$2:N597,"Explore*")</f>
        <v/>
      </c>
      <c r="AB597">
        <f>IF(AND(LEFT(N597,7)="Explore",(AA597-IF(LEFT(N597,7)="Explore",S597,0))&lt;10),"SI","NO")</f>
        <v/>
      </c>
    </row>
    <row r="598">
      <c r="A598" t="inlineStr">
        <is>
          <t>c7m1_training</t>
        </is>
      </c>
      <c r="B598" t="inlineStr">
        <is>
          <t>2026-05-06 11:37:07.125</t>
        </is>
      </c>
      <c r="C598" t="n">
        <v/>
      </c>
      <c r="D598" t="inlineStr">
        <is>
          <t>Media file</t>
        </is>
      </c>
      <c r="E598" t="inlineStr">
        <is>
          <t>player #1:C:/Users/manuel.felline/Documents/BEHAVIOR BTBR/NOR second cohort/BTBR/training/c7_m1.mp4</t>
        </is>
      </c>
      <c r="F598" t="n">
        <v>-13.2</v>
      </c>
      <c r="G598" t="n">
        <v>589.066</v>
      </c>
      <c r="H598" t="n">
        <v>627.466</v>
      </c>
      <c r="I598" t="n">
        <v>30</v>
      </c>
      <c r="J598" t="inlineStr">
        <is>
          <t>BTBR</t>
        </is>
      </c>
      <c r="K598" t="inlineStr">
        <is>
          <t>Male</t>
        </is>
      </c>
      <c r="L598" t="inlineStr">
        <is>
          <t>No focal subject</t>
        </is>
      </c>
      <c r="M598" t="n">
        <v>29.066</v>
      </c>
      <c r="N598" t="inlineStr">
        <is>
          <t>Explore_F2</t>
        </is>
      </c>
      <c r="O598" t="inlineStr">
        <is>
          <t>Second familiar</t>
        </is>
      </c>
      <c r="P598" t="inlineStr">
        <is>
          <t>STATE</t>
        </is>
      </c>
      <c r="Q598" t="n">
        <v>58.167</v>
      </c>
      <c r="R598" t="n">
        <v>58.6</v>
      </c>
      <c r="S598" t="n">
        <v>0.433</v>
      </c>
      <c r="T598" t="inlineStr">
        <is>
          <t>C:/Users/manuel.felline/Documents/BEHAVIOR BTBR/NOR second cohort/BTBR/training/c7_m1.mp4</t>
        </is>
      </c>
      <c r="U598" t="n">
        <v>2140</v>
      </c>
      <c r="V598" t="n">
        <v>2153</v>
      </c>
      <c r="W598" t="n">
        <v/>
      </c>
      <c r="X598" t="n">
        <v/>
      </c>
      <c r="Y598" t="n">
        <v/>
      </c>
      <c r="Z598" t="n">
        <v/>
      </c>
      <c r="AA598">
        <f>SUMIFS($S$2:S598,$A$2:A598,A598,$N$2:N598,"Explore*")</f>
        <v/>
      </c>
      <c r="AB598">
        <f>IF(AND(LEFT(N598,7)="Explore",(AA598-IF(LEFT(N598,7)="Explore",S598,0))&lt;10),"SI","NO")</f>
        <v/>
      </c>
    </row>
    <row r="599">
      <c r="A599" t="inlineStr">
        <is>
          <t>c7m1_training</t>
        </is>
      </c>
      <c r="B599" t="inlineStr">
        <is>
          <t>2026-05-06 11:37:07.125</t>
        </is>
      </c>
      <c r="C599" t="n">
        <v/>
      </c>
      <c r="D599" t="inlineStr">
        <is>
          <t>Media file</t>
        </is>
      </c>
      <c r="E599" t="inlineStr">
        <is>
          <t>player #1:C:/Users/manuel.felline/Documents/BEHAVIOR BTBR/NOR second cohort/BTBR/training/c7_m1.mp4</t>
        </is>
      </c>
      <c r="F599" t="n">
        <v>-13.2</v>
      </c>
      <c r="G599" t="n">
        <v>589.066</v>
      </c>
      <c r="H599" t="n">
        <v>627.466</v>
      </c>
      <c r="I599" t="n">
        <v>30</v>
      </c>
      <c r="J599" t="inlineStr">
        <is>
          <t>BTBR</t>
        </is>
      </c>
      <c r="K599" t="inlineStr">
        <is>
          <t>Male</t>
        </is>
      </c>
      <c r="L599" t="inlineStr">
        <is>
          <t>No focal subject</t>
        </is>
      </c>
      <c r="M599" t="n">
        <v>29.066</v>
      </c>
      <c r="N599" t="inlineStr">
        <is>
          <t>Explore_F2</t>
        </is>
      </c>
      <c r="O599" t="inlineStr">
        <is>
          <t>Second familiar</t>
        </is>
      </c>
      <c r="P599" t="inlineStr">
        <is>
          <t>STATE</t>
        </is>
      </c>
      <c r="Q599" t="n">
        <v>61.467</v>
      </c>
      <c r="R599" t="n">
        <v>62.967</v>
      </c>
      <c r="S599" t="n">
        <v>1.5</v>
      </c>
      <c r="T599" t="inlineStr">
        <is>
          <t>C:/Users/manuel.felline/Documents/BEHAVIOR BTBR/NOR second cohort/BTBR/training/c7_m1.mp4</t>
        </is>
      </c>
      <c r="U599" t="n">
        <v>2239</v>
      </c>
      <c r="V599" t="n">
        <v>2284</v>
      </c>
      <c r="W599" t="n">
        <v/>
      </c>
      <c r="X599" t="n">
        <v/>
      </c>
      <c r="Y599" t="n">
        <v/>
      </c>
      <c r="Z599" t="n">
        <v/>
      </c>
      <c r="AA599">
        <f>SUMIFS($S$2:S599,$A$2:A599,A599,$N$2:N599,"Explore*")</f>
        <v/>
      </c>
      <c r="AB599">
        <f>IF(AND(LEFT(N599,7)="Explore",(AA599-IF(LEFT(N599,7)="Explore",S599,0))&lt;10),"SI","NO")</f>
        <v/>
      </c>
    </row>
    <row r="600">
      <c r="A600" t="inlineStr">
        <is>
          <t>c7m1_training</t>
        </is>
      </c>
      <c r="B600" t="inlineStr">
        <is>
          <t>2026-05-06 11:37:07.125</t>
        </is>
      </c>
      <c r="C600" t="n">
        <v/>
      </c>
      <c r="D600" t="inlineStr">
        <is>
          <t>Media file</t>
        </is>
      </c>
      <c r="E600" t="inlineStr">
        <is>
          <t>player #1:C:/Users/manuel.felline/Documents/BEHAVIOR BTBR/NOR second cohort/BTBR/training/c7_m1.mp4</t>
        </is>
      </c>
      <c r="F600" t="n">
        <v>-13.2</v>
      </c>
      <c r="G600" t="n">
        <v>589.066</v>
      </c>
      <c r="H600" t="n">
        <v>627.466</v>
      </c>
      <c r="I600" t="n">
        <v>30</v>
      </c>
      <c r="J600" t="inlineStr">
        <is>
          <t>BTBR</t>
        </is>
      </c>
      <c r="K600" t="inlineStr">
        <is>
          <t>Male</t>
        </is>
      </c>
      <c r="L600" t="inlineStr">
        <is>
          <t>No focal subject</t>
        </is>
      </c>
      <c r="M600" t="n">
        <v>29.066</v>
      </c>
      <c r="N600" t="inlineStr">
        <is>
          <t>Explore_F</t>
        </is>
      </c>
      <c r="O600" t="inlineStr">
        <is>
          <t>Familiar</t>
        </is>
      </c>
      <c r="P600" t="inlineStr">
        <is>
          <t>STATE</t>
        </is>
      </c>
      <c r="Q600" t="n">
        <v>70.333</v>
      </c>
      <c r="R600" t="n">
        <v>71.8</v>
      </c>
      <c r="S600" t="n">
        <v>1.467</v>
      </c>
      <c r="T600" t="inlineStr">
        <is>
          <t>C:/Users/manuel.felline/Documents/BEHAVIOR BTBR/NOR second cohort/BTBR/training/c7_m1.mp4</t>
        </is>
      </c>
      <c r="U600" t="n">
        <v>2505</v>
      </c>
      <c r="V600" t="n">
        <v>2549</v>
      </c>
      <c r="W600" t="n">
        <v/>
      </c>
      <c r="X600" t="n">
        <v/>
      </c>
      <c r="Y600" t="n">
        <v/>
      </c>
      <c r="Z600" t="n">
        <v/>
      </c>
      <c r="AA600">
        <f>SUMIFS($S$2:S600,$A$2:A600,A600,$N$2:N600,"Explore*")</f>
        <v/>
      </c>
      <c r="AB600">
        <f>IF(AND(LEFT(N600,7)="Explore",(AA600-IF(LEFT(N600,7)="Explore",S600,0))&lt;10),"SI","NO")</f>
        <v/>
      </c>
    </row>
    <row r="601">
      <c r="A601" t="inlineStr">
        <is>
          <t>c7m1_training</t>
        </is>
      </c>
      <c r="B601" t="inlineStr">
        <is>
          <t>2026-05-06 11:37:07.125</t>
        </is>
      </c>
      <c r="C601" t="n">
        <v/>
      </c>
      <c r="D601" t="inlineStr">
        <is>
          <t>Media file</t>
        </is>
      </c>
      <c r="E601" t="inlineStr">
        <is>
          <t>player #1:C:/Users/manuel.felline/Documents/BEHAVIOR BTBR/NOR second cohort/BTBR/training/c7_m1.mp4</t>
        </is>
      </c>
      <c r="F601" t="n">
        <v>-13.2</v>
      </c>
      <c r="G601" t="n">
        <v>589.066</v>
      </c>
      <c r="H601" t="n">
        <v>627.466</v>
      </c>
      <c r="I601" t="n">
        <v>30</v>
      </c>
      <c r="J601" t="inlineStr">
        <is>
          <t>BTBR</t>
        </is>
      </c>
      <c r="K601" t="inlineStr">
        <is>
          <t>Male</t>
        </is>
      </c>
      <c r="L601" t="inlineStr">
        <is>
          <t>No focal subject</t>
        </is>
      </c>
      <c r="M601" t="n">
        <v>29.066</v>
      </c>
      <c r="N601" t="inlineStr">
        <is>
          <t>Explore_F2</t>
        </is>
      </c>
      <c r="O601" t="inlineStr">
        <is>
          <t>Second familiar</t>
        </is>
      </c>
      <c r="P601" t="inlineStr">
        <is>
          <t>STATE</t>
        </is>
      </c>
      <c r="Q601" t="n">
        <v>93.967</v>
      </c>
      <c r="R601" t="n">
        <v>94.833</v>
      </c>
      <c r="S601" t="n">
        <v>0.866</v>
      </c>
      <c r="T601" t="inlineStr">
        <is>
          <t>C:/Users/manuel.felline/Documents/BEHAVIOR BTBR/NOR second cohort/BTBR/training/c7_m1.mp4</t>
        </is>
      </c>
      <c r="U601" t="n">
        <v>3214</v>
      </c>
      <c r="V601" t="n">
        <v>3240</v>
      </c>
      <c r="W601" t="n">
        <v/>
      </c>
      <c r="X601" t="n">
        <v/>
      </c>
      <c r="Y601" t="n">
        <v/>
      </c>
      <c r="Z601" t="n">
        <v/>
      </c>
      <c r="AA601">
        <f>SUMIFS($S$2:S601,$A$2:A601,A601,$N$2:N601,"Explore*")</f>
        <v/>
      </c>
      <c r="AB601">
        <f>IF(AND(LEFT(N601,7)="Explore",(AA601-IF(LEFT(N601,7)="Explore",S601,0))&lt;10),"SI","NO")</f>
        <v/>
      </c>
    </row>
    <row r="602">
      <c r="A602" t="inlineStr">
        <is>
          <t>c7m1_training</t>
        </is>
      </c>
      <c r="B602" t="inlineStr">
        <is>
          <t>2026-05-06 11:37:07.125</t>
        </is>
      </c>
      <c r="C602" t="n">
        <v/>
      </c>
      <c r="D602" t="inlineStr">
        <is>
          <t>Media file</t>
        </is>
      </c>
      <c r="E602" t="inlineStr">
        <is>
          <t>player #1:C:/Users/manuel.felline/Documents/BEHAVIOR BTBR/NOR second cohort/BTBR/training/c7_m1.mp4</t>
        </is>
      </c>
      <c r="F602" t="n">
        <v>-13.2</v>
      </c>
      <c r="G602" t="n">
        <v>589.066</v>
      </c>
      <c r="H602" t="n">
        <v>627.466</v>
      </c>
      <c r="I602" t="n">
        <v>30</v>
      </c>
      <c r="J602" t="inlineStr">
        <is>
          <t>BTBR</t>
        </is>
      </c>
      <c r="K602" t="inlineStr">
        <is>
          <t>Male</t>
        </is>
      </c>
      <c r="L602" t="inlineStr">
        <is>
          <t>No focal subject</t>
        </is>
      </c>
      <c r="M602" t="n">
        <v>29.066</v>
      </c>
      <c r="N602" t="inlineStr">
        <is>
          <t>Explore_F</t>
        </is>
      </c>
      <c r="O602" t="inlineStr">
        <is>
          <t>Familiar</t>
        </is>
      </c>
      <c r="P602" t="inlineStr">
        <is>
          <t>STATE</t>
        </is>
      </c>
      <c r="Q602" t="n">
        <v>117.267</v>
      </c>
      <c r="R602" t="n">
        <v>118.133</v>
      </c>
      <c r="S602" t="n">
        <v>0.866</v>
      </c>
      <c r="T602" t="inlineStr">
        <is>
          <t>C:/Users/manuel.felline/Documents/BEHAVIOR BTBR/NOR second cohort/BTBR/training/c7_m1.mp4</t>
        </is>
      </c>
      <c r="U602" t="n">
        <v>3913</v>
      </c>
      <c r="V602" t="n">
        <v>3939</v>
      </c>
      <c r="W602" t="n">
        <v/>
      </c>
      <c r="X602" t="n">
        <v/>
      </c>
      <c r="Y602" t="n">
        <v/>
      </c>
      <c r="Z602" t="n">
        <v/>
      </c>
      <c r="AA602">
        <f>SUMIFS($S$2:S602,$A$2:A602,A602,$N$2:N602,"Explore*")</f>
        <v/>
      </c>
      <c r="AB602">
        <f>IF(AND(LEFT(N602,7)="Explore",(AA602-IF(LEFT(N602,7)="Explore",S602,0))&lt;10),"SI","NO")</f>
        <v/>
      </c>
    </row>
    <row r="603">
      <c r="A603" t="inlineStr">
        <is>
          <t>c7m1_training</t>
        </is>
      </c>
      <c r="B603" t="inlineStr">
        <is>
          <t>2026-05-06 11:37:07.125</t>
        </is>
      </c>
      <c r="C603" t="n">
        <v/>
      </c>
      <c r="D603" t="inlineStr">
        <is>
          <t>Media file</t>
        </is>
      </c>
      <c r="E603" t="inlineStr">
        <is>
          <t>player #1:C:/Users/manuel.felline/Documents/BEHAVIOR BTBR/NOR second cohort/BTBR/training/c7_m1.mp4</t>
        </is>
      </c>
      <c r="F603" t="n">
        <v>-13.2</v>
      </c>
      <c r="G603" t="n">
        <v>589.066</v>
      </c>
      <c r="H603" t="n">
        <v>627.466</v>
      </c>
      <c r="I603" t="n">
        <v>30</v>
      </c>
      <c r="J603" t="inlineStr">
        <is>
          <t>BTBR</t>
        </is>
      </c>
      <c r="K603" t="inlineStr">
        <is>
          <t>Male</t>
        </is>
      </c>
      <c r="L603" t="inlineStr">
        <is>
          <t>No focal subject</t>
        </is>
      </c>
      <c r="M603" t="n">
        <v>29.066</v>
      </c>
      <c r="N603" t="inlineStr">
        <is>
          <t>Explore_F2</t>
        </is>
      </c>
      <c r="O603" t="inlineStr">
        <is>
          <t>Second familiar</t>
        </is>
      </c>
      <c r="P603" t="inlineStr">
        <is>
          <t>STATE</t>
        </is>
      </c>
      <c r="Q603" t="n">
        <v>118.967</v>
      </c>
      <c r="R603" t="n">
        <v>119.733</v>
      </c>
      <c r="S603" t="n">
        <v>0.766</v>
      </c>
      <c r="T603" t="inlineStr">
        <is>
          <t>C:/Users/manuel.felline/Documents/BEHAVIOR BTBR/NOR second cohort/BTBR/training/c7_m1.mp4</t>
        </is>
      </c>
      <c r="U603" t="n">
        <v>3964</v>
      </c>
      <c r="V603" t="n">
        <v>3987</v>
      </c>
      <c r="W603" t="n">
        <v/>
      </c>
      <c r="X603" t="n">
        <v/>
      </c>
      <c r="Y603" t="n">
        <v/>
      </c>
      <c r="Z603" t="n">
        <v/>
      </c>
      <c r="AA603">
        <f>SUMIFS($S$2:S603,$A$2:A603,A603,$N$2:N603,"Explore*")</f>
        <v/>
      </c>
      <c r="AB603">
        <f>IF(AND(LEFT(N603,7)="Explore",(AA603-IF(LEFT(N603,7)="Explore",S603,0))&lt;10),"SI","NO")</f>
        <v/>
      </c>
    </row>
    <row r="604">
      <c r="A604" t="inlineStr">
        <is>
          <t>c7m1_training</t>
        </is>
      </c>
      <c r="B604" t="inlineStr">
        <is>
          <t>2026-05-06 11:37:07.125</t>
        </is>
      </c>
      <c r="C604" t="n">
        <v/>
      </c>
      <c r="D604" t="inlineStr">
        <is>
          <t>Media file</t>
        </is>
      </c>
      <c r="E604" t="inlineStr">
        <is>
          <t>player #1:C:/Users/manuel.felline/Documents/BEHAVIOR BTBR/NOR second cohort/BTBR/training/c7_m1.mp4</t>
        </is>
      </c>
      <c r="F604" t="n">
        <v>-13.2</v>
      </c>
      <c r="G604" t="n">
        <v>589.066</v>
      </c>
      <c r="H604" t="n">
        <v>627.466</v>
      </c>
      <c r="I604" t="n">
        <v>30</v>
      </c>
      <c r="J604" t="inlineStr">
        <is>
          <t>BTBR</t>
        </is>
      </c>
      <c r="K604" t="inlineStr">
        <is>
          <t>Male</t>
        </is>
      </c>
      <c r="L604" t="inlineStr">
        <is>
          <t>No focal subject</t>
        </is>
      </c>
      <c r="M604" t="n">
        <v>29.066</v>
      </c>
      <c r="N604" t="inlineStr">
        <is>
          <t>Explore_F2</t>
        </is>
      </c>
      <c r="O604" t="inlineStr">
        <is>
          <t>Second familiar</t>
        </is>
      </c>
      <c r="P604" t="inlineStr">
        <is>
          <t>STATE</t>
        </is>
      </c>
      <c r="Q604" t="n">
        <v>124.167</v>
      </c>
      <c r="R604" t="n">
        <v>124.5</v>
      </c>
      <c r="S604" t="n">
        <v>0.333</v>
      </c>
      <c r="T604" t="inlineStr">
        <is>
          <t>C:/Users/manuel.felline/Documents/BEHAVIOR BTBR/NOR second cohort/BTBR/training/c7_m1.mp4</t>
        </is>
      </c>
      <c r="U604" t="n">
        <v>4120</v>
      </c>
      <c r="V604" t="n">
        <v>4130</v>
      </c>
      <c r="W604" t="n">
        <v/>
      </c>
      <c r="X604" t="n">
        <v/>
      </c>
      <c r="Y604" t="n">
        <v/>
      </c>
      <c r="Z604" t="n">
        <v/>
      </c>
      <c r="AA604">
        <f>SUMIFS($S$2:S604,$A$2:A604,A604,$N$2:N604,"Explore*")</f>
        <v/>
      </c>
      <c r="AB604">
        <f>IF(AND(LEFT(N604,7)="Explore",(AA604-IF(LEFT(N604,7)="Explore",S604,0))&lt;10),"SI","NO")</f>
        <v/>
      </c>
    </row>
    <row r="605">
      <c r="A605" t="inlineStr">
        <is>
          <t>c7m1_training</t>
        </is>
      </c>
      <c r="B605" t="inlineStr">
        <is>
          <t>2026-05-06 11:37:07.125</t>
        </is>
      </c>
      <c r="C605" t="n">
        <v/>
      </c>
      <c r="D605" t="inlineStr">
        <is>
          <t>Media file</t>
        </is>
      </c>
      <c r="E605" t="inlineStr">
        <is>
          <t>player #1:C:/Users/manuel.felline/Documents/BEHAVIOR BTBR/NOR second cohort/BTBR/training/c7_m1.mp4</t>
        </is>
      </c>
      <c r="F605" t="n">
        <v>-13.2</v>
      </c>
      <c r="G605" t="n">
        <v>589.066</v>
      </c>
      <c r="H605" t="n">
        <v>627.466</v>
      </c>
      <c r="I605" t="n">
        <v>30</v>
      </c>
      <c r="J605" t="inlineStr">
        <is>
          <t>BTBR</t>
        </is>
      </c>
      <c r="K605" t="inlineStr">
        <is>
          <t>Male</t>
        </is>
      </c>
      <c r="L605" t="inlineStr">
        <is>
          <t>No focal subject</t>
        </is>
      </c>
      <c r="M605" t="n">
        <v>29.066</v>
      </c>
      <c r="N605" t="inlineStr">
        <is>
          <t>Explore_F2</t>
        </is>
      </c>
      <c r="O605" t="inlineStr">
        <is>
          <t>Second familiar</t>
        </is>
      </c>
      <c r="P605" t="inlineStr">
        <is>
          <t>STATE</t>
        </is>
      </c>
      <c r="Q605" t="n">
        <v>130.933</v>
      </c>
      <c r="R605" t="n">
        <v>132.8</v>
      </c>
      <c r="S605" t="n">
        <v>1.867</v>
      </c>
      <c r="T605" t="inlineStr">
        <is>
          <t>C:/Users/manuel.felline/Documents/BEHAVIOR BTBR/NOR second cohort/BTBR/training/c7_m1.mp4</t>
        </is>
      </c>
      <c r="U605" t="n">
        <v>4323</v>
      </c>
      <c r="V605" t="n">
        <v>4379</v>
      </c>
      <c r="W605" t="n">
        <v/>
      </c>
      <c r="X605" t="n">
        <v/>
      </c>
      <c r="Y605" t="n">
        <v/>
      </c>
      <c r="Z605" t="n">
        <v/>
      </c>
      <c r="AA605">
        <f>SUMIFS($S$2:S605,$A$2:A605,A605,$N$2:N605,"Explore*")</f>
        <v/>
      </c>
      <c r="AB605">
        <f>IF(AND(LEFT(N605,7)="Explore",(AA605-IF(LEFT(N605,7)="Explore",S605,0))&lt;10),"SI","NO")</f>
        <v/>
      </c>
    </row>
    <row r="606">
      <c r="A606" t="inlineStr">
        <is>
          <t>c7m1_training</t>
        </is>
      </c>
      <c r="B606" t="inlineStr">
        <is>
          <t>2026-05-06 11:37:07.125</t>
        </is>
      </c>
      <c r="C606" t="n">
        <v/>
      </c>
      <c r="D606" t="inlineStr">
        <is>
          <t>Media file</t>
        </is>
      </c>
      <c r="E606" t="inlineStr">
        <is>
          <t>player #1:C:/Users/manuel.felline/Documents/BEHAVIOR BTBR/NOR second cohort/BTBR/training/c7_m1.mp4</t>
        </is>
      </c>
      <c r="F606" t="n">
        <v>-13.2</v>
      </c>
      <c r="G606" t="n">
        <v>589.066</v>
      </c>
      <c r="H606" t="n">
        <v>627.466</v>
      </c>
      <c r="I606" t="n">
        <v>30</v>
      </c>
      <c r="J606" t="inlineStr">
        <is>
          <t>BTBR</t>
        </is>
      </c>
      <c r="K606" t="inlineStr">
        <is>
          <t>Male</t>
        </is>
      </c>
      <c r="L606" t="inlineStr">
        <is>
          <t>No focal subject</t>
        </is>
      </c>
      <c r="M606" t="n">
        <v>29.066</v>
      </c>
      <c r="N606" t="inlineStr">
        <is>
          <t>Explore_F</t>
        </is>
      </c>
      <c r="O606" t="inlineStr">
        <is>
          <t>Familiar</t>
        </is>
      </c>
      <c r="P606" t="inlineStr">
        <is>
          <t>STATE</t>
        </is>
      </c>
      <c r="Q606" t="n">
        <v>136.967</v>
      </c>
      <c r="R606" t="n">
        <v>138.067</v>
      </c>
      <c r="S606" t="n">
        <v>1.1</v>
      </c>
      <c r="T606" t="inlineStr">
        <is>
          <t>C:/Users/manuel.felline/Documents/BEHAVIOR BTBR/NOR second cohort/BTBR/training/c7_m1.mp4</t>
        </is>
      </c>
      <c r="U606" t="n">
        <v>4504</v>
      </c>
      <c r="V606" t="n">
        <v>4537</v>
      </c>
      <c r="W606" t="n">
        <v/>
      </c>
      <c r="X606" t="n">
        <v/>
      </c>
      <c r="Y606" t="n">
        <v/>
      </c>
      <c r="Z606" t="n">
        <v/>
      </c>
      <c r="AA606">
        <f>SUMIFS($S$2:S606,$A$2:A606,A606,$N$2:N606,"Explore*")</f>
        <v/>
      </c>
      <c r="AB606">
        <f>IF(AND(LEFT(N606,7)="Explore",(AA606-IF(LEFT(N606,7)="Explore",S606,0))&lt;10),"SI","NO")</f>
        <v/>
      </c>
    </row>
    <row r="607">
      <c r="A607" t="inlineStr">
        <is>
          <t>c7m1_training</t>
        </is>
      </c>
      <c r="B607" t="inlineStr">
        <is>
          <t>2026-05-06 11:37:07.125</t>
        </is>
      </c>
      <c r="C607" t="n">
        <v/>
      </c>
      <c r="D607" t="inlineStr">
        <is>
          <t>Media file</t>
        </is>
      </c>
      <c r="E607" t="inlineStr">
        <is>
          <t>player #1:C:/Users/manuel.felline/Documents/BEHAVIOR BTBR/NOR second cohort/BTBR/training/c7_m1.mp4</t>
        </is>
      </c>
      <c r="F607" t="n">
        <v>-13.2</v>
      </c>
      <c r="G607" t="n">
        <v>589.066</v>
      </c>
      <c r="H607" t="n">
        <v>627.466</v>
      </c>
      <c r="I607" t="n">
        <v>30</v>
      </c>
      <c r="J607" t="inlineStr">
        <is>
          <t>BTBR</t>
        </is>
      </c>
      <c r="K607" t="inlineStr">
        <is>
          <t>Male</t>
        </is>
      </c>
      <c r="L607" t="inlineStr">
        <is>
          <t>No focal subject</t>
        </is>
      </c>
      <c r="M607" t="n">
        <v>29.066</v>
      </c>
      <c r="N607" t="inlineStr">
        <is>
          <t>Explore_F2</t>
        </is>
      </c>
      <c r="O607" t="inlineStr">
        <is>
          <t>Second familiar</t>
        </is>
      </c>
      <c r="P607" t="inlineStr">
        <is>
          <t>STATE</t>
        </is>
      </c>
      <c r="Q607" t="n">
        <v>168.266</v>
      </c>
      <c r="R607" t="n">
        <v>169.2</v>
      </c>
      <c r="S607" t="n">
        <v>0.9340000000000001</v>
      </c>
      <c r="T607" t="inlineStr">
        <is>
          <t>C:/Users/manuel.felline/Documents/BEHAVIOR BTBR/NOR second cohort/BTBR/training/c7_m1.mp4</t>
        </is>
      </c>
      <c r="U607" t="n">
        <v>5443</v>
      </c>
      <c r="V607" t="n">
        <v>5471</v>
      </c>
      <c r="W607" t="n">
        <v/>
      </c>
      <c r="X607" t="n">
        <v/>
      </c>
      <c r="Y607" t="n">
        <v/>
      </c>
      <c r="Z607" t="n">
        <v/>
      </c>
      <c r="AA607">
        <f>SUMIFS($S$2:S607,$A$2:A607,A607,$N$2:N607,"Explore*")</f>
        <v/>
      </c>
      <c r="AB607">
        <f>IF(AND(LEFT(N607,7)="Explore",(AA607-IF(LEFT(N607,7)="Explore",S607,0))&lt;10),"SI","NO")</f>
        <v/>
      </c>
    </row>
    <row r="608">
      <c r="A608" t="inlineStr">
        <is>
          <t>c7m1_training</t>
        </is>
      </c>
      <c r="B608" t="inlineStr">
        <is>
          <t>2026-05-06 11:37:07.125</t>
        </is>
      </c>
      <c r="C608" t="n">
        <v/>
      </c>
      <c r="D608" t="inlineStr">
        <is>
          <t>Media file</t>
        </is>
      </c>
      <c r="E608" t="inlineStr">
        <is>
          <t>player #1:C:/Users/manuel.felline/Documents/BEHAVIOR BTBR/NOR second cohort/BTBR/training/c7_m1.mp4</t>
        </is>
      </c>
      <c r="F608" t="n">
        <v>-13.2</v>
      </c>
      <c r="G608" t="n">
        <v>589.066</v>
      </c>
      <c r="H608" t="n">
        <v>627.466</v>
      </c>
      <c r="I608" t="n">
        <v>30</v>
      </c>
      <c r="J608" t="inlineStr">
        <is>
          <t>BTBR</t>
        </is>
      </c>
      <c r="K608" t="inlineStr">
        <is>
          <t>Male</t>
        </is>
      </c>
      <c r="L608" t="inlineStr">
        <is>
          <t>No focal subject</t>
        </is>
      </c>
      <c r="M608" t="n">
        <v>29.066</v>
      </c>
      <c r="N608" t="inlineStr">
        <is>
          <t>Explore_F</t>
        </is>
      </c>
      <c r="O608" t="inlineStr">
        <is>
          <t>Familiar</t>
        </is>
      </c>
      <c r="P608" t="inlineStr">
        <is>
          <t>STATE</t>
        </is>
      </c>
      <c r="Q608" t="n">
        <v>176</v>
      </c>
      <c r="R608" t="n">
        <v>176.5</v>
      </c>
      <c r="S608" t="n">
        <v>0.5</v>
      </c>
      <c r="T608" t="inlineStr">
        <is>
          <t>C:/Users/manuel.felline/Documents/BEHAVIOR BTBR/NOR second cohort/BTBR/training/c7_m1.mp4</t>
        </is>
      </c>
      <c r="U608" t="n">
        <v>5674</v>
      </c>
      <c r="V608" t="n">
        <v>5689</v>
      </c>
      <c r="W608" t="n">
        <v/>
      </c>
      <c r="X608" t="n">
        <v/>
      </c>
      <c r="Y608" t="n">
        <v/>
      </c>
      <c r="Z608" t="n">
        <v/>
      </c>
      <c r="AA608">
        <f>SUMIFS($S$2:S608,$A$2:A608,A608,$N$2:N608,"Explore*")</f>
        <v/>
      </c>
      <c r="AB608">
        <f>IF(AND(LEFT(N608,7)="Explore",(AA608-IF(LEFT(N608,7)="Explore",S608,0))&lt;10),"SI","NO")</f>
        <v/>
      </c>
    </row>
    <row r="609">
      <c r="A609" t="inlineStr">
        <is>
          <t>c7m1_training</t>
        </is>
      </c>
      <c r="B609" t="inlineStr">
        <is>
          <t>2026-05-06 11:37:07.125</t>
        </is>
      </c>
      <c r="C609" t="n">
        <v/>
      </c>
      <c r="D609" t="inlineStr">
        <is>
          <t>Media file</t>
        </is>
      </c>
      <c r="E609" t="inlineStr">
        <is>
          <t>player #1:C:/Users/manuel.felline/Documents/BEHAVIOR BTBR/NOR second cohort/BTBR/training/c7_m1.mp4</t>
        </is>
      </c>
      <c r="F609" t="n">
        <v>-13.2</v>
      </c>
      <c r="G609" t="n">
        <v>589.066</v>
      </c>
      <c r="H609" t="n">
        <v>627.466</v>
      </c>
      <c r="I609" t="n">
        <v>30</v>
      </c>
      <c r="J609" t="inlineStr">
        <is>
          <t>BTBR</t>
        </is>
      </c>
      <c r="K609" t="inlineStr">
        <is>
          <t>Male</t>
        </is>
      </c>
      <c r="L609" t="inlineStr">
        <is>
          <t>No focal subject</t>
        </is>
      </c>
      <c r="M609" t="n">
        <v>29.066</v>
      </c>
      <c r="N609" t="inlineStr">
        <is>
          <t>Explore_F2</t>
        </is>
      </c>
      <c r="O609" t="inlineStr">
        <is>
          <t>Second familiar</t>
        </is>
      </c>
      <c r="P609" t="inlineStr">
        <is>
          <t>STATE</t>
        </is>
      </c>
      <c r="Q609" t="n">
        <v>227.233</v>
      </c>
      <c r="R609" t="n">
        <v>228.166</v>
      </c>
      <c r="S609" t="n">
        <v>0.9330000000000001</v>
      </c>
      <c r="T609" t="inlineStr">
        <is>
          <t>C:/Users/manuel.felline/Documents/BEHAVIOR BTBR/NOR second cohort/BTBR/training/c7_m1.mp4</t>
        </is>
      </c>
      <c r="U609" t="n">
        <v>7211</v>
      </c>
      <c r="V609" t="n">
        <v>7239</v>
      </c>
      <c r="W609" t="n">
        <v/>
      </c>
      <c r="X609" t="n">
        <v/>
      </c>
      <c r="Y609" t="n">
        <v/>
      </c>
      <c r="Z609" t="n">
        <v/>
      </c>
      <c r="AA609">
        <f>SUMIFS($S$2:S609,$A$2:A609,A609,$N$2:N609,"Explore*")</f>
        <v/>
      </c>
      <c r="AB609">
        <f>IF(AND(LEFT(N609,7)="Explore",(AA609-IF(LEFT(N609,7)="Explore",S609,0))&lt;10),"SI","NO")</f>
        <v/>
      </c>
    </row>
    <row r="610">
      <c r="A610" t="inlineStr">
        <is>
          <t>c7m1_training</t>
        </is>
      </c>
      <c r="B610" t="inlineStr">
        <is>
          <t>2026-05-06 11:37:07.125</t>
        </is>
      </c>
      <c r="C610" t="n">
        <v/>
      </c>
      <c r="D610" t="inlineStr">
        <is>
          <t>Media file</t>
        </is>
      </c>
      <c r="E610" t="inlineStr">
        <is>
          <t>player #1:C:/Users/manuel.felline/Documents/BEHAVIOR BTBR/NOR second cohort/BTBR/training/c7_m1.mp4</t>
        </is>
      </c>
      <c r="F610" t="n">
        <v>-13.2</v>
      </c>
      <c r="G610" t="n">
        <v>589.066</v>
      </c>
      <c r="H610" t="n">
        <v>627.466</v>
      </c>
      <c r="I610" t="n">
        <v>30</v>
      </c>
      <c r="J610" t="inlineStr">
        <is>
          <t>BTBR</t>
        </is>
      </c>
      <c r="K610" t="inlineStr">
        <is>
          <t>Male</t>
        </is>
      </c>
      <c r="L610" t="inlineStr">
        <is>
          <t>No focal subject</t>
        </is>
      </c>
      <c r="M610" t="n">
        <v>29.066</v>
      </c>
      <c r="N610" t="inlineStr">
        <is>
          <t>Explore_F2</t>
        </is>
      </c>
      <c r="O610" t="inlineStr">
        <is>
          <t>Second familiar</t>
        </is>
      </c>
      <c r="P610" t="inlineStr">
        <is>
          <t>STATE</t>
        </is>
      </c>
      <c r="Q610" t="n">
        <v>250.6</v>
      </c>
      <c r="R610" t="n">
        <v>251.2</v>
      </c>
      <c r="S610" t="n">
        <v>0.6</v>
      </c>
      <c r="T610" t="inlineStr">
        <is>
          <t>C:/Users/manuel.felline/Documents/BEHAVIOR BTBR/NOR second cohort/BTBR/training/c7_m1.mp4</t>
        </is>
      </c>
      <c r="U610" t="n">
        <v>7912</v>
      </c>
      <c r="V610" t="n">
        <v>7930</v>
      </c>
      <c r="W610" t="n">
        <v/>
      </c>
      <c r="X610" t="n">
        <v/>
      </c>
      <c r="Y610" t="n">
        <v/>
      </c>
      <c r="Z610" t="n">
        <v/>
      </c>
      <c r="AA610">
        <f>SUMIFS($S$2:S610,$A$2:A610,A610,$N$2:N610,"Explore*")</f>
        <v/>
      </c>
      <c r="AB610">
        <f>IF(AND(LEFT(N610,7)="Explore",(AA610-IF(LEFT(N610,7)="Explore",S610,0))&lt;10),"SI","NO")</f>
        <v/>
      </c>
    </row>
    <row r="611">
      <c r="A611" t="inlineStr">
        <is>
          <t>c7m1_training</t>
        </is>
      </c>
      <c r="B611" t="inlineStr">
        <is>
          <t>2026-05-06 11:37:07.125</t>
        </is>
      </c>
      <c r="C611" t="n">
        <v/>
      </c>
      <c r="D611" t="inlineStr">
        <is>
          <t>Media file</t>
        </is>
      </c>
      <c r="E611" t="inlineStr">
        <is>
          <t>player #1:C:/Users/manuel.felline/Documents/BEHAVIOR BTBR/NOR second cohort/BTBR/training/c7_m1.mp4</t>
        </is>
      </c>
      <c r="F611" t="n">
        <v>-13.2</v>
      </c>
      <c r="G611" t="n">
        <v>589.066</v>
      </c>
      <c r="H611" t="n">
        <v>627.466</v>
      </c>
      <c r="I611" t="n">
        <v>30</v>
      </c>
      <c r="J611" t="inlineStr">
        <is>
          <t>BTBR</t>
        </is>
      </c>
      <c r="K611" t="inlineStr">
        <is>
          <t>Male</t>
        </is>
      </c>
      <c r="L611" t="inlineStr">
        <is>
          <t>No focal subject</t>
        </is>
      </c>
      <c r="M611" t="n">
        <v>29.066</v>
      </c>
      <c r="N611" t="inlineStr">
        <is>
          <t>Explore_F</t>
        </is>
      </c>
      <c r="O611" t="inlineStr">
        <is>
          <t>Familiar</t>
        </is>
      </c>
      <c r="P611" t="inlineStr">
        <is>
          <t>STATE</t>
        </is>
      </c>
      <c r="Q611" t="n">
        <v>264.1</v>
      </c>
      <c r="R611" t="n">
        <v>264.666</v>
      </c>
      <c r="S611" t="n">
        <v>0.5659999999999999</v>
      </c>
      <c r="T611" t="inlineStr">
        <is>
          <t>C:/Users/manuel.felline/Documents/BEHAVIOR BTBR/NOR second cohort/BTBR/training/c7_m1.mp4</t>
        </is>
      </c>
      <c r="U611" t="n">
        <v>8317</v>
      </c>
      <c r="V611" t="n">
        <v>8334</v>
      </c>
      <c r="W611" t="n">
        <v/>
      </c>
      <c r="X611" t="n">
        <v/>
      </c>
      <c r="Y611" t="n">
        <v/>
      </c>
      <c r="Z611" t="n">
        <v/>
      </c>
      <c r="AA611">
        <f>SUMIFS($S$2:S611,$A$2:A611,A611,$N$2:N611,"Explore*")</f>
        <v/>
      </c>
      <c r="AB611">
        <f>IF(AND(LEFT(N611,7)="Explore",(AA611-IF(LEFT(N611,7)="Explore",S611,0))&lt;10),"SI","NO")</f>
        <v/>
      </c>
    </row>
    <row r="612">
      <c r="A612" t="inlineStr">
        <is>
          <t>c7m1_training</t>
        </is>
      </c>
      <c r="B612" t="inlineStr">
        <is>
          <t>2026-05-06 11:37:07.125</t>
        </is>
      </c>
      <c r="C612" t="n">
        <v/>
      </c>
      <c r="D612" t="inlineStr">
        <is>
          <t>Media file</t>
        </is>
      </c>
      <c r="E612" t="inlineStr">
        <is>
          <t>player #1:C:/Users/manuel.felline/Documents/BEHAVIOR BTBR/NOR second cohort/BTBR/training/c7_m1.mp4</t>
        </is>
      </c>
      <c r="F612" t="n">
        <v>-13.2</v>
      </c>
      <c r="G612" t="n">
        <v>589.066</v>
      </c>
      <c r="H612" t="n">
        <v>627.466</v>
      </c>
      <c r="I612" t="n">
        <v>30</v>
      </c>
      <c r="J612" t="inlineStr">
        <is>
          <t>BTBR</t>
        </is>
      </c>
      <c r="K612" t="inlineStr">
        <is>
          <t>Male</t>
        </is>
      </c>
      <c r="L612" t="inlineStr">
        <is>
          <t>No focal subject</t>
        </is>
      </c>
      <c r="M612" t="n">
        <v>29.066</v>
      </c>
      <c r="N612" t="inlineStr">
        <is>
          <t>Explore_F2</t>
        </is>
      </c>
      <c r="O612" t="inlineStr">
        <is>
          <t>Second familiar</t>
        </is>
      </c>
      <c r="P612" t="inlineStr">
        <is>
          <t>STATE</t>
        </is>
      </c>
      <c r="Q612" t="n">
        <v>270.433</v>
      </c>
      <c r="R612" t="n">
        <v>271.033</v>
      </c>
      <c r="S612" t="n">
        <v>0.6</v>
      </c>
      <c r="T612" t="inlineStr">
        <is>
          <t>C:/Users/manuel.felline/Documents/BEHAVIOR BTBR/NOR second cohort/BTBR/training/c7_m1.mp4</t>
        </is>
      </c>
      <c r="U612" t="n">
        <v>8507</v>
      </c>
      <c r="V612" t="n">
        <v>8525</v>
      </c>
      <c r="W612" t="n">
        <v/>
      </c>
      <c r="X612" t="n">
        <v/>
      </c>
      <c r="Y612" t="n">
        <v/>
      </c>
      <c r="Z612" t="n">
        <v/>
      </c>
      <c r="AA612">
        <f>SUMIFS($S$2:S612,$A$2:A612,A612,$N$2:N612,"Explore*")</f>
        <v/>
      </c>
      <c r="AB612">
        <f>IF(AND(LEFT(N612,7)="Explore",(AA612-IF(LEFT(N612,7)="Explore",S612,0))&lt;10),"SI","NO")</f>
        <v/>
      </c>
    </row>
    <row r="613">
      <c r="A613" t="inlineStr">
        <is>
          <t>c7m1_training</t>
        </is>
      </c>
      <c r="B613" t="inlineStr">
        <is>
          <t>2026-05-06 11:37:07.125</t>
        </is>
      </c>
      <c r="C613" t="n">
        <v/>
      </c>
      <c r="D613" t="inlineStr">
        <is>
          <t>Media file</t>
        </is>
      </c>
      <c r="E613" t="inlineStr">
        <is>
          <t>player #1:C:/Users/manuel.felline/Documents/BEHAVIOR BTBR/NOR second cohort/BTBR/training/c7_m1.mp4</t>
        </is>
      </c>
      <c r="F613" t="n">
        <v>-13.2</v>
      </c>
      <c r="G613" t="n">
        <v>589.066</v>
      </c>
      <c r="H613" t="n">
        <v>627.466</v>
      </c>
      <c r="I613" t="n">
        <v>30</v>
      </c>
      <c r="J613" t="inlineStr">
        <is>
          <t>BTBR</t>
        </is>
      </c>
      <c r="K613" t="inlineStr">
        <is>
          <t>Male</t>
        </is>
      </c>
      <c r="L613" t="inlineStr">
        <is>
          <t>No focal subject</t>
        </is>
      </c>
      <c r="M613" t="n">
        <v>29.066</v>
      </c>
      <c r="N613" t="inlineStr">
        <is>
          <t>Explore_F</t>
        </is>
      </c>
      <c r="O613" t="inlineStr">
        <is>
          <t>Familiar</t>
        </is>
      </c>
      <c r="P613" t="inlineStr">
        <is>
          <t>STATE</t>
        </is>
      </c>
      <c r="Q613" t="n">
        <v>288.866</v>
      </c>
      <c r="R613" t="n">
        <v>289.366</v>
      </c>
      <c r="S613" t="n">
        <v>0.5</v>
      </c>
      <c r="T613" t="inlineStr">
        <is>
          <t>C:/Users/manuel.felline/Documents/BEHAVIOR BTBR/NOR second cohort/BTBR/training/c7_m1.mp4</t>
        </is>
      </c>
      <c r="U613" t="n">
        <v>9060</v>
      </c>
      <c r="V613" t="n">
        <v>9075</v>
      </c>
      <c r="W613" t="n">
        <v/>
      </c>
      <c r="X613" t="n">
        <v/>
      </c>
      <c r="Y613" t="n">
        <v/>
      </c>
      <c r="Z613" t="n">
        <v/>
      </c>
      <c r="AA613">
        <f>SUMIFS($S$2:S613,$A$2:A613,A613,$N$2:N613,"Explore*")</f>
        <v/>
      </c>
      <c r="AB613">
        <f>IF(AND(LEFT(N613,7)="Explore",(AA613-IF(LEFT(N613,7)="Explore",S613,0))&lt;10),"SI","NO")</f>
        <v/>
      </c>
    </row>
    <row r="614">
      <c r="A614" t="inlineStr">
        <is>
          <t>c7m1_training</t>
        </is>
      </c>
      <c r="B614" t="inlineStr">
        <is>
          <t>2026-05-06 11:37:07.125</t>
        </is>
      </c>
      <c r="C614" t="n">
        <v/>
      </c>
      <c r="D614" t="inlineStr">
        <is>
          <t>Media file</t>
        </is>
      </c>
      <c r="E614" t="inlineStr">
        <is>
          <t>player #1:C:/Users/manuel.felline/Documents/BEHAVIOR BTBR/NOR second cohort/BTBR/training/c7_m1.mp4</t>
        </is>
      </c>
      <c r="F614" t="n">
        <v>-13.2</v>
      </c>
      <c r="G614" t="n">
        <v>589.066</v>
      </c>
      <c r="H614" t="n">
        <v>627.466</v>
      </c>
      <c r="I614" t="n">
        <v>30</v>
      </c>
      <c r="J614" t="inlineStr">
        <is>
          <t>BTBR</t>
        </is>
      </c>
      <c r="K614" t="inlineStr">
        <is>
          <t>Male</t>
        </is>
      </c>
      <c r="L614" t="inlineStr">
        <is>
          <t>No focal subject</t>
        </is>
      </c>
      <c r="M614" t="n">
        <v>29.066</v>
      </c>
      <c r="N614" t="inlineStr">
        <is>
          <t>Explore_F2</t>
        </is>
      </c>
      <c r="O614" t="inlineStr">
        <is>
          <t>Second familiar</t>
        </is>
      </c>
      <c r="P614" t="inlineStr">
        <is>
          <t>STATE</t>
        </is>
      </c>
      <c r="Q614" t="n">
        <v>338.933</v>
      </c>
      <c r="R614" t="n">
        <v>339.4</v>
      </c>
      <c r="S614" t="n">
        <v>0.467</v>
      </c>
      <c r="T614" t="inlineStr">
        <is>
          <t>C:/Users/manuel.felline/Documents/BEHAVIOR BTBR/NOR second cohort/BTBR/training/c7_m1.mp4</t>
        </is>
      </c>
      <c r="U614" t="n">
        <v>10561</v>
      </c>
      <c r="V614" t="n">
        <v>10575</v>
      </c>
      <c r="W614" t="n">
        <v/>
      </c>
      <c r="X614" t="n">
        <v/>
      </c>
      <c r="Y614" t="n">
        <v/>
      </c>
      <c r="Z614" t="n">
        <v/>
      </c>
      <c r="AA614">
        <f>SUMIFS($S$2:S614,$A$2:A614,A614,$N$2:N614,"Explore*")</f>
        <v/>
      </c>
      <c r="AB614">
        <f>IF(AND(LEFT(N614,7)="Explore",(AA614-IF(LEFT(N614,7)="Explore",S614,0))&lt;10),"SI","NO")</f>
        <v/>
      </c>
    </row>
    <row r="615">
      <c r="A615" t="inlineStr">
        <is>
          <t>c7m1_training</t>
        </is>
      </c>
      <c r="B615" t="inlineStr">
        <is>
          <t>2026-05-06 11:37:07.125</t>
        </is>
      </c>
      <c r="C615" t="n">
        <v/>
      </c>
      <c r="D615" t="inlineStr">
        <is>
          <t>Media file</t>
        </is>
      </c>
      <c r="E615" t="inlineStr">
        <is>
          <t>player #1:C:/Users/manuel.felline/Documents/BEHAVIOR BTBR/NOR second cohort/BTBR/training/c7_m1.mp4</t>
        </is>
      </c>
      <c r="F615" t="n">
        <v>-13.2</v>
      </c>
      <c r="G615" t="n">
        <v>589.066</v>
      </c>
      <c r="H615" t="n">
        <v>627.466</v>
      </c>
      <c r="I615" t="n">
        <v>30</v>
      </c>
      <c r="J615" t="inlineStr">
        <is>
          <t>BTBR</t>
        </is>
      </c>
      <c r="K615" t="inlineStr">
        <is>
          <t>Male</t>
        </is>
      </c>
      <c r="L615" t="inlineStr">
        <is>
          <t>No focal subject</t>
        </is>
      </c>
      <c r="M615" t="n">
        <v>29.066</v>
      </c>
      <c r="N615" t="inlineStr">
        <is>
          <t>Explore_F2</t>
        </is>
      </c>
      <c r="O615" t="inlineStr">
        <is>
          <t>Second familiar</t>
        </is>
      </c>
      <c r="P615" t="inlineStr">
        <is>
          <t>STATE</t>
        </is>
      </c>
      <c r="Q615" t="n">
        <v>382.433</v>
      </c>
      <c r="R615" t="n">
        <v>383.033</v>
      </c>
      <c r="S615" t="n">
        <v>0.6</v>
      </c>
      <c r="T615" t="inlineStr">
        <is>
          <t>C:/Users/manuel.felline/Documents/BEHAVIOR BTBR/NOR second cohort/BTBR/training/c7_m1.mp4</t>
        </is>
      </c>
      <c r="U615" t="n">
        <v>11866</v>
      </c>
      <c r="V615" t="n">
        <v>11884</v>
      </c>
      <c r="W615" t="n">
        <v/>
      </c>
      <c r="X615" t="n">
        <v/>
      </c>
      <c r="Y615" t="n">
        <v/>
      </c>
      <c r="Z615" t="n">
        <v/>
      </c>
      <c r="AA615">
        <f>SUMIFS($S$2:S615,$A$2:A615,A615,$N$2:N615,"Explore*")</f>
        <v/>
      </c>
      <c r="AB615">
        <f>IF(AND(LEFT(N615,7)="Explore",(AA615-IF(LEFT(N615,7)="Explore",S615,0))&lt;10),"SI","NO")</f>
        <v/>
      </c>
    </row>
    <row r="616">
      <c r="A616" t="inlineStr">
        <is>
          <t>c7m1_training</t>
        </is>
      </c>
      <c r="B616" t="inlineStr">
        <is>
          <t>2026-05-06 11:37:07.125</t>
        </is>
      </c>
      <c r="C616" t="n">
        <v/>
      </c>
      <c r="D616" t="inlineStr">
        <is>
          <t>Media file</t>
        </is>
      </c>
      <c r="E616" t="inlineStr">
        <is>
          <t>player #1:C:/Users/manuel.felline/Documents/BEHAVIOR BTBR/NOR second cohort/BTBR/training/c7_m1.mp4</t>
        </is>
      </c>
      <c r="F616" t="n">
        <v>-13.2</v>
      </c>
      <c r="G616" t="n">
        <v>589.066</v>
      </c>
      <c r="H616" t="n">
        <v>627.466</v>
      </c>
      <c r="I616" t="n">
        <v>30</v>
      </c>
      <c r="J616" t="inlineStr">
        <is>
          <t>BTBR</t>
        </is>
      </c>
      <c r="K616" t="inlineStr">
        <is>
          <t>Male</t>
        </is>
      </c>
      <c r="L616" t="inlineStr">
        <is>
          <t>No focal subject</t>
        </is>
      </c>
      <c r="M616" t="n">
        <v>29.066</v>
      </c>
      <c r="N616" t="inlineStr">
        <is>
          <t>Explore_F</t>
        </is>
      </c>
      <c r="O616" t="inlineStr">
        <is>
          <t>Familiar</t>
        </is>
      </c>
      <c r="P616" t="inlineStr">
        <is>
          <t>STATE</t>
        </is>
      </c>
      <c r="Q616" t="n">
        <v>409.133</v>
      </c>
      <c r="R616" t="n">
        <v>409.6</v>
      </c>
      <c r="S616" t="n">
        <v>0.467</v>
      </c>
      <c r="T616" t="inlineStr">
        <is>
          <t>C:/Users/manuel.felline/Documents/BEHAVIOR BTBR/NOR second cohort/BTBR/training/c7_m1.mp4</t>
        </is>
      </c>
      <c r="U616" t="n">
        <v>12667</v>
      </c>
      <c r="V616" t="n">
        <v>12681</v>
      </c>
      <c r="W616" t="n">
        <v/>
      </c>
      <c r="X616" t="n">
        <v/>
      </c>
      <c r="Y616" t="n">
        <v/>
      </c>
      <c r="Z616" t="n">
        <v/>
      </c>
      <c r="AA616">
        <f>SUMIFS($S$2:S616,$A$2:A616,A616,$N$2:N616,"Explore*")</f>
        <v/>
      </c>
      <c r="AB616">
        <f>IF(AND(LEFT(N616,7)="Explore",(AA616-IF(LEFT(N616,7)="Explore",S616,0))&lt;10),"SI","NO")</f>
        <v/>
      </c>
    </row>
    <row r="617">
      <c r="A617" t="inlineStr">
        <is>
          <t>c7m1_training</t>
        </is>
      </c>
      <c r="B617" t="inlineStr">
        <is>
          <t>2026-05-06 11:37:07.125</t>
        </is>
      </c>
      <c r="C617" t="n">
        <v/>
      </c>
      <c r="D617" t="inlineStr">
        <is>
          <t>Media file</t>
        </is>
      </c>
      <c r="E617" t="inlineStr">
        <is>
          <t>player #1:C:/Users/manuel.felline/Documents/BEHAVIOR BTBR/NOR second cohort/BTBR/training/c7_m1.mp4</t>
        </is>
      </c>
      <c r="F617" t="n">
        <v>-13.2</v>
      </c>
      <c r="G617" t="n">
        <v>589.066</v>
      </c>
      <c r="H617" t="n">
        <v>627.466</v>
      </c>
      <c r="I617" t="n">
        <v>30</v>
      </c>
      <c r="J617" t="inlineStr">
        <is>
          <t>BTBR</t>
        </is>
      </c>
      <c r="K617" t="inlineStr">
        <is>
          <t>Male</t>
        </is>
      </c>
      <c r="L617" t="inlineStr">
        <is>
          <t>No focal subject</t>
        </is>
      </c>
      <c r="M617" t="n">
        <v>29.066</v>
      </c>
      <c r="N617" t="inlineStr">
        <is>
          <t>Explore_F</t>
        </is>
      </c>
      <c r="O617" t="inlineStr">
        <is>
          <t>Familiar</t>
        </is>
      </c>
      <c r="P617" t="inlineStr">
        <is>
          <t>STATE</t>
        </is>
      </c>
      <c r="Q617" t="n">
        <v>417.2</v>
      </c>
      <c r="R617" t="n">
        <v>417.6</v>
      </c>
      <c r="S617" t="n">
        <v>0.4</v>
      </c>
      <c r="T617" t="inlineStr">
        <is>
          <t>C:/Users/manuel.felline/Documents/BEHAVIOR BTBR/NOR second cohort/BTBR/training/c7_m1.mp4</t>
        </is>
      </c>
      <c r="U617" t="n">
        <v>12909</v>
      </c>
      <c r="V617" t="n">
        <v>12921</v>
      </c>
      <c r="W617" t="n">
        <v/>
      </c>
      <c r="X617" t="n">
        <v/>
      </c>
      <c r="Y617" t="n">
        <v/>
      </c>
      <c r="Z617" t="n">
        <v/>
      </c>
      <c r="AA617">
        <f>SUMIFS($S$2:S617,$A$2:A617,A617,$N$2:N617,"Explore*")</f>
        <v/>
      </c>
      <c r="AB617">
        <f>IF(AND(LEFT(N617,7)="Explore",(AA617-IF(LEFT(N617,7)="Explore",S617,0))&lt;10),"SI","NO")</f>
        <v/>
      </c>
    </row>
    <row r="618">
      <c r="A618" t="inlineStr">
        <is>
          <t>c7m1_training</t>
        </is>
      </c>
      <c r="B618" t="inlineStr">
        <is>
          <t>2026-05-06 11:37:07.125</t>
        </is>
      </c>
      <c r="C618" t="n">
        <v/>
      </c>
      <c r="D618" t="inlineStr">
        <is>
          <t>Media file</t>
        </is>
      </c>
      <c r="E618" t="inlineStr">
        <is>
          <t>player #1:C:/Users/manuel.felline/Documents/BEHAVIOR BTBR/NOR second cohort/BTBR/training/c7_m1.mp4</t>
        </is>
      </c>
      <c r="F618" t="n">
        <v>-13.2</v>
      </c>
      <c r="G618" t="n">
        <v>589.066</v>
      </c>
      <c r="H618" t="n">
        <v>627.466</v>
      </c>
      <c r="I618" t="n">
        <v>30</v>
      </c>
      <c r="J618" t="inlineStr">
        <is>
          <t>BTBR</t>
        </is>
      </c>
      <c r="K618" t="inlineStr">
        <is>
          <t>Male</t>
        </is>
      </c>
      <c r="L618" t="inlineStr">
        <is>
          <t>No focal subject</t>
        </is>
      </c>
      <c r="M618" t="n">
        <v>29.066</v>
      </c>
      <c r="N618" t="inlineStr">
        <is>
          <t>Explore_F2</t>
        </is>
      </c>
      <c r="O618" t="inlineStr">
        <is>
          <t>Second familiar</t>
        </is>
      </c>
      <c r="P618" t="inlineStr">
        <is>
          <t>STATE</t>
        </is>
      </c>
      <c r="Q618" t="n">
        <v>419.066</v>
      </c>
      <c r="R618" t="n">
        <v>419.366</v>
      </c>
      <c r="S618" t="n">
        <v>0.3</v>
      </c>
      <c r="T618" t="inlineStr">
        <is>
          <t>C:/Users/manuel.felline/Documents/BEHAVIOR BTBR/NOR second cohort/BTBR/training/c7_m1.mp4</t>
        </is>
      </c>
      <c r="U618" t="n">
        <v>12965</v>
      </c>
      <c r="V618" t="n">
        <v>12974</v>
      </c>
      <c r="W618" t="n">
        <v/>
      </c>
      <c r="X618" t="n">
        <v/>
      </c>
      <c r="Y618" t="n">
        <v/>
      </c>
      <c r="Z618" t="n">
        <v/>
      </c>
      <c r="AA618">
        <f>SUMIFS($S$2:S618,$A$2:A618,A618,$N$2:N618,"Explore*")</f>
        <v/>
      </c>
      <c r="AB618">
        <f>IF(AND(LEFT(N618,7)="Explore",(AA618-IF(LEFT(N618,7)="Explore",S618,0))&lt;10),"SI","NO")</f>
        <v/>
      </c>
    </row>
    <row r="619">
      <c r="A619" t="inlineStr">
        <is>
          <t>c7m1_training</t>
        </is>
      </c>
      <c r="B619" t="inlineStr">
        <is>
          <t>2026-05-06 11:37:07.125</t>
        </is>
      </c>
      <c r="C619" t="n">
        <v/>
      </c>
      <c r="D619" t="inlineStr">
        <is>
          <t>Media file</t>
        </is>
      </c>
      <c r="E619" t="inlineStr">
        <is>
          <t>player #1:C:/Users/manuel.felline/Documents/BEHAVIOR BTBR/NOR second cohort/BTBR/training/c7_m1.mp4</t>
        </is>
      </c>
      <c r="F619" t="n">
        <v>-13.2</v>
      </c>
      <c r="G619" t="n">
        <v>589.066</v>
      </c>
      <c r="H619" t="n">
        <v>627.466</v>
      </c>
      <c r="I619" t="n">
        <v>30</v>
      </c>
      <c r="J619" t="inlineStr">
        <is>
          <t>BTBR</t>
        </is>
      </c>
      <c r="K619" t="inlineStr">
        <is>
          <t>Male</t>
        </is>
      </c>
      <c r="L619" t="inlineStr">
        <is>
          <t>No focal subject</t>
        </is>
      </c>
      <c r="M619" t="n">
        <v>29.066</v>
      </c>
      <c r="N619" t="inlineStr">
        <is>
          <t>Explore_F2</t>
        </is>
      </c>
      <c r="O619" t="inlineStr">
        <is>
          <t>Second familiar</t>
        </is>
      </c>
      <c r="P619" t="inlineStr">
        <is>
          <t>STATE</t>
        </is>
      </c>
      <c r="Q619" t="n">
        <v>419.9</v>
      </c>
      <c r="R619" t="n">
        <v>420.933</v>
      </c>
      <c r="S619" t="n">
        <v>1.033</v>
      </c>
      <c r="T619" t="inlineStr">
        <is>
          <t>C:/Users/manuel.felline/Documents/BEHAVIOR BTBR/NOR second cohort/BTBR/training/c7_m1.mp4</t>
        </is>
      </c>
      <c r="U619" t="n">
        <v>12990</v>
      </c>
      <c r="V619" t="n">
        <v>13021</v>
      </c>
      <c r="W619" t="n">
        <v/>
      </c>
      <c r="X619" t="n">
        <v/>
      </c>
      <c r="Y619" t="n">
        <v/>
      </c>
      <c r="Z619" t="n">
        <v/>
      </c>
      <c r="AA619">
        <f>SUMIFS($S$2:S619,$A$2:A619,A619,$N$2:N619,"Explore*")</f>
        <v/>
      </c>
      <c r="AB619">
        <f>IF(AND(LEFT(N619,7)="Explore",(AA619-IF(LEFT(N619,7)="Explore",S619,0))&lt;10),"SI","NO")</f>
        <v/>
      </c>
    </row>
    <row r="620">
      <c r="A620" t="inlineStr">
        <is>
          <t>c7m1_training</t>
        </is>
      </c>
      <c r="B620" t="inlineStr">
        <is>
          <t>2026-05-06 11:37:07.125</t>
        </is>
      </c>
      <c r="C620" t="n">
        <v/>
      </c>
      <c r="D620" t="inlineStr">
        <is>
          <t>Media file</t>
        </is>
      </c>
      <c r="E620" t="inlineStr">
        <is>
          <t>player #1:C:/Users/manuel.felline/Documents/BEHAVIOR BTBR/NOR second cohort/BTBR/training/c7_m1.mp4</t>
        </is>
      </c>
      <c r="F620" t="n">
        <v>-13.2</v>
      </c>
      <c r="G620" t="n">
        <v>589.066</v>
      </c>
      <c r="H620" t="n">
        <v>627.466</v>
      </c>
      <c r="I620" t="n">
        <v>30</v>
      </c>
      <c r="J620" t="inlineStr">
        <is>
          <t>BTBR</t>
        </is>
      </c>
      <c r="K620" t="inlineStr">
        <is>
          <t>Male</t>
        </is>
      </c>
      <c r="L620" t="inlineStr">
        <is>
          <t>No focal subject</t>
        </is>
      </c>
      <c r="M620" t="n">
        <v>29.066</v>
      </c>
      <c r="N620" t="inlineStr">
        <is>
          <t>Explore_F2</t>
        </is>
      </c>
      <c r="O620" t="inlineStr">
        <is>
          <t>Second familiar</t>
        </is>
      </c>
      <c r="P620" t="inlineStr">
        <is>
          <t>STATE</t>
        </is>
      </c>
      <c r="Q620" t="n">
        <v>437.433</v>
      </c>
      <c r="R620" t="n">
        <v>438.1</v>
      </c>
      <c r="S620" t="n">
        <v>0.667</v>
      </c>
      <c r="T620" t="inlineStr">
        <is>
          <t>C:/Users/manuel.felline/Documents/BEHAVIOR BTBR/NOR second cohort/BTBR/training/c7_m1.mp4</t>
        </is>
      </c>
      <c r="U620" t="n">
        <v>13515</v>
      </c>
      <c r="V620" t="n">
        <v>13535</v>
      </c>
      <c r="W620" t="n">
        <v/>
      </c>
      <c r="X620" t="n">
        <v/>
      </c>
      <c r="Y620" t="n">
        <v/>
      </c>
      <c r="Z620" t="n">
        <v/>
      </c>
      <c r="AA620">
        <f>SUMIFS($S$2:S620,$A$2:A620,A620,$N$2:N620,"Explore*")</f>
        <v/>
      </c>
      <c r="AB620">
        <f>IF(AND(LEFT(N620,7)="Explore",(AA620-IF(LEFT(N620,7)="Explore",S620,0))&lt;10),"SI","NO")</f>
        <v/>
      </c>
    </row>
    <row r="621">
      <c r="A621" t="inlineStr">
        <is>
          <t>c7m1_training</t>
        </is>
      </c>
      <c r="B621" t="inlineStr">
        <is>
          <t>2026-05-06 11:37:07.125</t>
        </is>
      </c>
      <c r="C621" t="n">
        <v/>
      </c>
      <c r="D621" t="inlineStr">
        <is>
          <t>Media file</t>
        </is>
      </c>
      <c r="E621" t="inlineStr">
        <is>
          <t>player #1:C:/Users/manuel.felline/Documents/BEHAVIOR BTBR/NOR second cohort/BTBR/training/c7_m1.mp4</t>
        </is>
      </c>
      <c r="F621" t="n">
        <v>-13.2</v>
      </c>
      <c r="G621" t="n">
        <v>589.066</v>
      </c>
      <c r="H621" t="n">
        <v>627.466</v>
      </c>
      <c r="I621" t="n">
        <v>30</v>
      </c>
      <c r="J621" t="inlineStr">
        <is>
          <t>BTBR</t>
        </is>
      </c>
      <c r="K621" t="inlineStr">
        <is>
          <t>Male</t>
        </is>
      </c>
      <c r="L621" t="inlineStr">
        <is>
          <t>No focal subject</t>
        </is>
      </c>
      <c r="M621" t="n">
        <v>29.066</v>
      </c>
      <c r="N621" t="inlineStr">
        <is>
          <t>Explore_F</t>
        </is>
      </c>
      <c r="O621" t="inlineStr">
        <is>
          <t>Familiar</t>
        </is>
      </c>
      <c r="P621" t="inlineStr">
        <is>
          <t>STATE</t>
        </is>
      </c>
      <c r="Q621" t="n">
        <v>445.166</v>
      </c>
      <c r="R621" t="n">
        <v>445.8</v>
      </c>
      <c r="S621" t="n">
        <v>0.634</v>
      </c>
      <c r="T621" t="inlineStr">
        <is>
          <t>C:/Users/manuel.felline/Documents/BEHAVIOR BTBR/NOR second cohort/BTBR/training/c7_m1.mp4</t>
        </is>
      </c>
      <c r="U621" t="n">
        <v>13747</v>
      </c>
      <c r="V621" t="n">
        <v>13766</v>
      </c>
      <c r="W621" t="n">
        <v/>
      </c>
      <c r="X621" t="n">
        <v/>
      </c>
      <c r="Y621" t="n">
        <v/>
      </c>
      <c r="Z621" t="n">
        <v/>
      </c>
      <c r="AA621">
        <f>SUMIFS($S$2:S621,$A$2:A621,A621,$N$2:N621,"Explore*")</f>
        <v/>
      </c>
      <c r="AB621">
        <f>IF(AND(LEFT(N621,7)="Explore",(AA621-IF(LEFT(N621,7)="Explore",S621,0))&lt;10),"SI","NO")</f>
        <v/>
      </c>
    </row>
    <row r="622">
      <c r="A622" t="inlineStr">
        <is>
          <t>c7m1_training</t>
        </is>
      </c>
      <c r="B622" t="inlineStr">
        <is>
          <t>2026-05-06 11:37:07.125</t>
        </is>
      </c>
      <c r="C622" t="n">
        <v/>
      </c>
      <c r="D622" t="inlineStr">
        <is>
          <t>Media file</t>
        </is>
      </c>
      <c r="E622" t="inlineStr">
        <is>
          <t>player #1:C:/Users/manuel.felline/Documents/BEHAVIOR BTBR/NOR second cohort/BTBR/training/c7_m1.mp4</t>
        </is>
      </c>
      <c r="F622" t="n">
        <v>-13.2</v>
      </c>
      <c r="G622" t="n">
        <v>589.066</v>
      </c>
      <c r="H622" t="n">
        <v>627.466</v>
      </c>
      <c r="I622" t="n">
        <v>30</v>
      </c>
      <c r="J622" t="inlineStr">
        <is>
          <t>BTBR</t>
        </is>
      </c>
      <c r="K622" t="inlineStr">
        <is>
          <t>Male</t>
        </is>
      </c>
      <c r="L622" t="inlineStr">
        <is>
          <t>No focal subject</t>
        </is>
      </c>
      <c r="M622" t="n">
        <v>29.066</v>
      </c>
      <c r="N622" t="inlineStr">
        <is>
          <t>Explore_F</t>
        </is>
      </c>
      <c r="O622" t="inlineStr">
        <is>
          <t>Familiar</t>
        </is>
      </c>
      <c r="P622" t="inlineStr">
        <is>
          <t>STATE</t>
        </is>
      </c>
      <c r="Q622" t="n">
        <v>546.433</v>
      </c>
      <c r="R622" t="n">
        <v>546.933</v>
      </c>
      <c r="S622" t="n">
        <v>0.5</v>
      </c>
      <c r="T622" t="inlineStr">
        <is>
          <t>C:/Users/manuel.felline/Documents/BEHAVIOR BTBR/NOR second cohort/BTBR/training/c7_m1.mp4</t>
        </is>
      </c>
      <c r="U622" t="n">
        <v>16785</v>
      </c>
      <c r="V622" t="n">
        <v>16800</v>
      </c>
      <c r="W622" t="n">
        <v/>
      </c>
      <c r="X622" t="n">
        <v/>
      </c>
      <c r="Y622" t="n">
        <v/>
      </c>
      <c r="Z622" t="n">
        <v/>
      </c>
      <c r="AA622">
        <f>SUMIFS($S$2:S622,$A$2:A622,A622,$N$2:N622,"Explore*")</f>
        <v/>
      </c>
      <c r="AB622">
        <f>IF(AND(LEFT(N622,7)="Explore",(AA622-IF(LEFT(N622,7)="Explore",S622,0))&lt;10),"SI","NO")</f>
        <v/>
      </c>
    </row>
    <row r="623">
      <c r="A623" t="inlineStr">
        <is>
          <t>c7m1_training</t>
        </is>
      </c>
      <c r="B623" t="inlineStr">
        <is>
          <t>2026-05-06 11:37:07.125</t>
        </is>
      </c>
      <c r="C623" t="n">
        <v/>
      </c>
      <c r="D623" t="inlineStr">
        <is>
          <t>Media file</t>
        </is>
      </c>
      <c r="E623" t="inlineStr">
        <is>
          <t>player #1:C:/Users/manuel.felline/Documents/BEHAVIOR BTBR/NOR second cohort/BTBR/training/c7_m1.mp4</t>
        </is>
      </c>
      <c r="F623" t="n">
        <v>-13.2</v>
      </c>
      <c r="G623" t="n">
        <v>589.066</v>
      </c>
      <c r="H623" t="n">
        <v>627.466</v>
      </c>
      <c r="I623" t="n">
        <v>30</v>
      </c>
      <c r="J623" t="inlineStr">
        <is>
          <t>BTBR</t>
        </is>
      </c>
      <c r="K623" t="inlineStr">
        <is>
          <t>Male</t>
        </is>
      </c>
      <c r="L623" t="inlineStr">
        <is>
          <t>No focal subject</t>
        </is>
      </c>
      <c r="M623" t="n">
        <v>29.066</v>
      </c>
      <c r="N623" t="inlineStr">
        <is>
          <t>Explore_F2</t>
        </is>
      </c>
      <c r="O623" t="inlineStr">
        <is>
          <t>Second familiar</t>
        </is>
      </c>
      <c r="P623" t="inlineStr">
        <is>
          <t>STATE</t>
        </is>
      </c>
      <c r="Q623" t="n">
        <v>579.966</v>
      </c>
      <c r="R623" t="n">
        <v>580.366</v>
      </c>
      <c r="S623" t="n">
        <v>0.4</v>
      </c>
      <c r="T623" t="inlineStr">
        <is>
          <t>C:/Users/manuel.felline/Documents/BEHAVIOR BTBR/NOR second cohort/BTBR/training/c7_m1.mp4</t>
        </is>
      </c>
      <c r="U623" t="n">
        <v>17790</v>
      </c>
      <c r="V623" t="n">
        <v>17802</v>
      </c>
      <c r="W623" t="n">
        <v/>
      </c>
      <c r="X623" t="n">
        <v/>
      </c>
      <c r="Y623" t="n">
        <v/>
      </c>
      <c r="Z623" t="n">
        <v/>
      </c>
      <c r="AA623">
        <f>SUMIFS($S$2:S623,$A$2:A623,A623,$N$2:N623,"Explore*")</f>
        <v/>
      </c>
      <c r="AB623">
        <f>IF(AND(LEFT(N623,7)="Explore",(AA623-IF(LEFT(N623,7)="Explore",S623,0))&lt;10),"SI","NO")</f>
        <v/>
      </c>
    </row>
    <row r="624">
      <c r="A624" t="inlineStr">
        <is>
          <t>c7m1_training</t>
        </is>
      </c>
      <c r="B624" t="inlineStr">
        <is>
          <t>2026-05-06 11:37:07.125</t>
        </is>
      </c>
      <c r="C624" t="n">
        <v/>
      </c>
      <c r="D624" t="inlineStr">
        <is>
          <t>Media file</t>
        </is>
      </c>
      <c r="E624" t="inlineStr">
        <is>
          <t>player #1:C:/Users/manuel.felline/Documents/BEHAVIOR BTBR/NOR second cohort/BTBR/training/c7_m1.mp4</t>
        </is>
      </c>
      <c r="F624" t="n">
        <v>-13.2</v>
      </c>
      <c r="G624" t="n">
        <v>589.066</v>
      </c>
      <c r="H624" t="n">
        <v>627.466</v>
      </c>
      <c r="I624" t="n">
        <v>30</v>
      </c>
      <c r="J624" t="inlineStr">
        <is>
          <t>BTBR</t>
        </is>
      </c>
      <c r="K624" t="inlineStr">
        <is>
          <t>Male</t>
        </is>
      </c>
      <c r="L624" t="inlineStr">
        <is>
          <t>No focal subject</t>
        </is>
      </c>
      <c r="M624" t="n">
        <v>29.066</v>
      </c>
      <c r="N624" t="inlineStr">
        <is>
          <t>Explore_F2</t>
        </is>
      </c>
      <c r="O624" t="inlineStr">
        <is>
          <t>Second familiar</t>
        </is>
      </c>
      <c r="P624" t="inlineStr">
        <is>
          <t>STATE</t>
        </is>
      </c>
      <c r="Q624" t="n">
        <v>586.866</v>
      </c>
      <c r="R624" t="n">
        <v>587.333</v>
      </c>
      <c r="S624" t="n">
        <v>0.467</v>
      </c>
      <c r="T624" t="inlineStr">
        <is>
          <t>C:/Users/manuel.felline/Documents/BEHAVIOR BTBR/NOR second cohort/BTBR/training/c7_m1.mp4</t>
        </is>
      </c>
      <c r="U624" t="n">
        <v>17997</v>
      </c>
      <c r="V624" t="n">
        <v>18011</v>
      </c>
      <c r="W624" t="n">
        <v/>
      </c>
      <c r="X624" t="n">
        <v/>
      </c>
      <c r="Y624" t="n">
        <v/>
      </c>
      <c r="Z624" t="n">
        <v/>
      </c>
      <c r="AA624">
        <f>SUMIFS($S$2:S624,$A$2:A624,A624,$N$2:N624,"Explore*")</f>
        <v/>
      </c>
      <c r="AB624">
        <f>IF(AND(LEFT(N624,7)="Explore",(AA624-IF(LEFT(N624,7)="Explore",S624,0))&lt;10),"SI","NO")</f>
        <v/>
      </c>
    </row>
    <row r="625">
      <c r="A625" t="inlineStr">
        <is>
          <t>c7m1_training</t>
        </is>
      </c>
      <c r="B625" t="inlineStr">
        <is>
          <t>2026-05-06 11:37:07.125</t>
        </is>
      </c>
      <c r="C625" t="n">
        <v/>
      </c>
      <c r="D625" t="inlineStr">
        <is>
          <t>Media file</t>
        </is>
      </c>
      <c r="E625" t="inlineStr">
        <is>
          <t>player #1:C:/Users/manuel.felline/Documents/BEHAVIOR BTBR/NOR second cohort/BTBR/training/c7_m1.mp4</t>
        </is>
      </c>
      <c r="F625" t="n">
        <v>-13.2</v>
      </c>
      <c r="G625" t="n">
        <v>589.066</v>
      </c>
      <c r="H625" t="n">
        <v>627.466</v>
      </c>
      <c r="I625" t="n">
        <v>30</v>
      </c>
      <c r="J625" t="inlineStr">
        <is>
          <t>BTBR</t>
        </is>
      </c>
      <c r="K625" t="inlineStr">
        <is>
          <t>Male</t>
        </is>
      </c>
      <c r="L625" t="inlineStr">
        <is>
          <t>No focal subject</t>
        </is>
      </c>
      <c r="M625" t="n">
        <v>29.066</v>
      </c>
      <c r="N625" t="inlineStr">
        <is>
          <t>Explore_F</t>
        </is>
      </c>
      <c r="O625" t="inlineStr">
        <is>
          <t>Familiar</t>
        </is>
      </c>
      <c r="P625" t="inlineStr">
        <is>
          <t>STATE</t>
        </is>
      </c>
      <c r="Q625" t="n">
        <v>596.299</v>
      </c>
      <c r="R625" t="n">
        <v>596.766</v>
      </c>
      <c r="S625" t="n">
        <v>0.467</v>
      </c>
      <c r="T625" t="inlineStr">
        <is>
          <t>C:/Users/manuel.felline/Documents/BEHAVIOR BTBR/NOR second cohort/BTBR/training/c7_m1.mp4</t>
        </is>
      </c>
      <c r="U625" t="n">
        <v>18280</v>
      </c>
      <c r="V625" t="n">
        <v>18294</v>
      </c>
      <c r="W625" t="n">
        <v/>
      </c>
      <c r="X625" t="n">
        <v/>
      </c>
      <c r="Y625" t="n">
        <v/>
      </c>
      <c r="Z625" t="n">
        <v/>
      </c>
      <c r="AA625">
        <f>SUMIFS($S$2:S625,$A$2:A625,A625,$N$2:N625,"Explore*")</f>
        <v/>
      </c>
      <c r="AB625">
        <f>IF(AND(LEFT(N625,7)="Explore",(AA625-IF(LEFT(N625,7)="Explore",S625,0))&lt;10),"SI","NO")</f>
        <v/>
      </c>
    </row>
    <row r="626">
      <c r="A626" t="inlineStr">
        <is>
          <t>c7m2_training</t>
        </is>
      </c>
      <c r="B626" t="inlineStr">
        <is>
          <t>2026-05-07 11:01:28.934</t>
        </is>
      </c>
      <c r="C626" t="n">
        <v/>
      </c>
      <c r="D626" t="inlineStr">
        <is>
          <t>Media file</t>
        </is>
      </c>
      <c r="E626" t="inlineStr">
        <is>
          <t>player #1:C:/Users/manuel.felline/Documents/BEHAVIOR BTBR/NOR second cohort/BTBR/training/c7_m2.mp4</t>
        </is>
      </c>
      <c r="F626" t="n">
        <v>-18.5</v>
      </c>
      <c r="G626" t="n">
        <v>589.199</v>
      </c>
      <c r="H626" t="n">
        <v>633.799</v>
      </c>
      <c r="I626" t="n">
        <v>30</v>
      </c>
      <c r="J626" t="inlineStr">
        <is>
          <t>BTBR</t>
        </is>
      </c>
      <c r="K626" t="inlineStr">
        <is>
          <t>Male</t>
        </is>
      </c>
      <c r="L626" t="inlineStr">
        <is>
          <t>No focal subject</t>
        </is>
      </c>
      <c r="M626" t="n">
        <v>43.968</v>
      </c>
      <c r="N626" t="inlineStr">
        <is>
          <t>Explore_F2</t>
        </is>
      </c>
      <c r="O626" t="inlineStr">
        <is>
          <t>Second familiar</t>
        </is>
      </c>
      <c r="P626" t="inlineStr">
        <is>
          <t>STATE</t>
        </is>
      </c>
      <c r="Q626" t="n">
        <v>7.6</v>
      </c>
      <c r="R626" t="n">
        <v>8.032999999999999</v>
      </c>
      <c r="S626" t="n">
        <v>0.433</v>
      </c>
      <c r="T626" t="inlineStr">
        <is>
          <t>C:/Users/manuel.felline/Documents/BEHAVIOR BTBR/NOR second cohort/BTBR/training/c7_m2.mp4</t>
        </is>
      </c>
      <c r="U626" t="n">
        <v>783</v>
      </c>
      <c r="V626" t="n">
        <v>796</v>
      </c>
      <c r="W626" t="n">
        <v/>
      </c>
      <c r="X626" t="n">
        <v/>
      </c>
      <c r="Y626" t="n">
        <v/>
      </c>
      <c r="Z626" t="n">
        <v/>
      </c>
      <c r="AA626">
        <f>SUMIFS($S$2:S626,$A$2:A626,A626,$N$2:N626,"Explore*")</f>
        <v/>
      </c>
      <c r="AB626">
        <f>IF(AND(LEFT(N626,7)="Explore",(AA626-IF(LEFT(N626,7)="Explore",S626,0))&lt;10),"SI","NO")</f>
        <v/>
      </c>
    </row>
    <row r="627">
      <c r="A627" t="inlineStr">
        <is>
          <t>c7m2_training</t>
        </is>
      </c>
      <c r="B627" t="inlineStr">
        <is>
          <t>2026-05-07 11:01:28.934</t>
        </is>
      </c>
      <c r="C627" t="n">
        <v/>
      </c>
      <c r="D627" t="inlineStr">
        <is>
          <t>Media file</t>
        </is>
      </c>
      <c r="E627" t="inlineStr">
        <is>
          <t>player #1:C:/Users/manuel.felline/Documents/BEHAVIOR BTBR/NOR second cohort/BTBR/training/c7_m2.mp4</t>
        </is>
      </c>
      <c r="F627" t="n">
        <v>-18.5</v>
      </c>
      <c r="G627" t="n">
        <v>589.199</v>
      </c>
      <c r="H627" t="n">
        <v>633.799</v>
      </c>
      <c r="I627" t="n">
        <v>30</v>
      </c>
      <c r="J627" t="inlineStr">
        <is>
          <t>BTBR</t>
        </is>
      </c>
      <c r="K627" t="inlineStr">
        <is>
          <t>Male</t>
        </is>
      </c>
      <c r="L627" t="inlineStr">
        <is>
          <t>No focal subject</t>
        </is>
      </c>
      <c r="M627" t="n">
        <v>43.968</v>
      </c>
      <c r="N627" t="inlineStr">
        <is>
          <t>Explore_F</t>
        </is>
      </c>
      <c r="O627" t="inlineStr">
        <is>
          <t>Familiar</t>
        </is>
      </c>
      <c r="P627" t="inlineStr">
        <is>
          <t>STATE</t>
        </is>
      </c>
      <c r="Q627" t="n">
        <v>9.167</v>
      </c>
      <c r="R627" t="n">
        <v>9.766999999999999</v>
      </c>
      <c r="S627" t="n">
        <v>0.6</v>
      </c>
      <c r="T627" t="inlineStr">
        <is>
          <t>C:/Users/manuel.felline/Documents/BEHAVIOR BTBR/NOR second cohort/BTBR/training/c7_m2.mp4</t>
        </is>
      </c>
      <c r="U627" t="n">
        <v>830</v>
      </c>
      <c r="V627" t="n">
        <v>848</v>
      </c>
      <c r="W627" t="n">
        <v/>
      </c>
      <c r="X627" t="n">
        <v/>
      </c>
      <c r="Y627" t="n">
        <v/>
      </c>
      <c r="Z627" t="n">
        <v/>
      </c>
      <c r="AA627">
        <f>SUMIFS($S$2:S627,$A$2:A627,A627,$N$2:N627,"Explore*")</f>
        <v/>
      </c>
      <c r="AB627">
        <f>IF(AND(LEFT(N627,7)="Explore",(AA627-IF(LEFT(N627,7)="Explore",S627,0))&lt;10),"SI","NO")</f>
        <v/>
      </c>
    </row>
    <row r="628">
      <c r="A628" t="inlineStr">
        <is>
          <t>c7m2_training</t>
        </is>
      </c>
      <c r="B628" t="inlineStr">
        <is>
          <t>2026-05-07 11:01:28.934</t>
        </is>
      </c>
      <c r="C628" t="n">
        <v/>
      </c>
      <c r="D628" t="inlineStr">
        <is>
          <t>Media file</t>
        </is>
      </c>
      <c r="E628" t="inlineStr">
        <is>
          <t>player #1:C:/Users/manuel.felline/Documents/BEHAVIOR BTBR/NOR second cohort/BTBR/training/c7_m2.mp4</t>
        </is>
      </c>
      <c r="F628" t="n">
        <v>-18.5</v>
      </c>
      <c r="G628" t="n">
        <v>589.199</v>
      </c>
      <c r="H628" t="n">
        <v>633.799</v>
      </c>
      <c r="I628" t="n">
        <v>30</v>
      </c>
      <c r="J628" t="inlineStr">
        <is>
          <t>BTBR</t>
        </is>
      </c>
      <c r="K628" t="inlineStr">
        <is>
          <t>Male</t>
        </is>
      </c>
      <c r="L628" t="inlineStr">
        <is>
          <t>No focal subject</t>
        </is>
      </c>
      <c r="M628" t="n">
        <v>43.968</v>
      </c>
      <c r="N628" t="inlineStr">
        <is>
          <t>Explore_F</t>
        </is>
      </c>
      <c r="O628" t="inlineStr">
        <is>
          <t>Familiar</t>
        </is>
      </c>
      <c r="P628" t="inlineStr">
        <is>
          <t>STATE</t>
        </is>
      </c>
      <c r="Q628" t="n">
        <v>16.833</v>
      </c>
      <c r="R628" t="n">
        <v>17.433</v>
      </c>
      <c r="S628" t="n">
        <v>0.6</v>
      </c>
      <c r="T628" t="inlineStr">
        <is>
          <t>C:/Users/manuel.felline/Documents/BEHAVIOR BTBR/NOR second cohort/BTBR/training/c7_m2.mp4</t>
        </is>
      </c>
      <c r="U628" t="n">
        <v>1060</v>
      </c>
      <c r="V628" t="n">
        <v>1078</v>
      </c>
      <c r="W628" t="n">
        <v/>
      </c>
      <c r="X628" t="n">
        <v/>
      </c>
      <c r="Y628" t="n">
        <v/>
      </c>
      <c r="Z628" t="n">
        <v/>
      </c>
      <c r="AA628">
        <f>SUMIFS($S$2:S628,$A$2:A628,A628,$N$2:N628,"Explore*")</f>
        <v/>
      </c>
      <c r="AB628">
        <f>IF(AND(LEFT(N628,7)="Explore",(AA628-IF(LEFT(N628,7)="Explore",S628,0))&lt;10),"SI","NO")</f>
        <v/>
      </c>
    </row>
    <row r="629">
      <c r="A629" t="inlineStr">
        <is>
          <t>c7m2_training</t>
        </is>
      </c>
      <c r="B629" t="inlineStr">
        <is>
          <t>2026-05-07 11:01:28.934</t>
        </is>
      </c>
      <c r="C629" t="n">
        <v/>
      </c>
      <c r="D629" t="inlineStr">
        <is>
          <t>Media file</t>
        </is>
      </c>
      <c r="E629" t="inlineStr">
        <is>
          <t>player #1:C:/Users/manuel.felline/Documents/BEHAVIOR BTBR/NOR second cohort/BTBR/training/c7_m2.mp4</t>
        </is>
      </c>
      <c r="F629" t="n">
        <v>-18.5</v>
      </c>
      <c r="G629" t="n">
        <v>589.199</v>
      </c>
      <c r="H629" t="n">
        <v>633.799</v>
      </c>
      <c r="I629" t="n">
        <v>30</v>
      </c>
      <c r="J629" t="inlineStr">
        <is>
          <t>BTBR</t>
        </is>
      </c>
      <c r="K629" t="inlineStr">
        <is>
          <t>Male</t>
        </is>
      </c>
      <c r="L629" t="inlineStr">
        <is>
          <t>No focal subject</t>
        </is>
      </c>
      <c r="M629" t="n">
        <v>43.968</v>
      </c>
      <c r="N629" t="inlineStr">
        <is>
          <t>Explore_F</t>
        </is>
      </c>
      <c r="O629" t="inlineStr">
        <is>
          <t>Familiar</t>
        </is>
      </c>
      <c r="P629" t="inlineStr">
        <is>
          <t>STATE</t>
        </is>
      </c>
      <c r="Q629" t="n">
        <v>24.367</v>
      </c>
      <c r="R629" t="n">
        <v>24.667</v>
      </c>
      <c r="S629" t="n">
        <v>0.3</v>
      </c>
      <c r="T629" t="inlineStr">
        <is>
          <t>C:/Users/manuel.felline/Documents/BEHAVIOR BTBR/NOR second cohort/BTBR/training/c7_m2.mp4</t>
        </is>
      </c>
      <c r="U629" t="n">
        <v>1286</v>
      </c>
      <c r="V629" t="n">
        <v>1295</v>
      </c>
      <c r="W629" t="n">
        <v/>
      </c>
      <c r="X629" t="n">
        <v/>
      </c>
      <c r="Y629" t="n">
        <v/>
      </c>
      <c r="Z629" t="n">
        <v/>
      </c>
      <c r="AA629">
        <f>SUMIFS($S$2:S629,$A$2:A629,A629,$N$2:N629,"Explore*")</f>
        <v/>
      </c>
      <c r="AB629">
        <f>IF(AND(LEFT(N629,7)="Explore",(AA629-IF(LEFT(N629,7)="Explore",S629,0))&lt;10),"SI","NO")</f>
        <v/>
      </c>
    </row>
    <row r="630">
      <c r="A630" t="inlineStr">
        <is>
          <t>c7m2_training</t>
        </is>
      </c>
      <c r="B630" t="inlineStr">
        <is>
          <t>2026-05-07 11:01:28.934</t>
        </is>
      </c>
      <c r="C630" t="n">
        <v/>
      </c>
      <c r="D630" t="inlineStr">
        <is>
          <t>Media file</t>
        </is>
      </c>
      <c r="E630" t="inlineStr">
        <is>
          <t>player #1:C:/Users/manuel.felline/Documents/BEHAVIOR BTBR/NOR second cohort/BTBR/training/c7_m2.mp4</t>
        </is>
      </c>
      <c r="F630" t="n">
        <v>-18.5</v>
      </c>
      <c r="G630" t="n">
        <v>589.199</v>
      </c>
      <c r="H630" t="n">
        <v>633.799</v>
      </c>
      <c r="I630" t="n">
        <v>30</v>
      </c>
      <c r="J630" t="inlineStr">
        <is>
          <t>BTBR</t>
        </is>
      </c>
      <c r="K630" t="inlineStr">
        <is>
          <t>Male</t>
        </is>
      </c>
      <c r="L630" t="inlineStr">
        <is>
          <t>No focal subject</t>
        </is>
      </c>
      <c r="M630" t="n">
        <v>43.968</v>
      </c>
      <c r="N630" t="inlineStr">
        <is>
          <t>Explore_F2</t>
        </is>
      </c>
      <c r="O630" t="inlineStr">
        <is>
          <t>Second familiar</t>
        </is>
      </c>
      <c r="P630" t="inlineStr">
        <is>
          <t>STATE</t>
        </is>
      </c>
      <c r="Q630" t="n">
        <v>33.4</v>
      </c>
      <c r="R630" t="n">
        <v>36.133</v>
      </c>
      <c r="S630" t="n">
        <v>2.733</v>
      </c>
      <c r="T630" t="inlineStr">
        <is>
          <t>C:/Users/manuel.felline/Documents/BEHAVIOR BTBR/NOR second cohort/BTBR/training/c7_m2.mp4</t>
        </is>
      </c>
      <c r="U630" t="n">
        <v>1557</v>
      </c>
      <c r="V630" t="n">
        <v>1639</v>
      </c>
      <c r="W630" t="n">
        <v/>
      </c>
      <c r="X630" t="n">
        <v/>
      </c>
      <c r="Y630" t="n">
        <v/>
      </c>
      <c r="Z630" t="n">
        <v/>
      </c>
      <c r="AA630">
        <f>SUMIFS($S$2:S630,$A$2:A630,A630,$N$2:N630,"Explore*")</f>
        <v/>
      </c>
      <c r="AB630">
        <f>IF(AND(LEFT(N630,7)="Explore",(AA630-IF(LEFT(N630,7)="Explore",S630,0))&lt;10),"SI","NO")</f>
        <v/>
      </c>
    </row>
    <row r="631">
      <c r="A631" t="inlineStr">
        <is>
          <t>c7m2_training</t>
        </is>
      </c>
      <c r="B631" t="inlineStr">
        <is>
          <t>2026-05-07 11:01:28.934</t>
        </is>
      </c>
      <c r="C631" t="n">
        <v/>
      </c>
      <c r="D631" t="inlineStr">
        <is>
          <t>Media file</t>
        </is>
      </c>
      <c r="E631" t="inlineStr">
        <is>
          <t>player #1:C:/Users/manuel.felline/Documents/BEHAVIOR BTBR/NOR second cohort/BTBR/training/c7_m2.mp4</t>
        </is>
      </c>
      <c r="F631" t="n">
        <v>-18.5</v>
      </c>
      <c r="G631" t="n">
        <v>589.199</v>
      </c>
      <c r="H631" t="n">
        <v>633.799</v>
      </c>
      <c r="I631" t="n">
        <v>30</v>
      </c>
      <c r="J631" t="inlineStr">
        <is>
          <t>BTBR</t>
        </is>
      </c>
      <c r="K631" t="inlineStr">
        <is>
          <t>Male</t>
        </is>
      </c>
      <c r="L631" t="inlineStr">
        <is>
          <t>No focal subject</t>
        </is>
      </c>
      <c r="M631" t="n">
        <v>43.968</v>
      </c>
      <c r="N631" t="inlineStr">
        <is>
          <t>Explore_F2</t>
        </is>
      </c>
      <c r="O631" t="inlineStr">
        <is>
          <t>Second familiar</t>
        </is>
      </c>
      <c r="P631" t="inlineStr">
        <is>
          <t>STATE</t>
        </is>
      </c>
      <c r="Q631" t="n">
        <v>40.667</v>
      </c>
      <c r="R631" t="n">
        <v>41.667</v>
      </c>
      <c r="S631" t="n">
        <v>1</v>
      </c>
      <c r="T631" t="inlineStr">
        <is>
          <t>C:/Users/manuel.felline/Documents/BEHAVIOR BTBR/NOR second cohort/BTBR/training/c7_m2.mp4</t>
        </is>
      </c>
      <c r="U631" t="n">
        <v>1775</v>
      </c>
      <c r="V631" t="n">
        <v>1805</v>
      </c>
      <c r="W631" t="n">
        <v/>
      </c>
      <c r="X631" t="n">
        <v/>
      </c>
      <c r="Y631" t="n">
        <v/>
      </c>
      <c r="Z631" t="n">
        <v/>
      </c>
      <c r="AA631">
        <f>SUMIFS($S$2:S631,$A$2:A631,A631,$N$2:N631,"Explore*")</f>
        <v/>
      </c>
      <c r="AB631">
        <f>IF(AND(LEFT(N631,7)="Explore",(AA631-IF(LEFT(N631,7)="Explore",S631,0))&lt;10),"SI","NO")</f>
        <v/>
      </c>
    </row>
    <row r="632">
      <c r="A632" t="inlineStr">
        <is>
          <t>c7m2_training</t>
        </is>
      </c>
      <c r="B632" t="inlineStr">
        <is>
          <t>2026-05-07 11:01:28.934</t>
        </is>
      </c>
      <c r="C632" t="n">
        <v/>
      </c>
      <c r="D632" t="inlineStr">
        <is>
          <t>Media file</t>
        </is>
      </c>
      <c r="E632" t="inlineStr">
        <is>
          <t>player #1:C:/Users/manuel.felline/Documents/BEHAVIOR BTBR/NOR second cohort/BTBR/training/c7_m2.mp4</t>
        </is>
      </c>
      <c r="F632" t="n">
        <v>-18.5</v>
      </c>
      <c r="G632" t="n">
        <v>589.199</v>
      </c>
      <c r="H632" t="n">
        <v>633.799</v>
      </c>
      <c r="I632" t="n">
        <v>30</v>
      </c>
      <c r="J632" t="inlineStr">
        <is>
          <t>BTBR</t>
        </is>
      </c>
      <c r="K632" t="inlineStr">
        <is>
          <t>Male</t>
        </is>
      </c>
      <c r="L632" t="inlineStr">
        <is>
          <t>No focal subject</t>
        </is>
      </c>
      <c r="M632" t="n">
        <v>43.968</v>
      </c>
      <c r="N632" t="inlineStr">
        <is>
          <t>Explore_F</t>
        </is>
      </c>
      <c r="O632" t="inlineStr">
        <is>
          <t>Familiar</t>
        </is>
      </c>
      <c r="P632" t="inlineStr">
        <is>
          <t>STATE</t>
        </is>
      </c>
      <c r="Q632" t="n">
        <v>42.8</v>
      </c>
      <c r="R632" t="n">
        <v>44.2</v>
      </c>
      <c r="S632" t="n">
        <v>1.4</v>
      </c>
      <c r="T632" t="inlineStr">
        <is>
          <t>C:/Users/manuel.felline/Documents/BEHAVIOR BTBR/NOR second cohort/BTBR/training/c7_m2.mp4</t>
        </is>
      </c>
      <c r="U632" t="n">
        <v>1839</v>
      </c>
      <c r="V632" t="n">
        <v>1881</v>
      </c>
      <c r="W632" t="n">
        <v/>
      </c>
      <c r="X632" t="n">
        <v/>
      </c>
      <c r="Y632" t="n">
        <v/>
      </c>
      <c r="Z632" t="n">
        <v/>
      </c>
      <c r="AA632">
        <f>SUMIFS($S$2:S632,$A$2:A632,A632,$N$2:N632,"Explore*")</f>
        <v/>
      </c>
      <c r="AB632">
        <f>IF(AND(LEFT(N632,7)="Explore",(AA632-IF(LEFT(N632,7)="Explore",S632,0))&lt;10),"SI","NO")</f>
        <v/>
      </c>
    </row>
    <row r="633">
      <c r="A633" t="inlineStr">
        <is>
          <t>c7m2_training</t>
        </is>
      </c>
      <c r="B633" t="inlineStr">
        <is>
          <t>2026-05-07 11:01:28.934</t>
        </is>
      </c>
      <c r="C633" t="n">
        <v/>
      </c>
      <c r="D633" t="inlineStr">
        <is>
          <t>Media file</t>
        </is>
      </c>
      <c r="E633" t="inlineStr">
        <is>
          <t>player #1:C:/Users/manuel.felline/Documents/BEHAVIOR BTBR/NOR second cohort/BTBR/training/c7_m2.mp4</t>
        </is>
      </c>
      <c r="F633" t="n">
        <v>-18.5</v>
      </c>
      <c r="G633" t="n">
        <v>589.199</v>
      </c>
      <c r="H633" t="n">
        <v>633.799</v>
      </c>
      <c r="I633" t="n">
        <v>30</v>
      </c>
      <c r="J633" t="inlineStr">
        <is>
          <t>BTBR</t>
        </is>
      </c>
      <c r="K633" t="inlineStr">
        <is>
          <t>Male</t>
        </is>
      </c>
      <c r="L633" t="inlineStr">
        <is>
          <t>No focal subject</t>
        </is>
      </c>
      <c r="M633" t="n">
        <v>43.968</v>
      </c>
      <c r="N633" t="inlineStr">
        <is>
          <t>Explore_F</t>
        </is>
      </c>
      <c r="O633" t="inlineStr">
        <is>
          <t>Familiar</t>
        </is>
      </c>
      <c r="P633" t="inlineStr">
        <is>
          <t>STATE</t>
        </is>
      </c>
      <c r="Q633" t="n">
        <v>61.3</v>
      </c>
      <c r="R633" t="n">
        <v>62.667</v>
      </c>
      <c r="S633" t="n">
        <v>1.367</v>
      </c>
      <c r="T633" t="inlineStr">
        <is>
          <t>C:/Users/manuel.felline/Documents/BEHAVIOR BTBR/NOR second cohort/BTBR/training/c7_m2.mp4</t>
        </is>
      </c>
      <c r="U633" t="n">
        <v>2393</v>
      </c>
      <c r="V633" t="n">
        <v>2434</v>
      </c>
      <c r="W633" t="n">
        <v/>
      </c>
      <c r="X633" t="n">
        <v/>
      </c>
      <c r="Y633" t="n">
        <v/>
      </c>
      <c r="Z633" t="n">
        <v/>
      </c>
      <c r="AA633">
        <f>SUMIFS($S$2:S633,$A$2:A633,A633,$N$2:N633,"Explore*")</f>
        <v/>
      </c>
      <c r="AB633">
        <f>IF(AND(LEFT(N633,7)="Explore",(AA633-IF(LEFT(N633,7)="Explore",S633,0))&lt;10),"SI","NO")</f>
        <v/>
      </c>
    </row>
    <row r="634">
      <c r="A634" t="inlineStr">
        <is>
          <t>c7m2_training</t>
        </is>
      </c>
      <c r="B634" t="inlineStr">
        <is>
          <t>2026-05-07 11:01:28.934</t>
        </is>
      </c>
      <c r="C634" t="n">
        <v/>
      </c>
      <c r="D634" t="inlineStr">
        <is>
          <t>Media file</t>
        </is>
      </c>
      <c r="E634" t="inlineStr">
        <is>
          <t>player #1:C:/Users/manuel.felline/Documents/BEHAVIOR BTBR/NOR second cohort/BTBR/training/c7_m2.mp4</t>
        </is>
      </c>
      <c r="F634" t="n">
        <v>-18.5</v>
      </c>
      <c r="G634" t="n">
        <v>589.199</v>
      </c>
      <c r="H634" t="n">
        <v>633.799</v>
      </c>
      <c r="I634" t="n">
        <v>30</v>
      </c>
      <c r="J634" t="inlineStr">
        <is>
          <t>BTBR</t>
        </is>
      </c>
      <c r="K634" t="inlineStr">
        <is>
          <t>Male</t>
        </is>
      </c>
      <c r="L634" t="inlineStr">
        <is>
          <t>No focal subject</t>
        </is>
      </c>
      <c r="M634" t="n">
        <v>43.968</v>
      </c>
      <c r="N634" t="inlineStr">
        <is>
          <t>Explore_F</t>
        </is>
      </c>
      <c r="O634" t="inlineStr">
        <is>
          <t>Familiar</t>
        </is>
      </c>
      <c r="P634" t="inlineStr">
        <is>
          <t>STATE</t>
        </is>
      </c>
      <c r="Q634" t="n">
        <v>64.767</v>
      </c>
      <c r="R634" t="n">
        <v>65.7</v>
      </c>
      <c r="S634" t="n">
        <v>0.9330000000000001</v>
      </c>
      <c r="T634" t="inlineStr">
        <is>
          <t>C:/Users/manuel.felline/Documents/BEHAVIOR BTBR/NOR second cohort/BTBR/training/c7_m2.mp4</t>
        </is>
      </c>
      <c r="U634" t="n">
        <v>2497</v>
      </c>
      <c r="V634" t="n">
        <v>2525</v>
      </c>
      <c r="W634" t="n">
        <v/>
      </c>
      <c r="X634" t="n">
        <v/>
      </c>
      <c r="Y634" t="n">
        <v/>
      </c>
      <c r="Z634" t="n">
        <v/>
      </c>
      <c r="AA634">
        <f>SUMIFS($S$2:S634,$A$2:A634,A634,$N$2:N634,"Explore*")</f>
        <v/>
      </c>
      <c r="AB634">
        <f>IF(AND(LEFT(N634,7)="Explore",(AA634-IF(LEFT(N634,7)="Explore",S634,0))&lt;10),"SI","NO")</f>
        <v/>
      </c>
    </row>
    <row r="635">
      <c r="A635" t="inlineStr">
        <is>
          <t>c7m2_training</t>
        </is>
      </c>
      <c r="B635" t="inlineStr">
        <is>
          <t>2026-05-07 11:01:28.934</t>
        </is>
      </c>
      <c r="C635" t="n">
        <v/>
      </c>
      <c r="D635" t="inlineStr">
        <is>
          <t>Media file</t>
        </is>
      </c>
      <c r="E635" t="inlineStr">
        <is>
          <t>player #1:C:/Users/manuel.felline/Documents/BEHAVIOR BTBR/NOR second cohort/BTBR/training/c7_m2.mp4</t>
        </is>
      </c>
      <c r="F635" t="n">
        <v>-18.5</v>
      </c>
      <c r="G635" t="n">
        <v>589.199</v>
      </c>
      <c r="H635" t="n">
        <v>633.799</v>
      </c>
      <c r="I635" t="n">
        <v>30</v>
      </c>
      <c r="J635" t="inlineStr">
        <is>
          <t>BTBR</t>
        </is>
      </c>
      <c r="K635" t="inlineStr">
        <is>
          <t>Male</t>
        </is>
      </c>
      <c r="L635" t="inlineStr">
        <is>
          <t>No focal subject</t>
        </is>
      </c>
      <c r="M635" t="n">
        <v>43.968</v>
      </c>
      <c r="N635" t="inlineStr">
        <is>
          <t>Explore_F2</t>
        </is>
      </c>
      <c r="O635" t="inlineStr">
        <is>
          <t>Second familiar</t>
        </is>
      </c>
      <c r="P635" t="inlineStr">
        <is>
          <t>STATE</t>
        </is>
      </c>
      <c r="Q635" t="n">
        <v>67.09999999999999</v>
      </c>
      <c r="R635" t="n">
        <v>68.833</v>
      </c>
      <c r="S635" t="n">
        <v>1.733</v>
      </c>
      <c r="T635" t="inlineStr">
        <is>
          <t>C:/Users/manuel.felline/Documents/BEHAVIOR BTBR/NOR second cohort/BTBR/training/c7_m2.mp4</t>
        </is>
      </c>
      <c r="U635" t="n">
        <v>2567</v>
      </c>
      <c r="V635" t="n">
        <v>2619</v>
      </c>
      <c r="W635" t="n">
        <v/>
      </c>
      <c r="X635" t="n">
        <v/>
      </c>
      <c r="Y635" t="n">
        <v/>
      </c>
      <c r="Z635" t="n">
        <v/>
      </c>
      <c r="AA635">
        <f>SUMIFS($S$2:S635,$A$2:A635,A635,$N$2:N635,"Explore*")</f>
        <v/>
      </c>
      <c r="AB635">
        <f>IF(AND(LEFT(N635,7)="Explore",(AA635-IF(LEFT(N635,7)="Explore",S635,0))&lt;10),"SI","NO")</f>
        <v/>
      </c>
    </row>
    <row r="636">
      <c r="A636" t="inlineStr">
        <is>
          <t>c7m2_training</t>
        </is>
      </c>
      <c r="B636" t="inlineStr">
        <is>
          <t>2026-05-07 11:01:28.934</t>
        </is>
      </c>
      <c r="C636" t="n">
        <v/>
      </c>
      <c r="D636" t="inlineStr">
        <is>
          <t>Media file</t>
        </is>
      </c>
      <c r="E636" t="inlineStr">
        <is>
          <t>player #1:C:/Users/manuel.felline/Documents/BEHAVIOR BTBR/NOR second cohort/BTBR/training/c7_m2.mp4</t>
        </is>
      </c>
      <c r="F636" t="n">
        <v>-18.5</v>
      </c>
      <c r="G636" t="n">
        <v>589.199</v>
      </c>
      <c r="H636" t="n">
        <v>633.799</v>
      </c>
      <c r="I636" t="n">
        <v>30</v>
      </c>
      <c r="J636" t="inlineStr">
        <is>
          <t>BTBR</t>
        </is>
      </c>
      <c r="K636" t="inlineStr">
        <is>
          <t>Male</t>
        </is>
      </c>
      <c r="L636" t="inlineStr">
        <is>
          <t>No focal subject</t>
        </is>
      </c>
      <c r="M636" t="n">
        <v>43.968</v>
      </c>
      <c r="N636" t="inlineStr">
        <is>
          <t>Explore_F</t>
        </is>
      </c>
      <c r="O636" t="inlineStr">
        <is>
          <t>Familiar</t>
        </is>
      </c>
      <c r="P636" t="inlineStr">
        <is>
          <t>STATE</t>
        </is>
      </c>
      <c r="Q636" t="n">
        <v>69.56699999999999</v>
      </c>
      <c r="R636" t="n">
        <v>70.56699999999999</v>
      </c>
      <c r="S636" t="n">
        <v>1</v>
      </c>
      <c r="T636" t="inlineStr">
        <is>
          <t>C:/Users/manuel.felline/Documents/BEHAVIOR BTBR/NOR second cohort/BTBR/training/c7_m2.mp4</t>
        </is>
      </c>
      <c r="U636" t="n">
        <v>2641</v>
      </c>
      <c r="V636" t="n">
        <v>2671</v>
      </c>
      <c r="W636" t="n">
        <v/>
      </c>
      <c r="X636" t="n">
        <v/>
      </c>
      <c r="Y636" t="n">
        <v/>
      </c>
      <c r="Z636" t="n">
        <v/>
      </c>
      <c r="AA636">
        <f>SUMIFS($S$2:S636,$A$2:A636,A636,$N$2:N636,"Explore*")</f>
        <v/>
      </c>
      <c r="AB636">
        <f>IF(AND(LEFT(N636,7)="Explore",(AA636-IF(LEFT(N636,7)="Explore",S636,0))&lt;10),"SI","NO")</f>
        <v/>
      </c>
    </row>
    <row r="637">
      <c r="A637" t="inlineStr">
        <is>
          <t>c7m2_training</t>
        </is>
      </c>
      <c r="B637" t="inlineStr">
        <is>
          <t>2026-05-07 11:01:28.934</t>
        </is>
      </c>
      <c r="C637" t="n">
        <v/>
      </c>
      <c r="D637" t="inlineStr">
        <is>
          <t>Media file</t>
        </is>
      </c>
      <c r="E637" t="inlineStr">
        <is>
          <t>player #1:C:/Users/manuel.felline/Documents/BEHAVIOR BTBR/NOR second cohort/BTBR/training/c7_m2.mp4</t>
        </is>
      </c>
      <c r="F637" t="n">
        <v>-18.5</v>
      </c>
      <c r="G637" t="n">
        <v>589.199</v>
      </c>
      <c r="H637" t="n">
        <v>633.799</v>
      </c>
      <c r="I637" t="n">
        <v>30</v>
      </c>
      <c r="J637" t="inlineStr">
        <is>
          <t>BTBR</t>
        </is>
      </c>
      <c r="K637" t="inlineStr">
        <is>
          <t>Male</t>
        </is>
      </c>
      <c r="L637" t="inlineStr">
        <is>
          <t>No focal subject</t>
        </is>
      </c>
      <c r="M637" t="n">
        <v>43.968</v>
      </c>
      <c r="N637" t="inlineStr">
        <is>
          <t>Explore_F</t>
        </is>
      </c>
      <c r="O637" t="inlineStr">
        <is>
          <t>Familiar</t>
        </is>
      </c>
      <c r="P637" t="inlineStr">
        <is>
          <t>STATE</t>
        </is>
      </c>
      <c r="Q637" t="n">
        <v>83.43300000000001</v>
      </c>
      <c r="R637" t="n">
        <v>84.167</v>
      </c>
      <c r="S637" t="n">
        <v>0.734</v>
      </c>
      <c r="T637" t="inlineStr">
        <is>
          <t>C:/Users/manuel.felline/Documents/BEHAVIOR BTBR/NOR second cohort/BTBR/training/c7_m2.mp4</t>
        </is>
      </c>
      <c r="U637" t="n">
        <v>3057</v>
      </c>
      <c r="V637" t="n">
        <v>3079</v>
      </c>
      <c r="W637" t="n">
        <v/>
      </c>
      <c r="X637" t="n">
        <v/>
      </c>
      <c r="Y637" t="n">
        <v/>
      </c>
      <c r="Z637" t="n">
        <v/>
      </c>
      <c r="AA637">
        <f>SUMIFS($S$2:S637,$A$2:A637,A637,$N$2:N637,"Explore*")</f>
        <v/>
      </c>
      <c r="AB637">
        <f>IF(AND(LEFT(N637,7)="Explore",(AA637-IF(LEFT(N637,7)="Explore",S637,0))&lt;10),"SI","NO")</f>
        <v/>
      </c>
    </row>
    <row r="638">
      <c r="A638" t="inlineStr">
        <is>
          <t>c7m2_training</t>
        </is>
      </c>
      <c r="B638" t="inlineStr">
        <is>
          <t>2026-05-07 11:01:28.934</t>
        </is>
      </c>
      <c r="C638" t="n">
        <v/>
      </c>
      <c r="D638" t="inlineStr">
        <is>
          <t>Media file</t>
        </is>
      </c>
      <c r="E638" t="inlineStr">
        <is>
          <t>player #1:C:/Users/manuel.felline/Documents/BEHAVIOR BTBR/NOR second cohort/BTBR/training/c7_m2.mp4</t>
        </is>
      </c>
      <c r="F638" t="n">
        <v>-18.5</v>
      </c>
      <c r="G638" t="n">
        <v>589.199</v>
      </c>
      <c r="H638" t="n">
        <v>633.799</v>
      </c>
      <c r="I638" t="n">
        <v>30</v>
      </c>
      <c r="J638" t="inlineStr">
        <is>
          <t>BTBR</t>
        </is>
      </c>
      <c r="K638" t="inlineStr">
        <is>
          <t>Male</t>
        </is>
      </c>
      <c r="L638" t="inlineStr">
        <is>
          <t>No focal subject</t>
        </is>
      </c>
      <c r="M638" t="n">
        <v>43.968</v>
      </c>
      <c r="N638" t="inlineStr">
        <is>
          <t>Explore_F2</t>
        </is>
      </c>
      <c r="O638" t="inlineStr">
        <is>
          <t>Second familiar</t>
        </is>
      </c>
      <c r="P638" t="inlineStr">
        <is>
          <t>STATE</t>
        </is>
      </c>
      <c r="Q638" t="n">
        <v>128.233</v>
      </c>
      <c r="R638" t="n">
        <v>129.333</v>
      </c>
      <c r="S638" t="n">
        <v>1.1</v>
      </c>
      <c r="T638" t="inlineStr">
        <is>
          <t>C:/Users/manuel.felline/Documents/BEHAVIOR BTBR/NOR second cohort/BTBR/training/c7_m2.mp4</t>
        </is>
      </c>
      <c r="U638" t="n">
        <v>4401</v>
      </c>
      <c r="V638" t="n">
        <v>4434</v>
      </c>
      <c r="W638" t="n">
        <v/>
      </c>
      <c r="X638" t="n">
        <v/>
      </c>
      <c r="Y638" t="n">
        <v/>
      </c>
      <c r="Z638" t="n">
        <v/>
      </c>
      <c r="AA638">
        <f>SUMIFS($S$2:S638,$A$2:A638,A638,$N$2:N638,"Explore*")</f>
        <v/>
      </c>
      <c r="AB638">
        <f>IF(AND(LEFT(N638,7)="Explore",(AA638-IF(LEFT(N638,7)="Explore",S638,0))&lt;10),"SI","NO")</f>
        <v/>
      </c>
    </row>
    <row r="639">
      <c r="A639" t="inlineStr">
        <is>
          <t>c7m2_training</t>
        </is>
      </c>
      <c r="B639" t="inlineStr">
        <is>
          <t>2026-05-07 11:01:28.934</t>
        </is>
      </c>
      <c r="C639" t="n">
        <v/>
      </c>
      <c r="D639" t="inlineStr">
        <is>
          <t>Media file</t>
        </is>
      </c>
      <c r="E639" t="inlineStr">
        <is>
          <t>player #1:C:/Users/manuel.felline/Documents/BEHAVIOR BTBR/NOR second cohort/BTBR/training/c7_m2.mp4</t>
        </is>
      </c>
      <c r="F639" t="n">
        <v>-18.5</v>
      </c>
      <c r="G639" t="n">
        <v>589.199</v>
      </c>
      <c r="H639" t="n">
        <v>633.799</v>
      </c>
      <c r="I639" t="n">
        <v>30</v>
      </c>
      <c r="J639" t="inlineStr">
        <is>
          <t>BTBR</t>
        </is>
      </c>
      <c r="K639" t="inlineStr">
        <is>
          <t>Male</t>
        </is>
      </c>
      <c r="L639" t="inlineStr">
        <is>
          <t>No focal subject</t>
        </is>
      </c>
      <c r="M639" t="n">
        <v>43.968</v>
      </c>
      <c r="N639" t="inlineStr">
        <is>
          <t>Explore_F2</t>
        </is>
      </c>
      <c r="O639" t="inlineStr">
        <is>
          <t>Second familiar</t>
        </is>
      </c>
      <c r="P639" t="inlineStr">
        <is>
          <t>STATE</t>
        </is>
      </c>
      <c r="Q639" t="n">
        <v>130.533</v>
      </c>
      <c r="R639" t="n">
        <v>132.767</v>
      </c>
      <c r="S639" t="n">
        <v>2.234</v>
      </c>
      <c r="T639" t="inlineStr">
        <is>
          <t>C:/Users/manuel.felline/Documents/BEHAVIOR BTBR/NOR second cohort/BTBR/training/c7_m2.mp4</t>
        </is>
      </c>
      <c r="U639" t="n">
        <v>4470</v>
      </c>
      <c r="V639" t="n">
        <v>4537</v>
      </c>
      <c r="W639" t="n">
        <v/>
      </c>
      <c r="X639" t="n">
        <v/>
      </c>
      <c r="Y639" t="n">
        <v/>
      </c>
      <c r="Z639" t="n">
        <v/>
      </c>
      <c r="AA639">
        <f>SUMIFS($S$2:S639,$A$2:A639,A639,$N$2:N639,"Explore*")</f>
        <v/>
      </c>
      <c r="AB639">
        <f>IF(AND(LEFT(N639,7)="Explore",(AA639-IF(LEFT(N639,7)="Explore",S639,0))&lt;10),"SI","NO")</f>
        <v/>
      </c>
    </row>
    <row r="640">
      <c r="A640" t="inlineStr">
        <is>
          <t>c7m2_training</t>
        </is>
      </c>
      <c r="B640" t="inlineStr">
        <is>
          <t>2026-05-07 11:01:28.934</t>
        </is>
      </c>
      <c r="C640" t="n">
        <v/>
      </c>
      <c r="D640" t="inlineStr">
        <is>
          <t>Media file</t>
        </is>
      </c>
      <c r="E640" t="inlineStr">
        <is>
          <t>player #1:C:/Users/manuel.felline/Documents/BEHAVIOR BTBR/NOR second cohort/BTBR/training/c7_m2.mp4</t>
        </is>
      </c>
      <c r="F640" t="n">
        <v>-18.5</v>
      </c>
      <c r="G640" t="n">
        <v>589.199</v>
      </c>
      <c r="H640" t="n">
        <v>633.799</v>
      </c>
      <c r="I640" t="n">
        <v>30</v>
      </c>
      <c r="J640" t="inlineStr">
        <is>
          <t>BTBR</t>
        </is>
      </c>
      <c r="K640" t="inlineStr">
        <is>
          <t>Male</t>
        </is>
      </c>
      <c r="L640" t="inlineStr">
        <is>
          <t>No focal subject</t>
        </is>
      </c>
      <c r="M640" t="n">
        <v>43.968</v>
      </c>
      <c r="N640" t="inlineStr">
        <is>
          <t>Explore_F</t>
        </is>
      </c>
      <c r="O640" t="inlineStr">
        <is>
          <t>Familiar</t>
        </is>
      </c>
      <c r="P640" t="inlineStr">
        <is>
          <t>STATE</t>
        </is>
      </c>
      <c r="Q640" t="n">
        <v>136.867</v>
      </c>
      <c r="R640" t="n">
        <v>137.567</v>
      </c>
      <c r="S640" t="n">
        <v>0.7</v>
      </c>
      <c r="T640" t="inlineStr">
        <is>
          <t>C:/Users/manuel.felline/Documents/BEHAVIOR BTBR/NOR second cohort/BTBR/training/c7_m2.mp4</t>
        </is>
      </c>
      <c r="U640" t="n">
        <v>4660</v>
      </c>
      <c r="V640" t="n">
        <v>4681</v>
      </c>
      <c r="W640" t="n">
        <v/>
      </c>
      <c r="X640" t="n">
        <v/>
      </c>
      <c r="Y640" t="n">
        <v/>
      </c>
      <c r="Z640" t="n">
        <v/>
      </c>
      <c r="AA640">
        <f>SUMIFS($S$2:S640,$A$2:A640,A640,$N$2:N640,"Explore*")</f>
        <v/>
      </c>
      <c r="AB640">
        <f>IF(AND(LEFT(N640,7)="Explore",(AA640-IF(LEFT(N640,7)="Explore",S640,0))&lt;10),"SI","NO")</f>
        <v/>
      </c>
    </row>
    <row r="641">
      <c r="A641" t="inlineStr">
        <is>
          <t>c7m2_training</t>
        </is>
      </c>
      <c r="B641" t="inlineStr">
        <is>
          <t>2026-05-07 11:01:28.934</t>
        </is>
      </c>
      <c r="C641" t="n">
        <v/>
      </c>
      <c r="D641" t="inlineStr">
        <is>
          <t>Media file</t>
        </is>
      </c>
      <c r="E641" t="inlineStr">
        <is>
          <t>player #1:C:/Users/manuel.felline/Documents/BEHAVIOR BTBR/NOR second cohort/BTBR/training/c7_m2.mp4</t>
        </is>
      </c>
      <c r="F641" t="n">
        <v>-18.5</v>
      </c>
      <c r="G641" t="n">
        <v>589.199</v>
      </c>
      <c r="H641" t="n">
        <v>633.799</v>
      </c>
      <c r="I641" t="n">
        <v>30</v>
      </c>
      <c r="J641" t="inlineStr">
        <is>
          <t>BTBR</t>
        </is>
      </c>
      <c r="K641" t="inlineStr">
        <is>
          <t>Male</t>
        </is>
      </c>
      <c r="L641" t="inlineStr">
        <is>
          <t>No focal subject</t>
        </is>
      </c>
      <c r="M641" t="n">
        <v>43.968</v>
      </c>
      <c r="N641" t="inlineStr">
        <is>
          <t>Explore_F2</t>
        </is>
      </c>
      <c r="O641" t="inlineStr">
        <is>
          <t>Second familiar</t>
        </is>
      </c>
      <c r="P641" t="inlineStr">
        <is>
          <t>STATE</t>
        </is>
      </c>
      <c r="Q641" t="n">
        <v>254.466</v>
      </c>
      <c r="R641" t="n">
        <v>255.5</v>
      </c>
      <c r="S641" t="n">
        <v>1.034</v>
      </c>
      <c r="T641" t="inlineStr">
        <is>
          <t>C:/Users/manuel.felline/Documents/BEHAVIOR BTBR/NOR second cohort/BTBR/training/c7_m2.mp4</t>
        </is>
      </c>
      <c r="U641" t="n">
        <v>8187</v>
      </c>
      <c r="V641" t="n">
        <v>8218</v>
      </c>
      <c r="W641" t="n">
        <v/>
      </c>
      <c r="X641" t="n">
        <v/>
      </c>
      <c r="Y641" t="n">
        <v/>
      </c>
      <c r="Z641" t="n">
        <v/>
      </c>
      <c r="AA641">
        <f>SUMIFS($S$2:S641,$A$2:A641,A641,$N$2:N641,"Explore*")</f>
        <v/>
      </c>
      <c r="AB641">
        <f>IF(AND(LEFT(N641,7)="Explore",(AA641-IF(LEFT(N641,7)="Explore",S641,0))&lt;10),"SI","NO")</f>
        <v/>
      </c>
    </row>
    <row r="642">
      <c r="A642" t="inlineStr">
        <is>
          <t>c7m2_training</t>
        </is>
      </c>
      <c r="B642" t="inlineStr">
        <is>
          <t>2026-05-07 11:01:28.934</t>
        </is>
      </c>
      <c r="C642" t="n">
        <v/>
      </c>
      <c r="D642" t="inlineStr">
        <is>
          <t>Media file</t>
        </is>
      </c>
      <c r="E642" t="inlineStr">
        <is>
          <t>player #1:C:/Users/manuel.felline/Documents/BEHAVIOR BTBR/NOR second cohort/BTBR/training/c7_m2.mp4</t>
        </is>
      </c>
      <c r="F642" t="n">
        <v>-18.5</v>
      </c>
      <c r="G642" t="n">
        <v>589.199</v>
      </c>
      <c r="H642" t="n">
        <v>633.799</v>
      </c>
      <c r="I642" t="n">
        <v>30</v>
      </c>
      <c r="J642" t="inlineStr">
        <is>
          <t>BTBR</t>
        </is>
      </c>
      <c r="K642" t="inlineStr">
        <is>
          <t>Male</t>
        </is>
      </c>
      <c r="L642" t="inlineStr">
        <is>
          <t>No focal subject</t>
        </is>
      </c>
      <c r="M642" t="n">
        <v>43.968</v>
      </c>
      <c r="N642" t="inlineStr">
        <is>
          <t>Explore_F</t>
        </is>
      </c>
      <c r="O642" t="inlineStr">
        <is>
          <t>Familiar</t>
        </is>
      </c>
      <c r="P642" t="inlineStr">
        <is>
          <t>STATE</t>
        </is>
      </c>
      <c r="Q642" t="n">
        <v>272.566</v>
      </c>
      <c r="R642" t="n">
        <v>273.366</v>
      </c>
      <c r="S642" t="n">
        <v>0.8</v>
      </c>
      <c r="T642" t="inlineStr">
        <is>
          <t>C:/Users/manuel.felline/Documents/BEHAVIOR BTBR/NOR second cohort/BTBR/training/c7_m2.mp4</t>
        </is>
      </c>
      <c r="U642" t="n">
        <v>8730</v>
      </c>
      <c r="V642" t="n">
        <v>8754</v>
      </c>
      <c r="W642" t="n">
        <v/>
      </c>
      <c r="X642" t="n">
        <v/>
      </c>
      <c r="Y642" t="n">
        <v/>
      </c>
      <c r="Z642" t="n">
        <v/>
      </c>
      <c r="AA642">
        <f>SUMIFS($S$2:S642,$A$2:A642,A642,$N$2:N642,"Explore*")</f>
        <v/>
      </c>
      <c r="AB642">
        <f>IF(AND(LEFT(N642,7)="Explore",(AA642-IF(LEFT(N642,7)="Explore",S642,0))&lt;10),"SI","NO")</f>
        <v/>
      </c>
    </row>
    <row r="643">
      <c r="A643" t="inlineStr">
        <is>
          <t>c7m2_training</t>
        </is>
      </c>
      <c r="B643" t="inlineStr">
        <is>
          <t>2026-05-07 11:01:28.934</t>
        </is>
      </c>
      <c r="C643" t="n">
        <v/>
      </c>
      <c r="D643" t="inlineStr">
        <is>
          <t>Media file</t>
        </is>
      </c>
      <c r="E643" t="inlineStr">
        <is>
          <t>player #1:C:/Users/manuel.felline/Documents/BEHAVIOR BTBR/NOR second cohort/BTBR/training/c7_m2.mp4</t>
        </is>
      </c>
      <c r="F643" t="n">
        <v>-18.5</v>
      </c>
      <c r="G643" t="n">
        <v>589.199</v>
      </c>
      <c r="H643" t="n">
        <v>633.799</v>
      </c>
      <c r="I643" t="n">
        <v>30</v>
      </c>
      <c r="J643" t="inlineStr">
        <is>
          <t>BTBR</t>
        </is>
      </c>
      <c r="K643" t="inlineStr">
        <is>
          <t>Male</t>
        </is>
      </c>
      <c r="L643" t="inlineStr">
        <is>
          <t>No focal subject</t>
        </is>
      </c>
      <c r="M643" t="n">
        <v>43.968</v>
      </c>
      <c r="N643" t="inlineStr">
        <is>
          <t>Explore_F2</t>
        </is>
      </c>
      <c r="O643" t="inlineStr">
        <is>
          <t>Second familiar</t>
        </is>
      </c>
      <c r="P643" t="inlineStr">
        <is>
          <t>STATE</t>
        </is>
      </c>
      <c r="Q643" t="n">
        <v>279.2</v>
      </c>
      <c r="R643" t="n">
        <v>279.566</v>
      </c>
      <c r="S643" t="n">
        <v>0.366</v>
      </c>
      <c r="T643" t="inlineStr">
        <is>
          <t>C:/Users/manuel.felline/Documents/BEHAVIOR BTBR/NOR second cohort/BTBR/training/c7_m2.mp4</t>
        </is>
      </c>
      <c r="U643" t="n">
        <v>8929</v>
      </c>
      <c r="V643" t="n">
        <v>8940</v>
      </c>
      <c r="W643" t="n">
        <v/>
      </c>
      <c r="X643" t="n">
        <v/>
      </c>
      <c r="Y643" t="n">
        <v/>
      </c>
      <c r="Z643" t="n">
        <v/>
      </c>
      <c r="AA643">
        <f>SUMIFS($S$2:S643,$A$2:A643,A643,$N$2:N643,"Explore*")</f>
        <v/>
      </c>
      <c r="AB643">
        <f>IF(AND(LEFT(N643,7)="Explore",(AA643-IF(LEFT(N643,7)="Explore",S643,0))&lt;10),"SI","NO")</f>
        <v/>
      </c>
    </row>
    <row r="644">
      <c r="A644" t="inlineStr">
        <is>
          <t>c7m2_training</t>
        </is>
      </c>
      <c r="B644" t="inlineStr">
        <is>
          <t>2026-05-07 11:01:28.934</t>
        </is>
      </c>
      <c r="C644" t="n">
        <v/>
      </c>
      <c r="D644" t="inlineStr">
        <is>
          <t>Media file</t>
        </is>
      </c>
      <c r="E644" t="inlineStr">
        <is>
          <t>player #1:C:/Users/manuel.felline/Documents/BEHAVIOR BTBR/NOR second cohort/BTBR/training/c7_m2.mp4</t>
        </is>
      </c>
      <c r="F644" t="n">
        <v>-18.5</v>
      </c>
      <c r="G644" t="n">
        <v>589.199</v>
      </c>
      <c r="H644" t="n">
        <v>633.799</v>
      </c>
      <c r="I644" t="n">
        <v>30</v>
      </c>
      <c r="J644" t="inlineStr">
        <is>
          <t>BTBR</t>
        </is>
      </c>
      <c r="K644" t="inlineStr">
        <is>
          <t>Male</t>
        </is>
      </c>
      <c r="L644" t="inlineStr">
        <is>
          <t>No focal subject</t>
        </is>
      </c>
      <c r="M644" t="n">
        <v>43.968</v>
      </c>
      <c r="N644" t="inlineStr">
        <is>
          <t>Explore_F</t>
        </is>
      </c>
      <c r="O644" t="inlineStr">
        <is>
          <t>Familiar</t>
        </is>
      </c>
      <c r="P644" t="inlineStr">
        <is>
          <t>STATE</t>
        </is>
      </c>
      <c r="Q644" t="n">
        <v>287.8</v>
      </c>
      <c r="R644" t="n">
        <v>289.3</v>
      </c>
      <c r="S644" t="n">
        <v>1.5</v>
      </c>
      <c r="T644" t="inlineStr">
        <is>
          <t>C:/Users/manuel.felline/Documents/BEHAVIOR BTBR/NOR second cohort/BTBR/training/c7_m2.mp4</t>
        </is>
      </c>
      <c r="U644" t="n">
        <v>9187</v>
      </c>
      <c r="V644" t="n">
        <v>9232</v>
      </c>
      <c r="W644" t="n">
        <v/>
      </c>
      <c r="X644" t="n">
        <v/>
      </c>
      <c r="Y644" t="n">
        <v/>
      </c>
      <c r="Z644" t="n">
        <v/>
      </c>
      <c r="AA644">
        <f>SUMIFS($S$2:S644,$A$2:A644,A644,$N$2:N644,"Explore*")</f>
        <v/>
      </c>
      <c r="AB644">
        <f>IF(AND(LEFT(N644,7)="Explore",(AA644-IF(LEFT(N644,7)="Explore",S644,0))&lt;10),"SI","NO")</f>
        <v/>
      </c>
    </row>
    <row r="645">
      <c r="A645" t="inlineStr">
        <is>
          <t>c7m2_training</t>
        </is>
      </c>
      <c r="B645" t="inlineStr">
        <is>
          <t>2026-05-07 11:01:28.934</t>
        </is>
      </c>
      <c r="C645" t="n">
        <v/>
      </c>
      <c r="D645" t="inlineStr">
        <is>
          <t>Media file</t>
        </is>
      </c>
      <c r="E645" t="inlineStr">
        <is>
          <t>player #1:C:/Users/manuel.felline/Documents/BEHAVIOR BTBR/NOR second cohort/BTBR/training/c7_m2.mp4</t>
        </is>
      </c>
      <c r="F645" t="n">
        <v>-18.5</v>
      </c>
      <c r="G645" t="n">
        <v>589.199</v>
      </c>
      <c r="H645" t="n">
        <v>633.799</v>
      </c>
      <c r="I645" t="n">
        <v>30</v>
      </c>
      <c r="J645" t="inlineStr">
        <is>
          <t>BTBR</t>
        </is>
      </c>
      <c r="K645" t="inlineStr">
        <is>
          <t>Male</t>
        </is>
      </c>
      <c r="L645" t="inlineStr">
        <is>
          <t>No focal subject</t>
        </is>
      </c>
      <c r="M645" t="n">
        <v>43.968</v>
      </c>
      <c r="N645" t="inlineStr">
        <is>
          <t>Explore_F2</t>
        </is>
      </c>
      <c r="O645" t="inlineStr">
        <is>
          <t>Second familiar</t>
        </is>
      </c>
      <c r="P645" t="inlineStr">
        <is>
          <t>STATE</t>
        </is>
      </c>
      <c r="Q645" t="n">
        <v>291.3</v>
      </c>
      <c r="R645" t="n">
        <v>292.8</v>
      </c>
      <c r="S645" t="n">
        <v>1.5</v>
      </c>
      <c r="T645" t="inlineStr">
        <is>
          <t>C:/Users/manuel.felline/Documents/BEHAVIOR BTBR/NOR second cohort/BTBR/training/c7_m2.mp4</t>
        </is>
      </c>
      <c r="U645" t="n">
        <v>9292</v>
      </c>
      <c r="V645" t="n">
        <v>9337</v>
      </c>
      <c r="W645" t="n">
        <v/>
      </c>
      <c r="X645" t="n">
        <v/>
      </c>
      <c r="Y645" t="n">
        <v/>
      </c>
      <c r="Z645" t="n">
        <v/>
      </c>
      <c r="AA645">
        <f>SUMIFS($S$2:S645,$A$2:A645,A645,$N$2:N645,"Explore*")</f>
        <v/>
      </c>
      <c r="AB645">
        <f>IF(AND(LEFT(N645,7)="Explore",(AA645-IF(LEFT(N645,7)="Explore",S645,0))&lt;10),"SI","NO")</f>
        <v/>
      </c>
    </row>
    <row r="646">
      <c r="A646" t="inlineStr">
        <is>
          <t>c7m2_training</t>
        </is>
      </c>
      <c r="B646" t="inlineStr">
        <is>
          <t>2026-05-07 11:01:28.934</t>
        </is>
      </c>
      <c r="C646" t="n">
        <v/>
      </c>
      <c r="D646" t="inlineStr">
        <is>
          <t>Media file</t>
        </is>
      </c>
      <c r="E646" t="inlineStr">
        <is>
          <t>player #1:C:/Users/manuel.felline/Documents/BEHAVIOR BTBR/NOR second cohort/BTBR/training/c7_m2.mp4</t>
        </is>
      </c>
      <c r="F646" t="n">
        <v>-18.5</v>
      </c>
      <c r="G646" t="n">
        <v>589.199</v>
      </c>
      <c r="H646" t="n">
        <v>633.799</v>
      </c>
      <c r="I646" t="n">
        <v>30</v>
      </c>
      <c r="J646" t="inlineStr">
        <is>
          <t>BTBR</t>
        </is>
      </c>
      <c r="K646" t="inlineStr">
        <is>
          <t>Male</t>
        </is>
      </c>
      <c r="L646" t="inlineStr">
        <is>
          <t>No focal subject</t>
        </is>
      </c>
      <c r="M646" t="n">
        <v>43.968</v>
      </c>
      <c r="N646" t="inlineStr">
        <is>
          <t>Explore_F</t>
        </is>
      </c>
      <c r="O646" t="inlineStr">
        <is>
          <t>Familiar</t>
        </is>
      </c>
      <c r="P646" t="inlineStr">
        <is>
          <t>STATE</t>
        </is>
      </c>
      <c r="Q646" t="n">
        <v>295.3</v>
      </c>
      <c r="R646" t="n">
        <v>296.633</v>
      </c>
      <c r="S646" t="n">
        <v>1.333</v>
      </c>
      <c r="T646" t="inlineStr">
        <is>
          <t>C:/Users/manuel.felline/Documents/BEHAVIOR BTBR/NOR second cohort/BTBR/training/c7_m2.mp4</t>
        </is>
      </c>
      <c r="U646" t="n">
        <v>9412</v>
      </c>
      <c r="V646" t="n">
        <v>9452</v>
      </c>
      <c r="W646" t="n">
        <v/>
      </c>
      <c r="X646" t="n">
        <v/>
      </c>
      <c r="Y646" t="n">
        <v/>
      </c>
      <c r="Z646" t="n">
        <v/>
      </c>
      <c r="AA646">
        <f>SUMIFS($S$2:S646,$A$2:A646,A646,$N$2:N646,"Explore*")</f>
        <v/>
      </c>
      <c r="AB646">
        <f>IF(AND(LEFT(N646,7)="Explore",(AA646-IF(LEFT(N646,7)="Explore",S646,0))&lt;10),"SI","NO")</f>
        <v/>
      </c>
    </row>
    <row r="647">
      <c r="A647" t="inlineStr">
        <is>
          <t>c7m2_training</t>
        </is>
      </c>
      <c r="B647" t="inlineStr">
        <is>
          <t>2026-05-07 11:01:28.934</t>
        </is>
      </c>
      <c r="C647" t="n">
        <v/>
      </c>
      <c r="D647" t="inlineStr">
        <is>
          <t>Media file</t>
        </is>
      </c>
      <c r="E647" t="inlineStr">
        <is>
          <t>player #1:C:/Users/manuel.felline/Documents/BEHAVIOR BTBR/NOR second cohort/BTBR/training/c7_m2.mp4</t>
        </is>
      </c>
      <c r="F647" t="n">
        <v>-18.5</v>
      </c>
      <c r="G647" t="n">
        <v>589.199</v>
      </c>
      <c r="H647" t="n">
        <v>633.799</v>
      </c>
      <c r="I647" t="n">
        <v>30</v>
      </c>
      <c r="J647" t="inlineStr">
        <is>
          <t>BTBR</t>
        </is>
      </c>
      <c r="K647" t="inlineStr">
        <is>
          <t>Male</t>
        </is>
      </c>
      <c r="L647" t="inlineStr">
        <is>
          <t>No focal subject</t>
        </is>
      </c>
      <c r="M647" t="n">
        <v>43.968</v>
      </c>
      <c r="N647" t="inlineStr">
        <is>
          <t>Explore_F2</t>
        </is>
      </c>
      <c r="O647" t="inlineStr">
        <is>
          <t>Second familiar</t>
        </is>
      </c>
      <c r="P647" t="inlineStr">
        <is>
          <t>STATE</t>
        </is>
      </c>
      <c r="Q647" t="n">
        <v>304.066</v>
      </c>
      <c r="R647" t="n">
        <v>305.4</v>
      </c>
      <c r="S647" t="n">
        <v>1.334</v>
      </c>
      <c r="T647" t="inlineStr">
        <is>
          <t>C:/Users/manuel.felline/Documents/BEHAVIOR BTBR/NOR second cohort/BTBR/training/c7_m2.mp4</t>
        </is>
      </c>
      <c r="U647" t="n">
        <v>9675</v>
      </c>
      <c r="V647" t="n">
        <v>9715</v>
      </c>
      <c r="W647" t="n">
        <v/>
      </c>
      <c r="X647" t="n">
        <v/>
      </c>
      <c r="Y647" t="n">
        <v/>
      </c>
      <c r="Z647" t="n">
        <v/>
      </c>
      <c r="AA647">
        <f>SUMIFS($S$2:S647,$A$2:A647,A647,$N$2:N647,"Explore*")</f>
        <v/>
      </c>
      <c r="AB647">
        <f>IF(AND(LEFT(N647,7)="Explore",(AA647-IF(LEFT(N647,7)="Explore",S647,0))&lt;10),"SI","NO")</f>
        <v/>
      </c>
    </row>
    <row r="648">
      <c r="A648" t="inlineStr">
        <is>
          <t>c7m2_training</t>
        </is>
      </c>
      <c r="B648" t="inlineStr">
        <is>
          <t>2026-05-07 11:01:28.934</t>
        </is>
      </c>
      <c r="C648" t="n">
        <v/>
      </c>
      <c r="D648" t="inlineStr">
        <is>
          <t>Media file</t>
        </is>
      </c>
      <c r="E648" t="inlineStr">
        <is>
          <t>player #1:C:/Users/manuel.felline/Documents/BEHAVIOR BTBR/NOR second cohort/BTBR/training/c7_m2.mp4</t>
        </is>
      </c>
      <c r="F648" t="n">
        <v>-18.5</v>
      </c>
      <c r="G648" t="n">
        <v>589.199</v>
      </c>
      <c r="H648" t="n">
        <v>633.799</v>
      </c>
      <c r="I648" t="n">
        <v>30</v>
      </c>
      <c r="J648" t="inlineStr">
        <is>
          <t>BTBR</t>
        </is>
      </c>
      <c r="K648" t="inlineStr">
        <is>
          <t>Male</t>
        </is>
      </c>
      <c r="L648" t="inlineStr">
        <is>
          <t>No focal subject</t>
        </is>
      </c>
      <c r="M648" t="n">
        <v>43.968</v>
      </c>
      <c r="N648" t="inlineStr">
        <is>
          <t>Explore_F2</t>
        </is>
      </c>
      <c r="O648" t="inlineStr">
        <is>
          <t>Second familiar</t>
        </is>
      </c>
      <c r="P648" t="inlineStr">
        <is>
          <t>STATE</t>
        </is>
      </c>
      <c r="Q648" t="n">
        <v>320.6</v>
      </c>
      <c r="R648" t="n">
        <v>322.133</v>
      </c>
      <c r="S648" t="n">
        <v>1.533</v>
      </c>
      <c r="T648" t="inlineStr">
        <is>
          <t>C:/Users/manuel.felline/Documents/BEHAVIOR BTBR/NOR second cohort/BTBR/training/c7_m2.mp4</t>
        </is>
      </c>
      <c r="U648" t="n">
        <v>10171</v>
      </c>
      <c r="V648" t="n">
        <v>10217</v>
      </c>
      <c r="W648" t="n">
        <v/>
      </c>
      <c r="X648" t="n">
        <v/>
      </c>
      <c r="Y648" t="n">
        <v/>
      </c>
      <c r="Z648" t="n">
        <v/>
      </c>
      <c r="AA648">
        <f>SUMIFS($S$2:S648,$A$2:A648,A648,$N$2:N648,"Explore*")</f>
        <v/>
      </c>
      <c r="AB648">
        <f>IF(AND(LEFT(N648,7)="Explore",(AA648-IF(LEFT(N648,7)="Explore",S648,0))&lt;10),"SI","NO")</f>
        <v/>
      </c>
    </row>
    <row r="649">
      <c r="A649" t="inlineStr">
        <is>
          <t>c7m2_training</t>
        </is>
      </c>
      <c r="B649" t="inlineStr">
        <is>
          <t>2026-05-07 11:01:28.934</t>
        </is>
      </c>
      <c r="C649" t="n">
        <v/>
      </c>
      <c r="D649" t="inlineStr">
        <is>
          <t>Media file</t>
        </is>
      </c>
      <c r="E649" t="inlineStr">
        <is>
          <t>player #1:C:/Users/manuel.felline/Documents/BEHAVIOR BTBR/NOR second cohort/BTBR/training/c7_m2.mp4</t>
        </is>
      </c>
      <c r="F649" t="n">
        <v>-18.5</v>
      </c>
      <c r="G649" t="n">
        <v>589.199</v>
      </c>
      <c r="H649" t="n">
        <v>633.799</v>
      </c>
      <c r="I649" t="n">
        <v>30</v>
      </c>
      <c r="J649" t="inlineStr">
        <is>
          <t>BTBR</t>
        </is>
      </c>
      <c r="K649" t="inlineStr">
        <is>
          <t>Male</t>
        </is>
      </c>
      <c r="L649" t="inlineStr">
        <is>
          <t>No focal subject</t>
        </is>
      </c>
      <c r="M649" t="n">
        <v>43.968</v>
      </c>
      <c r="N649" t="inlineStr">
        <is>
          <t>Explore_F</t>
        </is>
      </c>
      <c r="O649" t="inlineStr">
        <is>
          <t>Familiar</t>
        </is>
      </c>
      <c r="P649" t="inlineStr">
        <is>
          <t>STATE</t>
        </is>
      </c>
      <c r="Q649" t="n">
        <v>340.433</v>
      </c>
      <c r="R649" t="n">
        <v>341.566</v>
      </c>
      <c r="S649" t="n">
        <v>1.133</v>
      </c>
      <c r="T649" t="inlineStr">
        <is>
          <t>C:/Users/manuel.felline/Documents/BEHAVIOR BTBR/NOR second cohort/BTBR/training/c7_m2.mp4</t>
        </is>
      </c>
      <c r="U649" t="n">
        <v>10765</v>
      </c>
      <c r="V649" t="n">
        <v>10800</v>
      </c>
      <c r="W649" t="n">
        <v/>
      </c>
      <c r="X649" t="n">
        <v/>
      </c>
      <c r="Y649" t="n">
        <v/>
      </c>
      <c r="Z649" t="n">
        <v/>
      </c>
      <c r="AA649">
        <f>SUMIFS($S$2:S649,$A$2:A649,A649,$N$2:N649,"Explore*")</f>
        <v/>
      </c>
      <c r="AB649">
        <f>IF(AND(LEFT(N649,7)="Explore",(AA649-IF(LEFT(N649,7)="Explore",S649,0))&lt;10),"SI","NO")</f>
        <v/>
      </c>
    </row>
    <row r="650">
      <c r="A650" t="inlineStr">
        <is>
          <t>c7m2_training</t>
        </is>
      </c>
      <c r="B650" t="inlineStr">
        <is>
          <t>2026-05-07 11:01:28.934</t>
        </is>
      </c>
      <c r="C650" t="n">
        <v/>
      </c>
      <c r="D650" t="inlineStr">
        <is>
          <t>Media file</t>
        </is>
      </c>
      <c r="E650" t="inlineStr">
        <is>
          <t>player #1:C:/Users/manuel.felline/Documents/BEHAVIOR BTBR/NOR second cohort/BTBR/training/c7_m2.mp4</t>
        </is>
      </c>
      <c r="F650" t="n">
        <v>-18.5</v>
      </c>
      <c r="G650" t="n">
        <v>589.199</v>
      </c>
      <c r="H650" t="n">
        <v>633.799</v>
      </c>
      <c r="I650" t="n">
        <v>30</v>
      </c>
      <c r="J650" t="inlineStr">
        <is>
          <t>BTBR</t>
        </is>
      </c>
      <c r="K650" t="inlineStr">
        <is>
          <t>Male</t>
        </is>
      </c>
      <c r="L650" t="inlineStr">
        <is>
          <t>No focal subject</t>
        </is>
      </c>
      <c r="M650" t="n">
        <v>43.968</v>
      </c>
      <c r="N650" t="inlineStr">
        <is>
          <t>Explore_F2</t>
        </is>
      </c>
      <c r="O650" t="inlineStr">
        <is>
          <t>Second familiar</t>
        </is>
      </c>
      <c r="P650" t="inlineStr">
        <is>
          <t>STATE</t>
        </is>
      </c>
      <c r="Q650" t="n">
        <v>344.8</v>
      </c>
      <c r="R650" t="n">
        <v>346.066</v>
      </c>
      <c r="S650" t="n">
        <v>1.266</v>
      </c>
      <c r="T650" t="inlineStr">
        <is>
          <t>C:/Users/manuel.felline/Documents/BEHAVIOR BTBR/NOR second cohort/BTBR/training/c7_m2.mp4</t>
        </is>
      </c>
      <c r="U650" t="n">
        <v>10896</v>
      </c>
      <c r="V650" t="n">
        <v>10934</v>
      </c>
      <c r="W650" t="n">
        <v/>
      </c>
      <c r="X650" t="n">
        <v/>
      </c>
      <c r="Y650" t="n">
        <v/>
      </c>
      <c r="Z650" t="n">
        <v/>
      </c>
      <c r="AA650">
        <f>SUMIFS($S$2:S650,$A$2:A650,A650,$N$2:N650,"Explore*")</f>
        <v/>
      </c>
      <c r="AB650">
        <f>IF(AND(LEFT(N650,7)="Explore",(AA650-IF(LEFT(N650,7)="Explore",S650,0))&lt;10),"SI","NO")</f>
        <v/>
      </c>
    </row>
    <row r="651">
      <c r="A651" t="inlineStr">
        <is>
          <t>c7m2_training</t>
        </is>
      </c>
      <c r="B651" t="inlineStr">
        <is>
          <t>2026-05-07 11:01:28.934</t>
        </is>
      </c>
      <c r="C651" t="n">
        <v/>
      </c>
      <c r="D651" t="inlineStr">
        <is>
          <t>Media file</t>
        </is>
      </c>
      <c r="E651" t="inlineStr">
        <is>
          <t>player #1:C:/Users/manuel.felline/Documents/BEHAVIOR BTBR/NOR second cohort/BTBR/training/c7_m2.mp4</t>
        </is>
      </c>
      <c r="F651" t="n">
        <v>-18.5</v>
      </c>
      <c r="G651" t="n">
        <v>589.199</v>
      </c>
      <c r="H651" t="n">
        <v>633.799</v>
      </c>
      <c r="I651" t="n">
        <v>30</v>
      </c>
      <c r="J651" t="inlineStr">
        <is>
          <t>BTBR</t>
        </is>
      </c>
      <c r="K651" t="inlineStr">
        <is>
          <t>Male</t>
        </is>
      </c>
      <c r="L651" t="inlineStr">
        <is>
          <t>No focal subject</t>
        </is>
      </c>
      <c r="M651" t="n">
        <v>43.968</v>
      </c>
      <c r="N651" t="inlineStr">
        <is>
          <t>Explore_F</t>
        </is>
      </c>
      <c r="O651" t="inlineStr">
        <is>
          <t>Familiar</t>
        </is>
      </c>
      <c r="P651" t="inlineStr">
        <is>
          <t>STATE</t>
        </is>
      </c>
      <c r="Q651" t="n">
        <v>347.4</v>
      </c>
      <c r="R651" t="n">
        <v>348.8</v>
      </c>
      <c r="S651" t="n">
        <v>1.4</v>
      </c>
      <c r="T651" t="inlineStr">
        <is>
          <t>C:/Users/manuel.felline/Documents/BEHAVIOR BTBR/NOR second cohort/BTBR/training/c7_m2.mp4</t>
        </is>
      </c>
      <c r="U651" t="n">
        <v>10974</v>
      </c>
      <c r="V651" t="n">
        <v>11016</v>
      </c>
      <c r="W651" t="n">
        <v/>
      </c>
      <c r="X651" t="n">
        <v/>
      </c>
      <c r="Y651" t="n">
        <v/>
      </c>
      <c r="Z651" t="n">
        <v/>
      </c>
      <c r="AA651">
        <f>SUMIFS($S$2:S651,$A$2:A651,A651,$N$2:N651,"Explore*")</f>
        <v/>
      </c>
      <c r="AB651">
        <f>IF(AND(LEFT(N651,7)="Explore",(AA651-IF(LEFT(N651,7)="Explore",S651,0))&lt;10),"SI","NO")</f>
        <v/>
      </c>
    </row>
    <row r="652">
      <c r="A652" t="inlineStr">
        <is>
          <t>c7m2_training</t>
        </is>
      </c>
      <c r="B652" t="inlineStr">
        <is>
          <t>2026-05-07 11:01:28.934</t>
        </is>
      </c>
      <c r="C652" t="n">
        <v/>
      </c>
      <c r="D652" t="inlineStr">
        <is>
          <t>Media file</t>
        </is>
      </c>
      <c r="E652" t="inlineStr">
        <is>
          <t>player #1:C:/Users/manuel.felline/Documents/BEHAVIOR BTBR/NOR second cohort/BTBR/training/c7_m2.mp4</t>
        </is>
      </c>
      <c r="F652" t="n">
        <v>-18.5</v>
      </c>
      <c r="G652" t="n">
        <v>589.199</v>
      </c>
      <c r="H652" t="n">
        <v>633.799</v>
      </c>
      <c r="I652" t="n">
        <v>30</v>
      </c>
      <c r="J652" t="inlineStr">
        <is>
          <t>BTBR</t>
        </is>
      </c>
      <c r="K652" t="inlineStr">
        <is>
          <t>Male</t>
        </is>
      </c>
      <c r="L652" t="inlineStr">
        <is>
          <t>No focal subject</t>
        </is>
      </c>
      <c r="M652" t="n">
        <v>43.968</v>
      </c>
      <c r="N652" t="inlineStr">
        <is>
          <t>Explore_F</t>
        </is>
      </c>
      <c r="O652" t="inlineStr">
        <is>
          <t>Familiar</t>
        </is>
      </c>
      <c r="P652" t="inlineStr">
        <is>
          <t>STATE</t>
        </is>
      </c>
      <c r="Q652" t="n">
        <v>351.133</v>
      </c>
      <c r="R652" t="n">
        <v>352.533</v>
      </c>
      <c r="S652" t="n">
        <v>1.4</v>
      </c>
      <c r="T652" t="inlineStr">
        <is>
          <t>C:/Users/manuel.felline/Documents/BEHAVIOR BTBR/NOR second cohort/BTBR/training/c7_m2.mp4</t>
        </is>
      </c>
      <c r="U652" t="n">
        <v>11086</v>
      </c>
      <c r="V652" t="n">
        <v>11128</v>
      </c>
      <c r="W652" t="n">
        <v/>
      </c>
      <c r="X652" t="n">
        <v/>
      </c>
      <c r="Y652" t="n">
        <v/>
      </c>
      <c r="Z652" t="n">
        <v/>
      </c>
      <c r="AA652">
        <f>SUMIFS($S$2:S652,$A$2:A652,A652,$N$2:N652,"Explore*")</f>
        <v/>
      </c>
      <c r="AB652">
        <f>IF(AND(LEFT(N652,7)="Explore",(AA652-IF(LEFT(N652,7)="Explore",S652,0))&lt;10),"SI","NO")</f>
        <v/>
      </c>
    </row>
    <row r="653">
      <c r="A653" t="inlineStr">
        <is>
          <t>c7m2_training</t>
        </is>
      </c>
      <c r="B653" t="inlineStr">
        <is>
          <t>2026-05-07 11:01:28.934</t>
        </is>
      </c>
      <c r="C653" t="n">
        <v/>
      </c>
      <c r="D653" t="inlineStr">
        <is>
          <t>Media file</t>
        </is>
      </c>
      <c r="E653" t="inlineStr">
        <is>
          <t>player #1:C:/Users/manuel.felline/Documents/BEHAVIOR BTBR/NOR second cohort/BTBR/training/c7_m2.mp4</t>
        </is>
      </c>
      <c r="F653" t="n">
        <v>-18.5</v>
      </c>
      <c r="G653" t="n">
        <v>589.199</v>
      </c>
      <c r="H653" t="n">
        <v>633.799</v>
      </c>
      <c r="I653" t="n">
        <v>30</v>
      </c>
      <c r="J653" t="inlineStr">
        <is>
          <t>BTBR</t>
        </is>
      </c>
      <c r="K653" t="inlineStr">
        <is>
          <t>Male</t>
        </is>
      </c>
      <c r="L653" t="inlineStr">
        <is>
          <t>No focal subject</t>
        </is>
      </c>
      <c r="M653" t="n">
        <v>43.968</v>
      </c>
      <c r="N653" t="inlineStr">
        <is>
          <t>Explore_F</t>
        </is>
      </c>
      <c r="O653" t="inlineStr">
        <is>
          <t>Familiar</t>
        </is>
      </c>
      <c r="P653" t="inlineStr">
        <is>
          <t>STATE</t>
        </is>
      </c>
      <c r="Q653" t="n">
        <v>398.866</v>
      </c>
      <c r="R653" t="n">
        <v>399.9</v>
      </c>
      <c r="S653" t="n">
        <v>1.034</v>
      </c>
      <c r="T653" t="inlineStr">
        <is>
          <t>C:/Users/manuel.felline/Documents/BEHAVIOR BTBR/NOR second cohort/BTBR/training/c7_m2.mp4</t>
        </is>
      </c>
      <c r="U653" t="n">
        <v>12518</v>
      </c>
      <c r="V653" t="n">
        <v>12549</v>
      </c>
      <c r="W653" t="n">
        <v/>
      </c>
      <c r="X653" t="n">
        <v/>
      </c>
      <c r="Y653" t="n">
        <v/>
      </c>
      <c r="Z653" t="n">
        <v/>
      </c>
      <c r="AA653">
        <f>SUMIFS($S$2:S653,$A$2:A653,A653,$N$2:N653,"Explore*")</f>
        <v/>
      </c>
      <c r="AB653">
        <f>IF(AND(LEFT(N653,7)="Explore",(AA653-IF(LEFT(N653,7)="Explore",S653,0))&lt;10),"SI","NO")</f>
        <v/>
      </c>
    </row>
    <row r="654">
      <c r="A654" t="inlineStr">
        <is>
          <t>c7m2_training</t>
        </is>
      </c>
      <c r="B654" t="inlineStr">
        <is>
          <t>2026-05-07 11:01:28.934</t>
        </is>
      </c>
      <c r="C654" t="n">
        <v/>
      </c>
      <c r="D654" t="inlineStr">
        <is>
          <t>Media file</t>
        </is>
      </c>
      <c r="E654" t="inlineStr">
        <is>
          <t>player #1:C:/Users/manuel.felline/Documents/BEHAVIOR BTBR/NOR second cohort/BTBR/training/c7_m2.mp4</t>
        </is>
      </c>
      <c r="F654" t="n">
        <v>-18.5</v>
      </c>
      <c r="G654" t="n">
        <v>589.199</v>
      </c>
      <c r="H654" t="n">
        <v>633.799</v>
      </c>
      <c r="I654" t="n">
        <v>30</v>
      </c>
      <c r="J654" t="inlineStr">
        <is>
          <t>BTBR</t>
        </is>
      </c>
      <c r="K654" t="inlineStr">
        <is>
          <t>Male</t>
        </is>
      </c>
      <c r="L654" t="inlineStr">
        <is>
          <t>No focal subject</t>
        </is>
      </c>
      <c r="M654" t="n">
        <v>43.968</v>
      </c>
      <c r="N654" t="inlineStr">
        <is>
          <t>Explore_F</t>
        </is>
      </c>
      <c r="O654" t="inlineStr">
        <is>
          <t>Familiar</t>
        </is>
      </c>
      <c r="P654" t="inlineStr">
        <is>
          <t>STATE</t>
        </is>
      </c>
      <c r="Q654" t="n">
        <v>407.533</v>
      </c>
      <c r="R654" t="n">
        <v>408.233</v>
      </c>
      <c r="S654" t="n">
        <v>0.7</v>
      </c>
      <c r="T654" t="inlineStr">
        <is>
          <t>C:/Users/manuel.felline/Documents/BEHAVIOR BTBR/NOR second cohort/BTBR/training/c7_m2.mp4</t>
        </is>
      </c>
      <c r="U654" t="n">
        <v>12778</v>
      </c>
      <c r="V654" t="n">
        <v>12799</v>
      </c>
      <c r="W654" t="n">
        <v/>
      </c>
      <c r="X654" t="n">
        <v/>
      </c>
      <c r="Y654" t="n">
        <v/>
      </c>
      <c r="Z654" t="n">
        <v/>
      </c>
      <c r="AA654">
        <f>SUMIFS($S$2:S654,$A$2:A654,A654,$N$2:N654,"Explore*")</f>
        <v/>
      </c>
      <c r="AB654">
        <f>IF(AND(LEFT(N654,7)="Explore",(AA654-IF(LEFT(N654,7)="Explore",S654,0))&lt;10),"SI","NO")</f>
        <v/>
      </c>
    </row>
    <row r="655">
      <c r="A655" t="inlineStr">
        <is>
          <t>c7m2_training</t>
        </is>
      </c>
      <c r="B655" t="inlineStr">
        <is>
          <t>2026-05-07 11:01:28.934</t>
        </is>
      </c>
      <c r="C655" t="n">
        <v/>
      </c>
      <c r="D655" t="inlineStr">
        <is>
          <t>Media file</t>
        </is>
      </c>
      <c r="E655" t="inlineStr">
        <is>
          <t>player #1:C:/Users/manuel.felline/Documents/BEHAVIOR BTBR/NOR second cohort/BTBR/training/c7_m2.mp4</t>
        </is>
      </c>
      <c r="F655" t="n">
        <v>-18.5</v>
      </c>
      <c r="G655" t="n">
        <v>589.199</v>
      </c>
      <c r="H655" t="n">
        <v>633.799</v>
      </c>
      <c r="I655" t="n">
        <v>30</v>
      </c>
      <c r="J655" t="inlineStr">
        <is>
          <t>BTBR</t>
        </is>
      </c>
      <c r="K655" t="inlineStr">
        <is>
          <t>Male</t>
        </is>
      </c>
      <c r="L655" t="inlineStr">
        <is>
          <t>No focal subject</t>
        </is>
      </c>
      <c r="M655" t="n">
        <v>43.968</v>
      </c>
      <c r="N655" t="inlineStr">
        <is>
          <t>Explore_F</t>
        </is>
      </c>
      <c r="O655" t="inlineStr">
        <is>
          <t>Familiar</t>
        </is>
      </c>
      <c r="P655" t="inlineStr">
        <is>
          <t>STATE</t>
        </is>
      </c>
      <c r="Q655" t="n">
        <v>423.766</v>
      </c>
      <c r="R655" t="n">
        <v>424.133</v>
      </c>
      <c r="S655" t="n">
        <v>0.367</v>
      </c>
      <c r="T655" t="inlineStr">
        <is>
          <t>C:/Users/manuel.felline/Documents/BEHAVIOR BTBR/NOR second cohort/BTBR/training/c7_m2.mp4</t>
        </is>
      </c>
      <c r="U655" t="n">
        <v>13265</v>
      </c>
      <c r="V655" t="n">
        <v>13276</v>
      </c>
      <c r="W655" t="n">
        <v/>
      </c>
      <c r="X655" t="n">
        <v/>
      </c>
      <c r="Y655" t="n">
        <v/>
      </c>
      <c r="Z655" t="n">
        <v/>
      </c>
      <c r="AA655">
        <f>SUMIFS($S$2:S655,$A$2:A655,A655,$N$2:N655,"Explore*")</f>
        <v/>
      </c>
      <c r="AB655">
        <f>IF(AND(LEFT(N655,7)="Explore",(AA655-IF(LEFT(N655,7)="Explore",S655,0))&lt;10),"SI","NO")</f>
        <v/>
      </c>
    </row>
    <row r="656">
      <c r="A656" t="inlineStr">
        <is>
          <t>c7m2_training</t>
        </is>
      </c>
      <c r="B656" t="inlineStr">
        <is>
          <t>2026-05-07 11:01:28.934</t>
        </is>
      </c>
      <c r="C656" t="n">
        <v/>
      </c>
      <c r="D656" t="inlineStr">
        <is>
          <t>Media file</t>
        </is>
      </c>
      <c r="E656" t="inlineStr">
        <is>
          <t>player #1:C:/Users/manuel.felline/Documents/BEHAVIOR BTBR/NOR second cohort/BTBR/training/c7_m2.mp4</t>
        </is>
      </c>
      <c r="F656" t="n">
        <v>-18.5</v>
      </c>
      <c r="G656" t="n">
        <v>589.199</v>
      </c>
      <c r="H656" t="n">
        <v>633.799</v>
      </c>
      <c r="I656" t="n">
        <v>30</v>
      </c>
      <c r="J656" t="inlineStr">
        <is>
          <t>BTBR</t>
        </is>
      </c>
      <c r="K656" t="inlineStr">
        <is>
          <t>Male</t>
        </is>
      </c>
      <c r="L656" t="inlineStr">
        <is>
          <t>No focal subject</t>
        </is>
      </c>
      <c r="M656" t="n">
        <v>43.968</v>
      </c>
      <c r="N656" t="inlineStr">
        <is>
          <t>Explore_F</t>
        </is>
      </c>
      <c r="O656" t="inlineStr">
        <is>
          <t>Familiar</t>
        </is>
      </c>
      <c r="P656" t="inlineStr">
        <is>
          <t>STATE</t>
        </is>
      </c>
      <c r="Q656" t="n">
        <v>454.266</v>
      </c>
      <c r="R656" t="n">
        <v>454.866</v>
      </c>
      <c r="S656" t="n">
        <v>0.6</v>
      </c>
      <c r="T656" t="inlineStr">
        <is>
          <t>C:/Users/manuel.felline/Documents/BEHAVIOR BTBR/NOR second cohort/BTBR/training/c7_m2.mp4</t>
        </is>
      </c>
      <c r="U656" t="n">
        <v>14180</v>
      </c>
      <c r="V656" t="n">
        <v>14198</v>
      </c>
      <c r="W656" t="n">
        <v/>
      </c>
      <c r="X656" t="n">
        <v/>
      </c>
      <c r="Y656" t="n">
        <v/>
      </c>
      <c r="Z656" t="n">
        <v/>
      </c>
      <c r="AA656">
        <f>SUMIFS($S$2:S656,$A$2:A656,A656,$N$2:N656,"Explore*")</f>
        <v/>
      </c>
      <c r="AB656">
        <f>IF(AND(LEFT(N656,7)="Explore",(AA656-IF(LEFT(N656,7)="Explore",S656,0))&lt;10),"SI","NO")</f>
        <v/>
      </c>
    </row>
    <row r="657">
      <c r="A657" t="inlineStr">
        <is>
          <t>c7m2_training</t>
        </is>
      </c>
      <c r="B657" t="inlineStr">
        <is>
          <t>2026-05-07 11:01:28.934</t>
        </is>
      </c>
      <c r="C657" t="n">
        <v/>
      </c>
      <c r="D657" t="inlineStr">
        <is>
          <t>Media file</t>
        </is>
      </c>
      <c r="E657" t="inlineStr">
        <is>
          <t>player #1:C:/Users/manuel.felline/Documents/BEHAVIOR BTBR/NOR second cohort/BTBR/training/c7_m2.mp4</t>
        </is>
      </c>
      <c r="F657" t="n">
        <v>-18.5</v>
      </c>
      <c r="G657" t="n">
        <v>589.199</v>
      </c>
      <c r="H657" t="n">
        <v>633.799</v>
      </c>
      <c r="I657" t="n">
        <v>30</v>
      </c>
      <c r="J657" t="inlineStr">
        <is>
          <t>BTBR</t>
        </is>
      </c>
      <c r="K657" t="inlineStr">
        <is>
          <t>Male</t>
        </is>
      </c>
      <c r="L657" t="inlineStr">
        <is>
          <t>No focal subject</t>
        </is>
      </c>
      <c r="M657" t="n">
        <v>43.968</v>
      </c>
      <c r="N657" t="inlineStr">
        <is>
          <t>Explore_F</t>
        </is>
      </c>
      <c r="O657" t="inlineStr">
        <is>
          <t>Familiar</t>
        </is>
      </c>
      <c r="P657" t="inlineStr">
        <is>
          <t>STATE</t>
        </is>
      </c>
      <c r="Q657" t="n">
        <v>457.5</v>
      </c>
      <c r="R657" t="n">
        <v>457.9</v>
      </c>
      <c r="S657" t="n">
        <v>0.4</v>
      </c>
      <c r="T657" t="inlineStr">
        <is>
          <t>C:/Users/manuel.felline/Documents/BEHAVIOR BTBR/NOR second cohort/BTBR/training/c7_m2.mp4</t>
        </is>
      </c>
      <c r="U657" t="n">
        <v>14277</v>
      </c>
      <c r="V657" t="n">
        <v>14289</v>
      </c>
      <c r="W657" t="n">
        <v/>
      </c>
      <c r="X657" t="n">
        <v/>
      </c>
      <c r="Y657" t="n">
        <v/>
      </c>
      <c r="Z657" t="n">
        <v/>
      </c>
      <c r="AA657">
        <f>SUMIFS($S$2:S657,$A$2:A657,A657,$N$2:N657,"Explore*")</f>
        <v/>
      </c>
      <c r="AB657">
        <f>IF(AND(LEFT(N657,7)="Explore",(AA657-IF(LEFT(N657,7)="Explore",S657,0))&lt;10),"SI","NO")</f>
        <v/>
      </c>
    </row>
    <row r="658">
      <c r="A658" t="inlineStr">
        <is>
          <t>c7m2_training</t>
        </is>
      </c>
      <c r="B658" t="inlineStr">
        <is>
          <t>2026-05-07 11:01:28.934</t>
        </is>
      </c>
      <c r="C658" t="n">
        <v/>
      </c>
      <c r="D658" t="inlineStr">
        <is>
          <t>Media file</t>
        </is>
      </c>
      <c r="E658" t="inlineStr">
        <is>
          <t>player #1:C:/Users/manuel.felline/Documents/BEHAVIOR BTBR/NOR second cohort/BTBR/training/c7_m2.mp4</t>
        </is>
      </c>
      <c r="F658" t="n">
        <v>-18.5</v>
      </c>
      <c r="G658" t="n">
        <v>589.199</v>
      </c>
      <c r="H658" t="n">
        <v>633.799</v>
      </c>
      <c r="I658" t="n">
        <v>30</v>
      </c>
      <c r="J658" t="inlineStr">
        <is>
          <t>BTBR</t>
        </is>
      </c>
      <c r="K658" t="inlineStr">
        <is>
          <t>Male</t>
        </is>
      </c>
      <c r="L658" t="inlineStr">
        <is>
          <t>No focal subject</t>
        </is>
      </c>
      <c r="M658" t="n">
        <v>43.968</v>
      </c>
      <c r="N658" t="inlineStr">
        <is>
          <t>Explore_F2</t>
        </is>
      </c>
      <c r="O658" t="inlineStr">
        <is>
          <t>Second familiar</t>
        </is>
      </c>
      <c r="P658" t="inlineStr">
        <is>
          <t>STATE</t>
        </is>
      </c>
      <c r="Q658" t="n">
        <v>460.6</v>
      </c>
      <c r="R658" t="n">
        <v>461.933</v>
      </c>
      <c r="S658" t="n">
        <v>1.333</v>
      </c>
      <c r="T658" t="inlineStr">
        <is>
          <t>C:/Users/manuel.felline/Documents/BEHAVIOR BTBR/NOR second cohort/BTBR/training/c7_m2.mp4</t>
        </is>
      </c>
      <c r="U658" t="n">
        <v>14370</v>
      </c>
      <c r="V658" t="n">
        <v>14410</v>
      </c>
      <c r="W658" t="n">
        <v/>
      </c>
      <c r="X658" t="n">
        <v/>
      </c>
      <c r="Y658" t="n">
        <v/>
      </c>
      <c r="Z658" t="n">
        <v/>
      </c>
      <c r="AA658">
        <f>SUMIFS($S$2:S658,$A$2:A658,A658,$N$2:N658,"Explore*")</f>
        <v/>
      </c>
      <c r="AB658">
        <f>IF(AND(LEFT(N658,7)="Explore",(AA658-IF(LEFT(N658,7)="Explore",S658,0))&lt;10),"SI","NO")</f>
        <v/>
      </c>
    </row>
    <row r="659">
      <c r="A659" t="inlineStr">
        <is>
          <t>c7m2_training</t>
        </is>
      </c>
      <c r="B659" t="inlineStr">
        <is>
          <t>2026-05-07 11:01:28.934</t>
        </is>
      </c>
      <c r="C659" t="n">
        <v/>
      </c>
      <c r="D659" t="inlineStr">
        <is>
          <t>Media file</t>
        </is>
      </c>
      <c r="E659" t="inlineStr">
        <is>
          <t>player #1:C:/Users/manuel.felline/Documents/BEHAVIOR BTBR/NOR second cohort/BTBR/training/c7_m2.mp4</t>
        </is>
      </c>
      <c r="F659" t="n">
        <v>-18.5</v>
      </c>
      <c r="G659" t="n">
        <v>589.199</v>
      </c>
      <c r="H659" t="n">
        <v>633.799</v>
      </c>
      <c r="I659" t="n">
        <v>30</v>
      </c>
      <c r="J659" t="inlineStr">
        <is>
          <t>BTBR</t>
        </is>
      </c>
      <c r="K659" t="inlineStr">
        <is>
          <t>Male</t>
        </is>
      </c>
      <c r="L659" t="inlineStr">
        <is>
          <t>No focal subject</t>
        </is>
      </c>
      <c r="M659" t="n">
        <v>43.968</v>
      </c>
      <c r="N659" t="inlineStr">
        <is>
          <t>Explore_F</t>
        </is>
      </c>
      <c r="O659" t="inlineStr">
        <is>
          <t>Familiar</t>
        </is>
      </c>
      <c r="P659" t="inlineStr">
        <is>
          <t>STATE</t>
        </is>
      </c>
      <c r="Q659" t="n">
        <v>475.299</v>
      </c>
      <c r="R659" t="n">
        <v>475.733</v>
      </c>
      <c r="S659" t="n">
        <v>0.434</v>
      </c>
      <c r="T659" t="inlineStr">
        <is>
          <t>C:/Users/manuel.felline/Documents/BEHAVIOR BTBR/NOR second cohort/BTBR/training/c7_m2.mp4</t>
        </is>
      </c>
      <c r="U659" t="n">
        <v>14810</v>
      </c>
      <c r="V659" t="n">
        <v>14823</v>
      </c>
      <c r="W659" t="n">
        <v/>
      </c>
      <c r="X659" t="n">
        <v/>
      </c>
      <c r="Y659" t="n">
        <v/>
      </c>
      <c r="Z659" t="n">
        <v/>
      </c>
      <c r="AA659">
        <f>SUMIFS($S$2:S659,$A$2:A659,A659,$N$2:N659,"Explore*")</f>
        <v/>
      </c>
      <c r="AB659">
        <f>IF(AND(LEFT(N659,7)="Explore",(AA659-IF(LEFT(N659,7)="Explore",S659,0))&lt;10),"SI","NO")</f>
        <v/>
      </c>
    </row>
    <row r="660">
      <c r="A660" t="inlineStr">
        <is>
          <t>c7m2_training</t>
        </is>
      </c>
      <c r="B660" t="inlineStr">
        <is>
          <t>2026-05-07 11:01:28.934</t>
        </is>
      </c>
      <c r="C660" t="n">
        <v/>
      </c>
      <c r="D660" t="inlineStr">
        <is>
          <t>Media file</t>
        </is>
      </c>
      <c r="E660" t="inlineStr">
        <is>
          <t>player #1:C:/Users/manuel.felline/Documents/BEHAVIOR BTBR/NOR second cohort/BTBR/training/c7_m2.mp4</t>
        </is>
      </c>
      <c r="F660" t="n">
        <v>-18.5</v>
      </c>
      <c r="G660" t="n">
        <v>589.199</v>
      </c>
      <c r="H660" t="n">
        <v>633.799</v>
      </c>
      <c r="I660" t="n">
        <v>30</v>
      </c>
      <c r="J660" t="inlineStr">
        <is>
          <t>BTBR</t>
        </is>
      </c>
      <c r="K660" t="inlineStr">
        <is>
          <t>Male</t>
        </is>
      </c>
      <c r="L660" t="inlineStr">
        <is>
          <t>No focal subject</t>
        </is>
      </c>
      <c r="M660" t="n">
        <v>43.968</v>
      </c>
      <c r="N660" t="inlineStr">
        <is>
          <t>Explore_F2</t>
        </is>
      </c>
      <c r="O660" t="inlineStr">
        <is>
          <t>Second familiar</t>
        </is>
      </c>
      <c r="P660" t="inlineStr">
        <is>
          <t>STATE</t>
        </is>
      </c>
      <c r="Q660" t="n">
        <v>492.666</v>
      </c>
      <c r="R660" t="n">
        <v>493.533</v>
      </c>
      <c r="S660" t="n">
        <v>0.867</v>
      </c>
      <c r="T660" t="inlineStr">
        <is>
          <t>C:/Users/manuel.felline/Documents/BEHAVIOR BTBR/NOR second cohort/BTBR/training/c7_m2.mp4</t>
        </is>
      </c>
      <c r="U660" t="n">
        <v>15331</v>
      </c>
      <c r="V660" t="n">
        <v>15357</v>
      </c>
      <c r="W660" t="n">
        <v/>
      </c>
      <c r="X660" t="n">
        <v/>
      </c>
      <c r="Y660" t="n">
        <v/>
      </c>
      <c r="Z660" t="n">
        <v/>
      </c>
      <c r="AA660">
        <f>SUMIFS($S$2:S660,$A$2:A660,A660,$N$2:N660,"Explore*")</f>
        <v/>
      </c>
      <c r="AB660">
        <f>IF(AND(LEFT(N660,7)="Explore",(AA660-IF(LEFT(N660,7)="Explore",S660,0))&lt;10),"SI","NO")</f>
        <v/>
      </c>
    </row>
    <row r="661">
      <c r="A661" t="inlineStr">
        <is>
          <t>c7m2_training</t>
        </is>
      </c>
      <c r="B661" t="inlineStr">
        <is>
          <t>2026-05-07 11:01:28.934</t>
        </is>
      </c>
      <c r="C661" t="n">
        <v/>
      </c>
      <c r="D661" t="inlineStr">
        <is>
          <t>Media file</t>
        </is>
      </c>
      <c r="E661" t="inlineStr">
        <is>
          <t>player #1:C:/Users/manuel.felline/Documents/BEHAVIOR BTBR/NOR second cohort/BTBR/training/c7_m2.mp4</t>
        </is>
      </c>
      <c r="F661" t="n">
        <v>-18.5</v>
      </c>
      <c r="G661" t="n">
        <v>589.199</v>
      </c>
      <c r="H661" t="n">
        <v>633.799</v>
      </c>
      <c r="I661" t="n">
        <v>30</v>
      </c>
      <c r="J661" t="inlineStr">
        <is>
          <t>BTBR</t>
        </is>
      </c>
      <c r="K661" t="inlineStr">
        <is>
          <t>Male</t>
        </is>
      </c>
      <c r="L661" t="inlineStr">
        <is>
          <t>No focal subject</t>
        </is>
      </c>
      <c r="M661" t="n">
        <v>43.968</v>
      </c>
      <c r="N661" t="inlineStr">
        <is>
          <t>Explore_F</t>
        </is>
      </c>
      <c r="O661" t="inlineStr">
        <is>
          <t>Familiar</t>
        </is>
      </c>
      <c r="P661" t="inlineStr">
        <is>
          <t>STATE</t>
        </is>
      </c>
      <c r="Q661" t="n">
        <v>511.333</v>
      </c>
      <c r="R661" t="n">
        <v>512.033</v>
      </c>
      <c r="S661" t="n">
        <v>0.7</v>
      </c>
      <c r="T661" t="inlineStr">
        <is>
          <t>C:/Users/manuel.felline/Documents/BEHAVIOR BTBR/NOR second cohort/BTBR/training/c7_m2.mp4</t>
        </is>
      </c>
      <c r="U661" t="n">
        <v>15891</v>
      </c>
      <c r="V661" t="n">
        <v>15912</v>
      </c>
      <c r="W661" t="n">
        <v/>
      </c>
      <c r="X661" t="n">
        <v/>
      </c>
      <c r="Y661" t="n">
        <v/>
      </c>
      <c r="Z661" t="n">
        <v/>
      </c>
      <c r="AA661">
        <f>SUMIFS($S$2:S661,$A$2:A661,A661,$N$2:N661,"Explore*")</f>
        <v/>
      </c>
      <c r="AB661">
        <f>IF(AND(LEFT(N661,7)="Explore",(AA661-IF(LEFT(N661,7)="Explore",S661,0))&lt;10),"SI","NO")</f>
        <v/>
      </c>
    </row>
    <row r="662">
      <c r="A662" t="inlineStr">
        <is>
          <t>c7m2_training</t>
        </is>
      </c>
      <c r="B662" t="inlineStr">
        <is>
          <t>2026-05-07 11:01:28.934</t>
        </is>
      </c>
      <c r="C662" t="n">
        <v/>
      </c>
      <c r="D662" t="inlineStr">
        <is>
          <t>Media file</t>
        </is>
      </c>
      <c r="E662" t="inlineStr">
        <is>
          <t>player #1:C:/Users/manuel.felline/Documents/BEHAVIOR BTBR/NOR second cohort/BTBR/training/c7_m2.mp4</t>
        </is>
      </c>
      <c r="F662" t="n">
        <v>-18.5</v>
      </c>
      <c r="G662" t="n">
        <v>589.199</v>
      </c>
      <c r="H662" t="n">
        <v>633.799</v>
      </c>
      <c r="I662" t="n">
        <v>30</v>
      </c>
      <c r="J662" t="inlineStr">
        <is>
          <t>BTBR</t>
        </is>
      </c>
      <c r="K662" t="inlineStr">
        <is>
          <t>Male</t>
        </is>
      </c>
      <c r="L662" t="inlineStr">
        <is>
          <t>No focal subject</t>
        </is>
      </c>
      <c r="M662" t="n">
        <v>43.968</v>
      </c>
      <c r="N662" t="inlineStr">
        <is>
          <t>Explore_F</t>
        </is>
      </c>
      <c r="O662" t="inlineStr">
        <is>
          <t>Familiar</t>
        </is>
      </c>
      <c r="P662" t="inlineStr">
        <is>
          <t>STATE</t>
        </is>
      </c>
      <c r="Q662" t="n">
        <v>517.999</v>
      </c>
      <c r="R662" t="n">
        <v>518.566</v>
      </c>
      <c r="S662" t="n">
        <v>0.5669999999999999</v>
      </c>
      <c r="T662" t="inlineStr">
        <is>
          <t>C:/Users/manuel.felline/Documents/BEHAVIOR BTBR/NOR second cohort/BTBR/training/c7_m2.mp4</t>
        </is>
      </c>
      <c r="U662" t="n">
        <v>16091</v>
      </c>
      <c r="V662" t="n">
        <v>16108</v>
      </c>
      <c r="W662" t="n">
        <v/>
      </c>
      <c r="X662" t="n">
        <v/>
      </c>
      <c r="Y662" t="n">
        <v/>
      </c>
      <c r="Z662" t="n">
        <v/>
      </c>
      <c r="AA662">
        <f>SUMIFS($S$2:S662,$A$2:A662,A662,$N$2:N662,"Explore*")</f>
        <v/>
      </c>
      <c r="AB662">
        <f>IF(AND(LEFT(N662,7)="Explore",(AA662-IF(LEFT(N662,7)="Explore",S662,0))&lt;10),"SI","NO")</f>
        <v/>
      </c>
    </row>
    <row r="663">
      <c r="A663" t="inlineStr">
        <is>
          <t>c7m2_training</t>
        </is>
      </c>
      <c r="B663" t="inlineStr">
        <is>
          <t>2026-05-07 11:01:28.934</t>
        </is>
      </c>
      <c r="C663" t="n">
        <v/>
      </c>
      <c r="D663" t="inlineStr">
        <is>
          <t>Media file</t>
        </is>
      </c>
      <c r="E663" t="inlineStr">
        <is>
          <t>player #1:C:/Users/manuel.felline/Documents/BEHAVIOR BTBR/NOR second cohort/BTBR/training/c7_m2.mp4</t>
        </is>
      </c>
      <c r="F663" t="n">
        <v>-18.5</v>
      </c>
      <c r="G663" t="n">
        <v>589.199</v>
      </c>
      <c r="H663" t="n">
        <v>633.799</v>
      </c>
      <c r="I663" t="n">
        <v>30</v>
      </c>
      <c r="J663" t="inlineStr">
        <is>
          <t>BTBR</t>
        </is>
      </c>
      <c r="K663" t="inlineStr">
        <is>
          <t>Male</t>
        </is>
      </c>
      <c r="L663" t="inlineStr">
        <is>
          <t>No focal subject</t>
        </is>
      </c>
      <c r="M663" t="n">
        <v>43.968</v>
      </c>
      <c r="N663" t="inlineStr">
        <is>
          <t>Explore_F2</t>
        </is>
      </c>
      <c r="O663" t="inlineStr">
        <is>
          <t>Second familiar</t>
        </is>
      </c>
      <c r="P663" t="inlineStr">
        <is>
          <t>STATE</t>
        </is>
      </c>
      <c r="Q663" t="n">
        <v>561.966</v>
      </c>
      <c r="R663" t="n">
        <v>563.199</v>
      </c>
      <c r="S663" t="n">
        <v>1.233</v>
      </c>
      <c r="T663" t="inlineStr">
        <is>
          <t>C:/Users/manuel.felline/Documents/BEHAVIOR BTBR/NOR second cohort/BTBR/training/c7_m2.mp4</t>
        </is>
      </c>
      <c r="U663" t="n">
        <v>17410</v>
      </c>
      <c r="V663" t="n">
        <v>17447</v>
      </c>
      <c r="W663" t="n">
        <v/>
      </c>
      <c r="X663" t="n">
        <v/>
      </c>
      <c r="Y663" t="n">
        <v/>
      </c>
      <c r="Z663" t="n">
        <v/>
      </c>
      <c r="AA663">
        <f>SUMIFS($S$2:S663,$A$2:A663,A663,$N$2:N663,"Explore*")</f>
        <v/>
      </c>
      <c r="AB663">
        <f>IF(AND(LEFT(N663,7)="Explore",(AA663-IF(LEFT(N663,7)="Explore",S663,0))&lt;10),"SI","NO")</f>
        <v/>
      </c>
    </row>
    <row r="664">
      <c r="A664" t="inlineStr">
        <is>
          <t>c7m2_training</t>
        </is>
      </c>
      <c r="B664" t="inlineStr">
        <is>
          <t>2026-05-07 11:01:28.934</t>
        </is>
      </c>
      <c r="C664" t="n">
        <v/>
      </c>
      <c r="D664" t="inlineStr">
        <is>
          <t>Media file</t>
        </is>
      </c>
      <c r="E664" t="inlineStr">
        <is>
          <t>player #1:C:/Users/manuel.felline/Documents/BEHAVIOR BTBR/NOR second cohort/BTBR/training/c7_m2.mp4</t>
        </is>
      </c>
      <c r="F664" t="n">
        <v>-18.5</v>
      </c>
      <c r="G664" t="n">
        <v>589.199</v>
      </c>
      <c r="H664" t="n">
        <v>633.799</v>
      </c>
      <c r="I664" t="n">
        <v>30</v>
      </c>
      <c r="J664" t="inlineStr">
        <is>
          <t>BTBR</t>
        </is>
      </c>
      <c r="K664" t="inlineStr">
        <is>
          <t>Male</t>
        </is>
      </c>
      <c r="L664" t="inlineStr">
        <is>
          <t>No focal subject</t>
        </is>
      </c>
      <c r="M664" t="n">
        <v>43.968</v>
      </c>
      <c r="N664" t="inlineStr">
        <is>
          <t>Explore_F</t>
        </is>
      </c>
      <c r="O664" t="inlineStr">
        <is>
          <t>Familiar</t>
        </is>
      </c>
      <c r="P664" t="inlineStr">
        <is>
          <t>STATE</t>
        </is>
      </c>
      <c r="Q664" t="n">
        <v>567.099</v>
      </c>
      <c r="R664" t="n">
        <v>567.933</v>
      </c>
      <c r="S664" t="n">
        <v>0.834</v>
      </c>
      <c r="T664" t="inlineStr">
        <is>
          <t>C:/Users/manuel.felline/Documents/BEHAVIOR BTBR/NOR second cohort/BTBR/training/c7_m2.mp4</t>
        </is>
      </c>
      <c r="U664" t="n">
        <v>17564</v>
      </c>
      <c r="V664" t="n">
        <v>17589</v>
      </c>
      <c r="W664" t="n">
        <v/>
      </c>
      <c r="X664" t="n">
        <v/>
      </c>
      <c r="Y664" t="n">
        <v/>
      </c>
      <c r="Z664" t="n">
        <v/>
      </c>
      <c r="AA664">
        <f>SUMIFS($S$2:S664,$A$2:A664,A664,$N$2:N664,"Explore*")</f>
        <v/>
      </c>
      <c r="AB664">
        <f>IF(AND(LEFT(N664,7)="Explore",(AA664-IF(LEFT(N664,7)="Explore",S664,0))&lt;10),"SI","NO")</f>
        <v/>
      </c>
    </row>
    <row r="665">
      <c r="A665" t="inlineStr">
        <is>
          <t>c7m2_training</t>
        </is>
      </c>
      <c r="B665" t="inlineStr">
        <is>
          <t>2026-05-07 11:01:28.934</t>
        </is>
      </c>
      <c r="C665" t="n">
        <v/>
      </c>
      <c r="D665" t="inlineStr">
        <is>
          <t>Media file</t>
        </is>
      </c>
      <c r="E665" t="inlineStr">
        <is>
          <t>player #1:C:/Users/manuel.felline/Documents/BEHAVIOR BTBR/NOR second cohort/BTBR/training/c7_m2.mp4</t>
        </is>
      </c>
      <c r="F665" t="n">
        <v>-18.5</v>
      </c>
      <c r="G665" t="n">
        <v>589.199</v>
      </c>
      <c r="H665" t="n">
        <v>633.799</v>
      </c>
      <c r="I665" t="n">
        <v>30</v>
      </c>
      <c r="J665" t="inlineStr">
        <is>
          <t>BTBR</t>
        </is>
      </c>
      <c r="K665" t="inlineStr">
        <is>
          <t>Male</t>
        </is>
      </c>
      <c r="L665" t="inlineStr">
        <is>
          <t>No focal subject</t>
        </is>
      </c>
      <c r="M665" t="n">
        <v>43.968</v>
      </c>
      <c r="N665" t="inlineStr">
        <is>
          <t>Explore_F2</t>
        </is>
      </c>
      <c r="O665" t="inlineStr">
        <is>
          <t>Second familiar</t>
        </is>
      </c>
      <c r="P665" t="inlineStr">
        <is>
          <t>STATE</t>
        </is>
      </c>
      <c r="Q665" t="n">
        <v>569.299</v>
      </c>
      <c r="R665" t="n">
        <v>570.299</v>
      </c>
      <c r="S665" t="n">
        <v>1</v>
      </c>
      <c r="T665" t="inlineStr">
        <is>
          <t>C:/Users/manuel.felline/Documents/BEHAVIOR BTBR/NOR second cohort/BTBR/training/c7_m2.mp4</t>
        </is>
      </c>
      <c r="U665" t="n">
        <v>17630</v>
      </c>
      <c r="V665" t="n">
        <v>17660</v>
      </c>
      <c r="W665" t="n">
        <v/>
      </c>
      <c r="X665" t="n">
        <v/>
      </c>
      <c r="Y665" t="n">
        <v/>
      </c>
      <c r="Z665" t="n">
        <v/>
      </c>
      <c r="AA665">
        <f>SUMIFS($S$2:S665,$A$2:A665,A665,$N$2:N665,"Explore*")</f>
        <v/>
      </c>
      <c r="AB665">
        <f>IF(AND(LEFT(N665,7)="Explore",(AA665-IF(LEFT(N665,7)="Explore",S665,0))&lt;10),"SI","NO")</f>
        <v/>
      </c>
    </row>
    <row r="666">
      <c r="A666" t="inlineStr">
        <is>
          <t>c7m2_training</t>
        </is>
      </c>
      <c r="B666" t="inlineStr">
        <is>
          <t>2026-05-07 11:01:28.934</t>
        </is>
      </c>
      <c r="C666" t="n">
        <v/>
      </c>
      <c r="D666" t="inlineStr">
        <is>
          <t>Media file</t>
        </is>
      </c>
      <c r="E666" t="inlineStr">
        <is>
          <t>player #1:C:/Users/manuel.felline/Documents/BEHAVIOR BTBR/NOR second cohort/BTBR/training/c7_m2.mp4</t>
        </is>
      </c>
      <c r="F666" t="n">
        <v>-18.5</v>
      </c>
      <c r="G666" t="n">
        <v>589.199</v>
      </c>
      <c r="H666" t="n">
        <v>633.799</v>
      </c>
      <c r="I666" t="n">
        <v>30</v>
      </c>
      <c r="J666" t="inlineStr">
        <is>
          <t>BTBR</t>
        </is>
      </c>
      <c r="K666" t="inlineStr">
        <is>
          <t>Male</t>
        </is>
      </c>
      <c r="L666" t="inlineStr">
        <is>
          <t>No focal subject</t>
        </is>
      </c>
      <c r="M666" t="n">
        <v>43.968</v>
      </c>
      <c r="N666" t="inlineStr">
        <is>
          <t>Explore_F</t>
        </is>
      </c>
      <c r="O666" t="inlineStr">
        <is>
          <t>Familiar</t>
        </is>
      </c>
      <c r="P666" t="inlineStr">
        <is>
          <t>STATE</t>
        </is>
      </c>
      <c r="Q666" t="n">
        <v>582.399</v>
      </c>
      <c r="R666" t="n">
        <v>583.499</v>
      </c>
      <c r="S666" t="n">
        <v>1.1</v>
      </c>
      <c r="T666" t="inlineStr">
        <is>
          <t>C:/Users/manuel.felline/Documents/BEHAVIOR BTBR/NOR second cohort/BTBR/training/c7_m2.mp4</t>
        </is>
      </c>
      <c r="U666" t="n">
        <v>18024</v>
      </c>
      <c r="V666" t="n">
        <v>18056</v>
      </c>
      <c r="W666" t="n">
        <v/>
      </c>
      <c r="X666" t="n">
        <v/>
      </c>
      <c r="Y666" t="n">
        <v/>
      </c>
      <c r="Z666" t="n">
        <v/>
      </c>
      <c r="AA666">
        <f>SUMIFS($S$2:S666,$A$2:A666,A666,$N$2:N666,"Explore*")</f>
        <v/>
      </c>
      <c r="AB666">
        <f>IF(AND(LEFT(N666,7)="Explore",(AA666-IF(LEFT(N666,7)="Explore",S666,0))&lt;10),"SI","NO")</f>
        <v/>
      </c>
    </row>
    <row r="667">
      <c r="A667" t="inlineStr">
        <is>
          <t>c7m2_training</t>
        </is>
      </c>
      <c r="B667" t="inlineStr">
        <is>
          <t>2026-05-07 11:01:28.934</t>
        </is>
      </c>
      <c r="C667" t="n">
        <v/>
      </c>
      <c r="D667" t="inlineStr">
        <is>
          <t>Media file</t>
        </is>
      </c>
      <c r="E667" t="inlineStr">
        <is>
          <t>player #1:C:/Users/manuel.felline/Documents/BEHAVIOR BTBR/NOR second cohort/BTBR/training/c7_m2.mp4</t>
        </is>
      </c>
      <c r="F667" t="n">
        <v>-18.5</v>
      </c>
      <c r="G667" t="n">
        <v>589.199</v>
      </c>
      <c r="H667" t="n">
        <v>633.799</v>
      </c>
      <c r="I667" t="n">
        <v>30</v>
      </c>
      <c r="J667" t="inlineStr">
        <is>
          <t>BTBR</t>
        </is>
      </c>
      <c r="K667" t="inlineStr">
        <is>
          <t>Male</t>
        </is>
      </c>
      <c r="L667" t="inlineStr">
        <is>
          <t>No focal subject</t>
        </is>
      </c>
      <c r="M667" t="n">
        <v>43.968</v>
      </c>
      <c r="N667" t="inlineStr">
        <is>
          <t>Explore_F</t>
        </is>
      </c>
      <c r="O667" t="inlineStr">
        <is>
          <t>Familiar</t>
        </is>
      </c>
      <c r="P667" t="inlineStr">
        <is>
          <t>STATE</t>
        </is>
      </c>
      <c r="Q667" t="n">
        <v>593.599</v>
      </c>
      <c r="R667" t="n">
        <v>594.066</v>
      </c>
      <c r="S667" t="n">
        <v>0.467</v>
      </c>
      <c r="T667" t="inlineStr">
        <is>
          <t>C:/Users/manuel.felline/Documents/BEHAVIOR BTBR/NOR second cohort/BTBR/training/c7_m2.mp4</t>
        </is>
      </c>
      <c r="U667" t="n">
        <v>18359</v>
      </c>
      <c r="V667" t="n">
        <v>18373</v>
      </c>
      <c r="W667" t="n">
        <v/>
      </c>
      <c r="X667" t="n">
        <v/>
      </c>
      <c r="Y667" t="n">
        <v/>
      </c>
      <c r="Z667" t="n">
        <v/>
      </c>
      <c r="AA667">
        <f>SUMIFS($S$2:S667,$A$2:A667,A667,$N$2:N667,"Explore*")</f>
        <v/>
      </c>
      <c r="AB667">
        <f>IF(AND(LEFT(N667,7)="Explore",(AA667-IF(LEFT(N667,7)="Explore",S667,0))&lt;10),"SI","NO")</f>
        <v/>
      </c>
    </row>
    <row r="668">
      <c r="A668" t="inlineStr">
        <is>
          <t>c7m2_training</t>
        </is>
      </c>
      <c r="B668" t="inlineStr">
        <is>
          <t>2026-05-07 11:01:28.934</t>
        </is>
      </c>
      <c r="C668" t="n">
        <v/>
      </c>
      <c r="D668" t="inlineStr">
        <is>
          <t>Media file</t>
        </is>
      </c>
      <c r="E668" t="inlineStr">
        <is>
          <t>player #1:C:/Users/manuel.felline/Documents/BEHAVIOR BTBR/NOR second cohort/BTBR/training/c7_m2.mp4</t>
        </is>
      </c>
      <c r="F668" t="n">
        <v>-18.5</v>
      </c>
      <c r="G668" t="n">
        <v>589.199</v>
      </c>
      <c r="H668" t="n">
        <v>633.799</v>
      </c>
      <c r="I668" t="n">
        <v>30</v>
      </c>
      <c r="J668" t="inlineStr">
        <is>
          <t>BTBR</t>
        </is>
      </c>
      <c r="K668" t="inlineStr">
        <is>
          <t>Male</t>
        </is>
      </c>
      <c r="L668" t="inlineStr">
        <is>
          <t>No focal subject</t>
        </is>
      </c>
      <c r="M668" t="n">
        <v>43.968</v>
      </c>
      <c r="N668" t="inlineStr">
        <is>
          <t>Explore_F2</t>
        </is>
      </c>
      <c r="O668" t="inlineStr">
        <is>
          <t>Second familiar</t>
        </is>
      </c>
      <c r="P668" t="inlineStr">
        <is>
          <t>STATE</t>
        </is>
      </c>
      <c r="Q668" t="n">
        <v>595.933</v>
      </c>
      <c r="R668" t="n">
        <v>596.799</v>
      </c>
      <c r="S668" t="n">
        <v>0.866</v>
      </c>
      <c r="T668" t="inlineStr">
        <is>
          <t>C:/Users/manuel.felline/Documents/BEHAVIOR BTBR/NOR second cohort/BTBR/training/c7_m2.mp4</t>
        </is>
      </c>
      <c r="U668" t="n">
        <v>18429</v>
      </c>
      <c r="V668" t="n">
        <v>18456</v>
      </c>
      <c r="W668" t="n">
        <v/>
      </c>
      <c r="X668" t="n">
        <v/>
      </c>
      <c r="Y668" t="n">
        <v/>
      </c>
      <c r="Z668" t="n">
        <v/>
      </c>
      <c r="AA668">
        <f>SUMIFS($S$2:S668,$A$2:A668,A668,$N$2:N668,"Explore*")</f>
        <v/>
      </c>
      <c r="AB668">
        <f>IF(AND(LEFT(N668,7)="Explore",(AA668-IF(LEFT(N668,7)="Explore",S668,0))&lt;10),"SI","NO")</f>
        <v/>
      </c>
    </row>
    <row r="669">
      <c r="A669" t="inlineStr">
        <is>
          <t>c7m3_training</t>
        </is>
      </c>
      <c r="B669" t="inlineStr">
        <is>
          <t>2026-05-12 17:00:03.773</t>
        </is>
      </c>
      <c r="C669" t="n">
        <v/>
      </c>
      <c r="D669" t="inlineStr">
        <is>
          <t>Media file</t>
        </is>
      </c>
      <c r="E669" t="inlineStr">
        <is>
          <t>player #1:C:/Users/manuel.felline/Documents/BEHAVIOR BTBR/NOR second cohort/BTBR/training/c7_m3.mp4</t>
        </is>
      </c>
      <c r="F669" t="n">
        <v>-5</v>
      </c>
      <c r="G669" t="n">
        <v>548.033</v>
      </c>
      <c r="H669" t="n">
        <v>628.799</v>
      </c>
      <c r="I669" t="n">
        <v>30</v>
      </c>
      <c r="J669" t="inlineStr">
        <is>
          <t>BTBR</t>
        </is>
      </c>
      <c r="K669" t="inlineStr">
        <is>
          <t>Male</t>
        </is>
      </c>
      <c r="L669" t="inlineStr">
        <is>
          <t>No focal subject</t>
        </is>
      </c>
      <c r="M669" t="n">
        <v>49.899</v>
      </c>
      <c r="N669" t="inlineStr">
        <is>
          <t>Explore_F</t>
        </is>
      </c>
      <c r="O669" t="inlineStr">
        <is>
          <t>Familiar</t>
        </is>
      </c>
      <c r="P669" t="inlineStr">
        <is>
          <t>STATE</t>
        </is>
      </c>
      <c r="Q669" t="n">
        <v>1.4</v>
      </c>
      <c r="R669" t="n">
        <v>1.933</v>
      </c>
      <c r="S669" t="n">
        <v>0.533</v>
      </c>
      <c r="T669" t="inlineStr">
        <is>
          <t>C:/Users/manuel.felline/Documents/BEHAVIOR BTBR/NOR second cohort/BTBR/training/c7_m3.mp4</t>
        </is>
      </c>
      <c r="U669" t="n">
        <v>192</v>
      </c>
      <c r="V669" t="n">
        <v>208</v>
      </c>
      <c r="W669" t="n">
        <v/>
      </c>
      <c r="X669" t="n">
        <v/>
      </c>
      <c r="Y669" t="n">
        <v/>
      </c>
      <c r="Z669" t="n">
        <v/>
      </c>
      <c r="AA669">
        <f>SUMIFS($S$2:S669,$A$2:A669,A669,$N$2:N669,"Explore*")</f>
        <v/>
      </c>
      <c r="AB669">
        <f>IF(AND(LEFT(N669,7)="Explore",(AA669-IF(LEFT(N669,7)="Explore",S669,0))&lt;10),"SI","NO")</f>
        <v/>
      </c>
    </row>
    <row r="670">
      <c r="A670" t="inlineStr">
        <is>
          <t>c7m3_training</t>
        </is>
      </c>
      <c r="B670" t="inlineStr">
        <is>
          <t>2026-05-12 17:00:03.773</t>
        </is>
      </c>
      <c r="C670" t="n">
        <v/>
      </c>
      <c r="D670" t="inlineStr">
        <is>
          <t>Media file</t>
        </is>
      </c>
      <c r="E670" t="inlineStr">
        <is>
          <t>player #1:C:/Users/manuel.felline/Documents/BEHAVIOR BTBR/NOR second cohort/BTBR/training/c7_m3.mp4</t>
        </is>
      </c>
      <c r="F670" t="n">
        <v>-5</v>
      </c>
      <c r="G670" t="n">
        <v>548.033</v>
      </c>
      <c r="H670" t="n">
        <v>628.799</v>
      </c>
      <c r="I670" t="n">
        <v>30</v>
      </c>
      <c r="J670" t="inlineStr">
        <is>
          <t>BTBR</t>
        </is>
      </c>
      <c r="K670" t="inlineStr">
        <is>
          <t>Male</t>
        </is>
      </c>
      <c r="L670" t="inlineStr">
        <is>
          <t>No focal subject</t>
        </is>
      </c>
      <c r="M670" t="n">
        <v>49.899</v>
      </c>
      <c r="N670" t="inlineStr">
        <is>
          <t>Explore_F</t>
        </is>
      </c>
      <c r="O670" t="inlineStr">
        <is>
          <t>Familiar</t>
        </is>
      </c>
      <c r="P670" t="inlineStr">
        <is>
          <t>STATE</t>
        </is>
      </c>
      <c r="Q670" t="n">
        <v>8.132999999999999</v>
      </c>
      <c r="R670" t="n">
        <v>8.766999999999999</v>
      </c>
      <c r="S670" t="n">
        <v>0.634</v>
      </c>
      <c r="T670" t="inlineStr">
        <is>
          <t>C:/Users/manuel.felline/Documents/BEHAVIOR BTBR/NOR second cohort/BTBR/training/c7_m3.mp4</t>
        </is>
      </c>
      <c r="U670" t="n">
        <v>394</v>
      </c>
      <c r="V670" t="n">
        <v>413</v>
      </c>
      <c r="W670" t="n">
        <v/>
      </c>
      <c r="X670" t="n">
        <v/>
      </c>
      <c r="Y670" t="n">
        <v/>
      </c>
      <c r="Z670" t="n">
        <v/>
      </c>
      <c r="AA670">
        <f>SUMIFS($S$2:S670,$A$2:A670,A670,$N$2:N670,"Explore*")</f>
        <v/>
      </c>
      <c r="AB670">
        <f>IF(AND(LEFT(N670,7)="Explore",(AA670-IF(LEFT(N670,7)="Explore",S670,0))&lt;10),"SI","NO")</f>
        <v/>
      </c>
    </row>
    <row r="671">
      <c r="A671" t="inlineStr">
        <is>
          <t>c7m3_training</t>
        </is>
      </c>
      <c r="B671" t="inlineStr">
        <is>
          <t>2026-05-12 17:00:03.773</t>
        </is>
      </c>
      <c r="C671" t="n">
        <v/>
      </c>
      <c r="D671" t="inlineStr">
        <is>
          <t>Media file</t>
        </is>
      </c>
      <c r="E671" t="inlineStr">
        <is>
          <t>player #1:C:/Users/manuel.felline/Documents/BEHAVIOR BTBR/NOR second cohort/BTBR/training/c7_m3.mp4</t>
        </is>
      </c>
      <c r="F671" t="n">
        <v>-5</v>
      </c>
      <c r="G671" t="n">
        <v>548.033</v>
      </c>
      <c r="H671" t="n">
        <v>628.799</v>
      </c>
      <c r="I671" t="n">
        <v>30</v>
      </c>
      <c r="J671" t="inlineStr">
        <is>
          <t>BTBR</t>
        </is>
      </c>
      <c r="K671" t="inlineStr">
        <is>
          <t>Male</t>
        </is>
      </c>
      <c r="L671" t="inlineStr">
        <is>
          <t>No focal subject</t>
        </is>
      </c>
      <c r="M671" t="n">
        <v>49.899</v>
      </c>
      <c r="N671" t="inlineStr">
        <is>
          <t>Explore_F2</t>
        </is>
      </c>
      <c r="O671" t="inlineStr">
        <is>
          <t>Second familiar</t>
        </is>
      </c>
      <c r="P671" t="inlineStr">
        <is>
          <t>STATE</t>
        </is>
      </c>
      <c r="Q671" t="n">
        <v>11.133</v>
      </c>
      <c r="R671" t="n">
        <v>11.867</v>
      </c>
      <c r="S671" t="n">
        <v>0.734</v>
      </c>
      <c r="T671" t="inlineStr">
        <is>
          <t>C:/Users/manuel.felline/Documents/BEHAVIOR BTBR/NOR second cohort/BTBR/training/c7_m3.mp4</t>
        </is>
      </c>
      <c r="U671" t="n">
        <v>484</v>
      </c>
      <c r="V671" t="n">
        <v>506</v>
      </c>
      <c r="W671" t="n">
        <v/>
      </c>
      <c r="X671" t="n">
        <v/>
      </c>
      <c r="Y671" t="n">
        <v/>
      </c>
      <c r="Z671" t="n">
        <v/>
      </c>
      <c r="AA671">
        <f>SUMIFS($S$2:S671,$A$2:A671,A671,$N$2:N671,"Explore*")</f>
        <v/>
      </c>
      <c r="AB671">
        <f>IF(AND(LEFT(N671,7)="Explore",(AA671-IF(LEFT(N671,7)="Explore",S671,0))&lt;10),"SI","NO")</f>
        <v/>
      </c>
    </row>
    <row r="672">
      <c r="A672" t="inlineStr">
        <is>
          <t>c7m3_training</t>
        </is>
      </c>
      <c r="B672" t="inlineStr">
        <is>
          <t>2026-05-12 17:00:03.773</t>
        </is>
      </c>
      <c r="C672" t="n">
        <v/>
      </c>
      <c r="D672" t="inlineStr">
        <is>
          <t>Media file</t>
        </is>
      </c>
      <c r="E672" t="inlineStr">
        <is>
          <t>player #1:C:/Users/manuel.felline/Documents/BEHAVIOR BTBR/NOR second cohort/BTBR/training/c7_m3.mp4</t>
        </is>
      </c>
      <c r="F672" t="n">
        <v>-5</v>
      </c>
      <c r="G672" t="n">
        <v>548.033</v>
      </c>
      <c r="H672" t="n">
        <v>628.799</v>
      </c>
      <c r="I672" t="n">
        <v>30</v>
      </c>
      <c r="J672" t="inlineStr">
        <is>
          <t>BTBR</t>
        </is>
      </c>
      <c r="K672" t="inlineStr">
        <is>
          <t>Male</t>
        </is>
      </c>
      <c r="L672" t="inlineStr">
        <is>
          <t>No focal subject</t>
        </is>
      </c>
      <c r="M672" t="n">
        <v>49.899</v>
      </c>
      <c r="N672" t="inlineStr">
        <is>
          <t>Explore_F2</t>
        </is>
      </c>
      <c r="O672" t="inlineStr">
        <is>
          <t>Second familiar</t>
        </is>
      </c>
      <c r="P672" t="inlineStr">
        <is>
          <t>STATE</t>
        </is>
      </c>
      <c r="Q672" t="n">
        <v>21.167</v>
      </c>
      <c r="R672" t="n">
        <v>21.6</v>
      </c>
      <c r="S672" t="n">
        <v>0.433</v>
      </c>
      <c r="T672" t="inlineStr">
        <is>
          <t>C:/Users/manuel.felline/Documents/BEHAVIOR BTBR/NOR second cohort/BTBR/training/c7_m3.mp4</t>
        </is>
      </c>
      <c r="U672" t="n">
        <v>785</v>
      </c>
      <c r="V672" t="n">
        <v>798</v>
      </c>
      <c r="W672" t="n">
        <v/>
      </c>
      <c r="X672" t="n">
        <v/>
      </c>
      <c r="Y672" t="n">
        <v/>
      </c>
      <c r="Z672" t="n">
        <v/>
      </c>
      <c r="AA672">
        <f>SUMIFS($S$2:S672,$A$2:A672,A672,$N$2:N672,"Explore*")</f>
        <v/>
      </c>
      <c r="AB672">
        <f>IF(AND(LEFT(N672,7)="Explore",(AA672-IF(LEFT(N672,7)="Explore",S672,0))&lt;10),"SI","NO")</f>
        <v/>
      </c>
    </row>
    <row r="673">
      <c r="A673" t="inlineStr">
        <is>
          <t>c7m3_training</t>
        </is>
      </c>
      <c r="B673" t="inlineStr">
        <is>
          <t>2026-05-12 17:00:03.773</t>
        </is>
      </c>
      <c r="C673" t="n">
        <v/>
      </c>
      <c r="D673" t="inlineStr">
        <is>
          <t>Media file</t>
        </is>
      </c>
      <c r="E673" t="inlineStr">
        <is>
          <t>player #1:C:/Users/manuel.felline/Documents/BEHAVIOR BTBR/NOR second cohort/BTBR/training/c7_m3.mp4</t>
        </is>
      </c>
      <c r="F673" t="n">
        <v>-5</v>
      </c>
      <c r="G673" t="n">
        <v>548.033</v>
      </c>
      <c r="H673" t="n">
        <v>628.799</v>
      </c>
      <c r="I673" t="n">
        <v>30</v>
      </c>
      <c r="J673" t="inlineStr">
        <is>
          <t>BTBR</t>
        </is>
      </c>
      <c r="K673" t="inlineStr">
        <is>
          <t>Male</t>
        </is>
      </c>
      <c r="L673" t="inlineStr">
        <is>
          <t>No focal subject</t>
        </is>
      </c>
      <c r="M673" t="n">
        <v>49.899</v>
      </c>
      <c r="N673" t="inlineStr">
        <is>
          <t>Explore_F</t>
        </is>
      </c>
      <c r="O673" t="inlineStr">
        <is>
          <t>Familiar</t>
        </is>
      </c>
      <c r="P673" t="inlineStr">
        <is>
          <t>STATE</t>
        </is>
      </c>
      <c r="Q673" t="n">
        <v>22.667</v>
      </c>
      <c r="R673" t="n">
        <v>23.3</v>
      </c>
      <c r="S673" t="n">
        <v>0.633</v>
      </c>
      <c r="T673" t="inlineStr">
        <is>
          <t>C:/Users/manuel.felline/Documents/BEHAVIOR BTBR/NOR second cohort/BTBR/training/c7_m3.mp4</t>
        </is>
      </c>
      <c r="U673" t="n">
        <v>830</v>
      </c>
      <c r="V673" t="n">
        <v>849</v>
      </c>
      <c r="W673" t="n">
        <v/>
      </c>
      <c r="X673" t="n">
        <v/>
      </c>
      <c r="Y673" t="n">
        <v/>
      </c>
      <c r="Z673" t="n">
        <v/>
      </c>
      <c r="AA673">
        <f>SUMIFS($S$2:S673,$A$2:A673,A673,$N$2:N673,"Explore*")</f>
        <v/>
      </c>
      <c r="AB673">
        <f>IF(AND(LEFT(N673,7)="Explore",(AA673-IF(LEFT(N673,7)="Explore",S673,0))&lt;10),"SI","NO")</f>
        <v/>
      </c>
    </row>
    <row r="674">
      <c r="A674" t="inlineStr">
        <is>
          <t>c7m3_training</t>
        </is>
      </c>
      <c r="B674" t="inlineStr">
        <is>
          <t>2026-05-12 17:00:03.773</t>
        </is>
      </c>
      <c r="C674" t="n">
        <v/>
      </c>
      <c r="D674" t="inlineStr">
        <is>
          <t>Media file</t>
        </is>
      </c>
      <c r="E674" t="inlineStr">
        <is>
          <t>player #1:C:/Users/manuel.felline/Documents/BEHAVIOR BTBR/NOR second cohort/BTBR/training/c7_m3.mp4</t>
        </is>
      </c>
      <c r="F674" t="n">
        <v>-5</v>
      </c>
      <c r="G674" t="n">
        <v>548.033</v>
      </c>
      <c r="H674" t="n">
        <v>628.799</v>
      </c>
      <c r="I674" t="n">
        <v>30</v>
      </c>
      <c r="J674" t="inlineStr">
        <is>
          <t>BTBR</t>
        </is>
      </c>
      <c r="K674" t="inlineStr">
        <is>
          <t>Male</t>
        </is>
      </c>
      <c r="L674" t="inlineStr">
        <is>
          <t>No focal subject</t>
        </is>
      </c>
      <c r="M674" t="n">
        <v>49.899</v>
      </c>
      <c r="N674" t="inlineStr">
        <is>
          <t>Explore_F</t>
        </is>
      </c>
      <c r="O674" t="inlineStr">
        <is>
          <t>Familiar</t>
        </is>
      </c>
      <c r="P674" t="inlineStr">
        <is>
          <t>STATE</t>
        </is>
      </c>
      <c r="Q674" t="n">
        <v>28.233</v>
      </c>
      <c r="R674" t="n">
        <v>28.9</v>
      </c>
      <c r="S674" t="n">
        <v>0.667</v>
      </c>
      <c r="T674" t="inlineStr">
        <is>
          <t>C:/Users/manuel.felline/Documents/BEHAVIOR BTBR/NOR second cohort/BTBR/training/c7_m3.mp4</t>
        </is>
      </c>
      <c r="U674" t="n">
        <v>997</v>
      </c>
      <c r="V674" t="n">
        <v>1017</v>
      </c>
      <c r="W674" t="n">
        <v/>
      </c>
      <c r="X674" t="n">
        <v/>
      </c>
      <c r="Y674" t="n">
        <v/>
      </c>
      <c r="Z674" t="n">
        <v/>
      </c>
      <c r="AA674">
        <f>SUMIFS($S$2:S674,$A$2:A674,A674,$N$2:N674,"Explore*")</f>
        <v/>
      </c>
      <c r="AB674">
        <f>IF(AND(LEFT(N674,7)="Explore",(AA674-IF(LEFT(N674,7)="Explore",S674,0))&lt;10),"SI","NO")</f>
        <v/>
      </c>
    </row>
    <row r="675">
      <c r="A675" t="inlineStr">
        <is>
          <t>c7m3_training</t>
        </is>
      </c>
      <c r="B675" t="inlineStr">
        <is>
          <t>2026-05-12 17:00:03.773</t>
        </is>
      </c>
      <c r="C675" t="n">
        <v/>
      </c>
      <c r="D675" t="inlineStr">
        <is>
          <t>Media file</t>
        </is>
      </c>
      <c r="E675" t="inlineStr">
        <is>
          <t>player #1:C:/Users/manuel.felline/Documents/BEHAVIOR BTBR/NOR second cohort/BTBR/training/c7_m3.mp4</t>
        </is>
      </c>
      <c r="F675" t="n">
        <v>-5</v>
      </c>
      <c r="G675" t="n">
        <v>548.033</v>
      </c>
      <c r="H675" t="n">
        <v>628.799</v>
      </c>
      <c r="I675" t="n">
        <v>30</v>
      </c>
      <c r="J675" t="inlineStr">
        <is>
          <t>BTBR</t>
        </is>
      </c>
      <c r="K675" t="inlineStr">
        <is>
          <t>Male</t>
        </is>
      </c>
      <c r="L675" t="inlineStr">
        <is>
          <t>No focal subject</t>
        </is>
      </c>
      <c r="M675" t="n">
        <v>49.899</v>
      </c>
      <c r="N675" t="inlineStr">
        <is>
          <t>Explore_F2</t>
        </is>
      </c>
      <c r="O675" t="inlineStr">
        <is>
          <t>Second familiar</t>
        </is>
      </c>
      <c r="P675" t="inlineStr">
        <is>
          <t>STATE</t>
        </is>
      </c>
      <c r="Q675" t="n">
        <v>31.133</v>
      </c>
      <c r="R675" t="n">
        <v>31.5</v>
      </c>
      <c r="S675" t="n">
        <v>0.367</v>
      </c>
      <c r="T675" t="inlineStr">
        <is>
          <t>C:/Users/manuel.felline/Documents/BEHAVIOR BTBR/NOR second cohort/BTBR/training/c7_m3.mp4</t>
        </is>
      </c>
      <c r="U675" t="n">
        <v>1084</v>
      </c>
      <c r="V675" t="n">
        <v>1095</v>
      </c>
      <c r="W675" t="n">
        <v/>
      </c>
      <c r="X675" t="n">
        <v/>
      </c>
      <c r="Y675" t="n">
        <v/>
      </c>
      <c r="Z675" t="n">
        <v/>
      </c>
      <c r="AA675">
        <f>SUMIFS($S$2:S675,$A$2:A675,A675,$N$2:N675,"Explore*")</f>
        <v/>
      </c>
      <c r="AB675">
        <f>IF(AND(LEFT(N675,7)="Explore",(AA675-IF(LEFT(N675,7)="Explore",S675,0))&lt;10),"SI","NO")</f>
        <v/>
      </c>
    </row>
    <row r="676">
      <c r="A676" t="inlineStr">
        <is>
          <t>c7m3_training</t>
        </is>
      </c>
      <c r="B676" t="inlineStr">
        <is>
          <t>2026-05-12 17:00:03.773</t>
        </is>
      </c>
      <c r="C676" t="n">
        <v/>
      </c>
      <c r="D676" t="inlineStr">
        <is>
          <t>Media file</t>
        </is>
      </c>
      <c r="E676" t="inlineStr">
        <is>
          <t>player #1:C:/Users/manuel.felline/Documents/BEHAVIOR BTBR/NOR second cohort/BTBR/training/c7_m3.mp4</t>
        </is>
      </c>
      <c r="F676" t="n">
        <v>-5</v>
      </c>
      <c r="G676" t="n">
        <v>548.033</v>
      </c>
      <c r="H676" t="n">
        <v>628.799</v>
      </c>
      <c r="I676" t="n">
        <v>30</v>
      </c>
      <c r="J676" t="inlineStr">
        <is>
          <t>BTBR</t>
        </is>
      </c>
      <c r="K676" t="inlineStr">
        <is>
          <t>Male</t>
        </is>
      </c>
      <c r="L676" t="inlineStr">
        <is>
          <t>No focal subject</t>
        </is>
      </c>
      <c r="M676" t="n">
        <v>49.899</v>
      </c>
      <c r="N676" t="inlineStr">
        <is>
          <t>Explore_F2</t>
        </is>
      </c>
      <c r="O676" t="inlineStr">
        <is>
          <t>Second familiar</t>
        </is>
      </c>
      <c r="P676" t="inlineStr">
        <is>
          <t>STATE</t>
        </is>
      </c>
      <c r="Q676" t="n">
        <v>34.233</v>
      </c>
      <c r="R676" t="n">
        <v>34.867</v>
      </c>
      <c r="S676" t="n">
        <v>0.634</v>
      </c>
      <c r="T676" t="inlineStr">
        <is>
          <t>C:/Users/manuel.felline/Documents/BEHAVIOR BTBR/NOR second cohort/BTBR/training/c7_m3.mp4</t>
        </is>
      </c>
      <c r="U676" t="n">
        <v>1177</v>
      </c>
      <c r="V676" t="n">
        <v>1196</v>
      </c>
      <c r="W676" t="n">
        <v/>
      </c>
      <c r="X676" t="n">
        <v/>
      </c>
      <c r="Y676" t="n">
        <v/>
      </c>
      <c r="Z676" t="n">
        <v/>
      </c>
      <c r="AA676">
        <f>SUMIFS($S$2:S676,$A$2:A676,A676,$N$2:N676,"Explore*")</f>
        <v/>
      </c>
      <c r="AB676">
        <f>IF(AND(LEFT(N676,7)="Explore",(AA676-IF(LEFT(N676,7)="Explore",S676,0))&lt;10),"SI","NO")</f>
        <v/>
      </c>
    </row>
    <row r="677">
      <c r="A677" t="inlineStr">
        <is>
          <t>c7m3_training</t>
        </is>
      </c>
      <c r="B677" t="inlineStr">
        <is>
          <t>2026-05-12 17:00:03.773</t>
        </is>
      </c>
      <c r="C677" t="n">
        <v/>
      </c>
      <c r="D677" t="inlineStr">
        <is>
          <t>Media file</t>
        </is>
      </c>
      <c r="E677" t="inlineStr">
        <is>
          <t>player #1:C:/Users/manuel.felline/Documents/BEHAVIOR BTBR/NOR second cohort/BTBR/training/c7_m3.mp4</t>
        </is>
      </c>
      <c r="F677" t="n">
        <v>-5</v>
      </c>
      <c r="G677" t="n">
        <v>548.033</v>
      </c>
      <c r="H677" t="n">
        <v>628.799</v>
      </c>
      <c r="I677" t="n">
        <v>30</v>
      </c>
      <c r="J677" t="inlineStr">
        <is>
          <t>BTBR</t>
        </is>
      </c>
      <c r="K677" t="inlineStr">
        <is>
          <t>Male</t>
        </is>
      </c>
      <c r="L677" t="inlineStr">
        <is>
          <t>No focal subject</t>
        </is>
      </c>
      <c r="M677" t="n">
        <v>49.899</v>
      </c>
      <c r="N677" t="inlineStr">
        <is>
          <t>Explore_F</t>
        </is>
      </c>
      <c r="O677" t="inlineStr">
        <is>
          <t>Familiar</t>
        </is>
      </c>
      <c r="P677" t="inlineStr">
        <is>
          <t>STATE</t>
        </is>
      </c>
      <c r="Q677" t="n">
        <v>43.4</v>
      </c>
      <c r="R677" t="n">
        <v>43.767</v>
      </c>
      <c r="S677" t="n">
        <v>0.367</v>
      </c>
      <c r="T677" t="inlineStr">
        <is>
          <t>C:/Users/manuel.felline/Documents/BEHAVIOR BTBR/NOR second cohort/BTBR/training/c7_m3.mp4</t>
        </is>
      </c>
      <c r="U677" t="n">
        <v>1452</v>
      </c>
      <c r="V677" t="n">
        <v>1463</v>
      </c>
      <c r="W677" t="n">
        <v/>
      </c>
      <c r="X677" t="n">
        <v/>
      </c>
      <c r="Y677" t="n">
        <v/>
      </c>
      <c r="Z677" t="n">
        <v/>
      </c>
      <c r="AA677">
        <f>SUMIFS($S$2:S677,$A$2:A677,A677,$N$2:N677,"Explore*")</f>
        <v/>
      </c>
      <c r="AB677">
        <f>IF(AND(LEFT(N677,7)="Explore",(AA677-IF(LEFT(N677,7)="Explore",S677,0))&lt;10),"SI","NO")</f>
        <v/>
      </c>
    </row>
    <row r="678">
      <c r="A678" t="inlineStr">
        <is>
          <t>c7m3_training</t>
        </is>
      </c>
      <c r="B678" t="inlineStr">
        <is>
          <t>2026-05-12 17:00:03.773</t>
        </is>
      </c>
      <c r="C678" t="n">
        <v/>
      </c>
      <c r="D678" t="inlineStr">
        <is>
          <t>Media file</t>
        </is>
      </c>
      <c r="E678" t="inlineStr">
        <is>
          <t>player #1:C:/Users/manuel.felline/Documents/BEHAVIOR BTBR/NOR second cohort/BTBR/training/c7_m3.mp4</t>
        </is>
      </c>
      <c r="F678" t="n">
        <v>-5</v>
      </c>
      <c r="G678" t="n">
        <v>548.033</v>
      </c>
      <c r="H678" t="n">
        <v>628.799</v>
      </c>
      <c r="I678" t="n">
        <v>30</v>
      </c>
      <c r="J678" t="inlineStr">
        <is>
          <t>BTBR</t>
        </is>
      </c>
      <c r="K678" t="inlineStr">
        <is>
          <t>Male</t>
        </is>
      </c>
      <c r="L678" t="inlineStr">
        <is>
          <t>No focal subject</t>
        </is>
      </c>
      <c r="M678" t="n">
        <v>49.899</v>
      </c>
      <c r="N678" t="inlineStr">
        <is>
          <t>Explore_F</t>
        </is>
      </c>
      <c r="O678" t="inlineStr">
        <is>
          <t>Familiar</t>
        </is>
      </c>
      <c r="P678" t="inlineStr">
        <is>
          <t>STATE</t>
        </is>
      </c>
      <c r="Q678" t="n">
        <v>44.5</v>
      </c>
      <c r="R678" t="n">
        <v>46.767</v>
      </c>
      <c r="S678" t="n">
        <v>2.267</v>
      </c>
      <c r="T678" t="inlineStr">
        <is>
          <t>C:/Users/manuel.felline/Documents/BEHAVIOR BTBR/NOR second cohort/BTBR/training/c7_m3.mp4</t>
        </is>
      </c>
      <c r="U678" t="n">
        <v>1485</v>
      </c>
      <c r="V678" t="n">
        <v>1553</v>
      </c>
      <c r="W678" t="n">
        <v/>
      </c>
      <c r="X678" t="n">
        <v/>
      </c>
      <c r="Y678" t="n">
        <v/>
      </c>
      <c r="Z678" t="n">
        <v/>
      </c>
      <c r="AA678">
        <f>SUMIFS($S$2:S678,$A$2:A678,A678,$N$2:N678,"Explore*")</f>
        <v/>
      </c>
      <c r="AB678">
        <f>IF(AND(LEFT(N678,7)="Explore",(AA678-IF(LEFT(N678,7)="Explore",S678,0))&lt;10),"SI","NO")</f>
        <v/>
      </c>
    </row>
    <row r="679">
      <c r="A679" t="inlineStr">
        <is>
          <t>c7m3_training</t>
        </is>
      </c>
      <c r="B679" t="inlineStr">
        <is>
          <t>2026-05-12 17:00:03.773</t>
        </is>
      </c>
      <c r="C679" t="n">
        <v/>
      </c>
      <c r="D679" t="inlineStr">
        <is>
          <t>Media file</t>
        </is>
      </c>
      <c r="E679" t="inlineStr">
        <is>
          <t>player #1:C:/Users/manuel.felline/Documents/BEHAVIOR BTBR/NOR second cohort/BTBR/training/c7_m3.mp4</t>
        </is>
      </c>
      <c r="F679" t="n">
        <v>-5</v>
      </c>
      <c r="G679" t="n">
        <v>548.033</v>
      </c>
      <c r="H679" t="n">
        <v>628.799</v>
      </c>
      <c r="I679" t="n">
        <v>30</v>
      </c>
      <c r="J679" t="inlineStr">
        <is>
          <t>BTBR</t>
        </is>
      </c>
      <c r="K679" t="inlineStr">
        <is>
          <t>Male</t>
        </is>
      </c>
      <c r="L679" t="inlineStr">
        <is>
          <t>No focal subject</t>
        </is>
      </c>
      <c r="M679" t="n">
        <v>49.899</v>
      </c>
      <c r="N679" t="inlineStr">
        <is>
          <t>Explore_F</t>
        </is>
      </c>
      <c r="O679" t="inlineStr">
        <is>
          <t>Familiar</t>
        </is>
      </c>
      <c r="P679" t="inlineStr">
        <is>
          <t>STATE</t>
        </is>
      </c>
      <c r="Q679" t="n">
        <v>49.167</v>
      </c>
      <c r="R679" t="n">
        <v>49.733</v>
      </c>
      <c r="S679" t="n">
        <v>0.5659999999999999</v>
      </c>
      <c r="T679" t="inlineStr">
        <is>
          <t>C:/Users/manuel.felline/Documents/BEHAVIOR BTBR/NOR second cohort/BTBR/training/c7_m3.mp4</t>
        </is>
      </c>
      <c r="U679" t="n">
        <v>1625</v>
      </c>
      <c r="V679" t="n">
        <v>1642</v>
      </c>
      <c r="W679" t="n">
        <v/>
      </c>
      <c r="X679" t="n">
        <v/>
      </c>
      <c r="Y679" t="n">
        <v/>
      </c>
      <c r="Z679" t="n">
        <v/>
      </c>
      <c r="AA679">
        <f>SUMIFS($S$2:S679,$A$2:A679,A679,$N$2:N679,"Explore*")</f>
        <v/>
      </c>
      <c r="AB679">
        <f>IF(AND(LEFT(N679,7)="Explore",(AA679-IF(LEFT(N679,7)="Explore",S679,0))&lt;10),"SI","NO")</f>
        <v/>
      </c>
    </row>
    <row r="680">
      <c r="A680" t="inlineStr">
        <is>
          <t>c7m3_training</t>
        </is>
      </c>
      <c r="B680" t="inlineStr">
        <is>
          <t>2026-05-12 17:00:03.773</t>
        </is>
      </c>
      <c r="C680" t="n">
        <v/>
      </c>
      <c r="D680" t="inlineStr">
        <is>
          <t>Media file</t>
        </is>
      </c>
      <c r="E680" t="inlineStr">
        <is>
          <t>player #1:C:/Users/manuel.felline/Documents/BEHAVIOR BTBR/NOR second cohort/BTBR/training/c7_m3.mp4</t>
        </is>
      </c>
      <c r="F680" t="n">
        <v>-5</v>
      </c>
      <c r="G680" t="n">
        <v>548.033</v>
      </c>
      <c r="H680" t="n">
        <v>628.799</v>
      </c>
      <c r="I680" t="n">
        <v>30</v>
      </c>
      <c r="J680" t="inlineStr">
        <is>
          <t>BTBR</t>
        </is>
      </c>
      <c r="K680" t="inlineStr">
        <is>
          <t>Male</t>
        </is>
      </c>
      <c r="L680" t="inlineStr">
        <is>
          <t>No focal subject</t>
        </is>
      </c>
      <c r="M680" t="n">
        <v>49.899</v>
      </c>
      <c r="N680" t="inlineStr">
        <is>
          <t>Explore_F</t>
        </is>
      </c>
      <c r="O680" t="inlineStr">
        <is>
          <t>Familiar</t>
        </is>
      </c>
      <c r="P680" t="inlineStr">
        <is>
          <t>STATE</t>
        </is>
      </c>
      <c r="Q680" t="n">
        <v>62.733</v>
      </c>
      <c r="R680" t="n">
        <v>64.09999999999999</v>
      </c>
      <c r="S680" t="n">
        <v>1.367</v>
      </c>
      <c r="T680" t="inlineStr">
        <is>
          <t>C:/Users/manuel.felline/Documents/BEHAVIOR BTBR/NOR second cohort/BTBR/training/c7_m3.mp4</t>
        </is>
      </c>
      <c r="U680" t="n">
        <v>2032</v>
      </c>
      <c r="V680" t="n">
        <v>2073</v>
      </c>
      <c r="W680" t="n">
        <v/>
      </c>
      <c r="X680" t="n">
        <v/>
      </c>
      <c r="Y680" t="n">
        <v/>
      </c>
      <c r="Z680" t="n">
        <v/>
      </c>
      <c r="AA680">
        <f>SUMIFS($S$2:S680,$A$2:A680,A680,$N$2:N680,"Explore*")</f>
        <v/>
      </c>
      <c r="AB680">
        <f>IF(AND(LEFT(N680,7)="Explore",(AA680-IF(LEFT(N680,7)="Explore",S680,0))&lt;10),"SI","NO")</f>
        <v/>
      </c>
    </row>
    <row r="681">
      <c r="A681" t="inlineStr">
        <is>
          <t>c7m3_training</t>
        </is>
      </c>
      <c r="B681" t="inlineStr">
        <is>
          <t>2026-05-12 17:00:03.773</t>
        </is>
      </c>
      <c r="C681" t="n">
        <v/>
      </c>
      <c r="D681" t="inlineStr">
        <is>
          <t>Media file</t>
        </is>
      </c>
      <c r="E681" t="inlineStr">
        <is>
          <t>player #1:C:/Users/manuel.felline/Documents/BEHAVIOR BTBR/NOR second cohort/BTBR/training/c7_m3.mp4</t>
        </is>
      </c>
      <c r="F681" t="n">
        <v>-5</v>
      </c>
      <c r="G681" t="n">
        <v>548.033</v>
      </c>
      <c r="H681" t="n">
        <v>628.799</v>
      </c>
      <c r="I681" t="n">
        <v>30</v>
      </c>
      <c r="J681" t="inlineStr">
        <is>
          <t>BTBR</t>
        </is>
      </c>
      <c r="K681" t="inlineStr">
        <is>
          <t>Male</t>
        </is>
      </c>
      <c r="L681" t="inlineStr">
        <is>
          <t>No focal subject</t>
        </is>
      </c>
      <c r="M681" t="n">
        <v>49.899</v>
      </c>
      <c r="N681" t="inlineStr">
        <is>
          <t>Explore_F2</t>
        </is>
      </c>
      <c r="O681" t="inlineStr">
        <is>
          <t>Second familiar</t>
        </is>
      </c>
      <c r="P681" t="inlineStr">
        <is>
          <t>STATE</t>
        </is>
      </c>
      <c r="Q681" t="n">
        <v>65.56699999999999</v>
      </c>
      <c r="R681" t="n">
        <v>67.233</v>
      </c>
      <c r="S681" t="n">
        <v>1.666</v>
      </c>
      <c r="T681" t="inlineStr">
        <is>
          <t>C:/Users/manuel.felline/Documents/BEHAVIOR BTBR/NOR second cohort/BTBR/training/c7_m3.mp4</t>
        </is>
      </c>
      <c r="U681" t="n">
        <v>2117</v>
      </c>
      <c r="V681" t="n">
        <v>2167</v>
      </c>
      <c r="W681" t="n">
        <v/>
      </c>
      <c r="X681" t="n">
        <v/>
      </c>
      <c r="Y681" t="n">
        <v/>
      </c>
      <c r="Z681" t="n">
        <v/>
      </c>
      <c r="AA681">
        <f>SUMIFS($S$2:S681,$A$2:A681,A681,$N$2:N681,"Explore*")</f>
        <v/>
      </c>
      <c r="AB681">
        <f>IF(AND(LEFT(N681,7)="Explore",(AA681-IF(LEFT(N681,7)="Explore",S681,0))&lt;10),"SI","NO")</f>
        <v/>
      </c>
    </row>
    <row r="682">
      <c r="A682" t="inlineStr">
        <is>
          <t>c7m3_training</t>
        </is>
      </c>
      <c r="B682" t="inlineStr">
        <is>
          <t>2026-05-12 17:00:03.773</t>
        </is>
      </c>
      <c r="C682" t="n">
        <v/>
      </c>
      <c r="D682" t="inlineStr">
        <is>
          <t>Media file</t>
        </is>
      </c>
      <c r="E682" t="inlineStr">
        <is>
          <t>player #1:C:/Users/manuel.felline/Documents/BEHAVIOR BTBR/NOR second cohort/BTBR/training/c7_m3.mp4</t>
        </is>
      </c>
      <c r="F682" t="n">
        <v>-5</v>
      </c>
      <c r="G682" t="n">
        <v>548.033</v>
      </c>
      <c r="H682" t="n">
        <v>628.799</v>
      </c>
      <c r="I682" t="n">
        <v>30</v>
      </c>
      <c r="J682" t="inlineStr">
        <is>
          <t>BTBR</t>
        </is>
      </c>
      <c r="K682" t="inlineStr">
        <is>
          <t>Male</t>
        </is>
      </c>
      <c r="L682" t="inlineStr">
        <is>
          <t>No focal subject</t>
        </is>
      </c>
      <c r="M682" t="n">
        <v>49.899</v>
      </c>
      <c r="N682" t="inlineStr">
        <is>
          <t>Explore_F</t>
        </is>
      </c>
      <c r="O682" t="inlineStr">
        <is>
          <t>Familiar</t>
        </is>
      </c>
      <c r="P682" t="inlineStr">
        <is>
          <t>STATE</t>
        </is>
      </c>
      <c r="Q682" t="n">
        <v>67.867</v>
      </c>
      <c r="R682" t="n">
        <v>69.8</v>
      </c>
      <c r="S682" t="n">
        <v>1.933</v>
      </c>
      <c r="T682" t="inlineStr">
        <is>
          <t>C:/Users/manuel.felline/Documents/BEHAVIOR BTBR/NOR second cohort/BTBR/training/c7_m3.mp4</t>
        </is>
      </c>
      <c r="U682" t="n">
        <v>2186</v>
      </c>
      <c r="V682" t="n">
        <v>2244</v>
      </c>
      <c r="W682" t="n">
        <v/>
      </c>
      <c r="X682" t="n">
        <v/>
      </c>
      <c r="Y682" t="n">
        <v/>
      </c>
      <c r="Z682" t="n">
        <v/>
      </c>
      <c r="AA682">
        <f>SUMIFS($S$2:S682,$A$2:A682,A682,$N$2:N682,"Explore*")</f>
        <v/>
      </c>
      <c r="AB682">
        <f>IF(AND(LEFT(N682,7)="Explore",(AA682-IF(LEFT(N682,7)="Explore",S682,0))&lt;10),"SI","NO")</f>
        <v/>
      </c>
    </row>
    <row r="683">
      <c r="A683" t="inlineStr">
        <is>
          <t>c7m3_training</t>
        </is>
      </c>
      <c r="B683" t="inlineStr">
        <is>
          <t>2026-05-12 17:00:03.773</t>
        </is>
      </c>
      <c r="C683" t="n">
        <v/>
      </c>
      <c r="D683" t="inlineStr">
        <is>
          <t>Media file</t>
        </is>
      </c>
      <c r="E683" t="inlineStr">
        <is>
          <t>player #1:C:/Users/manuel.felline/Documents/BEHAVIOR BTBR/NOR second cohort/BTBR/training/c7_m3.mp4</t>
        </is>
      </c>
      <c r="F683" t="n">
        <v>-5</v>
      </c>
      <c r="G683" t="n">
        <v>548.033</v>
      </c>
      <c r="H683" t="n">
        <v>628.799</v>
      </c>
      <c r="I683" t="n">
        <v>30</v>
      </c>
      <c r="J683" t="inlineStr">
        <is>
          <t>BTBR</t>
        </is>
      </c>
      <c r="K683" t="inlineStr">
        <is>
          <t>Male</t>
        </is>
      </c>
      <c r="L683" t="inlineStr">
        <is>
          <t>No focal subject</t>
        </is>
      </c>
      <c r="M683" t="n">
        <v>49.899</v>
      </c>
      <c r="N683" t="inlineStr">
        <is>
          <t>Explore_F2</t>
        </is>
      </c>
      <c r="O683" t="inlineStr">
        <is>
          <t>Second familiar</t>
        </is>
      </c>
      <c r="P683" t="inlineStr">
        <is>
          <t>STATE</t>
        </is>
      </c>
      <c r="Q683" t="n">
        <v>71.633</v>
      </c>
      <c r="R683" t="n">
        <v>72.867</v>
      </c>
      <c r="S683" t="n">
        <v>1.234</v>
      </c>
      <c r="T683" t="inlineStr">
        <is>
          <t>C:/Users/manuel.felline/Documents/BEHAVIOR BTBR/NOR second cohort/BTBR/training/c7_m3.mp4</t>
        </is>
      </c>
      <c r="U683" t="n">
        <v>2299</v>
      </c>
      <c r="V683" t="n">
        <v>2336</v>
      </c>
      <c r="W683" t="n">
        <v/>
      </c>
      <c r="X683" t="n">
        <v/>
      </c>
      <c r="Y683" t="n">
        <v/>
      </c>
      <c r="Z683" t="n">
        <v/>
      </c>
      <c r="AA683">
        <f>SUMIFS($S$2:S683,$A$2:A683,A683,$N$2:N683,"Explore*")</f>
        <v/>
      </c>
      <c r="AB683">
        <f>IF(AND(LEFT(N683,7)="Explore",(AA683-IF(LEFT(N683,7)="Explore",S683,0))&lt;10),"SI","NO")</f>
        <v/>
      </c>
    </row>
    <row r="684">
      <c r="A684" t="inlineStr">
        <is>
          <t>c7m3_training</t>
        </is>
      </c>
      <c r="B684" t="inlineStr">
        <is>
          <t>2026-05-12 17:00:03.773</t>
        </is>
      </c>
      <c r="C684" t="n">
        <v/>
      </c>
      <c r="D684" t="inlineStr">
        <is>
          <t>Media file</t>
        </is>
      </c>
      <c r="E684" t="inlineStr">
        <is>
          <t>player #1:C:/Users/manuel.felline/Documents/BEHAVIOR BTBR/NOR second cohort/BTBR/training/c7_m3.mp4</t>
        </is>
      </c>
      <c r="F684" t="n">
        <v>-5</v>
      </c>
      <c r="G684" t="n">
        <v>548.033</v>
      </c>
      <c r="H684" t="n">
        <v>628.799</v>
      </c>
      <c r="I684" t="n">
        <v>30</v>
      </c>
      <c r="J684" t="inlineStr">
        <is>
          <t>BTBR</t>
        </is>
      </c>
      <c r="K684" t="inlineStr">
        <is>
          <t>Male</t>
        </is>
      </c>
      <c r="L684" t="inlineStr">
        <is>
          <t>No focal subject</t>
        </is>
      </c>
      <c r="M684" t="n">
        <v>49.899</v>
      </c>
      <c r="N684" t="inlineStr">
        <is>
          <t>Explore_F</t>
        </is>
      </c>
      <c r="O684" t="inlineStr">
        <is>
          <t>Familiar</t>
        </is>
      </c>
      <c r="P684" t="inlineStr">
        <is>
          <t>STATE</t>
        </is>
      </c>
      <c r="Q684" t="n">
        <v>74.7</v>
      </c>
      <c r="R684" t="n">
        <v>75.733</v>
      </c>
      <c r="S684" t="n">
        <v>1.033</v>
      </c>
      <c r="T684" t="inlineStr">
        <is>
          <t>C:/Users/manuel.felline/Documents/BEHAVIOR BTBR/NOR second cohort/BTBR/training/c7_m3.mp4</t>
        </is>
      </c>
      <c r="U684" t="n">
        <v>2391</v>
      </c>
      <c r="V684" t="n">
        <v>2422</v>
      </c>
      <c r="W684" t="n">
        <v/>
      </c>
      <c r="X684" t="n">
        <v/>
      </c>
      <c r="Y684" t="n">
        <v/>
      </c>
      <c r="Z684" t="n">
        <v/>
      </c>
      <c r="AA684">
        <f>SUMIFS($S$2:S684,$A$2:A684,A684,$N$2:N684,"Explore*")</f>
        <v/>
      </c>
      <c r="AB684">
        <f>IF(AND(LEFT(N684,7)="Explore",(AA684-IF(LEFT(N684,7)="Explore",S684,0))&lt;10),"SI","NO")</f>
        <v/>
      </c>
    </row>
    <row r="685">
      <c r="A685" t="inlineStr">
        <is>
          <t>c7m3_training</t>
        </is>
      </c>
      <c r="B685" t="inlineStr">
        <is>
          <t>2026-05-12 17:00:03.773</t>
        </is>
      </c>
      <c r="C685" t="n">
        <v/>
      </c>
      <c r="D685" t="inlineStr">
        <is>
          <t>Media file</t>
        </is>
      </c>
      <c r="E685" t="inlineStr">
        <is>
          <t>player #1:C:/Users/manuel.felline/Documents/BEHAVIOR BTBR/NOR second cohort/BTBR/training/c7_m3.mp4</t>
        </is>
      </c>
      <c r="F685" t="n">
        <v>-5</v>
      </c>
      <c r="G685" t="n">
        <v>548.033</v>
      </c>
      <c r="H685" t="n">
        <v>628.799</v>
      </c>
      <c r="I685" t="n">
        <v>30</v>
      </c>
      <c r="J685" t="inlineStr">
        <is>
          <t>BTBR</t>
        </is>
      </c>
      <c r="K685" t="inlineStr">
        <is>
          <t>Male</t>
        </is>
      </c>
      <c r="L685" t="inlineStr">
        <is>
          <t>No focal subject</t>
        </is>
      </c>
      <c r="M685" t="n">
        <v>49.899</v>
      </c>
      <c r="N685" t="inlineStr">
        <is>
          <t>Explore_F2</t>
        </is>
      </c>
      <c r="O685" t="inlineStr">
        <is>
          <t>Second familiar</t>
        </is>
      </c>
      <c r="P685" t="inlineStr">
        <is>
          <t>STATE</t>
        </is>
      </c>
      <c r="Q685" t="n">
        <v>77.333</v>
      </c>
      <c r="R685" t="n">
        <v>78.40000000000001</v>
      </c>
      <c r="S685" t="n">
        <v>1.067</v>
      </c>
      <c r="T685" t="inlineStr">
        <is>
          <t>C:/Users/manuel.felline/Documents/BEHAVIOR BTBR/NOR second cohort/BTBR/training/c7_m3.mp4</t>
        </is>
      </c>
      <c r="U685" t="n">
        <v>2470</v>
      </c>
      <c r="V685" t="n">
        <v>2502</v>
      </c>
      <c r="W685" t="n">
        <v/>
      </c>
      <c r="X685" t="n">
        <v/>
      </c>
      <c r="Y685" t="n">
        <v/>
      </c>
      <c r="Z685" t="n">
        <v/>
      </c>
      <c r="AA685">
        <f>SUMIFS($S$2:S685,$A$2:A685,A685,$N$2:N685,"Explore*")</f>
        <v/>
      </c>
      <c r="AB685">
        <f>IF(AND(LEFT(N685,7)="Explore",(AA685-IF(LEFT(N685,7)="Explore",S685,0))&lt;10),"SI","NO")</f>
        <v/>
      </c>
    </row>
    <row r="686">
      <c r="A686" t="inlineStr">
        <is>
          <t>c7m3_training</t>
        </is>
      </c>
      <c r="B686" t="inlineStr">
        <is>
          <t>2026-05-12 17:00:03.773</t>
        </is>
      </c>
      <c r="C686" t="n">
        <v/>
      </c>
      <c r="D686" t="inlineStr">
        <is>
          <t>Media file</t>
        </is>
      </c>
      <c r="E686" t="inlineStr">
        <is>
          <t>player #1:C:/Users/manuel.felline/Documents/BEHAVIOR BTBR/NOR second cohort/BTBR/training/c7_m3.mp4</t>
        </is>
      </c>
      <c r="F686" t="n">
        <v>-5</v>
      </c>
      <c r="G686" t="n">
        <v>548.033</v>
      </c>
      <c r="H686" t="n">
        <v>628.799</v>
      </c>
      <c r="I686" t="n">
        <v>30</v>
      </c>
      <c r="J686" t="inlineStr">
        <is>
          <t>BTBR</t>
        </is>
      </c>
      <c r="K686" t="inlineStr">
        <is>
          <t>Male</t>
        </is>
      </c>
      <c r="L686" t="inlineStr">
        <is>
          <t>No focal subject</t>
        </is>
      </c>
      <c r="M686" t="n">
        <v>49.899</v>
      </c>
      <c r="N686" t="inlineStr">
        <is>
          <t>Explore_F</t>
        </is>
      </c>
      <c r="O686" t="inlineStr">
        <is>
          <t>Familiar</t>
        </is>
      </c>
      <c r="P686" t="inlineStr">
        <is>
          <t>STATE</t>
        </is>
      </c>
      <c r="Q686" t="n">
        <v>79.133</v>
      </c>
      <c r="R686" t="n">
        <v>80.767</v>
      </c>
      <c r="S686" t="n">
        <v>1.634</v>
      </c>
      <c r="T686" t="inlineStr">
        <is>
          <t>C:/Users/manuel.felline/Documents/BEHAVIOR BTBR/NOR second cohort/BTBR/training/c7_m3.mp4</t>
        </is>
      </c>
      <c r="U686" t="n">
        <v>2524</v>
      </c>
      <c r="V686" t="n">
        <v>2573</v>
      </c>
      <c r="W686" t="n">
        <v/>
      </c>
      <c r="X686" t="n">
        <v/>
      </c>
      <c r="Y686" t="n">
        <v/>
      </c>
      <c r="Z686" t="n">
        <v/>
      </c>
      <c r="AA686">
        <f>SUMIFS($S$2:S686,$A$2:A686,A686,$N$2:N686,"Explore*")</f>
        <v/>
      </c>
      <c r="AB686">
        <f>IF(AND(LEFT(N686,7)="Explore",(AA686-IF(LEFT(N686,7)="Explore",S686,0))&lt;10),"SI","NO")</f>
        <v/>
      </c>
    </row>
    <row r="687">
      <c r="A687" t="inlineStr">
        <is>
          <t>c7m3_training</t>
        </is>
      </c>
      <c r="B687" t="inlineStr">
        <is>
          <t>2026-05-12 17:00:03.773</t>
        </is>
      </c>
      <c r="C687" t="n">
        <v/>
      </c>
      <c r="D687" t="inlineStr">
        <is>
          <t>Media file</t>
        </is>
      </c>
      <c r="E687" t="inlineStr">
        <is>
          <t>player #1:C:/Users/manuel.felline/Documents/BEHAVIOR BTBR/NOR second cohort/BTBR/training/c7_m3.mp4</t>
        </is>
      </c>
      <c r="F687" t="n">
        <v>-5</v>
      </c>
      <c r="G687" t="n">
        <v>548.033</v>
      </c>
      <c r="H687" t="n">
        <v>628.799</v>
      </c>
      <c r="I687" t="n">
        <v>30</v>
      </c>
      <c r="J687" t="inlineStr">
        <is>
          <t>BTBR</t>
        </is>
      </c>
      <c r="K687" t="inlineStr">
        <is>
          <t>Male</t>
        </is>
      </c>
      <c r="L687" t="inlineStr">
        <is>
          <t>No focal subject</t>
        </is>
      </c>
      <c r="M687" t="n">
        <v>49.899</v>
      </c>
      <c r="N687" t="inlineStr">
        <is>
          <t>Explore_F2</t>
        </is>
      </c>
      <c r="O687" t="inlineStr">
        <is>
          <t>Second familiar</t>
        </is>
      </c>
      <c r="P687" t="inlineStr">
        <is>
          <t>STATE</t>
        </is>
      </c>
      <c r="Q687" t="n">
        <v>86.333</v>
      </c>
      <c r="R687" t="n">
        <v>86.7</v>
      </c>
      <c r="S687" t="n">
        <v>0.367</v>
      </c>
      <c r="T687" t="inlineStr">
        <is>
          <t>C:/Users/manuel.felline/Documents/BEHAVIOR BTBR/NOR second cohort/BTBR/training/c7_m3.mp4</t>
        </is>
      </c>
      <c r="U687" t="n">
        <v>2740</v>
      </c>
      <c r="V687" t="n">
        <v>2751</v>
      </c>
      <c r="W687" t="n">
        <v/>
      </c>
      <c r="X687" t="n">
        <v/>
      </c>
      <c r="Y687" t="n">
        <v/>
      </c>
      <c r="Z687" t="n">
        <v/>
      </c>
      <c r="AA687">
        <f>SUMIFS($S$2:S687,$A$2:A687,A687,$N$2:N687,"Explore*")</f>
        <v/>
      </c>
      <c r="AB687">
        <f>IF(AND(LEFT(N687,7)="Explore",(AA687-IF(LEFT(N687,7)="Explore",S687,0))&lt;10),"SI","NO")</f>
        <v/>
      </c>
    </row>
    <row r="688">
      <c r="A688" t="inlineStr">
        <is>
          <t>c7m3_training</t>
        </is>
      </c>
      <c r="B688" t="inlineStr">
        <is>
          <t>2026-05-12 17:00:03.773</t>
        </is>
      </c>
      <c r="C688" t="n">
        <v/>
      </c>
      <c r="D688" t="inlineStr">
        <is>
          <t>Media file</t>
        </is>
      </c>
      <c r="E688" t="inlineStr">
        <is>
          <t>player #1:C:/Users/manuel.felline/Documents/BEHAVIOR BTBR/NOR second cohort/BTBR/training/c7_m3.mp4</t>
        </is>
      </c>
      <c r="F688" t="n">
        <v>-5</v>
      </c>
      <c r="G688" t="n">
        <v>548.033</v>
      </c>
      <c r="H688" t="n">
        <v>628.799</v>
      </c>
      <c r="I688" t="n">
        <v>30</v>
      </c>
      <c r="J688" t="inlineStr">
        <is>
          <t>BTBR</t>
        </is>
      </c>
      <c r="K688" t="inlineStr">
        <is>
          <t>Male</t>
        </is>
      </c>
      <c r="L688" t="inlineStr">
        <is>
          <t>No focal subject</t>
        </is>
      </c>
      <c r="M688" t="n">
        <v>49.899</v>
      </c>
      <c r="N688" t="inlineStr">
        <is>
          <t>Explore_F</t>
        </is>
      </c>
      <c r="O688" t="inlineStr">
        <is>
          <t>Familiar</t>
        </is>
      </c>
      <c r="P688" t="inlineStr">
        <is>
          <t>STATE</t>
        </is>
      </c>
      <c r="Q688" t="n">
        <v>100.133</v>
      </c>
      <c r="R688" t="n">
        <v>101</v>
      </c>
      <c r="S688" t="n">
        <v>0.867</v>
      </c>
      <c r="T688" t="inlineStr">
        <is>
          <t>C:/Users/manuel.felline/Documents/BEHAVIOR BTBR/NOR second cohort/BTBR/training/c7_m3.mp4</t>
        </is>
      </c>
      <c r="U688" t="n">
        <v>3154</v>
      </c>
      <c r="V688" t="n">
        <v>3180</v>
      </c>
      <c r="W688" t="n">
        <v/>
      </c>
      <c r="X688" t="n">
        <v/>
      </c>
      <c r="Y688" t="n">
        <v/>
      </c>
      <c r="Z688" t="n">
        <v/>
      </c>
      <c r="AA688">
        <f>SUMIFS($S$2:S688,$A$2:A688,A688,$N$2:N688,"Explore*")</f>
        <v/>
      </c>
      <c r="AB688">
        <f>IF(AND(LEFT(N688,7)="Explore",(AA688-IF(LEFT(N688,7)="Explore",S688,0))&lt;10),"SI","NO")</f>
        <v/>
      </c>
    </row>
    <row r="689">
      <c r="A689" t="inlineStr">
        <is>
          <t>c7m3_training</t>
        </is>
      </c>
      <c r="B689" t="inlineStr">
        <is>
          <t>2026-05-12 17:00:03.773</t>
        </is>
      </c>
      <c r="C689" t="n">
        <v/>
      </c>
      <c r="D689" t="inlineStr">
        <is>
          <t>Media file</t>
        </is>
      </c>
      <c r="E689" t="inlineStr">
        <is>
          <t>player #1:C:/Users/manuel.felline/Documents/BEHAVIOR BTBR/NOR second cohort/BTBR/training/c7_m3.mp4</t>
        </is>
      </c>
      <c r="F689" t="n">
        <v>-5</v>
      </c>
      <c r="G689" t="n">
        <v>548.033</v>
      </c>
      <c r="H689" t="n">
        <v>628.799</v>
      </c>
      <c r="I689" t="n">
        <v>30</v>
      </c>
      <c r="J689" t="inlineStr">
        <is>
          <t>BTBR</t>
        </is>
      </c>
      <c r="K689" t="inlineStr">
        <is>
          <t>Male</t>
        </is>
      </c>
      <c r="L689" t="inlineStr">
        <is>
          <t>No focal subject</t>
        </is>
      </c>
      <c r="M689" t="n">
        <v>49.899</v>
      </c>
      <c r="N689" t="inlineStr">
        <is>
          <t>Explore_F2</t>
        </is>
      </c>
      <c r="O689" t="inlineStr">
        <is>
          <t>Second familiar</t>
        </is>
      </c>
      <c r="P689" t="inlineStr">
        <is>
          <t>STATE</t>
        </is>
      </c>
      <c r="Q689" t="n">
        <v>103.033</v>
      </c>
      <c r="R689" t="n">
        <v>104.5</v>
      </c>
      <c r="S689" t="n">
        <v>1.467</v>
      </c>
      <c r="T689" t="inlineStr">
        <is>
          <t>C:/Users/manuel.felline/Documents/BEHAVIOR BTBR/NOR second cohort/BTBR/training/c7_m3.mp4</t>
        </is>
      </c>
      <c r="U689" t="n">
        <v>3241</v>
      </c>
      <c r="V689" t="n">
        <v>3285</v>
      </c>
      <c r="W689" t="n">
        <v/>
      </c>
      <c r="X689" t="n">
        <v/>
      </c>
      <c r="Y689" t="n">
        <v/>
      </c>
      <c r="Z689" t="n">
        <v/>
      </c>
      <c r="AA689">
        <f>SUMIFS($S$2:S689,$A$2:A689,A689,$N$2:N689,"Explore*")</f>
        <v/>
      </c>
      <c r="AB689">
        <f>IF(AND(LEFT(N689,7)="Explore",(AA689-IF(LEFT(N689,7)="Explore",S689,0))&lt;10),"SI","NO")</f>
        <v/>
      </c>
    </row>
    <row r="690">
      <c r="A690" t="inlineStr">
        <is>
          <t>c7m3_training</t>
        </is>
      </c>
      <c r="B690" t="inlineStr">
        <is>
          <t>2026-05-12 17:00:03.773</t>
        </is>
      </c>
      <c r="C690" t="n">
        <v/>
      </c>
      <c r="D690" t="inlineStr">
        <is>
          <t>Media file</t>
        </is>
      </c>
      <c r="E690" t="inlineStr">
        <is>
          <t>player #1:C:/Users/manuel.felline/Documents/BEHAVIOR BTBR/NOR second cohort/BTBR/training/c7_m3.mp4</t>
        </is>
      </c>
      <c r="F690" t="n">
        <v>-5</v>
      </c>
      <c r="G690" t="n">
        <v>548.033</v>
      </c>
      <c r="H690" t="n">
        <v>628.799</v>
      </c>
      <c r="I690" t="n">
        <v>30</v>
      </c>
      <c r="J690" t="inlineStr">
        <is>
          <t>BTBR</t>
        </is>
      </c>
      <c r="K690" t="inlineStr">
        <is>
          <t>Male</t>
        </is>
      </c>
      <c r="L690" t="inlineStr">
        <is>
          <t>No focal subject</t>
        </is>
      </c>
      <c r="M690" t="n">
        <v>49.899</v>
      </c>
      <c r="N690" t="inlineStr">
        <is>
          <t>Explore_F</t>
        </is>
      </c>
      <c r="O690" t="inlineStr">
        <is>
          <t>Familiar</t>
        </is>
      </c>
      <c r="P690" t="inlineStr">
        <is>
          <t>STATE</t>
        </is>
      </c>
      <c r="Q690" t="n">
        <v>105.2</v>
      </c>
      <c r="R690" t="n">
        <v>106.7</v>
      </c>
      <c r="S690" t="n">
        <v>1.5</v>
      </c>
      <c r="T690" t="inlineStr">
        <is>
          <t>C:/Users/manuel.felline/Documents/BEHAVIOR BTBR/NOR second cohort/BTBR/training/c7_m3.mp4</t>
        </is>
      </c>
      <c r="U690" t="n">
        <v>3306</v>
      </c>
      <c r="V690" t="n">
        <v>3351</v>
      </c>
      <c r="W690" t="n">
        <v/>
      </c>
      <c r="X690" t="n">
        <v/>
      </c>
      <c r="Y690" t="n">
        <v/>
      </c>
      <c r="Z690" t="n">
        <v/>
      </c>
      <c r="AA690">
        <f>SUMIFS($S$2:S690,$A$2:A690,A690,$N$2:N690,"Explore*")</f>
        <v/>
      </c>
      <c r="AB690">
        <f>IF(AND(LEFT(N690,7)="Explore",(AA690-IF(LEFT(N690,7)="Explore",S690,0))&lt;10),"SI","NO")</f>
        <v/>
      </c>
    </row>
    <row r="691">
      <c r="A691" t="inlineStr">
        <is>
          <t>c7m3_training</t>
        </is>
      </c>
      <c r="B691" t="inlineStr">
        <is>
          <t>2026-05-12 17:00:03.773</t>
        </is>
      </c>
      <c r="C691" t="n">
        <v/>
      </c>
      <c r="D691" t="inlineStr">
        <is>
          <t>Media file</t>
        </is>
      </c>
      <c r="E691" t="inlineStr">
        <is>
          <t>player #1:C:/Users/manuel.felline/Documents/BEHAVIOR BTBR/NOR second cohort/BTBR/training/c7_m3.mp4</t>
        </is>
      </c>
      <c r="F691" t="n">
        <v>-5</v>
      </c>
      <c r="G691" t="n">
        <v>548.033</v>
      </c>
      <c r="H691" t="n">
        <v>628.799</v>
      </c>
      <c r="I691" t="n">
        <v>30</v>
      </c>
      <c r="J691" t="inlineStr">
        <is>
          <t>BTBR</t>
        </is>
      </c>
      <c r="K691" t="inlineStr">
        <is>
          <t>Male</t>
        </is>
      </c>
      <c r="L691" t="inlineStr">
        <is>
          <t>No focal subject</t>
        </is>
      </c>
      <c r="M691" t="n">
        <v>49.899</v>
      </c>
      <c r="N691" t="inlineStr">
        <is>
          <t>Explore_F</t>
        </is>
      </c>
      <c r="O691" t="inlineStr">
        <is>
          <t>Familiar</t>
        </is>
      </c>
      <c r="P691" t="inlineStr">
        <is>
          <t>STATE</t>
        </is>
      </c>
      <c r="Q691" t="n">
        <v>119.567</v>
      </c>
      <c r="R691" t="n">
        <v>120.867</v>
      </c>
      <c r="S691" t="n">
        <v>1.3</v>
      </c>
      <c r="T691" t="inlineStr">
        <is>
          <t>C:/Users/manuel.felline/Documents/BEHAVIOR BTBR/NOR second cohort/BTBR/training/c7_m3.mp4</t>
        </is>
      </c>
      <c r="U691" t="n">
        <v>3736</v>
      </c>
      <c r="V691" t="n">
        <v>3775</v>
      </c>
      <c r="W691" t="n">
        <v/>
      </c>
      <c r="X691" t="n">
        <v/>
      </c>
      <c r="Y691" t="n">
        <v/>
      </c>
      <c r="Z691" t="n">
        <v/>
      </c>
      <c r="AA691">
        <f>SUMIFS($S$2:S691,$A$2:A691,A691,$N$2:N691,"Explore*")</f>
        <v/>
      </c>
      <c r="AB691">
        <f>IF(AND(LEFT(N691,7)="Explore",(AA691-IF(LEFT(N691,7)="Explore",S691,0))&lt;10),"SI","NO")</f>
        <v/>
      </c>
    </row>
    <row r="692">
      <c r="A692" t="inlineStr">
        <is>
          <t>c7m3_training</t>
        </is>
      </c>
      <c r="B692" t="inlineStr">
        <is>
          <t>2026-05-12 17:00:03.773</t>
        </is>
      </c>
      <c r="C692" t="n">
        <v/>
      </c>
      <c r="D692" t="inlineStr">
        <is>
          <t>Media file</t>
        </is>
      </c>
      <c r="E692" t="inlineStr">
        <is>
          <t>player #1:C:/Users/manuel.felline/Documents/BEHAVIOR BTBR/NOR second cohort/BTBR/training/c7_m3.mp4</t>
        </is>
      </c>
      <c r="F692" t="n">
        <v>-5</v>
      </c>
      <c r="G692" t="n">
        <v>548.033</v>
      </c>
      <c r="H692" t="n">
        <v>628.799</v>
      </c>
      <c r="I692" t="n">
        <v>30</v>
      </c>
      <c r="J692" t="inlineStr">
        <is>
          <t>BTBR</t>
        </is>
      </c>
      <c r="K692" t="inlineStr">
        <is>
          <t>Male</t>
        </is>
      </c>
      <c r="L692" t="inlineStr">
        <is>
          <t>No focal subject</t>
        </is>
      </c>
      <c r="M692" t="n">
        <v>49.899</v>
      </c>
      <c r="N692" t="inlineStr">
        <is>
          <t>Explore_F</t>
        </is>
      </c>
      <c r="O692" t="inlineStr">
        <is>
          <t>Familiar</t>
        </is>
      </c>
      <c r="P692" t="inlineStr">
        <is>
          <t>STATE</t>
        </is>
      </c>
      <c r="Q692" t="n">
        <v>136</v>
      </c>
      <c r="R692" t="n">
        <v>136.533</v>
      </c>
      <c r="S692" t="n">
        <v>0.533</v>
      </c>
      <c r="T692" t="inlineStr">
        <is>
          <t>C:/Users/manuel.felline/Documents/BEHAVIOR BTBR/NOR second cohort/BTBR/training/c7_m3.mp4</t>
        </is>
      </c>
      <c r="U692" t="n">
        <v>4229</v>
      </c>
      <c r="V692" t="n">
        <v>4245</v>
      </c>
      <c r="W692" t="n">
        <v/>
      </c>
      <c r="X692" t="n">
        <v/>
      </c>
      <c r="Y692" t="n">
        <v/>
      </c>
      <c r="Z692" t="n">
        <v/>
      </c>
      <c r="AA692">
        <f>SUMIFS($S$2:S692,$A$2:A692,A692,$N$2:N692,"Explore*")</f>
        <v/>
      </c>
      <c r="AB692">
        <f>IF(AND(LEFT(N692,7)="Explore",(AA692-IF(LEFT(N692,7)="Explore",S692,0))&lt;10),"SI","NO")</f>
        <v/>
      </c>
    </row>
    <row r="693">
      <c r="A693" t="inlineStr">
        <is>
          <t>c7m3_training</t>
        </is>
      </c>
      <c r="B693" t="inlineStr">
        <is>
          <t>2026-05-12 17:00:03.773</t>
        </is>
      </c>
      <c r="C693" t="n">
        <v/>
      </c>
      <c r="D693" t="inlineStr">
        <is>
          <t>Media file</t>
        </is>
      </c>
      <c r="E693" t="inlineStr">
        <is>
          <t>player #1:C:/Users/manuel.felline/Documents/BEHAVIOR BTBR/NOR second cohort/BTBR/training/c7_m3.mp4</t>
        </is>
      </c>
      <c r="F693" t="n">
        <v>-5</v>
      </c>
      <c r="G693" t="n">
        <v>548.033</v>
      </c>
      <c r="H693" t="n">
        <v>628.799</v>
      </c>
      <c r="I693" t="n">
        <v>30</v>
      </c>
      <c r="J693" t="inlineStr">
        <is>
          <t>BTBR</t>
        </is>
      </c>
      <c r="K693" t="inlineStr">
        <is>
          <t>Male</t>
        </is>
      </c>
      <c r="L693" t="inlineStr">
        <is>
          <t>No focal subject</t>
        </is>
      </c>
      <c r="M693" t="n">
        <v>49.899</v>
      </c>
      <c r="N693" t="inlineStr">
        <is>
          <t>Explore_F2</t>
        </is>
      </c>
      <c r="O693" t="inlineStr">
        <is>
          <t>Second familiar</t>
        </is>
      </c>
      <c r="P693" t="inlineStr">
        <is>
          <t>STATE</t>
        </is>
      </c>
      <c r="Q693" t="n">
        <v>145.233</v>
      </c>
      <c r="R693" t="n">
        <v>145.567</v>
      </c>
      <c r="S693" t="n">
        <v>0.334</v>
      </c>
      <c r="T693" t="inlineStr">
        <is>
          <t>C:/Users/manuel.felline/Documents/BEHAVIOR BTBR/NOR second cohort/BTBR/training/c7_m3.mp4</t>
        </is>
      </c>
      <c r="U693" t="n">
        <v>4506</v>
      </c>
      <c r="V693" t="n">
        <v>4516</v>
      </c>
      <c r="W693" t="n">
        <v/>
      </c>
      <c r="X693" t="n">
        <v/>
      </c>
      <c r="Y693" t="n">
        <v/>
      </c>
      <c r="Z693" t="n">
        <v/>
      </c>
      <c r="AA693">
        <f>SUMIFS($S$2:S693,$A$2:A693,A693,$N$2:N693,"Explore*")</f>
        <v/>
      </c>
      <c r="AB693">
        <f>IF(AND(LEFT(N693,7)="Explore",(AA693-IF(LEFT(N693,7)="Explore",S693,0))&lt;10),"SI","NO")</f>
        <v/>
      </c>
    </row>
    <row r="694">
      <c r="A694" t="inlineStr">
        <is>
          <t>c7m3_training</t>
        </is>
      </c>
      <c r="B694" t="inlineStr">
        <is>
          <t>2026-05-12 17:00:03.773</t>
        </is>
      </c>
      <c r="C694" t="n">
        <v/>
      </c>
      <c r="D694" t="inlineStr">
        <is>
          <t>Media file</t>
        </is>
      </c>
      <c r="E694" t="inlineStr">
        <is>
          <t>player #1:C:/Users/manuel.felline/Documents/BEHAVIOR BTBR/NOR second cohort/BTBR/training/c7_m3.mp4</t>
        </is>
      </c>
      <c r="F694" t="n">
        <v>-5</v>
      </c>
      <c r="G694" t="n">
        <v>548.033</v>
      </c>
      <c r="H694" t="n">
        <v>628.799</v>
      </c>
      <c r="I694" t="n">
        <v>30</v>
      </c>
      <c r="J694" t="inlineStr">
        <is>
          <t>BTBR</t>
        </is>
      </c>
      <c r="K694" t="inlineStr">
        <is>
          <t>Male</t>
        </is>
      </c>
      <c r="L694" t="inlineStr">
        <is>
          <t>No focal subject</t>
        </is>
      </c>
      <c r="M694" t="n">
        <v>49.899</v>
      </c>
      <c r="N694" t="inlineStr">
        <is>
          <t>Explore_F</t>
        </is>
      </c>
      <c r="O694" t="inlineStr">
        <is>
          <t>Familiar</t>
        </is>
      </c>
      <c r="P694" t="inlineStr">
        <is>
          <t>STATE</t>
        </is>
      </c>
      <c r="Q694" t="n">
        <v>149.033</v>
      </c>
      <c r="R694" t="n">
        <v>149.9</v>
      </c>
      <c r="S694" t="n">
        <v>0.867</v>
      </c>
      <c r="T694" t="inlineStr">
        <is>
          <t>C:/Users/manuel.felline/Documents/BEHAVIOR BTBR/NOR second cohort/BTBR/training/c7_m3.mp4</t>
        </is>
      </c>
      <c r="U694" t="n">
        <v>4620</v>
      </c>
      <c r="V694" t="n">
        <v>4646</v>
      </c>
      <c r="W694" t="n">
        <v/>
      </c>
      <c r="X694" t="n">
        <v/>
      </c>
      <c r="Y694" t="n">
        <v/>
      </c>
      <c r="Z694" t="n">
        <v/>
      </c>
      <c r="AA694">
        <f>SUMIFS($S$2:S694,$A$2:A694,A694,$N$2:N694,"Explore*")</f>
        <v/>
      </c>
      <c r="AB694">
        <f>IF(AND(LEFT(N694,7)="Explore",(AA694-IF(LEFT(N694,7)="Explore",S694,0))&lt;10),"SI","NO")</f>
        <v/>
      </c>
    </row>
    <row r="695">
      <c r="A695" t="inlineStr">
        <is>
          <t>c7m3_training</t>
        </is>
      </c>
      <c r="B695" t="inlineStr">
        <is>
          <t>2026-05-12 17:00:03.773</t>
        </is>
      </c>
      <c r="C695" t="n">
        <v/>
      </c>
      <c r="D695" t="inlineStr">
        <is>
          <t>Media file</t>
        </is>
      </c>
      <c r="E695" t="inlineStr">
        <is>
          <t>player #1:C:/Users/manuel.felline/Documents/BEHAVIOR BTBR/NOR second cohort/BTBR/training/c7_m3.mp4</t>
        </is>
      </c>
      <c r="F695" t="n">
        <v>-5</v>
      </c>
      <c r="G695" t="n">
        <v>548.033</v>
      </c>
      <c r="H695" t="n">
        <v>628.799</v>
      </c>
      <c r="I695" t="n">
        <v>30</v>
      </c>
      <c r="J695" t="inlineStr">
        <is>
          <t>BTBR</t>
        </is>
      </c>
      <c r="K695" t="inlineStr">
        <is>
          <t>Male</t>
        </is>
      </c>
      <c r="L695" t="inlineStr">
        <is>
          <t>No focal subject</t>
        </is>
      </c>
      <c r="M695" t="n">
        <v>49.899</v>
      </c>
      <c r="N695" t="inlineStr">
        <is>
          <t>Explore_F2</t>
        </is>
      </c>
      <c r="O695" t="inlineStr">
        <is>
          <t>Second familiar</t>
        </is>
      </c>
      <c r="P695" t="inlineStr">
        <is>
          <t>STATE</t>
        </is>
      </c>
      <c r="Q695" t="n">
        <v>150.633</v>
      </c>
      <c r="R695" t="n">
        <v>152.5</v>
      </c>
      <c r="S695" t="n">
        <v>1.867</v>
      </c>
      <c r="T695" t="inlineStr">
        <is>
          <t>C:/Users/manuel.felline/Documents/BEHAVIOR BTBR/NOR second cohort/BTBR/training/c7_m3.mp4</t>
        </is>
      </c>
      <c r="U695" t="n">
        <v>4668</v>
      </c>
      <c r="V695" t="n">
        <v>4724</v>
      </c>
      <c r="W695" t="n">
        <v/>
      </c>
      <c r="X695" t="n">
        <v/>
      </c>
      <c r="Y695" t="n">
        <v/>
      </c>
      <c r="Z695" t="n">
        <v/>
      </c>
      <c r="AA695">
        <f>SUMIFS($S$2:S695,$A$2:A695,A695,$N$2:N695,"Explore*")</f>
        <v/>
      </c>
      <c r="AB695">
        <f>IF(AND(LEFT(N695,7)="Explore",(AA695-IF(LEFT(N695,7)="Explore",S695,0))&lt;10),"SI","NO")</f>
        <v/>
      </c>
    </row>
    <row r="696">
      <c r="A696" t="inlineStr">
        <is>
          <t>c7m3_training</t>
        </is>
      </c>
      <c r="B696" t="inlineStr">
        <is>
          <t>2026-05-12 17:00:03.773</t>
        </is>
      </c>
      <c r="C696" t="n">
        <v/>
      </c>
      <c r="D696" t="inlineStr">
        <is>
          <t>Media file</t>
        </is>
      </c>
      <c r="E696" t="inlineStr">
        <is>
          <t>player #1:C:/Users/manuel.felline/Documents/BEHAVIOR BTBR/NOR second cohort/BTBR/training/c7_m3.mp4</t>
        </is>
      </c>
      <c r="F696" t="n">
        <v>-5</v>
      </c>
      <c r="G696" t="n">
        <v>548.033</v>
      </c>
      <c r="H696" t="n">
        <v>628.799</v>
      </c>
      <c r="I696" t="n">
        <v>30</v>
      </c>
      <c r="J696" t="inlineStr">
        <is>
          <t>BTBR</t>
        </is>
      </c>
      <c r="K696" t="inlineStr">
        <is>
          <t>Male</t>
        </is>
      </c>
      <c r="L696" t="inlineStr">
        <is>
          <t>No focal subject</t>
        </is>
      </c>
      <c r="M696" t="n">
        <v>49.899</v>
      </c>
      <c r="N696" t="inlineStr">
        <is>
          <t>Explore_F2</t>
        </is>
      </c>
      <c r="O696" t="inlineStr">
        <is>
          <t>Second familiar</t>
        </is>
      </c>
      <c r="P696" t="inlineStr">
        <is>
          <t>STATE</t>
        </is>
      </c>
      <c r="Q696" t="n">
        <v>160.8</v>
      </c>
      <c r="R696" t="n">
        <v>161.366</v>
      </c>
      <c r="S696" t="n">
        <v>0.5659999999999999</v>
      </c>
      <c r="T696" t="inlineStr">
        <is>
          <t>C:/Users/manuel.felline/Documents/BEHAVIOR BTBR/NOR second cohort/BTBR/training/c7_m3.mp4</t>
        </is>
      </c>
      <c r="U696" t="n">
        <v>4973</v>
      </c>
      <c r="V696" t="n">
        <v>4990</v>
      </c>
      <c r="W696" t="n">
        <v/>
      </c>
      <c r="X696" t="n">
        <v/>
      </c>
      <c r="Y696" t="n">
        <v/>
      </c>
      <c r="Z696" t="n">
        <v/>
      </c>
      <c r="AA696">
        <f>SUMIFS($S$2:S696,$A$2:A696,A696,$N$2:N696,"Explore*")</f>
        <v/>
      </c>
      <c r="AB696">
        <f>IF(AND(LEFT(N696,7)="Explore",(AA696-IF(LEFT(N696,7)="Explore",S696,0))&lt;10),"SI","NO")</f>
        <v/>
      </c>
    </row>
    <row r="697">
      <c r="A697" t="inlineStr">
        <is>
          <t>c7m3_training</t>
        </is>
      </c>
      <c r="B697" t="inlineStr">
        <is>
          <t>2026-05-12 17:00:03.773</t>
        </is>
      </c>
      <c r="C697" t="n">
        <v/>
      </c>
      <c r="D697" t="inlineStr">
        <is>
          <t>Media file</t>
        </is>
      </c>
      <c r="E697" t="inlineStr">
        <is>
          <t>player #1:C:/Users/manuel.felline/Documents/BEHAVIOR BTBR/NOR second cohort/BTBR/training/c7_m3.mp4</t>
        </is>
      </c>
      <c r="F697" t="n">
        <v>-5</v>
      </c>
      <c r="G697" t="n">
        <v>548.033</v>
      </c>
      <c r="H697" t="n">
        <v>628.799</v>
      </c>
      <c r="I697" t="n">
        <v>30</v>
      </c>
      <c r="J697" t="inlineStr">
        <is>
          <t>BTBR</t>
        </is>
      </c>
      <c r="K697" t="inlineStr">
        <is>
          <t>Male</t>
        </is>
      </c>
      <c r="L697" t="inlineStr">
        <is>
          <t>No focal subject</t>
        </is>
      </c>
      <c r="M697" t="n">
        <v>49.899</v>
      </c>
      <c r="N697" t="inlineStr">
        <is>
          <t>Explore_F2</t>
        </is>
      </c>
      <c r="O697" t="inlineStr">
        <is>
          <t>Second familiar</t>
        </is>
      </c>
      <c r="P697" t="inlineStr">
        <is>
          <t>STATE</t>
        </is>
      </c>
      <c r="Q697" t="n">
        <v>167.4</v>
      </c>
      <c r="R697" t="n">
        <v>167.866</v>
      </c>
      <c r="S697" t="n">
        <v>0.466</v>
      </c>
      <c r="T697" t="inlineStr">
        <is>
          <t>C:/Users/manuel.felline/Documents/BEHAVIOR BTBR/NOR second cohort/BTBR/training/c7_m3.mp4</t>
        </is>
      </c>
      <c r="U697" t="n">
        <v>5171</v>
      </c>
      <c r="V697" t="n">
        <v>5185</v>
      </c>
      <c r="W697" t="n">
        <v/>
      </c>
      <c r="X697" t="n">
        <v/>
      </c>
      <c r="Y697" t="n">
        <v/>
      </c>
      <c r="Z697" t="n">
        <v/>
      </c>
      <c r="AA697">
        <f>SUMIFS($S$2:S697,$A$2:A697,A697,$N$2:N697,"Explore*")</f>
        <v/>
      </c>
      <c r="AB697">
        <f>IF(AND(LEFT(N697,7)="Explore",(AA697-IF(LEFT(N697,7)="Explore",S697,0))&lt;10),"SI","NO")</f>
        <v/>
      </c>
    </row>
    <row r="698">
      <c r="A698" t="inlineStr">
        <is>
          <t>c7m3_training</t>
        </is>
      </c>
      <c r="B698" t="inlineStr">
        <is>
          <t>2026-05-12 17:00:03.773</t>
        </is>
      </c>
      <c r="C698" t="n">
        <v/>
      </c>
      <c r="D698" t="inlineStr">
        <is>
          <t>Media file</t>
        </is>
      </c>
      <c r="E698" t="inlineStr">
        <is>
          <t>player #1:C:/Users/manuel.felline/Documents/BEHAVIOR BTBR/NOR second cohort/BTBR/training/c7_m3.mp4</t>
        </is>
      </c>
      <c r="F698" t="n">
        <v>-5</v>
      </c>
      <c r="G698" t="n">
        <v>548.033</v>
      </c>
      <c r="H698" t="n">
        <v>628.799</v>
      </c>
      <c r="I698" t="n">
        <v>30</v>
      </c>
      <c r="J698" t="inlineStr">
        <is>
          <t>BTBR</t>
        </is>
      </c>
      <c r="K698" t="inlineStr">
        <is>
          <t>Male</t>
        </is>
      </c>
      <c r="L698" t="inlineStr">
        <is>
          <t>No focal subject</t>
        </is>
      </c>
      <c r="M698" t="n">
        <v>49.899</v>
      </c>
      <c r="N698" t="inlineStr">
        <is>
          <t>Explore_F</t>
        </is>
      </c>
      <c r="O698" t="inlineStr">
        <is>
          <t>Familiar</t>
        </is>
      </c>
      <c r="P698" t="inlineStr">
        <is>
          <t>STATE</t>
        </is>
      </c>
      <c r="Q698" t="n">
        <v>186.9</v>
      </c>
      <c r="R698" t="n">
        <v>188</v>
      </c>
      <c r="S698" t="n">
        <v>1.1</v>
      </c>
      <c r="T698" t="inlineStr">
        <is>
          <t>C:/Users/manuel.felline/Documents/BEHAVIOR BTBR/NOR second cohort/BTBR/training/c7_m3.mp4</t>
        </is>
      </c>
      <c r="U698" t="n">
        <v>5756</v>
      </c>
      <c r="V698" t="n">
        <v>5789</v>
      </c>
      <c r="W698" t="n">
        <v/>
      </c>
      <c r="X698" t="n">
        <v/>
      </c>
      <c r="Y698" t="n">
        <v/>
      </c>
      <c r="Z698" t="n">
        <v/>
      </c>
      <c r="AA698">
        <f>SUMIFS($S$2:S698,$A$2:A698,A698,$N$2:N698,"Explore*")</f>
        <v/>
      </c>
      <c r="AB698">
        <f>IF(AND(LEFT(N698,7)="Explore",(AA698-IF(LEFT(N698,7)="Explore",S698,0))&lt;10),"SI","NO")</f>
        <v/>
      </c>
    </row>
    <row r="699">
      <c r="A699" t="inlineStr">
        <is>
          <t>c7m3_training</t>
        </is>
      </c>
      <c r="B699" t="inlineStr">
        <is>
          <t>2026-05-12 17:00:03.773</t>
        </is>
      </c>
      <c r="C699" t="n">
        <v/>
      </c>
      <c r="D699" t="inlineStr">
        <is>
          <t>Media file</t>
        </is>
      </c>
      <c r="E699" t="inlineStr">
        <is>
          <t>player #1:C:/Users/manuel.felline/Documents/BEHAVIOR BTBR/NOR second cohort/BTBR/training/c7_m3.mp4</t>
        </is>
      </c>
      <c r="F699" t="n">
        <v>-5</v>
      </c>
      <c r="G699" t="n">
        <v>548.033</v>
      </c>
      <c r="H699" t="n">
        <v>628.799</v>
      </c>
      <c r="I699" t="n">
        <v>30</v>
      </c>
      <c r="J699" t="inlineStr">
        <is>
          <t>BTBR</t>
        </is>
      </c>
      <c r="K699" t="inlineStr">
        <is>
          <t>Male</t>
        </is>
      </c>
      <c r="L699" t="inlineStr">
        <is>
          <t>No focal subject</t>
        </is>
      </c>
      <c r="M699" t="n">
        <v>49.899</v>
      </c>
      <c r="N699" t="inlineStr">
        <is>
          <t>Explore_F</t>
        </is>
      </c>
      <c r="O699" t="inlineStr">
        <is>
          <t>Familiar</t>
        </is>
      </c>
      <c r="P699" t="inlineStr">
        <is>
          <t>STATE</t>
        </is>
      </c>
      <c r="Q699" t="n">
        <v>199.433</v>
      </c>
      <c r="R699" t="n">
        <v>200.766</v>
      </c>
      <c r="S699" t="n">
        <v>1.333</v>
      </c>
      <c r="T699" t="inlineStr">
        <is>
          <t>C:/Users/manuel.felline/Documents/BEHAVIOR BTBR/NOR second cohort/BTBR/training/c7_m3.mp4</t>
        </is>
      </c>
      <c r="U699" t="n">
        <v>6132</v>
      </c>
      <c r="V699" t="n">
        <v>6172</v>
      </c>
      <c r="W699" t="n">
        <v/>
      </c>
      <c r="X699" t="n">
        <v/>
      </c>
      <c r="Y699" t="n">
        <v/>
      </c>
      <c r="Z699" t="n">
        <v/>
      </c>
      <c r="AA699">
        <f>SUMIFS($S$2:S699,$A$2:A699,A699,$N$2:N699,"Explore*")</f>
        <v/>
      </c>
      <c r="AB699">
        <f>IF(AND(LEFT(N699,7)="Explore",(AA699-IF(LEFT(N699,7)="Explore",S699,0))&lt;10),"SI","NO")</f>
        <v/>
      </c>
    </row>
    <row r="700">
      <c r="A700" t="inlineStr">
        <is>
          <t>c7m3_training</t>
        </is>
      </c>
      <c r="B700" t="inlineStr">
        <is>
          <t>2026-05-12 17:00:03.773</t>
        </is>
      </c>
      <c r="C700" t="n">
        <v/>
      </c>
      <c r="D700" t="inlineStr">
        <is>
          <t>Media file</t>
        </is>
      </c>
      <c r="E700" t="inlineStr">
        <is>
          <t>player #1:C:/Users/manuel.felline/Documents/BEHAVIOR BTBR/NOR second cohort/BTBR/training/c7_m3.mp4</t>
        </is>
      </c>
      <c r="F700" t="n">
        <v>-5</v>
      </c>
      <c r="G700" t="n">
        <v>548.033</v>
      </c>
      <c r="H700" t="n">
        <v>628.799</v>
      </c>
      <c r="I700" t="n">
        <v>30</v>
      </c>
      <c r="J700" t="inlineStr">
        <is>
          <t>BTBR</t>
        </is>
      </c>
      <c r="K700" t="inlineStr">
        <is>
          <t>Male</t>
        </is>
      </c>
      <c r="L700" t="inlineStr">
        <is>
          <t>No focal subject</t>
        </is>
      </c>
      <c r="M700" t="n">
        <v>49.899</v>
      </c>
      <c r="N700" t="inlineStr">
        <is>
          <t>Explore_F2</t>
        </is>
      </c>
      <c r="O700" t="inlineStr">
        <is>
          <t>Second familiar</t>
        </is>
      </c>
      <c r="P700" t="inlineStr">
        <is>
          <t>STATE</t>
        </is>
      </c>
      <c r="Q700" t="n">
        <v>222.9</v>
      </c>
      <c r="R700" t="n">
        <v>224.066</v>
      </c>
      <c r="S700" t="n">
        <v>1.166</v>
      </c>
      <c r="T700" t="inlineStr">
        <is>
          <t>C:/Users/manuel.felline/Documents/BEHAVIOR BTBR/NOR second cohort/BTBR/training/c7_m3.mp4</t>
        </is>
      </c>
      <c r="U700" t="n">
        <v>6836</v>
      </c>
      <c r="V700" t="n">
        <v>6871</v>
      </c>
      <c r="W700" t="n">
        <v/>
      </c>
      <c r="X700" t="n">
        <v/>
      </c>
      <c r="Y700" t="n">
        <v/>
      </c>
      <c r="Z700" t="n">
        <v/>
      </c>
      <c r="AA700">
        <f>SUMIFS($S$2:S700,$A$2:A700,A700,$N$2:N700,"Explore*")</f>
        <v/>
      </c>
      <c r="AB700">
        <f>IF(AND(LEFT(N700,7)="Explore",(AA700-IF(LEFT(N700,7)="Explore",S700,0))&lt;10),"SI","NO")</f>
        <v/>
      </c>
    </row>
    <row r="701">
      <c r="A701" t="inlineStr">
        <is>
          <t>c7m3_training</t>
        </is>
      </c>
      <c r="B701" t="inlineStr">
        <is>
          <t>2026-05-12 17:00:03.773</t>
        </is>
      </c>
      <c r="C701" t="n">
        <v/>
      </c>
      <c r="D701" t="inlineStr">
        <is>
          <t>Media file</t>
        </is>
      </c>
      <c r="E701" t="inlineStr">
        <is>
          <t>player #1:C:/Users/manuel.felline/Documents/BEHAVIOR BTBR/NOR second cohort/BTBR/training/c7_m3.mp4</t>
        </is>
      </c>
      <c r="F701" t="n">
        <v>-5</v>
      </c>
      <c r="G701" t="n">
        <v>548.033</v>
      </c>
      <c r="H701" t="n">
        <v>628.799</v>
      </c>
      <c r="I701" t="n">
        <v>30</v>
      </c>
      <c r="J701" t="inlineStr">
        <is>
          <t>BTBR</t>
        </is>
      </c>
      <c r="K701" t="inlineStr">
        <is>
          <t>Male</t>
        </is>
      </c>
      <c r="L701" t="inlineStr">
        <is>
          <t>No focal subject</t>
        </is>
      </c>
      <c r="M701" t="n">
        <v>49.899</v>
      </c>
      <c r="N701" t="inlineStr">
        <is>
          <t>Explore_F</t>
        </is>
      </c>
      <c r="O701" t="inlineStr">
        <is>
          <t>Familiar</t>
        </is>
      </c>
      <c r="P701" t="inlineStr">
        <is>
          <t>STATE</t>
        </is>
      </c>
      <c r="Q701" t="n">
        <v>224.933</v>
      </c>
      <c r="R701" t="n">
        <v>226.4</v>
      </c>
      <c r="S701" t="n">
        <v>1.467</v>
      </c>
      <c r="T701" t="inlineStr">
        <is>
          <t>C:/Users/manuel.felline/Documents/BEHAVIOR BTBR/NOR second cohort/BTBR/training/c7_m3.mp4</t>
        </is>
      </c>
      <c r="U701" t="n">
        <v>6897</v>
      </c>
      <c r="V701" t="n">
        <v>6942</v>
      </c>
      <c r="W701" t="n">
        <v/>
      </c>
      <c r="X701" t="n">
        <v/>
      </c>
      <c r="Y701" t="n">
        <v/>
      </c>
      <c r="Z701" t="n">
        <v/>
      </c>
      <c r="AA701">
        <f>SUMIFS($S$2:S701,$A$2:A701,A701,$N$2:N701,"Explore*")</f>
        <v/>
      </c>
      <c r="AB701">
        <f>IF(AND(LEFT(N701,7)="Explore",(AA701-IF(LEFT(N701,7)="Explore",S701,0))&lt;10),"SI","NO")</f>
        <v/>
      </c>
    </row>
    <row r="702">
      <c r="A702" t="inlineStr">
        <is>
          <t>c7m3_training</t>
        </is>
      </c>
      <c r="B702" t="inlineStr">
        <is>
          <t>2026-05-12 17:00:03.773</t>
        </is>
      </c>
      <c r="C702" t="n">
        <v/>
      </c>
      <c r="D702" t="inlineStr">
        <is>
          <t>Media file</t>
        </is>
      </c>
      <c r="E702" t="inlineStr">
        <is>
          <t>player #1:C:/Users/manuel.felline/Documents/BEHAVIOR BTBR/NOR second cohort/BTBR/training/c7_m3.mp4</t>
        </is>
      </c>
      <c r="F702" t="n">
        <v>-5</v>
      </c>
      <c r="G702" t="n">
        <v>548.033</v>
      </c>
      <c r="H702" t="n">
        <v>628.799</v>
      </c>
      <c r="I702" t="n">
        <v>30</v>
      </c>
      <c r="J702" t="inlineStr">
        <is>
          <t>BTBR</t>
        </is>
      </c>
      <c r="K702" t="inlineStr">
        <is>
          <t>Male</t>
        </is>
      </c>
      <c r="L702" t="inlineStr">
        <is>
          <t>No focal subject</t>
        </is>
      </c>
      <c r="M702" t="n">
        <v>49.899</v>
      </c>
      <c r="N702" t="inlineStr">
        <is>
          <t>Explore_F</t>
        </is>
      </c>
      <c r="O702" t="inlineStr">
        <is>
          <t>Familiar</t>
        </is>
      </c>
      <c r="P702" t="inlineStr">
        <is>
          <t>STATE</t>
        </is>
      </c>
      <c r="Q702" t="n">
        <v>241.8</v>
      </c>
      <c r="R702" t="n">
        <v>243.066</v>
      </c>
      <c r="S702" t="n">
        <v>1.266</v>
      </c>
      <c r="T702" t="inlineStr">
        <is>
          <t>C:/Users/manuel.felline/Documents/BEHAVIOR BTBR/NOR second cohort/BTBR/training/c7_m3.mp4</t>
        </is>
      </c>
      <c r="U702" t="n">
        <v>7403</v>
      </c>
      <c r="V702" t="n">
        <v>7441</v>
      </c>
      <c r="W702" t="n">
        <v/>
      </c>
      <c r="X702" t="n">
        <v/>
      </c>
      <c r="Y702" t="n">
        <v/>
      </c>
      <c r="Z702" t="n">
        <v/>
      </c>
      <c r="AA702">
        <f>SUMIFS($S$2:S702,$A$2:A702,A702,$N$2:N702,"Explore*")</f>
        <v/>
      </c>
      <c r="AB702">
        <f>IF(AND(LEFT(N702,7)="Explore",(AA702-IF(LEFT(N702,7)="Explore",S702,0))&lt;10),"SI","NO")</f>
        <v/>
      </c>
    </row>
    <row r="703">
      <c r="A703" t="inlineStr">
        <is>
          <t>c7m3_training</t>
        </is>
      </c>
      <c r="B703" t="inlineStr">
        <is>
          <t>2026-05-12 17:00:03.773</t>
        </is>
      </c>
      <c r="C703" t="n">
        <v/>
      </c>
      <c r="D703" t="inlineStr">
        <is>
          <t>Media file</t>
        </is>
      </c>
      <c r="E703" t="inlineStr">
        <is>
          <t>player #1:C:/Users/manuel.felline/Documents/BEHAVIOR BTBR/NOR second cohort/BTBR/training/c7_m3.mp4</t>
        </is>
      </c>
      <c r="F703" t="n">
        <v>-5</v>
      </c>
      <c r="G703" t="n">
        <v>548.033</v>
      </c>
      <c r="H703" t="n">
        <v>628.799</v>
      </c>
      <c r="I703" t="n">
        <v>30</v>
      </c>
      <c r="J703" t="inlineStr">
        <is>
          <t>BTBR</t>
        </is>
      </c>
      <c r="K703" t="inlineStr">
        <is>
          <t>Male</t>
        </is>
      </c>
      <c r="L703" t="inlineStr">
        <is>
          <t>No focal subject</t>
        </is>
      </c>
      <c r="M703" t="n">
        <v>49.899</v>
      </c>
      <c r="N703" t="inlineStr">
        <is>
          <t>Explore_F2</t>
        </is>
      </c>
      <c r="O703" t="inlineStr">
        <is>
          <t>Second familiar</t>
        </is>
      </c>
      <c r="P703" t="inlineStr">
        <is>
          <t>STATE</t>
        </is>
      </c>
      <c r="Q703" t="n">
        <v>255.333</v>
      </c>
      <c r="R703" t="n">
        <v>256.7</v>
      </c>
      <c r="S703" t="n">
        <v>1.367</v>
      </c>
      <c r="T703" t="inlineStr">
        <is>
          <t>C:/Users/manuel.felline/Documents/BEHAVIOR BTBR/NOR second cohort/BTBR/training/c7_m3.mp4</t>
        </is>
      </c>
      <c r="U703" t="n">
        <v>7809</v>
      </c>
      <c r="V703" t="n">
        <v>7850</v>
      </c>
      <c r="W703" t="n">
        <v/>
      </c>
      <c r="X703" t="n">
        <v/>
      </c>
      <c r="Y703" t="n">
        <v/>
      </c>
      <c r="Z703" t="n">
        <v/>
      </c>
      <c r="AA703">
        <f>SUMIFS($S$2:S703,$A$2:A703,A703,$N$2:N703,"Explore*")</f>
        <v/>
      </c>
      <c r="AB703">
        <f>IF(AND(LEFT(N703,7)="Explore",(AA703-IF(LEFT(N703,7)="Explore",S703,0))&lt;10),"SI","NO")</f>
        <v/>
      </c>
    </row>
    <row r="704">
      <c r="A704" t="inlineStr">
        <is>
          <t>c7m3_training</t>
        </is>
      </c>
      <c r="B704" t="inlineStr">
        <is>
          <t>2026-05-12 17:00:03.773</t>
        </is>
      </c>
      <c r="C704" t="n">
        <v/>
      </c>
      <c r="D704" t="inlineStr">
        <is>
          <t>Media file</t>
        </is>
      </c>
      <c r="E704" t="inlineStr">
        <is>
          <t>player #1:C:/Users/manuel.felline/Documents/BEHAVIOR BTBR/NOR second cohort/BTBR/training/c7_m3.mp4</t>
        </is>
      </c>
      <c r="F704" t="n">
        <v>-5</v>
      </c>
      <c r="G704" t="n">
        <v>548.033</v>
      </c>
      <c r="H704" t="n">
        <v>628.799</v>
      </c>
      <c r="I704" t="n">
        <v>30</v>
      </c>
      <c r="J704" t="inlineStr">
        <is>
          <t>BTBR</t>
        </is>
      </c>
      <c r="K704" t="inlineStr">
        <is>
          <t>Male</t>
        </is>
      </c>
      <c r="L704" t="inlineStr">
        <is>
          <t>No focal subject</t>
        </is>
      </c>
      <c r="M704" t="n">
        <v>49.899</v>
      </c>
      <c r="N704" t="inlineStr">
        <is>
          <t>Explore_F</t>
        </is>
      </c>
      <c r="O704" t="inlineStr">
        <is>
          <t>Familiar</t>
        </is>
      </c>
      <c r="P704" t="inlineStr">
        <is>
          <t>STATE</t>
        </is>
      </c>
      <c r="Q704" t="n">
        <v>265.1</v>
      </c>
      <c r="R704" t="n">
        <v>266.033</v>
      </c>
      <c r="S704" t="n">
        <v>0.9330000000000001</v>
      </c>
      <c r="T704" t="inlineStr">
        <is>
          <t>C:/Users/manuel.felline/Documents/BEHAVIOR BTBR/NOR second cohort/BTBR/training/c7_m3.mp4</t>
        </is>
      </c>
      <c r="U704" t="n">
        <v>8102</v>
      </c>
      <c r="V704" t="n">
        <v>8130</v>
      </c>
      <c r="W704" t="n">
        <v/>
      </c>
      <c r="X704" t="n">
        <v/>
      </c>
      <c r="Y704" t="n">
        <v/>
      </c>
      <c r="Z704" t="n">
        <v/>
      </c>
      <c r="AA704">
        <f>SUMIFS($S$2:S704,$A$2:A704,A704,$N$2:N704,"Explore*")</f>
        <v/>
      </c>
      <c r="AB704">
        <f>IF(AND(LEFT(N704,7)="Explore",(AA704-IF(LEFT(N704,7)="Explore",S704,0))&lt;10),"SI","NO")</f>
        <v/>
      </c>
    </row>
    <row r="705">
      <c r="A705" t="inlineStr">
        <is>
          <t>c7m3_training</t>
        </is>
      </c>
      <c r="B705" t="inlineStr">
        <is>
          <t>2026-05-12 17:00:03.773</t>
        </is>
      </c>
      <c r="C705" t="n">
        <v/>
      </c>
      <c r="D705" t="inlineStr">
        <is>
          <t>Media file</t>
        </is>
      </c>
      <c r="E705" t="inlineStr">
        <is>
          <t>player #1:C:/Users/manuel.felline/Documents/BEHAVIOR BTBR/NOR second cohort/BTBR/training/c7_m3.mp4</t>
        </is>
      </c>
      <c r="F705" t="n">
        <v>-5</v>
      </c>
      <c r="G705" t="n">
        <v>548.033</v>
      </c>
      <c r="H705" t="n">
        <v>628.799</v>
      </c>
      <c r="I705" t="n">
        <v>30</v>
      </c>
      <c r="J705" t="inlineStr">
        <is>
          <t>BTBR</t>
        </is>
      </c>
      <c r="K705" t="inlineStr">
        <is>
          <t>Male</t>
        </is>
      </c>
      <c r="L705" t="inlineStr">
        <is>
          <t>No focal subject</t>
        </is>
      </c>
      <c r="M705" t="n">
        <v>49.899</v>
      </c>
      <c r="N705" t="inlineStr">
        <is>
          <t>Explore_F2</t>
        </is>
      </c>
      <c r="O705" t="inlineStr">
        <is>
          <t>Second familiar</t>
        </is>
      </c>
      <c r="P705" t="inlineStr">
        <is>
          <t>STATE</t>
        </is>
      </c>
      <c r="Q705" t="n">
        <v>266.8</v>
      </c>
      <c r="R705" t="n">
        <v>268.066</v>
      </c>
      <c r="S705" t="n">
        <v>1.266</v>
      </c>
      <c r="T705" t="inlineStr">
        <is>
          <t>C:/Users/manuel.felline/Documents/BEHAVIOR BTBR/NOR second cohort/BTBR/training/c7_m3.mp4</t>
        </is>
      </c>
      <c r="U705" t="n">
        <v>8153</v>
      </c>
      <c r="V705" t="n">
        <v>8191</v>
      </c>
      <c r="W705" t="n">
        <v/>
      </c>
      <c r="X705" t="n">
        <v/>
      </c>
      <c r="Y705" t="n">
        <v/>
      </c>
      <c r="Z705" t="n">
        <v/>
      </c>
      <c r="AA705">
        <f>SUMIFS($S$2:S705,$A$2:A705,A705,$N$2:N705,"Explore*")</f>
        <v/>
      </c>
      <c r="AB705">
        <f>IF(AND(LEFT(N705,7)="Explore",(AA705-IF(LEFT(N705,7)="Explore",S705,0))&lt;10),"SI","NO")</f>
        <v/>
      </c>
    </row>
    <row r="706">
      <c r="A706" t="inlineStr">
        <is>
          <t>c7m3_training</t>
        </is>
      </c>
      <c r="B706" t="inlineStr">
        <is>
          <t>2026-05-12 17:00:03.773</t>
        </is>
      </c>
      <c r="C706" t="n">
        <v/>
      </c>
      <c r="D706" t="inlineStr">
        <is>
          <t>Media file</t>
        </is>
      </c>
      <c r="E706" t="inlineStr">
        <is>
          <t>player #1:C:/Users/manuel.felline/Documents/BEHAVIOR BTBR/NOR second cohort/BTBR/training/c7_m3.mp4</t>
        </is>
      </c>
      <c r="F706" t="n">
        <v>-5</v>
      </c>
      <c r="G706" t="n">
        <v>548.033</v>
      </c>
      <c r="H706" t="n">
        <v>628.799</v>
      </c>
      <c r="I706" t="n">
        <v>30</v>
      </c>
      <c r="J706" t="inlineStr">
        <is>
          <t>BTBR</t>
        </is>
      </c>
      <c r="K706" t="inlineStr">
        <is>
          <t>Male</t>
        </is>
      </c>
      <c r="L706" t="inlineStr">
        <is>
          <t>No focal subject</t>
        </is>
      </c>
      <c r="M706" t="n">
        <v>49.899</v>
      </c>
      <c r="N706" t="inlineStr">
        <is>
          <t>Explore_F</t>
        </is>
      </c>
      <c r="O706" t="inlineStr">
        <is>
          <t>Familiar</t>
        </is>
      </c>
      <c r="P706" t="inlineStr">
        <is>
          <t>STATE</t>
        </is>
      </c>
      <c r="Q706" t="n">
        <v>275.366</v>
      </c>
      <c r="R706" t="n">
        <v>276.366</v>
      </c>
      <c r="S706" t="n">
        <v>1</v>
      </c>
      <c r="T706" t="inlineStr">
        <is>
          <t>C:/Users/manuel.felline/Documents/BEHAVIOR BTBR/NOR second cohort/BTBR/training/c7_m3.mp4</t>
        </is>
      </c>
      <c r="U706" t="n">
        <v>8411</v>
      </c>
      <c r="V706" t="n">
        <v>8440</v>
      </c>
      <c r="W706" t="n">
        <v/>
      </c>
      <c r="X706" t="n">
        <v/>
      </c>
      <c r="Y706" t="n">
        <v/>
      </c>
      <c r="Z706" t="n">
        <v/>
      </c>
      <c r="AA706">
        <f>SUMIFS($S$2:S706,$A$2:A706,A706,$N$2:N706,"Explore*")</f>
        <v/>
      </c>
      <c r="AB706">
        <f>IF(AND(LEFT(N706,7)="Explore",(AA706-IF(LEFT(N706,7)="Explore",S706,0))&lt;10),"SI","NO")</f>
        <v/>
      </c>
    </row>
    <row r="707">
      <c r="A707" t="inlineStr">
        <is>
          <t>c7m3_training</t>
        </is>
      </c>
      <c r="B707" t="inlineStr">
        <is>
          <t>2026-05-12 17:00:03.773</t>
        </is>
      </c>
      <c r="C707" t="n">
        <v/>
      </c>
      <c r="D707" t="inlineStr">
        <is>
          <t>Media file</t>
        </is>
      </c>
      <c r="E707" t="inlineStr">
        <is>
          <t>player #1:C:/Users/manuel.felline/Documents/BEHAVIOR BTBR/NOR second cohort/BTBR/training/c7_m3.mp4</t>
        </is>
      </c>
      <c r="F707" t="n">
        <v>-5</v>
      </c>
      <c r="G707" t="n">
        <v>548.033</v>
      </c>
      <c r="H707" t="n">
        <v>628.799</v>
      </c>
      <c r="I707" t="n">
        <v>30</v>
      </c>
      <c r="J707" t="inlineStr">
        <is>
          <t>BTBR</t>
        </is>
      </c>
      <c r="K707" t="inlineStr">
        <is>
          <t>Male</t>
        </is>
      </c>
      <c r="L707" t="inlineStr">
        <is>
          <t>No focal subject</t>
        </is>
      </c>
      <c r="M707" t="n">
        <v>49.899</v>
      </c>
      <c r="N707" t="inlineStr">
        <is>
          <t>Explore_F2</t>
        </is>
      </c>
      <c r="O707" t="inlineStr">
        <is>
          <t>Second familiar</t>
        </is>
      </c>
      <c r="P707" t="inlineStr">
        <is>
          <t>STATE</t>
        </is>
      </c>
      <c r="Q707" t="n">
        <v>283.9</v>
      </c>
      <c r="R707" t="n">
        <v>284.8</v>
      </c>
      <c r="S707" t="n">
        <v>0.9</v>
      </c>
      <c r="T707" t="inlineStr">
        <is>
          <t>C:/Users/manuel.felline/Documents/BEHAVIOR BTBR/NOR second cohort/BTBR/training/c7_m3.mp4</t>
        </is>
      </c>
      <c r="U707" t="n">
        <v>8666</v>
      </c>
      <c r="V707" t="n">
        <v>8693</v>
      </c>
      <c r="W707" t="n">
        <v/>
      </c>
      <c r="X707" t="n">
        <v/>
      </c>
      <c r="Y707" t="n">
        <v/>
      </c>
      <c r="Z707" t="n">
        <v/>
      </c>
      <c r="AA707">
        <f>SUMIFS($S$2:S707,$A$2:A707,A707,$N$2:N707,"Explore*")</f>
        <v/>
      </c>
      <c r="AB707">
        <f>IF(AND(LEFT(N707,7)="Explore",(AA707-IF(LEFT(N707,7)="Explore",S707,0))&lt;10),"SI","NO")</f>
        <v/>
      </c>
    </row>
    <row r="708">
      <c r="A708" t="inlineStr">
        <is>
          <t>c7m3_training</t>
        </is>
      </c>
      <c r="B708" t="inlineStr">
        <is>
          <t>2026-05-12 17:00:03.773</t>
        </is>
      </c>
      <c r="C708" t="n">
        <v/>
      </c>
      <c r="D708" t="inlineStr">
        <is>
          <t>Media file</t>
        </is>
      </c>
      <c r="E708" t="inlineStr">
        <is>
          <t>player #1:C:/Users/manuel.felline/Documents/BEHAVIOR BTBR/NOR second cohort/BTBR/training/c7_m3.mp4</t>
        </is>
      </c>
      <c r="F708" t="n">
        <v>-5</v>
      </c>
      <c r="G708" t="n">
        <v>548.033</v>
      </c>
      <c r="H708" t="n">
        <v>628.799</v>
      </c>
      <c r="I708" t="n">
        <v>30</v>
      </c>
      <c r="J708" t="inlineStr">
        <is>
          <t>BTBR</t>
        </is>
      </c>
      <c r="K708" t="inlineStr">
        <is>
          <t>Male</t>
        </is>
      </c>
      <c r="L708" t="inlineStr">
        <is>
          <t>No focal subject</t>
        </is>
      </c>
      <c r="M708" t="n">
        <v>49.899</v>
      </c>
      <c r="N708" t="inlineStr">
        <is>
          <t>Explore_F</t>
        </is>
      </c>
      <c r="O708" t="inlineStr">
        <is>
          <t>Familiar</t>
        </is>
      </c>
      <c r="P708" t="inlineStr">
        <is>
          <t>STATE</t>
        </is>
      </c>
      <c r="Q708" t="n">
        <v>298.533</v>
      </c>
      <c r="R708" t="n">
        <v>299.066</v>
      </c>
      <c r="S708" t="n">
        <v>0.533</v>
      </c>
      <c r="T708" t="inlineStr">
        <is>
          <t>C:/Users/manuel.felline/Documents/BEHAVIOR BTBR/NOR second cohort/BTBR/training/c7_m3.mp4</t>
        </is>
      </c>
      <c r="U708" t="n">
        <v>9105</v>
      </c>
      <c r="V708" t="n">
        <v>9121</v>
      </c>
      <c r="W708" t="n">
        <v/>
      </c>
      <c r="X708" t="n">
        <v/>
      </c>
      <c r="Y708" t="n">
        <v/>
      </c>
      <c r="Z708" t="n">
        <v/>
      </c>
      <c r="AA708">
        <f>SUMIFS($S$2:S708,$A$2:A708,A708,$N$2:N708,"Explore*")</f>
        <v/>
      </c>
      <c r="AB708">
        <f>IF(AND(LEFT(N708,7)="Explore",(AA708-IF(LEFT(N708,7)="Explore",S708,0))&lt;10),"SI","NO")</f>
        <v/>
      </c>
    </row>
    <row r="709">
      <c r="A709" t="inlineStr">
        <is>
          <t>c7m3_training</t>
        </is>
      </c>
      <c r="B709" t="inlineStr">
        <is>
          <t>2026-05-12 17:00:03.773</t>
        </is>
      </c>
      <c r="C709" t="n">
        <v/>
      </c>
      <c r="D709" t="inlineStr">
        <is>
          <t>Media file</t>
        </is>
      </c>
      <c r="E709" t="inlineStr">
        <is>
          <t>player #1:C:/Users/manuel.felline/Documents/BEHAVIOR BTBR/NOR second cohort/BTBR/training/c7_m3.mp4</t>
        </is>
      </c>
      <c r="F709" t="n">
        <v>-5</v>
      </c>
      <c r="G709" t="n">
        <v>548.033</v>
      </c>
      <c r="H709" t="n">
        <v>628.799</v>
      </c>
      <c r="I709" t="n">
        <v>30</v>
      </c>
      <c r="J709" t="inlineStr">
        <is>
          <t>BTBR</t>
        </is>
      </c>
      <c r="K709" t="inlineStr">
        <is>
          <t>Male</t>
        </is>
      </c>
      <c r="L709" t="inlineStr">
        <is>
          <t>No focal subject</t>
        </is>
      </c>
      <c r="M709" t="n">
        <v>49.899</v>
      </c>
      <c r="N709" t="inlineStr">
        <is>
          <t>Explore_F</t>
        </is>
      </c>
      <c r="O709" t="inlineStr">
        <is>
          <t>Familiar</t>
        </is>
      </c>
      <c r="P709" t="inlineStr">
        <is>
          <t>STATE</t>
        </is>
      </c>
      <c r="Q709" t="n">
        <v>300.3</v>
      </c>
      <c r="R709" t="n">
        <v>301.433</v>
      </c>
      <c r="S709" t="n">
        <v>1.133</v>
      </c>
      <c r="T709" t="inlineStr">
        <is>
          <t>C:/Users/manuel.felline/Documents/BEHAVIOR BTBR/NOR second cohort/BTBR/training/c7_m3.mp4</t>
        </is>
      </c>
      <c r="U709" t="n">
        <v>9158</v>
      </c>
      <c r="V709" t="n">
        <v>9192</v>
      </c>
      <c r="W709" t="n">
        <v/>
      </c>
      <c r="X709" t="n">
        <v/>
      </c>
      <c r="Y709" t="n">
        <v/>
      </c>
      <c r="Z709" t="n">
        <v/>
      </c>
      <c r="AA709">
        <f>SUMIFS($S$2:S709,$A$2:A709,A709,$N$2:N709,"Explore*")</f>
        <v/>
      </c>
      <c r="AB709">
        <f>IF(AND(LEFT(N709,7)="Explore",(AA709-IF(LEFT(N709,7)="Explore",S709,0))&lt;10),"SI","NO")</f>
        <v/>
      </c>
    </row>
    <row r="710">
      <c r="A710" t="inlineStr">
        <is>
          <t>c7m3_training</t>
        </is>
      </c>
      <c r="B710" t="inlineStr">
        <is>
          <t>2026-05-12 17:00:03.773</t>
        </is>
      </c>
      <c r="C710" t="n">
        <v/>
      </c>
      <c r="D710" t="inlineStr">
        <is>
          <t>Media file</t>
        </is>
      </c>
      <c r="E710" t="inlineStr">
        <is>
          <t>player #1:C:/Users/manuel.felline/Documents/BEHAVIOR BTBR/NOR second cohort/BTBR/training/c7_m3.mp4</t>
        </is>
      </c>
      <c r="F710" t="n">
        <v>-5</v>
      </c>
      <c r="G710" t="n">
        <v>548.033</v>
      </c>
      <c r="H710" t="n">
        <v>628.799</v>
      </c>
      <c r="I710" t="n">
        <v>30</v>
      </c>
      <c r="J710" t="inlineStr">
        <is>
          <t>BTBR</t>
        </is>
      </c>
      <c r="K710" t="inlineStr">
        <is>
          <t>Male</t>
        </is>
      </c>
      <c r="L710" t="inlineStr">
        <is>
          <t>No focal subject</t>
        </is>
      </c>
      <c r="M710" t="n">
        <v>49.899</v>
      </c>
      <c r="N710" t="inlineStr">
        <is>
          <t>Explore_F2</t>
        </is>
      </c>
      <c r="O710" t="inlineStr">
        <is>
          <t>Second familiar</t>
        </is>
      </c>
      <c r="P710" t="inlineStr">
        <is>
          <t>STATE</t>
        </is>
      </c>
      <c r="Q710" t="n">
        <v>308.833</v>
      </c>
      <c r="R710" t="n">
        <v>309.433</v>
      </c>
      <c r="S710" t="n">
        <v>0.6</v>
      </c>
      <c r="T710" t="inlineStr">
        <is>
          <t>C:/Users/manuel.felline/Documents/BEHAVIOR BTBR/NOR second cohort/BTBR/training/c7_m3.mp4</t>
        </is>
      </c>
      <c r="U710" t="n">
        <v>9415</v>
      </c>
      <c r="V710" t="n">
        <v>9432</v>
      </c>
      <c r="W710" t="n">
        <v/>
      </c>
      <c r="X710" t="n">
        <v/>
      </c>
      <c r="Y710" t="n">
        <v/>
      </c>
      <c r="Z710" t="n">
        <v/>
      </c>
      <c r="AA710">
        <f>SUMIFS($S$2:S710,$A$2:A710,A710,$N$2:N710,"Explore*")</f>
        <v/>
      </c>
      <c r="AB710">
        <f>IF(AND(LEFT(N710,7)="Explore",(AA710-IF(LEFT(N710,7)="Explore",S710,0))&lt;10),"SI","NO")</f>
        <v/>
      </c>
    </row>
    <row r="711">
      <c r="A711" t="inlineStr">
        <is>
          <t>c7m3_training</t>
        </is>
      </c>
      <c r="B711" t="inlineStr">
        <is>
          <t>2026-05-12 17:00:03.773</t>
        </is>
      </c>
      <c r="C711" t="n">
        <v/>
      </c>
      <c r="D711" t="inlineStr">
        <is>
          <t>Media file</t>
        </is>
      </c>
      <c r="E711" t="inlineStr">
        <is>
          <t>player #1:C:/Users/manuel.felline/Documents/BEHAVIOR BTBR/NOR second cohort/BTBR/training/c7_m3.mp4</t>
        </is>
      </c>
      <c r="F711" t="n">
        <v>-5</v>
      </c>
      <c r="G711" t="n">
        <v>548.033</v>
      </c>
      <c r="H711" t="n">
        <v>628.799</v>
      </c>
      <c r="I711" t="n">
        <v>30</v>
      </c>
      <c r="J711" t="inlineStr">
        <is>
          <t>BTBR</t>
        </is>
      </c>
      <c r="K711" t="inlineStr">
        <is>
          <t>Male</t>
        </is>
      </c>
      <c r="L711" t="inlineStr">
        <is>
          <t>No focal subject</t>
        </is>
      </c>
      <c r="M711" t="n">
        <v>49.899</v>
      </c>
      <c r="N711" t="inlineStr">
        <is>
          <t>Explore_F2</t>
        </is>
      </c>
      <c r="O711" t="inlineStr">
        <is>
          <t>Second familiar</t>
        </is>
      </c>
      <c r="P711" t="inlineStr">
        <is>
          <t>STATE</t>
        </is>
      </c>
      <c r="Q711" t="n">
        <v>316.833</v>
      </c>
      <c r="R711" t="n">
        <v>317.466</v>
      </c>
      <c r="S711" t="n">
        <v>0.633</v>
      </c>
      <c r="T711" t="inlineStr">
        <is>
          <t>C:/Users/manuel.felline/Documents/BEHAVIOR BTBR/NOR second cohort/BTBR/training/c7_m3.mp4</t>
        </is>
      </c>
      <c r="U711" t="n">
        <v>9654</v>
      </c>
      <c r="V711" t="n">
        <v>9673</v>
      </c>
      <c r="W711" t="n">
        <v/>
      </c>
      <c r="X711" t="n">
        <v/>
      </c>
      <c r="Y711" t="n">
        <v/>
      </c>
      <c r="Z711" t="n">
        <v/>
      </c>
      <c r="AA711">
        <f>SUMIFS($S$2:S711,$A$2:A711,A711,$N$2:N711,"Explore*")</f>
        <v/>
      </c>
      <c r="AB711">
        <f>IF(AND(LEFT(N711,7)="Explore",(AA711-IF(LEFT(N711,7)="Explore",S711,0))&lt;10),"SI","NO")</f>
        <v/>
      </c>
    </row>
    <row r="712">
      <c r="A712" t="inlineStr">
        <is>
          <t>c7m3_training</t>
        </is>
      </c>
      <c r="B712" t="inlineStr">
        <is>
          <t>2026-05-12 17:00:03.773</t>
        </is>
      </c>
      <c r="C712" t="n">
        <v/>
      </c>
      <c r="D712" t="inlineStr">
        <is>
          <t>Media file</t>
        </is>
      </c>
      <c r="E712" t="inlineStr">
        <is>
          <t>player #1:C:/Users/manuel.felline/Documents/BEHAVIOR BTBR/NOR second cohort/BTBR/training/c7_m3.mp4</t>
        </is>
      </c>
      <c r="F712" t="n">
        <v>-5</v>
      </c>
      <c r="G712" t="n">
        <v>548.033</v>
      </c>
      <c r="H712" t="n">
        <v>628.799</v>
      </c>
      <c r="I712" t="n">
        <v>30</v>
      </c>
      <c r="J712" t="inlineStr">
        <is>
          <t>BTBR</t>
        </is>
      </c>
      <c r="K712" t="inlineStr">
        <is>
          <t>Male</t>
        </is>
      </c>
      <c r="L712" t="inlineStr">
        <is>
          <t>No focal subject</t>
        </is>
      </c>
      <c r="M712" t="n">
        <v>49.899</v>
      </c>
      <c r="N712" t="inlineStr">
        <is>
          <t>Explore_F</t>
        </is>
      </c>
      <c r="O712" t="inlineStr">
        <is>
          <t>Familiar</t>
        </is>
      </c>
      <c r="P712" t="inlineStr">
        <is>
          <t>STATE</t>
        </is>
      </c>
      <c r="Q712" t="n">
        <v>368.8</v>
      </c>
      <c r="R712" t="n">
        <v>369.533</v>
      </c>
      <c r="S712" t="n">
        <v>0.733</v>
      </c>
      <c r="T712" t="inlineStr">
        <is>
          <t>C:/Users/manuel.felline/Documents/BEHAVIOR BTBR/NOR second cohort/BTBR/training/c7_m3.mp4</t>
        </is>
      </c>
      <c r="U712" t="n">
        <v>11212</v>
      </c>
      <c r="V712" t="n">
        <v>11234</v>
      </c>
      <c r="W712" t="n">
        <v/>
      </c>
      <c r="X712" t="n">
        <v/>
      </c>
      <c r="Y712" t="n">
        <v/>
      </c>
      <c r="Z712" t="n">
        <v/>
      </c>
      <c r="AA712">
        <f>SUMIFS($S$2:S712,$A$2:A712,A712,$N$2:N712,"Explore*")</f>
        <v/>
      </c>
      <c r="AB712">
        <f>IF(AND(LEFT(N712,7)="Explore",(AA712-IF(LEFT(N712,7)="Explore",S712,0))&lt;10),"SI","NO")</f>
        <v/>
      </c>
    </row>
    <row r="713">
      <c r="A713" t="inlineStr">
        <is>
          <t>c7m3_training</t>
        </is>
      </c>
      <c r="B713" t="inlineStr">
        <is>
          <t>2026-05-12 17:00:03.773</t>
        </is>
      </c>
      <c r="C713" t="n">
        <v/>
      </c>
      <c r="D713" t="inlineStr">
        <is>
          <t>Media file</t>
        </is>
      </c>
      <c r="E713" t="inlineStr">
        <is>
          <t>player #1:C:/Users/manuel.felline/Documents/BEHAVIOR BTBR/NOR second cohort/BTBR/training/c7_m3.mp4</t>
        </is>
      </c>
      <c r="F713" t="n">
        <v>-5</v>
      </c>
      <c r="G713" t="n">
        <v>548.033</v>
      </c>
      <c r="H713" t="n">
        <v>628.799</v>
      </c>
      <c r="I713" t="n">
        <v>30</v>
      </c>
      <c r="J713" t="inlineStr">
        <is>
          <t>BTBR</t>
        </is>
      </c>
      <c r="K713" t="inlineStr">
        <is>
          <t>Male</t>
        </is>
      </c>
      <c r="L713" t="inlineStr">
        <is>
          <t>No focal subject</t>
        </is>
      </c>
      <c r="M713" t="n">
        <v>49.899</v>
      </c>
      <c r="N713" t="inlineStr">
        <is>
          <t>Explore_F2</t>
        </is>
      </c>
      <c r="O713" t="inlineStr">
        <is>
          <t>Second familiar</t>
        </is>
      </c>
      <c r="P713" t="inlineStr">
        <is>
          <t>STATE</t>
        </is>
      </c>
      <c r="Q713" t="n">
        <v>383.166</v>
      </c>
      <c r="R713" t="n">
        <v>383.866</v>
      </c>
      <c r="S713" t="n">
        <v>0.7</v>
      </c>
      <c r="T713" t="inlineStr">
        <is>
          <t>C:/Users/manuel.felline/Documents/BEHAVIOR BTBR/NOR second cohort/BTBR/training/c7_m3.mp4</t>
        </is>
      </c>
      <c r="U713" t="n">
        <v>11643</v>
      </c>
      <c r="V713" t="n">
        <v>11664</v>
      </c>
      <c r="W713" t="n">
        <v/>
      </c>
      <c r="X713" t="n">
        <v/>
      </c>
      <c r="Y713" t="n">
        <v/>
      </c>
      <c r="Z713" t="n">
        <v/>
      </c>
      <c r="AA713">
        <f>SUMIFS($S$2:S713,$A$2:A713,A713,$N$2:N713,"Explore*")</f>
        <v/>
      </c>
      <c r="AB713">
        <f>IF(AND(LEFT(N713,7)="Explore",(AA713-IF(LEFT(N713,7)="Explore",S713,0))&lt;10),"SI","NO")</f>
        <v/>
      </c>
    </row>
    <row r="714">
      <c r="A714" t="inlineStr">
        <is>
          <t>c7m3_training</t>
        </is>
      </c>
      <c r="B714" t="inlineStr">
        <is>
          <t>2026-05-12 17:00:03.773</t>
        </is>
      </c>
      <c r="C714" t="n">
        <v/>
      </c>
      <c r="D714" t="inlineStr">
        <is>
          <t>Media file</t>
        </is>
      </c>
      <c r="E714" t="inlineStr">
        <is>
          <t>player #1:C:/Users/manuel.felline/Documents/BEHAVIOR BTBR/NOR second cohort/BTBR/training/c7_m3.mp4</t>
        </is>
      </c>
      <c r="F714" t="n">
        <v>-5</v>
      </c>
      <c r="G714" t="n">
        <v>548.033</v>
      </c>
      <c r="H714" t="n">
        <v>628.799</v>
      </c>
      <c r="I714" t="n">
        <v>30</v>
      </c>
      <c r="J714" t="inlineStr">
        <is>
          <t>BTBR</t>
        </is>
      </c>
      <c r="K714" t="inlineStr">
        <is>
          <t>Male</t>
        </is>
      </c>
      <c r="L714" t="inlineStr">
        <is>
          <t>No focal subject</t>
        </is>
      </c>
      <c r="M714" t="n">
        <v>49.899</v>
      </c>
      <c r="N714" t="inlineStr">
        <is>
          <t>Explore_F</t>
        </is>
      </c>
      <c r="O714" t="inlineStr">
        <is>
          <t>Familiar</t>
        </is>
      </c>
      <c r="P714" t="inlineStr">
        <is>
          <t>STATE</t>
        </is>
      </c>
      <c r="Q714" t="n">
        <v>384.8</v>
      </c>
      <c r="R714" t="n">
        <v>385.533</v>
      </c>
      <c r="S714" t="n">
        <v>0.733</v>
      </c>
      <c r="T714" t="inlineStr">
        <is>
          <t>C:/Users/manuel.felline/Documents/BEHAVIOR BTBR/NOR second cohort/BTBR/training/c7_m3.mp4</t>
        </is>
      </c>
      <c r="U714" t="n">
        <v>11692</v>
      </c>
      <c r="V714" t="n">
        <v>11714</v>
      </c>
      <c r="W714" t="n">
        <v/>
      </c>
      <c r="X714" t="n">
        <v/>
      </c>
      <c r="Y714" t="n">
        <v/>
      </c>
      <c r="Z714" t="n">
        <v/>
      </c>
      <c r="AA714">
        <f>SUMIFS($S$2:S714,$A$2:A714,A714,$N$2:N714,"Explore*")</f>
        <v/>
      </c>
      <c r="AB714">
        <f>IF(AND(LEFT(N714,7)="Explore",(AA714-IF(LEFT(N714,7)="Explore",S714,0))&lt;10),"SI","NO")</f>
        <v/>
      </c>
    </row>
    <row r="715">
      <c r="A715" t="inlineStr">
        <is>
          <t>c7m3_training</t>
        </is>
      </c>
      <c r="B715" t="inlineStr">
        <is>
          <t>2026-05-12 17:00:03.773</t>
        </is>
      </c>
      <c r="C715" t="n">
        <v/>
      </c>
      <c r="D715" t="inlineStr">
        <is>
          <t>Media file</t>
        </is>
      </c>
      <c r="E715" t="inlineStr">
        <is>
          <t>player #1:C:/Users/manuel.felline/Documents/BEHAVIOR BTBR/NOR second cohort/BTBR/training/c7_m3.mp4</t>
        </is>
      </c>
      <c r="F715" t="n">
        <v>-5</v>
      </c>
      <c r="G715" t="n">
        <v>548.033</v>
      </c>
      <c r="H715" t="n">
        <v>628.799</v>
      </c>
      <c r="I715" t="n">
        <v>30</v>
      </c>
      <c r="J715" t="inlineStr">
        <is>
          <t>BTBR</t>
        </is>
      </c>
      <c r="K715" t="inlineStr">
        <is>
          <t>Male</t>
        </is>
      </c>
      <c r="L715" t="inlineStr">
        <is>
          <t>No focal subject</t>
        </is>
      </c>
      <c r="M715" t="n">
        <v>49.899</v>
      </c>
      <c r="N715" t="inlineStr">
        <is>
          <t>Explore_F2</t>
        </is>
      </c>
      <c r="O715" t="inlineStr">
        <is>
          <t>Second familiar</t>
        </is>
      </c>
      <c r="P715" t="inlineStr">
        <is>
          <t>STATE</t>
        </is>
      </c>
      <c r="Q715" t="n">
        <v>393.8</v>
      </c>
      <c r="R715" t="n">
        <v>394.933</v>
      </c>
      <c r="S715" t="n">
        <v>1.133</v>
      </c>
      <c r="T715" t="inlineStr">
        <is>
          <t>C:/Users/manuel.felline/Documents/BEHAVIOR BTBR/NOR second cohort/BTBR/training/c7_m3.mp4</t>
        </is>
      </c>
      <c r="U715" t="n">
        <v>11962</v>
      </c>
      <c r="V715" t="n">
        <v>11996</v>
      </c>
      <c r="W715" t="n">
        <v/>
      </c>
      <c r="X715" t="n">
        <v/>
      </c>
      <c r="Y715" t="n">
        <v/>
      </c>
      <c r="Z715" t="n">
        <v/>
      </c>
      <c r="AA715">
        <f>SUMIFS($S$2:S715,$A$2:A715,A715,$N$2:N715,"Explore*")</f>
        <v/>
      </c>
      <c r="AB715">
        <f>IF(AND(LEFT(N715,7)="Explore",(AA715-IF(LEFT(N715,7)="Explore",S715,0))&lt;10),"SI","NO")</f>
        <v/>
      </c>
    </row>
    <row r="716">
      <c r="A716" t="inlineStr">
        <is>
          <t>c7m3_training</t>
        </is>
      </c>
      <c r="B716" t="inlineStr">
        <is>
          <t>2026-05-12 17:00:03.773</t>
        </is>
      </c>
      <c r="C716" t="n">
        <v/>
      </c>
      <c r="D716" t="inlineStr">
        <is>
          <t>Media file</t>
        </is>
      </c>
      <c r="E716" t="inlineStr">
        <is>
          <t>player #1:C:/Users/manuel.felline/Documents/BEHAVIOR BTBR/NOR second cohort/BTBR/training/c7_m3.mp4</t>
        </is>
      </c>
      <c r="F716" t="n">
        <v>-5</v>
      </c>
      <c r="G716" t="n">
        <v>548.033</v>
      </c>
      <c r="H716" t="n">
        <v>628.799</v>
      </c>
      <c r="I716" t="n">
        <v>30</v>
      </c>
      <c r="J716" t="inlineStr">
        <is>
          <t>BTBR</t>
        </is>
      </c>
      <c r="K716" t="inlineStr">
        <is>
          <t>Male</t>
        </is>
      </c>
      <c r="L716" t="inlineStr">
        <is>
          <t>No focal subject</t>
        </is>
      </c>
      <c r="M716" t="n">
        <v>49.899</v>
      </c>
      <c r="N716" t="inlineStr">
        <is>
          <t>Explore_F</t>
        </is>
      </c>
      <c r="O716" t="inlineStr">
        <is>
          <t>Familiar</t>
        </is>
      </c>
      <c r="P716" t="inlineStr">
        <is>
          <t>STATE</t>
        </is>
      </c>
      <c r="Q716" t="n">
        <v>414.033</v>
      </c>
      <c r="R716" t="n">
        <v>415.166</v>
      </c>
      <c r="S716" t="n">
        <v>1.133</v>
      </c>
      <c r="T716" t="inlineStr">
        <is>
          <t>C:/Users/manuel.felline/Documents/BEHAVIOR BTBR/NOR second cohort/BTBR/training/c7_m3.mp4</t>
        </is>
      </c>
      <c r="U716" t="n">
        <v>12569</v>
      </c>
      <c r="V716" t="n">
        <v>12603</v>
      </c>
      <c r="W716" t="n">
        <v/>
      </c>
      <c r="X716" t="n">
        <v/>
      </c>
      <c r="Y716" t="n">
        <v/>
      </c>
      <c r="Z716" t="n">
        <v/>
      </c>
      <c r="AA716">
        <f>SUMIFS($S$2:S716,$A$2:A716,A716,$N$2:N716,"Explore*")</f>
        <v/>
      </c>
      <c r="AB716">
        <f>IF(AND(LEFT(N716,7)="Explore",(AA716-IF(LEFT(N716,7)="Explore",S716,0))&lt;10),"SI","NO")</f>
        <v/>
      </c>
    </row>
    <row r="717">
      <c r="A717" t="inlineStr">
        <is>
          <t>c7m3_training</t>
        </is>
      </c>
      <c r="B717" t="inlineStr">
        <is>
          <t>2026-05-12 17:00:03.773</t>
        </is>
      </c>
      <c r="C717" t="n">
        <v/>
      </c>
      <c r="D717" t="inlineStr">
        <is>
          <t>Media file</t>
        </is>
      </c>
      <c r="E717" t="inlineStr">
        <is>
          <t>player #1:C:/Users/manuel.felline/Documents/BEHAVIOR BTBR/NOR second cohort/BTBR/training/c7_m3.mp4</t>
        </is>
      </c>
      <c r="F717" t="n">
        <v>-5</v>
      </c>
      <c r="G717" t="n">
        <v>548.033</v>
      </c>
      <c r="H717" t="n">
        <v>628.799</v>
      </c>
      <c r="I717" t="n">
        <v>30</v>
      </c>
      <c r="J717" t="inlineStr">
        <is>
          <t>BTBR</t>
        </is>
      </c>
      <c r="K717" t="inlineStr">
        <is>
          <t>Male</t>
        </is>
      </c>
      <c r="L717" t="inlineStr">
        <is>
          <t>No focal subject</t>
        </is>
      </c>
      <c r="M717" t="n">
        <v>49.899</v>
      </c>
      <c r="N717" t="inlineStr">
        <is>
          <t>Explore_F</t>
        </is>
      </c>
      <c r="O717" t="inlineStr">
        <is>
          <t>Familiar</t>
        </is>
      </c>
      <c r="P717" t="inlineStr">
        <is>
          <t>STATE</t>
        </is>
      </c>
      <c r="Q717" t="n">
        <v>439.4</v>
      </c>
      <c r="R717" t="n">
        <v>439.9</v>
      </c>
      <c r="S717" t="n">
        <v>0.5</v>
      </c>
      <c r="T717" t="inlineStr">
        <is>
          <t>C:/Users/manuel.felline/Documents/BEHAVIOR BTBR/NOR second cohort/BTBR/training/c7_m3.mp4</t>
        </is>
      </c>
      <c r="U717" t="n">
        <v>13330</v>
      </c>
      <c r="V717" t="n">
        <v>13345</v>
      </c>
      <c r="W717" t="n">
        <v/>
      </c>
      <c r="X717" t="n">
        <v/>
      </c>
      <c r="Y717" t="n">
        <v/>
      </c>
      <c r="Z717" t="n">
        <v/>
      </c>
      <c r="AA717">
        <f>SUMIFS($S$2:S717,$A$2:A717,A717,$N$2:N717,"Explore*")</f>
        <v/>
      </c>
      <c r="AB717">
        <f>IF(AND(LEFT(N717,7)="Explore",(AA717-IF(LEFT(N717,7)="Explore",S717,0))&lt;10),"SI","NO")</f>
        <v/>
      </c>
    </row>
    <row r="718">
      <c r="A718" t="inlineStr">
        <is>
          <t>c7m3_training</t>
        </is>
      </c>
      <c r="B718" t="inlineStr">
        <is>
          <t>2026-05-12 17:00:03.773</t>
        </is>
      </c>
      <c r="C718" t="n">
        <v/>
      </c>
      <c r="D718" t="inlineStr">
        <is>
          <t>Media file</t>
        </is>
      </c>
      <c r="E718" t="inlineStr">
        <is>
          <t>player #1:C:/Users/manuel.felline/Documents/BEHAVIOR BTBR/NOR second cohort/BTBR/training/c7_m3.mp4</t>
        </is>
      </c>
      <c r="F718" t="n">
        <v>-5</v>
      </c>
      <c r="G718" t="n">
        <v>548.033</v>
      </c>
      <c r="H718" t="n">
        <v>628.799</v>
      </c>
      <c r="I718" t="n">
        <v>30</v>
      </c>
      <c r="J718" t="inlineStr">
        <is>
          <t>BTBR</t>
        </is>
      </c>
      <c r="K718" t="inlineStr">
        <is>
          <t>Male</t>
        </is>
      </c>
      <c r="L718" t="inlineStr">
        <is>
          <t>No focal subject</t>
        </is>
      </c>
      <c r="M718" t="n">
        <v>49.899</v>
      </c>
      <c r="N718" t="inlineStr">
        <is>
          <t>Explore_F</t>
        </is>
      </c>
      <c r="O718" t="inlineStr">
        <is>
          <t>Familiar</t>
        </is>
      </c>
      <c r="P718" t="inlineStr">
        <is>
          <t>STATE</t>
        </is>
      </c>
      <c r="Q718" t="n">
        <v>454.966</v>
      </c>
      <c r="R718" t="n">
        <v>455.4</v>
      </c>
      <c r="S718" t="n">
        <v>0.434</v>
      </c>
      <c r="T718" t="inlineStr">
        <is>
          <t>C:/Users/manuel.felline/Documents/BEHAVIOR BTBR/NOR second cohort/BTBR/training/c7_m3.mp4</t>
        </is>
      </c>
      <c r="U718" t="n">
        <v>13797</v>
      </c>
      <c r="V718" t="n">
        <v>13810</v>
      </c>
      <c r="W718" t="n">
        <v/>
      </c>
      <c r="X718" t="n">
        <v/>
      </c>
      <c r="Y718" t="n">
        <v/>
      </c>
      <c r="Z718" t="n">
        <v/>
      </c>
      <c r="AA718">
        <f>SUMIFS($S$2:S718,$A$2:A718,A718,$N$2:N718,"Explore*")</f>
        <v/>
      </c>
      <c r="AB718">
        <f>IF(AND(LEFT(N718,7)="Explore",(AA718-IF(LEFT(N718,7)="Explore",S718,0))&lt;10),"SI","NO")</f>
        <v/>
      </c>
    </row>
    <row r="719">
      <c r="A719" t="inlineStr">
        <is>
          <t>c7m3_training</t>
        </is>
      </c>
      <c r="B719" t="inlineStr">
        <is>
          <t>2026-05-12 17:00:03.773</t>
        </is>
      </c>
      <c r="C719" t="n">
        <v/>
      </c>
      <c r="D719" t="inlineStr">
        <is>
          <t>Media file</t>
        </is>
      </c>
      <c r="E719" t="inlineStr">
        <is>
          <t>player #1:C:/Users/manuel.felline/Documents/BEHAVIOR BTBR/NOR second cohort/BTBR/training/c7_m3.mp4</t>
        </is>
      </c>
      <c r="F719" t="n">
        <v>-5</v>
      </c>
      <c r="G719" t="n">
        <v>548.033</v>
      </c>
      <c r="H719" t="n">
        <v>628.799</v>
      </c>
      <c r="I719" t="n">
        <v>30</v>
      </c>
      <c r="J719" t="inlineStr">
        <is>
          <t>BTBR</t>
        </is>
      </c>
      <c r="K719" t="inlineStr">
        <is>
          <t>Male</t>
        </is>
      </c>
      <c r="L719" t="inlineStr">
        <is>
          <t>No focal subject</t>
        </is>
      </c>
      <c r="M719" t="n">
        <v>49.899</v>
      </c>
      <c r="N719" t="inlineStr">
        <is>
          <t>Explore_F2</t>
        </is>
      </c>
      <c r="O719" t="inlineStr">
        <is>
          <t>Second familiar</t>
        </is>
      </c>
      <c r="P719" t="inlineStr">
        <is>
          <t>STATE</t>
        </is>
      </c>
      <c r="Q719" t="n">
        <v>471</v>
      </c>
      <c r="R719" t="n">
        <v>471.733</v>
      </c>
      <c r="S719" t="n">
        <v>0.733</v>
      </c>
      <c r="T719" t="inlineStr">
        <is>
          <t>C:/Users/manuel.felline/Documents/BEHAVIOR BTBR/NOR second cohort/BTBR/training/c7_m3.mp4</t>
        </is>
      </c>
      <c r="U719" t="n">
        <v>14278</v>
      </c>
      <c r="V719" t="n">
        <v>14300</v>
      </c>
      <c r="W719" t="n">
        <v/>
      </c>
      <c r="X719" t="n">
        <v/>
      </c>
      <c r="Y719" t="n">
        <v/>
      </c>
      <c r="Z719" t="n">
        <v/>
      </c>
      <c r="AA719">
        <f>SUMIFS($S$2:S719,$A$2:A719,A719,$N$2:N719,"Explore*")</f>
        <v/>
      </c>
      <c r="AB719">
        <f>IF(AND(LEFT(N719,7)="Explore",(AA719-IF(LEFT(N719,7)="Explore",S719,0))&lt;10),"SI","NO")</f>
        <v/>
      </c>
    </row>
    <row r="720">
      <c r="A720" t="inlineStr">
        <is>
          <t>c7m3_training</t>
        </is>
      </c>
      <c r="B720" t="inlineStr">
        <is>
          <t>2026-05-12 17:00:03.773</t>
        </is>
      </c>
      <c r="C720" t="n">
        <v/>
      </c>
      <c r="D720" t="inlineStr">
        <is>
          <t>Media file</t>
        </is>
      </c>
      <c r="E720" t="inlineStr">
        <is>
          <t>player #1:C:/Users/manuel.felline/Documents/BEHAVIOR BTBR/NOR second cohort/BTBR/training/c7_m3.mp4</t>
        </is>
      </c>
      <c r="F720" t="n">
        <v>-5</v>
      </c>
      <c r="G720" t="n">
        <v>548.033</v>
      </c>
      <c r="H720" t="n">
        <v>628.799</v>
      </c>
      <c r="I720" t="n">
        <v>30</v>
      </c>
      <c r="J720" t="inlineStr">
        <is>
          <t>BTBR</t>
        </is>
      </c>
      <c r="K720" t="inlineStr">
        <is>
          <t>Male</t>
        </is>
      </c>
      <c r="L720" t="inlineStr">
        <is>
          <t>No focal subject</t>
        </is>
      </c>
      <c r="M720" t="n">
        <v>49.899</v>
      </c>
      <c r="N720" t="inlineStr">
        <is>
          <t>Explore_F</t>
        </is>
      </c>
      <c r="O720" t="inlineStr">
        <is>
          <t>Familiar</t>
        </is>
      </c>
      <c r="P720" t="inlineStr">
        <is>
          <t>STATE</t>
        </is>
      </c>
      <c r="Q720" t="n">
        <v>517.533</v>
      </c>
      <c r="R720" t="n">
        <v>518.1660000000001</v>
      </c>
      <c r="S720" t="n">
        <v>0.633</v>
      </c>
      <c r="T720" t="inlineStr">
        <is>
          <t>C:/Users/manuel.felline/Documents/BEHAVIOR BTBR/NOR second cohort/BTBR/training/c7_m3.mp4</t>
        </is>
      </c>
      <c r="U720" t="n">
        <v>15674</v>
      </c>
      <c r="V720" t="n">
        <v>15693</v>
      </c>
      <c r="W720" t="n">
        <v/>
      </c>
      <c r="X720" t="n">
        <v/>
      </c>
      <c r="Y720" t="n">
        <v/>
      </c>
      <c r="Z720" t="n">
        <v/>
      </c>
      <c r="AA720">
        <f>SUMIFS($S$2:S720,$A$2:A720,A720,$N$2:N720,"Explore*")</f>
        <v/>
      </c>
      <c r="AB720">
        <f>IF(AND(LEFT(N720,7)="Explore",(AA720-IF(LEFT(N720,7)="Explore",S720,0))&lt;10),"SI","NO")</f>
        <v/>
      </c>
    </row>
    <row r="721">
      <c r="A721" t="inlineStr">
        <is>
          <t>c7m3_training</t>
        </is>
      </c>
      <c r="B721" t="inlineStr">
        <is>
          <t>2026-05-12 17:00:03.773</t>
        </is>
      </c>
      <c r="C721" t="n">
        <v/>
      </c>
      <c r="D721" t="inlineStr">
        <is>
          <t>Media file</t>
        </is>
      </c>
      <c r="E721" t="inlineStr">
        <is>
          <t>player #1:C:/Users/manuel.felline/Documents/BEHAVIOR BTBR/NOR second cohort/BTBR/training/c7_m3.mp4</t>
        </is>
      </c>
      <c r="F721" t="n">
        <v>-5</v>
      </c>
      <c r="G721" t="n">
        <v>548.033</v>
      </c>
      <c r="H721" t="n">
        <v>628.799</v>
      </c>
      <c r="I721" t="n">
        <v>30</v>
      </c>
      <c r="J721" t="inlineStr">
        <is>
          <t>BTBR</t>
        </is>
      </c>
      <c r="K721" t="inlineStr">
        <is>
          <t>Male</t>
        </is>
      </c>
      <c r="L721" t="inlineStr">
        <is>
          <t>No focal subject</t>
        </is>
      </c>
      <c r="M721" t="n">
        <v>49.899</v>
      </c>
      <c r="N721" t="inlineStr">
        <is>
          <t>Explore_F</t>
        </is>
      </c>
      <c r="O721" t="inlineStr">
        <is>
          <t>Familiar</t>
        </is>
      </c>
      <c r="P721" t="inlineStr">
        <is>
          <t>STATE</t>
        </is>
      </c>
      <c r="Q721" t="n">
        <v>548.866</v>
      </c>
      <c r="R721" t="n">
        <v>549.433</v>
      </c>
      <c r="S721" t="n">
        <v>0.5669999999999999</v>
      </c>
      <c r="T721" t="inlineStr">
        <is>
          <t>C:/Users/manuel.felline/Documents/BEHAVIOR BTBR/NOR second cohort/BTBR/training/c7_m3.mp4</t>
        </is>
      </c>
      <c r="U721" t="n">
        <v>16614</v>
      </c>
      <c r="V721" t="n">
        <v>16631</v>
      </c>
      <c r="W721" t="n">
        <v/>
      </c>
      <c r="X721" t="n">
        <v/>
      </c>
      <c r="Y721" t="n">
        <v/>
      </c>
      <c r="Z721" t="n">
        <v/>
      </c>
      <c r="AA721">
        <f>SUMIFS($S$2:S721,$A$2:A721,A721,$N$2:N721,"Explore*")</f>
        <v/>
      </c>
      <c r="AB721">
        <f>IF(AND(LEFT(N721,7)="Explore",(AA721-IF(LEFT(N721,7)="Explore",S721,0))&lt;10),"SI","NO")</f>
        <v/>
      </c>
    </row>
    <row r="722">
      <c r="A722" t="inlineStr">
        <is>
          <t>c7m4_training</t>
        </is>
      </c>
      <c r="B722" t="inlineStr">
        <is>
          <t>2026-05-19 16:39:14.981</t>
        </is>
      </c>
      <c r="C722" t="n">
        <v/>
      </c>
      <c r="D722" t="inlineStr">
        <is>
          <t>Media file</t>
        </is>
      </c>
      <c r="E722" t="inlineStr">
        <is>
          <t>player #1:C:/Users/manuel.felline/Documents/BEHAVIOR BTBR/NOR second cohort/BTBR/training/c7_m4.mp4</t>
        </is>
      </c>
      <c r="F722" t="n">
        <v>-8.333</v>
      </c>
      <c r="G722" t="n">
        <v>567.1660000000001</v>
      </c>
      <c r="H722" t="n">
        <v>635.466</v>
      </c>
      <c r="I722" t="n">
        <v>30</v>
      </c>
      <c r="J722" t="inlineStr">
        <is>
          <t>BTBR</t>
        </is>
      </c>
      <c r="K722" t="inlineStr">
        <is>
          <t>Male</t>
        </is>
      </c>
      <c r="L722" t="inlineStr">
        <is>
          <t>No focal subject</t>
        </is>
      </c>
      <c r="M722" t="n">
        <v>43.169</v>
      </c>
      <c r="N722" t="inlineStr">
        <is>
          <t>Explore_F</t>
        </is>
      </c>
      <c r="O722" t="inlineStr">
        <is>
          <t>Familiar</t>
        </is>
      </c>
      <c r="P722" t="inlineStr">
        <is>
          <t>STATE</t>
        </is>
      </c>
      <c r="Q722" t="n">
        <v>0.467</v>
      </c>
      <c r="R722" t="n">
        <v>1.067</v>
      </c>
      <c r="S722" t="n">
        <v>0.6</v>
      </c>
      <c r="T722" t="inlineStr">
        <is>
          <t>C:/Users/manuel.felline/Documents/BEHAVIOR BTBR/NOR second cohort/BTBR/training/c7_m4.mp4</t>
        </is>
      </c>
      <c r="U722" t="n">
        <v>264</v>
      </c>
      <c r="V722" t="n">
        <v>282</v>
      </c>
      <c r="W722" t="n">
        <v/>
      </c>
      <c r="X722" t="n">
        <v/>
      </c>
      <c r="Y722" t="n">
        <v/>
      </c>
      <c r="Z722" t="n">
        <v/>
      </c>
      <c r="AA722">
        <f>SUMIFS($S$2:S722,$A$2:A722,A722,$N$2:N722,"Explore*")</f>
        <v/>
      </c>
      <c r="AB722">
        <f>IF(AND(LEFT(N722,7)="Explore",(AA722-IF(LEFT(N722,7)="Explore",S722,0))&lt;10),"SI","NO")</f>
        <v/>
      </c>
    </row>
    <row r="723">
      <c r="A723" t="inlineStr">
        <is>
          <t>c7m4_training</t>
        </is>
      </c>
      <c r="B723" t="inlineStr">
        <is>
          <t>2026-05-19 16:39:14.981</t>
        </is>
      </c>
      <c r="C723" t="n">
        <v/>
      </c>
      <c r="D723" t="inlineStr">
        <is>
          <t>Media file</t>
        </is>
      </c>
      <c r="E723" t="inlineStr">
        <is>
          <t>player #1:C:/Users/manuel.felline/Documents/BEHAVIOR BTBR/NOR second cohort/BTBR/training/c7_m4.mp4</t>
        </is>
      </c>
      <c r="F723" t="n">
        <v>-8.333</v>
      </c>
      <c r="G723" t="n">
        <v>567.1660000000001</v>
      </c>
      <c r="H723" t="n">
        <v>635.466</v>
      </c>
      <c r="I723" t="n">
        <v>30</v>
      </c>
      <c r="J723" t="inlineStr">
        <is>
          <t>BTBR</t>
        </is>
      </c>
      <c r="K723" t="inlineStr">
        <is>
          <t>Male</t>
        </is>
      </c>
      <c r="L723" t="inlineStr">
        <is>
          <t>No focal subject</t>
        </is>
      </c>
      <c r="M723" t="n">
        <v>43.169</v>
      </c>
      <c r="N723" t="inlineStr">
        <is>
          <t>Explore_F2</t>
        </is>
      </c>
      <c r="O723" t="inlineStr">
        <is>
          <t>Second familiar</t>
        </is>
      </c>
      <c r="P723" t="inlineStr">
        <is>
          <t>STATE</t>
        </is>
      </c>
      <c r="Q723" t="n">
        <v>7.167</v>
      </c>
      <c r="R723" t="n">
        <v>8.699999999999999</v>
      </c>
      <c r="S723" t="n">
        <v>1.533</v>
      </c>
      <c r="T723" t="inlineStr">
        <is>
          <t>C:/Users/manuel.felline/Documents/BEHAVIOR BTBR/NOR second cohort/BTBR/training/c7_m4.mp4</t>
        </is>
      </c>
      <c r="U723" t="n">
        <v>465</v>
      </c>
      <c r="V723" t="n">
        <v>511</v>
      </c>
      <c r="W723" t="n">
        <v/>
      </c>
      <c r="X723" t="n">
        <v/>
      </c>
      <c r="Y723" t="n">
        <v/>
      </c>
      <c r="Z723" t="n">
        <v/>
      </c>
      <c r="AA723">
        <f>SUMIFS($S$2:S723,$A$2:A723,A723,$N$2:N723,"Explore*")</f>
        <v/>
      </c>
      <c r="AB723">
        <f>IF(AND(LEFT(N723,7)="Explore",(AA723-IF(LEFT(N723,7)="Explore",S723,0))&lt;10),"SI","NO")</f>
        <v/>
      </c>
    </row>
    <row r="724">
      <c r="A724" t="inlineStr">
        <is>
          <t>c7m4_training</t>
        </is>
      </c>
      <c r="B724" t="inlineStr">
        <is>
          <t>2026-05-19 16:39:14.981</t>
        </is>
      </c>
      <c r="C724" t="n">
        <v/>
      </c>
      <c r="D724" t="inlineStr">
        <is>
          <t>Media file</t>
        </is>
      </c>
      <c r="E724" t="inlineStr">
        <is>
          <t>player #1:C:/Users/manuel.felline/Documents/BEHAVIOR BTBR/NOR second cohort/BTBR/training/c7_m4.mp4</t>
        </is>
      </c>
      <c r="F724" t="n">
        <v>-8.333</v>
      </c>
      <c r="G724" t="n">
        <v>567.1660000000001</v>
      </c>
      <c r="H724" t="n">
        <v>635.466</v>
      </c>
      <c r="I724" t="n">
        <v>30</v>
      </c>
      <c r="J724" t="inlineStr">
        <is>
          <t>BTBR</t>
        </is>
      </c>
      <c r="K724" t="inlineStr">
        <is>
          <t>Male</t>
        </is>
      </c>
      <c r="L724" t="inlineStr">
        <is>
          <t>No focal subject</t>
        </is>
      </c>
      <c r="M724" t="n">
        <v>43.169</v>
      </c>
      <c r="N724" t="inlineStr">
        <is>
          <t>Explore_F</t>
        </is>
      </c>
      <c r="O724" t="inlineStr">
        <is>
          <t>Familiar</t>
        </is>
      </c>
      <c r="P724" t="inlineStr">
        <is>
          <t>STATE</t>
        </is>
      </c>
      <c r="Q724" t="n">
        <v>12.8</v>
      </c>
      <c r="R724" t="n">
        <v>13.967</v>
      </c>
      <c r="S724" t="n">
        <v>1.167</v>
      </c>
      <c r="T724" t="inlineStr">
        <is>
          <t>C:/Users/manuel.felline/Documents/BEHAVIOR BTBR/NOR second cohort/BTBR/training/c7_m4.mp4</t>
        </is>
      </c>
      <c r="U724" t="n">
        <v>634</v>
      </c>
      <c r="V724" t="n">
        <v>669</v>
      </c>
      <c r="W724" t="n">
        <v/>
      </c>
      <c r="X724" t="n">
        <v/>
      </c>
      <c r="Y724" t="n">
        <v/>
      </c>
      <c r="Z724" t="n">
        <v/>
      </c>
      <c r="AA724">
        <f>SUMIFS($S$2:S724,$A$2:A724,A724,$N$2:N724,"Explore*")</f>
        <v/>
      </c>
      <c r="AB724">
        <f>IF(AND(LEFT(N724,7)="Explore",(AA724-IF(LEFT(N724,7)="Explore",S724,0))&lt;10),"SI","NO")</f>
        <v/>
      </c>
    </row>
    <row r="725">
      <c r="A725" t="inlineStr">
        <is>
          <t>c7m4_training</t>
        </is>
      </c>
      <c r="B725" t="inlineStr">
        <is>
          <t>2026-05-19 16:39:14.981</t>
        </is>
      </c>
      <c r="C725" t="n">
        <v/>
      </c>
      <c r="D725" t="inlineStr">
        <is>
          <t>Media file</t>
        </is>
      </c>
      <c r="E725" t="inlineStr">
        <is>
          <t>player #1:C:/Users/manuel.felline/Documents/BEHAVIOR BTBR/NOR second cohort/BTBR/training/c7_m4.mp4</t>
        </is>
      </c>
      <c r="F725" t="n">
        <v>-8.333</v>
      </c>
      <c r="G725" t="n">
        <v>567.1660000000001</v>
      </c>
      <c r="H725" t="n">
        <v>635.466</v>
      </c>
      <c r="I725" t="n">
        <v>30</v>
      </c>
      <c r="J725" t="inlineStr">
        <is>
          <t>BTBR</t>
        </is>
      </c>
      <c r="K725" t="inlineStr">
        <is>
          <t>Male</t>
        </is>
      </c>
      <c r="L725" t="inlineStr">
        <is>
          <t>No focal subject</t>
        </is>
      </c>
      <c r="M725" t="n">
        <v>43.169</v>
      </c>
      <c r="N725" t="inlineStr">
        <is>
          <t>Explore_F2</t>
        </is>
      </c>
      <c r="O725" t="inlineStr">
        <is>
          <t>Second familiar</t>
        </is>
      </c>
      <c r="P725" t="inlineStr">
        <is>
          <t>STATE</t>
        </is>
      </c>
      <c r="Q725" t="n">
        <v>14.734</v>
      </c>
      <c r="R725" t="n">
        <v>17.234</v>
      </c>
      <c r="S725" t="n">
        <v>2.5</v>
      </c>
      <c r="T725" t="inlineStr">
        <is>
          <t>C:/Users/manuel.felline/Documents/BEHAVIOR BTBR/NOR second cohort/BTBR/training/c7_m4.mp4</t>
        </is>
      </c>
      <c r="U725" t="n">
        <v>692</v>
      </c>
      <c r="V725" t="n">
        <v>767</v>
      </c>
      <c r="W725" t="n">
        <v/>
      </c>
      <c r="X725" t="n">
        <v/>
      </c>
      <c r="Y725" t="n">
        <v/>
      </c>
      <c r="Z725" t="n">
        <v/>
      </c>
      <c r="AA725">
        <f>SUMIFS($S$2:S725,$A$2:A725,A725,$N$2:N725,"Explore*")</f>
        <v/>
      </c>
      <c r="AB725">
        <f>IF(AND(LEFT(N725,7)="Explore",(AA725-IF(LEFT(N725,7)="Explore",S725,0))&lt;10),"SI","NO")</f>
        <v/>
      </c>
    </row>
    <row r="726">
      <c r="A726" t="inlineStr">
        <is>
          <t>c7m4_training</t>
        </is>
      </c>
      <c r="B726" t="inlineStr">
        <is>
          <t>2026-05-19 16:39:14.981</t>
        </is>
      </c>
      <c r="C726" t="n">
        <v/>
      </c>
      <c r="D726" t="inlineStr">
        <is>
          <t>Media file</t>
        </is>
      </c>
      <c r="E726" t="inlineStr">
        <is>
          <t>player #1:C:/Users/manuel.felline/Documents/BEHAVIOR BTBR/NOR second cohort/BTBR/training/c7_m4.mp4</t>
        </is>
      </c>
      <c r="F726" t="n">
        <v>-8.333</v>
      </c>
      <c r="G726" t="n">
        <v>567.1660000000001</v>
      </c>
      <c r="H726" t="n">
        <v>635.466</v>
      </c>
      <c r="I726" t="n">
        <v>30</v>
      </c>
      <c r="J726" t="inlineStr">
        <is>
          <t>BTBR</t>
        </is>
      </c>
      <c r="K726" t="inlineStr">
        <is>
          <t>Male</t>
        </is>
      </c>
      <c r="L726" t="inlineStr">
        <is>
          <t>No focal subject</t>
        </is>
      </c>
      <c r="M726" t="n">
        <v>43.169</v>
      </c>
      <c r="N726" t="inlineStr">
        <is>
          <t>Explore_F2</t>
        </is>
      </c>
      <c r="O726" t="inlineStr">
        <is>
          <t>Second familiar</t>
        </is>
      </c>
      <c r="P726" t="inlineStr">
        <is>
          <t>STATE</t>
        </is>
      </c>
      <c r="Q726" t="n">
        <v>18.167</v>
      </c>
      <c r="R726" t="n">
        <v>19.834</v>
      </c>
      <c r="S726" t="n">
        <v>1.667</v>
      </c>
      <c r="T726" t="inlineStr">
        <is>
          <t>C:/Users/manuel.felline/Documents/BEHAVIOR BTBR/NOR second cohort/BTBR/training/c7_m4.mp4</t>
        </is>
      </c>
      <c r="U726" t="n">
        <v>795</v>
      </c>
      <c r="V726" t="n">
        <v>845</v>
      </c>
      <c r="W726" t="n">
        <v/>
      </c>
      <c r="X726" t="n">
        <v/>
      </c>
      <c r="Y726" t="n">
        <v/>
      </c>
      <c r="Z726" t="n">
        <v/>
      </c>
      <c r="AA726">
        <f>SUMIFS($S$2:S726,$A$2:A726,A726,$N$2:N726,"Explore*")</f>
        <v/>
      </c>
      <c r="AB726">
        <f>IF(AND(LEFT(N726,7)="Explore",(AA726-IF(LEFT(N726,7)="Explore",S726,0))&lt;10),"SI","NO")</f>
        <v/>
      </c>
    </row>
    <row r="727">
      <c r="A727" t="inlineStr">
        <is>
          <t>c7m4_training</t>
        </is>
      </c>
      <c r="B727" t="inlineStr">
        <is>
          <t>2026-05-19 16:39:14.981</t>
        </is>
      </c>
      <c r="C727" t="n">
        <v/>
      </c>
      <c r="D727" t="inlineStr">
        <is>
          <t>Media file</t>
        </is>
      </c>
      <c r="E727" t="inlineStr">
        <is>
          <t>player #1:C:/Users/manuel.felline/Documents/BEHAVIOR BTBR/NOR second cohort/BTBR/training/c7_m4.mp4</t>
        </is>
      </c>
      <c r="F727" t="n">
        <v>-8.333</v>
      </c>
      <c r="G727" t="n">
        <v>567.1660000000001</v>
      </c>
      <c r="H727" t="n">
        <v>635.466</v>
      </c>
      <c r="I727" t="n">
        <v>30</v>
      </c>
      <c r="J727" t="inlineStr">
        <is>
          <t>BTBR</t>
        </is>
      </c>
      <c r="K727" t="inlineStr">
        <is>
          <t>Male</t>
        </is>
      </c>
      <c r="L727" t="inlineStr">
        <is>
          <t>No focal subject</t>
        </is>
      </c>
      <c r="M727" t="n">
        <v>43.169</v>
      </c>
      <c r="N727" t="inlineStr">
        <is>
          <t>Explore_F</t>
        </is>
      </c>
      <c r="O727" t="inlineStr">
        <is>
          <t>Familiar</t>
        </is>
      </c>
      <c r="P727" t="inlineStr">
        <is>
          <t>STATE</t>
        </is>
      </c>
      <c r="Q727" t="n">
        <v>20.5</v>
      </c>
      <c r="R727" t="n">
        <v>22.2</v>
      </c>
      <c r="S727" t="n">
        <v>1.7</v>
      </c>
      <c r="T727" t="inlineStr">
        <is>
          <t>C:/Users/manuel.felline/Documents/BEHAVIOR BTBR/NOR second cohort/BTBR/training/c7_m4.mp4</t>
        </is>
      </c>
      <c r="U727" t="n">
        <v>865</v>
      </c>
      <c r="V727" t="n">
        <v>916</v>
      </c>
      <c r="W727" t="n">
        <v/>
      </c>
      <c r="X727" t="n">
        <v/>
      </c>
      <c r="Y727" t="n">
        <v/>
      </c>
      <c r="Z727" t="n">
        <v/>
      </c>
      <c r="AA727">
        <f>SUMIFS($S$2:S727,$A$2:A727,A727,$N$2:N727,"Explore*")</f>
        <v/>
      </c>
      <c r="AB727">
        <f>IF(AND(LEFT(N727,7)="Explore",(AA727-IF(LEFT(N727,7)="Explore",S727,0))&lt;10),"SI","NO")</f>
        <v/>
      </c>
    </row>
    <row r="728">
      <c r="A728" t="inlineStr">
        <is>
          <t>c7m4_training</t>
        </is>
      </c>
      <c r="B728" t="inlineStr">
        <is>
          <t>2026-05-19 16:39:14.981</t>
        </is>
      </c>
      <c r="C728" t="n">
        <v/>
      </c>
      <c r="D728" t="inlineStr">
        <is>
          <t>Media file</t>
        </is>
      </c>
      <c r="E728" t="inlineStr">
        <is>
          <t>player #1:C:/Users/manuel.felline/Documents/BEHAVIOR BTBR/NOR second cohort/BTBR/training/c7_m4.mp4</t>
        </is>
      </c>
      <c r="F728" t="n">
        <v>-8.333</v>
      </c>
      <c r="G728" t="n">
        <v>567.1660000000001</v>
      </c>
      <c r="H728" t="n">
        <v>635.466</v>
      </c>
      <c r="I728" t="n">
        <v>30</v>
      </c>
      <c r="J728" t="inlineStr">
        <is>
          <t>BTBR</t>
        </is>
      </c>
      <c r="K728" t="inlineStr">
        <is>
          <t>Male</t>
        </is>
      </c>
      <c r="L728" t="inlineStr">
        <is>
          <t>No focal subject</t>
        </is>
      </c>
      <c r="M728" t="n">
        <v>43.169</v>
      </c>
      <c r="N728" t="inlineStr">
        <is>
          <t>Explore_F2</t>
        </is>
      </c>
      <c r="O728" t="inlineStr">
        <is>
          <t>Second familiar</t>
        </is>
      </c>
      <c r="P728" t="inlineStr">
        <is>
          <t>STATE</t>
        </is>
      </c>
      <c r="Q728" t="n">
        <v>25.7</v>
      </c>
      <c r="R728" t="n">
        <v>26.934</v>
      </c>
      <c r="S728" t="n">
        <v>1.234</v>
      </c>
      <c r="T728" t="inlineStr">
        <is>
          <t>C:/Users/manuel.felline/Documents/BEHAVIOR BTBR/NOR second cohort/BTBR/training/c7_m4.mp4</t>
        </is>
      </c>
      <c r="U728" t="n">
        <v>1021</v>
      </c>
      <c r="V728" t="n">
        <v>1058</v>
      </c>
      <c r="W728" t="n">
        <v/>
      </c>
      <c r="X728" t="n">
        <v/>
      </c>
      <c r="Y728" t="n">
        <v/>
      </c>
      <c r="Z728" t="n">
        <v/>
      </c>
      <c r="AA728">
        <f>SUMIFS($S$2:S728,$A$2:A728,A728,$N$2:N728,"Explore*")</f>
        <v/>
      </c>
      <c r="AB728">
        <f>IF(AND(LEFT(N728,7)="Explore",(AA728-IF(LEFT(N728,7)="Explore",S728,0))&lt;10),"SI","NO")</f>
        <v/>
      </c>
    </row>
    <row r="729">
      <c r="A729" t="inlineStr">
        <is>
          <t>c7m4_training</t>
        </is>
      </c>
      <c r="B729" t="inlineStr">
        <is>
          <t>2026-05-19 16:39:14.981</t>
        </is>
      </c>
      <c r="C729" t="n">
        <v/>
      </c>
      <c r="D729" t="inlineStr">
        <is>
          <t>Media file</t>
        </is>
      </c>
      <c r="E729" t="inlineStr">
        <is>
          <t>player #1:C:/Users/manuel.felline/Documents/BEHAVIOR BTBR/NOR second cohort/BTBR/training/c7_m4.mp4</t>
        </is>
      </c>
      <c r="F729" t="n">
        <v>-8.333</v>
      </c>
      <c r="G729" t="n">
        <v>567.1660000000001</v>
      </c>
      <c r="H729" t="n">
        <v>635.466</v>
      </c>
      <c r="I729" t="n">
        <v>30</v>
      </c>
      <c r="J729" t="inlineStr">
        <is>
          <t>BTBR</t>
        </is>
      </c>
      <c r="K729" t="inlineStr">
        <is>
          <t>Male</t>
        </is>
      </c>
      <c r="L729" t="inlineStr">
        <is>
          <t>No focal subject</t>
        </is>
      </c>
      <c r="M729" t="n">
        <v>43.169</v>
      </c>
      <c r="N729" t="inlineStr">
        <is>
          <t>Explore_F2</t>
        </is>
      </c>
      <c r="O729" t="inlineStr">
        <is>
          <t>Second familiar</t>
        </is>
      </c>
      <c r="P729" t="inlineStr">
        <is>
          <t>STATE</t>
        </is>
      </c>
      <c r="Q729" t="n">
        <v>29.467</v>
      </c>
      <c r="R729" t="n">
        <v>30.1</v>
      </c>
      <c r="S729" t="n">
        <v>0.633</v>
      </c>
      <c r="T729" t="inlineStr">
        <is>
          <t>C:/Users/manuel.felline/Documents/BEHAVIOR BTBR/NOR second cohort/BTBR/training/c7_m4.mp4</t>
        </is>
      </c>
      <c r="U729" t="n">
        <v>1134</v>
      </c>
      <c r="V729" t="n">
        <v>1153</v>
      </c>
      <c r="W729" t="n">
        <v/>
      </c>
      <c r="X729" t="n">
        <v/>
      </c>
      <c r="Y729" t="n">
        <v/>
      </c>
      <c r="Z729" t="n">
        <v/>
      </c>
      <c r="AA729">
        <f>SUMIFS($S$2:S729,$A$2:A729,A729,$N$2:N729,"Explore*")</f>
        <v/>
      </c>
      <c r="AB729">
        <f>IF(AND(LEFT(N729,7)="Explore",(AA729-IF(LEFT(N729,7)="Explore",S729,0))&lt;10),"SI","NO")</f>
        <v/>
      </c>
    </row>
    <row r="730">
      <c r="A730" t="inlineStr">
        <is>
          <t>c7m4_training</t>
        </is>
      </c>
      <c r="B730" t="inlineStr">
        <is>
          <t>2026-05-19 16:39:14.981</t>
        </is>
      </c>
      <c r="C730" t="n">
        <v/>
      </c>
      <c r="D730" t="inlineStr">
        <is>
          <t>Media file</t>
        </is>
      </c>
      <c r="E730" t="inlineStr">
        <is>
          <t>player #1:C:/Users/manuel.felline/Documents/BEHAVIOR BTBR/NOR second cohort/BTBR/training/c7_m4.mp4</t>
        </is>
      </c>
      <c r="F730" t="n">
        <v>-8.333</v>
      </c>
      <c r="G730" t="n">
        <v>567.1660000000001</v>
      </c>
      <c r="H730" t="n">
        <v>635.466</v>
      </c>
      <c r="I730" t="n">
        <v>30</v>
      </c>
      <c r="J730" t="inlineStr">
        <is>
          <t>BTBR</t>
        </is>
      </c>
      <c r="K730" t="inlineStr">
        <is>
          <t>Male</t>
        </is>
      </c>
      <c r="L730" t="inlineStr">
        <is>
          <t>No focal subject</t>
        </is>
      </c>
      <c r="M730" t="n">
        <v>43.169</v>
      </c>
      <c r="N730" t="inlineStr">
        <is>
          <t>Explore_F2</t>
        </is>
      </c>
      <c r="O730" t="inlineStr">
        <is>
          <t>Second familiar</t>
        </is>
      </c>
      <c r="P730" t="inlineStr">
        <is>
          <t>STATE</t>
        </is>
      </c>
      <c r="Q730" t="n">
        <v>33.434</v>
      </c>
      <c r="R730" t="n">
        <v>33.634</v>
      </c>
      <c r="S730" t="n">
        <v>0.2</v>
      </c>
      <c r="T730" t="inlineStr">
        <is>
          <t>C:/Users/manuel.felline/Documents/BEHAVIOR BTBR/NOR second cohort/BTBR/training/c7_m4.mp4</t>
        </is>
      </c>
      <c r="U730" t="n">
        <v>1253</v>
      </c>
      <c r="V730" t="n">
        <v>1259</v>
      </c>
      <c r="W730" t="n">
        <v/>
      </c>
      <c r="X730" t="n">
        <v/>
      </c>
      <c r="Y730" t="n">
        <v/>
      </c>
      <c r="Z730" t="n">
        <v/>
      </c>
      <c r="AA730">
        <f>SUMIFS($S$2:S730,$A$2:A730,A730,$N$2:N730,"Explore*")</f>
        <v/>
      </c>
      <c r="AB730">
        <f>IF(AND(LEFT(N730,7)="Explore",(AA730-IF(LEFT(N730,7)="Explore",S730,0))&lt;10),"SI","NO")</f>
        <v/>
      </c>
    </row>
    <row r="731">
      <c r="A731" t="inlineStr">
        <is>
          <t>c7m4_training</t>
        </is>
      </c>
      <c r="B731" t="inlineStr">
        <is>
          <t>2026-05-19 16:39:14.981</t>
        </is>
      </c>
      <c r="C731" t="n">
        <v/>
      </c>
      <c r="D731" t="inlineStr">
        <is>
          <t>Media file</t>
        </is>
      </c>
      <c r="E731" t="inlineStr">
        <is>
          <t>player #1:C:/Users/manuel.felline/Documents/BEHAVIOR BTBR/NOR second cohort/BTBR/training/c7_m4.mp4</t>
        </is>
      </c>
      <c r="F731" t="n">
        <v>-8.333</v>
      </c>
      <c r="G731" t="n">
        <v>567.1660000000001</v>
      </c>
      <c r="H731" t="n">
        <v>635.466</v>
      </c>
      <c r="I731" t="n">
        <v>30</v>
      </c>
      <c r="J731" t="inlineStr">
        <is>
          <t>BTBR</t>
        </is>
      </c>
      <c r="K731" t="inlineStr">
        <is>
          <t>Male</t>
        </is>
      </c>
      <c r="L731" t="inlineStr">
        <is>
          <t>No focal subject</t>
        </is>
      </c>
      <c r="M731" t="n">
        <v>43.169</v>
      </c>
      <c r="N731" t="inlineStr">
        <is>
          <t>Explore_F2</t>
        </is>
      </c>
      <c r="O731" t="inlineStr">
        <is>
          <t>Second familiar</t>
        </is>
      </c>
      <c r="P731" t="inlineStr">
        <is>
          <t>STATE</t>
        </is>
      </c>
      <c r="Q731" t="n">
        <v>34.067</v>
      </c>
      <c r="R731" t="n">
        <v>34.134</v>
      </c>
      <c r="S731" t="n">
        <v>0.067</v>
      </c>
      <c r="T731" t="inlineStr">
        <is>
          <t>C:/Users/manuel.felline/Documents/BEHAVIOR BTBR/NOR second cohort/BTBR/training/c7_m4.mp4</t>
        </is>
      </c>
      <c r="U731" t="n">
        <v>1272</v>
      </c>
      <c r="V731" t="n">
        <v>1274</v>
      </c>
      <c r="W731" t="n">
        <v/>
      </c>
      <c r="X731" t="n">
        <v/>
      </c>
      <c r="Y731" t="n">
        <v/>
      </c>
      <c r="Z731" t="n">
        <v/>
      </c>
      <c r="AA731">
        <f>SUMIFS($S$2:S731,$A$2:A731,A731,$N$2:N731,"Explore*")</f>
        <v/>
      </c>
      <c r="AB731">
        <f>IF(AND(LEFT(N731,7)="Explore",(AA731-IF(LEFT(N731,7)="Explore",S731,0))&lt;10),"SI","NO")</f>
        <v/>
      </c>
    </row>
    <row r="732">
      <c r="A732" t="inlineStr">
        <is>
          <t>c7m4_training</t>
        </is>
      </c>
      <c r="B732" t="inlineStr">
        <is>
          <t>2026-05-19 16:39:14.981</t>
        </is>
      </c>
      <c r="C732" t="n">
        <v/>
      </c>
      <c r="D732" t="inlineStr">
        <is>
          <t>Media file</t>
        </is>
      </c>
      <c r="E732" t="inlineStr">
        <is>
          <t>player #1:C:/Users/manuel.felline/Documents/BEHAVIOR BTBR/NOR second cohort/BTBR/training/c7_m4.mp4</t>
        </is>
      </c>
      <c r="F732" t="n">
        <v>-8.333</v>
      </c>
      <c r="G732" t="n">
        <v>567.1660000000001</v>
      </c>
      <c r="H732" t="n">
        <v>635.466</v>
      </c>
      <c r="I732" t="n">
        <v>30</v>
      </c>
      <c r="J732" t="inlineStr">
        <is>
          <t>BTBR</t>
        </is>
      </c>
      <c r="K732" t="inlineStr">
        <is>
          <t>Male</t>
        </is>
      </c>
      <c r="L732" t="inlineStr">
        <is>
          <t>No focal subject</t>
        </is>
      </c>
      <c r="M732" t="n">
        <v>43.169</v>
      </c>
      <c r="N732" t="inlineStr">
        <is>
          <t>Explore_F2</t>
        </is>
      </c>
      <c r="O732" t="inlineStr">
        <is>
          <t>Second familiar</t>
        </is>
      </c>
      <c r="P732" t="inlineStr">
        <is>
          <t>STATE</t>
        </is>
      </c>
      <c r="Q732" t="n">
        <v>38.834</v>
      </c>
      <c r="R732" t="n">
        <v>39.2</v>
      </c>
      <c r="S732" t="n">
        <v>0.366</v>
      </c>
      <c r="T732" t="inlineStr">
        <is>
          <t>C:/Users/manuel.felline/Documents/BEHAVIOR BTBR/NOR second cohort/BTBR/training/c7_m4.mp4</t>
        </is>
      </c>
      <c r="U732" t="n">
        <v>1415</v>
      </c>
      <c r="V732" t="n">
        <v>1426</v>
      </c>
      <c r="W732" t="n">
        <v/>
      </c>
      <c r="X732" t="n">
        <v/>
      </c>
      <c r="Y732" t="n">
        <v/>
      </c>
      <c r="Z732" t="n">
        <v/>
      </c>
      <c r="AA732">
        <f>SUMIFS($S$2:S732,$A$2:A732,A732,$N$2:N732,"Explore*")</f>
        <v/>
      </c>
      <c r="AB732">
        <f>IF(AND(LEFT(N732,7)="Explore",(AA732-IF(LEFT(N732,7)="Explore",S732,0))&lt;10),"SI","NO")</f>
        <v/>
      </c>
    </row>
    <row r="733">
      <c r="A733" t="inlineStr">
        <is>
          <t>c7m4_training</t>
        </is>
      </c>
      <c r="B733" t="inlineStr">
        <is>
          <t>2026-05-19 16:39:14.981</t>
        </is>
      </c>
      <c r="C733" t="n">
        <v/>
      </c>
      <c r="D733" t="inlineStr">
        <is>
          <t>Media file</t>
        </is>
      </c>
      <c r="E733" t="inlineStr">
        <is>
          <t>player #1:C:/Users/manuel.felline/Documents/BEHAVIOR BTBR/NOR second cohort/BTBR/training/c7_m4.mp4</t>
        </is>
      </c>
      <c r="F733" t="n">
        <v>-8.333</v>
      </c>
      <c r="G733" t="n">
        <v>567.1660000000001</v>
      </c>
      <c r="H733" t="n">
        <v>635.466</v>
      </c>
      <c r="I733" t="n">
        <v>30</v>
      </c>
      <c r="J733" t="inlineStr">
        <is>
          <t>BTBR</t>
        </is>
      </c>
      <c r="K733" t="inlineStr">
        <is>
          <t>Male</t>
        </is>
      </c>
      <c r="L733" t="inlineStr">
        <is>
          <t>No focal subject</t>
        </is>
      </c>
      <c r="M733" t="n">
        <v>43.169</v>
      </c>
      <c r="N733" t="inlineStr">
        <is>
          <t>Explore_F</t>
        </is>
      </c>
      <c r="O733" t="inlineStr">
        <is>
          <t>Familiar</t>
        </is>
      </c>
      <c r="P733" t="inlineStr">
        <is>
          <t>STATE</t>
        </is>
      </c>
      <c r="Q733" t="n">
        <v>42.267</v>
      </c>
      <c r="R733" t="n">
        <v>42.534</v>
      </c>
      <c r="S733" t="n">
        <v>0.267</v>
      </c>
      <c r="T733" t="inlineStr">
        <is>
          <t>C:/Users/manuel.felline/Documents/BEHAVIOR BTBR/NOR second cohort/BTBR/training/c7_m4.mp4</t>
        </is>
      </c>
      <c r="U733" t="n">
        <v>1518</v>
      </c>
      <c r="V733" t="n">
        <v>1526</v>
      </c>
      <c r="W733" t="n">
        <v/>
      </c>
      <c r="X733" t="n">
        <v/>
      </c>
      <c r="Y733" t="n">
        <v/>
      </c>
      <c r="Z733" t="n">
        <v/>
      </c>
      <c r="AA733">
        <f>SUMIFS($S$2:S733,$A$2:A733,A733,$N$2:N733,"Explore*")</f>
        <v/>
      </c>
      <c r="AB733">
        <f>IF(AND(LEFT(N733,7)="Explore",(AA733-IF(LEFT(N733,7)="Explore",S733,0))&lt;10),"SI","NO")</f>
        <v/>
      </c>
    </row>
    <row r="734">
      <c r="A734" t="inlineStr">
        <is>
          <t>c7m4_training</t>
        </is>
      </c>
      <c r="B734" t="inlineStr">
        <is>
          <t>2026-05-19 16:39:14.981</t>
        </is>
      </c>
      <c r="C734" t="n">
        <v/>
      </c>
      <c r="D734" t="inlineStr">
        <is>
          <t>Media file</t>
        </is>
      </c>
      <c r="E734" t="inlineStr">
        <is>
          <t>player #1:C:/Users/manuel.felline/Documents/BEHAVIOR BTBR/NOR second cohort/BTBR/training/c7_m4.mp4</t>
        </is>
      </c>
      <c r="F734" t="n">
        <v>-8.333</v>
      </c>
      <c r="G734" t="n">
        <v>567.1660000000001</v>
      </c>
      <c r="H734" t="n">
        <v>635.466</v>
      </c>
      <c r="I734" t="n">
        <v>30</v>
      </c>
      <c r="J734" t="inlineStr">
        <is>
          <t>BTBR</t>
        </is>
      </c>
      <c r="K734" t="inlineStr">
        <is>
          <t>Male</t>
        </is>
      </c>
      <c r="L734" t="inlineStr">
        <is>
          <t>No focal subject</t>
        </is>
      </c>
      <c r="M734" t="n">
        <v>43.169</v>
      </c>
      <c r="N734" t="inlineStr">
        <is>
          <t>Explore_F</t>
        </is>
      </c>
      <c r="O734" t="inlineStr">
        <is>
          <t>Familiar</t>
        </is>
      </c>
      <c r="P734" t="inlineStr">
        <is>
          <t>STATE</t>
        </is>
      </c>
      <c r="Q734" t="n">
        <v>42.934</v>
      </c>
      <c r="R734" t="n">
        <v>44.234</v>
      </c>
      <c r="S734" t="n">
        <v>1.3</v>
      </c>
      <c r="T734" t="inlineStr">
        <is>
          <t>C:/Users/manuel.felline/Documents/BEHAVIOR BTBR/NOR second cohort/BTBR/training/c7_m4.mp4</t>
        </is>
      </c>
      <c r="U734" t="n">
        <v>1538</v>
      </c>
      <c r="V734" t="n">
        <v>1577</v>
      </c>
      <c r="W734" t="n">
        <v/>
      </c>
      <c r="X734" t="n">
        <v/>
      </c>
      <c r="Y734" t="n">
        <v/>
      </c>
      <c r="Z734" t="n">
        <v/>
      </c>
      <c r="AA734">
        <f>SUMIFS($S$2:S734,$A$2:A734,A734,$N$2:N734,"Explore*")</f>
        <v/>
      </c>
      <c r="AB734">
        <f>IF(AND(LEFT(N734,7)="Explore",(AA734-IF(LEFT(N734,7)="Explore",S734,0))&lt;10),"SI","NO")</f>
        <v/>
      </c>
    </row>
    <row r="735">
      <c r="A735" t="inlineStr">
        <is>
          <t>c7m4_training</t>
        </is>
      </c>
      <c r="B735" t="inlineStr">
        <is>
          <t>2026-05-19 16:39:14.981</t>
        </is>
      </c>
      <c r="C735" t="n">
        <v/>
      </c>
      <c r="D735" t="inlineStr">
        <is>
          <t>Media file</t>
        </is>
      </c>
      <c r="E735" t="inlineStr">
        <is>
          <t>player #1:C:/Users/manuel.felline/Documents/BEHAVIOR BTBR/NOR second cohort/BTBR/training/c7_m4.mp4</t>
        </is>
      </c>
      <c r="F735" t="n">
        <v>-8.333</v>
      </c>
      <c r="G735" t="n">
        <v>567.1660000000001</v>
      </c>
      <c r="H735" t="n">
        <v>635.466</v>
      </c>
      <c r="I735" t="n">
        <v>30</v>
      </c>
      <c r="J735" t="inlineStr">
        <is>
          <t>BTBR</t>
        </is>
      </c>
      <c r="K735" t="inlineStr">
        <is>
          <t>Male</t>
        </is>
      </c>
      <c r="L735" t="inlineStr">
        <is>
          <t>No focal subject</t>
        </is>
      </c>
      <c r="M735" t="n">
        <v>43.169</v>
      </c>
      <c r="N735" t="inlineStr">
        <is>
          <t>Explore_F2</t>
        </is>
      </c>
      <c r="O735" t="inlineStr">
        <is>
          <t>Second familiar</t>
        </is>
      </c>
      <c r="P735" t="inlineStr">
        <is>
          <t>STATE</t>
        </is>
      </c>
      <c r="Q735" t="n">
        <v>48.3</v>
      </c>
      <c r="R735" t="n">
        <v>48.634</v>
      </c>
      <c r="S735" t="n">
        <v>0.334</v>
      </c>
      <c r="T735" t="inlineStr">
        <is>
          <t>C:/Users/manuel.felline/Documents/BEHAVIOR BTBR/NOR second cohort/BTBR/training/c7_m4.mp4</t>
        </is>
      </c>
      <c r="U735" t="n">
        <v>1699</v>
      </c>
      <c r="V735" t="n">
        <v>1710</v>
      </c>
      <c r="W735" t="n">
        <v/>
      </c>
      <c r="X735" t="n">
        <v/>
      </c>
      <c r="Y735" t="n">
        <v/>
      </c>
      <c r="Z735" t="n">
        <v/>
      </c>
      <c r="AA735">
        <f>SUMIFS($S$2:S735,$A$2:A735,A735,$N$2:N735,"Explore*")</f>
        <v/>
      </c>
      <c r="AB735">
        <f>IF(AND(LEFT(N735,7)="Explore",(AA735-IF(LEFT(N735,7)="Explore",S735,0))&lt;10),"SI","NO")</f>
        <v/>
      </c>
    </row>
    <row r="736">
      <c r="A736" t="inlineStr">
        <is>
          <t>c7m4_training</t>
        </is>
      </c>
      <c r="B736" t="inlineStr">
        <is>
          <t>2026-05-19 16:39:14.981</t>
        </is>
      </c>
      <c r="C736" t="n">
        <v/>
      </c>
      <c r="D736" t="inlineStr">
        <is>
          <t>Media file</t>
        </is>
      </c>
      <c r="E736" t="inlineStr">
        <is>
          <t>player #1:C:/Users/manuel.felline/Documents/BEHAVIOR BTBR/NOR second cohort/BTBR/training/c7_m4.mp4</t>
        </is>
      </c>
      <c r="F736" t="n">
        <v>-8.333</v>
      </c>
      <c r="G736" t="n">
        <v>567.1660000000001</v>
      </c>
      <c r="H736" t="n">
        <v>635.466</v>
      </c>
      <c r="I736" t="n">
        <v>30</v>
      </c>
      <c r="J736" t="inlineStr">
        <is>
          <t>BTBR</t>
        </is>
      </c>
      <c r="K736" t="inlineStr">
        <is>
          <t>Male</t>
        </is>
      </c>
      <c r="L736" t="inlineStr">
        <is>
          <t>No focal subject</t>
        </is>
      </c>
      <c r="M736" t="n">
        <v>43.169</v>
      </c>
      <c r="N736" t="inlineStr">
        <is>
          <t>Explore_F2</t>
        </is>
      </c>
      <c r="O736" t="inlineStr">
        <is>
          <t>Second familiar</t>
        </is>
      </c>
      <c r="P736" t="inlineStr">
        <is>
          <t>STATE</t>
        </is>
      </c>
      <c r="Q736" t="n">
        <v>49.267</v>
      </c>
      <c r="R736" t="n">
        <v>50.267</v>
      </c>
      <c r="S736" t="n">
        <v>1</v>
      </c>
      <c r="T736" t="inlineStr">
        <is>
          <t>C:/Users/manuel.felline/Documents/BEHAVIOR BTBR/NOR second cohort/BTBR/training/c7_m4.mp4</t>
        </is>
      </c>
      <c r="U736" t="n">
        <v>1728</v>
      </c>
      <c r="V736" t="n">
        <v>1758</v>
      </c>
      <c r="W736" t="n">
        <v/>
      </c>
      <c r="X736" t="n">
        <v/>
      </c>
      <c r="Y736" t="n">
        <v/>
      </c>
      <c r="Z736" t="n">
        <v/>
      </c>
      <c r="AA736">
        <f>SUMIFS($S$2:S736,$A$2:A736,A736,$N$2:N736,"Explore*")</f>
        <v/>
      </c>
      <c r="AB736">
        <f>IF(AND(LEFT(N736,7)="Explore",(AA736-IF(LEFT(N736,7)="Explore",S736,0))&lt;10),"SI","NO")</f>
        <v/>
      </c>
    </row>
    <row r="737">
      <c r="A737" t="inlineStr">
        <is>
          <t>c7m4_training</t>
        </is>
      </c>
      <c r="B737" t="inlineStr">
        <is>
          <t>2026-05-19 16:39:14.981</t>
        </is>
      </c>
      <c r="C737" t="n">
        <v/>
      </c>
      <c r="D737" t="inlineStr">
        <is>
          <t>Media file</t>
        </is>
      </c>
      <c r="E737" t="inlineStr">
        <is>
          <t>player #1:C:/Users/manuel.felline/Documents/BEHAVIOR BTBR/NOR second cohort/BTBR/training/c7_m4.mp4</t>
        </is>
      </c>
      <c r="F737" t="n">
        <v>-8.333</v>
      </c>
      <c r="G737" t="n">
        <v>567.1660000000001</v>
      </c>
      <c r="H737" t="n">
        <v>635.466</v>
      </c>
      <c r="I737" t="n">
        <v>30</v>
      </c>
      <c r="J737" t="inlineStr">
        <is>
          <t>BTBR</t>
        </is>
      </c>
      <c r="K737" t="inlineStr">
        <is>
          <t>Male</t>
        </is>
      </c>
      <c r="L737" t="inlineStr">
        <is>
          <t>No focal subject</t>
        </is>
      </c>
      <c r="M737" t="n">
        <v>43.169</v>
      </c>
      <c r="N737" t="inlineStr">
        <is>
          <t>Explore_F</t>
        </is>
      </c>
      <c r="O737" t="inlineStr">
        <is>
          <t>Familiar</t>
        </is>
      </c>
      <c r="P737" t="inlineStr">
        <is>
          <t>STATE</t>
        </is>
      </c>
      <c r="Q737" t="n">
        <v>51.667</v>
      </c>
      <c r="R737" t="n">
        <v>52.634</v>
      </c>
      <c r="S737" t="n">
        <v>0.967</v>
      </c>
      <c r="T737" t="inlineStr">
        <is>
          <t>C:/Users/manuel.felline/Documents/BEHAVIOR BTBR/NOR second cohort/BTBR/training/c7_m4.mp4</t>
        </is>
      </c>
      <c r="U737" t="n">
        <v>1800</v>
      </c>
      <c r="V737" t="n">
        <v>1829</v>
      </c>
      <c r="W737" t="n">
        <v/>
      </c>
      <c r="X737" t="n">
        <v/>
      </c>
      <c r="Y737" t="n">
        <v/>
      </c>
      <c r="Z737" t="n">
        <v/>
      </c>
      <c r="AA737">
        <f>SUMIFS($S$2:S737,$A$2:A737,A737,$N$2:N737,"Explore*")</f>
        <v/>
      </c>
      <c r="AB737">
        <f>IF(AND(LEFT(N737,7)="Explore",(AA737-IF(LEFT(N737,7)="Explore",S737,0))&lt;10),"SI","NO")</f>
        <v/>
      </c>
    </row>
    <row r="738">
      <c r="A738" t="inlineStr">
        <is>
          <t>c7m4_training</t>
        </is>
      </c>
      <c r="B738" t="inlineStr">
        <is>
          <t>2026-05-19 16:39:14.981</t>
        </is>
      </c>
      <c r="C738" t="n">
        <v/>
      </c>
      <c r="D738" t="inlineStr">
        <is>
          <t>Media file</t>
        </is>
      </c>
      <c r="E738" t="inlineStr">
        <is>
          <t>player #1:C:/Users/manuel.felline/Documents/BEHAVIOR BTBR/NOR second cohort/BTBR/training/c7_m4.mp4</t>
        </is>
      </c>
      <c r="F738" t="n">
        <v>-8.333</v>
      </c>
      <c r="G738" t="n">
        <v>567.1660000000001</v>
      </c>
      <c r="H738" t="n">
        <v>635.466</v>
      </c>
      <c r="I738" t="n">
        <v>30</v>
      </c>
      <c r="J738" t="inlineStr">
        <is>
          <t>BTBR</t>
        </is>
      </c>
      <c r="K738" t="inlineStr">
        <is>
          <t>Male</t>
        </is>
      </c>
      <c r="L738" t="inlineStr">
        <is>
          <t>No focal subject</t>
        </is>
      </c>
      <c r="M738" t="n">
        <v>43.169</v>
      </c>
      <c r="N738" t="inlineStr">
        <is>
          <t>Explore_F</t>
        </is>
      </c>
      <c r="O738" t="inlineStr">
        <is>
          <t>Familiar</t>
        </is>
      </c>
      <c r="P738" t="inlineStr">
        <is>
          <t>STATE</t>
        </is>
      </c>
      <c r="Q738" t="n">
        <v>55.667</v>
      </c>
      <c r="R738" t="n">
        <v>56.9</v>
      </c>
      <c r="S738" t="n">
        <v>1.233</v>
      </c>
      <c r="T738" t="inlineStr">
        <is>
          <t>C:/Users/manuel.felline/Documents/BEHAVIOR BTBR/NOR second cohort/BTBR/training/c7_m4.mp4</t>
        </is>
      </c>
      <c r="U738" t="n">
        <v>1920</v>
      </c>
      <c r="V738" t="n">
        <v>1956</v>
      </c>
      <c r="W738" t="n">
        <v/>
      </c>
      <c r="X738" t="n">
        <v/>
      </c>
      <c r="Y738" t="n">
        <v/>
      </c>
      <c r="Z738" t="n">
        <v/>
      </c>
      <c r="AA738">
        <f>SUMIFS($S$2:S738,$A$2:A738,A738,$N$2:N738,"Explore*")</f>
        <v/>
      </c>
      <c r="AB738">
        <f>IF(AND(LEFT(N738,7)="Explore",(AA738-IF(LEFT(N738,7)="Explore",S738,0))&lt;10),"SI","NO")</f>
        <v/>
      </c>
    </row>
    <row r="739">
      <c r="A739" t="inlineStr">
        <is>
          <t>c7m4_training</t>
        </is>
      </c>
      <c r="B739" t="inlineStr">
        <is>
          <t>2026-05-19 16:39:14.981</t>
        </is>
      </c>
      <c r="C739" t="n">
        <v/>
      </c>
      <c r="D739" t="inlineStr">
        <is>
          <t>Media file</t>
        </is>
      </c>
      <c r="E739" t="inlineStr">
        <is>
          <t>player #1:C:/Users/manuel.felline/Documents/BEHAVIOR BTBR/NOR second cohort/BTBR/training/c7_m4.mp4</t>
        </is>
      </c>
      <c r="F739" t="n">
        <v>-8.333</v>
      </c>
      <c r="G739" t="n">
        <v>567.1660000000001</v>
      </c>
      <c r="H739" t="n">
        <v>635.466</v>
      </c>
      <c r="I739" t="n">
        <v>30</v>
      </c>
      <c r="J739" t="inlineStr">
        <is>
          <t>BTBR</t>
        </is>
      </c>
      <c r="K739" t="inlineStr">
        <is>
          <t>Male</t>
        </is>
      </c>
      <c r="L739" t="inlineStr">
        <is>
          <t>No focal subject</t>
        </is>
      </c>
      <c r="M739" t="n">
        <v>43.169</v>
      </c>
      <c r="N739" t="inlineStr">
        <is>
          <t>Explore_F2</t>
        </is>
      </c>
      <c r="O739" t="inlineStr">
        <is>
          <t>Second familiar</t>
        </is>
      </c>
      <c r="P739" t="inlineStr">
        <is>
          <t>STATE</t>
        </is>
      </c>
      <c r="Q739" t="n">
        <v>67</v>
      </c>
      <c r="R739" t="n">
        <v>67.53400000000001</v>
      </c>
      <c r="S739" t="n">
        <v>0.534</v>
      </c>
      <c r="T739" t="inlineStr">
        <is>
          <t>C:/Users/manuel.felline/Documents/BEHAVIOR BTBR/NOR second cohort/BTBR/training/c7_m4.mp4</t>
        </is>
      </c>
      <c r="U739" t="n">
        <v>2259</v>
      </c>
      <c r="V739" t="n">
        <v>2275</v>
      </c>
      <c r="W739" t="n">
        <v/>
      </c>
      <c r="X739" t="n">
        <v/>
      </c>
      <c r="Y739" t="n">
        <v/>
      </c>
      <c r="Z739" t="n">
        <v/>
      </c>
      <c r="AA739">
        <f>SUMIFS($S$2:S739,$A$2:A739,A739,$N$2:N739,"Explore*")</f>
        <v/>
      </c>
      <c r="AB739">
        <f>IF(AND(LEFT(N739,7)="Explore",(AA739-IF(LEFT(N739,7)="Explore",S739,0))&lt;10),"SI","NO")</f>
        <v/>
      </c>
    </row>
    <row r="740">
      <c r="A740" t="inlineStr">
        <is>
          <t>c7m4_training</t>
        </is>
      </c>
      <c r="B740" t="inlineStr">
        <is>
          <t>2026-05-19 16:39:14.981</t>
        </is>
      </c>
      <c r="C740" t="n">
        <v/>
      </c>
      <c r="D740" t="inlineStr">
        <is>
          <t>Media file</t>
        </is>
      </c>
      <c r="E740" t="inlineStr">
        <is>
          <t>player #1:C:/Users/manuel.felline/Documents/BEHAVIOR BTBR/NOR second cohort/BTBR/training/c7_m4.mp4</t>
        </is>
      </c>
      <c r="F740" t="n">
        <v>-8.333</v>
      </c>
      <c r="G740" t="n">
        <v>567.1660000000001</v>
      </c>
      <c r="H740" t="n">
        <v>635.466</v>
      </c>
      <c r="I740" t="n">
        <v>30</v>
      </c>
      <c r="J740" t="inlineStr">
        <is>
          <t>BTBR</t>
        </is>
      </c>
      <c r="K740" t="inlineStr">
        <is>
          <t>Male</t>
        </is>
      </c>
      <c r="L740" t="inlineStr">
        <is>
          <t>No focal subject</t>
        </is>
      </c>
      <c r="M740" t="n">
        <v>43.169</v>
      </c>
      <c r="N740" t="inlineStr">
        <is>
          <t>Explore_F2</t>
        </is>
      </c>
      <c r="O740" t="inlineStr">
        <is>
          <t>Second familiar</t>
        </is>
      </c>
      <c r="P740" t="inlineStr">
        <is>
          <t>STATE</t>
        </is>
      </c>
      <c r="Q740" t="n">
        <v>68.90000000000001</v>
      </c>
      <c r="R740" t="n">
        <v>69.23399999999999</v>
      </c>
      <c r="S740" t="n">
        <v>0.334</v>
      </c>
      <c r="T740" t="inlineStr">
        <is>
          <t>C:/Users/manuel.felline/Documents/BEHAVIOR BTBR/NOR second cohort/BTBR/training/c7_m4.mp4</t>
        </is>
      </c>
      <c r="U740" t="n">
        <v>2316</v>
      </c>
      <c r="V740" t="n">
        <v>2326</v>
      </c>
      <c r="W740" t="n">
        <v/>
      </c>
      <c r="X740" t="n">
        <v/>
      </c>
      <c r="Y740" t="n">
        <v/>
      </c>
      <c r="Z740" t="n">
        <v/>
      </c>
      <c r="AA740">
        <f>SUMIFS($S$2:S740,$A$2:A740,A740,$N$2:N740,"Explore*")</f>
        <v/>
      </c>
      <c r="AB740">
        <f>IF(AND(LEFT(N740,7)="Explore",(AA740-IF(LEFT(N740,7)="Explore",S740,0))&lt;10),"SI","NO")</f>
        <v/>
      </c>
    </row>
    <row r="741">
      <c r="A741" t="inlineStr">
        <is>
          <t>c7m4_training</t>
        </is>
      </c>
      <c r="B741" t="inlineStr">
        <is>
          <t>2026-05-19 16:39:14.981</t>
        </is>
      </c>
      <c r="C741" t="n">
        <v/>
      </c>
      <c r="D741" t="inlineStr">
        <is>
          <t>Media file</t>
        </is>
      </c>
      <c r="E741" t="inlineStr">
        <is>
          <t>player #1:C:/Users/manuel.felline/Documents/BEHAVIOR BTBR/NOR second cohort/BTBR/training/c7_m4.mp4</t>
        </is>
      </c>
      <c r="F741" t="n">
        <v>-8.333</v>
      </c>
      <c r="G741" t="n">
        <v>567.1660000000001</v>
      </c>
      <c r="H741" t="n">
        <v>635.466</v>
      </c>
      <c r="I741" t="n">
        <v>30</v>
      </c>
      <c r="J741" t="inlineStr">
        <is>
          <t>BTBR</t>
        </is>
      </c>
      <c r="K741" t="inlineStr">
        <is>
          <t>Male</t>
        </is>
      </c>
      <c r="L741" t="inlineStr">
        <is>
          <t>No focal subject</t>
        </is>
      </c>
      <c r="M741" t="n">
        <v>43.169</v>
      </c>
      <c r="N741" t="inlineStr">
        <is>
          <t>Explore_F</t>
        </is>
      </c>
      <c r="O741" t="inlineStr">
        <is>
          <t>Familiar</t>
        </is>
      </c>
      <c r="P741" t="inlineStr">
        <is>
          <t>STATE</t>
        </is>
      </c>
      <c r="Q741" t="n">
        <v>71.90000000000001</v>
      </c>
      <c r="R741" t="n">
        <v>73.53400000000001</v>
      </c>
      <c r="S741" t="n">
        <v>1.634</v>
      </c>
      <c r="T741" t="inlineStr">
        <is>
          <t>C:/Users/manuel.felline/Documents/BEHAVIOR BTBR/NOR second cohort/BTBR/training/c7_m4.mp4</t>
        </is>
      </c>
      <c r="U741" t="n">
        <v>2406</v>
      </c>
      <c r="V741" t="n">
        <v>2455</v>
      </c>
      <c r="W741" t="n">
        <v/>
      </c>
      <c r="X741" t="n">
        <v/>
      </c>
      <c r="Y741" t="n">
        <v/>
      </c>
      <c r="Z741" t="n">
        <v/>
      </c>
      <c r="AA741">
        <f>SUMIFS($S$2:S741,$A$2:A741,A741,$N$2:N741,"Explore*")</f>
        <v/>
      </c>
      <c r="AB741">
        <f>IF(AND(LEFT(N741,7)="Explore",(AA741-IF(LEFT(N741,7)="Explore",S741,0))&lt;10),"SI","NO")</f>
        <v/>
      </c>
    </row>
    <row r="742">
      <c r="A742" t="inlineStr">
        <is>
          <t>c7m4_training</t>
        </is>
      </c>
      <c r="B742" t="inlineStr">
        <is>
          <t>2026-05-19 16:39:14.981</t>
        </is>
      </c>
      <c r="C742" t="n">
        <v/>
      </c>
      <c r="D742" t="inlineStr">
        <is>
          <t>Media file</t>
        </is>
      </c>
      <c r="E742" t="inlineStr">
        <is>
          <t>player #1:C:/Users/manuel.felline/Documents/BEHAVIOR BTBR/NOR second cohort/BTBR/training/c7_m4.mp4</t>
        </is>
      </c>
      <c r="F742" t="n">
        <v>-8.333</v>
      </c>
      <c r="G742" t="n">
        <v>567.1660000000001</v>
      </c>
      <c r="H742" t="n">
        <v>635.466</v>
      </c>
      <c r="I742" t="n">
        <v>30</v>
      </c>
      <c r="J742" t="inlineStr">
        <is>
          <t>BTBR</t>
        </is>
      </c>
      <c r="K742" t="inlineStr">
        <is>
          <t>Male</t>
        </is>
      </c>
      <c r="L742" t="inlineStr">
        <is>
          <t>No focal subject</t>
        </is>
      </c>
      <c r="M742" t="n">
        <v>43.169</v>
      </c>
      <c r="N742" t="inlineStr">
        <is>
          <t>Explore_F2</t>
        </is>
      </c>
      <c r="O742" t="inlineStr">
        <is>
          <t>Second familiar</t>
        </is>
      </c>
      <c r="P742" t="inlineStr">
        <is>
          <t>STATE</t>
        </is>
      </c>
      <c r="Q742" t="n">
        <v>74.7</v>
      </c>
      <c r="R742" t="n">
        <v>76</v>
      </c>
      <c r="S742" t="n">
        <v>1.3</v>
      </c>
      <c r="T742" t="inlineStr">
        <is>
          <t>C:/Users/manuel.felline/Documents/BEHAVIOR BTBR/NOR second cohort/BTBR/training/c7_m4.mp4</t>
        </is>
      </c>
      <c r="U742" t="n">
        <v>2490</v>
      </c>
      <c r="V742" t="n">
        <v>2529</v>
      </c>
      <c r="W742" t="n">
        <v/>
      </c>
      <c r="X742" t="n">
        <v/>
      </c>
      <c r="Y742" t="n">
        <v/>
      </c>
      <c r="Z742" t="n">
        <v/>
      </c>
      <c r="AA742">
        <f>SUMIFS($S$2:S742,$A$2:A742,A742,$N$2:N742,"Explore*")</f>
        <v/>
      </c>
      <c r="AB742">
        <f>IF(AND(LEFT(N742,7)="Explore",(AA742-IF(LEFT(N742,7)="Explore",S742,0))&lt;10),"SI","NO")</f>
        <v/>
      </c>
    </row>
    <row r="743">
      <c r="A743" t="inlineStr">
        <is>
          <t>c7m4_training</t>
        </is>
      </c>
      <c r="B743" t="inlineStr">
        <is>
          <t>2026-05-19 16:39:14.981</t>
        </is>
      </c>
      <c r="C743" t="n">
        <v/>
      </c>
      <c r="D743" t="inlineStr">
        <is>
          <t>Media file</t>
        </is>
      </c>
      <c r="E743" t="inlineStr">
        <is>
          <t>player #1:C:/Users/manuel.felline/Documents/BEHAVIOR BTBR/NOR second cohort/BTBR/training/c7_m4.mp4</t>
        </is>
      </c>
      <c r="F743" t="n">
        <v>-8.333</v>
      </c>
      <c r="G743" t="n">
        <v>567.1660000000001</v>
      </c>
      <c r="H743" t="n">
        <v>635.466</v>
      </c>
      <c r="I743" t="n">
        <v>30</v>
      </c>
      <c r="J743" t="inlineStr">
        <is>
          <t>BTBR</t>
        </is>
      </c>
      <c r="K743" t="inlineStr">
        <is>
          <t>Male</t>
        </is>
      </c>
      <c r="L743" t="inlineStr">
        <is>
          <t>No focal subject</t>
        </is>
      </c>
      <c r="M743" t="n">
        <v>43.169</v>
      </c>
      <c r="N743" t="inlineStr">
        <is>
          <t>Explore_F</t>
        </is>
      </c>
      <c r="O743" t="inlineStr">
        <is>
          <t>Familiar</t>
        </is>
      </c>
      <c r="P743" t="inlineStr">
        <is>
          <t>STATE</t>
        </is>
      </c>
      <c r="Q743" t="n">
        <v>79.03400000000001</v>
      </c>
      <c r="R743" t="n">
        <v>79.40000000000001</v>
      </c>
      <c r="S743" t="n">
        <v>0.366</v>
      </c>
      <c r="T743" t="inlineStr">
        <is>
          <t>C:/Users/manuel.felline/Documents/BEHAVIOR BTBR/NOR second cohort/BTBR/training/c7_m4.mp4</t>
        </is>
      </c>
      <c r="U743" t="n">
        <v>2620</v>
      </c>
      <c r="V743" t="n">
        <v>2631</v>
      </c>
      <c r="W743" t="n">
        <v/>
      </c>
      <c r="X743" t="n">
        <v/>
      </c>
      <c r="Y743" t="n">
        <v/>
      </c>
      <c r="Z743" t="n">
        <v/>
      </c>
      <c r="AA743">
        <f>SUMIFS($S$2:S743,$A$2:A743,A743,$N$2:N743,"Explore*")</f>
        <v/>
      </c>
      <c r="AB743">
        <f>IF(AND(LEFT(N743,7)="Explore",(AA743-IF(LEFT(N743,7)="Explore",S743,0))&lt;10),"SI","NO")</f>
        <v/>
      </c>
    </row>
    <row r="744">
      <c r="A744" t="inlineStr">
        <is>
          <t>c7m4_training</t>
        </is>
      </c>
      <c r="B744" t="inlineStr">
        <is>
          <t>2026-05-19 16:39:14.981</t>
        </is>
      </c>
      <c r="C744" t="n">
        <v/>
      </c>
      <c r="D744" t="inlineStr">
        <is>
          <t>Media file</t>
        </is>
      </c>
      <c r="E744" t="inlineStr">
        <is>
          <t>player #1:C:/Users/manuel.felline/Documents/BEHAVIOR BTBR/NOR second cohort/BTBR/training/c7_m4.mp4</t>
        </is>
      </c>
      <c r="F744" t="n">
        <v>-8.333</v>
      </c>
      <c r="G744" t="n">
        <v>567.1660000000001</v>
      </c>
      <c r="H744" t="n">
        <v>635.466</v>
      </c>
      <c r="I744" t="n">
        <v>30</v>
      </c>
      <c r="J744" t="inlineStr">
        <is>
          <t>BTBR</t>
        </is>
      </c>
      <c r="K744" t="inlineStr">
        <is>
          <t>Male</t>
        </is>
      </c>
      <c r="L744" t="inlineStr">
        <is>
          <t>No focal subject</t>
        </is>
      </c>
      <c r="M744" t="n">
        <v>43.169</v>
      </c>
      <c r="N744" t="inlineStr">
        <is>
          <t>Explore_F</t>
        </is>
      </c>
      <c r="O744" t="inlineStr">
        <is>
          <t>Familiar</t>
        </is>
      </c>
      <c r="P744" t="inlineStr">
        <is>
          <t>STATE</t>
        </is>
      </c>
      <c r="Q744" t="n">
        <v>80.5</v>
      </c>
      <c r="R744" t="n">
        <v>81.867</v>
      </c>
      <c r="S744" t="n">
        <v>1.367</v>
      </c>
      <c r="T744" t="inlineStr">
        <is>
          <t>C:/Users/manuel.felline/Documents/BEHAVIOR BTBR/NOR second cohort/BTBR/training/c7_m4.mp4</t>
        </is>
      </c>
      <c r="U744" t="n">
        <v>2664</v>
      </c>
      <c r="V744" t="n">
        <v>2705</v>
      </c>
      <c r="W744" t="n">
        <v/>
      </c>
      <c r="X744" t="n">
        <v/>
      </c>
      <c r="Y744" t="n">
        <v/>
      </c>
      <c r="Z744" t="n">
        <v/>
      </c>
      <c r="AA744">
        <f>SUMIFS($S$2:S744,$A$2:A744,A744,$N$2:N744,"Explore*")</f>
        <v/>
      </c>
      <c r="AB744">
        <f>IF(AND(LEFT(N744,7)="Explore",(AA744-IF(LEFT(N744,7)="Explore",S744,0))&lt;10),"SI","NO")</f>
        <v/>
      </c>
    </row>
    <row r="745">
      <c r="A745" t="inlineStr">
        <is>
          <t>c7m4_training</t>
        </is>
      </c>
      <c r="B745" t="inlineStr">
        <is>
          <t>2026-05-19 16:39:14.981</t>
        </is>
      </c>
      <c r="C745" t="n">
        <v/>
      </c>
      <c r="D745" t="inlineStr">
        <is>
          <t>Media file</t>
        </is>
      </c>
      <c r="E745" t="inlineStr">
        <is>
          <t>player #1:C:/Users/manuel.felline/Documents/BEHAVIOR BTBR/NOR second cohort/BTBR/training/c7_m4.mp4</t>
        </is>
      </c>
      <c r="F745" t="n">
        <v>-8.333</v>
      </c>
      <c r="G745" t="n">
        <v>567.1660000000001</v>
      </c>
      <c r="H745" t="n">
        <v>635.466</v>
      </c>
      <c r="I745" t="n">
        <v>30</v>
      </c>
      <c r="J745" t="inlineStr">
        <is>
          <t>BTBR</t>
        </is>
      </c>
      <c r="K745" t="inlineStr">
        <is>
          <t>Male</t>
        </is>
      </c>
      <c r="L745" t="inlineStr">
        <is>
          <t>No focal subject</t>
        </is>
      </c>
      <c r="M745" t="n">
        <v>43.169</v>
      </c>
      <c r="N745" t="inlineStr">
        <is>
          <t>Explore_F2</t>
        </is>
      </c>
      <c r="O745" t="inlineStr">
        <is>
          <t>Second familiar</t>
        </is>
      </c>
      <c r="P745" t="inlineStr">
        <is>
          <t>STATE</t>
        </is>
      </c>
      <c r="Q745" t="n">
        <v>82.934</v>
      </c>
      <c r="R745" t="n">
        <v>84.2</v>
      </c>
      <c r="S745" t="n">
        <v>1.266</v>
      </c>
      <c r="T745" t="inlineStr">
        <is>
          <t>C:/Users/manuel.felline/Documents/BEHAVIOR BTBR/NOR second cohort/BTBR/training/c7_m4.mp4</t>
        </is>
      </c>
      <c r="U745" t="n">
        <v>2737</v>
      </c>
      <c r="V745" t="n">
        <v>2775</v>
      </c>
      <c r="W745" t="n">
        <v/>
      </c>
      <c r="X745" t="n">
        <v/>
      </c>
      <c r="Y745" t="n">
        <v/>
      </c>
      <c r="Z745" t="n">
        <v/>
      </c>
      <c r="AA745">
        <f>SUMIFS($S$2:S745,$A$2:A745,A745,$N$2:N745,"Explore*")</f>
        <v/>
      </c>
      <c r="AB745">
        <f>IF(AND(LEFT(N745,7)="Explore",(AA745-IF(LEFT(N745,7)="Explore",S745,0))&lt;10),"SI","NO")</f>
        <v/>
      </c>
    </row>
    <row r="746">
      <c r="A746" t="inlineStr">
        <is>
          <t>c7m4_training</t>
        </is>
      </c>
      <c r="B746" t="inlineStr">
        <is>
          <t>2026-05-19 16:39:14.981</t>
        </is>
      </c>
      <c r="C746" t="n">
        <v/>
      </c>
      <c r="D746" t="inlineStr">
        <is>
          <t>Media file</t>
        </is>
      </c>
      <c r="E746" t="inlineStr">
        <is>
          <t>player #1:C:/Users/manuel.felline/Documents/BEHAVIOR BTBR/NOR second cohort/BTBR/training/c7_m4.mp4</t>
        </is>
      </c>
      <c r="F746" t="n">
        <v>-8.333</v>
      </c>
      <c r="G746" t="n">
        <v>567.1660000000001</v>
      </c>
      <c r="H746" t="n">
        <v>635.466</v>
      </c>
      <c r="I746" t="n">
        <v>30</v>
      </c>
      <c r="J746" t="inlineStr">
        <is>
          <t>BTBR</t>
        </is>
      </c>
      <c r="K746" t="inlineStr">
        <is>
          <t>Male</t>
        </is>
      </c>
      <c r="L746" t="inlineStr">
        <is>
          <t>No focal subject</t>
        </is>
      </c>
      <c r="M746" t="n">
        <v>43.169</v>
      </c>
      <c r="N746" t="inlineStr">
        <is>
          <t>Explore_F</t>
        </is>
      </c>
      <c r="O746" t="inlineStr">
        <is>
          <t>Familiar</t>
        </is>
      </c>
      <c r="P746" t="inlineStr">
        <is>
          <t>STATE</t>
        </is>
      </c>
      <c r="Q746" t="n">
        <v>92.467</v>
      </c>
      <c r="R746" t="n">
        <v>93.134</v>
      </c>
      <c r="S746" t="n">
        <v>0.667</v>
      </c>
      <c r="T746" t="inlineStr">
        <is>
          <t>C:/Users/manuel.felline/Documents/BEHAVIOR BTBR/NOR second cohort/BTBR/training/c7_m4.mp4</t>
        </is>
      </c>
      <c r="U746" t="n">
        <v>3024</v>
      </c>
      <c r="V746" t="n">
        <v>3043</v>
      </c>
      <c r="W746" t="n">
        <v/>
      </c>
      <c r="X746" t="n">
        <v/>
      </c>
      <c r="Y746" t="n">
        <v/>
      </c>
      <c r="Z746" t="n">
        <v/>
      </c>
      <c r="AA746">
        <f>SUMIFS($S$2:S746,$A$2:A746,A746,$N$2:N746,"Explore*")</f>
        <v/>
      </c>
      <c r="AB746">
        <f>IF(AND(LEFT(N746,7)="Explore",(AA746-IF(LEFT(N746,7)="Explore",S746,0))&lt;10),"SI","NO")</f>
        <v/>
      </c>
    </row>
    <row r="747">
      <c r="A747" t="inlineStr">
        <is>
          <t>c7m4_training</t>
        </is>
      </c>
      <c r="B747" t="inlineStr">
        <is>
          <t>2026-05-19 16:39:14.981</t>
        </is>
      </c>
      <c r="C747" t="n">
        <v/>
      </c>
      <c r="D747" t="inlineStr">
        <is>
          <t>Media file</t>
        </is>
      </c>
      <c r="E747" t="inlineStr">
        <is>
          <t>player #1:C:/Users/manuel.felline/Documents/BEHAVIOR BTBR/NOR second cohort/BTBR/training/c7_m4.mp4</t>
        </is>
      </c>
      <c r="F747" t="n">
        <v>-8.333</v>
      </c>
      <c r="G747" t="n">
        <v>567.1660000000001</v>
      </c>
      <c r="H747" t="n">
        <v>635.466</v>
      </c>
      <c r="I747" t="n">
        <v>30</v>
      </c>
      <c r="J747" t="inlineStr">
        <is>
          <t>BTBR</t>
        </is>
      </c>
      <c r="K747" t="inlineStr">
        <is>
          <t>Male</t>
        </is>
      </c>
      <c r="L747" t="inlineStr">
        <is>
          <t>No focal subject</t>
        </is>
      </c>
      <c r="M747" t="n">
        <v>43.169</v>
      </c>
      <c r="N747" t="inlineStr">
        <is>
          <t>Explore_F2</t>
        </is>
      </c>
      <c r="O747" t="inlineStr">
        <is>
          <t>Second familiar</t>
        </is>
      </c>
      <c r="P747" t="inlineStr">
        <is>
          <t>STATE</t>
        </is>
      </c>
      <c r="Q747" t="n">
        <v>108.834</v>
      </c>
      <c r="R747" t="n">
        <v>109.134</v>
      </c>
      <c r="S747" t="n">
        <v>0.3</v>
      </c>
      <c r="T747" t="inlineStr">
        <is>
          <t>C:/Users/manuel.felline/Documents/BEHAVIOR BTBR/NOR second cohort/BTBR/training/c7_m4.mp4</t>
        </is>
      </c>
      <c r="U747" t="n">
        <v>3514</v>
      </c>
      <c r="V747" t="n">
        <v>3523</v>
      </c>
      <c r="W747" t="n">
        <v/>
      </c>
      <c r="X747" t="n">
        <v/>
      </c>
      <c r="Y747" t="n">
        <v/>
      </c>
      <c r="Z747" t="n">
        <v/>
      </c>
      <c r="AA747">
        <f>SUMIFS($S$2:S747,$A$2:A747,A747,$N$2:N747,"Explore*")</f>
        <v/>
      </c>
      <c r="AB747">
        <f>IF(AND(LEFT(N747,7)="Explore",(AA747-IF(LEFT(N747,7)="Explore",S747,0))&lt;10),"SI","NO")</f>
        <v/>
      </c>
    </row>
    <row r="748">
      <c r="A748" t="inlineStr">
        <is>
          <t>c7m4_training</t>
        </is>
      </c>
      <c r="B748" t="inlineStr">
        <is>
          <t>2026-05-19 16:39:14.981</t>
        </is>
      </c>
      <c r="C748" t="n">
        <v/>
      </c>
      <c r="D748" t="inlineStr">
        <is>
          <t>Media file</t>
        </is>
      </c>
      <c r="E748" t="inlineStr">
        <is>
          <t>player #1:C:/Users/manuel.felline/Documents/BEHAVIOR BTBR/NOR second cohort/BTBR/training/c7_m4.mp4</t>
        </is>
      </c>
      <c r="F748" t="n">
        <v>-8.333</v>
      </c>
      <c r="G748" t="n">
        <v>567.1660000000001</v>
      </c>
      <c r="H748" t="n">
        <v>635.466</v>
      </c>
      <c r="I748" t="n">
        <v>30</v>
      </c>
      <c r="J748" t="inlineStr">
        <is>
          <t>BTBR</t>
        </is>
      </c>
      <c r="K748" t="inlineStr">
        <is>
          <t>Male</t>
        </is>
      </c>
      <c r="L748" t="inlineStr">
        <is>
          <t>No focal subject</t>
        </is>
      </c>
      <c r="M748" t="n">
        <v>43.169</v>
      </c>
      <c r="N748" t="inlineStr">
        <is>
          <t>Explore_F2</t>
        </is>
      </c>
      <c r="O748" t="inlineStr">
        <is>
          <t>Second familiar</t>
        </is>
      </c>
      <c r="P748" t="inlineStr">
        <is>
          <t>STATE</t>
        </is>
      </c>
      <c r="Q748" t="n">
        <v>109.767</v>
      </c>
      <c r="R748" t="n">
        <v>110.834</v>
      </c>
      <c r="S748" t="n">
        <v>1.067</v>
      </c>
      <c r="T748" t="inlineStr">
        <is>
          <t>C:/Users/manuel.felline/Documents/BEHAVIOR BTBR/NOR second cohort/BTBR/training/c7_m4.mp4</t>
        </is>
      </c>
      <c r="U748" t="n">
        <v>3542</v>
      </c>
      <c r="V748" t="n">
        <v>3574</v>
      </c>
      <c r="W748" t="n">
        <v/>
      </c>
      <c r="X748" t="n">
        <v/>
      </c>
      <c r="Y748" t="n">
        <v/>
      </c>
      <c r="Z748" t="n">
        <v/>
      </c>
      <c r="AA748">
        <f>SUMIFS($S$2:S748,$A$2:A748,A748,$N$2:N748,"Explore*")</f>
        <v/>
      </c>
      <c r="AB748">
        <f>IF(AND(LEFT(N748,7)="Explore",(AA748-IF(LEFT(N748,7)="Explore",S748,0))&lt;10),"SI","NO")</f>
        <v/>
      </c>
    </row>
    <row r="749">
      <c r="A749" t="inlineStr">
        <is>
          <t>c7m4_training</t>
        </is>
      </c>
      <c r="B749" t="inlineStr">
        <is>
          <t>2026-05-19 16:39:14.981</t>
        </is>
      </c>
      <c r="C749" t="n">
        <v/>
      </c>
      <c r="D749" t="inlineStr">
        <is>
          <t>Media file</t>
        </is>
      </c>
      <c r="E749" t="inlineStr">
        <is>
          <t>player #1:C:/Users/manuel.felline/Documents/BEHAVIOR BTBR/NOR second cohort/BTBR/training/c7_m4.mp4</t>
        </is>
      </c>
      <c r="F749" t="n">
        <v>-8.333</v>
      </c>
      <c r="G749" t="n">
        <v>567.1660000000001</v>
      </c>
      <c r="H749" t="n">
        <v>635.466</v>
      </c>
      <c r="I749" t="n">
        <v>30</v>
      </c>
      <c r="J749" t="inlineStr">
        <is>
          <t>BTBR</t>
        </is>
      </c>
      <c r="K749" t="inlineStr">
        <is>
          <t>Male</t>
        </is>
      </c>
      <c r="L749" t="inlineStr">
        <is>
          <t>No focal subject</t>
        </is>
      </c>
      <c r="M749" t="n">
        <v>43.169</v>
      </c>
      <c r="N749" t="inlineStr">
        <is>
          <t>Explore_F</t>
        </is>
      </c>
      <c r="O749" t="inlineStr">
        <is>
          <t>Familiar</t>
        </is>
      </c>
      <c r="P749" t="inlineStr">
        <is>
          <t>STATE</t>
        </is>
      </c>
      <c r="Q749" t="n">
        <v>117.167</v>
      </c>
      <c r="R749" t="n">
        <v>118.6</v>
      </c>
      <c r="S749" t="n">
        <v>1.433</v>
      </c>
      <c r="T749" t="inlineStr">
        <is>
          <t>C:/Users/manuel.felline/Documents/BEHAVIOR BTBR/NOR second cohort/BTBR/training/c7_m4.mp4</t>
        </is>
      </c>
      <c r="U749" t="n">
        <v>3764</v>
      </c>
      <c r="V749" t="n">
        <v>3807</v>
      </c>
      <c r="W749" t="n">
        <v/>
      </c>
      <c r="X749" t="n">
        <v/>
      </c>
      <c r="Y749" t="n">
        <v/>
      </c>
      <c r="Z749" t="n">
        <v/>
      </c>
      <c r="AA749">
        <f>SUMIFS($S$2:S749,$A$2:A749,A749,$N$2:N749,"Explore*")</f>
        <v/>
      </c>
      <c r="AB749">
        <f>IF(AND(LEFT(N749,7)="Explore",(AA749-IF(LEFT(N749,7)="Explore",S749,0))&lt;10),"SI","NO")</f>
        <v/>
      </c>
    </row>
    <row r="750">
      <c r="A750" t="inlineStr">
        <is>
          <t>c7m4_training</t>
        </is>
      </c>
      <c r="B750" t="inlineStr">
        <is>
          <t>2026-05-19 16:39:14.981</t>
        </is>
      </c>
      <c r="C750" t="n">
        <v/>
      </c>
      <c r="D750" t="inlineStr">
        <is>
          <t>Media file</t>
        </is>
      </c>
      <c r="E750" t="inlineStr">
        <is>
          <t>player #1:C:/Users/manuel.felline/Documents/BEHAVIOR BTBR/NOR second cohort/BTBR/training/c7_m4.mp4</t>
        </is>
      </c>
      <c r="F750" t="n">
        <v>-8.333</v>
      </c>
      <c r="G750" t="n">
        <v>567.1660000000001</v>
      </c>
      <c r="H750" t="n">
        <v>635.466</v>
      </c>
      <c r="I750" t="n">
        <v>30</v>
      </c>
      <c r="J750" t="inlineStr">
        <is>
          <t>BTBR</t>
        </is>
      </c>
      <c r="K750" t="inlineStr">
        <is>
          <t>Male</t>
        </is>
      </c>
      <c r="L750" t="inlineStr">
        <is>
          <t>No focal subject</t>
        </is>
      </c>
      <c r="M750" t="n">
        <v>43.169</v>
      </c>
      <c r="N750" t="inlineStr">
        <is>
          <t>Explore_F2</t>
        </is>
      </c>
      <c r="O750" t="inlineStr">
        <is>
          <t>Second familiar</t>
        </is>
      </c>
      <c r="P750" t="inlineStr">
        <is>
          <t>STATE</t>
        </is>
      </c>
      <c r="Q750" t="n">
        <v>124.334</v>
      </c>
      <c r="R750" t="n">
        <v>124.734</v>
      </c>
      <c r="S750" t="n">
        <v>0.4</v>
      </c>
      <c r="T750" t="inlineStr">
        <is>
          <t>C:/Users/manuel.felline/Documents/BEHAVIOR BTBR/NOR second cohort/BTBR/training/c7_m4.mp4</t>
        </is>
      </c>
      <c r="U750" t="n">
        <v>3979</v>
      </c>
      <c r="V750" t="n">
        <v>3991</v>
      </c>
      <c r="W750" t="n">
        <v/>
      </c>
      <c r="X750" t="n">
        <v/>
      </c>
      <c r="Y750" t="n">
        <v/>
      </c>
      <c r="Z750" t="n">
        <v/>
      </c>
      <c r="AA750">
        <f>SUMIFS($S$2:S750,$A$2:A750,A750,$N$2:N750,"Explore*")</f>
        <v/>
      </c>
      <c r="AB750">
        <f>IF(AND(LEFT(N750,7)="Explore",(AA750-IF(LEFT(N750,7)="Explore",S750,0))&lt;10),"SI","NO")</f>
        <v/>
      </c>
    </row>
    <row r="751">
      <c r="A751" t="inlineStr">
        <is>
          <t>c7m4_training</t>
        </is>
      </c>
      <c r="B751" t="inlineStr">
        <is>
          <t>2026-05-19 16:39:14.981</t>
        </is>
      </c>
      <c r="C751" t="n">
        <v/>
      </c>
      <c r="D751" t="inlineStr">
        <is>
          <t>Media file</t>
        </is>
      </c>
      <c r="E751" t="inlineStr">
        <is>
          <t>player #1:C:/Users/manuel.felline/Documents/BEHAVIOR BTBR/NOR second cohort/BTBR/training/c7_m4.mp4</t>
        </is>
      </c>
      <c r="F751" t="n">
        <v>-8.333</v>
      </c>
      <c r="G751" t="n">
        <v>567.1660000000001</v>
      </c>
      <c r="H751" t="n">
        <v>635.466</v>
      </c>
      <c r="I751" t="n">
        <v>30</v>
      </c>
      <c r="J751" t="inlineStr">
        <is>
          <t>BTBR</t>
        </is>
      </c>
      <c r="K751" t="inlineStr">
        <is>
          <t>Male</t>
        </is>
      </c>
      <c r="L751" t="inlineStr">
        <is>
          <t>No focal subject</t>
        </is>
      </c>
      <c r="M751" t="n">
        <v>43.169</v>
      </c>
      <c r="N751" t="inlineStr">
        <is>
          <t>Explore_F</t>
        </is>
      </c>
      <c r="O751" t="inlineStr">
        <is>
          <t>Familiar</t>
        </is>
      </c>
      <c r="P751" t="inlineStr">
        <is>
          <t>STATE</t>
        </is>
      </c>
      <c r="Q751" t="n">
        <v>127.8</v>
      </c>
      <c r="R751" t="n">
        <v>128.967</v>
      </c>
      <c r="S751" t="n">
        <v>1.167</v>
      </c>
      <c r="T751" t="inlineStr">
        <is>
          <t>C:/Users/manuel.felline/Documents/BEHAVIOR BTBR/NOR second cohort/BTBR/training/c7_m4.mp4</t>
        </is>
      </c>
      <c r="U751" t="n">
        <v>4083</v>
      </c>
      <c r="V751" t="n">
        <v>4118</v>
      </c>
      <c r="W751" t="n">
        <v/>
      </c>
      <c r="X751" t="n">
        <v/>
      </c>
      <c r="Y751" t="n">
        <v/>
      </c>
      <c r="Z751" t="n">
        <v/>
      </c>
      <c r="AA751">
        <f>SUMIFS($S$2:S751,$A$2:A751,A751,$N$2:N751,"Explore*")</f>
        <v/>
      </c>
      <c r="AB751">
        <f>IF(AND(LEFT(N751,7)="Explore",(AA751-IF(LEFT(N751,7)="Explore",S751,0))&lt;10),"SI","NO")</f>
        <v/>
      </c>
    </row>
    <row r="752">
      <c r="A752" t="inlineStr">
        <is>
          <t>c7m4_training</t>
        </is>
      </c>
      <c r="B752" t="inlineStr">
        <is>
          <t>2026-05-19 16:39:14.981</t>
        </is>
      </c>
      <c r="C752" t="n">
        <v/>
      </c>
      <c r="D752" t="inlineStr">
        <is>
          <t>Media file</t>
        </is>
      </c>
      <c r="E752" t="inlineStr">
        <is>
          <t>player #1:C:/Users/manuel.felline/Documents/BEHAVIOR BTBR/NOR second cohort/BTBR/training/c7_m4.mp4</t>
        </is>
      </c>
      <c r="F752" t="n">
        <v>-8.333</v>
      </c>
      <c r="G752" t="n">
        <v>567.1660000000001</v>
      </c>
      <c r="H752" t="n">
        <v>635.466</v>
      </c>
      <c r="I752" t="n">
        <v>30</v>
      </c>
      <c r="J752" t="inlineStr">
        <is>
          <t>BTBR</t>
        </is>
      </c>
      <c r="K752" t="inlineStr">
        <is>
          <t>Male</t>
        </is>
      </c>
      <c r="L752" t="inlineStr">
        <is>
          <t>No focal subject</t>
        </is>
      </c>
      <c r="M752" t="n">
        <v>43.169</v>
      </c>
      <c r="N752" t="inlineStr">
        <is>
          <t>Explore_F2</t>
        </is>
      </c>
      <c r="O752" t="inlineStr">
        <is>
          <t>Second familiar</t>
        </is>
      </c>
      <c r="P752" t="inlineStr">
        <is>
          <t>STATE</t>
        </is>
      </c>
      <c r="Q752" t="n">
        <v>135.634</v>
      </c>
      <c r="R752" t="n">
        <v>136.434</v>
      </c>
      <c r="S752" t="n">
        <v>0.8</v>
      </c>
      <c r="T752" t="inlineStr">
        <is>
          <t>C:/Users/manuel.felline/Documents/BEHAVIOR BTBR/NOR second cohort/BTBR/training/c7_m4.mp4</t>
        </is>
      </c>
      <c r="U752" t="n">
        <v>4318</v>
      </c>
      <c r="V752" t="n">
        <v>4342</v>
      </c>
      <c r="W752" t="n">
        <v/>
      </c>
      <c r="X752" t="n">
        <v/>
      </c>
      <c r="Y752" t="n">
        <v/>
      </c>
      <c r="Z752" t="n">
        <v/>
      </c>
      <c r="AA752">
        <f>SUMIFS($S$2:S752,$A$2:A752,A752,$N$2:N752,"Explore*")</f>
        <v/>
      </c>
      <c r="AB752">
        <f>IF(AND(LEFT(N752,7)="Explore",(AA752-IF(LEFT(N752,7)="Explore",S752,0))&lt;10),"SI","NO")</f>
        <v/>
      </c>
    </row>
    <row r="753">
      <c r="A753" t="inlineStr">
        <is>
          <t>c7m4_training</t>
        </is>
      </c>
      <c r="B753" t="inlineStr">
        <is>
          <t>2026-05-19 16:39:14.981</t>
        </is>
      </c>
      <c r="C753" t="n">
        <v/>
      </c>
      <c r="D753" t="inlineStr">
        <is>
          <t>Media file</t>
        </is>
      </c>
      <c r="E753" t="inlineStr">
        <is>
          <t>player #1:C:/Users/manuel.felline/Documents/BEHAVIOR BTBR/NOR second cohort/BTBR/training/c7_m4.mp4</t>
        </is>
      </c>
      <c r="F753" t="n">
        <v>-8.333</v>
      </c>
      <c r="G753" t="n">
        <v>567.1660000000001</v>
      </c>
      <c r="H753" t="n">
        <v>635.466</v>
      </c>
      <c r="I753" t="n">
        <v>30</v>
      </c>
      <c r="J753" t="inlineStr">
        <is>
          <t>BTBR</t>
        </is>
      </c>
      <c r="K753" t="inlineStr">
        <is>
          <t>Male</t>
        </is>
      </c>
      <c r="L753" t="inlineStr">
        <is>
          <t>No focal subject</t>
        </is>
      </c>
      <c r="M753" t="n">
        <v>43.169</v>
      </c>
      <c r="N753" t="inlineStr">
        <is>
          <t>Explore_F</t>
        </is>
      </c>
      <c r="O753" t="inlineStr">
        <is>
          <t>Familiar</t>
        </is>
      </c>
      <c r="P753" t="inlineStr">
        <is>
          <t>STATE</t>
        </is>
      </c>
      <c r="Q753" t="n">
        <v>143.5</v>
      </c>
      <c r="R753" t="n">
        <v>144.167</v>
      </c>
      <c r="S753" t="n">
        <v>0.667</v>
      </c>
      <c r="T753" t="inlineStr">
        <is>
          <t>C:/Users/manuel.felline/Documents/BEHAVIOR BTBR/NOR second cohort/BTBR/training/c7_m4.mp4</t>
        </is>
      </c>
      <c r="U753" t="n">
        <v>4554</v>
      </c>
      <c r="V753" t="n">
        <v>4574</v>
      </c>
      <c r="W753" t="n">
        <v/>
      </c>
      <c r="X753" t="n">
        <v/>
      </c>
      <c r="Y753" t="n">
        <v/>
      </c>
      <c r="Z753" t="n">
        <v/>
      </c>
      <c r="AA753">
        <f>SUMIFS($S$2:S753,$A$2:A753,A753,$N$2:N753,"Explore*")</f>
        <v/>
      </c>
      <c r="AB753">
        <f>IF(AND(LEFT(N753,7)="Explore",(AA753-IF(LEFT(N753,7)="Explore",S753,0))&lt;10),"SI","NO")</f>
        <v/>
      </c>
    </row>
    <row r="754">
      <c r="A754" t="inlineStr">
        <is>
          <t>c7m4_training</t>
        </is>
      </c>
      <c r="B754" t="inlineStr">
        <is>
          <t>2026-05-19 16:39:14.981</t>
        </is>
      </c>
      <c r="C754" t="n">
        <v/>
      </c>
      <c r="D754" t="inlineStr">
        <is>
          <t>Media file</t>
        </is>
      </c>
      <c r="E754" t="inlineStr">
        <is>
          <t>player #1:C:/Users/manuel.felline/Documents/BEHAVIOR BTBR/NOR second cohort/BTBR/training/c7_m4.mp4</t>
        </is>
      </c>
      <c r="F754" t="n">
        <v>-8.333</v>
      </c>
      <c r="G754" t="n">
        <v>567.1660000000001</v>
      </c>
      <c r="H754" t="n">
        <v>635.466</v>
      </c>
      <c r="I754" t="n">
        <v>30</v>
      </c>
      <c r="J754" t="inlineStr">
        <is>
          <t>BTBR</t>
        </is>
      </c>
      <c r="K754" t="inlineStr">
        <is>
          <t>Male</t>
        </is>
      </c>
      <c r="L754" t="inlineStr">
        <is>
          <t>No focal subject</t>
        </is>
      </c>
      <c r="M754" t="n">
        <v>43.169</v>
      </c>
      <c r="N754" t="inlineStr">
        <is>
          <t>Explore_F2</t>
        </is>
      </c>
      <c r="O754" t="inlineStr">
        <is>
          <t>Second familiar</t>
        </is>
      </c>
      <c r="P754" t="inlineStr">
        <is>
          <t>STATE</t>
        </is>
      </c>
      <c r="Q754" t="n">
        <v>153.7</v>
      </c>
      <c r="R754" t="n">
        <v>154.367</v>
      </c>
      <c r="S754" t="n">
        <v>0.667</v>
      </c>
      <c r="T754" t="inlineStr">
        <is>
          <t>C:/Users/manuel.felline/Documents/BEHAVIOR BTBR/NOR second cohort/BTBR/training/c7_m4.mp4</t>
        </is>
      </c>
      <c r="U754" t="n">
        <v>4860</v>
      </c>
      <c r="V754" t="n">
        <v>4880</v>
      </c>
      <c r="W754" t="n">
        <v/>
      </c>
      <c r="X754" t="n">
        <v/>
      </c>
      <c r="Y754" t="n">
        <v/>
      </c>
      <c r="Z754" t="n">
        <v/>
      </c>
      <c r="AA754">
        <f>SUMIFS($S$2:S754,$A$2:A754,A754,$N$2:N754,"Explore*")</f>
        <v/>
      </c>
      <c r="AB754">
        <f>IF(AND(LEFT(N754,7)="Explore",(AA754-IF(LEFT(N754,7)="Explore",S754,0))&lt;10),"SI","NO")</f>
        <v/>
      </c>
    </row>
    <row r="755">
      <c r="A755" t="inlineStr">
        <is>
          <t>c7m4_training</t>
        </is>
      </c>
      <c r="B755" t="inlineStr">
        <is>
          <t>2026-05-19 16:39:14.981</t>
        </is>
      </c>
      <c r="C755" t="n">
        <v/>
      </c>
      <c r="D755" t="inlineStr">
        <is>
          <t>Media file</t>
        </is>
      </c>
      <c r="E755" t="inlineStr">
        <is>
          <t>player #1:C:/Users/manuel.felline/Documents/BEHAVIOR BTBR/NOR second cohort/BTBR/training/c7_m4.mp4</t>
        </is>
      </c>
      <c r="F755" t="n">
        <v>-8.333</v>
      </c>
      <c r="G755" t="n">
        <v>567.1660000000001</v>
      </c>
      <c r="H755" t="n">
        <v>635.466</v>
      </c>
      <c r="I755" t="n">
        <v>30</v>
      </c>
      <c r="J755" t="inlineStr">
        <is>
          <t>BTBR</t>
        </is>
      </c>
      <c r="K755" t="inlineStr">
        <is>
          <t>Male</t>
        </is>
      </c>
      <c r="L755" t="inlineStr">
        <is>
          <t>No focal subject</t>
        </is>
      </c>
      <c r="M755" t="n">
        <v>43.169</v>
      </c>
      <c r="N755" t="inlineStr">
        <is>
          <t>Explore_F2</t>
        </is>
      </c>
      <c r="O755" t="inlineStr">
        <is>
          <t>Second familiar</t>
        </is>
      </c>
      <c r="P755" t="inlineStr">
        <is>
          <t>STATE</t>
        </is>
      </c>
      <c r="Q755" t="n">
        <v>159.9</v>
      </c>
      <c r="R755" t="n">
        <v>160.533</v>
      </c>
      <c r="S755" t="n">
        <v>0.633</v>
      </c>
      <c r="T755" t="inlineStr">
        <is>
          <t>C:/Users/manuel.felline/Documents/BEHAVIOR BTBR/NOR second cohort/BTBR/training/c7_m4.mp4</t>
        </is>
      </c>
      <c r="U755" t="n">
        <v>5046</v>
      </c>
      <c r="V755" t="n">
        <v>5065</v>
      </c>
      <c r="W755" t="n">
        <v/>
      </c>
      <c r="X755" t="n">
        <v/>
      </c>
      <c r="Y755" t="n">
        <v/>
      </c>
      <c r="Z755" t="n">
        <v/>
      </c>
      <c r="AA755">
        <f>SUMIFS($S$2:S755,$A$2:A755,A755,$N$2:N755,"Explore*")</f>
        <v/>
      </c>
      <c r="AB755">
        <f>IF(AND(LEFT(N755,7)="Explore",(AA755-IF(LEFT(N755,7)="Explore",S755,0))&lt;10),"SI","NO")</f>
        <v/>
      </c>
    </row>
    <row r="756">
      <c r="A756" t="inlineStr">
        <is>
          <t>c7m4_training</t>
        </is>
      </c>
      <c r="B756" t="inlineStr">
        <is>
          <t>2026-05-19 16:39:14.981</t>
        </is>
      </c>
      <c r="C756" t="n">
        <v/>
      </c>
      <c r="D756" t="inlineStr">
        <is>
          <t>Media file</t>
        </is>
      </c>
      <c r="E756" t="inlineStr">
        <is>
          <t>player #1:C:/Users/manuel.felline/Documents/BEHAVIOR BTBR/NOR second cohort/BTBR/training/c7_m4.mp4</t>
        </is>
      </c>
      <c r="F756" t="n">
        <v>-8.333</v>
      </c>
      <c r="G756" t="n">
        <v>567.1660000000001</v>
      </c>
      <c r="H756" t="n">
        <v>635.466</v>
      </c>
      <c r="I756" t="n">
        <v>30</v>
      </c>
      <c r="J756" t="inlineStr">
        <is>
          <t>BTBR</t>
        </is>
      </c>
      <c r="K756" t="inlineStr">
        <is>
          <t>Male</t>
        </is>
      </c>
      <c r="L756" t="inlineStr">
        <is>
          <t>No focal subject</t>
        </is>
      </c>
      <c r="M756" t="n">
        <v>43.169</v>
      </c>
      <c r="N756" t="inlineStr">
        <is>
          <t>Explore_F</t>
        </is>
      </c>
      <c r="O756" t="inlineStr">
        <is>
          <t>Familiar</t>
        </is>
      </c>
      <c r="P756" t="inlineStr">
        <is>
          <t>STATE</t>
        </is>
      </c>
      <c r="Q756" t="n">
        <v>165.733</v>
      </c>
      <c r="R756" t="n">
        <v>166.667</v>
      </c>
      <c r="S756" t="n">
        <v>0.9340000000000001</v>
      </c>
      <c r="T756" t="inlineStr">
        <is>
          <t>C:/Users/manuel.felline/Documents/BEHAVIOR BTBR/NOR second cohort/BTBR/training/c7_m4.mp4</t>
        </is>
      </c>
      <c r="U756" t="n">
        <v>5221</v>
      </c>
      <c r="V756" t="n">
        <v>5249</v>
      </c>
      <c r="W756" t="n">
        <v/>
      </c>
      <c r="X756" t="n">
        <v/>
      </c>
      <c r="Y756" t="n">
        <v/>
      </c>
      <c r="Z756" t="n">
        <v/>
      </c>
      <c r="AA756">
        <f>SUMIFS($S$2:S756,$A$2:A756,A756,$N$2:N756,"Explore*")</f>
        <v/>
      </c>
      <c r="AB756">
        <f>IF(AND(LEFT(N756,7)="Explore",(AA756-IF(LEFT(N756,7)="Explore",S756,0))&lt;10),"SI","NO")</f>
        <v/>
      </c>
    </row>
    <row r="757">
      <c r="A757" t="inlineStr">
        <is>
          <t>c7m4_training</t>
        </is>
      </c>
      <c r="B757" t="inlineStr">
        <is>
          <t>2026-05-19 16:39:14.981</t>
        </is>
      </c>
      <c r="C757" t="n">
        <v/>
      </c>
      <c r="D757" t="inlineStr">
        <is>
          <t>Media file</t>
        </is>
      </c>
      <c r="E757" t="inlineStr">
        <is>
          <t>player #1:C:/Users/manuel.felline/Documents/BEHAVIOR BTBR/NOR second cohort/BTBR/training/c7_m4.mp4</t>
        </is>
      </c>
      <c r="F757" t="n">
        <v>-8.333</v>
      </c>
      <c r="G757" t="n">
        <v>567.1660000000001</v>
      </c>
      <c r="H757" t="n">
        <v>635.466</v>
      </c>
      <c r="I757" t="n">
        <v>30</v>
      </c>
      <c r="J757" t="inlineStr">
        <is>
          <t>BTBR</t>
        </is>
      </c>
      <c r="K757" t="inlineStr">
        <is>
          <t>Male</t>
        </is>
      </c>
      <c r="L757" t="inlineStr">
        <is>
          <t>No focal subject</t>
        </is>
      </c>
      <c r="M757" t="n">
        <v>43.169</v>
      </c>
      <c r="N757" t="inlineStr">
        <is>
          <t>Explore_F</t>
        </is>
      </c>
      <c r="O757" t="inlineStr">
        <is>
          <t>Familiar</t>
        </is>
      </c>
      <c r="P757" t="inlineStr">
        <is>
          <t>STATE</t>
        </is>
      </c>
      <c r="Q757" t="n">
        <v>181.833</v>
      </c>
      <c r="R757" t="n">
        <v>183.133</v>
      </c>
      <c r="S757" t="n">
        <v>1.3</v>
      </c>
      <c r="T757" t="inlineStr">
        <is>
          <t>C:/Users/manuel.felline/Documents/BEHAVIOR BTBR/NOR second cohort/BTBR/training/c7_m4.mp4</t>
        </is>
      </c>
      <c r="U757" t="n">
        <v>5704</v>
      </c>
      <c r="V757" t="n">
        <v>5742</v>
      </c>
      <c r="W757" t="n">
        <v/>
      </c>
      <c r="X757" t="n">
        <v/>
      </c>
      <c r="Y757" t="n">
        <v/>
      </c>
      <c r="Z757" t="n">
        <v/>
      </c>
      <c r="AA757">
        <f>SUMIFS($S$2:S757,$A$2:A757,A757,$N$2:N757,"Explore*")</f>
        <v/>
      </c>
      <c r="AB757">
        <f>IF(AND(LEFT(N757,7)="Explore",(AA757-IF(LEFT(N757,7)="Explore",S757,0))&lt;10),"SI","NO")</f>
        <v/>
      </c>
    </row>
    <row r="758">
      <c r="A758" t="inlineStr">
        <is>
          <t>c7m4_training</t>
        </is>
      </c>
      <c r="B758" t="inlineStr">
        <is>
          <t>2026-05-19 16:39:14.981</t>
        </is>
      </c>
      <c r="C758" t="n">
        <v/>
      </c>
      <c r="D758" t="inlineStr">
        <is>
          <t>Media file</t>
        </is>
      </c>
      <c r="E758" t="inlineStr">
        <is>
          <t>player #1:C:/Users/manuel.felline/Documents/BEHAVIOR BTBR/NOR second cohort/BTBR/training/c7_m4.mp4</t>
        </is>
      </c>
      <c r="F758" t="n">
        <v>-8.333</v>
      </c>
      <c r="G758" t="n">
        <v>567.1660000000001</v>
      </c>
      <c r="H758" t="n">
        <v>635.466</v>
      </c>
      <c r="I758" t="n">
        <v>30</v>
      </c>
      <c r="J758" t="inlineStr">
        <is>
          <t>BTBR</t>
        </is>
      </c>
      <c r="K758" t="inlineStr">
        <is>
          <t>Male</t>
        </is>
      </c>
      <c r="L758" t="inlineStr">
        <is>
          <t>No focal subject</t>
        </is>
      </c>
      <c r="M758" t="n">
        <v>43.169</v>
      </c>
      <c r="N758" t="inlineStr">
        <is>
          <t>Explore_F</t>
        </is>
      </c>
      <c r="O758" t="inlineStr">
        <is>
          <t>Familiar</t>
        </is>
      </c>
      <c r="P758" t="inlineStr">
        <is>
          <t>STATE</t>
        </is>
      </c>
      <c r="Q758" t="n">
        <v>214.767</v>
      </c>
      <c r="R758" t="n">
        <v>215.133</v>
      </c>
      <c r="S758" t="n">
        <v>0.366</v>
      </c>
      <c r="T758" t="inlineStr">
        <is>
          <t>C:/Users/manuel.felline/Documents/BEHAVIOR BTBR/NOR second cohort/BTBR/training/c7_m4.mp4</t>
        </is>
      </c>
      <c r="U758" t="n">
        <v>6691</v>
      </c>
      <c r="V758" t="n">
        <v>6702</v>
      </c>
      <c r="W758" t="n">
        <v/>
      </c>
      <c r="X758" t="n">
        <v/>
      </c>
      <c r="Y758" t="n">
        <v/>
      </c>
      <c r="Z758" t="n">
        <v/>
      </c>
      <c r="AA758">
        <f>SUMIFS($S$2:S758,$A$2:A758,A758,$N$2:N758,"Explore*")</f>
        <v/>
      </c>
      <c r="AB758">
        <f>IF(AND(LEFT(N758,7)="Explore",(AA758-IF(LEFT(N758,7)="Explore",S758,0))&lt;10),"SI","NO")</f>
        <v/>
      </c>
    </row>
    <row r="759">
      <c r="A759" t="inlineStr">
        <is>
          <t>c7m4_training</t>
        </is>
      </c>
      <c r="B759" t="inlineStr">
        <is>
          <t>2026-05-19 16:39:14.981</t>
        </is>
      </c>
      <c r="C759" t="n">
        <v/>
      </c>
      <c r="D759" t="inlineStr">
        <is>
          <t>Media file</t>
        </is>
      </c>
      <c r="E759" t="inlineStr">
        <is>
          <t>player #1:C:/Users/manuel.felline/Documents/BEHAVIOR BTBR/NOR second cohort/BTBR/training/c7_m4.mp4</t>
        </is>
      </c>
      <c r="F759" t="n">
        <v>-8.333</v>
      </c>
      <c r="G759" t="n">
        <v>567.1660000000001</v>
      </c>
      <c r="H759" t="n">
        <v>635.466</v>
      </c>
      <c r="I759" t="n">
        <v>30</v>
      </c>
      <c r="J759" t="inlineStr">
        <is>
          <t>BTBR</t>
        </is>
      </c>
      <c r="K759" t="inlineStr">
        <is>
          <t>Male</t>
        </is>
      </c>
      <c r="L759" t="inlineStr">
        <is>
          <t>No focal subject</t>
        </is>
      </c>
      <c r="M759" t="n">
        <v>43.169</v>
      </c>
      <c r="N759" t="inlineStr">
        <is>
          <t>Explore_F</t>
        </is>
      </c>
      <c r="O759" t="inlineStr">
        <is>
          <t>Familiar</t>
        </is>
      </c>
      <c r="P759" t="inlineStr">
        <is>
          <t>STATE</t>
        </is>
      </c>
      <c r="Q759" t="n">
        <v>215.567</v>
      </c>
      <c r="R759" t="n">
        <v>216.3</v>
      </c>
      <c r="S759" t="n">
        <v>0.733</v>
      </c>
      <c r="T759" t="inlineStr">
        <is>
          <t>C:/Users/manuel.felline/Documents/BEHAVIOR BTBR/NOR second cohort/BTBR/training/c7_m4.mp4</t>
        </is>
      </c>
      <c r="U759" t="n">
        <v>6715</v>
      </c>
      <c r="V759" t="n">
        <v>6737</v>
      </c>
      <c r="W759" t="n">
        <v/>
      </c>
      <c r="X759" t="n">
        <v/>
      </c>
      <c r="Y759" t="n">
        <v/>
      </c>
      <c r="Z759" t="n">
        <v/>
      </c>
      <c r="AA759">
        <f>SUMIFS($S$2:S759,$A$2:A759,A759,$N$2:N759,"Explore*")</f>
        <v/>
      </c>
      <c r="AB759">
        <f>IF(AND(LEFT(N759,7)="Explore",(AA759-IF(LEFT(N759,7)="Explore",S759,0))&lt;10),"SI","NO")</f>
        <v/>
      </c>
    </row>
    <row r="760">
      <c r="A760" t="inlineStr">
        <is>
          <t>c7m4_training</t>
        </is>
      </c>
      <c r="B760" t="inlineStr">
        <is>
          <t>2026-05-19 16:39:14.981</t>
        </is>
      </c>
      <c r="C760" t="n">
        <v/>
      </c>
      <c r="D760" t="inlineStr">
        <is>
          <t>Media file</t>
        </is>
      </c>
      <c r="E760" t="inlineStr">
        <is>
          <t>player #1:C:/Users/manuel.felline/Documents/BEHAVIOR BTBR/NOR second cohort/BTBR/training/c7_m4.mp4</t>
        </is>
      </c>
      <c r="F760" t="n">
        <v>-8.333</v>
      </c>
      <c r="G760" t="n">
        <v>567.1660000000001</v>
      </c>
      <c r="H760" t="n">
        <v>635.466</v>
      </c>
      <c r="I760" t="n">
        <v>30</v>
      </c>
      <c r="J760" t="inlineStr">
        <is>
          <t>BTBR</t>
        </is>
      </c>
      <c r="K760" t="inlineStr">
        <is>
          <t>Male</t>
        </is>
      </c>
      <c r="L760" t="inlineStr">
        <is>
          <t>No focal subject</t>
        </is>
      </c>
      <c r="M760" t="n">
        <v>43.169</v>
      </c>
      <c r="N760" t="inlineStr">
        <is>
          <t>Explore_F2</t>
        </is>
      </c>
      <c r="O760" t="inlineStr">
        <is>
          <t>Second familiar</t>
        </is>
      </c>
      <c r="P760" t="inlineStr">
        <is>
          <t>STATE</t>
        </is>
      </c>
      <c r="Q760" t="n">
        <v>231.633</v>
      </c>
      <c r="R760" t="n">
        <v>232.367</v>
      </c>
      <c r="S760" t="n">
        <v>0.734</v>
      </c>
      <c r="T760" t="inlineStr">
        <is>
          <t>C:/Users/manuel.felline/Documents/BEHAVIOR BTBR/NOR second cohort/BTBR/training/c7_m4.mp4</t>
        </is>
      </c>
      <c r="U760" t="n">
        <v>7198</v>
      </c>
      <c r="V760" t="n">
        <v>7219</v>
      </c>
      <c r="W760" t="n">
        <v/>
      </c>
      <c r="X760" t="n">
        <v/>
      </c>
      <c r="Y760" t="n">
        <v/>
      </c>
      <c r="Z760" t="n">
        <v/>
      </c>
      <c r="AA760">
        <f>SUMIFS($S$2:S760,$A$2:A760,A760,$N$2:N760,"Explore*")</f>
        <v/>
      </c>
      <c r="AB760">
        <f>IF(AND(LEFT(N760,7)="Explore",(AA760-IF(LEFT(N760,7)="Explore",S760,0))&lt;10),"SI","NO")</f>
        <v/>
      </c>
    </row>
    <row r="761">
      <c r="A761" t="inlineStr">
        <is>
          <t>c7m4_training</t>
        </is>
      </c>
      <c r="B761" t="inlineStr">
        <is>
          <t>2026-05-19 16:39:14.981</t>
        </is>
      </c>
      <c r="C761" t="n">
        <v/>
      </c>
      <c r="D761" t="inlineStr">
        <is>
          <t>Media file</t>
        </is>
      </c>
      <c r="E761" t="inlineStr">
        <is>
          <t>player #1:C:/Users/manuel.felline/Documents/BEHAVIOR BTBR/NOR second cohort/BTBR/training/c7_m4.mp4</t>
        </is>
      </c>
      <c r="F761" t="n">
        <v>-8.333</v>
      </c>
      <c r="G761" t="n">
        <v>567.1660000000001</v>
      </c>
      <c r="H761" t="n">
        <v>635.466</v>
      </c>
      <c r="I761" t="n">
        <v>30</v>
      </c>
      <c r="J761" t="inlineStr">
        <is>
          <t>BTBR</t>
        </is>
      </c>
      <c r="K761" t="inlineStr">
        <is>
          <t>Male</t>
        </is>
      </c>
      <c r="L761" t="inlineStr">
        <is>
          <t>No focal subject</t>
        </is>
      </c>
      <c r="M761" t="n">
        <v>43.169</v>
      </c>
      <c r="N761" t="inlineStr">
        <is>
          <t>Explore_F</t>
        </is>
      </c>
      <c r="O761" t="inlineStr">
        <is>
          <t>Familiar</t>
        </is>
      </c>
      <c r="P761" t="inlineStr">
        <is>
          <t>STATE</t>
        </is>
      </c>
      <c r="Q761" t="n">
        <v>241.633</v>
      </c>
      <c r="R761" t="n">
        <v>242.1</v>
      </c>
      <c r="S761" t="n">
        <v>0.467</v>
      </c>
      <c r="T761" t="inlineStr">
        <is>
          <t>C:/Users/manuel.felline/Documents/BEHAVIOR BTBR/NOR second cohort/BTBR/training/c7_m4.mp4</t>
        </is>
      </c>
      <c r="U761" t="n">
        <v>7497</v>
      </c>
      <c r="V761" t="n">
        <v>7511</v>
      </c>
      <c r="W761" t="n">
        <v/>
      </c>
      <c r="X761" t="n">
        <v/>
      </c>
      <c r="Y761" t="n">
        <v/>
      </c>
      <c r="Z761" t="n">
        <v/>
      </c>
      <c r="AA761">
        <f>SUMIFS($S$2:S761,$A$2:A761,A761,$N$2:N761,"Explore*")</f>
        <v/>
      </c>
      <c r="AB761">
        <f>IF(AND(LEFT(N761,7)="Explore",(AA761-IF(LEFT(N761,7)="Explore",S761,0))&lt;10),"SI","NO")</f>
        <v/>
      </c>
    </row>
    <row r="762">
      <c r="A762" t="inlineStr">
        <is>
          <t>c7m4_training</t>
        </is>
      </c>
      <c r="B762" t="inlineStr">
        <is>
          <t>2026-05-19 16:39:14.981</t>
        </is>
      </c>
      <c r="C762" t="n">
        <v/>
      </c>
      <c r="D762" t="inlineStr">
        <is>
          <t>Media file</t>
        </is>
      </c>
      <c r="E762" t="inlineStr">
        <is>
          <t>player #1:C:/Users/manuel.felline/Documents/BEHAVIOR BTBR/NOR second cohort/BTBR/training/c7_m4.mp4</t>
        </is>
      </c>
      <c r="F762" t="n">
        <v>-8.333</v>
      </c>
      <c r="G762" t="n">
        <v>567.1660000000001</v>
      </c>
      <c r="H762" t="n">
        <v>635.466</v>
      </c>
      <c r="I762" t="n">
        <v>30</v>
      </c>
      <c r="J762" t="inlineStr">
        <is>
          <t>BTBR</t>
        </is>
      </c>
      <c r="K762" t="inlineStr">
        <is>
          <t>Male</t>
        </is>
      </c>
      <c r="L762" t="inlineStr">
        <is>
          <t>No focal subject</t>
        </is>
      </c>
      <c r="M762" t="n">
        <v>43.169</v>
      </c>
      <c r="N762" t="inlineStr">
        <is>
          <t>Explore_F2</t>
        </is>
      </c>
      <c r="O762" t="inlineStr">
        <is>
          <t>Second familiar</t>
        </is>
      </c>
      <c r="P762" t="inlineStr">
        <is>
          <t>STATE</t>
        </is>
      </c>
      <c r="Q762" t="n">
        <v>267.333</v>
      </c>
      <c r="R762" t="n">
        <v>267.933</v>
      </c>
      <c r="S762" t="n">
        <v>0.6</v>
      </c>
      <c r="T762" t="inlineStr">
        <is>
          <t>C:/Users/manuel.felline/Documents/BEHAVIOR BTBR/NOR second cohort/BTBR/training/c7_m4.mp4</t>
        </is>
      </c>
      <c r="U762" t="n">
        <v>8268</v>
      </c>
      <c r="V762" t="n">
        <v>8286</v>
      </c>
      <c r="W762" t="n">
        <v/>
      </c>
      <c r="X762" t="n">
        <v/>
      </c>
      <c r="Y762" t="n">
        <v/>
      </c>
      <c r="Z762" t="n">
        <v/>
      </c>
      <c r="AA762">
        <f>SUMIFS($S$2:S762,$A$2:A762,A762,$N$2:N762,"Explore*")</f>
        <v/>
      </c>
      <c r="AB762">
        <f>IF(AND(LEFT(N762,7)="Explore",(AA762-IF(LEFT(N762,7)="Explore",S762,0))&lt;10),"SI","NO")</f>
        <v/>
      </c>
    </row>
    <row r="763">
      <c r="A763" t="inlineStr">
        <is>
          <t>c7m4_training</t>
        </is>
      </c>
      <c r="B763" t="inlineStr">
        <is>
          <t>2026-05-19 16:39:14.981</t>
        </is>
      </c>
      <c r="C763" t="n">
        <v/>
      </c>
      <c r="D763" t="inlineStr">
        <is>
          <t>Media file</t>
        </is>
      </c>
      <c r="E763" t="inlineStr">
        <is>
          <t>player #1:C:/Users/manuel.felline/Documents/BEHAVIOR BTBR/NOR second cohort/BTBR/training/c7_m4.mp4</t>
        </is>
      </c>
      <c r="F763" t="n">
        <v>-8.333</v>
      </c>
      <c r="G763" t="n">
        <v>567.1660000000001</v>
      </c>
      <c r="H763" t="n">
        <v>635.466</v>
      </c>
      <c r="I763" t="n">
        <v>30</v>
      </c>
      <c r="J763" t="inlineStr">
        <is>
          <t>BTBR</t>
        </is>
      </c>
      <c r="K763" t="inlineStr">
        <is>
          <t>Male</t>
        </is>
      </c>
      <c r="L763" t="inlineStr">
        <is>
          <t>No focal subject</t>
        </is>
      </c>
      <c r="M763" t="n">
        <v>43.169</v>
      </c>
      <c r="N763" t="inlineStr">
        <is>
          <t>Explore_F</t>
        </is>
      </c>
      <c r="O763" t="inlineStr">
        <is>
          <t>Familiar</t>
        </is>
      </c>
      <c r="P763" t="inlineStr">
        <is>
          <t>STATE</t>
        </is>
      </c>
      <c r="Q763" t="n">
        <v>280.267</v>
      </c>
      <c r="R763" t="n">
        <v>280.733</v>
      </c>
      <c r="S763" t="n">
        <v>0.466</v>
      </c>
      <c r="T763" t="inlineStr">
        <is>
          <t>C:/Users/manuel.felline/Documents/BEHAVIOR BTBR/NOR second cohort/BTBR/training/c7_m4.mp4</t>
        </is>
      </c>
      <c r="U763" t="n">
        <v>8656</v>
      </c>
      <c r="V763" t="n">
        <v>8670</v>
      </c>
      <c r="W763" t="n">
        <v/>
      </c>
      <c r="X763" t="n">
        <v/>
      </c>
      <c r="Y763" t="n">
        <v/>
      </c>
      <c r="Z763" t="n">
        <v/>
      </c>
      <c r="AA763">
        <f>SUMIFS($S$2:S763,$A$2:A763,A763,$N$2:N763,"Explore*")</f>
        <v/>
      </c>
      <c r="AB763">
        <f>IF(AND(LEFT(N763,7)="Explore",(AA763-IF(LEFT(N763,7)="Explore",S763,0))&lt;10),"SI","NO")</f>
        <v/>
      </c>
    </row>
    <row r="764">
      <c r="A764" t="inlineStr">
        <is>
          <t>c7m4_training</t>
        </is>
      </c>
      <c r="B764" t="inlineStr">
        <is>
          <t>2026-05-19 16:39:14.981</t>
        </is>
      </c>
      <c r="C764" t="n">
        <v/>
      </c>
      <c r="D764" t="inlineStr">
        <is>
          <t>Media file</t>
        </is>
      </c>
      <c r="E764" t="inlineStr">
        <is>
          <t>player #1:C:/Users/manuel.felline/Documents/BEHAVIOR BTBR/NOR second cohort/BTBR/training/c7_m4.mp4</t>
        </is>
      </c>
      <c r="F764" t="n">
        <v>-8.333</v>
      </c>
      <c r="G764" t="n">
        <v>567.1660000000001</v>
      </c>
      <c r="H764" t="n">
        <v>635.466</v>
      </c>
      <c r="I764" t="n">
        <v>30</v>
      </c>
      <c r="J764" t="inlineStr">
        <is>
          <t>BTBR</t>
        </is>
      </c>
      <c r="K764" t="inlineStr">
        <is>
          <t>Male</t>
        </is>
      </c>
      <c r="L764" t="inlineStr">
        <is>
          <t>No focal subject</t>
        </is>
      </c>
      <c r="M764" t="n">
        <v>43.169</v>
      </c>
      <c r="N764" t="inlineStr">
        <is>
          <t>Explore_F</t>
        </is>
      </c>
      <c r="O764" t="inlineStr">
        <is>
          <t>Familiar</t>
        </is>
      </c>
      <c r="P764" t="inlineStr">
        <is>
          <t>STATE</t>
        </is>
      </c>
      <c r="Q764" t="n">
        <v>309.6</v>
      </c>
      <c r="R764" t="n">
        <v>310.033</v>
      </c>
      <c r="S764" t="n">
        <v>0.433</v>
      </c>
      <c r="T764" t="inlineStr">
        <is>
          <t>C:/Users/manuel.felline/Documents/BEHAVIOR BTBR/NOR second cohort/BTBR/training/c7_m4.mp4</t>
        </is>
      </c>
      <c r="U764" t="n">
        <v>9535</v>
      </c>
      <c r="V764" t="n">
        <v>9548</v>
      </c>
      <c r="W764" t="n">
        <v/>
      </c>
      <c r="X764" t="n">
        <v/>
      </c>
      <c r="Y764" t="n">
        <v/>
      </c>
      <c r="Z764" t="n">
        <v/>
      </c>
      <c r="AA764">
        <f>SUMIFS($S$2:S764,$A$2:A764,A764,$N$2:N764,"Explore*")</f>
        <v/>
      </c>
      <c r="AB764">
        <f>IF(AND(LEFT(N764,7)="Explore",(AA764-IF(LEFT(N764,7)="Explore",S764,0))&lt;10),"SI","NO")</f>
        <v/>
      </c>
    </row>
    <row r="765">
      <c r="A765" t="inlineStr">
        <is>
          <t>c7m4_training</t>
        </is>
      </c>
      <c r="B765" t="inlineStr">
        <is>
          <t>2026-05-19 16:39:14.981</t>
        </is>
      </c>
      <c r="C765" t="n">
        <v/>
      </c>
      <c r="D765" t="inlineStr">
        <is>
          <t>Media file</t>
        </is>
      </c>
      <c r="E765" t="inlineStr">
        <is>
          <t>player #1:C:/Users/manuel.felline/Documents/BEHAVIOR BTBR/NOR second cohort/BTBR/training/c7_m4.mp4</t>
        </is>
      </c>
      <c r="F765" t="n">
        <v>-8.333</v>
      </c>
      <c r="G765" t="n">
        <v>567.1660000000001</v>
      </c>
      <c r="H765" t="n">
        <v>635.466</v>
      </c>
      <c r="I765" t="n">
        <v>30</v>
      </c>
      <c r="J765" t="inlineStr">
        <is>
          <t>BTBR</t>
        </is>
      </c>
      <c r="K765" t="inlineStr">
        <is>
          <t>Male</t>
        </is>
      </c>
      <c r="L765" t="inlineStr">
        <is>
          <t>No focal subject</t>
        </is>
      </c>
      <c r="M765" t="n">
        <v>43.169</v>
      </c>
      <c r="N765" t="inlineStr">
        <is>
          <t>Explore_F</t>
        </is>
      </c>
      <c r="O765" t="inlineStr">
        <is>
          <t>Familiar</t>
        </is>
      </c>
      <c r="P765" t="inlineStr">
        <is>
          <t>STATE</t>
        </is>
      </c>
      <c r="Q765" t="n">
        <v>340.167</v>
      </c>
      <c r="R765" t="n">
        <v>340.733</v>
      </c>
      <c r="S765" t="n">
        <v>0.5659999999999999</v>
      </c>
      <c r="T765" t="inlineStr">
        <is>
          <t>C:/Users/manuel.felline/Documents/BEHAVIOR BTBR/NOR second cohort/BTBR/training/c7_m4.mp4</t>
        </is>
      </c>
      <c r="U765" t="n">
        <v>10452</v>
      </c>
      <c r="V765" t="n">
        <v>10469</v>
      </c>
      <c r="W765" t="n">
        <v/>
      </c>
      <c r="X765" t="n">
        <v/>
      </c>
      <c r="Y765" t="n">
        <v/>
      </c>
      <c r="Z765" t="n">
        <v/>
      </c>
      <c r="AA765">
        <f>SUMIFS($S$2:S765,$A$2:A765,A765,$N$2:N765,"Explore*")</f>
        <v/>
      </c>
      <c r="AB765">
        <f>IF(AND(LEFT(N765,7)="Explore",(AA765-IF(LEFT(N765,7)="Explore",S765,0))&lt;10),"SI","NO")</f>
        <v/>
      </c>
    </row>
    <row r="766">
      <c r="A766" t="inlineStr">
        <is>
          <t>c7m4_training</t>
        </is>
      </c>
      <c r="B766" t="inlineStr">
        <is>
          <t>2026-05-19 16:39:14.981</t>
        </is>
      </c>
      <c r="C766" t="n">
        <v/>
      </c>
      <c r="D766" t="inlineStr">
        <is>
          <t>Media file</t>
        </is>
      </c>
      <c r="E766" t="inlineStr">
        <is>
          <t>player #1:C:/Users/manuel.felline/Documents/BEHAVIOR BTBR/NOR second cohort/BTBR/training/c7_m4.mp4</t>
        </is>
      </c>
      <c r="F766" t="n">
        <v>-8.333</v>
      </c>
      <c r="G766" t="n">
        <v>567.1660000000001</v>
      </c>
      <c r="H766" t="n">
        <v>635.466</v>
      </c>
      <c r="I766" t="n">
        <v>30</v>
      </c>
      <c r="J766" t="inlineStr">
        <is>
          <t>BTBR</t>
        </is>
      </c>
      <c r="K766" t="inlineStr">
        <is>
          <t>Male</t>
        </is>
      </c>
      <c r="L766" t="inlineStr">
        <is>
          <t>No focal subject</t>
        </is>
      </c>
      <c r="M766" t="n">
        <v>43.169</v>
      </c>
      <c r="N766" t="inlineStr">
        <is>
          <t>Explore_F2</t>
        </is>
      </c>
      <c r="O766" t="inlineStr">
        <is>
          <t>Second familiar</t>
        </is>
      </c>
      <c r="P766" t="inlineStr">
        <is>
          <t>STATE</t>
        </is>
      </c>
      <c r="Q766" t="n">
        <v>353.533</v>
      </c>
      <c r="R766" t="n">
        <v>354.4</v>
      </c>
      <c r="S766" t="n">
        <v>0.867</v>
      </c>
      <c r="T766" t="inlineStr">
        <is>
          <t>C:/Users/manuel.felline/Documents/BEHAVIOR BTBR/NOR second cohort/BTBR/training/c7_m4.mp4</t>
        </is>
      </c>
      <c r="U766" t="n">
        <v>10853</v>
      </c>
      <c r="V766" t="n">
        <v>10879</v>
      </c>
      <c r="W766" t="n">
        <v/>
      </c>
      <c r="X766" t="n">
        <v/>
      </c>
      <c r="Y766" t="n">
        <v/>
      </c>
      <c r="Z766" t="n">
        <v/>
      </c>
      <c r="AA766">
        <f>SUMIFS($S$2:S766,$A$2:A766,A766,$N$2:N766,"Explore*")</f>
        <v/>
      </c>
      <c r="AB766">
        <f>IF(AND(LEFT(N766,7)="Explore",(AA766-IF(LEFT(N766,7)="Explore",S766,0))&lt;10),"SI","NO")</f>
        <v/>
      </c>
    </row>
    <row r="767">
      <c r="A767" t="inlineStr">
        <is>
          <t>c7m4_training</t>
        </is>
      </c>
      <c r="B767" t="inlineStr">
        <is>
          <t>2026-05-19 16:39:14.981</t>
        </is>
      </c>
      <c r="C767" t="n">
        <v/>
      </c>
      <c r="D767" t="inlineStr">
        <is>
          <t>Media file</t>
        </is>
      </c>
      <c r="E767" t="inlineStr">
        <is>
          <t>player #1:C:/Users/manuel.felline/Documents/BEHAVIOR BTBR/NOR second cohort/BTBR/training/c7_m4.mp4</t>
        </is>
      </c>
      <c r="F767" t="n">
        <v>-8.333</v>
      </c>
      <c r="G767" t="n">
        <v>567.1660000000001</v>
      </c>
      <c r="H767" t="n">
        <v>635.466</v>
      </c>
      <c r="I767" t="n">
        <v>30</v>
      </c>
      <c r="J767" t="inlineStr">
        <is>
          <t>BTBR</t>
        </is>
      </c>
      <c r="K767" t="inlineStr">
        <is>
          <t>Male</t>
        </is>
      </c>
      <c r="L767" t="inlineStr">
        <is>
          <t>No focal subject</t>
        </is>
      </c>
      <c r="M767" t="n">
        <v>43.169</v>
      </c>
      <c r="N767" t="inlineStr">
        <is>
          <t>Explore_F</t>
        </is>
      </c>
      <c r="O767" t="inlineStr">
        <is>
          <t>Familiar</t>
        </is>
      </c>
      <c r="P767" t="inlineStr">
        <is>
          <t>STATE</t>
        </is>
      </c>
      <c r="Q767" t="n">
        <v>395.4</v>
      </c>
      <c r="R767" t="n">
        <v>395.867</v>
      </c>
      <c r="S767" t="n">
        <v>0.467</v>
      </c>
      <c r="T767" t="inlineStr">
        <is>
          <t>C:/Users/manuel.felline/Documents/BEHAVIOR BTBR/NOR second cohort/BTBR/training/c7_m4.mp4</t>
        </is>
      </c>
      <c r="U767" t="n">
        <v>12109</v>
      </c>
      <c r="V767" t="n">
        <v>12123</v>
      </c>
      <c r="W767" t="n">
        <v/>
      </c>
      <c r="X767" t="n">
        <v/>
      </c>
      <c r="Y767" t="n">
        <v/>
      </c>
      <c r="Z767" t="n">
        <v/>
      </c>
      <c r="AA767">
        <f>SUMIFS($S$2:S767,$A$2:A767,A767,$N$2:N767,"Explore*")</f>
        <v/>
      </c>
      <c r="AB767">
        <f>IF(AND(LEFT(N767,7)="Explore",(AA767-IF(LEFT(N767,7)="Explore",S767,0))&lt;10),"SI","NO")</f>
        <v/>
      </c>
    </row>
    <row r="768">
      <c r="A768" t="inlineStr">
        <is>
          <t>c7m4_training</t>
        </is>
      </c>
      <c r="B768" t="inlineStr">
        <is>
          <t>2026-05-19 16:39:14.981</t>
        </is>
      </c>
      <c r="C768" t="n">
        <v/>
      </c>
      <c r="D768" t="inlineStr">
        <is>
          <t>Media file</t>
        </is>
      </c>
      <c r="E768" t="inlineStr">
        <is>
          <t>player #1:C:/Users/manuel.felline/Documents/BEHAVIOR BTBR/NOR second cohort/BTBR/training/c7_m4.mp4</t>
        </is>
      </c>
      <c r="F768" t="n">
        <v>-8.333</v>
      </c>
      <c r="G768" t="n">
        <v>567.1660000000001</v>
      </c>
      <c r="H768" t="n">
        <v>635.466</v>
      </c>
      <c r="I768" t="n">
        <v>30</v>
      </c>
      <c r="J768" t="inlineStr">
        <is>
          <t>BTBR</t>
        </is>
      </c>
      <c r="K768" t="inlineStr">
        <is>
          <t>Male</t>
        </is>
      </c>
      <c r="L768" t="inlineStr">
        <is>
          <t>No focal subject</t>
        </is>
      </c>
      <c r="M768" t="n">
        <v>43.169</v>
      </c>
      <c r="N768" t="inlineStr">
        <is>
          <t>Explore_F2</t>
        </is>
      </c>
      <c r="O768" t="inlineStr">
        <is>
          <t>Second familiar</t>
        </is>
      </c>
      <c r="P768" t="inlineStr">
        <is>
          <t>STATE</t>
        </is>
      </c>
      <c r="Q768" t="n">
        <v>408.8</v>
      </c>
      <c r="R768" t="n">
        <v>409.2</v>
      </c>
      <c r="S768" t="n">
        <v>0.4</v>
      </c>
      <c r="T768" t="inlineStr">
        <is>
          <t>C:/Users/manuel.felline/Documents/BEHAVIOR BTBR/NOR second cohort/BTBR/training/c7_m4.mp4</t>
        </is>
      </c>
      <c r="U768" t="n">
        <v>12511</v>
      </c>
      <c r="V768" t="n">
        <v>12523</v>
      </c>
      <c r="W768" t="n">
        <v/>
      </c>
      <c r="X768" t="n">
        <v/>
      </c>
      <c r="Y768" t="n">
        <v/>
      </c>
      <c r="Z768" t="n">
        <v/>
      </c>
      <c r="AA768">
        <f>SUMIFS($S$2:S768,$A$2:A768,A768,$N$2:N768,"Explore*")</f>
        <v/>
      </c>
      <c r="AB768">
        <f>IF(AND(LEFT(N768,7)="Explore",(AA768-IF(LEFT(N768,7)="Explore",S768,0))&lt;10),"SI","NO")</f>
        <v/>
      </c>
    </row>
    <row r="769">
      <c r="A769" t="inlineStr">
        <is>
          <t>c7m4_training</t>
        </is>
      </c>
      <c r="B769" t="inlineStr">
        <is>
          <t>2026-05-19 16:39:14.981</t>
        </is>
      </c>
      <c r="C769" t="n">
        <v/>
      </c>
      <c r="D769" t="inlineStr">
        <is>
          <t>Media file</t>
        </is>
      </c>
      <c r="E769" t="inlineStr">
        <is>
          <t>player #1:C:/Users/manuel.felline/Documents/BEHAVIOR BTBR/NOR second cohort/BTBR/training/c7_m4.mp4</t>
        </is>
      </c>
      <c r="F769" t="n">
        <v>-8.333</v>
      </c>
      <c r="G769" t="n">
        <v>567.1660000000001</v>
      </c>
      <c r="H769" t="n">
        <v>635.466</v>
      </c>
      <c r="I769" t="n">
        <v>30</v>
      </c>
      <c r="J769" t="inlineStr">
        <is>
          <t>BTBR</t>
        </is>
      </c>
      <c r="K769" t="inlineStr">
        <is>
          <t>Male</t>
        </is>
      </c>
      <c r="L769" t="inlineStr">
        <is>
          <t>No focal subject</t>
        </is>
      </c>
      <c r="M769" t="n">
        <v>43.169</v>
      </c>
      <c r="N769" t="inlineStr">
        <is>
          <t>Explore_F</t>
        </is>
      </c>
      <c r="O769" t="inlineStr">
        <is>
          <t>Familiar</t>
        </is>
      </c>
      <c r="P769" t="inlineStr">
        <is>
          <t>STATE</t>
        </is>
      </c>
      <c r="Q769" t="n">
        <v>418.4</v>
      </c>
      <c r="R769" t="n">
        <v>418.933</v>
      </c>
      <c r="S769" t="n">
        <v>0.533</v>
      </c>
      <c r="T769" t="inlineStr">
        <is>
          <t>C:/Users/manuel.felline/Documents/BEHAVIOR BTBR/NOR second cohort/BTBR/training/c7_m4.mp4</t>
        </is>
      </c>
      <c r="U769" t="n">
        <v>12799</v>
      </c>
      <c r="V769" t="n">
        <v>12815</v>
      </c>
      <c r="W769" t="n">
        <v/>
      </c>
      <c r="X769" t="n">
        <v/>
      </c>
      <c r="Y769" t="n">
        <v/>
      </c>
      <c r="Z769" t="n">
        <v/>
      </c>
      <c r="AA769">
        <f>SUMIFS($S$2:S769,$A$2:A769,A769,$N$2:N769,"Explore*")</f>
        <v/>
      </c>
      <c r="AB769">
        <f>IF(AND(LEFT(N769,7)="Explore",(AA769-IF(LEFT(N769,7)="Explore",S769,0))&lt;10),"SI","NO")</f>
        <v/>
      </c>
    </row>
    <row r="770">
      <c r="A770" t="inlineStr">
        <is>
          <t>c7m4_training</t>
        </is>
      </c>
      <c r="B770" t="inlineStr">
        <is>
          <t>2026-05-19 16:39:14.981</t>
        </is>
      </c>
      <c r="C770" t="n">
        <v/>
      </c>
      <c r="D770" t="inlineStr">
        <is>
          <t>Media file</t>
        </is>
      </c>
      <c r="E770" t="inlineStr">
        <is>
          <t>player #1:C:/Users/manuel.felline/Documents/BEHAVIOR BTBR/NOR second cohort/BTBR/training/c7_m4.mp4</t>
        </is>
      </c>
      <c r="F770" t="n">
        <v>-8.333</v>
      </c>
      <c r="G770" t="n">
        <v>567.1660000000001</v>
      </c>
      <c r="H770" t="n">
        <v>635.466</v>
      </c>
      <c r="I770" t="n">
        <v>30</v>
      </c>
      <c r="J770" t="inlineStr">
        <is>
          <t>BTBR</t>
        </is>
      </c>
      <c r="K770" t="inlineStr">
        <is>
          <t>Male</t>
        </is>
      </c>
      <c r="L770" t="inlineStr">
        <is>
          <t>No focal subject</t>
        </is>
      </c>
      <c r="M770" t="n">
        <v>43.169</v>
      </c>
      <c r="N770" t="inlineStr">
        <is>
          <t>Explore_F</t>
        </is>
      </c>
      <c r="O770" t="inlineStr">
        <is>
          <t>Familiar</t>
        </is>
      </c>
      <c r="P770" t="inlineStr">
        <is>
          <t>STATE</t>
        </is>
      </c>
      <c r="Q770" t="n">
        <v>464.1</v>
      </c>
      <c r="R770" t="n">
        <v>464.567</v>
      </c>
      <c r="S770" t="n">
        <v>0.467</v>
      </c>
      <c r="T770" t="inlineStr">
        <is>
          <t>C:/Users/manuel.felline/Documents/BEHAVIOR BTBR/NOR second cohort/BTBR/training/c7_m4.mp4</t>
        </is>
      </c>
      <c r="U770" t="n">
        <v>14169</v>
      </c>
      <c r="V770" t="n">
        <v>14183</v>
      </c>
      <c r="W770" t="n">
        <v/>
      </c>
      <c r="X770" t="n">
        <v/>
      </c>
      <c r="Y770" t="n">
        <v/>
      </c>
      <c r="Z770" t="n">
        <v/>
      </c>
      <c r="AA770">
        <f>SUMIFS($S$2:S770,$A$2:A770,A770,$N$2:N770,"Explore*")</f>
        <v/>
      </c>
      <c r="AB770">
        <f>IF(AND(LEFT(N770,7)="Explore",(AA770-IF(LEFT(N770,7)="Explore",S770,0))&lt;10),"SI","NO")</f>
        <v/>
      </c>
    </row>
    <row r="771">
      <c r="A771" t="inlineStr">
        <is>
          <t>c7m4_training</t>
        </is>
      </c>
      <c r="B771" t="inlineStr">
        <is>
          <t>2026-05-19 16:39:14.981</t>
        </is>
      </c>
      <c r="C771" t="n">
        <v/>
      </c>
      <c r="D771" t="inlineStr">
        <is>
          <t>Media file</t>
        </is>
      </c>
      <c r="E771" t="inlineStr">
        <is>
          <t>player #1:C:/Users/manuel.felline/Documents/BEHAVIOR BTBR/NOR second cohort/BTBR/training/c7_m4.mp4</t>
        </is>
      </c>
      <c r="F771" t="n">
        <v>-8.333</v>
      </c>
      <c r="G771" t="n">
        <v>567.1660000000001</v>
      </c>
      <c r="H771" t="n">
        <v>635.466</v>
      </c>
      <c r="I771" t="n">
        <v>30</v>
      </c>
      <c r="J771" t="inlineStr">
        <is>
          <t>BTBR</t>
        </is>
      </c>
      <c r="K771" t="inlineStr">
        <is>
          <t>Male</t>
        </is>
      </c>
      <c r="L771" t="inlineStr">
        <is>
          <t>No focal subject</t>
        </is>
      </c>
      <c r="M771" t="n">
        <v>43.169</v>
      </c>
      <c r="N771" t="inlineStr">
        <is>
          <t>Explore_F2</t>
        </is>
      </c>
      <c r="O771" t="inlineStr">
        <is>
          <t>Second familiar</t>
        </is>
      </c>
      <c r="P771" t="inlineStr">
        <is>
          <t>STATE</t>
        </is>
      </c>
      <c r="Q771" t="n">
        <v>508.566</v>
      </c>
      <c r="R771" t="n">
        <v>509.166</v>
      </c>
      <c r="S771" t="n">
        <v>0.6</v>
      </c>
      <c r="T771" t="inlineStr">
        <is>
          <t>C:/Users/manuel.felline/Documents/BEHAVIOR BTBR/NOR second cohort/BTBR/training/c7_m4.mp4</t>
        </is>
      </c>
      <c r="U771" t="n">
        <v>15503</v>
      </c>
      <c r="V771" t="n">
        <v>15521</v>
      </c>
      <c r="W771" t="n">
        <v/>
      </c>
      <c r="X771" t="n">
        <v/>
      </c>
      <c r="Y771" t="n">
        <v/>
      </c>
      <c r="Z771" t="n">
        <v/>
      </c>
      <c r="AA771">
        <f>SUMIFS($S$2:S771,$A$2:A771,A771,$N$2:N771,"Explore*")</f>
        <v/>
      </c>
      <c r="AB771">
        <f>IF(AND(LEFT(N771,7)="Explore",(AA771-IF(LEFT(N771,7)="Explore",S771,0))&lt;10),"SI","NO")</f>
        <v/>
      </c>
    </row>
    <row r="772">
      <c r="A772" t="inlineStr">
        <is>
          <t>c7m4_training</t>
        </is>
      </c>
      <c r="B772" t="inlineStr">
        <is>
          <t>2026-05-19 16:39:14.981</t>
        </is>
      </c>
      <c r="C772" t="n">
        <v/>
      </c>
      <c r="D772" t="inlineStr">
        <is>
          <t>Media file</t>
        </is>
      </c>
      <c r="E772" t="inlineStr">
        <is>
          <t>player #1:C:/Users/manuel.felline/Documents/BEHAVIOR BTBR/NOR second cohort/BTBR/training/c7_m4.mp4</t>
        </is>
      </c>
      <c r="F772" t="n">
        <v>-8.333</v>
      </c>
      <c r="G772" t="n">
        <v>567.1660000000001</v>
      </c>
      <c r="H772" t="n">
        <v>635.466</v>
      </c>
      <c r="I772" t="n">
        <v>30</v>
      </c>
      <c r="J772" t="inlineStr">
        <is>
          <t>BTBR</t>
        </is>
      </c>
      <c r="K772" t="inlineStr">
        <is>
          <t>Male</t>
        </is>
      </c>
      <c r="L772" t="inlineStr">
        <is>
          <t>No focal subject</t>
        </is>
      </c>
      <c r="M772" t="n">
        <v>43.169</v>
      </c>
      <c r="N772" t="inlineStr">
        <is>
          <t>Explore_F</t>
        </is>
      </c>
      <c r="O772" t="inlineStr">
        <is>
          <t>Familiar</t>
        </is>
      </c>
      <c r="P772" t="inlineStr">
        <is>
          <t>STATE</t>
        </is>
      </c>
      <c r="Q772" t="n">
        <v>514.3</v>
      </c>
      <c r="R772" t="n">
        <v>514.766</v>
      </c>
      <c r="S772" t="n">
        <v>0.466</v>
      </c>
      <c r="T772" t="inlineStr">
        <is>
          <t>C:/Users/manuel.felline/Documents/BEHAVIOR BTBR/NOR second cohort/BTBR/training/c7_m4.mp4</t>
        </is>
      </c>
      <c r="U772" t="n">
        <v>15675</v>
      </c>
      <c r="V772" t="n">
        <v>15689</v>
      </c>
      <c r="W772" t="n">
        <v/>
      </c>
      <c r="X772" t="n">
        <v/>
      </c>
      <c r="Y772" t="n">
        <v/>
      </c>
      <c r="Z772" t="n">
        <v/>
      </c>
      <c r="AA772">
        <f>SUMIFS($S$2:S772,$A$2:A772,A772,$N$2:N772,"Explore*")</f>
        <v/>
      </c>
      <c r="AB772">
        <f>IF(AND(LEFT(N772,7)="Explore",(AA772-IF(LEFT(N772,7)="Explore",S772,0))&lt;10),"SI","NO")</f>
        <v/>
      </c>
    </row>
    <row r="773">
      <c r="A773" t="inlineStr">
        <is>
          <t>c7m4_training</t>
        </is>
      </c>
      <c r="B773" t="inlineStr">
        <is>
          <t>2026-05-19 16:39:14.981</t>
        </is>
      </c>
      <c r="C773" t="n">
        <v/>
      </c>
      <c r="D773" t="inlineStr">
        <is>
          <t>Media file</t>
        </is>
      </c>
      <c r="E773" t="inlineStr">
        <is>
          <t>player #1:C:/Users/manuel.felline/Documents/BEHAVIOR BTBR/NOR second cohort/BTBR/training/c7_m4.mp4</t>
        </is>
      </c>
      <c r="F773" t="n">
        <v>-8.333</v>
      </c>
      <c r="G773" t="n">
        <v>567.1660000000001</v>
      </c>
      <c r="H773" t="n">
        <v>635.466</v>
      </c>
      <c r="I773" t="n">
        <v>30</v>
      </c>
      <c r="J773" t="inlineStr">
        <is>
          <t>BTBR</t>
        </is>
      </c>
      <c r="K773" t="inlineStr">
        <is>
          <t>Male</t>
        </is>
      </c>
      <c r="L773" t="inlineStr">
        <is>
          <t>No focal subject</t>
        </is>
      </c>
      <c r="M773" t="n">
        <v>43.169</v>
      </c>
      <c r="N773" t="inlineStr">
        <is>
          <t>Explore_F2</t>
        </is>
      </c>
      <c r="O773" t="inlineStr">
        <is>
          <t>Second familiar</t>
        </is>
      </c>
      <c r="P773" t="inlineStr">
        <is>
          <t>STATE</t>
        </is>
      </c>
      <c r="Q773" t="n">
        <v>525.533</v>
      </c>
      <c r="R773" t="n">
        <v>526.066</v>
      </c>
      <c r="S773" t="n">
        <v>0.533</v>
      </c>
      <c r="T773" t="inlineStr">
        <is>
          <t>C:/Users/manuel.felline/Documents/BEHAVIOR BTBR/NOR second cohort/BTBR/training/c7_m4.mp4</t>
        </is>
      </c>
      <c r="U773" t="n">
        <v>16012</v>
      </c>
      <c r="V773" t="n">
        <v>16028</v>
      </c>
      <c r="W773" t="n">
        <v/>
      </c>
      <c r="X773" t="n">
        <v/>
      </c>
      <c r="Y773" t="n">
        <v/>
      </c>
      <c r="Z773" t="n">
        <v/>
      </c>
      <c r="AA773">
        <f>SUMIFS($S$2:S773,$A$2:A773,A773,$N$2:N773,"Explore*")</f>
        <v/>
      </c>
      <c r="AB773">
        <f>IF(AND(LEFT(N773,7)="Explore",(AA773-IF(LEFT(N773,7)="Explore",S773,0))&lt;10),"SI","NO")</f>
        <v/>
      </c>
    </row>
    <row r="774">
      <c r="A774" t="inlineStr">
        <is>
          <t>c7m4_training</t>
        </is>
      </c>
      <c r="B774" t="inlineStr">
        <is>
          <t>2026-05-19 16:39:14.981</t>
        </is>
      </c>
      <c r="C774" t="n">
        <v/>
      </c>
      <c r="D774" t="inlineStr">
        <is>
          <t>Media file</t>
        </is>
      </c>
      <c r="E774" t="inlineStr">
        <is>
          <t>player #1:C:/Users/manuel.felline/Documents/BEHAVIOR BTBR/NOR second cohort/BTBR/training/c7_m4.mp4</t>
        </is>
      </c>
      <c r="F774" t="n">
        <v>-8.333</v>
      </c>
      <c r="G774" t="n">
        <v>567.1660000000001</v>
      </c>
      <c r="H774" t="n">
        <v>635.466</v>
      </c>
      <c r="I774" t="n">
        <v>30</v>
      </c>
      <c r="J774" t="inlineStr">
        <is>
          <t>BTBR</t>
        </is>
      </c>
      <c r="K774" t="inlineStr">
        <is>
          <t>Male</t>
        </is>
      </c>
      <c r="L774" t="inlineStr">
        <is>
          <t>No focal subject</t>
        </is>
      </c>
      <c r="M774" t="n">
        <v>43.169</v>
      </c>
      <c r="N774" t="inlineStr">
        <is>
          <t>Explore_F</t>
        </is>
      </c>
      <c r="O774" t="inlineStr">
        <is>
          <t>Familiar</t>
        </is>
      </c>
      <c r="P774" t="inlineStr">
        <is>
          <t>STATE</t>
        </is>
      </c>
      <c r="Q774" t="n">
        <v>558.7</v>
      </c>
      <c r="R774" t="n">
        <v>559.2</v>
      </c>
      <c r="S774" t="n">
        <v>0.5</v>
      </c>
      <c r="T774" t="inlineStr">
        <is>
          <t>C:/Users/manuel.felline/Documents/BEHAVIOR BTBR/NOR second cohort/BTBR/training/c7_m4.mp4</t>
        </is>
      </c>
      <c r="U774" t="n">
        <v>17007</v>
      </c>
      <c r="V774" t="n">
        <v>17022</v>
      </c>
      <c r="W774" t="n">
        <v/>
      </c>
      <c r="X774" t="n">
        <v/>
      </c>
      <c r="Y774" t="n">
        <v/>
      </c>
      <c r="Z774" t="n">
        <v/>
      </c>
      <c r="AA774">
        <f>SUMIFS($S$2:S774,$A$2:A774,A774,$N$2:N774,"Explore*")</f>
        <v/>
      </c>
      <c r="AB774">
        <f>IF(AND(LEFT(N774,7)="Explore",(AA774-IF(LEFT(N774,7)="Explore",S774,0))&lt;10),"SI","NO")</f>
        <v/>
      </c>
    </row>
    <row r="775">
      <c r="A775" t="inlineStr">
        <is>
          <t>c7m4_training</t>
        </is>
      </c>
      <c r="B775" t="inlineStr">
        <is>
          <t>2026-05-19 16:39:14.981</t>
        </is>
      </c>
      <c r="C775" t="n">
        <v/>
      </c>
      <c r="D775" t="inlineStr">
        <is>
          <t>Media file</t>
        </is>
      </c>
      <c r="E775" t="inlineStr">
        <is>
          <t>player #1:C:/Users/manuel.felline/Documents/BEHAVIOR BTBR/NOR second cohort/BTBR/training/c7_m4.mp4</t>
        </is>
      </c>
      <c r="F775" t="n">
        <v>-8.333</v>
      </c>
      <c r="G775" t="n">
        <v>567.1660000000001</v>
      </c>
      <c r="H775" t="n">
        <v>635.466</v>
      </c>
      <c r="I775" t="n">
        <v>30</v>
      </c>
      <c r="J775" t="inlineStr">
        <is>
          <t>BTBR</t>
        </is>
      </c>
      <c r="K775" t="inlineStr">
        <is>
          <t>Male</t>
        </is>
      </c>
      <c r="L775" t="inlineStr">
        <is>
          <t>No focal subject</t>
        </is>
      </c>
      <c r="M775" t="n">
        <v>43.169</v>
      </c>
      <c r="N775" t="inlineStr">
        <is>
          <t>Explore_F2</t>
        </is>
      </c>
      <c r="O775" t="inlineStr">
        <is>
          <t>Second familiar</t>
        </is>
      </c>
      <c r="P775" t="inlineStr">
        <is>
          <t>STATE</t>
        </is>
      </c>
      <c r="Q775" t="n">
        <v>567.266</v>
      </c>
      <c r="R775" t="n">
        <v>567.633</v>
      </c>
      <c r="S775" t="n">
        <v>0.367</v>
      </c>
      <c r="T775" t="inlineStr">
        <is>
          <t>C:/Users/manuel.felline/Documents/BEHAVIOR BTBR/NOR second cohort/BTBR/training/c7_m4.mp4</t>
        </is>
      </c>
      <c r="U775" t="n">
        <v>17263</v>
      </c>
      <c r="V775" t="n">
        <v>17274</v>
      </c>
      <c r="W775" t="n">
        <v/>
      </c>
      <c r="X775" t="n">
        <v/>
      </c>
      <c r="Y775" t="n">
        <v/>
      </c>
      <c r="Z775" t="n">
        <v/>
      </c>
      <c r="AA775">
        <f>SUMIFS($S$2:S775,$A$2:A775,A775,$N$2:N775,"Explore*")</f>
        <v/>
      </c>
      <c r="AB775">
        <f>IF(AND(LEFT(N775,7)="Explore",(AA775-IF(LEFT(N775,7)="Explore",S775,0))&lt;10),"SI","NO")</f>
        <v/>
      </c>
    </row>
    <row r="776">
      <c r="A776" t="inlineStr">
        <is>
          <t>c7m5_training</t>
        </is>
      </c>
      <c r="B776" t="inlineStr">
        <is>
          <t>2026-06-17 16:34:08.754</t>
        </is>
      </c>
      <c r="C776" t="n">
        <v/>
      </c>
      <c r="D776" t="inlineStr">
        <is>
          <t>Media file</t>
        </is>
      </c>
      <c r="E776" t="inlineStr">
        <is>
          <t>player #1:C:/Users/manuel.felline/Documents/BEHAVIOR BTBR/NOR second cohort/BTBR/training/c7_m5.mp4</t>
        </is>
      </c>
      <c r="F776" t="n">
        <v>-8.733000000000001</v>
      </c>
      <c r="G776" t="n">
        <v>593.433</v>
      </c>
      <c r="H776" t="n">
        <v>621.566</v>
      </c>
      <c r="I776" t="n">
        <v>30</v>
      </c>
      <c r="J776" t="inlineStr">
        <is>
          <t>BTBR</t>
        </is>
      </c>
      <c r="K776" t="inlineStr">
        <is>
          <t>Male</t>
        </is>
      </c>
      <c r="L776" t="inlineStr">
        <is>
          <t>No focal subject</t>
        </is>
      </c>
      <c r="M776" t="n">
        <v>56.698</v>
      </c>
      <c r="N776" t="inlineStr">
        <is>
          <t>Explore_F</t>
        </is>
      </c>
      <c r="O776" t="inlineStr">
        <is>
          <t>Familiar</t>
        </is>
      </c>
      <c r="P776" t="inlineStr">
        <is>
          <t>STATE</t>
        </is>
      </c>
      <c r="Q776" t="n">
        <v>1.267</v>
      </c>
      <c r="R776" t="n">
        <v>2.334</v>
      </c>
      <c r="S776" t="n">
        <v>1.067</v>
      </c>
      <c r="T776" t="inlineStr">
        <is>
          <t>C:/Users/manuel.felline/Documents/BEHAVIOR BTBR/NOR second cohort/BTBR/training/c7_m5.mp4</t>
        </is>
      </c>
      <c r="U776" t="n">
        <v>300</v>
      </c>
      <c r="V776" t="n">
        <v>332</v>
      </c>
      <c r="W776" t="n">
        <v/>
      </c>
      <c r="X776" t="n">
        <v/>
      </c>
      <c r="Y776" t="n">
        <v/>
      </c>
      <c r="Z776" t="n">
        <v/>
      </c>
      <c r="AA776">
        <f>SUMIFS($S$2:S776,$A$2:A776,A776,$N$2:N776,"Explore*")</f>
        <v/>
      </c>
      <c r="AB776">
        <f>IF(AND(LEFT(N776,7)="Explore",(AA776-IF(LEFT(N776,7)="Explore",S776,0))&lt;10),"SI","NO")</f>
        <v/>
      </c>
    </row>
    <row r="777">
      <c r="A777" t="inlineStr">
        <is>
          <t>c7m5_training</t>
        </is>
      </c>
      <c r="B777" t="inlineStr">
        <is>
          <t>2026-06-17 16:34:08.754</t>
        </is>
      </c>
      <c r="C777" t="n">
        <v/>
      </c>
      <c r="D777" t="inlineStr">
        <is>
          <t>Media file</t>
        </is>
      </c>
      <c r="E777" t="inlineStr">
        <is>
          <t>player #1:C:/Users/manuel.felline/Documents/BEHAVIOR BTBR/NOR second cohort/BTBR/training/c7_m5.mp4</t>
        </is>
      </c>
      <c r="F777" t="n">
        <v>-8.733000000000001</v>
      </c>
      <c r="G777" t="n">
        <v>593.433</v>
      </c>
      <c r="H777" t="n">
        <v>621.566</v>
      </c>
      <c r="I777" t="n">
        <v>30</v>
      </c>
      <c r="J777" t="inlineStr">
        <is>
          <t>BTBR</t>
        </is>
      </c>
      <c r="K777" t="inlineStr">
        <is>
          <t>Male</t>
        </is>
      </c>
      <c r="L777" t="inlineStr">
        <is>
          <t>No focal subject</t>
        </is>
      </c>
      <c r="M777" t="n">
        <v>56.698</v>
      </c>
      <c r="N777" t="inlineStr">
        <is>
          <t>Explore_F</t>
        </is>
      </c>
      <c r="O777" t="inlineStr">
        <is>
          <t>Familiar</t>
        </is>
      </c>
      <c r="P777" t="inlineStr">
        <is>
          <t>STATE</t>
        </is>
      </c>
      <c r="Q777" t="n">
        <v>6.134</v>
      </c>
      <c r="R777" t="n">
        <v>6.934</v>
      </c>
      <c r="S777" t="n">
        <v>0.8</v>
      </c>
      <c r="T777" t="inlineStr">
        <is>
          <t>C:/Users/manuel.felline/Documents/BEHAVIOR BTBR/NOR second cohort/BTBR/training/c7_m5.mp4</t>
        </is>
      </c>
      <c r="U777" t="n">
        <v>446</v>
      </c>
      <c r="V777" t="n">
        <v>470</v>
      </c>
      <c r="W777" t="n">
        <v/>
      </c>
      <c r="X777" t="n">
        <v/>
      </c>
      <c r="Y777" t="n">
        <v/>
      </c>
      <c r="Z777" t="n">
        <v/>
      </c>
      <c r="AA777">
        <f>SUMIFS($S$2:S777,$A$2:A777,A777,$N$2:N777,"Explore*")</f>
        <v/>
      </c>
      <c r="AB777">
        <f>IF(AND(LEFT(N777,7)="Explore",(AA777-IF(LEFT(N777,7)="Explore",S777,0))&lt;10),"SI","NO")</f>
        <v/>
      </c>
    </row>
    <row r="778">
      <c r="A778" t="inlineStr">
        <is>
          <t>c7m5_training</t>
        </is>
      </c>
      <c r="B778" t="inlineStr">
        <is>
          <t>2026-06-17 16:34:08.754</t>
        </is>
      </c>
      <c r="C778" t="n">
        <v/>
      </c>
      <c r="D778" t="inlineStr">
        <is>
          <t>Media file</t>
        </is>
      </c>
      <c r="E778" t="inlineStr">
        <is>
          <t>player #1:C:/Users/manuel.felline/Documents/BEHAVIOR BTBR/NOR second cohort/BTBR/training/c7_m5.mp4</t>
        </is>
      </c>
      <c r="F778" t="n">
        <v>-8.733000000000001</v>
      </c>
      <c r="G778" t="n">
        <v>593.433</v>
      </c>
      <c r="H778" t="n">
        <v>621.566</v>
      </c>
      <c r="I778" t="n">
        <v>30</v>
      </c>
      <c r="J778" t="inlineStr">
        <is>
          <t>BTBR</t>
        </is>
      </c>
      <c r="K778" t="inlineStr">
        <is>
          <t>Male</t>
        </is>
      </c>
      <c r="L778" t="inlineStr">
        <is>
          <t>No focal subject</t>
        </is>
      </c>
      <c r="M778" t="n">
        <v>56.698</v>
      </c>
      <c r="N778" t="inlineStr">
        <is>
          <t>Explore_F2</t>
        </is>
      </c>
      <c r="O778" t="inlineStr">
        <is>
          <t>Second familiar</t>
        </is>
      </c>
      <c r="P778" t="inlineStr">
        <is>
          <t>STATE</t>
        </is>
      </c>
      <c r="Q778" t="n">
        <v>7.634</v>
      </c>
      <c r="R778" t="n">
        <v>9.067</v>
      </c>
      <c r="S778" t="n">
        <v>1.433</v>
      </c>
      <c r="T778" t="inlineStr">
        <is>
          <t>C:/Users/manuel.felline/Documents/BEHAVIOR BTBR/NOR second cohort/BTBR/training/c7_m5.mp4</t>
        </is>
      </c>
      <c r="U778" t="n">
        <v>491</v>
      </c>
      <c r="V778" t="n">
        <v>534</v>
      </c>
      <c r="W778" t="n">
        <v/>
      </c>
      <c r="X778" t="n">
        <v/>
      </c>
      <c r="Y778" t="n">
        <v/>
      </c>
      <c r="Z778" t="n">
        <v/>
      </c>
      <c r="AA778">
        <f>SUMIFS($S$2:S778,$A$2:A778,A778,$N$2:N778,"Explore*")</f>
        <v/>
      </c>
      <c r="AB778">
        <f>IF(AND(LEFT(N778,7)="Explore",(AA778-IF(LEFT(N778,7)="Explore",S778,0))&lt;10),"SI","NO")</f>
        <v/>
      </c>
    </row>
    <row r="779">
      <c r="A779" t="inlineStr">
        <is>
          <t>c7m5_training</t>
        </is>
      </c>
      <c r="B779" t="inlineStr">
        <is>
          <t>2026-06-17 16:34:08.754</t>
        </is>
      </c>
      <c r="C779" t="n">
        <v/>
      </c>
      <c r="D779" t="inlineStr">
        <is>
          <t>Media file</t>
        </is>
      </c>
      <c r="E779" t="inlineStr">
        <is>
          <t>player #1:C:/Users/manuel.felline/Documents/BEHAVIOR BTBR/NOR second cohort/BTBR/training/c7_m5.mp4</t>
        </is>
      </c>
      <c r="F779" t="n">
        <v>-8.733000000000001</v>
      </c>
      <c r="G779" t="n">
        <v>593.433</v>
      </c>
      <c r="H779" t="n">
        <v>621.566</v>
      </c>
      <c r="I779" t="n">
        <v>30</v>
      </c>
      <c r="J779" t="inlineStr">
        <is>
          <t>BTBR</t>
        </is>
      </c>
      <c r="K779" t="inlineStr">
        <is>
          <t>Male</t>
        </is>
      </c>
      <c r="L779" t="inlineStr">
        <is>
          <t>No focal subject</t>
        </is>
      </c>
      <c r="M779" t="n">
        <v>56.698</v>
      </c>
      <c r="N779" t="inlineStr">
        <is>
          <t>Explore_F</t>
        </is>
      </c>
      <c r="O779" t="inlineStr">
        <is>
          <t>Familiar</t>
        </is>
      </c>
      <c r="P779" t="inlineStr">
        <is>
          <t>STATE</t>
        </is>
      </c>
      <c r="Q779" t="n">
        <v>13.034</v>
      </c>
      <c r="R779" t="n">
        <v>13.8</v>
      </c>
      <c r="S779" t="n">
        <v>0.766</v>
      </c>
      <c r="T779" t="inlineStr">
        <is>
          <t>C:/Users/manuel.felline/Documents/BEHAVIOR BTBR/NOR second cohort/BTBR/training/c7_m5.mp4</t>
        </is>
      </c>
      <c r="U779" t="n">
        <v>653</v>
      </c>
      <c r="V779" t="n">
        <v>676</v>
      </c>
      <c r="W779" t="n">
        <v/>
      </c>
      <c r="X779" t="n">
        <v/>
      </c>
      <c r="Y779" t="n">
        <v/>
      </c>
      <c r="Z779" t="n">
        <v/>
      </c>
      <c r="AA779">
        <f>SUMIFS($S$2:S779,$A$2:A779,A779,$N$2:N779,"Explore*")</f>
        <v/>
      </c>
      <c r="AB779">
        <f>IF(AND(LEFT(N779,7)="Explore",(AA779-IF(LEFT(N779,7)="Explore",S779,0))&lt;10),"SI","NO")</f>
        <v/>
      </c>
    </row>
    <row r="780">
      <c r="A780" t="inlineStr">
        <is>
          <t>c7m5_training</t>
        </is>
      </c>
      <c r="B780" t="inlineStr">
        <is>
          <t>2026-06-17 16:34:08.754</t>
        </is>
      </c>
      <c r="C780" t="n">
        <v/>
      </c>
      <c r="D780" t="inlineStr">
        <is>
          <t>Media file</t>
        </is>
      </c>
      <c r="E780" t="inlineStr">
        <is>
          <t>player #1:C:/Users/manuel.felline/Documents/BEHAVIOR BTBR/NOR second cohort/BTBR/training/c7_m5.mp4</t>
        </is>
      </c>
      <c r="F780" t="n">
        <v>-8.733000000000001</v>
      </c>
      <c r="G780" t="n">
        <v>593.433</v>
      </c>
      <c r="H780" t="n">
        <v>621.566</v>
      </c>
      <c r="I780" t="n">
        <v>30</v>
      </c>
      <c r="J780" t="inlineStr">
        <is>
          <t>BTBR</t>
        </is>
      </c>
      <c r="K780" t="inlineStr">
        <is>
          <t>Male</t>
        </is>
      </c>
      <c r="L780" t="inlineStr">
        <is>
          <t>No focal subject</t>
        </is>
      </c>
      <c r="M780" t="n">
        <v>56.698</v>
      </c>
      <c r="N780" t="inlineStr">
        <is>
          <t>Explore_F2</t>
        </is>
      </c>
      <c r="O780" t="inlineStr">
        <is>
          <t>Second familiar</t>
        </is>
      </c>
      <c r="P780" t="inlineStr">
        <is>
          <t>STATE</t>
        </is>
      </c>
      <c r="Q780" t="n">
        <v>14.834</v>
      </c>
      <c r="R780" t="n">
        <v>16.1</v>
      </c>
      <c r="S780" t="n">
        <v>1.266</v>
      </c>
      <c r="T780" t="inlineStr">
        <is>
          <t>C:/Users/manuel.felline/Documents/BEHAVIOR BTBR/NOR second cohort/BTBR/training/c7_m5.mp4</t>
        </is>
      </c>
      <c r="U780" t="n">
        <v>707</v>
      </c>
      <c r="V780" t="n">
        <v>745</v>
      </c>
      <c r="W780" t="n">
        <v/>
      </c>
      <c r="X780" t="n">
        <v/>
      </c>
      <c r="Y780" t="n">
        <v/>
      </c>
      <c r="Z780" t="n">
        <v/>
      </c>
      <c r="AA780">
        <f>SUMIFS($S$2:S780,$A$2:A780,A780,$N$2:N780,"Explore*")</f>
        <v/>
      </c>
      <c r="AB780">
        <f>IF(AND(LEFT(N780,7)="Explore",(AA780-IF(LEFT(N780,7)="Explore",S780,0))&lt;10),"SI","NO")</f>
        <v/>
      </c>
    </row>
    <row r="781">
      <c r="A781" t="inlineStr">
        <is>
          <t>c7m5_training</t>
        </is>
      </c>
      <c r="B781" t="inlineStr">
        <is>
          <t>2026-06-17 16:34:08.754</t>
        </is>
      </c>
      <c r="C781" t="n">
        <v/>
      </c>
      <c r="D781" t="inlineStr">
        <is>
          <t>Media file</t>
        </is>
      </c>
      <c r="E781" t="inlineStr">
        <is>
          <t>player #1:C:/Users/manuel.felline/Documents/BEHAVIOR BTBR/NOR second cohort/BTBR/training/c7_m5.mp4</t>
        </is>
      </c>
      <c r="F781" t="n">
        <v>-8.733000000000001</v>
      </c>
      <c r="G781" t="n">
        <v>593.433</v>
      </c>
      <c r="H781" t="n">
        <v>621.566</v>
      </c>
      <c r="I781" t="n">
        <v>30</v>
      </c>
      <c r="J781" t="inlineStr">
        <is>
          <t>BTBR</t>
        </is>
      </c>
      <c r="K781" t="inlineStr">
        <is>
          <t>Male</t>
        </is>
      </c>
      <c r="L781" t="inlineStr">
        <is>
          <t>No focal subject</t>
        </is>
      </c>
      <c r="M781" t="n">
        <v>56.698</v>
      </c>
      <c r="N781" t="inlineStr">
        <is>
          <t>Explore_F2</t>
        </is>
      </c>
      <c r="O781" t="inlineStr">
        <is>
          <t>Second familiar</t>
        </is>
      </c>
      <c r="P781" t="inlineStr">
        <is>
          <t>STATE</t>
        </is>
      </c>
      <c r="Q781" t="n">
        <v>17.567</v>
      </c>
      <c r="R781" t="n">
        <v>18.034</v>
      </c>
      <c r="S781" t="n">
        <v>0.467</v>
      </c>
      <c r="T781" t="inlineStr">
        <is>
          <t>C:/Users/manuel.felline/Documents/BEHAVIOR BTBR/NOR second cohort/BTBR/training/c7_m5.mp4</t>
        </is>
      </c>
      <c r="U781" t="n">
        <v>789</v>
      </c>
      <c r="V781" t="n">
        <v>803</v>
      </c>
      <c r="W781" t="n">
        <v/>
      </c>
      <c r="X781" t="n">
        <v/>
      </c>
      <c r="Y781" t="n">
        <v/>
      </c>
      <c r="Z781" t="n">
        <v/>
      </c>
      <c r="AA781">
        <f>SUMIFS($S$2:S781,$A$2:A781,A781,$N$2:N781,"Explore*")</f>
        <v/>
      </c>
      <c r="AB781">
        <f>IF(AND(LEFT(N781,7)="Explore",(AA781-IF(LEFT(N781,7)="Explore",S781,0))&lt;10),"SI","NO")</f>
        <v/>
      </c>
    </row>
    <row r="782">
      <c r="A782" t="inlineStr">
        <is>
          <t>c7m5_training</t>
        </is>
      </c>
      <c r="B782" t="inlineStr">
        <is>
          <t>2026-06-17 16:34:08.754</t>
        </is>
      </c>
      <c r="C782" t="n">
        <v/>
      </c>
      <c r="D782" t="inlineStr">
        <is>
          <t>Media file</t>
        </is>
      </c>
      <c r="E782" t="inlineStr">
        <is>
          <t>player #1:C:/Users/manuel.felline/Documents/BEHAVIOR BTBR/NOR second cohort/BTBR/training/c7_m5.mp4</t>
        </is>
      </c>
      <c r="F782" t="n">
        <v>-8.733000000000001</v>
      </c>
      <c r="G782" t="n">
        <v>593.433</v>
      </c>
      <c r="H782" t="n">
        <v>621.566</v>
      </c>
      <c r="I782" t="n">
        <v>30</v>
      </c>
      <c r="J782" t="inlineStr">
        <is>
          <t>BTBR</t>
        </is>
      </c>
      <c r="K782" t="inlineStr">
        <is>
          <t>Male</t>
        </is>
      </c>
      <c r="L782" t="inlineStr">
        <is>
          <t>No focal subject</t>
        </is>
      </c>
      <c r="M782" t="n">
        <v>56.698</v>
      </c>
      <c r="N782" t="inlineStr">
        <is>
          <t>Explore_F</t>
        </is>
      </c>
      <c r="O782" t="inlineStr">
        <is>
          <t>Familiar</t>
        </is>
      </c>
      <c r="P782" t="inlineStr">
        <is>
          <t>STATE</t>
        </is>
      </c>
      <c r="Q782" t="n">
        <v>19.834</v>
      </c>
      <c r="R782" t="n">
        <v>20.767</v>
      </c>
      <c r="S782" t="n">
        <v>0.9330000000000001</v>
      </c>
      <c r="T782" t="inlineStr">
        <is>
          <t>C:/Users/manuel.felline/Documents/BEHAVIOR BTBR/NOR second cohort/BTBR/training/c7_m5.mp4</t>
        </is>
      </c>
      <c r="U782" t="n">
        <v>857</v>
      </c>
      <c r="V782" t="n">
        <v>885</v>
      </c>
      <c r="W782" t="n">
        <v/>
      </c>
      <c r="X782" t="n">
        <v/>
      </c>
      <c r="Y782" t="n">
        <v/>
      </c>
      <c r="Z782" t="n">
        <v/>
      </c>
      <c r="AA782">
        <f>SUMIFS($S$2:S782,$A$2:A782,A782,$N$2:N782,"Explore*")</f>
        <v/>
      </c>
      <c r="AB782">
        <f>IF(AND(LEFT(N782,7)="Explore",(AA782-IF(LEFT(N782,7)="Explore",S782,0))&lt;10),"SI","NO")</f>
        <v/>
      </c>
    </row>
    <row r="783">
      <c r="A783" t="inlineStr">
        <is>
          <t>c7m5_training</t>
        </is>
      </c>
      <c r="B783" t="inlineStr">
        <is>
          <t>2026-06-17 16:34:08.754</t>
        </is>
      </c>
      <c r="C783" t="n">
        <v/>
      </c>
      <c r="D783" t="inlineStr">
        <is>
          <t>Media file</t>
        </is>
      </c>
      <c r="E783" t="inlineStr">
        <is>
          <t>player #1:C:/Users/manuel.felline/Documents/BEHAVIOR BTBR/NOR second cohort/BTBR/training/c7_m5.mp4</t>
        </is>
      </c>
      <c r="F783" t="n">
        <v>-8.733000000000001</v>
      </c>
      <c r="G783" t="n">
        <v>593.433</v>
      </c>
      <c r="H783" t="n">
        <v>621.566</v>
      </c>
      <c r="I783" t="n">
        <v>30</v>
      </c>
      <c r="J783" t="inlineStr">
        <is>
          <t>BTBR</t>
        </is>
      </c>
      <c r="K783" t="inlineStr">
        <is>
          <t>Male</t>
        </is>
      </c>
      <c r="L783" t="inlineStr">
        <is>
          <t>No focal subject</t>
        </is>
      </c>
      <c r="M783" t="n">
        <v>56.698</v>
      </c>
      <c r="N783" t="inlineStr">
        <is>
          <t>Explore_F2</t>
        </is>
      </c>
      <c r="O783" t="inlineStr">
        <is>
          <t>Second familiar</t>
        </is>
      </c>
      <c r="P783" t="inlineStr">
        <is>
          <t>STATE</t>
        </is>
      </c>
      <c r="Q783" t="n">
        <v>21.534</v>
      </c>
      <c r="R783" t="n">
        <v>22.8</v>
      </c>
      <c r="S783" t="n">
        <v>1.266</v>
      </c>
      <c r="T783" t="inlineStr">
        <is>
          <t>C:/Users/manuel.felline/Documents/BEHAVIOR BTBR/NOR second cohort/BTBR/training/c7_m5.mp4</t>
        </is>
      </c>
      <c r="U783" t="n">
        <v>908</v>
      </c>
      <c r="V783" t="n">
        <v>946</v>
      </c>
      <c r="W783" t="n">
        <v/>
      </c>
      <c r="X783" t="n">
        <v/>
      </c>
      <c r="Y783" t="n">
        <v/>
      </c>
      <c r="Z783" t="n">
        <v/>
      </c>
      <c r="AA783">
        <f>SUMIFS($S$2:S783,$A$2:A783,A783,$N$2:N783,"Explore*")</f>
        <v/>
      </c>
      <c r="AB783">
        <f>IF(AND(LEFT(N783,7)="Explore",(AA783-IF(LEFT(N783,7)="Explore",S783,0))&lt;10),"SI","NO")</f>
        <v/>
      </c>
    </row>
    <row r="784">
      <c r="A784" t="inlineStr">
        <is>
          <t>c7m5_training</t>
        </is>
      </c>
      <c r="B784" t="inlineStr">
        <is>
          <t>2026-06-17 16:34:08.754</t>
        </is>
      </c>
      <c r="C784" t="n">
        <v/>
      </c>
      <c r="D784" t="inlineStr">
        <is>
          <t>Media file</t>
        </is>
      </c>
      <c r="E784" t="inlineStr">
        <is>
          <t>player #1:C:/Users/manuel.felline/Documents/BEHAVIOR BTBR/NOR second cohort/BTBR/training/c7_m5.mp4</t>
        </is>
      </c>
      <c r="F784" t="n">
        <v>-8.733000000000001</v>
      </c>
      <c r="G784" t="n">
        <v>593.433</v>
      </c>
      <c r="H784" t="n">
        <v>621.566</v>
      </c>
      <c r="I784" t="n">
        <v>30</v>
      </c>
      <c r="J784" t="inlineStr">
        <is>
          <t>BTBR</t>
        </is>
      </c>
      <c r="K784" t="inlineStr">
        <is>
          <t>Male</t>
        </is>
      </c>
      <c r="L784" t="inlineStr">
        <is>
          <t>No focal subject</t>
        </is>
      </c>
      <c r="M784" t="n">
        <v>56.698</v>
      </c>
      <c r="N784" t="inlineStr">
        <is>
          <t>Explore_F2</t>
        </is>
      </c>
      <c r="O784" t="inlineStr">
        <is>
          <t>Second familiar</t>
        </is>
      </c>
      <c r="P784" t="inlineStr">
        <is>
          <t>STATE</t>
        </is>
      </c>
      <c r="Q784" t="n">
        <v>26</v>
      </c>
      <c r="R784" t="n">
        <v>27.367</v>
      </c>
      <c r="S784" t="n">
        <v>1.367</v>
      </c>
      <c r="T784" t="inlineStr">
        <is>
          <t>C:/Users/manuel.felline/Documents/BEHAVIOR BTBR/NOR second cohort/BTBR/training/c7_m5.mp4</t>
        </is>
      </c>
      <c r="U784" t="n">
        <v>1042</v>
      </c>
      <c r="V784" t="n">
        <v>1083</v>
      </c>
      <c r="W784" t="n">
        <v/>
      </c>
      <c r="X784" t="n">
        <v/>
      </c>
      <c r="Y784" t="n">
        <v/>
      </c>
      <c r="Z784" t="n">
        <v/>
      </c>
      <c r="AA784">
        <f>SUMIFS($S$2:S784,$A$2:A784,A784,$N$2:N784,"Explore*")</f>
        <v/>
      </c>
      <c r="AB784">
        <f>IF(AND(LEFT(N784,7)="Explore",(AA784-IF(LEFT(N784,7)="Explore",S784,0))&lt;10),"SI","NO")</f>
        <v/>
      </c>
    </row>
    <row r="785">
      <c r="A785" t="inlineStr">
        <is>
          <t>c7m5_training</t>
        </is>
      </c>
      <c r="B785" t="inlineStr">
        <is>
          <t>2026-06-17 16:34:08.754</t>
        </is>
      </c>
      <c r="C785" t="n">
        <v/>
      </c>
      <c r="D785" t="inlineStr">
        <is>
          <t>Media file</t>
        </is>
      </c>
      <c r="E785" t="inlineStr">
        <is>
          <t>player #1:C:/Users/manuel.felline/Documents/BEHAVIOR BTBR/NOR second cohort/BTBR/training/c7_m5.mp4</t>
        </is>
      </c>
      <c r="F785" t="n">
        <v>-8.733000000000001</v>
      </c>
      <c r="G785" t="n">
        <v>593.433</v>
      </c>
      <c r="H785" t="n">
        <v>621.566</v>
      </c>
      <c r="I785" t="n">
        <v>30</v>
      </c>
      <c r="J785" t="inlineStr">
        <is>
          <t>BTBR</t>
        </is>
      </c>
      <c r="K785" t="inlineStr">
        <is>
          <t>Male</t>
        </is>
      </c>
      <c r="L785" t="inlineStr">
        <is>
          <t>No focal subject</t>
        </is>
      </c>
      <c r="M785" t="n">
        <v>56.698</v>
      </c>
      <c r="N785" t="inlineStr">
        <is>
          <t>Explore_F</t>
        </is>
      </c>
      <c r="O785" t="inlineStr">
        <is>
          <t>Familiar</t>
        </is>
      </c>
      <c r="P785" t="inlineStr">
        <is>
          <t>STATE</t>
        </is>
      </c>
      <c r="Q785" t="n">
        <v>28.1</v>
      </c>
      <c r="R785" t="n">
        <v>29.267</v>
      </c>
      <c r="S785" t="n">
        <v>1.167</v>
      </c>
      <c r="T785" t="inlineStr">
        <is>
          <t>C:/Users/manuel.felline/Documents/BEHAVIOR BTBR/NOR second cohort/BTBR/training/c7_m5.mp4</t>
        </is>
      </c>
      <c r="U785" t="n">
        <v>1105</v>
      </c>
      <c r="V785" t="n">
        <v>1140</v>
      </c>
      <c r="W785" t="n">
        <v/>
      </c>
      <c r="X785" t="n">
        <v/>
      </c>
      <c r="Y785" t="n">
        <v/>
      </c>
      <c r="Z785" t="n">
        <v/>
      </c>
      <c r="AA785">
        <f>SUMIFS($S$2:S785,$A$2:A785,A785,$N$2:N785,"Explore*")</f>
        <v/>
      </c>
      <c r="AB785">
        <f>IF(AND(LEFT(N785,7)="Explore",(AA785-IF(LEFT(N785,7)="Explore",S785,0))&lt;10),"SI","NO")</f>
        <v/>
      </c>
    </row>
    <row r="786">
      <c r="A786" t="inlineStr">
        <is>
          <t>c7m5_training</t>
        </is>
      </c>
      <c r="B786" t="inlineStr">
        <is>
          <t>2026-06-17 16:34:08.754</t>
        </is>
      </c>
      <c r="C786" t="n">
        <v/>
      </c>
      <c r="D786" t="inlineStr">
        <is>
          <t>Media file</t>
        </is>
      </c>
      <c r="E786" t="inlineStr">
        <is>
          <t>player #1:C:/Users/manuel.felline/Documents/BEHAVIOR BTBR/NOR second cohort/BTBR/training/c7_m5.mp4</t>
        </is>
      </c>
      <c r="F786" t="n">
        <v>-8.733000000000001</v>
      </c>
      <c r="G786" t="n">
        <v>593.433</v>
      </c>
      <c r="H786" t="n">
        <v>621.566</v>
      </c>
      <c r="I786" t="n">
        <v>30</v>
      </c>
      <c r="J786" t="inlineStr">
        <is>
          <t>BTBR</t>
        </is>
      </c>
      <c r="K786" t="inlineStr">
        <is>
          <t>Male</t>
        </is>
      </c>
      <c r="L786" t="inlineStr">
        <is>
          <t>No focal subject</t>
        </is>
      </c>
      <c r="M786" t="n">
        <v>56.698</v>
      </c>
      <c r="N786" t="inlineStr">
        <is>
          <t>Explore_F</t>
        </is>
      </c>
      <c r="O786" t="inlineStr">
        <is>
          <t>Familiar</t>
        </is>
      </c>
      <c r="P786" t="inlineStr">
        <is>
          <t>STATE</t>
        </is>
      </c>
      <c r="Q786" t="n">
        <v>34.534</v>
      </c>
      <c r="R786" t="n">
        <v>34.967</v>
      </c>
      <c r="S786" t="n">
        <v>0.433</v>
      </c>
      <c r="T786" t="inlineStr">
        <is>
          <t>C:/Users/manuel.felline/Documents/BEHAVIOR BTBR/NOR second cohort/BTBR/training/c7_m5.mp4</t>
        </is>
      </c>
      <c r="U786" t="n">
        <v>1298</v>
      </c>
      <c r="V786" t="n">
        <v>1311</v>
      </c>
      <c r="W786" t="n">
        <v/>
      </c>
      <c r="X786" t="n">
        <v/>
      </c>
      <c r="Y786" t="n">
        <v/>
      </c>
      <c r="Z786" t="n">
        <v/>
      </c>
      <c r="AA786">
        <f>SUMIFS($S$2:S786,$A$2:A786,A786,$N$2:N786,"Explore*")</f>
        <v/>
      </c>
      <c r="AB786">
        <f>IF(AND(LEFT(N786,7)="Explore",(AA786-IF(LEFT(N786,7)="Explore",S786,0))&lt;10),"SI","NO")</f>
        <v/>
      </c>
    </row>
    <row r="787">
      <c r="A787" t="inlineStr">
        <is>
          <t>c7m5_training</t>
        </is>
      </c>
      <c r="B787" t="inlineStr">
        <is>
          <t>2026-06-17 16:34:08.754</t>
        </is>
      </c>
      <c r="C787" t="n">
        <v/>
      </c>
      <c r="D787" t="inlineStr">
        <is>
          <t>Media file</t>
        </is>
      </c>
      <c r="E787" t="inlineStr">
        <is>
          <t>player #1:C:/Users/manuel.felline/Documents/BEHAVIOR BTBR/NOR second cohort/BTBR/training/c7_m5.mp4</t>
        </is>
      </c>
      <c r="F787" t="n">
        <v>-8.733000000000001</v>
      </c>
      <c r="G787" t="n">
        <v>593.433</v>
      </c>
      <c r="H787" t="n">
        <v>621.566</v>
      </c>
      <c r="I787" t="n">
        <v>30</v>
      </c>
      <c r="J787" t="inlineStr">
        <is>
          <t>BTBR</t>
        </is>
      </c>
      <c r="K787" t="inlineStr">
        <is>
          <t>Male</t>
        </is>
      </c>
      <c r="L787" t="inlineStr">
        <is>
          <t>No focal subject</t>
        </is>
      </c>
      <c r="M787" t="n">
        <v>56.698</v>
      </c>
      <c r="N787" t="inlineStr">
        <is>
          <t>Explore_F</t>
        </is>
      </c>
      <c r="O787" t="inlineStr">
        <is>
          <t>Familiar</t>
        </is>
      </c>
      <c r="P787" t="inlineStr">
        <is>
          <t>STATE</t>
        </is>
      </c>
      <c r="Q787" t="n">
        <v>35.734</v>
      </c>
      <c r="R787" t="n">
        <v>36.834</v>
      </c>
      <c r="S787" t="n">
        <v>1.1</v>
      </c>
      <c r="T787" t="inlineStr">
        <is>
          <t>C:/Users/manuel.felline/Documents/BEHAVIOR BTBR/NOR second cohort/BTBR/training/c7_m5.mp4</t>
        </is>
      </c>
      <c r="U787" t="n">
        <v>1334</v>
      </c>
      <c r="V787" t="n">
        <v>1367</v>
      </c>
      <c r="W787" t="n">
        <v/>
      </c>
      <c r="X787" t="n">
        <v/>
      </c>
      <c r="Y787" t="n">
        <v/>
      </c>
      <c r="Z787" t="n">
        <v/>
      </c>
      <c r="AA787">
        <f>SUMIFS($S$2:S787,$A$2:A787,A787,$N$2:N787,"Explore*")</f>
        <v/>
      </c>
      <c r="AB787">
        <f>IF(AND(LEFT(N787,7)="Explore",(AA787-IF(LEFT(N787,7)="Explore",S787,0))&lt;10),"SI","NO")</f>
        <v/>
      </c>
    </row>
    <row r="788">
      <c r="A788" t="inlineStr">
        <is>
          <t>c7m5_training</t>
        </is>
      </c>
      <c r="B788" t="inlineStr">
        <is>
          <t>2026-06-17 16:34:08.754</t>
        </is>
      </c>
      <c r="C788" t="n">
        <v/>
      </c>
      <c r="D788" t="inlineStr">
        <is>
          <t>Media file</t>
        </is>
      </c>
      <c r="E788" t="inlineStr">
        <is>
          <t>player #1:C:/Users/manuel.felline/Documents/BEHAVIOR BTBR/NOR second cohort/BTBR/training/c7_m5.mp4</t>
        </is>
      </c>
      <c r="F788" t="n">
        <v>-8.733000000000001</v>
      </c>
      <c r="G788" t="n">
        <v>593.433</v>
      </c>
      <c r="H788" t="n">
        <v>621.566</v>
      </c>
      <c r="I788" t="n">
        <v>30</v>
      </c>
      <c r="J788" t="inlineStr">
        <is>
          <t>BTBR</t>
        </is>
      </c>
      <c r="K788" t="inlineStr">
        <is>
          <t>Male</t>
        </is>
      </c>
      <c r="L788" t="inlineStr">
        <is>
          <t>No focal subject</t>
        </is>
      </c>
      <c r="M788" t="n">
        <v>56.698</v>
      </c>
      <c r="N788" t="inlineStr">
        <is>
          <t>Explore_F2</t>
        </is>
      </c>
      <c r="O788" t="inlineStr">
        <is>
          <t>Second familiar</t>
        </is>
      </c>
      <c r="P788" t="inlineStr">
        <is>
          <t>STATE</t>
        </is>
      </c>
      <c r="Q788" t="n">
        <v>40.434</v>
      </c>
      <c r="R788" t="n">
        <v>40.834</v>
      </c>
      <c r="S788" t="n">
        <v>0.4</v>
      </c>
      <c r="T788" t="inlineStr">
        <is>
          <t>C:/Users/manuel.felline/Documents/BEHAVIOR BTBR/NOR second cohort/BTBR/training/c7_m5.mp4</t>
        </is>
      </c>
      <c r="U788" t="n">
        <v>1475</v>
      </c>
      <c r="V788" t="n">
        <v>1487</v>
      </c>
      <c r="W788" t="n">
        <v/>
      </c>
      <c r="X788" t="n">
        <v/>
      </c>
      <c r="Y788" t="n">
        <v/>
      </c>
      <c r="Z788" t="n">
        <v/>
      </c>
      <c r="AA788">
        <f>SUMIFS($S$2:S788,$A$2:A788,A788,$N$2:N788,"Explore*")</f>
        <v/>
      </c>
      <c r="AB788">
        <f>IF(AND(LEFT(N788,7)="Explore",(AA788-IF(LEFT(N788,7)="Explore",S788,0))&lt;10),"SI","NO")</f>
        <v/>
      </c>
    </row>
    <row r="789">
      <c r="A789" t="inlineStr">
        <is>
          <t>c7m5_training</t>
        </is>
      </c>
      <c r="B789" t="inlineStr">
        <is>
          <t>2026-06-17 16:34:08.754</t>
        </is>
      </c>
      <c r="C789" t="n">
        <v/>
      </c>
      <c r="D789" t="inlineStr">
        <is>
          <t>Media file</t>
        </is>
      </c>
      <c r="E789" t="inlineStr">
        <is>
          <t>player #1:C:/Users/manuel.felline/Documents/BEHAVIOR BTBR/NOR second cohort/BTBR/training/c7_m5.mp4</t>
        </is>
      </c>
      <c r="F789" t="n">
        <v>-8.733000000000001</v>
      </c>
      <c r="G789" t="n">
        <v>593.433</v>
      </c>
      <c r="H789" t="n">
        <v>621.566</v>
      </c>
      <c r="I789" t="n">
        <v>30</v>
      </c>
      <c r="J789" t="inlineStr">
        <is>
          <t>BTBR</t>
        </is>
      </c>
      <c r="K789" t="inlineStr">
        <is>
          <t>Male</t>
        </is>
      </c>
      <c r="L789" t="inlineStr">
        <is>
          <t>No focal subject</t>
        </is>
      </c>
      <c r="M789" t="n">
        <v>56.698</v>
      </c>
      <c r="N789" t="inlineStr">
        <is>
          <t>Explore_F2</t>
        </is>
      </c>
      <c r="O789" t="inlineStr">
        <is>
          <t>Second familiar</t>
        </is>
      </c>
      <c r="P789" t="inlineStr">
        <is>
          <t>STATE</t>
        </is>
      </c>
      <c r="Q789" t="n">
        <v>41.534</v>
      </c>
      <c r="R789" t="n">
        <v>42.367</v>
      </c>
      <c r="S789" t="n">
        <v>0.833</v>
      </c>
      <c r="T789" t="inlineStr">
        <is>
          <t>C:/Users/manuel.felline/Documents/BEHAVIOR BTBR/NOR second cohort/BTBR/training/c7_m5.mp4</t>
        </is>
      </c>
      <c r="U789" t="n">
        <v>1508</v>
      </c>
      <c r="V789" t="n">
        <v>1533</v>
      </c>
      <c r="W789" t="n">
        <v/>
      </c>
      <c r="X789" t="n">
        <v/>
      </c>
      <c r="Y789" t="n">
        <v/>
      </c>
      <c r="Z789" t="n">
        <v/>
      </c>
      <c r="AA789">
        <f>SUMIFS($S$2:S789,$A$2:A789,A789,$N$2:N789,"Explore*")</f>
        <v/>
      </c>
      <c r="AB789">
        <f>IF(AND(LEFT(N789,7)="Explore",(AA789-IF(LEFT(N789,7)="Explore",S789,0))&lt;10),"SI","NO")</f>
        <v/>
      </c>
    </row>
    <row r="790">
      <c r="A790" t="inlineStr">
        <is>
          <t>c7m5_training</t>
        </is>
      </c>
      <c r="B790" t="inlineStr">
        <is>
          <t>2026-06-17 16:34:08.754</t>
        </is>
      </c>
      <c r="C790" t="n">
        <v/>
      </c>
      <c r="D790" t="inlineStr">
        <is>
          <t>Media file</t>
        </is>
      </c>
      <c r="E790" t="inlineStr">
        <is>
          <t>player #1:C:/Users/manuel.felline/Documents/BEHAVIOR BTBR/NOR second cohort/BTBR/training/c7_m5.mp4</t>
        </is>
      </c>
      <c r="F790" t="n">
        <v>-8.733000000000001</v>
      </c>
      <c r="G790" t="n">
        <v>593.433</v>
      </c>
      <c r="H790" t="n">
        <v>621.566</v>
      </c>
      <c r="I790" t="n">
        <v>30</v>
      </c>
      <c r="J790" t="inlineStr">
        <is>
          <t>BTBR</t>
        </is>
      </c>
      <c r="K790" t="inlineStr">
        <is>
          <t>Male</t>
        </is>
      </c>
      <c r="L790" t="inlineStr">
        <is>
          <t>No focal subject</t>
        </is>
      </c>
      <c r="M790" t="n">
        <v>56.698</v>
      </c>
      <c r="N790" t="inlineStr">
        <is>
          <t>Explore_F</t>
        </is>
      </c>
      <c r="O790" t="inlineStr">
        <is>
          <t>Familiar</t>
        </is>
      </c>
      <c r="P790" t="inlineStr">
        <is>
          <t>STATE</t>
        </is>
      </c>
      <c r="Q790" t="n">
        <v>44.6</v>
      </c>
      <c r="R790" t="n">
        <v>45.7</v>
      </c>
      <c r="S790" t="n">
        <v>1.1</v>
      </c>
      <c r="T790" t="inlineStr">
        <is>
          <t>C:/Users/manuel.felline/Documents/BEHAVIOR BTBR/NOR second cohort/BTBR/training/c7_m5.mp4</t>
        </is>
      </c>
      <c r="U790" t="n">
        <v>1600</v>
      </c>
      <c r="V790" t="n">
        <v>1633</v>
      </c>
      <c r="W790" t="n">
        <v/>
      </c>
      <c r="X790" t="n">
        <v/>
      </c>
      <c r="Y790" t="n">
        <v/>
      </c>
      <c r="Z790" t="n">
        <v/>
      </c>
      <c r="AA790">
        <f>SUMIFS($S$2:S790,$A$2:A790,A790,$N$2:N790,"Explore*")</f>
        <v/>
      </c>
      <c r="AB790">
        <f>IF(AND(LEFT(N790,7)="Explore",(AA790-IF(LEFT(N790,7)="Explore",S790,0))&lt;10),"SI","NO")</f>
        <v/>
      </c>
    </row>
    <row r="791">
      <c r="A791" t="inlineStr">
        <is>
          <t>c7m5_training</t>
        </is>
      </c>
      <c r="B791" t="inlineStr">
        <is>
          <t>2026-06-17 16:34:08.754</t>
        </is>
      </c>
      <c r="C791" t="n">
        <v/>
      </c>
      <c r="D791" t="inlineStr">
        <is>
          <t>Media file</t>
        </is>
      </c>
      <c r="E791" t="inlineStr">
        <is>
          <t>player #1:C:/Users/manuel.felline/Documents/BEHAVIOR BTBR/NOR second cohort/BTBR/training/c7_m5.mp4</t>
        </is>
      </c>
      <c r="F791" t="n">
        <v>-8.733000000000001</v>
      </c>
      <c r="G791" t="n">
        <v>593.433</v>
      </c>
      <c r="H791" t="n">
        <v>621.566</v>
      </c>
      <c r="I791" t="n">
        <v>30</v>
      </c>
      <c r="J791" t="inlineStr">
        <is>
          <t>BTBR</t>
        </is>
      </c>
      <c r="K791" t="inlineStr">
        <is>
          <t>Male</t>
        </is>
      </c>
      <c r="L791" t="inlineStr">
        <is>
          <t>No focal subject</t>
        </is>
      </c>
      <c r="M791" t="n">
        <v>56.698</v>
      </c>
      <c r="N791" t="inlineStr">
        <is>
          <t>Explore_F</t>
        </is>
      </c>
      <c r="O791" t="inlineStr">
        <is>
          <t>Familiar</t>
        </is>
      </c>
      <c r="P791" t="inlineStr">
        <is>
          <t>STATE</t>
        </is>
      </c>
      <c r="Q791" t="n">
        <v>55.967</v>
      </c>
      <c r="R791" t="n">
        <v>57.134</v>
      </c>
      <c r="S791" t="n">
        <v>1.167</v>
      </c>
      <c r="T791" t="inlineStr">
        <is>
          <t>C:/Users/manuel.felline/Documents/BEHAVIOR BTBR/NOR second cohort/BTBR/training/c7_m5.mp4</t>
        </is>
      </c>
      <c r="U791" t="n">
        <v>1941</v>
      </c>
      <c r="V791" t="n">
        <v>1976</v>
      </c>
      <c r="W791" t="n">
        <v/>
      </c>
      <c r="X791" t="n">
        <v/>
      </c>
      <c r="Y791" t="n">
        <v/>
      </c>
      <c r="Z791" t="n">
        <v/>
      </c>
      <c r="AA791">
        <f>SUMIFS($S$2:S791,$A$2:A791,A791,$N$2:N791,"Explore*")</f>
        <v/>
      </c>
      <c r="AB791">
        <f>IF(AND(LEFT(N791,7)="Explore",(AA791-IF(LEFT(N791,7)="Explore",S791,0))&lt;10),"SI","NO")</f>
        <v/>
      </c>
    </row>
    <row r="792">
      <c r="A792" t="inlineStr">
        <is>
          <t>c7m5_training</t>
        </is>
      </c>
      <c r="B792" t="inlineStr">
        <is>
          <t>2026-06-17 16:34:08.754</t>
        </is>
      </c>
      <c r="C792" t="n">
        <v/>
      </c>
      <c r="D792" t="inlineStr">
        <is>
          <t>Media file</t>
        </is>
      </c>
      <c r="E792" t="inlineStr">
        <is>
          <t>player #1:C:/Users/manuel.felline/Documents/BEHAVIOR BTBR/NOR second cohort/BTBR/training/c7_m5.mp4</t>
        </is>
      </c>
      <c r="F792" t="n">
        <v>-8.733000000000001</v>
      </c>
      <c r="G792" t="n">
        <v>593.433</v>
      </c>
      <c r="H792" t="n">
        <v>621.566</v>
      </c>
      <c r="I792" t="n">
        <v>30</v>
      </c>
      <c r="J792" t="inlineStr">
        <is>
          <t>BTBR</t>
        </is>
      </c>
      <c r="K792" t="inlineStr">
        <is>
          <t>Male</t>
        </is>
      </c>
      <c r="L792" t="inlineStr">
        <is>
          <t>No focal subject</t>
        </is>
      </c>
      <c r="M792" t="n">
        <v>56.698</v>
      </c>
      <c r="N792" t="inlineStr">
        <is>
          <t>Explore_F2</t>
        </is>
      </c>
      <c r="O792" t="inlineStr">
        <is>
          <t>Second familiar</t>
        </is>
      </c>
      <c r="P792" t="inlineStr">
        <is>
          <t>STATE</t>
        </is>
      </c>
      <c r="Q792" t="n">
        <v>60.534</v>
      </c>
      <c r="R792" t="n">
        <v>61.734</v>
      </c>
      <c r="S792" t="n">
        <v>1.2</v>
      </c>
      <c r="T792" t="inlineStr">
        <is>
          <t>C:/Users/manuel.felline/Documents/BEHAVIOR BTBR/NOR second cohort/BTBR/training/c7_m5.mp4</t>
        </is>
      </c>
      <c r="U792" t="n">
        <v>2078</v>
      </c>
      <c r="V792" t="n">
        <v>2114</v>
      </c>
      <c r="W792" t="n">
        <v/>
      </c>
      <c r="X792" t="n">
        <v/>
      </c>
      <c r="Y792" t="n">
        <v/>
      </c>
      <c r="Z792" t="n">
        <v/>
      </c>
      <c r="AA792">
        <f>SUMIFS($S$2:S792,$A$2:A792,A792,$N$2:N792,"Explore*")</f>
        <v/>
      </c>
      <c r="AB792">
        <f>IF(AND(LEFT(N792,7)="Explore",(AA792-IF(LEFT(N792,7)="Explore",S792,0))&lt;10),"SI","NO")</f>
        <v/>
      </c>
    </row>
    <row r="793">
      <c r="A793" t="inlineStr">
        <is>
          <t>c7m5_training</t>
        </is>
      </c>
      <c r="B793" t="inlineStr">
        <is>
          <t>2026-06-17 16:34:08.754</t>
        </is>
      </c>
      <c r="C793" t="n">
        <v/>
      </c>
      <c r="D793" t="inlineStr">
        <is>
          <t>Media file</t>
        </is>
      </c>
      <c r="E793" t="inlineStr">
        <is>
          <t>player #1:C:/Users/manuel.felline/Documents/BEHAVIOR BTBR/NOR second cohort/BTBR/training/c7_m5.mp4</t>
        </is>
      </c>
      <c r="F793" t="n">
        <v>-8.733000000000001</v>
      </c>
      <c r="G793" t="n">
        <v>593.433</v>
      </c>
      <c r="H793" t="n">
        <v>621.566</v>
      </c>
      <c r="I793" t="n">
        <v>30</v>
      </c>
      <c r="J793" t="inlineStr">
        <is>
          <t>BTBR</t>
        </is>
      </c>
      <c r="K793" t="inlineStr">
        <is>
          <t>Male</t>
        </is>
      </c>
      <c r="L793" t="inlineStr">
        <is>
          <t>No focal subject</t>
        </is>
      </c>
      <c r="M793" t="n">
        <v>56.698</v>
      </c>
      <c r="N793" t="inlineStr">
        <is>
          <t>Explore_F</t>
        </is>
      </c>
      <c r="O793" t="inlineStr">
        <is>
          <t>Familiar</t>
        </is>
      </c>
      <c r="P793" t="inlineStr">
        <is>
          <t>STATE</t>
        </is>
      </c>
      <c r="Q793" t="n">
        <v>62.534</v>
      </c>
      <c r="R793" t="n">
        <v>63.667</v>
      </c>
      <c r="S793" t="n">
        <v>1.133</v>
      </c>
      <c r="T793" t="inlineStr">
        <is>
          <t>C:/Users/manuel.felline/Documents/BEHAVIOR BTBR/NOR second cohort/BTBR/training/c7_m5.mp4</t>
        </is>
      </c>
      <c r="U793" t="n">
        <v>2138</v>
      </c>
      <c r="V793" t="n">
        <v>2172</v>
      </c>
      <c r="W793" t="n">
        <v/>
      </c>
      <c r="X793" t="n">
        <v/>
      </c>
      <c r="Y793" t="n">
        <v/>
      </c>
      <c r="Z793" t="n">
        <v/>
      </c>
      <c r="AA793">
        <f>SUMIFS($S$2:S793,$A$2:A793,A793,$N$2:N793,"Explore*")</f>
        <v/>
      </c>
      <c r="AB793">
        <f>IF(AND(LEFT(N793,7)="Explore",(AA793-IF(LEFT(N793,7)="Explore",S793,0))&lt;10),"SI","NO")</f>
        <v/>
      </c>
    </row>
    <row r="794">
      <c r="A794" t="inlineStr">
        <is>
          <t>c7m5_training</t>
        </is>
      </c>
      <c r="B794" t="inlineStr">
        <is>
          <t>2026-06-17 16:34:08.754</t>
        </is>
      </c>
      <c r="C794" t="n">
        <v/>
      </c>
      <c r="D794" t="inlineStr">
        <is>
          <t>Media file</t>
        </is>
      </c>
      <c r="E794" t="inlineStr">
        <is>
          <t>player #1:C:/Users/manuel.felline/Documents/BEHAVIOR BTBR/NOR second cohort/BTBR/training/c7_m5.mp4</t>
        </is>
      </c>
      <c r="F794" t="n">
        <v>-8.733000000000001</v>
      </c>
      <c r="G794" t="n">
        <v>593.433</v>
      </c>
      <c r="H794" t="n">
        <v>621.566</v>
      </c>
      <c r="I794" t="n">
        <v>30</v>
      </c>
      <c r="J794" t="inlineStr">
        <is>
          <t>BTBR</t>
        </is>
      </c>
      <c r="K794" t="inlineStr">
        <is>
          <t>Male</t>
        </is>
      </c>
      <c r="L794" t="inlineStr">
        <is>
          <t>No focal subject</t>
        </is>
      </c>
      <c r="M794" t="n">
        <v>56.698</v>
      </c>
      <c r="N794" t="inlineStr">
        <is>
          <t>Explore_F</t>
        </is>
      </c>
      <c r="O794" t="inlineStr">
        <is>
          <t>Familiar</t>
        </is>
      </c>
      <c r="P794" t="inlineStr">
        <is>
          <t>STATE</t>
        </is>
      </c>
      <c r="Q794" t="n">
        <v>65.634</v>
      </c>
      <c r="R794" t="n">
        <v>66.53400000000001</v>
      </c>
      <c r="S794" t="n">
        <v>0.9</v>
      </c>
      <c r="T794" t="inlineStr">
        <is>
          <t>C:/Users/manuel.felline/Documents/BEHAVIOR BTBR/NOR second cohort/BTBR/training/c7_m5.mp4</t>
        </is>
      </c>
      <c r="U794" t="n">
        <v>2231</v>
      </c>
      <c r="V794" t="n">
        <v>2258</v>
      </c>
      <c r="W794" t="n">
        <v/>
      </c>
      <c r="X794" t="n">
        <v/>
      </c>
      <c r="Y794" t="n">
        <v/>
      </c>
      <c r="Z794" t="n">
        <v/>
      </c>
      <c r="AA794">
        <f>SUMIFS($S$2:S794,$A$2:A794,A794,$N$2:N794,"Explore*")</f>
        <v/>
      </c>
      <c r="AB794">
        <f>IF(AND(LEFT(N794,7)="Explore",(AA794-IF(LEFT(N794,7)="Explore",S794,0))&lt;10),"SI","NO")</f>
        <v/>
      </c>
    </row>
    <row r="795">
      <c r="A795" t="inlineStr">
        <is>
          <t>c7m5_training</t>
        </is>
      </c>
      <c r="B795" t="inlineStr">
        <is>
          <t>2026-06-17 16:34:08.754</t>
        </is>
      </c>
      <c r="C795" t="n">
        <v/>
      </c>
      <c r="D795" t="inlineStr">
        <is>
          <t>Media file</t>
        </is>
      </c>
      <c r="E795" t="inlineStr">
        <is>
          <t>player #1:C:/Users/manuel.felline/Documents/BEHAVIOR BTBR/NOR second cohort/BTBR/training/c7_m5.mp4</t>
        </is>
      </c>
      <c r="F795" t="n">
        <v>-8.733000000000001</v>
      </c>
      <c r="G795" t="n">
        <v>593.433</v>
      </c>
      <c r="H795" t="n">
        <v>621.566</v>
      </c>
      <c r="I795" t="n">
        <v>30</v>
      </c>
      <c r="J795" t="inlineStr">
        <is>
          <t>BTBR</t>
        </is>
      </c>
      <c r="K795" t="inlineStr">
        <is>
          <t>Male</t>
        </is>
      </c>
      <c r="L795" t="inlineStr">
        <is>
          <t>No focal subject</t>
        </is>
      </c>
      <c r="M795" t="n">
        <v>56.698</v>
      </c>
      <c r="N795" t="inlineStr">
        <is>
          <t>Explore_F</t>
        </is>
      </c>
      <c r="O795" t="inlineStr">
        <is>
          <t>Familiar</t>
        </is>
      </c>
      <c r="P795" t="inlineStr">
        <is>
          <t>STATE</t>
        </is>
      </c>
      <c r="Q795" t="n">
        <v>70.834</v>
      </c>
      <c r="R795" t="n">
        <v>71.834</v>
      </c>
      <c r="S795" t="n">
        <v>1</v>
      </c>
      <c r="T795" t="inlineStr">
        <is>
          <t>C:/Users/manuel.felline/Documents/BEHAVIOR BTBR/NOR second cohort/BTBR/training/c7_m5.mp4</t>
        </is>
      </c>
      <c r="U795" t="n">
        <v>2387</v>
      </c>
      <c r="V795" t="n">
        <v>2417</v>
      </c>
      <c r="W795" t="n">
        <v/>
      </c>
      <c r="X795" t="n">
        <v/>
      </c>
      <c r="Y795" t="n">
        <v/>
      </c>
      <c r="Z795" t="n">
        <v/>
      </c>
      <c r="AA795">
        <f>SUMIFS($S$2:S795,$A$2:A795,A795,$N$2:N795,"Explore*")</f>
        <v/>
      </c>
      <c r="AB795">
        <f>IF(AND(LEFT(N795,7)="Explore",(AA795-IF(LEFT(N795,7)="Explore",S795,0))&lt;10),"SI","NO")</f>
        <v/>
      </c>
    </row>
    <row r="796">
      <c r="A796" t="inlineStr">
        <is>
          <t>c7m5_training</t>
        </is>
      </c>
      <c r="B796" t="inlineStr">
        <is>
          <t>2026-06-17 16:34:08.754</t>
        </is>
      </c>
      <c r="C796" t="n">
        <v/>
      </c>
      <c r="D796" t="inlineStr">
        <is>
          <t>Media file</t>
        </is>
      </c>
      <c r="E796" t="inlineStr">
        <is>
          <t>player #1:C:/Users/manuel.felline/Documents/BEHAVIOR BTBR/NOR second cohort/BTBR/training/c7_m5.mp4</t>
        </is>
      </c>
      <c r="F796" t="n">
        <v>-8.733000000000001</v>
      </c>
      <c r="G796" t="n">
        <v>593.433</v>
      </c>
      <c r="H796" t="n">
        <v>621.566</v>
      </c>
      <c r="I796" t="n">
        <v>30</v>
      </c>
      <c r="J796" t="inlineStr">
        <is>
          <t>BTBR</t>
        </is>
      </c>
      <c r="K796" t="inlineStr">
        <is>
          <t>Male</t>
        </is>
      </c>
      <c r="L796" t="inlineStr">
        <is>
          <t>No focal subject</t>
        </is>
      </c>
      <c r="M796" t="n">
        <v>56.698</v>
      </c>
      <c r="N796" t="inlineStr">
        <is>
          <t>Explore_F2</t>
        </is>
      </c>
      <c r="O796" t="inlineStr">
        <is>
          <t>Second familiar</t>
        </is>
      </c>
      <c r="P796" t="inlineStr">
        <is>
          <t>STATE</t>
        </is>
      </c>
      <c r="Q796" t="n">
        <v>72.634</v>
      </c>
      <c r="R796" t="n">
        <v>74.134</v>
      </c>
      <c r="S796" t="n">
        <v>1.5</v>
      </c>
      <c r="T796" t="inlineStr">
        <is>
          <t>C:/Users/manuel.felline/Documents/BEHAVIOR BTBR/NOR second cohort/BTBR/training/c7_m5.mp4</t>
        </is>
      </c>
      <c r="U796" t="n">
        <v>2441</v>
      </c>
      <c r="V796" t="n">
        <v>2486</v>
      </c>
      <c r="W796" t="n">
        <v/>
      </c>
      <c r="X796" t="n">
        <v/>
      </c>
      <c r="Y796" t="n">
        <v/>
      </c>
      <c r="Z796" t="n">
        <v/>
      </c>
      <c r="AA796">
        <f>SUMIFS($S$2:S796,$A$2:A796,A796,$N$2:N796,"Explore*")</f>
        <v/>
      </c>
      <c r="AB796">
        <f>IF(AND(LEFT(N796,7)="Explore",(AA796-IF(LEFT(N796,7)="Explore",S796,0))&lt;10),"SI","NO")</f>
        <v/>
      </c>
    </row>
    <row r="797">
      <c r="A797" t="inlineStr">
        <is>
          <t>c7m5_training</t>
        </is>
      </c>
      <c r="B797" t="inlineStr">
        <is>
          <t>2026-06-17 16:34:08.754</t>
        </is>
      </c>
      <c r="C797" t="n">
        <v/>
      </c>
      <c r="D797" t="inlineStr">
        <is>
          <t>Media file</t>
        </is>
      </c>
      <c r="E797" t="inlineStr">
        <is>
          <t>player #1:C:/Users/manuel.felline/Documents/BEHAVIOR BTBR/NOR second cohort/BTBR/training/c7_m5.mp4</t>
        </is>
      </c>
      <c r="F797" t="n">
        <v>-8.733000000000001</v>
      </c>
      <c r="G797" t="n">
        <v>593.433</v>
      </c>
      <c r="H797" t="n">
        <v>621.566</v>
      </c>
      <c r="I797" t="n">
        <v>30</v>
      </c>
      <c r="J797" t="inlineStr">
        <is>
          <t>BTBR</t>
        </is>
      </c>
      <c r="K797" t="inlineStr">
        <is>
          <t>Male</t>
        </is>
      </c>
      <c r="L797" t="inlineStr">
        <is>
          <t>No focal subject</t>
        </is>
      </c>
      <c r="M797" t="n">
        <v>56.698</v>
      </c>
      <c r="N797" t="inlineStr">
        <is>
          <t>Explore_F</t>
        </is>
      </c>
      <c r="O797" t="inlineStr">
        <is>
          <t>Familiar</t>
        </is>
      </c>
      <c r="P797" t="inlineStr">
        <is>
          <t>STATE</t>
        </is>
      </c>
      <c r="Q797" t="n">
        <v>89.767</v>
      </c>
      <c r="R797" t="n">
        <v>90.7</v>
      </c>
      <c r="S797" t="n">
        <v>0.9330000000000001</v>
      </c>
      <c r="T797" t="inlineStr">
        <is>
          <t>C:/Users/manuel.felline/Documents/BEHAVIOR BTBR/NOR second cohort/BTBR/training/c7_m5.mp4</t>
        </is>
      </c>
      <c r="U797" t="n">
        <v>2954</v>
      </c>
      <c r="V797" t="n">
        <v>2982</v>
      </c>
      <c r="W797" t="n">
        <v/>
      </c>
      <c r="X797" t="n">
        <v/>
      </c>
      <c r="Y797" t="n">
        <v/>
      </c>
      <c r="Z797" t="n">
        <v/>
      </c>
      <c r="AA797">
        <f>SUMIFS($S$2:S797,$A$2:A797,A797,$N$2:N797,"Explore*")</f>
        <v/>
      </c>
      <c r="AB797">
        <f>IF(AND(LEFT(N797,7)="Explore",(AA797-IF(LEFT(N797,7)="Explore",S797,0))&lt;10),"SI","NO")</f>
        <v/>
      </c>
    </row>
    <row r="798">
      <c r="A798" t="inlineStr">
        <is>
          <t>c7m5_training</t>
        </is>
      </c>
      <c r="B798" t="inlineStr">
        <is>
          <t>2026-06-17 16:34:08.754</t>
        </is>
      </c>
      <c r="C798" t="n">
        <v/>
      </c>
      <c r="D798" t="inlineStr">
        <is>
          <t>Media file</t>
        </is>
      </c>
      <c r="E798" t="inlineStr">
        <is>
          <t>player #1:C:/Users/manuel.felline/Documents/BEHAVIOR BTBR/NOR second cohort/BTBR/training/c7_m5.mp4</t>
        </is>
      </c>
      <c r="F798" t="n">
        <v>-8.733000000000001</v>
      </c>
      <c r="G798" t="n">
        <v>593.433</v>
      </c>
      <c r="H798" t="n">
        <v>621.566</v>
      </c>
      <c r="I798" t="n">
        <v>30</v>
      </c>
      <c r="J798" t="inlineStr">
        <is>
          <t>BTBR</t>
        </is>
      </c>
      <c r="K798" t="inlineStr">
        <is>
          <t>Male</t>
        </is>
      </c>
      <c r="L798" t="inlineStr">
        <is>
          <t>No focal subject</t>
        </is>
      </c>
      <c r="M798" t="n">
        <v>56.698</v>
      </c>
      <c r="N798" t="inlineStr">
        <is>
          <t>Explore_F2</t>
        </is>
      </c>
      <c r="O798" t="inlineStr">
        <is>
          <t>Second familiar</t>
        </is>
      </c>
      <c r="P798" t="inlineStr">
        <is>
          <t>STATE</t>
        </is>
      </c>
      <c r="Q798" t="n">
        <v>93.09999999999999</v>
      </c>
      <c r="R798" t="n">
        <v>94.267</v>
      </c>
      <c r="S798" t="n">
        <v>1.167</v>
      </c>
      <c r="T798" t="inlineStr">
        <is>
          <t>C:/Users/manuel.felline/Documents/BEHAVIOR BTBR/NOR second cohort/BTBR/training/c7_m5.mp4</t>
        </is>
      </c>
      <c r="U798" t="n">
        <v>3054</v>
      </c>
      <c r="V798" t="n">
        <v>3089</v>
      </c>
      <c r="W798" t="n">
        <v/>
      </c>
      <c r="X798" t="n">
        <v/>
      </c>
      <c r="Y798" t="n">
        <v/>
      </c>
      <c r="Z798" t="n">
        <v/>
      </c>
      <c r="AA798">
        <f>SUMIFS($S$2:S798,$A$2:A798,A798,$N$2:N798,"Explore*")</f>
        <v/>
      </c>
      <c r="AB798">
        <f>IF(AND(LEFT(N798,7)="Explore",(AA798-IF(LEFT(N798,7)="Explore",S798,0))&lt;10),"SI","NO")</f>
        <v/>
      </c>
    </row>
    <row r="799">
      <c r="A799" t="inlineStr">
        <is>
          <t>c7m5_training</t>
        </is>
      </c>
      <c r="B799" t="inlineStr">
        <is>
          <t>2026-06-17 16:34:08.754</t>
        </is>
      </c>
      <c r="C799" t="n">
        <v/>
      </c>
      <c r="D799" t="inlineStr">
        <is>
          <t>Media file</t>
        </is>
      </c>
      <c r="E799" t="inlineStr">
        <is>
          <t>player #1:C:/Users/manuel.felline/Documents/BEHAVIOR BTBR/NOR second cohort/BTBR/training/c7_m5.mp4</t>
        </is>
      </c>
      <c r="F799" t="n">
        <v>-8.733000000000001</v>
      </c>
      <c r="G799" t="n">
        <v>593.433</v>
      </c>
      <c r="H799" t="n">
        <v>621.566</v>
      </c>
      <c r="I799" t="n">
        <v>30</v>
      </c>
      <c r="J799" t="inlineStr">
        <is>
          <t>BTBR</t>
        </is>
      </c>
      <c r="K799" t="inlineStr">
        <is>
          <t>Male</t>
        </is>
      </c>
      <c r="L799" t="inlineStr">
        <is>
          <t>No focal subject</t>
        </is>
      </c>
      <c r="M799" t="n">
        <v>56.698</v>
      </c>
      <c r="N799" t="inlineStr">
        <is>
          <t>Explore_F</t>
        </is>
      </c>
      <c r="O799" t="inlineStr">
        <is>
          <t>Familiar</t>
        </is>
      </c>
      <c r="P799" t="inlineStr">
        <is>
          <t>STATE</t>
        </is>
      </c>
      <c r="Q799" t="n">
        <v>95.06699999999999</v>
      </c>
      <c r="R799" t="n">
        <v>96.23399999999999</v>
      </c>
      <c r="S799" t="n">
        <v>1.167</v>
      </c>
      <c r="T799" t="inlineStr">
        <is>
          <t>C:/Users/manuel.felline/Documents/BEHAVIOR BTBR/NOR second cohort/BTBR/training/c7_m5.mp4</t>
        </is>
      </c>
      <c r="U799" t="n">
        <v>3113</v>
      </c>
      <c r="V799" t="n">
        <v>3148</v>
      </c>
      <c r="W799" t="n">
        <v/>
      </c>
      <c r="X799" t="n">
        <v/>
      </c>
      <c r="Y799" t="n">
        <v/>
      </c>
      <c r="Z799" t="n">
        <v/>
      </c>
      <c r="AA799">
        <f>SUMIFS($S$2:S799,$A$2:A799,A799,$N$2:N799,"Explore*")</f>
        <v/>
      </c>
      <c r="AB799">
        <f>IF(AND(LEFT(N799,7)="Explore",(AA799-IF(LEFT(N799,7)="Explore",S799,0))&lt;10),"SI","NO")</f>
        <v/>
      </c>
    </row>
    <row r="800">
      <c r="A800" t="inlineStr">
        <is>
          <t>c7m5_training</t>
        </is>
      </c>
      <c r="B800" t="inlineStr">
        <is>
          <t>2026-06-17 16:34:08.754</t>
        </is>
      </c>
      <c r="C800" t="n">
        <v/>
      </c>
      <c r="D800" t="inlineStr">
        <is>
          <t>Media file</t>
        </is>
      </c>
      <c r="E800" t="inlineStr">
        <is>
          <t>player #1:C:/Users/manuel.felline/Documents/BEHAVIOR BTBR/NOR second cohort/BTBR/training/c7_m5.mp4</t>
        </is>
      </c>
      <c r="F800" t="n">
        <v>-8.733000000000001</v>
      </c>
      <c r="G800" t="n">
        <v>593.433</v>
      </c>
      <c r="H800" t="n">
        <v>621.566</v>
      </c>
      <c r="I800" t="n">
        <v>30</v>
      </c>
      <c r="J800" t="inlineStr">
        <is>
          <t>BTBR</t>
        </is>
      </c>
      <c r="K800" t="inlineStr">
        <is>
          <t>Male</t>
        </is>
      </c>
      <c r="L800" t="inlineStr">
        <is>
          <t>No focal subject</t>
        </is>
      </c>
      <c r="M800" t="n">
        <v>56.698</v>
      </c>
      <c r="N800" t="inlineStr">
        <is>
          <t>Explore_F</t>
        </is>
      </c>
      <c r="O800" t="inlineStr">
        <is>
          <t>Familiar</t>
        </is>
      </c>
      <c r="P800" t="inlineStr">
        <is>
          <t>STATE</t>
        </is>
      </c>
      <c r="Q800" t="n">
        <v>97.03400000000001</v>
      </c>
      <c r="R800" t="n">
        <v>98.53400000000001</v>
      </c>
      <c r="S800" t="n">
        <v>1.5</v>
      </c>
      <c r="T800" t="inlineStr">
        <is>
          <t>C:/Users/manuel.felline/Documents/BEHAVIOR BTBR/NOR second cohort/BTBR/training/c7_m5.mp4</t>
        </is>
      </c>
      <c r="U800" t="n">
        <v>3172</v>
      </c>
      <c r="V800" t="n">
        <v>3217</v>
      </c>
      <c r="W800" t="n">
        <v/>
      </c>
      <c r="X800" t="n">
        <v/>
      </c>
      <c r="Y800" t="n">
        <v/>
      </c>
      <c r="Z800" t="n">
        <v/>
      </c>
      <c r="AA800">
        <f>SUMIFS($S$2:S800,$A$2:A800,A800,$N$2:N800,"Explore*")</f>
        <v/>
      </c>
      <c r="AB800">
        <f>IF(AND(LEFT(N800,7)="Explore",(AA800-IF(LEFT(N800,7)="Explore",S800,0))&lt;10),"SI","NO")</f>
        <v/>
      </c>
    </row>
    <row r="801">
      <c r="A801" t="inlineStr">
        <is>
          <t>c7m5_training</t>
        </is>
      </c>
      <c r="B801" t="inlineStr">
        <is>
          <t>2026-06-17 16:34:08.754</t>
        </is>
      </c>
      <c r="C801" t="n">
        <v/>
      </c>
      <c r="D801" t="inlineStr">
        <is>
          <t>Media file</t>
        </is>
      </c>
      <c r="E801" t="inlineStr">
        <is>
          <t>player #1:C:/Users/manuel.felline/Documents/BEHAVIOR BTBR/NOR second cohort/BTBR/training/c7_m5.mp4</t>
        </is>
      </c>
      <c r="F801" t="n">
        <v>-8.733000000000001</v>
      </c>
      <c r="G801" t="n">
        <v>593.433</v>
      </c>
      <c r="H801" t="n">
        <v>621.566</v>
      </c>
      <c r="I801" t="n">
        <v>30</v>
      </c>
      <c r="J801" t="inlineStr">
        <is>
          <t>BTBR</t>
        </is>
      </c>
      <c r="K801" t="inlineStr">
        <is>
          <t>Male</t>
        </is>
      </c>
      <c r="L801" t="inlineStr">
        <is>
          <t>No focal subject</t>
        </is>
      </c>
      <c r="M801" t="n">
        <v>56.698</v>
      </c>
      <c r="N801" t="inlineStr">
        <is>
          <t>Explore_F</t>
        </is>
      </c>
      <c r="O801" t="inlineStr">
        <is>
          <t>Familiar</t>
        </is>
      </c>
      <c r="P801" t="inlineStr">
        <is>
          <t>STATE</t>
        </is>
      </c>
      <c r="Q801" t="n">
        <v>108.6</v>
      </c>
      <c r="R801" t="n">
        <v>109.934</v>
      </c>
      <c r="S801" t="n">
        <v>1.334</v>
      </c>
      <c r="T801" t="inlineStr">
        <is>
          <t>C:/Users/manuel.felline/Documents/BEHAVIOR BTBR/NOR second cohort/BTBR/training/c7_m5.mp4</t>
        </is>
      </c>
      <c r="U801" t="n">
        <v>3519</v>
      </c>
      <c r="V801" t="n">
        <v>3559</v>
      </c>
      <c r="W801" t="n">
        <v/>
      </c>
      <c r="X801" t="n">
        <v/>
      </c>
      <c r="Y801" t="n">
        <v/>
      </c>
      <c r="Z801" t="n">
        <v/>
      </c>
      <c r="AA801">
        <f>SUMIFS($S$2:S801,$A$2:A801,A801,$N$2:N801,"Explore*")</f>
        <v/>
      </c>
      <c r="AB801">
        <f>IF(AND(LEFT(N801,7)="Explore",(AA801-IF(LEFT(N801,7)="Explore",S801,0))&lt;10),"SI","NO")</f>
        <v/>
      </c>
    </row>
    <row r="802">
      <c r="A802" t="inlineStr">
        <is>
          <t>c7m5_training</t>
        </is>
      </c>
      <c r="B802" t="inlineStr">
        <is>
          <t>2026-06-17 16:34:08.754</t>
        </is>
      </c>
      <c r="C802" t="n">
        <v/>
      </c>
      <c r="D802" t="inlineStr">
        <is>
          <t>Media file</t>
        </is>
      </c>
      <c r="E802" t="inlineStr">
        <is>
          <t>player #1:C:/Users/manuel.felline/Documents/BEHAVIOR BTBR/NOR second cohort/BTBR/training/c7_m5.mp4</t>
        </is>
      </c>
      <c r="F802" t="n">
        <v>-8.733000000000001</v>
      </c>
      <c r="G802" t="n">
        <v>593.433</v>
      </c>
      <c r="H802" t="n">
        <v>621.566</v>
      </c>
      <c r="I802" t="n">
        <v>30</v>
      </c>
      <c r="J802" t="inlineStr">
        <is>
          <t>BTBR</t>
        </is>
      </c>
      <c r="K802" t="inlineStr">
        <is>
          <t>Male</t>
        </is>
      </c>
      <c r="L802" t="inlineStr">
        <is>
          <t>No focal subject</t>
        </is>
      </c>
      <c r="M802" t="n">
        <v>56.698</v>
      </c>
      <c r="N802" t="inlineStr">
        <is>
          <t>Explore_F2</t>
        </is>
      </c>
      <c r="O802" t="inlineStr">
        <is>
          <t>Second familiar</t>
        </is>
      </c>
      <c r="P802" t="inlineStr">
        <is>
          <t>STATE</t>
        </is>
      </c>
      <c r="Q802" t="n">
        <v>117.3</v>
      </c>
      <c r="R802" t="n">
        <v>118.7</v>
      </c>
      <c r="S802" t="n">
        <v>1.4</v>
      </c>
      <c r="T802" t="inlineStr">
        <is>
          <t>C:/Users/manuel.felline/Documents/BEHAVIOR BTBR/NOR second cohort/BTBR/training/c7_m5.mp4</t>
        </is>
      </c>
      <c r="U802" t="n">
        <v>3780</v>
      </c>
      <c r="V802" t="n">
        <v>3822</v>
      </c>
      <c r="W802" t="n">
        <v/>
      </c>
      <c r="X802" t="n">
        <v/>
      </c>
      <c r="Y802" t="n">
        <v/>
      </c>
      <c r="Z802" t="n">
        <v/>
      </c>
      <c r="AA802">
        <f>SUMIFS($S$2:S802,$A$2:A802,A802,$N$2:N802,"Explore*")</f>
        <v/>
      </c>
      <c r="AB802">
        <f>IF(AND(LEFT(N802,7)="Explore",(AA802-IF(LEFT(N802,7)="Explore",S802,0))&lt;10),"SI","NO")</f>
        <v/>
      </c>
    </row>
    <row r="803">
      <c r="A803" t="inlineStr">
        <is>
          <t>c7m5_training</t>
        </is>
      </c>
      <c r="B803" t="inlineStr">
        <is>
          <t>2026-06-17 16:34:08.754</t>
        </is>
      </c>
      <c r="C803" t="n">
        <v/>
      </c>
      <c r="D803" t="inlineStr">
        <is>
          <t>Media file</t>
        </is>
      </c>
      <c r="E803" t="inlineStr">
        <is>
          <t>player #1:C:/Users/manuel.felline/Documents/BEHAVIOR BTBR/NOR second cohort/BTBR/training/c7_m5.mp4</t>
        </is>
      </c>
      <c r="F803" t="n">
        <v>-8.733000000000001</v>
      </c>
      <c r="G803" t="n">
        <v>593.433</v>
      </c>
      <c r="H803" t="n">
        <v>621.566</v>
      </c>
      <c r="I803" t="n">
        <v>30</v>
      </c>
      <c r="J803" t="inlineStr">
        <is>
          <t>BTBR</t>
        </is>
      </c>
      <c r="K803" t="inlineStr">
        <is>
          <t>Male</t>
        </is>
      </c>
      <c r="L803" t="inlineStr">
        <is>
          <t>No focal subject</t>
        </is>
      </c>
      <c r="M803" t="n">
        <v>56.698</v>
      </c>
      <c r="N803" t="inlineStr">
        <is>
          <t>Explore_F</t>
        </is>
      </c>
      <c r="O803" t="inlineStr">
        <is>
          <t>Familiar</t>
        </is>
      </c>
      <c r="P803" t="inlineStr">
        <is>
          <t>STATE</t>
        </is>
      </c>
      <c r="Q803" t="n">
        <v>139.134</v>
      </c>
      <c r="R803" t="n">
        <v>140.334</v>
      </c>
      <c r="S803" t="n">
        <v>1.2</v>
      </c>
      <c r="T803" t="inlineStr">
        <is>
          <t>C:/Users/manuel.felline/Documents/BEHAVIOR BTBR/NOR second cohort/BTBR/training/c7_m5.mp4</t>
        </is>
      </c>
      <c r="U803" t="n">
        <v>4435</v>
      </c>
      <c r="V803" t="n">
        <v>4471</v>
      </c>
      <c r="W803" t="n">
        <v/>
      </c>
      <c r="X803" t="n">
        <v/>
      </c>
      <c r="Y803" t="n">
        <v/>
      </c>
      <c r="Z803" t="n">
        <v/>
      </c>
      <c r="AA803">
        <f>SUMIFS($S$2:S803,$A$2:A803,A803,$N$2:N803,"Explore*")</f>
        <v/>
      </c>
      <c r="AB803">
        <f>IF(AND(LEFT(N803,7)="Explore",(AA803-IF(LEFT(N803,7)="Explore",S803,0))&lt;10),"SI","NO")</f>
        <v/>
      </c>
    </row>
    <row r="804">
      <c r="A804" t="inlineStr">
        <is>
          <t>c7m5_training</t>
        </is>
      </c>
      <c r="B804" t="inlineStr">
        <is>
          <t>2026-06-17 16:34:08.754</t>
        </is>
      </c>
      <c r="C804" t="n">
        <v/>
      </c>
      <c r="D804" t="inlineStr">
        <is>
          <t>Media file</t>
        </is>
      </c>
      <c r="E804" t="inlineStr">
        <is>
          <t>player #1:C:/Users/manuel.felline/Documents/BEHAVIOR BTBR/NOR second cohort/BTBR/training/c7_m5.mp4</t>
        </is>
      </c>
      <c r="F804" t="n">
        <v>-8.733000000000001</v>
      </c>
      <c r="G804" t="n">
        <v>593.433</v>
      </c>
      <c r="H804" t="n">
        <v>621.566</v>
      </c>
      <c r="I804" t="n">
        <v>30</v>
      </c>
      <c r="J804" t="inlineStr">
        <is>
          <t>BTBR</t>
        </is>
      </c>
      <c r="K804" t="inlineStr">
        <is>
          <t>Male</t>
        </is>
      </c>
      <c r="L804" t="inlineStr">
        <is>
          <t>No focal subject</t>
        </is>
      </c>
      <c r="M804" t="n">
        <v>56.698</v>
      </c>
      <c r="N804" t="inlineStr">
        <is>
          <t>Explore_F2</t>
        </is>
      </c>
      <c r="O804" t="inlineStr">
        <is>
          <t>Second familiar</t>
        </is>
      </c>
      <c r="P804" t="inlineStr">
        <is>
          <t>STATE</t>
        </is>
      </c>
      <c r="Q804" t="n">
        <v>154.3</v>
      </c>
      <c r="R804" t="n">
        <v>155.633</v>
      </c>
      <c r="S804" t="n">
        <v>1.333</v>
      </c>
      <c r="T804" t="inlineStr">
        <is>
          <t>C:/Users/manuel.felline/Documents/BEHAVIOR BTBR/NOR second cohort/BTBR/training/c7_m5.mp4</t>
        </is>
      </c>
      <c r="U804" t="n">
        <v>4890</v>
      </c>
      <c r="V804" t="n">
        <v>4930</v>
      </c>
      <c r="W804" t="n">
        <v/>
      </c>
      <c r="X804" t="n">
        <v/>
      </c>
      <c r="Y804" t="n">
        <v/>
      </c>
      <c r="Z804" t="n">
        <v/>
      </c>
      <c r="AA804">
        <f>SUMIFS($S$2:S804,$A$2:A804,A804,$N$2:N804,"Explore*")</f>
        <v/>
      </c>
      <c r="AB804">
        <f>IF(AND(LEFT(N804,7)="Explore",(AA804-IF(LEFT(N804,7)="Explore",S804,0))&lt;10),"SI","NO")</f>
        <v/>
      </c>
    </row>
    <row r="805">
      <c r="A805" t="inlineStr">
        <is>
          <t>c7m5_training</t>
        </is>
      </c>
      <c r="B805" t="inlineStr">
        <is>
          <t>2026-06-17 16:34:08.754</t>
        </is>
      </c>
      <c r="C805" t="n">
        <v/>
      </c>
      <c r="D805" t="inlineStr">
        <is>
          <t>Media file</t>
        </is>
      </c>
      <c r="E805" t="inlineStr">
        <is>
          <t>player #1:C:/Users/manuel.felline/Documents/BEHAVIOR BTBR/NOR second cohort/BTBR/training/c7_m5.mp4</t>
        </is>
      </c>
      <c r="F805" t="n">
        <v>-8.733000000000001</v>
      </c>
      <c r="G805" t="n">
        <v>593.433</v>
      </c>
      <c r="H805" t="n">
        <v>621.566</v>
      </c>
      <c r="I805" t="n">
        <v>30</v>
      </c>
      <c r="J805" t="inlineStr">
        <is>
          <t>BTBR</t>
        </is>
      </c>
      <c r="K805" t="inlineStr">
        <is>
          <t>Male</t>
        </is>
      </c>
      <c r="L805" t="inlineStr">
        <is>
          <t>No focal subject</t>
        </is>
      </c>
      <c r="M805" t="n">
        <v>56.698</v>
      </c>
      <c r="N805" t="inlineStr">
        <is>
          <t>Explore_F</t>
        </is>
      </c>
      <c r="O805" t="inlineStr">
        <is>
          <t>Familiar</t>
        </is>
      </c>
      <c r="P805" t="inlineStr">
        <is>
          <t>STATE</t>
        </is>
      </c>
      <c r="Q805" t="n">
        <v>165.9</v>
      </c>
      <c r="R805" t="n">
        <v>166.6</v>
      </c>
      <c r="S805" t="n">
        <v>0.7</v>
      </c>
      <c r="T805" t="inlineStr">
        <is>
          <t>C:/Users/manuel.felline/Documents/BEHAVIOR BTBR/NOR second cohort/BTBR/training/c7_m5.mp4</t>
        </is>
      </c>
      <c r="U805" t="n">
        <v>5238</v>
      </c>
      <c r="V805" t="n">
        <v>5259</v>
      </c>
      <c r="W805" t="n">
        <v/>
      </c>
      <c r="X805" t="n">
        <v/>
      </c>
      <c r="Y805" t="n">
        <v/>
      </c>
      <c r="Z805" t="n">
        <v/>
      </c>
      <c r="AA805">
        <f>SUMIFS($S$2:S805,$A$2:A805,A805,$N$2:N805,"Explore*")</f>
        <v/>
      </c>
      <c r="AB805">
        <f>IF(AND(LEFT(N805,7)="Explore",(AA805-IF(LEFT(N805,7)="Explore",S805,0))&lt;10),"SI","NO")</f>
        <v/>
      </c>
    </row>
    <row r="806">
      <c r="A806" t="inlineStr">
        <is>
          <t>c7m5_training</t>
        </is>
      </c>
      <c r="B806" t="inlineStr">
        <is>
          <t>2026-06-17 16:34:08.754</t>
        </is>
      </c>
      <c r="C806" t="n">
        <v/>
      </c>
      <c r="D806" t="inlineStr">
        <is>
          <t>Media file</t>
        </is>
      </c>
      <c r="E806" t="inlineStr">
        <is>
          <t>player #1:C:/Users/manuel.felline/Documents/BEHAVIOR BTBR/NOR second cohort/BTBR/training/c7_m5.mp4</t>
        </is>
      </c>
      <c r="F806" t="n">
        <v>-8.733000000000001</v>
      </c>
      <c r="G806" t="n">
        <v>593.433</v>
      </c>
      <c r="H806" t="n">
        <v>621.566</v>
      </c>
      <c r="I806" t="n">
        <v>30</v>
      </c>
      <c r="J806" t="inlineStr">
        <is>
          <t>BTBR</t>
        </is>
      </c>
      <c r="K806" t="inlineStr">
        <is>
          <t>Male</t>
        </is>
      </c>
      <c r="L806" t="inlineStr">
        <is>
          <t>No focal subject</t>
        </is>
      </c>
      <c r="M806" t="n">
        <v>56.698</v>
      </c>
      <c r="N806" t="inlineStr">
        <is>
          <t>Explore_F2</t>
        </is>
      </c>
      <c r="O806" t="inlineStr">
        <is>
          <t>Second familiar</t>
        </is>
      </c>
      <c r="P806" t="inlineStr">
        <is>
          <t>STATE</t>
        </is>
      </c>
      <c r="Q806" t="n">
        <v>173.3</v>
      </c>
      <c r="R806" t="n">
        <v>174.033</v>
      </c>
      <c r="S806" t="n">
        <v>0.733</v>
      </c>
      <c r="T806" t="inlineStr">
        <is>
          <t>C:/Users/manuel.felline/Documents/BEHAVIOR BTBR/NOR second cohort/BTBR/training/c7_m5.mp4</t>
        </is>
      </c>
      <c r="U806" t="n">
        <v>5460</v>
      </c>
      <c r="V806" t="n">
        <v>5482</v>
      </c>
      <c r="W806" t="n">
        <v/>
      </c>
      <c r="X806" t="n">
        <v/>
      </c>
      <c r="Y806" t="n">
        <v/>
      </c>
      <c r="Z806" t="n">
        <v/>
      </c>
      <c r="AA806">
        <f>SUMIFS($S$2:S806,$A$2:A806,A806,$N$2:N806,"Explore*")</f>
        <v/>
      </c>
      <c r="AB806">
        <f>IF(AND(LEFT(N806,7)="Explore",(AA806-IF(LEFT(N806,7)="Explore",S806,0))&lt;10),"SI","NO")</f>
        <v/>
      </c>
    </row>
    <row r="807">
      <c r="A807" t="inlineStr">
        <is>
          <t>c7m5_training</t>
        </is>
      </c>
      <c r="B807" t="inlineStr">
        <is>
          <t>2026-06-17 16:34:08.754</t>
        </is>
      </c>
      <c r="C807" t="n">
        <v/>
      </c>
      <c r="D807" t="inlineStr">
        <is>
          <t>Media file</t>
        </is>
      </c>
      <c r="E807" t="inlineStr">
        <is>
          <t>player #1:C:/Users/manuel.felline/Documents/BEHAVIOR BTBR/NOR second cohort/BTBR/training/c7_m5.mp4</t>
        </is>
      </c>
      <c r="F807" t="n">
        <v>-8.733000000000001</v>
      </c>
      <c r="G807" t="n">
        <v>593.433</v>
      </c>
      <c r="H807" t="n">
        <v>621.566</v>
      </c>
      <c r="I807" t="n">
        <v>30</v>
      </c>
      <c r="J807" t="inlineStr">
        <is>
          <t>BTBR</t>
        </is>
      </c>
      <c r="K807" t="inlineStr">
        <is>
          <t>Male</t>
        </is>
      </c>
      <c r="L807" t="inlineStr">
        <is>
          <t>No focal subject</t>
        </is>
      </c>
      <c r="M807" t="n">
        <v>56.698</v>
      </c>
      <c r="N807" t="inlineStr">
        <is>
          <t>Explore_F</t>
        </is>
      </c>
      <c r="O807" t="inlineStr">
        <is>
          <t>Familiar</t>
        </is>
      </c>
      <c r="P807" t="inlineStr">
        <is>
          <t>STATE</t>
        </is>
      </c>
      <c r="Q807" t="n">
        <v>182.8</v>
      </c>
      <c r="R807" t="n">
        <v>183.333</v>
      </c>
      <c r="S807" t="n">
        <v>0.533</v>
      </c>
      <c r="T807" t="inlineStr">
        <is>
          <t>C:/Users/manuel.felline/Documents/BEHAVIOR BTBR/NOR second cohort/BTBR/training/c7_m5.mp4</t>
        </is>
      </c>
      <c r="U807" t="n">
        <v>5745</v>
      </c>
      <c r="V807" t="n">
        <v>5761</v>
      </c>
      <c r="W807" t="n">
        <v/>
      </c>
      <c r="X807" t="n">
        <v/>
      </c>
      <c r="Y807" t="n">
        <v/>
      </c>
      <c r="Z807" t="n">
        <v/>
      </c>
      <c r="AA807">
        <f>SUMIFS($S$2:S807,$A$2:A807,A807,$N$2:N807,"Explore*")</f>
        <v/>
      </c>
      <c r="AB807">
        <f>IF(AND(LEFT(N807,7)="Explore",(AA807-IF(LEFT(N807,7)="Explore",S807,0))&lt;10),"SI","NO")</f>
        <v/>
      </c>
    </row>
    <row r="808">
      <c r="A808" t="inlineStr">
        <is>
          <t>c7m5_training</t>
        </is>
      </c>
      <c r="B808" t="inlineStr">
        <is>
          <t>2026-06-17 16:34:08.754</t>
        </is>
      </c>
      <c r="C808" t="n">
        <v/>
      </c>
      <c r="D808" t="inlineStr">
        <is>
          <t>Media file</t>
        </is>
      </c>
      <c r="E808" t="inlineStr">
        <is>
          <t>player #1:C:/Users/manuel.felline/Documents/BEHAVIOR BTBR/NOR second cohort/BTBR/training/c7_m5.mp4</t>
        </is>
      </c>
      <c r="F808" t="n">
        <v>-8.733000000000001</v>
      </c>
      <c r="G808" t="n">
        <v>593.433</v>
      </c>
      <c r="H808" t="n">
        <v>621.566</v>
      </c>
      <c r="I808" t="n">
        <v>30</v>
      </c>
      <c r="J808" t="inlineStr">
        <is>
          <t>BTBR</t>
        </is>
      </c>
      <c r="K808" t="inlineStr">
        <is>
          <t>Male</t>
        </is>
      </c>
      <c r="L808" t="inlineStr">
        <is>
          <t>No focal subject</t>
        </is>
      </c>
      <c r="M808" t="n">
        <v>56.698</v>
      </c>
      <c r="N808" t="inlineStr">
        <is>
          <t>Explore_F2</t>
        </is>
      </c>
      <c r="O808" t="inlineStr">
        <is>
          <t>Second familiar</t>
        </is>
      </c>
      <c r="P808" t="inlineStr">
        <is>
          <t>STATE</t>
        </is>
      </c>
      <c r="Q808" t="n">
        <v>191.333</v>
      </c>
      <c r="R808" t="n">
        <v>192.033</v>
      </c>
      <c r="S808" t="n">
        <v>0.7</v>
      </c>
      <c r="T808" t="inlineStr">
        <is>
          <t>C:/Users/manuel.felline/Documents/BEHAVIOR BTBR/NOR second cohort/BTBR/training/c7_m5.mp4</t>
        </is>
      </c>
      <c r="U808" t="n">
        <v>6001</v>
      </c>
      <c r="V808" t="n">
        <v>6022</v>
      </c>
      <c r="W808" t="n">
        <v/>
      </c>
      <c r="X808" t="n">
        <v/>
      </c>
      <c r="Y808" t="n">
        <v/>
      </c>
      <c r="Z808" t="n">
        <v/>
      </c>
      <c r="AA808">
        <f>SUMIFS($S$2:S808,$A$2:A808,A808,$N$2:N808,"Explore*")</f>
        <v/>
      </c>
      <c r="AB808">
        <f>IF(AND(LEFT(N808,7)="Explore",(AA808-IF(LEFT(N808,7)="Explore",S808,0))&lt;10),"SI","NO")</f>
        <v/>
      </c>
    </row>
    <row r="809">
      <c r="A809" t="inlineStr">
        <is>
          <t>c7m5_training</t>
        </is>
      </c>
      <c r="B809" t="inlineStr">
        <is>
          <t>2026-06-17 16:34:08.754</t>
        </is>
      </c>
      <c r="C809" t="n">
        <v/>
      </c>
      <c r="D809" t="inlineStr">
        <is>
          <t>Media file</t>
        </is>
      </c>
      <c r="E809" t="inlineStr">
        <is>
          <t>player #1:C:/Users/manuel.felline/Documents/BEHAVIOR BTBR/NOR second cohort/BTBR/training/c7_m5.mp4</t>
        </is>
      </c>
      <c r="F809" t="n">
        <v>-8.733000000000001</v>
      </c>
      <c r="G809" t="n">
        <v>593.433</v>
      </c>
      <c r="H809" t="n">
        <v>621.566</v>
      </c>
      <c r="I809" t="n">
        <v>30</v>
      </c>
      <c r="J809" t="inlineStr">
        <is>
          <t>BTBR</t>
        </is>
      </c>
      <c r="K809" t="inlineStr">
        <is>
          <t>Male</t>
        </is>
      </c>
      <c r="L809" t="inlineStr">
        <is>
          <t>No focal subject</t>
        </is>
      </c>
      <c r="M809" t="n">
        <v>56.698</v>
      </c>
      <c r="N809" t="inlineStr">
        <is>
          <t>Explore_F</t>
        </is>
      </c>
      <c r="O809" t="inlineStr">
        <is>
          <t>Familiar</t>
        </is>
      </c>
      <c r="P809" t="inlineStr">
        <is>
          <t>STATE</t>
        </is>
      </c>
      <c r="Q809" t="n">
        <v>205.267</v>
      </c>
      <c r="R809" t="n">
        <v>206.667</v>
      </c>
      <c r="S809" t="n">
        <v>1.4</v>
      </c>
      <c r="T809" t="inlineStr">
        <is>
          <t>C:/Users/manuel.felline/Documents/BEHAVIOR BTBR/NOR second cohort/BTBR/training/c7_m5.mp4</t>
        </is>
      </c>
      <c r="U809" t="n">
        <v>6419</v>
      </c>
      <c r="V809" t="n">
        <v>6461</v>
      </c>
      <c r="W809" t="n">
        <v/>
      </c>
      <c r="X809" t="n">
        <v/>
      </c>
      <c r="Y809" t="n">
        <v/>
      </c>
      <c r="Z809" t="n">
        <v/>
      </c>
      <c r="AA809">
        <f>SUMIFS($S$2:S809,$A$2:A809,A809,$N$2:N809,"Explore*")</f>
        <v/>
      </c>
      <c r="AB809">
        <f>IF(AND(LEFT(N809,7)="Explore",(AA809-IF(LEFT(N809,7)="Explore",S809,0))&lt;10),"SI","NO")</f>
        <v/>
      </c>
    </row>
    <row r="810">
      <c r="A810" t="inlineStr">
        <is>
          <t>c7m5_training</t>
        </is>
      </c>
      <c r="B810" t="inlineStr">
        <is>
          <t>2026-06-17 16:34:08.754</t>
        </is>
      </c>
      <c r="C810" t="n">
        <v/>
      </c>
      <c r="D810" t="inlineStr">
        <is>
          <t>Media file</t>
        </is>
      </c>
      <c r="E810" t="inlineStr">
        <is>
          <t>player #1:C:/Users/manuel.felline/Documents/BEHAVIOR BTBR/NOR second cohort/BTBR/training/c7_m5.mp4</t>
        </is>
      </c>
      <c r="F810" t="n">
        <v>-8.733000000000001</v>
      </c>
      <c r="G810" t="n">
        <v>593.433</v>
      </c>
      <c r="H810" t="n">
        <v>621.566</v>
      </c>
      <c r="I810" t="n">
        <v>30</v>
      </c>
      <c r="J810" t="inlineStr">
        <is>
          <t>BTBR</t>
        </is>
      </c>
      <c r="K810" t="inlineStr">
        <is>
          <t>Male</t>
        </is>
      </c>
      <c r="L810" t="inlineStr">
        <is>
          <t>No focal subject</t>
        </is>
      </c>
      <c r="M810" t="n">
        <v>56.698</v>
      </c>
      <c r="N810" t="inlineStr">
        <is>
          <t>Explore_F</t>
        </is>
      </c>
      <c r="O810" t="inlineStr">
        <is>
          <t>Familiar</t>
        </is>
      </c>
      <c r="P810" t="inlineStr">
        <is>
          <t>STATE</t>
        </is>
      </c>
      <c r="Q810" t="n">
        <v>207.5</v>
      </c>
      <c r="R810" t="n">
        <v>208.967</v>
      </c>
      <c r="S810" t="n">
        <v>1.467</v>
      </c>
      <c r="T810" t="inlineStr">
        <is>
          <t>C:/Users/manuel.felline/Documents/BEHAVIOR BTBR/NOR second cohort/BTBR/training/c7_m5.mp4</t>
        </is>
      </c>
      <c r="U810" t="n">
        <v>6486</v>
      </c>
      <c r="V810" t="n">
        <v>6530</v>
      </c>
      <c r="W810" t="n">
        <v/>
      </c>
      <c r="X810" t="n">
        <v/>
      </c>
      <c r="Y810" t="n">
        <v/>
      </c>
      <c r="Z810" t="n">
        <v/>
      </c>
      <c r="AA810">
        <f>SUMIFS($S$2:S810,$A$2:A810,A810,$N$2:N810,"Explore*")</f>
        <v/>
      </c>
      <c r="AB810">
        <f>IF(AND(LEFT(N810,7)="Explore",(AA810-IF(LEFT(N810,7)="Explore",S810,0))&lt;10),"SI","NO")</f>
        <v/>
      </c>
    </row>
    <row r="811">
      <c r="A811" t="inlineStr">
        <is>
          <t>c7m5_training</t>
        </is>
      </c>
      <c r="B811" t="inlineStr">
        <is>
          <t>2026-06-17 16:34:08.754</t>
        </is>
      </c>
      <c r="C811" t="n">
        <v/>
      </c>
      <c r="D811" t="inlineStr">
        <is>
          <t>Media file</t>
        </is>
      </c>
      <c r="E811" t="inlineStr">
        <is>
          <t>player #1:C:/Users/manuel.felline/Documents/BEHAVIOR BTBR/NOR second cohort/BTBR/training/c7_m5.mp4</t>
        </is>
      </c>
      <c r="F811" t="n">
        <v>-8.733000000000001</v>
      </c>
      <c r="G811" t="n">
        <v>593.433</v>
      </c>
      <c r="H811" t="n">
        <v>621.566</v>
      </c>
      <c r="I811" t="n">
        <v>30</v>
      </c>
      <c r="J811" t="inlineStr">
        <is>
          <t>BTBR</t>
        </is>
      </c>
      <c r="K811" t="inlineStr">
        <is>
          <t>Male</t>
        </is>
      </c>
      <c r="L811" t="inlineStr">
        <is>
          <t>No focal subject</t>
        </is>
      </c>
      <c r="M811" t="n">
        <v>56.698</v>
      </c>
      <c r="N811" t="inlineStr">
        <is>
          <t>Explore_F2</t>
        </is>
      </c>
      <c r="O811" t="inlineStr">
        <is>
          <t>Second familiar</t>
        </is>
      </c>
      <c r="P811" t="inlineStr">
        <is>
          <t>STATE</t>
        </is>
      </c>
      <c r="Q811" t="n">
        <v>218.9</v>
      </c>
      <c r="R811" t="n">
        <v>219.967</v>
      </c>
      <c r="S811" t="n">
        <v>1.067</v>
      </c>
      <c r="T811" t="inlineStr">
        <is>
          <t>C:/Users/manuel.felline/Documents/BEHAVIOR BTBR/NOR second cohort/BTBR/training/c7_m5.mp4</t>
        </is>
      </c>
      <c r="U811" t="n">
        <v>6828</v>
      </c>
      <c r="V811" t="n">
        <v>6860</v>
      </c>
      <c r="W811" t="n">
        <v/>
      </c>
      <c r="X811" t="n">
        <v/>
      </c>
      <c r="Y811" t="n">
        <v/>
      </c>
      <c r="Z811" t="n">
        <v/>
      </c>
      <c r="AA811">
        <f>SUMIFS($S$2:S811,$A$2:A811,A811,$N$2:N811,"Explore*")</f>
        <v/>
      </c>
      <c r="AB811">
        <f>IF(AND(LEFT(N811,7)="Explore",(AA811-IF(LEFT(N811,7)="Explore",S811,0))&lt;10),"SI","NO")</f>
        <v/>
      </c>
    </row>
    <row r="812">
      <c r="A812" t="inlineStr">
        <is>
          <t>c7m5_training</t>
        </is>
      </c>
      <c r="B812" t="inlineStr">
        <is>
          <t>2026-06-17 16:34:08.754</t>
        </is>
      </c>
      <c r="C812" t="n">
        <v/>
      </c>
      <c r="D812" t="inlineStr">
        <is>
          <t>Media file</t>
        </is>
      </c>
      <c r="E812" t="inlineStr">
        <is>
          <t>player #1:C:/Users/manuel.felline/Documents/BEHAVIOR BTBR/NOR second cohort/BTBR/training/c7_m5.mp4</t>
        </is>
      </c>
      <c r="F812" t="n">
        <v>-8.733000000000001</v>
      </c>
      <c r="G812" t="n">
        <v>593.433</v>
      </c>
      <c r="H812" t="n">
        <v>621.566</v>
      </c>
      <c r="I812" t="n">
        <v>30</v>
      </c>
      <c r="J812" t="inlineStr">
        <is>
          <t>BTBR</t>
        </is>
      </c>
      <c r="K812" t="inlineStr">
        <is>
          <t>Male</t>
        </is>
      </c>
      <c r="L812" t="inlineStr">
        <is>
          <t>No focal subject</t>
        </is>
      </c>
      <c r="M812" t="n">
        <v>56.698</v>
      </c>
      <c r="N812" t="inlineStr">
        <is>
          <t>Explore_F</t>
        </is>
      </c>
      <c r="O812" t="inlineStr">
        <is>
          <t>Familiar</t>
        </is>
      </c>
      <c r="P812" t="inlineStr">
        <is>
          <t>STATE</t>
        </is>
      </c>
      <c r="Q812" t="n">
        <v>224.4</v>
      </c>
      <c r="R812" t="n">
        <v>225.467</v>
      </c>
      <c r="S812" t="n">
        <v>1.067</v>
      </c>
      <c r="T812" t="inlineStr">
        <is>
          <t>C:/Users/manuel.felline/Documents/BEHAVIOR BTBR/NOR second cohort/BTBR/training/c7_m5.mp4</t>
        </is>
      </c>
      <c r="U812" t="n">
        <v>6993</v>
      </c>
      <c r="V812" t="n">
        <v>7025</v>
      </c>
      <c r="W812" t="n">
        <v/>
      </c>
      <c r="X812" t="n">
        <v/>
      </c>
      <c r="Y812" t="n">
        <v/>
      </c>
      <c r="Z812" t="n">
        <v/>
      </c>
      <c r="AA812">
        <f>SUMIFS($S$2:S812,$A$2:A812,A812,$N$2:N812,"Explore*")</f>
        <v/>
      </c>
      <c r="AB812">
        <f>IF(AND(LEFT(N812,7)="Explore",(AA812-IF(LEFT(N812,7)="Explore",S812,0))&lt;10),"SI","NO")</f>
        <v/>
      </c>
    </row>
    <row r="813">
      <c r="A813" t="inlineStr">
        <is>
          <t>c7m5_training</t>
        </is>
      </c>
      <c r="B813" t="inlineStr">
        <is>
          <t>2026-06-17 16:34:08.754</t>
        </is>
      </c>
      <c r="C813" t="n">
        <v/>
      </c>
      <c r="D813" t="inlineStr">
        <is>
          <t>Media file</t>
        </is>
      </c>
      <c r="E813" t="inlineStr">
        <is>
          <t>player #1:C:/Users/manuel.felline/Documents/BEHAVIOR BTBR/NOR second cohort/BTBR/training/c7_m5.mp4</t>
        </is>
      </c>
      <c r="F813" t="n">
        <v>-8.733000000000001</v>
      </c>
      <c r="G813" t="n">
        <v>593.433</v>
      </c>
      <c r="H813" t="n">
        <v>621.566</v>
      </c>
      <c r="I813" t="n">
        <v>30</v>
      </c>
      <c r="J813" t="inlineStr">
        <is>
          <t>BTBR</t>
        </is>
      </c>
      <c r="K813" t="inlineStr">
        <is>
          <t>Male</t>
        </is>
      </c>
      <c r="L813" t="inlineStr">
        <is>
          <t>No focal subject</t>
        </is>
      </c>
      <c r="M813" t="n">
        <v>56.698</v>
      </c>
      <c r="N813" t="inlineStr">
        <is>
          <t>Explore_F</t>
        </is>
      </c>
      <c r="O813" t="inlineStr">
        <is>
          <t>Familiar</t>
        </is>
      </c>
      <c r="P813" t="inlineStr">
        <is>
          <t>STATE</t>
        </is>
      </c>
      <c r="Q813" t="n">
        <v>251.867</v>
      </c>
      <c r="R813" t="n">
        <v>252.467</v>
      </c>
      <c r="S813" t="n">
        <v>0.6</v>
      </c>
      <c r="T813" t="inlineStr">
        <is>
          <t>C:/Users/manuel.felline/Documents/BEHAVIOR BTBR/NOR second cohort/BTBR/training/c7_m5.mp4</t>
        </is>
      </c>
      <c r="U813" t="n">
        <v>7818</v>
      </c>
      <c r="V813" t="n">
        <v>7835</v>
      </c>
      <c r="W813" t="n">
        <v/>
      </c>
      <c r="X813" t="n">
        <v/>
      </c>
      <c r="Y813" t="n">
        <v/>
      </c>
      <c r="Z813" t="n">
        <v/>
      </c>
      <c r="AA813">
        <f>SUMIFS($S$2:S813,$A$2:A813,A813,$N$2:N813,"Explore*")</f>
        <v/>
      </c>
      <c r="AB813">
        <f>IF(AND(LEFT(N813,7)="Explore",(AA813-IF(LEFT(N813,7)="Explore",S813,0))&lt;10),"SI","NO")</f>
        <v/>
      </c>
    </row>
    <row r="814">
      <c r="A814" t="inlineStr">
        <is>
          <t>c7m5_training</t>
        </is>
      </c>
      <c r="B814" t="inlineStr">
        <is>
          <t>2026-06-17 16:34:08.754</t>
        </is>
      </c>
      <c r="C814" t="n">
        <v/>
      </c>
      <c r="D814" t="inlineStr">
        <is>
          <t>Media file</t>
        </is>
      </c>
      <c r="E814" t="inlineStr">
        <is>
          <t>player #1:C:/Users/manuel.felline/Documents/BEHAVIOR BTBR/NOR second cohort/BTBR/training/c7_m5.mp4</t>
        </is>
      </c>
      <c r="F814" t="n">
        <v>-8.733000000000001</v>
      </c>
      <c r="G814" t="n">
        <v>593.433</v>
      </c>
      <c r="H814" t="n">
        <v>621.566</v>
      </c>
      <c r="I814" t="n">
        <v>30</v>
      </c>
      <c r="J814" t="inlineStr">
        <is>
          <t>BTBR</t>
        </is>
      </c>
      <c r="K814" t="inlineStr">
        <is>
          <t>Male</t>
        </is>
      </c>
      <c r="L814" t="inlineStr">
        <is>
          <t>No focal subject</t>
        </is>
      </c>
      <c r="M814" t="n">
        <v>56.698</v>
      </c>
      <c r="N814" t="inlineStr">
        <is>
          <t>Explore_F2</t>
        </is>
      </c>
      <c r="O814" t="inlineStr">
        <is>
          <t>Second familiar</t>
        </is>
      </c>
      <c r="P814" t="inlineStr">
        <is>
          <t>STATE</t>
        </is>
      </c>
      <c r="Q814" t="n">
        <v>264.1</v>
      </c>
      <c r="R814" t="n">
        <v>264.767</v>
      </c>
      <c r="S814" t="n">
        <v>0.667</v>
      </c>
      <c r="T814" t="inlineStr">
        <is>
          <t>C:/Users/manuel.felline/Documents/BEHAVIOR BTBR/NOR second cohort/BTBR/training/c7_m5.mp4</t>
        </is>
      </c>
      <c r="U814" t="n">
        <v>8184</v>
      </c>
      <c r="V814" t="n">
        <v>8204</v>
      </c>
      <c r="W814" t="n">
        <v/>
      </c>
      <c r="X814" t="n">
        <v/>
      </c>
      <c r="Y814" t="n">
        <v/>
      </c>
      <c r="Z814" t="n">
        <v/>
      </c>
      <c r="AA814">
        <f>SUMIFS($S$2:S814,$A$2:A814,A814,$N$2:N814,"Explore*")</f>
        <v/>
      </c>
      <c r="AB814">
        <f>IF(AND(LEFT(N814,7)="Explore",(AA814-IF(LEFT(N814,7)="Explore",S814,0))&lt;10),"SI","NO")</f>
        <v/>
      </c>
    </row>
    <row r="815">
      <c r="A815" t="inlineStr">
        <is>
          <t>c7m5_training</t>
        </is>
      </c>
      <c r="B815" t="inlineStr">
        <is>
          <t>2026-06-17 16:34:08.754</t>
        </is>
      </c>
      <c r="C815" t="n">
        <v/>
      </c>
      <c r="D815" t="inlineStr">
        <is>
          <t>Media file</t>
        </is>
      </c>
      <c r="E815" t="inlineStr">
        <is>
          <t>player #1:C:/Users/manuel.felline/Documents/BEHAVIOR BTBR/NOR second cohort/BTBR/training/c7_m5.mp4</t>
        </is>
      </c>
      <c r="F815" t="n">
        <v>-8.733000000000001</v>
      </c>
      <c r="G815" t="n">
        <v>593.433</v>
      </c>
      <c r="H815" t="n">
        <v>621.566</v>
      </c>
      <c r="I815" t="n">
        <v>30</v>
      </c>
      <c r="J815" t="inlineStr">
        <is>
          <t>BTBR</t>
        </is>
      </c>
      <c r="K815" t="inlineStr">
        <is>
          <t>Male</t>
        </is>
      </c>
      <c r="L815" t="inlineStr">
        <is>
          <t>No focal subject</t>
        </is>
      </c>
      <c r="M815" t="n">
        <v>56.698</v>
      </c>
      <c r="N815" t="inlineStr">
        <is>
          <t>Explore_F</t>
        </is>
      </c>
      <c r="O815" t="inlineStr">
        <is>
          <t>Familiar</t>
        </is>
      </c>
      <c r="P815" t="inlineStr">
        <is>
          <t>STATE</t>
        </is>
      </c>
      <c r="Q815" t="n">
        <v>277.133</v>
      </c>
      <c r="R815" t="n">
        <v>277.9</v>
      </c>
      <c r="S815" t="n">
        <v>0.767</v>
      </c>
      <c r="T815" t="inlineStr">
        <is>
          <t>C:/Users/manuel.felline/Documents/BEHAVIOR BTBR/NOR second cohort/BTBR/training/c7_m5.mp4</t>
        </is>
      </c>
      <c r="U815" t="n">
        <v>8574</v>
      </c>
      <c r="V815" t="n">
        <v>8597</v>
      </c>
      <c r="W815" t="n">
        <v/>
      </c>
      <c r="X815" t="n">
        <v/>
      </c>
      <c r="Y815" t="n">
        <v/>
      </c>
      <c r="Z815" t="n">
        <v/>
      </c>
      <c r="AA815">
        <f>SUMIFS($S$2:S815,$A$2:A815,A815,$N$2:N815,"Explore*")</f>
        <v/>
      </c>
      <c r="AB815">
        <f>IF(AND(LEFT(N815,7)="Explore",(AA815-IF(LEFT(N815,7)="Explore",S815,0))&lt;10),"SI","NO")</f>
        <v/>
      </c>
    </row>
    <row r="816">
      <c r="A816" t="inlineStr">
        <is>
          <t>c7m5_training</t>
        </is>
      </c>
      <c r="B816" t="inlineStr">
        <is>
          <t>2026-06-17 16:34:08.754</t>
        </is>
      </c>
      <c r="C816" t="n">
        <v/>
      </c>
      <c r="D816" t="inlineStr">
        <is>
          <t>Media file</t>
        </is>
      </c>
      <c r="E816" t="inlineStr">
        <is>
          <t>player #1:C:/Users/manuel.felline/Documents/BEHAVIOR BTBR/NOR second cohort/BTBR/training/c7_m5.mp4</t>
        </is>
      </c>
      <c r="F816" t="n">
        <v>-8.733000000000001</v>
      </c>
      <c r="G816" t="n">
        <v>593.433</v>
      </c>
      <c r="H816" t="n">
        <v>621.566</v>
      </c>
      <c r="I816" t="n">
        <v>30</v>
      </c>
      <c r="J816" t="inlineStr">
        <is>
          <t>BTBR</t>
        </is>
      </c>
      <c r="K816" t="inlineStr">
        <is>
          <t>Male</t>
        </is>
      </c>
      <c r="L816" t="inlineStr">
        <is>
          <t>No focal subject</t>
        </is>
      </c>
      <c r="M816" t="n">
        <v>56.698</v>
      </c>
      <c r="N816" t="inlineStr">
        <is>
          <t>Explore_F2</t>
        </is>
      </c>
      <c r="O816" t="inlineStr">
        <is>
          <t>Second familiar</t>
        </is>
      </c>
      <c r="P816" t="inlineStr">
        <is>
          <t>STATE</t>
        </is>
      </c>
      <c r="Q816" t="n">
        <v>278.6</v>
      </c>
      <c r="R816" t="n">
        <v>279.1</v>
      </c>
      <c r="S816" t="n">
        <v>0.5</v>
      </c>
      <c r="T816" t="inlineStr">
        <is>
          <t>C:/Users/manuel.felline/Documents/BEHAVIOR BTBR/NOR second cohort/BTBR/training/c7_m5.mp4</t>
        </is>
      </c>
      <c r="U816" t="n">
        <v>8618</v>
      </c>
      <c r="V816" t="n">
        <v>8633</v>
      </c>
      <c r="W816" t="n">
        <v/>
      </c>
      <c r="X816" t="n">
        <v/>
      </c>
      <c r="Y816" t="n">
        <v/>
      </c>
      <c r="Z816" t="n">
        <v/>
      </c>
      <c r="AA816">
        <f>SUMIFS($S$2:S816,$A$2:A816,A816,$N$2:N816,"Explore*")</f>
        <v/>
      </c>
      <c r="AB816">
        <f>IF(AND(LEFT(N816,7)="Explore",(AA816-IF(LEFT(N816,7)="Explore",S816,0))&lt;10),"SI","NO")</f>
        <v/>
      </c>
    </row>
    <row r="817">
      <c r="A817" t="inlineStr">
        <is>
          <t>c7m5_training</t>
        </is>
      </c>
      <c r="B817" t="inlineStr">
        <is>
          <t>2026-06-17 16:34:08.754</t>
        </is>
      </c>
      <c r="C817" t="n">
        <v/>
      </c>
      <c r="D817" t="inlineStr">
        <is>
          <t>Media file</t>
        </is>
      </c>
      <c r="E817" t="inlineStr">
        <is>
          <t>player #1:C:/Users/manuel.felline/Documents/BEHAVIOR BTBR/NOR second cohort/BTBR/training/c7_m5.mp4</t>
        </is>
      </c>
      <c r="F817" t="n">
        <v>-8.733000000000001</v>
      </c>
      <c r="G817" t="n">
        <v>593.433</v>
      </c>
      <c r="H817" t="n">
        <v>621.566</v>
      </c>
      <c r="I817" t="n">
        <v>30</v>
      </c>
      <c r="J817" t="inlineStr">
        <is>
          <t>BTBR</t>
        </is>
      </c>
      <c r="K817" t="inlineStr">
        <is>
          <t>Male</t>
        </is>
      </c>
      <c r="L817" t="inlineStr">
        <is>
          <t>No focal subject</t>
        </is>
      </c>
      <c r="M817" t="n">
        <v>56.698</v>
      </c>
      <c r="N817" t="inlineStr">
        <is>
          <t>Explore_F</t>
        </is>
      </c>
      <c r="O817" t="inlineStr">
        <is>
          <t>Familiar</t>
        </is>
      </c>
      <c r="P817" t="inlineStr">
        <is>
          <t>STATE</t>
        </is>
      </c>
      <c r="Q817" t="n">
        <v>296.233</v>
      </c>
      <c r="R817" t="n">
        <v>297.067</v>
      </c>
      <c r="S817" t="n">
        <v>0.834</v>
      </c>
      <c r="T817" t="inlineStr">
        <is>
          <t>C:/Users/manuel.felline/Documents/BEHAVIOR BTBR/NOR second cohort/BTBR/training/c7_m5.mp4</t>
        </is>
      </c>
      <c r="U817" t="n">
        <v>9147</v>
      </c>
      <c r="V817" t="n">
        <v>9172</v>
      </c>
      <c r="W817" t="n">
        <v/>
      </c>
      <c r="X817" t="n">
        <v/>
      </c>
      <c r="Y817" t="n">
        <v/>
      </c>
      <c r="Z817" t="n">
        <v/>
      </c>
      <c r="AA817">
        <f>SUMIFS($S$2:S817,$A$2:A817,A817,$N$2:N817,"Explore*")</f>
        <v/>
      </c>
      <c r="AB817">
        <f>IF(AND(LEFT(N817,7)="Explore",(AA817-IF(LEFT(N817,7)="Explore",S817,0))&lt;10),"SI","NO")</f>
        <v/>
      </c>
    </row>
    <row r="818">
      <c r="A818" t="inlineStr">
        <is>
          <t>c7m5_training</t>
        </is>
      </c>
      <c r="B818" t="inlineStr">
        <is>
          <t>2026-06-17 16:34:08.754</t>
        </is>
      </c>
      <c r="C818" t="n">
        <v/>
      </c>
      <c r="D818" t="inlineStr">
        <is>
          <t>Media file</t>
        </is>
      </c>
      <c r="E818" t="inlineStr">
        <is>
          <t>player #1:C:/Users/manuel.felline/Documents/BEHAVIOR BTBR/NOR second cohort/BTBR/training/c7_m5.mp4</t>
        </is>
      </c>
      <c r="F818" t="n">
        <v>-8.733000000000001</v>
      </c>
      <c r="G818" t="n">
        <v>593.433</v>
      </c>
      <c r="H818" t="n">
        <v>621.566</v>
      </c>
      <c r="I818" t="n">
        <v>30</v>
      </c>
      <c r="J818" t="inlineStr">
        <is>
          <t>BTBR</t>
        </is>
      </c>
      <c r="K818" t="inlineStr">
        <is>
          <t>Male</t>
        </is>
      </c>
      <c r="L818" t="inlineStr">
        <is>
          <t>No focal subject</t>
        </is>
      </c>
      <c r="M818" t="n">
        <v>56.698</v>
      </c>
      <c r="N818" t="inlineStr">
        <is>
          <t>Explore_F</t>
        </is>
      </c>
      <c r="O818" t="inlineStr">
        <is>
          <t>Familiar</t>
        </is>
      </c>
      <c r="P818" t="inlineStr">
        <is>
          <t>STATE</t>
        </is>
      </c>
      <c r="Q818" t="n">
        <v>318.8</v>
      </c>
      <c r="R818" t="n">
        <v>320.2</v>
      </c>
      <c r="S818" t="n">
        <v>1.4</v>
      </c>
      <c r="T818" t="inlineStr">
        <is>
          <t>C:/Users/manuel.felline/Documents/BEHAVIOR BTBR/NOR second cohort/BTBR/training/c7_m5.mp4</t>
        </is>
      </c>
      <c r="U818" t="n">
        <v>9824</v>
      </c>
      <c r="V818" t="n">
        <v>9866</v>
      </c>
      <c r="W818" t="n">
        <v/>
      </c>
      <c r="X818" t="n">
        <v/>
      </c>
      <c r="Y818" t="n">
        <v/>
      </c>
      <c r="Z818" t="n">
        <v/>
      </c>
      <c r="AA818">
        <f>SUMIFS($S$2:S818,$A$2:A818,A818,$N$2:N818,"Explore*")</f>
        <v/>
      </c>
      <c r="AB818">
        <f>IF(AND(LEFT(N818,7)="Explore",(AA818-IF(LEFT(N818,7)="Explore",S818,0))&lt;10),"SI","NO")</f>
        <v/>
      </c>
    </row>
    <row r="819">
      <c r="A819" t="inlineStr">
        <is>
          <t>c7m5_training</t>
        </is>
      </c>
      <c r="B819" t="inlineStr">
        <is>
          <t>2026-06-17 16:34:08.754</t>
        </is>
      </c>
      <c r="C819" t="n">
        <v/>
      </c>
      <c r="D819" t="inlineStr">
        <is>
          <t>Media file</t>
        </is>
      </c>
      <c r="E819" t="inlineStr">
        <is>
          <t>player #1:C:/Users/manuel.felline/Documents/BEHAVIOR BTBR/NOR second cohort/BTBR/training/c7_m5.mp4</t>
        </is>
      </c>
      <c r="F819" t="n">
        <v>-8.733000000000001</v>
      </c>
      <c r="G819" t="n">
        <v>593.433</v>
      </c>
      <c r="H819" t="n">
        <v>621.566</v>
      </c>
      <c r="I819" t="n">
        <v>30</v>
      </c>
      <c r="J819" t="inlineStr">
        <is>
          <t>BTBR</t>
        </is>
      </c>
      <c r="K819" t="inlineStr">
        <is>
          <t>Male</t>
        </is>
      </c>
      <c r="L819" t="inlineStr">
        <is>
          <t>No focal subject</t>
        </is>
      </c>
      <c r="M819" t="n">
        <v>56.698</v>
      </c>
      <c r="N819" t="inlineStr">
        <is>
          <t>Explore_F</t>
        </is>
      </c>
      <c r="O819" t="inlineStr">
        <is>
          <t>Familiar</t>
        </is>
      </c>
      <c r="P819" t="inlineStr">
        <is>
          <t>STATE</t>
        </is>
      </c>
      <c r="Q819" t="n">
        <v>328.167</v>
      </c>
      <c r="R819" t="n">
        <v>329.033</v>
      </c>
      <c r="S819" t="n">
        <v>0.866</v>
      </c>
      <c r="T819" t="inlineStr">
        <is>
          <t>C:/Users/manuel.felline/Documents/BEHAVIOR BTBR/NOR second cohort/BTBR/training/c7_m5.mp4</t>
        </is>
      </c>
      <c r="U819" t="n">
        <v>10105</v>
      </c>
      <c r="V819" t="n">
        <v>10131</v>
      </c>
      <c r="W819" t="n">
        <v/>
      </c>
      <c r="X819" t="n">
        <v/>
      </c>
      <c r="Y819" t="n">
        <v/>
      </c>
      <c r="Z819" t="n">
        <v/>
      </c>
      <c r="AA819">
        <f>SUMIFS($S$2:S819,$A$2:A819,A819,$N$2:N819,"Explore*")</f>
        <v/>
      </c>
      <c r="AB819">
        <f>IF(AND(LEFT(N819,7)="Explore",(AA819-IF(LEFT(N819,7)="Explore",S819,0))&lt;10),"SI","NO")</f>
        <v/>
      </c>
    </row>
    <row r="820">
      <c r="A820" t="inlineStr">
        <is>
          <t>c7m5_training</t>
        </is>
      </c>
      <c r="B820" t="inlineStr">
        <is>
          <t>2026-06-17 16:34:08.754</t>
        </is>
      </c>
      <c r="C820" t="n">
        <v/>
      </c>
      <c r="D820" t="inlineStr">
        <is>
          <t>Media file</t>
        </is>
      </c>
      <c r="E820" t="inlineStr">
        <is>
          <t>player #1:C:/Users/manuel.felline/Documents/BEHAVIOR BTBR/NOR second cohort/BTBR/training/c7_m5.mp4</t>
        </is>
      </c>
      <c r="F820" t="n">
        <v>-8.733000000000001</v>
      </c>
      <c r="G820" t="n">
        <v>593.433</v>
      </c>
      <c r="H820" t="n">
        <v>621.566</v>
      </c>
      <c r="I820" t="n">
        <v>30</v>
      </c>
      <c r="J820" t="inlineStr">
        <is>
          <t>BTBR</t>
        </is>
      </c>
      <c r="K820" t="inlineStr">
        <is>
          <t>Male</t>
        </is>
      </c>
      <c r="L820" t="inlineStr">
        <is>
          <t>No focal subject</t>
        </is>
      </c>
      <c r="M820" t="n">
        <v>56.698</v>
      </c>
      <c r="N820" t="inlineStr">
        <is>
          <t>Explore_F2</t>
        </is>
      </c>
      <c r="O820" t="inlineStr">
        <is>
          <t>Second familiar</t>
        </is>
      </c>
      <c r="P820" t="inlineStr">
        <is>
          <t>STATE</t>
        </is>
      </c>
      <c r="Q820" t="n">
        <v>352.167</v>
      </c>
      <c r="R820" t="n">
        <v>352.867</v>
      </c>
      <c r="S820" t="n">
        <v>0.7</v>
      </c>
      <c r="T820" t="inlineStr">
        <is>
          <t>C:/Users/manuel.felline/Documents/BEHAVIOR BTBR/NOR second cohort/BTBR/training/c7_m5.mp4</t>
        </is>
      </c>
      <c r="U820" t="n">
        <v>10825</v>
      </c>
      <c r="V820" t="n">
        <v>10846</v>
      </c>
      <c r="W820" t="n">
        <v/>
      </c>
      <c r="X820" t="n">
        <v/>
      </c>
      <c r="Y820" t="n">
        <v/>
      </c>
      <c r="Z820" t="n">
        <v/>
      </c>
      <c r="AA820">
        <f>SUMIFS($S$2:S820,$A$2:A820,A820,$N$2:N820,"Explore*")</f>
        <v/>
      </c>
      <c r="AB820">
        <f>IF(AND(LEFT(N820,7)="Explore",(AA820-IF(LEFT(N820,7)="Explore",S820,0))&lt;10),"SI","NO")</f>
        <v/>
      </c>
    </row>
    <row r="821">
      <c r="A821" t="inlineStr">
        <is>
          <t>c7m5_training</t>
        </is>
      </c>
      <c r="B821" t="inlineStr">
        <is>
          <t>2026-06-17 16:34:08.754</t>
        </is>
      </c>
      <c r="C821" t="n">
        <v/>
      </c>
      <c r="D821" t="inlineStr">
        <is>
          <t>Media file</t>
        </is>
      </c>
      <c r="E821" t="inlineStr">
        <is>
          <t>player #1:C:/Users/manuel.felline/Documents/BEHAVIOR BTBR/NOR second cohort/BTBR/training/c7_m5.mp4</t>
        </is>
      </c>
      <c r="F821" t="n">
        <v>-8.733000000000001</v>
      </c>
      <c r="G821" t="n">
        <v>593.433</v>
      </c>
      <c r="H821" t="n">
        <v>621.566</v>
      </c>
      <c r="I821" t="n">
        <v>30</v>
      </c>
      <c r="J821" t="inlineStr">
        <is>
          <t>BTBR</t>
        </is>
      </c>
      <c r="K821" t="inlineStr">
        <is>
          <t>Male</t>
        </is>
      </c>
      <c r="L821" t="inlineStr">
        <is>
          <t>No focal subject</t>
        </is>
      </c>
      <c r="M821" t="n">
        <v>56.698</v>
      </c>
      <c r="N821" t="inlineStr">
        <is>
          <t>Explore_F</t>
        </is>
      </c>
      <c r="O821" t="inlineStr">
        <is>
          <t>Familiar</t>
        </is>
      </c>
      <c r="P821" t="inlineStr">
        <is>
          <t>STATE</t>
        </is>
      </c>
      <c r="Q821" t="n">
        <v>365.7</v>
      </c>
      <c r="R821" t="n">
        <v>366.333</v>
      </c>
      <c r="S821" t="n">
        <v>0.633</v>
      </c>
      <c r="T821" t="inlineStr">
        <is>
          <t>C:/Users/manuel.felline/Documents/BEHAVIOR BTBR/NOR second cohort/BTBR/training/c7_m5.mp4</t>
        </is>
      </c>
      <c r="U821" t="n">
        <v>11231</v>
      </c>
      <c r="V821" t="n">
        <v>11250</v>
      </c>
      <c r="W821" t="n">
        <v/>
      </c>
      <c r="X821" t="n">
        <v/>
      </c>
      <c r="Y821" t="n">
        <v/>
      </c>
      <c r="Z821" t="n">
        <v/>
      </c>
      <c r="AA821">
        <f>SUMIFS($S$2:S821,$A$2:A821,A821,$N$2:N821,"Explore*")</f>
        <v/>
      </c>
      <c r="AB821">
        <f>IF(AND(LEFT(N821,7)="Explore",(AA821-IF(LEFT(N821,7)="Explore",S821,0))&lt;10),"SI","NO")</f>
        <v/>
      </c>
    </row>
    <row r="822">
      <c r="A822" t="inlineStr">
        <is>
          <t>c7m5_training</t>
        </is>
      </c>
      <c r="B822" t="inlineStr">
        <is>
          <t>2026-06-17 16:34:08.754</t>
        </is>
      </c>
      <c r="C822" t="n">
        <v/>
      </c>
      <c r="D822" t="inlineStr">
        <is>
          <t>Media file</t>
        </is>
      </c>
      <c r="E822" t="inlineStr">
        <is>
          <t>player #1:C:/Users/manuel.felline/Documents/BEHAVIOR BTBR/NOR second cohort/BTBR/training/c7_m5.mp4</t>
        </is>
      </c>
      <c r="F822" t="n">
        <v>-8.733000000000001</v>
      </c>
      <c r="G822" t="n">
        <v>593.433</v>
      </c>
      <c r="H822" t="n">
        <v>621.566</v>
      </c>
      <c r="I822" t="n">
        <v>30</v>
      </c>
      <c r="J822" t="inlineStr">
        <is>
          <t>BTBR</t>
        </is>
      </c>
      <c r="K822" t="inlineStr">
        <is>
          <t>Male</t>
        </is>
      </c>
      <c r="L822" t="inlineStr">
        <is>
          <t>No focal subject</t>
        </is>
      </c>
      <c r="M822" t="n">
        <v>56.698</v>
      </c>
      <c r="N822" t="inlineStr">
        <is>
          <t>Explore_F2</t>
        </is>
      </c>
      <c r="O822" t="inlineStr">
        <is>
          <t>Second familiar</t>
        </is>
      </c>
      <c r="P822" t="inlineStr">
        <is>
          <t>STATE</t>
        </is>
      </c>
      <c r="Q822" t="n">
        <v>398.433</v>
      </c>
      <c r="R822" t="n">
        <v>399.033</v>
      </c>
      <c r="S822" t="n">
        <v>0.6</v>
      </c>
      <c r="T822" t="inlineStr">
        <is>
          <t>C:/Users/manuel.felline/Documents/BEHAVIOR BTBR/NOR second cohort/BTBR/training/c7_m5.mp4</t>
        </is>
      </c>
      <c r="U822" t="n">
        <v>12213</v>
      </c>
      <c r="V822" t="n">
        <v>12231</v>
      </c>
      <c r="W822" t="n">
        <v/>
      </c>
      <c r="X822" t="n">
        <v/>
      </c>
      <c r="Y822" t="n">
        <v/>
      </c>
      <c r="Z822" t="n">
        <v/>
      </c>
      <c r="AA822">
        <f>SUMIFS($S$2:S822,$A$2:A822,A822,$N$2:N822,"Explore*")</f>
        <v/>
      </c>
      <c r="AB822">
        <f>IF(AND(LEFT(N822,7)="Explore",(AA822-IF(LEFT(N822,7)="Explore",S822,0))&lt;10),"SI","NO")</f>
        <v/>
      </c>
    </row>
    <row r="823">
      <c r="A823" t="inlineStr">
        <is>
          <t>c7m5_training</t>
        </is>
      </c>
      <c r="B823" t="inlineStr">
        <is>
          <t>2026-06-17 16:34:08.754</t>
        </is>
      </c>
      <c r="C823" t="n">
        <v/>
      </c>
      <c r="D823" t="inlineStr">
        <is>
          <t>Media file</t>
        </is>
      </c>
      <c r="E823" t="inlineStr">
        <is>
          <t>player #1:C:/Users/manuel.felline/Documents/BEHAVIOR BTBR/NOR second cohort/BTBR/training/c7_m5.mp4</t>
        </is>
      </c>
      <c r="F823" t="n">
        <v>-8.733000000000001</v>
      </c>
      <c r="G823" t="n">
        <v>593.433</v>
      </c>
      <c r="H823" t="n">
        <v>621.566</v>
      </c>
      <c r="I823" t="n">
        <v>30</v>
      </c>
      <c r="J823" t="inlineStr">
        <is>
          <t>BTBR</t>
        </is>
      </c>
      <c r="K823" t="inlineStr">
        <is>
          <t>Male</t>
        </is>
      </c>
      <c r="L823" t="inlineStr">
        <is>
          <t>No focal subject</t>
        </is>
      </c>
      <c r="M823" t="n">
        <v>56.698</v>
      </c>
      <c r="N823" t="inlineStr">
        <is>
          <t>Explore_F2</t>
        </is>
      </c>
      <c r="O823" t="inlineStr">
        <is>
          <t>Second familiar</t>
        </is>
      </c>
      <c r="P823" t="inlineStr">
        <is>
          <t>STATE</t>
        </is>
      </c>
      <c r="Q823" t="n">
        <v>405.833</v>
      </c>
      <c r="R823" t="n">
        <v>406.533</v>
      </c>
      <c r="S823" t="n">
        <v>0.7</v>
      </c>
      <c r="T823" t="inlineStr">
        <is>
          <t>C:/Users/manuel.felline/Documents/BEHAVIOR BTBR/NOR second cohort/BTBR/training/c7_m5.mp4</t>
        </is>
      </c>
      <c r="U823" t="n">
        <v>12435</v>
      </c>
      <c r="V823" t="n">
        <v>12456</v>
      </c>
      <c r="W823" t="n">
        <v/>
      </c>
      <c r="X823" t="n">
        <v/>
      </c>
      <c r="Y823" t="n">
        <v/>
      </c>
      <c r="Z823" t="n">
        <v/>
      </c>
      <c r="AA823">
        <f>SUMIFS($S$2:S823,$A$2:A823,A823,$N$2:N823,"Explore*")</f>
        <v/>
      </c>
      <c r="AB823">
        <f>IF(AND(LEFT(N823,7)="Explore",(AA823-IF(LEFT(N823,7)="Explore",S823,0))&lt;10),"SI","NO")</f>
        <v/>
      </c>
    </row>
    <row r="824">
      <c r="A824" t="inlineStr">
        <is>
          <t>c7m5_training</t>
        </is>
      </c>
      <c r="B824" t="inlineStr">
        <is>
          <t>2026-06-17 16:34:08.754</t>
        </is>
      </c>
      <c r="C824" t="n">
        <v/>
      </c>
      <c r="D824" t="inlineStr">
        <is>
          <t>Media file</t>
        </is>
      </c>
      <c r="E824" t="inlineStr">
        <is>
          <t>player #1:C:/Users/manuel.felline/Documents/BEHAVIOR BTBR/NOR second cohort/BTBR/training/c7_m5.mp4</t>
        </is>
      </c>
      <c r="F824" t="n">
        <v>-8.733000000000001</v>
      </c>
      <c r="G824" t="n">
        <v>593.433</v>
      </c>
      <c r="H824" t="n">
        <v>621.566</v>
      </c>
      <c r="I824" t="n">
        <v>30</v>
      </c>
      <c r="J824" t="inlineStr">
        <is>
          <t>BTBR</t>
        </is>
      </c>
      <c r="K824" t="inlineStr">
        <is>
          <t>Male</t>
        </is>
      </c>
      <c r="L824" t="inlineStr">
        <is>
          <t>No focal subject</t>
        </is>
      </c>
      <c r="M824" t="n">
        <v>56.698</v>
      </c>
      <c r="N824" t="inlineStr">
        <is>
          <t>Explore_F</t>
        </is>
      </c>
      <c r="O824" t="inlineStr">
        <is>
          <t>Familiar</t>
        </is>
      </c>
      <c r="P824" t="inlineStr">
        <is>
          <t>STATE</t>
        </is>
      </c>
      <c r="Q824" t="n">
        <v>446.033</v>
      </c>
      <c r="R824" t="n">
        <v>446.8</v>
      </c>
      <c r="S824" t="n">
        <v>0.767</v>
      </c>
      <c r="T824" t="inlineStr">
        <is>
          <t>C:/Users/manuel.felline/Documents/BEHAVIOR BTBR/NOR second cohort/BTBR/training/c7_m5.mp4</t>
        </is>
      </c>
      <c r="U824" t="n">
        <v>13641</v>
      </c>
      <c r="V824" t="n">
        <v>13665</v>
      </c>
      <c r="W824" t="n">
        <v/>
      </c>
      <c r="X824" t="n">
        <v/>
      </c>
      <c r="Y824" t="n">
        <v/>
      </c>
      <c r="Z824" t="n">
        <v/>
      </c>
      <c r="AA824">
        <f>SUMIFS($S$2:S824,$A$2:A824,A824,$N$2:N824,"Explore*")</f>
        <v/>
      </c>
      <c r="AB824">
        <f>IF(AND(LEFT(N824,7)="Explore",(AA824-IF(LEFT(N824,7)="Explore",S824,0))&lt;10),"SI","NO")</f>
        <v/>
      </c>
    </row>
    <row r="825">
      <c r="A825" t="inlineStr">
        <is>
          <t>c7m5_training</t>
        </is>
      </c>
      <c r="B825" t="inlineStr">
        <is>
          <t>2026-06-17 16:34:08.754</t>
        </is>
      </c>
      <c r="C825" t="n">
        <v/>
      </c>
      <c r="D825" t="inlineStr">
        <is>
          <t>Media file</t>
        </is>
      </c>
      <c r="E825" t="inlineStr">
        <is>
          <t>player #1:C:/Users/manuel.felline/Documents/BEHAVIOR BTBR/NOR second cohort/BTBR/training/c7_m5.mp4</t>
        </is>
      </c>
      <c r="F825" t="n">
        <v>-8.733000000000001</v>
      </c>
      <c r="G825" t="n">
        <v>593.433</v>
      </c>
      <c r="H825" t="n">
        <v>621.566</v>
      </c>
      <c r="I825" t="n">
        <v>30</v>
      </c>
      <c r="J825" t="inlineStr">
        <is>
          <t>BTBR</t>
        </is>
      </c>
      <c r="K825" t="inlineStr">
        <is>
          <t>Male</t>
        </is>
      </c>
      <c r="L825" t="inlineStr">
        <is>
          <t>No focal subject</t>
        </is>
      </c>
      <c r="M825" t="n">
        <v>56.698</v>
      </c>
      <c r="N825" t="inlineStr">
        <is>
          <t>Explore_F2</t>
        </is>
      </c>
      <c r="O825" t="inlineStr">
        <is>
          <t>Second familiar</t>
        </is>
      </c>
      <c r="P825" t="inlineStr">
        <is>
          <t>STATE</t>
        </is>
      </c>
      <c r="Q825" t="n">
        <v>462.567</v>
      </c>
      <c r="R825" t="n">
        <v>463.367</v>
      </c>
      <c r="S825" t="n">
        <v>0.8</v>
      </c>
      <c r="T825" t="inlineStr">
        <is>
          <t>C:/Users/manuel.felline/Documents/BEHAVIOR BTBR/NOR second cohort/BTBR/training/c7_m5.mp4</t>
        </is>
      </c>
      <c r="U825" t="n">
        <v>14136</v>
      </c>
      <c r="V825" t="n">
        <v>14160</v>
      </c>
      <c r="W825" t="n">
        <v/>
      </c>
      <c r="X825" t="n">
        <v/>
      </c>
      <c r="Y825" t="n">
        <v/>
      </c>
      <c r="Z825" t="n">
        <v/>
      </c>
      <c r="AA825">
        <f>SUMIFS($S$2:S825,$A$2:A825,A825,$N$2:N825,"Explore*")</f>
        <v/>
      </c>
      <c r="AB825">
        <f>IF(AND(LEFT(N825,7)="Explore",(AA825-IF(LEFT(N825,7)="Explore",S825,0))&lt;10),"SI","NO")</f>
        <v/>
      </c>
    </row>
    <row r="826">
      <c r="A826" t="inlineStr">
        <is>
          <t>c7m5_training</t>
        </is>
      </c>
      <c r="B826" t="inlineStr">
        <is>
          <t>2026-06-17 16:34:08.754</t>
        </is>
      </c>
      <c r="C826" t="n">
        <v/>
      </c>
      <c r="D826" t="inlineStr">
        <is>
          <t>Media file</t>
        </is>
      </c>
      <c r="E826" t="inlineStr">
        <is>
          <t>player #1:C:/Users/manuel.felline/Documents/BEHAVIOR BTBR/NOR second cohort/BTBR/training/c7_m5.mp4</t>
        </is>
      </c>
      <c r="F826" t="n">
        <v>-8.733000000000001</v>
      </c>
      <c r="G826" t="n">
        <v>593.433</v>
      </c>
      <c r="H826" t="n">
        <v>621.566</v>
      </c>
      <c r="I826" t="n">
        <v>30</v>
      </c>
      <c r="J826" t="inlineStr">
        <is>
          <t>BTBR</t>
        </is>
      </c>
      <c r="K826" t="inlineStr">
        <is>
          <t>Male</t>
        </is>
      </c>
      <c r="L826" t="inlineStr">
        <is>
          <t>No focal subject</t>
        </is>
      </c>
      <c r="M826" t="n">
        <v>56.698</v>
      </c>
      <c r="N826" t="inlineStr">
        <is>
          <t>Explore_F</t>
        </is>
      </c>
      <c r="O826" t="inlineStr">
        <is>
          <t>Familiar</t>
        </is>
      </c>
      <c r="P826" t="inlineStr">
        <is>
          <t>STATE</t>
        </is>
      </c>
      <c r="Q826" t="n">
        <v>470.5</v>
      </c>
      <c r="R826" t="n">
        <v>471.833</v>
      </c>
      <c r="S826" t="n">
        <v>1.333</v>
      </c>
      <c r="T826" t="inlineStr">
        <is>
          <t>C:/Users/manuel.felline/Documents/BEHAVIOR BTBR/NOR second cohort/BTBR/training/c7_m5.mp4</t>
        </is>
      </c>
      <c r="U826" t="n">
        <v>14374</v>
      </c>
      <c r="V826" t="n">
        <v>14414</v>
      </c>
      <c r="W826" t="n">
        <v/>
      </c>
      <c r="X826" t="n">
        <v/>
      </c>
      <c r="Y826" t="n">
        <v/>
      </c>
      <c r="Z826" t="n">
        <v/>
      </c>
      <c r="AA826">
        <f>SUMIFS($S$2:S826,$A$2:A826,A826,$N$2:N826,"Explore*")</f>
        <v/>
      </c>
      <c r="AB826">
        <f>IF(AND(LEFT(N826,7)="Explore",(AA826-IF(LEFT(N826,7)="Explore",S826,0))&lt;10),"SI","NO")</f>
        <v/>
      </c>
    </row>
    <row r="827">
      <c r="A827" t="inlineStr">
        <is>
          <t>c7m5_training</t>
        </is>
      </c>
      <c r="B827" t="inlineStr">
        <is>
          <t>2026-06-17 16:34:08.754</t>
        </is>
      </c>
      <c r="C827" t="n">
        <v/>
      </c>
      <c r="D827" t="inlineStr">
        <is>
          <t>Media file</t>
        </is>
      </c>
      <c r="E827" t="inlineStr">
        <is>
          <t>player #1:C:/Users/manuel.felline/Documents/BEHAVIOR BTBR/NOR second cohort/BTBR/training/c7_m5.mp4</t>
        </is>
      </c>
      <c r="F827" t="n">
        <v>-8.733000000000001</v>
      </c>
      <c r="G827" t="n">
        <v>593.433</v>
      </c>
      <c r="H827" t="n">
        <v>621.566</v>
      </c>
      <c r="I827" t="n">
        <v>30</v>
      </c>
      <c r="J827" t="inlineStr">
        <is>
          <t>BTBR</t>
        </is>
      </c>
      <c r="K827" t="inlineStr">
        <is>
          <t>Male</t>
        </is>
      </c>
      <c r="L827" t="inlineStr">
        <is>
          <t>No focal subject</t>
        </is>
      </c>
      <c r="M827" t="n">
        <v>56.698</v>
      </c>
      <c r="N827" t="inlineStr">
        <is>
          <t>Explore_F</t>
        </is>
      </c>
      <c r="O827" t="inlineStr">
        <is>
          <t>Familiar</t>
        </is>
      </c>
      <c r="P827" t="inlineStr">
        <is>
          <t>STATE</t>
        </is>
      </c>
      <c r="Q827" t="n">
        <v>480.633</v>
      </c>
      <c r="R827" t="n">
        <v>481.733</v>
      </c>
      <c r="S827" t="n">
        <v>1.1</v>
      </c>
      <c r="T827" t="inlineStr">
        <is>
          <t>C:/Users/manuel.felline/Documents/BEHAVIOR BTBR/NOR second cohort/BTBR/training/c7_m5.mp4</t>
        </is>
      </c>
      <c r="U827" t="n">
        <v>14678</v>
      </c>
      <c r="V827" t="n">
        <v>14711</v>
      </c>
      <c r="W827" t="n">
        <v/>
      </c>
      <c r="X827" t="n">
        <v/>
      </c>
      <c r="Y827" t="n">
        <v/>
      </c>
      <c r="Z827" t="n">
        <v/>
      </c>
      <c r="AA827">
        <f>SUMIFS($S$2:S827,$A$2:A827,A827,$N$2:N827,"Explore*")</f>
        <v/>
      </c>
      <c r="AB827">
        <f>IF(AND(LEFT(N827,7)="Explore",(AA827-IF(LEFT(N827,7)="Explore",S827,0))&lt;10),"SI","NO")</f>
        <v/>
      </c>
    </row>
    <row r="828">
      <c r="A828" t="inlineStr">
        <is>
          <t>c7m5_training</t>
        </is>
      </c>
      <c r="B828" t="inlineStr">
        <is>
          <t>2026-06-17 16:34:08.754</t>
        </is>
      </c>
      <c r="C828" t="n">
        <v/>
      </c>
      <c r="D828" t="inlineStr">
        <is>
          <t>Media file</t>
        </is>
      </c>
      <c r="E828" t="inlineStr">
        <is>
          <t>player #1:C:/Users/manuel.felline/Documents/BEHAVIOR BTBR/NOR second cohort/BTBR/training/c7_m5.mp4</t>
        </is>
      </c>
      <c r="F828" t="n">
        <v>-8.733000000000001</v>
      </c>
      <c r="G828" t="n">
        <v>593.433</v>
      </c>
      <c r="H828" t="n">
        <v>621.566</v>
      </c>
      <c r="I828" t="n">
        <v>30</v>
      </c>
      <c r="J828" t="inlineStr">
        <is>
          <t>BTBR</t>
        </is>
      </c>
      <c r="K828" t="inlineStr">
        <is>
          <t>Male</t>
        </is>
      </c>
      <c r="L828" t="inlineStr">
        <is>
          <t>No focal subject</t>
        </is>
      </c>
      <c r="M828" t="n">
        <v>56.698</v>
      </c>
      <c r="N828" t="inlineStr">
        <is>
          <t>Explore_F</t>
        </is>
      </c>
      <c r="O828" t="inlineStr">
        <is>
          <t>Familiar</t>
        </is>
      </c>
      <c r="P828" t="inlineStr">
        <is>
          <t>STATE</t>
        </is>
      </c>
      <c r="Q828" t="n">
        <v>502.3</v>
      </c>
      <c r="R828" t="n">
        <v>503.5</v>
      </c>
      <c r="S828" t="n">
        <v>1.2</v>
      </c>
      <c r="T828" t="inlineStr">
        <is>
          <t>C:/Users/manuel.felline/Documents/BEHAVIOR BTBR/NOR second cohort/BTBR/training/c7_m5.mp4</t>
        </is>
      </c>
      <c r="U828" t="n">
        <v>15328</v>
      </c>
      <c r="V828" t="n">
        <v>15364</v>
      </c>
      <c r="W828" t="n">
        <v/>
      </c>
      <c r="X828" t="n">
        <v/>
      </c>
      <c r="Y828" t="n">
        <v/>
      </c>
      <c r="Z828" t="n">
        <v/>
      </c>
      <c r="AA828">
        <f>SUMIFS($S$2:S828,$A$2:A828,A828,$N$2:N828,"Explore*")</f>
        <v/>
      </c>
      <c r="AB828">
        <f>IF(AND(LEFT(N828,7)="Explore",(AA828-IF(LEFT(N828,7)="Explore",S828,0))&lt;10),"SI","NO")</f>
        <v/>
      </c>
    </row>
    <row r="829">
      <c r="A829" t="inlineStr">
        <is>
          <t>c7m5_training</t>
        </is>
      </c>
      <c r="B829" t="inlineStr">
        <is>
          <t>2026-06-17 16:34:08.754</t>
        </is>
      </c>
      <c r="C829" t="n">
        <v/>
      </c>
      <c r="D829" t="inlineStr">
        <is>
          <t>Media file</t>
        </is>
      </c>
      <c r="E829" t="inlineStr">
        <is>
          <t>player #1:C:/Users/manuel.felline/Documents/BEHAVIOR BTBR/NOR second cohort/BTBR/training/c7_m5.mp4</t>
        </is>
      </c>
      <c r="F829" t="n">
        <v>-8.733000000000001</v>
      </c>
      <c r="G829" t="n">
        <v>593.433</v>
      </c>
      <c r="H829" t="n">
        <v>621.566</v>
      </c>
      <c r="I829" t="n">
        <v>30</v>
      </c>
      <c r="J829" t="inlineStr">
        <is>
          <t>BTBR</t>
        </is>
      </c>
      <c r="K829" t="inlineStr">
        <is>
          <t>Male</t>
        </is>
      </c>
      <c r="L829" t="inlineStr">
        <is>
          <t>No focal subject</t>
        </is>
      </c>
      <c r="M829" t="n">
        <v>56.698</v>
      </c>
      <c r="N829" t="inlineStr">
        <is>
          <t>Explore_F2</t>
        </is>
      </c>
      <c r="O829" t="inlineStr">
        <is>
          <t>Second familiar</t>
        </is>
      </c>
      <c r="P829" t="inlineStr">
        <is>
          <t>STATE</t>
        </is>
      </c>
      <c r="Q829" t="n">
        <v>513.833</v>
      </c>
      <c r="R829" t="n">
        <v>514.366</v>
      </c>
      <c r="S829" t="n">
        <v>0.533</v>
      </c>
      <c r="T829" t="inlineStr">
        <is>
          <t>C:/Users/manuel.felline/Documents/BEHAVIOR BTBR/NOR second cohort/BTBR/training/c7_m5.mp4</t>
        </is>
      </c>
      <c r="U829" t="n">
        <v>15674</v>
      </c>
      <c r="V829" t="n">
        <v>15690</v>
      </c>
      <c r="W829" t="n">
        <v/>
      </c>
      <c r="X829" t="n">
        <v/>
      </c>
      <c r="Y829" t="n">
        <v/>
      </c>
      <c r="Z829" t="n">
        <v/>
      </c>
      <c r="AA829">
        <f>SUMIFS($S$2:S829,$A$2:A829,A829,$N$2:N829,"Explore*")</f>
        <v/>
      </c>
      <c r="AB829">
        <f>IF(AND(LEFT(N829,7)="Explore",(AA829-IF(LEFT(N829,7)="Explore",S829,0))&lt;10),"SI","NO")</f>
        <v/>
      </c>
    </row>
    <row r="830">
      <c r="A830" t="inlineStr">
        <is>
          <t>c7m5_training</t>
        </is>
      </c>
      <c r="B830" t="inlineStr">
        <is>
          <t>2026-06-17 16:34:08.754</t>
        </is>
      </c>
      <c r="C830" t="n">
        <v/>
      </c>
      <c r="D830" t="inlineStr">
        <is>
          <t>Media file</t>
        </is>
      </c>
      <c r="E830" t="inlineStr">
        <is>
          <t>player #1:C:/Users/manuel.felline/Documents/BEHAVIOR BTBR/NOR second cohort/BTBR/training/c7_m5.mp4</t>
        </is>
      </c>
      <c r="F830" t="n">
        <v>-8.733000000000001</v>
      </c>
      <c r="G830" t="n">
        <v>593.433</v>
      </c>
      <c r="H830" t="n">
        <v>621.566</v>
      </c>
      <c r="I830" t="n">
        <v>30</v>
      </c>
      <c r="J830" t="inlineStr">
        <is>
          <t>BTBR</t>
        </is>
      </c>
      <c r="K830" t="inlineStr">
        <is>
          <t>Male</t>
        </is>
      </c>
      <c r="L830" t="inlineStr">
        <is>
          <t>No focal subject</t>
        </is>
      </c>
      <c r="M830" t="n">
        <v>56.698</v>
      </c>
      <c r="N830" t="inlineStr">
        <is>
          <t>Explore_F</t>
        </is>
      </c>
      <c r="O830" t="inlineStr">
        <is>
          <t>Familiar</t>
        </is>
      </c>
      <c r="P830" t="inlineStr">
        <is>
          <t>STATE</t>
        </is>
      </c>
      <c r="Q830" t="n">
        <v>521.4</v>
      </c>
      <c r="R830" t="n">
        <v>521.933</v>
      </c>
      <c r="S830" t="n">
        <v>0.533</v>
      </c>
      <c r="T830" t="inlineStr">
        <is>
          <t>C:/Users/manuel.felline/Documents/BEHAVIOR BTBR/NOR second cohort/BTBR/training/c7_m5.mp4</t>
        </is>
      </c>
      <c r="U830" t="n">
        <v>15901</v>
      </c>
      <c r="V830" t="n">
        <v>15917</v>
      </c>
      <c r="W830" t="n">
        <v/>
      </c>
      <c r="X830" t="n">
        <v/>
      </c>
      <c r="Y830" t="n">
        <v/>
      </c>
      <c r="Z830" t="n">
        <v/>
      </c>
      <c r="AA830">
        <f>SUMIFS($S$2:S830,$A$2:A830,A830,$N$2:N830,"Explore*")</f>
        <v/>
      </c>
      <c r="AB830">
        <f>IF(AND(LEFT(N830,7)="Explore",(AA830-IF(LEFT(N830,7)="Explore",S830,0))&lt;10),"SI","NO")</f>
        <v/>
      </c>
    </row>
    <row r="831">
      <c r="A831" t="inlineStr">
        <is>
          <t>c7m5_training</t>
        </is>
      </c>
      <c r="B831" t="inlineStr">
        <is>
          <t>2026-06-17 16:34:08.754</t>
        </is>
      </c>
      <c r="C831" t="n">
        <v/>
      </c>
      <c r="D831" t="inlineStr">
        <is>
          <t>Media file</t>
        </is>
      </c>
      <c r="E831" t="inlineStr">
        <is>
          <t>player #1:C:/Users/manuel.felline/Documents/BEHAVIOR BTBR/NOR second cohort/BTBR/training/c7_m5.mp4</t>
        </is>
      </c>
      <c r="F831" t="n">
        <v>-8.733000000000001</v>
      </c>
      <c r="G831" t="n">
        <v>593.433</v>
      </c>
      <c r="H831" t="n">
        <v>621.566</v>
      </c>
      <c r="I831" t="n">
        <v>30</v>
      </c>
      <c r="J831" t="inlineStr">
        <is>
          <t>BTBR</t>
        </is>
      </c>
      <c r="K831" t="inlineStr">
        <is>
          <t>Male</t>
        </is>
      </c>
      <c r="L831" t="inlineStr">
        <is>
          <t>No focal subject</t>
        </is>
      </c>
      <c r="M831" t="n">
        <v>56.698</v>
      </c>
      <c r="N831" t="inlineStr">
        <is>
          <t>Explore_F2</t>
        </is>
      </c>
      <c r="O831" t="inlineStr">
        <is>
          <t>Second familiar</t>
        </is>
      </c>
      <c r="P831" t="inlineStr">
        <is>
          <t>STATE</t>
        </is>
      </c>
      <c r="Q831" t="n">
        <v>538.6</v>
      </c>
      <c r="R831" t="n">
        <v>539.433</v>
      </c>
      <c r="S831" t="n">
        <v>0.833</v>
      </c>
      <c r="T831" t="inlineStr">
        <is>
          <t>C:/Users/manuel.felline/Documents/BEHAVIOR BTBR/NOR second cohort/BTBR/training/c7_m5.mp4</t>
        </is>
      </c>
      <c r="U831" t="n">
        <v>16417</v>
      </c>
      <c r="V831" t="n">
        <v>16442</v>
      </c>
      <c r="W831" t="n">
        <v/>
      </c>
      <c r="X831" t="n">
        <v/>
      </c>
      <c r="Y831" t="n">
        <v/>
      </c>
      <c r="Z831" t="n">
        <v/>
      </c>
      <c r="AA831">
        <f>SUMIFS($S$2:S831,$A$2:A831,A831,$N$2:N831,"Explore*")</f>
        <v/>
      </c>
      <c r="AB831">
        <f>IF(AND(LEFT(N831,7)="Explore",(AA831-IF(LEFT(N831,7)="Explore",S831,0))&lt;10),"SI","NO")</f>
        <v/>
      </c>
    </row>
    <row r="832">
      <c r="A832" t="inlineStr">
        <is>
          <t>c7m5_training</t>
        </is>
      </c>
      <c r="B832" t="inlineStr">
        <is>
          <t>2026-06-17 16:34:08.754</t>
        </is>
      </c>
      <c r="C832" t="n">
        <v/>
      </c>
      <c r="D832" t="inlineStr">
        <is>
          <t>Media file</t>
        </is>
      </c>
      <c r="E832" t="inlineStr">
        <is>
          <t>player #1:C:/Users/manuel.felline/Documents/BEHAVIOR BTBR/NOR second cohort/BTBR/training/c7_m5.mp4</t>
        </is>
      </c>
      <c r="F832" t="n">
        <v>-8.733000000000001</v>
      </c>
      <c r="G832" t="n">
        <v>593.433</v>
      </c>
      <c r="H832" t="n">
        <v>621.566</v>
      </c>
      <c r="I832" t="n">
        <v>30</v>
      </c>
      <c r="J832" t="inlineStr">
        <is>
          <t>BTBR</t>
        </is>
      </c>
      <c r="K832" t="inlineStr">
        <is>
          <t>Male</t>
        </is>
      </c>
      <c r="L832" t="inlineStr">
        <is>
          <t>No focal subject</t>
        </is>
      </c>
      <c r="M832" t="n">
        <v>56.698</v>
      </c>
      <c r="N832" t="inlineStr">
        <is>
          <t>Explore_F</t>
        </is>
      </c>
      <c r="O832" t="inlineStr">
        <is>
          <t>Familiar</t>
        </is>
      </c>
      <c r="P832" t="inlineStr">
        <is>
          <t>STATE</t>
        </is>
      </c>
      <c r="Q832" t="n">
        <v>576.466</v>
      </c>
      <c r="R832" t="n">
        <v>577.066</v>
      </c>
      <c r="S832" t="n">
        <v>0.6</v>
      </c>
      <c r="T832" t="inlineStr">
        <is>
          <t>C:/Users/manuel.felline/Documents/BEHAVIOR BTBR/NOR second cohort/BTBR/training/c7_m5.mp4</t>
        </is>
      </c>
      <c r="U832" t="n">
        <v>17553</v>
      </c>
      <c r="V832" t="n">
        <v>17571</v>
      </c>
      <c r="W832" t="n">
        <v/>
      </c>
      <c r="X832" t="n">
        <v/>
      </c>
      <c r="Y832" t="n">
        <v/>
      </c>
      <c r="Z832" t="n">
        <v/>
      </c>
      <c r="AA832">
        <f>SUMIFS($S$2:S832,$A$2:A832,A832,$N$2:N832,"Explore*")</f>
        <v/>
      </c>
      <c r="AB832">
        <f>IF(AND(LEFT(N832,7)="Explore",(AA832-IF(LEFT(N832,7)="Explore",S832,0))&lt;10),"SI","NO")</f>
        <v/>
      </c>
    </row>
    <row r="833">
      <c r="A833" t="inlineStr">
        <is>
          <t>c7m5_training</t>
        </is>
      </c>
      <c r="B833" t="inlineStr">
        <is>
          <t>2026-06-17 16:34:08.754</t>
        </is>
      </c>
      <c r="C833" t="n">
        <v/>
      </c>
      <c r="D833" t="inlineStr">
        <is>
          <t>Media file</t>
        </is>
      </c>
      <c r="E833" t="inlineStr">
        <is>
          <t>player #1:C:/Users/manuel.felline/Documents/BEHAVIOR BTBR/NOR second cohort/BTBR/training/c7_m5.mp4</t>
        </is>
      </c>
      <c r="F833" t="n">
        <v>-8.733000000000001</v>
      </c>
      <c r="G833" t="n">
        <v>593.433</v>
      </c>
      <c r="H833" t="n">
        <v>621.566</v>
      </c>
      <c r="I833" t="n">
        <v>30</v>
      </c>
      <c r="J833" t="inlineStr">
        <is>
          <t>BTBR</t>
        </is>
      </c>
      <c r="K833" t="inlineStr">
        <is>
          <t>Male</t>
        </is>
      </c>
      <c r="L833" t="inlineStr">
        <is>
          <t>No focal subject</t>
        </is>
      </c>
      <c r="M833" t="n">
        <v>56.698</v>
      </c>
      <c r="N833" t="inlineStr">
        <is>
          <t>Explore_F2</t>
        </is>
      </c>
      <c r="O833" t="inlineStr">
        <is>
          <t>Second familiar</t>
        </is>
      </c>
      <c r="P833" t="inlineStr">
        <is>
          <t>STATE</t>
        </is>
      </c>
      <c r="Q833" t="n">
        <v>584.6</v>
      </c>
      <c r="R833" t="n">
        <v>585.766</v>
      </c>
      <c r="S833" t="n">
        <v>1.166</v>
      </c>
      <c r="T833" t="inlineStr">
        <is>
          <t>C:/Users/manuel.felline/Documents/BEHAVIOR BTBR/NOR second cohort/BTBR/training/c7_m5.mp4</t>
        </is>
      </c>
      <c r="U833" t="n">
        <v>17797</v>
      </c>
      <c r="V833" t="n">
        <v>17832</v>
      </c>
      <c r="W833" t="n">
        <v/>
      </c>
      <c r="X833" t="n">
        <v/>
      </c>
      <c r="Y833" t="n">
        <v/>
      </c>
      <c r="Z833" t="n">
        <v/>
      </c>
      <c r="AA833">
        <f>SUMIFS($S$2:S833,$A$2:A833,A833,$N$2:N833,"Explore*")</f>
        <v/>
      </c>
      <c r="AB833">
        <f>IF(AND(LEFT(N833,7)="Explore",(AA833-IF(LEFT(N833,7)="Explore",S833,0))&lt;10),"SI","NO")</f>
        <v/>
      </c>
    </row>
    <row r="834">
      <c r="A834" t="inlineStr">
        <is>
          <t>c7m5_training</t>
        </is>
      </c>
      <c r="B834" t="inlineStr">
        <is>
          <t>2026-06-17 16:34:08.754</t>
        </is>
      </c>
      <c r="C834" t="n">
        <v/>
      </c>
      <c r="D834" t="inlineStr">
        <is>
          <t>Media file</t>
        </is>
      </c>
      <c r="E834" t="inlineStr">
        <is>
          <t>player #1:C:/Users/manuel.felline/Documents/BEHAVIOR BTBR/NOR second cohort/BTBR/training/c7_m5.mp4</t>
        </is>
      </c>
      <c r="F834" t="n">
        <v>-8.733000000000001</v>
      </c>
      <c r="G834" t="n">
        <v>593.433</v>
      </c>
      <c r="H834" t="n">
        <v>621.566</v>
      </c>
      <c r="I834" t="n">
        <v>30</v>
      </c>
      <c r="J834" t="inlineStr">
        <is>
          <t>BTBR</t>
        </is>
      </c>
      <c r="K834" t="inlineStr">
        <is>
          <t>Male</t>
        </is>
      </c>
      <c r="L834" t="inlineStr">
        <is>
          <t>No focal subject</t>
        </is>
      </c>
      <c r="M834" t="n">
        <v>56.698</v>
      </c>
      <c r="N834" t="inlineStr">
        <is>
          <t>Explore_F</t>
        </is>
      </c>
      <c r="O834" t="inlineStr">
        <is>
          <t>Familiar</t>
        </is>
      </c>
      <c r="P834" t="inlineStr">
        <is>
          <t>STATE</t>
        </is>
      </c>
      <c r="Q834" t="n">
        <v>594.133</v>
      </c>
      <c r="R834" t="n">
        <v>594.7</v>
      </c>
      <c r="S834" t="n">
        <v>0.5669999999999999</v>
      </c>
      <c r="T834" t="inlineStr">
        <is>
          <t>C:/Users/manuel.felline/Documents/BEHAVIOR BTBR/NOR second cohort/BTBR/training/c7_m5.mp4</t>
        </is>
      </c>
      <c r="U834" t="n">
        <v>18083</v>
      </c>
      <c r="V834" t="n">
        <v>18100</v>
      </c>
      <c r="W834" t="n">
        <v/>
      </c>
      <c r="X834" t="n">
        <v/>
      </c>
      <c r="Y834" t="n">
        <v/>
      </c>
      <c r="Z834" t="n">
        <v/>
      </c>
      <c r="AA834">
        <f>SUMIFS($S$2:S834,$A$2:A834,A834,$N$2:N834,"Explore*")</f>
        <v/>
      </c>
      <c r="AB834">
        <f>IF(AND(LEFT(N834,7)="Explore",(AA834-IF(LEFT(N834,7)="Explore",S834,0))&lt;10),"SI","NO")</f>
        <v/>
      </c>
    </row>
    <row r="835">
      <c r="A835" t="inlineStr">
        <is>
          <t>c7m6_training</t>
        </is>
      </c>
      <c r="B835" t="inlineStr">
        <is>
          <t>2026-06-18 10:55:11.594</t>
        </is>
      </c>
      <c r="C835" t="n">
        <v/>
      </c>
      <c r="D835" t="inlineStr">
        <is>
          <t>Media file</t>
        </is>
      </c>
      <c r="E835" t="inlineStr">
        <is>
          <t>player #1:C:/Users/manuel.felline/Documents/BEHAVIOR BTBR/NOR second cohort/BTBR/training/c7_m6.mp4</t>
        </is>
      </c>
      <c r="F835" t="n">
        <v>-10.067</v>
      </c>
      <c r="G835" t="n">
        <v>594.366</v>
      </c>
      <c r="H835" t="n">
        <v>627.699</v>
      </c>
      <c r="I835" t="n">
        <v>30</v>
      </c>
      <c r="J835" t="inlineStr">
        <is>
          <t>BTBR</t>
        </is>
      </c>
      <c r="K835" t="inlineStr">
        <is>
          <t>Male</t>
        </is>
      </c>
      <c r="L835" t="inlineStr">
        <is>
          <t>No focal subject</t>
        </is>
      </c>
      <c r="M835" t="n">
        <v>56.702</v>
      </c>
      <c r="N835" t="inlineStr">
        <is>
          <t>Explore_F2</t>
        </is>
      </c>
      <c r="O835" t="inlineStr">
        <is>
          <t>Second familiar</t>
        </is>
      </c>
      <c r="P835" t="inlineStr">
        <is>
          <t>STATE</t>
        </is>
      </c>
      <c r="Q835" t="n">
        <v>2.1</v>
      </c>
      <c r="R835" t="n">
        <v>2.6</v>
      </c>
      <c r="S835" t="n">
        <v>0.5</v>
      </c>
      <c r="T835" t="inlineStr">
        <is>
          <t>C:/Users/manuel.felline/Documents/BEHAVIOR BTBR/NOR second cohort/BTBR/training/c7_m6.mp4</t>
        </is>
      </c>
      <c r="U835" t="n">
        <v>365</v>
      </c>
      <c r="V835" t="n">
        <v>380</v>
      </c>
      <c r="W835" t="n">
        <v/>
      </c>
      <c r="X835" t="n">
        <v/>
      </c>
      <c r="Y835" t="n">
        <v/>
      </c>
      <c r="Z835" t="n">
        <v/>
      </c>
      <c r="AA835">
        <f>SUMIFS($S$2:S835,$A$2:A835,A835,$N$2:N835,"Explore*")</f>
        <v/>
      </c>
      <c r="AB835">
        <f>IF(AND(LEFT(N835,7)="Explore",(AA835-IF(LEFT(N835,7)="Explore",S835,0))&lt;10),"SI","NO")</f>
        <v/>
      </c>
    </row>
    <row r="836">
      <c r="A836" t="inlineStr">
        <is>
          <t>c7m6_training</t>
        </is>
      </c>
      <c r="B836" t="inlineStr">
        <is>
          <t>2026-06-18 10:55:11.594</t>
        </is>
      </c>
      <c r="C836" t="n">
        <v/>
      </c>
      <c r="D836" t="inlineStr">
        <is>
          <t>Media file</t>
        </is>
      </c>
      <c r="E836" t="inlineStr">
        <is>
          <t>player #1:C:/Users/manuel.felline/Documents/BEHAVIOR BTBR/NOR second cohort/BTBR/training/c7_m6.mp4</t>
        </is>
      </c>
      <c r="F836" t="n">
        <v>-10.067</v>
      </c>
      <c r="G836" t="n">
        <v>594.366</v>
      </c>
      <c r="H836" t="n">
        <v>627.699</v>
      </c>
      <c r="I836" t="n">
        <v>30</v>
      </c>
      <c r="J836" t="inlineStr">
        <is>
          <t>BTBR</t>
        </is>
      </c>
      <c r="K836" t="inlineStr">
        <is>
          <t>Male</t>
        </is>
      </c>
      <c r="L836" t="inlineStr">
        <is>
          <t>No focal subject</t>
        </is>
      </c>
      <c r="M836" t="n">
        <v>56.702</v>
      </c>
      <c r="N836" t="inlineStr">
        <is>
          <t>Explore_F2</t>
        </is>
      </c>
      <c r="O836" t="inlineStr">
        <is>
          <t>Second familiar</t>
        </is>
      </c>
      <c r="P836" t="inlineStr">
        <is>
          <t>STATE</t>
        </is>
      </c>
      <c r="Q836" t="n">
        <v>3.066</v>
      </c>
      <c r="R836" t="n">
        <v>4.633</v>
      </c>
      <c r="S836" t="n">
        <v>1.567</v>
      </c>
      <c r="T836" t="inlineStr">
        <is>
          <t>C:/Users/manuel.felline/Documents/BEHAVIOR BTBR/NOR second cohort/BTBR/training/c7_m6.mp4</t>
        </is>
      </c>
      <c r="U836" t="n">
        <v>394</v>
      </c>
      <c r="V836" t="n">
        <v>441</v>
      </c>
      <c r="W836" t="n">
        <v/>
      </c>
      <c r="X836" t="n">
        <v/>
      </c>
      <c r="Y836" t="n">
        <v/>
      </c>
      <c r="Z836" t="n">
        <v/>
      </c>
      <c r="AA836">
        <f>SUMIFS($S$2:S836,$A$2:A836,A836,$N$2:N836,"Explore*")</f>
        <v/>
      </c>
      <c r="AB836">
        <f>IF(AND(LEFT(N836,7)="Explore",(AA836-IF(LEFT(N836,7)="Explore",S836,0))&lt;10),"SI","NO")</f>
        <v/>
      </c>
    </row>
    <row r="837">
      <c r="A837" t="inlineStr">
        <is>
          <t>c7m6_training</t>
        </is>
      </c>
      <c r="B837" t="inlineStr">
        <is>
          <t>2026-06-18 10:55:11.594</t>
        </is>
      </c>
      <c r="C837" t="n">
        <v/>
      </c>
      <c r="D837" t="inlineStr">
        <is>
          <t>Media file</t>
        </is>
      </c>
      <c r="E837" t="inlineStr">
        <is>
          <t>player #1:C:/Users/manuel.felline/Documents/BEHAVIOR BTBR/NOR second cohort/BTBR/training/c7_m6.mp4</t>
        </is>
      </c>
      <c r="F837" t="n">
        <v>-10.067</v>
      </c>
      <c r="G837" t="n">
        <v>594.366</v>
      </c>
      <c r="H837" t="n">
        <v>627.699</v>
      </c>
      <c r="I837" t="n">
        <v>30</v>
      </c>
      <c r="J837" t="inlineStr">
        <is>
          <t>BTBR</t>
        </is>
      </c>
      <c r="K837" t="inlineStr">
        <is>
          <t>Male</t>
        </is>
      </c>
      <c r="L837" t="inlineStr">
        <is>
          <t>No focal subject</t>
        </is>
      </c>
      <c r="M837" t="n">
        <v>56.702</v>
      </c>
      <c r="N837" t="inlineStr">
        <is>
          <t>Explore_F2</t>
        </is>
      </c>
      <c r="O837" t="inlineStr">
        <is>
          <t>Second familiar</t>
        </is>
      </c>
      <c r="P837" t="inlineStr">
        <is>
          <t>STATE</t>
        </is>
      </c>
      <c r="Q837" t="n">
        <v>6.966</v>
      </c>
      <c r="R837" t="n">
        <v>7.433</v>
      </c>
      <c r="S837" t="n">
        <v>0.467</v>
      </c>
      <c r="T837" t="inlineStr">
        <is>
          <t>C:/Users/manuel.felline/Documents/BEHAVIOR BTBR/NOR second cohort/BTBR/training/c7_m6.mp4</t>
        </is>
      </c>
      <c r="U837" t="n">
        <v>511</v>
      </c>
      <c r="V837" t="n">
        <v>525</v>
      </c>
      <c r="W837" t="n">
        <v/>
      </c>
      <c r="X837" t="n">
        <v/>
      </c>
      <c r="Y837" t="n">
        <v/>
      </c>
      <c r="Z837" t="n">
        <v/>
      </c>
      <c r="AA837">
        <f>SUMIFS($S$2:S837,$A$2:A837,A837,$N$2:N837,"Explore*")</f>
        <v/>
      </c>
      <c r="AB837">
        <f>IF(AND(LEFT(N837,7)="Explore",(AA837-IF(LEFT(N837,7)="Explore",S837,0))&lt;10),"SI","NO")</f>
        <v/>
      </c>
    </row>
    <row r="838">
      <c r="A838" t="inlineStr">
        <is>
          <t>c7m6_training</t>
        </is>
      </c>
      <c r="B838" t="inlineStr">
        <is>
          <t>2026-06-18 10:55:11.594</t>
        </is>
      </c>
      <c r="C838" t="n">
        <v/>
      </c>
      <c r="D838" t="inlineStr">
        <is>
          <t>Media file</t>
        </is>
      </c>
      <c r="E838" t="inlineStr">
        <is>
          <t>player #1:C:/Users/manuel.felline/Documents/BEHAVIOR BTBR/NOR second cohort/BTBR/training/c7_m6.mp4</t>
        </is>
      </c>
      <c r="F838" t="n">
        <v>-10.067</v>
      </c>
      <c r="G838" t="n">
        <v>594.366</v>
      </c>
      <c r="H838" t="n">
        <v>627.699</v>
      </c>
      <c r="I838" t="n">
        <v>30</v>
      </c>
      <c r="J838" t="inlineStr">
        <is>
          <t>BTBR</t>
        </is>
      </c>
      <c r="K838" t="inlineStr">
        <is>
          <t>Male</t>
        </is>
      </c>
      <c r="L838" t="inlineStr">
        <is>
          <t>No focal subject</t>
        </is>
      </c>
      <c r="M838" t="n">
        <v>56.702</v>
      </c>
      <c r="N838" t="inlineStr">
        <is>
          <t>Explore_F2</t>
        </is>
      </c>
      <c r="O838" t="inlineStr">
        <is>
          <t>Second familiar</t>
        </is>
      </c>
      <c r="P838" t="inlineStr">
        <is>
          <t>STATE</t>
        </is>
      </c>
      <c r="Q838" t="n">
        <v>8.566000000000001</v>
      </c>
      <c r="R838" t="n">
        <v>8.9</v>
      </c>
      <c r="S838" t="n">
        <v>0.334</v>
      </c>
      <c r="T838" t="inlineStr">
        <is>
          <t>C:/Users/manuel.felline/Documents/BEHAVIOR BTBR/NOR second cohort/BTBR/training/c7_m6.mp4</t>
        </is>
      </c>
      <c r="U838" t="n">
        <v>559</v>
      </c>
      <c r="V838" t="n">
        <v>569</v>
      </c>
      <c r="W838" t="n">
        <v/>
      </c>
      <c r="X838" t="n">
        <v/>
      </c>
      <c r="Y838" t="n">
        <v/>
      </c>
      <c r="Z838" t="n">
        <v/>
      </c>
      <c r="AA838">
        <f>SUMIFS($S$2:S838,$A$2:A838,A838,$N$2:N838,"Explore*")</f>
        <v/>
      </c>
      <c r="AB838">
        <f>IF(AND(LEFT(N838,7)="Explore",(AA838-IF(LEFT(N838,7)="Explore",S838,0))&lt;10),"SI","NO")</f>
        <v/>
      </c>
    </row>
    <row r="839">
      <c r="A839" t="inlineStr">
        <is>
          <t>c7m6_training</t>
        </is>
      </c>
      <c r="B839" t="inlineStr">
        <is>
          <t>2026-06-18 10:55:11.594</t>
        </is>
      </c>
      <c r="C839" t="n">
        <v/>
      </c>
      <c r="D839" t="inlineStr">
        <is>
          <t>Media file</t>
        </is>
      </c>
      <c r="E839" t="inlineStr">
        <is>
          <t>player #1:C:/Users/manuel.felline/Documents/BEHAVIOR BTBR/NOR second cohort/BTBR/training/c7_m6.mp4</t>
        </is>
      </c>
      <c r="F839" t="n">
        <v>-10.067</v>
      </c>
      <c r="G839" t="n">
        <v>594.366</v>
      </c>
      <c r="H839" t="n">
        <v>627.699</v>
      </c>
      <c r="I839" t="n">
        <v>30</v>
      </c>
      <c r="J839" t="inlineStr">
        <is>
          <t>BTBR</t>
        </is>
      </c>
      <c r="K839" t="inlineStr">
        <is>
          <t>Male</t>
        </is>
      </c>
      <c r="L839" t="inlineStr">
        <is>
          <t>No focal subject</t>
        </is>
      </c>
      <c r="M839" t="n">
        <v>56.702</v>
      </c>
      <c r="N839" t="inlineStr">
        <is>
          <t>Explore_F</t>
        </is>
      </c>
      <c r="O839" t="inlineStr">
        <is>
          <t>Familiar</t>
        </is>
      </c>
      <c r="P839" t="inlineStr">
        <is>
          <t>STATE</t>
        </is>
      </c>
      <c r="Q839" t="n">
        <v>9.6</v>
      </c>
      <c r="R839" t="n">
        <v>10.833</v>
      </c>
      <c r="S839" t="n">
        <v>1.233</v>
      </c>
      <c r="T839" t="inlineStr">
        <is>
          <t>C:/Users/manuel.felline/Documents/BEHAVIOR BTBR/NOR second cohort/BTBR/training/c7_m6.mp4</t>
        </is>
      </c>
      <c r="U839" t="n">
        <v>590</v>
      </c>
      <c r="V839" t="n">
        <v>627</v>
      </c>
      <c r="W839" t="n">
        <v/>
      </c>
      <c r="X839" t="n">
        <v/>
      </c>
      <c r="Y839" t="n">
        <v/>
      </c>
      <c r="Z839" t="n">
        <v/>
      </c>
      <c r="AA839">
        <f>SUMIFS($S$2:S839,$A$2:A839,A839,$N$2:N839,"Explore*")</f>
        <v/>
      </c>
      <c r="AB839">
        <f>IF(AND(LEFT(N839,7)="Explore",(AA839-IF(LEFT(N839,7)="Explore",S839,0))&lt;10),"SI","NO")</f>
        <v/>
      </c>
    </row>
    <row r="840">
      <c r="A840" t="inlineStr">
        <is>
          <t>c7m6_training</t>
        </is>
      </c>
      <c r="B840" t="inlineStr">
        <is>
          <t>2026-06-18 10:55:11.594</t>
        </is>
      </c>
      <c r="C840" t="n">
        <v/>
      </c>
      <c r="D840" t="inlineStr">
        <is>
          <t>Media file</t>
        </is>
      </c>
      <c r="E840" t="inlineStr">
        <is>
          <t>player #1:C:/Users/manuel.felline/Documents/BEHAVIOR BTBR/NOR second cohort/BTBR/training/c7_m6.mp4</t>
        </is>
      </c>
      <c r="F840" t="n">
        <v>-10.067</v>
      </c>
      <c r="G840" t="n">
        <v>594.366</v>
      </c>
      <c r="H840" t="n">
        <v>627.699</v>
      </c>
      <c r="I840" t="n">
        <v>30</v>
      </c>
      <c r="J840" t="inlineStr">
        <is>
          <t>BTBR</t>
        </is>
      </c>
      <c r="K840" t="inlineStr">
        <is>
          <t>Male</t>
        </is>
      </c>
      <c r="L840" t="inlineStr">
        <is>
          <t>No focal subject</t>
        </is>
      </c>
      <c r="M840" t="n">
        <v>56.702</v>
      </c>
      <c r="N840" t="inlineStr">
        <is>
          <t>Explore_F</t>
        </is>
      </c>
      <c r="O840" t="inlineStr">
        <is>
          <t>Familiar</t>
        </is>
      </c>
      <c r="P840" t="inlineStr">
        <is>
          <t>STATE</t>
        </is>
      </c>
      <c r="Q840" t="n">
        <v>13.966</v>
      </c>
      <c r="R840" t="n">
        <v>15.3</v>
      </c>
      <c r="S840" t="n">
        <v>1.334</v>
      </c>
      <c r="T840" t="inlineStr">
        <is>
          <t>C:/Users/manuel.felline/Documents/BEHAVIOR BTBR/NOR second cohort/BTBR/training/c7_m6.mp4</t>
        </is>
      </c>
      <c r="U840" t="n">
        <v>721</v>
      </c>
      <c r="V840" t="n">
        <v>761</v>
      </c>
      <c r="W840" t="n">
        <v/>
      </c>
      <c r="X840" t="n">
        <v/>
      </c>
      <c r="Y840" t="n">
        <v/>
      </c>
      <c r="Z840" t="n">
        <v/>
      </c>
      <c r="AA840">
        <f>SUMIFS($S$2:S840,$A$2:A840,A840,$N$2:N840,"Explore*")</f>
        <v/>
      </c>
      <c r="AB840">
        <f>IF(AND(LEFT(N840,7)="Explore",(AA840-IF(LEFT(N840,7)="Explore",S840,0))&lt;10),"SI","NO")</f>
        <v/>
      </c>
    </row>
    <row r="841">
      <c r="A841" t="inlineStr">
        <is>
          <t>c7m6_training</t>
        </is>
      </c>
      <c r="B841" t="inlineStr">
        <is>
          <t>2026-06-18 10:55:11.594</t>
        </is>
      </c>
      <c r="C841" t="n">
        <v/>
      </c>
      <c r="D841" t="inlineStr">
        <is>
          <t>Media file</t>
        </is>
      </c>
      <c r="E841" t="inlineStr">
        <is>
          <t>player #1:C:/Users/manuel.felline/Documents/BEHAVIOR BTBR/NOR second cohort/BTBR/training/c7_m6.mp4</t>
        </is>
      </c>
      <c r="F841" t="n">
        <v>-10.067</v>
      </c>
      <c r="G841" t="n">
        <v>594.366</v>
      </c>
      <c r="H841" t="n">
        <v>627.699</v>
      </c>
      <c r="I841" t="n">
        <v>30</v>
      </c>
      <c r="J841" t="inlineStr">
        <is>
          <t>BTBR</t>
        </is>
      </c>
      <c r="K841" t="inlineStr">
        <is>
          <t>Male</t>
        </is>
      </c>
      <c r="L841" t="inlineStr">
        <is>
          <t>No focal subject</t>
        </is>
      </c>
      <c r="M841" t="n">
        <v>56.702</v>
      </c>
      <c r="N841" t="inlineStr">
        <is>
          <t>Explore_F2</t>
        </is>
      </c>
      <c r="O841" t="inlineStr">
        <is>
          <t>Second familiar</t>
        </is>
      </c>
      <c r="P841" t="inlineStr">
        <is>
          <t>STATE</t>
        </is>
      </c>
      <c r="Q841" t="n">
        <v>16.4</v>
      </c>
      <c r="R841" t="n">
        <v>17.033</v>
      </c>
      <c r="S841" t="n">
        <v>0.633</v>
      </c>
      <c r="T841" t="inlineStr">
        <is>
          <t>C:/Users/manuel.felline/Documents/BEHAVIOR BTBR/NOR second cohort/BTBR/training/c7_m6.mp4</t>
        </is>
      </c>
      <c r="U841" t="n">
        <v>794</v>
      </c>
      <c r="V841" t="n">
        <v>813</v>
      </c>
      <c r="W841" t="n">
        <v/>
      </c>
      <c r="X841" t="n">
        <v/>
      </c>
      <c r="Y841" t="n">
        <v/>
      </c>
      <c r="Z841" t="n">
        <v/>
      </c>
      <c r="AA841">
        <f>SUMIFS($S$2:S841,$A$2:A841,A841,$N$2:N841,"Explore*")</f>
        <v/>
      </c>
      <c r="AB841">
        <f>IF(AND(LEFT(N841,7)="Explore",(AA841-IF(LEFT(N841,7)="Explore",S841,0))&lt;10),"SI","NO")</f>
        <v/>
      </c>
    </row>
    <row r="842">
      <c r="A842" t="inlineStr">
        <is>
          <t>c7m6_training</t>
        </is>
      </c>
      <c r="B842" t="inlineStr">
        <is>
          <t>2026-06-18 10:55:11.594</t>
        </is>
      </c>
      <c r="C842" t="n">
        <v/>
      </c>
      <c r="D842" t="inlineStr">
        <is>
          <t>Media file</t>
        </is>
      </c>
      <c r="E842" t="inlineStr">
        <is>
          <t>player #1:C:/Users/manuel.felline/Documents/BEHAVIOR BTBR/NOR second cohort/BTBR/training/c7_m6.mp4</t>
        </is>
      </c>
      <c r="F842" t="n">
        <v>-10.067</v>
      </c>
      <c r="G842" t="n">
        <v>594.366</v>
      </c>
      <c r="H842" t="n">
        <v>627.699</v>
      </c>
      <c r="I842" t="n">
        <v>30</v>
      </c>
      <c r="J842" t="inlineStr">
        <is>
          <t>BTBR</t>
        </is>
      </c>
      <c r="K842" t="inlineStr">
        <is>
          <t>Male</t>
        </is>
      </c>
      <c r="L842" t="inlineStr">
        <is>
          <t>No focal subject</t>
        </is>
      </c>
      <c r="M842" t="n">
        <v>56.702</v>
      </c>
      <c r="N842" t="inlineStr">
        <is>
          <t>Explore_F</t>
        </is>
      </c>
      <c r="O842" t="inlineStr">
        <is>
          <t>Familiar</t>
        </is>
      </c>
      <c r="P842" t="inlineStr">
        <is>
          <t>STATE</t>
        </is>
      </c>
      <c r="Q842" t="n">
        <v>19.7</v>
      </c>
      <c r="R842" t="n">
        <v>20.366</v>
      </c>
      <c r="S842" t="n">
        <v>0.666</v>
      </c>
      <c r="T842" t="inlineStr">
        <is>
          <t>C:/Users/manuel.felline/Documents/BEHAVIOR BTBR/NOR second cohort/BTBR/training/c7_m6.mp4</t>
        </is>
      </c>
      <c r="U842" t="n">
        <v>894</v>
      </c>
      <c r="V842" t="n">
        <v>913</v>
      </c>
      <c r="W842" t="n">
        <v/>
      </c>
      <c r="X842" t="n">
        <v/>
      </c>
      <c r="Y842" t="n">
        <v/>
      </c>
      <c r="Z842" t="n">
        <v/>
      </c>
      <c r="AA842">
        <f>SUMIFS($S$2:S842,$A$2:A842,A842,$N$2:N842,"Explore*")</f>
        <v/>
      </c>
      <c r="AB842">
        <f>IF(AND(LEFT(N842,7)="Explore",(AA842-IF(LEFT(N842,7)="Explore",S842,0))&lt;10),"SI","NO")</f>
        <v/>
      </c>
    </row>
    <row r="843">
      <c r="A843" t="inlineStr">
        <is>
          <t>c7m6_training</t>
        </is>
      </c>
      <c r="B843" t="inlineStr">
        <is>
          <t>2026-06-18 10:55:11.594</t>
        </is>
      </c>
      <c r="C843" t="n">
        <v/>
      </c>
      <c r="D843" t="inlineStr">
        <is>
          <t>Media file</t>
        </is>
      </c>
      <c r="E843" t="inlineStr">
        <is>
          <t>player #1:C:/Users/manuel.felline/Documents/BEHAVIOR BTBR/NOR second cohort/BTBR/training/c7_m6.mp4</t>
        </is>
      </c>
      <c r="F843" t="n">
        <v>-10.067</v>
      </c>
      <c r="G843" t="n">
        <v>594.366</v>
      </c>
      <c r="H843" t="n">
        <v>627.699</v>
      </c>
      <c r="I843" t="n">
        <v>30</v>
      </c>
      <c r="J843" t="inlineStr">
        <is>
          <t>BTBR</t>
        </is>
      </c>
      <c r="K843" t="inlineStr">
        <is>
          <t>Male</t>
        </is>
      </c>
      <c r="L843" t="inlineStr">
        <is>
          <t>No focal subject</t>
        </is>
      </c>
      <c r="M843" t="n">
        <v>56.702</v>
      </c>
      <c r="N843" t="inlineStr">
        <is>
          <t>Explore_F2</t>
        </is>
      </c>
      <c r="O843" t="inlineStr">
        <is>
          <t>Second familiar</t>
        </is>
      </c>
      <c r="P843" t="inlineStr">
        <is>
          <t>STATE</t>
        </is>
      </c>
      <c r="Q843" t="n">
        <v>23.733</v>
      </c>
      <c r="R843" t="n">
        <v>24.2</v>
      </c>
      <c r="S843" t="n">
        <v>0.467</v>
      </c>
      <c r="T843" t="inlineStr">
        <is>
          <t>C:/Users/manuel.felline/Documents/BEHAVIOR BTBR/NOR second cohort/BTBR/training/c7_m6.mp4</t>
        </is>
      </c>
      <c r="U843" t="n">
        <v>1014</v>
      </c>
      <c r="V843" t="n">
        <v>1028</v>
      </c>
      <c r="W843" t="n">
        <v/>
      </c>
      <c r="X843" t="n">
        <v/>
      </c>
      <c r="Y843" t="n">
        <v/>
      </c>
      <c r="Z843" t="n">
        <v/>
      </c>
      <c r="AA843">
        <f>SUMIFS($S$2:S843,$A$2:A843,A843,$N$2:N843,"Explore*")</f>
        <v/>
      </c>
      <c r="AB843">
        <f>IF(AND(LEFT(N843,7)="Explore",(AA843-IF(LEFT(N843,7)="Explore",S843,0))&lt;10),"SI","NO")</f>
        <v/>
      </c>
    </row>
    <row r="844">
      <c r="A844" t="inlineStr">
        <is>
          <t>c7m6_training</t>
        </is>
      </c>
      <c r="B844" t="inlineStr">
        <is>
          <t>2026-06-18 10:55:11.594</t>
        </is>
      </c>
      <c r="C844" t="n">
        <v/>
      </c>
      <c r="D844" t="inlineStr">
        <is>
          <t>Media file</t>
        </is>
      </c>
      <c r="E844" t="inlineStr">
        <is>
          <t>player #1:C:/Users/manuel.felline/Documents/BEHAVIOR BTBR/NOR second cohort/BTBR/training/c7_m6.mp4</t>
        </is>
      </c>
      <c r="F844" t="n">
        <v>-10.067</v>
      </c>
      <c r="G844" t="n">
        <v>594.366</v>
      </c>
      <c r="H844" t="n">
        <v>627.699</v>
      </c>
      <c r="I844" t="n">
        <v>30</v>
      </c>
      <c r="J844" t="inlineStr">
        <is>
          <t>BTBR</t>
        </is>
      </c>
      <c r="K844" t="inlineStr">
        <is>
          <t>Male</t>
        </is>
      </c>
      <c r="L844" t="inlineStr">
        <is>
          <t>No focal subject</t>
        </is>
      </c>
      <c r="M844" t="n">
        <v>56.702</v>
      </c>
      <c r="N844" t="inlineStr">
        <is>
          <t>Explore_F2</t>
        </is>
      </c>
      <c r="O844" t="inlineStr">
        <is>
          <t>Second familiar</t>
        </is>
      </c>
      <c r="P844" t="inlineStr">
        <is>
          <t>STATE</t>
        </is>
      </c>
      <c r="Q844" t="n">
        <v>31.4</v>
      </c>
      <c r="R844" t="n">
        <v>31.8</v>
      </c>
      <c r="S844" t="n">
        <v>0.4</v>
      </c>
      <c r="T844" t="inlineStr">
        <is>
          <t>C:/Users/manuel.felline/Documents/BEHAVIOR BTBR/NOR second cohort/BTBR/training/c7_m6.mp4</t>
        </is>
      </c>
      <c r="U844" t="n">
        <v>1244</v>
      </c>
      <c r="V844" t="n">
        <v>1256</v>
      </c>
      <c r="W844" t="n">
        <v/>
      </c>
      <c r="X844" t="n">
        <v/>
      </c>
      <c r="Y844" t="n">
        <v/>
      </c>
      <c r="Z844" t="n">
        <v/>
      </c>
      <c r="AA844">
        <f>SUMIFS($S$2:S844,$A$2:A844,A844,$N$2:N844,"Explore*")</f>
        <v/>
      </c>
      <c r="AB844">
        <f>IF(AND(LEFT(N844,7)="Explore",(AA844-IF(LEFT(N844,7)="Explore",S844,0))&lt;10),"SI","NO")</f>
        <v/>
      </c>
    </row>
    <row r="845">
      <c r="A845" t="inlineStr">
        <is>
          <t>c7m6_training</t>
        </is>
      </c>
      <c r="B845" t="inlineStr">
        <is>
          <t>2026-06-18 10:55:11.594</t>
        </is>
      </c>
      <c r="C845" t="n">
        <v/>
      </c>
      <c r="D845" t="inlineStr">
        <is>
          <t>Media file</t>
        </is>
      </c>
      <c r="E845" t="inlineStr">
        <is>
          <t>player #1:C:/Users/manuel.felline/Documents/BEHAVIOR BTBR/NOR second cohort/BTBR/training/c7_m6.mp4</t>
        </is>
      </c>
      <c r="F845" t="n">
        <v>-10.067</v>
      </c>
      <c r="G845" t="n">
        <v>594.366</v>
      </c>
      <c r="H845" t="n">
        <v>627.699</v>
      </c>
      <c r="I845" t="n">
        <v>30</v>
      </c>
      <c r="J845" t="inlineStr">
        <is>
          <t>BTBR</t>
        </is>
      </c>
      <c r="K845" t="inlineStr">
        <is>
          <t>Male</t>
        </is>
      </c>
      <c r="L845" t="inlineStr">
        <is>
          <t>No focal subject</t>
        </is>
      </c>
      <c r="M845" t="n">
        <v>56.702</v>
      </c>
      <c r="N845" t="inlineStr">
        <is>
          <t>Explore_F2</t>
        </is>
      </c>
      <c r="O845" t="inlineStr">
        <is>
          <t>Second familiar</t>
        </is>
      </c>
      <c r="P845" t="inlineStr">
        <is>
          <t>STATE</t>
        </is>
      </c>
      <c r="Q845" t="n">
        <v>36.2</v>
      </c>
      <c r="R845" t="n">
        <v>36.566</v>
      </c>
      <c r="S845" t="n">
        <v>0.366</v>
      </c>
      <c r="T845" t="inlineStr">
        <is>
          <t>C:/Users/manuel.felline/Documents/BEHAVIOR BTBR/NOR second cohort/BTBR/training/c7_m6.mp4</t>
        </is>
      </c>
      <c r="U845" t="n">
        <v>1388</v>
      </c>
      <c r="V845" t="n">
        <v>1399</v>
      </c>
      <c r="W845" t="n">
        <v/>
      </c>
      <c r="X845" t="n">
        <v/>
      </c>
      <c r="Y845" t="n">
        <v/>
      </c>
      <c r="Z845" t="n">
        <v/>
      </c>
      <c r="AA845">
        <f>SUMIFS($S$2:S845,$A$2:A845,A845,$N$2:N845,"Explore*")</f>
        <v/>
      </c>
      <c r="AB845">
        <f>IF(AND(LEFT(N845,7)="Explore",(AA845-IF(LEFT(N845,7)="Explore",S845,0))&lt;10),"SI","NO")</f>
        <v/>
      </c>
    </row>
    <row r="846">
      <c r="A846" t="inlineStr">
        <is>
          <t>c7m6_training</t>
        </is>
      </c>
      <c r="B846" t="inlineStr">
        <is>
          <t>2026-06-18 10:55:11.594</t>
        </is>
      </c>
      <c r="C846" t="n">
        <v/>
      </c>
      <c r="D846" t="inlineStr">
        <is>
          <t>Media file</t>
        </is>
      </c>
      <c r="E846" t="inlineStr">
        <is>
          <t>player #1:C:/Users/manuel.felline/Documents/BEHAVIOR BTBR/NOR second cohort/BTBR/training/c7_m6.mp4</t>
        </is>
      </c>
      <c r="F846" t="n">
        <v>-10.067</v>
      </c>
      <c r="G846" t="n">
        <v>594.366</v>
      </c>
      <c r="H846" t="n">
        <v>627.699</v>
      </c>
      <c r="I846" t="n">
        <v>30</v>
      </c>
      <c r="J846" t="inlineStr">
        <is>
          <t>BTBR</t>
        </is>
      </c>
      <c r="K846" t="inlineStr">
        <is>
          <t>Male</t>
        </is>
      </c>
      <c r="L846" t="inlineStr">
        <is>
          <t>No focal subject</t>
        </is>
      </c>
      <c r="M846" t="n">
        <v>56.702</v>
      </c>
      <c r="N846" t="inlineStr">
        <is>
          <t>Explore_F</t>
        </is>
      </c>
      <c r="O846" t="inlineStr">
        <is>
          <t>Familiar</t>
        </is>
      </c>
      <c r="P846" t="inlineStr">
        <is>
          <t>STATE</t>
        </is>
      </c>
      <c r="Q846" t="n">
        <v>37.333</v>
      </c>
      <c r="R846" t="n">
        <v>37.6</v>
      </c>
      <c r="S846" t="n">
        <v>0.267</v>
      </c>
      <c r="T846" t="inlineStr">
        <is>
          <t>C:/Users/manuel.felline/Documents/BEHAVIOR BTBR/NOR second cohort/BTBR/training/c7_m6.mp4</t>
        </is>
      </c>
      <c r="U846" t="n">
        <v>1423</v>
      </c>
      <c r="V846" t="n">
        <v>1430</v>
      </c>
      <c r="W846" t="n">
        <v/>
      </c>
      <c r="X846" t="n">
        <v/>
      </c>
      <c r="Y846" t="n">
        <v/>
      </c>
      <c r="Z846" t="n">
        <v/>
      </c>
      <c r="AA846">
        <f>SUMIFS($S$2:S846,$A$2:A846,A846,$N$2:N846,"Explore*")</f>
        <v/>
      </c>
      <c r="AB846">
        <f>IF(AND(LEFT(N846,7)="Explore",(AA846-IF(LEFT(N846,7)="Explore",S846,0))&lt;10),"SI","NO")</f>
        <v/>
      </c>
    </row>
    <row r="847">
      <c r="A847" t="inlineStr">
        <is>
          <t>c7m6_training</t>
        </is>
      </c>
      <c r="B847" t="inlineStr">
        <is>
          <t>2026-06-18 10:55:11.594</t>
        </is>
      </c>
      <c r="C847" t="n">
        <v/>
      </c>
      <c r="D847" t="inlineStr">
        <is>
          <t>Media file</t>
        </is>
      </c>
      <c r="E847" t="inlineStr">
        <is>
          <t>player #1:C:/Users/manuel.felline/Documents/BEHAVIOR BTBR/NOR second cohort/BTBR/training/c7_m6.mp4</t>
        </is>
      </c>
      <c r="F847" t="n">
        <v>-10.067</v>
      </c>
      <c r="G847" t="n">
        <v>594.366</v>
      </c>
      <c r="H847" t="n">
        <v>627.699</v>
      </c>
      <c r="I847" t="n">
        <v>30</v>
      </c>
      <c r="J847" t="inlineStr">
        <is>
          <t>BTBR</t>
        </is>
      </c>
      <c r="K847" t="inlineStr">
        <is>
          <t>Male</t>
        </is>
      </c>
      <c r="L847" t="inlineStr">
        <is>
          <t>No focal subject</t>
        </is>
      </c>
      <c r="M847" t="n">
        <v>56.702</v>
      </c>
      <c r="N847" t="inlineStr">
        <is>
          <t>Explore_F</t>
        </is>
      </c>
      <c r="O847" t="inlineStr">
        <is>
          <t>Familiar</t>
        </is>
      </c>
      <c r="P847" t="inlineStr">
        <is>
          <t>STATE</t>
        </is>
      </c>
      <c r="Q847" t="n">
        <v>50.9</v>
      </c>
      <c r="R847" t="n">
        <v>53.4</v>
      </c>
      <c r="S847" t="n">
        <v>2.5</v>
      </c>
      <c r="T847" t="inlineStr">
        <is>
          <t>C:/Users/manuel.felline/Documents/BEHAVIOR BTBR/NOR second cohort/BTBR/training/c7_m6.mp4</t>
        </is>
      </c>
      <c r="U847" t="n">
        <v>1829</v>
      </c>
      <c r="V847" t="n">
        <v>1904</v>
      </c>
      <c r="W847" t="n">
        <v/>
      </c>
      <c r="X847" t="n">
        <v/>
      </c>
      <c r="Y847" t="n">
        <v/>
      </c>
      <c r="Z847" t="n">
        <v/>
      </c>
      <c r="AA847">
        <f>SUMIFS($S$2:S847,$A$2:A847,A847,$N$2:N847,"Explore*")</f>
        <v/>
      </c>
      <c r="AB847">
        <f>IF(AND(LEFT(N847,7)="Explore",(AA847-IF(LEFT(N847,7)="Explore",S847,0))&lt;10),"SI","NO")</f>
        <v/>
      </c>
    </row>
    <row r="848">
      <c r="A848" t="inlineStr">
        <is>
          <t>c7m6_training</t>
        </is>
      </c>
      <c r="B848" t="inlineStr">
        <is>
          <t>2026-06-18 10:55:11.594</t>
        </is>
      </c>
      <c r="C848" t="n">
        <v/>
      </c>
      <c r="D848" t="inlineStr">
        <is>
          <t>Media file</t>
        </is>
      </c>
      <c r="E848" t="inlineStr">
        <is>
          <t>player #1:C:/Users/manuel.felline/Documents/BEHAVIOR BTBR/NOR second cohort/BTBR/training/c7_m6.mp4</t>
        </is>
      </c>
      <c r="F848" t="n">
        <v>-10.067</v>
      </c>
      <c r="G848" t="n">
        <v>594.366</v>
      </c>
      <c r="H848" t="n">
        <v>627.699</v>
      </c>
      <c r="I848" t="n">
        <v>30</v>
      </c>
      <c r="J848" t="inlineStr">
        <is>
          <t>BTBR</t>
        </is>
      </c>
      <c r="K848" t="inlineStr">
        <is>
          <t>Male</t>
        </is>
      </c>
      <c r="L848" t="inlineStr">
        <is>
          <t>No focal subject</t>
        </is>
      </c>
      <c r="M848" t="n">
        <v>56.702</v>
      </c>
      <c r="N848" t="inlineStr">
        <is>
          <t>Explore_F2</t>
        </is>
      </c>
      <c r="O848" t="inlineStr">
        <is>
          <t>Second familiar</t>
        </is>
      </c>
      <c r="P848" t="inlineStr">
        <is>
          <t>STATE</t>
        </is>
      </c>
      <c r="Q848" t="n">
        <v>54.566</v>
      </c>
      <c r="R848" t="n">
        <v>56.733</v>
      </c>
      <c r="S848" t="n">
        <v>2.167</v>
      </c>
      <c r="T848" t="inlineStr">
        <is>
          <t>C:/Users/manuel.felline/Documents/BEHAVIOR BTBR/NOR second cohort/BTBR/training/c7_m6.mp4</t>
        </is>
      </c>
      <c r="U848" t="n">
        <v>1939</v>
      </c>
      <c r="V848" t="n">
        <v>2004</v>
      </c>
      <c r="W848" t="n">
        <v/>
      </c>
      <c r="X848" t="n">
        <v/>
      </c>
      <c r="Y848" t="n">
        <v/>
      </c>
      <c r="Z848" t="n">
        <v/>
      </c>
      <c r="AA848">
        <f>SUMIFS($S$2:S848,$A$2:A848,A848,$N$2:N848,"Explore*")</f>
        <v/>
      </c>
      <c r="AB848">
        <f>IF(AND(LEFT(N848,7)="Explore",(AA848-IF(LEFT(N848,7)="Explore",S848,0))&lt;10),"SI","NO")</f>
        <v/>
      </c>
    </row>
    <row r="849">
      <c r="A849" t="inlineStr">
        <is>
          <t>c7m6_training</t>
        </is>
      </c>
      <c r="B849" t="inlineStr">
        <is>
          <t>2026-06-18 10:55:11.594</t>
        </is>
      </c>
      <c r="C849" t="n">
        <v/>
      </c>
      <c r="D849" t="inlineStr">
        <is>
          <t>Media file</t>
        </is>
      </c>
      <c r="E849" t="inlineStr">
        <is>
          <t>player #1:C:/Users/manuel.felline/Documents/BEHAVIOR BTBR/NOR second cohort/BTBR/training/c7_m6.mp4</t>
        </is>
      </c>
      <c r="F849" t="n">
        <v>-10.067</v>
      </c>
      <c r="G849" t="n">
        <v>594.366</v>
      </c>
      <c r="H849" t="n">
        <v>627.699</v>
      </c>
      <c r="I849" t="n">
        <v>30</v>
      </c>
      <c r="J849" t="inlineStr">
        <is>
          <t>BTBR</t>
        </is>
      </c>
      <c r="K849" t="inlineStr">
        <is>
          <t>Male</t>
        </is>
      </c>
      <c r="L849" t="inlineStr">
        <is>
          <t>No focal subject</t>
        </is>
      </c>
      <c r="M849" t="n">
        <v>56.702</v>
      </c>
      <c r="N849" t="inlineStr">
        <is>
          <t>Explore_F</t>
        </is>
      </c>
      <c r="O849" t="inlineStr">
        <is>
          <t>Familiar</t>
        </is>
      </c>
      <c r="P849" t="inlineStr">
        <is>
          <t>STATE</t>
        </is>
      </c>
      <c r="Q849" t="n">
        <v>59.4</v>
      </c>
      <c r="R849" t="n">
        <v>59.8</v>
      </c>
      <c r="S849" t="n">
        <v>0.4</v>
      </c>
      <c r="T849" t="inlineStr">
        <is>
          <t>C:/Users/manuel.felline/Documents/BEHAVIOR BTBR/NOR second cohort/BTBR/training/c7_m6.mp4</t>
        </is>
      </c>
      <c r="U849" t="n">
        <v>2084</v>
      </c>
      <c r="V849" t="n">
        <v>2096</v>
      </c>
      <c r="W849" t="n">
        <v/>
      </c>
      <c r="X849" t="n">
        <v/>
      </c>
      <c r="Y849" t="n">
        <v/>
      </c>
      <c r="Z849" t="n">
        <v/>
      </c>
      <c r="AA849">
        <f>SUMIFS($S$2:S849,$A$2:A849,A849,$N$2:N849,"Explore*")</f>
        <v/>
      </c>
      <c r="AB849">
        <f>IF(AND(LEFT(N849,7)="Explore",(AA849-IF(LEFT(N849,7)="Explore",S849,0))&lt;10),"SI","NO")</f>
        <v/>
      </c>
    </row>
    <row r="850">
      <c r="A850" t="inlineStr">
        <is>
          <t>c7m6_training</t>
        </is>
      </c>
      <c r="B850" t="inlineStr">
        <is>
          <t>2026-06-18 10:55:11.594</t>
        </is>
      </c>
      <c r="C850" t="n">
        <v/>
      </c>
      <c r="D850" t="inlineStr">
        <is>
          <t>Media file</t>
        </is>
      </c>
      <c r="E850" t="inlineStr">
        <is>
          <t>player #1:C:/Users/manuel.felline/Documents/BEHAVIOR BTBR/NOR second cohort/BTBR/training/c7_m6.mp4</t>
        </is>
      </c>
      <c r="F850" t="n">
        <v>-10.067</v>
      </c>
      <c r="G850" t="n">
        <v>594.366</v>
      </c>
      <c r="H850" t="n">
        <v>627.699</v>
      </c>
      <c r="I850" t="n">
        <v>30</v>
      </c>
      <c r="J850" t="inlineStr">
        <is>
          <t>BTBR</t>
        </is>
      </c>
      <c r="K850" t="inlineStr">
        <is>
          <t>Male</t>
        </is>
      </c>
      <c r="L850" t="inlineStr">
        <is>
          <t>No focal subject</t>
        </is>
      </c>
      <c r="M850" t="n">
        <v>56.702</v>
      </c>
      <c r="N850" t="inlineStr">
        <is>
          <t>Explore_F</t>
        </is>
      </c>
      <c r="O850" t="inlineStr">
        <is>
          <t>Familiar</t>
        </is>
      </c>
      <c r="P850" t="inlineStr">
        <is>
          <t>STATE</t>
        </is>
      </c>
      <c r="Q850" t="n">
        <v>64.59999999999999</v>
      </c>
      <c r="R850" t="n">
        <v>64.90000000000001</v>
      </c>
      <c r="S850" t="n">
        <v>0.3</v>
      </c>
      <c r="T850" t="inlineStr">
        <is>
          <t>C:/Users/manuel.felline/Documents/BEHAVIOR BTBR/NOR second cohort/BTBR/training/c7_m6.mp4</t>
        </is>
      </c>
      <c r="U850" t="n">
        <v>2240</v>
      </c>
      <c r="V850" t="n">
        <v>2249</v>
      </c>
      <c r="W850" t="n">
        <v/>
      </c>
      <c r="X850" t="n">
        <v/>
      </c>
      <c r="Y850" t="n">
        <v/>
      </c>
      <c r="Z850" t="n">
        <v/>
      </c>
      <c r="AA850">
        <f>SUMIFS($S$2:S850,$A$2:A850,A850,$N$2:N850,"Explore*")</f>
        <v/>
      </c>
      <c r="AB850">
        <f>IF(AND(LEFT(N850,7)="Explore",(AA850-IF(LEFT(N850,7)="Explore",S850,0))&lt;10),"SI","NO")</f>
        <v/>
      </c>
    </row>
    <row r="851">
      <c r="A851" t="inlineStr">
        <is>
          <t>c7m6_training</t>
        </is>
      </c>
      <c r="B851" t="inlineStr">
        <is>
          <t>2026-06-18 10:55:11.594</t>
        </is>
      </c>
      <c r="C851" t="n">
        <v/>
      </c>
      <c r="D851" t="inlineStr">
        <is>
          <t>Media file</t>
        </is>
      </c>
      <c r="E851" t="inlineStr">
        <is>
          <t>player #1:C:/Users/manuel.felline/Documents/BEHAVIOR BTBR/NOR second cohort/BTBR/training/c7_m6.mp4</t>
        </is>
      </c>
      <c r="F851" t="n">
        <v>-10.067</v>
      </c>
      <c r="G851" t="n">
        <v>594.366</v>
      </c>
      <c r="H851" t="n">
        <v>627.699</v>
      </c>
      <c r="I851" t="n">
        <v>30</v>
      </c>
      <c r="J851" t="inlineStr">
        <is>
          <t>BTBR</t>
        </is>
      </c>
      <c r="K851" t="inlineStr">
        <is>
          <t>Male</t>
        </is>
      </c>
      <c r="L851" t="inlineStr">
        <is>
          <t>No focal subject</t>
        </is>
      </c>
      <c r="M851" t="n">
        <v>56.702</v>
      </c>
      <c r="N851" t="inlineStr">
        <is>
          <t>Explore_F</t>
        </is>
      </c>
      <c r="O851" t="inlineStr">
        <is>
          <t>Familiar</t>
        </is>
      </c>
      <c r="P851" t="inlineStr">
        <is>
          <t>STATE</t>
        </is>
      </c>
      <c r="Q851" t="n">
        <v>65.7</v>
      </c>
      <c r="R851" t="n">
        <v>66.833</v>
      </c>
      <c r="S851" t="n">
        <v>1.133</v>
      </c>
      <c r="T851" t="inlineStr">
        <is>
          <t>C:/Users/manuel.felline/Documents/BEHAVIOR BTBR/NOR second cohort/BTBR/training/c7_m6.mp4</t>
        </is>
      </c>
      <c r="U851" t="n">
        <v>2273</v>
      </c>
      <c r="V851" t="n">
        <v>2307</v>
      </c>
      <c r="W851" t="n">
        <v/>
      </c>
      <c r="X851" t="n">
        <v/>
      </c>
      <c r="Y851" t="n">
        <v/>
      </c>
      <c r="Z851" t="n">
        <v/>
      </c>
      <c r="AA851">
        <f>SUMIFS($S$2:S851,$A$2:A851,A851,$N$2:N851,"Explore*")</f>
        <v/>
      </c>
      <c r="AB851">
        <f>IF(AND(LEFT(N851,7)="Explore",(AA851-IF(LEFT(N851,7)="Explore",S851,0))&lt;10),"SI","NO")</f>
        <v/>
      </c>
    </row>
    <row r="852">
      <c r="A852" t="inlineStr">
        <is>
          <t>c7m6_training</t>
        </is>
      </c>
      <c r="B852" t="inlineStr">
        <is>
          <t>2026-06-18 10:55:11.594</t>
        </is>
      </c>
      <c r="C852" t="n">
        <v/>
      </c>
      <c r="D852" t="inlineStr">
        <is>
          <t>Media file</t>
        </is>
      </c>
      <c r="E852" t="inlineStr">
        <is>
          <t>player #1:C:/Users/manuel.felline/Documents/BEHAVIOR BTBR/NOR second cohort/BTBR/training/c7_m6.mp4</t>
        </is>
      </c>
      <c r="F852" t="n">
        <v>-10.067</v>
      </c>
      <c r="G852" t="n">
        <v>594.366</v>
      </c>
      <c r="H852" t="n">
        <v>627.699</v>
      </c>
      <c r="I852" t="n">
        <v>30</v>
      </c>
      <c r="J852" t="inlineStr">
        <is>
          <t>BTBR</t>
        </is>
      </c>
      <c r="K852" t="inlineStr">
        <is>
          <t>Male</t>
        </is>
      </c>
      <c r="L852" t="inlineStr">
        <is>
          <t>No focal subject</t>
        </is>
      </c>
      <c r="M852" t="n">
        <v>56.702</v>
      </c>
      <c r="N852" t="inlineStr">
        <is>
          <t>Explore_F2</t>
        </is>
      </c>
      <c r="O852" t="inlineStr">
        <is>
          <t>Second familiar</t>
        </is>
      </c>
      <c r="P852" t="inlineStr">
        <is>
          <t>STATE</t>
        </is>
      </c>
      <c r="Q852" t="n">
        <v>67.833</v>
      </c>
      <c r="R852" t="n">
        <v>68.76600000000001</v>
      </c>
      <c r="S852" t="n">
        <v>0.9330000000000001</v>
      </c>
      <c r="T852" t="inlineStr">
        <is>
          <t>C:/Users/manuel.felline/Documents/BEHAVIOR BTBR/NOR second cohort/BTBR/training/c7_m6.mp4</t>
        </is>
      </c>
      <c r="U852" t="n">
        <v>2337</v>
      </c>
      <c r="V852" t="n">
        <v>2365</v>
      </c>
      <c r="W852" t="n">
        <v/>
      </c>
      <c r="X852" t="n">
        <v/>
      </c>
      <c r="Y852" t="n">
        <v/>
      </c>
      <c r="Z852" t="n">
        <v/>
      </c>
      <c r="AA852">
        <f>SUMIFS($S$2:S852,$A$2:A852,A852,$N$2:N852,"Explore*")</f>
        <v/>
      </c>
      <c r="AB852">
        <f>IF(AND(LEFT(N852,7)="Explore",(AA852-IF(LEFT(N852,7)="Explore",S852,0))&lt;10),"SI","NO")</f>
        <v/>
      </c>
    </row>
    <row r="853">
      <c r="A853" t="inlineStr">
        <is>
          <t>c7m6_training</t>
        </is>
      </c>
      <c r="B853" t="inlineStr">
        <is>
          <t>2026-06-18 10:55:11.594</t>
        </is>
      </c>
      <c r="C853" t="n">
        <v/>
      </c>
      <c r="D853" t="inlineStr">
        <is>
          <t>Media file</t>
        </is>
      </c>
      <c r="E853" t="inlineStr">
        <is>
          <t>player #1:C:/Users/manuel.felline/Documents/BEHAVIOR BTBR/NOR second cohort/BTBR/training/c7_m6.mp4</t>
        </is>
      </c>
      <c r="F853" t="n">
        <v>-10.067</v>
      </c>
      <c r="G853" t="n">
        <v>594.366</v>
      </c>
      <c r="H853" t="n">
        <v>627.699</v>
      </c>
      <c r="I853" t="n">
        <v>30</v>
      </c>
      <c r="J853" t="inlineStr">
        <is>
          <t>BTBR</t>
        </is>
      </c>
      <c r="K853" t="inlineStr">
        <is>
          <t>Male</t>
        </is>
      </c>
      <c r="L853" t="inlineStr">
        <is>
          <t>No focal subject</t>
        </is>
      </c>
      <c r="M853" t="n">
        <v>56.702</v>
      </c>
      <c r="N853" t="inlineStr">
        <is>
          <t>Explore_F</t>
        </is>
      </c>
      <c r="O853" t="inlineStr">
        <is>
          <t>Familiar</t>
        </is>
      </c>
      <c r="P853" t="inlineStr">
        <is>
          <t>STATE</t>
        </is>
      </c>
      <c r="Q853" t="n">
        <v>72.5</v>
      </c>
      <c r="R853" t="n">
        <v>73.46599999999999</v>
      </c>
      <c r="S853" t="n">
        <v>0.966</v>
      </c>
      <c r="T853" t="inlineStr">
        <is>
          <t>C:/Users/manuel.felline/Documents/BEHAVIOR BTBR/NOR second cohort/BTBR/training/c7_m6.mp4</t>
        </is>
      </c>
      <c r="U853" t="n">
        <v>2477</v>
      </c>
      <c r="V853" t="n">
        <v>2506</v>
      </c>
      <c r="W853" t="n">
        <v/>
      </c>
      <c r="X853" t="n">
        <v/>
      </c>
      <c r="Y853" t="n">
        <v/>
      </c>
      <c r="Z853" t="n">
        <v/>
      </c>
      <c r="AA853">
        <f>SUMIFS($S$2:S853,$A$2:A853,A853,$N$2:N853,"Explore*")</f>
        <v/>
      </c>
      <c r="AB853">
        <f>IF(AND(LEFT(N853,7)="Explore",(AA853-IF(LEFT(N853,7)="Explore",S853,0))&lt;10),"SI","NO")</f>
        <v/>
      </c>
    </row>
    <row r="854">
      <c r="A854" t="inlineStr">
        <is>
          <t>c7m6_training</t>
        </is>
      </c>
      <c r="B854" t="inlineStr">
        <is>
          <t>2026-06-18 10:55:11.594</t>
        </is>
      </c>
      <c r="C854" t="n">
        <v/>
      </c>
      <c r="D854" t="inlineStr">
        <is>
          <t>Media file</t>
        </is>
      </c>
      <c r="E854" t="inlineStr">
        <is>
          <t>player #1:C:/Users/manuel.felline/Documents/BEHAVIOR BTBR/NOR second cohort/BTBR/training/c7_m6.mp4</t>
        </is>
      </c>
      <c r="F854" t="n">
        <v>-10.067</v>
      </c>
      <c r="G854" t="n">
        <v>594.366</v>
      </c>
      <c r="H854" t="n">
        <v>627.699</v>
      </c>
      <c r="I854" t="n">
        <v>30</v>
      </c>
      <c r="J854" t="inlineStr">
        <is>
          <t>BTBR</t>
        </is>
      </c>
      <c r="K854" t="inlineStr">
        <is>
          <t>Male</t>
        </is>
      </c>
      <c r="L854" t="inlineStr">
        <is>
          <t>No focal subject</t>
        </is>
      </c>
      <c r="M854" t="n">
        <v>56.702</v>
      </c>
      <c r="N854" t="inlineStr">
        <is>
          <t>Explore_F2</t>
        </is>
      </c>
      <c r="O854" t="inlineStr">
        <is>
          <t>Second familiar</t>
        </is>
      </c>
      <c r="P854" t="inlineStr">
        <is>
          <t>STATE</t>
        </is>
      </c>
      <c r="Q854" t="n">
        <v>77</v>
      </c>
      <c r="R854" t="n">
        <v>78.2</v>
      </c>
      <c r="S854" t="n">
        <v>1.2</v>
      </c>
      <c r="T854" t="inlineStr">
        <is>
          <t>C:/Users/manuel.felline/Documents/BEHAVIOR BTBR/NOR second cohort/BTBR/training/c7_m6.mp4</t>
        </is>
      </c>
      <c r="U854" t="n">
        <v>2612</v>
      </c>
      <c r="V854" t="n">
        <v>2648</v>
      </c>
      <c r="W854" t="n">
        <v/>
      </c>
      <c r="X854" t="n">
        <v/>
      </c>
      <c r="Y854" t="n">
        <v/>
      </c>
      <c r="Z854" t="n">
        <v/>
      </c>
      <c r="AA854">
        <f>SUMIFS($S$2:S854,$A$2:A854,A854,$N$2:N854,"Explore*")</f>
        <v/>
      </c>
      <c r="AB854">
        <f>IF(AND(LEFT(N854,7)="Explore",(AA854-IF(LEFT(N854,7)="Explore",S854,0))&lt;10),"SI","NO")</f>
        <v/>
      </c>
    </row>
    <row r="855">
      <c r="A855" t="inlineStr">
        <is>
          <t>c7m6_training</t>
        </is>
      </c>
      <c r="B855" t="inlineStr">
        <is>
          <t>2026-06-18 10:55:11.594</t>
        </is>
      </c>
      <c r="C855" t="n">
        <v/>
      </c>
      <c r="D855" t="inlineStr">
        <is>
          <t>Media file</t>
        </is>
      </c>
      <c r="E855" t="inlineStr">
        <is>
          <t>player #1:C:/Users/manuel.felline/Documents/BEHAVIOR BTBR/NOR second cohort/BTBR/training/c7_m6.mp4</t>
        </is>
      </c>
      <c r="F855" t="n">
        <v>-10.067</v>
      </c>
      <c r="G855" t="n">
        <v>594.366</v>
      </c>
      <c r="H855" t="n">
        <v>627.699</v>
      </c>
      <c r="I855" t="n">
        <v>30</v>
      </c>
      <c r="J855" t="inlineStr">
        <is>
          <t>BTBR</t>
        </is>
      </c>
      <c r="K855" t="inlineStr">
        <is>
          <t>Male</t>
        </is>
      </c>
      <c r="L855" t="inlineStr">
        <is>
          <t>No focal subject</t>
        </is>
      </c>
      <c r="M855" t="n">
        <v>56.702</v>
      </c>
      <c r="N855" t="inlineStr">
        <is>
          <t>Explore_F</t>
        </is>
      </c>
      <c r="O855" t="inlineStr">
        <is>
          <t>Familiar</t>
        </is>
      </c>
      <c r="P855" t="inlineStr">
        <is>
          <t>STATE</t>
        </is>
      </c>
      <c r="Q855" t="n">
        <v>79.666</v>
      </c>
      <c r="R855" t="n">
        <v>80.09999999999999</v>
      </c>
      <c r="S855" t="n">
        <v>0.434</v>
      </c>
      <c r="T855" t="inlineStr">
        <is>
          <t>C:/Users/manuel.felline/Documents/BEHAVIOR BTBR/NOR second cohort/BTBR/training/c7_m6.mp4</t>
        </is>
      </c>
      <c r="U855" t="n">
        <v>2692</v>
      </c>
      <c r="V855" t="n">
        <v>2705</v>
      </c>
      <c r="W855" t="n">
        <v/>
      </c>
      <c r="X855" t="n">
        <v/>
      </c>
      <c r="Y855" t="n">
        <v/>
      </c>
      <c r="Z855" t="n">
        <v/>
      </c>
      <c r="AA855">
        <f>SUMIFS($S$2:S855,$A$2:A855,A855,$N$2:N855,"Explore*")</f>
        <v/>
      </c>
      <c r="AB855">
        <f>IF(AND(LEFT(N855,7)="Explore",(AA855-IF(LEFT(N855,7)="Explore",S855,0))&lt;10),"SI","NO")</f>
        <v/>
      </c>
    </row>
    <row r="856">
      <c r="A856" t="inlineStr">
        <is>
          <t>c7m6_training</t>
        </is>
      </c>
      <c r="B856" t="inlineStr">
        <is>
          <t>2026-06-18 10:55:11.594</t>
        </is>
      </c>
      <c r="C856" t="n">
        <v/>
      </c>
      <c r="D856" t="inlineStr">
        <is>
          <t>Media file</t>
        </is>
      </c>
      <c r="E856" t="inlineStr">
        <is>
          <t>player #1:C:/Users/manuel.felline/Documents/BEHAVIOR BTBR/NOR second cohort/BTBR/training/c7_m6.mp4</t>
        </is>
      </c>
      <c r="F856" t="n">
        <v>-10.067</v>
      </c>
      <c r="G856" t="n">
        <v>594.366</v>
      </c>
      <c r="H856" t="n">
        <v>627.699</v>
      </c>
      <c r="I856" t="n">
        <v>30</v>
      </c>
      <c r="J856" t="inlineStr">
        <is>
          <t>BTBR</t>
        </is>
      </c>
      <c r="K856" t="inlineStr">
        <is>
          <t>Male</t>
        </is>
      </c>
      <c r="L856" t="inlineStr">
        <is>
          <t>No focal subject</t>
        </is>
      </c>
      <c r="M856" t="n">
        <v>56.702</v>
      </c>
      <c r="N856" t="inlineStr">
        <is>
          <t>Explore_F2</t>
        </is>
      </c>
      <c r="O856" t="inlineStr">
        <is>
          <t>Second familiar</t>
        </is>
      </c>
      <c r="P856" t="inlineStr">
        <is>
          <t>STATE</t>
        </is>
      </c>
      <c r="Q856" t="n">
        <v>84.09999999999999</v>
      </c>
      <c r="R856" t="n">
        <v>84.5</v>
      </c>
      <c r="S856" t="n">
        <v>0.4</v>
      </c>
      <c r="T856" t="inlineStr">
        <is>
          <t>C:/Users/manuel.felline/Documents/BEHAVIOR BTBR/NOR second cohort/BTBR/training/c7_m6.mp4</t>
        </is>
      </c>
      <c r="U856" t="n">
        <v>2825</v>
      </c>
      <c r="V856" t="n">
        <v>2837</v>
      </c>
      <c r="W856" t="n">
        <v/>
      </c>
      <c r="X856" t="n">
        <v/>
      </c>
      <c r="Y856" t="n">
        <v/>
      </c>
      <c r="Z856" t="n">
        <v/>
      </c>
      <c r="AA856">
        <f>SUMIFS($S$2:S856,$A$2:A856,A856,$N$2:N856,"Explore*")</f>
        <v/>
      </c>
      <c r="AB856">
        <f>IF(AND(LEFT(N856,7)="Explore",(AA856-IF(LEFT(N856,7)="Explore",S856,0))&lt;10),"SI","NO")</f>
        <v/>
      </c>
    </row>
    <row r="857">
      <c r="A857" t="inlineStr">
        <is>
          <t>c7m6_training</t>
        </is>
      </c>
      <c r="B857" t="inlineStr">
        <is>
          <t>2026-06-18 10:55:11.594</t>
        </is>
      </c>
      <c r="C857" t="n">
        <v/>
      </c>
      <c r="D857" t="inlineStr">
        <is>
          <t>Media file</t>
        </is>
      </c>
      <c r="E857" t="inlineStr">
        <is>
          <t>player #1:C:/Users/manuel.felline/Documents/BEHAVIOR BTBR/NOR second cohort/BTBR/training/c7_m6.mp4</t>
        </is>
      </c>
      <c r="F857" t="n">
        <v>-10.067</v>
      </c>
      <c r="G857" t="n">
        <v>594.366</v>
      </c>
      <c r="H857" t="n">
        <v>627.699</v>
      </c>
      <c r="I857" t="n">
        <v>30</v>
      </c>
      <c r="J857" t="inlineStr">
        <is>
          <t>BTBR</t>
        </is>
      </c>
      <c r="K857" t="inlineStr">
        <is>
          <t>Male</t>
        </is>
      </c>
      <c r="L857" t="inlineStr">
        <is>
          <t>No focal subject</t>
        </is>
      </c>
      <c r="M857" t="n">
        <v>56.702</v>
      </c>
      <c r="N857" t="inlineStr">
        <is>
          <t>Explore_F</t>
        </is>
      </c>
      <c r="O857" t="inlineStr">
        <is>
          <t>Familiar</t>
        </is>
      </c>
      <c r="P857" t="inlineStr">
        <is>
          <t>STATE</t>
        </is>
      </c>
      <c r="Q857" t="n">
        <v>85.066</v>
      </c>
      <c r="R857" t="n">
        <v>85.366</v>
      </c>
      <c r="S857" t="n">
        <v>0.3</v>
      </c>
      <c r="T857" t="inlineStr">
        <is>
          <t>C:/Users/manuel.felline/Documents/BEHAVIOR BTBR/NOR second cohort/BTBR/training/c7_m6.mp4</t>
        </is>
      </c>
      <c r="U857" t="n">
        <v>2854</v>
      </c>
      <c r="V857" t="n">
        <v>2863</v>
      </c>
      <c r="W857" t="n">
        <v/>
      </c>
      <c r="X857" t="n">
        <v/>
      </c>
      <c r="Y857" t="n">
        <v/>
      </c>
      <c r="Z857" t="n">
        <v/>
      </c>
      <c r="AA857">
        <f>SUMIFS($S$2:S857,$A$2:A857,A857,$N$2:N857,"Explore*")</f>
        <v/>
      </c>
      <c r="AB857">
        <f>IF(AND(LEFT(N857,7)="Explore",(AA857-IF(LEFT(N857,7)="Explore",S857,0))&lt;10),"SI","NO")</f>
        <v/>
      </c>
    </row>
    <row r="858">
      <c r="A858" t="inlineStr">
        <is>
          <t>c7m6_training</t>
        </is>
      </c>
      <c r="B858" t="inlineStr">
        <is>
          <t>2026-06-18 10:55:11.594</t>
        </is>
      </c>
      <c r="C858" t="n">
        <v/>
      </c>
      <c r="D858" t="inlineStr">
        <is>
          <t>Media file</t>
        </is>
      </c>
      <c r="E858" t="inlineStr">
        <is>
          <t>player #1:C:/Users/manuel.felline/Documents/BEHAVIOR BTBR/NOR second cohort/BTBR/training/c7_m6.mp4</t>
        </is>
      </c>
      <c r="F858" t="n">
        <v>-10.067</v>
      </c>
      <c r="G858" t="n">
        <v>594.366</v>
      </c>
      <c r="H858" t="n">
        <v>627.699</v>
      </c>
      <c r="I858" t="n">
        <v>30</v>
      </c>
      <c r="J858" t="inlineStr">
        <is>
          <t>BTBR</t>
        </is>
      </c>
      <c r="K858" t="inlineStr">
        <is>
          <t>Male</t>
        </is>
      </c>
      <c r="L858" t="inlineStr">
        <is>
          <t>No focal subject</t>
        </is>
      </c>
      <c r="M858" t="n">
        <v>56.702</v>
      </c>
      <c r="N858" t="inlineStr">
        <is>
          <t>Explore_F2</t>
        </is>
      </c>
      <c r="O858" t="inlineStr">
        <is>
          <t>Second familiar</t>
        </is>
      </c>
      <c r="P858" t="inlineStr">
        <is>
          <t>STATE</t>
        </is>
      </c>
      <c r="Q858" t="n">
        <v>90</v>
      </c>
      <c r="R858" t="n">
        <v>90.333</v>
      </c>
      <c r="S858" t="n">
        <v>0.333</v>
      </c>
      <c r="T858" t="inlineStr">
        <is>
          <t>C:/Users/manuel.felline/Documents/BEHAVIOR BTBR/NOR second cohort/BTBR/training/c7_m6.mp4</t>
        </is>
      </c>
      <c r="U858" t="n">
        <v>3002</v>
      </c>
      <c r="V858" t="n">
        <v>3012</v>
      </c>
      <c r="W858" t="n">
        <v/>
      </c>
      <c r="X858" t="n">
        <v/>
      </c>
      <c r="Y858" t="n">
        <v/>
      </c>
      <c r="Z858" t="n">
        <v/>
      </c>
      <c r="AA858">
        <f>SUMIFS($S$2:S858,$A$2:A858,A858,$N$2:N858,"Explore*")</f>
        <v/>
      </c>
      <c r="AB858">
        <f>IF(AND(LEFT(N858,7)="Explore",(AA858-IF(LEFT(N858,7)="Explore",S858,0))&lt;10),"SI","NO")</f>
        <v/>
      </c>
    </row>
    <row r="859">
      <c r="A859" t="inlineStr">
        <is>
          <t>c7m6_training</t>
        </is>
      </c>
      <c r="B859" t="inlineStr">
        <is>
          <t>2026-06-18 10:55:11.594</t>
        </is>
      </c>
      <c r="C859" t="n">
        <v/>
      </c>
      <c r="D859" t="inlineStr">
        <is>
          <t>Media file</t>
        </is>
      </c>
      <c r="E859" t="inlineStr">
        <is>
          <t>player #1:C:/Users/manuel.felline/Documents/BEHAVIOR BTBR/NOR second cohort/BTBR/training/c7_m6.mp4</t>
        </is>
      </c>
      <c r="F859" t="n">
        <v>-10.067</v>
      </c>
      <c r="G859" t="n">
        <v>594.366</v>
      </c>
      <c r="H859" t="n">
        <v>627.699</v>
      </c>
      <c r="I859" t="n">
        <v>30</v>
      </c>
      <c r="J859" t="inlineStr">
        <is>
          <t>BTBR</t>
        </is>
      </c>
      <c r="K859" t="inlineStr">
        <is>
          <t>Male</t>
        </is>
      </c>
      <c r="L859" t="inlineStr">
        <is>
          <t>No focal subject</t>
        </is>
      </c>
      <c r="M859" t="n">
        <v>56.702</v>
      </c>
      <c r="N859" t="inlineStr">
        <is>
          <t>Explore_F2</t>
        </is>
      </c>
      <c r="O859" t="inlineStr">
        <is>
          <t>Second familiar</t>
        </is>
      </c>
      <c r="P859" t="inlineStr">
        <is>
          <t>STATE</t>
        </is>
      </c>
      <c r="Q859" t="n">
        <v>101.566</v>
      </c>
      <c r="R859" t="n">
        <v>102.766</v>
      </c>
      <c r="S859" t="n">
        <v>1.2</v>
      </c>
      <c r="T859" t="inlineStr">
        <is>
          <t>C:/Users/manuel.felline/Documents/BEHAVIOR BTBR/NOR second cohort/BTBR/training/c7_m6.mp4</t>
        </is>
      </c>
      <c r="U859" t="n">
        <v>3349</v>
      </c>
      <c r="V859" t="n">
        <v>3385</v>
      </c>
      <c r="W859" t="n">
        <v/>
      </c>
      <c r="X859" t="n">
        <v/>
      </c>
      <c r="Y859" t="n">
        <v/>
      </c>
      <c r="Z859" t="n">
        <v/>
      </c>
      <c r="AA859">
        <f>SUMIFS($S$2:S859,$A$2:A859,A859,$N$2:N859,"Explore*")</f>
        <v/>
      </c>
      <c r="AB859">
        <f>IF(AND(LEFT(N859,7)="Explore",(AA859-IF(LEFT(N859,7)="Explore",S859,0))&lt;10),"SI","NO")</f>
        <v/>
      </c>
    </row>
    <row r="860">
      <c r="A860" t="inlineStr">
        <is>
          <t>c7m6_training</t>
        </is>
      </c>
      <c r="B860" t="inlineStr">
        <is>
          <t>2026-06-18 10:55:11.594</t>
        </is>
      </c>
      <c r="C860" t="n">
        <v/>
      </c>
      <c r="D860" t="inlineStr">
        <is>
          <t>Media file</t>
        </is>
      </c>
      <c r="E860" t="inlineStr">
        <is>
          <t>player #1:C:/Users/manuel.felline/Documents/BEHAVIOR BTBR/NOR second cohort/BTBR/training/c7_m6.mp4</t>
        </is>
      </c>
      <c r="F860" t="n">
        <v>-10.067</v>
      </c>
      <c r="G860" t="n">
        <v>594.366</v>
      </c>
      <c r="H860" t="n">
        <v>627.699</v>
      </c>
      <c r="I860" t="n">
        <v>30</v>
      </c>
      <c r="J860" t="inlineStr">
        <is>
          <t>BTBR</t>
        </is>
      </c>
      <c r="K860" t="inlineStr">
        <is>
          <t>Male</t>
        </is>
      </c>
      <c r="L860" t="inlineStr">
        <is>
          <t>No focal subject</t>
        </is>
      </c>
      <c r="M860" t="n">
        <v>56.702</v>
      </c>
      <c r="N860" t="inlineStr">
        <is>
          <t>Explore_F</t>
        </is>
      </c>
      <c r="O860" t="inlineStr">
        <is>
          <t>Familiar</t>
        </is>
      </c>
      <c r="P860" t="inlineStr">
        <is>
          <t>STATE</t>
        </is>
      </c>
      <c r="Q860" t="n">
        <v>110.133</v>
      </c>
      <c r="R860" t="n">
        <v>112.033</v>
      </c>
      <c r="S860" t="n">
        <v>1.9</v>
      </c>
      <c r="T860" t="inlineStr">
        <is>
          <t>C:/Users/manuel.felline/Documents/BEHAVIOR BTBR/NOR second cohort/BTBR/training/c7_m6.mp4</t>
        </is>
      </c>
      <c r="U860" t="n">
        <v>3605</v>
      </c>
      <c r="V860" t="n">
        <v>3662</v>
      </c>
      <c r="W860" t="n">
        <v/>
      </c>
      <c r="X860" t="n">
        <v/>
      </c>
      <c r="Y860" t="n">
        <v/>
      </c>
      <c r="Z860" t="n">
        <v/>
      </c>
      <c r="AA860">
        <f>SUMIFS($S$2:S860,$A$2:A860,A860,$N$2:N860,"Explore*")</f>
        <v/>
      </c>
      <c r="AB860">
        <f>IF(AND(LEFT(N860,7)="Explore",(AA860-IF(LEFT(N860,7)="Explore",S860,0))&lt;10),"SI","NO")</f>
        <v/>
      </c>
    </row>
    <row r="861">
      <c r="A861" t="inlineStr">
        <is>
          <t>c7m6_training</t>
        </is>
      </c>
      <c r="B861" t="inlineStr">
        <is>
          <t>2026-06-18 10:55:11.594</t>
        </is>
      </c>
      <c r="C861" t="n">
        <v/>
      </c>
      <c r="D861" t="inlineStr">
        <is>
          <t>Media file</t>
        </is>
      </c>
      <c r="E861" t="inlineStr">
        <is>
          <t>player #1:C:/Users/manuel.felline/Documents/BEHAVIOR BTBR/NOR second cohort/BTBR/training/c7_m6.mp4</t>
        </is>
      </c>
      <c r="F861" t="n">
        <v>-10.067</v>
      </c>
      <c r="G861" t="n">
        <v>594.366</v>
      </c>
      <c r="H861" t="n">
        <v>627.699</v>
      </c>
      <c r="I861" t="n">
        <v>30</v>
      </c>
      <c r="J861" t="inlineStr">
        <is>
          <t>BTBR</t>
        </is>
      </c>
      <c r="K861" t="inlineStr">
        <is>
          <t>Male</t>
        </is>
      </c>
      <c r="L861" t="inlineStr">
        <is>
          <t>No focal subject</t>
        </is>
      </c>
      <c r="M861" t="n">
        <v>56.702</v>
      </c>
      <c r="N861" t="inlineStr">
        <is>
          <t>Explore_F2</t>
        </is>
      </c>
      <c r="O861" t="inlineStr">
        <is>
          <t>Second familiar</t>
        </is>
      </c>
      <c r="P861" t="inlineStr">
        <is>
          <t>STATE</t>
        </is>
      </c>
      <c r="Q861" t="n">
        <v>116.966</v>
      </c>
      <c r="R861" t="n">
        <v>118.233</v>
      </c>
      <c r="S861" t="n">
        <v>1.267</v>
      </c>
      <c r="T861" t="inlineStr">
        <is>
          <t>C:/Users/manuel.felline/Documents/BEHAVIOR BTBR/NOR second cohort/BTBR/training/c7_m6.mp4</t>
        </is>
      </c>
      <c r="U861" t="n">
        <v>3810</v>
      </c>
      <c r="V861" t="n">
        <v>3848</v>
      </c>
      <c r="W861" t="n">
        <v/>
      </c>
      <c r="X861" t="n">
        <v/>
      </c>
      <c r="Y861" t="n">
        <v/>
      </c>
      <c r="Z861" t="n">
        <v/>
      </c>
      <c r="AA861">
        <f>SUMIFS($S$2:S861,$A$2:A861,A861,$N$2:N861,"Explore*")</f>
        <v/>
      </c>
      <c r="AB861">
        <f>IF(AND(LEFT(N861,7)="Explore",(AA861-IF(LEFT(N861,7)="Explore",S861,0))&lt;10),"SI","NO")</f>
        <v/>
      </c>
    </row>
    <row r="862">
      <c r="A862" t="inlineStr">
        <is>
          <t>c7m6_training</t>
        </is>
      </c>
      <c r="B862" t="inlineStr">
        <is>
          <t>2026-06-18 10:55:11.594</t>
        </is>
      </c>
      <c r="C862" t="n">
        <v/>
      </c>
      <c r="D862" t="inlineStr">
        <is>
          <t>Media file</t>
        </is>
      </c>
      <c r="E862" t="inlineStr">
        <is>
          <t>player #1:C:/Users/manuel.felline/Documents/BEHAVIOR BTBR/NOR second cohort/BTBR/training/c7_m6.mp4</t>
        </is>
      </c>
      <c r="F862" t="n">
        <v>-10.067</v>
      </c>
      <c r="G862" t="n">
        <v>594.366</v>
      </c>
      <c r="H862" t="n">
        <v>627.699</v>
      </c>
      <c r="I862" t="n">
        <v>30</v>
      </c>
      <c r="J862" t="inlineStr">
        <is>
          <t>BTBR</t>
        </is>
      </c>
      <c r="K862" t="inlineStr">
        <is>
          <t>Male</t>
        </is>
      </c>
      <c r="L862" t="inlineStr">
        <is>
          <t>No focal subject</t>
        </is>
      </c>
      <c r="M862" t="n">
        <v>56.702</v>
      </c>
      <c r="N862" t="inlineStr">
        <is>
          <t>Explore_F2</t>
        </is>
      </c>
      <c r="O862" t="inlineStr">
        <is>
          <t>Second familiar</t>
        </is>
      </c>
      <c r="P862" t="inlineStr">
        <is>
          <t>STATE</t>
        </is>
      </c>
      <c r="Q862" t="n">
        <v>125.433</v>
      </c>
      <c r="R862" t="n">
        <v>126.833</v>
      </c>
      <c r="S862" t="n">
        <v>1.4</v>
      </c>
      <c r="T862" t="inlineStr">
        <is>
          <t>C:/Users/manuel.felline/Documents/BEHAVIOR BTBR/NOR second cohort/BTBR/training/c7_m6.mp4</t>
        </is>
      </c>
      <c r="U862" t="n">
        <v>4064</v>
      </c>
      <c r="V862" t="n">
        <v>4106</v>
      </c>
      <c r="W862" t="n">
        <v/>
      </c>
      <c r="X862" t="n">
        <v/>
      </c>
      <c r="Y862" t="n">
        <v/>
      </c>
      <c r="Z862" t="n">
        <v/>
      </c>
      <c r="AA862">
        <f>SUMIFS($S$2:S862,$A$2:A862,A862,$N$2:N862,"Explore*")</f>
        <v/>
      </c>
      <c r="AB862">
        <f>IF(AND(LEFT(N862,7)="Explore",(AA862-IF(LEFT(N862,7)="Explore",S862,0))&lt;10),"SI","NO")</f>
        <v/>
      </c>
    </row>
    <row r="863">
      <c r="A863" t="inlineStr">
        <is>
          <t>c7m6_training</t>
        </is>
      </c>
      <c r="B863" t="inlineStr">
        <is>
          <t>2026-06-18 10:55:11.594</t>
        </is>
      </c>
      <c r="C863" t="n">
        <v/>
      </c>
      <c r="D863" t="inlineStr">
        <is>
          <t>Media file</t>
        </is>
      </c>
      <c r="E863" t="inlineStr">
        <is>
          <t>player #1:C:/Users/manuel.felline/Documents/BEHAVIOR BTBR/NOR second cohort/BTBR/training/c7_m6.mp4</t>
        </is>
      </c>
      <c r="F863" t="n">
        <v>-10.067</v>
      </c>
      <c r="G863" t="n">
        <v>594.366</v>
      </c>
      <c r="H863" t="n">
        <v>627.699</v>
      </c>
      <c r="I863" t="n">
        <v>30</v>
      </c>
      <c r="J863" t="inlineStr">
        <is>
          <t>BTBR</t>
        </is>
      </c>
      <c r="K863" t="inlineStr">
        <is>
          <t>Male</t>
        </is>
      </c>
      <c r="L863" t="inlineStr">
        <is>
          <t>No focal subject</t>
        </is>
      </c>
      <c r="M863" t="n">
        <v>56.702</v>
      </c>
      <c r="N863" t="inlineStr">
        <is>
          <t>Explore_F</t>
        </is>
      </c>
      <c r="O863" t="inlineStr">
        <is>
          <t>Familiar</t>
        </is>
      </c>
      <c r="P863" t="inlineStr">
        <is>
          <t>STATE</t>
        </is>
      </c>
      <c r="Q863" t="n">
        <v>127.733</v>
      </c>
      <c r="R863" t="n">
        <v>128.433</v>
      </c>
      <c r="S863" t="n">
        <v>0.7</v>
      </c>
      <c r="T863" t="inlineStr">
        <is>
          <t>C:/Users/manuel.felline/Documents/BEHAVIOR BTBR/NOR second cohort/BTBR/training/c7_m6.mp4</t>
        </is>
      </c>
      <c r="U863" t="n">
        <v>4133</v>
      </c>
      <c r="V863" t="n">
        <v>4154</v>
      </c>
      <c r="W863" t="n">
        <v/>
      </c>
      <c r="X863" t="n">
        <v/>
      </c>
      <c r="Y863" t="n">
        <v/>
      </c>
      <c r="Z863" t="n">
        <v/>
      </c>
      <c r="AA863">
        <f>SUMIFS($S$2:S863,$A$2:A863,A863,$N$2:N863,"Explore*")</f>
        <v/>
      </c>
      <c r="AB863">
        <f>IF(AND(LEFT(N863,7)="Explore",(AA863-IF(LEFT(N863,7)="Explore",S863,0))&lt;10),"SI","NO")</f>
        <v/>
      </c>
    </row>
    <row r="864">
      <c r="A864" t="inlineStr">
        <is>
          <t>c7m6_training</t>
        </is>
      </c>
      <c r="B864" t="inlineStr">
        <is>
          <t>2026-06-18 10:55:11.594</t>
        </is>
      </c>
      <c r="C864" t="n">
        <v/>
      </c>
      <c r="D864" t="inlineStr">
        <is>
          <t>Media file</t>
        </is>
      </c>
      <c r="E864" t="inlineStr">
        <is>
          <t>player #1:C:/Users/manuel.felline/Documents/BEHAVIOR BTBR/NOR second cohort/BTBR/training/c7_m6.mp4</t>
        </is>
      </c>
      <c r="F864" t="n">
        <v>-10.067</v>
      </c>
      <c r="G864" t="n">
        <v>594.366</v>
      </c>
      <c r="H864" t="n">
        <v>627.699</v>
      </c>
      <c r="I864" t="n">
        <v>30</v>
      </c>
      <c r="J864" t="inlineStr">
        <is>
          <t>BTBR</t>
        </is>
      </c>
      <c r="K864" t="inlineStr">
        <is>
          <t>Male</t>
        </is>
      </c>
      <c r="L864" t="inlineStr">
        <is>
          <t>No focal subject</t>
        </is>
      </c>
      <c r="M864" t="n">
        <v>56.702</v>
      </c>
      <c r="N864" t="inlineStr">
        <is>
          <t>Explore_F</t>
        </is>
      </c>
      <c r="O864" t="inlineStr">
        <is>
          <t>Familiar</t>
        </is>
      </c>
      <c r="P864" t="inlineStr">
        <is>
          <t>STATE</t>
        </is>
      </c>
      <c r="Q864" t="n">
        <v>139.4</v>
      </c>
      <c r="R864" t="n">
        <v>140.666</v>
      </c>
      <c r="S864" t="n">
        <v>1.266</v>
      </c>
      <c r="T864" t="inlineStr">
        <is>
          <t>C:/Users/manuel.felline/Documents/BEHAVIOR BTBR/NOR second cohort/BTBR/training/c7_m6.mp4</t>
        </is>
      </c>
      <c r="U864" t="n">
        <v>4483</v>
      </c>
      <c r="V864" t="n">
        <v>4521</v>
      </c>
      <c r="W864" t="n">
        <v/>
      </c>
      <c r="X864" t="n">
        <v/>
      </c>
      <c r="Y864" t="n">
        <v/>
      </c>
      <c r="Z864" t="n">
        <v/>
      </c>
      <c r="AA864">
        <f>SUMIFS($S$2:S864,$A$2:A864,A864,$N$2:N864,"Explore*")</f>
        <v/>
      </c>
      <c r="AB864">
        <f>IF(AND(LEFT(N864,7)="Explore",(AA864-IF(LEFT(N864,7)="Explore",S864,0))&lt;10),"SI","NO")</f>
        <v/>
      </c>
    </row>
    <row r="865">
      <c r="A865" t="inlineStr">
        <is>
          <t>c7m6_training</t>
        </is>
      </c>
      <c r="B865" t="inlineStr">
        <is>
          <t>2026-06-18 10:55:11.594</t>
        </is>
      </c>
      <c r="C865" t="n">
        <v/>
      </c>
      <c r="D865" t="inlineStr">
        <is>
          <t>Media file</t>
        </is>
      </c>
      <c r="E865" t="inlineStr">
        <is>
          <t>player #1:C:/Users/manuel.felline/Documents/BEHAVIOR BTBR/NOR second cohort/BTBR/training/c7_m6.mp4</t>
        </is>
      </c>
      <c r="F865" t="n">
        <v>-10.067</v>
      </c>
      <c r="G865" t="n">
        <v>594.366</v>
      </c>
      <c r="H865" t="n">
        <v>627.699</v>
      </c>
      <c r="I865" t="n">
        <v>30</v>
      </c>
      <c r="J865" t="inlineStr">
        <is>
          <t>BTBR</t>
        </is>
      </c>
      <c r="K865" t="inlineStr">
        <is>
          <t>Male</t>
        </is>
      </c>
      <c r="L865" t="inlineStr">
        <is>
          <t>No focal subject</t>
        </is>
      </c>
      <c r="M865" t="n">
        <v>56.702</v>
      </c>
      <c r="N865" t="inlineStr">
        <is>
          <t>Explore_F2</t>
        </is>
      </c>
      <c r="O865" t="inlineStr">
        <is>
          <t>Second familiar</t>
        </is>
      </c>
      <c r="P865" t="inlineStr">
        <is>
          <t>STATE</t>
        </is>
      </c>
      <c r="Q865" t="n">
        <v>141.366</v>
      </c>
      <c r="R865" t="n">
        <v>142.4</v>
      </c>
      <c r="S865" t="n">
        <v>1.034</v>
      </c>
      <c r="T865" t="inlineStr">
        <is>
          <t>C:/Users/manuel.felline/Documents/BEHAVIOR BTBR/NOR second cohort/BTBR/training/c7_m6.mp4</t>
        </is>
      </c>
      <c r="U865" t="n">
        <v>4542</v>
      </c>
      <c r="V865" t="n">
        <v>4573</v>
      </c>
      <c r="W865" t="n">
        <v/>
      </c>
      <c r="X865" t="n">
        <v/>
      </c>
      <c r="Y865" t="n">
        <v/>
      </c>
      <c r="Z865" t="n">
        <v/>
      </c>
      <c r="AA865">
        <f>SUMIFS($S$2:S865,$A$2:A865,A865,$N$2:N865,"Explore*")</f>
        <v/>
      </c>
      <c r="AB865">
        <f>IF(AND(LEFT(N865,7)="Explore",(AA865-IF(LEFT(N865,7)="Explore",S865,0))&lt;10),"SI","NO")</f>
        <v/>
      </c>
    </row>
    <row r="866">
      <c r="A866" t="inlineStr">
        <is>
          <t>c7m6_training</t>
        </is>
      </c>
      <c r="B866" t="inlineStr">
        <is>
          <t>2026-06-18 10:55:11.594</t>
        </is>
      </c>
      <c r="C866" t="n">
        <v/>
      </c>
      <c r="D866" t="inlineStr">
        <is>
          <t>Media file</t>
        </is>
      </c>
      <c r="E866" t="inlineStr">
        <is>
          <t>player #1:C:/Users/manuel.felline/Documents/BEHAVIOR BTBR/NOR second cohort/BTBR/training/c7_m6.mp4</t>
        </is>
      </c>
      <c r="F866" t="n">
        <v>-10.067</v>
      </c>
      <c r="G866" t="n">
        <v>594.366</v>
      </c>
      <c r="H866" t="n">
        <v>627.699</v>
      </c>
      <c r="I866" t="n">
        <v>30</v>
      </c>
      <c r="J866" t="inlineStr">
        <is>
          <t>BTBR</t>
        </is>
      </c>
      <c r="K866" t="inlineStr">
        <is>
          <t>Male</t>
        </is>
      </c>
      <c r="L866" t="inlineStr">
        <is>
          <t>No focal subject</t>
        </is>
      </c>
      <c r="M866" t="n">
        <v>56.702</v>
      </c>
      <c r="N866" t="inlineStr">
        <is>
          <t>Explore_F</t>
        </is>
      </c>
      <c r="O866" t="inlineStr">
        <is>
          <t>Familiar</t>
        </is>
      </c>
      <c r="P866" t="inlineStr">
        <is>
          <t>STATE</t>
        </is>
      </c>
      <c r="Q866" t="n">
        <v>143.266</v>
      </c>
      <c r="R866" t="n">
        <v>144.7</v>
      </c>
      <c r="S866" t="n">
        <v>1.434</v>
      </c>
      <c r="T866" t="inlineStr">
        <is>
          <t>C:/Users/manuel.felline/Documents/BEHAVIOR BTBR/NOR second cohort/BTBR/training/c7_m6.mp4</t>
        </is>
      </c>
      <c r="U866" t="n">
        <v>4599</v>
      </c>
      <c r="V866" t="n">
        <v>4642</v>
      </c>
      <c r="W866" t="n">
        <v/>
      </c>
      <c r="X866" t="n">
        <v/>
      </c>
      <c r="Y866" t="n">
        <v/>
      </c>
      <c r="Z866" t="n">
        <v/>
      </c>
      <c r="AA866">
        <f>SUMIFS($S$2:S866,$A$2:A866,A866,$N$2:N866,"Explore*")</f>
        <v/>
      </c>
      <c r="AB866">
        <f>IF(AND(LEFT(N866,7)="Explore",(AA866-IF(LEFT(N866,7)="Explore",S866,0))&lt;10),"SI","NO")</f>
        <v/>
      </c>
    </row>
    <row r="867">
      <c r="A867" t="inlineStr">
        <is>
          <t>c7m6_training</t>
        </is>
      </c>
      <c r="B867" t="inlineStr">
        <is>
          <t>2026-06-18 10:55:11.594</t>
        </is>
      </c>
      <c r="C867" t="n">
        <v/>
      </c>
      <c r="D867" t="inlineStr">
        <is>
          <t>Media file</t>
        </is>
      </c>
      <c r="E867" t="inlineStr">
        <is>
          <t>player #1:C:/Users/manuel.felline/Documents/BEHAVIOR BTBR/NOR second cohort/BTBR/training/c7_m6.mp4</t>
        </is>
      </c>
      <c r="F867" t="n">
        <v>-10.067</v>
      </c>
      <c r="G867" t="n">
        <v>594.366</v>
      </c>
      <c r="H867" t="n">
        <v>627.699</v>
      </c>
      <c r="I867" t="n">
        <v>30</v>
      </c>
      <c r="J867" t="inlineStr">
        <is>
          <t>BTBR</t>
        </is>
      </c>
      <c r="K867" t="inlineStr">
        <is>
          <t>Male</t>
        </is>
      </c>
      <c r="L867" t="inlineStr">
        <is>
          <t>No focal subject</t>
        </is>
      </c>
      <c r="M867" t="n">
        <v>56.702</v>
      </c>
      <c r="N867" t="inlineStr">
        <is>
          <t>Explore_F</t>
        </is>
      </c>
      <c r="O867" t="inlineStr">
        <is>
          <t>Familiar</t>
        </is>
      </c>
      <c r="P867" t="inlineStr">
        <is>
          <t>STATE</t>
        </is>
      </c>
      <c r="Q867" t="n">
        <v>153.866</v>
      </c>
      <c r="R867" t="n">
        <v>154.233</v>
      </c>
      <c r="S867" t="n">
        <v>0.367</v>
      </c>
      <c r="T867" t="inlineStr">
        <is>
          <t>C:/Users/manuel.felline/Documents/BEHAVIOR BTBR/NOR second cohort/BTBR/training/c7_m6.mp4</t>
        </is>
      </c>
      <c r="U867" t="n">
        <v>4917</v>
      </c>
      <c r="V867" t="n">
        <v>4928</v>
      </c>
      <c r="W867" t="n">
        <v/>
      </c>
      <c r="X867" t="n">
        <v/>
      </c>
      <c r="Y867" t="n">
        <v/>
      </c>
      <c r="Z867" t="n">
        <v/>
      </c>
      <c r="AA867">
        <f>SUMIFS($S$2:S867,$A$2:A867,A867,$N$2:N867,"Explore*")</f>
        <v/>
      </c>
      <c r="AB867">
        <f>IF(AND(LEFT(N867,7)="Explore",(AA867-IF(LEFT(N867,7)="Explore",S867,0))&lt;10),"SI","NO")</f>
        <v/>
      </c>
    </row>
    <row r="868">
      <c r="A868" t="inlineStr">
        <is>
          <t>c7m6_training</t>
        </is>
      </c>
      <c r="B868" t="inlineStr">
        <is>
          <t>2026-06-18 10:55:11.594</t>
        </is>
      </c>
      <c r="C868" t="n">
        <v/>
      </c>
      <c r="D868" t="inlineStr">
        <is>
          <t>Media file</t>
        </is>
      </c>
      <c r="E868" t="inlineStr">
        <is>
          <t>player #1:C:/Users/manuel.felline/Documents/BEHAVIOR BTBR/NOR second cohort/BTBR/training/c7_m6.mp4</t>
        </is>
      </c>
      <c r="F868" t="n">
        <v>-10.067</v>
      </c>
      <c r="G868" t="n">
        <v>594.366</v>
      </c>
      <c r="H868" t="n">
        <v>627.699</v>
      </c>
      <c r="I868" t="n">
        <v>30</v>
      </c>
      <c r="J868" t="inlineStr">
        <is>
          <t>BTBR</t>
        </is>
      </c>
      <c r="K868" t="inlineStr">
        <is>
          <t>Male</t>
        </is>
      </c>
      <c r="L868" t="inlineStr">
        <is>
          <t>No focal subject</t>
        </is>
      </c>
      <c r="M868" t="n">
        <v>56.702</v>
      </c>
      <c r="N868" t="inlineStr">
        <is>
          <t>Explore_F2</t>
        </is>
      </c>
      <c r="O868" t="inlineStr">
        <is>
          <t>Second familiar</t>
        </is>
      </c>
      <c r="P868" t="inlineStr">
        <is>
          <t>STATE</t>
        </is>
      </c>
      <c r="Q868" t="n">
        <v>163.533</v>
      </c>
      <c r="R868" t="n">
        <v>165.499</v>
      </c>
      <c r="S868" t="n">
        <v>1.966</v>
      </c>
      <c r="T868" t="inlineStr">
        <is>
          <t>C:/Users/manuel.felline/Documents/BEHAVIOR BTBR/NOR second cohort/BTBR/training/c7_m6.mp4</t>
        </is>
      </c>
      <c r="U868" t="n">
        <v>5207</v>
      </c>
      <c r="V868" t="n">
        <v>5266</v>
      </c>
      <c r="W868" t="n">
        <v/>
      </c>
      <c r="X868" t="n">
        <v/>
      </c>
      <c r="Y868" t="n">
        <v/>
      </c>
      <c r="Z868" t="n">
        <v/>
      </c>
      <c r="AA868">
        <f>SUMIFS($S$2:S868,$A$2:A868,A868,$N$2:N868,"Explore*")</f>
        <v/>
      </c>
      <c r="AB868">
        <f>IF(AND(LEFT(N868,7)="Explore",(AA868-IF(LEFT(N868,7)="Explore",S868,0))&lt;10),"SI","NO")</f>
        <v/>
      </c>
    </row>
    <row r="869">
      <c r="A869" t="inlineStr">
        <is>
          <t>c7m6_training</t>
        </is>
      </c>
      <c r="B869" t="inlineStr">
        <is>
          <t>2026-06-18 10:55:11.594</t>
        </is>
      </c>
      <c r="C869" t="n">
        <v/>
      </c>
      <c r="D869" t="inlineStr">
        <is>
          <t>Media file</t>
        </is>
      </c>
      <c r="E869" t="inlineStr">
        <is>
          <t>player #1:C:/Users/manuel.felline/Documents/BEHAVIOR BTBR/NOR second cohort/BTBR/training/c7_m6.mp4</t>
        </is>
      </c>
      <c r="F869" t="n">
        <v>-10.067</v>
      </c>
      <c r="G869" t="n">
        <v>594.366</v>
      </c>
      <c r="H869" t="n">
        <v>627.699</v>
      </c>
      <c r="I869" t="n">
        <v>30</v>
      </c>
      <c r="J869" t="inlineStr">
        <is>
          <t>BTBR</t>
        </is>
      </c>
      <c r="K869" t="inlineStr">
        <is>
          <t>Male</t>
        </is>
      </c>
      <c r="L869" t="inlineStr">
        <is>
          <t>No focal subject</t>
        </is>
      </c>
      <c r="M869" t="n">
        <v>56.702</v>
      </c>
      <c r="N869" t="inlineStr">
        <is>
          <t>Explore_F</t>
        </is>
      </c>
      <c r="O869" t="inlineStr">
        <is>
          <t>Familiar</t>
        </is>
      </c>
      <c r="P869" t="inlineStr">
        <is>
          <t>STATE</t>
        </is>
      </c>
      <c r="Q869" t="n">
        <v>166.966</v>
      </c>
      <c r="R869" t="n">
        <v>167.733</v>
      </c>
      <c r="S869" t="n">
        <v>0.767</v>
      </c>
      <c r="T869" t="inlineStr">
        <is>
          <t>C:/Users/manuel.felline/Documents/BEHAVIOR BTBR/NOR second cohort/BTBR/training/c7_m6.mp4</t>
        </is>
      </c>
      <c r="U869" t="n">
        <v>5310</v>
      </c>
      <c r="V869" t="n">
        <v>5333</v>
      </c>
      <c r="W869" t="n">
        <v/>
      </c>
      <c r="X869" t="n">
        <v/>
      </c>
      <c r="Y869" t="n">
        <v/>
      </c>
      <c r="Z869" t="n">
        <v/>
      </c>
      <c r="AA869">
        <f>SUMIFS($S$2:S869,$A$2:A869,A869,$N$2:N869,"Explore*")</f>
        <v/>
      </c>
      <c r="AB869">
        <f>IF(AND(LEFT(N869,7)="Explore",(AA869-IF(LEFT(N869,7)="Explore",S869,0))&lt;10),"SI","NO")</f>
        <v/>
      </c>
    </row>
    <row r="870">
      <c r="A870" t="inlineStr">
        <is>
          <t>c7m6_training</t>
        </is>
      </c>
      <c r="B870" t="inlineStr">
        <is>
          <t>2026-06-18 10:55:11.594</t>
        </is>
      </c>
      <c r="C870" t="n">
        <v/>
      </c>
      <c r="D870" t="inlineStr">
        <is>
          <t>Media file</t>
        </is>
      </c>
      <c r="E870" t="inlineStr">
        <is>
          <t>player #1:C:/Users/manuel.felline/Documents/BEHAVIOR BTBR/NOR second cohort/BTBR/training/c7_m6.mp4</t>
        </is>
      </c>
      <c r="F870" t="n">
        <v>-10.067</v>
      </c>
      <c r="G870" t="n">
        <v>594.366</v>
      </c>
      <c r="H870" t="n">
        <v>627.699</v>
      </c>
      <c r="I870" t="n">
        <v>30</v>
      </c>
      <c r="J870" t="inlineStr">
        <is>
          <t>BTBR</t>
        </is>
      </c>
      <c r="K870" t="inlineStr">
        <is>
          <t>Male</t>
        </is>
      </c>
      <c r="L870" t="inlineStr">
        <is>
          <t>No focal subject</t>
        </is>
      </c>
      <c r="M870" t="n">
        <v>56.702</v>
      </c>
      <c r="N870" t="inlineStr">
        <is>
          <t>Explore_F</t>
        </is>
      </c>
      <c r="O870" t="inlineStr">
        <is>
          <t>Familiar</t>
        </is>
      </c>
      <c r="P870" t="inlineStr">
        <is>
          <t>STATE</t>
        </is>
      </c>
      <c r="Q870" t="n">
        <v>179.899</v>
      </c>
      <c r="R870" t="n">
        <v>181.666</v>
      </c>
      <c r="S870" t="n">
        <v>1.767</v>
      </c>
      <c r="T870" t="inlineStr">
        <is>
          <t>C:/Users/manuel.felline/Documents/BEHAVIOR BTBR/NOR second cohort/BTBR/training/c7_m6.mp4</t>
        </is>
      </c>
      <c r="U870" t="n">
        <v>5698</v>
      </c>
      <c r="V870" t="n">
        <v>5751</v>
      </c>
      <c r="W870" t="n">
        <v/>
      </c>
      <c r="X870" t="n">
        <v/>
      </c>
      <c r="Y870" t="n">
        <v/>
      </c>
      <c r="Z870" t="n">
        <v/>
      </c>
      <c r="AA870">
        <f>SUMIFS($S$2:S870,$A$2:A870,A870,$N$2:N870,"Explore*")</f>
        <v/>
      </c>
      <c r="AB870">
        <f>IF(AND(LEFT(N870,7)="Explore",(AA870-IF(LEFT(N870,7)="Explore",S870,0))&lt;10),"SI","NO")</f>
        <v/>
      </c>
    </row>
    <row r="871">
      <c r="A871" t="inlineStr">
        <is>
          <t>c7m6_training</t>
        </is>
      </c>
      <c r="B871" t="inlineStr">
        <is>
          <t>2026-06-18 10:55:11.594</t>
        </is>
      </c>
      <c r="C871" t="n">
        <v/>
      </c>
      <c r="D871" t="inlineStr">
        <is>
          <t>Media file</t>
        </is>
      </c>
      <c r="E871" t="inlineStr">
        <is>
          <t>player #1:C:/Users/manuel.felline/Documents/BEHAVIOR BTBR/NOR second cohort/BTBR/training/c7_m6.mp4</t>
        </is>
      </c>
      <c r="F871" t="n">
        <v>-10.067</v>
      </c>
      <c r="G871" t="n">
        <v>594.366</v>
      </c>
      <c r="H871" t="n">
        <v>627.699</v>
      </c>
      <c r="I871" t="n">
        <v>30</v>
      </c>
      <c r="J871" t="inlineStr">
        <is>
          <t>BTBR</t>
        </is>
      </c>
      <c r="K871" t="inlineStr">
        <is>
          <t>Male</t>
        </is>
      </c>
      <c r="L871" t="inlineStr">
        <is>
          <t>No focal subject</t>
        </is>
      </c>
      <c r="M871" t="n">
        <v>56.702</v>
      </c>
      <c r="N871" t="inlineStr">
        <is>
          <t>Explore_F2</t>
        </is>
      </c>
      <c r="O871" t="inlineStr">
        <is>
          <t>Second familiar</t>
        </is>
      </c>
      <c r="P871" t="inlineStr">
        <is>
          <t>STATE</t>
        </is>
      </c>
      <c r="Q871" t="n">
        <v>182.366</v>
      </c>
      <c r="R871" t="n">
        <v>183.199</v>
      </c>
      <c r="S871" t="n">
        <v>0.833</v>
      </c>
      <c r="T871" t="inlineStr">
        <is>
          <t>C:/Users/manuel.felline/Documents/BEHAVIOR BTBR/NOR second cohort/BTBR/training/c7_m6.mp4</t>
        </is>
      </c>
      <c r="U871" t="n">
        <v>5772</v>
      </c>
      <c r="V871" t="n">
        <v>5797</v>
      </c>
      <c r="W871" t="n">
        <v/>
      </c>
      <c r="X871" t="n">
        <v/>
      </c>
      <c r="Y871" t="n">
        <v/>
      </c>
      <c r="Z871" t="n">
        <v/>
      </c>
      <c r="AA871">
        <f>SUMIFS($S$2:S871,$A$2:A871,A871,$N$2:N871,"Explore*")</f>
        <v/>
      </c>
      <c r="AB871">
        <f>IF(AND(LEFT(N871,7)="Explore",(AA871-IF(LEFT(N871,7)="Explore",S871,0))&lt;10),"SI","NO")</f>
        <v/>
      </c>
    </row>
    <row r="872">
      <c r="A872" t="inlineStr">
        <is>
          <t>c7m6_training</t>
        </is>
      </c>
      <c r="B872" t="inlineStr">
        <is>
          <t>2026-06-18 10:55:11.594</t>
        </is>
      </c>
      <c r="C872" t="n">
        <v/>
      </c>
      <c r="D872" t="inlineStr">
        <is>
          <t>Media file</t>
        </is>
      </c>
      <c r="E872" t="inlineStr">
        <is>
          <t>player #1:C:/Users/manuel.felline/Documents/BEHAVIOR BTBR/NOR second cohort/BTBR/training/c7_m6.mp4</t>
        </is>
      </c>
      <c r="F872" t="n">
        <v>-10.067</v>
      </c>
      <c r="G872" t="n">
        <v>594.366</v>
      </c>
      <c r="H872" t="n">
        <v>627.699</v>
      </c>
      <c r="I872" t="n">
        <v>30</v>
      </c>
      <c r="J872" t="inlineStr">
        <is>
          <t>BTBR</t>
        </is>
      </c>
      <c r="K872" t="inlineStr">
        <is>
          <t>Male</t>
        </is>
      </c>
      <c r="L872" t="inlineStr">
        <is>
          <t>No focal subject</t>
        </is>
      </c>
      <c r="M872" t="n">
        <v>56.702</v>
      </c>
      <c r="N872" t="inlineStr">
        <is>
          <t>Explore_F2</t>
        </is>
      </c>
      <c r="O872" t="inlineStr">
        <is>
          <t>Second familiar</t>
        </is>
      </c>
      <c r="P872" t="inlineStr">
        <is>
          <t>STATE</t>
        </is>
      </c>
      <c r="Q872" t="n">
        <v>184.266</v>
      </c>
      <c r="R872" t="n">
        <v>185.633</v>
      </c>
      <c r="S872" t="n">
        <v>1.367</v>
      </c>
      <c r="T872" t="inlineStr">
        <is>
          <t>C:/Users/manuel.felline/Documents/BEHAVIOR BTBR/NOR second cohort/BTBR/training/c7_m6.mp4</t>
        </is>
      </c>
      <c r="U872" t="n">
        <v>5829</v>
      </c>
      <c r="V872" t="n">
        <v>5870</v>
      </c>
      <c r="W872" t="n">
        <v/>
      </c>
      <c r="X872" t="n">
        <v/>
      </c>
      <c r="Y872" t="n">
        <v/>
      </c>
      <c r="Z872" t="n">
        <v/>
      </c>
      <c r="AA872">
        <f>SUMIFS($S$2:S872,$A$2:A872,A872,$N$2:N872,"Explore*")</f>
        <v/>
      </c>
      <c r="AB872">
        <f>IF(AND(LEFT(N872,7)="Explore",(AA872-IF(LEFT(N872,7)="Explore",S872,0))&lt;10),"SI","NO")</f>
        <v/>
      </c>
    </row>
    <row r="873">
      <c r="A873" t="inlineStr">
        <is>
          <t>c7m6_training</t>
        </is>
      </c>
      <c r="B873" t="inlineStr">
        <is>
          <t>2026-06-18 10:55:11.594</t>
        </is>
      </c>
      <c r="C873" t="n">
        <v/>
      </c>
      <c r="D873" t="inlineStr">
        <is>
          <t>Media file</t>
        </is>
      </c>
      <c r="E873" t="inlineStr">
        <is>
          <t>player #1:C:/Users/manuel.felline/Documents/BEHAVIOR BTBR/NOR second cohort/BTBR/training/c7_m6.mp4</t>
        </is>
      </c>
      <c r="F873" t="n">
        <v>-10.067</v>
      </c>
      <c r="G873" t="n">
        <v>594.366</v>
      </c>
      <c r="H873" t="n">
        <v>627.699</v>
      </c>
      <c r="I873" t="n">
        <v>30</v>
      </c>
      <c r="J873" t="inlineStr">
        <is>
          <t>BTBR</t>
        </is>
      </c>
      <c r="K873" t="inlineStr">
        <is>
          <t>Male</t>
        </is>
      </c>
      <c r="L873" t="inlineStr">
        <is>
          <t>No focal subject</t>
        </is>
      </c>
      <c r="M873" t="n">
        <v>56.702</v>
      </c>
      <c r="N873" t="inlineStr">
        <is>
          <t>Explore_F</t>
        </is>
      </c>
      <c r="O873" t="inlineStr">
        <is>
          <t>Familiar</t>
        </is>
      </c>
      <c r="P873" t="inlineStr">
        <is>
          <t>STATE</t>
        </is>
      </c>
      <c r="Q873" t="n">
        <v>187.233</v>
      </c>
      <c r="R873" t="n">
        <v>187.999</v>
      </c>
      <c r="S873" t="n">
        <v>0.766</v>
      </c>
      <c r="T873" t="inlineStr">
        <is>
          <t>C:/Users/manuel.felline/Documents/BEHAVIOR BTBR/NOR second cohort/BTBR/training/c7_m6.mp4</t>
        </is>
      </c>
      <c r="U873" t="n">
        <v>5918</v>
      </c>
      <c r="V873" t="n">
        <v>5941</v>
      </c>
      <c r="W873" t="n">
        <v/>
      </c>
      <c r="X873" t="n">
        <v/>
      </c>
      <c r="Y873" t="n">
        <v/>
      </c>
      <c r="Z873" t="n">
        <v/>
      </c>
      <c r="AA873">
        <f>SUMIFS($S$2:S873,$A$2:A873,A873,$N$2:N873,"Explore*")</f>
        <v/>
      </c>
      <c r="AB873">
        <f>IF(AND(LEFT(N873,7)="Explore",(AA873-IF(LEFT(N873,7)="Explore",S873,0))&lt;10),"SI","NO")</f>
        <v/>
      </c>
    </row>
    <row r="874">
      <c r="A874" t="inlineStr">
        <is>
          <t>c7m6_training</t>
        </is>
      </c>
      <c r="B874" t="inlineStr">
        <is>
          <t>2026-06-18 10:55:11.594</t>
        </is>
      </c>
      <c r="C874" t="n">
        <v/>
      </c>
      <c r="D874" t="inlineStr">
        <is>
          <t>Media file</t>
        </is>
      </c>
      <c r="E874" t="inlineStr">
        <is>
          <t>player #1:C:/Users/manuel.felline/Documents/BEHAVIOR BTBR/NOR second cohort/BTBR/training/c7_m6.mp4</t>
        </is>
      </c>
      <c r="F874" t="n">
        <v>-10.067</v>
      </c>
      <c r="G874" t="n">
        <v>594.366</v>
      </c>
      <c r="H874" t="n">
        <v>627.699</v>
      </c>
      <c r="I874" t="n">
        <v>30</v>
      </c>
      <c r="J874" t="inlineStr">
        <is>
          <t>BTBR</t>
        </is>
      </c>
      <c r="K874" t="inlineStr">
        <is>
          <t>Male</t>
        </is>
      </c>
      <c r="L874" t="inlineStr">
        <is>
          <t>No focal subject</t>
        </is>
      </c>
      <c r="M874" t="n">
        <v>56.702</v>
      </c>
      <c r="N874" t="inlineStr">
        <is>
          <t>Explore_F2</t>
        </is>
      </c>
      <c r="O874" t="inlineStr">
        <is>
          <t>Second familiar</t>
        </is>
      </c>
      <c r="P874" t="inlineStr">
        <is>
          <t>STATE</t>
        </is>
      </c>
      <c r="Q874" t="n">
        <v>198.799</v>
      </c>
      <c r="R874" t="n">
        <v>199.366</v>
      </c>
      <c r="S874" t="n">
        <v>0.5669999999999999</v>
      </c>
      <c r="T874" t="inlineStr">
        <is>
          <t>C:/Users/manuel.felline/Documents/BEHAVIOR BTBR/NOR second cohort/BTBR/training/c7_m6.mp4</t>
        </is>
      </c>
      <c r="U874" t="n">
        <v>6265</v>
      </c>
      <c r="V874" t="n">
        <v>6282</v>
      </c>
      <c r="W874" t="n">
        <v/>
      </c>
      <c r="X874" t="n">
        <v/>
      </c>
      <c r="Y874" t="n">
        <v/>
      </c>
      <c r="Z874" t="n">
        <v/>
      </c>
      <c r="AA874">
        <f>SUMIFS($S$2:S874,$A$2:A874,A874,$N$2:N874,"Explore*")</f>
        <v/>
      </c>
      <c r="AB874">
        <f>IF(AND(LEFT(N874,7)="Explore",(AA874-IF(LEFT(N874,7)="Explore",S874,0))&lt;10),"SI","NO")</f>
        <v/>
      </c>
    </row>
    <row r="875">
      <c r="A875" t="inlineStr">
        <is>
          <t>c7m6_training</t>
        </is>
      </c>
      <c r="B875" t="inlineStr">
        <is>
          <t>2026-06-18 10:55:11.594</t>
        </is>
      </c>
      <c r="C875" t="n">
        <v/>
      </c>
      <c r="D875" t="inlineStr">
        <is>
          <t>Media file</t>
        </is>
      </c>
      <c r="E875" t="inlineStr">
        <is>
          <t>player #1:C:/Users/manuel.felline/Documents/BEHAVIOR BTBR/NOR second cohort/BTBR/training/c7_m6.mp4</t>
        </is>
      </c>
      <c r="F875" t="n">
        <v>-10.067</v>
      </c>
      <c r="G875" t="n">
        <v>594.366</v>
      </c>
      <c r="H875" t="n">
        <v>627.699</v>
      </c>
      <c r="I875" t="n">
        <v>30</v>
      </c>
      <c r="J875" t="inlineStr">
        <is>
          <t>BTBR</t>
        </is>
      </c>
      <c r="K875" t="inlineStr">
        <is>
          <t>Male</t>
        </is>
      </c>
      <c r="L875" t="inlineStr">
        <is>
          <t>No focal subject</t>
        </is>
      </c>
      <c r="M875" t="n">
        <v>56.702</v>
      </c>
      <c r="N875" t="inlineStr">
        <is>
          <t>Explore_F2</t>
        </is>
      </c>
      <c r="O875" t="inlineStr">
        <is>
          <t>Second familiar</t>
        </is>
      </c>
      <c r="P875" t="inlineStr">
        <is>
          <t>STATE</t>
        </is>
      </c>
      <c r="Q875" t="n">
        <v>208.199</v>
      </c>
      <c r="R875" t="n">
        <v>208.699</v>
      </c>
      <c r="S875" t="n">
        <v>0.5</v>
      </c>
      <c r="T875" t="inlineStr">
        <is>
          <t>C:/Users/manuel.felline/Documents/BEHAVIOR BTBR/NOR second cohort/BTBR/training/c7_m6.mp4</t>
        </is>
      </c>
      <c r="U875" t="n">
        <v>6547</v>
      </c>
      <c r="V875" t="n">
        <v>6562</v>
      </c>
      <c r="W875" t="n">
        <v/>
      </c>
      <c r="X875" t="n">
        <v/>
      </c>
      <c r="Y875" t="n">
        <v/>
      </c>
      <c r="Z875" t="n">
        <v/>
      </c>
      <c r="AA875">
        <f>SUMIFS($S$2:S875,$A$2:A875,A875,$N$2:N875,"Explore*")</f>
        <v/>
      </c>
      <c r="AB875">
        <f>IF(AND(LEFT(N875,7)="Explore",(AA875-IF(LEFT(N875,7)="Explore",S875,0))&lt;10),"SI","NO")</f>
        <v/>
      </c>
    </row>
    <row r="876">
      <c r="A876" t="inlineStr">
        <is>
          <t>c7m6_training</t>
        </is>
      </c>
      <c r="B876" t="inlineStr">
        <is>
          <t>2026-06-18 10:55:11.594</t>
        </is>
      </c>
      <c r="C876" t="n">
        <v/>
      </c>
      <c r="D876" t="inlineStr">
        <is>
          <t>Media file</t>
        </is>
      </c>
      <c r="E876" t="inlineStr">
        <is>
          <t>player #1:C:/Users/manuel.felline/Documents/BEHAVIOR BTBR/NOR second cohort/BTBR/training/c7_m6.mp4</t>
        </is>
      </c>
      <c r="F876" t="n">
        <v>-10.067</v>
      </c>
      <c r="G876" t="n">
        <v>594.366</v>
      </c>
      <c r="H876" t="n">
        <v>627.699</v>
      </c>
      <c r="I876" t="n">
        <v>30</v>
      </c>
      <c r="J876" t="inlineStr">
        <is>
          <t>BTBR</t>
        </is>
      </c>
      <c r="K876" t="inlineStr">
        <is>
          <t>Male</t>
        </is>
      </c>
      <c r="L876" t="inlineStr">
        <is>
          <t>No focal subject</t>
        </is>
      </c>
      <c r="M876" t="n">
        <v>56.702</v>
      </c>
      <c r="N876" t="inlineStr">
        <is>
          <t>Explore_F</t>
        </is>
      </c>
      <c r="O876" t="inlineStr">
        <is>
          <t>Familiar</t>
        </is>
      </c>
      <c r="P876" t="inlineStr">
        <is>
          <t>STATE</t>
        </is>
      </c>
      <c r="Q876" t="n">
        <v>214.833</v>
      </c>
      <c r="R876" t="n">
        <v>215.399</v>
      </c>
      <c r="S876" t="n">
        <v>0.5659999999999999</v>
      </c>
      <c r="T876" t="inlineStr">
        <is>
          <t>C:/Users/manuel.felline/Documents/BEHAVIOR BTBR/NOR second cohort/BTBR/training/c7_m6.mp4</t>
        </is>
      </c>
      <c r="U876" t="n">
        <v>6746</v>
      </c>
      <c r="V876" t="n">
        <v>6763</v>
      </c>
      <c r="W876" t="n">
        <v/>
      </c>
      <c r="X876" t="n">
        <v/>
      </c>
      <c r="Y876" t="n">
        <v/>
      </c>
      <c r="Z876" t="n">
        <v/>
      </c>
      <c r="AA876">
        <f>SUMIFS($S$2:S876,$A$2:A876,A876,$N$2:N876,"Explore*")</f>
        <v/>
      </c>
      <c r="AB876">
        <f>IF(AND(LEFT(N876,7)="Explore",(AA876-IF(LEFT(N876,7)="Explore",S876,0))&lt;10),"SI","NO")</f>
        <v/>
      </c>
    </row>
    <row r="877">
      <c r="A877" t="inlineStr">
        <is>
          <t>c7m6_training</t>
        </is>
      </c>
      <c r="B877" t="inlineStr">
        <is>
          <t>2026-06-18 10:55:11.594</t>
        </is>
      </c>
      <c r="C877" t="n">
        <v/>
      </c>
      <c r="D877" t="inlineStr">
        <is>
          <t>Media file</t>
        </is>
      </c>
      <c r="E877" t="inlineStr">
        <is>
          <t>player #1:C:/Users/manuel.felline/Documents/BEHAVIOR BTBR/NOR second cohort/BTBR/training/c7_m6.mp4</t>
        </is>
      </c>
      <c r="F877" t="n">
        <v>-10.067</v>
      </c>
      <c r="G877" t="n">
        <v>594.366</v>
      </c>
      <c r="H877" t="n">
        <v>627.699</v>
      </c>
      <c r="I877" t="n">
        <v>30</v>
      </c>
      <c r="J877" t="inlineStr">
        <is>
          <t>BTBR</t>
        </is>
      </c>
      <c r="K877" t="inlineStr">
        <is>
          <t>Male</t>
        </is>
      </c>
      <c r="L877" t="inlineStr">
        <is>
          <t>No focal subject</t>
        </is>
      </c>
      <c r="M877" t="n">
        <v>56.702</v>
      </c>
      <c r="N877" t="inlineStr">
        <is>
          <t>Explore_F2</t>
        </is>
      </c>
      <c r="O877" t="inlineStr">
        <is>
          <t>Second familiar</t>
        </is>
      </c>
      <c r="P877" t="inlineStr">
        <is>
          <t>STATE</t>
        </is>
      </c>
      <c r="Q877" t="n">
        <v>219.933</v>
      </c>
      <c r="R877" t="n">
        <v>220.499</v>
      </c>
      <c r="S877" t="n">
        <v>0.5659999999999999</v>
      </c>
      <c r="T877" t="inlineStr">
        <is>
          <t>C:/Users/manuel.felline/Documents/BEHAVIOR BTBR/NOR second cohort/BTBR/training/c7_m6.mp4</t>
        </is>
      </c>
      <c r="U877" t="n">
        <v>6899</v>
      </c>
      <c r="V877" t="n">
        <v>6916</v>
      </c>
      <c r="W877" t="n">
        <v/>
      </c>
      <c r="X877" t="n">
        <v/>
      </c>
      <c r="Y877" t="n">
        <v/>
      </c>
      <c r="Z877" t="n">
        <v/>
      </c>
      <c r="AA877">
        <f>SUMIFS($S$2:S877,$A$2:A877,A877,$N$2:N877,"Explore*")</f>
        <v/>
      </c>
      <c r="AB877">
        <f>IF(AND(LEFT(N877,7)="Explore",(AA877-IF(LEFT(N877,7)="Explore",S877,0))&lt;10),"SI","NO")</f>
        <v/>
      </c>
    </row>
    <row r="878">
      <c r="A878" t="inlineStr">
        <is>
          <t>c7m6_training</t>
        </is>
      </c>
      <c r="B878" t="inlineStr">
        <is>
          <t>2026-06-18 10:55:11.594</t>
        </is>
      </c>
      <c r="C878" t="n">
        <v/>
      </c>
      <c r="D878" t="inlineStr">
        <is>
          <t>Media file</t>
        </is>
      </c>
      <c r="E878" t="inlineStr">
        <is>
          <t>player #1:C:/Users/manuel.felline/Documents/BEHAVIOR BTBR/NOR second cohort/BTBR/training/c7_m6.mp4</t>
        </is>
      </c>
      <c r="F878" t="n">
        <v>-10.067</v>
      </c>
      <c r="G878" t="n">
        <v>594.366</v>
      </c>
      <c r="H878" t="n">
        <v>627.699</v>
      </c>
      <c r="I878" t="n">
        <v>30</v>
      </c>
      <c r="J878" t="inlineStr">
        <is>
          <t>BTBR</t>
        </is>
      </c>
      <c r="K878" t="inlineStr">
        <is>
          <t>Male</t>
        </is>
      </c>
      <c r="L878" t="inlineStr">
        <is>
          <t>No focal subject</t>
        </is>
      </c>
      <c r="M878" t="n">
        <v>56.702</v>
      </c>
      <c r="N878" t="inlineStr">
        <is>
          <t>Explore_F</t>
        </is>
      </c>
      <c r="O878" t="inlineStr">
        <is>
          <t>Familiar</t>
        </is>
      </c>
      <c r="P878" t="inlineStr">
        <is>
          <t>STATE</t>
        </is>
      </c>
      <c r="Q878" t="n">
        <v>224.866</v>
      </c>
      <c r="R878" t="n">
        <v>225.333</v>
      </c>
      <c r="S878" t="n">
        <v>0.467</v>
      </c>
      <c r="T878" t="inlineStr">
        <is>
          <t>C:/Users/manuel.felline/Documents/BEHAVIOR BTBR/NOR second cohort/BTBR/training/c7_m6.mp4</t>
        </is>
      </c>
      <c r="U878" t="n">
        <v>7047</v>
      </c>
      <c r="V878" t="n">
        <v>7061</v>
      </c>
      <c r="W878" t="n">
        <v/>
      </c>
      <c r="X878" t="n">
        <v/>
      </c>
      <c r="Y878" t="n">
        <v/>
      </c>
      <c r="Z878" t="n">
        <v/>
      </c>
      <c r="AA878">
        <f>SUMIFS($S$2:S878,$A$2:A878,A878,$N$2:N878,"Explore*")</f>
        <v/>
      </c>
      <c r="AB878">
        <f>IF(AND(LEFT(N878,7)="Explore",(AA878-IF(LEFT(N878,7)="Explore",S878,0))&lt;10),"SI","NO")</f>
        <v/>
      </c>
    </row>
    <row r="879">
      <c r="A879" t="inlineStr">
        <is>
          <t>c7m6_training</t>
        </is>
      </c>
      <c r="B879" t="inlineStr">
        <is>
          <t>2026-06-18 10:55:11.594</t>
        </is>
      </c>
      <c r="C879" t="n">
        <v/>
      </c>
      <c r="D879" t="inlineStr">
        <is>
          <t>Media file</t>
        </is>
      </c>
      <c r="E879" t="inlineStr">
        <is>
          <t>player #1:C:/Users/manuel.felline/Documents/BEHAVIOR BTBR/NOR second cohort/BTBR/training/c7_m6.mp4</t>
        </is>
      </c>
      <c r="F879" t="n">
        <v>-10.067</v>
      </c>
      <c r="G879" t="n">
        <v>594.366</v>
      </c>
      <c r="H879" t="n">
        <v>627.699</v>
      </c>
      <c r="I879" t="n">
        <v>30</v>
      </c>
      <c r="J879" t="inlineStr">
        <is>
          <t>BTBR</t>
        </is>
      </c>
      <c r="K879" t="inlineStr">
        <is>
          <t>Male</t>
        </is>
      </c>
      <c r="L879" t="inlineStr">
        <is>
          <t>No focal subject</t>
        </is>
      </c>
      <c r="M879" t="n">
        <v>56.702</v>
      </c>
      <c r="N879" t="inlineStr">
        <is>
          <t>Explore_F2</t>
        </is>
      </c>
      <c r="O879" t="inlineStr">
        <is>
          <t>Second familiar</t>
        </is>
      </c>
      <c r="P879" t="inlineStr">
        <is>
          <t>STATE</t>
        </is>
      </c>
      <c r="Q879" t="n">
        <v>233.566</v>
      </c>
      <c r="R879" t="n">
        <v>233.999</v>
      </c>
      <c r="S879" t="n">
        <v>0.433</v>
      </c>
      <c r="T879" t="inlineStr">
        <is>
          <t>C:/Users/manuel.felline/Documents/BEHAVIOR BTBR/NOR second cohort/BTBR/training/c7_m6.mp4</t>
        </is>
      </c>
      <c r="U879" t="n">
        <v>7308</v>
      </c>
      <c r="V879" t="n">
        <v>7321</v>
      </c>
      <c r="W879" t="n">
        <v/>
      </c>
      <c r="X879" t="n">
        <v/>
      </c>
      <c r="Y879" t="n">
        <v/>
      </c>
      <c r="Z879" t="n">
        <v/>
      </c>
      <c r="AA879">
        <f>SUMIFS($S$2:S879,$A$2:A879,A879,$N$2:N879,"Explore*")</f>
        <v/>
      </c>
      <c r="AB879">
        <f>IF(AND(LEFT(N879,7)="Explore",(AA879-IF(LEFT(N879,7)="Explore",S879,0))&lt;10),"SI","NO")</f>
        <v/>
      </c>
    </row>
    <row r="880">
      <c r="A880" t="inlineStr">
        <is>
          <t>c7m6_training</t>
        </is>
      </c>
      <c r="B880" t="inlineStr">
        <is>
          <t>2026-06-18 10:55:11.594</t>
        </is>
      </c>
      <c r="C880" t="n">
        <v/>
      </c>
      <c r="D880" t="inlineStr">
        <is>
          <t>Media file</t>
        </is>
      </c>
      <c r="E880" t="inlineStr">
        <is>
          <t>player #1:C:/Users/manuel.felline/Documents/BEHAVIOR BTBR/NOR second cohort/BTBR/training/c7_m6.mp4</t>
        </is>
      </c>
      <c r="F880" t="n">
        <v>-10.067</v>
      </c>
      <c r="G880" t="n">
        <v>594.366</v>
      </c>
      <c r="H880" t="n">
        <v>627.699</v>
      </c>
      <c r="I880" t="n">
        <v>30</v>
      </c>
      <c r="J880" t="inlineStr">
        <is>
          <t>BTBR</t>
        </is>
      </c>
      <c r="K880" t="inlineStr">
        <is>
          <t>Male</t>
        </is>
      </c>
      <c r="L880" t="inlineStr">
        <is>
          <t>No focal subject</t>
        </is>
      </c>
      <c r="M880" t="n">
        <v>56.702</v>
      </c>
      <c r="N880" t="inlineStr">
        <is>
          <t>Explore_F</t>
        </is>
      </c>
      <c r="O880" t="inlineStr">
        <is>
          <t>Familiar</t>
        </is>
      </c>
      <c r="P880" t="inlineStr">
        <is>
          <t>STATE</t>
        </is>
      </c>
      <c r="Q880" t="n">
        <v>240.066</v>
      </c>
      <c r="R880" t="n">
        <v>240.466</v>
      </c>
      <c r="S880" t="n">
        <v>0.4</v>
      </c>
      <c r="T880" t="inlineStr">
        <is>
          <t>C:/Users/manuel.felline/Documents/BEHAVIOR BTBR/NOR second cohort/BTBR/training/c7_m6.mp4</t>
        </is>
      </c>
      <c r="U880" t="n">
        <v>7503</v>
      </c>
      <c r="V880" t="n">
        <v>7515</v>
      </c>
      <c r="W880" t="n">
        <v/>
      </c>
      <c r="X880" t="n">
        <v/>
      </c>
      <c r="Y880" t="n">
        <v/>
      </c>
      <c r="Z880" t="n">
        <v/>
      </c>
      <c r="AA880">
        <f>SUMIFS($S$2:S880,$A$2:A880,A880,$N$2:N880,"Explore*")</f>
        <v/>
      </c>
      <c r="AB880">
        <f>IF(AND(LEFT(N880,7)="Explore",(AA880-IF(LEFT(N880,7)="Explore",S880,0))&lt;10),"SI","NO")</f>
        <v/>
      </c>
    </row>
    <row r="881">
      <c r="A881" t="inlineStr">
        <is>
          <t>c7m6_training</t>
        </is>
      </c>
      <c r="B881" t="inlineStr">
        <is>
          <t>2026-06-18 10:55:11.594</t>
        </is>
      </c>
      <c r="C881" t="n">
        <v/>
      </c>
      <c r="D881" t="inlineStr">
        <is>
          <t>Media file</t>
        </is>
      </c>
      <c r="E881" t="inlineStr">
        <is>
          <t>player #1:C:/Users/manuel.felline/Documents/BEHAVIOR BTBR/NOR second cohort/BTBR/training/c7_m6.mp4</t>
        </is>
      </c>
      <c r="F881" t="n">
        <v>-10.067</v>
      </c>
      <c r="G881" t="n">
        <v>594.366</v>
      </c>
      <c r="H881" t="n">
        <v>627.699</v>
      </c>
      <c r="I881" t="n">
        <v>30</v>
      </c>
      <c r="J881" t="inlineStr">
        <is>
          <t>BTBR</t>
        </is>
      </c>
      <c r="K881" t="inlineStr">
        <is>
          <t>Male</t>
        </is>
      </c>
      <c r="L881" t="inlineStr">
        <is>
          <t>No focal subject</t>
        </is>
      </c>
      <c r="M881" t="n">
        <v>56.702</v>
      </c>
      <c r="N881" t="inlineStr">
        <is>
          <t>Explore_F</t>
        </is>
      </c>
      <c r="O881" t="inlineStr">
        <is>
          <t>Familiar</t>
        </is>
      </c>
      <c r="P881" t="inlineStr">
        <is>
          <t>STATE</t>
        </is>
      </c>
      <c r="Q881" t="n">
        <v>256.299</v>
      </c>
      <c r="R881" t="n">
        <v>256.866</v>
      </c>
      <c r="S881" t="n">
        <v>0.5669999999999999</v>
      </c>
      <c r="T881" t="inlineStr">
        <is>
          <t>C:/Users/manuel.felline/Documents/BEHAVIOR BTBR/NOR second cohort/BTBR/training/c7_m6.mp4</t>
        </is>
      </c>
      <c r="U881" t="n">
        <v>7990</v>
      </c>
      <c r="V881" t="n">
        <v>8007</v>
      </c>
      <c r="W881" t="n">
        <v/>
      </c>
      <c r="X881" t="n">
        <v/>
      </c>
      <c r="Y881" t="n">
        <v/>
      </c>
      <c r="Z881" t="n">
        <v/>
      </c>
      <c r="AA881">
        <f>SUMIFS($S$2:S881,$A$2:A881,A881,$N$2:N881,"Explore*")</f>
        <v/>
      </c>
      <c r="AB881">
        <f>IF(AND(LEFT(N881,7)="Explore",(AA881-IF(LEFT(N881,7)="Explore",S881,0))&lt;10),"SI","NO")</f>
        <v/>
      </c>
    </row>
    <row r="882">
      <c r="A882" t="inlineStr">
        <is>
          <t>c7m6_training</t>
        </is>
      </c>
      <c r="B882" t="inlineStr">
        <is>
          <t>2026-06-18 10:55:11.594</t>
        </is>
      </c>
      <c r="C882" t="n">
        <v/>
      </c>
      <c r="D882" t="inlineStr">
        <is>
          <t>Media file</t>
        </is>
      </c>
      <c r="E882" t="inlineStr">
        <is>
          <t>player #1:C:/Users/manuel.felline/Documents/BEHAVIOR BTBR/NOR second cohort/BTBR/training/c7_m6.mp4</t>
        </is>
      </c>
      <c r="F882" t="n">
        <v>-10.067</v>
      </c>
      <c r="G882" t="n">
        <v>594.366</v>
      </c>
      <c r="H882" t="n">
        <v>627.699</v>
      </c>
      <c r="I882" t="n">
        <v>30</v>
      </c>
      <c r="J882" t="inlineStr">
        <is>
          <t>BTBR</t>
        </is>
      </c>
      <c r="K882" t="inlineStr">
        <is>
          <t>Male</t>
        </is>
      </c>
      <c r="L882" t="inlineStr">
        <is>
          <t>No focal subject</t>
        </is>
      </c>
      <c r="M882" t="n">
        <v>56.702</v>
      </c>
      <c r="N882" t="inlineStr">
        <is>
          <t>Explore_F2</t>
        </is>
      </c>
      <c r="O882" t="inlineStr">
        <is>
          <t>Second familiar</t>
        </is>
      </c>
      <c r="P882" t="inlineStr">
        <is>
          <t>STATE</t>
        </is>
      </c>
      <c r="Q882" t="n">
        <v>261.066</v>
      </c>
      <c r="R882" t="n">
        <v>261.466</v>
      </c>
      <c r="S882" t="n">
        <v>0.4</v>
      </c>
      <c r="T882" t="inlineStr">
        <is>
          <t>C:/Users/manuel.felline/Documents/BEHAVIOR BTBR/NOR second cohort/BTBR/training/c7_m6.mp4</t>
        </is>
      </c>
      <c r="U882" t="n">
        <v>8133</v>
      </c>
      <c r="V882" t="n">
        <v>8145</v>
      </c>
      <c r="W882" t="n">
        <v/>
      </c>
      <c r="X882" t="n">
        <v/>
      </c>
      <c r="Y882" t="n">
        <v/>
      </c>
      <c r="Z882" t="n">
        <v/>
      </c>
      <c r="AA882">
        <f>SUMIFS($S$2:S882,$A$2:A882,A882,$N$2:N882,"Explore*")</f>
        <v/>
      </c>
      <c r="AB882">
        <f>IF(AND(LEFT(N882,7)="Explore",(AA882-IF(LEFT(N882,7)="Explore",S882,0))&lt;10),"SI","NO")</f>
        <v/>
      </c>
    </row>
    <row r="883">
      <c r="A883" t="inlineStr">
        <is>
          <t>c7m6_training</t>
        </is>
      </c>
      <c r="B883" t="inlineStr">
        <is>
          <t>2026-06-18 10:55:11.594</t>
        </is>
      </c>
      <c r="C883" t="n">
        <v/>
      </c>
      <c r="D883" t="inlineStr">
        <is>
          <t>Media file</t>
        </is>
      </c>
      <c r="E883" t="inlineStr">
        <is>
          <t>player #1:C:/Users/manuel.felline/Documents/BEHAVIOR BTBR/NOR second cohort/BTBR/training/c7_m6.mp4</t>
        </is>
      </c>
      <c r="F883" t="n">
        <v>-10.067</v>
      </c>
      <c r="G883" t="n">
        <v>594.366</v>
      </c>
      <c r="H883" t="n">
        <v>627.699</v>
      </c>
      <c r="I883" t="n">
        <v>30</v>
      </c>
      <c r="J883" t="inlineStr">
        <is>
          <t>BTBR</t>
        </is>
      </c>
      <c r="K883" t="inlineStr">
        <is>
          <t>Male</t>
        </is>
      </c>
      <c r="L883" t="inlineStr">
        <is>
          <t>No focal subject</t>
        </is>
      </c>
      <c r="M883" t="n">
        <v>56.702</v>
      </c>
      <c r="N883" t="inlineStr">
        <is>
          <t>Explore_F</t>
        </is>
      </c>
      <c r="O883" t="inlineStr">
        <is>
          <t>Familiar</t>
        </is>
      </c>
      <c r="P883" t="inlineStr">
        <is>
          <t>STATE</t>
        </is>
      </c>
      <c r="Q883" t="n">
        <v>277.699</v>
      </c>
      <c r="R883" t="n">
        <v>277.966</v>
      </c>
      <c r="S883" t="n">
        <v>0.267</v>
      </c>
      <c r="T883" t="inlineStr">
        <is>
          <t>C:/Users/manuel.felline/Documents/BEHAVIOR BTBR/NOR second cohort/BTBR/training/c7_m6.mp4</t>
        </is>
      </c>
      <c r="U883" t="n">
        <v>8632</v>
      </c>
      <c r="V883" t="n">
        <v>8640</v>
      </c>
      <c r="W883" t="n">
        <v/>
      </c>
      <c r="X883" t="n">
        <v/>
      </c>
      <c r="Y883" t="n">
        <v/>
      </c>
      <c r="Z883" t="n">
        <v/>
      </c>
      <c r="AA883">
        <f>SUMIFS($S$2:S883,$A$2:A883,A883,$N$2:N883,"Explore*")</f>
        <v/>
      </c>
      <c r="AB883">
        <f>IF(AND(LEFT(N883,7)="Explore",(AA883-IF(LEFT(N883,7)="Explore",S883,0))&lt;10),"SI","NO")</f>
        <v/>
      </c>
    </row>
    <row r="884">
      <c r="A884" t="inlineStr">
        <is>
          <t>c7m6_training</t>
        </is>
      </c>
      <c r="B884" t="inlineStr">
        <is>
          <t>2026-06-18 10:55:11.594</t>
        </is>
      </c>
      <c r="C884" t="n">
        <v/>
      </c>
      <c r="D884" t="inlineStr">
        <is>
          <t>Media file</t>
        </is>
      </c>
      <c r="E884" t="inlineStr">
        <is>
          <t>player #1:C:/Users/manuel.felline/Documents/BEHAVIOR BTBR/NOR second cohort/BTBR/training/c7_m6.mp4</t>
        </is>
      </c>
      <c r="F884" t="n">
        <v>-10.067</v>
      </c>
      <c r="G884" t="n">
        <v>594.366</v>
      </c>
      <c r="H884" t="n">
        <v>627.699</v>
      </c>
      <c r="I884" t="n">
        <v>30</v>
      </c>
      <c r="J884" t="inlineStr">
        <is>
          <t>BTBR</t>
        </is>
      </c>
      <c r="K884" t="inlineStr">
        <is>
          <t>Male</t>
        </is>
      </c>
      <c r="L884" t="inlineStr">
        <is>
          <t>No focal subject</t>
        </is>
      </c>
      <c r="M884" t="n">
        <v>56.702</v>
      </c>
      <c r="N884" t="inlineStr">
        <is>
          <t>Explore_F2</t>
        </is>
      </c>
      <c r="O884" t="inlineStr">
        <is>
          <t>Second familiar</t>
        </is>
      </c>
      <c r="P884" t="inlineStr">
        <is>
          <t>STATE</t>
        </is>
      </c>
      <c r="Q884" t="n">
        <v>283.199</v>
      </c>
      <c r="R884" t="n">
        <v>283.566</v>
      </c>
      <c r="S884" t="n">
        <v>0.367</v>
      </c>
      <c r="T884" t="inlineStr">
        <is>
          <t>C:/Users/manuel.felline/Documents/BEHAVIOR BTBR/NOR second cohort/BTBR/training/c7_m6.mp4</t>
        </is>
      </c>
      <c r="U884" t="n">
        <v>8797</v>
      </c>
      <c r="V884" t="n">
        <v>8808</v>
      </c>
      <c r="W884" t="n">
        <v/>
      </c>
      <c r="X884" t="n">
        <v/>
      </c>
      <c r="Y884" t="n">
        <v/>
      </c>
      <c r="Z884" t="n">
        <v/>
      </c>
      <c r="AA884">
        <f>SUMIFS($S$2:S884,$A$2:A884,A884,$N$2:N884,"Explore*")</f>
        <v/>
      </c>
      <c r="AB884">
        <f>IF(AND(LEFT(N884,7)="Explore",(AA884-IF(LEFT(N884,7)="Explore",S884,0))&lt;10),"SI","NO")</f>
        <v/>
      </c>
    </row>
    <row r="885">
      <c r="A885" t="inlineStr">
        <is>
          <t>c7m6_training</t>
        </is>
      </c>
      <c r="B885" t="inlineStr">
        <is>
          <t>2026-06-18 10:55:11.594</t>
        </is>
      </c>
      <c r="C885" t="n">
        <v/>
      </c>
      <c r="D885" t="inlineStr">
        <is>
          <t>Media file</t>
        </is>
      </c>
      <c r="E885" t="inlineStr">
        <is>
          <t>player #1:C:/Users/manuel.felline/Documents/BEHAVIOR BTBR/NOR second cohort/BTBR/training/c7_m6.mp4</t>
        </is>
      </c>
      <c r="F885" t="n">
        <v>-10.067</v>
      </c>
      <c r="G885" t="n">
        <v>594.366</v>
      </c>
      <c r="H885" t="n">
        <v>627.699</v>
      </c>
      <c r="I885" t="n">
        <v>30</v>
      </c>
      <c r="J885" t="inlineStr">
        <is>
          <t>BTBR</t>
        </is>
      </c>
      <c r="K885" t="inlineStr">
        <is>
          <t>Male</t>
        </is>
      </c>
      <c r="L885" t="inlineStr">
        <is>
          <t>No focal subject</t>
        </is>
      </c>
      <c r="M885" t="n">
        <v>56.702</v>
      </c>
      <c r="N885" t="inlineStr">
        <is>
          <t>Explore_F2</t>
        </is>
      </c>
      <c r="O885" t="inlineStr">
        <is>
          <t>Second familiar</t>
        </is>
      </c>
      <c r="P885" t="inlineStr">
        <is>
          <t>STATE</t>
        </is>
      </c>
      <c r="Q885" t="n">
        <v>290.699</v>
      </c>
      <c r="R885" t="n">
        <v>290.966</v>
      </c>
      <c r="S885" t="n">
        <v>0.267</v>
      </c>
      <c r="T885" t="inlineStr">
        <is>
          <t>C:/Users/manuel.felline/Documents/BEHAVIOR BTBR/NOR second cohort/BTBR/training/c7_m6.mp4</t>
        </is>
      </c>
      <c r="U885" t="n">
        <v>9022</v>
      </c>
      <c r="V885" t="n">
        <v>9030</v>
      </c>
      <c r="W885" t="n">
        <v/>
      </c>
      <c r="X885" t="n">
        <v/>
      </c>
      <c r="Y885" t="n">
        <v/>
      </c>
      <c r="Z885" t="n">
        <v/>
      </c>
      <c r="AA885">
        <f>SUMIFS($S$2:S885,$A$2:A885,A885,$N$2:N885,"Explore*")</f>
        <v/>
      </c>
      <c r="AB885">
        <f>IF(AND(LEFT(N885,7)="Explore",(AA885-IF(LEFT(N885,7)="Explore",S885,0))&lt;10),"SI","NO")</f>
        <v/>
      </c>
    </row>
    <row r="886">
      <c r="A886" t="inlineStr">
        <is>
          <t>c7m6_training</t>
        </is>
      </c>
      <c r="B886" t="inlineStr">
        <is>
          <t>2026-06-18 10:55:11.594</t>
        </is>
      </c>
      <c r="C886" t="n">
        <v/>
      </c>
      <c r="D886" t="inlineStr">
        <is>
          <t>Media file</t>
        </is>
      </c>
      <c r="E886" t="inlineStr">
        <is>
          <t>player #1:C:/Users/manuel.felline/Documents/BEHAVIOR BTBR/NOR second cohort/BTBR/training/c7_m6.mp4</t>
        </is>
      </c>
      <c r="F886" t="n">
        <v>-10.067</v>
      </c>
      <c r="G886" t="n">
        <v>594.366</v>
      </c>
      <c r="H886" t="n">
        <v>627.699</v>
      </c>
      <c r="I886" t="n">
        <v>30</v>
      </c>
      <c r="J886" t="inlineStr">
        <is>
          <t>BTBR</t>
        </is>
      </c>
      <c r="K886" t="inlineStr">
        <is>
          <t>Male</t>
        </is>
      </c>
      <c r="L886" t="inlineStr">
        <is>
          <t>No focal subject</t>
        </is>
      </c>
      <c r="M886" t="n">
        <v>56.702</v>
      </c>
      <c r="N886" t="inlineStr">
        <is>
          <t>Explore_F2</t>
        </is>
      </c>
      <c r="O886" t="inlineStr">
        <is>
          <t>Second familiar</t>
        </is>
      </c>
      <c r="P886" t="inlineStr">
        <is>
          <t>STATE</t>
        </is>
      </c>
      <c r="Q886" t="n">
        <v>304.533</v>
      </c>
      <c r="R886" t="n">
        <v>305.166</v>
      </c>
      <c r="S886" t="n">
        <v>0.633</v>
      </c>
      <c r="T886" t="inlineStr">
        <is>
          <t>C:/Users/manuel.felline/Documents/BEHAVIOR BTBR/NOR second cohort/BTBR/training/c7_m6.mp4</t>
        </is>
      </c>
      <c r="U886" t="n">
        <v>9437</v>
      </c>
      <c r="V886" t="n">
        <v>9456</v>
      </c>
      <c r="W886" t="n">
        <v/>
      </c>
      <c r="X886" t="n">
        <v/>
      </c>
      <c r="Y886" t="n">
        <v/>
      </c>
      <c r="Z886" t="n">
        <v/>
      </c>
      <c r="AA886">
        <f>SUMIFS($S$2:S886,$A$2:A886,A886,$N$2:N886,"Explore*")</f>
        <v/>
      </c>
      <c r="AB886">
        <f>IF(AND(LEFT(N886,7)="Explore",(AA886-IF(LEFT(N886,7)="Explore",S886,0))&lt;10),"SI","NO")</f>
        <v/>
      </c>
    </row>
    <row r="887">
      <c r="A887" t="inlineStr">
        <is>
          <t>c7m6_training</t>
        </is>
      </c>
      <c r="B887" t="inlineStr">
        <is>
          <t>2026-06-18 10:55:11.594</t>
        </is>
      </c>
      <c r="C887" t="n">
        <v/>
      </c>
      <c r="D887" t="inlineStr">
        <is>
          <t>Media file</t>
        </is>
      </c>
      <c r="E887" t="inlineStr">
        <is>
          <t>player #1:C:/Users/manuel.felline/Documents/BEHAVIOR BTBR/NOR second cohort/BTBR/training/c7_m6.mp4</t>
        </is>
      </c>
      <c r="F887" t="n">
        <v>-10.067</v>
      </c>
      <c r="G887" t="n">
        <v>594.366</v>
      </c>
      <c r="H887" t="n">
        <v>627.699</v>
      </c>
      <c r="I887" t="n">
        <v>30</v>
      </c>
      <c r="J887" t="inlineStr">
        <is>
          <t>BTBR</t>
        </is>
      </c>
      <c r="K887" t="inlineStr">
        <is>
          <t>Male</t>
        </is>
      </c>
      <c r="L887" t="inlineStr">
        <is>
          <t>No focal subject</t>
        </is>
      </c>
      <c r="M887" t="n">
        <v>56.702</v>
      </c>
      <c r="N887" t="inlineStr">
        <is>
          <t>Explore_F2</t>
        </is>
      </c>
      <c r="O887" t="inlineStr">
        <is>
          <t>Second familiar</t>
        </is>
      </c>
      <c r="P887" t="inlineStr">
        <is>
          <t>STATE</t>
        </is>
      </c>
      <c r="Q887" t="n">
        <v>311.799</v>
      </c>
      <c r="R887" t="n">
        <v>312.099</v>
      </c>
      <c r="S887" t="n">
        <v>0.3</v>
      </c>
      <c r="T887" t="inlineStr">
        <is>
          <t>C:/Users/manuel.felline/Documents/BEHAVIOR BTBR/NOR second cohort/BTBR/training/c7_m6.mp4</t>
        </is>
      </c>
      <c r="U887" t="n">
        <v>9655</v>
      </c>
      <c r="V887" t="n">
        <v>9664</v>
      </c>
      <c r="W887" t="n">
        <v/>
      </c>
      <c r="X887" t="n">
        <v/>
      </c>
      <c r="Y887" t="n">
        <v/>
      </c>
      <c r="Z887" t="n">
        <v/>
      </c>
      <c r="AA887">
        <f>SUMIFS($S$2:S887,$A$2:A887,A887,$N$2:N887,"Explore*")</f>
        <v/>
      </c>
      <c r="AB887">
        <f>IF(AND(LEFT(N887,7)="Explore",(AA887-IF(LEFT(N887,7)="Explore",S887,0))&lt;10),"SI","NO")</f>
        <v/>
      </c>
    </row>
    <row r="888">
      <c r="A888" t="inlineStr">
        <is>
          <t>c7m6_training</t>
        </is>
      </c>
      <c r="B888" t="inlineStr">
        <is>
          <t>2026-06-18 10:55:11.594</t>
        </is>
      </c>
      <c r="C888" t="n">
        <v/>
      </c>
      <c r="D888" t="inlineStr">
        <is>
          <t>Media file</t>
        </is>
      </c>
      <c r="E888" t="inlineStr">
        <is>
          <t>player #1:C:/Users/manuel.felline/Documents/BEHAVIOR BTBR/NOR second cohort/BTBR/training/c7_m6.mp4</t>
        </is>
      </c>
      <c r="F888" t="n">
        <v>-10.067</v>
      </c>
      <c r="G888" t="n">
        <v>594.366</v>
      </c>
      <c r="H888" t="n">
        <v>627.699</v>
      </c>
      <c r="I888" t="n">
        <v>30</v>
      </c>
      <c r="J888" t="inlineStr">
        <is>
          <t>BTBR</t>
        </is>
      </c>
      <c r="K888" t="inlineStr">
        <is>
          <t>Male</t>
        </is>
      </c>
      <c r="L888" t="inlineStr">
        <is>
          <t>No focal subject</t>
        </is>
      </c>
      <c r="M888" t="n">
        <v>56.702</v>
      </c>
      <c r="N888" t="inlineStr">
        <is>
          <t>Explore_F2</t>
        </is>
      </c>
      <c r="O888" t="inlineStr">
        <is>
          <t>Second familiar</t>
        </is>
      </c>
      <c r="P888" t="inlineStr">
        <is>
          <t>STATE</t>
        </is>
      </c>
      <c r="Q888" t="n">
        <v>312.799</v>
      </c>
      <c r="R888" t="n">
        <v>313.199</v>
      </c>
      <c r="S888" t="n">
        <v>0.4</v>
      </c>
      <c r="T888" t="inlineStr">
        <is>
          <t>C:/Users/manuel.felline/Documents/BEHAVIOR BTBR/NOR second cohort/BTBR/training/c7_m6.mp4</t>
        </is>
      </c>
      <c r="U888" t="n">
        <v>9685</v>
      </c>
      <c r="V888" t="n">
        <v>9697</v>
      </c>
      <c r="W888" t="n">
        <v/>
      </c>
      <c r="X888" t="n">
        <v/>
      </c>
      <c r="Y888" t="n">
        <v/>
      </c>
      <c r="Z888" t="n">
        <v/>
      </c>
      <c r="AA888">
        <f>SUMIFS($S$2:S888,$A$2:A888,A888,$N$2:N888,"Explore*")</f>
        <v/>
      </c>
      <c r="AB888">
        <f>IF(AND(LEFT(N888,7)="Explore",(AA888-IF(LEFT(N888,7)="Explore",S888,0))&lt;10),"SI","NO")</f>
        <v/>
      </c>
    </row>
    <row r="889">
      <c r="A889" t="inlineStr">
        <is>
          <t>c7m6_training</t>
        </is>
      </c>
      <c r="B889" t="inlineStr">
        <is>
          <t>2026-06-18 10:55:11.594</t>
        </is>
      </c>
      <c r="C889" t="n">
        <v/>
      </c>
      <c r="D889" t="inlineStr">
        <is>
          <t>Media file</t>
        </is>
      </c>
      <c r="E889" t="inlineStr">
        <is>
          <t>player #1:C:/Users/manuel.felline/Documents/BEHAVIOR BTBR/NOR second cohort/BTBR/training/c7_m6.mp4</t>
        </is>
      </c>
      <c r="F889" t="n">
        <v>-10.067</v>
      </c>
      <c r="G889" t="n">
        <v>594.366</v>
      </c>
      <c r="H889" t="n">
        <v>627.699</v>
      </c>
      <c r="I889" t="n">
        <v>30</v>
      </c>
      <c r="J889" t="inlineStr">
        <is>
          <t>BTBR</t>
        </is>
      </c>
      <c r="K889" t="inlineStr">
        <is>
          <t>Male</t>
        </is>
      </c>
      <c r="L889" t="inlineStr">
        <is>
          <t>No focal subject</t>
        </is>
      </c>
      <c r="M889" t="n">
        <v>56.702</v>
      </c>
      <c r="N889" t="inlineStr">
        <is>
          <t>Explore_F2</t>
        </is>
      </c>
      <c r="O889" t="inlineStr">
        <is>
          <t>Second familiar</t>
        </is>
      </c>
      <c r="P889" t="inlineStr">
        <is>
          <t>STATE</t>
        </is>
      </c>
      <c r="Q889" t="n">
        <v>329.066</v>
      </c>
      <c r="R889" t="n">
        <v>329.466</v>
      </c>
      <c r="S889" t="n">
        <v>0.4</v>
      </c>
      <c r="T889" t="inlineStr">
        <is>
          <t>C:/Users/manuel.felline/Documents/BEHAVIOR BTBR/NOR second cohort/BTBR/training/c7_m6.mp4</t>
        </is>
      </c>
      <c r="U889" t="n">
        <v>10173</v>
      </c>
      <c r="V889" t="n">
        <v>10185</v>
      </c>
      <c r="W889" t="n">
        <v/>
      </c>
      <c r="X889" t="n">
        <v/>
      </c>
      <c r="Y889" t="n">
        <v/>
      </c>
      <c r="Z889" t="n">
        <v/>
      </c>
      <c r="AA889">
        <f>SUMIFS($S$2:S889,$A$2:A889,A889,$N$2:N889,"Explore*")</f>
        <v/>
      </c>
      <c r="AB889">
        <f>IF(AND(LEFT(N889,7)="Explore",(AA889-IF(LEFT(N889,7)="Explore",S889,0))&lt;10),"SI","NO")</f>
        <v/>
      </c>
    </row>
    <row r="890">
      <c r="A890" t="inlineStr">
        <is>
          <t>c7m6_training</t>
        </is>
      </c>
      <c r="B890" t="inlineStr">
        <is>
          <t>2026-06-18 10:55:11.594</t>
        </is>
      </c>
      <c r="C890" t="n">
        <v/>
      </c>
      <c r="D890" t="inlineStr">
        <is>
          <t>Media file</t>
        </is>
      </c>
      <c r="E890" t="inlineStr">
        <is>
          <t>player #1:C:/Users/manuel.felline/Documents/BEHAVIOR BTBR/NOR second cohort/BTBR/training/c7_m6.mp4</t>
        </is>
      </c>
      <c r="F890" t="n">
        <v>-10.067</v>
      </c>
      <c r="G890" t="n">
        <v>594.366</v>
      </c>
      <c r="H890" t="n">
        <v>627.699</v>
      </c>
      <c r="I890" t="n">
        <v>30</v>
      </c>
      <c r="J890" t="inlineStr">
        <is>
          <t>BTBR</t>
        </is>
      </c>
      <c r="K890" t="inlineStr">
        <is>
          <t>Male</t>
        </is>
      </c>
      <c r="L890" t="inlineStr">
        <is>
          <t>No focal subject</t>
        </is>
      </c>
      <c r="M890" t="n">
        <v>56.702</v>
      </c>
      <c r="N890" t="inlineStr">
        <is>
          <t>Explore_F</t>
        </is>
      </c>
      <c r="O890" t="inlineStr">
        <is>
          <t>Familiar</t>
        </is>
      </c>
      <c r="P890" t="inlineStr">
        <is>
          <t>STATE</t>
        </is>
      </c>
      <c r="Q890" t="n">
        <v>334.433</v>
      </c>
      <c r="R890" t="n">
        <v>334.733</v>
      </c>
      <c r="S890" t="n">
        <v>0.3</v>
      </c>
      <c r="T890" t="inlineStr">
        <is>
          <t>C:/Users/manuel.felline/Documents/BEHAVIOR BTBR/NOR second cohort/BTBR/training/c7_m6.mp4</t>
        </is>
      </c>
      <c r="U890" t="n">
        <v>10334</v>
      </c>
      <c r="V890" t="n">
        <v>10343</v>
      </c>
      <c r="W890" t="n">
        <v/>
      </c>
      <c r="X890" t="n">
        <v/>
      </c>
      <c r="Y890" t="n">
        <v/>
      </c>
      <c r="Z890" t="n">
        <v/>
      </c>
      <c r="AA890">
        <f>SUMIFS($S$2:S890,$A$2:A890,A890,$N$2:N890,"Explore*")</f>
        <v/>
      </c>
      <c r="AB890">
        <f>IF(AND(LEFT(N890,7)="Explore",(AA890-IF(LEFT(N890,7)="Explore",S890,0))&lt;10),"SI","NO")</f>
        <v/>
      </c>
    </row>
    <row r="891">
      <c r="A891" t="inlineStr">
        <is>
          <t>c7m6_training</t>
        </is>
      </c>
      <c r="B891" t="inlineStr">
        <is>
          <t>2026-06-18 10:55:11.594</t>
        </is>
      </c>
      <c r="C891" t="n">
        <v/>
      </c>
      <c r="D891" t="inlineStr">
        <is>
          <t>Media file</t>
        </is>
      </c>
      <c r="E891" t="inlineStr">
        <is>
          <t>player #1:C:/Users/manuel.felline/Documents/BEHAVIOR BTBR/NOR second cohort/BTBR/training/c7_m6.mp4</t>
        </is>
      </c>
      <c r="F891" t="n">
        <v>-10.067</v>
      </c>
      <c r="G891" t="n">
        <v>594.366</v>
      </c>
      <c r="H891" t="n">
        <v>627.699</v>
      </c>
      <c r="I891" t="n">
        <v>30</v>
      </c>
      <c r="J891" t="inlineStr">
        <is>
          <t>BTBR</t>
        </is>
      </c>
      <c r="K891" t="inlineStr">
        <is>
          <t>Male</t>
        </is>
      </c>
      <c r="L891" t="inlineStr">
        <is>
          <t>No focal subject</t>
        </is>
      </c>
      <c r="M891" t="n">
        <v>56.702</v>
      </c>
      <c r="N891" t="inlineStr">
        <is>
          <t>Explore_F2</t>
        </is>
      </c>
      <c r="O891" t="inlineStr">
        <is>
          <t>Second familiar</t>
        </is>
      </c>
      <c r="P891" t="inlineStr">
        <is>
          <t>STATE</t>
        </is>
      </c>
      <c r="Q891" t="n">
        <v>338.666</v>
      </c>
      <c r="R891" t="n">
        <v>338.966</v>
      </c>
      <c r="S891" t="n">
        <v>0.3</v>
      </c>
      <c r="T891" t="inlineStr">
        <is>
          <t>C:/Users/manuel.felline/Documents/BEHAVIOR BTBR/NOR second cohort/BTBR/training/c7_m6.mp4</t>
        </is>
      </c>
      <c r="U891" t="n">
        <v>10461</v>
      </c>
      <c r="V891" t="n">
        <v>10470</v>
      </c>
      <c r="W891" t="n">
        <v/>
      </c>
      <c r="X891" t="n">
        <v/>
      </c>
      <c r="Y891" t="n">
        <v/>
      </c>
      <c r="Z891" t="n">
        <v/>
      </c>
      <c r="AA891">
        <f>SUMIFS($S$2:S891,$A$2:A891,A891,$N$2:N891,"Explore*")</f>
        <v/>
      </c>
      <c r="AB891">
        <f>IF(AND(LEFT(N891,7)="Explore",(AA891-IF(LEFT(N891,7)="Explore",S891,0))&lt;10),"SI","NO")</f>
        <v/>
      </c>
    </row>
    <row r="892">
      <c r="A892" t="inlineStr">
        <is>
          <t>c7m6_training</t>
        </is>
      </c>
      <c r="B892" t="inlineStr">
        <is>
          <t>2026-06-18 10:55:11.594</t>
        </is>
      </c>
      <c r="C892" t="n">
        <v/>
      </c>
      <c r="D892" t="inlineStr">
        <is>
          <t>Media file</t>
        </is>
      </c>
      <c r="E892" t="inlineStr">
        <is>
          <t>player #1:C:/Users/manuel.felline/Documents/BEHAVIOR BTBR/NOR second cohort/BTBR/training/c7_m6.mp4</t>
        </is>
      </c>
      <c r="F892" t="n">
        <v>-10.067</v>
      </c>
      <c r="G892" t="n">
        <v>594.366</v>
      </c>
      <c r="H892" t="n">
        <v>627.699</v>
      </c>
      <c r="I892" t="n">
        <v>30</v>
      </c>
      <c r="J892" t="inlineStr">
        <is>
          <t>BTBR</t>
        </is>
      </c>
      <c r="K892" t="inlineStr">
        <is>
          <t>Male</t>
        </is>
      </c>
      <c r="L892" t="inlineStr">
        <is>
          <t>No focal subject</t>
        </is>
      </c>
      <c r="M892" t="n">
        <v>56.702</v>
      </c>
      <c r="N892" t="inlineStr">
        <is>
          <t>Explore_F</t>
        </is>
      </c>
      <c r="O892" t="inlineStr">
        <is>
          <t>Familiar</t>
        </is>
      </c>
      <c r="P892" t="inlineStr">
        <is>
          <t>STATE</t>
        </is>
      </c>
      <c r="Q892" t="n">
        <v>347.633</v>
      </c>
      <c r="R892" t="n">
        <v>347.833</v>
      </c>
      <c r="S892" t="n">
        <v>0.2</v>
      </c>
      <c r="T892" t="inlineStr">
        <is>
          <t>C:/Users/manuel.felline/Documents/BEHAVIOR BTBR/NOR second cohort/BTBR/training/c7_m6.mp4</t>
        </is>
      </c>
      <c r="U892" t="n">
        <v>10729</v>
      </c>
      <c r="V892" t="n">
        <v>10735</v>
      </c>
      <c r="W892" t="n">
        <v/>
      </c>
      <c r="X892" t="n">
        <v/>
      </c>
      <c r="Y892" t="n">
        <v/>
      </c>
      <c r="Z892" t="n">
        <v/>
      </c>
      <c r="AA892">
        <f>SUMIFS($S$2:S892,$A$2:A892,A892,$N$2:N892,"Explore*")</f>
        <v/>
      </c>
      <c r="AB892">
        <f>IF(AND(LEFT(N892,7)="Explore",(AA892-IF(LEFT(N892,7)="Explore",S892,0))&lt;10),"SI","NO")</f>
        <v/>
      </c>
    </row>
    <row r="893">
      <c r="A893" t="inlineStr">
        <is>
          <t>c7m6_training</t>
        </is>
      </c>
      <c r="B893" t="inlineStr">
        <is>
          <t>2026-06-18 10:55:11.594</t>
        </is>
      </c>
      <c r="C893" t="n">
        <v/>
      </c>
      <c r="D893" t="inlineStr">
        <is>
          <t>Media file</t>
        </is>
      </c>
      <c r="E893" t="inlineStr">
        <is>
          <t>player #1:C:/Users/manuel.felline/Documents/BEHAVIOR BTBR/NOR second cohort/BTBR/training/c7_m6.mp4</t>
        </is>
      </c>
      <c r="F893" t="n">
        <v>-10.067</v>
      </c>
      <c r="G893" t="n">
        <v>594.366</v>
      </c>
      <c r="H893" t="n">
        <v>627.699</v>
      </c>
      <c r="I893" t="n">
        <v>30</v>
      </c>
      <c r="J893" t="inlineStr">
        <is>
          <t>BTBR</t>
        </is>
      </c>
      <c r="K893" t="inlineStr">
        <is>
          <t>Male</t>
        </is>
      </c>
      <c r="L893" t="inlineStr">
        <is>
          <t>No focal subject</t>
        </is>
      </c>
      <c r="M893" t="n">
        <v>56.702</v>
      </c>
      <c r="N893" t="inlineStr">
        <is>
          <t>Explore_F</t>
        </is>
      </c>
      <c r="O893" t="inlineStr">
        <is>
          <t>Familiar</t>
        </is>
      </c>
      <c r="P893" t="inlineStr">
        <is>
          <t>STATE</t>
        </is>
      </c>
      <c r="Q893" t="n">
        <v>361.399</v>
      </c>
      <c r="R893" t="n">
        <v>361.766</v>
      </c>
      <c r="S893" t="n">
        <v>0.367</v>
      </c>
      <c r="T893" t="inlineStr">
        <is>
          <t>C:/Users/manuel.felline/Documents/BEHAVIOR BTBR/NOR second cohort/BTBR/training/c7_m6.mp4</t>
        </is>
      </c>
      <c r="U893" t="n">
        <v>11142</v>
      </c>
      <c r="V893" t="n">
        <v>11153</v>
      </c>
      <c r="W893" t="n">
        <v/>
      </c>
      <c r="X893" t="n">
        <v/>
      </c>
      <c r="Y893" t="n">
        <v/>
      </c>
      <c r="Z893" t="n">
        <v/>
      </c>
      <c r="AA893">
        <f>SUMIFS($S$2:S893,$A$2:A893,A893,$N$2:N893,"Explore*")</f>
        <v/>
      </c>
      <c r="AB893">
        <f>IF(AND(LEFT(N893,7)="Explore",(AA893-IF(LEFT(N893,7)="Explore",S893,0))&lt;10),"SI","NO")</f>
        <v/>
      </c>
    </row>
    <row r="894">
      <c r="A894" t="inlineStr">
        <is>
          <t>c7m6_training</t>
        </is>
      </c>
      <c r="B894" t="inlineStr">
        <is>
          <t>2026-06-18 10:55:11.594</t>
        </is>
      </c>
      <c r="C894" t="n">
        <v/>
      </c>
      <c r="D894" t="inlineStr">
        <is>
          <t>Media file</t>
        </is>
      </c>
      <c r="E894" t="inlineStr">
        <is>
          <t>player #1:C:/Users/manuel.felline/Documents/BEHAVIOR BTBR/NOR second cohort/BTBR/training/c7_m6.mp4</t>
        </is>
      </c>
      <c r="F894" t="n">
        <v>-10.067</v>
      </c>
      <c r="G894" t="n">
        <v>594.366</v>
      </c>
      <c r="H894" t="n">
        <v>627.699</v>
      </c>
      <c r="I894" t="n">
        <v>30</v>
      </c>
      <c r="J894" t="inlineStr">
        <is>
          <t>BTBR</t>
        </is>
      </c>
      <c r="K894" t="inlineStr">
        <is>
          <t>Male</t>
        </is>
      </c>
      <c r="L894" t="inlineStr">
        <is>
          <t>No focal subject</t>
        </is>
      </c>
      <c r="M894" t="n">
        <v>56.702</v>
      </c>
      <c r="N894" t="inlineStr">
        <is>
          <t>Explore_F2</t>
        </is>
      </c>
      <c r="O894" t="inlineStr">
        <is>
          <t>Second familiar</t>
        </is>
      </c>
      <c r="P894" t="inlineStr">
        <is>
          <t>STATE</t>
        </is>
      </c>
      <c r="Q894" t="n">
        <v>366.566</v>
      </c>
      <c r="R894" t="n">
        <v>367.766</v>
      </c>
      <c r="S894" t="n">
        <v>1.2</v>
      </c>
      <c r="T894" t="inlineStr">
        <is>
          <t>C:/Users/manuel.felline/Documents/BEHAVIOR BTBR/NOR second cohort/BTBR/training/c7_m6.mp4</t>
        </is>
      </c>
      <c r="U894" t="n">
        <v>11297</v>
      </c>
      <c r="V894" t="n">
        <v>11333</v>
      </c>
      <c r="W894" t="n">
        <v/>
      </c>
      <c r="X894" t="n">
        <v/>
      </c>
      <c r="Y894" t="n">
        <v/>
      </c>
      <c r="Z894" t="n">
        <v/>
      </c>
      <c r="AA894">
        <f>SUMIFS($S$2:S894,$A$2:A894,A894,$N$2:N894,"Explore*")</f>
        <v/>
      </c>
      <c r="AB894">
        <f>IF(AND(LEFT(N894,7)="Explore",(AA894-IF(LEFT(N894,7)="Explore",S894,0))&lt;10),"SI","NO")</f>
        <v/>
      </c>
    </row>
    <row r="895">
      <c r="A895" t="inlineStr">
        <is>
          <t>c7m6_training</t>
        </is>
      </c>
      <c r="B895" t="inlineStr">
        <is>
          <t>2026-06-18 10:55:11.594</t>
        </is>
      </c>
      <c r="C895" t="n">
        <v/>
      </c>
      <c r="D895" t="inlineStr">
        <is>
          <t>Media file</t>
        </is>
      </c>
      <c r="E895" t="inlineStr">
        <is>
          <t>player #1:C:/Users/manuel.felline/Documents/BEHAVIOR BTBR/NOR second cohort/BTBR/training/c7_m6.mp4</t>
        </is>
      </c>
      <c r="F895" t="n">
        <v>-10.067</v>
      </c>
      <c r="G895" t="n">
        <v>594.366</v>
      </c>
      <c r="H895" t="n">
        <v>627.699</v>
      </c>
      <c r="I895" t="n">
        <v>30</v>
      </c>
      <c r="J895" t="inlineStr">
        <is>
          <t>BTBR</t>
        </is>
      </c>
      <c r="K895" t="inlineStr">
        <is>
          <t>Male</t>
        </is>
      </c>
      <c r="L895" t="inlineStr">
        <is>
          <t>No focal subject</t>
        </is>
      </c>
      <c r="M895" t="n">
        <v>56.702</v>
      </c>
      <c r="N895" t="inlineStr">
        <is>
          <t>Explore_F</t>
        </is>
      </c>
      <c r="O895" t="inlineStr">
        <is>
          <t>Familiar</t>
        </is>
      </c>
      <c r="P895" t="inlineStr">
        <is>
          <t>STATE</t>
        </is>
      </c>
      <c r="Q895" t="n">
        <v>369.399</v>
      </c>
      <c r="R895" t="n">
        <v>370.566</v>
      </c>
      <c r="S895" t="n">
        <v>1.167</v>
      </c>
      <c r="T895" t="inlineStr">
        <is>
          <t>C:/Users/manuel.felline/Documents/BEHAVIOR BTBR/NOR second cohort/BTBR/training/c7_m6.mp4</t>
        </is>
      </c>
      <c r="U895" t="n">
        <v>11382</v>
      </c>
      <c r="V895" t="n">
        <v>11417</v>
      </c>
      <c r="W895" t="n">
        <v/>
      </c>
      <c r="X895" t="n">
        <v/>
      </c>
      <c r="Y895" t="n">
        <v/>
      </c>
      <c r="Z895" t="n">
        <v/>
      </c>
      <c r="AA895">
        <f>SUMIFS($S$2:S895,$A$2:A895,A895,$N$2:N895,"Explore*")</f>
        <v/>
      </c>
      <c r="AB895">
        <f>IF(AND(LEFT(N895,7)="Explore",(AA895-IF(LEFT(N895,7)="Explore",S895,0))&lt;10),"SI","NO")</f>
        <v/>
      </c>
    </row>
    <row r="896">
      <c r="A896" t="inlineStr">
        <is>
          <t>c7m6_training</t>
        </is>
      </c>
      <c r="B896" t="inlineStr">
        <is>
          <t>2026-06-18 10:55:11.594</t>
        </is>
      </c>
      <c r="C896" t="n">
        <v/>
      </c>
      <c r="D896" t="inlineStr">
        <is>
          <t>Media file</t>
        </is>
      </c>
      <c r="E896" t="inlineStr">
        <is>
          <t>player #1:C:/Users/manuel.felline/Documents/BEHAVIOR BTBR/NOR second cohort/BTBR/training/c7_m6.mp4</t>
        </is>
      </c>
      <c r="F896" t="n">
        <v>-10.067</v>
      </c>
      <c r="G896" t="n">
        <v>594.366</v>
      </c>
      <c r="H896" t="n">
        <v>627.699</v>
      </c>
      <c r="I896" t="n">
        <v>30</v>
      </c>
      <c r="J896" t="inlineStr">
        <is>
          <t>BTBR</t>
        </is>
      </c>
      <c r="K896" t="inlineStr">
        <is>
          <t>Male</t>
        </is>
      </c>
      <c r="L896" t="inlineStr">
        <is>
          <t>No focal subject</t>
        </is>
      </c>
      <c r="M896" t="n">
        <v>56.702</v>
      </c>
      <c r="N896" t="inlineStr">
        <is>
          <t>Explore_F2</t>
        </is>
      </c>
      <c r="O896" t="inlineStr">
        <is>
          <t>Second familiar</t>
        </is>
      </c>
      <c r="P896" t="inlineStr">
        <is>
          <t>STATE</t>
        </is>
      </c>
      <c r="Q896" t="n">
        <v>371.999</v>
      </c>
      <c r="R896" t="n">
        <v>372.833</v>
      </c>
      <c r="S896" t="n">
        <v>0.834</v>
      </c>
      <c r="T896" t="inlineStr">
        <is>
          <t>C:/Users/manuel.felline/Documents/BEHAVIOR BTBR/NOR second cohort/BTBR/training/c7_m6.mp4</t>
        </is>
      </c>
      <c r="U896" t="n">
        <v>11460</v>
      </c>
      <c r="V896" t="n">
        <v>11485</v>
      </c>
      <c r="W896" t="n">
        <v/>
      </c>
      <c r="X896" t="n">
        <v/>
      </c>
      <c r="Y896" t="n">
        <v/>
      </c>
      <c r="Z896" t="n">
        <v/>
      </c>
      <c r="AA896">
        <f>SUMIFS($S$2:S896,$A$2:A896,A896,$N$2:N896,"Explore*")</f>
        <v/>
      </c>
      <c r="AB896">
        <f>IF(AND(LEFT(N896,7)="Explore",(AA896-IF(LEFT(N896,7)="Explore",S896,0))&lt;10),"SI","NO")</f>
        <v/>
      </c>
    </row>
    <row r="897">
      <c r="A897" t="inlineStr">
        <is>
          <t>c7m6_training</t>
        </is>
      </c>
      <c r="B897" t="inlineStr">
        <is>
          <t>2026-06-18 10:55:11.594</t>
        </is>
      </c>
      <c r="C897" t="n">
        <v/>
      </c>
      <c r="D897" t="inlineStr">
        <is>
          <t>Media file</t>
        </is>
      </c>
      <c r="E897" t="inlineStr">
        <is>
          <t>player #1:C:/Users/manuel.felline/Documents/BEHAVIOR BTBR/NOR second cohort/BTBR/training/c7_m6.mp4</t>
        </is>
      </c>
      <c r="F897" t="n">
        <v>-10.067</v>
      </c>
      <c r="G897" t="n">
        <v>594.366</v>
      </c>
      <c r="H897" t="n">
        <v>627.699</v>
      </c>
      <c r="I897" t="n">
        <v>30</v>
      </c>
      <c r="J897" t="inlineStr">
        <is>
          <t>BTBR</t>
        </is>
      </c>
      <c r="K897" t="inlineStr">
        <is>
          <t>Male</t>
        </is>
      </c>
      <c r="L897" t="inlineStr">
        <is>
          <t>No focal subject</t>
        </is>
      </c>
      <c r="M897" t="n">
        <v>56.702</v>
      </c>
      <c r="N897" t="inlineStr">
        <is>
          <t>Explore_F</t>
        </is>
      </c>
      <c r="O897" t="inlineStr">
        <is>
          <t>Familiar</t>
        </is>
      </c>
      <c r="P897" t="inlineStr">
        <is>
          <t>STATE</t>
        </is>
      </c>
      <c r="Q897" t="n">
        <v>381.666</v>
      </c>
      <c r="R897" t="n">
        <v>382.066</v>
      </c>
      <c r="S897" t="n">
        <v>0.4</v>
      </c>
      <c r="T897" t="inlineStr">
        <is>
          <t>C:/Users/manuel.felline/Documents/BEHAVIOR BTBR/NOR second cohort/BTBR/training/c7_m6.mp4</t>
        </is>
      </c>
      <c r="U897" t="n">
        <v>11750</v>
      </c>
      <c r="V897" t="n">
        <v>11762</v>
      </c>
      <c r="W897" t="n">
        <v/>
      </c>
      <c r="X897" t="n">
        <v/>
      </c>
      <c r="Y897" t="n">
        <v/>
      </c>
      <c r="Z897" t="n">
        <v/>
      </c>
      <c r="AA897">
        <f>SUMIFS($S$2:S897,$A$2:A897,A897,$N$2:N897,"Explore*")</f>
        <v/>
      </c>
      <c r="AB897">
        <f>IF(AND(LEFT(N897,7)="Explore",(AA897-IF(LEFT(N897,7)="Explore",S897,0))&lt;10),"SI","NO")</f>
        <v/>
      </c>
    </row>
    <row r="898">
      <c r="A898" t="inlineStr">
        <is>
          <t>c7m6_training</t>
        </is>
      </c>
      <c r="B898" t="inlineStr">
        <is>
          <t>2026-06-18 10:55:11.594</t>
        </is>
      </c>
      <c r="C898" t="n">
        <v/>
      </c>
      <c r="D898" t="inlineStr">
        <is>
          <t>Media file</t>
        </is>
      </c>
      <c r="E898" t="inlineStr">
        <is>
          <t>player #1:C:/Users/manuel.felline/Documents/BEHAVIOR BTBR/NOR second cohort/BTBR/training/c7_m6.mp4</t>
        </is>
      </c>
      <c r="F898" t="n">
        <v>-10.067</v>
      </c>
      <c r="G898" t="n">
        <v>594.366</v>
      </c>
      <c r="H898" t="n">
        <v>627.699</v>
      </c>
      <c r="I898" t="n">
        <v>30</v>
      </c>
      <c r="J898" t="inlineStr">
        <is>
          <t>BTBR</t>
        </is>
      </c>
      <c r="K898" t="inlineStr">
        <is>
          <t>Male</t>
        </is>
      </c>
      <c r="L898" t="inlineStr">
        <is>
          <t>No focal subject</t>
        </is>
      </c>
      <c r="M898" t="n">
        <v>56.702</v>
      </c>
      <c r="N898" t="inlineStr">
        <is>
          <t>Explore_F2</t>
        </is>
      </c>
      <c r="O898" t="inlineStr">
        <is>
          <t>Second familiar</t>
        </is>
      </c>
      <c r="P898" t="inlineStr">
        <is>
          <t>STATE</t>
        </is>
      </c>
      <c r="Q898" t="n">
        <v>385.533</v>
      </c>
      <c r="R898" t="n">
        <v>385.833</v>
      </c>
      <c r="S898" t="n">
        <v>0.3</v>
      </c>
      <c r="T898" t="inlineStr">
        <is>
          <t>C:/Users/manuel.felline/Documents/BEHAVIOR BTBR/NOR second cohort/BTBR/training/c7_m6.mp4</t>
        </is>
      </c>
      <c r="U898" t="n">
        <v>11866</v>
      </c>
      <c r="V898" t="n">
        <v>11875</v>
      </c>
      <c r="W898" t="n">
        <v/>
      </c>
      <c r="X898" t="n">
        <v/>
      </c>
      <c r="Y898" t="n">
        <v/>
      </c>
      <c r="Z898" t="n">
        <v/>
      </c>
      <c r="AA898">
        <f>SUMIFS($S$2:S898,$A$2:A898,A898,$N$2:N898,"Explore*")</f>
        <v/>
      </c>
      <c r="AB898">
        <f>IF(AND(LEFT(N898,7)="Explore",(AA898-IF(LEFT(N898,7)="Explore",S898,0))&lt;10),"SI","NO")</f>
        <v/>
      </c>
    </row>
    <row r="899">
      <c r="A899" t="inlineStr">
        <is>
          <t>c7m6_training</t>
        </is>
      </c>
      <c r="B899" t="inlineStr">
        <is>
          <t>2026-06-18 10:55:11.594</t>
        </is>
      </c>
      <c r="C899" t="n">
        <v/>
      </c>
      <c r="D899" t="inlineStr">
        <is>
          <t>Media file</t>
        </is>
      </c>
      <c r="E899" t="inlineStr">
        <is>
          <t>player #1:C:/Users/manuel.felline/Documents/BEHAVIOR BTBR/NOR second cohort/BTBR/training/c7_m6.mp4</t>
        </is>
      </c>
      <c r="F899" t="n">
        <v>-10.067</v>
      </c>
      <c r="G899" t="n">
        <v>594.366</v>
      </c>
      <c r="H899" t="n">
        <v>627.699</v>
      </c>
      <c r="I899" t="n">
        <v>30</v>
      </c>
      <c r="J899" t="inlineStr">
        <is>
          <t>BTBR</t>
        </is>
      </c>
      <c r="K899" t="inlineStr">
        <is>
          <t>Male</t>
        </is>
      </c>
      <c r="L899" t="inlineStr">
        <is>
          <t>No focal subject</t>
        </is>
      </c>
      <c r="M899" t="n">
        <v>56.702</v>
      </c>
      <c r="N899" t="inlineStr">
        <is>
          <t>Explore_F2</t>
        </is>
      </c>
      <c r="O899" t="inlineStr">
        <is>
          <t>Second familiar</t>
        </is>
      </c>
      <c r="P899" t="inlineStr">
        <is>
          <t>STATE</t>
        </is>
      </c>
      <c r="Q899" t="n">
        <v>414.366</v>
      </c>
      <c r="R899" t="n">
        <v>414.666</v>
      </c>
      <c r="S899" t="n">
        <v>0.3</v>
      </c>
      <c r="T899" t="inlineStr">
        <is>
          <t>C:/Users/manuel.felline/Documents/BEHAVIOR BTBR/NOR second cohort/BTBR/training/c7_m6.mp4</t>
        </is>
      </c>
      <c r="U899" t="n">
        <v>12731</v>
      </c>
      <c r="V899" t="n">
        <v>12740</v>
      </c>
      <c r="W899" t="n">
        <v/>
      </c>
      <c r="X899" t="n">
        <v/>
      </c>
      <c r="Y899" t="n">
        <v/>
      </c>
      <c r="Z899" t="n">
        <v/>
      </c>
      <c r="AA899">
        <f>SUMIFS($S$2:S899,$A$2:A899,A899,$N$2:N899,"Explore*")</f>
        <v/>
      </c>
      <c r="AB899">
        <f>IF(AND(LEFT(N899,7)="Explore",(AA899-IF(LEFT(N899,7)="Explore",S899,0))&lt;10),"SI","NO")</f>
        <v/>
      </c>
    </row>
    <row r="900">
      <c r="A900" t="inlineStr">
        <is>
          <t>c7m6_training</t>
        </is>
      </c>
      <c r="B900" t="inlineStr">
        <is>
          <t>2026-06-18 10:55:11.594</t>
        </is>
      </c>
      <c r="C900" t="n">
        <v/>
      </c>
      <c r="D900" t="inlineStr">
        <is>
          <t>Media file</t>
        </is>
      </c>
      <c r="E900" t="inlineStr">
        <is>
          <t>player #1:C:/Users/manuel.felline/Documents/BEHAVIOR BTBR/NOR second cohort/BTBR/training/c7_m6.mp4</t>
        </is>
      </c>
      <c r="F900" t="n">
        <v>-10.067</v>
      </c>
      <c r="G900" t="n">
        <v>594.366</v>
      </c>
      <c r="H900" t="n">
        <v>627.699</v>
      </c>
      <c r="I900" t="n">
        <v>30</v>
      </c>
      <c r="J900" t="inlineStr">
        <is>
          <t>BTBR</t>
        </is>
      </c>
      <c r="K900" t="inlineStr">
        <is>
          <t>Male</t>
        </is>
      </c>
      <c r="L900" t="inlineStr">
        <is>
          <t>No focal subject</t>
        </is>
      </c>
      <c r="M900" t="n">
        <v>56.702</v>
      </c>
      <c r="N900" t="inlineStr">
        <is>
          <t>Explore_F2</t>
        </is>
      </c>
      <c r="O900" t="inlineStr">
        <is>
          <t>Second familiar</t>
        </is>
      </c>
      <c r="P900" t="inlineStr">
        <is>
          <t>STATE</t>
        </is>
      </c>
      <c r="Q900" t="n">
        <v>434.466</v>
      </c>
      <c r="R900" t="n">
        <v>434.866</v>
      </c>
      <c r="S900" t="n">
        <v>0.4</v>
      </c>
      <c r="T900" t="inlineStr">
        <is>
          <t>C:/Users/manuel.felline/Documents/BEHAVIOR BTBR/NOR second cohort/BTBR/training/c7_m6.mp4</t>
        </is>
      </c>
      <c r="U900" t="n">
        <v>13334</v>
      </c>
      <c r="V900" t="n">
        <v>13346</v>
      </c>
      <c r="W900" t="n">
        <v/>
      </c>
      <c r="X900" t="n">
        <v/>
      </c>
      <c r="Y900" t="n">
        <v/>
      </c>
      <c r="Z900" t="n">
        <v/>
      </c>
      <c r="AA900">
        <f>SUMIFS($S$2:S900,$A$2:A900,A900,$N$2:N900,"Explore*")</f>
        <v/>
      </c>
      <c r="AB900">
        <f>IF(AND(LEFT(N900,7)="Explore",(AA900-IF(LEFT(N900,7)="Explore",S900,0))&lt;10),"SI","NO")</f>
        <v/>
      </c>
    </row>
    <row r="901">
      <c r="A901" t="inlineStr">
        <is>
          <t>c7m6_training</t>
        </is>
      </c>
      <c r="B901" t="inlineStr">
        <is>
          <t>2026-06-18 10:55:11.594</t>
        </is>
      </c>
      <c r="C901" t="n">
        <v/>
      </c>
      <c r="D901" t="inlineStr">
        <is>
          <t>Media file</t>
        </is>
      </c>
      <c r="E901" t="inlineStr">
        <is>
          <t>player #1:C:/Users/manuel.felline/Documents/BEHAVIOR BTBR/NOR second cohort/BTBR/training/c7_m6.mp4</t>
        </is>
      </c>
      <c r="F901" t="n">
        <v>-10.067</v>
      </c>
      <c r="G901" t="n">
        <v>594.366</v>
      </c>
      <c r="H901" t="n">
        <v>627.699</v>
      </c>
      <c r="I901" t="n">
        <v>30</v>
      </c>
      <c r="J901" t="inlineStr">
        <is>
          <t>BTBR</t>
        </is>
      </c>
      <c r="K901" t="inlineStr">
        <is>
          <t>Male</t>
        </is>
      </c>
      <c r="L901" t="inlineStr">
        <is>
          <t>No focal subject</t>
        </is>
      </c>
      <c r="M901" t="n">
        <v>56.702</v>
      </c>
      <c r="N901" t="inlineStr">
        <is>
          <t>Explore_F</t>
        </is>
      </c>
      <c r="O901" t="inlineStr">
        <is>
          <t>Familiar</t>
        </is>
      </c>
      <c r="P901" t="inlineStr">
        <is>
          <t>STATE</t>
        </is>
      </c>
      <c r="Q901" t="n">
        <v>442.899</v>
      </c>
      <c r="R901" t="n">
        <v>443.233</v>
      </c>
      <c r="S901" t="n">
        <v>0.334</v>
      </c>
      <c r="T901" t="inlineStr">
        <is>
          <t>C:/Users/manuel.felline/Documents/BEHAVIOR BTBR/NOR second cohort/BTBR/training/c7_m6.mp4</t>
        </is>
      </c>
      <c r="U901" t="n">
        <v>13587</v>
      </c>
      <c r="V901" t="n">
        <v>13597</v>
      </c>
      <c r="W901" t="n">
        <v/>
      </c>
      <c r="X901" t="n">
        <v/>
      </c>
      <c r="Y901" t="n">
        <v/>
      </c>
      <c r="Z901" t="n">
        <v/>
      </c>
      <c r="AA901">
        <f>SUMIFS($S$2:S901,$A$2:A901,A901,$N$2:N901,"Explore*")</f>
        <v/>
      </c>
      <c r="AB901">
        <f>IF(AND(LEFT(N901,7)="Explore",(AA901-IF(LEFT(N901,7)="Explore",S901,0))&lt;10),"SI","NO")</f>
        <v/>
      </c>
    </row>
    <row r="902">
      <c r="A902" t="inlineStr">
        <is>
          <t>c7m6_training</t>
        </is>
      </c>
      <c r="B902" t="inlineStr">
        <is>
          <t>2026-06-18 10:55:11.594</t>
        </is>
      </c>
      <c r="C902" t="n">
        <v/>
      </c>
      <c r="D902" t="inlineStr">
        <is>
          <t>Media file</t>
        </is>
      </c>
      <c r="E902" t="inlineStr">
        <is>
          <t>player #1:C:/Users/manuel.felline/Documents/BEHAVIOR BTBR/NOR second cohort/BTBR/training/c7_m6.mp4</t>
        </is>
      </c>
      <c r="F902" t="n">
        <v>-10.067</v>
      </c>
      <c r="G902" t="n">
        <v>594.366</v>
      </c>
      <c r="H902" t="n">
        <v>627.699</v>
      </c>
      <c r="I902" t="n">
        <v>30</v>
      </c>
      <c r="J902" t="inlineStr">
        <is>
          <t>BTBR</t>
        </is>
      </c>
      <c r="K902" t="inlineStr">
        <is>
          <t>Male</t>
        </is>
      </c>
      <c r="L902" t="inlineStr">
        <is>
          <t>No focal subject</t>
        </is>
      </c>
      <c r="M902" t="n">
        <v>56.702</v>
      </c>
      <c r="N902" t="inlineStr">
        <is>
          <t>Explore_F2</t>
        </is>
      </c>
      <c r="O902" t="inlineStr">
        <is>
          <t>Second familiar</t>
        </is>
      </c>
      <c r="P902" t="inlineStr">
        <is>
          <t>STATE</t>
        </is>
      </c>
      <c r="Q902" t="n">
        <v>450.599</v>
      </c>
      <c r="R902" t="n">
        <v>450.999</v>
      </c>
      <c r="S902" t="n">
        <v>0.4</v>
      </c>
      <c r="T902" t="inlineStr">
        <is>
          <t>C:/Users/manuel.felline/Documents/BEHAVIOR BTBR/NOR second cohort/BTBR/training/c7_m6.mp4</t>
        </is>
      </c>
      <c r="U902" t="n">
        <v>13818</v>
      </c>
      <c r="V902" t="n">
        <v>13830</v>
      </c>
      <c r="W902" t="n">
        <v/>
      </c>
      <c r="X902" t="n">
        <v/>
      </c>
      <c r="Y902" t="n">
        <v/>
      </c>
      <c r="Z902" t="n">
        <v/>
      </c>
      <c r="AA902">
        <f>SUMIFS($S$2:S902,$A$2:A902,A902,$N$2:N902,"Explore*")</f>
        <v/>
      </c>
      <c r="AB902">
        <f>IF(AND(LEFT(N902,7)="Explore",(AA902-IF(LEFT(N902,7)="Explore",S902,0))&lt;10),"SI","NO")</f>
        <v/>
      </c>
    </row>
    <row r="903">
      <c r="A903" t="inlineStr">
        <is>
          <t>c7m6_training</t>
        </is>
      </c>
      <c r="B903" t="inlineStr">
        <is>
          <t>2026-06-18 10:55:11.594</t>
        </is>
      </c>
      <c r="C903" t="n">
        <v/>
      </c>
      <c r="D903" t="inlineStr">
        <is>
          <t>Media file</t>
        </is>
      </c>
      <c r="E903" t="inlineStr">
        <is>
          <t>player #1:C:/Users/manuel.felline/Documents/BEHAVIOR BTBR/NOR second cohort/BTBR/training/c7_m6.mp4</t>
        </is>
      </c>
      <c r="F903" t="n">
        <v>-10.067</v>
      </c>
      <c r="G903" t="n">
        <v>594.366</v>
      </c>
      <c r="H903" t="n">
        <v>627.699</v>
      </c>
      <c r="I903" t="n">
        <v>30</v>
      </c>
      <c r="J903" t="inlineStr">
        <is>
          <t>BTBR</t>
        </is>
      </c>
      <c r="K903" t="inlineStr">
        <is>
          <t>Male</t>
        </is>
      </c>
      <c r="L903" t="inlineStr">
        <is>
          <t>No focal subject</t>
        </is>
      </c>
      <c r="M903" t="n">
        <v>56.702</v>
      </c>
      <c r="N903" t="inlineStr">
        <is>
          <t>Explore_F</t>
        </is>
      </c>
      <c r="O903" t="inlineStr">
        <is>
          <t>Familiar</t>
        </is>
      </c>
      <c r="P903" t="inlineStr">
        <is>
          <t>STATE</t>
        </is>
      </c>
      <c r="Q903" t="n">
        <v>457.466</v>
      </c>
      <c r="R903" t="n">
        <v>457.766</v>
      </c>
      <c r="S903" t="n">
        <v>0.3</v>
      </c>
      <c r="T903" t="inlineStr">
        <is>
          <t>C:/Users/manuel.felline/Documents/BEHAVIOR BTBR/NOR second cohort/BTBR/training/c7_m6.mp4</t>
        </is>
      </c>
      <c r="U903" t="n">
        <v>14024</v>
      </c>
      <c r="V903" t="n">
        <v>14033</v>
      </c>
      <c r="W903" t="n">
        <v/>
      </c>
      <c r="X903" t="n">
        <v/>
      </c>
      <c r="Y903" t="n">
        <v/>
      </c>
      <c r="Z903" t="n">
        <v/>
      </c>
      <c r="AA903">
        <f>SUMIFS($S$2:S903,$A$2:A903,A903,$N$2:N903,"Explore*")</f>
        <v/>
      </c>
      <c r="AB903">
        <f>IF(AND(LEFT(N903,7)="Explore",(AA903-IF(LEFT(N903,7)="Explore",S903,0))&lt;10),"SI","NO")</f>
        <v/>
      </c>
    </row>
    <row r="904">
      <c r="A904" t="inlineStr">
        <is>
          <t>c7m6_training</t>
        </is>
      </c>
      <c r="B904" t="inlineStr">
        <is>
          <t>2026-06-18 10:55:11.594</t>
        </is>
      </c>
      <c r="C904" t="n">
        <v/>
      </c>
      <c r="D904" t="inlineStr">
        <is>
          <t>Media file</t>
        </is>
      </c>
      <c r="E904" t="inlineStr">
        <is>
          <t>player #1:C:/Users/manuel.felline/Documents/BEHAVIOR BTBR/NOR second cohort/BTBR/training/c7_m6.mp4</t>
        </is>
      </c>
      <c r="F904" t="n">
        <v>-10.067</v>
      </c>
      <c r="G904" t="n">
        <v>594.366</v>
      </c>
      <c r="H904" t="n">
        <v>627.699</v>
      </c>
      <c r="I904" t="n">
        <v>30</v>
      </c>
      <c r="J904" t="inlineStr">
        <is>
          <t>BTBR</t>
        </is>
      </c>
      <c r="K904" t="inlineStr">
        <is>
          <t>Male</t>
        </is>
      </c>
      <c r="L904" t="inlineStr">
        <is>
          <t>No focal subject</t>
        </is>
      </c>
      <c r="M904" t="n">
        <v>56.702</v>
      </c>
      <c r="N904" t="inlineStr">
        <is>
          <t>Explore_F2</t>
        </is>
      </c>
      <c r="O904" t="inlineStr">
        <is>
          <t>Second familiar</t>
        </is>
      </c>
      <c r="P904" t="inlineStr">
        <is>
          <t>STATE</t>
        </is>
      </c>
      <c r="Q904" t="n">
        <v>465.699</v>
      </c>
      <c r="R904" t="n">
        <v>466.066</v>
      </c>
      <c r="S904" t="n">
        <v>0.367</v>
      </c>
      <c r="T904" t="inlineStr">
        <is>
          <t>C:/Users/manuel.felline/Documents/BEHAVIOR BTBR/NOR second cohort/BTBR/training/c7_m6.mp4</t>
        </is>
      </c>
      <c r="U904" t="n">
        <v>14271</v>
      </c>
      <c r="V904" t="n">
        <v>14282</v>
      </c>
      <c r="W904" t="n">
        <v/>
      </c>
      <c r="X904" t="n">
        <v/>
      </c>
      <c r="Y904" t="n">
        <v/>
      </c>
      <c r="Z904" t="n">
        <v/>
      </c>
      <c r="AA904">
        <f>SUMIFS($S$2:S904,$A$2:A904,A904,$N$2:N904,"Explore*")</f>
        <v/>
      </c>
      <c r="AB904">
        <f>IF(AND(LEFT(N904,7)="Explore",(AA904-IF(LEFT(N904,7)="Explore",S904,0))&lt;10),"SI","NO")</f>
        <v/>
      </c>
    </row>
    <row r="905">
      <c r="A905" t="inlineStr">
        <is>
          <t>c7m6_training</t>
        </is>
      </c>
      <c r="B905" t="inlineStr">
        <is>
          <t>2026-06-18 10:55:11.594</t>
        </is>
      </c>
      <c r="C905" t="n">
        <v/>
      </c>
      <c r="D905" t="inlineStr">
        <is>
          <t>Media file</t>
        </is>
      </c>
      <c r="E905" t="inlineStr">
        <is>
          <t>player #1:C:/Users/manuel.felline/Documents/BEHAVIOR BTBR/NOR second cohort/BTBR/training/c7_m6.mp4</t>
        </is>
      </c>
      <c r="F905" t="n">
        <v>-10.067</v>
      </c>
      <c r="G905" t="n">
        <v>594.366</v>
      </c>
      <c r="H905" t="n">
        <v>627.699</v>
      </c>
      <c r="I905" t="n">
        <v>30</v>
      </c>
      <c r="J905" t="inlineStr">
        <is>
          <t>BTBR</t>
        </is>
      </c>
      <c r="K905" t="inlineStr">
        <is>
          <t>Male</t>
        </is>
      </c>
      <c r="L905" t="inlineStr">
        <is>
          <t>No focal subject</t>
        </is>
      </c>
      <c r="M905" t="n">
        <v>56.702</v>
      </c>
      <c r="N905" t="inlineStr">
        <is>
          <t>Explore_F</t>
        </is>
      </c>
      <c r="O905" t="inlineStr">
        <is>
          <t>Familiar</t>
        </is>
      </c>
      <c r="P905" t="inlineStr">
        <is>
          <t>STATE</t>
        </is>
      </c>
      <c r="Q905" t="n">
        <v>470.499</v>
      </c>
      <c r="R905" t="n">
        <v>470.866</v>
      </c>
      <c r="S905" t="n">
        <v>0.367</v>
      </c>
      <c r="T905" t="inlineStr">
        <is>
          <t>C:/Users/manuel.felline/Documents/BEHAVIOR BTBR/NOR second cohort/BTBR/training/c7_m6.mp4</t>
        </is>
      </c>
      <c r="U905" t="n">
        <v>14415</v>
      </c>
      <c r="V905" t="n">
        <v>14426</v>
      </c>
      <c r="W905" t="n">
        <v/>
      </c>
      <c r="X905" t="n">
        <v/>
      </c>
      <c r="Y905" t="n">
        <v/>
      </c>
      <c r="Z905" t="n">
        <v/>
      </c>
      <c r="AA905">
        <f>SUMIFS($S$2:S905,$A$2:A905,A905,$N$2:N905,"Explore*")</f>
        <v/>
      </c>
      <c r="AB905">
        <f>IF(AND(LEFT(N905,7)="Explore",(AA905-IF(LEFT(N905,7)="Explore",S905,0))&lt;10),"SI","NO")</f>
        <v/>
      </c>
    </row>
    <row r="906">
      <c r="A906" t="inlineStr">
        <is>
          <t>c7m6_training</t>
        </is>
      </c>
      <c r="B906" t="inlineStr">
        <is>
          <t>2026-06-18 10:55:11.594</t>
        </is>
      </c>
      <c r="C906" t="n">
        <v/>
      </c>
      <c r="D906" t="inlineStr">
        <is>
          <t>Media file</t>
        </is>
      </c>
      <c r="E906" t="inlineStr">
        <is>
          <t>player #1:C:/Users/manuel.felline/Documents/BEHAVIOR BTBR/NOR second cohort/BTBR/training/c7_m6.mp4</t>
        </is>
      </c>
      <c r="F906" t="n">
        <v>-10.067</v>
      </c>
      <c r="G906" t="n">
        <v>594.366</v>
      </c>
      <c r="H906" t="n">
        <v>627.699</v>
      </c>
      <c r="I906" t="n">
        <v>30</v>
      </c>
      <c r="J906" t="inlineStr">
        <is>
          <t>BTBR</t>
        </is>
      </c>
      <c r="K906" t="inlineStr">
        <is>
          <t>Male</t>
        </is>
      </c>
      <c r="L906" t="inlineStr">
        <is>
          <t>No focal subject</t>
        </is>
      </c>
      <c r="M906" t="n">
        <v>56.702</v>
      </c>
      <c r="N906" t="inlineStr">
        <is>
          <t>Explore_F2</t>
        </is>
      </c>
      <c r="O906" t="inlineStr">
        <is>
          <t>Second familiar</t>
        </is>
      </c>
      <c r="P906" t="inlineStr">
        <is>
          <t>STATE</t>
        </is>
      </c>
      <c r="Q906" t="n">
        <v>481.366</v>
      </c>
      <c r="R906" t="n">
        <v>482.532</v>
      </c>
      <c r="S906" t="n">
        <v>1.166</v>
      </c>
      <c r="T906" t="inlineStr">
        <is>
          <t>C:/Users/manuel.felline/Documents/BEHAVIOR BTBR/NOR second cohort/BTBR/training/c7_m6.mp4</t>
        </is>
      </c>
      <c r="U906" t="n">
        <v>14741</v>
      </c>
      <c r="V906" t="n">
        <v>14776</v>
      </c>
      <c r="W906" t="n">
        <v/>
      </c>
      <c r="X906" t="n">
        <v/>
      </c>
      <c r="Y906" t="n">
        <v/>
      </c>
      <c r="Z906" t="n">
        <v/>
      </c>
      <c r="AA906">
        <f>SUMIFS($S$2:S906,$A$2:A906,A906,$N$2:N906,"Explore*")</f>
        <v/>
      </c>
      <c r="AB906">
        <f>IF(AND(LEFT(N906,7)="Explore",(AA906-IF(LEFT(N906,7)="Explore",S906,0))&lt;10),"SI","NO")</f>
        <v/>
      </c>
    </row>
    <row r="907">
      <c r="A907" t="inlineStr">
        <is>
          <t>c7m6_training</t>
        </is>
      </c>
      <c r="B907" t="inlineStr">
        <is>
          <t>2026-06-18 10:55:11.594</t>
        </is>
      </c>
      <c r="C907" t="n">
        <v/>
      </c>
      <c r="D907" t="inlineStr">
        <is>
          <t>Media file</t>
        </is>
      </c>
      <c r="E907" t="inlineStr">
        <is>
          <t>player #1:C:/Users/manuel.felline/Documents/BEHAVIOR BTBR/NOR second cohort/BTBR/training/c7_m6.mp4</t>
        </is>
      </c>
      <c r="F907" t="n">
        <v>-10.067</v>
      </c>
      <c r="G907" t="n">
        <v>594.366</v>
      </c>
      <c r="H907" t="n">
        <v>627.699</v>
      </c>
      <c r="I907" t="n">
        <v>30</v>
      </c>
      <c r="J907" t="inlineStr">
        <is>
          <t>BTBR</t>
        </is>
      </c>
      <c r="K907" t="inlineStr">
        <is>
          <t>Male</t>
        </is>
      </c>
      <c r="L907" t="inlineStr">
        <is>
          <t>No focal subject</t>
        </is>
      </c>
      <c r="M907" t="n">
        <v>56.702</v>
      </c>
      <c r="N907" t="inlineStr">
        <is>
          <t>Explore_F2</t>
        </is>
      </c>
      <c r="O907" t="inlineStr">
        <is>
          <t>Second familiar</t>
        </is>
      </c>
      <c r="P907" t="inlineStr">
        <is>
          <t>STATE</t>
        </is>
      </c>
      <c r="Q907" t="n">
        <v>485.499</v>
      </c>
      <c r="R907" t="n">
        <v>485.899</v>
      </c>
      <c r="S907" t="n">
        <v>0.4</v>
      </c>
      <c r="T907" t="inlineStr">
        <is>
          <t>C:/Users/manuel.felline/Documents/BEHAVIOR BTBR/NOR second cohort/BTBR/training/c7_m6.mp4</t>
        </is>
      </c>
      <c r="U907" t="n">
        <v>14865</v>
      </c>
      <c r="V907" t="n">
        <v>14877</v>
      </c>
      <c r="W907" t="n">
        <v/>
      </c>
      <c r="X907" t="n">
        <v/>
      </c>
      <c r="Y907" t="n">
        <v/>
      </c>
      <c r="Z907" t="n">
        <v/>
      </c>
      <c r="AA907">
        <f>SUMIFS($S$2:S907,$A$2:A907,A907,$N$2:N907,"Explore*")</f>
        <v/>
      </c>
      <c r="AB907">
        <f>IF(AND(LEFT(N907,7)="Explore",(AA907-IF(LEFT(N907,7)="Explore",S907,0))&lt;10),"SI","NO")</f>
        <v/>
      </c>
    </row>
    <row r="908">
      <c r="A908" t="inlineStr">
        <is>
          <t>c7m6_training</t>
        </is>
      </c>
      <c r="B908" t="inlineStr">
        <is>
          <t>2026-06-18 10:55:11.594</t>
        </is>
      </c>
      <c r="C908" t="n">
        <v/>
      </c>
      <c r="D908" t="inlineStr">
        <is>
          <t>Media file</t>
        </is>
      </c>
      <c r="E908" t="inlineStr">
        <is>
          <t>player #1:C:/Users/manuel.felline/Documents/BEHAVIOR BTBR/NOR second cohort/BTBR/training/c7_m6.mp4</t>
        </is>
      </c>
      <c r="F908" t="n">
        <v>-10.067</v>
      </c>
      <c r="G908" t="n">
        <v>594.366</v>
      </c>
      <c r="H908" t="n">
        <v>627.699</v>
      </c>
      <c r="I908" t="n">
        <v>30</v>
      </c>
      <c r="J908" t="inlineStr">
        <is>
          <t>BTBR</t>
        </is>
      </c>
      <c r="K908" t="inlineStr">
        <is>
          <t>Male</t>
        </is>
      </c>
      <c r="L908" t="inlineStr">
        <is>
          <t>No focal subject</t>
        </is>
      </c>
      <c r="M908" t="n">
        <v>56.702</v>
      </c>
      <c r="N908" t="inlineStr">
        <is>
          <t>Explore_F</t>
        </is>
      </c>
      <c r="O908" t="inlineStr">
        <is>
          <t>Familiar</t>
        </is>
      </c>
      <c r="P908" t="inlineStr">
        <is>
          <t>STATE</t>
        </is>
      </c>
      <c r="Q908" t="n">
        <v>507.866</v>
      </c>
      <c r="R908" t="n">
        <v>508.232</v>
      </c>
      <c r="S908" t="n">
        <v>0.366</v>
      </c>
      <c r="T908" t="inlineStr">
        <is>
          <t>C:/Users/manuel.felline/Documents/BEHAVIOR BTBR/NOR second cohort/BTBR/training/c7_m6.mp4</t>
        </is>
      </c>
      <c r="U908" t="n">
        <v>15536</v>
      </c>
      <c r="V908" t="n">
        <v>15547</v>
      </c>
      <c r="W908" t="n">
        <v/>
      </c>
      <c r="X908" t="n">
        <v/>
      </c>
      <c r="Y908" t="n">
        <v/>
      </c>
      <c r="Z908" t="n">
        <v/>
      </c>
      <c r="AA908">
        <f>SUMIFS($S$2:S908,$A$2:A908,A908,$N$2:N908,"Explore*")</f>
        <v/>
      </c>
      <c r="AB908">
        <f>IF(AND(LEFT(N908,7)="Explore",(AA908-IF(LEFT(N908,7)="Explore",S908,0))&lt;10),"SI","NO")</f>
        <v/>
      </c>
    </row>
    <row r="909">
      <c r="A909" t="inlineStr">
        <is>
          <t>c7m6_training</t>
        </is>
      </c>
      <c r="B909" t="inlineStr">
        <is>
          <t>2026-06-18 10:55:11.594</t>
        </is>
      </c>
      <c r="C909" t="n">
        <v/>
      </c>
      <c r="D909" t="inlineStr">
        <is>
          <t>Media file</t>
        </is>
      </c>
      <c r="E909" t="inlineStr">
        <is>
          <t>player #1:C:/Users/manuel.felline/Documents/BEHAVIOR BTBR/NOR second cohort/BTBR/training/c7_m6.mp4</t>
        </is>
      </c>
      <c r="F909" t="n">
        <v>-10.067</v>
      </c>
      <c r="G909" t="n">
        <v>594.366</v>
      </c>
      <c r="H909" t="n">
        <v>627.699</v>
      </c>
      <c r="I909" t="n">
        <v>30</v>
      </c>
      <c r="J909" t="inlineStr">
        <is>
          <t>BTBR</t>
        </is>
      </c>
      <c r="K909" t="inlineStr">
        <is>
          <t>Male</t>
        </is>
      </c>
      <c r="L909" t="inlineStr">
        <is>
          <t>No focal subject</t>
        </is>
      </c>
      <c r="M909" t="n">
        <v>56.702</v>
      </c>
      <c r="N909" t="inlineStr">
        <is>
          <t>Explore_F2</t>
        </is>
      </c>
      <c r="O909" t="inlineStr">
        <is>
          <t>Second familiar</t>
        </is>
      </c>
      <c r="P909" t="inlineStr">
        <is>
          <t>STATE</t>
        </is>
      </c>
      <c r="Q909" t="n">
        <v>538.932</v>
      </c>
      <c r="R909" t="n">
        <v>539.299</v>
      </c>
      <c r="S909" t="n">
        <v>0.367</v>
      </c>
      <c r="T909" t="inlineStr">
        <is>
          <t>C:/Users/manuel.felline/Documents/BEHAVIOR BTBR/NOR second cohort/BTBR/training/c7_m6.mp4</t>
        </is>
      </c>
      <c r="U909" t="n">
        <v>16468</v>
      </c>
      <c r="V909" t="n">
        <v>16479</v>
      </c>
      <c r="W909" t="n">
        <v/>
      </c>
      <c r="X909" t="n">
        <v/>
      </c>
      <c r="Y909" t="n">
        <v/>
      </c>
      <c r="Z909" t="n">
        <v/>
      </c>
      <c r="AA909">
        <f>SUMIFS($S$2:S909,$A$2:A909,A909,$N$2:N909,"Explore*")</f>
        <v/>
      </c>
      <c r="AB909">
        <f>IF(AND(LEFT(N909,7)="Explore",(AA909-IF(LEFT(N909,7)="Explore",S909,0))&lt;10),"SI","NO")</f>
        <v/>
      </c>
    </row>
    <row r="910">
      <c r="A910" t="inlineStr">
        <is>
          <t>c7m6_training</t>
        </is>
      </c>
      <c r="B910" t="inlineStr">
        <is>
          <t>2026-06-18 10:55:11.594</t>
        </is>
      </c>
      <c r="C910" t="n">
        <v/>
      </c>
      <c r="D910" t="inlineStr">
        <is>
          <t>Media file</t>
        </is>
      </c>
      <c r="E910" t="inlineStr">
        <is>
          <t>player #1:C:/Users/manuel.felline/Documents/BEHAVIOR BTBR/NOR second cohort/BTBR/training/c7_m6.mp4</t>
        </is>
      </c>
      <c r="F910" t="n">
        <v>-10.067</v>
      </c>
      <c r="G910" t="n">
        <v>594.366</v>
      </c>
      <c r="H910" t="n">
        <v>627.699</v>
      </c>
      <c r="I910" t="n">
        <v>30</v>
      </c>
      <c r="J910" t="inlineStr">
        <is>
          <t>BTBR</t>
        </is>
      </c>
      <c r="K910" t="inlineStr">
        <is>
          <t>Male</t>
        </is>
      </c>
      <c r="L910" t="inlineStr">
        <is>
          <t>No focal subject</t>
        </is>
      </c>
      <c r="M910" t="n">
        <v>56.702</v>
      </c>
      <c r="N910" t="inlineStr">
        <is>
          <t>Explore_F2</t>
        </is>
      </c>
      <c r="O910" t="inlineStr">
        <is>
          <t>Second familiar</t>
        </is>
      </c>
      <c r="P910" t="inlineStr">
        <is>
          <t>STATE</t>
        </is>
      </c>
      <c r="Q910" t="n">
        <v>546.766</v>
      </c>
      <c r="R910" t="n">
        <v>547.1319999999999</v>
      </c>
      <c r="S910" t="n">
        <v>0.366</v>
      </c>
      <c r="T910" t="inlineStr">
        <is>
          <t>C:/Users/manuel.felline/Documents/BEHAVIOR BTBR/NOR second cohort/BTBR/training/c7_m6.mp4</t>
        </is>
      </c>
      <c r="U910" t="n">
        <v>16703</v>
      </c>
      <c r="V910" t="n">
        <v>16714</v>
      </c>
      <c r="W910" t="n">
        <v/>
      </c>
      <c r="X910" t="n">
        <v/>
      </c>
      <c r="Y910" t="n">
        <v/>
      </c>
      <c r="Z910" t="n">
        <v/>
      </c>
      <c r="AA910">
        <f>SUMIFS($S$2:S910,$A$2:A910,A910,$N$2:N910,"Explore*")</f>
        <v/>
      </c>
      <c r="AB910">
        <f>IF(AND(LEFT(N910,7)="Explore",(AA910-IF(LEFT(N910,7)="Explore",S910,0))&lt;10),"SI","NO")</f>
        <v/>
      </c>
    </row>
    <row r="911">
      <c r="A911" t="inlineStr">
        <is>
          <t>c7m6_training</t>
        </is>
      </c>
      <c r="B911" t="inlineStr">
        <is>
          <t>2026-06-18 10:55:11.594</t>
        </is>
      </c>
      <c r="C911" t="n">
        <v/>
      </c>
      <c r="D911" t="inlineStr">
        <is>
          <t>Media file</t>
        </is>
      </c>
      <c r="E911" t="inlineStr">
        <is>
          <t>player #1:C:/Users/manuel.felline/Documents/BEHAVIOR BTBR/NOR second cohort/BTBR/training/c7_m6.mp4</t>
        </is>
      </c>
      <c r="F911" t="n">
        <v>-10.067</v>
      </c>
      <c r="G911" t="n">
        <v>594.366</v>
      </c>
      <c r="H911" t="n">
        <v>627.699</v>
      </c>
      <c r="I911" t="n">
        <v>30</v>
      </c>
      <c r="J911" t="inlineStr">
        <is>
          <t>BTBR</t>
        </is>
      </c>
      <c r="K911" t="inlineStr">
        <is>
          <t>Male</t>
        </is>
      </c>
      <c r="L911" t="inlineStr">
        <is>
          <t>No focal subject</t>
        </is>
      </c>
      <c r="M911" t="n">
        <v>56.702</v>
      </c>
      <c r="N911" t="inlineStr">
        <is>
          <t>Explore_F</t>
        </is>
      </c>
      <c r="O911" t="inlineStr">
        <is>
          <t>Familiar</t>
        </is>
      </c>
      <c r="P911" t="inlineStr">
        <is>
          <t>STATE</t>
        </is>
      </c>
      <c r="Q911" t="n">
        <v>563.332</v>
      </c>
      <c r="R911" t="n">
        <v>563.6660000000001</v>
      </c>
      <c r="S911" t="n">
        <v>0.334</v>
      </c>
      <c r="T911" t="inlineStr">
        <is>
          <t>C:/Users/manuel.felline/Documents/BEHAVIOR BTBR/NOR second cohort/BTBR/training/c7_m6.mp4</t>
        </is>
      </c>
      <c r="U911" t="n">
        <v>17200</v>
      </c>
      <c r="V911" t="n">
        <v>17210</v>
      </c>
      <c r="W911" t="n">
        <v/>
      </c>
      <c r="X911" t="n">
        <v/>
      </c>
      <c r="Y911" t="n">
        <v/>
      </c>
      <c r="Z911" t="n">
        <v/>
      </c>
      <c r="AA911">
        <f>SUMIFS($S$2:S911,$A$2:A911,A911,$N$2:N911,"Explore*")</f>
        <v/>
      </c>
      <c r="AB911">
        <f>IF(AND(LEFT(N911,7)="Explore",(AA911-IF(LEFT(N911,7)="Explore",S911,0))&lt;10),"SI","NO")</f>
        <v/>
      </c>
    </row>
    <row r="912">
      <c r="A912" t="inlineStr">
        <is>
          <t>c7m6_training</t>
        </is>
      </c>
      <c r="B912" t="inlineStr">
        <is>
          <t>2026-06-18 10:55:11.594</t>
        </is>
      </c>
      <c r="C912" t="n">
        <v/>
      </c>
      <c r="D912" t="inlineStr">
        <is>
          <t>Media file</t>
        </is>
      </c>
      <c r="E912" t="inlineStr">
        <is>
          <t>player #1:C:/Users/manuel.felline/Documents/BEHAVIOR BTBR/NOR second cohort/BTBR/training/c7_m6.mp4</t>
        </is>
      </c>
      <c r="F912" t="n">
        <v>-10.067</v>
      </c>
      <c r="G912" t="n">
        <v>594.366</v>
      </c>
      <c r="H912" t="n">
        <v>627.699</v>
      </c>
      <c r="I912" t="n">
        <v>30</v>
      </c>
      <c r="J912" t="inlineStr">
        <is>
          <t>BTBR</t>
        </is>
      </c>
      <c r="K912" t="inlineStr">
        <is>
          <t>Male</t>
        </is>
      </c>
      <c r="L912" t="inlineStr">
        <is>
          <t>No focal subject</t>
        </is>
      </c>
      <c r="M912" t="n">
        <v>56.702</v>
      </c>
      <c r="N912" t="inlineStr">
        <is>
          <t>Explore_F</t>
        </is>
      </c>
      <c r="O912" t="inlineStr">
        <is>
          <t>Familiar</t>
        </is>
      </c>
      <c r="P912" t="inlineStr">
        <is>
          <t>STATE</t>
        </is>
      </c>
      <c r="Q912" t="n">
        <v>570.066</v>
      </c>
      <c r="R912" t="n">
        <v>570.366</v>
      </c>
      <c r="S912" t="n">
        <v>0.3</v>
      </c>
      <c r="T912" t="inlineStr">
        <is>
          <t>C:/Users/manuel.felline/Documents/BEHAVIOR BTBR/NOR second cohort/BTBR/training/c7_m6.mp4</t>
        </is>
      </c>
      <c r="U912" t="n">
        <v>17402</v>
      </c>
      <c r="V912" t="n">
        <v>17411</v>
      </c>
      <c r="W912" t="n">
        <v/>
      </c>
      <c r="X912" t="n">
        <v/>
      </c>
      <c r="Y912" t="n">
        <v/>
      </c>
      <c r="Z912" t="n">
        <v/>
      </c>
      <c r="AA912">
        <f>SUMIFS($S$2:S912,$A$2:A912,A912,$N$2:N912,"Explore*")</f>
        <v/>
      </c>
      <c r="AB912">
        <f>IF(AND(LEFT(N912,7)="Explore",(AA912-IF(LEFT(N912,7)="Explore",S912,0))&lt;10),"SI","NO")</f>
        <v/>
      </c>
    </row>
    <row r="913">
      <c r="A913" t="inlineStr">
        <is>
          <t>c7m6_training</t>
        </is>
      </c>
      <c r="B913" t="inlineStr">
        <is>
          <t>2026-06-18 10:55:11.594</t>
        </is>
      </c>
      <c r="C913" t="n">
        <v/>
      </c>
      <c r="D913" t="inlineStr">
        <is>
          <t>Media file</t>
        </is>
      </c>
      <c r="E913" t="inlineStr">
        <is>
          <t>player #1:C:/Users/manuel.felline/Documents/BEHAVIOR BTBR/NOR second cohort/BTBR/training/c7_m6.mp4</t>
        </is>
      </c>
      <c r="F913" t="n">
        <v>-10.067</v>
      </c>
      <c r="G913" t="n">
        <v>594.366</v>
      </c>
      <c r="H913" t="n">
        <v>627.699</v>
      </c>
      <c r="I913" t="n">
        <v>30</v>
      </c>
      <c r="J913" t="inlineStr">
        <is>
          <t>BTBR</t>
        </is>
      </c>
      <c r="K913" t="inlineStr">
        <is>
          <t>Male</t>
        </is>
      </c>
      <c r="L913" t="inlineStr">
        <is>
          <t>No focal subject</t>
        </is>
      </c>
      <c r="M913" t="n">
        <v>56.702</v>
      </c>
      <c r="N913" t="inlineStr">
        <is>
          <t>Explore_F</t>
        </is>
      </c>
      <c r="O913" t="inlineStr">
        <is>
          <t>Familiar</t>
        </is>
      </c>
      <c r="P913" t="inlineStr">
        <is>
          <t>STATE</t>
        </is>
      </c>
      <c r="Q913" t="n">
        <v>575.399</v>
      </c>
      <c r="R913" t="n">
        <v>575.699</v>
      </c>
      <c r="S913" t="n">
        <v>0.3</v>
      </c>
      <c r="T913" t="inlineStr">
        <is>
          <t>C:/Users/manuel.felline/Documents/BEHAVIOR BTBR/NOR second cohort/BTBR/training/c7_m6.mp4</t>
        </is>
      </c>
      <c r="U913" t="n">
        <v>17562</v>
      </c>
      <c r="V913" t="n">
        <v>17571</v>
      </c>
      <c r="W913" t="n">
        <v/>
      </c>
      <c r="X913" t="n">
        <v/>
      </c>
      <c r="Y913" t="n">
        <v/>
      </c>
      <c r="Z913" t="n">
        <v/>
      </c>
      <c r="AA913">
        <f>SUMIFS($S$2:S913,$A$2:A913,A913,$N$2:N913,"Explore*")</f>
        <v/>
      </c>
      <c r="AB913">
        <f>IF(AND(LEFT(N913,7)="Explore",(AA913-IF(LEFT(N913,7)="Explore",S913,0))&lt;10),"SI","NO")</f>
        <v/>
      </c>
    </row>
    <row r="914">
      <c r="A914" t="inlineStr">
        <is>
          <t>c7m6_training</t>
        </is>
      </c>
      <c r="B914" t="inlineStr">
        <is>
          <t>2026-06-18 10:55:11.594</t>
        </is>
      </c>
      <c r="C914" t="n">
        <v/>
      </c>
      <c r="D914" t="inlineStr">
        <is>
          <t>Media file</t>
        </is>
      </c>
      <c r="E914" t="inlineStr">
        <is>
          <t>player #1:C:/Users/manuel.felline/Documents/BEHAVIOR BTBR/NOR second cohort/BTBR/training/c7_m6.mp4</t>
        </is>
      </c>
      <c r="F914" t="n">
        <v>-10.067</v>
      </c>
      <c r="G914" t="n">
        <v>594.366</v>
      </c>
      <c r="H914" t="n">
        <v>627.699</v>
      </c>
      <c r="I914" t="n">
        <v>30</v>
      </c>
      <c r="J914" t="inlineStr">
        <is>
          <t>BTBR</t>
        </is>
      </c>
      <c r="K914" t="inlineStr">
        <is>
          <t>Male</t>
        </is>
      </c>
      <c r="L914" t="inlineStr">
        <is>
          <t>No focal subject</t>
        </is>
      </c>
      <c r="M914" t="n">
        <v>56.702</v>
      </c>
      <c r="N914" t="inlineStr">
        <is>
          <t>Explore_F</t>
        </is>
      </c>
      <c r="O914" t="inlineStr">
        <is>
          <t>Familiar</t>
        </is>
      </c>
      <c r="P914" t="inlineStr">
        <is>
          <t>STATE</t>
        </is>
      </c>
      <c r="Q914" t="n">
        <v>580.766</v>
      </c>
      <c r="R914" t="n">
        <v>581.1319999999999</v>
      </c>
      <c r="S914" t="n">
        <v>0.366</v>
      </c>
      <c r="T914" t="inlineStr">
        <is>
          <t>C:/Users/manuel.felline/Documents/BEHAVIOR BTBR/NOR second cohort/BTBR/training/c7_m6.mp4</t>
        </is>
      </c>
      <c r="U914" t="n">
        <v>17722</v>
      </c>
      <c r="V914" t="n">
        <v>17733</v>
      </c>
      <c r="W914" t="n">
        <v/>
      </c>
      <c r="X914" t="n">
        <v/>
      </c>
      <c r="Y914" t="n">
        <v/>
      </c>
      <c r="Z914" t="n">
        <v/>
      </c>
      <c r="AA914">
        <f>SUMIFS($S$2:S914,$A$2:A914,A914,$N$2:N914,"Explore*")</f>
        <v/>
      </c>
      <c r="AB914">
        <f>IF(AND(LEFT(N914,7)="Explore",(AA914-IF(LEFT(N914,7)="Explore",S914,0))&lt;10),"SI","NO")</f>
        <v/>
      </c>
    </row>
    <row r="915">
      <c r="A915" t="inlineStr">
        <is>
          <t>c7m6_training</t>
        </is>
      </c>
      <c r="B915" t="inlineStr">
        <is>
          <t>2026-06-18 10:55:11.594</t>
        </is>
      </c>
      <c r="C915" t="n">
        <v/>
      </c>
      <c r="D915" t="inlineStr">
        <is>
          <t>Media file</t>
        </is>
      </c>
      <c r="E915" t="inlineStr">
        <is>
          <t>player #1:C:/Users/manuel.felline/Documents/BEHAVIOR BTBR/NOR second cohort/BTBR/training/c7_m6.mp4</t>
        </is>
      </c>
      <c r="F915" t="n">
        <v>-10.067</v>
      </c>
      <c r="G915" t="n">
        <v>594.366</v>
      </c>
      <c r="H915" t="n">
        <v>627.699</v>
      </c>
      <c r="I915" t="n">
        <v>30</v>
      </c>
      <c r="J915" t="inlineStr">
        <is>
          <t>BTBR</t>
        </is>
      </c>
      <c r="K915" t="inlineStr">
        <is>
          <t>Male</t>
        </is>
      </c>
      <c r="L915" t="inlineStr">
        <is>
          <t>No focal subject</t>
        </is>
      </c>
      <c r="M915" t="n">
        <v>56.702</v>
      </c>
      <c r="N915" t="inlineStr">
        <is>
          <t>Explore_F2</t>
        </is>
      </c>
      <c r="O915" t="inlineStr">
        <is>
          <t>Second familiar</t>
        </is>
      </c>
      <c r="P915" t="inlineStr">
        <is>
          <t>STATE</t>
        </is>
      </c>
      <c r="Q915" t="n">
        <v>586.432</v>
      </c>
      <c r="R915" t="n">
        <v>586.832</v>
      </c>
      <c r="S915" t="n">
        <v>0.4</v>
      </c>
      <c r="T915" t="inlineStr">
        <is>
          <t>C:/Users/manuel.felline/Documents/BEHAVIOR BTBR/NOR second cohort/BTBR/training/c7_m6.mp4</t>
        </is>
      </c>
      <c r="U915" t="n">
        <v>17892</v>
      </c>
      <c r="V915" t="n">
        <v>17904</v>
      </c>
      <c r="W915" t="n">
        <v/>
      </c>
      <c r="X915" t="n">
        <v/>
      </c>
      <c r="Y915" t="n">
        <v/>
      </c>
      <c r="Z915" t="n">
        <v/>
      </c>
      <c r="AA915">
        <f>SUMIFS($S$2:S915,$A$2:A915,A915,$N$2:N915,"Explore*")</f>
        <v/>
      </c>
      <c r="AB915">
        <f>IF(AND(LEFT(N915,7)="Explore",(AA915-IF(LEFT(N915,7)="Explore",S915,0))&lt;10),"SI","NO")</f>
        <v/>
      </c>
    </row>
    <row r="916">
      <c r="A916" t="inlineStr">
        <is>
          <t>c7m6_training</t>
        </is>
      </c>
      <c r="B916" t="inlineStr">
        <is>
          <t>2026-06-18 10:55:11.594</t>
        </is>
      </c>
      <c r="C916" t="n">
        <v/>
      </c>
      <c r="D916" t="inlineStr">
        <is>
          <t>Media file</t>
        </is>
      </c>
      <c r="E916" t="inlineStr">
        <is>
          <t>player #1:C:/Users/manuel.felline/Documents/BEHAVIOR BTBR/NOR second cohort/BTBR/training/c7_m6.mp4</t>
        </is>
      </c>
      <c r="F916" t="n">
        <v>-10.067</v>
      </c>
      <c r="G916" t="n">
        <v>594.366</v>
      </c>
      <c r="H916" t="n">
        <v>627.699</v>
      </c>
      <c r="I916" t="n">
        <v>30</v>
      </c>
      <c r="J916" t="inlineStr">
        <is>
          <t>BTBR</t>
        </is>
      </c>
      <c r="K916" t="inlineStr">
        <is>
          <t>Male</t>
        </is>
      </c>
      <c r="L916" t="inlineStr">
        <is>
          <t>No focal subject</t>
        </is>
      </c>
      <c r="M916" t="n">
        <v>56.702</v>
      </c>
      <c r="N916" t="inlineStr">
        <is>
          <t>Explore_F</t>
        </is>
      </c>
      <c r="O916" t="inlineStr">
        <is>
          <t>Familiar</t>
        </is>
      </c>
      <c r="P916" t="inlineStr">
        <is>
          <t>STATE</t>
        </is>
      </c>
      <c r="Q916" t="n">
        <v>596.099</v>
      </c>
      <c r="R916" t="n">
        <v>596.466</v>
      </c>
      <c r="S916" t="n">
        <v>0.367</v>
      </c>
      <c r="T916" t="inlineStr">
        <is>
          <t>C:/Users/manuel.felline/Documents/BEHAVIOR BTBR/NOR second cohort/BTBR/training/c7_m6.mp4</t>
        </is>
      </c>
      <c r="U916" t="n">
        <v>18182</v>
      </c>
      <c r="V916" t="n">
        <v>18193</v>
      </c>
      <c r="W916" t="n">
        <v/>
      </c>
      <c r="X916" t="n">
        <v/>
      </c>
      <c r="Y916" t="n">
        <v/>
      </c>
      <c r="Z916" t="n">
        <v/>
      </c>
      <c r="AA916">
        <f>SUMIFS($S$2:S916,$A$2:A916,A916,$N$2:N916,"Explore*")</f>
        <v/>
      </c>
      <c r="AB916">
        <f>IF(AND(LEFT(N916,7)="Explore",(AA916-IF(LEFT(N916,7)="Explore",S916,0))&lt;10),"SI","NO")</f>
        <v/>
      </c>
    </row>
    <row r="917">
      <c r="A917" t="inlineStr">
        <is>
          <t>c10f1_training</t>
        </is>
      </c>
      <c r="B917" t="inlineStr">
        <is>
          <t>2026-06-19 16:03:55.815</t>
        </is>
      </c>
      <c r="C917" t="n">
        <v/>
      </c>
      <c r="D917" t="inlineStr">
        <is>
          <t>Media file</t>
        </is>
      </c>
      <c r="E917" t="inlineStr">
        <is>
          <t>player #1:C:/Users/manuel.felline/Documents/BEHAVIOR BTBR/NOR second cohort/BTBR/training/c10_f1.mp4</t>
        </is>
      </c>
      <c r="F917" t="n">
        <v>-16.233</v>
      </c>
      <c r="G917" t="n">
        <v>590.933</v>
      </c>
      <c r="H917" t="n">
        <v>653.199</v>
      </c>
      <c r="I917" t="n">
        <v>30</v>
      </c>
      <c r="J917" t="inlineStr">
        <is>
          <t>BTBR</t>
        </is>
      </c>
      <c r="K917" t="inlineStr">
        <is>
          <t xml:space="preserve"> Female</t>
        </is>
      </c>
      <c r="L917" t="inlineStr">
        <is>
          <t>No focal subject</t>
        </is>
      </c>
      <c r="M917" t="n">
        <v>38.863</v>
      </c>
      <c r="N917" t="inlineStr">
        <is>
          <t>Explore_F2</t>
        </is>
      </c>
      <c r="O917" t="inlineStr">
        <is>
          <t>Second familiar</t>
        </is>
      </c>
      <c r="P917" t="inlineStr">
        <is>
          <t>STATE</t>
        </is>
      </c>
      <c r="Q917" t="n">
        <v>4.367</v>
      </c>
      <c r="R917" t="n">
        <v>4.734</v>
      </c>
      <c r="S917" t="n">
        <v>0.367</v>
      </c>
      <c r="T917" t="inlineStr">
        <is>
          <t>C:/Users/manuel.felline/Documents/BEHAVIOR BTBR/NOR second cohort/BTBR/training/c10_f1.mp4</t>
        </is>
      </c>
      <c r="U917" t="n">
        <v>618</v>
      </c>
      <c r="V917" t="n">
        <v>629</v>
      </c>
      <c r="W917" t="n">
        <v/>
      </c>
      <c r="X917" t="n">
        <v/>
      </c>
      <c r="Y917" t="n">
        <v/>
      </c>
      <c r="Z917" t="n">
        <v/>
      </c>
      <c r="AA917">
        <f>SUMIFS($S$2:S917,$A$2:A917,A917,$N$2:N917,"Explore*")</f>
        <v/>
      </c>
      <c r="AB917">
        <f>IF(AND(LEFT(N917,7)="Explore",(AA917-IF(LEFT(N917,7)="Explore",S917,0))&lt;10),"SI","NO")</f>
        <v/>
      </c>
    </row>
    <row r="918">
      <c r="A918" t="inlineStr">
        <is>
          <t>c10f1_training</t>
        </is>
      </c>
      <c r="B918" t="inlineStr">
        <is>
          <t>2026-06-19 16:03:55.815</t>
        </is>
      </c>
      <c r="C918" t="n">
        <v/>
      </c>
      <c r="D918" t="inlineStr">
        <is>
          <t>Media file</t>
        </is>
      </c>
      <c r="E918" t="inlineStr">
        <is>
          <t>player #1:C:/Users/manuel.felline/Documents/BEHAVIOR BTBR/NOR second cohort/BTBR/training/c10_f1.mp4</t>
        </is>
      </c>
      <c r="F918" t="n">
        <v>-16.233</v>
      </c>
      <c r="G918" t="n">
        <v>590.933</v>
      </c>
      <c r="H918" t="n">
        <v>653.199</v>
      </c>
      <c r="I918" t="n">
        <v>30</v>
      </c>
      <c r="J918" t="inlineStr">
        <is>
          <t>BTBR</t>
        </is>
      </c>
      <c r="K918" t="inlineStr">
        <is>
          <t xml:space="preserve"> Female</t>
        </is>
      </c>
      <c r="L918" t="inlineStr">
        <is>
          <t>No focal subject</t>
        </is>
      </c>
      <c r="M918" t="n">
        <v>38.863</v>
      </c>
      <c r="N918" t="inlineStr">
        <is>
          <t>Explore_F</t>
        </is>
      </c>
      <c r="O918" t="inlineStr">
        <is>
          <t>Familiar</t>
        </is>
      </c>
      <c r="P918" t="inlineStr">
        <is>
          <t>STATE</t>
        </is>
      </c>
      <c r="Q918" t="n">
        <v>7.834</v>
      </c>
      <c r="R918" t="n">
        <v>10.1</v>
      </c>
      <c r="S918" t="n">
        <v>2.266</v>
      </c>
      <c r="T918" t="inlineStr">
        <is>
          <t>C:/Users/manuel.felline/Documents/BEHAVIOR BTBR/NOR second cohort/BTBR/training/c10_f1.mp4</t>
        </is>
      </c>
      <c r="U918" t="n">
        <v>722</v>
      </c>
      <c r="V918" t="n">
        <v>790</v>
      </c>
      <c r="W918" t="n">
        <v/>
      </c>
      <c r="X918" t="n">
        <v/>
      </c>
      <c r="Y918" t="n">
        <v/>
      </c>
      <c r="Z918" t="n">
        <v/>
      </c>
      <c r="AA918">
        <f>SUMIFS($S$2:S918,$A$2:A918,A918,$N$2:N918,"Explore*")</f>
        <v/>
      </c>
      <c r="AB918">
        <f>IF(AND(LEFT(N918,7)="Explore",(AA918-IF(LEFT(N918,7)="Explore",S918,0))&lt;10),"SI","NO")</f>
        <v/>
      </c>
    </row>
    <row r="919">
      <c r="A919" t="inlineStr">
        <is>
          <t>c10f1_training</t>
        </is>
      </c>
      <c r="B919" t="inlineStr">
        <is>
          <t>2026-06-19 16:03:55.815</t>
        </is>
      </c>
      <c r="C919" t="n">
        <v/>
      </c>
      <c r="D919" t="inlineStr">
        <is>
          <t>Media file</t>
        </is>
      </c>
      <c r="E919" t="inlineStr">
        <is>
          <t>player #1:C:/Users/manuel.felline/Documents/BEHAVIOR BTBR/NOR second cohort/BTBR/training/c10_f1.mp4</t>
        </is>
      </c>
      <c r="F919" t="n">
        <v>-16.233</v>
      </c>
      <c r="G919" t="n">
        <v>590.933</v>
      </c>
      <c r="H919" t="n">
        <v>653.199</v>
      </c>
      <c r="I919" t="n">
        <v>30</v>
      </c>
      <c r="J919" t="inlineStr">
        <is>
          <t>BTBR</t>
        </is>
      </c>
      <c r="K919" t="inlineStr">
        <is>
          <t xml:space="preserve"> Female</t>
        </is>
      </c>
      <c r="L919" t="inlineStr">
        <is>
          <t>No focal subject</t>
        </is>
      </c>
      <c r="M919" t="n">
        <v>38.863</v>
      </c>
      <c r="N919" t="inlineStr">
        <is>
          <t>Explore_F2</t>
        </is>
      </c>
      <c r="O919" t="inlineStr">
        <is>
          <t>Second familiar</t>
        </is>
      </c>
      <c r="P919" t="inlineStr">
        <is>
          <t>STATE</t>
        </is>
      </c>
      <c r="Q919" t="n">
        <v>14.034</v>
      </c>
      <c r="R919" t="n">
        <v>14.367</v>
      </c>
      <c r="S919" t="n">
        <v>0.333</v>
      </c>
      <c r="T919" t="inlineStr">
        <is>
          <t>C:/Users/manuel.felline/Documents/BEHAVIOR BTBR/NOR second cohort/BTBR/training/c10_f1.mp4</t>
        </is>
      </c>
      <c r="U919" t="n">
        <v>908</v>
      </c>
      <c r="V919" t="n">
        <v>918</v>
      </c>
      <c r="W919" t="n">
        <v/>
      </c>
      <c r="X919" t="n">
        <v/>
      </c>
      <c r="Y919" t="n">
        <v/>
      </c>
      <c r="Z919" t="n">
        <v/>
      </c>
      <c r="AA919">
        <f>SUMIFS($S$2:S919,$A$2:A919,A919,$N$2:N919,"Explore*")</f>
        <v/>
      </c>
      <c r="AB919">
        <f>IF(AND(LEFT(N919,7)="Explore",(AA919-IF(LEFT(N919,7)="Explore",S919,0))&lt;10),"SI","NO")</f>
        <v/>
      </c>
    </row>
    <row r="920">
      <c r="A920" t="inlineStr">
        <is>
          <t>c10f1_training</t>
        </is>
      </c>
      <c r="B920" t="inlineStr">
        <is>
          <t>2026-06-19 16:03:55.815</t>
        </is>
      </c>
      <c r="C920" t="n">
        <v/>
      </c>
      <c r="D920" t="inlineStr">
        <is>
          <t>Media file</t>
        </is>
      </c>
      <c r="E920" t="inlineStr">
        <is>
          <t>player #1:C:/Users/manuel.felline/Documents/BEHAVIOR BTBR/NOR second cohort/BTBR/training/c10_f1.mp4</t>
        </is>
      </c>
      <c r="F920" t="n">
        <v>-16.233</v>
      </c>
      <c r="G920" t="n">
        <v>590.933</v>
      </c>
      <c r="H920" t="n">
        <v>653.199</v>
      </c>
      <c r="I920" t="n">
        <v>30</v>
      </c>
      <c r="J920" t="inlineStr">
        <is>
          <t>BTBR</t>
        </is>
      </c>
      <c r="K920" t="inlineStr">
        <is>
          <t xml:space="preserve"> Female</t>
        </is>
      </c>
      <c r="L920" t="inlineStr">
        <is>
          <t>No focal subject</t>
        </is>
      </c>
      <c r="M920" t="n">
        <v>38.863</v>
      </c>
      <c r="N920" t="inlineStr">
        <is>
          <t>Explore_F</t>
        </is>
      </c>
      <c r="O920" t="inlineStr">
        <is>
          <t>Familiar</t>
        </is>
      </c>
      <c r="P920" t="inlineStr">
        <is>
          <t>STATE</t>
        </is>
      </c>
      <c r="Q920" t="n">
        <v>16.634</v>
      </c>
      <c r="R920" t="n">
        <v>16.934</v>
      </c>
      <c r="S920" t="n">
        <v>0.3</v>
      </c>
      <c r="T920" t="inlineStr">
        <is>
          <t>C:/Users/manuel.felline/Documents/BEHAVIOR BTBR/NOR second cohort/BTBR/training/c10_f1.mp4</t>
        </is>
      </c>
      <c r="U920" t="n">
        <v>986</v>
      </c>
      <c r="V920" t="n">
        <v>995</v>
      </c>
      <c r="W920" t="n">
        <v/>
      </c>
      <c r="X920" t="n">
        <v/>
      </c>
      <c r="Y920" t="n">
        <v/>
      </c>
      <c r="Z920" t="n">
        <v/>
      </c>
      <c r="AA920">
        <f>SUMIFS($S$2:S920,$A$2:A920,A920,$N$2:N920,"Explore*")</f>
        <v/>
      </c>
      <c r="AB920">
        <f>IF(AND(LEFT(N920,7)="Explore",(AA920-IF(LEFT(N920,7)="Explore",S920,0))&lt;10),"SI","NO")</f>
        <v/>
      </c>
    </row>
    <row r="921">
      <c r="A921" t="inlineStr">
        <is>
          <t>c10f1_training</t>
        </is>
      </c>
      <c r="B921" t="inlineStr">
        <is>
          <t>2026-06-19 16:03:55.815</t>
        </is>
      </c>
      <c r="C921" t="n">
        <v/>
      </c>
      <c r="D921" t="inlineStr">
        <is>
          <t>Media file</t>
        </is>
      </c>
      <c r="E921" t="inlineStr">
        <is>
          <t>player #1:C:/Users/manuel.felline/Documents/BEHAVIOR BTBR/NOR second cohort/BTBR/training/c10_f1.mp4</t>
        </is>
      </c>
      <c r="F921" t="n">
        <v>-16.233</v>
      </c>
      <c r="G921" t="n">
        <v>590.933</v>
      </c>
      <c r="H921" t="n">
        <v>653.199</v>
      </c>
      <c r="I921" t="n">
        <v>30</v>
      </c>
      <c r="J921" t="inlineStr">
        <is>
          <t>BTBR</t>
        </is>
      </c>
      <c r="K921" t="inlineStr">
        <is>
          <t xml:space="preserve"> Female</t>
        </is>
      </c>
      <c r="L921" t="inlineStr">
        <is>
          <t>No focal subject</t>
        </is>
      </c>
      <c r="M921" t="n">
        <v>38.863</v>
      </c>
      <c r="N921" t="inlineStr">
        <is>
          <t>Explore_F</t>
        </is>
      </c>
      <c r="O921" t="inlineStr">
        <is>
          <t>Familiar</t>
        </is>
      </c>
      <c r="P921" t="inlineStr">
        <is>
          <t>STATE</t>
        </is>
      </c>
      <c r="Q921" t="n">
        <v>22.634</v>
      </c>
      <c r="R921" t="n">
        <v>22.9</v>
      </c>
      <c r="S921" t="n">
        <v>0.266</v>
      </c>
      <c r="T921" t="inlineStr">
        <is>
          <t>C:/Users/manuel.felline/Documents/BEHAVIOR BTBR/NOR second cohort/BTBR/training/c10_f1.mp4</t>
        </is>
      </c>
      <c r="U921" t="n">
        <v>1166</v>
      </c>
      <c r="V921" t="n">
        <v>1174</v>
      </c>
      <c r="W921" t="n">
        <v/>
      </c>
      <c r="X921" t="n">
        <v/>
      </c>
      <c r="Y921" t="n">
        <v/>
      </c>
      <c r="Z921" t="n">
        <v/>
      </c>
      <c r="AA921">
        <f>SUMIFS($S$2:S921,$A$2:A921,A921,$N$2:N921,"Explore*")</f>
        <v/>
      </c>
      <c r="AB921">
        <f>IF(AND(LEFT(N921,7)="Explore",(AA921-IF(LEFT(N921,7)="Explore",S921,0))&lt;10),"SI","NO")</f>
        <v/>
      </c>
    </row>
    <row r="922">
      <c r="A922" t="inlineStr">
        <is>
          <t>c10f1_training</t>
        </is>
      </c>
      <c r="B922" t="inlineStr">
        <is>
          <t>2026-06-19 16:03:55.815</t>
        </is>
      </c>
      <c r="C922" t="n">
        <v/>
      </c>
      <c r="D922" t="inlineStr">
        <is>
          <t>Media file</t>
        </is>
      </c>
      <c r="E922" t="inlineStr">
        <is>
          <t>player #1:C:/Users/manuel.felline/Documents/BEHAVIOR BTBR/NOR second cohort/BTBR/training/c10_f1.mp4</t>
        </is>
      </c>
      <c r="F922" t="n">
        <v>-16.233</v>
      </c>
      <c r="G922" t="n">
        <v>590.933</v>
      </c>
      <c r="H922" t="n">
        <v>653.199</v>
      </c>
      <c r="I922" t="n">
        <v>30</v>
      </c>
      <c r="J922" t="inlineStr">
        <is>
          <t>BTBR</t>
        </is>
      </c>
      <c r="K922" t="inlineStr">
        <is>
          <t xml:space="preserve"> Female</t>
        </is>
      </c>
      <c r="L922" t="inlineStr">
        <is>
          <t>No focal subject</t>
        </is>
      </c>
      <c r="M922" t="n">
        <v>38.863</v>
      </c>
      <c r="N922" t="inlineStr">
        <is>
          <t>Explore_F2</t>
        </is>
      </c>
      <c r="O922" t="inlineStr">
        <is>
          <t>Second familiar</t>
        </is>
      </c>
      <c r="P922" t="inlineStr">
        <is>
          <t>STATE</t>
        </is>
      </c>
      <c r="Q922" t="n">
        <v>25.567</v>
      </c>
      <c r="R922" t="n">
        <v>26.3</v>
      </c>
      <c r="S922" t="n">
        <v>0.733</v>
      </c>
      <c r="T922" t="inlineStr">
        <is>
          <t>C:/Users/manuel.felline/Documents/BEHAVIOR BTBR/NOR second cohort/BTBR/training/c10_f1.mp4</t>
        </is>
      </c>
      <c r="U922" t="n">
        <v>1254</v>
      </c>
      <c r="V922" t="n">
        <v>1276</v>
      </c>
      <c r="W922" t="n">
        <v/>
      </c>
      <c r="X922" t="n">
        <v/>
      </c>
      <c r="Y922" t="n">
        <v/>
      </c>
      <c r="Z922" t="n">
        <v/>
      </c>
      <c r="AA922">
        <f>SUMIFS($S$2:S922,$A$2:A922,A922,$N$2:N922,"Explore*")</f>
        <v/>
      </c>
      <c r="AB922">
        <f>IF(AND(LEFT(N922,7)="Explore",(AA922-IF(LEFT(N922,7)="Explore",S922,0))&lt;10),"SI","NO")</f>
        <v/>
      </c>
    </row>
    <row r="923">
      <c r="A923" t="inlineStr">
        <is>
          <t>c10f1_training</t>
        </is>
      </c>
      <c r="B923" t="inlineStr">
        <is>
          <t>2026-06-19 16:03:55.815</t>
        </is>
      </c>
      <c r="C923" t="n">
        <v/>
      </c>
      <c r="D923" t="inlineStr">
        <is>
          <t>Media file</t>
        </is>
      </c>
      <c r="E923" t="inlineStr">
        <is>
          <t>player #1:C:/Users/manuel.felline/Documents/BEHAVIOR BTBR/NOR second cohort/BTBR/training/c10_f1.mp4</t>
        </is>
      </c>
      <c r="F923" t="n">
        <v>-16.233</v>
      </c>
      <c r="G923" t="n">
        <v>590.933</v>
      </c>
      <c r="H923" t="n">
        <v>653.199</v>
      </c>
      <c r="I923" t="n">
        <v>30</v>
      </c>
      <c r="J923" t="inlineStr">
        <is>
          <t>BTBR</t>
        </is>
      </c>
      <c r="K923" t="inlineStr">
        <is>
          <t xml:space="preserve"> Female</t>
        </is>
      </c>
      <c r="L923" t="inlineStr">
        <is>
          <t>No focal subject</t>
        </is>
      </c>
      <c r="M923" t="n">
        <v>38.863</v>
      </c>
      <c r="N923" t="inlineStr">
        <is>
          <t>Explore_F</t>
        </is>
      </c>
      <c r="O923" t="inlineStr">
        <is>
          <t>Familiar</t>
        </is>
      </c>
      <c r="P923" t="inlineStr">
        <is>
          <t>STATE</t>
        </is>
      </c>
      <c r="Q923" t="n">
        <v>26.867</v>
      </c>
      <c r="R923" t="n">
        <v>27.2</v>
      </c>
      <c r="S923" t="n">
        <v>0.333</v>
      </c>
      <c r="T923" t="inlineStr">
        <is>
          <t>C:/Users/manuel.felline/Documents/BEHAVIOR BTBR/NOR second cohort/BTBR/training/c10_f1.mp4</t>
        </is>
      </c>
      <c r="U923" t="n">
        <v>1293</v>
      </c>
      <c r="V923" t="n">
        <v>1303</v>
      </c>
      <c r="W923" t="n">
        <v/>
      </c>
      <c r="X923" t="n">
        <v/>
      </c>
      <c r="Y923" t="n">
        <v/>
      </c>
      <c r="Z923" t="n">
        <v/>
      </c>
      <c r="AA923">
        <f>SUMIFS($S$2:S923,$A$2:A923,A923,$N$2:N923,"Explore*")</f>
        <v/>
      </c>
      <c r="AB923">
        <f>IF(AND(LEFT(N923,7)="Explore",(AA923-IF(LEFT(N923,7)="Explore",S923,0))&lt;10),"SI","NO")</f>
        <v/>
      </c>
    </row>
    <row r="924">
      <c r="A924" t="inlineStr">
        <is>
          <t>c10f1_training</t>
        </is>
      </c>
      <c r="B924" t="inlineStr">
        <is>
          <t>2026-06-19 16:03:55.815</t>
        </is>
      </c>
      <c r="C924" t="n">
        <v/>
      </c>
      <c r="D924" t="inlineStr">
        <is>
          <t>Media file</t>
        </is>
      </c>
      <c r="E924" t="inlineStr">
        <is>
          <t>player #1:C:/Users/manuel.felline/Documents/BEHAVIOR BTBR/NOR second cohort/BTBR/training/c10_f1.mp4</t>
        </is>
      </c>
      <c r="F924" t="n">
        <v>-16.233</v>
      </c>
      <c r="G924" t="n">
        <v>590.933</v>
      </c>
      <c r="H924" t="n">
        <v>653.199</v>
      </c>
      <c r="I924" t="n">
        <v>30</v>
      </c>
      <c r="J924" t="inlineStr">
        <is>
          <t>BTBR</t>
        </is>
      </c>
      <c r="K924" t="inlineStr">
        <is>
          <t xml:space="preserve"> Female</t>
        </is>
      </c>
      <c r="L924" t="inlineStr">
        <is>
          <t>No focal subject</t>
        </is>
      </c>
      <c r="M924" t="n">
        <v>38.863</v>
      </c>
      <c r="N924" t="inlineStr">
        <is>
          <t>Explore_F2</t>
        </is>
      </c>
      <c r="O924" t="inlineStr">
        <is>
          <t>Second familiar</t>
        </is>
      </c>
      <c r="P924" t="inlineStr">
        <is>
          <t>STATE</t>
        </is>
      </c>
      <c r="Q924" t="n">
        <v>30.9</v>
      </c>
      <c r="R924" t="n">
        <v>31.167</v>
      </c>
      <c r="S924" t="n">
        <v>0.267</v>
      </c>
      <c r="T924" t="inlineStr">
        <is>
          <t>C:/Users/manuel.felline/Documents/BEHAVIOR BTBR/NOR second cohort/BTBR/training/c10_f1.mp4</t>
        </is>
      </c>
      <c r="U924" t="n">
        <v>1414</v>
      </c>
      <c r="V924" t="n">
        <v>1422</v>
      </c>
      <c r="W924" t="n">
        <v/>
      </c>
      <c r="X924" t="n">
        <v/>
      </c>
      <c r="Y924" t="n">
        <v/>
      </c>
      <c r="Z924" t="n">
        <v/>
      </c>
      <c r="AA924">
        <f>SUMIFS($S$2:S924,$A$2:A924,A924,$N$2:N924,"Explore*")</f>
        <v/>
      </c>
      <c r="AB924">
        <f>IF(AND(LEFT(N924,7)="Explore",(AA924-IF(LEFT(N924,7)="Explore",S924,0))&lt;10),"SI","NO")</f>
        <v/>
      </c>
    </row>
    <row r="925">
      <c r="A925" t="inlineStr">
        <is>
          <t>c10f1_training</t>
        </is>
      </c>
      <c r="B925" t="inlineStr">
        <is>
          <t>2026-06-19 16:03:55.815</t>
        </is>
      </c>
      <c r="C925" t="n">
        <v/>
      </c>
      <c r="D925" t="inlineStr">
        <is>
          <t>Media file</t>
        </is>
      </c>
      <c r="E925" t="inlineStr">
        <is>
          <t>player #1:C:/Users/manuel.felline/Documents/BEHAVIOR BTBR/NOR second cohort/BTBR/training/c10_f1.mp4</t>
        </is>
      </c>
      <c r="F925" t="n">
        <v>-16.233</v>
      </c>
      <c r="G925" t="n">
        <v>590.933</v>
      </c>
      <c r="H925" t="n">
        <v>653.199</v>
      </c>
      <c r="I925" t="n">
        <v>30</v>
      </c>
      <c r="J925" t="inlineStr">
        <is>
          <t>BTBR</t>
        </is>
      </c>
      <c r="K925" t="inlineStr">
        <is>
          <t xml:space="preserve"> Female</t>
        </is>
      </c>
      <c r="L925" t="inlineStr">
        <is>
          <t>No focal subject</t>
        </is>
      </c>
      <c r="M925" t="n">
        <v>38.863</v>
      </c>
      <c r="N925" t="inlineStr">
        <is>
          <t>Explore_F2</t>
        </is>
      </c>
      <c r="O925" t="inlineStr">
        <is>
          <t>Second familiar</t>
        </is>
      </c>
      <c r="P925" t="inlineStr">
        <is>
          <t>STATE</t>
        </is>
      </c>
      <c r="Q925" t="n">
        <v>44.634</v>
      </c>
      <c r="R925" t="n">
        <v>44.834</v>
      </c>
      <c r="S925" t="n">
        <v>0.2</v>
      </c>
      <c r="T925" t="inlineStr">
        <is>
          <t>C:/Users/manuel.felline/Documents/BEHAVIOR BTBR/NOR second cohort/BTBR/training/c10_f1.mp4</t>
        </is>
      </c>
      <c r="U925" t="n">
        <v>1826</v>
      </c>
      <c r="V925" t="n">
        <v>1832</v>
      </c>
      <c r="W925" t="n">
        <v/>
      </c>
      <c r="X925" t="n">
        <v/>
      </c>
      <c r="Y925" t="n">
        <v/>
      </c>
      <c r="Z925" t="n">
        <v/>
      </c>
      <c r="AA925">
        <f>SUMIFS($S$2:S925,$A$2:A925,A925,$N$2:N925,"Explore*")</f>
        <v/>
      </c>
      <c r="AB925">
        <f>IF(AND(LEFT(N925,7)="Explore",(AA925-IF(LEFT(N925,7)="Explore",S925,0))&lt;10),"SI","NO")</f>
        <v/>
      </c>
    </row>
    <row r="926">
      <c r="A926" t="inlineStr">
        <is>
          <t>c10f1_training</t>
        </is>
      </c>
      <c r="B926" t="inlineStr">
        <is>
          <t>2026-06-19 16:03:55.815</t>
        </is>
      </c>
      <c r="C926" t="n">
        <v/>
      </c>
      <c r="D926" t="inlineStr">
        <is>
          <t>Media file</t>
        </is>
      </c>
      <c r="E926" t="inlineStr">
        <is>
          <t>player #1:C:/Users/manuel.felline/Documents/BEHAVIOR BTBR/NOR second cohort/BTBR/training/c10_f1.mp4</t>
        </is>
      </c>
      <c r="F926" t="n">
        <v>-16.233</v>
      </c>
      <c r="G926" t="n">
        <v>590.933</v>
      </c>
      <c r="H926" t="n">
        <v>653.199</v>
      </c>
      <c r="I926" t="n">
        <v>30</v>
      </c>
      <c r="J926" t="inlineStr">
        <is>
          <t>BTBR</t>
        </is>
      </c>
      <c r="K926" t="inlineStr">
        <is>
          <t xml:space="preserve"> Female</t>
        </is>
      </c>
      <c r="L926" t="inlineStr">
        <is>
          <t>No focal subject</t>
        </is>
      </c>
      <c r="M926" t="n">
        <v>38.863</v>
      </c>
      <c r="N926" t="inlineStr">
        <is>
          <t>Explore_F</t>
        </is>
      </c>
      <c r="O926" t="inlineStr">
        <is>
          <t>Familiar</t>
        </is>
      </c>
      <c r="P926" t="inlineStr">
        <is>
          <t>STATE</t>
        </is>
      </c>
      <c r="Q926" t="n">
        <v>46.934</v>
      </c>
      <c r="R926" t="n">
        <v>47.434</v>
      </c>
      <c r="S926" t="n">
        <v>0.5</v>
      </c>
      <c r="T926" t="inlineStr">
        <is>
          <t>C:/Users/manuel.felline/Documents/BEHAVIOR BTBR/NOR second cohort/BTBR/training/c10_f1.mp4</t>
        </is>
      </c>
      <c r="U926" t="n">
        <v>1894</v>
      </c>
      <c r="V926" t="n">
        <v>1909</v>
      </c>
      <c r="W926" t="n">
        <v/>
      </c>
      <c r="X926" t="n">
        <v/>
      </c>
      <c r="Y926" t="n">
        <v/>
      </c>
      <c r="Z926" t="n">
        <v/>
      </c>
      <c r="AA926">
        <f>SUMIFS($S$2:S926,$A$2:A926,A926,$N$2:N926,"Explore*")</f>
        <v/>
      </c>
      <c r="AB926">
        <f>IF(AND(LEFT(N926,7)="Explore",(AA926-IF(LEFT(N926,7)="Explore",S926,0))&lt;10),"SI","NO")</f>
        <v/>
      </c>
    </row>
    <row r="927">
      <c r="A927" t="inlineStr">
        <is>
          <t>c10f1_training</t>
        </is>
      </c>
      <c r="B927" t="inlineStr">
        <is>
          <t>2026-06-19 16:03:55.815</t>
        </is>
      </c>
      <c r="C927" t="n">
        <v/>
      </c>
      <c r="D927" t="inlineStr">
        <is>
          <t>Media file</t>
        </is>
      </c>
      <c r="E927" t="inlineStr">
        <is>
          <t>player #1:C:/Users/manuel.felline/Documents/BEHAVIOR BTBR/NOR second cohort/BTBR/training/c10_f1.mp4</t>
        </is>
      </c>
      <c r="F927" t="n">
        <v>-16.233</v>
      </c>
      <c r="G927" t="n">
        <v>590.933</v>
      </c>
      <c r="H927" t="n">
        <v>653.199</v>
      </c>
      <c r="I927" t="n">
        <v>30</v>
      </c>
      <c r="J927" t="inlineStr">
        <is>
          <t>BTBR</t>
        </is>
      </c>
      <c r="K927" t="inlineStr">
        <is>
          <t xml:space="preserve"> Female</t>
        </is>
      </c>
      <c r="L927" t="inlineStr">
        <is>
          <t>No focal subject</t>
        </is>
      </c>
      <c r="M927" t="n">
        <v>38.863</v>
      </c>
      <c r="N927" t="inlineStr">
        <is>
          <t>Explore_F</t>
        </is>
      </c>
      <c r="O927" t="inlineStr">
        <is>
          <t>Familiar</t>
        </is>
      </c>
      <c r="P927" t="inlineStr">
        <is>
          <t>STATE</t>
        </is>
      </c>
      <c r="Q927" t="n">
        <v>48.334</v>
      </c>
      <c r="R927" t="n">
        <v>48.634</v>
      </c>
      <c r="S927" t="n">
        <v>0.3</v>
      </c>
      <c r="T927" t="inlineStr">
        <is>
          <t>C:/Users/manuel.felline/Documents/BEHAVIOR BTBR/NOR second cohort/BTBR/training/c10_f1.mp4</t>
        </is>
      </c>
      <c r="U927" t="n">
        <v>1936</v>
      </c>
      <c r="V927" t="n">
        <v>1945</v>
      </c>
      <c r="W927" t="n">
        <v/>
      </c>
      <c r="X927" t="n">
        <v/>
      </c>
      <c r="Y927" t="n">
        <v/>
      </c>
      <c r="Z927" t="n">
        <v/>
      </c>
      <c r="AA927">
        <f>SUMIFS($S$2:S927,$A$2:A927,A927,$N$2:N927,"Explore*")</f>
        <v/>
      </c>
      <c r="AB927">
        <f>IF(AND(LEFT(N927,7)="Explore",(AA927-IF(LEFT(N927,7)="Explore",S927,0))&lt;10),"SI","NO")</f>
        <v/>
      </c>
    </row>
    <row r="928">
      <c r="A928" t="inlineStr">
        <is>
          <t>c10f1_training</t>
        </is>
      </c>
      <c r="B928" t="inlineStr">
        <is>
          <t>2026-06-19 16:03:55.815</t>
        </is>
      </c>
      <c r="C928" t="n">
        <v/>
      </c>
      <c r="D928" t="inlineStr">
        <is>
          <t>Media file</t>
        </is>
      </c>
      <c r="E928" t="inlineStr">
        <is>
          <t>player #1:C:/Users/manuel.felline/Documents/BEHAVIOR BTBR/NOR second cohort/BTBR/training/c10_f1.mp4</t>
        </is>
      </c>
      <c r="F928" t="n">
        <v>-16.233</v>
      </c>
      <c r="G928" t="n">
        <v>590.933</v>
      </c>
      <c r="H928" t="n">
        <v>653.199</v>
      </c>
      <c r="I928" t="n">
        <v>30</v>
      </c>
      <c r="J928" t="inlineStr">
        <is>
          <t>BTBR</t>
        </is>
      </c>
      <c r="K928" t="inlineStr">
        <is>
          <t xml:space="preserve"> Female</t>
        </is>
      </c>
      <c r="L928" t="inlineStr">
        <is>
          <t>No focal subject</t>
        </is>
      </c>
      <c r="M928" t="n">
        <v>38.863</v>
      </c>
      <c r="N928" t="inlineStr">
        <is>
          <t>Explore_F</t>
        </is>
      </c>
      <c r="O928" t="inlineStr">
        <is>
          <t>Familiar</t>
        </is>
      </c>
      <c r="P928" t="inlineStr">
        <is>
          <t>STATE</t>
        </is>
      </c>
      <c r="Q928" t="n">
        <v>68.267</v>
      </c>
      <c r="R928" t="n">
        <v>68.90000000000001</v>
      </c>
      <c r="S928" t="n">
        <v>0.633</v>
      </c>
      <c r="T928" t="inlineStr">
        <is>
          <t>C:/Users/manuel.felline/Documents/BEHAVIOR BTBR/NOR second cohort/BTBR/training/c10_f1.mp4</t>
        </is>
      </c>
      <c r="U928" t="n">
        <v>2534</v>
      </c>
      <c r="V928" t="n">
        <v>2553</v>
      </c>
      <c r="W928" t="n">
        <v/>
      </c>
      <c r="X928" t="n">
        <v/>
      </c>
      <c r="Y928" t="n">
        <v/>
      </c>
      <c r="Z928" t="n">
        <v/>
      </c>
      <c r="AA928">
        <f>SUMIFS($S$2:S928,$A$2:A928,A928,$N$2:N928,"Explore*")</f>
        <v/>
      </c>
      <c r="AB928">
        <f>IF(AND(LEFT(N928,7)="Explore",(AA928-IF(LEFT(N928,7)="Explore",S928,0))&lt;10),"SI","NO")</f>
        <v/>
      </c>
    </row>
    <row r="929">
      <c r="A929" t="inlineStr">
        <is>
          <t>c10f1_training</t>
        </is>
      </c>
      <c r="B929" t="inlineStr">
        <is>
          <t>2026-06-19 16:03:55.815</t>
        </is>
      </c>
      <c r="C929" t="n">
        <v/>
      </c>
      <c r="D929" t="inlineStr">
        <is>
          <t>Media file</t>
        </is>
      </c>
      <c r="E929" t="inlineStr">
        <is>
          <t>player #1:C:/Users/manuel.felline/Documents/BEHAVIOR BTBR/NOR second cohort/BTBR/training/c10_f1.mp4</t>
        </is>
      </c>
      <c r="F929" t="n">
        <v>-16.233</v>
      </c>
      <c r="G929" t="n">
        <v>590.933</v>
      </c>
      <c r="H929" t="n">
        <v>653.199</v>
      </c>
      <c r="I929" t="n">
        <v>30</v>
      </c>
      <c r="J929" t="inlineStr">
        <is>
          <t>BTBR</t>
        </is>
      </c>
      <c r="K929" t="inlineStr">
        <is>
          <t xml:space="preserve"> Female</t>
        </is>
      </c>
      <c r="L929" t="inlineStr">
        <is>
          <t>No focal subject</t>
        </is>
      </c>
      <c r="M929" t="n">
        <v>38.863</v>
      </c>
      <c r="N929" t="inlineStr">
        <is>
          <t>Explore_F2</t>
        </is>
      </c>
      <c r="O929" t="inlineStr">
        <is>
          <t>Second familiar</t>
        </is>
      </c>
      <c r="P929" t="inlineStr">
        <is>
          <t>STATE</t>
        </is>
      </c>
      <c r="Q929" t="n">
        <v>70.867</v>
      </c>
      <c r="R929" t="n">
        <v>72.267</v>
      </c>
      <c r="S929" t="n">
        <v>1.4</v>
      </c>
      <c r="T929" t="inlineStr">
        <is>
          <t>C:/Users/manuel.felline/Documents/BEHAVIOR BTBR/NOR second cohort/BTBR/training/c10_f1.mp4</t>
        </is>
      </c>
      <c r="U929" t="n">
        <v>2613</v>
      </c>
      <c r="V929" t="n">
        <v>2654</v>
      </c>
      <c r="W929" t="n">
        <v/>
      </c>
      <c r="X929" t="n">
        <v/>
      </c>
      <c r="Y929" t="n">
        <v/>
      </c>
      <c r="Z929" t="n">
        <v/>
      </c>
      <c r="AA929">
        <f>SUMIFS($S$2:S929,$A$2:A929,A929,$N$2:N929,"Explore*")</f>
        <v/>
      </c>
      <c r="AB929">
        <f>IF(AND(LEFT(N929,7)="Explore",(AA929-IF(LEFT(N929,7)="Explore",S929,0))&lt;10),"SI","NO")</f>
        <v/>
      </c>
    </row>
    <row r="930">
      <c r="A930" t="inlineStr">
        <is>
          <t>c10f1_training</t>
        </is>
      </c>
      <c r="B930" t="inlineStr">
        <is>
          <t>2026-06-19 16:03:55.815</t>
        </is>
      </c>
      <c r="C930" t="n">
        <v/>
      </c>
      <c r="D930" t="inlineStr">
        <is>
          <t>Media file</t>
        </is>
      </c>
      <c r="E930" t="inlineStr">
        <is>
          <t>player #1:C:/Users/manuel.felline/Documents/BEHAVIOR BTBR/NOR second cohort/BTBR/training/c10_f1.mp4</t>
        </is>
      </c>
      <c r="F930" t="n">
        <v>-16.233</v>
      </c>
      <c r="G930" t="n">
        <v>590.933</v>
      </c>
      <c r="H930" t="n">
        <v>653.199</v>
      </c>
      <c r="I930" t="n">
        <v>30</v>
      </c>
      <c r="J930" t="inlineStr">
        <is>
          <t>BTBR</t>
        </is>
      </c>
      <c r="K930" t="inlineStr">
        <is>
          <t xml:space="preserve"> Female</t>
        </is>
      </c>
      <c r="L930" t="inlineStr">
        <is>
          <t>No focal subject</t>
        </is>
      </c>
      <c r="M930" t="n">
        <v>38.863</v>
      </c>
      <c r="N930" t="inlineStr">
        <is>
          <t>Explore_F2</t>
        </is>
      </c>
      <c r="O930" t="inlineStr">
        <is>
          <t>Second familiar</t>
        </is>
      </c>
      <c r="P930" t="inlineStr">
        <is>
          <t>STATE</t>
        </is>
      </c>
      <c r="Q930" t="n">
        <v>73.53400000000001</v>
      </c>
      <c r="R930" t="n">
        <v>75.3</v>
      </c>
      <c r="S930" t="n">
        <v>1.766</v>
      </c>
      <c r="T930" t="inlineStr">
        <is>
          <t>C:/Users/manuel.felline/Documents/BEHAVIOR BTBR/NOR second cohort/BTBR/training/c10_f1.mp4</t>
        </is>
      </c>
      <c r="U930" t="n">
        <v>2692</v>
      </c>
      <c r="V930" t="n">
        <v>2745</v>
      </c>
      <c r="W930" t="n">
        <v/>
      </c>
      <c r="X930" t="n">
        <v/>
      </c>
      <c r="Y930" t="n">
        <v/>
      </c>
      <c r="Z930" t="n">
        <v/>
      </c>
      <c r="AA930">
        <f>SUMIFS($S$2:S930,$A$2:A930,A930,$N$2:N930,"Explore*")</f>
        <v/>
      </c>
      <c r="AB930">
        <f>IF(AND(LEFT(N930,7)="Explore",(AA930-IF(LEFT(N930,7)="Explore",S930,0))&lt;10),"SI","NO")</f>
        <v/>
      </c>
    </row>
    <row r="931">
      <c r="A931" t="inlineStr">
        <is>
          <t>c10f1_training</t>
        </is>
      </c>
      <c r="B931" t="inlineStr">
        <is>
          <t>2026-06-19 16:03:55.815</t>
        </is>
      </c>
      <c r="C931" t="n">
        <v/>
      </c>
      <c r="D931" t="inlineStr">
        <is>
          <t>Media file</t>
        </is>
      </c>
      <c r="E931" t="inlineStr">
        <is>
          <t>player #1:C:/Users/manuel.felline/Documents/BEHAVIOR BTBR/NOR second cohort/BTBR/training/c10_f1.mp4</t>
        </is>
      </c>
      <c r="F931" t="n">
        <v>-16.233</v>
      </c>
      <c r="G931" t="n">
        <v>590.933</v>
      </c>
      <c r="H931" t="n">
        <v>653.199</v>
      </c>
      <c r="I931" t="n">
        <v>30</v>
      </c>
      <c r="J931" t="inlineStr">
        <is>
          <t>BTBR</t>
        </is>
      </c>
      <c r="K931" t="inlineStr">
        <is>
          <t xml:space="preserve"> Female</t>
        </is>
      </c>
      <c r="L931" t="inlineStr">
        <is>
          <t>No focal subject</t>
        </is>
      </c>
      <c r="M931" t="n">
        <v>38.863</v>
      </c>
      <c r="N931" t="inlineStr">
        <is>
          <t>Explore_F2</t>
        </is>
      </c>
      <c r="O931" t="inlineStr">
        <is>
          <t>Second familiar</t>
        </is>
      </c>
      <c r="P931" t="inlineStr">
        <is>
          <t>STATE</t>
        </is>
      </c>
      <c r="Q931" t="n">
        <v>98.434</v>
      </c>
      <c r="R931" t="n">
        <v>98.7</v>
      </c>
      <c r="S931" t="n">
        <v>0.266</v>
      </c>
      <c r="T931" t="inlineStr">
        <is>
          <t>C:/Users/manuel.felline/Documents/BEHAVIOR BTBR/NOR second cohort/BTBR/training/c10_f1.mp4</t>
        </is>
      </c>
      <c r="U931" t="n">
        <v>3439</v>
      </c>
      <c r="V931" t="n">
        <v>3447</v>
      </c>
      <c r="W931" t="n">
        <v/>
      </c>
      <c r="X931" t="n">
        <v/>
      </c>
      <c r="Y931" t="n">
        <v/>
      </c>
      <c r="Z931" t="n">
        <v/>
      </c>
      <c r="AA931">
        <f>SUMIFS($S$2:S931,$A$2:A931,A931,$N$2:N931,"Explore*")</f>
        <v/>
      </c>
      <c r="AB931">
        <f>IF(AND(LEFT(N931,7)="Explore",(AA931-IF(LEFT(N931,7)="Explore",S931,0))&lt;10),"SI","NO")</f>
        <v/>
      </c>
    </row>
    <row r="932">
      <c r="A932" t="inlineStr">
        <is>
          <t>c10f1_training</t>
        </is>
      </c>
      <c r="B932" t="inlineStr">
        <is>
          <t>2026-06-19 16:03:55.815</t>
        </is>
      </c>
      <c r="C932" t="n">
        <v/>
      </c>
      <c r="D932" t="inlineStr">
        <is>
          <t>Media file</t>
        </is>
      </c>
      <c r="E932" t="inlineStr">
        <is>
          <t>player #1:C:/Users/manuel.felline/Documents/BEHAVIOR BTBR/NOR second cohort/BTBR/training/c10_f1.mp4</t>
        </is>
      </c>
      <c r="F932" t="n">
        <v>-16.233</v>
      </c>
      <c r="G932" t="n">
        <v>590.933</v>
      </c>
      <c r="H932" t="n">
        <v>653.199</v>
      </c>
      <c r="I932" t="n">
        <v>30</v>
      </c>
      <c r="J932" t="inlineStr">
        <is>
          <t>BTBR</t>
        </is>
      </c>
      <c r="K932" t="inlineStr">
        <is>
          <t xml:space="preserve"> Female</t>
        </is>
      </c>
      <c r="L932" t="inlineStr">
        <is>
          <t>No focal subject</t>
        </is>
      </c>
      <c r="M932" t="n">
        <v>38.863</v>
      </c>
      <c r="N932" t="inlineStr">
        <is>
          <t>Explore_F</t>
        </is>
      </c>
      <c r="O932" t="inlineStr">
        <is>
          <t>Familiar</t>
        </is>
      </c>
      <c r="P932" t="inlineStr">
        <is>
          <t>STATE</t>
        </is>
      </c>
      <c r="Q932" t="n">
        <v>100.367</v>
      </c>
      <c r="R932" t="n">
        <v>101.467</v>
      </c>
      <c r="S932" t="n">
        <v>1.1</v>
      </c>
      <c r="T932" t="inlineStr">
        <is>
          <t>C:/Users/manuel.felline/Documents/BEHAVIOR BTBR/NOR second cohort/BTBR/training/c10_f1.mp4</t>
        </is>
      </c>
      <c r="U932" t="n">
        <v>3497</v>
      </c>
      <c r="V932" t="n">
        <v>3530</v>
      </c>
      <c r="W932" t="n">
        <v/>
      </c>
      <c r="X932" t="n">
        <v/>
      </c>
      <c r="Y932" t="n">
        <v/>
      </c>
      <c r="Z932" t="n">
        <v/>
      </c>
      <c r="AA932">
        <f>SUMIFS($S$2:S932,$A$2:A932,A932,$N$2:N932,"Explore*")</f>
        <v/>
      </c>
      <c r="AB932">
        <f>IF(AND(LEFT(N932,7)="Explore",(AA932-IF(LEFT(N932,7)="Explore",S932,0))&lt;10),"SI","NO")</f>
        <v/>
      </c>
    </row>
    <row r="933">
      <c r="A933" t="inlineStr">
        <is>
          <t>c10f1_training</t>
        </is>
      </c>
      <c r="B933" t="inlineStr">
        <is>
          <t>2026-06-19 16:03:55.815</t>
        </is>
      </c>
      <c r="C933" t="n">
        <v/>
      </c>
      <c r="D933" t="inlineStr">
        <is>
          <t>Media file</t>
        </is>
      </c>
      <c r="E933" t="inlineStr">
        <is>
          <t>player #1:C:/Users/manuel.felline/Documents/BEHAVIOR BTBR/NOR second cohort/BTBR/training/c10_f1.mp4</t>
        </is>
      </c>
      <c r="F933" t="n">
        <v>-16.233</v>
      </c>
      <c r="G933" t="n">
        <v>590.933</v>
      </c>
      <c r="H933" t="n">
        <v>653.199</v>
      </c>
      <c r="I933" t="n">
        <v>30</v>
      </c>
      <c r="J933" t="inlineStr">
        <is>
          <t>BTBR</t>
        </is>
      </c>
      <c r="K933" t="inlineStr">
        <is>
          <t xml:space="preserve"> Female</t>
        </is>
      </c>
      <c r="L933" t="inlineStr">
        <is>
          <t>No focal subject</t>
        </is>
      </c>
      <c r="M933" t="n">
        <v>38.863</v>
      </c>
      <c r="N933" t="inlineStr">
        <is>
          <t>Explore_F</t>
        </is>
      </c>
      <c r="O933" t="inlineStr">
        <is>
          <t>Familiar</t>
        </is>
      </c>
      <c r="P933" t="inlineStr">
        <is>
          <t>STATE</t>
        </is>
      </c>
      <c r="Q933" t="n">
        <v>119.634</v>
      </c>
      <c r="R933" t="n">
        <v>120.7</v>
      </c>
      <c r="S933" t="n">
        <v>1.066</v>
      </c>
      <c r="T933" t="inlineStr">
        <is>
          <t>C:/Users/manuel.felline/Documents/BEHAVIOR BTBR/NOR second cohort/BTBR/training/c10_f1.mp4</t>
        </is>
      </c>
      <c r="U933" t="n">
        <v>4075</v>
      </c>
      <c r="V933" t="n">
        <v>4107</v>
      </c>
      <c r="W933" t="n">
        <v/>
      </c>
      <c r="X933" t="n">
        <v/>
      </c>
      <c r="Y933" t="n">
        <v/>
      </c>
      <c r="Z933" t="n">
        <v/>
      </c>
      <c r="AA933">
        <f>SUMIFS($S$2:S933,$A$2:A933,A933,$N$2:N933,"Explore*")</f>
        <v/>
      </c>
      <c r="AB933">
        <f>IF(AND(LEFT(N933,7)="Explore",(AA933-IF(LEFT(N933,7)="Explore",S933,0))&lt;10),"SI","NO")</f>
        <v/>
      </c>
    </row>
    <row r="934">
      <c r="A934" t="inlineStr">
        <is>
          <t>c10f1_training</t>
        </is>
      </c>
      <c r="B934" t="inlineStr">
        <is>
          <t>2026-06-19 16:03:55.815</t>
        </is>
      </c>
      <c r="C934" t="n">
        <v/>
      </c>
      <c r="D934" t="inlineStr">
        <is>
          <t>Media file</t>
        </is>
      </c>
      <c r="E934" t="inlineStr">
        <is>
          <t>player #1:C:/Users/manuel.felline/Documents/BEHAVIOR BTBR/NOR second cohort/BTBR/training/c10_f1.mp4</t>
        </is>
      </c>
      <c r="F934" t="n">
        <v>-16.233</v>
      </c>
      <c r="G934" t="n">
        <v>590.933</v>
      </c>
      <c r="H934" t="n">
        <v>653.199</v>
      </c>
      <c r="I934" t="n">
        <v>30</v>
      </c>
      <c r="J934" t="inlineStr">
        <is>
          <t>BTBR</t>
        </is>
      </c>
      <c r="K934" t="inlineStr">
        <is>
          <t xml:space="preserve"> Female</t>
        </is>
      </c>
      <c r="L934" t="inlineStr">
        <is>
          <t>No focal subject</t>
        </is>
      </c>
      <c r="M934" t="n">
        <v>38.863</v>
      </c>
      <c r="N934" t="inlineStr">
        <is>
          <t>Explore_F</t>
        </is>
      </c>
      <c r="O934" t="inlineStr">
        <is>
          <t>Familiar</t>
        </is>
      </c>
      <c r="P934" t="inlineStr">
        <is>
          <t>STATE</t>
        </is>
      </c>
      <c r="Q934" t="n">
        <v>135.067</v>
      </c>
      <c r="R934" t="n">
        <v>135.867</v>
      </c>
      <c r="S934" t="n">
        <v>0.8</v>
      </c>
      <c r="T934" t="inlineStr">
        <is>
          <t>C:/Users/manuel.felline/Documents/BEHAVIOR BTBR/NOR second cohort/BTBR/training/c10_f1.mp4</t>
        </is>
      </c>
      <c r="U934" t="n">
        <v>4538</v>
      </c>
      <c r="V934" t="n">
        <v>4562</v>
      </c>
      <c r="W934" t="n">
        <v/>
      </c>
      <c r="X934" t="n">
        <v/>
      </c>
      <c r="Y934" t="n">
        <v/>
      </c>
      <c r="Z934" t="n">
        <v/>
      </c>
      <c r="AA934">
        <f>SUMIFS($S$2:S934,$A$2:A934,A934,$N$2:N934,"Explore*")</f>
        <v/>
      </c>
      <c r="AB934">
        <f>IF(AND(LEFT(N934,7)="Explore",(AA934-IF(LEFT(N934,7)="Explore",S934,0))&lt;10),"SI","NO")</f>
        <v/>
      </c>
    </row>
    <row r="935">
      <c r="A935" t="inlineStr">
        <is>
          <t>c10f1_training</t>
        </is>
      </c>
      <c r="B935" t="inlineStr">
        <is>
          <t>2026-06-19 16:03:55.815</t>
        </is>
      </c>
      <c r="C935" t="n">
        <v/>
      </c>
      <c r="D935" t="inlineStr">
        <is>
          <t>Media file</t>
        </is>
      </c>
      <c r="E935" t="inlineStr">
        <is>
          <t>player #1:C:/Users/manuel.felline/Documents/BEHAVIOR BTBR/NOR second cohort/BTBR/training/c10_f1.mp4</t>
        </is>
      </c>
      <c r="F935" t="n">
        <v>-16.233</v>
      </c>
      <c r="G935" t="n">
        <v>590.933</v>
      </c>
      <c r="H935" t="n">
        <v>653.199</v>
      </c>
      <c r="I935" t="n">
        <v>30</v>
      </c>
      <c r="J935" t="inlineStr">
        <is>
          <t>BTBR</t>
        </is>
      </c>
      <c r="K935" t="inlineStr">
        <is>
          <t xml:space="preserve"> Female</t>
        </is>
      </c>
      <c r="L935" t="inlineStr">
        <is>
          <t>No focal subject</t>
        </is>
      </c>
      <c r="M935" t="n">
        <v>38.863</v>
      </c>
      <c r="N935" t="inlineStr">
        <is>
          <t>Explore_F2</t>
        </is>
      </c>
      <c r="O935" t="inlineStr">
        <is>
          <t>Second familiar</t>
        </is>
      </c>
      <c r="P935" t="inlineStr">
        <is>
          <t>STATE</t>
        </is>
      </c>
      <c r="Q935" t="n">
        <v>137.167</v>
      </c>
      <c r="R935" t="n">
        <v>137.767</v>
      </c>
      <c r="S935" t="n">
        <v>0.6</v>
      </c>
      <c r="T935" t="inlineStr">
        <is>
          <t>C:/Users/manuel.felline/Documents/BEHAVIOR BTBR/NOR second cohort/BTBR/training/c10_f1.mp4</t>
        </is>
      </c>
      <c r="U935" t="n">
        <v>4601</v>
      </c>
      <c r="V935" t="n">
        <v>4619</v>
      </c>
      <c r="W935" t="n">
        <v/>
      </c>
      <c r="X935" t="n">
        <v/>
      </c>
      <c r="Y935" t="n">
        <v/>
      </c>
      <c r="Z935" t="n">
        <v/>
      </c>
      <c r="AA935">
        <f>SUMIFS($S$2:S935,$A$2:A935,A935,$N$2:N935,"Explore*")</f>
        <v/>
      </c>
      <c r="AB935">
        <f>IF(AND(LEFT(N935,7)="Explore",(AA935-IF(LEFT(N935,7)="Explore",S935,0))&lt;10),"SI","NO")</f>
        <v/>
      </c>
    </row>
    <row r="936">
      <c r="A936" t="inlineStr">
        <is>
          <t>c10f1_training</t>
        </is>
      </c>
      <c r="B936" t="inlineStr">
        <is>
          <t>2026-06-19 16:03:55.815</t>
        </is>
      </c>
      <c r="C936" t="n">
        <v/>
      </c>
      <c r="D936" t="inlineStr">
        <is>
          <t>Media file</t>
        </is>
      </c>
      <c r="E936" t="inlineStr">
        <is>
          <t>player #1:C:/Users/manuel.felline/Documents/BEHAVIOR BTBR/NOR second cohort/BTBR/training/c10_f1.mp4</t>
        </is>
      </c>
      <c r="F936" t="n">
        <v>-16.233</v>
      </c>
      <c r="G936" t="n">
        <v>590.933</v>
      </c>
      <c r="H936" t="n">
        <v>653.199</v>
      </c>
      <c r="I936" t="n">
        <v>30</v>
      </c>
      <c r="J936" t="inlineStr">
        <is>
          <t>BTBR</t>
        </is>
      </c>
      <c r="K936" t="inlineStr">
        <is>
          <t xml:space="preserve"> Female</t>
        </is>
      </c>
      <c r="L936" t="inlineStr">
        <is>
          <t>No focal subject</t>
        </is>
      </c>
      <c r="M936" t="n">
        <v>38.863</v>
      </c>
      <c r="N936" t="inlineStr">
        <is>
          <t>Explore_F</t>
        </is>
      </c>
      <c r="O936" t="inlineStr">
        <is>
          <t>Familiar</t>
        </is>
      </c>
      <c r="P936" t="inlineStr">
        <is>
          <t>STATE</t>
        </is>
      </c>
      <c r="Q936" t="n">
        <v>172.633</v>
      </c>
      <c r="R936" t="n">
        <v>173.833</v>
      </c>
      <c r="S936" t="n">
        <v>1.2</v>
      </c>
      <c r="T936" t="inlineStr">
        <is>
          <t>C:/Users/manuel.felline/Documents/BEHAVIOR BTBR/NOR second cohort/BTBR/training/c10_f1.mp4</t>
        </is>
      </c>
      <c r="U936" t="n">
        <v>5665</v>
      </c>
      <c r="V936" t="n">
        <v>5700</v>
      </c>
      <c r="W936" t="n">
        <v/>
      </c>
      <c r="X936" t="n">
        <v/>
      </c>
      <c r="Y936" t="n">
        <v/>
      </c>
      <c r="Z936" t="n">
        <v/>
      </c>
      <c r="AA936">
        <f>SUMIFS($S$2:S936,$A$2:A936,A936,$N$2:N936,"Explore*")</f>
        <v/>
      </c>
      <c r="AB936">
        <f>IF(AND(LEFT(N936,7)="Explore",(AA936-IF(LEFT(N936,7)="Explore",S936,0))&lt;10),"SI","NO")</f>
        <v/>
      </c>
    </row>
    <row r="937">
      <c r="A937" t="inlineStr">
        <is>
          <t>c10f1_training</t>
        </is>
      </c>
      <c r="B937" t="inlineStr">
        <is>
          <t>2026-06-19 16:03:55.815</t>
        </is>
      </c>
      <c r="C937" t="n">
        <v/>
      </c>
      <c r="D937" t="inlineStr">
        <is>
          <t>Media file</t>
        </is>
      </c>
      <c r="E937" t="inlineStr">
        <is>
          <t>player #1:C:/Users/manuel.felline/Documents/BEHAVIOR BTBR/NOR second cohort/BTBR/training/c10_f1.mp4</t>
        </is>
      </c>
      <c r="F937" t="n">
        <v>-16.233</v>
      </c>
      <c r="G937" t="n">
        <v>590.933</v>
      </c>
      <c r="H937" t="n">
        <v>653.199</v>
      </c>
      <c r="I937" t="n">
        <v>30</v>
      </c>
      <c r="J937" t="inlineStr">
        <is>
          <t>BTBR</t>
        </is>
      </c>
      <c r="K937" t="inlineStr">
        <is>
          <t xml:space="preserve"> Female</t>
        </is>
      </c>
      <c r="L937" t="inlineStr">
        <is>
          <t>No focal subject</t>
        </is>
      </c>
      <c r="M937" t="n">
        <v>38.863</v>
      </c>
      <c r="N937" t="inlineStr">
        <is>
          <t>Explore_F2</t>
        </is>
      </c>
      <c r="O937" t="inlineStr">
        <is>
          <t>Second familiar</t>
        </is>
      </c>
      <c r="P937" t="inlineStr">
        <is>
          <t>STATE</t>
        </is>
      </c>
      <c r="Q937" t="n">
        <v>175.7</v>
      </c>
      <c r="R937" t="n">
        <v>176.8</v>
      </c>
      <c r="S937" t="n">
        <v>1.1</v>
      </c>
      <c r="T937" t="inlineStr">
        <is>
          <t>C:/Users/manuel.felline/Documents/BEHAVIOR BTBR/NOR second cohort/BTBR/training/c10_f1.mp4</t>
        </is>
      </c>
      <c r="U937" t="n">
        <v>5756</v>
      </c>
      <c r="V937" t="n">
        <v>5789</v>
      </c>
      <c r="W937" t="n">
        <v/>
      </c>
      <c r="X937" t="n">
        <v/>
      </c>
      <c r="Y937" t="n">
        <v/>
      </c>
      <c r="Z937" t="n">
        <v/>
      </c>
      <c r="AA937">
        <f>SUMIFS($S$2:S937,$A$2:A937,A937,$N$2:N937,"Explore*")</f>
        <v/>
      </c>
      <c r="AB937">
        <f>IF(AND(LEFT(N937,7)="Explore",(AA937-IF(LEFT(N937,7)="Explore",S937,0))&lt;10),"SI","NO")</f>
        <v/>
      </c>
    </row>
    <row r="938">
      <c r="A938" t="inlineStr">
        <is>
          <t>c10f1_training</t>
        </is>
      </c>
      <c r="B938" t="inlineStr">
        <is>
          <t>2026-06-19 16:03:55.815</t>
        </is>
      </c>
      <c r="C938" t="n">
        <v/>
      </c>
      <c r="D938" t="inlineStr">
        <is>
          <t>Media file</t>
        </is>
      </c>
      <c r="E938" t="inlineStr">
        <is>
          <t>player #1:C:/Users/manuel.felline/Documents/BEHAVIOR BTBR/NOR second cohort/BTBR/training/c10_f1.mp4</t>
        </is>
      </c>
      <c r="F938" t="n">
        <v>-16.233</v>
      </c>
      <c r="G938" t="n">
        <v>590.933</v>
      </c>
      <c r="H938" t="n">
        <v>653.199</v>
      </c>
      <c r="I938" t="n">
        <v>30</v>
      </c>
      <c r="J938" t="inlineStr">
        <is>
          <t>BTBR</t>
        </is>
      </c>
      <c r="K938" t="inlineStr">
        <is>
          <t xml:space="preserve"> Female</t>
        </is>
      </c>
      <c r="L938" t="inlineStr">
        <is>
          <t>No focal subject</t>
        </is>
      </c>
      <c r="M938" t="n">
        <v>38.863</v>
      </c>
      <c r="N938" t="inlineStr">
        <is>
          <t>Explore_F2</t>
        </is>
      </c>
      <c r="O938" t="inlineStr">
        <is>
          <t>Second familiar</t>
        </is>
      </c>
      <c r="P938" t="inlineStr">
        <is>
          <t>STATE</t>
        </is>
      </c>
      <c r="Q938" t="n">
        <v>213.233</v>
      </c>
      <c r="R938" t="n">
        <v>214.2</v>
      </c>
      <c r="S938" t="n">
        <v>0.967</v>
      </c>
      <c r="T938" t="inlineStr">
        <is>
          <t>C:/Users/manuel.felline/Documents/BEHAVIOR BTBR/NOR second cohort/BTBR/training/c10_f1.mp4</t>
        </is>
      </c>
      <c r="U938" t="n">
        <v>6882</v>
      </c>
      <c r="V938" t="n">
        <v>6911</v>
      </c>
      <c r="W938" t="n">
        <v/>
      </c>
      <c r="X938" t="n">
        <v/>
      </c>
      <c r="Y938" t="n">
        <v/>
      </c>
      <c r="Z938" t="n">
        <v/>
      </c>
      <c r="AA938">
        <f>SUMIFS($S$2:S938,$A$2:A938,A938,$N$2:N938,"Explore*")</f>
        <v/>
      </c>
      <c r="AB938">
        <f>IF(AND(LEFT(N938,7)="Explore",(AA938-IF(LEFT(N938,7)="Explore",S938,0))&lt;10),"SI","NO")</f>
        <v/>
      </c>
    </row>
    <row r="939">
      <c r="A939" t="inlineStr">
        <is>
          <t>c10f1_training</t>
        </is>
      </c>
      <c r="B939" t="inlineStr">
        <is>
          <t>2026-06-19 16:03:55.815</t>
        </is>
      </c>
      <c r="C939" t="n">
        <v/>
      </c>
      <c r="D939" t="inlineStr">
        <is>
          <t>Media file</t>
        </is>
      </c>
      <c r="E939" t="inlineStr">
        <is>
          <t>player #1:C:/Users/manuel.felline/Documents/BEHAVIOR BTBR/NOR second cohort/BTBR/training/c10_f1.mp4</t>
        </is>
      </c>
      <c r="F939" t="n">
        <v>-16.233</v>
      </c>
      <c r="G939" t="n">
        <v>590.933</v>
      </c>
      <c r="H939" t="n">
        <v>653.199</v>
      </c>
      <c r="I939" t="n">
        <v>30</v>
      </c>
      <c r="J939" t="inlineStr">
        <is>
          <t>BTBR</t>
        </is>
      </c>
      <c r="K939" t="inlineStr">
        <is>
          <t xml:space="preserve"> Female</t>
        </is>
      </c>
      <c r="L939" t="inlineStr">
        <is>
          <t>No focal subject</t>
        </is>
      </c>
      <c r="M939" t="n">
        <v>38.863</v>
      </c>
      <c r="N939" t="inlineStr">
        <is>
          <t>Explore_F</t>
        </is>
      </c>
      <c r="O939" t="inlineStr">
        <is>
          <t>Familiar</t>
        </is>
      </c>
      <c r="P939" t="inlineStr">
        <is>
          <t>STATE</t>
        </is>
      </c>
      <c r="Q939" t="n">
        <v>223.267</v>
      </c>
      <c r="R939" t="n">
        <v>224.5</v>
      </c>
      <c r="S939" t="n">
        <v>1.233</v>
      </c>
      <c r="T939" t="inlineStr">
        <is>
          <t>C:/Users/manuel.felline/Documents/BEHAVIOR BTBR/NOR second cohort/BTBR/training/c10_f1.mp4</t>
        </is>
      </c>
      <c r="U939" t="n">
        <v>7183</v>
      </c>
      <c r="V939" t="n">
        <v>7220</v>
      </c>
      <c r="W939" t="n">
        <v/>
      </c>
      <c r="X939" t="n">
        <v/>
      </c>
      <c r="Y939" t="n">
        <v/>
      </c>
      <c r="Z939" t="n">
        <v/>
      </c>
      <c r="AA939">
        <f>SUMIFS($S$2:S939,$A$2:A939,A939,$N$2:N939,"Explore*")</f>
        <v/>
      </c>
      <c r="AB939">
        <f>IF(AND(LEFT(N939,7)="Explore",(AA939-IF(LEFT(N939,7)="Explore",S939,0))&lt;10),"SI","NO")</f>
        <v/>
      </c>
    </row>
    <row r="940">
      <c r="A940" t="inlineStr">
        <is>
          <t>c10f1_training</t>
        </is>
      </c>
      <c r="B940" t="inlineStr">
        <is>
          <t>2026-06-19 16:03:55.815</t>
        </is>
      </c>
      <c r="C940" t="n">
        <v/>
      </c>
      <c r="D940" t="inlineStr">
        <is>
          <t>Media file</t>
        </is>
      </c>
      <c r="E940" t="inlineStr">
        <is>
          <t>player #1:C:/Users/manuel.felline/Documents/BEHAVIOR BTBR/NOR second cohort/BTBR/training/c10_f1.mp4</t>
        </is>
      </c>
      <c r="F940" t="n">
        <v>-16.233</v>
      </c>
      <c r="G940" t="n">
        <v>590.933</v>
      </c>
      <c r="H940" t="n">
        <v>653.199</v>
      </c>
      <c r="I940" t="n">
        <v>30</v>
      </c>
      <c r="J940" t="inlineStr">
        <is>
          <t>BTBR</t>
        </is>
      </c>
      <c r="K940" t="inlineStr">
        <is>
          <t xml:space="preserve"> Female</t>
        </is>
      </c>
      <c r="L940" t="inlineStr">
        <is>
          <t>No focal subject</t>
        </is>
      </c>
      <c r="M940" t="n">
        <v>38.863</v>
      </c>
      <c r="N940" t="inlineStr">
        <is>
          <t>Explore_F2</t>
        </is>
      </c>
      <c r="O940" t="inlineStr">
        <is>
          <t>Second familiar</t>
        </is>
      </c>
      <c r="P940" t="inlineStr">
        <is>
          <t>STATE</t>
        </is>
      </c>
      <c r="Q940" t="n">
        <v>226.3</v>
      </c>
      <c r="R940" t="n">
        <v>227.467</v>
      </c>
      <c r="S940" t="n">
        <v>1.167</v>
      </c>
      <c r="T940" t="inlineStr">
        <is>
          <t>C:/Users/manuel.felline/Documents/BEHAVIOR BTBR/NOR second cohort/BTBR/training/c10_f1.mp4</t>
        </is>
      </c>
      <c r="U940" t="n">
        <v>7274</v>
      </c>
      <c r="V940" t="n">
        <v>7309</v>
      </c>
      <c r="W940" t="n">
        <v/>
      </c>
      <c r="X940" t="n">
        <v/>
      </c>
      <c r="Y940" t="n">
        <v/>
      </c>
      <c r="Z940" t="n">
        <v/>
      </c>
      <c r="AA940">
        <f>SUMIFS($S$2:S940,$A$2:A940,A940,$N$2:N940,"Explore*")</f>
        <v/>
      </c>
      <c r="AB940">
        <f>IF(AND(LEFT(N940,7)="Explore",(AA940-IF(LEFT(N940,7)="Explore",S940,0))&lt;10),"SI","NO")</f>
        <v/>
      </c>
    </row>
    <row r="941">
      <c r="A941" t="inlineStr">
        <is>
          <t>c10f1_training</t>
        </is>
      </c>
      <c r="B941" t="inlineStr">
        <is>
          <t>2026-06-19 16:03:55.815</t>
        </is>
      </c>
      <c r="C941" t="n">
        <v/>
      </c>
      <c r="D941" t="inlineStr">
        <is>
          <t>Media file</t>
        </is>
      </c>
      <c r="E941" t="inlineStr">
        <is>
          <t>player #1:C:/Users/manuel.felline/Documents/BEHAVIOR BTBR/NOR second cohort/BTBR/training/c10_f1.mp4</t>
        </is>
      </c>
      <c r="F941" t="n">
        <v>-16.233</v>
      </c>
      <c r="G941" t="n">
        <v>590.933</v>
      </c>
      <c r="H941" t="n">
        <v>653.199</v>
      </c>
      <c r="I941" t="n">
        <v>30</v>
      </c>
      <c r="J941" t="inlineStr">
        <is>
          <t>BTBR</t>
        </is>
      </c>
      <c r="K941" t="inlineStr">
        <is>
          <t xml:space="preserve"> Female</t>
        </is>
      </c>
      <c r="L941" t="inlineStr">
        <is>
          <t>No focal subject</t>
        </is>
      </c>
      <c r="M941" t="n">
        <v>38.863</v>
      </c>
      <c r="N941" t="inlineStr">
        <is>
          <t>Explore_F</t>
        </is>
      </c>
      <c r="O941" t="inlineStr">
        <is>
          <t>Familiar</t>
        </is>
      </c>
      <c r="P941" t="inlineStr">
        <is>
          <t>STATE</t>
        </is>
      </c>
      <c r="Q941" t="n">
        <v>228.667</v>
      </c>
      <c r="R941" t="n">
        <v>229.767</v>
      </c>
      <c r="S941" t="n">
        <v>1.1</v>
      </c>
      <c r="T941" t="inlineStr">
        <is>
          <t>C:/Users/manuel.felline/Documents/BEHAVIOR BTBR/NOR second cohort/BTBR/training/c10_f1.mp4</t>
        </is>
      </c>
      <c r="U941" t="n">
        <v>7345</v>
      </c>
      <c r="V941" t="n">
        <v>7378</v>
      </c>
      <c r="W941" t="n">
        <v/>
      </c>
      <c r="X941" t="n">
        <v/>
      </c>
      <c r="Y941" t="n">
        <v/>
      </c>
      <c r="Z941" t="n">
        <v/>
      </c>
      <c r="AA941">
        <f>SUMIFS($S$2:S941,$A$2:A941,A941,$N$2:N941,"Explore*")</f>
        <v/>
      </c>
      <c r="AB941">
        <f>IF(AND(LEFT(N941,7)="Explore",(AA941-IF(LEFT(N941,7)="Explore",S941,0))&lt;10),"SI","NO")</f>
        <v/>
      </c>
    </row>
    <row r="942">
      <c r="A942" t="inlineStr">
        <is>
          <t>c10f1_training</t>
        </is>
      </c>
      <c r="B942" t="inlineStr">
        <is>
          <t>2026-06-19 16:03:55.815</t>
        </is>
      </c>
      <c r="C942" t="n">
        <v/>
      </c>
      <c r="D942" t="inlineStr">
        <is>
          <t>Media file</t>
        </is>
      </c>
      <c r="E942" t="inlineStr">
        <is>
          <t>player #1:C:/Users/manuel.felline/Documents/BEHAVIOR BTBR/NOR second cohort/BTBR/training/c10_f1.mp4</t>
        </is>
      </c>
      <c r="F942" t="n">
        <v>-16.233</v>
      </c>
      <c r="G942" t="n">
        <v>590.933</v>
      </c>
      <c r="H942" t="n">
        <v>653.199</v>
      </c>
      <c r="I942" t="n">
        <v>30</v>
      </c>
      <c r="J942" t="inlineStr">
        <is>
          <t>BTBR</t>
        </is>
      </c>
      <c r="K942" t="inlineStr">
        <is>
          <t xml:space="preserve"> Female</t>
        </is>
      </c>
      <c r="L942" t="inlineStr">
        <is>
          <t>No focal subject</t>
        </is>
      </c>
      <c r="M942" t="n">
        <v>38.863</v>
      </c>
      <c r="N942" t="inlineStr">
        <is>
          <t>Explore_F2</t>
        </is>
      </c>
      <c r="O942" t="inlineStr">
        <is>
          <t>Second familiar</t>
        </is>
      </c>
      <c r="P942" t="inlineStr">
        <is>
          <t>STATE</t>
        </is>
      </c>
      <c r="Q942" t="n">
        <v>245.967</v>
      </c>
      <c r="R942" t="n">
        <v>247.2</v>
      </c>
      <c r="S942" t="n">
        <v>1.233</v>
      </c>
      <c r="T942" t="inlineStr">
        <is>
          <t>C:/Users/manuel.felline/Documents/BEHAVIOR BTBR/NOR second cohort/BTBR/training/c10_f1.mp4</t>
        </is>
      </c>
      <c r="U942" t="n">
        <v>7864</v>
      </c>
      <c r="V942" t="n">
        <v>7901</v>
      </c>
      <c r="W942" t="n">
        <v/>
      </c>
      <c r="X942" t="n">
        <v/>
      </c>
      <c r="Y942" t="n">
        <v/>
      </c>
      <c r="Z942" t="n">
        <v/>
      </c>
      <c r="AA942">
        <f>SUMIFS($S$2:S942,$A$2:A942,A942,$N$2:N942,"Explore*")</f>
        <v/>
      </c>
      <c r="AB942">
        <f>IF(AND(LEFT(N942,7)="Explore",(AA942-IF(LEFT(N942,7)="Explore",S942,0))&lt;10),"SI","NO")</f>
        <v/>
      </c>
    </row>
    <row r="943">
      <c r="A943" t="inlineStr">
        <is>
          <t>c10f1_training</t>
        </is>
      </c>
      <c r="B943" t="inlineStr">
        <is>
          <t>2026-06-19 16:03:55.815</t>
        </is>
      </c>
      <c r="C943" t="n">
        <v/>
      </c>
      <c r="D943" t="inlineStr">
        <is>
          <t>Media file</t>
        </is>
      </c>
      <c r="E943" t="inlineStr">
        <is>
          <t>player #1:C:/Users/manuel.felline/Documents/BEHAVIOR BTBR/NOR second cohort/BTBR/training/c10_f1.mp4</t>
        </is>
      </c>
      <c r="F943" t="n">
        <v>-16.233</v>
      </c>
      <c r="G943" t="n">
        <v>590.933</v>
      </c>
      <c r="H943" t="n">
        <v>653.199</v>
      </c>
      <c r="I943" t="n">
        <v>30</v>
      </c>
      <c r="J943" t="inlineStr">
        <is>
          <t>BTBR</t>
        </is>
      </c>
      <c r="K943" t="inlineStr">
        <is>
          <t xml:space="preserve"> Female</t>
        </is>
      </c>
      <c r="L943" t="inlineStr">
        <is>
          <t>No focal subject</t>
        </is>
      </c>
      <c r="M943" t="n">
        <v>38.863</v>
      </c>
      <c r="N943" t="inlineStr">
        <is>
          <t>Explore_F</t>
        </is>
      </c>
      <c r="O943" t="inlineStr">
        <is>
          <t>Familiar</t>
        </is>
      </c>
      <c r="P943" t="inlineStr">
        <is>
          <t>STATE</t>
        </is>
      </c>
      <c r="Q943" t="n">
        <v>249.333</v>
      </c>
      <c r="R943" t="n">
        <v>251.3</v>
      </c>
      <c r="S943" t="n">
        <v>1.967</v>
      </c>
      <c r="T943" t="inlineStr">
        <is>
          <t>C:/Users/manuel.felline/Documents/BEHAVIOR BTBR/NOR second cohort/BTBR/training/c10_f1.mp4</t>
        </is>
      </c>
      <c r="U943" t="n">
        <v>7965</v>
      </c>
      <c r="V943" t="n">
        <v>8024</v>
      </c>
      <c r="W943" t="n">
        <v/>
      </c>
      <c r="X943" t="n">
        <v/>
      </c>
      <c r="Y943" t="n">
        <v/>
      </c>
      <c r="Z943" t="n">
        <v/>
      </c>
      <c r="AA943">
        <f>SUMIFS($S$2:S943,$A$2:A943,A943,$N$2:N943,"Explore*")</f>
        <v/>
      </c>
      <c r="AB943">
        <f>IF(AND(LEFT(N943,7)="Explore",(AA943-IF(LEFT(N943,7)="Explore",S943,0))&lt;10),"SI","NO")</f>
        <v/>
      </c>
    </row>
    <row r="944">
      <c r="A944" t="inlineStr">
        <is>
          <t>c10f1_training</t>
        </is>
      </c>
      <c r="B944" t="inlineStr">
        <is>
          <t>2026-06-19 16:03:55.815</t>
        </is>
      </c>
      <c r="C944" t="n">
        <v/>
      </c>
      <c r="D944" t="inlineStr">
        <is>
          <t>Media file</t>
        </is>
      </c>
      <c r="E944" t="inlineStr">
        <is>
          <t>player #1:C:/Users/manuel.felline/Documents/BEHAVIOR BTBR/NOR second cohort/BTBR/training/c10_f1.mp4</t>
        </is>
      </c>
      <c r="F944" t="n">
        <v>-16.233</v>
      </c>
      <c r="G944" t="n">
        <v>590.933</v>
      </c>
      <c r="H944" t="n">
        <v>653.199</v>
      </c>
      <c r="I944" t="n">
        <v>30</v>
      </c>
      <c r="J944" t="inlineStr">
        <is>
          <t>BTBR</t>
        </is>
      </c>
      <c r="K944" t="inlineStr">
        <is>
          <t xml:space="preserve"> Female</t>
        </is>
      </c>
      <c r="L944" t="inlineStr">
        <is>
          <t>No focal subject</t>
        </is>
      </c>
      <c r="M944" t="n">
        <v>38.863</v>
      </c>
      <c r="N944" t="inlineStr">
        <is>
          <t>Explore_F</t>
        </is>
      </c>
      <c r="O944" t="inlineStr">
        <is>
          <t>Familiar</t>
        </is>
      </c>
      <c r="P944" t="inlineStr">
        <is>
          <t>STATE</t>
        </is>
      </c>
      <c r="Q944" t="n">
        <v>270.4</v>
      </c>
      <c r="R944" t="n">
        <v>270.867</v>
      </c>
      <c r="S944" t="n">
        <v>0.467</v>
      </c>
      <c r="T944" t="inlineStr">
        <is>
          <t>C:/Users/manuel.felline/Documents/BEHAVIOR BTBR/NOR second cohort/BTBR/training/c10_f1.mp4</t>
        </is>
      </c>
      <c r="U944" t="n">
        <v>8597</v>
      </c>
      <c r="V944" t="n">
        <v>8611</v>
      </c>
      <c r="W944" t="n">
        <v/>
      </c>
      <c r="X944" t="n">
        <v/>
      </c>
      <c r="Y944" t="n">
        <v/>
      </c>
      <c r="Z944" t="n">
        <v/>
      </c>
      <c r="AA944">
        <f>SUMIFS($S$2:S944,$A$2:A944,A944,$N$2:N944,"Explore*")</f>
        <v/>
      </c>
      <c r="AB944">
        <f>IF(AND(LEFT(N944,7)="Explore",(AA944-IF(LEFT(N944,7)="Explore",S944,0))&lt;10),"SI","NO")</f>
        <v/>
      </c>
    </row>
    <row r="945">
      <c r="A945" t="inlineStr">
        <is>
          <t>c10f1_training</t>
        </is>
      </c>
      <c r="B945" t="inlineStr">
        <is>
          <t>2026-06-19 16:03:55.815</t>
        </is>
      </c>
      <c r="C945" t="n">
        <v/>
      </c>
      <c r="D945" t="inlineStr">
        <is>
          <t>Media file</t>
        </is>
      </c>
      <c r="E945" t="inlineStr">
        <is>
          <t>player #1:C:/Users/manuel.felline/Documents/BEHAVIOR BTBR/NOR second cohort/BTBR/training/c10_f1.mp4</t>
        </is>
      </c>
      <c r="F945" t="n">
        <v>-16.233</v>
      </c>
      <c r="G945" t="n">
        <v>590.933</v>
      </c>
      <c r="H945" t="n">
        <v>653.199</v>
      </c>
      <c r="I945" t="n">
        <v>30</v>
      </c>
      <c r="J945" t="inlineStr">
        <is>
          <t>BTBR</t>
        </is>
      </c>
      <c r="K945" t="inlineStr">
        <is>
          <t xml:space="preserve"> Female</t>
        </is>
      </c>
      <c r="L945" t="inlineStr">
        <is>
          <t>No focal subject</t>
        </is>
      </c>
      <c r="M945" t="n">
        <v>38.863</v>
      </c>
      <c r="N945" t="inlineStr">
        <is>
          <t>Explore_F</t>
        </is>
      </c>
      <c r="O945" t="inlineStr">
        <is>
          <t>Familiar</t>
        </is>
      </c>
      <c r="P945" t="inlineStr">
        <is>
          <t>STATE</t>
        </is>
      </c>
      <c r="Q945" t="n">
        <v>288.3</v>
      </c>
      <c r="R945" t="n">
        <v>289.233</v>
      </c>
      <c r="S945" t="n">
        <v>0.9330000000000001</v>
      </c>
      <c r="T945" t="inlineStr">
        <is>
          <t>C:/Users/manuel.felline/Documents/BEHAVIOR BTBR/NOR second cohort/BTBR/training/c10_f1.mp4</t>
        </is>
      </c>
      <c r="U945" t="n">
        <v>9134</v>
      </c>
      <c r="V945" t="n">
        <v>9162</v>
      </c>
      <c r="W945" t="n">
        <v/>
      </c>
      <c r="X945" t="n">
        <v/>
      </c>
      <c r="Y945" t="n">
        <v/>
      </c>
      <c r="Z945" t="n">
        <v/>
      </c>
      <c r="AA945">
        <f>SUMIFS($S$2:S945,$A$2:A945,A945,$N$2:N945,"Explore*")</f>
        <v/>
      </c>
      <c r="AB945">
        <f>IF(AND(LEFT(N945,7)="Explore",(AA945-IF(LEFT(N945,7)="Explore",S945,0))&lt;10),"SI","NO")</f>
        <v/>
      </c>
    </row>
    <row r="946">
      <c r="A946" t="inlineStr">
        <is>
          <t>c10f1_training</t>
        </is>
      </c>
      <c r="B946" t="inlineStr">
        <is>
          <t>2026-06-19 16:03:55.815</t>
        </is>
      </c>
      <c r="C946" t="n">
        <v/>
      </c>
      <c r="D946" t="inlineStr">
        <is>
          <t>Media file</t>
        </is>
      </c>
      <c r="E946" t="inlineStr">
        <is>
          <t>player #1:C:/Users/manuel.felline/Documents/BEHAVIOR BTBR/NOR second cohort/BTBR/training/c10_f1.mp4</t>
        </is>
      </c>
      <c r="F946" t="n">
        <v>-16.233</v>
      </c>
      <c r="G946" t="n">
        <v>590.933</v>
      </c>
      <c r="H946" t="n">
        <v>653.199</v>
      </c>
      <c r="I946" t="n">
        <v>30</v>
      </c>
      <c r="J946" t="inlineStr">
        <is>
          <t>BTBR</t>
        </is>
      </c>
      <c r="K946" t="inlineStr">
        <is>
          <t xml:space="preserve"> Female</t>
        </is>
      </c>
      <c r="L946" t="inlineStr">
        <is>
          <t>No focal subject</t>
        </is>
      </c>
      <c r="M946" t="n">
        <v>38.863</v>
      </c>
      <c r="N946" t="inlineStr">
        <is>
          <t>Explore_F</t>
        </is>
      </c>
      <c r="O946" t="inlineStr">
        <is>
          <t>Familiar</t>
        </is>
      </c>
      <c r="P946" t="inlineStr">
        <is>
          <t>STATE</t>
        </is>
      </c>
      <c r="Q946" t="n">
        <v>308.067</v>
      </c>
      <c r="R946" t="n">
        <v>309</v>
      </c>
      <c r="S946" t="n">
        <v>0.9330000000000001</v>
      </c>
      <c r="T946" t="inlineStr">
        <is>
          <t>C:/Users/manuel.felline/Documents/BEHAVIOR BTBR/NOR second cohort/BTBR/training/c10_f1.mp4</t>
        </is>
      </c>
      <c r="U946" t="n">
        <v>9726</v>
      </c>
      <c r="V946" t="n">
        <v>9754</v>
      </c>
      <c r="W946" t="n">
        <v/>
      </c>
      <c r="X946" t="n">
        <v/>
      </c>
      <c r="Y946" t="n">
        <v/>
      </c>
      <c r="Z946" t="n">
        <v/>
      </c>
      <c r="AA946">
        <f>SUMIFS($S$2:S946,$A$2:A946,A946,$N$2:N946,"Explore*")</f>
        <v/>
      </c>
      <c r="AB946">
        <f>IF(AND(LEFT(N946,7)="Explore",(AA946-IF(LEFT(N946,7)="Explore",S946,0))&lt;10),"SI","NO")</f>
        <v/>
      </c>
    </row>
    <row r="947">
      <c r="A947" t="inlineStr">
        <is>
          <t>c10f1_training</t>
        </is>
      </c>
      <c r="B947" t="inlineStr">
        <is>
          <t>2026-06-19 16:03:55.815</t>
        </is>
      </c>
      <c r="C947" t="n">
        <v/>
      </c>
      <c r="D947" t="inlineStr">
        <is>
          <t>Media file</t>
        </is>
      </c>
      <c r="E947" t="inlineStr">
        <is>
          <t>player #1:C:/Users/manuel.felline/Documents/BEHAVIOR BTBR/NOR second cohort/BTBR/training/c10_f1.mp4</t>
        </is>
      </c>
      <c r="F947" t="n">
        <v>-16.233</v>
      </c>
      <c r="G947" t="n">
        <v>590.933</v>
      </c>
      <c r="H947" t="n">
        <v>653.199</v>
      </c>
      <c r="I947" t="n">
        <v>30</v>
      </c>
      <c r="J947" t="inlineStr">
        <is>
          <t>BTBR</t>
        </is>
      </c>
      <c r="K947" t="inlineStr">
        <is>
          <t xml:space="preserve"> Female</t>
        </is>
      </c>
      <c r="L947" t="inlineStr">
        <is>
          <t>No focal subject</t>
        </is>
      </c>
      <c r="M947" t="n">
        <v>38.863</v>
      </c>
      <c r="N947" t="inlineStr">
        <is>
          <t>Explore_F</t>
        </is>
      </c>
      <c r="O947" t="inlineStr">
        <is>
          <t>Familiar</t>
        </is>
      </c>
      <c r="P947" t="inlineStr">
        <is>
          <t>STATE</t>
        </is>
      </c>
      <c r="Q947" t="n">
        <v>320.267</v>
      </c>
      <c r="R947" t="n">
        <v>321.467</v>
      </c>
      <c r="S947" t="n">
        <v>1.2</v>
      </c>
      <c r="T947" t="inlineStr">
        <is>
          <t>C:/Users/manuel.felline/Documents/BEHAVIOR BTBR/NOR second cohort/BTBR/training/c10_f1.mp4</t>
        </is>
      </c>
      <c r="U947" t="n">
        <v>10092</v>
      </c>
      <c r="V947" t="n">
        <v>10128</v>
      </c>
      <c r="W947" t="n">
        <v/>
      </c>
      <c r="X947" t="n">
        <v/>
      </c>
      <c r="Y947" t="n">
        <v/>
      </c>
      <c r="Z947" t="n">
        <v/>
      </c>
      <c r="AA947">
        <f>SUMIFS($S$2:S947,$A$2:A947,A947,$N$2:N947,"Explore*")</f>
        <v/>
      </c>
      <c r="AB947">
        <f>IF(AND(LEFT(N947,7)="Explore",(AA947-IF(LEFT(N947,7)="Explore",S947,0))&lt;10),"SI","NO")</f>
        <v/>
      </c>
    </row>
    <row r="948">
      <c r="A948" t="inlineStr">
        <is>
          <t>c10f1_training</t>
        </is>
      </c>
      <c r="B948" t="inlineStr">
        <is>
          <t>2026-06-19 16:03:55.815</t>
        </is>
      </c>
      <c r="C948" t="n">
        <v/>
      </c>
      <c r="D948" t="inlineStr">
        <is>
          <t>Media file</t>
        </is>
      </c>
      <c r="E948" t="inlineStr">
        <is>
          <t>player #1:C:/Users/manuel.felline/Documents/BEHAVIOR BTBR/NOR second cohort/BTBR/training/c10_f1.mp4</t>
        </is>
      </c>
      <c r="F948" t="n">
        <v>-16.233</v>
      </c>
      <c r="G948" t="n">
        <v>590.933</v>
      </c>
      <c r="H948" t="n">
        <v>653.199</v>
      </c>
      <c r="I948" t="n">
        <v>30</v>
      </c>
      <c r="J948" t="inlineStr">
        <is>
          <t>BTBR</t>
        </is>
      </c>
      <c r="K948" t="inlineStr">
        <is>
          <t xml:space="preserve"> Female</t>
        </is>
      </c>
      <c r="L948" t="inlineStr">
        <is>
          <t>No focal subject</t>
        </is>
      </c>
      <c r="M948" t="n">
        <v>38.863</v>
      </c>
      <c r="N948" t="inlineStr">
        <is>
          <t>Explore_F2</t>
        </is>
      </c>
      <c r="O948" t="inlineStr">
        <is>
          <t>Second familiar</t>
        </is>
      </c>
      <c r="P948" t="inlineStr">
        <is>
          <t>STATE</t>
        </is>
      </c>
      <c r="Q948" t="n">
        <v>323.233</v>
      </c>
      <c r="R948" t="n">
        <v>324.1</v>
      </c>
      <c r="S948" t="n">
        <v>0.867</v>
      </c>
      <c r="T948" t="inlineStr">
        <is>
          <t>C:/Users/manuel.felline/Documents/BEHAVIOR BTBR/NOR second cohort/BTBR/training/c10_f1.mp4</t>
        </is>
      </c>
      <c r="U948" t="n">
        <v>10181</v>
      </c>
      <c r="V948" t="n">
        <v>10207</v>
      </c>
      <c r="W948" t="n">
        <v/>
      </c>
      <c r="X948" t="n">
        <v/>
      </c>
      <c r="Y948" t="n">
        <v/>
      </c>
      <c r="Z948" t="n">
        <v/>
      </c>
      <c r="AA948">
        <f>SUMIFS($S$2:S948,$A$2:A948,A948,$N$2:N948,"Explore*")</f>
        <v/>
      </c>
      <c r="AB948">
        <f>IF(AND(LEFT(N948,7)="Explore",(AA948-IF(LEFT(N948,7)="Explore",S948,0))&lt;10),"SI","NO")</f>
        <v/>
      </c>
    </row>
    <row r="949">
      <c r="A949" t="inlineStr">
        <is>
          <t>c10f1_training</t>
        </is>
      </c>
      <c r="B949" t="inlineStr">
        <is>
          <t>2026-06-19 16:03:55.815</t>
        </is>
      </c>
      <c r="C949" t="n">
        <v/>
      </c>
      <c r="D949" t="inlineStr">
        <is>
          <t>Media file</t>
        </is>
      </c>
      <c r="E949" t="inlineStr">
        <is>
          <t>player #1:C:/Users/manuel.felline/Documents/BEHAVIOR BTBR/NOR second cohort/BTBR/training/c10_f1.mp4</t>
        </is>
      </c>
      <c r="F949" t="n">
        <v>-16.233</v>
      </c>
      <c r="G949" t="n">
        <v>590.933</v>
      </c>
      <c r="H949" t="n">
        <v>653.199</v>
      </c>
      <c r="I949" t="n">
        <v>30</v>
      </c>
      <c r="J949" t="inlineStr">
        <is>
          <t>BTBR</t>
        </is>
      </c>
      <c r="K949" t="inlineStr">
        <is>
          <t xml:space="preserve"> Female</t>
        </is>
      </c>
      <c r="L949" t="inlineStr">
        <is>
          <t>No focal subject</t>
        </is>
      </c>
      <c r="M949" t="n">
        <v>38.863</v>
      </c>
      <c r="N949" t="inlineStr">
        <is>
          <t>Explore_F2</t>
        </is>
      </c>
      <c r="O949" t="inlineStr">
        <is>
          <t>Second familiar</t>
        </is>
      </c>
      <c r="P949" t="inlineStr">
        <is>
          <t>STATE</t>
        </is>
      </c>
      <c r="Q949" t="n">
        <v>344.567</v>
      </c>
      <c r="R949" t="n">
        <v>345.467</v>
      </c>
      <c r="S949" t="n">
        <v>0.9</v>
      </c>
      <c r="T949" t="inlineStr">
        <is>
          <t>C:/Users/manuel.felline/Documents/BEHAVIOR BTBR/NOR second cohort/BTBR/training/c10_f1.mp4</t>
        </is>
      </c>
      <c r="U949" t="n">
        <v>10821</v>
      </c>
      <c r="V949" t="n">
        <v>10848</v>
      </c>
      <c r="W949" t="n">
        <v/>
      </c>
      <c r="X949" t="n">
        <v/>
      </c>
      <c r="Y949" t="n">
        <v/>
      </c>
      <c r="Z949" t="n">
        <v/>
      </c>
      <c r="AA949">
        <f>SUMIFS($S$2:S949,$A$2:A949,A949,$N$2:N949,"Explore*")</f>
        <v/>
      </c>
      <c r="AB949">
        <f>IF(AND(LEFT(N949,7)="Explore",(AA949-IF(LEFT(N949,7)="Explore",S949,0))&lt;10),"SI","NO")</f>
        <v/>
      </c>
    </row>
    <row r="950">
      <c r="A950" t="inlineStr">
        <is>
          <t>c10f1_training</t>
        </is>
      </c>
      <c r="B950" t="inlineStr">
        <is>
          <t>2026-06-19 16:03:55.815</t>
        </is>
      </c>
      <c r="C950" t="n">
        <v/>
      </c>
      <c r="D950" t="inlineStr">
        <is>
          <t>Media file</t>
        </is>
      </c>
      <c r="E950" t="inlineStr">
        <is>
          <t>player #1:C:/Users/manuel.felline/Documents/BEHAVIOR BTBR/NOR second cohort/BTBR/training/c10_f1.mp4</t>
        </is>
      </c>
      <c r="F950" t="n">
        <v>-16.233</v>
      </c>
      <c r="G950" t="n">
        <v>590.933</v>
      </c>
      <c r="H950" t="n">
        <v>653.199</v>
      </c>
      <c r="I950" t="n">
        <v>30</v>
      </c>
      <c r="J950" t="inlineStr">
        <is>
          <t>BTBR</t>
        </is>
      </c>
      <c r="K950" t="inlineStr">
        <is>
          <t xml:space="preserve"> Female</t>
        </is>
      </c>
      <c r="L950" t="inlineStr">
        <is>
          <t>No focal subject</t>
        </is>
      </c>
      <c r="M950" t="n">
        <v>38.863</v>
      </c>
      <c r="N950" t="inlineStr">
        <is>
          <t>Explore_F</t>
        </is>
      </c>
      <c r="O950" t="inlineStr">
        <is>
          <t>Familiar</t>
        </is>
      </c>
      <c r="P950" t="inlineStr">
        <is>
          <t>STATE</t>
        </is>
      </c>
      <c r="Q950" t="n">
        <v>355.467</v>
      </c>
      <c r="R950" t="n">
        <v>356.5</v>
      </c>
      <c r="S950" t="n">
        <v>1.033</v>
      </c>
      <c r="T950" t="inlineStr">
        <is>
          <t>C:/Users/manuel.felline/Documents/BEHAVIOR BTBR/NOR second cohort/BTBR/training/c10_f1.mp4</t>
        </is>
      </c>
      <c r="U950" t="n">
        <v>11148</v>
      </c>
      <c r="V950" t="n">
        <v>11179</v>
      </c>
      <c r="W950" t="n">
        <v/>
      </c>
      <c r="X950" t="n">
        <v/>
      </c>
      <c r="Y950" t="n">
        <v/>
      </c>
      <c r="Z950" t="n">
        <v/>
      </c>
      <c r="AA950">
        <f>SUMIFS($S$2:S950,$A$2:A950,A950,$N$2:N950,"Explore*")</f>
        <v/>
      </c>
      <c r="AB950">
        <f>IF(AND(LEFT(N950,7)="Explore",(AA950-IF(LEFT(N950,7)="Explore",S950,0))&lt;10),"SI","NO")</f>
        <v/>
      </c>
    </row>
    <row r="951">
      <c r="A951" t="inlineStr">
        <is>
          <t>c10f1_training</t>
        </is>
      </c>
      <c r="B951" t="inlineStr">
        <is>
          <t>2026-06-19 16:03:55.815</t>
        </is>
      </c>
      <c r="C951" t="n">
        <v/>
      </c>
      <c r="D951" t="inlineStr">
        <is>
          <t>Media file</t>
        </is>
      </c>
      <c r="E951" t="inlineStr">
        <is>
          <t>player #1:C:/Users/manuel.felline/Documents/BEHAVIOR BTBR/NOR second cohort/BTBR/training/c10_f1.mp4</t>
        </is>
      </c>
      <c r="F951" t="n">
        <v>-16.233</v>
      </c>
      <c r="G951" t="n">
        <v>590.933</v>
      </c>
      <c r="H951" t="n">
        <v>653.199</v>
      </c>
      <c r="I951" t="n">
        <v>30</v>
      </c>
      <c r="J951" t="inlineStr">
        <is>
          <t>BTBR</t>
        </is>
      </c>
      <c r="K951" t="inlineStr">
        <is>
          <t xml:space="preserve"> Female</t>
        </is>
      </c>
      <c r="L951" t="inlineStr">
        <is>
          <t>No focal subject</t>
        </is>
      </c>
      <c r="M951" t="n">
        <v>38.863</v>
      </c>
      <c r="N951" t="inlineStr">
        <is>
          <t>Explore_F2</t>
        </is>
      </c>
      <c r="O951" t="inlineStr">
        <is>
          <t>Second familiar</t>
        </is>
      </c>
      <c r="P951" t="inlineStr">
        <is>
          <t>STATE</t>
        </is>
      </c>
      <c r="Q951" t="n">
        <v>362.533</v>
      </c>
      <c r="R951" t="n">
        <v>363.1</v>
      </c>
      <c r="S951" t="n">
        <v>0.5669999999999999</v>
      </c>
      <c r="T951" t="inlineStr">
        <is>
          <t>C:/Users/manuel.felline/Documents/BEHAVIOR BTBR/NOR second cohort/BTBR/training/c10_f1.mp4</t>
        </is>
      </c>
      <c r="U951" t="n">
        <v>11360</v>
      </c>
      <c r="V951" t="n">
        <v>11377</v>
      </c>
      <c r="W951" t="n">
        <v/>
      </c>
      <c r="X951" t="n">
        <v/>
      </c>
      <c r="Y951" t="n">
        <v/>
      </c>
      <c r="Z951" t="n">
        <v/>
      </c>
      <c r="AA951">
        <f>SUMIFS($S$2:S951,$A$2:A951,A951,$N$2:N951,"Explore*")</f>
        <v/>
      </c>
      <c r="AB951">
        <f>IF(AND(LEFT(N951,7)="Explore",(AA951-IF(LEFT(N951,7)="Explore",S951,0))&lt;10),"SI","NO")</f>
        <v/>
      </c>
    </row>
    <row r="952">
      <c r="A952" t="inlineStr">
        <is>
          <t>c10f1_training</t>
        </is>
      </c>
      <c r="B952" t="inlineStr">
        <is>
          <t>2026-06-19 16:03:55.815</t>
        </is>
      </c>
      <c r="C952" t="n">
        <v/>
      </c>
      <c r="D952" t="inlineStr">
        <is>
          <t>Media file</t>
        </is>
      </c>
      <c r="E952" t="inlineStr">
        <is>
          <t>player #1:C:/Users/manuel.felline/Documents/BEHAVIOR BTBR/NOR second cohort/BTBR/training/c10_f1.mp4</t>
        </is>
      </c>
      <c r="F952" t="n">
        <v>-16.233</v>
      </c>
      <c r="G952" t="n">
        <v>590.933</v>
      </c>
      <c r="H952" t="n">
        <v>653.199</v>
      </c>
      <c r="I952" t="n">
        <v>30</v>
      </c>
      <c r="J952" t="inlineStr">
        <is>
          <t>BTBR</t>
        </is>
      </c>
      <c r="K952" t="inlineStr">
        <is>
          <t xml:space="preserve"> Female</t>
        </is>
      </c>
      <c r="L952" t="inlineStr">
        <is>
          <t>No focal subject</t>
        </is>
      </c>
      <c r="M952" t="n">
        <v>38.863</v>
      </c>
      <c r="N952" t="inlineStr">
        <is>
          <t>Explore_F</t>
        </is>
      </c>
      <c r="O952" t="inlineStr">
        <is>
          <t>Familiar</t>
        </is>
      </c>
      <c r="P952" t="inlineStr">
        <is>
          <t>STATE</t>
        </is>
      </c>
      <c r="Q952" t="n">
        <v>370.4</v>
      </c>
      <c r="R952" t="n">
        <v>371.233</v>
      </c>
      <c r="S952" t="n">
        <v>0.833</v>
      </c>
      <c r="T952" t="inlineStr">
        <is>
          <t>C:/Users/manuel.felline/Documents/BEHAVIOR BTBR/NOR second cohort/BTBR/training/c10_f1.mp4</t>
        </is>
      </c>
      <c r="U952" t="n">
        <v>11596</v>
      </c>
      <c r="V952" t="n">
        <v>11621</v>
      </c>
      <c r="W952" t="n">
        <v/>
      </c>
      <c r="X952" t="n">
        <v/>
      </c>
      <c r="Y952" t="n">
        <v/>
      </c>
      <c r="Z952" t="n">
        <v/>
      </c>
      <c r="AA952">
        <f>SUMIFS($S$2:S952,$A$2:A952,A952,$N$2:N952,"Explore*")</f>
        <v/>
      </c>
      <c r="AB952">
        <f>IF(AND(LEFT(N952,7)="Explore",(AA952-IF(LEFT(N952,7)="Explore",S952,0))&lt;10),"SI","NO")</f>
        <v/>
      </c>
    </row>
    <row r="953">
      <c r="A953" t="inlineStr">
        <is>
          <t>c10f1_training</t>
        </is>
      </c>
      <c r="B953" t="inlineStr">
        <is>
          <t>2026-06-19 16:03:55.815</t>
        </is>
      </c>
      <c r="C953" t="n">
        <v/>
      </c>
      <c r="D953" t="inlineStr">
        <is>
          <t>Media file</t>
        </is>
      </c>
      <c r="E953" t="inlineStr">
        <is>
          <t>player #1:C:/Users/manuel.felline/Documents/BEHAVIOR BTBR/NOR second cohort/BTBR/training/c10_f1.mp4</t>
        </is>
      </c>
      <c r="F953" t="n">
        <v>-16.233</v>
      </c>
      <c r="G953" t="n">
        <v>590.933</v>
      </c>
      <c r="H953" t="n">
        <v>653.199</v>
      </c>
      <c r="I953" t="n">
        <v>30</v>
      </c>
      <c r="J953" t="inlineStr">
        <is>
          <t>BTBR</t>
        </is>
      </c>
      <c r="K953" t="inlineStr">
        <is>
          <t xml:space="preserve"> Female</t>
        </is>
      </c>
      <c r="L953" t="inlineStr">
        <is>
          <t>No focal subject</t>
        </is>
      </c>
      <c r="M953" t="n">
        <v>38.863</v>
      </c>
      <c r="N953" t="inlineStr">
        <is>
          <t>Explore_F</t>
        </is>
      </c>
      <c r="O953" t="inlineStr">
        <is>
          <t>Familiar</t>
        </is>
      </c>
      <c r="P953" t="inlineStr">
        <is>
          <t>STATE</t>
        </is>
      </c>
      <c r="Q953" t="n">
        <v>394.833</v>
      </c>
      <c r="R953" t="n">
        <v>395.7</v>
      </c>
      <c r="S953" t="n">
        <v>0.867</v>
      </c>
      <c r="T953" t="inlineStr">
        <is>
          <t>C:/Users/manuel.felline/Documents/BEHAVIOR BTBR/NOR second cohort/BTBR/training/c10_f1.mp4</t>
        </is>
      </c>
      <c r="U953" t="n">
        <v>12329</v>
      </c>
      <c r="V953" t="n">
        <v>12355</v>
      </c>
      <c r="W953" t="n">
        <v/>
      </c>
      <c r="X953" t="n">
        <v/>
      </c>
      <c r="Y953" t="n">
        <v/>
      </c>
      <c r="Z953" t="n">
        <v/>
      </c>
      <c r="AA953">
        <f>SUMIFS($S$2:S953,$A$2:A953,A953,$N$2:N953,"Explore*")</f>
        <v/>
      </c>
      <c r="AB953">
        <f>IF(AND(LEFT(N953,7)="Explore",(AA953-IF(LEFT(N953,7)="Explore",S953,0))&lt;10),"SI","NO")</f>
        <v/>
      </c>
    </row>
    <row r="954">
      <c r="A954" t="inlineStr">
        <is>
          <t>c10f1_training</t>
        </is>
      </c>
      <c r="B954" t="inlineStr">
        <is>
          <t>2026-06-19 16:03:55.815</t>
        </is>
      </c>
      <c r="C954" t="n">
        <v/>
      </c>
      <c r="D954" t="inlineStr">
        <is>
          <t>Media file</t>
        </is>
      </c>
      <c r="E954" t="inlineStr">
        <is>
          <t>player #1:C:/Users/manuel.felline/Documents/BEHAVIOR BTBR/NOR second cohort/BTBR/training/c10_f1.mp4</t>
        </is>
      </c>
      <c r="F954" t="n">
        <v>-16.233</v>
      </c>
      <c r="G954" t="n">
        <v>590.933</v>
      </c>
      <c r="H954" t="n">
        <v>653.199</v>
      </c>
      <c r="I954" t="n">
        <v>30</v>
      </c>
      <c r="J954" t="inlineStr">
        <is>
          <t>BTBR</t>
        </is>
      </c>
      <c r="K954" t="inlineStr">
        <is>
          <t xml:space="preserve"> Female</t>
        </is>
      </c>
      <c r="L954" t="inlineStr">
        <is>
          <t>No focal subject</t>
        </is>
      </c>
      <c r="M954" t="n">
        <v>38.863</v>
      </c>
      <c r="N954" t="inlineStr">
        <is>
          <t>Explore_F2</t>
        </is>
      </c>
      <c r="O954" t="inlineStr">
        <is>
          <t>Second familiar</t>
        </is>
      </c>
      <c r="P954" t="inlineStr">
        <is>
          <t>STATE</t>
        </is>
      </c>
      <c r="Q954" t="n">
        <v>409.1</v>
      </c>
      <c r="R954" t="n">
        <v>409.733</v>
      </c>
      <c r="S954" t="n">
        <v>0.633</v>
      </c>
      <c r="T954" t="inlineStr">
        <is>
          <t>C:/Users/manuel.felline/Documents/BEHAVIOR BTBR/NOR second cohort/BTBR/training/c10_f1.mp4</t>
        </is>
      </c>
      <c r="U954" t="n">
        <v>12757</v>
      </c>
      <c r="V954" t="n">
        <v>12776</v>
      </c>
      <c r="W954" t="n">
        <v/>
      </c>
      <c r="X954" t="n">
        <v/>
      </c>
      <c r="Y954" t="n">
        <v/>
      </c>
      <c r="Z954" t="n">
        <v/>
      </c>
      <c r="AA954">
        <f>SUMIFS($S$2:S954,$A$2:A954,A954,$N$2:N954,"Explore*")</f>
        <v/>
      </c>
      <c r="AB954">
        <f>IF(AND(LEFT(N954,7)="Explore",(AA954-IF(LEFT(N954,7)="Explore",S954,0))&lt;10),"SI","NO")</f>
        <v/>
      </c>
    </row>
    <row r="955">
      <c r="A955" t="inlineStr">
        <is>
          <t>c10f1_training</t>
        </is>
      </c>
      <c r="B955" t="inlineStr">
        <is>
          <t>2026-06-19 16:03:55.815</t>
        </is>
      </c>
      <c r="C955" t="n">
        <v/>
      </c>
      <c r="D955" t="inlineStr">
        <is>
          <t>Media file</t>
        </is>
      </c>
      <c r="E955" t="inlineStr">
        <is>
          <t>player #1:C:/Users/manuel.felline/Documents/BEHAVIOR BTBR/NOR second cohort/BTBR/training/c10_f1.mp4</t>
        </is>
      </c>
      <c r="F955" t="n">
        <v>-16.233</v>
      </c>
      <c r="G955" t="n">
        <v>590.933</v>
      </c>
      <c r="H955" t="n">
        <v>653.199</v>
      </c>
      <c r="I955" t="n">
        <v>30</v>
      </c>
      <c r="J955" t="inlineStr">
        <is>
          <t>BTBR</t>
        </is>
      </c>
      <c r="K955" t="inlineStr">
        <is>
          <t xml:space="preserve"> Female</t>
        </is>
      </c>
      <c r="L955" t="inlineStr">
        <is>
          <t>No focal subject</t>
        </is>
      </c>
      <c r="M955" t="n">
        <v>38.863</v>
      </c>
      <c r="N955" t="inlineStr">
        <is>
          <t>Explore_F2</t>
        </is>
      </c>
      <c r="O955" t="inlineStr">
        <is>
          <t>Second familiar</t>
        </is>
      </c>
      <c r="P955" t="inlineStr">
        <is>
          <t>STATE</t>
        </is>
      </c>
      <c r="Q955" t="n">
        <v>446.467</v>
      </c>
      <c r="R955" t="n">
        <v>447.1</v>
      </c>
      <c r="S955" t="n">
        <v>0.633</v>
      </c>
      <c r="T955" t="inlineStr">
        <is>
          <t>C:/Users/manuel.felline/Documents/BEHAVIOR BTBR/NOR second cohort/BTBR/training/c10_f1.mp4</t>
        </is>
      </c>
      <c r="U955" t="n">
        <v>13877</v>
      </c>
      <c r="V955" t="n">
        <v>13896</v>
      </c>
      <c r="W955" t="n">
        <v/>
      </c>
      <c r="X955" t="n">
        <v/>
      </c>
      <c r="Y955" t="n">
        <v/>
      </c>
      <c r="Z955" t="n">
        <v/>
      </c>
      <c r="AA955">
        <f>SUMIFS($S$2:S955,$A$2:A955,A955,$N$2:N955,"Explore*")</f>
        <v/>
      </c>
      <c r="AB955">
        <f>IF(AND(LEFT(N955,7)="Explore",(AA955-IF(LEFT(N955,7)="Explore",S955,0))&lt;10),"SI","NO")</f>
        <v/>
      </c>
    </row>
    <row r="956">
      <c r="A956" t="inlineStr">
        <is>
          <t>c10f1_training</t>
        </is>
      </c>
      <c r="B956" t="inlineStr">
        <is>
          <t>2026-06-19 16:03:55.815</t>
        </is>
      </c>
      <c r="C956" t="n">
        <v/>
      </c>
      <c r="D956" t="inlineStr">
        <is>
          <t>Media file</t>
        </is>
      </c>
      <c r="E956" t="inlineStr">
        <is>
          <t>player #1:C:/Users/manuel.felline/Documents/BEHAVIOR BTBR/NOR second cohort/BTBR/training/c10_f1.mp4</t>
        </is>
      </c>
      <c r="F956" t="n">
        <v>-16.233</v>
      </c>
      <c r="G956" t="n">
        <v>590.933</v>
      </c>
      <c r="H956" t="n">
        <v>653.199</v>
      </c>
      <c r="I956" t="n">
        <v>30</v>
      </c>
      <c r="J956" t="inlineStr">
        <is>
          <t>BTBR</t>
        </is>
      </c>
      <c r="K956" t="inlineStr">
        <is>
          <t xml:space="preserve"> Female</t>
        </is>
      </c>
      <c r="L956" t="inlineStr">
        <is>
          <t>No focal subject</t>
        </is>
      </c>
      <c r="M956" t="n">
        <v>38.863</v>
      </c>
      <c r="N956" t="inlineStr">
        <is>
          <t>Explore_F2</t>
        </is>
      </c>
      <c r="O956" t="inlineStr">
        <is>
          <t>Second familiar</t>
        </is>
      </c>
      <c r="P956" t="inlineStr">
        <is>
          <t>STATE</t>
        </is>
      </c>
      <c r="Q956" t="n">
        <v>459.6</v>
      </c>
      <c r="R956" t="n">
        <v>460.067</v>
      </c>
      <c r="S956" t="n">
        <v>0.467</v>
      </c>
      <c r="T956" t="inlineStr">
        <is>
          <t>C:/Users/manuel.felline/Documents/BEHAVIOR BTBR/NOR second cohort/BTBR/training/c10_f1.mp4</t>
        </is>
      </c>
      <c r="U956" t="n">
        <v>14271</v>
      </c>
      <c r="V956" t="n">
        <v>14285</v>
      </c>
      <c r="W956" t="n">
        <v/>
      </c>
      <c r="X956" t="n">
        <v/>
      </c>
      <c r="Y956" t="n">
        <v/>
      </c>
      <c r="Z956" t="n">
        <v/>
      </c>
      <c r="AA956">
        <f>SUMIFS($S$2:S956,$A$2:A956,A956,$N$2:N956,"Explore*")</f>
        <v/>
      </c>
      <c r="AB956">
        <f>IF(AND(LEFT(N956,7)="Explore",(AA956-IF(LEFT(N956,7)="Explore",S956,0))&lt;10),"SI","NO")</f>
        <v/>
      </c>
    </row>
    <row r="957">
      <c r="A957" t="inlineStr">
        <is>
          <t>c10f1_training</t>
        </is>
      </c>
      <c r="B957" t="inlineStr">
        <is>
          <t>2026-06-19 16:03:55.815</t>
        </is>
      </c>
      <c r="C957" t="n">
        <v/>
      </c>
      <c r="D957" t="inlineStr">
        <is>
          <t>Media file</t>
        </is>
      </c>
      <c r="E957" t="inlineStr">
        <is>
          <t>player #1:C:/Users/manuel.felline/Documents/BEHAVIOR BTBR/NOR second cohort/BTBR/training/c10_f1.mp4</t>
        </is>
      </c>
      <c r="F957" t="n">
        <v>-16.233</v>
      </c>
      <c r="G957" t="n">
        <v>590.933</v>
      </c>
      <c r="H957" t="n">
        <v>653.199</v>
      </c>
      <c r="I957" t="n">
        <v>30</v>
      </c>
      <c r="J957" t="inlineStr">
        <is>
          <t>BTBR</t>
        </is>
      </c>
      <c r="K957" t="inlineStr">
        <is>
          <t xml:space="preserve"> Female</t>
        </is>
      </c>
      <c r="L957" t="inlineStr">
        <is>
          <t>No focal subject</t>
        </is>
      </c>
      <c r="M957" t="n">
        <v>38.863</v>
      </c>
      <c r="N957" t="inlineStr">
        <is>
          <t>Explore_F</t>
        </is>
      </c>
      <c r="O957" t="inlineStr">
        <is>
          <t>Familiar</t>
        </is>
      </c>
      <c r="P957" t="inlineStr">
        <is>
          <t>STATE</t>
        </is>
      </c>
      <c r="Q957" t="n">
        <v>480.566</v>
      </c>
      <c r="R957" t="n">
        <v>480.966</v>
      </c>
      <c r="S957" t="n">
        <v>0.4</v>
      </c>
      <c r="T957" t="inlineStr">
        <is>
          <t>C:/Users/manuel.felline/Documents/BEHAVIOR BTBR/NOR second cohort/BTBR/training/c10_f1.mp4</t>
        </is>
      </c>
      <c r="U957" t="n">
        <v>14900</v>
      </c>
      <c r="V957" t="n">
        <v>14912</v>
      </c>
      <c r="W957" t="n">
        <v/>
      </c>
      <c r="X957" t="n">
        <v/>
      </c>
      <c r="Y957" t="n">
        <v/>
      </c>
      <c r="Z957" t="n">
        <v/>
      </c>
      <c r="AA957">
        <f>SUMIFS($S$2:S957,$A$2:A957,A957,$N$2:N957,"Explore*")</f>
        <v/>
      </c>
      <c r="AB957">
        <f>IF(AND(LEFT(N957,7)="Explore",(AA957-IF(LEFT(N957,7)="Explore",S957,0))&lt;10),"SI","NO")</f>
        <v/>
      </c>
    </row>
    <row r="958">
      <c r="A958" t="inlineStr">
        <is>
          <t>c10f1_training</t>
        </is>
      </c>
      <c r="B958" t="inlineStr">
        <is>
          <t>2026-06-19 16:03:55.815</t>
        </is>
      </c>
      <c r="C958" t="n">
        <v/>
      </c>
      <c r="D958" t="inlineStr">
        <is>
          <t>Media file</t>
        </is>
      </c>
      <c r="E958" t="inlineStr">
        <is>
          <t>player #1:C:/Users/manuel.felline/Documents/BEHAVIOR BTBR/NOR second cohort/BTBR/training/c10_f1.mp4</t>
        </is>
      </c>
      <c r="F958" t="n">
        <v>-16.233</v>
      </c>
      <c r="G958" t="n">
        <v>590.933</v>
      </c>
      <c r="H958" t="n">
        <v>653.199</v>
      </c>
      <c r="I958" t="n">
        <v>30</v>
      </c>
      <c r="J958" t="inlineStr">
        <is>
          <t>BTBR</t>
        </is>
      </c>
      <c r="K958" t="inlineStr">
        <is>
          <t xml:space="preserve"> Female</t>
        </is>
      </c>
      <c r="L958" t="inlineStr">
        <is>
          <t>No focal subject</t>
        </is>
      </c>
      <c r="M958" t="n">
        <v>38.863</v>
      </c>
      <c r="N958" t="inlineStr">
        <is>
          <t>Explore_F2</t>
        </is>
      </c>
      <c r="O958" t="inlineStr">
        <is>
          <t>Second familiar</t>
        </is>
      </c>
      <c r="P958" t="inlineStr">
        <is>
          <t>STATE</t>
        </is>
      </c>
      <c r="Q958" t="n">
        <v>485.233</v>
      </c>
      <c r="R958" t="n">
        <v>486.266</v>
      </c>
      <c r="S958" t="n">
        <v>1.033</v>
      </c>
      <c r="T958" t="inlineStr">
        <is>
          <t>C:/Users/manuel.felline/Documents/BEHAVIOR BTBR/NOR second cohort/BTBR/training/c10_f1.mp4</t>
        </is>
      </c>
      <c r="U958" t="n">
        <v>15040</v>
      </c>
      <c r="V958" t="n">
        <v>15071</v>
      </c>
      <c r="W958" t="n">
        <v/>
      </c>
      <c r="X958" t="n">
        <v/>
      </c>
      <c r="Y958" t="n">
        <v/>
      </c>
      <c r="Z958" t="n">
        <v/>
      </c>
      <c r="AA958">
        <f>SUMIFS($S$2:S958,$A$2:A958,A958,$N$2:N958,"Explore*")</f>
        <v/>
      </c>
      <c r="AB958">
        <f>IF(AND(LEFT(N958,7)="Explore",(AA958-IF(LEFT(N958,7)="Explore",S958,0))&lt;10),"SI","NO")</f>
        <v/>
      </c>
    </row>
    <row r="959">
      <c r="A959" t="inlineStr">
        <is>
          <t>c10f1_training</t>
        </is>
      </c>
      <c r="B959" t="inlineStr">
        <is>
          <t>2026-06-19 16:03:55.815</t>
        </is>
      </c>
      <c r="C959" t="n">
        <v/>
      </c>
      <c r="D959" t="inlineStr">
        <is>
          <t>Media file</t>
        </is>
      </c>
      <c r="E959" t="inlineStr">
        <is>
          <t>player #1:C:/Users/manuel.felline/Documents/BEHAVIOR BTBR/NOR second cohort/BTBR/training/c10_f1.mp4</t>
        </is>
      </c>
      <c r="F959" t="n">
        <v>-16.233</v>
      </c>
      <c r="G959" t="n">
        <v>590.933</v>
      </c>
      <c r="H959" t="n">
        <v>653.199</v>
      </c>
      <c r="I959" t="n">
        <v>30</v>
      </c>
      <c r="J959" t="inlineStr">
        <is>
          <t>BTBR</t>
        </is>
      </c>
      <c r="K959" t="inlineStr">
        <is>
          <t xml:space="preserve"> Female</t>
        </is>
      </c>
      <c r="L959" t="inlineStr">
        <is>
          <t>No focal subject</t>
        </is>
      </c>
      <c r="M959" t="n">
        <v>38.863</v>
      </c>
      <c r="N959" t="inlineStr">
        <is>
          <t>Explore_F</t>
        </is>
      </c>
      <c r="O959" t="inlineStr">
        <is>
          <t>Familiar</t>
        </is>
      </c>
      <c r="P959" t="inlineStr">
        <is>
          <t>STATE</t>
        </is>
      </c>
      <c r="Q959" t="n">
        <v>490.4</v>
      </c>
      <c r="R959" t="n">
        <v>490.833</v>
      </c>
      <c r="S959" t="n">
        <v>0.433</v>
      </c>
      <c r="T959" t="inlineStr">
        <is>
          <t>C:/Users/manuel.felline/Documents/BEHAVIOR BTBR/NOR second cohort/BTBR/training/c10_f1.mp4</t>
        </is>
      </c>
      <c r="U959" t="n">
        <v>15195</v>
      </c>
      <c r="V959" t="n">
        <v>15208</v>
      </c>
      <c r="W959" t="n">
        <v/>
      </c>
      <c r="X959" t="n">
        <v/>
      </c>
      <c r="Y959" t="n">
        <v/>
      </c>
      <c r="Z959" t="n">
        <v/>
      </c>
      <c r="AA959">
        <f>SUMIFS($S$2:S959,$A$2:A959,A959,$N$2:N959,"Explore*")</f>
        <v/>
      </c>
      <c r="AB959">
        <f>IF(AND(LEFT(N959,7)="Explore",(AA959-IF(LEFT(N959,7)="Explore",S959,0))&lt;10),"SI","NO")</f>
        <v/>
      </c>
    </row>
    <row r="960">
      <c r="A960" t="inlineStr">
        <is>
          <t>c10f1_training</t>
        </is>
      </c>
      <c r="B960" t="inlineStr">
        <is>
          <t>2026-06-19 16:03:55.815</t>
        </is>
      </c>
      <c r="C960" t="n">
        <v/>
      </c>
      <c r="D960" t="inlineStr">
        <is>
          <t>Media file</t>
        </is>
      </c>
      <c r="E960" t="inlineStr">
        <is>
          <t>player #1:C:/Users/manuel.felline/Documents/BEHAVIOR BTBR/NOR second cohort/BTBR/training/c10_f1.mp4</t>
        </is>
      </c>
      <c r="F960" t="n">
        <v>-16.233</v>
      </c>
      <c r="G960" t="n">
        <v>590.933</v>
      </c>
      <c r="H960" t="n">
        <v>653.199</v>
      </c>
      <c r="I960" t="n">
        <v>30</v>
      </c>
      <c r="J960" t="inlineStr">
        <is>
          <t>BTBR</t>
        </is>
      </c>
      <c r="K960" t="inlineStr">
        <is>
          <t xml:space="preserve"> Female</t>
        </is>
      </c>
      <c r="L960" t="inlineStr">
        <is>
          <t>No focal subject</t>
        </is>
      </c>
      <c r="M960" t="n">
        <v>38.863</v>
      </c>
      <c r="N960" t="inlineStr">
        <is>
          <t>Explore_F2</t>
        </is>
      </c>
      <c r="O960" t="inlineStr">
        <is>
          <t>Second familiar</t>
        </is>
      </c>
      <c r="P960" t="inlineStr">
        <is>
          <t>STATE</t>
        </is>
      </c>
      <c r="Q960" t="n">
        <v>534.833</v>
      </c>
      <c r="R960" t="n">
        <v>535.433</v>
      </c>
      <c r="S960" t="n">
        <v>0.6</v>
      </c>
      <c r="T960" t="inlineStr">
        <is>
          <t>C:/Users/manuel.felline/Documents/BEHAVIOR BTBR/NOR second cohort/BTBR/training/c10_f1.mp4</t>
        </is>
      </c>
      <c r="U960" t="n">
        <v>16528</v>
      </c>
      <c r="V960" t="n">
        <v>16546</v>
      </c>
      <c r="W960" t="n">
        <v/>
      </c>
      <c r="X960" t="n">
        <v/>
      </c>
      <c r="Y960" t="n">
        <v/>
      </c>
      <c r="Z960" t="n">
        <v/>
      </c>
      <c r="AA960">
        <f>SUMIFS($S$2:S960,$A$2:A960,A960,$N$2:N960,"Explore*")</f>
        <v/>
      </c>
      <c r="AB960">
        <f>IF(AND(LEFT(N960,7)="Explore",(AA960-IF(LEFT(N960,7)="Explore",S960,0))&lt;10),"SI","NO")</f>
        <v/>
      </c>
    </row>
    <row r="961">
      <c r="A961" t="inlineStr">
        <is>
          <t>c10f1_training</t>
        </is>
      </c>
      <c r="B961" t="inlineStr">
        <is>
          <t>2026-06-19 16:03:55.815</t>
        </is>
      </c>
      <c r="C961" t="n">
        <v/>
      </c>
      <c r="D961" t="inlineStr">
        <is>
          <t>Media file</t>
        </is>
      </c>
      <c r="E961" t="inlineStr">
        <is>
          <t>player #1:C:/Users/manuel.felline/Documents/BEHAVIOR BTBR/NOR second cohort/BTBR/training/c10_f1.mp4</t>
        </is>
      </c>
      <c r="F961" t="n">
        <v>-16.233</v>
      </c>
      <c r="G961" t="n">
        <v>590.933</v>
      </c>
      <c r="H961" t="n">
        <v>653.199</v>
      </c>
      <c r="I961" t="n">
        <v>30</v>
      </c>
      <c r="J961" t="inlineStr">
        <is>
          <t>BTBR</t>
        </is>
      </c>
      <c r="K961" t="inlineStr">
        <is>
          <t xml:space="preserve"> Female</t>
        </is>
      </c>
      <c r="L961" t="inlineStr">
        <is>
          <t>No focal subject</t>
        </is>
      </c>
      <c r="M961" t="n">
        <v>38.863</v>
      </c>
      <c r="N961" t="inlineStr">
        <is>
          <t>Explore_F</t>
        </is>
      </c>
      <c r="O961" t="inlineStr">
        <is>
          <t>Familiar</t>
        </is>
      </c>
      <c r="P961" t="inlineStr">
        <is>
          <t>STATE</t>
        </is>
      </c>
      <c r="Q961" t="n">
        <v>547.066</v>
      </c>
      <c r="R961" t="n">
        <v>547.433</v>
      </c>
      <c r="S961" t="n">
        <v>0.367</v>
      </c>
      <c r="T961" t="inlineStr">
        <is>
          <t>C:/Users/manuel.felline/Documents/BEHAVIOR BTBR/NOR second cohort/BTBR/training/c10_f1.mp4</t>
        </is>
      </c>
      <c r="U961" t="n">
        <v>16895</v>
      </c>
      <c r="V961" t="n">
        <v>16906</v>
      </c>
      <c r="W961" t="n">
        <v/>
      </c>
      <c r="X961" t="n">
        <v/>
      </c>
      <c r="Y961" t="n">
        <v/>
      </c>
      <c r="Z961" t="n">
        <v/>
      </c>
      <c r="AA961">
        <f>SUMIFS($S$2:S961,$A$2:A961,A961,$N$2:N961,"Explore*")</f>
        <v/>
      </c>
      <c r="AB961">
        <f>IF(AND(LEFT(N961,7)="Explore",(AA961-IF(LEFT(N961,7)="Explore",S961,0))&lt;10),"SI","NO")</f>
        <v/>
      </c>
    </row>
    <row r="962">
      <c r="A962" t="inlineStr">
        <is>
          <t>c10f1_training</t>
        </is>
      </c>
      <c r="B962" t="inlineStr">
        <is>
          <t>2026-06-19 16:03:55.815</t>
        </is>
      </c>
      <c r="C962" t="n">
        <v/>
      </c>
      <c r="D962" t="inlineStr">
        <is>
          <t>Media file</t>
        </is>
      </c>
      <c r="E962" t="inlineStr">
        <is>
          <t>player #1:C:/Users/manuel.felline/Documents/BEHAVIOR BTBR/NOR second cohort/BTBR/training/c10_f1.mp4</t>
        </is>
      </c>
      <c r="F962" t="n">
        <v>-16.233</v>
      </c>
      <c r="G962" t="n">
        <v>590.933</v>
      </c>
      <c r="H962" t="n">
        <v>653.199</v>
      </c>
      <c r="I962" t="n">
        <v>30</v>
      </c>
      <c r="J962" t="inlineStr">
        <is>
          <t>BTBR</t>
        </is>
      </c>
      <c r="K962" t="inlineStr">
        <is>
          <t xml:space="preserve"> Female</t>
        </is>
      </c>
      <c r="L962" t="inlineStr">
        <is>
          <t>No focal subject</t>
        </is>
      </c>
      <c r="M962" t="n">
        <v>38.863</v>
      </c>
      <c r="N962" t="inlineStr">
        <is>
          <t>Explore_F</t>
        </is>
      </c>
      <c r="O962" t="inlineStr">
        <is>
          <t>Familiar</t>
        </is>
      </c>
      <c r="P962" t="inlineStr">
        <is>
          <t>STATE</t>
        </is>
      </c>
      <c r="Q962" t="n">
        <v>548.9</v>
      </c>
      <c r="R962" t="n">
        <v>549.433</v>
      </c>
      <c r="S962" t="n">
        <v>0.533</v>
      </c>
      <c r="T962" t="inlineStr">
        <is>
          <t>C:/Users/manuel.felline/Documents/BEHAVIOR BTBR/NOR second cohort/BTBR/training/c10_f1.mp4</t>
        </is>
      </c>
      <c r="U962" t="n">
        <v>16950</v>
      </c>
      <c r="V962" t="n">
        <v>16966</v>
      </c>
      <c r="W962" t="n">
        <v/>
      </c>
      <c r="X962" t="n">
        <v/>
      </c>
      <c r="Y962" t="n">
        <v/>
      </c>
      <c r="Z962" t="n">
        <v/>
      </c>
      <c r="AA962">
        <f>SUMIFS($S$2:S962,$A$2:A962,A962,$N$2:N962,"Explore*")</f>
        <v/>
      </c>
      <c r="AB962">
        <f>IF(AND(LEFT(N962,7)="Explore",(AA962-IF(LEFT(N962,7)="Explore",S962,0))&lt;10),"SI","NO")</f>
        <v/>
      </c>
    </row>
    <row r="963">
      <c r="A963" t="inlineStr">
        <is>
          <t>c10f1_training</t>
        </is>
      </c>
      <c r="B963" t="inlineStr">
        <is>
          <t>2026-06-19 16:03:55.815</t>
        </is>
      </c>
      <c r="C963" t="n">
        <v/>
      </c>
      <c r="D963" t="inlineStr">
        <is>
          <t>Media file</t>
        </is>
      </c>
      <c r="E963" t="inlineStr">
        <is>
          <t>player #1:C:/Users/manuel.felline/Documents/BEHAVIOR BTBR/NOR second cohort/BTBR/training/c10_f1.mp4</t>
        </is>
      </c>
      <c r="F963" t="n">
        <v>-16.233</v>
      </c>
      <c r="G963" t="n">
        <v>590.933</v>
      </c>
      <c r="H963" t="n">
        <v>653.199</v>
      </c>
      <c r="I963" t="n">
        <v>30</v>
      </c>
      <c r="J963" t="inlineStr">
        <is>
          <t>BTBR</t>
        </is>
      </c>
      <c r="K963" t="inlineStr">
        <is>
          <t xml:space="preserve"> Female</t>
        </is>
      </c>
      <c r="L963" t="inlineStr">
        <is>
          <t>No focal subject</t>
        </is>
      </c>
      <c r="M963" t="n">
        <v>38.863</v>
      </c>
      <c r="N963" t="inlineStr">
        <is>
          <t>Explore_F2</t>
        </is>
      </c>
      <c r="O963" t="inlineStr">
        <is>
          <t>Second familiar</t>
        </is>
      </c>
      <c r="P963" t="inlineStr">
        <is>
          <t>STATE</t>
        </is>
      </c>
      <c r="Q963" t="n">
        <v>570.033</v>
      </c>
      <c r="R963" t="n">
        <v>570.466</v>
      </c>
      <c r="S963" t="n">
        <v>0.433</v>
      </c>
      <c r="T963" t="inlineStr">
        <is>
          <t>C:/Users/manuel.felline/Documents/BEHAVIOR BTBR/NOR second cohort/BTBR/training/c10_f1.mp4</t>
        </is>
      </c>
      <c r="U963" t="n">
        <v>17583</v>
      </c>
      <c r="V963" t="n">
        <v>17596</v>
      </c>
      <c r="W963" t="n">
        <v/>
      </c>
      <c r="X963" t="n">
        <v/>
      </c>
      <c r="Y963" t="n">
        <v/>
      </c>
      <c r="Z963" t="n">
        <v/>
      </c>
      <c r="AA963">
        <f>SUMIFS($S$2:S963,$A$2:A963,A963,$N$2:N963,"Explore*")</f>
        <v/>
      </c>
      <c r="AB963">
        <f>IF(AND(LEFT(N963,7)="Explore",(AA963-IF(LEFT(N963,7)="Explore",S963,0))&lt;10),"SI","NO")</f>
        <v/>
      </c>
    </row>
    <row r="964">
      <c r="A964" t="inlineStr">
        <is>
          <t>c10f1_training</t>
        </is>
      </c>
      <c r="B964" t="inlineStr">
        <is>
          <t>2026-06-19 16:03:55.815</t>
        </is>
      </c>
      <c r="C964" t="n">
        <v/>
      </c>
      <c r="D964" t="inlineStr">
        <is>
          <t>Media file</t>
        </is>
      </c>
      <c r="E964" t="inlineStr">
        <is>
          <t>player #1:C:/Users/manuel.felline/Documents/BEHAVIOR BTBR/NOR second cohort/BTBR/training/c10_f1.mp4</t>
        </is>
      </c>
      <c r="F964" t="n">
        <v>-16.233</v>
      </c>
      <c r="G964" t="n">
        <v>590.933</v>
      </c>
      <c r="H964" t="n">
        <v>653.199</v>
      </c>
      <c r="I964" t="n">
        <v>30</v>
      </c>
      <c r="J964" t="inlineStr">
        <is>
          <t>BTBR</t>
        </is>
      </c>
      <c r="K964" t="inlineStr">
        <is>
          <t xml:space="preserve"> Female</t>
        </is>
      </c>
      <c r="L964" t="inlineStr">
        <is>
          <t>No focal subject</t>
        </is>
      </c>
      <c r="M964" t="n">
        <v>38.863</v>
      </c>
      <c r="N964" t="inlineStr">
        <is>
          <t>Explore_F</t>
        </is>
      </c>
      <c r="O964" t="inlineStr">
        <is>
          <t>Familiar</t>
        </is>
      </c>
      <c r="P964" t="inlineStr">
        <is>
          <t>STATE</t>
        </is>
      </c>
      <c r="Q964" t="n">
        <v>577.1660000000001</v>
      </c>
      <c r="R964" t="n">
        <v>577.6</v>
      </c>
      <c r="S964" t="n">
        <v>0.434</v>
      </c>
      <c r="T964" t="inlineStr">
        <is>
          <t>C:/Users/manuel.felline/Documents/BEHAVIOR BTBR/NOR second cohort/BTBR/training/c10_f1.mp4</t>
        </is>
      </c>
      <c r="U964" t="n">
        <v>17797</v>
      </c>
      <c r="V964" t="n">
        <v>17810</v>
      </c>
      <c r="W964" t="n">
        <v/>
      </c>
      <c r="X964" t="n">
        <v/>
      </c>
      <c r="Y964" t="n">
        <v/>
      </c>
      <c r="Z964" t="n">
        <v/>
      </c>
      <c r="AA964">
        <f>SUMIFS($S$2:S964,$A$2:A964,A964,$N$2:N964,"Explore*")</f>
        <v/>
      </c>
      <c r="AB964">
        <f>IF(AND(LEFT(N964,7)="Explore",(AA964-IF(LEFT(N964,7)="Explore",S964,0))&lt;10),"SI","NO")</f>
        <v/>
      </c>
    </row>
    <row r="965">
      <c r="A965" t="inlineStr">
        <is>
          <t>c10f1_training</t>
        </is>
      </c>
      <c r="B965" t="inlineStr">
        <is>
          <t>2026-06-19 16:03:55.815</t>
        </is>
      </c>
      <c r="C965" t="n">
        <v/>
      </c>
      <c r="D965" t="inlineStr">
        <is>
          <t>Media file</t>
        </is>
      </c>
      <c r="E965" t="inlineStr">
        <is>
          <t>player #1:C:/Users/manuel.felline/Documents/BEHAVIOR BTBR/NOR second cohort/BTBR/training/c10_f1.mp4</t>
        </is>
      </c>
      <c r="F965" t="n">
        <v>-16.233</v>
      </c>
      <c r="G965" t="n">
        <v>590.933</v>
      </c>
      <c r="H965" t="n">
        <v>653.199</v>
      </c>
      <c r="I965" t="n">
        <v>30</v>
      </c>
      <c r="J965" t="inlineStr">
        <is>
          <t>BTBR</t>
        </is>
      </c>
      <c r="K965" t="inlineStr">
        <is>
          <t xml:space="preserve"> Female</t>
        </is>
      </c>
      <c r="L965" t="inlineStr">
        <is>
          <t>No focal subject</t>
        </is>
      </c>
      <c r="M965" t="n">
        <v>38.863</v>
      </c>
      <c r="N965" t="inlineStr">
        <is>
          <t>Explore_F2</t>
        </is>
      </c>
      <c r="O965" t="inlineStr">
        <is>
          <t>Second familiar</t>
        </is>
      </c>
      <c r="P965" t="inlineStr">
        <is>
          <t>STATE</t>
        </is>
      </c>
      <c r="Q965" t="n">
        <v>583.266</v>
      </c>
      <c r="R965" t="n">
        <v>583.7329999999999</v>
      </c>
      <c r="S965" t="n">
        <v>0.467</v>
      </c>
      <c r="T965" t="inlineStr">
        <is>
          <t>C:/Users/manuel.felline/Documents/BEHAVIOR BTBR/NOR second cohort/BTBR/training/c10_f1.mp4</t>
        </is>
      </c>
      <c r="U965" t="n">
        <v>17980</v>
      </c>
      <c r="V965" t="n">
        <v>17994</v>
      </c>
      <c r="W965" t="n">
        <v/>
      </c>
      <c r="X965" t="n">
        <v/>
      </c>
      <c r="Y965" t="n">
        <v/>
      </c>
      <c r="Z965" t="n">
        <v/>
      </c>
      <c r="AA965">
        <f>SUMIFS($S$2:S965,$A$2:A965,A965,$N$2:N965,"Explore*")</f>
        <v/>
      </c>
      <c r="AB965">
        <f>IF(AND(LEFT(N965,7)="Explore",(AA965-IF(LEFT(N965,7)="Explore",S965,0))&lt;10),"SI","NO")</f>
        <v/>
      </c>
    </row>
    <row r="966">
      <c r="A966" t="inlineStr">
        <is>
          <t>c10f1_training</t>
        </is>
      </c>
      <c r="B966" t="inlineStr">
        <is>
          <t>2026-06-19 16:03:55.815</t>
        </is>
      </c>
      <c r="C966" t="n">
        <v/>
      </c>
      <c r="D966" t="inlineStr">
        <is>
          <t>Media file</t>
        </is>
      </c>
      <c r="E966" t="inlineStr">
        <is>
          <t>player #1:C:/Users/manuel.felline/Documents/BEHAVIOR BTBR/NOR second cohort/BTBR/training/c10_f1.mp4</t>
        </is>
      </c>
      <c r="F966" t="n">
        <v>-16.233</v>
      </c>
      <c r="G966" t="n">
        <v>590.933</v>
      </c>
      <c r="H966" t="n">
        <v>653.199</v>
      </c>
      <c r="I966" t="n">
        <v>30</v>
      </c>
      <c r="J966" t="inlineStr">
        <is>
          <t>BTBR</t>
        </is>
      </c>
      <c r="K966" t="inlineStr">
        <is>
          <t xml:space="preserve"> Female</t>
        </is>
      </c>
      <c r="L966" t="inlineStr">
        <is>
          <t>No focal subject</t>
        </is>
      </c>
      <c r="M966" t="n">
        <v>38.863</v>
      </c>
      <c r="N966" t="inlineStr">
        <is>
          <t>Explore_F</t>
        </is>
      </c>
      <c r="O966" t="inlineStr">
        <is>
          <t>Familiar</t>
        </is>
      </c>
      <c r="P966" t="inlineStr">
        <is>
          <t>STATE</t>
        </is>
      </c>
      <c r="Q966" t="n">
        <v>594.933</v>
      </c>
      <c r="R966" t="n">
        <v>595.3</v>
      </c>
      <c r="S966" t="n">
        <v>0.367</v>
      </c>
      <c r="T966" t="inlineStr">
        <is>
          <t>C:/Users/manuel.felline/Documents/BEHAVIOR BTBR/NOR second cohort/BTBR/training/c10_f1.mp4</t>
        </is>
      </c>
      <c r="U966" t="n">
        <v>18330</v>
      </c>
      <c r="V966" t="n">
        <v>18341</v>
      </c>
      <c r="W966" t="n">
        <v/>
      </c>
      <c r="X966" t="n">
        <v/>
      </c>
      <c r="Y966" t="n">
        <v/>
      </c>
      <c r="Z966" t="n">
        <v/>
      </c>
      <c r="AA966">
        <f>SUMIFS($S$2:S966,$A$2:A966,A966,$N$2:N966,"Explore*")</f>
        <v/>
      </c>
      <c r="AB966">
        <f>IF(AND(LEFT(N966,7)="Explore",(AA966-IF(LEFT(N966,7)="Explore",S966,0))&lt;10),"SI","NO")</f>
        <v/>
      </c>
    </row>
    <row r="967">
      <c r="A967" t="inlineStr">
        <is>
          <t>c10f2_training</t>
        </is>
      </c>
      <c r="B967" t="inlineStr">
        <is>
          <t>2026-06-23 15:57:41.098</t>
        </is>
      </c>
      <c r="C967" t="n">
        <v/>
      </c>
      <c r="D967" t="inlineStr">
        <is>
          <t>Media file</t>
        </is>
      </c>
      <c r="E967" t="inlineStr">
        <is>
          <t>player #1:C:/Users/manuel.felline/Documents/BEHAVIOR BTBR/NOR second cohort/BTBR/training/c10_f2.mp4</t>
        </is>
      </c>
      <c r="F967" t="n">
        <v>-13.433</v>
      </c>
      <c r="G967" t="n">
        <v>559.899</v>
      </c>
      <c r="H967" t="n">
        <v>627.566</v>
      </c>
      <c r="I967" t="n">
        <v>30</v>
      </c>
      <c r="J967" t="inlineStr">
        <is>
          <t>BTBR</t>
        </is>
      </c>
      <c r="K967" t="inlineStr">
        <is>
          <t xml:space="preserve"> Female</t>
        </is>
      </c>
      <c r="L967" t="inlineStr">
        <is>
          <t>No focal subject</t>
        </is>
      </c>
      <c r="M967" t="n">
        <v>52.866</v>
      </c>
      <c r="N967" t="inlineStr">
        <is>
          <t>Explore_F</t>
        </is>
      </c>
      <c r="O967" t="inlineStr">
        <is>
          <t>Familiar</t>
        </is>
      </c>
      <c r="P967" t="inlineStr">
        <is>
          <t>STATE</t>
        </is>
      </c>
      <c r="Q967" t="n">
        <v>1.734</v>
      </c>
      <c r="R967" t="n">
        <v>2.534</v>
      </c>
      <c r="S967" t="n">
        <v>0.8</v>
      </c>
      <c r="T967" t="inlineStr">
        <is>
          <t>C:/Users/manuel.felline/Documents/BEHAVIOR BTBR/NOR second cohort/BTBR/training/c10_f2.mp4</t>
        </is>
      </c>
      <c r="U967" t="n">
        <v>455</v>
      </c>
      <c r="V967" t="n">
        <v>479</v>
      </c>
      <c r="W967" t="n">
        <v/>
      </c>
      <c r="X967" t="n">
        <v/>
      </c>
      <c r="Y967" t="n">
        <v/>
      </c>
      <c r="Z967" t="n">
        <v/>
      </c>
      <c r="AA967">
        <f>SUMIFS($S$2:S967,$A$2:A967,A967,$N$2:N967,"Explore*")</f>
        <v/>
      </c>
      <c r="AB967">
        <f>IF(AND(LEFT(N967,7)="Explore",(AA967-IF(LEFT(N967,7)="Explore",S967,0))&lt;10),"SI","NO")</f>
        <v/>
      </c>
    </row>
    <row r="968">
      <c r="A968" t="inlineStr">
        <is>
          <t>c10f2_training</t>
        </is>
      </c>
      <c r="B968" t="inlineStr">
        <is>
          <t>2026-06-23 15:57:41.098</t>
        </is>
      </c>
      <c r="C968" t="n">
        <v/>
      </c>
      <c r="D968" t="inlineStr">
        <is>
          <t>Media file</t>
        </is>
      </c>
      <c r="E968" t="inlineStr">
        <is>
          <t>player #1:C:/Users/manuel.felline/Documents/BEHAVIOR BTBR/NOR second cohort/BTBR/training/c10_f2.mp4</t>
        </is>
      </c>
      <c r="F968" t="n">
        <v>-13.433</v>
      </c>
      <c r="G968" t="n">
        <v>559.899</v>
      </c>
      <c r="H968" t="n">
        <v>627.566</v>
      </c>
      <c r="I968" t="n">
        <v>30</v>
      </c>
      <c r="J968" t="inlineStr">
        <is>
          <t>BTBR</t>
        </is>
      </c>
      <c r="K968" t="inlineStr">
        <is>
          <t xml:space="preserve"> Female</t>
        </is>
      </c>
      <c r="L968" t="inlineStr">
        <is>
          <t>No focal subject</t>
        </is>
      </c>
      <c r="M968" t="n">
        <v>52.866</v>
      </c>
      <c r="N968" t="inlineStr">
        <is>
          <t>Explore_F</t>
        </is>
      </c>
      <c r="O968" t="inlineStr">
        <is>
          <t>Familiar</t>
        </is>
      </c>
      <c r="P968" t="inlineStr">
        <is>
          <t>STATE</t>
        </is>
      </c>
      <c r="Q968" t="n">
        <v>3.134</v>
      </c>
      <c r="R968" t="n">
        <v>3.434</v>
      </c>
      <c r="S968" t="n">
        <v>0.3</v>
      </c>
      <c r="T968" t="inlineStr">
        <is>
          <t>C:/Users/manuel.felline/Documents/BEHAVIOR BTBR/NOR second cohort/BTBR/training/c10_f2.mp4</t>
        </is>
      </c>
      <c r="U968" t="n">
        <v>497</v>
      </c>
      <c r="V968" t="n">
        <v>506</v>
      </c>
      <c r="W968" t="n">
        <v/>
      </c>
      <c r="X968" t="n">
        <v/>
      </c>
      <c r="Y968" t="n">
        <v/>
      </c>
      <c r="Z968" t="n">
        <v/>
      </c>
      <c r="AA968">
        <f>SUMIFS($S$2:S968,$A$2:A968,A968,$N$2:N968,"Explore*")</f>
        <v/>
      </c>
      <c r="AB968">
        <f>IF(AND(LEFT(N968,7)="Explore",(AA968-IF(LEFT(N968,7)="Explore",S968,0))&lt;10),"SI","NO")</f>
        <v/>
      </c>
    </row>
    <row r="969">
      <c r="A969" t="inlineStr">
        <is>
          <t>c10f2_training</t>
        </is>
      </c>
      <c r="B969" t="inlineStr">
        <is>
          <t>2026-06-23 15:57:41.098</t>
        </is>
      </c>
      <c r="C969" t="n">
        <v/>
      </c>
      <c r="D969" t="inlineStr">
        <is>
          <t>Media file</t>
        </is>
      </c>
      <c r="E969" t="inlineStr">
        <is>
          <t>player #1:C:/Users/manuel.felline/Documents/BEHAVIOR BTBR/NOR second cohort/BTBR/training/c10_f2.mp4</t>
        </is>
      </c>
      <c r="F969" t="n">
        <v>-13.433</v>
      </c>
      <c r="G969" t="n">
        <v>559.899</v>
      </c>
      <c r="H969" t="n">
        <v>627.566</v>
      </c>
      <c r="I969" t="n">
        <v>30</v>
      </c>
      <c r="J969" t="inlineStr">
        <is>
          <t>BTBR</t>
        </is>
      </c>
      <c r="K969" t="inlineStr">
        <is>
          <t xml:space="preserve"> Female</t>
        </is>
      </c>
      <c r="L969" t="inlineStr">
        <is>
          <t>No focal subject</t>
        </is>
      </c>
      <c r="M969" t="n">
        <v>52.866</v>
      </c>
      <c r="N969" t="inlineStr">
        <is>
          <t>Explore_F2</t>
        </is>
      </c>
      <c r="O969" t="inlineStr">
        <is>
          <t>Second familiar</t>
        </is>
      </c>
      <c r="P969" t="inlineStr">
        <is>
          <t>STATE</t>
        </is>
      </c>
      <c r="Q969" t="n">
        <v>4.134</v>
      </c>
      <c r="R969" t="n">
        <v>4.6</v>
      </c>
      <c r="S969" t="n">
        <v>0.466</v>
      </c>
      <c r="T969" t="inlineStr">
        <is>
          <t>C:/Users/manuel.felline/Documents/BEHAVIOR BTBR/NOR second cohort/BTBR/training/c10_f2.mp4</t>
        </is>
      </c>
      <c r="U969" t="n">
        <v>527</v>
      </c>
      <c r="V969" t="n">
        <v>541</v>
      </c>
      <c r="W969" t="n">
        <v/>
      </c>
      <c r="X969" t="n">
        <v/>
      </c>
      <c r="Y969" t="n">
        <v/>
      </c>
      <c r="Z969" t="n">
        <v/>
      </c>
      <c r="AA969">
        <f>SUMIFS($S$2:S969,$A$2:A969,A969,$N$2:N969,"Explore*")</f>
        <v/>
      </c>
      <c r="AB969">
        <f>IF(AND(LEFT(N969,7)="Explore",(AA969-IF(LEFT(N969,7)="Explore",S969,0))&lt;10),"SI","NO")</f>
        <v/>
      </c>
    </row>
    <row r="970">
      <c r="A970" t="inlineStr">
        <is>
          <t>c10f2_training</t>
        </is>
      </c>
      <c r="B970" t="inlineStr">
        <is>
          <t>2026-06-23 15:57:41.098</t>
        </is>
      </c>
      <c r="C970" t="n">
        <v/>
      </c>
      <c r="D970" t="inlineStr">
        <is>
          <t>Media file</t>
        </is>
      </c>
      <c r="E970" t="inlineStr">
        <is>
          <t>player #1:C:/Users/manuel.felline/Documents/BEHAVIOR BTBR/NOR second cohort/BTBR/training/c10_f2.mp4</t>
        </is>
      </c>
      <c r="F970" t="n">
        <v>-13.433</v>
      </c>
      <c r="G970" t="n">
        <v>559.899</v>
      </c>
      <c r="H970" t="n">
        <v>627.566</v>
      </c>
      <c r="I970" t="n">
        <v>30</v>
      </c>
      <c r="J970" t="inlineStr">
        <is>
          <t>BTBR</t>
        </is>
      </c>
      <c r="K970" t="inlineStr">
        <is>
          <t xml:space="preserve"> Female</t>
        </is>
      </c>
      <c r="L970" t="inlineStr">
        <is>
          <t>No focal subject</t>
        </is>
      </c>
      <c r="M970" t="n">
        <v>52.866</v>
      </c>
      <c r="N970" t="inlineStr">
        <is>
          <t>Explore_F</t>
        </is>
      </c>
      <c r="O970" t="inlineStr">
        <is>
          <t>Familiar</t>
        </is>
      </c>
      <c r="P970" t="inlineStr">
        <is>
          <t>STATE</t>
        </is>
      </c>
      <c r="Q970" t="n">
        <v>9</v>
      </c>
      <c r="R970" t="n">
        <v>10.167</v>
      </c>
      <c r="S970" t="n">
        <v>1.167</v>
      </c>
      <c r="T970" t="inlineStr">
        <is>
          <t>C:/Users/manuel.felline/Documents/BEHAVIOR BTBR/NOR second cohort/BTBR/training/c10_f2.mp4</t>
        </is>
      </c>
      <c r="U970" t="n">
        <v>673</v>
      </c>
      <c r="V970" t="n">
        <v>708</v>
      </c>
      <c r="W970" t="n">
        <v/>
      </c>
      <c r="X970" t="n">
        <v/>
      </c>
      <c r="Y970" t="n">
        <v/>
      </c>
      <c r="Z970" t="n">
        <v/>
      </c>
      <c r="AA970">
        <f>SUMIFS($S$2:S970,$A$2:A970,A970,$N$2:N970,"Explore*")</f>
        <v/>
      </c>
      <c r="AB970">
        <f>IF(AND(LEFT(N970,7)="Explore",(AA970-IF(LEFT(N970,7)="Explore",S970,0))&lt;10),"SI","NO")</f>
        <v/>
      </c>
    </row>
    <row r="971">
      <c r="A971" t="inlineStr">
        <is>
          <t>c10f2_training</t>
        </is>
      </c>
      <c r="B971" t="inlineStr">
        <is>
          <t>2026-06-23 15:57:41.098</t>
        </is>
      </c>
      <c r="C971" t="n">
        <v/>
      </c>
      <c r="D971" t="inlineStr">
        <is>
          <t>Media file</t>
        </is>
      </c>
      <c r="E971" t="inlineStr">
        <is>
          <t>player #1:C:/Users/manuel.felline/Documents/BEHAVIOR BTBR/NOR second cohort/BTBR/training/c10_f2.mp4</t>
        </is>
      </c>
      <c r="F971" t="n">
        <v>-13.433</v>
      </c>
      <c r="G971" t="n">
        <v>559.899</v>
      </c>
      <c r="H971" t="n">
        <v>627.566</v>
      </c>
      <c r="I971" t="n">
        <v>30</v>
      </c>
      <c r="J971" t="inlineStr">
        <is>
          <t>BTBR</t>
        </is>
      </c>
      <c r="K971" t="inlineStr">
        <is>
          <t xml:space="preserve"> Female</t>
        </is>
      </c>
      <c r="L971" t="inlineStr">
        <is>
          <t>No focal subject</t>
        </is>
      </c>
      <c r="M971" t="n">
        <v>52.866</v>
      </c>
      <c r="N971" t="inlineStr">
        <is>
          <t>Explore_F2</t>
        </is>
      </c>
      <c r="O971" t="inlineStr">
        <is>
          <t>Second familiar</t>
        </is>
      </c>
      <c r="P971" t="inlineStr">
        <is>
          <t>STATE</t>
        </is>
      </c>
      <c r="Q971" t="n">
        <v>14.034</v>
      </c>
      <c r="R971" t="n">
        <v>14.934</v>
      </c>
      <c r="S971" t="n">
        <v>0.9</v>
      </c>
      <c r="T971" t="inlineStr">
        <is>
          <t>C:/Users/manuel.felline/Documents/BEHAVIOR BTBR/NOR second cohort/BTBR/training/c10_f2.mp4</t>
        </is>
      </c>
      <c r="U971" t="n">
        <v>824</v>
      </c>
      <c r="V971" t="n">
        <v>851</v>
      </c>
      <c r="W971" t="n">
        <v/>
      </c>
      <c r="X971" t="n">
        <v/>
      </c>
      <c r="Y971" t="n">
        <v/>
      </c>
      <c r="Z971" t="n">
        <v/>
      </c>
      <c r="AA971">
        <f>SUMIFS($S$2:S971,$A$2:A971,A971,$N$2:N971,"Explore*")</f>
        <v/>
      </c>
      <c r="AB971">
        <f>IF(AND(LEFT(N971,7)="Explore",(AA971-IF(LEFT(N971,7)="Explore",S971,0))&lt;10),"SI","NO")</f>
        <v/>
      </c>
    </row>
    <row r="972">
      <c r="A972" t="inlineStr">
        <is>
          <t>c10f2_training</t>
        </is>
      </c>
      <c r="B972" t="inlineStr">
        <is>
          <t>2026-06-23 15:57:41.098</t>
        </is>
      </c>
      <c r="C972" t="n">
        <v/>
      </c>
      <c r="D972" t="inlineStr">
        <is>
          <t>Media file</t>
        </is>
      </c>
      <c r="E972" t="inlineStr">
        <is>
          <t>player #1:C:/Users/manuel.felline/Documents/BEHAVIOR BTBR/NOR second cohort/BTBR/training/c10_f2.mp4</t>
        </is>
      </c>
      <c r="F972" t="n">
        <v>-13.433</v>
      </c>
      <c r="G972" t="n">
        <v>559.899</v>
      </c>
      <c r="H972" t="n">
        <v>627.566</v>
      </c>
      <c r="I972" t="n">
        <v>30</v>
      </c>
      <c r="J972" t="inlineStr">
        <is>
          <t>BTBR</t>
        </is>
      </c>
      <c r="K972" t="inlineStr">
        <is>
          <t xml:space="preserve"> Female</t>
        </is>
      </c>
      <c r="L972" t="inlineStr">
        <is>
          <t>No focal subject</t>
        </is>
      </c>
      <c r="M972" t="n">
        <v>52.866</v>
      </c>
      <c r="N972" t="inlineStr">
        <is>
          <t>Explore_F2</t>
        </is>
      </c>
      <c r="O972" t="inlineStr">
        <is>
          <t>Second familiar</t>
        </is>
      </c>
      <c r="P972" t="inlineStr">
        <is>
          <t>STATE</t>
        </is>
      </c>
      <c r="Q972" t="n">
        <v>17.7</v>
      </c>
      <c r="R972" t="n">
        <v>18.267</v>
      </c>
      <c r="S972" t="n">
        <v>0.5669999999999999</v>
      </c>
      <c r="T972" t="inlineStr">
        <is>
          <t>C:/Users/manuel.felline/Documents/BEHAVIOR BTBR/NOR second cohort/BTBR/training/c10_f2.mp4</t>
        </is>
      </c>
      <c r="U972" t="n">
        <v>934</v>
      </c>
      <c r="V972" t="n">
        <v>951</v>
      </c>
      <c r="W972" t="n">
        <v/>
      </c>
      <c r="X972" t="n">
        <v/>
      </c>
      <c r="Y972" t="n">
        <v/>
      </c>
      <c r="Z972" t="n">
        <v/>
      </c>
      <c r="AA972">
        <f>SUMIFS($S$2:S972,$A$2:A972,A972,$N$2:N972,"Explore*")</f>
        <v/>
      </c>
      <c r="AB972">
        <f>IF(AND(LEFT(N972,7)="Explore",(AA972-IF(LEFT(N972,7)="Explore",S972,0))&lt;10),"SI","NO")</f>
        <v/>
      </c>
    </row>
    <row r="973">
      <c r="A973" t="inlineStr">
        <is>
          <t>c10f2_training</t>
        </is>
      </c>
      <c r="B973" t="inlineStr">
        <is>
          <t>2026-06-23 15:57:41.098</t>
        </is>
      </c>
      <c r="C973" t="n">
        <v/>
      </c>
      <c r="D973" t="inlineStr">
        <is>
          <t>Media file</t>
        </is>
      </c>
      <c r="E973" t="inlineStr">
        <is>
          <t>player #1:C:/Users/manuel.felline/Documents/BEHAVIOR BTBR/NOR second cohort/BTBR/training/c10_f2.mp4</t>
        </is>
      </c>
      <c r="F973" t="n">
        <v>-13.433</v>
      </c>
      <c r="G973" t="n">
        <v>559.899</v>
      </c>
      <c r="H973" t="n">
        <v>627.566</v>
      </c>
      <c r="I973" t="n">
        <v>30</v>
      </c>
      <c r="J973" t="inlineStr">
        <is>
          <t>BTBR</t>
        </is>
      </c>
      <c r="K973" t="inlineStr">
        <is>
          <t xml:space="preserve"> Female</t>
        </is>
      </c>
      <c r="L973" t="inlineStr">
        <is>
          <t>No focal subject</t>
        </is>
      </c>
      <c r="M973" t="n">
        <v>52.866</v>
      </c>
      <c r="N973" t="inlineStr">
        <is>
          <t>Explore_F</t>
        </is>
      </c>
      <c r="O973" t="inlineStr">
        <is>
          <t>Familiar</t>
        </is>
      </c>
      <c r="P973" t="inlineStr">
        <is>
          <t>STATE</t>
        </is>
      </c>
      <c r="Q973" t="n">
        <v>25.734</v>
      </c>
      <c r="R973" t="n">
        <v>26.6</v>
      </c>
      <c r="S973" t="n">
        <v>0.866</v>
      </c>
      <c r="T973" t="inlineStr">
        <is>
          <t>C:/Users/manuel.felline/Documents/BEHAVIOR BTBR/NOR second cohort/BTBR/training/c10_f2.mp4</t>
        </is>
      </c>
      <c r="U973" t="n">
        <v>1176</v>
      </c>
      <c r="V973" t="n">
        <v>1201</v>
      </c>
      <c r="W973" t="n">
        <v/>
      </c>
      <c r="X973" t="n">
        <v/>
      </c>
      <c r="Y973" t="n">
        <v/>
      </c>
      <c r="Z973" t="n">
        <v/>
      </c>
      <c r="AA973">
        <f>SUMIFS($S$2:S973,$A$2:A973,A973,$N$2:N973,"Explore*")</f>
        <v/>
      </c>
      <c r="AB973">
        <f>IF(AND(LEFT(N973,7)="Explore",(AA973-IF(LEFT(N973,7)="Explore",S973,0))&lt;10),"SI","NO")</f>
        <v/>
      </c>
    </row>
    <row r="974">
      <c r="A974" t="inlineStr">
        <is>
          <t>c10f2_training</t>
        </is>
      </c>
      <c r="B974" t="inlineStr">
        <is>
          <t>2026-06-23 15:57:41.098</t>
        </is>
      </c>
      <c r="C974" t="n">
        <v/>
      </c>
      <c r="D974" t="inlineStr">
        <is>
          <t>Media file</t>
        </is>
      </c>
      <c r="E974" t="inlineStr">
        <is>
          <t>player #1:C:/Users/manuel.felline/Documents/BEHAVIOR BTBR/NOR second cohort/BTBR/training/c10_f2.mp4</t>
        </is>
      </c>
      <c r="F974" t="n">
        <v>-13.433</v>
      </c>
      <c r="G974" t="n">
        <v>559.899</v>
      </c>
      <c r="H974" t="n">
        <v>627.566</v>
      </c>
      <c r="I974" t="n">
        <v>30</v>
      </c>
      <c r="J974" t="inlineStr">
        <is>
          <t>BTBR</t>
        </is>
      </c>
      <c r="K974" t="inlineStr">
        <is>
          <t xml:space="preserve"> Female</t>
        </is>
      </c>
      <c r="L974" t="inlineStr">
        <is>
          <t>No focal subject</t>
        </is>
      </c>
      <c r="M974" t="n">
        <v>52.866</v>
      </c>
      <c r="N974" t="inlineStr">
        <is>
          <t>Explore_F2</t>
        </is>
      </c>
      <c r="O974" t="inlineStr">
        <is>
          <t>Second familiar</t>
        </is>
      </c>
      <c r="P974" t="inlineStr">
        <is>
          <t>STATE</t>
        </is>
      </c>
      <c r="Q974" t="n">
        <v>27.434</v>
      </c>
      <c r="R974" t="n">
        <v>28.067</v>
      </c>
      <c r="S974" t="n">
        <v>0.633</v>
      </c>
      <c r="T974" t="inlineStr">
        <is>
          <t>C:/Users/manuel.felline/Documents/BEHAVIOR BTBR/NOR second cohort/BTBR/training/c10_f2.mp4</t>
        </is>
      </c>
      <c r="U974" t="n">
        <v>1226</v>
      </c>
      <c r="V974" t="n">
        <v>1245</v>
      </c>
      <c r="W974" t="n">
        <v/>
      </c>
      <c r="X974" t="n">
        <v/>
      </c>
      <c r="Y974" t="n">
        <v/>
      </c>
      <c r="Z974" t="n">
        <v/>
      </c>
      <c r="AA974">
        <f>SUMIFS($S$2:S974,$A$2:A974,A974,$N$2:N974,"Explore*")</f>
        <v/>
      </c>
      <c r="AB974">
        <f>IF(AND(LEFT(N974,7)="Explore",(AA974-IF(LEFT(N974,7)="Explore",S974,0))&lt;10),"SI","NO")</f>
        <v/>
      </c>
    </row>
    <row r="975">
      <c r="A975" t="inlineStr">
        <is>
          <t>c10f2_training</t>
        </is>
      </c>
      <c r="B975" t="inlineStr">
        <is>
          <t>2026-06-23 15:57:41.098</t>
        </is>
      </c>
      <c r="C975" t="n">
        <v/>
      </c>
      <c r="D975" t="inlineStr">
        <is>
          <t>Media file</t>
        </is>
      </c>
      <c r="E975" t="inlineStr">
        <is>
          <t>player #1:C:/Users/manuel.felline/Documents/BEHAVIOR BTBR/NOR second cohort/BTBR/training/c10_f2.mp4</t>
        </is>
      </c>
      <c r="F975" t="n">
        <v>-13.433</v>
      </c>
      <c r="G975" t="n">
        <v>559.899</v>
      </c>
      <c r="H975" t="n">
        <v>627.566</v>
      </c>
      <c r="I975" t="n">
        <v>30</v>
      </c>
      <c r="J975" t="inlineStr">
        <is>
          <t>BTBR</t>
        </is>
      </c>
      <c r="K975" t="inlineStr">
        <is>
          <t xml:space="preserve"> Female</t>
        </is>
      </c>
      <c r="L975" t="inlineStr">
        <is>
          <t>No focal subject</t>
        </is>
      </c>
      <c r="M975" t="n">
        <v>52.866</v>
      </c>
      <c r="N975" t="inlineStr">
        <is>
          <t>Explore_F2</t>
        </is>
      </c>
      <c r="O975" t="inlineStr">
        <is>
          <t>Second familiar</t>
        </is>
      </c>
      <c r="P975" t="inlineStr">
        <is>
          <t>STATE</t>
        </is>
      </c>
      <c r="Q975" t="n">
        <v>30.434</v>
      </c>
      <c r="R975" t="n">
        <v>30.7</v>
      </c>
      <c r="S975" t="n">
        <v>0.266</v>
      </c>
      <c r="T975" t="inlineStr">
        <is>
          <t>C:/Users/manuel.felline/Documents/BEHAVIOR BTBR/NOR second cohort/BTBR/training/c10_f2.mp4</t>
        </is>
      </c>
      <c r="U975" t="n">
        <v>1316</v>
      </c>
      <c r="V975" t="n">
        <v>1324</v>
      </c>
      <c r="W975" t="n">
        <v/>
      </c>
      <c r="X975" t="n">
        <v/>
      </c>
      <c r="Y975" t="n">
        <v/>
      </c>
      <c r="Z975" t="n">
        <v/>
      </c>
      <c r="AA975">
        <f>SUMIFS($S$2:S975,$A$2:A975,A975,$N$2:N975,"Explore*")</f>
        <v/>
      </c>
      <c r="AB975">
        <f>IF(AND(LEFT(N975,7)="Explore",(AA975-IF(LEFT(N975,7)="Explore",S975,0))&lt;10),"SI","NO")</f>
        <v/>
      </c>
    </row>
    <row r="976">
      <c r="A976" t="inlineStr">
        <is>
          <t>c10f2_training</t>
        </is>
      </c>
      <c r="B976" t="inlineStr">
        <is>
          <t>2026-06-23 15:57:41.098</t>
        </is>
      </c>
      <c r="C976" t="n">
        <v/>
      </c>
      <c r="D976" t="inlineStr">
        <is>
          <t>Media file</t>
        </is>
      </c>
      <c r="E976" t="inlineStr">
        <is>
          <t>player #1:C:/Users/manuel.felline/Documents/BEHAVIOR BTBR/NOR second cohort/BTBR/training/c10_f2.mp4</t>
        </is>
      </c>
      <c r="F976" t="n">
        <v>-13.433</v>
      </c>
      <c r="G976" t="n">
        <v>559.899</v>
      </c>
      <c r="H976" t="n">
        <v>627.566</v>
      </c>
      <c r="I976" t="n">
        <v>30</v>
      </c>
      <c r="J976" t="inlineStr">
        <is>
          <t>BTBR</t>
        </is>
      </c>
      <c r="K976" t="inlineStr">
        <is>
          <t xml:space="preserve"> Female</t>
        </is>
      </c>
      <c r="L976" t="inlineStr">
        <is>
          <t>No focal subject</t>
        </is>
      </c>
      <c r="M976" t="n">
        <v>52.866</v>
      </c>
      <c r="N976" t="inlineStr">
        <is>
          <t>Explore_F</t>
        </is>
      </c>
      <c r="O976" t="inlineStr">
        <is>
          <t>Familiar</t>
        </is>
      </c>
      <c r="P976" t="inlineStr">
        <is>
          <t>STATE</t>
        </is>
      </c>
      <c r="Q976" t="n">
        <v>38.867</v>
      </c>
      <c r="R976" t="n">
        <v>39.2</v>
      </c>
      <c r="S976" t="n">
        <v>0.333</v>
      </c>
      <c r="T976" t="inlineStr">
        <is>
          <t>C:/Users/manuel.felline/Documents/BEHAVIOR BTBR/NOR second cohort/BTBR/training/c10_f2.mp4</t>
        </is>
      </c>
      <c r="U976" t="n">
        <v>1569</v>
      </c>
      <c r="V976" t="n">
        <v>1579</v>
      </c>
      <c r="W976" t="n">
        <v/>
      </c>
      <c r="X976" t="n">
        <v/>
      </c>
      <c r="Y976" t="n">
        <v/>
      </c>
      <c r="Z976" t="n">
        <v/>
      </c>
      <c r="AA976">
        <f>SUMIFS($S$2:S976,$A$2:A976,A976,$N$2:N976,"Explore*")</f>
        <v/>
      </c>
      <c r="AB976">
        <f>IF(AND(LEFT(N976,7)="Explore",(AA976-IF(LEFT(N976,7)="Explore",S976,0))&lt;10),"SI","NO")</f>
        <v/>
      </c>
    </row>
    <row r="977">
      <c r="A977" t="inlineStr">
        <is>
          <t>c10f2_training</t>
        </is>
      </c>
      <c r="B977" t="inlineStr">
        <is>
          <t>2026-06-23 15:57:41.098</t>
        </is>
      </c>
      <c r="C977" t="n">
        <v/>
      </c>
      <c r="D977" t="inlineStr">
        <is>
          <t>Media file</t>
        </is>
      </c>
      <c r="E977" t="inlineStr">
        <is>
          <t>player #1:C:/Users/manuel.felline/Documents/BEHAVIOR BTBR/NOR second cohort/BTBR/training/c10_f2.mp4</t>
        </is>
      </c>
      <c r="F977" t="n">
        <v>-13.433</v>
      </c>
      <c r="G977" t="n">
        <v>559.899</v>
      </c>
      <c r="H977" t="n">
        <v>627.566</v>
      </c>
      <c r="I977" t="n">
        <v>30</v>
      </c>
      <c r="J977" t="inlineStr">
        <is>
          <t>BTBR</t>
        </is>
      </c>
      <c r="K977" t="inlineStr">
        <is>
          <t xml:space="preserve"> Female</t>
        </is>
      </c>
      <c r="L977" t="inlineStr">
        <is>
          <t>No focal subject</t>
        </is>
      </c>
      <c r="M977" t="n">
        <v>52.866</v>
      </c>
      <c r="N977" t="inlineStr">
        <is>
          <t>Explore_F2</t>
        </is>
      </c>
      <c r="O977" t="inlineStr">
        <is>
          <t>Second familiar</t>
        </is>
      </c>
      <c r="P977" t="inlineStr">
        <is>
          <t>STATE</t>
        </is>
      </c>
      <c r="Q977" t="n">
        <v>50.067</v>
      </c>
      <c r="R977" t="n">
        <v>50.334</v>
      </c>
      <c r="S977" t="n">
        <v>0.267</v>
      </c>
      <c r="T977" t="inlineStr">
        <is>
          <t>C:/Users/manuel.felline/Documents/BEHAVIOR BTBR/NOR second cohort/BTBR/training/c10_f2.mp4</t>
        </is>
      </c>
      <c r="U977" t="n">
        <v>1905</v>
      </c>
      <c r="V977" t="n">
        <v>1913</v>
      </c>
      <c r="W977" t="n">
        <v/>
      </c>
      <c r="X977" t="n">
        <v/>
      </c>
      <c r="Y977" t="n">
        <v/>
      </c>
      <c r="Z977" t="n">
        <v/>
      </c>
      <c r="AA977">
        <f>SUMIFS($S$2:S977,$A$2:A977,A977,$N$2:N977,"Explore*")</f>
        <v/>
      </c>
      <c r="AB977">
        <f>IF(AND(LEFT(N977,7)="Explore",(AA977-IF(LEFT(N977,7)="Explore",S977,0))&lt;10),"SI","NO")</f>
        <v/>
      </c>
    </row>
    <row r="978">
      <c r="A978" t="inlineStr">
        <is>
          <t>c10f2_training</t>
        </is>
      </c>
      <c r="B978" t="inlineStr">
        <is>
          <t>2026-06-23 15:57:41.098</t>
        </is>
      </c>
      <c r="C978" t="n">
        <v/>
      </c>
      <c r="D978" t="inlineStr">
        <is>
          <t>Media file</t>
        </is>
      </c>
      <c r="E978" t="inlineStr">
        <is>
          <t>player #1:C:/Users/manuel.felline/Documents/BEHAVIOR BTBR/NOR second cohort/BTBR/training/c10_f2.mp4</t>
        </is>
      </c>
      <c r="F978" t="n">
        <v>-13.433</v>
      </c>
      <c r="G978" t="n">
        <v>559.899</v>
      </c>
      <c r="H978" t="n">
        <v>627.566</v>
      </c>
      <c r="I978" t="n">
        <v>30</v>
      </c>
      <c r="J978" t="inlineStr">
        <is>
          <t>BTBR</t>
        </is>
      </c>
      <c r="K978" t="inlineStr">
        <is>
          <t xml:space="preserve"> Female</t>
        </is>
      </c>
      <c r="L978" t="inlineStr">
        <is>
          <t>No focal subject</t>
        </is>
      </c>
      <c r="M978" t="n">
        <v>52.866</v>
      </c>
      <c r="N978" t="inlineStr">
        <is>
          <t>Explore_F</t>
        </is>
      </c>
      <c r="O978" t="inlineStr">
        <is>
          <t>Familiar</t>
        </is>
      </c>
      <c r="P978" t="inlineStr">
        <is>
          <t>STATE</t>
        </is>
      </c>
      <c r="Q978" t="n">
        <v>72.8</v>
      </c>
      <c r="R978" t="n">
        <v>73.59999999999999</v>
      </c>
      <c r="S978" t="n">
        <v>0.8</v>
      </c>
      <c r="T978" t="inlineStr">
        <is>
          <t>C:/Users/manuel.felline/Documents/BEHAVIOR BTBR/NOR second cohort/BTBR/training/c10_f2.mp4</t>
        </is>
      </c>
      <c r="U978" t="n">
        <v>2587</v>
      </c>
      <c r="V978" t="n">
        <v>2611</v>
      </c>
      <c r="W978" t="n">
        <v/>
      </c>
      <c r="X978" t="n">
        <v/>
      </c>
      <c r="Y978" t="n">
        <v/>
      </c>
      <c r="Z978" t="n">
        <v/>
      </c>
      <c r="AA978">
        <f>SUMIFS($S$2:S978,$A$2:A978,A978,$N$2:N978,"Explore*")</f>
        <v/>
      </c>
      <c r="AB978">
        <f>IF(AND(LEFT(N978,7)="Explore",(AA978-IF(LEFT(N978,7)="Explore",S978,0))&lt;10),"SI","NO")</f>
        <v/>
      </c>
    </row>
    <row r="979">
      <c r="A979" t="inlineStr">
        <is>
          <t>c10f2_training</t>
        </is>
      </c>
      <c r="B979" t="inlineStr">
        <is>
          <t>2026-06-23 15:57:41.098</t>
        </is>
      </c>
      <c r="C979" t="n">
        <v/>
      </c>
      <c r="D979" t="inlineStr">
        <is>
          <t>Media file</t>
        </is>
      </c>
      <c r="E979" t="inlineStr">
        <is>
          <t>player #1:C:/Users/manuel.felline/Documents/BEHAVIOR BTBR/NOR second cohort/BTBR/training/c10_f2.mp4</t>
        </is>
      </c>
      <c r="F979" t="n">
        <v>-13.433</v>
      </c>
      <c r="G979" t="n">
        <v>559.899</v>
      </c>
      <c r="H979" t="n">
        <v>627.566</v>
      </c>
      <c r="I979" t="n">
        <v>30</v>
      </c>
      <c r="J979" t="inlineStr">
        <is>
          <t>BTBR</t>
        </is>
      </c>
      <c r="K979" t="inlineStr">
        <is>
          <t xml:space="preserve"> Female</t>
        </is>
      </c>
      <c r="L979" t="inlineStr">
        <is>
          <t>No focal subject</t>
        </is>
      </c>
      <c r="M979" t="n">
        <v>52.866</v>
      </c>
      <c r="N979" t="inlineStr">
        <is>
          <t>Explore_F2</t>
        </is>
      </c>
      <c r="O979" t="inlineStr">
        <is>
          <t>Second familiar</t>
        </is>
      </c>
      <c r="P979" t="inlineStr">
        <is>
          <t>STATE</t>
        </is>
      </c>
      <c r="Q979" t="n">
        <v>74.134</v>
      </c>
      <c r="R979" t="n">
        <v>74.53400000000001</v>
      </c>
      <c r="S979" t="n">
        <v>0.4</v>
      </c>
      <c r="T979" t="inlineStr">
        <is>
          <t>C:/Users/manuel.felline/Documents/BEHAVIOR BTBR/NOR second cohort/BTBR/training/c10_f2.mp4</t>
        </is>
      </c>
      <c r="U979" t="n">
        <v>2627</v>
      </c>
      <c r="V979" t="n">
        <v>2639</v>
      </c>
      <c r="W979" t="n">
        <v/>
      </c>
      <c r="X979" t="n">
        <v/>
      </c>
      <c r="Y979" t="n">
        <v/>
      </c>
      <c r="Z979" t="n">
        <v/>
      </c>
      <c r="AA979">
        <f>SUMIFS($S$2:S979,$A$2:A979,A979,$N$2:N979,"Explore*")</f>
        <v/>
      </c>
      <c r="AB979">
        <f>IF(AND(LEFT(N979,7)="Explore",(AA979-IF(LEFT(N979,7)="Explore",S979,0))&lt;10),"SI","NO")</f>
        <v/>
      </c>
    </row>
    <row r="980">
      <c r="A980" t="inlineStr">
        <is>
          <t>c10f2_training</t>
        </is>
      </c>
      <c r="B980" t="inlineStr">
        <is>
          <t>2026-06-23 15:57:41.098</t>
        </is>
      </c>
      <c r="C980" t="n">
        <v/>
      </c>
      <c r="D980" t="inlineStr">
        <is>
          <t>Media file</t>
        </is>
      </c>
      <c r="E980" t="inlineStr">
        <is>
          <t>player #1:C:/Users/manuel.felline/Documents/BEHAVIOR BTBR/NOR second cohort/BTBR/training/c10_f2.mp4</t>
        </is>
      </c>
      <c r="F980" t="n">
        <v>-13.433</v>
      </c>
      <c r="G980" t="n">
        <v>559.899</v>
      </c>
      <c r="H980" t="n">
        <v>627.566</v>
      </c>
      <c r="I980" t="n">
        <v>30</v>
      </c>
      <c r="J980" t="inlineStr">
        <is>
          <t>BTBR</t>
        </is>
      </c>
      <c r="K980" t="inlineStr">
        <is>
          <t xml:space="preserve"> Female</t>
        </is>
      </c>
      <c r="L980" t="inlineStr">
        <is>
          <t>No focal subject</t>
        </is>
      </c>
      <c r="M980" t="n">
        <v>52.866</v>
      </c>
      <c r="N980" t="inlineStr">
        <is>
          <t>Explore_F2</t>
        </is>
      </c>
      <c r="O980" t="inlineStr">
        <is>
          <t>Second familiar</t>
        </is>
      </c>
      <c r="P980" t="inlineStr">
        <is>
          <t>STATE</t>
        </is>
      </c>
      <c r="Q980" t="n">
        <v>75.3</v>
      </c>
      <c r="R980" t="n">
        <v>75.56699999999999</v>
      </c>
      <c r="S980" t="n">
        <v>0.267</v>
      </c>
      <c r="T980" t="inlineStr">
        <is>
          <t>C:/Users/manuel.felline/Documents/BEHAVIOR BTBR/NOR second cohort/BTBR/training/c10_f2.mp4</t>
        </is>
      </c>
      <c r="U980" t="n">
        <v>2662</v>
      </c>
      <c r="V980" t="n">
        <v>2670</v>
      </c>
      <c r="W980" t="n">
        <v/>
      </c>
      <c r="X980" t="n">
        <v/>
      </c>
      <c r="Y980" t="n">
        <v/>
      </c>
      <c r="Z980" t="n">
        <v/>
      </c>
      <c r="AA980">
        <f>SUMIFS($S$2:S980,$A$2:A980,A980,$N$2:N980,"Explore*")</f>
        <v/>
      </c>
      <c r="AB980">
        <f>IF(AND(LEFT(N980,7)="Explore",(AA980-IF(LEFT(N980,7)="Explore",S980,0))&lt;10),"SI","NO")</f>
        <v/>
      </c>
    </row>
    <row r="981">
      <c r="A981" t="inlineStr">
        <is>
          <t>c10f2_training</t>
        </is>
      </c>
      <c r="B981" t="inlineStr">
        <is>
          <t>2026-06-23 15:57:41.098</t>
        </is>
      </c>
      <c r="C981" t="n">
        <v/>
      </c>
      <c r="D981" t="inlineStr">
        <is>
          <t>Media file</t>
        </is>
      </c>
      <c r="E981" t="inlineStr">
        <is>
          <t>player #1:C:/Users/manuel.felline/Documents/BEHAVIOR BTBR/NOR second cohort/BTBR/training/c10_f2.mp4</t>
        </is>
      </c>
      <c r="F981" t="n">
        <v>-13.433</v>
      </c>
      <c r="G981" t="n">
        <v>559.899</v>
      </c>
      <c r="H981" t="n">
        <v>627.566</v>
      </c>
      <c r="I981" t="n">
        <v>30</v>
      </c>
      <c r="J981" t="inlineStr">
        <is>
          <t>BTBR</t>
        </is>
      </c>
      <c r="K981" t="inlineStr">
        <is>
          <t xml:space="preserve"> Female</t>
        </is>
      </c>
      <c r="L981" t="inlineStr">
        <is>
          <t>No focal subject</t>
        </is>
      </c>
      <c r="M981" t="n">
        <v>52.866</v>
      </c>
      <c r="N981" t="inlineStr">
        <is>
          <t>Explore_F</t>
        </is>
      </c>
      <c r="O981" t="inlineStr">
        <is>
          <t>Familiar</t>
        </is>
      </c>
      <c r="P981" t="inlineStr">
        <is>
          <t>STATE</t>
        </is>
      </c>
      <c r="Q981" t="n">
        <v>77.59999999999999</v>
      </c>
      <c r="R981" t="n">
        <v>77.867</v>
      </c>
      <c r="S981" t="n">
        <v>0.267</v>
      </c>
      <c r="T981" t="inlineStr">
        <is>
          <t>C:/Users/manuel.felline/Documents/BEHAVIOR BTBR/NOR second cohort/BTBR/training/c10_f2.mp4</t>
        </is>
      </c>
      <c r="U981" t="n">
        <v>2731</v>
      </c>
      <c r="V981" t="n">
        <v>2739</v>
      </c>
      <c r="W981" t="n">
        <v/>
      </c>
      <c r="X981" t="n">
        <v/>
      </c>
      <c r="Y981" t="n">
        <v/>
      </c>
      <c r="Z981" t="n">
        <v/>
      </c>
      <c r="AA981">
        <f>SUMIFS($S$2:S981,$A$2:A981,A981,$N$2:N981,"Explore*")</f>
        <v/>
      </c>
      <c r="AB981">
        <f>IF(AND(LEFT(N981,7)="Explore",(AA981-IF(LEFT(N981,7)="Explore",S981,0))&lt;10),"SI","NO")</f>
        <v/>
      </c>
    </row>
    <row r="982">
      <c r="A982" t="inlineStr">
        <is>
          <t>c10f2_training</t>
        </is>
      </c>
      <c r="B982" t="inlineStr">
        <is>
          <t>2026-06-23 15:57:41.098</t>
        </is>
      </c>
      <c r="C982" t="n">
        <v/>
      </c>
      <c r="D982" t="inlineStr">
        <is>
          <t>Media file</t>
        </is>
      </c>
      <c r="E982" t="inlineStr">
        <is>
          <t>player #1:C:/Users/manuel.felline/Documents/BEHAVIOR BTBR/NOR second cohort/BTBR/training/c10_f2.mp4</t>
        </is>
      </c>
      <c r="F982" t="n">
        <v>-13.433</v>
      </c>
      <c r="G982" t="n">
        <v>559.899</v>
      </c>
      <c r="H982" t="n">
        <v>627.566</v>
      </c>
      <c r="I982" t="n">
        <v>30</v>
      </c>
      <c r="J982" t="inlineStr">
        <is>
          <t>BTBR</t>
        </is>
      </c>
      <c r="K982" t="inlineStr">
        <is>
          <t xml:space="preserve"> Female</t>
        </is>
      </c>
      <c r="L982" t="inlineStr">
        <is>
          <t>No focal subject</t>
        </is>
      </c>
      <c r="M982" t="n">
        <v>52.866</v>
      </c>
      <c r="N982" t="inlineStr">
        <is>
          <t>Explore_F2</t>
        </is>
      </c>
      <c r="O982" t="inlineStr">
        <is>
          <t>Second familiar</t>
        </is>
      </c>
      <c r="P982" t="inlineStr">
        <is>
          <t>STATE</t>
        </is>
      </c>
      <c r="Q982" t="n">
        <v>82.134</v>
      </c>
      <c r="R982" t="n">
        <v>82.434</v>
      </c>
      <c r="S982" t="n">
        <v>0.3</v>
      </c>
      <c r="T982" t="inlineStr">
        <is>
          <t>C:/Users/manuel.felline/Documents/BEHAVIOR BTBR/NOR second cohort/BTBR/training/c10_f2.mp4</t>
        </is>
      </c>
      <c r="U982" t="n">
        <v>2867</v>
      </c>
      <c r="V982" t="n">
        <v>2876</v>
      </c>
      <c r="W982" t="n">
        <v/>
      </c>
      <c r="X982" t="n">
        <v/>
      </c>
      <c r="Y982" t="n">
        <v/>
      </c>
      <c r="Z982" t="n">
        <v/>
      </c>
      <c r="AA982">
        <f>SUMIFS($S$2:S982,$A$2:A982,A982,$N$2:N982,"Explore*")</f>
        <v/>
      </c>
      <c r="AB982">
        <f>IF(AND(LEFT(N982,7)="Explore",(AA982-IF(LEFT(N982,7)="Explore",S982,0))&lt;10),"SI","NO")</f>
        <v/>
      </c>
    </row>
    <row r="983">
      <c r="A983" t="inlineStr">
        <is>
          <t>c10f2_training</t>
        </is>
      </c>
      <c r="B983" t="inlineStr">
        <is>
          <t>2026-06-23 15:57:41.098</t>
        </is>
      </c>
      <c r="C983" t="n">
        <v/>
      </c>
      <c r="D983" t="inlineStr">
        <is>
          <t>Media file</t>
        </is>
      </c>
      <c r="E983" t="inlineStr">
        <is>
          <t>player #1:C:/Users/manuel.felline/Documents/BEHAVIOR BTBR/NOR second cohort/BTBR/training/c10_f2.mp4</t>
        </is>
      </c>
      <c r="F983" t="n">
        <v>-13.433</v>
      </c>
      <c r="G983" t="n">
        <v>559.899</v>
      </c>
      <c r="H983" t="n">
        <v>627.566</v>
      </c>
      <c r="I983" t="n">
        <v>30</v>
      </c>
      <c r="J983" t="inlineStr">
        <is>
          <t>BTBR</t>
        </is>
      </c>
      <c r="K983" t="inlineStr">
        <is>
          <t xml:space="preserve"> Female</t>
        </is>
      </c>
      <c r="L983" t="inlineStr">
        <is>
          <t>No focal subject</t>
        </is>
      </c>
      <c r="M983" t="n">
        <v>52.866</v>
      </c>
      <c r="N983" t="inlineStr">
        <is>
          <t>Explore_F</t>
        </is>
      </c>
      <c r="O983" t="inlineStr">
        <is>
          <t>Familiar</t>
        </is>
      </c>
      <c r="P983" t="inlineStr">
        <is>
          <t>STATE</t>
        </is>
      </c>
      <c r="Q983" t="n">
        <v>83.667</v>
      </c>
      <c r="R983" t="n">
        <v>84.434</v>
      </c>
      <c r="S983" t="n">
        <v>0.767</v>
      </c>
      <c r="T983" t="inlineStr">
        <is>
          <t>C:/Users/manuel.felline/Documents/BEHAVIOR BTBR/NOR second cohort/BTBR/training/c10_f2.mp4</t>
        </is>
      </c>
      <c r="U983" t="n">
        <v>2913</v>
      </c>
      <c r="V983" t="n">
        <v>2936</v>
      </c>
      <c r="W983" t="n">
        <v/>
      </c>
      <c r="X983" t="n">
        <v/>
      </c>
      <c r="Y983" t="n">
        <v/>
      </c>
      <c r="Z983" t="n">
        <v/>
      </c>
      <c r="AA983">
        <f>SUMIFS($S$2:S983,$A$2:A983,A983,$N$2:N983,"Explore*")</f>
        <v/>
      </c>
      <c r="AB983">
        <f>IF(AND(LEFT(N983,7)="Explore",(AA983-IF(LEFT(N983,7)="Explore",S983,0))&lt;10),"SI","NO")</f>
        <v/>
      </c>
    </row>
    <row r="984">
      <c r="A984" t="inlineStr">
        <is>
          <t>c10f2_training</t>
        </is>
      </c>
      <c r="B984" t="inlineStr">
        <is>
          <t>2026-06-23 15:57:41.098</t>
        </is>
      </c>
      <c r="C984" t="n">
        <v/>
      </c>
      <c r="D984" t="inlineStr">
        <is>
          <t>Media file</t>
        </is>
      </c>
      <c r="E984" t="inlineStr">
        <is>
          <t>player #1:C:/Users/manuel.felline/Documents/BEHAVIOR BTBR/NOR second cohort/BTBR/training/c10_f2.mp4</t>
        </is>
      </c>
      <c r="F984" t="n">
        <v>-13.433</v>
      </c>
      <c r="G984" t="n">
        <v>559.899</v>
      </c>
      <c r="H984" t="n">
        <v>627.566</v>
      </c>
      <c r="I984" t="n">
        <v>30</v>
      </c>
      <c r="J984" t="inlineStr">
        <is>
          <t>BTBR</t>
        </is>
      </c>
      <c r="K984" t="inlineStr">
        <is>
          <t xml:space="preserve"> Female</t>
        </is>
      </c>
      <c r="L984" t="inlineStr">
        <is>
          <t>No focal subject</t>
        </is>
      </c>
      <c r="M984" t="n">
        <v>52.866</v>
      </c>
      <c r="N984" t="inlineStr">
        <is>
          <t>Explore_F</t>
        </is>
      </c>
      <c r="O984" t="inlineStr">
        <is>
          <t>Familiar</t>
        </is>
      </c>
      <c r="P984" t="inlineStr">
        <is>
          <t>STATE</t>
        </is>
      </c>
      <c r="Q984" t="n">
        <v>87.267</v>
      </c>
      <c r="R984" t="n">
        <v>87.53400000000001</v>
      </c>
      <c r="S984" t="n">
        <v>0.267</v>
      </c>
      <c r="T984" t="inlineStr">
        <is>
          <t>C:/Users/manuel.felline/Documents/BEHAVIOR BTBR/NOR second cohort/BTBR/training/c10_f2.mp4</t>
        </is>
      </c>
      <c r="U984" t="n">
        <v>3021</v>
      </c>
      <c r="V984" t="n">
        <v>3029</v>
      </c>
      <c r="W984" t="n">
        <v/>
      </c>
      <c r="X984" t="n">
        <v/>
      </c>
      <c r="Y984" t="n">
        <v/>
      </c>
      <c r="Z984" t="n">
        <v/>
      </c>
      <c r="AA984">
        <f>SUMIFS($S$2:S984,$A$2:A984,A984,$N$2:N984,"Explore*")</f>
        <v/>
      </c>
      <c r="AB984">
        <f>IF(AND(LEFT(N984,7)="Explore",(AA984-IF(LEFT(N984,7)="Explore",S984,0))&lt;10),"SI","NO")</f>
        <v/>
      </c>
    </row>
    <row r="985">
      <c r="A985" t="inlineStr">
        <is>
          <t>c10f2_training</t>
        </is>
      </c>
      <c r="B985" t="inlineStr">
        <is>
          <t>2026-06-23 15:57:41.098</t>
        </is>
      </c>
      <c r="C985" t="n">
        <v/>
      </c>
      <c r="D985" t="inlineStr">
        <is>
          <t>Media file</t>
        </is>
      </c>
      <c r="E985" t="inlineStr">
        <is>
          <t>player #1:C:/Users/manuel.felline/Documents/BEHAVIOR BTBR/NOR second cohort/BTBR/training/c10_f2.mp4</t>
        </is>
      </c>
      <c r="F985" t="n">
        <v>-13.433</v>
      </c>
      <c r="G985" t="n">
        <v>559.899</v>
      </c>
      <c r="H985" t="n">
        <v>627.566</v>
      </c>
      <c r="I985" t="n">
        <v>30</v>
      </c>
      <c r="J985" t="inlineStr">
        <is>
          <t>BTBR</t>
        </is>
      </c>
      <c r="K985" t="inlineStr">
        <is>
          <t xml:space="preserve"> Female</t>
        </is>
      </c>
      <c r="L985" t="inlineStr">
        <is>
          <t>No focal subject</t>
        </is>
      </c>
      <c r="M985" t="n">
        <v>52.866</v>
      </c>
      <c r="N985" t="inlineStr">
        <is>
          <t>Explore_F2</t>
        </is>
      </c>
      <c r="O985" t="inlineStr">
        <is>
          <t>Second familiar</t>
        </is>
      </c>
      <c r="P985" t="inlineStr">
        <is>
          <t>STATE</t>
        </is>
      </c>
      <c r="Q985" t="n">
        <v>88.134</v>
      </c>
      <c r="R985" t="n">
        <v>90.03400000000001</v>
      </c>
      <c r="S985" t="n">
        <v>1.9</v>
      </c>
      <c r="T985" t="inlineStr">
        <is>
          <t>C:/Users/manuel.felline/Documents/BEHAVIOR BTBR/NOR second cohort/BTBR/training/c10_f2.mp4</t>
        </is>
      </c>
      <c r="U985" t="n">
        <v>3047</v>
      </c>
      <c r="V985" t="n">
        <v>3104</v>
      </c>
      <c r="W985" t="n">
        <v/>
      </c>
      <c r="X985" t="n">
        <v/>
      </c>
      <c r="Y985" t="n">
        <v/>
      </c>
      <c r="Z985" t="n">
        <v/>
      </c>
      <c r="AA985">
        <f>SUMIFS($S$2:S985,$A$2:A985,A985,$N$2:N985,"Explore*")</f>
        <v/>
      </c>
      <c r="AB985">
        <f>IF(AND(LEFT(N985,7)="Explore",(AA985-IF(LEFT(N985,7)="Explore",S985,0))&lt;10),"SI","NO")</f>
        <v/>
      </c>
    </row>
    <row r="986">
      <c r="A986" t="inlineStr">
        <is>
          <t>c10f2_training</t>
        </is>
      </c>
      <c r="B986" t="inlineStr">
        <is>
          <t>2026-06-23 15:57:41.098</t>
        </is>
      </c>
      <c r="C986" t="n">
        <v/>
      </c>
      <c r="D986" t="inlineStr">
        <is>
          <t>Media file</t>
        </is>
      </c>
      <c r="E986" t="inlineStr">
        <is>
          <t>player #1:C:/Users/manuel.felline/Documents/BEHAVIOR BTBR/NOR second cohort/BTBR/training/c10_f2.mp4</t>
        </is>
      </c>
      <c r="F986" t="n">
        <v>-13.433</v>
      </c>
      <c r="G986" t="n">
        <v>559.899</v>
      </c>
      <c r="H986" t="n">
        <v>627.566</v>
      </c>
      <c r="I986" t="n">
        <v>30</v>
      </c>
      <c r="J986" t="inlineStr">
        <is>
          <t>BTBR</t>
        </is>
      </c>
      <c r="K986" t="inlineStr">
        <is>
          <t xml:space="preserve"> Female</t>
        </is>
      </c>
      <c r="L986" t="inlineStr">
        <is>
          <t>No focal subject</t>
        </is>
      </c>
      <c r="M986" t="n">
        <v>52.866</v>
      </c>
      <c r="N986" t="inlineStr">
        <is>
          <t>Explore_F2</t>
        </is>
      </c>
      <c r="O986" t="inlineStr">
        <is>
          <t>Second familiar</t>
        </is>
      </c>
      <c r="P986" t="inlineStr">
        <is>
          <t>STATE</t>
        </is>
      </c>
      <c r="Q986" t="n">
        <v>91.467</v>
      </c>
      <c r="R986" t="n">
        <v>93.03400000000001</v>
      </c>
      <c r="S986" t="n">
        <v>1.567</v>
      </c>
      <c r="T986" t="inlineStr">
        <is>
          <t>C:/Users/manuel.felline/Documents/BEHAVIOR BTBR/NOR second cohort/BTBR/training/c10_f2.mp4</t>
        </is>
      </c>
      <c r="U986" t="n">
        <v>3147</v>
      </c>
      <c r="V986" t="n">
        <v>3194</v>
      </c>
      <c r="W986" t="n">
        <v/>
      </c>
      <c r="X986" t="n">
        <v/>
      </c>
      <c r="Y986" t="n">
        <v/>
      </c>
      <c r="Z986" t="n">
        <v/>
      </c>
      <c r="AA986">
        <f>SUMIFS($S$2:S986,$A$2:A986,A986,$N$2:N986,"Explore*")</f>
        <v/>
      </c>
      <c r="AB986">
        <f>IF(AND(LEFT(N986,7)="Explore",(AA986-IF(LEFT(N986,7)="Explore",S986,0))&lt;10),"SI","NO")</f>
        <v/>
      </c>
    </row>
    <row r="987">
      <c r="A987" t="inlineStr">
        <is>
          <t>c10f2_training</t>
        </is>
      </c>
      <c r="B987" t="inlineStr">
        <is>
          <t>2026-06-23 15:57:41.098</t>
        </is>
      </c>
      <c r="C987" t="n">
        <v/>
      </c>
      <c r="D987" t="inlineStr">
        <is>
          <t>Media file</t>
        </is>
      </c>
      <c r="E987" t="inlineStr">
        <is>
          <t>player #1:C:/Users/manuel.felline/Documents/BEHAVIOR BTBR/NOR second cohort/BTBR/training/c10_f2.mp4</t>
        </is>
      </c>
      <c r="F987" t="n">
        <v>-13.433</v>
      </c>
      <c r="G987" t="n">
        <v>559.899</v>
      </c>
      <c r="H987" t="n">
        <v>627.566</v>
      </c>
      <c r="I987" t="n">
        <v>30</v>
      </c>
      <c r="J987" t="inlineStr">
        <is>
          <t>BTBR</t>
        </is>
      </c>
      <c r="K987" t="inlineStr">
        <is>
          <t xml:space="preserve"> Female</t>
        </is>
      </c>
      <c r="L987" t="inlineStr">
        <is>
          <t>No focal subject</t>
        </is>
      </c>
      <c r="M987" t="n">
        <v>52.866</v>
      </c>
      <c r="N987" t="inlineStr">
        <is>
          <t>Explore_F</t>
        </is>
      </c>
      <c r="O987" t="inlineStr">
        <is>
          <t>Familiar</t>
        </is>
      </c>
      <c r="P987" t="inlineStr">
        <is>
          <t>STATE</t>
        </is>
      </c>
      <c r="Q987" t="n">
        <v>102.2</v>
      </c>
      <c r="R987" t="n">
        <v>103.567</v>
      </c>
      <c r="S987" t="n">
        <v>1.367</v>
      </c>
      <c r="T987" t="inlineStr">
        <is>
          <t>C:/Users/manuel.felline/Documents/BEHAVIOR BTBR/NOR second cohort/BTBR/training/c10_f2.mp4</t>
        </is>
      </c>
      <c r="U987" t="n">
        <v>3469</v>
      </c>
      <c r="V987" t="n">
        <v>3510</v>
      </c>
      <c r="W987" t="n">
        <v/>
      </c>
      <c r="X987" t="n">
        <v/>
      </c>
      <c r="Y987" t="n">
        <v/>
      </c>
      <c r="Z987" t="n">
        <v/>
      </c>
      <c r="AA987">
        <f>SUMIFS($S$2:S987,$A$2:A987,A987,$N$2:N987,"Explore*")</f>
        <v/>
      </c>
      <c r="AB987">
        <f>IF(AND(LEFT(N987,7)="Explore",(AA987-IF(LEFT(N987,7)="Explore",S987,0))&lt;10),"SI","NO")</f>
        <v/>
      </c>
    </row>
    <row r="988">
      <c r="A988" t="inlineStr">
        <is>
          <t>c10f2_training</t>
        </is>
      </c>
      <c r="B988" t="inlineStr">
        <is>
          <t>2026-06-23 15:57:41.098</t>
        </is>
      </c>
      <c r="C988" t="n">
        <v/>
      </c>
      <c r="D988" t="inlineStr">
        <is>
          <t>Media file</t>
        </is>
      </c>
      <c r="E988" t="inlineStr">
        <is>
          <t>player #1:C:/Users/manuel.felline/Documents/BEHAVIOR BTBR/NOR second cohort/BTBR/training/c10_f2.mp4</t>
        </is>
      </c>
      <c r="F988" t="n">
        <v>-13.433</v>
      </c>
      <c r="G988" t="n">
        <v>559.899</v>
      </c>
      <c r="H988" t="n">
        <v>627.566</v>
      </c>
      <c r="I988" t="n">
        <v>30</v>
      </c>
      <c r="J988" t="inlineStr">
        <is>
          <t>BTBR</t>
        </is>
      </c>
      <c r="K988" t="inlineStr">
        <is>
          <t xml:space="preserve"> Female</t>
        </is>
      </c>
      <c r="L988" t="inlineStr">
        <is>
          <t>No focal subject</t>
        </is>
      </c>
      <c r="M988" t="n">
        <v>52.866</v>
      </c>
      <c r="N988" t="inlineStr">
        <is>
          <t>Explore_F2</t>
        </is>
      </c>
      <c r="O988" t="inlineStr">
        <is>
          <t>Second familiar</t>
        </is>
      </c>
      <c r="P988" t="inlineStr">
        <is>
          <t>STATE</t>
        </is>
      </c>
      <c r="Q988" t="n">
        <v>105.334</v>
      </c>
      <c r="R988" t="n">
        <v>106.834</v>
      </c>
      <c r="S988" t="n">
        <v>1.5</v>
      </c>
      <c r="T988" t="inlineStr">
        <is>
          <t>C:/Users/manuel.felline/Documents/BEHAVIOR BTBR/NOR second cohort/BTBR/training/c10_f2.mp4</t>
        </is>
      </c>
      <c r="U988" t="n">
        <v>3563</v>
      </c>
      <c r="V988" t="n">
        <v>3608</v>
      </c>
      <c r="W988" t="n">
        <v/>
      </c>
      <c r="X988" t="n">
        <v/>
      </c>
      <c r="Y988" t="n">
        <v/>
      </c>
      <c r="Z988" t="n">
        <v/>
      </c>
      <c r="AA988">
        <f>SUMIFS($S$2:S988,$A$2:A988,A988,$N$2:N988,"Explore*")</f>
        <v/>
      </c>
      <c r="AB988">
        <f>IF(AND(LEFT(N988,7)="Explore",(AA988-IF(LEFT(N988,7)="Explore",S988,0))&lt;10),"SI","NO")</f>
        <v/>
      </c>
    </row>
    <row r="989">
      <c r="A989" t="inlineStr">
        <is>
          <t>c10f2_training</t>
        </is>
      </c>
      <c r="B989" t="inlineStr">
        <is>
          <t>2026-06-23 15:57:41.098</t>
        </is>
      </c>
      <c r="C989" t="n">
        <v/>
      </c>
      <c r="D989" t="inlineStr">
        <is>
          <t>Media file</t>
        </is>
      </c>
      <c r="E989" t="inlineStr">
        <is>
          <t>player #1:C:/Users/manuel.felline/Documents/BEHAVIOR BTBR/NOR second cohort/BTBR/training/c10_f2.mp4</t>
        </is>
      </c>
      <c r="F989" t="n">
        <v>-13.433</v>
      </c>
      <c r="G989" t="n">
        <v>559.899</v>
      </c>
      <c r="H989" t="n">
        <v>627.566</v>
      </c>
      <c r="I989" t="n">
        <v>30</v>
      </c>
      <c r="J989" t="inlineStr">
        <is>
          <t>BTBR</t>
        </is>
      </c>
      <c r="K989" t="inlineStr">
        <is>
          <t xml:space="preserve"> Female</t>
        </is>
      </c>
      <c r="L989" t="inlineStr">
        <is>
          <t>No focal subject</t>
        </is>
      </c>
      <c r="M989" t="n">
        <v>52.866</v>
      </c>
      <c r="N989" t="inlineStr">
        <is>
          <t>Explore_F</t>
        </is>
      </c>
      <c r="O989" t="inlineStr">
        <is>
          <t>Familiar</t>
        </is>
      </c>
      <c r="P989" t="inlineStr">
        <is>
          <t>STATE</t>
        </is>
      </c>
      <c r="Q989" t="n">
        <v>108.334</v>
      </c>
      <c r="R989" t="n">
        <v>109</v>
      </c>
      <c r="S989" t="n">
        <v>0.666</v>
      </c>
      <c r="T989" t="inlineStr">
        <is>
          <t>C:/Users/manuel.felline/Documents/BEHAVIOR BTBR/NOR second cohort/BTBR/training/c10_f2.mp4</t>
        </is>
      </c>
      <c r="U989" t="n">
        <v>3653</v>
      </c>
      <c r="V989" t="n">
        <v>3673</v>
      </c>
      <c r="W989" t="n">
        <v/>
      </c>
      <c r="X989" t="n">
        <v/>
      </c>
      <c r="Y989" t="n">
        <v/>
      </c>
      <c r="Z989" t="n">
        <v/>
      </c>
      <c r="AA989">
        <f>SUMIFS($S$2:S989,$A$2:A989,A989,$N$2:N989,"Explore*")</f>
        <v/>
      </c>
      <c r="AB989">
        <f>IF(AND(LEFT(N989,7)="Explore",(AA989-IF(LEFT(N989,7)="Explore",S989,0))&lt;10),"SI","NO")</f>
        <v/>
      </c>
    </row>
    <row r="990">
      <c r="A990" t="inlineStr">
        <is>
          <t>c10f2_training</t>
        </is>
      </c>
      <c r="B990" t="inlineStr">
        <is>
          <t>2026-06-23 15:57:41.098</t>
        </is>
      </c>
      <c r="C990" t="n">
        <v/>
      </c>
      <c r="D990" t="inlineStr">
        <is>
          <t>Media file</t>
        </is>
      </c>
      <c r="E990" t="inlineStr">
        <is>
          <t>player #1:C:/Users/manuel.felline/Documents/BEHAVIOR BTBR/NOR second cohort/BTBR/training/c10_f2.mp4</t>
        </is>
      </c>
      <c r="F990" t="n">
        <v>-13.433</v>
      </c>
      <c r="G990" t="n">
        <v>559.899</v>
      </c>
      <c r="H990" t="n">
        <v>627.566</v>
      </c>
      <c r="I990" t="n">
        <v>30</v>
      </c>
      <c r="J990" t="inlineStr">
        <is>
          <t>BTBR</t>
        </is>
      </c>
      <c r="K990" t="inlineStr">
        <is>
          <t xml:space="preserve"> Female</t>
        </is>
      </c>
      <c r="L990" t="inlineStr">
        <is>
          <t>No focal subject</t>
        </is>
      </c>
      <c r="M990" t="n">
        <v>52.866</v>
      </c>
      <c r="N990" t="inlineStr">
        <is>
          <t>Explore_F</t>
        </is>
      </c>
      <c r="O990" t="inlineStr">
        <is>
          <t>Familiar</t>
        </is>
      </c>
      <c r="P990" t="inlineStr">
        <is>
          <t>STATE</t>
        </is>
      </c>
      <c r="Q990" t="n">
        <v>132.734</v>
      </c>
      <c r="R990" t="n">
        <v>133.8</v>
      </c>
      <c r="S990" t="n">
        <v>1.066</v>
      </c>
      <c r="T990" t="inlineStr">
        <is>
          <t>C:/Users/manuel.felline/Documents/BEHAVIOR BTBR/NOR second cohort/BTBR/training/c10_f2.mp4</t>
        </is>
      </c>
      <c r="U990" t="n">
        <v>4385</v>
      </c>
      <c r="V990" t="n">
        <v>4417</v>
      </c>
      <c r="W990" t="n">
        <v/>
      </c>
      <c r="X990" t="n">
        <v/>
      </c>
      <c r="Y990" t="n">
        <v/>
      </c>
      <c r="Z990" t="n">
        <v/>
      </c>
      <c r="AA990">
        <f>SUMIFS($S$2:S990,$A$2:A990,A990,$N$2:N990,"Explore*")</f>
        <v/>
      </c>
      <c r="AB990">
        <f>IF(AND(LEFT(N990,7)="Explore",(AA990-IF(LEFT(N990,7)="Explore",S990,0))&lt;10),"SI","NO")</f>
        <v/>
      </c>
    </row>
    <row r="991">
      <c r="A991" t="inlineStr">
        <is>
          <t>c10f2_training</t>
        </is>
      </c>
      <c r="B991" t="inlineStr">
        <is>
          <t>2026-06-23 15:57:41.098</t>
        </is>
      </c>
      <c r="C991" t="n">
        <v/>
      </c>
      <c r="D991" t="inlineStr">
        <is>
          <t>Media file</t>
        </is>
      </c>
      <c r="E991" t="inlineStr">
        <is>
          <t>player #1:C:/Users/manuel.felline/Documents/BEHAVIOR BTBR/NOR second cohort/BTBR/training/c10_f2.mp4</t>
        </is>
      </c>
      <c r="F991" t="n">
        <v>-13.433</v>
      </c>
      <c r="G991" t="n">
        <v>559.899</v>
      </c>
      <c r="H991" t="n">
        <v>627.566</v>
      </c>
      <c r="I991" t="n">
        <v>30</v>
      </c>
      <c r="J991" t="inlineStr">
        <is>
          <t>BTBR</t>
        </is>
      </c>
      <c r="K991" t="inlineStr">
        <is>
          <t xml:space="preserve"> Female</t>
        </is>
      </c>
      <c r="L991" t="inlineStr">
        <is>
          <t>No focal subject</t>
        </is>
      </c>
      <c r="M991" t="n">
        <v>52.866</v>
      </c>
      <c r="N991" t="inlineStr">
        <is>
          <t>Explore_F2</t>
        </is>
      </c>
      <c r="O991" t="inlineStr">
        <is>
          <t>Second familiar</t>
        </is>
      </c>
      <c r="P991" t="inlineStr">
        <is>
          <t>STATE</t>
        </is>
      </c>
      <c r="Q991" t="n">
        <v>135.034</v>
      </c>
      <c r="R991" t="n">
        <v>135.434</v>
      </c>
      <c r="S991" t="n">
        <v>0.4</v>
      </c>
      <c r="T991" t="inlineStr">
        <is>
          <t>C:/Users/manuel.felline/Documents/BEHAVIOR BTBR/NOR second cohort/BTBR/training/c10_f2.mp4</t>
        </is>
      </c>
      <c r="U991" t="n">
        <v>4454</v>
      </c>
      <c r="V991" t="n">
        <v>4466</v>
      </c>
      <c r="W991" t="n">
        <v/>
      </c>
      <c r="X991" t="n">
        <v/>
      </c>
      <c r="Y991" t="n">
        <v/>
      </c>
      <c r="Z991" t="n">
        <v/>
      </c>
      <c r="AA991">
        <f>SUMIFS($S$2:S991,$A$2:A991,A991,$N$2:N991,"Explore*")</f>
        <v/>
      </c>
      <c r="AB991">
        <f>IF(AND(LEFT(N991,7)="Explore",(AA991-IF(LEFT(N991,7)="Explore",S991,0))&lt;10),"SI","NO")</f>
        <v/>
      </c>
    </row>
    <row r="992">
      <c r="A992" t="inlineStr">
        <is>
          <t>c10f2_training</t>
        </is>
      </c>
      <c r="B992" t="inlineStr">
        <is>
          <t>2026-06-23 15:57:41.098</t>
        </is>
      </c>
      <c r="C992" t="n">
        <v/>
      </c>
      <c r="D992" t="inlineStr">
        <is>
          <t>Media file</t>
        </is>
      </c>
      <c r="E992" t="inlineStr">
        <is>
          <t>player #1:C:/Users/manuel.felline/Documents/BEHAVIOR BTBR/NOR second cohort/BTBR/training/c10_f2.mp4</t>
        </is>
      </c>
      <c r="F992" t="n">
        <v>-13.433</v>
      </c>
      <c r="G992" t="n">
        <v>559.899</v>
      </c>
      <c r="H992" t="n">
        <v>627.566</v>
      </c>
      <c r="I992" t="n">
        <v>30</v>
      </c>
      <c r="J992" t="inlineStr">
        <is>
          <t>BTBR</t>
        </is>
      </c>
      <c r="K992" t="inlineStr">
        <is>
          <t xml:space="preserve"> Female</t>
        </is>
      </c>
      <c r="L992" t="inlineStr">
        <is>
          <t>No focal subject</t>
        </is>
      </c>
      <c r="M992" t="n">
        <v>52.866</v>
      </c>
      <c r="N992" t="inlineStr">
        <is>
          <t>Explore_F</t>
        </is>
      </c>
      <c r="O992" t="inlineStr">
        <is>
          <t>Familiar</t>
        </is>
      </c>
      <c r="P992" t="inlineStr">
        <is>
          <t>STATE</t>
        </is>
      </c>
      <c r="Q992" t="n">
        <v>151.7</v>
      </c>
      <c r="R992" t="n">
        <v>152</v>
      </c>
      <c r="S992" t="n">
        <v>0.3</v>
      </c>
      <c r="T992" t="inlineStr">
        <is>
          <t>C:/Users/manuel.felline/Documents/BEHAVIOR BTBR/NOR second cohort/BTBR/training/c10_f2.mp4</t>
        </is>
      </c>
      <c r="U992" t="n">
        <v>4954</v>
      </c>
      <c r="V992" t="n">
        <v>4963</v>
      </c>
      <c r="W992" t="n">
        <v/>
      </c>
      <c r="X992" t="n">
        <v/>
      </c>
      <c r="Y992" t="n">
        <v/>
      </c>
      <c r="Z992" t="n">
        <v/>
      </c>
      <c r="AA992">
        <f>SUMIFS($S$2:S992,$A$2:A992,A992,$N$2:N992,"Explore*")</f>
        <v/>
      </c>
      <c r="AB992">
        <f>IF(AND(LEFT(N992,7)="Explore",(AA992-IF(LEFT(N992,7)="Explore",S992,0))&lt;10),"SI","NO")</f>
        <v/>
      </c>
    </row>
    <row r="993">
      <c r="A993" t="inlineStr">
        <is>
          <t>c10f2_training</t>
        </is>
      </c>
      <c r="B993" t="inlineStr">
        <is>
          <t>2026-06-23 15:57:41.098</t>
        </is>
      </c>
      <c r="C993" t="n">
        <v/>
      </c>
      <c r="D993" t="inlineStr">
        <is>
          <t>Media file</t>
        </is>
      </c>
      <c r="E993" t="inlineStr">
        <is>
          <t>player #1:C:/Users/manuel.felline/Documents/BEHAVIOR BTBR/NOR second cohort/BTBR/training/c10_f2.mp4</t>
        </is>
      </c>
      <c r="F993" t="n">
        <v>-13.433</v>
      </c>
      <c r="G993" t="n">
        <v>559.899</v>
      </c>
      <c r="H993" t="n">
        <v>627.566</v>
      </c>
      <c r="I993" t="n">
        <v>30</v>
      </c>
      <c r="J993" t="inlineStr">
        <is>
          <t>BTBR</t>
        </is>
      </c>
      <c r="K993" t="inlineStr">
        <is>
          <t xml:space="preserve"> Female</t>
        </is>
      </c>
      <c r="L993" t="inlineStr">
        <is>
          <t>No focal subject</t>
        </is>
      </c>
      <c r="M993" t="n">
        <v>52.866</v>
      </c>
      <c r="N993" t="inlineStr">
        <is>
          <t>Explore_F2</t>
        </is>
      </c>
      <c r="O993" t="inlineStr">
        <is>
          <t>Second familiar</t>
        </is>
      </c>
      <c r="P993" t="inlineStr">
        <is>
          <t>STATE</t>
        </is>
      </c>
      <c r="Q993" t="n">
        <v>154.167</v>
      </c>
      <c r="R993" t="n">
        <v>155.2</v>
      </c>
      <c r="S993" t="n">
        <v>1.033</v>
      </c>
      <c r="T993" t="inlineStr">
        <is>
          <t>C:/Users/manuel.felline/Documents/BEHAVIOR BTBR/NOR second cohort/BTBR/training/c10_f2.mp4</t>
        </is>
      </c>
      <c r="U993" t="n">
        <v>5028</v>
      </c>
      <c r="V993" t="n">
        <v>5059</v>
      </c>
      <c r="W993" t="n">
        <v/>
      </c>
      <c r="X993" t="n">
        <v/>
      </c>
      <c r="Y993" t="n">
        <v/>
      </c>
      <c r="Z993" t="n">
        <v/>
      </c>
      <c r="AA993">
        <f>SUMIFS($S$2:S993,$A$2:A993,A993,$N$2:N993,"Explore*")</f>
        <v/>
      </c>
      <c r="AB993">
        <f>IF(AND(LEFT(N993,7)="Explore",(AA993-IF(LEFT(N993,7)="Explore",S993,0))&lt;10),"SI","NO")</f>
        <v/>
      </c>
    </row>
    <row r="994">
      <c r="A994" t="inlineStr">
        <is>
          <t>c10f2_training</t>
        </is>
      </c>
      <c r="B994" t="inlineStr">
        <is>
          <t>2026-06-23 15:57:41.098</t>
        </is>
      </c>
      <c r="C994" t="n">
        <v/>
      </c>
      <c r="D994" t="inlineStr">
        <is>
          <t>Media file</t>
        </is>
      </c>
      <c r="E994" t="inlineStr">
        <is>
          <t>player #1:C:/Users/manuel.felline/Documents/BEHAVIOR BTBR/NOR second cohort/BTBR/training/c10_f2.mp4</t>
        </is>
      </c>
      <c r="F994" t="n">
        <v>-13.433</v>
      </c>
      <c r="G994" t="n">
        <v>559.899</v>
      </c>
      <c r="H994" t="n">
        <v>627.566</v>
      </c>
      <c r="I994" t="n">
        <v>30</v>
      </c>
      <c r="J994" t="inlineStr">
        <is>
          <t>BTBR</t>
        </is>
      </c>
      <c r="K994" t="inlineStr">
        <is>
          <t xml:space="preserve"> Female</t>
        </is>
      </c>
      <c r="L994" t="inlineStr">
        <is>
          <t>No focal subject</t>
        </is>
      </c>
      <c r="M994" t="n">
        <v>52.866</v>
      </c>
      <c r="N994" t="inlineStr">
        <is>
          <t>Explore_F</t>
        </is>
      </c>
      <c r="O994" t="inlineStr">
        <is>
          <t>Familiar</t>
        </is>
      </c>
      <c r="P994" t="inlineStr">
        <is>
          <t>STATE</t>
        </is>
      </c>
      <c r="Q994" t="n">
        <v>176.167</v>
      </c>
      <c r="R994" t="n">
        <v>177.3</v>
      </c>
      <c r="S994" t="n">
        <v>1.133</v>
      </c>
      <c r="T994" t="inlineStr">
        <is>
          <t>C:/Users/manuel.felline/Documents/BEHAVIOR BTBR/NOR second cohort/BTBR/training/c10_f2.mp4</t>
        </is>
      </c>
      <c r="U994" t="n">
        <v>5688</v>
      </c>
      <c r="V994" t="n">
        <v>5722</v>
      </c>
      <c r="W994" t="n">
        <v/>
      </c>
      <c r="X994" t="n">
        <v/>
      </c>
      <c r="Y994" t="n">
        <v/>
      </c>
      <c r="Z994" t="n">
        <v/>
      </c>
      <c r="AA994">
        <f>SUMIFS($S$2:S994,$A$2:A994,A994,$N$2:N994,"Explore*")</f>
        <v/>
      </c>
      <c r="AB994">
        <f>IF(AND(LEFT(N994,7)="Explore",(AA994-IF(LEFT(N994,7)="Explore",S994,0))&lt;10),"SI","NO")</f>
        <v/>
      </c>
    </row>
    <row r="995">
      <c r="A995" t="inlineStr">
        <is>
          <t>c10f2_training</t>
        </is>
      </c>
      <c r="B995" t="inlineStr">
        <is>
          <t>2026-06-23 15:57:41.098</t>
        </is>
      </c>
      <c r="C995" t="n">
        <v/>
      </c>
      <c r="D995" t="inlineStr">
        <is>
          <t>Media file</t>
        </is>
      </c>
      <c r="E995" t="inlineStr">
        <is>
          <t>player #1:C:/Users/manuel.felline/Documents/BEHAVIOR BTBR/NOR second cohort/BTBR/training/c10_f2.mp4</t>
        </is>
      </c>
      <c r="F995" t="n">
        <v>-13.433</v>
      </c>
      <c r="G995" t="n">
        <v>559.899</v>
      </c>
      <c r="H995" t="n">
        <v>627.566</v>
      </c>
      <c r="I995" t="n">
        <v>30</v>
      </c>
      <c r="J995" t="inlineStr">
        <is>
          <t>BTBR</t>
        </is>
      </c>
      <c r="K995" t="inlineStr">
        <is>
          <t xml:space="preserve"> Female</t>
        </is>
      </c>
      <c r="L995" t="inlineStr">
        <is>
          <t>No focal subject</t>
        </is>
      </c>
      <c r="M995" t="n">
        <v>52.866</v>
      </c>
      <c r="N995" t="inlineStr">
        <is>
          <t>Explore_F2</t>
        </is>
      </c>
      <c r="O995" t="inlineStr">
        <is>
          <t>Second familiar</t>
        </is>
      </c>
      <c r="P995" t="inlineStr">
        <is>
          <t>STATE</t>
        </is>
      </c>
      <c r="Q995" t="n">
        <v>179.7</v>
      </c>
      <c r="R995" t="n">
        <v>181.367</v>
      </c>
      <c r="S995" t="n">
        <v>1.667</v>
      </c>
      <c r="T995" t="inlineStr">
        <is>
          <t>C:/Users/manuel.felline/Documents/BEHAVIOR BTBR/NOR second cohort/BTBR/training/c10_f2.mp4</t>
        </is>
      </c>
      <c r="U995" t="n">
        <v>5794</v>
      </c>
      <c r="V995" t="n">
        <v>5844</v>
      </c>
      <c r="W995" t="n">
        <v/>
      </c>
      <c r="X995" t="n">
        <v/>
      </c>
      <c r="Y995" t="n">
        <v/>
      </c>
      <c r="Z995" t="n">
        <v/>
      </c>
      <c r="AA995">
        <f>SUMIFS($S$2:S995,$A$2:A995,A995,$N$2:N995,"Explore*")</f>
        <v/>
      </c>
      <c r="AB995">
        <f>IF(AND(LEFT(N995,7)="Explore",(AA995-IF(LEFT(N995,7)="Explore",S995,0))&lt;10),"SI","NO")</f>
        <v/>
      </c>
    </row>
    <row r="996">
      <c r="A996" t="inlineStr">
        <is>
          <t>c10f2_training</t>
        </is>
      </c>
      <c r="B996" t="inlineStr">
        <is>
          <t>2026-06-23 15:57:41.098</t>
        </is>
      </c>
      <c r="C996" t="n">
        <v/>
      </c>
      <c r="D996" t="inlineStr">
        <is>
          <t>Media file</t>
        </is>
      </c>
      <c r="E996" t="inlineStr">
        <is>
          <t>player #1:C:/Users/manuel.felline/Documents/BEHAVIOR BTBR/NOR second cohort/BTBR/training/c10_f2.mp4</t>
        </is>
      </c>
      <c r="F996" t="n">
        <v>-13.433</v>
      </c>
      <c r="G996" t="n">
        <v>559.899</v>
      </c>
      <c r="H996" t="n">
        <v>627.566</v>
      </c>
      <c r="I996" t="n">
        <v>30</v>
      </c>
      <c r="J996" t="inlineStr">
        <is>
          <t>BTBR</t>
        </is>
      </c>
      <c r="K996" t="inlineStr">
        <is>
          <t xml:space="preserve"> Female</t>
        </is>
      </c>
      <c r="L996" t="inlineStr">
        <is>
          <t>No focal subject</t>
        </is>
      </c>
      <c r="M996" t="n">
        <v>52.866</v>
      </c>
      <c r="N996" t="inlineStr">
        <is>
          <t>Explore_F2</t>
        </is>
      </c>
      <c r="O996" t="inlineStr">
        <is>
          <t>Second familiar</t>
        </is>
      </c>
      <c r="P996" t="inlineStr">
        <is>
          <t>STATE</t>
        </is>
      </c>
      <c r="Q996" t="n">
        <v>183.133</v>
      </c>
      <c r="R996" t="n">
        <v>184.033</v>
      </c>
      <c r="S996" t="n">
        <v>0.9</v>
      </c>
      <c r="T996" t="inlineStr">
        <is>
          <t>C:/Users/manuel.felline/Documents/BEHAVIOR BTBR/NOR second cohort/BTBR/training/c10_f2.mp4</t>
        </is>
      </c>
      <c r="U996" t="n">
        <v>5897</v>
      </c>
      <c r="V996" t="n">
        <v>5926</v>
      </c>
      <c r="W996" t="n">
        <v/>
      </c>
      <c r="X996" t="n">
        <v/>
      </c>
      <c r="Y996" t="n">
        <v/>
      </c>
      <c r="Z996" t="n">
        <v/>
      </c>
      <c r="AA996">
        <f>SUMIFS($S$2:S996,$A$2:A996,A996,$N$2:N996,"Explore*")</f>
        <v/>
      </c>
      <c r="AB996">
        <f>IF(AND(LEFT(N996,7)="Explore",(AA996-IF(LEFT(N996,7)="Explore",S996,0))&lt;10),"SI","NO")</f>
        <v/>
      </c>
    </row>
    <row r="997">
      <c r="A997" t="inlineStr">
        <is>
          <t>c10f2_training</t>
        </is>
      </c>
      <c r="B997" t="inlineStr">
        <is>
          <t>2026-06-23 15:57:41.098</t>
        </is>
      </c>
      <c r="C997" t="n">
        <v/>
      </c>
      <c r="D997" t="inlineStr">
        <is>
          <t>Media file</t>
        </is>
      </c>
      <c r="E997" t="inlineStr">
        <is>
          <t>player #1:C:/Users/manuel.felline/Documents/BEHAVIOR BTBR/NOR second cohort/BTBR/training/c10_f2.mp4</t>
        </is>
      </c>
      <c r="F997" t="n">
        <v>-13.433</v>
      </c>
      <c r="G997" t="n">
        <v>559.899</v>
      </c>
      <c r="H997" t="n">
        <v>627.566</v>
      </c>
      <c r="I997" t="n">
        <v>30</v>
      </c>
      <c r="J997" t="inlineStr">
        <is>
          <t>BTBR</t>
        </is>
      </c>
      <c r="K997" t="inlineStr">
        <is>
          <t xml:space="preserve"> Female</t>
        </is>
      </c>
      <c r="L997" t="inlineStr">
        <is>
          <t>No focal subject</t>
        </is>
      </c>
      <c r="M997" t="n">
        <v>52.866</v>
      </c>
      <c r="N997" t="inlineStr">
        <is>
          <t>Explore_F</t>
        </is>
      </c>
      <c r="O997" t="inlineStr">
        <is>
          <t>Familiar</t>
        </is>
      </c>
      <c r="P997" t="inlineStr">
        <is>
          <t>STATE</t>
        </is>
      </c>
      <c r="Q997" t="n">
        <v>185.867</v>
      </c>
      <c r="R997" t="n">
        <v>186.6</v>
      </c>
      <c r="S997" t="n">
        <v>0.733</v>
      </c>
      <c r="T997" t="inlineStr">
        <is>
          <t>C:/Users/manuel.felline/Documents/BEHAVIOR BTBR/NOR second cohort/BTBR/training/c10_f2.mp4</t>
        </is>
      </c>
      <c r="U997" t="n">
        <v>5979</v>
      </c>
      <c r="V997" t="n">
        <v>6001</v>
      </c>
      <c r="W997" t="n">
        <v/>
      </c>
      <c r="X997" t="n">
        <v/>
      </c>
      <c r="Y997" t="n">
        <v/>
      </c>
      <c r="Z997" t="n">
        <v/>
      </c>
      <c r="AA997">
        <f>SUMIFS($S$2:S997,$A$2:A997,A997,$N$2:N997,"Explore*")</f>
        <v/>
      </c>
      <c r="AB997">
        <f>IF(AND(LEFT(N997,7)="Explore",(AA997-IF(LEFT(N997,7)="Explore",S997,0))&lt;10),"SI","NO")</f>
        <v/>
      </c>
    </row>
    <row r="998">
      <c r="A998" t="inlineStr">
        <is>
          <t>c10f2_training</t>
        </is>
      </c>
      <c r="B998" t="inlineStr">
        <is>
          <t>2026-06-23 15:57:41.098</t>
        </is>
      </c>
      <c r="C998" t="n">
        <v/>
      </c>
      <c r="D998" t="inlineStr">
        <is>
          <t>Media file</t>
        </is>
      </c>
      <c r="E998" t="inlineStr">
        <is>
          <t>player #1:C:/Users/manuel.felline/Documents/BEHAVIOR BTBR/NOR second cohort/BTBR/training/c10_f2.mp4</t>
        </is>
      </c>
      <c r="F998" t="n">
        <v>-13.433</v>
      </c>
      <c r="G998" t="n">
        <v>559.899</v>
      </c>
      <c r="H998" t="n">
        <v>627.566</v>
      </c>
      <c r="I998" t="n">
        <v>30</v>
      </c>
      <c r="J998" t="inlineStr">
        <is>
          <t>BTBR</t>
        </is>
      </c>
      <c r="K998" t="inlineStr">
        <is>
          <t xml:space="preserve"> Female</t>
        </is>
      </c>
      <c r="L998" t="inlineStr">
        <is>
          <t>No focal subject</t>
        </is>
      </c>
      <c r="M998" t="n">
        <v>52.866</v>
      </c>
      <c r="N998" t="inlineStr">
        <is>
          <t>Explore_F2</t>
        </is>
      </c>
      <c r="O998" t="inlineStr">
        <is>
          <t>Second familiar</t>
        </is>
      </c>
      <c r="P998" t="inlineStr">
        <is>
          <t>STATE</t>
        </is>
      </c>
      <c r="Q998" t="n">
        <v>187.2</v>
      </c>
      <c r="R998" t="n">
        <v>188.333</v>
      </c>
      <c r="S998" t="n">
        <v>1.133</v>
      </c>
      <c r="T998" t="inlineStr">
        <is>
          <t>C:/Users/manuel.felline/Documents/BEHAVIOR BTBR/NOR second cohort/BTBR/training/c10_f2.mp4</t>
        </is>
      </c>
      <c r="U998" t="n">
        <v>6019</v>
      </c>
      <c r="V998" t="n">
        <v>6053</v>
      </c>
      <c r="W998" t="n">
        <v/>
      </c>
      <c r="X998" t="n">
        <v/>
      </c>
      <c r="Y998" t="n">
        <v/>
      </c>
      <c r="Z998" t="n">
        <v/>
      </c>
      <c r="AA998">
        <f>SUMIFS($S$2:S998,$A$2:A998,A998,$N$2:N998,"Explore*")</f>
        <v/>
      </c>
      <c r="AB998">
        <f>IF(AND(LEFT(N998,7)="Explore",(AA998-IF(LEFT(N998,7)="Explore",S998,0))&lt;10),"SI","NO")</f>
        <v/>
      </c>
    </row>
    <row r="999">
      <c r="A999" t="inlineStr">
        <is>
          <t>c10f2_training</t>
        </is>
      </c>
      <c r="B999" t="inlineStr">
        <is>
          <t>2026-06-23 15:57:41.098</t>
        </is>
      </c>
      <c r="C999" t="n">
        <v/>
      </c>
      <c r="D999" t="inlineStr">
        <is>
          <t>Media file</t>
        </is>
      </c>
      <c r="E999" t="inlineStr">
        <is>
          <t>player #1:C:/Users/manuel.felline/Documents/BEHAVIOR BTBR/NOR second cohort/BTBR/training/c10_f2.mp4</t>
        </is>
      </c>
      <c r="F999" t="n">
        <v>-13.433</v>
      </c>
      <c r="G999" t="n">
        <v>559.899</v>
      </c>
      <c r="H999" t="n">
        <v>627.566</v>
      </c>
      <c r="I999" t="n">
        <v>30</v>
      </c>
      <c r="J999" t="inlineStr">
        <is>
          <t>BTBR</t>
        </is>
      </c>
      <c r="K999" t="inlineStr">
        <is>
          <t xml:space="preserve"> Female</t>
        </is>
      </c>
      <c r="L999" t="inlineStr">
        <is>
          <t>No focal subject</t>
        </is>
      </c>
      <c r="M999" t="n">
        <v>52.866</v>
      </c>
      <c r="N999" t="inlineStr">
        <is>
          <t>Explore_F2</t>
        </is>
      </c>
      <c r="O999" t="inlineStr">
        <is>
          <t>Second familiar</t>
        </is>
      </c>
      <c r="P999" t="inlineStr">
        <is>
          <t>STATE</t>
        </is>
      </c>
      <c r="Q999" t="n">
        <v>209.333</v>
      </c>
      <c r="R999" t="n">
        <v>210.067</v>
      </c>
      <c r="S999" t="n">
        <v>0.734</v>
      </c>
      <c r="T999" t="inlineStr">
        <is>
          <t>C:/Users/manuel.felline/Documents/BEHAVIOR BTBR/NOR second cohort/BTBR/training/c10_f2.mp4</t>
        </is>
      </c>
      <c r="U999" t="n">
        <v>6683</v>
      </c>
      <c r="V999" t="n">
        <v>6705</v>
      </c>
      <c r="W999" t="n">
        <v/>
      </c>
      <c r="X999" t="n">
        <v/>
      </c>
      <c r="Y999" t="n">
        <v/>
      </c>
      <c r="Z999" t="n">
        <v/>
      </c>
      <c r="AA999">
        <f>SUMIFS($S$2:S999,$A$2:A999,A999,$N$2:N999,"Explore*")</f>
        <v/>
      </c>
      <c r="AB999">
        <f>IF(AND(LEFT(N999,7)="Explore",(AA999-IF(LEFT(N999,7)="Explore",S999,0))&lt;10),"SI","NO")</f>
        <v/>
      </c>
    </row>
    <row r="1000">
      <c r="A1000" t="inlineStr">
        <is>
          <t>c10f2_training</t>
        </is>
      </c>
      <c r="B1000" t="inlineStr">
        <is>
          <t>2026-06-23 15:57:41.098</t>
        </is>
      </c>
      <c r="C1000" t="n">
        <v/>
      </c>
      <c r="D1000" t="inlineStr">
        <is>
          <t>Media file</t>
        </is>
      </c>
      <c r="E1000" t="inlineStr">
        <is>
          <t>player #1:C:/Users/manuel.felline/Documents/BEHAVIOR BTBR/NOR second cohort/BTBR/training/c10_f2.mp4</t>
        </is>
      </c>
      <c r="F1000" t="n">
        <v>-13.433</v>
      </c>
      <c r="G1000" t="n">
        <v>559.899</v>
      </c>
      <c r="H1000" t="n">
        <v>627.566</v>
      </c>
      <c r="I1000" t="n">
        <v>30</v>
      </c>
      <c r="J1000" t="inlineStr">
        <is>
          <t>BTBR</t>
        </is>
      </c>
      <c r="K1000" t="inlineStr">
        <is>
          <t xml:space="preserve"> Female</t>
        </is>
      </c>
      <c r="L1000" t="inlineStr">
        <is>
          <t>No focal subject</t>
        </is>
      </c>
      <c r="M1000" t="n">
        <v>52.866</v>
      </c>
      <c r="N1000" t="inlineStr">
        <is>
          <t>Explore_F</t>
        </is>
      </c>
      <c r="O1000" t="inlineStr">
        <is>
          <t>Familiar</t>
        </is>
      </c>
      <c r="P1000" t="inlineStr">
        <is>
          <t>STATE</t>
        </is>
      </c>
      <c r="Q1000" t="n">
        <v>235.3</v>
      </c>
      <c r="R1000" t="n">
        <v>237.8</v>
      </c>
      <c r="S1000" t="n">
        <v>2.5</v>
      </c>
      <c r="T1000" t="inlineStr">
        <is>
          <t>C:/Users/manuel.felline/Documents/BEHAVIOR BTBR/NOR second cohort/BTBR/training/c10_f2.mp4</t>
        </is>
      </c>
      <c r="U1000" t="n">
        <v>7462</v>
      </c>
      <c r="V1000" t="n">
        <v>7537</v>
      </c>
      <c r="W1000" t="n">
        <v/>
      </c>
      <c r="X1000" t="n">
        <v/>
      </c>
      <c r="Y1000" t="n">
        <v/>
      </c>
      <c r="Z1000" t="n">
        <v/>
      </c>
      <c r="AA1000">
        <f>SUMIFS($S$2:S1000,$A$2:A1000,A1000,$N$2:N1000,"Explore*")</f>
        <v/>
      </c>
      <c r="AB1000">
        <f>IF(AND(LEFT(N1000,7)="Explore",(AA1000-IF(LEFT(N1000,7)="Explore",S1000,0))&lt;10),"SI","NO")</f>
        <v/>
      </c>
    </row>
    <row r="1001">
      <c r="A1001" t="inlineStr">
        <is>
          <t>c10f2_training</t>
        </is>
      </c>
      <c r="B1001" t="inlineStr">
        <is>
          <t>2026-06-23 15:57:41.098</t>
        </is>
      </c>
      <c r="C1001" t="n">
        <v/>
      </c>
      <c r="D1001" t="inlineStr">
        <is>
          <t>Media file</t>
        </is>
      </c>
      <c r="E1001" t="inlineStr">
        <is>
          <t>player #1:C:/Users/manuel.felline/Documents/BEHAVIOR BTBR/NOR second cohort/BTBR/training/c10_f2.mp4</t>
        </is>
      </c>
      <c r="F1001" t="n">
        <v>-13.433</v>
      </c>
      <c r="G1001" t="n">
        <v>559.899</v>
      </c>
      <c r="H1001" t="n">
        <v>627.566</v>
      </c>
      <c r="I1001" t="n">
        <v>30</v>
      </c>
      <c r="J1001" t="inlineStr">
        <is>
          <t>BTBR</t>
        </is>
      </c>
      <c r="K1001" t="inlineStr">
        <is>
          <t xml:space="preserve"> Female</t>
        </is>
      </c>
      <c r="L1001" t="inlineStr">
        <is>
          <t>No focal subject</t>
        </is>
      </c>
      <c r="M1001" t="n">
        <v>52.866</v>
      </c>
      <c r="N1001" t="inlineStr">
        <is>
          <t>Explore_F2</t>
        </is>
      </c>
      <c r="O1001" t="inlineStr">
        <is>
          <t>Second familiar</t>
        </is>
      </c>
      <c r="P1001" t="inlineStr">
        <is>
          <t>STATE</t>
        </is>
      </c>
      <c r="Q1001" t="n">
        <v>247.533</v>
      </c>
      <c r="R1001" t="n">
        <v>249</v>
      </c>
      <c r="S1001" t="n">
        <v>1.467</v>
      </c>
      <c r="T1001" t="inlineStr">
        <is>
          <t>C:/Users/manuel.felline/Documents/BEHAVIOR BTBR/NOR second cohort/BTBR/training/c10_f2.mp4</t>
        </is>
      </c>
      <c r="U1001" t="n">
        <v>7829</v>
      </c>
      <c r="V1001" t="n">
        <v>7873</v>
      </c>
      <c r="W1001" t="n">
        <v/>
      </c>
      <c r="X1001" t="n">
        <v/>
      </c>
      <c r="Y1001" t="n">
        <v/>
      </c>
      <c r="Z1001" t="n">
        <v/>
      </c>
      <c r="AA1001">
        <f>SUMIFS($S$2:S1001,$A$2:A1001,A1001,$N$2:N1001,"Explore*")</f>
        <v/>
      </c>
      <c r="AB1001">
        <f>IF(AND(LEFT(N1001,7)="Explore",(AA1001-IF(LEFT(N1001,7)="Explore",S1001,0))&lt;10),"SI","NO")</f>
        <v/>
      </c>
    </row>
    <row r="1002">
      <c r="A1002" t="inlineStr">
        <is>
          <t>c10f2_training</t>
        </is>
      </c>
      <c r="B1002" t="inlineStr">
        <is>
          <t>2026-06-23 15:57:41.098</t>
        </is>
      </c>
      <c r="C1002" t="n">
        <v/>
      </c>
      <c r="D1002" t="inlineStr">
        <is>
          <t>Media file</t>
        </is>
      </c>
      <c r="E1002" t="inlineStr">
        <is>
          <t>player #1:C:/Users/manuel.felline/Documents/BEHAVIOR BTBR/NOR second cohort/BTBR/training/c10_f2.mp4</t>
        </is>
      </c>
      <c r="F1002" t="n">
        <v>-13.433</v>
      </c>
      <c r="G1002" t="n">
        <v>559.899</v>
      </c>
      <c r="H1002" t="n">
        <v>627.566</v>
      </c>
      <c r="I1002" t="n">
        <v>30</v>
      </c>
      <c r="J1002" t="inlineStr">
        <is>
          <t>BTBR</t>
        </is>
      </c>
      <c r="K1002" t="inlineStr">
        <is>
          <t xml:space="preserve"> Female</t>
        </is>
      </c>
      <c r="L1002" t="inlineStr">
        <is>
          <t>No focal subject</t>
        </is>
      </c>
      <c r="M1002" t="n">
        <v>52.866</v>
      </c>
      <c r="N1002" t="inlineStr">
        <is>
          <t>Explore_F2</t>
        </is>
      </c>
      <c r="O1002" t="inlineStr">
        <is>
          <t>Second familiar</t>
        </is>
      </c>
      <c r="P1002" t="inlineStr">
        <is>
          <t>STATE</t>
        </is>
      </c>
      <c r="Q1002" t="n">
        <v>272.267</v>
      </c>
      <c r="R1002" t="n">
        <v>273.2</v>
      </c>
      <c r="S1002" t="n">
        <v>0.9330000000000001</v>
      </c>
      <c r="T1002" t="inlineStr">
        <is>
          <t>C:/Users/manuel.felline/Documents/BEHAVIOR BTBR/NOR second cohort/BTBR/training/c10_f2.mp4</t>
        </is>
      </c>
      <c r="U1002" t="n">
        <v>8571</v>
      </c>
      <c r="V1002" t="n">
        <v>8599</v>
      </c>
      <c r="W1002" t="n">
        <v/>
      </c>
      <c r="X1002" t="n">
        <v/>
      </c>
      <c r="Y1002" t="n">
        <v/>
      </c>
      <c r="Z1002" t="n">
        <v/>
      </c>
      <c r="AA1002">
        <f>SUMIFS($S$2:S1002,$A$2:A1002,A1002,$N$2:N1002,"Explore*")</f>
        <v/>
      </c>
      <c r="AB1002">
        <f>IF(AND(LEFT(N1002,7)="Explore",(AA1002-IF(LEFT(N1002,7)="Explore",S1002,0))&lt;10),"SI","NO")</f>
        <v/>
      </c>
    </row>
    <row r="1003">
      <c r="A1003" t="inlineStr">
        <is>
          <t>c10f2_training</t>
        </is>
      </c>
      <c r="B1003" t="inlineStr">
        <is>
          <t>2026-06-23 15:57:41.098</t>
        </is>
      </c>
      <c r="C1003" t="n">
        <v/>
      </c>
      <c r="D1003" t="inlineStr">
        <is>
          <t>Media file</t>
        </is>
      </c>
      <c r="E1003" t="inlineStr">
        <is>
          <t>player #1:C:/Users/manuel.felline/Documents/BEHAVIOR BTBR/NOR second cohort/BTBR/training/c10_f2.mp4</t>
        </is>
      </c>
      <c r="F1003" t="n">
        <v>-13.433</v>
      </c>
      <c r="G1003" t="n">
        <v>559.899</v>
      </c>
      <c r="H1003" t="n">
        <v>627.566</v>
      </c>
      <c r="I1003" t="n">
        <v>30</v>
      </c>
      <c r="J1003" t="inlineStr">
        <is>
          <t>BTBR</t>
        </is>
      </c>
      <c r="K1003" t="inlineStr">
        <is>
          <t xml:space="preserve"> Female</t>
        </is>
      </c>
      <c r="L1003" t="inlineStr">
        <is>
          <t>No focal subject</t>
        </is>
      </c>
      <c r="M1003" t="n">
        <v>52.866</v>
      </c>
      <c r="N1003" t="inlineStr">
        <is>
          <t>Explore_F</t>
        </is>
      </c>
      <c r="O1003" t="inlineStr">
        <is>
          <t>Familiar</t>
        </is>
      </c>
      <c r="P1003" t="inlineStr">
        <is>
          <t>STATE</t>
        </is>
      </c>
      <c r="Q1003" t="n">
        <v>274.833</v>
      </c>
      <c r="R1003" t="n">
        <v>276.067</v>
      </c>
      <c r="S1003" t="n">
        <v>1.234</v>
      </c>
      <c r="T1003" t="inlineStr">
        <is>
          <t>C:/Users/manuel.felline/Documents/BEHAVIOR BTBR/NOR second cohort/BTBR/training/c10_f2.mp4</t>
        </is>
      </c>
      <c r="U1003" t="n">
        <v>8648</v>
      </c>
      <c r="V1003" t="n">
        <v>8685</v>
      </c>
      <c r="W1003" t="n">
        <v/>
      </c>
      <c r="X1003" t="n">
        <v/>
      </c>
      <c r="Y1003" t="n">
        <v/>
      </c>
      <c r="Z1003" t="n">
        <v/>
      </c>
      <c r="AA1003">
        <f>SUMIFS($S$2:S1003,$A$2:A1003,A1003,$N$2:N1003,"Explore*")</f>
        <v/>
      </c>
      <c r="AB1003">
        <f>IF(AND(LEFT(N1003,7)="Explore",(AA1003-IF(LEFT(N1003,7)="Explore",S1003,0))&lt;10),"SI","NO")</f>
        <v/>
      </c>
    </row>
    <row r="1004">
      <c r="A1004" t="inlineStr">
        <is>
          <t>c10f2_training</t>
        </is>
      </c>
      <c r="B1004" t="inlineStr">
        <is>
          <t>2026-06-23 15:57:41.098</t>
        </is>
      </c>
      <c r="C1004" t="n">
        <v/>
      </c>
      <c r="D1004" t="inlineStr">
        <is>
          <t>Media file</t>
        </is>
      </c>
      <c r="E1004" t="inlineStr">
        <is>
          <t>player #1:C:/Users/manuel.felline/Documents/BEHAVIOR BTBR/NOR second cohort/BTBR/training/c10_f2.mp4</t>
        </is>
      </c>
      <c r="F1004" t="n">
        <v>-13.433</v>
      </c>
      <c r="G1004" t="n">
        <v>559.899</v>
      </c>
      <c r="H1004" t="n">
        <v>627.566</v>
      </c>
      <c r="I1004" t="n">
        <v>30</v>
      </c>
      <c r="J1004" t="inlineStr">
        <is>
          <t>BTBR</t>
        </is>
      </c>
      <c r="K1004" t="inlineStr">
        <is>
          <t xml:space="preserve"> Female</t>
        </is>
      </c>
      <c r="L1004" t="inlineStr">
        <is>
          <t>No focal subject</t>
        </is>
      </c>
      <c r="M1004" t="n">
        <v>52.866</v>
      </c>
      <c r="N1004" t="inlineStr">
        <is>
          <t>Explore_F2</t>
        </is>
      </c>
      <c r="O1004" t="inlineStr">
        <is>
          <t>Second familiar</t>
        </is>
      </c>
      <c r="P1004" t="inlineStr">
        <is>
          <t>STATE</t>
        </is>
      </c>
      <c r="Q1004" t="n">
        <v>277.8</v>
      </c>
      <c r="R1004" t="n">
        <v>278.967</v>
      </c>
      <c r="S1004" t="n">
        <v>1.167</v>
      </c>
      <c r="T1004" t="inlineStr">
        <is>
          <t>C:/Users/manuel.felline/Documents/BEHAVIOR BTBR/NOR second cohort/BTBR/training/c10_f2.mp4</t>
        </is>
      </c>
      <c r="U1004" t="n">
        <v>8737</v>
      </c>
      <c r="V1004" t="n">
        <v>8772</v>
      </c>
      <c r="W1004" t="n">
        <v/>
      </c>
      <c r="X1004" t="n">
        <v/>
      </c>
      <c r="Y1004" t="n">
        <v/>
      </c>
      <c r="Z1004" t="n">
        <v/>
      </c>
      <c r="AA1004">
        <f>SUMIFS($S$2:S1004,$A$2:A1004,A1004,$N$2:N1004,"Explore*")</f>
        <v/>
      </c>
      <c r="AB1004">
        <f>IF(AND(LEFT(N1004,7)="Explore",(AA1004-IF(LEFT(N1004,7)="Explore",S1004,0))&lt;10),"SI","NO")</f>
        <v/>
      </c>
    </row>
    <row r="1005">
      <c r="A1005" t="inlineStr">
        <is>
          <t>c10f2_training</t>
        </is>
      </c>
      <c r="B1005" t="inlineStr">
        <is>
          <t>2026-06-23 15:57:41.098</t>
        </is>
      </c>
      <c r="C1005" t="n">
        <v/>
      </c>
      <c r="D1005" t="inlineStr">
        <is>
          <t>Media file</t>
        </is>
      </c>
      <c r="E1005" t="inlineStr">
        <is>
          <t>player #1:C:/Users/manuel.felline/Documents/BEHAVIOR BTBR/NOR second cohort/BTBR/training/c10_f2.mp4</t>
        </is>
      </c>
      <c r="F1005" t="n">
        <v>-13.433</v>
      </c>
      <c r="G1005" t="n">
        <v>559.899</v>
      </c>
      <c r="H1005" t="n">
        <v>627.566</v>
      </c>
      <c r="I1005" t="n">
        <v>30</v>
      </c>
      <c r="J1005" t="inlineStr">
        <is>
          <t>BTBR</t>
        </is>
      </c>
      <c r="K1005" t="inlineStr">
        <is>
          <t xml:space="preserve"> Female</t>
        </is>
      </c>
      <c r="L1005" t="inlineStr">
        <is>
          <t>No focal subject</t>
        </is>
      </c>
      <c r="M1005" t="n">
        <v>52.866</v>
      </c>
      <c r="N1005" t="inlineStr">
        <is>
          <t>Explore_F</t>
        </is>
      </c>
      <c r="O1005" t="inlineStr">
        <is>
          <t>Familiar</t>
        </is>
      </c>
      <c r="P1005" t="inlineStr">
        <is>
          <t>STATE</t>
        </is>
      </c>
      <c r="Q1005" t="n">
        <v>314.467</v>
      </c>
      <c r="R1005" t="n">
        <v>315.633</v>
      </c>
      <c r="S1005" t="n">
        <v>1.166</v>
      </c>
      <c r="T1005" t="inlineStr">
        <is>
          <t>C:/Users/manuel.felline/Documents/BEHAVIOR BTBR/NOR second cohort/BTBR/training/c10_f2.mp4</t>
        </is>
      </c>
      <c r="U1005" t="n">
        <v>9837</v>
      </c>
      <c r="V1005" t="n">
        <v>9872</v>
      </c>
      <c r="W1005" t="n">
        <v/>
      </c>
      <c r="X1005" t="n">
        <v/>
      </c>
      <c r="Y1005" t="n">
        <v/>
      </c>
      <c r="Z1005" t="n">
        <v/>
      </c>
      <c r="AA1005">
        <f>SUMIFS($S$2:S1005,$A$2:A1005,A1005,$N$2:N1005,"Explore*")</f>
        <v/>
      </c>
      <c r="AB1005">
        <f>IF(AND(LEFT(N1005,7)="Explore",(AA1005-IF(LEFT(N1005,7)="Explore",S1005,0))&lt;10),"SI","NO")</f>
        <v/>
      </c>
    </row>
    <row r="1006">
      <c r="A1006" t="inlineStr">
        <is>
          <t>c10f2_training</t>
        </is>
      </c>
      <c r="B1006" t="inlineStr">
        <is>
          <t>2026-06-23 15:57:41.098</t>
        </is>
      </c>
      <c r="C1006" t="n">
        <v/>
      </c>
      <c r="D1006" t="inlineStr">
        <is>
          <t>Media file</t>
        </is>
      </c>
      <c r="E1006" t="inlineStr">
        <is>
          <t>player #1:C:/Users/manuel.felline/Documents/BEHAVIOR BTBR/NOR second cohort/BTBR/training/c10_f2.mp4</t>
        </is>
      </c>
      <c r="F1006" t="n">
        <v>-13.433</v>
      </c>
      <c r="G1006" t="n">
        <v>559.899</v>
      </c>
      <c r="H1006" t="n">
        <v>627.566</v>
      </c>
      <c r="I1006" t="n">
        <v>30</v>
      </c>
      <c r="J1006" t="inlineStr">
        <is>
          <t>BTBR</t>
        </is>
      </c>
      <c r="K1006" t="inlineStr">
        <is>
          <t xml:space="preserve"> Female</t>
        </is>
      </c>
      <c r="L1006" t="inlineStr">
        <is>
          <t>No focal subject</t>
        </is>
      </c>
      <c r="M1006" t="n">
        <v>52.866</v>
      </c>
      <c r="N1006" t="inlineStr">
        <is>
          <t>Explore_F2</t>
        </is>
      </c>
      <c r="O1006" t="inlineStr">
        <is>
          <t>Second familiar</t>
        </is>
      </c>
      <c r="P1006" t="inlineStr">
        <is>
          <t>STATE</t>
        </is>
      </c>
      <c r="Q1006" t="n">
        <v>328.867</v>
      </c>
      <c r="R1006" t="n">
        <v>330.333</v>
      </c>
      <c r="S1006" t="n">
        <v>1.466</v>
      </c>
      <c r="T1006" t="inlineStr">
        <is>
          <t>C:/Users/manuel.felline/Documents/BEHAVIOR BTBR/NOR second cohort/BTBR/training/c10_f2.mp4</t>
        </is>
      </c>
      <c r="U1006" t="n">
        <v>10269</v>
      </c>
      <c r="V1006" t="n">
        <v>10313</v>
      </c>
      <c r="W1006" t="n">
        <v/>
      </c>
      <c r="X1006" t="n">
        <v/>
      </c>
      <c r="Y1006" t="n">
        <v/>
      </c>
      <c r="Z1006" t="n">
        <v/>
      </c>
      <c r="AA1006">
        <f>SUMIFS($S$2:S1006,$A$2:A1006,A1006,$N$2:N1006,"Explore*")</f>
        <v/>
      </c>
      <c r="AB1006">
        <f>IF(AND(LEFT(N1006,7)="Explore",(AA1006-IF(LEFT(N1006,7)="Explore",S1006,0))&lt;10),"SI","NO")</f>
        <v/>
      </c>
    </row>
    <row r="1007">
      <c r="A1007" t="inlineStr">
        <is>
          <t>c10f2_training</t>
        </is>
      </c>
      <c r="B1007" t="inlineStr">
        <is>
          <t>2026-06-23 15:57:41.098</t>
        </is>
      </c>
      <c r="C1007" t="n">
        <v/>
      </c>
      <c r="D1007" t="inlineStr">
        <is>
          <t>Media file</t>
        </is>
      </c>
      <c r="E1007" t="inlineStr">
        <is>
          <t>player #1:C:/Users/manuel.felline/Documents/BEHAVIOR BTBR/NOR second cohort/BTBR/training/c10_f2.mp4</t>
        </is>
      </c>
      <c r="F1007" t="n">
        <v>-13.433</v>
      </c>
      <c r="G1007" t="n">
        <v>559.899</v>
      </c>
      <c r="H1007" t="n">
        <v>627.566</v>
      </c>
      <c r="I1007" t="n">
        <v>30</v>
      </c>
      <c r="J1007" t="inlineStr">
        <is>
          <t>BTBR</t>
        </is>
      </c>
      <c r="K1007" t="inlineStr">
        <is>
          <t xml:space="preserve"> Female</t>
        </is>
      </c>
      <c r="L1007" t="inlineStr">
        <is>
          <t>No focal subject</t>
        </is>
      </c>
      <c r="M1007" t="n">
        <v>52.866</v>
      </c>
      <c r="N1007" t="inlineStr">
        <is>
          <t>Explore_F2</t>
        </is>
      </c>
      <c r="O1007" t="inlineStr">
        <is>
          <t>Second familiar</t>
        </is>
      </c>
      <c r="P1007" t="inlineStr">
        <is>
          <t>STATE</t>
        </is>
      </c>
      <c r="Q1007" t="n">
        <v>338.6</v>
      </c>
      <c r="R1007" t="n">
        <v>339.2</v>
      </c>
      <c r="S1007" t="n">
        <v>0.6</v>
      </c>
      <c r="T1007" t="inlineStr">
        <is>
          <t>C:/Users/manuel.felline/Documents/BEHAVIOR BTBR/NOR second cohort/BTBR/training/c10_f2.mp4</t>
        </is>
      </c>
      <c r="U1007" t="n">
        <v>10561</v>
      </c>
      <c r="V1007" t="n">
        <v>10579</v>
      </c>
      <c r="W1007" t="n">
        <v/>
      </c>
      <c r="X1007" t="n">
        <v/>
      </c>
      <c r="Y1007" t="n">
        <v/>
      </c>
      <c r="Z1007" t="n">
        <v/>
      </c>
      <c r="AA1007">
        <f>SUMIFS($S$2:S1007,$A$2:A1007,A1007,$N$2:N1007,"Explore*")</f>
        <v/>
      </c>
      <c r="AB1007">
        <f>IF(AND(LEFT(N1007,7)="Explore",(AA1007-IF(LEFT(N1007,7)="Explore",S1007,0))&lt;10),"SI","NO")</f>
        <v/>
      </c>
    </row>
    <row r="1008">
      <c r="A1008" t="inlineStr">
        <is>
          <t>c10f2_training</t>
        </is>
      </c>
      <c r="B1008" t="inlineStr">
        <is>
          <t>2026-06-23 15:57:41.098</t>
        </is>
      </c>
      <c r="C1008" t="n">
        <v/>
      </c>
      <c r="D1008" t="inlineStr">
        <is>
          <t>Media file</t>
        </is>
      </c>
      <c r="E1008" t="inlineStr">
        <is>
          <t>player #1:C:/Users/manuel.felline/Documents/BEHAVIOR BTBR/NOR second cohort/BTBR/training/c10_f2.mp4</t>
        </is>
      </c>
      <c r="F1008" t="n">
        <v>-13.433</v>
      </c>
      <c r="G1008" t="n">
        <v>559.899</v>
      </c>
      <c r="H1008" t="n">
        <v>627.566</v>
      </c>
      <c r="I1008" t="n">
        <v>30</v>
      </c>
      <c r="J1008" t="inlineStr">
        <is>
          <t>BTBR</t>
        </is>
      </c>
      <c r="K1008" t="inlineStr">
        <is>
          <t xml:space="preserve"> Female</t>
        </is>
      </c>
      <c r="L1008" t="inlineStr">
        <is>
          <t>No focal subject</t>
        </is>
      </c>
      <c r="M1008" t="n">
        <v>52.866</v>
      </c>
      <c r="N1008" t="inlineStr">
        <is>
          <t>Explore_F</t>
        </is>
      </c>
      <c r="O1008" t="inlineStr">
        <is>
          <t>Familiar</t>
        </is>
      </c>
      <c r="P1008" t="inlineStr">
        <is>
          <t>STATE</t>
        </is>
      </c>
      <c r="Q1008" t="n">
        <v>376</v>
      </c>
      <c r="R1008" t="n">
        <v>378.833</v>
      </c>
      <c r="S1008" t="n">
        <v>2.833</v>
      </c>
      <c r="T1008" t="inlineStr">
        <is>
          <t>C:/Users/manuel.felline/Documents/BEHAVIOR BTBR/NOR second cohort/BTBR/training/c10_f2.mp4</t>
        </is>
      </c>
      <c r="U1008" t="n">
        <v>11683</v>
      </c>
      <c r="V1008" t="n">
        <v>11768</v>
      </c>
      <c r="W1008" t="n">
        <v/>
      </c>
      <c r="X1008" t="n">
        <v/>
      </c>
      <c r="Y1008" t="n">
        <v/>
      </c>
      <c r="Z1008" t="n">
        <v/>
      </c>
      <c r="AA1008">
        <f>SUMIFS($S$2:S1008,$A$2:A1008,A1008,$N$2:N1008,"Explore*")</f>
        <v/>
      </c>
      <c r="AB1008">
        <f>IF(AND(LEFT(N1008,7)="Explore",(AA1008-IF(LEFT(N1008,7)="Explore",S1008,0))&lt;10),"SI","NO")</f>
        <v/>
      </c>
    </row>
    <row r="1009">
      <c r="A1009" t="inlineStr">
        <is>
          <t>c10f2_training</t>
        </is>
      </c>
      <c r="B1009" t="inlineStr">
        <is>
          <t>2026-06-23 15:57:41.098</t>
        </is>
      </c>
      <c r="C1009" t="n">
        <v/>
      </c>
      <c r="D1009" t="inlineStr">
        <is>
          <t>Media file</t>
        </is>
      </c>
      <c r="E1009" t="inlineStr">
        <is>
          <t>player #1:C:/Users/manuel.felline/Documents/BEHAVIOR BTBR/NOR second cohort/BTBR/training/c10_f2.mp4</t>
        </is>
      </c>
      <c r="F1009" t="n">
        <v>-13.433</v>
      </c>
      <c r="G1009" t="n">
        <v>559.899</v>
      </c>
      <c r="H1009" t="n">
        <v>627.566</v>
      </c>
      <c r="I1009" t="n">
        <v>30</v>
      </c>
      <c r="J1009" t="inlineStr">
        <is>
          <t>BTBR</t>
        </is>
      </c>
      <c r="K1009" t="inlineStr">
        <is>
          <t xml:space="preserve"> Female</t>
        </is>
      </c>
      <c r="L1009" t="inlineStr">
        <is>
          <t>No focal subject</t>
        </is>
      </c>
      <c r="M1009" t="n">
        <v>52.866</v>
      </c>
      <c r="N1009" t="inlineStr">
        <is>
          <t>Explore_F2</t>
        </is>
      </c>
      <c r="O1009" t="inlineStr">
        <is>
          <t>Second familiar</t>
        </is>
      </c>
      <c r="P1009" t="inlineStr">
        <is>
          <t>STATE</t>
        </is>
      </c>
      <c r="Q1009" t="n">
        <v>400.633</v>
      </c>
      <c r="R1009" t="n">
        <v>401.833</v>
      </c>
      <c r="S1009" t="n">
        <v>1.2</v>
      </c>
      <c r="T1009" t="inlineStr">
        <is>
          <t>C:/Users/manuel.felline/Documents/BEHAVIOR BTBR/NOR second cohort/BTBR/training/c10_f2.mp4</t>
        </is>
      </c>
      <c r="U1009" t="n">
        <v>12422</v>
      </c>
      <c r="V1009" t="n">
        <v>12458</v>
      </c>
      <c r="W1009" t="n">
        <v/>
      </c>
      <c r="X1009" t="n">
        <v/>
      </c>
      <c r="Y1009" t="n">
        <v/>
      </c>
      <c r="Z1009" t="n">
        <v/>
      </c>
      <c r="AA1009">
        <f>SUMIFS($S$2:S1009,$A$2:A1009,A1009,$N$2:N1009,"Explore*")</f>
        <v/>
      </c>
      <c r="AB1009">
        <f>IF(AND(LEFT(N1009,7)="Explore",(AA1009-IF(LEFT(N1009,7)="Explore",S1009,0))&lt;10),"SI","NO")</f>
        <v/>
      </c>
    </row>
    <row r="1010">
      <c r="A1010" t="inlineStr">
        <is>
          <t>c10f2_training</t>
        </is>
      </c>
      <c r="B1010" t="inlineStr">
        <is>
          <t>2026-06-23 15:57:41.098</t>
        </is>
      </c>
      <c r="C1010" t="n">
        <v/>
      </c>
      <c r="D1010" t="inlineStr">
        <is>
          <t>Media file</t>
        </is>
      </c>
      <c r="E1010" t="inlineStr">
        <is>
          <t>player #1:C:/Users/manuel.felline/Documents/BEHAVIOR BTBR/NOR second cohort/BTBR/training/c10_f2.mp4</t>
        </is>
      </c>
      <c r="F1010" t="n">
        <v>-13.433</v>
      </c>
      <c r="G1010" t="n">
        <v>559.899</v>
      </c>
      <c r="H1010" t="n">
        <v>627.566</v>
      </c>
      <c r="I1010" t="n">
        <v>30</v>
      </c>
      <c r="J1010" t="inlineStr">
        <is>
          <t>BTBR</t>
        </is>
      </c>
      <c r="K1010" t="inlineStr">
        <is>
          <t xml:space="preserve"> Female</t>
        </is>
      </c>
      <c r="L1010" t="inlineStr">
        <is>
          <t>No focal subject</t>
        </is>
      </c>
      <c r="M1010" t="n">
        <v>52.866</v>
      </c>
      <c r="N1010" t="inlineStr">
        <is>
          <t>Explore_F2</t>
        </is>
      </c>
      <c r="O1010" t="inlineStr">
        <is>
          <t>Second familiar</t>
        </is>
      </c>
      <c r="P1010" t="inlineStr">
        <is>
          <t>STATE</t>
        </is>
      </c>
      <c r="Q1010" t="n">
        <v>416.333</v>
      </c>
      <c r="R1010" t="n">
        <v>417.233</v>
      </c>
      <c r="S1010" t="n">
        <v>0.9</v>
      </c>
      <c r="T1010" t="inlineStr">
        <is>
          <t>C:/Users/manuel.felline/Documents/BEHAVIOR BTBR/NOR second cohort/BTBR/training/c10_f2.mp4</t>
        </is>
      </c>
      <c r="U1010" t="n">
        <v>12893</v>
      </c>
      <c r="V1010" t="n">
        <v>12920</v>
      </c>
      <c r="W1010" t="n">
        <v/>
      </c>
      <c r="X1010" t="n">
        <v/>
      </c>
      <c r="Y1010" t="n">
        <v/>
      </c>
      <c r="Z1010" t="n">
        <v/>
      </c>
      <c r="AA1010">
        <f>SUMIFS($S$2:S1010,$A$2:A1010,A1010,$N$2:N1010,"Explore*")</f>
        <v/>
      </c>
      <c r="AB1010">
        <f>IF(AND(LEFT(N1010,7)="Explore",(AA1010-IF(LEFT(N1010,7)="Explore",S1010,0))&lt;10),"SI","NO")</f>
        <v/>
      </c>
    </row>
    <row r="1011">
      <c r="A1011" t="inlineStr">
        <is>
          <t>c10f2_training</t>
        </is>
      </c>
      <c r="B1011" t="inlineStr">
        <is>
          <t>2026-06-23 15:57:41.098</t>
        </is>
      </c>
      <c r="C1011" t="n">
        <v/>
      </c>
      <c r="D1011" t="inlineStr">
        <is>
          <t>Media file</t>
        </is>
      </c>
      <c r="E1011" t="inlineStr">
        <is>
          <t>player #1:C:/Users/manuel.felline/Documents/BEHAVIOR BTBR/NOR second cohort/BTBR/training/c10_f2.mp4</t>
        </is>
      </c>
      <c r="F1011" t="n">
        <v>-13.433</v>
      </c>
      <c r="G1011" t="n">
        <v>559.899</v>
      </c>
      <c r="H1011" t="n">
        <v>627.566</v>
      </c>
      <c r="I1011" t="n">
        <v>30</v>
      </c>
      <c r="J1011" t="inlineStr">
        <is>
          <t>BTBR</t>
        </is>
      </c>
      <c r="K1011" t="inlineStr">
        <is>
          <t xml:space="preserve"> Female</t>
        </is>
      </c>
      <c r="L1011" t="inlineStr">
        <is>
          <t>No focal subject</t>
        </is>
      </c>
      <c r="M1011" t="n">
        <v>52.866</v>
      </c>
      <c r="N1011" t="inlineStr">
        <is>
          <t>Explore_F</t>
        </is>
      </c>
      <c r="O1011" t="inlineStr">
        <is>
          <t>Familiar</t>
        </is>
      </c>
      <c r="P1011" t="inlineStr">
        <is>
          <t>STATE</t>
        </is>
      </c>
      <c r="Q1011" t="n">
        <v>426.033</v>
      </c>
      <c r="R1011" t="n">
        <v>427.233</v>
      </c>
      <c r="S1011" t="n">
        <v>1.2</v>
      </c>
      <c r="T1011" t="inlineStr">
        <is>
          <t>C:/Users/manuel.felline/Documents/BEHAVIOR BTBR/NOR second cohort/BTBR/training/c10_f2.mp4</t>
        </is>
      </c>
      <c r="U1011" t="n">
        <v>13184</v>
      </c>
      <c r="V1011" t="n">
        <v>13220</v>
      </c>
      <c r="W1011" t="n">
        <v/>
      </c>
      <c r="X1011" t="n">
        <v/>
      </c>
      <c r="Y1011" t="n">
        <v/>
      </c>
      <c r="Z1011" t="n">
        <v/>
      </c>
      <c r="AA1011">
        <f>SUMIFS($S$2:S1011,$A$2:A1011,A1011,$N$2:N1011,"Explore*")</f>
        <v/>
      </c>
      <c r="AB1011">
        <f>IF(AND(LEFT(N1011,7)="Explore",(AA1011-IF(LEFT(N1011,7)="Explore",S1011,0))&lt;10),"SI","NO")</f>
        <v/>
      </c>
    </row>
    <row r="1012">
      <c r="A1012" t="inlineStr">
        <is>
          <t>c10f2_training</t>
        </is>
      </c>
      <c r="B1012" t="inlineStr">
        <is>
          <t>2026-06-23 15:57:41.098</t>
        </is>
      </c>
      <c r="C1012" t="n">
        <v/>
      </c>
      <c r="D1012" t="inlineStr">
        <is>
          <t>Media file</t>
        </is>
      </c>
      <c r="E1012" t="inlineStr">
        <is>
          <t>player #1:C:/Users/manuel.felline/Documents/BEHAVIOR BTBR/NOR second cohort/BTBR/training/c10_f2.mp4</t>
        </is>
      </c>
      <c r="F1012" t="n">
        <v>-13.433</v>
      </c>
      <c r="G1012" t="n">
        <v>559.899</v>
      </c>
      <c r="H1012" t="n">
        <v>627.566</v>
      </c>
      <c r="I1012" t="n">
        <v>30</v>
      </c>
      <c r="J1012" t="inlineStr">
        <is>
          <t>BTBR</t>
        </is>
      </c>
      <c r="K1012" t="inlineStr">
        <is>
          <t xml:space="preserve"> Female</t>
        </is>
      </c>
      <c r="L1012" t="inlineStr">
        <is>
          <t>No focal subject</t>
        </is>
      </c>
      <c r="M1012" t="n">
        <v>52.866</v>
      </c>
      <c r="N1012" t="inlineStr">
        <is>
          <t>Explore_F</t>
        </is>
      </c>
      <c r="O1012" t="inlineStr">
        <is>
          <t>Familiar</t>
        </is>
      </c>
      <c r="P1012" t="inlineStr">
        <is>
          <t>STATE</t>
        </is>
      </c>
      <c r="Q1012" t="n">
        <v>462.1</v>
      </c>
      <c r="R1012" t="n">
        <v>463.9</v>
      </c>
      <c r="S1012" t="n">
        <v>1.8</v>
      </c>
      <c r="T1012" t="inlineStr">
        <is>
          <t>C:/Users/manuel.felline/Documents/BEHAVIOR BTBR/NOR second cohort/BTBR/training/c10_f2.mp4</t>
        </is>
      </c>
      <c r="U1012" t="n">
        <v>14266</v>
      </c>
      <c r="V1012" t="n">
        <v>14320</v>
      </c>
      <c r="W1012" t="n">
        <v/>
      </c>
      <c r="X1012" t="n">
        <v/>
      </c>
      <c r="Y1012" t="n">
        <v/>
      </c>
      <c r="Z1012" t="n">
        <v/>
      </c>
      <c r="AA1012">
        <f>SUMIFS($S$2:S1012,$A$2:A1012,A1012,$N$2:N1012,"Explore*")</f>
        <v/>
      </c>
      <c r="AB1012">
        <f>IF(AND(LEFT(N1012,7)="Explore",(AA1012-IF(LEFT(N1012,7)="Explore",S1012,0))&lt;10),"SI","NO")</f>
        <v/>
      </c>
    </row>
    <row r="1013">
      <c r="A1013" t="inlineStr">
        <is>
          <t>c10f2_training</t>
        </is>
      </c>
      <c r="B1013" t="inlineStr">
        <is>
          <t>2026-06-23 15:57:41.098</t>
        </is>
      </c>
      <c r="C1013" t="n">
        <v/>
      </c>
      <c r="D1013" t="inlineStr">
        <is>
          <t>Media file</t>
        </is>
      </c>
      <c r="E1013" t="inlineStr">
        <is>
          <t>player #1:C:/Users/manuel.felline/Documents/BEHAVIOR BTBR/NOR second cohort/BTBR/training/c10_f2.mp4</t>
        </is>
      </c>
      <c r="F1013" t="n">
        <v>-13.433</v>
      </c>
      <c r="G1013" t="n">
        <v>559.899</v>
      </c>
      <c r="H1013" t="n">
        <v>627.566</v>
      </c>
      <c r="I1013" t="n">
        <v>30</v>
      </c>
      <c r="J1013" t="inlineStr">
        <is>
          <t>BTBR</t>
        </is>
      </c>
      <c r="K1013" t="inlineStr">
        <is>
          <t xml:space="preserve"> Female</t>
        </is>
      </c>
      <c r="L1013" t="inlineStr">
        <is>
          <t>No focal subject</t>
        </is>
      </c>
      <c r="M1013" t="n">
        <v>52.866</v>
      </c>
      <c r="N1013" t="inlineStr">
        <is>
          <t>Explore_F</t>
        </is>
      </c>
      <c r="O1013" t="inlineStr">
        <is>
          <t>Familiar</t>
        </is>
      </c>
      <c r="P1013" t="inlineStr">
        <is>
          <t>STATE</t>
        </is>
      </c>
      <c r="Q1013" t="n">
        <v>488.633</v>
      </c>
      <c r="R1013" t="n">
        <v>488.9</v>
      </c>
      <c r="S1013" t="n">
        <v>0.267</v>
      </c>
      <c r="T1013" t="inlineStr">
        <is>
          <t>C:/Users/manuel.felline/Documents/BEHAVIOR BTBR/NOR second cohort/BTBR/training/c10_f2.mp4</t>
        </is>
      </c>
      <c r="U1013" t="n">
        <v>15062</v>
      </c>
      <c r="V1013" t="n">
        <v>15070</v>
      </c>
      <c r="W1013" t="n">
        <v/>
      </c>
      <c r="X1013" t="n">
        <v/>
      </c>
      <c r="Y1013" t="n">
        <v/>
      </c>
      <c r="Z1013" t="n">
        <v/>
      </c>
      <c r="AA1013">
        <f>SUMIFS($S$2:S1013,$A$2:A1013,A1013,$N$2:N1013,"Explore*")</f>
        <v/>
      </c>
      <c r="AB1013">
        <f>IF(AND(LEFT(N1013,7)="Explore",(AA1013-IF(LEFT(N1013,7)="Explore",S1013,0))&lt;10),"SI","NO")</f>
        <v/>
      </c>
    </row>
    <row r="1014">
      <c r="A1014" t="inlineStr">
        <is>
          <t>c10f2_training</t>
        </is>
      </c>
      <c r="B1014" t="inlineStr">
        <is>
          <t>2026-06-23 15:57:41.098</t>
        </is>
      </c>
      <c r="C1014" t="n">
        <v/>
      </c>
      <c r="D1014" t="inlineStr">
        <is>
          <t>Media file</t>
        </is>
      </c>
      <c r="E1014" t="inlineStr">
        <is>
          <t>player #1:C:/Users/manuel.felline/Documents/BEHAVIOR BTBR/NOR second cohort/BTBR/training/c10_f2.mp4</t>
        </is>
      </c>
      <c r="F1014" t="n">
        <v>-13.433</v>
      </c>
      <c r="G1014" t="n">
        <v>559.899</v>
      </c>
      <c r="H1014" t="n">
        <v>627.566</v>
      </c>
      <c r="I1014" t="n">
        <v>30</v>
      </c>
      <c r="J1014" t="inlineStr">
        <is>
          <t>BTBR</t>
        </is>
      </c>
      <c r="K1014" t="inlineStr">
        <is>
          <t xml:space="preserve"> Female</t>
        </is>
      </c>
      <c r="L1014" t="inlineStr">
        <is>
          <t>No focal subject</t>
        </is>
      </c>
      <c r="M1014" t="n">
        <v>52.866</v>
      </c>
      <c r="N1014" t="inlineStr">
        <is>
          <t>Explore_F2</t>
        </is>
      </c>
      <c r="O1014" t="inlineStr">
        <is>
          <t>Second familiar</t>
        </is>
      </c>
      <c r="P1014" t="inlineStr">
        <is>
          <t>STATE</t>
        </is>
      </c>
      <c r="Q1014" t="n">
        <v>490.466</v>
      </c>
      <c r="R1014" t="n">
        <v>490.966</v>
      </c>
      <c r="S1014" t="n">
        <v>0.5</v>
      </c>
      <c r="T1014" t="inlineStr">
        <is>
          <t>C:/Users/manuel.felline/Documents/BEHAVIOR BTBR/NOR second cohort/BTBR/training/c10_f2.mp4</t>
        </is>
      </c>
      <c r="U1014" t="n">
        <v>15117</v>
      </c>
      <c r="V1014" t="n">
        <v>15132</v>
      </c>
      <c r="W1014" t="n">
        <v/>
      </c>
      <c r="X1014" t="n">
        <v/>
      </c>
      <c r="Y1014" t="n">
        <v/>
      </c>
      <c r="Z1014" t="n">
        <v/>
      </c>
      <c r="AA1014">
        <f>SUMIFS($S$2:S1014,$A$2:A1014,A1014,$N$2:N1014,"Explore*")</f>
        <v/>
      </c>
      <c r="AB1014">
        <f>IF(AND(LEFT(N1014,7)="Explore",(AA1014-IF(LEFT(N1014,7)="Explore",S1014,0))&lt;10),"SI","NO")</f>
        <v/>
      </c>
    </row>
    <row r="1015">
      <c r="A1015" t="inlineStr">
        <is>
          <t>c10f2_training</t>
        </is>
      </c>
      <c r="B1015" t="inlineStr">
        <is>
          <t>2026-06-23 15:57:41.098</t>
        </is>
      </c>
      <c r="C1015" t="n">
        <v/>
      </c>
      <c r="D1015" t="inlineStr">
        <is>
          <t>Media file</t>
        </is>
      </c>
      <c r="E1015" t="inlineStr">
        <is>
          <t>player #1:C:/Users/manuel.felline/Documents/BEHAVIOR BTBR/NOR second cohort/BTBR/training/c10_f2.mp4</t>
        </is>
      </c>
      <c r="F1015" t="n">
        <v>-13.433</v>
      </c>
      <c r="G1015" t="n">
        <v>559.899</v>
      </c>
      <c r="H1015" t="n">
        <v>627.566</v>
      </c>
      <c r="I1015" t="n">
        <v>30</v>
      </c>
      <c r="J1015" t="inlineStr">
        <is>
          <t>BTBR</t>
        </is>
      </c>
      <c r="K1015" t="inlineStr">
        <is>
          <t xml:space="preserve"> Female</t>
        </is>
      </c>
      <c r="L1015" t="inlineStr">
        <is>
          <t>No focal subject</t>
        </is>
      </c>
      <c r="M1015" t="n">
        <v>52.866</v>
      </c>
      <c r="N1015" t="inlineStr">
        <is>
          <t>Explore_F</t>
        </is>
      </c>
      <c r="O1015" t="inlineStr">
        <is>
          <t>Familiar</t>
        </is>
      </c>
      <c r="P1015" t="inlineStr">
        <is>
          <t>STATE</t>
        </is>
      </c>
      <c r="Q1015" t="n">
        <v>491.566</v>
      </c>
      <c r="R1015" t="n">
        <v>491.866</v>
      </c>
      <c r="S1015" t="n">
        <v>0.3</v>
      </c>
      <c r="T1015" t="inlineStr">
        <is>
          <t>C:/Users/manuel.felline/Documents/BEHAVIOR BTBR/NOR second cohort/BTBR/training/c10_f2.mp4</t>
        </is>
      </c>
      <c r="U1015" t="n">
        <v>15151</v>
      </c>
      <c r="V1015" t="n">
        <v>15159</v>
      </c>
      <c r="W1015" t="n">
        <v/>
      </c>
      <c r="X1015" t="n">
        <v/>
      </c>
      <c r="Y1015" t="n">
        <v/>
      </c>
      <c r="Z1015" t="n">
        <v/>
      </c>
      <c r="AA1015">
        <f>SUMIFS($S$2:S1015,$A$2:A1015,A1015,$N$2:N1015,"Explore*")</f>
        <v/>
      </c>
      <c r="AB1015">
        <f>IF(AND(LEFT(N1015,7)="Explore",(AA1015-IF(LEFT(N1015,7)="Explore",S1015,0))&lt;10),"SI","NO")</f>
        <v/>
      </c>
    </row>
    <row r="1016">
      <c r="A1016" t="inlineStr">
        <is>
          <t>c10f2_training</t>
        </is>
      </c>
      <c r="B1016" t="inlineStr">
        <is>
          <t>2026-06-23 15:57:41.098</t>
        </is>
      </c>
      <c r="C1016" t="n">
        <v/>
      </c>
      <c r="D1016" t="inlineStr">
        <is>
          <t>Media file</t>
        </is>
      </c>
      <c r="E1016" t="inlineStr">
        <is>
          <t>player #1:C:/Users/manuel.felline/Documents/BEHAVIOR BTBR/NOR second cohort/BTBR/training/c10_f2.mp4</t>
        </is>
      </c>
      <c r="F1016" t="n">
        <v>-13.433</v>
      </c>
      <c r="G1016" t="n">
        <v>559.899</v>
      </c>
      <c r="H1016" t="n">
        <v>627.566</v>
      </c>
      <c r="I1016" t="n">
        <v>30</v>
      </c>
      <c r="J1016" t="inlineStr">
        <is>
          <t>BTBR</t>
        </is>
      </c>
      <c r="K1016" t="inlineStr">
        <is>
          <t xml:space="preserve"> Female</t>
        </is>
      </c>
      <c r="L1016" t="inlineStr">
        <is>
          <t>No focal subject</t>
        </is>
      </c>
      <c r="M1016" t="n">
        <v>52.866</v>
      </c>
      <c r="N1016" t="inlineStr">
        <is>
          <t>Explore_F</t>
        </is>
      </c>
      <c r="O1016" t="inlineStr">
        <is>
          <t>Familiar</t>
        </is>
      </c>
      <c r="P1016" t="inlineStr">
        <is>
          <t>STATE</t>
        </is>
      </c>
      <c r="Q1016" t="n">
        <v>517.133</v>
      </c>
      <c r="R1016" t="n">
        <v>517.966</v>
      </c>
      <c r="S1016" t="n">
        <v>0.833</v>
      </c>
      <c r="T1016" t="inlineStr">
        <is>
          <t>C:/Users/manuel.felline/Documents/BEHAVIOR BTBR/NOR second cohort/BTBR/training/c10_f2.mp4</t>
        </is>
      </c>
      <c r="U1016" t="n">
        <v>15917</v>
      </c>
      <c r="V1016" t="n">
        <v>15942</v>
      </c>
      <c r="W1016" t="n">
        <v/>
      </c>
      <c r="X1016" t="n">
        <v/>
      </c>
      <c r="Y1016" t="n">
        <v/>
      </c>
      <c r="Z1016" t="n">
        <v/>
      </c>
      <c r="AA1016">
        <f>SUMIFS($S$2:S1016,$A$2:A1016,A1016,$N$2:N1016,"Explore*")</f>
        <v/>
      </c>
      <c r="AB1016">
        <f>IF(AND(LEFT(N1016,7)="Explore",(AA1016-IF(LEFT(N1016,7)="Explore",S1016,0))&lt;10),"SI","NO")</f>
        <v/>
      </c>
    </row>
    <row r="1017">
      <c r="A1017" t="inlineStr">
        <is>
          <t>c10f2_training</t>
        </is>
      </c>
      <c r="B1017" t="inlineStr">
        <is>
          <t>2026-06-23 15:57:41.098</t>
        </is>
      </c>
      <c r="C1017" t="n">
        <v/>
      </c>
      <c r="D1017" t="inlineStr">
        <is>
          <t>Media file</t>
        </is>
      </c>
      <c r="E1017" t="inlineStr">
        <is>
          <t>player #1:C:/Users/manuel.felline/Documents/BEHAVIOR BTBR/NOR second cohort/BTBR/training/c10_f2.mp4</t>
        </is>
      </c>
      <c r="F1017" t="n">
        <v>-13.433</v>
      </c>
      <c r="G1017" t="n">
        <v>559.899</v>
      </c>
      <c r="H1017" t="n">
        <v>627.566</v>
      </c>
      <c r="I1017" t="n">
        <v>30</v>
      </c>
      <c r="J1017" t="inlineStr">
        <is>
          <t>BTBR</t>
        </is>
      </c>
      <c r="K1017" t="inlineStr">
        <is>
          <t xml:space="preserve"> Female</t>
        </is>
      </c>
      <c r="L1017" t="inlineStr">
        <is>
          <t>No focal subject</t>
        </is>
      </c>
      <c r="M1017" t="n">
        <v>52.866</v>
      </c>
      <c r="N1017" t="inlineStr">
        <is>
          <t>Explore_F</t>
        </is>
      </c>
      <c r="O1017" t="inlineStr">
        <is>
          <t>Familiar</t>
        </is>
      </c>
      <c r="P1017" t="inlineStr">
        <is>
          <t>STATE</t>
        </is>
      </c>
      <c r="Q1017" t="n">
        <v>524.333</v>
      </c>
      <c r="R1017" t="n">
        <v>525.4</v>
      </c>
      <c r="S1017" t="n">
        <v>1.067</v>
      </c>
      <c r="T1017" t="inlineStr">
        <is>
          <t>C:/Users/manuel.felline/Documents/BEHAVIOR BTBR/NOR second cohort/BTBR/training/c10_f2.mp4</t>
        </is>
      </c>
      <c r="U1017" t="n">
        <v>16133</v>
      </c>
      <c r="V1017" t="n">
        <v>16165</v>
      </c>
      <c r="W1017" t="n">
        <v/>
      </c>
      <c r="X1017" t="n">
        <v/>
      </c>
      <c r="Y1017" t="n">
        <v/>
      </c>
      <c r="Z1017" t="n">
        <v/>
      </c>
      <c r="AA1017">
        <f>SUMIFS($S$2:S1017,$A$2:A1017,A1017,$N$2:N1017,"Explore*")</f>
        <v/>
      </c>
      <c r="AB1017">
        <f>IF(AND(LEFT(N1017,7)="Explore",(AA1017-IF(LEFT(N1017,7)="Explore",S1017,0))&lt;10),"SI","NO")</f>
        <v/>
      </c>
    </row>
    <row r="1018">
      <c r="A1018" t="inlineStr">
        <is>
          <t>c10f2_training</t>
        </is>
      </c>
      <c r="B1018" t="inlineStr">
        <is>
          <t>2026-06-23 15:57:41.098</t>
        </is>
      </c>
      <c r="C1018" t="n">
        <v/>
      </c>
      <c r="D1018" t="inlineStr">
        <is>
          <t>Media file</t>
        </is>
      </c>
      <c r="E1018" t="inlineStr">
        <is>
          <t>player #1:C:/Users/manuel.felline/Documents/BEHAVIOR BTBR/NOR second cohort/BTBR/training/c10_f2.mp4</t>
        </is>
      </c>
      <c r="F1018" t="n">
        <v>-13.433</v>
      </c>
      <c r="G1018" t="n">
        <v>559.899</v>
      </c>
      <c r="H1018" t="n">
        <v>627.566</v>
      </c>
      <c r="I1018" t="n">
        <v>30</v>
      </c>
      <c r="J1018" t="inlineStr">
        <is>
          <t>BTBR</t>
        </is>
      </c>
      <c r="K1018" t="inlineStr">
        <is>
          <t xml:space="preserve"> Female</t>
        </is>
      </c>
      <c r="L1018" t="inlineStr">
        <is>
          <t>No focal subject</t>
        </is>
      </c>
      <c r="M1018" t="n">
        <v>52.866</v>
      </c>
      <c r="N1018" t="inlineStr">
        <is>
          <t>Explore_F2</t>
        </is>
      </c>
      <c r="O1018" t="inlineStr">
        <is>
          <t>Second familiar</t>
        </is>
      </c>
      <c r="P1018" t="inlineStr">
        <is>
          <t>STATE</t>
        </is>
      </c>
      <c r="Q1018" t="n">
        <v>531.933</v>
      </c>
      <c r="R1018" t="n">
        <v>532.433</v>
      </c>
      <c r="S1018" t="n">
        <v>0.5</v>
      </c>
      <c r="T1018" t="inlineStr">
        <is>
          <t>C:/Users/manuel.felline/Documents/BEHAVIOR BTBR/NOR second cohort/BTBR/training/c10_f2.mp4</t>
        </is>
      </c>
      <c r="U1018" t="n">
        <v>16361</v>
      </c>
      <c r="V1018" t="n">
        <v>16376</v>
      </c>
      <c r="W1018" t="n">
        <v/>
      </c>
      <c r="X1018" t="n">
        <v/>
      </c>
      <c r="Y1018" t="n">
        <v/>
      </c>
      <c r="Z1018" t="n">
        <v/>
      </c>
      <c r="AA1018">
        <f>SUMIFS($S$2:S1018,$A$2:A1018,A1018,$N$2:N1018,"Explore*")</f>
        <v/>
      </c>
      <c r="AB1018">
        <f>IF(AND(LEFT(N1018,7)="Explore",(AA1018-IF(LEFT(N1018,7)="Explore",S1018,0))&lt;10),"SI","NO")</f>
        <v/>
      </c>
    </row>
    <row r="1019">
      <c r="A1019" t="inlineStr">
        <is>
          <t>c10f2_training</t>
        </is>
      </c>
      <c r="B1019" t="inlineStr">
        <is>
          <t>2026-06-23 15:57:41.098</t>
        </is>
      </c>
      <c r="C1019" t="n">
        <v/>
      </c>
      <c r="D1019" t="inlineStr">
        <is>
          <t>Media file</t>
        </is>
      </c>
      <c r="E1019" t="inlineStr">
        <is>
          <t>player #1:C:/Users/manuel.felline/Documents/BEHAVIOR BTBR/NOR second cohort/BTBR/training/c10_f2.mp4</t>
        </is>
      </c>
      <c r="F1019" t="n">
        <v>-13.433</v>
      </c>
      <c r="G1019" t="n">
        <v>559.899</v>
      </c>
      <c r="H1019" t="n">
        <v>627.566</v>
      </c>
      <c r="I1019" t="n">
        <v>30</v>
      </c>
      <c r="J1019" t="inlineStr">
        <is>
          <t>BTBR</t>
        </is>
      </c>
      <c r="K1019" t="inlineStr">
        <is>
          <t xml:space="preserve"> Female</t>
        </is>
      </c>
      <c r="L1019" t="inlineStr">
        <is>
          <t>No focal subject</t>
        </is>
      </c>
      <c r="M1019" t="n">
        <v>52.866</v>
      </c>
      <c r="N1019" t="inlineStr">
        <is>
          <t>Explore_F</t>
        </is>
      </c>
      <c r="O1019" t="inlineStr">
        <is>
          <t>Familiar</t>
        </is>
      </c>
      <c r="P1019" t="inlineStr">
        <is>
          <t>STATE</t>
        </is>
      </c>
      <c r="Q1019" t="n">
        <v>533.566</v>
      </c>
      <c r="R1019" t="n">
        <v>534.566</v>
      </c>
      <c r="S1019" t="n">
        <v>1</v>
      </c>
      <c r="T1019" t="inlineStr">
        <is>
          <t>C:/Users/manuel.felline/Documents/BEHAVIOR BTBR/NOR second cohort/BTBR/training/c10_f2.mp4</t>
        </is>
      </c>
      <c r="U1019" t="n">
        <v>16410</v>
      </c>
      <c r="V1019" t="n">
        <v>16440</v>
      </c>
      <c r="W1019" t="n">
        <v/>
      </c>
      <c r="X1019" t="n">
        <v/>
      </c>
      <c r="Y1019" t="n">
        <v/>
      </c>
      <c r="Z1019" t="n">
        <v/>
      </c>
      <c r="AA1019">
        <f>SUMIFS($S$2:S1019,$A$2:A1019,A1019,$N$2:N1019,"Explore*")</f>
        <v/>
      </c>
      <c r="AB1019">
        <f>IF(AND(LEFT(N1019,7)="Explore",(AA1019-IF(LEFT(N1019,7)="Explore",S1019,0))&lt;10),"SI","NO")</f>
        <v/>
      </c>
    </row>
    <row r="1020">
      <c r="A1020" t="inlineStr">
        <is>
          <t>c10f2_training</t>
        </is>
      </c>
      <c r="B1020" t="inlineStr">
        <is>
          <t>2026-06-23 15:57:41.098</t>
        </is>
      </c>
      <c r="C1020" t="n">
        <v/>
      </c>
      <c r="D1020" t="inlineStr">
        <is>
          <t>Media file</t>
        </is>
      </c>
      <c r="E1020" t="inlineStr">
        <is>
          <t>player #1:C:/Users/manuel.felline/Documents/BEHAVIOR BTBR/NOR second cohort/BTBR/training/c10_f2.mp4</t>
        </is>
      </c>
      <c r="F1020" t="n">
        <v>-13.433</v>
      </c>
      <c r="G1020" t="n">
        <v>559.899</v>
      </c>
      <c r="H1020" t="n">
        <v>627.566</v>
      </c>
      <c r="I1020" t="n">
        <v>30</v>
      </c>
      <c r="J1020" t="inlineStr">
        <is>
          <t>BTBR</t>
        </is>
      </c>
      <c r="K1020" t="inlineStr">
        <is>
          <t xml:space="preserve"> Female</t>
        </is>
      </c>
      <c r="L1020" t="inlineStr">
        <is>
          <t>No focal subject</t>
        </is>
      </c>
      <c r="M1020" t="n">
        <v>52.866</v>
      </c>
      <c r="N1020" t="inlineStr">
        <is>
          <t>Explore_F</t>
        </is>
      </c>
      <c r="O1020" t="inlineStr">
        <is>
          <t>Familiar</t>
        </is>
      </c>
      <c r="P1020" t="inlineStr">
        <is>
          <t>STATE</t>
        </is>
      </c>
      <c r="Q1020" t="n">
        <v>542.533</v>
      </c>
      <c r="R1020" t="n">
        <v>543.033</v>
      </c>
      <c r="S1020" t="n">
        <v>0.5</v>
      </c>
      <c r="T1020" t="inlineStr">
        <is>
          <t>C:/Users/manuel.felline/Documents/BEHAVIOR BTBR/NOR second cohort/BTBR/training/c10_f2.mp4</t>
        </is>
      </c>
      <c r="U1020" t="n">
        <v>16679</v>
      </c>
      <c r="V1020" t="n">
        <v>16694</v>
      </c>
      <c r="W1020" t="n">
        <v/>
      </c>
      <c r="X1020" t="n">
        <v/>
      </c>
      <c r="Y1020" t="n">
        <v/>
      </c>
      <c r="Z1020" t="n">
        <v/>
      </c>
      <c r="AA1020">
        <f>SUMIFS($S$2:S1020,$A$2:A1020,A1020,$N$2:N1020,"Explore*")</f>
        <v/>
      </c>
      <c r="AB1020">
        <f>IF(AND(LEFT(N1020,7)="Explore",(AA1020-IF(LEFT(N1020,7)="Explore",S1020,0))&lt;10),"SI","NO")</f>
        <v/>
      </c>
    </row>
    <row r="1021">
      <c r="A1021" t="inlineStr">
        <is>
          <t>c10f2_training</t>
        </is>
      </c>
      <c r="B1021" t="inlineStr">
        <is>
          <t>2026-06-23 15:57:41.098</t>
        </is>
      </c>
      <c r="C1021" t="n">
        <v/>
      </c>
      <c r="D1021" t="inlineStr">
        <is>
          <t>Media file</t>
        </is>
      </c>
      <c r="E1021" t="inlineStr">
        <is>
          <t>player #1:C:/Users/manuel.felline/Documents/BEHAVIOR BTBR/NOR second cohort/BTBR/training/c10_f2.mp4</t>
        </is>
      </c>
      <c r="F1021" t="n">
        <v>-13.433</v>
      </c>
      <c r="G1021" t="n">
        <v>559.899</v>
      </c>
      <c r="H1021" t="n">
        <v>627.566</v>
      </c>
      <c r="I1021" t="n">
        <v>30</v>
      </c>
      <c r="J1021" t="inlineStr">
        <is>
          <t>BTBR</t>
        </is>
      </c>
      <c r="K1021" t="inlineStr">
        <is>
          <t xml:space="preserve"> Female</t>
        </is>
      </c>
      <c r="L1021" t="inlineStr">
        <is>
          <t>No focal subject</t>
        </is>
      </c>
      <c r="M1021" t="n">
        <v>52.866</v>
      </c>
      <c r="N1021" t="inlineStr">
        <is>
          <t>Explore_F2</t>
        </is>
      </c>
      <c r="O1021" t="inlineStr">
        <is>
          <t>Second familiar</t>
        </is>
      </c>
      <c r="P1021" t="inlineStr">
        <is>
          <t>STATE</t>
        </is>
      </c>
      <c r="Q1021" t="n">
        <v>546.466</v>
      </c>
      <c r="R1021" t="n">
        <v>547.366</v>
      </c>
      <c r="S1021" t="n">
        <v>0.9</v>
      </c>
      <c r="T1021" t="inlineStr">
        <is>
          <t>C:/Users/manuel.felline/Documents/BEHAVIOR BTBR/NOR second cohort/BTBR/training/c10_f2.mp4</t>
        </is>
      </c>
      <c r="U1021" t="n">
        <v>16797</v>
      </c>
      <c r="V1021" t="n">
        <v>16824</v>
      </c>
      <c r="W1021" t="n">
        <v/>
      </c>
      <c r="X1021" t="n">
        <v/>
      </c>
      <c r="Y1021" t="n">
        <v/>
      </c>
      <c r="Z1021" t="n">
        <v/>
      </c>
      <c r="AA1021">
        <f>SUMIFS($S$2:S1021,$A$2:A1021,A1021,$N$2:N1021,"Explore*")</f>
        <v/>
      </c>
      <c r="AB1021">
        <f>IF(AND(LEFT(N1021,7)="Explore",(AA1021-IF(LEFT(N1021,7)="Explore",S1021,0))&lt;10),"SI","NO")</f>
        <v/>
      </c>
    </row>
    <row r="1022">
      <c r="A1022" t="inlineStr">
        <is>
          <t>c10f2_training</t>
        </is>
      </c>
      <c r="B1022" t="inlineStr">
        <is>
          <t>2026-06-23 15:57:41.098</t>
        </is>
      </c>
      <c r="C1022" t="n">
        <v/>
      </c>
      <c r="D1022" t="inlineStr">
        <is>
          <t>Media file</t>
        </is>
      </c>
      <c r="E1022" t="inlineStr">
        <is>
          <t>player #1:C:/Users/manuel.felline/Documents/BEHAVIOR BTBR/NOR second cohort/BTBR/training/c10_f2.mp4</t>
        </is>
      </c>
      <c r="F1022" t="n">
        <v>-13.433</v>
      </c>
      <c r="G1022" t="n">
        <v>559.899</v>
      </c>
      <c r="H1022" t="n">
        <v>627.566</v>
      </c>
      <c r="I1022" t="n">
        <v>30</v>
      </c>
      <c r="J1022" t="inlineStr">
        <is>
          <t>BTBR</t>
        </is>
      </c>
      <c r="K1022" t="inlineStr">
        <is>
          <t xml:space="preserve"> Female</t>
        </is>
      </c>
      <c r="L1022" t="inlineStr">
        <is>
          <t>No focal subject</t>
        </is>
      </c>
      <c r="M1022" t="n">
        <v>52.866</v>
      </c>
      <c r="N1022" t="inlineStr">
        <is>
          <t>Explore_F</t>
        </is>
      </c>
      <c r="O1022" t="inlineStr">
        <is>
          <t>Familiar</t>
        </is>
      </c>
      <c r="P1022" t="inlineStr">
        <is>
          <t>STATE</t>
        </is>
      </c>
      <c r="Q1022" t="n">
        <v>548.266</v>
      </c>
      <c r="R1022" t="n">
        <v>550.5</v>
      </c>
      <c r="S1022" t="n">
        <v>2.234</v>
      </c>
      <c r="T1022" t="inlineStr">
        <is>
          <t>C:/Users/manuel.felline/Documents/BEHAVIOR BTBR/NOR second cohort/BTBR/training/c10_f2.mp4</t>
        </is>
      </c>
      <c r="U1022" t="n">
        <v>16851</v>
      </c>
      <c r="V1022" t="n">
        <v>16918</v>
      </c>
      <c r="W1022" t="n">
        <v/>
      </c>
      <c r="X1022" t="n">
        <v/>
      </c>
      <c r="Y1022" t="n">
        <v/>
      </c>
      <c r="Z1022" t="n">
        <v/>
      </c>
      <c r="AA1022">
        <f>SUMIFS($S$2:S1022,$A$2:A1022,A1022,$N$2:N1022,"Explore*")</f>
        <v/>
      </c>
      <c r="AB1022">
        <f>IF(AND(LEFT(N1022,7)="Explore",(AA1022-IF(LEFT(N1022,7)="Explore",S1022,0))&lt;10),"SI","NO")</f>
        <v/>
      </c>
    </row>
    <row r="1023">
      <c r="A1023" t="inlineStr">
        <is>
          <t>c10f2_training</t>
        </is>
      </c>
      <c r="B1023" t="inlineStr">
        <is>
          <t>2026-06-23 15:57:41.098</t>
        </is>
      </c>
      <c r="C1023" t="n">
        <v/>
      </c>
      <c r="D1023" t="inlineStr">
        <is>
          <t>Media file</t>
        </is>
      </c>
      <c r="E1023" t="inlineStr">
        <is>
          <t>player #1:C:/Users/manuel.felline/Documents/BEHAVIOR BTBR/NOR second cohort/BTBR/training/c10_f2.mp4</t>
        </is>
      </c>
      <c r="F1023" t="n">
        <v>-13.433</v>
      </c>
      <c r="G1023" t="n">
        <v>559.899</v>
      </c>
      <c r="H1023" t="n">
        <v>627.566</v>
      </c>
      <c r="I1023" t="n">
        <v>30</v>
      </c>
      <c r="J1023" t="inlineStr">
        <is>
          <t>BTBR</t>
        </is>
      </c>
      <c r="K1023" t="inlineStr">
        <is>
          <t xml:space="preserve"> Female</t>
        </is>
      </c>
      <c r="L1023" t="inlineStr">
        <is>
          <t>No focal subject</t>
        </is>
      </c>
      <c r="M1023" t="n">
        <v>52.866</v>
      </c>
      <c r="N1023" t="inlineStr">
        <is>
          <t>Explore_F</t>
        </is>
      </c>
      <c r="O1023" t="inlineStr">
        <is>
          <t>Familiar</t>
        </is>
      </c>
      <c r="P1023" t="inlineStr">
        <is>
          <t>STATE</t>
        </is>
      </c>
      <c r="Q1023" t="n">
        <v>561.066</v>
      </c>
      <c r="R1023" t="n">
        <v>561.633</v>
      </c>
      <c r="S1023" t="n">
        <v>0.5669999999999999</v>
      </c>
      <c r="T1023" t="inlineStr">
        <is>
          <t>C:/Users/manuel.felline/Documents/BEHAVIOR BTBR/NOR second cohort/BTBR/training/c10_f2.mp4</t>
        </is>
      </c>
      <c r="U1023" t="n">
        <v>17235</v>
      </c>
      <c r="V1023" t="n">
        <v>17252</v>
      </c>
      <c r="W1023" t="n">
        <v/>
      </c>
      <c r="X1023" t="n">
        <v/>
      </c>
      <c r="Y1023" t="n">
        <v/>
      </c>
      <c r="Z1023" t="n">
        <v/>
      </c>
      <c r="AA1023">
        <f>SUMIFS($S$2:S1023,$A$2:A1023,A1023,$N$2:N1023,"Explore*")</f>
        <v/>
      </c>
      <c r="AB1023">
        <f>IF(AND(LEFT(N1023,7)="Explore",(AA1023-IF(LEFT(N1023,7)="Explore",S1023,0))&lt;10),"SI","NO")</f>
        <v/>
      </c>
    </row>
    <row r="1024">
      <c r="A1024" t="inlineStr">
        <is>
          <t>c10f3_training</t>
        </is>
      </c>
      <c r="B1024" t="inlineStr">
        <is>
          <t>2026-06-24 15:34:47.288</t>
        </is>
      </c>
      <c r="C1024" t="n">
        <v/>
      </c>
      <c r="D1024" t="inlineStr">
        <is>
          <t>Media file</t>
        </is>
      </c>
      <c r="E1024" t="inlineStr">
        <is>
          <t>player #1:C:/Users/manuel.felline/Documents/BEHAVIOR BTBR/NOR second cohort/BTBR/training/c10_f3.mp4</t>
        </is>
      </c>
      <c r="F1024" t="n">
        <v>-13.867</v>
      </c>
      <c r="G1024" t="n">
        <v>582.066</v>
      </c>
      <c r="H1024" t="n">
        <v>627.099</v>
      </c>
      <c r="I1024" t="n">
        <v>30</v>
      </c>
      <c r="J1024" t="inlineStr">
        <is>
          <t>BTBR</t>
        </is>
      </c>
      <c r="K1024" t="inlineStr">
        <is>
          <t xml:space="preserve"> Female</t>
        </is>
      </c>
      <c r="L1024" t="inlineStr">
        <is>
          <t>No focal subject</t>
        </is>
      </c>
      <c r="M1024" t="n">
        <v>67.129</v>
      </c>
      <c r="N1024" t="inlineStr">
        <is>
          <t>Explore_F2</t>
        </is>
      </c>
      <c r="O1024" t="inlineStr">
        <is>
          <t>Second familiar</t>
        </is>
      </c>
      <c r="P1024" t="inlineStr">
        <is>
          <t>STATE</t>
        </is>
      </c>
      <c r="Q1024" t="n">
        <v>6.2</v>
      </c>
      <c r="R1024" t="n">
        <v>7</v>
      </c>
      <c r="S1024" t="n">
        <v>0.8</v>
      </c>
      <c r="T1024" t="inlineStr">
        <is>
          <t>C:/Users/manuel.felline/Documents/BEHAVIOR BTBR/NOR second cohort/BTBR/training/c10_f3.mp4</t>
        </is>
      </c>
      <c r="U1024" t="n">
        <v>602</v>
      </c>
      <c r="V1024" t="n">
        <v>626</v>
      </c>
      <c r="W1024" t="n">
        <v/>
      </c>
      <c r="X1024" t="n">
        <v/>
      </c>
      <c r="Y1024" t="n">
        <v/>
      </c>
      <c r="Z1024" t="n">
        <v/>
      </c>
      <c r="AA1024">
        <f>SUMIFS($S$2:S1024,$A$2:A1024,A1024,$N$2:N1024,"Explore*")</f>
        <v/>
      </c>
      <c r="AB1024">
        <f>IF(AND(LEFT(N1024,7)="Explore",(AA1024-IF(LEFT(N1024,7)="Explore",S1024,0))&lt;10),"SI","NO")</f>
        <v/>
      </c>
    </row>
    <row r="1025">
      <c r="A1025" t="inlineStr">
        <is>
          <t>c10f3_training</t>
        </is>
      </c>
      <c r="B1025" t="inlineStr">
        <is>
          <t>2026-06-24 15:34:47.288</t>
        </is>
      </c>
      <c r="C1025" t="n">
        <v/>
      </c>
      <c r="D1025" t="inlineStr">
        <is>
          <t>Media file</t>
        </is>
      </c>
      <c r="E1025" t="inlineStr">
        <is>
          <t>player #1:C:/Users/manuel.felline/Documents/BEHAVIOR BTBR/NOR second cohort/BTBR/training/c10_f3.mp4</t>
        </is>
      </c>
      <c r="F1025" t="n">
        <v>-13.867</v>
      </c>
      <c r="G1025" t="n">
        <v>582.066</v>
      </c>
      <c r="H1025" t="n">
        <v>627.099</v>
      </c>
      <c r="I1025" t="n">
        <v>30</v>
      </c>
      <c r="J1025" t="inlineStr">
        <is>
          <t>BTBR</t>
        </is>
      </c>
      <c r="K1025" t="inlineStr">
        <is>
          <t xml:space="preserve"> Female</t>
        </is>
      </c>
      <c r="L1025" t="inlineStr">
        <is>
          <t>No focal subject</t>
        </is>
      </c>
      <c r="M1025" t="n">
        <v>67.129</v>
      </c>
      <c r="N1025" t="inlineStr">
        <is>
          <t>Explore_F</t>
        </is>
      </c>
      <c r="O1025" t="inlineStr">
        <is>
          <t>Familiar</t>
        </is>
      </c>
      <c r="P1025" t="inlineStr">
        <is>
          <t>STATE</t>
        </is>
      </c>
      <c r="Q1025" t="n">
        <v>7.533</v>
      </c>
      <c r="R1025" t="n">
        <v>8.366</v>
      </c>
      <c r="S1025" t="n">
        <v>0.833</v>
      </c>
      <c r="T1025" t="inlineStr">
        <is>
          <t>C:/Users/manuel.felline/Documents/BEHAVIOR BTBR/NOR second cohort/BTBR/training/c10_f3.mp4</t>
        </is>
      </c>
      <c r="U1025" t="n">
        <v>642</v>
      </c>
      <c r="V1025" t="n">
        <v>667</v>
      </c>
      <c r="W1025" t="n">
        <v/>
      </c>
      <c r="X1025" t="n">
        <v/>
      </c>
      <c r="Y1025" t="n">
        <v/>
      </c>
      <c r="Z1025" t="n">
        <v/>
      </c>
      <c r="AA1025">
        <f>SUMIFS($S$2:S1025,$A$2:A1025,A1025,$N$2:N1025,"Explore*")</f>
        <v/>
      </c>
      <c r="AB1025">
        <f>IF(AND(LEFT(N1025,7)="Explore",(AA1025-IF(LEFT(N1025,7)="Explore",S1025,0))&lt;10),"SI","NO")</f>
        <v/>
      </c>
    </row>
    <row r="1026">
      <c r="A1026" t="inlineStr">
        <is>
          <t>c10f3_training</t>
        </is>
      </c>
      <c r="B1026" t="inlineStr">
        <is>
          <t>2026-06-24 15:34:47.288</t>
        </is>
      </c>
      <c r="C1026" t="n">
        <v/>
      </c>
      <c r="D1026" t="inlineStr">
        <is>
          <t>Media file</t>
        </is>
      </c>
      <c r="E1026" t="inlineStr">
        <is>
          <t>player #1:C:/Users/manuel.felline/Documents/BEHAVIOR BTBR/NOR second cohort/BTBR/training/c10_f3.mp4</t>
        </is>
      </c>
      <c r="F1026" t="n">
        <v>-13.867</v>
      </c>
      <c r="G1026" t="n">
        <v>582.066</v>
      </c>
      <c r="H1026" t="n">
        <v>627.099</v>
      </c>
      <c r="I1026" t="n">
        <v>30</v>
      </c>
      <c r="J1026" t="inlineStr">
        <is>
          <t>BTBR</t>
        </is>
      </c>
      <c r="K1026" t="inlineStr">
        <is>
          <t xml:space="preserve"> Female</t>
        </is>
      </c>
      <c r="L1026" t="inlineStr">
        <is>
          <t>No focal subject</t>
        </is>
      </c>
      <c r="M1026" t="n">
        <v>67.129</v>
      </c>
      <c r="N1026" t="inlineStr">
        <is>
          <t>Explore_F</t>
        </is>
      </c>
      <c r="O1026" t="inlineStr">
        <is>
          <t>Familiar</t>
        </is>
      </c>
      <c r="P1026" t="inlineStr">
        <is>
          <t>STATE</t>
        </is>
      </c>
      <c r="Q1026" t="n">
        <v>9.733000000000001</v>
      </c>
      <c r="R1026" t="n">
        <v>10.2</v>
      </c>
      <c r="S1026" t="n">
        <v>0.467</v>
      </c>
      <c r="T1026" t="inlineStr">
        <is>
          <t>C:/Users/manuel.felline/Documents/BEHAVIOR BTBR/NOR second cohort/BTBR/training/c10_f3.mp4</t>
        </is>
      </c>
      <c r="U1026" t="n">
        <v>708</v>
      </c>
      <c r="V1026" t="n">
        <v>722</v>
      </c>
      <c r="W1026" t="n">
        <v/>
      </c>
      <c r="X1026" t="n">
        <v/>
      </c>
      <c r="Y1026" t="n">
        <v/>
      </c>
      <c r="Z1026" t="n">
        <v/>
      </c>
      <c r="AA1026">
        <f>SUMIFS($S$2:S1026,$A$2:A1026,A1026,$N$2:N1026,"Explore*")</f>
        <v/>
      </c>
      <c r="AB1026">
        <f>IF(AND(LEFT(N1026,7)="Explore",(AA1026-IF(LEFT(N1026,7)="Explore",S1026,0))&lt;10),"SI","NO")</f>
        <v/>
      </c>
    </row>
    <row r="1027">
      <c r="A1027" t="inlineStr">
        <is>
          <t>c10f3_training</t>
        </is>
      </c>
      <c r="B1027" t="inlineStr">
        <is>
          <t>2026-06-24 15:34:47.288</t>
        </is>
      </c>
      <c r="C1027" t="n">
        <v/>
      </c>
      <c r="D1027" t="inlineStr">
        <is>
          <t>Media file</t>
        </is>
      </c>
      <c r="E1027" t="inlineStr">
        <is>
          <t>player #1:C:/Users/manuel.felline/Documents/BEHAVIOR BTBR/NOR second cohort/BTBR/training/c10_f3.mp4</t>
        </is>
      </c>
      <c r="F1027" t="n">
        <v>-13.867</v>
      </c>
      <c r="G1027" t="n">
        <v>582.066</v>
      </c>
      <c r="H1027" t="n">
        <v>627.099</v>
      </c>
      <c r="I1027" t="n">
        <v>30</v>
      </c>
      <c r="J1027" t="inlineStr">
        <is>
          <t>BTBR</t>
        </is>
      </c>
      <c r="K1027" t="inlineStr">
        <is>
          <t xml:space="preserve"> Female</t>
        </is>
      </c>
      <c r="L1027" t="inlineStr">
        <is>
          <t>No focal subject</t>
        </is>
      </c>
      <c r="M1027" t="n">
        <v>67.129</v>
      </c>
      <c r="N1027" t="inlineStr">
        <is>
          <t>Explore_F2</t>
        </is>
      </c>
      <c r="O1027" t="inlineStr">
        <is>
          <t>Second familiar</t>
        </is>
      </c>
      <c r="P1027" t="inlineStr">
        <is>
          <t>STATE</t>
        </is>
      </c>
      <c r="Q1027" t="n">
        <v>13.233</v>
      </c>
      <c r="R1027" t="n">
        <v>13.666</v>
      </c>
      <c r="S1027" t="n">
        <v>0.433</v>
      </c>
      <c r="T1027" t="inlineStr">
        <is>
          <t>C:/Users/manuel.felline/Documents/BEHAVIOR BTBR/NOR second cohort/BTBR/training/c10_f3.mp4</t>
        </is>
      </c>
      <c r="U1027" t="n">
        <v>813</v>
      </c>
      <c r="V1027" t="n">
        <v>826</v>
      </c>
      <c r="W1027" t="n">
        <v/>
      </c>
      <c r="X1027" t="n">
        <v/>
      </c>
      <c r="Y1027" t="n">
        <v/>
      </c>
      <c r="Z1027" t="n">
        <v/>
      </c>
      <c r="AA1027">
        <f>SUMIFS($S$2:S1027,$A$2:A1027,A1027,$N$2:N1027,"Explore*")</f>
        <v/>
      </c>
      <c r="AB1027">
        <f>IF(AND(LEFT(N1027,7)="Explore",(AA1027-IF(LEFT(N1027,7)="Explore",S1027,0))&lt;10),"SI","NO")</f>
        <v/>
      </c>
    </row>
    <row r="1028">
      <c r="A1028" t="inlineStr">
        <is>
          <t>c10f3_training</t>
        </is>
      </c>
      <c r="B1028" t="inlineStr">
        <is>
          <t>2026-06-24 15:34:47.288</t>
        </is>
      </c>
      <c r="C1028" t="n">
        <v/>
      </c>
      <c r="D1028" t="inlineStr">
        <is>
          <t>Media file</t>
        </is>
      </c>
      <c r="E1028" t="inlineStr">
        <is>
          <t>player #1:C:/Users/manuel.felline/Documents/BEHAVIOR BTBR/NOR second cohort/BTBR/training/c10_f3.mp4</t>
        </is>
      </c>
      <c r="F1028" t="n">
        <v>-13.867</v>
      </c>
      <c r="G1028" t="n">
        <v>582.066</v>
      </c>
      <c r="H1028" t="n">
        <v>627.099</v>
      </c>
      <c r="I1028" t="n">
        <v>30</v>
      </c>
      <c r="J1028" t="inlineStr">
        <is>
          <t>BTBR</t>
        </is>
      </c>
      <c r="K1028" t="inlineStr">
        <is>
          <t xml:space="preserve"> Female</t>
        </is>
      </c>
      <c r="L1028" t="inlineStr">
        <is>
          <t>No focal subject</t>
        </is>
      </c>
      <c r="M1028" t="n">
        <v>67.129</v>
      </c>
      <c r="N1028" t="inlineStr">
        <is>
          <t>Explore_F2</t>
        </is>
      </c>
      <c r="O1028" t="inlineStr">
        <is>
          <t>Second familiar</t>
        </is>
      </c>
      <c r="P1028" t="inlineStr">
        <is>
          <t>STATE</t>
        </is>
      </c>
      <c r="Q1028" t="n">
        <v>17.4</v>
      </c>
      <c r="R1028" t="n">
        <v>18.066</v>
      </c>
      <c r="S1028" t="n">
        <v>0.666</v>
      </c>
      <c r="T1028" t="inlineStr">
        <is>
          <t>C:/Users/manuel.felline/Documents/BEHAVIOR BTBR/NOR second cohort/BTBR/training/c10_f3.mp4</t>
        </is>
      </c>
      <c r="U1028" t="n">
        <v>938</v>
      </c>
      <c r="V1028" t="n">
        <v>958</v>
      </c>
      <c r="W1028" t="n">
        <v/>
      </c>
      <c r="X1028" t="n">
        <v/>
      </c>
      <c r="Y1028" t="n">
        <v/>
      </c>
      <c r="Z1028" t="n">
        <v/>
      </c>
      <c r="AA1028">
        <f>SUMIFS($S$2:S1028,$A$2:A1028,A1028,$N$2:N1028,"Explore*")</f>
        <v/>
      </c>
      <c r="AB1028">
        <f>IF(AND(LEFT(N1028,7)="Explore",(AA1028-IF(LEFT(N1028,7)="Explore",S1028,0))&lt;10),"SI","NO")</f>
        <v/>
      </c>
    </row>
    <row r="1029">
      <c r="A1029" t="inlineStr">
        <is>
          <t>c10f3_training</t>
        </is>
      </c>
      <c r="B1029" t="inlineStr">
        <is>
          <t>2026-06-24 15:34:47.288</t>
        </is>
      </c>
      <c r="C1029" t="n">
        <v/>
      </c>
      <c r="D1029" t="inlineStr">
        <is>
          <t>Media file</t>
        </is>
      </c>
      <c r="E1029" t="inlineStr">
        <is>
          <t>player #1:C:/Users/manuel.felline/Documents/BEHAVIOR BTBR/NOR second cohort/BTBR/training/c10_f3.mp4</t>
        </is>
      </c>
      <c r="F1029" t="n">
        <v>-13.867</v>
      </c>
      <c r="G1029" t="n">
        <v>582.066</v>
      </c>
      <c r="H1029" t="n">
        <v>627.099</v>
      </c>
      <c r="I1029" t="n">
        <v>30</v>
      </c>
      <c r="J1029" t="inlineStr">
        <is>
          <t>BTBR</t>
        </is>
      </c>
      <c r="K1029" t="inlineStr">
        <is>
          <t xml:space="preserve"> Female</t>
        </is>
      </c>
      <c r="L1029" t="inlineStr">
        <is>
          <t>No focal subject</t>
        </is>
      </c>
      <c r="M1029" t="n">
        <v>67.129</v>
      </c>
      <c r="N1029" t="inlineStr">
        <is>
          <t>Explore_F</t>
        </is>
      </c>
      <c r="O1029" t="inlineStr">
        <is>
          <t>Familiar</t>
        </is>
      </c>
      <c r="P1029" t="inlineStr">
        <is>
          <t>STATE</t>
        </is>
      </c>
      <c r="Q1029" t="n">
        <v>20.366</v>
      </c>
      <c r="R1029" t="n">
        <v>20.766</v>
      </c>
      <c r="S1029" t="n">
        <v>0.4</v>
      </c>
      <c r="T1029" t="inlineStr">
        <is>
          <t>C:/Users/manuel.felline/Documents/BEHAVIOR BTBR/NOR second cohort/BTBR/training/c10_f3.mp4</t>
        </is>
      </c>
      <c r="U1029" t="n">
        <v>1027</v>
      </c>
      <c r="V1029" t="n">
        <v>1039</v>
      </c>
      <c r="W1029" t="n">
        <v/>
      </c>
      <c r="X1029" t="n">
        <v/>
      </c>
      <c r="Y1029" t="n">
        <v/>
      </c>
      <c r="Z1029" t="n">
        <v/>
      </c>
      <c r="AA1029">
        <f>SUMIFS($S$2:S1029,$A$2:A1029,A1029,$N$2:N1029,"Explore*")</f>
        <v/>
      </c>
      <c r="AB1029">
        <f>IF(AND(LEFT(N1029,7)="Explore",(AA1029-IF(LEFT(N1029,7)="Explore",S1029,0))&lt;10),"SI","NO")</f>
        <v/>
      </c>
    </row>
    <row r="1030">
      <c r="A1030" t="inlineStr">
        <is>
          <t>c10f3_training</t>
        </is>
      </c>
      <c r="B1030" t="inlineStr">
        <is>
          <t>2026-06-24 15:34:47.288</t>
        </is>
      </c>
      <c r="C1030" t="n">
        <v/>
      </c>
      <c r="D1030" t="inlineStr">
        <is>
          <t>Media file</t>
        </is>
      </c>
      <c r="E1030" t="inlineStr">
        <is>
          <t>player #1:C:/Users/manuel.felline/Documents/BEHAVIOR BTBR/NOR second cohort/BTBR/training/c10_f3.mp4</t>
        </is>
      </c>
      <c r="F1030" t="n">
        <v>-13.867</v>
      </c>
      <c r="G1030" t="n">
        <v>582.066</v>
      </c>
      <c r="H1030" t="n">
        <v>627.099</v>
      </c>
      <c r="I1030" t="n">
        <v>30</v>
      </c>
      <c r="J1030" t="inlineStr">
        <is>
          <t>BTBR</t>
        </is>
      </c>
      <c r="K1030" t="inlineStr">
        <is>
          <t xml:space="preserve"> Female</t>
        </is>
      </c>
      <c r="L1030" t="inlineStr">
        <is>
          <t>No focal subject</t>
        </is>
      </c>
      <c r="M1030" t="n">
        <v>67.129</v>
      </c>
      <c r="N1030" t="inlineStr">
        <is>
          <t>Explore_F2</t>
        </is>
      </c>
      <c r="O1030" t="inlineStr">
        <is>
          <t>Second familiar</t>
        </is>
      </c>
      <c r="P1030" t="inlineStr">
        <is>
          <t>STATE</t>
        </is>
      </c>
      <c r="Q1030" t="n">
        <v>22.5</v>
      </c>
      <c r="R1030" t="n">
        <v>22.966</v>
      </c>
      <c r="S1030" t="n">
        <v>0.466</v>
      </c>
      <c r="T1030" t="inlineStr">
        <is>
          <t>C:/Users/manuel.felline/Documents/BEHAVIOR BTBR/NOR second cohort/BTBR/training/c10_f3.mp4</t>
        </is>
      </c>
      <c r="U1030" t="n">
        <v>1091</v>
      </c>
      <c r="V1030" t="n">
        <v>1105</v>
      </c>
      <c r="W1030" t="n">
        <v/>
      </c>
      <c r="X1030" t="n">
        <v/>
      </c>
      <c r="Y1030" t="n">
        <v/>
      </c>
      <c r="Z1030" t="n">
        <v/>
      </c>
      <c r="AA1030">
        <f>SUMIFS($S$2:S1030,$A$2:A1030,A1030,$N$2:N1030,"Explore*")</f>
        <v/>
      </c>
      <c r="AB1030">
        <f>IF(AND(LEFT(N1030,7)="Explore",(AA1030-IF(LEFT(N1030,7)="Explore",S1030,0))&lt;10),"SI","NO")</f>
        <v/>
      </c>
    </row>
    <row r="1031">
      <c r="A1031" t="inlineStr">
        <is>
          <t>c10f3_training</t>
        </is>
      </c>
      <c r="B1031" t="inlineStr">
        <is>
          <t>2026-06-24 15:34:47.288</t>
        </is>
      </c>
      <c r="C1031" t="n">
        <v/>
      </c>
      <c r="D1031" t="inlineStr">
        <is>
          <t>Media file</t>
        </is>
      </c>
      <c r="E1031" t="inlineStr">
        <is>
          <t>player #1:C:/Users/manuel.felline/Documents/BEHAVIOR BTBR/NOR second cohort/BTBR/training/c10_f3.mp4</t>
        </is>
      </c>
      <c r="F1031" t="n">
        <v>-13.867</v>
      </c>
      <c r="G1031" t="n">
        <v>582.066</v>
      </c>
      <c r="H1031" t="n">
        <v>627.099</v>
      </c>
      <c r="I1031" t="n">
        <v>30</v>
      </c>
      <c r="J1031" t="inlineStr">
        <is>
          <t>BTBR</t>
        </is>
      </c>
      <c r="K1031" t="inlineStr">
        <is>
          <t xml:space="preserve"> Female</t>
        </is>
      </c>
      <c r="L1031" t="inlineStr">
        <is>
          <t>No focal subject</t>
        </is>
      </c>
      <c r="M1031" t="n">
        <v>67.129</v>
      </c>
      <c r="N1031" t="inlineStr">
        <is>
          <t>Explore_F</t>
        </is>
      </c>
      <c r="O1031" t="inlineStr">
        <is>
          <t>Familiar</t>
        </is>
      </c>
      <c r="P1031" t="inlineStr">
        <is>
          <t>STATE</t>
        </is>
      </c>
      <c r="Q1031" t="n">
        <v>26.1</v>
      </c>
      <c r="R1031" t="n">
        <v>26.766</v>
      </c>
      <c r="S1031" t="n">
        <v>0.666</v>
      </c>
      <c r="T1031" t="inlineStr">
        <is>
          <t>C:/Users/manuel.felline/Documents/BEHAVIOR BTBR/NOR second cohort/BTBR/training/c10_f3.mp4</t>
        </is>
      </c>
      <c r="U1031" t="n">
        <v>1199</v>
      </c>
      <c r="V1031" t="n">
        <v>1219</v>
      </c>
      <c r="W1031" t="n">
        <v/>
      </c>
      <c r="X1031" t="n">
        <v/>
      </c>
      <c r="Y1031" t="n">
        <v/>
      </c>
      <c r="Z1031" t="n">
        <v/>
      </c>
      <c r="AA1031">
        <f>SUMIFS($S$2:S1031,$A$2:A1031,A1031,$N$2:N1031,"Explore*")</f>
        <v/>
      </c>
      <c r="AB1031">
        <f>IF(AND(LEFT(N1031,7)="Explore",(AA1031-IF(LEFT(N1031,7)="Explore",S1031,0))&lt;10),"SI","NO")</f>
        <v/>
      </c>
    </row>
    <row r="1032">
      <c r="A1032" t="inlineStr">
        <is>
          <t>c10f3_training</t>
        </is>
      </c>
      <c r="B1032" t="inlineStr">
        <is>
          <t>2026-06-24 15:34:47.288</t>
        </is>
      </c>
      <c r="C1032" t="n">
        <v/>
      </c>
      <c r="D1032" t="inlineStr">
        <is>
          <t>Media file</t>
        </is>
      </c>
      <c r="E1032" t="inlineStr">
        <is>
          <t>player #1:C:/Users/manuel.felline/Documents/BEHAVIOR BTBR/NOR second cohort/BTBR/training/c10_f3.mp4</t>
        </is>
      </c>
      <c r="F1032" t="n">
        <v>-13.867</v>
      </c>
      <c r="G1032" t="n">
        <v>582.066</v>
      </c>
      <c r="H1032" t="n">
        <v>627.099</v>
      </c>
      <c r="I1032" t="n">
        <v>30</v>
      </c>
      <c r="J1032" t="inlineStr">
        <is>
          <t>BTBR</t>
        </is>
      </c>
      <c r="K1032" t="inlineStr">
        <is>
          <t xml:space="preserve"> Female</t>
        </is>
      </c>
      <c r="L1032" t="inlineStr">
        <is>
          <t>No focal subject</t>
        </is>
      </c>
      <c r="M1032" t="n">
        <v>67.129</v>
      </c>
      <c r="N1032" t="inlineStr">
        <is>
          <t>Explore_F</t>
        </is>
      </c>
      <c r="O1032" t="inlineStr">
        <is>
          <t>Familiar</t>
        </is>
      </c>
      <c r="P1032" t="inlineStr">
        <is>
          <t>STATE</t>
        </is>
      </c>
      <c r="Q1032" t="n">
        <v>27.8</v>
      </c>
      <c r="R1032" t="n">
        <v>29.8</v>
      </c>
      <c r="S1032" t="n">
        <v>2</v>
      </c>
      <c r="T1032" t="inlineStr">
        <is>
          <t>C:/Users/manuel.felline/Documents/BEHAVIOR BTBR/NOR second cohort/BTBR/training/c10_f3.mp4</t>
        </is>
      </c>
      <c r="U1032" t="n">
        <v>1250</v>
      </c>
      <c r="V1032" t="n">
        <v>1310</v>
      </c>
      <c r="W1032" t="n">
        <v/>
      </c>
      <c r="X1032" t="n">
        <v/>
      </c>
      <c r="Y1032" t="n">
        <v/>
      </c>
      <c r="Z1032" t="n">
        <v/>
      </c>
      <c r="AA1032">
        <f>SUMIFS($S$2:S1032,$A$2:A1032,A1032,$N$2:N1032,"Explore*")</f>
        <v/>
      </c>
      <c r="AB1032">
        <f>IF(AND(LEFT(N1032,7)="Explore",(AA1032-IF(LEFT(N1032,7)="Explore",S1032,0))&lt;10),"SI","NO")</f>
        <v/>
      </c>
    </row>
    <row r="1033">
      <c r="A1033" t="inlineStr">
        <is>
          <t>c10f3_training</t>
        </is>
      </c>
      <c r="B1033" t="inlineStr">
        <is>
          <t>2026-06-24 15:34:47.288</t>
        </is>
      </c>
      <c r="C1033" t="n">
        <v/>
      </c>
      <c r="D1033" t="inlineStr">
        <is>
          <t>Media file</t>
        </is>
      </c>
      <c r="E1033" t="inlineStr">
        <is>
          <t>player #1:C:/Users/manuel.felline/Documents/BEHAVIOR BTBR/NOR second cohort/BTBR/training/c10_f3.mp4</t>
        </is>
      </c>
      <c r="F1033" t="n">
        <v>-13.867</v>
      </c>
      <c r="G1033" t="n">
        <v>582.066</v>
      </c>
      <c r="H1033" t="n">
        <v>627.099</v>
      </c>
      <c r="I1033" t="n">
        <v>30</v>
      </c>
      <c r="J1033" t="inlineStr">
        <is>
          <t>BTBR</t>
        </is>
      </c>
      <c r="K1033" t="inlineStr">
        <is>
          <t xml:space="preserve"> Female</t>
        </is>
      </c>
      <c r="L1033" t="inlineStr">
        <is>
          <t>No focal subject</t>
        </is>
      </c>
      <c r="M1033" t="n">
        <v>67.129</v>
      </c>
      <c r="N1033" t="inlineStr">
        <is>
          <t>Explore_F</t>
        </is>
      </c>
      <c r="O1033" t="inlineStr">
        <is>
          <t>Familiar</t>
        </is>
      </c>
      <c r="P1033" t="inlineStr">
        <is>
          <t>STATE</t>
        </is>
      </c>
      <c r="Q1033" t="n">
        <v>32.033</v>
      </c>
      <c r="R1033" t="n">
        <v>32.533</v>
      </c>
      <c r="S1033" t="n">
        <v>0.5</v>
      </c>
      <c r="T1033" t="inlineStr">
        <is>
          <t>C:/Users/manuel.felline/Documents/BEHAVIOR BTBR/NOR second cohort/BTBR/training/c10_f3.mp4</t>
        </is>
      </c>
      <c r="U1033" t="n">
        <v>1377</v>
      </c>
      <c r="V1033" t="n">
        <v>1392</v>
      </c>
      <c r="W1033" t="n">
        <v/>
      </c>
      <c r="X1033" t="n">
        <v/>
      </c>
      <c r="Y1033" t="n">
        <v/>
      </c>
      <c r="Z1033" t="n">
        <v/>
      </c>
      <c r="AA1033">
        <f>SUMIFS($S$2:S1033,$A$2:A1033,A1033,$N$2:N1033,"Explore*")</f>
        <v/>
      </c>
      <c r="AB1033">
        <f>IF(AND(LEFT(N1033,7)="Explore",(AA1033-IF(LEFT(N1033,7)="Explore",S1033,0))&lt;10),"SI","NO")</f>
        <v/>
      </c>
    </row>
    <row r="1034">
      <c r="A1034" t="inlineStr">
        <is>
          <t>c10f3_training</t>
        </is>
      </c>
      <c r="B1034" t="inlineStr">
        <is>
          <t>2026-06-24 15:34:47.288</t>
        </is>
      </c>
      <c r="C1034" t="n">
        <v/>
      </c>
      <c r="D1034" t="inlineStr">
        <is>
          <t>Media file</t>
        </is>
      </c>
      <c r="E1034" t="inlineStr">
        <is>
          <t>player #1:C:/Users/manuel.felline/Documents/BEHAVIOR BTBR/NOR second cohort/BTBR/training/c10_f3.mp4</t>
        </is>
      </c>
      <c r="F1034" t="n">
        <v>-13.867</v>
      </c>
      <c r="G1034" t="n">
        <v>582.066</v>
      </c>
      <c r="H1034" t="n">
        <v>627.099</v>
      </c>
      <c r="I1034" t="n">
        <v>30</v>
      </c>
      <c r="J1034" t="inlineStr">
        <is>
          <t>BTBR</t>
        </is>
      </c>
      <c r="K1034" t="inlineStr">
        <is>
          <t xml:space="preserve"> Female</t>
        </is>
      </c>
      <c r="L1034" t="inlineStr">
        <is>
          <t>No focal subject</t>
        </is>
      </c>
      <c r="M1034" t="n">
        <v>67.129</v>
      </c>
      <c r="N1034" t="inlineStr">
        <is>
          <t>Explore_F2</t>
        </is>
      </c>
      <c r="O1034" t="inlineStr">
        <is>
          <t>Second familiar</t>
        </is>
      </c>
      <c r="P1034" t="inlineStr">
        <is>
          <t>STATE</t>
        </is>
      </c>
      <c r="Q1034" t="n">
        <v>33.1</v>
      </c>
      <c r="R1034" t="n">
        <v>35.233</v>
      </c>
      <c r="S1034" t="n">
        <v>2.133</v>
      </c>
      <c r="T1034" t="inlineStr">
        <is>
          <t>C:/Users/manuel.felline/Documents/BEHAVIOR BTBR/NOR second cohort/BTBR/training/c10_f3.mp4</t>
        </is>
      </c>
      <c r="U1034" t="n">
        <v>1409</v>
      </c>
      <c r="V1034" t="n">
        <v>1473</v>
      </c>
      <c r="W1034" t="n">
        <v/>
      </c>
      <c r="X1034" t="n">
        <v/>
      </c>
      <c r="Y1034" t="n">
        <v/>
      </c>
      <c r="Z1034" t="n">
        <v/>
      </c>
      <c r="AA1034">
        <f>SUMIFS($S$2:S1034,$A$2:A1034,A1034,$N$2:N1034,"Explore*")</f>
        <v/>
      </c>
      <c r="AB1034">
        <f>IF(AND(LEFT(N1034,7)="Explore",(AA1034-IF(LEFT(N1034,7)="Explore",S1034,0))&lt;10),"SI","NO")</f>
        <v/>
      </c>
    </row>
    <row r="1035">
      <c r="A1035" t="inlineStr">
        <is>
          <t>c10f3_training</t>
        </is>
      </c>
      <c r="B1035" t="inlineStr">
        <is>
          <t>2026-06-24 15:34:47.288</t>
        </is>
      </c>
      <c r="C1035" t="n">
        <v/>
      </c>
      <c r="D1035" t="inlineStr">
        <is>
          <t>Media file</t>
        </is>
      </c>
      <c r="E1035" t="inlineStr">
        <is>
          <t>player #1:C:/Users/manuel.felline/Documents/BEHAVIOR BTBR/NOR second cohort/BTBR/training/c10_f3.mp4</t>
        </is>
      </c>
      <c r="F1035" t="n">
        <v>-13.867</v>
      </c>
      <c r="G1035" t="n">
        <v>582.066</v>
      </c>
      <c r="H1035" t="n">
        <v>627.099</v>
      </c>
      <c r="I1035" t="n">
        <v>30</v>
      </c>
      <c r="J1035" t="inlineStr">
        <is>
          <t>BTBR</t>
        </is>
      </c>
      <c r="K1035" t="inlineStr">
        <is>
          <t xml:space="preserve"> Female</t>
        </is>
      </c>
      <c r="L1035" t="inlineStr">
        <is>
          <t>No focal subject</t>
        </is>
      </c>
      <c r="M1035" t="n">
        <v>67.129</v>
      </c>
      <c r="N1035" t="inlineStr">
        <is>
          <t>Explore_F2</t>
        </is>
      </c>
      <c r="O1035" t="inlineStr">
        <is>
          <t>Second familiar</t>
        </is>
      </c>
      <c r="P1035" t="inlineStr">
        <is>
          <t>STATE</t>
        </is>
      </c>
      <c r="Q1035" t="n">
        <v>36.1</v>
      </c>
      <c r="R1035" t="n">
        <v>36.466</v>
      </c>
      <c r="S1035" t="n">
        <v>0.366</v>
      </c>
      <c r="T1035" t="inlineStr">
        <is>
          <t>C:/Users/manuel.felline/Documents/BEHAVIOR BTBR/NOR second cohort/BTBR/training/c10_f3.mp4</t>
        </is>
      </c>
      <c r="U1035" t="n">
        <v>1499</v>
      </c>
      <c r="V1035" t="n">
        <v>1510</v>
      </c>
      <c r="W1035" t="n">
        <v/>
      </c>
      <c r="X1035" t="n">
        <v/>
      </c>
      <c r="Y1035" t="n">
        <v/>
      </c>
      <c r="Z1035" t="n">
        <v/>
      </c>
      <c r="AA1035">
        <f>SUMIFS($S$2:S1035,$A$2:A1035,A1035,$N$2:N1035,"Explore*")</f>
        <v/>
      </c>
      <c r="AB1035">
        <f>IF(AND(LEFT(N1035,7)="Explore",(AA1035-IF(LEFT(N1035,7)="Explore",S1035,0))&lt;10),"SI","NO")</f>
        <v/>
      </c>
    </row>
    <row r="1036">
      <c r="A1036" t="inlineStr">
        <is>
          <t>c10f3_training</t>
        </is>
      </c>
      <c r="B1036" t="inlineStr">
        <is>
          <t>2026-06-24 15:34:47.288</t>
        </is>
      </c>
      <c r="C1036" t="n">
        <v/>
      </c>
      <c r="D1036" t="inlineStr">
        <is>
          <t>Media file</t>
        </is>
      </c>
      <c r="E1036" t="inlineStr">
        <is>
          <t>player #1:C:/Users/manuel.felline/Documents/BEHAVIOR BTBR/NOR second cohort/BTBR/training/c10_f3.mp4</t>
        </is>
      </c>
      <c r="F1036" t="n">
        <v>-13.867</v>
      </c>
      <c r="G1036" t="n">
        <v>582.066</v>
      </c>
      <c r="H1036" t="n">
        <v>627.099</v>
      </c>
      <c r="I1036" t="n">
        <v>30</v>
      </c>
      <c r="J1036" t="inlineStr">
        <is>
          <t>BTBR</t>
        </is>
      </c>
      <c r="K1036" t="inlineStr">
        <is>
          <t xml:space="preserve"> Female</t>
        </is>
      </c>
      <c r="L1036" t="inlineStr">
        <is>
          <t>No focal subject</t>
        </is>
      </c>
      <c r="M1036" t="n">
        <v>67.129</v>
      </c>
      <c r="N1036" t="inlineStr">
        <is>
          <t>Explore_F</t>
        </is>
      </c>
      <c r="O1036" t="inlineStr">
        <is>
          <t>Familiar</t>
        </is>
      </c>
      <c r="P1036" t="inlineStr">
        <is>
          <t>STATE</t>
        </is>
      </c>
      <c r="Q1036" t="n">
        <v>38.2</v>
      </c>
      <c r="R1036" t="n">
        <v>38.533</v>
      </c>
      <c r="S1036" t="n">
        <v>0.333</v>
      </c>
      <c r="T1036" t="inlineStr">
        <is>
          <t>C:/Users/manuel.felline/Documents/BEHAVIOR BTBR/NOR second cohort/BTBR/training/c10_f3.mp4</t>
        </is>
      </c>
      <c r="U1036" t="n">
        <v>1562</v>
      </c>
      <c r="V1036" t="n">
        <v>1572</v>
      </c>
      <c r="W1036" t="n">
        <v/>
      </c>
      <c r="X1036" t="n">
        <v/>
      </c>
      <c r="Y1036" t="n">
        <v/>
      </c>
      <c r="Z1036" t="n">
        <v/>
      </c>
      <c r="AA1036">
        <f>SUMIFS($S$2:S1036,$A$2:A1036,A1036,$N$2:N1036,"Explore*")</f>
        <v/>
      </c>
      <c r="AB1036">
        <f>IF(AND(LEFT(N1036,7)="Explore",(AA1036-IF(LEFT(N1036,7)="Explore",S1036,0))&lt;10),"SI","NO")</f>
        <v/>
      </c>
    </row>
    <row r="1037">
      <c r="A1037" t="inlineStr">
        <is>
          <t>c10f3_training</t>
        </is>
      </c>
      <c r="B1037" t="inlineStr">
        <is>
          <t>2026-06-24 15:34:47.288</t>
        </is>
      </c>
      <c r="C1037" t="n">
        <v/>
      </c>
      <c r="D1037" t="inlineStr">
        <is>
          <t>Media file</t>
        </is>
      </c>
      <c r="E1037" t="inlineStr">
        <is>
          <t>player #1:C:/Users/manuel.felline/Documents/BEHAVIOR BTBR/NOR second cohort/BTBR/training/c10_f3.mp4</t>
        </is>
      </c>
      <c r="F1037" t="n">
        <v>-13.867</v>
      </c>
      <c r="G1037" t="n">
        <v>582.066</v>
      </c>
      <c r="H1037" t="n">
        <v>627.099</v>
      </c>
      <c r="I1037" t="n">
        <v>30</v>
      </c>
      <c r="J1037" t="inlineStr">
        <is>
          <t>BTBR</t>
        </is>
      </c>
      <c r="K1037" t="inlineStr">
        <is>
          <t xml:space="preserve"> Female</t>
        </is>
      </c>
      <c r="L1037" t="inlineStr">
        <is>
          <t>No focal subject</t>
        </is>
      </c>
      <c r="M1037" t="n">
        <v>67.129</v>
      </c>
      <c r="N1037" t="inlineStr">
        <is>
          <t>Explore_F2</t>
        </is>
      </c>
      <c r="O1037" t="inlineStr">
        <is>
          <t>Second familiar</t>
        </is>
      </c>
      <c r="P1037" t="inlineStr">
        <is>
          <t>STATE</t>
        </is>
      </c>
      <c r="Q1037" t="n">
        <v>40.7</v>
      </c>
      <c r="R1037" t="n">
        <v>41.1</v>
      </c>
      <c r="S1037" t="n">
        <v>0.4</v>
      </c>
      <c r="T1037" t="inlineStr">
        <is>
          <t>C:/Users/manuel.felline/Documents/BEHAVIOR BTBR/NOR second cohort/BTBR/training/c10_f3.mp4</t>
        </is>
      </c>
      <c r="U1037" t="n">
        <v>1637</v>
      </c>
      <c r="V1037" t="n">
        <v>1649</v>
      </c>
      <c r="W1037" t="n">
        <v/>
      </c>
      <c r="X1037" t="n">
        <v/>
      </c>
      <c r="Y1037" t="n">
        <v/>
      </c>
      <c r="Z1037" t="n">
        <v/>
      </c>
      <c r="AA1037">
        <f>SUMIFS($S$2:S1037,$A$2:A1037,A1037,$N$2:N1037,"Explore*")</f>
        <v/>
      </c>
      <c r="AB1037">
        <f>IF(AND(LEFT(N1037,7)="Explore",(AA1037-IF(LEFT(N1037,7)="Explore",S1037,0))&lt;10),"SI","NO")</f>
        <v/>
      </c>
    </row>
    <row r="1038">
      <c r="A1038" t="inlineStr">
        <is>
          <t>c10f3_training</t>
        </is>
      </c>
      <c r="B1038" t="inlineStr">
        <is>
          <t>2026-06-24 15:34:47.288</t>
        </is>
      </c>
      <c r="C1038" t="n">
        <v/>
      </c>
      <c r="D1038" t="inlineStr">
        <is>
          <t>Media file</t>
        </is>
      </c>
      <c r="E1038" t="inlineStr">
        <is>
          <t>player #1:C:/Users/manuel.felline/Documents/BEHAVIOR BTBR/NOR second cohort/BTBR/training/c10_f3.mp4</t>
        </is>
      </c>
      <c r="F1038" t="n">
        <v>-13.867</v>
      </c>
      <c r="G1038" t="n">
        <v>582.066</v>
      </c>
      <c r="H1038" t="n">
        <v>627.099</v>
      </c>
      <c r="I1038" t="n">
        <v>30</v>
      </c>
      <c r="J1038" t="inlineStr">
        <is>
          <t>BTBR</t>
        </is>
      </c>
      <c r="K1038" t="inlineStr">
        <is>
          <t xml:space="preserve"> Female</t>
        </is>
      </c>
      <c r="L1038" t="inlineStr">
        <is>
          <t>No focal subject</t>
        </is>
      </c>
      <c r="M1038" t="n">
        <v>67.129</v>
      </c>
      <c r="N1038" t="inlineStr">
        <is>
          <t>Explore_F</t>
        </is>
      </c>
      <c r="O1038" t="inlineStr">
        <is>
          <t>Familiar</t>
        </is>
      </c>
      <c r="P1038" t="inlineStr">
        <is>
          <t>STATE</t>
        </is>
      </c>
      <c r="Q1038" t="n">
        <v>45.5</v>
      </c>
      <c r="R1038" t="n">
        <v>45.8</v>
      </c>
      <c r="S1038" t="n">
        <v>0.3</v>
      </c>
      <c r="T1038" t="inlineStr">
        <is>
          <t>C:/Users/manuel.felline/Documents/BEHAVIOR BTBR/NOR second cohort/BTBR/training/c10_f3.mp4</t>
        </is>
      </c>
      <c r="U1038" t="n">
        <v>1780</v>
      </c>
      <c r="V1038" t="n">
        <v>1789</v>
      </c>
      <c r="W1038" t="n">
        <v/>
      </c>
      <c r="X1038" t="n">
        <v/>
      </c>
      <c r="Y1038" t="n">
        <v/>
      </c>
      <c r="Z1038" t="n">
        <v/>
      </c>
      <c r="AA1038">
        <f>SUMIFS($S$2:S1038,$A$2:A1038,A1038,$N$2:N1038,"Explore*")</f>
        <v/>
      </c>
      <c r="AB1038">
        <f>IF(AND(LEFT(N1038,7)="Explore",(AA1038-IF(LEFT(N1038,7)="Explore",S1038,0))&lt;10),"SI","NO")</f>
        <v/>
      </c>
    </row>
    <row r="1039">
      <c r="A1039" t="inlineStr">
        <is>
          <t>c10f3_training</t>
        </is>
      </c>
      <c r="B1039" t="inlineStr">
        <is>
          <t>2026-06-24 15:34:47.288</t>
        </is>
      </c>
      <c r="C1039" t="n">
        <v/>
      </c>
      <c r="D1039" t="inlineStr">
        <is>
          <t>Media file</t>
        </is>
      </c>
      <c r="E1039" t="inlineStr">
        <is>
          <t>player #1:C:/Users/manuel.felline/Documents/BEHAVIOR BTBR/NOR second cohort/BTBR/training/c10_f3.mp4</t>
        </is>
      </c>
      <c r="F1039" t="n">
        <v>-13.867</v>
      </c>
      <c r="G1039" t="n">
        <v>582.066</v>
      </c>
      <c r="H1039" t="n">
        <v>627.099</v>
      </c>
      <c r="I1039" t="n">
        <v>30</v>
      </c>
      <c r="J1039" t="inlineStr">
        <is>
          <t>BTBR</t>
        </is>
      </c>
      <c r="K1039" t="inlineStr">
        <is>
          <t xml:space="preserve"> Female</t>
        </is>
      </c>
      <c r="L1039" t="inlineStr">
        <is>
          <t>No focal subject</t>
        </is>
      </c>
      <c r="M1039" t="n">
        <v>67.129</v>
      </c>
      <c r="N1039" t="inlineStr">
        <is>
          <t>Explore_F2</t>
        </is>
      </c>
      <c r="O1039" t="inlineStr">
        <is>
          <t>Second familiar</t>
        </is>
      </c>
      <c r="P1039" t="inlineStr">
        <is>
          <t>STATE</t>
        </is>
      </c>
      <c r="Q1039" t="n">
        <v>48.2</v>
      </c>
      <c r="R1039" t="n">
        <v>48.433</v>
      </c>
      <c r="S1039" t="n">
        <v>0.233</v>
      </c>
      <c r="T1039" t="inlineStr">
        <is>
          <t>C:/Users/manuel.felline/Documents/BEHAVIOR BTBR/NOR second cohort/BTBR/training/c10_f3.mp4</t>
        </is>
      </c>
      <c r="U1039" t="n">
        <v>1861</v>
      </c>
      <c r="V1039" t="n">
        <v>1868</v>
      </c>
      <c r="W1039" t="n">
        <v/>
      </c>
      <c r="X1039" t="n">
        <v/>
      </c>
      <c r="Y1039" t="n">
        <v/>
      </c>
      <c r="Z1039" t="n">
        <v/>
      </c>
      <c r="AA1039">
        <f>SUMIFS($S$2:S1039,$A$2:A1039,A1039,$N$2:N1039,"Explore*")</f>
        <v/>
      </c>
      <c r="AB1039">
        <f>IF(AND(LEFT(N1039,7)="Explore",(AA1039-IF(LEFT(N1039,7)="Explore",S1039,0))&lt;10),"SI","NO")</f>
        <v/>
      </c>
    </row>
    <row r="1040">
      <c r="A1040" t="inlineStr">
        <is>
          <t>c10f3_training</t>
        </is>
      </c>
      <c r="B1040" t="inlineStr">
        <is>
          <t>2026-06-24 15:34:47.288</t>
        </is>
      </c>
      <c r="C1040" t="n">
        <v/>
      </c>
      <c r="D1040" t="inlineStr">
        <is>
          <t>Media file</t>
        </is>
      </c>
      <c r="E1040" t="inlineStr">
        <is>
          <t>player #1:C:/Users/manuel.felline/Documents/BEHAVIOR BTBR/NOR second cohort/BTBR/training/c10_f3.mp4</t>
        </is>
      </c>
      <c r="F1040" t="n">
        <v>-13.867</v>
      </c>
      <c r="G1040" t="n">
        <v>582.066</v>
      </c>
      <c r="H1040" t="n">
        <v>627.099</v>
      </c>
      <c r="I1040" t="n">
        <v>30</v>
      </c>
      <c r="J1040" t="inlineStr">
        <is>
          <t>BTBR</t>
        </is>
      </c>
      <c r="K1040" t="inlineStr">
        <is>
          <t xml:space="preserve"> Female</t>
        </is>
      </c>
      <c r="L1040" t="inlineStr">
        <is>
          <t>No focal subject</t>
        </is>
      </c>
      <c r="M1040" t="n">
        <v>67.129</v>
      </c>
      <c r="N1040" t="inlineStr">
        <is>
          <t>Explore_F</t>
        </is>
      </c>
      <c r="O1040" t="inlineStr">
        <is>
          <t>Familiar</t>
        </is>
      </c>
      <c r="P1040" t="inlineStr">
        <is>
          <t>STATE</t>
        </is>
      </c>
      <c r="Q1040" t="n">
        <v>67.066</v>
      </c>
      <c r="R1040" t="n">
        <v>68.666</v>
      </c>
      <c r="S1040" t="n">
        <v>1.6</v>
      </c>
      <c r="T1040" t="inlineStr">
        <is>
          <t>C:/Users/manuel.felline/Documents/BEHAVIOR BTBR/NOR second cohort/BTBR/training/c10_f3.mp4</t>
        </is>
      </c>
      <c r="U1040" t="n">
        <v>2427</v>
      </c>
      <c r="V1040" t="n">
        <v>2475</v>
      </c>
      <c r="W1040" t="n">
        <v/>
      </c>
      <c r="X1040" t="n">
        <v/>
      </c>
      <c r="Y1040" t="n">
        <v/>
      </c>
      <c r="Z1040" t="n">
        <v/>
      </c>
      <c r="AA1040">
        <f>SUMIFS($S$2:S1040,$A$2:A1040,A1040,$N$2:N1040,"Explore*")</f>
        <v/>
      </c>
      <c r="AB1040">
        <f>IF(AND(LEFT(N1040,7)="Explore",(AA1040-IF(LEFT(N1040,7)="Explore",S1040,0))&lt;10),"SI","NO")</f>
        <v/>
      </c>
    </row>
    <row r="1041">
      <c r="A1041" t="inlineStr">
        <is>
          <t>c10f3_training</t>
        </is>
      </c>
      <c r="B1041" t="inlineStr">
        <is>
          <t>2026-06-24 15:34:47.288</t>
        </is>
      </c>
      <c r="C1041" t="n">
        <v/>
      </c>
      <c r="D1041" t="inlineStr">
        <is>
          <t>Media file</t>
        </is>
      </c>
      <c r="E1041" t="inlineStr">
        <is>
          <t>player #1:C:/Users/manuel.felline/Documents/BEHAVIOR BTBR/NOR second cohort/BTBR/training/c10_f3.mp4</t>
        </is>
      </c>
      <c r="F1041" t="n">
        <v>-13.867</v>
      </c>
      <c r="G1041" t="n">
        <v>582.066</v>
      </c>
      <c r="H1041" t="n">
        <v>627.099</v>
      </c>
      <c r="I1041" t="n">
        <v>30</v>
      </c>
      <c r="J1041" t="inlineStr">
        <is>
          <t>BTBR</t>
        </is>
      </c>
      <c r="K1041" t="inlineStr">
        <is>
          <t xml:space="preserve"> Female</t>
        </is>
      </c>
      <c r="L1041" t="inlineStr">
        <is>
          <t>No focal subject</t>
        </is>
      </c>
      <c r="M1041" t="n">
        <v>67.129</v>
      </c>
      <c r="N1041" t="inlineStr">
        <is>
          <t>Explore_F</t>
        </is>
      </c>
      <c r="O1041" t="inlineStr">
        <is>
          <t>Familiar</t>
        </is>
      </c>
      <c r="P1041" t="inlineStr">
        <is>
          <t>STATE</t>
        </is>
      </c>
      <c r="Q1041" t="n">
        <v>70.566</v>
      </c>
      <c r="R1041" t="n">
        <v>72.40000000000001</v>
      </c>
      <c r="S1041" t="n">
        <v>1.834</v>
      </c>
      <c r="T1041" t="inlineStr">
        <is>
          <t>C:/Users/manuel.felline/Documents/BEHAVIOR BTBR/NOR second cohort/BTBR/training/c10_f3.mp4</t>
        </is>
      </c>
      <c r="U1041" t="n">
        <v>2532</v>
      </c>
      <c r="V1041" t="n">
        <v>2587</v>
      </c>
      <c r="W1041" t="n">
        <v/>
      </c>
      <c r="X1041" t="n">
        <v/>
      </c>
      <c r="Y1041" t="n">
        <v/>
      </c>
      <c r="Z1041" t="n">
        <v/>
      </c>
      <c r="AA1041">
        <f>SUMIFS($S$2:S1041,$A$2:A1041,A1041,$N$2:N1041,"Explore*")</f>
        <v/>
      </c>
      <c r="AB1041">
        <f>IF(AND(LEFT(N1041,7)="Explore",(AA1041-IF(LEFT(N1041,7)="Explore",S1041,0))&lt;10),"SI","NO")</f>
        <v/>
      </c>
    </row>
    <row r="1042">
      <c r="A1042" t="inlineStr">
        <is>
          <t>c10f3_training</t>
        </is>
      </c>
      <c r="B1042" t="inlineStr">
        <is>
          <t>2026-06-24 15:34:47.288</t>
        </is>
      </c>
      <c r="C1042" t="n">
        <v/>
      </c>
      <c r="D1042" t="inlineStr">
        <is>
          <t>Media file</t>
        </is>
      </c>
      <c r="E1042" t="inlineStr">
        <is>
          <t>player #1:C:/Users/manuel.felline/Documents/BEHAVIOR BTBR/NOR second cohort/BTBR/training/c10_f3.mp4</t>
        </is>
      </c>
      <c r="F1042" t="n">
        <v>-13.867</v>
      </c>
      <c r="G1042" t="n">
        <v>582.066</v>
      </c>
      <c r="H1042" t="n">
        <v>627.099</v>
      </c>
      <c r="I1042" t="n">
        <v>30</v>
      </c>
      <c r="J1042" t="inlineStr">
        <is>
          <t>BTBR</t>
        </is>
      </c>
      <c r="K1042" t="inlineStr">
        <is>
          <t xml:space="preserve"> Female</t>
        </is>
      </c>
      <c r="L1042" t="inlineStr">
        <is>
          <t>No focal subject</t>
        </is>
      </c>
      <c r="M1042" t="n">
        <v>67.129</v>
      </c>
      <c r="N1042" t="inlineStr">
        <is>
          <t>Explore_F2</t>
        </is>
      </c>
      <c r="O1042" t="inlineStr">
        <is>
          <t>Second familiar</t>
        </is>
      </c>
      <c r="P1042" t="inlineStr">
        <is>
          <t>STATE</t>
        </is>
      </c>
      <c r="Q1042" t="n">
        <v>73.40000000000001</v>
      </c>
      <c r="R1042" t="n">
        <v>75.09999999999999</v>
      </c>
      <c r="S1042" t="n">
        <v>1.7</v>
      </c>
      <c r="T1042" t="inlineStr">
        <is>
          <t>C:/Users/manuel.felline/Documents/BEHAVIOR BTBR/NOR second cohort/BTBR/training/c10_f3.mp4</t>
        </is>
      </c>
      <c r="U1042" t="n">
        <v>2617</v>
      </c>
      <c r="V1042" t="n">
        <v>2668</v>
      </c>
      <c r="W1042" t="n">
        <v/>
      </c>
      <c r="X1042" t="n">
        <v/>
      </c>
      <c r="Y1042" t="n">
        <v/>
      </c>
      <c r="Z1042" t="n">
        <v/>
      </c>
      <c r="AA1042">
        <f>SUMIFS($S$2:S1042,$A$2:A1042,A1042,$N$2:N1042,"Explore*")</f>
        <v/>
      </c>
      <c r="AB1042">
        <f>IF(AND(LEFT(N1042,7)="Explore",(AA1042-IF(LEFT(N1042,7)="Explore",S1042,0))&lt;10),"SI","NO")</f>
        <v/>
      </c>
    </row>
    <row r="1043">
      <c r="A1043" t="inlineStr">
        <is>
          <t>c10f3_training</t>
        </is>
      </c>
      <c r="B1043" t="inlineStr">
        <is>
          <t>2026-06-24 15:34:47.288</t>
        </is>
      </c>
      <c r="C1043" t="n">
        <v/>
      </c>
      <c r="D1043" t="inlineStr">
        <is>
          <t>Media file</t>
        </is>
      </c>
      <c r="E1043" t="inlineStr">
        <is>
          <t>player #1:C:/Users/manuel.felline/Documents/BEHAVIOR BTBR/NOR second cohort/BTBR/training/c10_f3.mp4</t>
        </is>
      </c>
      <c r="F1043" t="n">
        <v>-13.867</v>
      </c>
      <c r="G1043" t="n">
        <v>582.066</v>
      </c>
      <c r="H1043" t="n">
        <v>627.099</v>
      </c>
      <c r="I1043" t="n">
        <v>30</v>
      </c>
      <c r="J1043" t="inlineStr">
        <is>
          <t>BTBR</t>
        </is>
      </c>
      <c r="K1043" t="inlineStr">
        <is>
          <t xml:space="preserve"> Female</t>
        </is>
      </c>
      <c r="L1043" t="inlineStr">
        <is>
          <t>No focal subject</t>
        </is>
      </c>
      <c r="M1043" t="n">
        <v>67.129</v>
      </c>
      <c r="N1043" t="inlineStr">
        <is>
          <t>Explore_F</t>
        </is>
      </c>
      <c r="O1043" t="inlineStr">
        <is>
          <t>Familiar</t>
        </is>
      </c>
      <c r="P1043" t="inlineStr">
        <is>
          <t>STATE</t>
        </is>
      </c>
      <c r="Q1043" t="n">
        <v>79.59999999999999</v>
      </c>
      <c r="R1043" t="n">
        <v>80.033</v>
      </c>
      <c r="S1043" t="n">
        <v>0.433</v>
      </c>
      <c r="T1043" t="inlineStr">
        <is>
          <t>C:/Users/manuel.felline/Documents/BEHAVIOR BTBR/NOR second cohort/BTBR/training/c10_f3.mp4</t>
        </is>
      </c>
      <c r="U1043" t="n">
        <v>2803</v>
      </c>
      <c r="V1043" t="n">
        <v>2816</v>
      </c>
      <c r="W1043" t="n">
        <v/>
      </c>
      <c r="X1043" t="n">
        <v/>
      </c>
      <c r="Y1043" t="n">
        <v/>
      </c>
      <c r="Z1043" t="n">
        <v/>
      </c>
      <c r="AA1043">
        <f>SUMIFS($S$2:S1043,$A$2:A1043,A1043,$N$2:N1043,"Explore*")</f>
        <v/>
      </c>
      <c r="AB1043">
        <f>IF(AND(LEFT(N1043,7)="Explore",(AA1043-IF(LEFT(N1043,7)="Explore",S1043,0))&lt;10),"SI","NO")</f>
        <v/>
      </c>
    </row>
    <row r="1044">
      <c r="A1044" t="inlineStr">
        <is>
          <t>c10f3_training</t>
        </is>
      </c>
      <c r="B1044" t="inlineStr">
        <is>
          <t>2026-06-24 15:34:47.288</t>
        </is>
      </c>
      <c r="C1044" t="n">
        <v/>
      </c>
      <c r="D1044" t="inlineStr">
        <is>
          <t>Media file</t>
        </is>
      </c>
      <c r="E1044" t="inlineStr">
        <is>
          <t>player #1:C:/Users/manuel.felline/Documents/BEHAVIOR BTBR/NOR second cohort/BTBR/training/c10_f3.mp4</t>
        </is>
      </c>
      <c r="F1044" t="n">
        <v>-13.867</v>
      </c>
      <c r="G1044" t="n">
        <v>582.066</v>
      </c>
      <c r="H1044" t="n">
        <v>627.099</v>
      </c>
      <c r="I1044" t="n">
        <v>30</v>
      </c>
      <c r="J1044" t="inlineStr">
        <is>
          <t>BTBR</t>
        </is>
      </c>
      <c r="K1044" t="inlineStr">
        <is>
          <t xml:space="preserve"> Female</t>
        </is>
      </c>
      <c r="L1044" t="inlineStr">
        <is>
          <t>No focal subject</t>
        </is>
      </c>
      <c r="M1044" t="n">
        <v>67.129</v>
      </c>
      <c r="N1044" t="inlineStr">
        <is>
          <t>Explore_F</t>
        </is>
      </c>
      <c r="O1044" t="inlineStr">
        <is>
          <t>Familiar</t>
        </is>
      </c>
      <c r="P1044" t="inlineStr">
        <is>
          <t>STATE</t>
        </is>
      </c>
      <c r="Q1044" t="n">
        <v>80.733</v>
      </c>
      <c r="R1044" t="n">
        <v>81.09999999999999</v>
      </c>
      <c r="S1044" t="n">
        <v>0.367</v>
      </c>
      <c r="T1044" t="inlineStr">
        <is>
          <t>C:/Users/manuel.felline/Documents/BEHAVIOR BTBR/NOR second cohort/BTBR/training/c10_f3.mp4</t>
        </is>
      </c>
      <c r="U1044" t="n">
        <v>2837</v>
      </c>
      <c r="V1044" t="n">
        <v>2848</v>
      </c>
      <c r="W1044" t="n">
        <v/>
      </c>
      <c r="X1044" t="n">
        <v/>
      </c>
      <c r="Y1044" t="n">
        <v/>
      </c>
      <c r="Z1044" t="n">
        <v/>
      </c>
      <c r="AA1044">
        <f>SUMIFS($S$2:S1044,$A$2:A1044,A1044,$N$2:N1044,"Explore*")</f>
        <v/>
      </c>
      <c r="AB1044">
        <f>IF(AND(LEFT(N1044,7)="Explore",(AA1044-IF(LEFT(N1044,7)="Explore",S1044,0))&lt;10),"SI","NO")</f>
        <v/>
      </c>
    </row>
    <row r="1045">
      <c r="A1045" t="inlineStr">
        <is>
          <t>c10f3_training</t>
        </is>
      </c>
      <c r="B1045" t="inlineStr">
        <is>
          <t>2026-06-24 15:34:47.288</t>
        </is>
      </c>
      <c r="C1045" t="n">
        <v/>
      </c>
      <c r="D1045" t="inlineStr">
        <is>
          <t>Media file</t>
        </is>
      </c>
      <c r="E1045" t="inlineStr">
        <is>
          <t>player #1:C:/Users/manuel.felline/Documents/BEHAVIOR BTBR/NOR second cohort/BTBR/training/c10_f3.mp4</t>
        </is>
      </c>
      <c r="F1045" t="n">
        <v>-13.867</v>
      </c>
      <c r="G1045" t="n">
        <v>582.066</v>
      </c>
      <c r="H1045" t="n">
        <v>627.099</v>
      </c>
      <c r="I1045" t="n">
        <v>30</v>
      </c>
      <c r="J1045" t="inlineStr">
        <is>
          <t>BTBR</t>
        </is>
      </c>
      <c r="K1045" t="inlineStr">
        <is>
          <t xml:space="preserve"> Female</t>
        </is>
      </c>
      <c r="L1045" t="inlineStr">
        <is>
          <t>No focal subject</t>
        </is>
      </c>
      <c r="M1045" t="n">
        <v>67.129</v>
      </c>
      <c r="N1045" t="inlineStr">
        <is>
          <t>Explore_F</t>
        </is>
      </c>
      <c r="O1045" t="inlineStr">
        <is>
          <t>Familiar</t>
        </is>
      </c>
      <c r="P1045" t="inlineStr">
        <is>
          <t>STATE</t>
        </is>
      </c>
      <c r="Q1045" t="n">
        <v>87.40000000000001</v>
      </c>
      <c r="R1045" t="n">
        <v>87.666</v>
      </c>
      <c r="S1045" t="n">
        <v>0.266</v>
      </c>
      <c r="T1045" t="inlineStr">
        <is>
          <t>C:/Users/manuel.felline/Documents/BEHAVIOR BTBR/NOR second cohort/BTBR/training/c10_f3.mp4</t>
        </is>
      </c>
      <c r="U1045" t="n">
        <v>3037</v>
      </c>
      <c r="V1045" t="n">
        <v>3045</v>
      </c>
      <c r="W1045" t="n">
        <v/>
      </c>
      <c r="X1045" t="n">
        <v/>
      </c>
      <c r="Y1045" t="n">
        <v/>
      </c>
      <c r="Z1045" t="n">
        <v/>
      </c>
      <c r="AA1045">
        <f>SUMIFS($S$2:S1045,$A$2:A1045,A1045,$N$2:N1045,"Explore*")</f>
        <v/>
      </c>
      <c r="AB1045">
        <f>IF(AND(LEFT(N1045,7)="Explore",(AA1045-IF(LEFT(N1045,7)="Explore",S1045,0))&lt;10),"SI","NO")</f>
        <v/>
      </c>
    </row>
    <row r="1046">
      <c r="A1046" t="inlineStr">
        <is>
          <t>c10f3_training</t>
        </is>
      </c>
      <c r="B1046" t="inlineStr">
        <is>
          <t>2026-06-24 15:34:47.288</t>
        </is>
      </c>
      <c r="C1046" t="n">
        <v/>
      </c>
      <c r="D1046" t="inlineStr">
        <is>
          <t>Media file</t>
        </is>
      </c>
      <c r="E1046" t="inlineStr">
        <is>
          <t>player #1:C:/Users/manuel.felline/Documents/BEHAVIOR BTBR/NOR second cohort/BTBR/training/c10_f3.mp4</t>
        </is>
      </c>
      <c r="F1046" t="n">
        <v>-13.867</v>
      </c>
      <c r="G1046" t="n">
        <v>582.066</v>
      </c>
      <c r="H1046" t="n">
        <v>627.099</v>
      </c>
      <c r="I1046" t="n">
        <v>30</v>
      </c>
      <c r="J1046" t="inlineStr">
        <is>
          <t>BTBR</t>
        </is>
      </c>
      <c r="K1046" t="inlineStr">
        <is>
          <t xml:space="preserve"> Female</t>
        </is>
      </c>
      <c r="L1046" t="inlineStr">
        <is>
          <t>No focal subject</t>
        </is>
      </c>
      <c r="M1046" t="n">
        <v>67.129</v>
      </c>
      <c r="N1046" t="inlineStr">
        <is>
          <t>Explore_F</t>
        </is>
      </c>
      <c r="O1046" t="inlineStr">
        <is>
          <t>Familiar</t>
        </is>
      </c>
      <c r="P1046" t="inlineStr">
        <is>
          <t>STATE</t>
        </is>
      </c>
      <c r="Q1046" t="n">
        <v>89.733</v>
      </c>
      <c r="R1046" t="n">
        <v>89.96599999999999</v>
      </c>
      <c r="S1046" t="n">
        <v>0.233</v>
      </c>
      <c r="T1046" t="inlineStr">
        <is>
          <t>C:/Users/manuel.felline/Documents/BEHAVIOR BTBR/NOR second cohort/BTBR/training/c10_f3.mp4</t>
        </is>
      </c>
      <c r="U1046" t="n">
        <v>3107</v>
      </c>
      <c r="V1046" t="n">
        <v>3114</v>
      </c>
      <c r="W1046" t="n">
        <v/>
      </c>
      <c r="X1046" t="n">
        <v/>
      </c>
      <c r="Y1046" t="n">
        <v/>
      </c>
      <c r="Z1046" t="n">
        <v/>
      </c>
      <c r="AA1046">
        <f>SUMIFS($S$2:S1046,$A$2:A1046,A1046,$N$2:N1046,"Explore*")</f>
        <v/>
      </c>
      <c r="AB1046">
        <f>IF(AND(LEFT(N1046,7)="Explore",(AA1046-IF(LEFT(N1046,7)="Explore",S1046,0))&lt;10),"SI","NO")</f>
        <v/>
      </c>
    </row>
    <row r="1047">
      <c r="A1047" t="inlineStr">
        <is>
          <t>c10f3_training</t>
        </is>
      </c>
      <c r="B1047" t="inlineStr">
        <is>
          <t>2026-06-24 15:34:47.288</t>
        </is>
      </c>
      <c r="C1047" t="n">
        <v/>
      </c>
      <c r="D1047" t="inlineStr">
        <is>
          <t>Media file</t>
        </is>
      </c>
      <c r="E1047" t="inlineStr">
        <is>
          <t>player #1:C:/Users/manuel.felline/Documents/BEHAVIOR BTBR/NOR second cohort/BTBR/training/c10_f3.mp4</t>
        </is>
      </c>
      <c r="F1047" t="n">
        <v>-13.867</v>
      </c>
      <c r="G1047" t="n">
        <v>582.066</v>
      </c>
      <c r="H1047" t="n">
        <v>627.099</v>
      </c>
      <c r="I1047" t="n">
        <v>30</v>
      </c>
      <c r="J1047" t="inlineStr">
        <is>
          <t>BTBR</t>
        </is>
      </c>
      <c r="K1047" t="inlineStr">
        <is>
          <t xml:space="preserve"> Female</t>
        </is>
      </c>
      <c r="L1047" t="inlineStr">
        <is>
          <t>No focal subject</t>
        </is>
      </c>
      <c r="M1047" t="n">
        <v>67.129</v>
      </c>
      <c r="N1047" t="inlineStr">
        <is>
          <t>Explore_F2</t>
        </is>
      </c>
      <c r="O1047" t="inlineStr">
        <is>
          <t>Second familiar</t>
        </is>
      </c>
      <c r="P1047" t="inlineStr">
        <is>
          <t>STATE</t>
        </is>
      </c>
      <c r="Q1047" t="n">
        <v>90.46599999999999</v>
      </c>
      <c r="R1047" t="n">
        <v>90.833</v>
      </c>
      <c r="S1047" t="n">
        <v>0.367</v>
      </c>
      <c r="T1047" t="inlineStr">
        <is>
          <t>C:/Users/manuel.felline/Documents/BEHAVIOR BTBR/NOR second cohort/BTBR/training/c10_f3.mp4</t>
        </is>
      </c>
      <c r="U1047" t="n">
        <v>3129</v>
      </c>
      <c r="V1047" t="n">
        <v>3140</v>
      </c>
      <c r="W1047" t="n">
        <v/>
      </c>
      <c r="X1047" t="n">
        <v/>
      </c>
      <c r="Y1047" t="n">
        <v/>
      </c>
      <c r="Z1047" t="n">
        <v/>
      </c>
      <c r="AA1047">
        <f>SUMIFS($S$2:S1047,$A$2:A1047,A1047,$N$2:N1047,"Explore*")</f>
        <v/>
      </c>
      <c r="AB1047">
        <f>IF(AND(LEFT(N1047,7)="Explore",(AA1047-IF(LEFT(N1047,7)="Explore",S1047,0))&lt;10),"SI","NO")</f>
        <v/>
      </c>
    </row>
    <row r="1048">
      <c r="A1048" t="inlineStr">
        <is>
          <t>c10f3_training</t>
        </is>
      </c>
      <c r="B1048" t="inlineStr">
        <is>
          <t>2026-06-24 15:34:47.288</t>
        </is>
      </c>
      <c r="C1048" t="n">
        <v/>
      </c>
      <c r="D1048" t="inlineStr">
        <is>
          <t>Media file</t>
        </is>
      </c>
      <c r="E1048" t="inlineStr">
        <is>
          <t>player #1:C:/Users/manuel.felline/Documents/BEHAVIOR BTBR/NOR second cohort/BTBR/training/c10_f3.mp4</t>
        </is>
      </c>
      <c r="F1048" t="n">
        <v>-13.867</v>
      </c>
      <c r="G1048" t="n">
        <v>582.066</v>
      </c>
      <c r="H1048" t="n">
        <v>627.099</v>
      </c>
      <c r="I1048" t="n">
        <v>30</v>
      </c>
      <c r="J1048" t="inlineStr">
        <is>
          <t>BTBR</t>
        </is>
      </c>
      <c r="K1048" t="inlineStr">
        <is>
          <t xml:space="preserve"> Female</t>
        </is>
      </c>
      <c r="L1048" t="inlineStr">
        <is>
          <t>No focal subject</t>
        </is>
      </c>
      <c r="M1048" t="n">
        <v>67.129</v>
      </c>
      <c r="N1048" t="inlineStr">
        <is>
          <t>Explore_F2</t>
        </is>
      </c>
      <c r="O1048" t="inlineStr">
        <is>
          <t>Second familiar</t>
        </is>
      </c>
      <c r="P1048" t="inlineStr">
        <is>
          <t>STATE</t>
        </is>
      </c>
      <c r="Q1048" t="n">
        <v>93.033</v>
      </c>
      <c r="R1048" t="n">
        <v>94.96599999999999</v>
      </c>
      <c r="S1048" t="n">
        <v>1.933</v>
      </c>
      <c r="T1048" t="inlineStr">
        <is>
          <t>C:/Users/manuel.felline/Documents/BEHAVIOR BTBR/NOR second cohort/BTBR/training/c10_f3.mp4</t>
        </is>
      </c>
      <c r="U1048" t="n">
        <v>3206</v>
      </c>
      <c r="V1048" t="n">
        <v>3264</v>
      </c>
      <c r="W1048" t="n">
        <v/>
      </c>
      <c r="X1048" t="n">
        <v/>
      </c>
      <c r="Y1048" t="n">
        <v/>
      </c>
      <c r="Z1048" t="n">
        <v/>
      </c>
      <c r="AA1048">
        <f>SUMIFS($S$2:S1048,$A$2:A1048,A1048,$N$2:N1048,"Explore*")</f>
        <v/>
      </c>
      <c r="AB1048">
        <f>IF(AND(LEFT(N1048,7)="Explore",(AA1048-IF(LEFT(N1048,7)="Explore",S1048,0))&lt;10),"SI","NO")</f>
        <v/>
      </c>
    </row>
    <row r="1049">
      <c r="A1049" t="inlineStr">
        <is>
          <t>c10f3_training</t>
        </is>
      </c>
      <c r="B1049" t="inlineStr">
        <is>
          <t>2026-06-24 15:34:47.288</t>
        </is>
      </c>
      <c r="C1049" t="n">
        <v/>
      </c>
      <c r="D1049" t="inlineStr">
        <is>
          <t>Media file</t>
        </is>
      </c>
      <c r="E1049" t="inlineStr">
        <is>
          <t>player #1:C:/Users/manuel.felline/Documents/BEHAVIOR BTBR/NOR second cohort/BTBR/training/c10_f3.mp4</t>
        </is>
      </c>
      <c r="F1049" t="n">
        <v>-13.867</v>
      </c>
      <c r="G1049" t="n">
        <v>582.066</v>
      </c>
      <c r="H1049" t="n">
        <v>627.099</v>
      </c>
      <c r="I1049" t="n">
        <v>30</v>
      </c>
      <c r="J1049" t="inlineStr">
        <is>
          <t>BTBR</t>
        </is>
      </c>
      <c r="K1049" t="inlineStr">
        <is>
          <t xml:space="preserve"> Female</t>
        </is>
      </c>
      <c r="L1049" t="inlineStr">
        <is>
          <t>No focal subject</t>
        </is>
      </c>
      <c r="M1049" t="n">
        <v>67.129</v>
      </c>
      <c r="N1049" t="inlineStr">
        <is>
          <t>Explore_F</t>
        </is>
      </c>
      <c r="O1049" t="inlineStr">
        <is>
          <t>Familiar</t>
        </is>
      </c>
      <c r="P1049" t="inlineStr">
        <is>
          <t>STATE</t>
        </is>
      </c>
      <c r="Q1049" t="n">
        <v>96.3</v>
      </c>
      <c r="R1049" t="n">
        <v>98.76600000000001</v>
      </c>
      <c r="S1049" t="n">
        <v>2.466</v>
      </c>
      <c r="T1049" t="inlineStr">
        <is>
          <t>C:/Users/manuel.felline/Documents/BEHAVIOR BTBR/NOR second cohort/BTBR/training/c10_f3.mp4</t>
        </is>
      </c>
      <c r="U1049" t="n">
        <v>3304</v>
      </c>
      <c r="V1049" t="n">
        <v>3378</v>
      </c>
      <c r="W1049" t="n">
        <v/>
      </c>
      <c r="X1049" t="n">
        <v/>
      </c>
      <c r="Y1049" t="n">
        <v/>
      </c>
      <c r="Z1049" t="n">
        <v/>
      </c>
      <c r="AA1049">
        <f>SUMIFS($S$2:S1049,$A$2:A1049,A1049,$N$2:N1049,"Explore*")</f>
        <v/>
      </c>
      <c r="AB1049">
        <f>IF(AND(LEFT(N1049,7)="Explore",(AA1049-IF(LEFT(N1049,7)="Explore",S1049,0))&lt;10),"SI","NO")</f>
        <v/>
      </c>
    </row>
    <row r="1050">
      <c r="A1050" t="inlineStr">
        <is>
          <t>c10f3_training</t>
        </is>
      </c>
      <c r="B1050" t="inlineStr">
        <is>
          <t>2026-06-24 15:34:47.288</t>
        </is>
      </c>
      <c r="C1050" t="n">
        <v/>
      </c>
      <c r="D1050" t="inlineStr">
        <is>
          <t>Media file</t>
        </is>
      </c>
      <c r="E1050" t="inlineStr">
        <is>
          <t>player #1:C:/Users/manuel.felline/Documents/BEHAVIOR BTBR/NOR second cohort/BTBR/training/c10_f3.mp4</t>
        </is>
      </c>
      <c r="F1050" t="n">
        <v>-13.867</v>
      </c>
      <c r="G1050" t="n">
        <v>582.066</v>
      </c>
      <c r="H1050" t="n">
        <v>627.099</v>
      </c>
      <c r="I1050" t="n">
        <v>30</v>
      </c>
      <c r="J1050" t="inlineStr">
        <is>
          <t>BTBR</t>
        </is>
      </c>
      <c r="K1050" t="inlineStr">
        <is>
          <t xml:space="preserve"> Female</t>
        </is>
      </c>
      <c r="L1050" t="inlineStr">
        <is>
          <t>No focal subject</t>
        </is>
      </c>
      <c r="M1050" t="n">
        <v>67.129</v>
      </c>
      <c r="N1050" t="inlineStr">
        <is>
          <t>Explore_F2</t>
        </is>
      </c>
      <c r="O1050" t="inlineStr">
        <is>
          <t>Second familiar</t>
        </is>
      </c>
      <c r="P1050" t="inlineStr">
        <is>
          <t>STATE</t>
        </is>
      </c>
      <c r="Q1050" t="n">
        <v>106.633</v>
      </c>
      <c r="R1050" t="n">
        <v>107.933</v>
      </c>
      <c r="S1050" t="n">
        <v>1.3</v>
      </c>
      <c r="T1050" t="inlineStr">
        <is>
          <t>C:/Users/manuel.felline/Documents/BEHAVIOR BTBR/NOR second cohort/BTBR/training/c10_f3.mp4</t>
        </is>
      </c>
      <c r="U1050" t="n">
        <v>3614</v>
      </c>
      <c r="V1050" t="n">
        <v>3653</v>
      </c>
      <c r="W1050" t="n">
        <v/>
      </c>
      <c r="X1050" t="n">
        <v/>
      </c>
      <c r="Y1050" t="n">
        <v/>
      </c>
      <c r="Z1050" t="n">
        <v/>
      </c>
      <c r="AA1050">
        <f>SUMIFS($S$2:S1050,$A$2:A1050,A1050,$N$2:N1050,"Explore*")</f>
        <v/>
      </c>
      <c r="AB1050">
        <f>IF(AND(LEFT(N1050,7)="Explore",(AA1050-IF(LEFT(N1050,7)="Explore",S1050,0))&lt;10),"SI","NO")</f>
        <v/>
      </c>
    </row>
    <row r="1051">
      <c r="A1051" t="inlineStr">
        <is>
          <t>c10f3_training</t>
        </is>
      </c>
      <c r="B1051" t="inlineStr">
        <is>
          <t>2026-06-24 15:34:47.288</t>
        </is>
      </c>
      <c r="C1051" t="n">
        <v/>
      </c>
      <c r="D1051" t="inlineStr">
        <is>
          <t>Media file</t>
        </is>
      </c>
      <c r="E1051" t="inlineStr">
        <is>
          <t>player #1:C:/Users/manuel.felline/Documents/BEHAVIOR BTBR/NOR second cohort/BTBR/training/c10_f3.mp4</t>
        </is>
      </c>
      <c r="F1051" t="n">
        <v>-13.867</v>
      </c>
      <c r="G1051" t="n">
        <v>582.066</v>
      </c>
      <c r="H1051" t="n">
        <v>627.099</v>
      </c>
      <c r="I1051" t="n">
        <v>30</v>
      </c>
      <c r="J1051" t="inlineStr">
        <is>
          <t>BTBR</t>
        </is>
      </c>
      <c r="K1051" t="inlineStr">
        <is>
          <t xml:space="preserve"> Female</t>
        </is>
      </c>
      <c r="L1051" t="inlineStr">
        <is>
          <t>No focal subject</t>
        </is>
      </c>
      <c r="M1051" t="n">
        <v>67.129</v>
      </c>
      <c r="N1051" t="inlineStr">
        <is>
          <t>Explore_F</t>
        </is>
      </c>
      <c r="O1051" t="inlineStr">
        <is>
          <t>Familiar</t>
        </is>
      </c>
      <c r="P1051" t="inlineStr">
        <is>
          <t>STATE</t>
        </is>
      </c>
      <c r="Q1051" t="n">
        <v>121.5</v>
      </c>
      <c r="R1051" t="n">
        <v>122.066</v>
      </c>
      <c r="S1051" t="n">
        <v>0.5659999999999999</v>
      </c>
      <c r="T1051" t="inlineStr">
        <is>
          <t>C:/Users/manuel.felline/Documents/BEHAVIOR BTBR/NOR second cohort/BTBR/training/c10_f3.mp4</t>
        </is>
      </c>
      <c r="U1051" t="n">
        <v>4060</v>
      </c>
      <c r="V1051" t="n">
        <v>4077</v>
      </c>
      <c r="W1051" t="n">
        <v/>
      </c>
      <c r="X1051" t="n">
        <v/>
      </c>
      <c r="Y1051" t="n">
        <v/>
      </c>
      <c r="Z1051" t="n">
        <v/>
      </c>
      <c r="AA1051">
        <f>SUMIFS($S$2:S1051,$A$2:A1051,A1051,$N$2:N1051,"Explore*")</f>
        <v/>
      </c>
      <c r="AB1051">
        <f>IF(AND(LEFT(N1051,7)="Explore",(AA1051-IF(LEFT(N1051,7)="Explore",S1051,0))&lt;10),"SI","NO")</f>
        <v/>
      </c>
    </row>
    <row r="1052">
      <c r="A1052" t="inlineStr">
        <is>
          <t>c10f3_training</t>
        </is>
      </c>
      <c r="B1052" t="inlineStr">
        <is>
          <t>2026-06-24 15:34:47.288</t>
        </is>
      </c>
      <c r="C1052" t="n">
        <v/>
      </c>
      <c r="D1052" t="inlineStr">
        <is>
          <t>Media file</t>
        </is>
      </c>
      <c r="E1052" t="inlineStr">
        <is>
          <t>player #1:C:/Users/manuel.felline/Documents/BEHAVIOR BTBR/NOR second cohort/BTBR/training/c10_f3.mp4</t>
        </is>
      </c>
      <c r="F1052" t="n">
        <v>-13.867</v>
      </c>
      <c r="G1052" t="n">
        <v>582.066</v>
      </c>
      <c r="H1052" t="n">
        <v>627.099</v>
      </c>
      <c r="I1052" t="n">
        <v>30</v>
      </c>
      <c r="J1052" t="inlineStr">
        <is>
          <t>BTBR</t>
        </is>
      </c>
      <c r="K1052" t="inlineStr">
        <is>
          <t xml:space="preserve"> Female</t>
        </is>
      </c>
      <c r="L1052" t="inlineStr">
        <is>
          <t>No focal subject</t>
        </is>
      </c>
      <c r="M1052" t="n">
        <v>67.129</v>
      </c>
      <c r="N1052" t="inlineStr">
        <is>
          <t>Explore_F</t>
        </is>
      </c>
      <c r="O1052" t="inlineStr">
        <is>
          <t>Familiar</t>
        </is>
      </c>
      <c r="P1052" t="inlineStr">
        <is>
          <t>STATE</t>
        </is>
      </c>
      <c r="Q1052" t="n">
        <v>122.733</v>
      </c>
      <c r="R1052" t="n">
        <v>124.266</v>
      </c>
      <c r="S1052" t="n">
        <v>1.533</v>
      </c>
      <c r="T1052" t="inlineStr">
        <is>
          <t>C:/Users/manuel.felline/Documents/BEHAVIOR BTBR/NOR second cohort/BTBR/training/c10_f3.mp4</t>
        </is>
      </c>
      <c r="U1052" t="n">
        <v>4097</v>
      </c>
      <c r="V1052" t="n">
        <v>4143</v>
      </c>
      <c r="W1052" t="n">
        <v/>
      </c>
      <c r="X1052" t="n">
        <v/>
      </c>
      <c r="Y1052" t="n">
        <v/>
      </c>
      <c r="Z1052" t="n">
        <v/>
      </c>
      <c r="AA1052">
        <f>SUMIFS($S$2:S1052,$A$2:A1052,A1052,$N$2:N1052,"Explore*")</f>
        <v/>
      </c>
      <c r="AB1052">
        <f>IF(AND(LEFT(N1052,7)="Explore",(AA1052-IF(LEFT(N1052,7)="Explore",S1052,0))&lt;10),"SI","NO")</f>
        <v/>
      </c>
    </row>
    <row r="1053">
      <c r="A1053" t="inlineStr">
        <is>
          <t>c10f3_training</t>
        </is>
      </c>
      <c r="B1053" t="inlineStr">
        <is>
          <t>2026-06-24 15:34:47.288</t>
        </is>
      </c>
      <c r="C1053" t="n">
        <v/>
      </c>
      <c r="D1053" t="inlineStr">
        <is>
          <t>Media file</t>
        </is>
      </c>
      <c r="E1053" t="inlineStr">
        <is>
          <t>player #1:C:/Users/manuel.felline/Documents/BEHAVIOR BTBR/NOR second cohort/BTBR/training/c10_f3.mp4</t>
        </is>
      </c>
      <c r="F1053" t="n">
        <v>-13.867</v>
      </c>
      <c r="G1053" t="n">
        <v>582.066</v>
      </c>
      <c r="H1053" t="n">
        <v>627.099</v>
      </c>
      <c r="I1053" t="n">
        <v>30</v>
      </c>
      <c r="J1053" t="inlineStr">
        <is>
          <t>BTBR</t>
        </is>
      </c>
      <c r="K1053" t="inlineStr">
        <is>
          <t xml:space="preserve"> Female</t>
        </is>
      </c>
      <c r="L1053" t="inlineStr">
        <is>
          <t>No focal subject</t>
        </is>
      </c>
      <c r="M1053" t="n">
        <v>67.129</v>
      </c>
      <c r="N1053" t="inlineStr">
        <is>
          <t>Explore_F2</t>
        </is>
      </c>
      <c r="O1053" t="inlineStr">
        <is>
          <t>Second familiar</t>
        </is>
      </c>
      <c r="P1053" t="inlineStr">
        <is>
          <t>STATE</t>
        </is>
      </c>
      <c r="Q1053" t="n">
        <v>126.966</v>
      </c>
      <c r="R1053" t="n">
        <v>128.4</v>
      </c>
      <c r="S1053" t="n">
        <v>1.434</v>
      </c>
      <c r="T1053" t="inlineStr">
        <is>
          <t>C:/Users/manuel.felline/Documents/BEHAVIOR BTBR/NOR second cohort/BTBR/training/c10_f3.mp4</t>
        </is>
      </c>
      <c r="U1053" t="n">
        <v>4224</v>
      </c>
      <c r="V1053" t="n">
        <v>4267</v>
      </c>
      <c r="W1053" t="n">
        <v/>
      </c>
      <c r="X1053" t="n">
        <v/>
      </c>
      <c r="Y1053" t="n">
        <v/>
      </c>
      <c r="Z1053" t="n">
        <v/>
      </c>
      <c r="AA1053">
        <f>SUMIFS($S$2:S1053,$A$2:A1053,A1053,$N$2:N1053,"Explore*")</f>
        <v/>
      </c>
      <c r="AB1053">
        <f>IF(AND(LEFT(N1053,7)="Explore",(AA1053-IF(LEFT(N1053,7)="Explore",S1053,0))&lt;10),"SI","NO")</f>
        <v/>
      </c>
    </row>
    <row r="1054">
      <c r="A1054" t="inlineStr">
        <is>
          <t>c10f3_training</t>
        </is>
      </c>
      <c r="B1054" t="inlineStr">
        <is>
          <t>2026-06-24 15:34:47.288</t>
        </is>
      </c>
      <c r="C1054" t="n">
        <v/>
      </c>
      <c r="D1054" t="inlineStr">
        <is>
          <t>Media file</t>
        </is>
      </c>
      <c r="E1054" t="inlineStr">
        <is>
          <t>player #1:C:/Users/manuel.felline/Documents/BEHAVIOR BTBR/NOR second cohort/BTBR/training/c10_f3.mp4</t>
        </is>
      </c>
      <c r="F1054" t="n">
        <v>-13.867</v>
      </c>
      <c r="G1054" t="n">
        <v>582.066</v>
      </c>
      <c r="H1054" t="n">
        <v>627.099</v>
      </c>
      <c r="I1054" t="n">
        <v>30</v>
      </c>
      <c r="J1054" t="inlineStr">
        <is>
          <t>BTBR</t>
        </is>
      </c>
      <c r="K1054" t="inlineStr">
        <is>
          <t xml:space="preserve"> Female</t>
        </is>
      </c>
      <c r="L1054" t="inlineStr">
        <is>
          <t>No focal subject</t>
        </is>
      </c>
      <c r="M1054" t="n">
        <v>67.129</v>
      </c>
      <c r="N1054" t="inlineStr">
        <is>
          <t>Explore_F</t>
        </is>
      </c>
      <c r="O1054" t="inlineStr">
        <is>
          <t>Familiar</t>
        </is>
      </c>
      <c r="P1054" t="inlineStr">
        <is>
          <t>STATE</t>
        </is>
      </c>
      <c r="Q1054" t="n">
        <v>133.233</v>
      </c>
      <c r="R1054" t="n">
        <v>133.6</v>
      </c>
      <c r="S1054" t="n">
        <v>0.367</v>
      </c>
      <c r="T1054" t="inlineStr">
        <is>
          <t>C:/Users/manuel.felline/Documents/BEHAVIOR BTBR/NOR second cohort/BTBR/training/c10_f3.mp4</t>
        </is>
      </c>
      <c r="U1054" t="n">
        <v>4412</v>
      </c>
      <c r="V1054" t="n">
        <v>4423</v>
      </c>
      <c r="W1054" t="n">
        <v/>
      </c>
      <c r="X1054" t="n">
        <v/>
      </c>
      <c r="Y1054" t="n">
        <v/>
      </c>
      <c r="Z1054" t="n">
        <v/>
      </c>
      <c r="AA1054">
        <f>SUMIFS($S$2:S1054,$A$2:A1054,A1054,$N$2:N1054,"Explore*")</f>
        <v/>
      </c>
      <c r="AB1054">
        <f>IF(AND(LEFT(N1054,7)="Explore",(AA1054-IF(LEFT(N1054,7)="Explore",S1054,0))&lt;10),"SI","NO")</f>
        <v/>
      </c>
    </row>
    <row r="1055">
      <c r="A1055" t="inlineStr">
        <is>
          <t>c10f3_training</t>
        </is>
      </c>
      <c r="B1055" t="inlineStr">
        <is>
          <t>2026-06-24 15:34:47.288</t>
        </is>
      </c>
      <c r="C1055" t="n">
        <v/>
      </c>
      <c r="D1055" t="inlineStr">
        <is>
          <t>Media file</t>
        </is>
      </c>
      <c r="E1055" t="inlineStr">
        <is>
          <t>player #1:C:/Users/manuel.felline/Documents/BEHAVIOR BTBR/NOR second cohort/BTBR/training/c10_f3.mp4</t>
        </is>
      </c>
      <c r="F1055" t="n">
        <v>-13.867</v>
      </c>
      <c r="G1055" t="n">
        <v>582.066</v>
      </c>
      <c r="H1055" t="n">
        <v>627.099</v>
      </c>
      <c r="I1055" t="n">
        <v>30</v>
      </c>
      <c r="J1055" t="inlineStr">
        <is>
          <t>BTBR</t>
        </is>
      </c>
      <c r="K1055" t="inlineStr">
        <is>
          <t xml:space="preserve"> Female</t>
        </is>
      </c>
      <c r="L1055" t="inlineStr">
        <is>
          <t>No focal subject</t>
        </is>
      </c>
      <c r="M1055" t="n">
        <v>67.129</v>
      </c>
      <c r="N1055" t="inlineStr">
        <is>
          <t>Explore_F</t>
        </is>
      </c>
      <c r="O1055" t="inlineStr">
        <is>
          <t>Familiar</t>
        </is>
      </c>
      <c r="P1055" t="inlineStr">
        <is>
          <t>STATE</t>
        </is>
      </c>
      <c r="Q1055" t="n">
        <v>136.366</v>
      </c>
      <c r="R1055" t="n">
        <v>137.066</v>
      </c>
      <c r="S1055" t="n">
        <v>0.7</v>
      </c>
      <c r="T1055" t="inlineStr">
        <is>
          <t>C:/Users/manuel.felline/Documents/BEHAVIOR BTBR/NOR second cohort/BTBR/training/c10_f3.mp4</t>
        </is>
      </c>
      <c r="U1055" t="n">
        <v>4506</v>
      </c>
      <c r="V1055" t="n">
        <v>4527</v>
      </c>
      <c r="W1055" t="n">
        <v/>
      </c>
      <c r="X1055" t="n">
        <v/>
      </c>
      <c r="Y1055" t="n">
        <v/>
      </c>
      <c r="Z1055" t="n">
        <v/>
      </c>
      <c r="AA1055">
        <f>SUMIFS($S$2:S1055,$A$2:A1055,A1055,$N$2:N1055,"Explore*")</f>
        <v/>
      </c>
      <c r="AB1055">
        <f>IF(AND(LEFT(N1055,7)="Explore",(AA1055-IF(LEFT(N1055,7)="Explore",S1055,0))&lt;10),"SI","NO")</f>
        <v/>
      </c>
    </row>
    <row r="1056">
      <c r="A1056" t="inlineStr">
        <is>
          <t>c10f3_training</t>
        </is>
      </c>
      <c r="B1056" t="inlineStr">
        <is>
          <t>2026-06-24 15:34:47.288</t>
        </is>
      </c>
      <c r="C1056" t="n">
        <v/>
      </c>
      <c r="D1056" t="inlineStr">
        <is>
          <t>Media file</t>
        </is>
      </c>
      <c r="E1056" t="inlineStr">
        <is>
          <t>player #1:C:/Users/manuel.felline/Documents/BEHAVIOR BTBR/NOR second cohort/BTBR/training/c10_f3.mp4</t>
        </is>
      </c>
      <c r="F1056" t="n">
        <v>-13.867</v>
      </c>
      <c r="G1056" t="n">
        <v>582.066</v>
      </c>
      <c r="H1056" t="n">
        <v>627.099</v>
      </c>
      <c r="I1056" t="n">
        <v>30</v>
      </c>
      <c r="J1056" t="inlineStr">
        <is>
          <t>BTBR</t>
        </is>
      </c>
      <c r="K1056" t="inlineStr">
        <is>
          <t xml:space="preserve"> Female</t>
        </is>
      </c>
      <c r="L1056" t="inlineStr">
        <is>
          <t>No focal subject</t>
        </is>
      </c>
      <c r="M1056" t="n">
        <v>67.129</v>
      </c>
      <c r="N1056" t="inlineStr">
        <is>
          <t>Explore_F2</t>
        </is>
      </c>
      <c r="O1056" t="inlineStr">
        <is>
          <t>Second familiar</t>
        </is>
      </c>
      <c r="P1056" t="inlineStr">
        <is>
          <t>STATE</t>
        </is>
      </c>
      <c r="Q1056" t="n">
        <v>139.433</v>
      </c>
      <c r="R1056" t="n">
        <v>140.133</v>
      </c>
      <c r="S1056" t="n">
        <v>0.7</v>
      </c>
      <c r="T1056" t="inlineStr">
        <is>
          <t>C:/Users/manuel.felline/Documents/BEHAVIOR BTBR/NOR second cohort/BTBR/training/c10_f3.mp4</t>
        </is>
      </c>
      <c r="U1056" t="n">
        <v>4598</v>
      </c>
      <c r="V1056" t="n">
        <v>4619</v>
      </c>
      <c r="W1056" t="n">
        <v/>
      </c>
      <c r="X1056" t="n">
        <v/>
      </c>
      <c r="Y1056" t="n">
        <v/>
      </c>
      <c r="Z1056" t="n">
        <v/>
      </c>
      <c r="AA1056">
        <f>SUMIFS($S$2:S1056,$A$2:A1056,A1056,$N$2:N1056,"Explore*")</f>
        <v/>
      </c>
      <c r="AB1056">
        <f>IF(AND(LEFT(N1056,7)="Explore",(AA1056-IF(LEFT(N1056,7)="Explore",S1056,0))&lt;10),"SI","NO")</f>
        <v/>
      </c>
    </row>
    <row r="1057">
      <c r="A1057" t="inlineStr">
        <is>
          <t>c10f3_training</t>
        </is>
      </c>
      <c r="B1057" t="inlineStr">
        <is>
          <t>2026-06-24 15:34:47.288</t>
        </is>
      </c>
      <c r="C1057" t="n">
        <v/>
      </c>
      <c r="D1057" t="inlineStr">
        <is>
          <t>Media file</t>
        </is>
      </c>
      <c r="E1057" t="inlineStr">
        <is>
          <t>player #1:C:/Users/manuel.felline/Documents/BEHAVIOR BTBR/NOR second cohort/BTBR/training/c10_f3.mp4</t>
        </is>
      </c>
      <c r="F1057" t="n">
        <v>-13.867</v>
      </c>
      <c r="G1057" t="n">
        <v>582.066</v>
      </c>
      <c r="H1057" t="n">
        <v>627.099</v>
      </c>
      <c r="I1057" t="n">
        <v>30</v>
      </c>
      <c r="J1057" t="inlineStr">
        <is>
          <t>BTBR</t>
        </is>
      </c>
      <c r="K1057" t="inlineStr">
        <is>
          <t xml:space="preserve"> Female</t>
        </is>
      </c>
      <c r="L1057" t="inlineStr">
        <is>
          <t>No focal subject</t>
        </is>
      </c>
      <c r="M1057" t="n">
        <v>67.129</v>
      </c>
      <c r="N1057" t="inlineStr">
        <is>
          <t>Explore_F</t>
        </is>
      </c>
      <c r="O1057" t="inlineStr">
        <is>
          <t>Familiar</t>
        </is>
      </c>
      <c r="P1057" t="inlineStr">
        <is>
          <t>STATE</t>
        </is>
      </c>
      <c r="Q1057" t="n">
        <v>146.566</v>
      </c>
      <c r="R1057" t="n">
        <v>150.599</v>
      </c>
      <c r="S1057" t="n">
        <v>4.033</v>
      </c>
      <c r="T1057" t="inlineStr">
        <is>
          <t>C:/Users/manuel.felline/Documents/BEHAVIOR BTBR/NOR second cohort/BTBR/training/c10_f3.mp4</t>
        </is>
      </c>
      <c r="U1057" t="n">
        <v>4812</v>
      </c>
      <c r="V1057" t="n">
        <v>4933</v>
      </c>
      <c r="W1057" t="n">
        <v/>
      </c>
      <c r="X1057" t="n">
        <v/>
      </c>
      <c r="Y1057" t="n">
        <v/>
      </c>
      <c r="Z1057" t="n">
        <v/>
      </c>
      <c r="AA1057">
        <f>SUMIFS($S$2:S1057,$A$2:A1057,A1057,$N$2:N1057,"Explore*")</f>
        <v/>
      </c>
      <c r="AB1057">
        <f>IF(AND(LEFT(N1057,7)="Explore",(AA1057-IF(LEFT(N1057,7)="Explore",S1057,0))&lt;10),"SI","NO")</f>
        <v/>
      </c>
    </row>
    <row r="1058">
      <c r="A1058" t="inlineStr">
        <is>
          <t>c10f3_training</t>
        </is>
      </c>
      <c r="B1058" t="inlineStr">
        <is>
          <t>2026-06-24 15:34:47.288</t>
        </is>
      </c>
      <c r="C1058" t="n">
        <v/>
      </c>
      <c r="D1058" t="inlineStr">
        <is>
          <t>Media file</t>
        </is>
      </c>
      <c r="E1058" t="inlineStr">
        <is>
          <t>player #1:C:/Users/manuel.felline/Documents/BEHAVIOR BTBR/NOR second cohort/BTBR/training/c10_f3.mp4</t>
        </is>
      </c>
      <c r="F1058" t="n">
        <v>-13.867</v>
      </c>
      <c r="G1058" t="n">
        <v>582.066</v>
      </c>
      <c r="H1058" t="n">
        <v>627.099</v>
      </c>
      <c r="I1058" t="n">
        <v>30</v>
      </c>
      <c r="J1058" t="inlineStr">
        <is>
          <t>BTBR</t>
        </is>
      </c>
      <c r="K1058" t="inlineStr">
        <is>
          <t xml:space="preserve"> Female</t>
        </is>
      </c>
      <c r="L1058" t="inlineStr">
        <is>
          <t>No focal subject</t>
        </is>
      </c>
      <c r="M1058" t="n">
        <v>67.129</v>
      </c>
      <c r="N1058" t="inlineStr">
        <is>
          <t>Explore_F</t>
        </is>
      </c>
      <c r="O1058" t="inlineStr">
        <is>
          <t>Familiar</t>
        </is>
      </c>
      <c r="P1058" t="inlineStr">
        <is>
          <t>STATE</t>
        </is>
      </c>
      <c r="Q1058" t="n">
        <v>160.399</v>
      </c>
      <c r="R1058" t="n">
        <v>162.599</v>
      </c>
      <c r="S1058" t="n">
        <v>2.2</v>
      </c>
      <c r="T1058" t="inlineStr">
        <is>
          <t>C:/Users/manuel.felline/Documents/BEHAVIOR BTBR/NOR second cohort/BTBR/training/c10_f3.mp4</t>
        </is>
      </c>
      <c r="U1058" t="n">
        <v>5227</v>
      </c>
      <c r="V1058" t="n">
        <v>5292</v>
      </c>
      <c r="W1058" t="n">
        <v/>
      </c>
      <c r="X1058" t="n">
        <v/>
      </c>
      <c r="Y1058" t="n">
        <v/>
      </c>
      <c r="Z1058" t="n">
        <v/>
      </c>
      <c r="AA1058">
        <f>SUMIFS($S$2:S1058,$A$2:A1058,A1058,$N$2:N1058,"Explore*")</f>
        <v/>
      </c>
      <c r="AB1058">
        <f>IF(AND(LEFT(N1058,7)="Explore",(AA1058-IF(LEFT(N1058,7)="Explore",S1058,0))&lt;10),"SI","NO")</f>
        <v/>
      </c>
    </row>
    <row r="1059">
      <c r="A1059" t="inlineStr">
        <is>
          <t>c10f3_training</t>
        </is>
      </c>
      <c r="B1059" t="inlineStr">
        <is>
          <t>2026-06-24 15:34:47.288</t>
        </is>
      </c>
      <c r="C1059" t="n">
        <v/>
      </c>
      <c r="D1059" t="inlineStr">
        <is>
          <t>Media file</t>
        </is>
      </c>
      <c r="E1059" t="inlineStr">
        <is>
          <t>player #1:C:/Users/manuel.felline/Documents/BEHAVIOR BTBR/NOR second cohort/BTBR/training/c10_f3.mp4</t>
        </is>
      </c>
      <c r="F1059" t="n">
        <v>-13.867</v>
      </c>
      <c r="G1059" t="n">
        <v>582.066</v>
      </c>
      <c r="H1059" t="n">
        <v>627.099</v>
      </c>
      <c r="I1059" t="n">
        <v>30</v>
      </c>
      <c r="J1059" t="inlineStr">
        <is>
          <t>BTBR</t>
        </is>
      </c>
      <c r="K1059" t="inlineStr">
        <is>
          <t xml:space="preserve"> Female</t>
        </is>
      </c>
      <c r="L1059" t="inlineStr">
        <is>
          <t>No focal subject</t>
        </is>
      </c>
      <c r="M1059" t="n">
        <v>67.129</v>
      </c>
      <c r="N1059" t="inlineStr">
        <is>
          <t>Explore_F2</t>
        </is>
      </c>
      <c r="O1059" t="inlineStr">
        <is>
          <t>Second familiar</t>
        </is>
      </c>
      <c r="P1059" t="inlineStr">
        <is>
          <t>STATE</t>
        </is>
      </c>
      <c r="Q1059" t="n">
        <v>164.233</v>
      </c>
      <c r="R1059" t="n">
        <v>167.133</v>
      </c>
      <c r="S1059" t="n">
        <v>2.9</v>
      </c>
      <c r="T1059" t="inlineStr">
        <is>
          <t>C:/Users/manuel.felline/Documents/BEHAVIOR BTBR/NOR second cohort/BTBR/training/c10_f3.mp4</t>
        </is>
      </c>
      <c r="U1059" t="n">
        <v>5341</v>
      </c>
      <c r="V1059" t="n">
        <v>5428</v>
      </c>
      <c r="W1059" t="n">
        <v/>
      </c>
      <c r="X1059" t="n">
        <v/>
      </c>
      <c r="Y1059" t="n">
        <v/>
      </c>
      <c r="Z1059" t="n">
        <v/>
      </c>
      <c r="AA1059">
        <f>SUMIFS($S$2:S1059,$A$2:A1059,A1059,$N$2:N1059,"Explore*")</f>
        <v/>
      </c>
      <c r="AB1059">
        <f>IF(AND(LEFT(N1059,7)="Explore",(AA1059-IF(LEFT(N1059,7)="Explore",S1059,0))&lt;10),"SI","NO")</f>
        <v/>
      </c>
    </row>
    <row r="1060">
      <c r="A1060" t="inlineStr">
        <is>
          <t>c10f3_training</t>
        </is>
      </c>
      <c r="B1060" t="inlineStr">
        <is>
          <t>2026-06-24 15:34:47.288</t>
        </is>
      </c>
      <c r="C1060" t="n">
        <v/>
      </c>
      <c r="D1060" t="inlineStr">
        <is>
          <t>Media file</t>
        </is>
      </c>
      <c r="E1060" t="inlineStr">
        <is>
          <t>player #1:C:/Users/manuel.felline/Documents/BEHAVIOR BTBR/NOR second cohort/BTBR/training/c10_f3.mp4</t>
        </is>
      </c>
      <c r="F1060" t="n">
        <v>-13.867</v>
      </c>
      <c r="G1060" t="n">
        <v>582.066</v>
      </c>
      <c r="H1060" t="n">
        <v>627.099</v>
      </c>
      <c r="I1060" t="n">
        <v>30</v>
      </c>
      <c r="J1060" t="inlineStr">
        <is>
          <t>BTBR</t>
        </is>
      </c>
      <c r="K1060" t="inlineStr">
        <is>
          <t xml:space="preserve"> Female</t>
        </is>
      </c>
      <c r="L1060" t="inlineStr">
        <is>
          <t>No focal subject</t>
        </is>
      </c>
      <c r="M1060" t="n">
        <v>67.129</v>
      </c>
      <c r="N1060" t="inlineStr">
        <is>
          <t>Explore_F</t>
        </is>
      </c>
      <c r="O1060" t="inlineStr">
        <is>
          <t>Familiar</t>
        </is>
      </c>
      <c r="P1060" t="inlineStr">
        <is>
          <t>STATE</t>
        </is>
      </c>
      <c r="Q1060" t="n">
        <v>168.266</v>
      </c>
      <c r="R1060" t="n">
        <v>170.233</v>
      </c>
      <c r="S1060" t="n">
        <v>1.967</v>
      </c>
      <c r="T1060" t="inlineStr">
        <is>
          <t>C:/Users/manuel.felline/Documents/BEHAVIOR BTBR/NOR second cohort/BTBR/training/c10_f3.mp4</t>
        </is>
      </c>
      <c r="U1060" t="n">
        <v>5462</v>
      </c>
      <c r="V1060" t="n">
        <v>5521</v>
      </c>
      <c r="W1060" t="n">
        <v/>
      </c>
      <c r="X1060" t="n">
        <v/>
      </c>
      <c r="Y1060" t="n">
        <v/>
      </c>
      <c r="Z1060" t="n">
        <v/>
      </c>
      <c r="AA1060">
        <f>SUMIFS($S$2:S1060,$A$2:A1060,A1060,$N$2:N1060,"Explore*")</f>
        <v/>
      </c>
      <c r="AB1060">
        <f>IF(AND(LEFT(N1060,7)="Explore",(AA1060-IF(LEFT(N1060,7)="Explore",S1060,0))&lt;10),"SI","NO")</f>
        <v/>
      </c>
    </row>
    <row r="1061">
      <c r="A1061" t="inlineStr">
        <is>
          <t>c10f3_training</t>
        </is>
      </c>
      <c r="B1061" t="inlineStr">
        <is>
          <t>2026-06-24 15:34:47.288</t>
        </is>
      </c>
      <c r="C1061" t="n">
        <v/>
      </c>
      <c r="D1061" t="inlineStr">
        <is>
          <t>Media file</t>
        </is>
      </c>
      <c r="E1061" t="inlineStr">
        <is>
          <t>player #1:C:/Users/manuel.felline/Documents/BEHAVIOR BTBR/NOR second cohort/BTBR/training/c10_f3.mp4</t>
        </is>
      </c>
      <c r="F1061" t="n">
        <v>-13.867</v>
      </c>
      <c r="G1061" t="n">
        <v>582.066</v>
      </c>
      <c r="H1061" t="n">
        <v>627.099</v>
      </c>
      <c r="I1061" t="n">
        <v>30</v>
      </c>
      <c r="J1061" t="inlineStr">
        <is>
          <t>BTBR</t>
        </is>
      </c>
      <c r="K1061" t="inlineStr">
        <is>
          <t xml:space="preserve"> Female</t>
        </is>
      </c>
      <c r="L1061" t="inlineStr">
        <is>
          <t>No focal subject</t>
        </is>
      </c>
      <c r="M1061" t="n">
        <v>67.129</v>
      </c>
      <c r="N1061" t="inlineStr">
        <is>
          <t>Explore_F</t>
        </is>
      </c>
      <c r="O1061" t="inlineStr">
        <is>
          <t>Familiar</t>
        </is>
      </c>
      <c r="P1061" t="inlineStr">
        <is>
          <t>STATE</t>
        </is>
      </c>
      <c r="Q1061" t="n">
        <v>182.199</v>
      </c>
      <c r="R1061" t="n">
        <v>182.599</v>
      </c>
      <c r="S1061" t="n">
        <v>0.4</v>
      </c>
      <c r="T1061" t="inlineStr">
        <is>
          <t>C:/Users/manuel.felline/Documents/BEHAVIOR BTBR/NOR second cohort/BTBR/training/c10_f3.mp4</t>
        </is>
      </c>
      <c r="U1061" t="n">
        <v>5880</v>
      </c>
      <c r="V1061" t="n">
        <v>5892</v>
      </c>
      <c r="W1061" t="n">
        <v/>
      </c>
      <c r="X1061" t="n">
        <v/>
      </c>
      <c r="Y1061" t="n">
        <v/>
      </c>
      <c r="Z1061" t="n">
        <v/>
      </c>
      <c r="AA1061">
        <f>SUMIFS($S$2:S1061,$A$2:A1061,A1061,$N$2:N1061,"Explore*")</f>
        <v/>
      </c>
      <c r="AB1061">
        <f>IF(AND(LEFT(N1061,7)="Explore",(AA1061-IF(LEFT(N1061,7)="Explore",S1061,0))&lt;10),"SI","NO")</f>
        <v/>
      </c>
    </row>
    <row r="1062">
      <c r="A1062" t="inlineStr">
        <is>
          <t>c10f3_training</t>
        </is>
      </c>
      <c r="B1062" t="inlineStr">
        <is>
          <t>2026-06-24 15:34:47.288</t>
        </is>
      </c>
      <c r="C1062" t="n">
        <v/>
      </c>
      <c r="D1062" t="inlineStr">
        <is>
          <t>Media file</t>
        </is>
      </c>
      <c r="E1062" t="inlineStr">
        <is>
          <t>player #1:C:/Users/manuel.felline/Documents/BEHAVIOR BTBR/NOR second cohort/BTBR/training/c10_f3.mp4</t>
        </is>
      </c>
      <c r="F1062" t="n">
        <v>-13.867</v>
      </c>
      <c r="G1062" t="n">
        <v>582.066</v>
      </c>
      <c r="H1062" t="n">
        <v>627.099</v>
      </c>
      <c r="I1062" t="n">
        <v>30</v>
      </c>
      <c r="J1062" t="inlineStr">
        <is>
          <t>BTBR</t>
        </is>
      </c>
      <c r="K1062" t="inlineStr">
        <is>
          <t xml:space="preserve"> Female</t>
        </is>
      </c>
      <c r="L1062" t="inlineStr">
        <is>
          <t>No focal subject</t>
        </is>
      </c>
      <c r="M1062" t="n">
        <v>67.129</v>
      </c>
      <c r="N1062" t="inlineStr">
        <is>
          <t>Explore_F</t>
        </is>
      </c>
      <c r="O1062" t="inlineStr">
        <is>
          <t>Familiar</t>
        </is>
      </c>
      <c r="P1062" t="inlineStr">
        <is>
          <t>STATE</t>
        </is>
      </c>
      <c r="Q1062" t="n">
        <v>184.133</v>
      </c>
      <c r="R1062" t="n">
        <v>185.699</v>
      </c>
      <c r="S1062" t="n">
        <v>1.566</v>
      </c>
      <c r="T1062" t="inlineStr">
        <is>
          <t>C:/Users/manuel.felline/Documents/BEHAVIOR BTBR/NOR second cohort/BTBR/training/c10_f3.mp4</t>
        </is>
      </c>
      <c r="U1062" t="n">
        <v>5938</v>
      </c>
      <c r="V1062" t="n">
        <v>5985</v>
      </c>
      <c r="W1062" t="n">
        <v/>
      </c>
      <c r="X1062" t="n">
        <v/>
      </c>
      <c r="Y1062" t="n">
        <v/>
      </c>
      <c r="Z1062" t="n">
        <v/>
      </c>
      <c r="AA1062">
        <f>SUMIFS($S$2:S1062,$A$2:A1062,A1062,$N$2:N1062,"Explore*")</f>
        <v/>
      </c>
      <c r="AB1062">
        <f>IF(AND(LEFT(N1062,7)="Explore",(AA1062-IF(LEFT(N1062,7)="Explore",S1062,0))&lt;10),"SI","NO")</f>
        <v/>
      </c>
    </row>
    <row r="1063">
      <c r="A1063" t="inlineStr">
        <is>
          <t>c10f3_training</t>
        </is>
      </c>
      <c r="B1063" t="inlineStr">
        <is>
          <t>2026-06-24 15:34:47.288</t>
        </is>
      </c>
      <c r="C1063" t="n">
        <v/>
      </c>
      <c r="D1063" t="inlineStr">
        <is>
          <t>Media file</t>
        </is>
      </c>
      <c r="E1063" t="inlineStr">
        <is>
          <t>player #1:C:/Users/manuel.felline/Documents/BEHAVIOR BTBR/NOR second cohort/BTBR/training/c10_f3.mp4</t>
        </is>
      </c>
      <c r="F1063" t="n">
        <v>-13.867</v>
      </c>
      <c r="G1063" t="n">
        <v>582.066</v>
      </c>
      <c r="H1063" t="n">
        <v>627.099</v>
      </c>
      <c r="I1063" t="n">
        <v>30</v>
      </c>
      <c r="J1063" t="inlineStr">
        <is>
          <t>BTBR</t>
        </is>
      </c>
      <c r="K1063" t="inlineStr">
        <is>
          <t xml:space="preserve"> Female</t>
        </is>
      </c>
      <c r="L1063" t="inlineStr">
        <is>
          <t>No focal subject</t>
        </is>
      </c>
      <c r="M1063" t="n">
        <v>67.129</v>
      </c>
      <c r="N1063" t="inlineStr">
        <is>
          <t>Explore_F2</t>
        </is>
      </c>
      <c r="O1063" t="inlineStr">
        <is>
          <t>Second familiar</t>
        </is>
      </c>
      <c r="P1063" t="inlineStr">
        <is>
          <t>STATE</t>
        </is>
      </c>
      <c r="Q1063" t="n">
        <v>193.899</v>
      </c>
      <c r="R1063" t="n">
        <v>194.699</v>
      </c>
      <c r="S1063" t="n">
        <v>0.8</v>
      </c>
      <c r="T1063" t="inlineStr">
        <is>
          <t>C:/Users/manuel.felline/Documents/BEHAVIOR BTBR/NOR second cohort/BTBR/training/c10_f3.mp4</t>
        </is>
      </c>
      <c r="U1063" t="n">
        <v>6231</v>
      </c>
      <c r="V1063" t="n">
        <v>6255</v>
      </c>
      <c r="W1063" t="n">
        <v/>
      </c>
      <c r="X1063" t="n">
        <v/>
      </c>
      <c r="Y1063" t="n">
        <v/>
      </c>
      <c r="Z1063" t="n">
        <v/>
      </c>
      <c r="AA1063">
        <f>SUMIFS($S$2:S1063,$A$2:A1063,A1063,$N$2:N1063,"Explore*")</f>
        <v/>
      </c>
      <c r="AB1063">
        <f>IF(AND(LEFT(N1063,7)="Explore",(AA1063-IF(LEFT(N1063,7)="Explore",S1063,0))&lt;10),"SI","NO")</f>
        <v/>
      </c>
    </row>
    <row r="1064">
      <c r="A1064" t="inlineStr">
        <is>
          <t>c10f3_training</t>
        </is>
      </c>
      <c r="B1064" t="inlineStr">
        <is>
          <t>2026-06-24 15:34:47.288</t>
        </is>
      </c>
      <c r="C1064" t="n">
        <v/>
      </c>
      <c r="D1064" t="inlineStr">
        <is>
          <t>Media file</t>
        </is>
      </c>
      <c r="E1064" t="inlineStr">
        <is>
          <t>player #1:C:/Users/manuel.felline/Documents/BEHAVIOR BTBR/NOR second cohort/BTBR/training/c10_f3.mp4</t>
        </is>
      </c>
      <c r="F1064" t="n">
        <v>-13.867</v>
      </c>
      <c r="G1064" t="n">
        <v>582.066</v>
      </c>
      <c r="H1064" t="n">
        <v>627.099</v>
      </c>
      <c r="I1064" t="n">
        <v>30</v>
      </c>
      <c r="J1064" t="inlineStr">
        <is>
          <t>BTBR</t>
        </is>
      </c>
      <c r="K1064" t="inlineStr">
        <is>
          <t xml:space="preserve"> Female</t>
        </is>
      </c>
      <c r="L1064" t="inlineStr">
        <is>
          <t>No focal subject</t>
        </is>
      </c>
      <c r="M1064" t="n">
        <v>67.129</v>
      </c>
      <c r="N1064" t="inlineStr">
        <is>
          <t>Explore_F2</t>
        </is>
      </c>
      <c r="O1064" t="inlineStr">
        <is>
          <t>Second familiar</t>
        </is>
      </c>
      <c r="P1064" t="inlineStr">
        <is>
          <t>STATE</t>
        </is>
      </c>
      <c r="Q1064" t="n">
        <v>197.133</v>
      </c>
      <c r="R1064" t="n">
        <v>198.099</v>
      </c>
      <c r="S1064" t="n">
        <v>0.966</v>
      </c>
      <c r="T1064" t="inlineStr">
        <is>
          <t>C:/Users/manuel.felline/Documents/BEHAVIOR BTBR/NOR second cohort/BTBR/training/c10_f3.mp4</t>
        </is>
      </c>
      <c r="U1064" t="n">
        <v>6328</v>
      </c>
      <c r="V1064" t="n">
        <v>6357</v>
      </c>
      <c r="W1064" t="n">
        <v/>
      </c>
      <c r="X1064" t="n">
        <v/>
      </c>
      <c r="Y1064" t="n">
        <v/>
      </c>
      <c r="Z1064" t="n">
        <v/>
      </c>
      <c r="AA1064">
        <f>SUMIFS($S$2:S1064,$A$2:A1064,A1064,$N$2:N1064,"Explore*")</f>
        <v/>
      </c>
      <c r="AB1064">
        <f>IF(AND(LEFT(N1064,7)="Explore",(AA1064-IF(LEFT(N1064,7)="Explore",S1064,0))&lt;10),"SI","NO")</f>
        <v/>
      </c>
    </row>
    <row r="1065">
      <c r="A1065" t="inlineStr">
        <is>
          <t>c10f3_training</t>
        </is>
      </c>
      <c r="B1065" t="inlineStr">
        <is>
          <t>2026-06-24 15:34:47.288</t>
        </is>
      </c>
      <c r="C1065" t="n">
        <v/>
      </c>
      <c r="D1065" t="inlineStr">
        <is>
          <t>Media file</t>
        </is>
      </c>
      <c r="E1065" t="inlineStr">
        <is>
          <t>player #1:C:/Users/manuel.felline/Documents/BEHAVIOR BTBR/NOR second cohort/BTBR/training/c10_f3.mp4</t>
        </is>
      </c>
      <c r="F1065" t="n">
        <v>-13.867</v>
      </c>
      <c r="G1065" t="n">
        <v>582.066</v>
      </c>
      <c r="H1065" t="n">
        <v>627.099</v>
      </c>
      <c r="I1065" t="n">
        <v>30</v>
      </c>
      <c r="J1065" t="inlineStr">
        <is>
          <t>BTBR</t>
        </is>
      </c>
      <c r="K1065" t="inlineStr">
        <is>
          <t xml:space="preserve"> Female</t>
        </is>
      </c>
      <c r="L1065" t="inlineStr">
        <is>
          <t>No focal subject</t>
        </is>
      </c>
      <c r="M1065" t="n">
        <v>67.129</v>
      </c>
      <c r="N1065" t="inlineStr">
        <is>
          <t>Explore_F2</t>
        </is>
      </c>
      <c r="O1065" t="inlineStr">
        <is>
          <t>Second familiar</t>
        </is>
      </c>
      <c r="P1065" t="inlineStr">
        <is>
          <t>STATE</t>
        </is>
      </c>
      <c r="Q1065" t="n">
        <v>200.699</v>
      </c>
      <c r="R1065" t="n">
        <v>201.633</v>
      </c>
      <c r="S1065" t="n">
        <v>0.9340000000000001</v>
      </c>
      <c r="T1065" t="inlineStr">
        <is>
          <t>C:/Users/manuel.felline/Documents/BEHAVIOR BTBR/NOR second cohort/BTBR/training/c10_f3.mp4</t>
        </is>
      </c>
      <c r="U1065" t="n">
        <v>6435</v>
      </c>
      <c r="V1065" t="n">
        <v>6463</v>
      </c>
      <c r="W1065" t="n">
        <v/>
      </c>
      <c r="X1065" t="n">
        <v/>
      </c>
      <c r="Y1065" t="n">
        <v/>
      </c>
      <c r="Z1065" t="n">
        <v/>
      </c>
      <c r="AA1065">
        <f>SUMIFS($S$2:S1065,$A$2:A1065,A1065,$N$2:N1065,"Explore*")</f>
        <v/>
      </c>
      <c r="AB1065">
        <f>IF(AND(LEFT(N1065,7)="Explore",(AA1065-IF(LEFT(N1065,7)="Explore",S1065,0))&lt;10),"SI","NO")</f>
        <v/>
      </c>
    </row>
    <row r="1066">
      <c r="A1066" t="inlineStr">
        <is>
          <t>c10f3_training</t>
        </is>
      </c>
      <c r="B1066" t="inlineStr">
        <is>
          <t>2026-06-24 15:34:47.288</t>
        </is>
      </c>
      <c r="C1066" t="n">
        <v/>
      </c>
      <c r="D1066" t="inlineStr">
        <is>
          <t>Media file</t>
        </is>
      </c>
      <c r="E1066" t="inlineStr">
        <is>
          <t>player #1:C:/Users/manuel.felline/Documents/BEHAVIOR BTBR/NOR second cohort/BTBR/training/c10_f3.mp4</t>
        </is>
      </c>
      <c r="F1066" t="n">
        <v>-13.867</v>
      </c>
      <c r="G1066" t="n">
        <v>582.066</v>
      </c>
      <c r="H1066" t="n">
        <v>627.099</v>
      </c>
      <c r="I1066" t="n">
        <v>30</v>
      </c>
      <c r="J1066" t="inlineStr">
        <is>
          <t>BTBR</t>
        </is>
      </c>
      <c r="K1066" t="inlineStr">
        <is>
          <t xml:space="preserve"> Female</t>
        </is>
      </c>
      <c r="L1066" t="inlineStr">
        <is>
          <t>No focal subject</t>
        </is>
      </c>
      <c r="M1066" t="n">
        <v>67.129</v>
      </c>
      <c r="N1066" t="inlineStr">
        <is>
          <t>Explore_F2</t>
        </is>
      </c>
      <c r="O1066" t="inlineStr">
        <is>
          <t>Second familiar</t>
        </is>
      </c>
      <c r="P1066" t="inlineStr">
        <is>
          <t>STATE</t>
        </is>
      </c>
      <c r="Q1066" t="n">
        <v>213.866</v>
      </c>
      <c r="R1066" t="n">
        <v>214.266</v>
      </c>
      <c r="S1066" t="n">
        <v>0.4</v>
      </c>
      <c r="T1066" t="inlineStr">
        <is>
          <t>C:/Users/manuel.felline/Documents/BEHAVIOR BTBR/NOR second cohort/BTBR/training/c10_f3.mp4</t>
        </is>
      </c>
      <c r="U1066" t="n">
        <v>6830</v>
      </c>
      <c r="V1066" t="n">
        <v>6842</v>
      </c>
      <c r="W1066" t="n">
        <v/>
      </c>
      <c r="X1066" t="n">
        <v/>
      </c>
      <c r="Y1066" t="n">
        <v/>
      </c>
      <c r="Z1066" t="n">
        <v/>
      </c>
      <c r="AA1066">
        <f>SUMIFS($S$2:S1066,$A$2:A1066,A1066,$N$2:N1066,"Explore*")</f>
        <v/>
      </c>
      <c r="AB1066">
        <f>IF(AND(LEFT(N1066,7)="Explore",(AA1066-IF(LEFT(N1066,7)="Explore",S1066,0))&lt;10),"SI","NO")</f>
        <v/>
      </c>
    </row>
    <row r="1067">
      <c r="A1067" t="inlineStr">
        <is>
          <t>c10f3_training</t>
        </is>
      </c>
      <c r="B1067" t="inlineStr">
        <is>
          <t>2026-06-24 15:34:47.288</t>
        </is>
      </c>
      <c r="C1067" t="n">
        <v/>
      </c>
      <c r="D1067" t="inlineStr">
        <is>
          <t>Media file</t>
        </is>
      </c>
      <c r="E1067" t="inlineStr">
        <is>
          <t>player #1:C:/Users/manuel.felline/Documents/BEHAVIOR BTBR/NOR second cohort/BTBR/training/c10_f3.mp4</t>
        </is>
      </c>
      <c r="F1067" t="n">
        <v>-13.867</v>
      </c>
      <c r="G1067" t="n">
        <v>582.066</v>
      </c>
      <c r="H1067" t="n">
        <v>627.099</v>
      </c>
      <c r="I1067" t="n">
        <v>30</v>
      </c>
      <c r="J1067" t="inlineStr">
        <is>
          <t>BTBR</t>
        </is>
      </c>
      <c r="K1067" t="inlineStr">
        <is>
          <t xml:space="preserve"> Female</t>
        </is>
      </c>
      <c r="L1067" t="inlineStr">
        <is>
          <t>No focal subject</t>
        </is>
      </c>
      <c r="M1067" t="n">
        <v>67.129</v>
      </c>
      <c r="N1067" t="inlineStr">
        <is>
          <t>Explore_F</t>
        </is>
      </c>
      <c r="O1067" t="inlineStr">
        <is>
          <t>Familiar</t>
        </is>
      </c>
      <c r="P1067" t="inlineStr">
        <is>
          <t>STATE</t>
        </is>
      </c>
      <c r="Q1067" t="n">
        <v>232.199</v>
      </c>
      <c r="R1067" t="n">
        <v>233.266</v>
      </c>
      <c r="S1067" t="n">
        <v>1.067</v>
      </c>
      <c r="T1067" t="inlineStr">
        <is>
          <t>C:/Users/manuel.felline/Documents/BEHAVIOR BTBR/NOR second cohort/BTBR/training/c10_f3.mp4</t>
        </is>
      </c>
      <c r="U1067" t="n">
        <v>7380</v>
      </c>
      <c r="V1067" t="n">
        <v>7412</v>
      </c>
      <c r="W1067" t="n">
        <v/>
      </c>
      <c r="X1067" t="n">
        <v/>
      </c>
      <c r="Y1067" t="n">
        <v/>
      </c>
      <c r="Z1067" t="n">
        <v/>
      </c>
      <c r="AA1067">
        <f>SUMIFS($S$2:S1067,$A$2:A1067,A1067,$N$2:N1067,"Explore*")</f>
        <v/>
      </c>
      <c r="AB1067">
        <f>IF(AND(LEFT(N1067,7)="Explore",(AA1067-IF(LEFT(N1067,7)="Explore",S1067,0))&lt;10),"SI","NO")</f>
        <v/>
      </c>
    </row>
    <row r="1068">
      <c r="A1068" t="inlineStr">
        <is>
          <t>c10f3_training</t>
        </is>
      </c>
      <c r="B1068" t="inlineStr">
        <is>
          <t>2026-06-24 15:34:47.288</t>
        </is>
      </c>
      <c r="C1068" t="n">
        <v/>
      </c>
      <c r="D1068" t="inlineStr">
        <is>
          <t>Media file</t>
        </is>
      </c>
      <c r="E1068" t="inlineStr">
        <is>
          <t>player #1:C:/Users/manuel.felline/Documents/BEHAVIOR BTBR/NOR second cohort/BTBR/training/c10_f3.mp4</t>
        </is>
      </c>
      <c r="F1068" t="n">
        <v>-13.867</v>
      </c>
      <c r="G1068" t="n">
        <v>582.066</v>
      </c>
      <c r="H1068" t="n">
        <v>627.099</v>
      </c>
      <c r="I1068" t="n">
        <v>30</v>
      </c>
      <c r="J1068" t="inlineStr">
        <is>
          <t>BTBR</t>
        </is>
      </c>
      <c r="K1068" t="inlineStr">
        <is>
          <t xml:space="preserve"> Female</t>
        </is>
      </c>
      <c r="L1068" t="inlineStr">
        <is>
          <t>No focal subject</t>
        </is>
      </c>
      <c r="M1068" t="n">
        <v>67.129</v>
      </c>
      <c r="N1068" t="inlineStr">
        <is>
          <t>Explore_F</t>
        </is>
      </c>
      <c r="O1068" t="inlineStr">
        <is>
          <t>Familiar</t>
        </is>
      </c>
      <c r="P1068" t="inlineStr">
        <is>
          <t>STATE</t>
        </is>
      </c>
      <c r="Q1068" t="n">
        <v>244.699</v>
      </c>
      <c r="R1068" t="n">
        <v>246.499</v>
      </c>
      <c r="S1068" t="n">
        <v>1.8</v>
      </c>
      <c r="T1068" t="inlineStr">
        <is>
          <t>C:/Users/manuel.felline/Documents/BEHAVIOR BTBR/NOR second cohort/BTBR/training/c10_f3.mp4</t>
        </is>
      </c>
      <c r="U1068" t="n">
        <v>7755</v>
      </c>
      <c r="V1068" t="n">
        <v>7809</v>
      </c>
      <c r="W1068" t="n">
        <v/>
      </c>
      <c r="X1068" t="n">
        <v/>
      </c>
      <c r="Y1068" t="n">
        <v/>
      </c>
      <c r="Z1068" t="n">
        <v/>
      </c>
      <c r="AA1068">
        <f>SUMIFS($S$2:S1068,$A$2:A1068,A1068,$N$2:N1068,"Explore*")</f>
        <v/>
      </c>
      <c r="AB1068">
        <f>IF(AND(LEFT(N1068,7)="Explore",(AA1068-IF(LEFT(N1068,7)="Explore",S1068,0))&lt;10),"SI","NO")</f>
        <v/>
      </c>
    </row>
    <row r="1069">
      <c r="A1069" t="inlineStr">
        <is>
          <t>c10f3_training</t>
        </is>
      </c>
      <c r="B1069" t="inlineStr">
        <is>
          <t>2026-06-24 15:34:47.288</t>
        </is>
      </c>
      <c r="C1069" t="n">
        <v/>
      </c>
      <c r="D1069" t="inlineStr">
        <is>
          <t>Media file</t>
        </is>
      </c>
      <c r="E1069" t="inlineStr">
        <is>
          <t>player #1:C:/Users/manuel.felline/Documents/BEHAVIOR BTBR/NOR second cohort/BTBR/training/c10_f3.mp4</t>
        </is>
      </c>
      <c r="F1069" t="n">
        <v>-13.867</v>
      </c>
      <c r="G1069" t="n">
        <v>582.066</v>
      </c>
      <c r="H1069" t="n">
        <v>627.099</v>
      </c>
      <c r="I1069" t="n">
        <v>30</v>
      </c>
      <c r="J1069" t="inlineStr">
        <is>
          <t>BTBR</t>
        </is>
      </c>
      <c r="K1069" t="inlineStr">
        <is>
          <t xml:space="preserve"> Female</t>
        </is>
      </c>
      <c r="L1069" t="inlineStr">
        <is>
          <t>No focal subject</t>
        </is>
      </c>
      <c r="M1069" t="n">
        <v>67.129</v>
      </c>
      <c r="N1069" t="inlineStr">
        <is>
          <t>Explore_F2</t>
        </is>
      </c>
      <c r="O1069" t="inlineStr">
        <is>
          <t>Second familiar</t>
        </is>
      </c>
      <c r="P1069" t="inlineStr">
        <is>
          <t>STATE</t>
        </is>
      </c>
      <c r="Q1069" t="n">
        <v>272.333</v>
      </c>
      <c r="R1069" t="n">
        <v>273.033</v>
      </c>
      <c r="S1069" t="n">
        <v>0.7</v>
      </c>
      <c r="T1069" t="inlineStr">
        <is>
          <t>C:/Users/manuel.felline/Documents/BEHAVIOR BTBR/NOR second cohort/BTBR/training/c10_f3.mp4</t>
        </is>
      </c>
      <c r="U1069" t="n">
        <v>8584</v>
      </c>
      <c r="V1069" t="n">
        <v>8605</v>
      </c>
      <c r="W1069" t="n">
        <v/>
      </c>
      <c r="X1069" t="n">
        <v/>
      </c>
      <c r="Y1069" t="n">
        <v/>
      </c>
      <c r="Z1069" t="n">
        <v/>
      </c>
      <c r="AA1069">
        <f>SUMIFS($S$2:S1069,$A$2:A1069,A1069,$N$2:N1069,"Explore*")</f>
        <v/>
      </c>
      <c r="AB1069">
        <f>IF(AND(LEFT(N1069,7)="Explore",(AA1069-IF(LEFT(N1069,7)="Explore",S1069,0))&lt;10),"SI","NO")</f>
        <v/>
      </c>
    </row>
    <row r="1070">
      <c r="A1070" t="inlineStr">
        <is>
          <t>c10f3_training</t>
        </is>
      </c>
      <c r="B1070" t="inlineStr">
        <is>
          <t>2026-06-24 15:34:47.288</t>
        </is>
      </c>
      <c r="C1070" t="n">
        <v/>
      </c>
      <c r="D1070" t="inlineStr">
        <is>
          <t>Media file</t>
        </is>
      </c>
      <c r="E1070" t="inlineStr">
        <is>
          <t>player #1:C:/Users/manuel.felline/Documents/BEHAVIOR BTBR/NOR second cohort/BTBR/training/c10_f3.mp4</t>
        </is>
      </c>
      <c r="F1070" t="n">
        <v>-13.867</v>
      </c>
      <c r="G1070" t="n">
        <v>582.066</v>
      </c>
      <c r="H1070" t="n">
        <v>627.099</v>
      </c>
      <c r="I1070" t="n">
        <v>30</v>
      </c>
      <c r="J1070" t="inlineStr">
        <is>
          <t>BTBR</t>
        </is>
      </c>
      <c r="K1070" t="inlineStr">
        <is>
          <t xml:space="preserve"> Female</t>
        </is>
      </c>
      <c r="L1070" t="inlineStr">
        <is>
          <t>No focal subject</t>
        </is>
      </c>
      <c r="M1070" t="n">
        <v>67.129</v>
      </c>
      <c r="N1070" t="inlineStr">
        <is>
          <t>Explore_F2</t>
        </is>
      </c>
      <c r="O1070" t="inlineStr">
        <is>
          <t>Second familiar</t>
        </is>
      </c>
      <c r="P1070" t="inlineStr">
        <is>
          <t>STATE</t>
        </is>
      </c>
      <c r="Q1070" t="n">
        <v>277.666</v>
      </c>
      <c r="R1070" t="n">
        <v>278.499</v>
      </c>
      <c r="S1070" t="n">
        <v>0.833</v>
      </c>
      <c r="T1070" t="inlineStr">
        <is>
          <t>C:/Users/manuel.felline/Documents/BEHAVIOR BTBR/NOR second cohort/BTBR/training/c10_f3.mp4</t>
        </is>
      </c>
      <c r="U1070" t="n">
        <v>8744</v>
      </c>
      <c r="V1070" t="n">
        <v>8768</v>
      </c>
      <c r="W1070" t="n">
        <v/>
      </c>
      <c r="X1070" t="n">
        <v/>
      </c>
      <c r="Y1070" t="n">
        <v/>
      </c>
      <c r="Z1070" t="n">
        <v/>
      </c>
      <c r="AA1070">
        <f>SUMIFS($S$2:S1070,$A$2:A1070,A1070,$N$2:N1070,"Explore*")</f>
        <v/>
      </c>
      <c r="AB1070">
        <f>IF(AND(LEFT(N1070,7)="Explore",(AA1070-IF(LEFT(N1070,7)="Explore",S1070,0))&lt;10),"SI","NO")</f>
        <v/>
      </c>
    </row>
    <row r="1071">
      <c r="A1071" t="inlineStr">
        <is>
          <t>c10f3_training</t>
        </is>
      </c>
      <c r="B1071" t="inlineStr">
        <is>
          <t>2026-06-24 15:34:47.288</t>
        </is>
      </c>
      <c r="C1071" t="n">
        <v/>
      </c>
      <c r="D1071" t="inlineStr">
        <is>
          <t>Media file</t>
        </is>
      </c>
      <c r="E1071" t="inlineStr">
        <is>
          <t>player #1:C:/Users/manuel.felline/Documents/BEHAVIOR BTBR/NOR second cohort/BTBR/training/c10_f3.mp4</t>
        </is>
      </c>
      <c r="F1071" t="n">
        <v>-13.867</v>
      </c>
      <c r="G1071" t="n">
        <v>582.066</v>
      </c>
      <c r="H1071" t="n">
        <v>627.099</v>
      </c>
      <c r="I1071" t="n">
        <v>30</v>
      </c>
      <c r="J1071" t="inlineStr">
        <is>
          <t>BTBR</t>
        </is>
      </c>
      <c r="K1071" t="inlineStr">
        <is>
          <t xml:space="preserve"> Female</t>
        </is>
      </c>
      <c r="L1071" t="inlineStr">
        <is>
          <t>No focal subject</t>
        </is>
      </c>
      <c r="M1071" t="n">
        <v>67.129</v>
      </c>
      <c r="N1071" t="inlineStr">
        <is>
          <t>Explore_F</t>
        </is>
      </c>
      <c r="O1071" t="inlineStr">
        <is>
          <t>Familiar</t>
        </is>
      </c>
      <c r="P1071" t="inlineStr">
        <is>
          <t>STATE</t>
        </is>
      </c>
      <c r="Q1071" t="n">
        <v>291.933</v>
      </c>
      <c r="R1071" t="n">
        <v>293.066</v>
      </c>
      <c r="S1071" t="n">
        <v>1.133</v>
      </c>
      <c r="T1071" t="inlineStr">
        <is>
          <t>C:/Users/manuel.felline/Documents/BEHAVIOR BTBR/NOR second cohort/BTBR/training/c10_f3.mp4</t>
        </is>
      </c>
      <c r="U1071" t="n">
        <v>9171</v>
      </c>
      <c r="V1071" t="n">
        <v>9205</v>
      </c>
      <c r="W1071" t="n">
        <v/>
      </c>
      <c r="X1071" t="n">
        <v/>
      </c>
      <c r="Y1071" t="n">
        <v/>
      </c>
      <c r="Z1071" t="n">
        <v/>
      </c>
      <c r="AA1071">
        <f>SUMIFS($S$2:S1071,$A$2:A1071,A1071,$N$2:N1071,"Explore*")</f>
        <v/>
      </c>
      <c r="AB1071">
        <f>IF(AND(LEFT(N1071,7)="Explore",(AA1071-IF(LEFT(N1071,7)="Explore",S1071,0))&lt;10),"SI","NO")</f>
        <v/>
      </c>
    </row>
    <row r="1072">
      <c r="A1072" t="inlineStr">
        <is>
          <t>c10f3_training</t>
        </is>
      </c>
      <c r="B1072" t="inlineStr">
        <is>
          <t>2026-06-24 15:34:47.288</t>
        </is>
      </c>
      <c r="C1072" t="n">
        <v/>
      </c>
      <c r="D1072" t="inlineStr">
        <is>
          <t>Media file</t>
        </is>
      </c>
      <c r="E1072" t="inlineStr">
        <is>
          <t>player #1:C:/Users/manuel.felline/Documents/BEHAVIOR BTBR/NOR second cohort/BTBR/training/c10_f3.mp4</t>
        </is>
      </c>
      <c r="F1072" t="n">
        <v>-13.867</v>
      </c>
      <c r="G1072" t="n">
        <v>582.066</v>
      </c>
      <c r="H1072" t="n">
        <v>627.099</v>
      </c>
      <c r="I1072" t="n">
        <v>30</v>
      </c>
      <c r="J1072" t="inlineStr">
        <is>
          <t>BTBR</t>
        </is>
      </c>
      <c r="K1072" t="inlineStr">
        <is>
          <t xml:space="preserve"> Female</t>
        </is>
      </c>
      <c r="L1072" t="inlineStr">
        <is>
          <t>No focal subject</t>
        </is>
      </c>
      <c r="M1072" t="n">
        <v>67.129</v>
      </c>
      <c r="N1072" t="inlineStr">
        <is>
          <t>Explore_F</t>
        </is>
      </c>
      <c r="O1072" t="inlineStr">
        <is>
          <t>Familiar</t>
        </is>
      </c>
      <c r="P1072" t="inlineStr">
        <is>
          <t>STATE</t>
        </is>
      </c>
      <c r="Q1072" t="n">
        <v>315.766</v>
      </c>
      <c r="R1072" t="n">
        <v>317.099</v>
      </c>
      <c r="S1072" t="n">
        <v>1.333</v>
      </c>
      <c r="T1072" t="inlineStr">
        <is>
          <t>C:/Users/manuel.felline/Documents/BEHAVIOR BTBR/NOR second cohort/BTBR/training/c10_f3.mp4</t>
        </is>
      </c>
      <c r="U1072" t="n">
        <v>9886</v>
      </c>
      <c r="V1072" t="n">
        <v>9926</v>
      </c>
      <c r="W1072" t="n">
        <v/>
      </c>
      <c r="X1072" t="n">
        <v/>
      </c>
      <c r="Y1072" t="n">
        <v/>
      </c>
      <c r="Z1072" t="n">
        <v/>
      </c>
      <c r="AA1072">
        <f>SUMIFS($S$2:S1072,$A$2:A1072,A1072,$N$2:N1072,"Explore*")</f>
        <v/>
      </c>
      <c r="AB1072">
        <f>IF(AND(LEFT(N1072,7)="Explore",(AA1072-IF(LEFT(N1072,7)="Explore",S1072,0))&lt;10),"SI","NO")</f>
        <v/>
      </c>
    </row>
    <row r="1073">
      <c r="A1073" t="inlineStr">
        <is>
          <t>c10f3_training</t>
        </is>
      </c>
      <c r="B1073" t="inlineStr">
        <is>
          <t>2026-06-24 15:34:47.288</t>
        </is>
      </c>
      <c r="C1073" t="n">
        <v/>
      </c>
      <c r="D1073" t="inlineStr">
        <is>
          <t>Media file</t>
        </is>
      </c>
      <c r="E1073" t="inlineStr">
        <is>
          <t>player #1:C:/Users/manuel.felline/Documents/BEHAVIOR BTBR/NOR second cohort/BTBR/training/c10_f3.mp4</t>
        </is>
      </c>
      <c r="F1073" t="n">
        <v>-13.867</v>
      </c>
      <c r="G1073" t="n">
        <v>582.066</v>
      </c>
      <c r="H1073" t="n">
        <v>627.099</v>
      </c>
      <c r="I1073" t="n">
        <v>30</v>
      </c>
      <c r="J1073" t="inlineStr">
        <is>
          <t>BTBR</t>
        </is>
      </c>
      <c r="K1073" t="inlineStr">
        <is>
          <t xml:space="preserve"> Female</t>
        </is>
      </c>
      <c r="L1073" t="inlineStr">
        <is>
          <t>No focal subject</t>
        </is>
      </c>
      <c r="M1073" t="n">
        <v>67.129</v>
      </c>
      <c r="N1073" t="inlineStr">
        <is>
          <t>Explore_F</t>
        </is>
      </c>
      <c r="O1073" t="inlineStr">
        <is>
          <t>Familiar</t>
        </is>
      </c>
      <c r="P1073" t="inlineStr">
        <is>
          <t>STATE</t>
        </is>
      </c>
      <c r="Q1073" t="n">
        <v>336.166</v>
      </c>
      <c r="R1073" t="n">
        <v>337.333</v>
      </c>
      <c r="S1073" t="n">
        <v>1.167</v>
      </c>
      <c r="T1073" t="inlineStr">
        <is>
          <t>C:/Users/manuel.felline/Documents/BEHAVIOR BTBR/NOR second cohort/BTBR/training/c10_f3.mp4</t>
        </is>
      </c>
      <c r="U1073" t="n">
        <v>10498</v>
      </c>
      <c r="V1073" t="n">
        <v>10533</v>
      </c>
      <c r="W1073" t="n">
        <v/>
      </c>
      <c r="X1073" t="n">
        <v/>
      </c>
      <c r="Y1073" t="n">
        <v/>
      </c>
      <c r="Z1073" t="n">
        <v/>
      </c>
      <c r="AA1073">
        <f>SUMIFS($S$2:S1073,$A$2:A1073,A1073,$N$2:N1073,"Explore*")</f>
        <v/>
      </c>
      <c r="AB1073">
        <f>IF(AND(LEFT(N1073,7)="Explore",(AA1073-IF(LEFT(N1073,7)="Explore",S1073,0))&lt;10),"SI","NO")</f>
        <v/>
      </c>
    </row>
    <row r="1074">
      <c r="A1074" t="inlineStr">
        <is>
          <t>c10f3_training</t>
        </is>
      </c>
      <c r="B1074" t="inlineStr">
        <is>
          <t>2026-06-24 15:34:47.288</t>
        </is>
      </c>
      <c r="C1074" t="n">
        <v/>
      </c>
      <c r="D1074" t="inlineStr">
        <is>
          <t>Media file</t>
        </is>
      </c>
      <c r="E1074" t="inlineStr">
        <is>
          <t>player #1:C:/Users/manuel.felline/Documents/BEHAVIOR BTBR/NOR second cohort/BTBR/training/c10_f3.mp4</t>
        </is>
      </c>
      <c r="F1074" t="n">
        <v>-13.867</v>
      </c>
      <c r="G1074" t="n">
        <v>582.066</v>
      </c>
      <c r="H1074" t="n">
        <v>627.099</v>
      </c>
      <c r="I1074" t="n">
        <v>30</v>
      </c>
      <c r="J1074" t="inlineStr">
        <is>
          <t>BTBR</t>
        </is>
      </c>
      <c r="K1074" t="inlineStr">
        <is>
          <t xml:space="preserve"> Female</t>
        </is>
      </c>
      <c r="L1074" t="inlineStr">
        <is>
          <t>No focal subject</t>
        </is>
      </c>
      <c r="M1074" t="n">
        <v>67.129</v>
      </c>
      <c r="N1074" t="inlineStr">
        <is>
          <t>Explore_F2</t>
        </is>
      </c>
      <c r="O1074" t="inlineStr">
        <is>
          <t>Second familiar</t>
        </is>
      </c>
      <c r="P1074" t="inlineStr">
        <is>
          <t>STATE</t>
        </is>
      </c>
      <c r="Q1074" t="n">
        <v>341.099</v>
      </c>
      <c r="R1074" t="n">
        <v>343.033</v>
      </c>
      <c r="S1074" t="n">
        <v>1.934</v>
      </c>
      <c r="T1074" t="inlineStr">
        <is>
          <t>C:/Users/manuel.felline/Documents/BEHAVIOR BTBR/NOR second cohort/BTBR/training/c10_f3.mp4</t>
        </is>
      </c>
      <c r="U1074" t="n">
        <v>10646</v>
      </c>
      <c r="V1074" t="n">
        <v>10704</v>
      </c>
      <c r="W1074" t="n">
        <v/>
      </c>
      <c r="X1074" t="n">
        <v/>
      </c>
      <c r="Y1074" t="n">
        <v/>
      </c>
      <c r="Z1074" t="n">
        <v/>
      </c>
      <c r="AA1074">
        <f>SUMIFS($S$2:S1074,$A$2:A1074,A1074,$N$2:N1074,"Explore*")</f>
        <v/>
      </c>
      <c r="AB1074">
        <f>IF(AND(LEFT(N1074,7)="Explore",(AA1074-IF(LEFT(N1074,7)="Explore",S1074,0))&lt;10),"SI","NO")</f>
        <v/>
      </c>
    </row>
    <row r="1075">
      <c r="A1075" t="inlineStr">
        <is>
          <t>c10f3_training</t>
        </is>
      </c>
      <c r="B1075" t="inlineStr">
        <is>
          <t>2026-06-24 15:34:47.288</t>
        </is>
      </c>
      <c r="C1075" t="n">
        <v/>
      </c>
      <c r="D1075" t="inlineStr">
        <is>
          <t>Media file</t>
        </is>
      </c>
      <c r="E1075" t="inlineStr">
        <is>
          <t>player #1:C:/Users/manuel.felline/Documents/BEHAVIOR BTBR/NOR second cohort/BTBR/training/c10_f3.mp4</t>
        </is>
      </c>
      <c r="F1075" t="n">
        <v>-13.867</v>
      </c>
      <c r="G1075" t="n">
        <v>582.066</v>
      </c>
      <c r="H1075" t="n">
        <v>627.099</v>
      </c>
      <c r="I1075" t="n">
        <v>30</v>
      </c>
      <c r="J1075" t="inlineStr">
        <is>
          <t>BTBR</t>
        </is>
      </c>
      <c r="K1075" t="inlineStr">
        <is>
          <t xml:space="preserve"> Female</t>
        </is>
      </c>
      <c r="L1075" t="inlineStr">
        <is>
          <t>No focal subject</t>
        </is>
      </c>
      <c r="M1075" t="n">
        <v>67.129</v>
      </c>
      <c r="N1075" t="inlineStr">
        <is>
          <t>Explore_F2</t>
        </is>
      </c>
      <c r="O1075" t="inlineStr">
        <is>
          <t>Second familiar</t>
        </is>
      </c>
      <c r="P1075" t="inlineStr">
        <is>
          <t>STATE</t>
        </is>
      </c>
      <c r="Q1075" t="n">
        <v>370.433</v>
      </c>
      <c r="R1075" t="n">
        <v>371.933</v>
      </c>
      <c r="S1075" t="n">
        <v>1.5</v>
      </c>
      <c r="T1075" t="inlineStr">
        <is>
          <t>C:/Users/manuel.felline/Documents/BEHAVIOR BTBR/NOR second cohort/BTBR/training/c10_f3.mp4</t>
        </is>
      </c>
      <c r="U1075" t="n">
        <v>11526</v>
      </c>
      <c r="V1075" t="n">
        <v>11571</v>
      </c>
      <c r="W1075" t="n">
        <v/>
      </c>
      <c r="X1075" t="n">
        <v/>
      </c>
      <c r="Y1075" t="n">
        <v/>
      </c>
      <c r="Z1075" t="n">
        <v/>
      </c>
      <c r="AA1075">
        <f>SUMIFS($S$2:S1075,$A$2:A1075,A1075,$N$2:N1075,"Explore*")</f>
        <v/>
      </c>
      <c r="AB1075">
        <f>IF(AND(LEFT(N1075,7)="Explore",(AA1075-IF(LEFT(N1075,7)="Explore",S1075,0))&lt;10),"SI","NO")</f>
        <v/>
      </c>
    </row>
    <row r="1076">
      <c r="A1076" t="inlineStr">
        <is>
          <t>c10f3_training</t>
        </is>
      </c>
      <c r="B1076" t="inlineStr">
        <is>
          <t>2026-06-24 15:34:47.288</t>
        </is>
      </c>
      <c r="C1076" t="n">
        <v/>
      </c>
      <c r="D1076" t="inlineStr">
        <is>
          <t>Media file</t>
        </is>
      </c>
      <c r="E1076" t="inlineStr">
        <is>
          <t>player #1:C:/Users/manuel.felline/Documents/BEHAVIOR BTBR/NOR second cohort/BTBR/training/c10_f3.mp4</t>
        </is>
      </c>
      <c r="F1076" t="n">
        <v>-13.867</v>
      </c>
      <c r="G1076" t="n">
        <v>582.066</v>
      </c>
      <c r="H1076" t="n">
        <v>627.099</v>
      </c>
      <c r="I1076" t="n">
        <v>30</v>
      </c>
      <c r="J1076" t="inlineStr">
        <is>
          <t>BTBR</t>
        </is>
      </c>
      <c r="K1076" t="inlineStr">
        <is>
          <t xml:space="preserve"> Female</t>
        </is>
      </c>
      <c r="L1076" t="inlineStr">
        <is>
          <t>No focal subject</t>
        </is>
      </c>
      <c r="M1076" t="n">
        <v>67.129</v>
      </c>
      <c r="N1076" t="inlineStr">
        <is>
          <t>Explore_F</t>
        </is>
      </c>
      <c r="O1076" t="inlineStr">
        <is>
          <t>Familiar</t>
        </is>
      </c>
      <c r="P1076" t="inlineStr">
        <is>
          <t>STATE</t>
        </is>
      </c>
      <c r="Q1076" t="n">
        <v>385.166</v>
      </c>
      <c r="R1076" t="n">
        <v>386.299</v>
      </c>
      <c r="S1076" t="n">
        <v>1.133</v>
      </c>
      <c r="T1076" t="inlineStr">
        <is>
          <t>C:/Users/manuel.felline/Documents/BEHAVIOR BTBR/NOR second cohort/BTBR/training/c10_f3.mp4</t>
        </is>
      </c>
      <c r="U1076" t="n">
        <v>11968</v>
      </c>
      <c r="V1076" t="n">
        <v>12002</v>
      </c>
      <c r="W1076" t="n">
        <v/>
      </c>
      <c r="X1076" t="n">
        <v/>
      </c>
      <c r="Y1076" t="n">
        <v/>
      </c>
      <c r="Z1076" t="n">
        <v/>
      </c>
      <c r="AA1076">
        <f>SUMIFS($S$2:S1076,$A$2:A1076,A1076,$N$2:N1076,"Explore*")</f>
        <v/>
      </c>
      <c r="AB1076">
        <f>IF(AND(LEFT(N1076,7)="Explore",(AA1076-IF(LEFT(N1076,7)="Explore",S1076,0))&lt;10),"SI","NO")</f>
        <v/>
      </c>
    </row>
    <row r="1077">
      <c r="A1077" t="inlineStr">
        <is>
          <t>c10f3_training</t>
        </is>
      </c>
      <c r="B1077" t="inlineStr">
        <is>
          <t>2026-06-24 15:34:47.288</t>
        </is>
      </c>
      <c r="C1077" t="n">
        <v/>
      </c>
      <c r="D1077" t="inlineStr">
        <is>
          <t>Media file</t>
        </is>
      </c>
      <c r="E1077" t="inlineStr">
        <is>
          <t>player #1:C:/Users/manuel.felline/Documents/BEHAVIOR BTBR/NOR second cohort/BTBR/training/c10_f3.mp4</t>
        </is>
      </c>
      <c r="F1077" t="n">
        <v>-13.867</v>
      </c>
      <c r="G1077" t="n">
        <v>582.066</v>
      </c>
      <c r="H1077" t="n">
        <v>627.099</v>
      </c>
      <c r="I1077" t="n">
        <v>30</v>
      </c>
      <c r="J1077" t="inlineStr">
        <is>
          <t>BTBR</t>
        </is>
      </c>
      <c r="K1077" t="inlineStr">
        <is>
          <t xml:space="preserve"> Female</t>
        </is>
      </c>
      <c r="L1077" t="inlineStr">
        <is>
          <t>No focal subject</t>
        </is>
      </c>
      <c r="M1077" t="n">
        <v>67.129</v>
      </c>
      <c r="N1077" t="inlineStr">
        <is>
          <t>Explore_F</t>
        </is>
      </c>
      <c r="O1077" t="inlineStr">
        <is>
          <t>Familiar</t>
        </is>
      </c>
      <c r="P1077" t="inlineStr">
        <is>
          <t>STATE</t>
        </is>
      </c>
      <c r="Q1077" t="n">
        <v>396.899</v>
      </c>
      <c r="R1077" t="n">
        <v>397.366</v>
      </c>
      <c r="S1077" t="n">
        <v>0.467</v>
      </c>
      <c r="T1077" t="inlineStr">
        <is>
          <t>C:/Users/manuel.felline/Documents/BEHAVIOR BTBR/NOR second cohort/BTBR/training/c10_f3.mp4</t>
        </is>
      </c>
      <c r="U1077" t="n">
        <v>12319</v>
      </c>
      <c r="V1077" t="n">
        <v>12333</v>
      </c>
      <c r="W1077" t="n">
        <v/>
      </c>
      <c r="X1077" t="n">
        <v/>
      </c>
      <c r="Y1077" t="n">
        <v/>
      </c>
      <c r="Z1077" t="n">
        <v/>
      </c>
      <c r="AA1077">
        <f>SUMIFS($S$2:S1077,$A$2:A1077,A1077,$N$2:N1077,"Explore*")</f>
        <v/>
      </c>
      <c r="AB1077">
        <f>IF(AND(LEFT(N1077,7)="Explore",(AA1077-IF(LEFT(N1077,7)="Explore",S1077,0))&lt;10),"SI","NO")</f>
        <v/>
      </c>
    </row>
    <row r="1078">
      <c r="A1078" t="inlineStr">
        <is>
          <t>c10f3_training</t>
        </is>
      </c>
      <c r="B1078" t="inlineStr">
        <is>
          <t>2026-06-24 15:34:47.288</t>
        </is>
      </c>
      <c r="C1078" t="n">
        <v/>
      </c>
      <c r="D1078" t="inlineStr">
        <is>
          <t>Media file</t>
        </is>
      </c>
      <c r="E1078" t="inlineStr">
        <is>
          <t>player #1:C:/Users/manuel.felline/Documents/BEHAVIOR BTBR/NOR second cohort/BTBR/training/c10_f3.mp4</t>
        </is>
      </c>
      <c r="F1078" t="n">
        <v>-13.867</v>
      </c>
      <c r="G1078" t="n">
        <v>582.066</v>
      </c>
      <c r="H1078" t="n">
        <v>627.099</v>
      </c>
      <c r="I1078" t="n">
        <v>30</v>
      </c>
      <c r="J1078" t="inlineStr">
        <is>
          <t>BTBR</t>
        </is>
      </c>
      <c r="K1078" t="inlineStr">
        <is>
          <t xml:space="preserve"> Female</t>
        </is>
      </c>
      <c r="L1078" t="inlineStr">
        <is>
          <t>No focal subject</t>
        </is>
      </c>
      <c r="M1078" t="n">
        <v>67.129</v>
      </c>
      <c r="N1078" t="inlineStr">
        <is>
          <t>Explore_F</t>
        </is>
      </c>
      <c r="O1078" t="inlineStr">
        <is>
          <t>Familiar</t>
        </is>
      </c>
      <c r="P1078" t="inlineStr">
        <is>
          <t>STATE</t>
        </is>
      </c>
      <c r="Q1078" t="n">
        <v>397.899</v>
      </c>
      <c r="R1078" t="n">
        <v>398.866</v>
      </c>
      <c r="S1078" t="n">
        <v>0.967</v>
      </c>
      <c r="T1078" t="inlineStr">
        <is>
          <t>C:/Users/manuel.felline/Documents/BEHAVIOR BTBR/NOR second cohort/BTBR/training/c10_f3.mp4</t>
        </is>
      </c>
      <c r="U1078" t="n">
        <v>12349</v>
      </c>
      <c r="V1078" t="n">
        <v>12378</v>
      </c>
      <c r="W1078" t="n">
        <v/>
      </c>
      <c r="X1078" t="n">
        <v/>
      </c>
      <c r="Y1078" t="n">
        <v/>
      </c>
      <c r="Z1078" t="n">
        <v/>
      </c>
      <c r="AA1078">
        <f>SUMIFS($S$2:S1078,$A$2:A1078,A1078,$N$2:N1078,"Explore*")</f>
        <v/>
      </c>
      <c r="AB1078">
        <f>IF(AND(LEFT(N1078,7)="Explore",(AA1078-IF(LEFT(N1078,7)="Explore",S1078,0))&lt;10),"SI","NO")</f>
        <v/>
      </c>
    </row>
    <row r="1079">
      <c r="A1079" t="inlineStr">
        <is>
          <t>c10f3_training</t>
        </is>
      </c>
      <c r="B1079" t="inlineStr">
        <is>
          <t>2026-06-24 15:34:47.288</t>
        </is>
      </c>
      <c r="C1079" t="n">
        <v/>
      </c>
      <c r="D1079" t="inlineStr">
        <is>
          <t>Media file</t>
        </is>
      </c>
      <c r="E1079" t="inlineStr">
        <is>
          <t>player #1:C:/Users/manuel.felline/Documents/BEHAVIOR BTBR/NOR second cohort/BTBR/training/c10_f3.mp4</t>
        </is>
      </c>
      <c r="F1079" t="n">
        <v>-13.867</v>
      </c>
      <c r="G1079" t="n">
        <v>582.066</v>
      </c>
      <c r="H1079" t="n">
        <v>627.099</v>
      </c>
      <c r="I1079" t="n">
        <v>30</v>
      </c>
      <c r="J1079" t="inlineStr">
        <is>
          <t>BTBR</t>
        </is>
      </c>
      <c r="K1079" t="inlineStr">
        <is>
          <t xml:space="preserve"> Female</t>
        </is>
      </c>
      <c r="L1079" t="inlineStr">
        <is>
          <t>No focal subject</t>
        </is>
      </c>
      <c r="M1079" t="n">
        <v>67.129</v>
      </c>
      <c r="N1079" t="inlineStr">
        <is>
          <t>Explore_F2</t>
        </is>
      </c>
      <c r="O1079" t="inlineStr">
        <is>
          <t>Second familiar</t>
        </is>
      </c>
      <c r="P1079" t="inlineStr">
        <is>
          <t>STATE</t>
        </is>
      </c>
      <c r="Q1079" t="n">
        <v>407.633</v>
      </c>
      <c r="R1079" t="n">
        <v>407.899</v>
      </c>
      <c r="S1079" t="n">
        <v>0.266</v>
      </c>
      <c r="T1079" t="inlineStr">
        <is>
          <t>C:/Users/manuel.felline/Documents/BEHAVIOR BTBR/NOR second cohort/BTBR/training/c10_f3.mp4</t>
        </is>
      </c>
      <c r="U1079" t="n">
        <v>12641</v>
      </c>
      <c r="V1079" t="n">
        <v>12649</v>
      </c>
      <c r="W1079" t="n">
        <v/>
      </c>
      <c r="X1079" t="n">
        <v/>
      </c>
      <c r="Y1079" t="n">
        <v/>
      </c>
      <c r="Z1079" t="n">
        <v/>
      </c>
      <c r="AA1079">
        <f>SUMIFS($S$2:S1079,$A$2:A1079,A1079,$N$2:N1079,"Explore*")</f>
        <v/>
      </c>
      <c r="AB1079">
        <f>IF(AND(LEFT(N1079,7)="Explore",(AA1079-IF(LEFT(N1079,7)="Explore",S1079,0))&lt;10),"SI","NO")</f>
        <v/>
      </c>
    </row>
    <row r="1080">
      <c r="A1080" t="inlineStr">
        <is>
          <t>c10f3_training</t>
        </is>
      </c>
      <c r="B1080" t="inlineStr">
        <is>
          <t>2026-06-24 15:34:47.288</t>
        </is>
      </c>
      <c r="C1080" t="n">
        <v/>
      </c>
      <c r="D1080" t="inlineStr">
        <is>
          <t>Media file</t>
        </is>
      </c>
      <c r="E1080" t="inlineStr">
        <is>
          <t>player #1:C:/Users/manuel.felline/Documents/BEHAVIOR BTBR/NOR second cohort/BTBR/training/c10_f3.mp4</t>
        </is>
      </c>
      <c r="F1080" t="n">
        <v>-13.867</v>
      </c>
      <c r="G1080" t="n">
        <v>582.066</v>
      </c>
      <c r="H1080" t="n">
        <v>627.099</v>
      </c>
      <c r="I1080" t="n">
        <v>30</v>
      </c>
      <c r="J1080" t="inlineStr">
        <is>
          <t>BTBR</t>
        </is>
      </c>
      <c r="K1080" t="inlineStr">
        <is>
          <t xml:space="preserve"> Female</t>
        </is>
      </c>
      <c r="L1080" t="inlineStr">
        <is>
          <t>No focal subject</t>
        </is>
      </c>
      <c r="M1080" t="n">
        <v>67.129</v>
      </c>
      <c r="N1080" t="inlineStr">
        <is>
          <t>Explore_F</t>
        </is>
      </c>
      <c r="O1080" t="inlineStr">
        <is>
          <t>Familiar</t>
        </is>
      </c>
      <c r="P1080" t="inlineStr">
        <is>
          <t>STATE</t>
        </is>
      </c>
      <c r="Q1080" t="n">
        <v>411.599</v>
      </c>
      <c r="R1080" t="n">
        <v>412.233</v>
      </c>
      <c r="S1080" t="n">
        <v>0.634</v>
      </c>
      <c r="T1080" t="inlineStr">
        <is>
          <t>C:/Users/manuel.felline/Documents/BEHAVIOR BTBR/NOR second cohort/BTBR/training/c10_f3.mp4</t>
        </is>
      </c>
      <c r="U1080" t="n">
        <v>12760</v>
      </c>
      <c r="V1080" t="n">
        <v>12779</v>
      </c>
      <c r="W1080" t="n">
        <v/>
      </c>
      <c r="X1080" t="n">
        <v/>
      </c>
      <c r="Y1080" t="n">
        <v/>
      </c>
      <c r="Z1080" t="n">
        <v/>
      </c>
      <c r="AA1080">
        <f>SUMIFS($S$2:S1080,$A$2:A1080,A1080,$N$2:N1080,"Explore*")</f>
        <v/>
      </c>
      <c r="AB1080">
        <f>IF(AND(LEFT(N1080,7)="Explore",(AA1080-IF(LEFT(N1080,7)="Explore",S1080,0))&lt;10),"SI","NO")</f>
        <v/>
      </c>
    </row>
    <row r="1081">
      <c r="A1081" t="inlineStr">
        <is>
          <t>c10f3_training</t>
        </is>
      </c>
      <c r="B1081" t="inlineStr">
        <is>
          <t>2026-06-24 15:34:47.288</t>
        </is>
      </c>
      <c r="C1081" t="n">
        <v/>
      </c>
      <c r="D1081" t="inlineStr">
        <is>
          <t>Media file</t>
        </is>
      </c>
      <c r="E1081" t="inlineStr">
        <is>
          <t>player #1:C:/Users/manuel.felline/Documents/BEHAVIOR BTBR/NOR second cohort/BTBR/training/c10_f3.mp4</t>
        </is>
      </c>
      <c r="F1081" t="n">
        <v>-13.867</v>
      </c>
      <c r="G1081" t="n">
        <v>582.066</v>
      </c>
      <c r="H1081" t="n">
        <v>627.099</v>
      </c>
      <c r="I1081" t="n">
        <v>30</v>
      </c>
      <c r="J1081" t="inlineStr">
        <is>
          <t>BTBR</t>
        </is>
      </c>
      <c r="K1081" t="inlineStr">
        <is>
          <t xml:space="preserve"> Female</t>
        </is>
      </c>
      <c r="L1081" t="inlineStr">
        <is>
          <t>No focal subject</t>
        </is>
      </c>
      <c r="M1081" t="n">
        <v>67.129</v>
      </c>
      <c r="N1081" t="inlineStr">
        <is>
          <t>Explore_F</t>
        </is>
      </c>
      <c r="O1081" t="inlineStr">
        <is>
          <t>Familiar</t>
        </is>
      </c>
      <c r="P1081" t="inlineStr">
        <is>
          <t>STATE</t>
        </is>
      </c>
      <c r="Q1081" t="n">
        <v>415.366</v>
      </c>
      <c r="R1081" t="n">
        <v>416.266</v>
      </c>
      <c r="S1081" t="n">
        <v>0.9</v>
      </c>
      <c r="T1081" t="inlineStr">
        <is>
          <t>C:/Users/manuel.felline/Documents/BEHAVIOR BTBR/NOR second cohort/BTBR/training/c10_f3.mp4</t>
        </is>
      </c>
      <c r="U1081" t="n">
        <v>12873</v>
      </c>
      <c r="V1081" t="n">
        <v>12900</v>
      </c>
      <c r="W1081" t="n">
        <v/>
      </c>
      <c r="X1081" t="n">
        <v/>
      </c>
      <c r="Y1081" t="n">
        <v/>
      </c>
      <c r="Z1081" t="n">
        <v/>
      </c>
      <c r="AA1081">
        <f>SUMIFS($S$2:S1081,$A$2:A1081,A1081,$N$2:N1081,"Explore*")</f>
        <v/>
      </c>
      <c r="AB1081">
        <f>IF(AND(LEFT(N1081,7)="Explore",(AA1081-IF(LEFT(N1081,7)="Explore",S1081,0))&lt;10),"SI","NO")</f>
        <v/>
      </c>
    </row>
    <row r="1082">
      <c r="A1082" t="inlineStr">
        <is>
          <t>c10f3_training</t>
        </is>
      </c>
      <c r="B1082" t="inlineStr">
        <is>
          <t>2026-06-24 15:34:47.288</t>
        </is>
      </c>
      <c r="C1082" t="n">
        <v/>
      </c>
      <c r="D1082" t="inlineStr">
        <is>
          <t>Media file</t>
        </is>
      </c>
      <c r="E1082" t="inlineStr">
        <is>
          <t>player #1:C:/Users/manuel.felline/Documents/BEHAVIOR BTBR/NOR second cohort/BTBR/training/c10_f3.mp4</t>
        </is>
      </c>
      <c r="F1082" t="n">
        <v>-13.867</v>
      </c>
      <c r="G1082" t="n">
        <v>582.066</v>
      </c>
      <c r="H1082" t="n">
        <v>627.099</v>
      </c>
      <c r="I1082" t="n">
        <v>30</v>
      </c>
      <c r="J1082" t="inlineStr">
        <is>
          <t>BTBR</t>
        </is>
      </c>
      <c r="K1082" t="inlineStr">
        <is>
          <t xml:space="preserve"> Female</t>
        </is>
      </c>
      <c r="L1082" t="inlineStr">
        <is>
          <t>No focal subject</t>
        </is>
      </c>
      <c r="M1082" t="n">
        <v>67.129</v>
      </c>
      <c r="N1082" t="inlineStr">
        <is>
          <t>Explore_F2</t>
        </is>
      </c>
      <c r="O1082" t="inlineStr">
        <is>
          <t>Second familiar</t>
        </is>
      </c>
      <c r="P1082" t="inlineStr">
        <is>
          <t>STATE</t>
        </is>
      </c>
      <c r="Q1082" t="n">
        <v>426.866</v>
      </c>
      <c r="R1082" t="n">
        <v>427.599</v>
      </c>
      <c r="S1082" t="n">
        <v>0.733</v>
      </c>
      <c r="T1082" t="inlineStr">
        <is>
          <t>C:/Users/manuel.felline/Documents/BEHAVIOR BTBR/NOR second cohort/BTBR/training/c10_f3.mp4</t>
        </is>
      </c>
      <c r="U1082" t="n">
        <v>13218</v>
      </c>
      <c r="V1082" t="n">
        <v>13240</v>
      </c>
      <c r="W1082" t="n">
        <v/>
      </c>
      <c r="X1082" t="n">
        <v/>
      </c>
      <c r="Y1082" t="n">
        <v/>
      </c>
      <c r="Z1082" t="n">
        <v/>
      </c>
      <c r="AA1082">
        <f>SUMIFS($S$2:S1082,$A$2:A1082,A1082,$N$2:N1082,"Explore*")</f>
        <v/>
      </c>
      <c r="AB1082">
        <f>IF(AND(LEFT(N1082,7)="Explore",(AA1082-IF(LEFT(N1082,7)="Explore",S1082,0))&lt;10),"SI","NO")</f>
        <v/>
      </c>
    </row>
    <row r="1083">
      <c r="A1083" t="inlineStr">
        <is>
          <t>c10f3_training</t>
        </is>
      </c>
      <c r="B1083" t="inlineStr">
        <is>
          <t>2026-06-24 15:34:47.288</t>
        </is>
      </c>
      <c r="C1083" t="n">
        <v/>
      </c>
      <c r="D1083" t="inlineStr">
        <is>
          <t>Media file</t>
        </is>
      </c>
      <c r="E1083" t="inlineStr">
        <is>
          <t>player #1:C:/Users/manuel.felline/Documents/BEHAVIOR BTBR/NOR second cohort/BTBR/training/c10_f3.mp4</t>
        </is>
      </c>
      <c r="F1083" t="n">
        <v>-13.867</v>
      </c>
      <c r="G1083" t="n">
        <v>582.066</v>
      </c>
      <c r="H1083" t="n">
        <v>627.099</v>
      </c>
      <c r="I1083" t="n">
        <v>30</v>
      </c>
      <c r="J1083" t="inlineStr">
        <is>
          <t>BTBR</t>
        </is>
      </c>
      <c r="K1083" t="inlineStr">
        <is>
          <t xml:space="preserve"> Female</t>
        </is>
      </c>
      <c r="L1083" t="inlineStr">
        <is>
          <t>No focal subject</t>
        </is>
      </c>
      <c r="M1083" t="n">
        <v>67.129</v>
      </c>
      <c r="N1083" t="inlineStr">
        <is>
          <t>Explore_F</t>
        </is>
      </c>
      <c r="O1083" t="inlineStr">
        <is>
          <t>Familiar</t>
        </is>
      </c>
      <c r="P1083" t="inlineStr">
        <is>
          <t>STATE</t>
        </is>
      </c>
      <c r="Q1083" t="n">
        <v>431.266</v>
      </c>
      <c r="R1083" t="n">
        <v>431.733</v>
      </c>
      <c r="S1083" t="n">
        <v>0.467</v>
      </c>
      <c r="T1083" t="inlineStr">
        <is>
          <t>C:/Users/manuel.felline/Documents/BEHAVIOR BTBR/NOR second cohort/BTBR/training/c10_f3.mp4</t>
        </is>
      </c>
      <c r="U1083" t="n">
        <v>13350</v>
      </c>
      <c r="V1083" t="n">
        <v>13364</v>
      </c>
      <c r="W1083" t="n">
        <v/>
      </c>
      <c r="X1083" t="n">
        <v/>
      </c>
      <c r="Y1083" t="n">
        <v/>
      </c>
      <c r="Z1083" t="n">
        <v/>
      </c>
      <c r="AA1083">
        <f>SUMIFS($S$2:S1083,$A$2:A1083,A1083,$N$2:N1083,"Explore*")</f>
        <v/>
      </c>
      <c r="AB1083">
        <f>IF(AND(LEFT(N1083,7)="Explore",(AA1083-IF(LEFT(N1083,7)="Explore",S1083,0))&lt;10),"SI","NO")</f>
        <v/>
      </c>
    </row>
    <row r="1084">
      <c r="A1084" t="inlineStr">
        <is>
          <t>c10f3_training</t>
        </is>
      </c>
      <c r="B1084" t="inlineStr">
        <is>
          <t>2026-06-24 15:34:47.288</t>
        </is>
      </c>
      <c r="C1084" t="n">
        <v/>
      </c>
      <c r="D1084" t="inlineStr">
        <is>
          <t>Media file</t>
        </is>
      </c>
      <c r="E1084" t="inlineStr">
        <is>
          <t>player #1:C:/Users/manuel.felline/Documents/BEHAVIOR BTBR/NOR second cohort/BTBR/training/c10_f3.mp4</t>
        </is>
      </c>
      <c r="F1084" t="n">
        <v>-13.867</v>
      </c>
      <c r="G1084" t="n">
        <v>582.066</v>
      </c>
      <c r="H1084" t="n">
        <v>627.099</v>
      </c>
      <c r="I1084" t="n">
        <v>30</v>
      </c>
      <c r="J1084" t="inlineStr">
        <is>
          <t>BTBR</t>
        </is>
      </c>
      <c r="K1084" t="inlineStr">
        <is>
          <t xml:space="preserve"> Female</t>
        </is>
      </c>
      <c r="L1084" t="inlineStr">
        <is>
          <t>No focal subject</t>
        </is>
      </c>
      <c r="M1084" t="n">
        <v>67.129</v>
      </c>
      <c r="N1084" t="inlineStr">
        <is>
          <t>Explore_F2</t>
        </is>
      </c>
      <c r="O1084" t="inlineStr">
        <is>
          <t>Second familiar</t>
        </is>
      </c>
      <c r="P1084" t="inlineStr">
        <is>
          <t>STATE</t>
        </is>
      </c>
      <c r="Q1084" t="n">
        <v>477.832</v>
      </c>
      <c r="R1084" t="n">
        <v>478.199</v>
      </c>
      <c r="S1084" t="n">
        <v>0.367</v>
      </c>
      <c r="T1084" t="inlineStr">
        <is>
          <t>C:/Users/manuel.felline/Documents/BEHAVIOR BTBR/NOR second cohort/BTBR/training/c10_f3.mp4</t>
        </is>
      </c>
      <c r="U1084" t="n">
        <v>14747</v>
      </c>
      <c r="V1084" t="n">
        <v>14758</v>
      </c>
      <c r="W1084" t="n">
        <v/>
      </c>
      <c r="X1084" t="n">
        <v/>
      </c>
      <c r="Y1084" t="n">
        <v/>
      </c>
      <c r="Z1084" t="n">
        <v/>
      </c>
      <c r="AA1084">
        <f>SUMIFS($S$2:S1084,$A$2:A1084,A1084,$N$2:N1084,"Explore*")</f>
        <v/>
      </c>
      <c r="AB1084">
        <f>IF(AND(LEFT(N1084,7)="Explore",(AA1084-IF(LEFT(N1084,7)="Explore",S1084,0))&lt;10),"SI","NO")</f>
        <v/>
      </c>
    </row>
    <row r="1085">
      <c r="A1085" t="inlineStr">
        <is>
          <t>c10f3_training</t>
        </is>
      </c>
      <c r="B1085" t="inlineStr">
        <is>
          <t>2026-06-24 15:34:47.288</t>
        </is>
      </c>
      <c r="C1085" t="n">
        <v/>
      </c>
      <c r="D1085" t="inlineStr">
        <is>
          <t>Media file</t>
        </is>
      </c>
      <c r="E1085" t="inlineStr">
        <is>
          <t>player #1:C:/Users/manuel.felline/Documents/BEHAVIOR BTBR/NOR second cohort/BTBR/training/c10_f3.mp4</t>
        </is>
      </c>
      <c r="F1085" t="n">
        <v>-13.867</v>
      </c>
      <c r="G1085" t="n">
        <v>582.066</v>
      </c>
      <c r="H1085" t="n">
        <v>627.099</v>
      </c>
      <c r="I1085" t="n">
        <v>30</v>
      </c>
      <c r="J1085" t="inlineStr">
        <is>
          <t>BTBR</t>
        </is>
      </c>
      <c r="K1085" t="inlineStr">
        <is>
          <t xml:space="preserve"> Female</t>
        </is>
      </c>
      <c r="L1085" t="inlineStr">
        <is>
          <t>No focal subject</t>
        </is>
      </c>
      <c r="M1085" t="n">
        <v>67.129</v>
      </c>
      <c r="N1085" t="inlineStr">
        <is>
          <t>Explore_F2</t>
        </is>
      </c>
      <c r="O1085" t="inlineStr">
        <is>
          <t>Second familiar</t>
        </is>
      </c>
      <c r="P1085" t="inlineStr">
        <is>
          <t>STATE</t>
        </is>
      </c>
      <c r="Q1085" t="n">
        <v>488.699</v>
      </c>
      <c r="R1085" t="n">
        <v>489.232</v>
      </c>
      <c r="S1085" t="n">
        <v>0.533</v>
      </c>
      <c r="T1085" t="inlineStr">
        <is>
          <t>C:/Users/manuel.felline/Documents/BEHAVIOR BTBR/NOR second cohort/BTBR/training/c10_f3.mp4</t>
        </is>
      </c>
      <c r="U1085" t="n">
        <v>15073</v>
      </c>
      <c r="V1085" t="n">
        <v>15089</v>
      </c>
      <c r="W1085" t="n">
        <v/>
      </c>
      <c r="X1085" t="n">
        <v/>
      </c>
      <c r="Y1085" t="n">
        <v/>
      </c>
      <c r="Z1085" t="n">
        <v/>
      </c>
      <c r="AA1085">
        <f>SUMIFS($S$2:S1085,$A$2:A1085,A1085,$N$2:N1085,"Explore*")</f>
        <v/>
      </c>
      <c r="AB1085">
        <f>IF(AND(LEFT(N1085,7)="Explore",(AA1085-IF(LEFT(N1085,7)="Explore",S1085,0))&lt;10),"SI","NO")</f>
        <v/>
      </c>
    </row>
    <row r="1086">
      <c r="A1086" t="inlineStr">
        <is>
          <t>c10f3_training</t>
        </is>
      </c>
      <c r="B1086" t="inlineStr">
        <is>
          <t>2026-06-24 15:34:47.288</t>
        </is>
      </c>
      <c r="C1086" t="n">
        <v/>
      </c>
      <c r="D1086" t="inlineStr">
        <is>
          <t>Media file</t>
        </is>
      </c>
      <c r="E1086" t="inlineStr">
        <is>
          <t>player #1:C:/Users/manuel.felline/Documents/BEHAVIOR BTBR/NOR second cohort/BTBR/training/c10_f3.mp4</t>
        </is>
      </c>
      <c r="F1086" t="n">
        <v>-13.867</v>
      </c>
      <c r="G1086" t="n">
        <v>582.066</v>
      </c>
      <c r="H1086" t="n">
        <v>627.099</v>
      </c>
      <c r="I1086" t="n">
        <v>30</v>
      </c>
      <c r="J1086" t="inlineStr">
        <is>
          <t>BTBR</t>
        </is>
      </c>
      <c r="K1086" t="inlineStr">
        <is>
          <t xml:space="preserve"> Female</t>
        </is>
      </c>
      <c r="L1086" t="inlineStr">
        <is>
          <t>No focal subject</t>
        </is>
      </c>
      <c r="M1086" t="n">
        <v>67.129</v>
      </c>
      <c r="N1086" t="inlineStr">
        <is>
          <t>Explore_F2</t>
        </is>
      </c>
      <c r="O1086" t="inlineStr">
        <is>
          <t>Second familiar</t>
        </is>
      </c>
      <c r="P1086" t="inlineStr">
        <is>
          <t>STATE</t>
        </is>
      </c>
      <c r="Q1086" t="n">
        <v>500.232</v>
      </c>
      <c r="R1086" t="n">
        <v>500.699</v>
      </c>
      <c r="S1086" t="n">
        <v>0.467</v>
      </c>
      <c r="T1086" t="inlineStr">
        <is>
          <t>C:/Users/manuel.felline/Documents/BEHAVIOR BTBR/NOR second cohort/BTBR/training/c10_f3.mp4</t>
        </is>
      </c>
      <c r="U1086" t="n">
        <v>15419</v>
      </c>
      <c r="V1086" t="n">
        <v>15433</v>
      </c>
      <c r="W1086" t="n">
        <v/>
      </c>
      <c r="X1086" t="n">
        <v/>
      </c>
      <c r="Y1086" t="n">
        <v/>
      </c>
      <c r="Z1086" t="n">
        <v/>
      </c>
      <c r="AA1086">
        <f>SUMIFS($S$2:S1086,$A$2:A1086,A1086,$N$2:N1086,"Explore*")</f>
        <v/>
      </c>
      <c r="AB1086">
        <f>IF(AND(LEFT(N1086,7)="Explore",(AA1086-IF(LEFT(N1086,7)="Explore",S1086,0))&lt;10),"SI","NO")</f>
        <v/>
      </c>
    </row>
    <row r="1087">
      <c r="A1087" t="inlineStr">
        <is>
          <t>c10f3_training</t>
        </is>
      </c>
      <c r="B1087" t="inlineStr">
        <is>
          <t>2026-06-24 15:34:47.288</t>
        </is>
      </c>
      <c r="C1087" t="n">
        <v/>
      </c>
      <c r="D1087" t="inlineStr">
        <is>
          <t>Media file</t>
        </is>
      </c>
      <c r="E1087" t="inlineStr">
        <is>
          <t>player #1:C:/Users/manuel.felline/Documents/BEHAVIOR BTBR/NOR second cohort/BTBR/training/c10_f3.mp4</t>
        </is>
      </c>
      <c r="F1087" t="n">
        <v>-13.867</v>
      </c>
      <c r="G1087" t="n">
        <v>582.066</v>
      </c>
      <c r="H1087" t="n">
        <v>627.099</v>
      </c>
      <c r="I1087" t="n">
        <v>30</v>
      </c>
      <c r="J1087" t="inlineStr">
        <is>
          <t>BTBR</t>
        </is>
      </c>
      <c r="K1087" t="inlineStr">
        <is>
          <t xml:space="preserve"> Female</t>
        </is>
      </c>
      <c r="L1087" t="inlineStr">
        <is>
          <t>No focal subject</t>
        </is>
      </c>
      <c r="M1087" t="n">
        <v>67.129</v>
      </c>
      <c r="N1087" t="inlineStr">
        <is>
          <t>Explore_F</t>
        </is>
      </c>
      <c r="O1087" t="inlineStr">
        <is>
          <t>Familiar</t>
        </is>
      </c>
      <c r="P1087" t="inlineStr">
        <is>
          <t>STATE</t>
        </is>
      </c>
      <c r="Q1087" t="n">
        <v>511.799</v>
      </c>
      <c r="R1087" t="n">
        <v>512.866</v>
      </c>
      <c r="S1087" t="n">
        <v>1.067</v>
      </c>
      <c r="T1087" t="inlineStr">
        <is>
          <t>C:/Users/manuel.felline/Documents/BEHAVIOR BTBR/NOR second cohort/BTBR/training/c10_f3.mp4</t>
        </is>
      </c>
      <c r="U1087" t="n">
        <v>15765</v>
      </c>
      <c r="V1087" t="n">
        <v>15797</v>
      </c>
      <c r="W1087" t="n">
        <v/>
      </c>
      <c r="X1087" t="n">
        <v/>
      </c>
      <c r="Y1087" t="n">
        <v/>
      </c>
      <c r="Z1087" t="n">
        <v/>
      </c>
      <c r="AA1087">
        <f>SUMIFS($S$2:S1087,$A$2:A1087,A1087,$N$2:N1087,"Explore*")</f>
        <v/>
      </c>
      <c r="AB1087">
        <f>IF(AND(LEFT(N1087,7)="Explore",(AA1087-IF(LEFT(N1087,7)="Explore",S1087,0))&lt;10),"SI","NO")</f>
        <v/>
      </c>
    </row>
    <row r="1088">
      <c r="A1088" t="inlineStr">
        <is>
          <t>c10f3_training</t>
        </is>
      </c>
      <c r="B1088" t="inlineStr">
        <is>
          <t>2026-06-24 15:34:47.288</t>
        </is>
      </c>
      <c r="C1088" t="n">
        <v/>
      </c>
      <c r="D1088" t="inlineStr">
        <is>
          <t>Media file</t>
        </is>
      </c>
      <c r="E1088" t="inlineStr">
        <is>
          <t>player #1:C:/Users/manuel.felline/Documents/BEHAVIOR BTBR/NOR second cohort/BTBR/training/c10_f3.mp4</t>
        </is>
      </c>
      <c r="F1088" t="n">
        <v>-13.867</v>
      </c>
      <c r="G1088" t="n">
        <v>582.066</v>
      </c>
      <c r="H1088" t="n">
        <v>627.099</v>
      </c>
      <c r="I1088" t="n">
        <v>30</v>
      </c>
      <c r="J1088" t="inlineStr">
        <is>
          <t>BTBR</t>
        </is>
      </c>
      <c r="K1088" t="inlineStr">
        <is>
          <t xml:space="preserve"> Female</t>
        </is>
      </c>
      <c r="L1088" t="inlineStr">
        <is>
          <t>No focal subject</t>
        </is>
      </c>
      <c r="M1088" t="n">
        <v>67.129</v>
      </c>
      <c r="N1088" t="inlineStr">
        <is>
          <t>Explore_F</t>
        </is>
      </c>
      <c r="O1088" t="inlineStr">
        <is>
          <t>Familiar</t>
        </is>
      </c>
      <c r="P1088" t="inlineStr">
        <is>
          <t>STATE</t>
        </is>
      </c>
      <c r="Q1088" t="n">
        <v>526.832</v>
      </c>
      <c r="R1088" t="n">
        <v>527.899</v>
      </c>
      <c r="S1088" t="n">
        <v>1.067</v>
      </c>
      <c r="T1088" t="inlineStr">
        <is>
          <t>C:/Users/manuel.felline/Documents/BEHAVIOR BTBR/NOR second cohort/BTBR/training/c10_f3.mp4</t>
        </is>
      </c>
      <c r="U1088" t="n">
        <v>16216</v>
      </c>
      <c r="V1088" t="n">
        <v>16248</v>
      </c>
      <c r="W1088" t="n">
        <v/>
      </c>
      <c r="X1088" t="n">
        <v/>
      </c>
      <c r="Y1088" t="n">
        <v/>
      </c>
      <c r="Z1088" t="n">
        <v/>
      </c>
      <c r="AA1088">
        <f>SUMIFS($S$2:S1088,$A$2:A1088,A1088,$N$2:N1088,"Explore*")</f>
        <v/>
      </c>
      <c r="AB1088">
        <f>IF(AND(LEFT(N1088,7)="Explore",(AA1088-IF(LEFT(N1088,7)="Explore",S1088,0))&lt;10),"SI","NO")</f>
        <v/>
      </c>
    </row>
    <row r="1089">
      <c r="A1089" t="inlineStr">
        <is>
          <t>c10f3_training</t>
        </is>
      </c>
      <c r="B1089" t="inlineStr">
        <is>
          <t>2026-06-24 15:34:47.288</t>
        </is>
      </c>
      <c r="C1089" t="n">
        <v/>
      </c>
      <c r="D1089" t="inlineStr">
        <is>
          <t>Media file</t>
        </is>
      </c>
      <c r="E1089" t="inlineStr">
        <is>
          <t>player #1:C:/Users/manuel.felline/Documents/BEHAVIOR BTBR/NOR second cohort/BTBR/training/c10_f3.mp4</t>
        </is>
      </c>
      <c r="F1089" t="n">
        <v>-13.867</v>
      </c>
      <c r="G1089" t="n">
        <v>582.066</v>
      </c>
      <c r="H1089" t="n">
        <v>627.099</v>
      </c>
      <c r="I1089" t="n">
        <v>30</v>
      </c>
      <c r="J1089" t="inlineStr">
        <is>
          <t>BTBR</t>
        </is>
      </c>
      <c r="K1089" t="inlineStr">
        <is>
          <t xml:space="preserve"> Female</t>
        </is>
      </c>
      <c r="L1089" t="inlineStr">
        <is>
          <t>No focal subject</t>
        </is>
      </c>
      <c r="M1089" t="n">
        <v>67.129</v>
      </c>
      <c r="N1089" t="inlineStr">
        <is>
          <t>Explore_F2</t>
        </is>
      </c>
      <c r="O1089" t="inlineStr">
        <is>
          <t>Second familiar</t>
        </is>
      </c>
      <c r="P1089" t="inlineStr">
        <is>
          <t>STATE</t>
        </is>
      </c>
      <c r="Q1089" t="n">
        <v>568.6660000000001</v>
      </c>
      <c r="R1089" t="n">
        <v>569.332</v>
      </c>
      <c r="S1089" t="n">
        <v>0.666</v>
      </c>
      <c r="T1089" t="inlineStr">
        <is>
          <t>C:/Users/manuel.felline/Documents/BEHAVIOR BTBR/NOR second cohort/BTBR/training/c10_f3.mp4</t>
        </is>
      </c>
      <c r="U1089" t="n">
        <v>17471</v>
      </c>
      <c r="V1089" t="n">
        <v>17491</v>
      </c>
      <c r="W1089" t="n">
        <v/>
      </c>
      <c r="X1089" t="n">
        <v/>
      </c>
      <c r="Y1089" t="n">
        <v/>
      </c>
      <c r="Z1089" t="n">
        <v/>
      </c>
      <c r="AA1089">
        <f>SUMIFS($S$2:S1089,$A$2:A1089,A1089,$N$2:N1089,"Explore*")</f>
        <v/>
      </c>
      <c r="AB1089">
        <f>IF(AND(LEFT(N1089,7)="Explore",(AA1089-IF(LEFT(N1089,7)="Explore",S1089,0))&lt;10),"SI","NO")</f>
        <v/>
      </c>
    </row>
    <row r="1090">
      <c r="A1090" t="inlineStr">
        <is>
          <t>c10f3_training</t>
        </is>
      </c>
      <c r="B1090" t="inlineStr">
        <is>
          <t>2026-06-24 15:34:47.288</t>
        </is>
      </c>
      <c r="C1090" t="n">
        <v/>
      </c>
      <c r="D1090" t="inlineStr">
        <is>
          <t>Media file</t>
        </is>
      </c>
      <c r="E1090" t="inlineStr">
        <is>
          <t>player #1:C:/Users/manuel.felline/Documents/BEHAVIOR BTBR/NOR second cohort/BTBR/training/c10_f3.mp4</t>
        </is>
      </c>
      <c r="F1090" t="n">
        <v>-13.867</v>
      </c>
      <c r="G1090" t="n">
        <v>582.066</v>
      </c>
      <c r="H1090" t="n">
        <v>627.099</v>
      </c>
      <c r="I1090" t="n">
        <v>30</v>
      </c>
      <c r="J1090" t="inlineStr">
        <is>
          <t>BTBR</t>
        </is>
      </c>
      <c r="K1090" t="inlineStr">
        <is>
          <t xml:space="preserve"> Female</t>
        </is>
      </c>
      <c r="L1090" t="inlineStr">
        <is>
          <t>No focal subject</t>
        </is>
      </c>
      <c r="M1090" t="n">
        <v>67.129</v>
      </c>
      <c r="N1090" t="inlineStr">
        <is>
          <t>Explore_F2</t>
        </is>
      </c>
      <c r="O1090" t="inlineStr">
        <is>
          <t>Second familiar</t>
        </is>
      </c>
      <c r="P1090" t="inlineStr">
        <is>
          <t>STATE</t>
        </is>
      </c>
      <c r="Q1090" t="n">
        <v>587.299</v>
      </c>
      <c r="R1090" t="n">
        <v>588.266</v>
      </c>
      <c r="S1090" t="n">
        <v>0.967</v>
      </c>
      <c r="T1090" t="inlineStr">
        <is>
          <t>C:/Users/manuel.felline/Documents/BEHAVIOR BTBR/NOR second cohort/BTBR/training/c10_f3.mp4</t>
        </is>
      </c>
      <c r="U1090" t="n">
        <v>18030</v>
      </c>
      <c r="V1090" t="n">
        <v>18059</v>
      </c>
      <c r="W1090" t="n">
        <v/>
      </c>
      <c r="X1090" t="n">
        <v/>
      </c>
      <c r="Y1090" t="n">
        <v/>
      </c>
      <c r="Z1090" t="n">
        <v/>
      </c>
      <c r="AA1090">
        <f>SUMIFS($S$2:S1090,$A$2:A1090,A1090,$N$2:N1090,"Explore*")</f>
        <v/>
      </c>
      <c r="AB1090">
        <f>IF(AND(LEFT(N1090,7)="Explore",(AA1090-IF(LEFT(N1090,7)="Explore",S1090,0))&lt;10),"SI","NO")</f>
        <v/>
      </c>
    </row>
    <row r="1091">
      <c r="A1091" t="inlineStr">
        <is>
          <t>c10f4_training</t>
        </is>
      </c>
      <c r="B1091" t="inlineStr">
        <is>
          <t>2026-06-25 15:39:04.374</t>
        </is>
      </c>
      <c r="C1091" t="n">
        <v/>
      </c>
      <c r="D1091" t="inlineStr">
        <is>
          <t>Media file</t>
        </is>
      </c>
      <c r="E1091" t="inlineStr">
        <is>
          <t>player #1:C:/Users/manuel.felline/Documents/BEHAVIOR BTBR/NOR second cohort/BTBR/training/c10_f4.mp4</t>
        </is>
      </c>
      <c r="F1091" t="n">
        <v>-7.1</v>
      </c>
      <c r="G1091" t="n">
        <v>567.333</v>
      </c>
      <c r="H1091" t="n">
        <v>627.966</v>
      </c>
      <c r="I1091" t="n">
        <v>30</v>
      </c>
      <c r="J1091" t="inlineStr">
        <is>
          <t>BTBR</t>
        </is>
      </c>
      <c r="K1091" t="inlineStr">
        <is>
          <t xml:space="preserve"> Female</t>
        </is>
      </c>
      <c r="L1091" t="inlineStr">
        <is>
          <t>No focal subject</t>
        </is>
      </c>
      <c r="M1091" t="n">
        <v>46.333</v>
      </c>
      <c r="N1091" t="inlineStr">
        <is>
          <t>Explore_F2</t>
        </is>
      </c>
      <c r="O1091" t="inlineStr">
        <is>
          <t>Second familiar</t>
        </is>
      </c>
      <c r="P1091" t="inlineStr">
        <is>
          <t>STATE</t>
        </is>
      </c>
      <c r="Q1091" t="n">
        <v>3.833</v>
      </c>
      <c r="R1091" t="n">
        <v>4.433</v>
      </c>
      <c r="S1091" t="n">
        <v>0.6</v>
      </c>
      <c r="T1091" t="inlineStr">
        <is>
          <t>C:/Users/manuel.felline/Documents/BEHAVIOR BTBR/NOR second cohort/BTBR/training/c10_f4.mp4</t>
        </is>
      </c>
      <c r="U1091" t="n">
        <v>328</v>
      </c>
      <c r="V1091" t="n">
        <v>346</v>
      </c>
      <c r="W1091" t="n">
        <v/>
      </c>
      <c r="X1091" t="n">
        <v/>
      </c>
      <c r="Y1091" t="n">
        <v/>
      </c>
      <c r="Z1091" t="n">
        <v/>
      </c>
      <c r="AA1091">
        <f>SUMIFS($S$2:S1091,$A$2:A1091,A1091,$N$2:N1091,"Explore*")</f>
        <v/>
      </c>
      <c r="AB1091">
        <f>IF(AND(LEFT(N1091,7)="Explore",(AA1091-IF(LEFT(N1091,7)="Explore",S1091,0))&lt;10),"SI","NO")</f>
        <v/>
      </c>
    </row>
    <row r="1092">
      <c r="A1092" t="inlineStr">
        <is>
          <t>c10f4_training</t>
        </is>
      </c>
      <c r="B1092" t="inlineStr">
        <is>
          <t>2026-06-25 15:39:04.374</t>
        </is>
      </c>
      <c r="C1092" t="n">
        <v/>
      </c>
      <c r="D1092" t="inlineStr">
        <is>
          <t>Media file</t>
        </is>
      </c>
      <c r="E1092" t="inlineStr">
        <is>
          <t>player #1:C:/Users/manuel.felline/Documents/BEHAVIOR BTBR/NOR second cohort/BTBR/training/c10_f4.mp4</t>
        </is>
      </c>
      <c r="F1092" t="n">
        <v>-7.1</v>
      </c>
      <c r="G1092" t="n">
        <v>567.333</v>
      </c>
      <c r="H1092" t="n">
        <v>627.966</v>
      </c>
      <c r="I1092" t="n">
        <v>30</v>
      </c>
      <c r="J1092" t="inlineStr">
        <is>
          <t>BTBR</t>
        </is>
      </c>
      <c r="K1092" t="inlineStr">
        <is>
          <t xml:space="preserve"> Female</t>
        </is>
      </c>
      <c r="L1092" t="inlineStr">
        <is>
          <t>No focal subject</t>
        </is>
      </c>
      <c r="M1092" t="n">
        <v>46.333</v>
      </c>
      <c r="N1092" t="inlineStr">
        <is>
          <t>Explore_F</t>
        </is>
      </c>
      <c r="O1092" t="inlineStr">
        <is>
          <t>Familiar</t>
        </is>
      </c>
      <c r="P1092" t="inlineStr">
        <is>
          <t>STATE</t>
        </is>
      </c>
      <c r="Q1092" t="n">
        <v>5.067</v>
      </c>
      <c r="R1092" t="n">
        <v>5.733</v>
      </c>
      <c r="S1092" t="n">
        <v>0.666</v>
      </c>
      <c r="T1092" t="inlineStr">
        <is>
          <t>C:/Users/manuel.felline/Documents/BEHAVIOR BTBR/NOR second cohort/BTBR/training/c10_f4.mp4</t>
        </is>
      </c>
      <c r="U1092" t="n">
        <v>365</v>
      </c>
      <c r="V1092" t="n">
        <v>385</v>
      </c>
      <c r="W1092" t="n">
        <v/>
      </c>
      <c r="X1092" t="n">
        <v/>
      </c>
      <c r="Y1092" t="n">
        <v/>
      </c>
      <c r="Z1092" t="n">
        <v/>
      </c>
      <c r="AA1092">
        <f>SUMIFS($S$2:S1092,$A$2:A1092,A1092,$N$2:N1092,"Explore*")</f>
        <v/>
      </c>
      <c r="AB1092">
        <f>IF(AND(LEFT(N1092,7)="Explore",(AA1092-IF(LEFT(N1092,7)="Explore",S1092,0))&lt;10),"SI","NO")</f>
        <v/>
      </c>
    </row>
    <row r="1093">
      <c r="A1093" t="inlineStr">
        <is>
          <t>c10f4_training</t>
        </is>
      </c>
      <c r="B1093" t="inlineStr">
        <is>
          <t>2026-06-25 15:39:04.374</t>
        </is>
      </c>
      <c r="C1093" t="n">
        <v/>
      </c>
      <c r="D1093" t="inlineStr">
        <is>
          <t>Media file</t>
        </is>
      </c>
      <c r="E1093" t="inlineStr">
        <is>
          <t>player #1:C:/Users/manuel.felline/Documents/BEHAVIOR BTBR/NOR second cohort/BTBR/training/c10_f4.mp4</t>
        </is>
      </c>
      <c r="F1093" t="n">
        <v>-7.1</v>
      </c>
      <c r="G1093" t="n">
        <v>567.333</v>
      </c>
      <c r="H1093" t="n">
        <v>627.966</v>
      </c>
      <c r="I1093" t="n">
        <v>30</v>
      </c>
      <c r="J1093" t="inlineStr">
        <is>
          <t>BTBR</t>
        </is>
      </c>
      <c r="K1093" t="inlineStr">
        <is>
          <t xml:space="preserve"> Female</t>
        </is>
      </c>
      <c r="L1093" t="inlineStr">
        <is>
          <t>No focal subject</t>
        </is>
      </c>
      <c r="M1093" t="n">
        <v>46.333</v>
      </c>
      <c r="N1093" t="inlineStr">
        <is>
          <t>Explore_F2</t>
        </is>
      </c>
      <c r="O1093" t="inlineStr">
        <is>
          <t>Second familiar</t>
        </is>
      </c>
      <c r="P1093" t="inlineStr">
        <is>
          <t>STATE</t>
        </is>
      </c>
      <c r="Q1093" t="n">
        <v>10.467</v>
      </c>
      <c r="R1093" t="n">
        <v>11.033</v>
      </c>
      <c r="S1093" t="n">
        <v>0.5659999999999999</v>
      </c>
      <c r="T1093" t="inlineStr">
        <is>
          <t>C:/Users/manuel.felline/Documents/BEHAVIOR BTBR/NOR second cohort/BTBR/training/c10_f4.mp4</t>
        </is>
      </c>
      <c r="U1093" t="n">
        <v>527</v>
      </c>
      <c r="V1093" t="n">
        <v>544</v>
      </c>
      <c r="W1093" t="n">
        <v/>
      </c>
      <c r="X1093" t="n">
        <v/>
      </c>
      <c r="Y1093" t="n">
        <v/>
      </c>
      <c r="Z1093" t="n">
        <v/>
      </c>
      <c r="AA1093">
        <f>SUMIFS($S$2:S1093,$A$2:A1093,A1093,$N$2:N1093,"Explore*")</f>
        <v/>
      </c>
      <c r="AB1093">
        <f>IF(AND(LEFT(N1093,7)="Explore",(AA1093-IF(LEFT(N1093,7)="Explore",S1093,0))&lt;10),"SI","NO")</f>
        <v/>
      </c>
    </row>
    <row r="1094">
      <c r="A1094" t="inlineStr">
        <is>
          <t>c10f4_training</t>
        </is>
      </c>
      <c r="B1094" t="inlineStr">
        <is>
          <t>2026-06-25 15:39:04.374</t>
        </is>
      </c>
      <c r="C1094" t="n">
        <v/>
      </c>
      <c r="D1094" t="inlineStr">
        <is>
          <t>Media file</t>
        </is>
      </c>
      <c r="E1094" t="inlineStr">
        <is>
          <t>player #1:C:/Users/manuel.felline/Documents/BEHAVIOR BTBR/NOR second cohort/BTBR/training/c10_f4.mp4</t>
        </is>
      </c>
      <c r="F1094" t="n">
        <v>-7.1</v>
      </c>
      <c r="G1094" t="n">
        <v>567.333</v>
      </c>
      <c r="H1094" t="n">
        <v>627.966</v>
      </c>
      <c r="I1094" t="n">
        <v>30</v>
      </c>
      <c r="J1094" t="inlineStr">
        <is>
          <t>BTBR</t>
        </is>
      </c>
      <c r="K1094" t="inlineStr">
        <is>
          <t xml:space="preserve"> Female</t>
        </is>
      </c>
      <c r="L1094" t="inlineStr">
        <is>
          <t>No focal subject</t>
        </is>
      </c>
      <c r="M1094" t="n">
        <v>46.333</v>
      </c>
      <c r="N1094" t="inlineStr">
        <is>
          <t>Explore_F</t>
        </is>
      </c>
      <c r="O1094" t="inlineStr">
        <is>
          <t>Familiar</t>
        </is>
      </c>
      <c r="P1094" t="inlineStr">
        <is>
          <t>STATE</t>
        </is>
      </c>
      <c r="Q1094" t="n">
        <v>11.833</v>
      </c>
      <c r="R1094" t="n">
        <v>12.367</v>
      </c>
      <c r="S1094" t="n">
        <v>0.534</v>
      </c>
      <c r="T1094" t="inlineStr">
        <is>
          <t>C:/Users/manuel.felline/Documents/BEHAVIOR BTBR/NOR second cohort/BTBR/training/c10_f4.mp4</t>
        </is>
      </c>
      <c r="U1094" t="n">
        <v>568</v>
      </c>
      <c r="V1094" t="n">
        <v>584</v>
      </c>
      <c r="W1094" t="n">
        <v/>
      </c>
      <c r="X1094" t="n">
        <v/>
      </c>
      <c r="Y1094" t="n">
        <v/>
      </c>
      <c r="Z1094" t="n">
        <v/>
      </c>
      <c r="AA1094">
        <f>SUMIFS($S$2:S1094,$A$2:A1094,A1094,$N$2:N1094,"Explore*")</f>
        <v/>
      </c>
      <c r="AB1094">
        <f>IF(AND(LEFT(N1094,7)="Explore",(AA1094-IF(LEFT(N1094,7)="Explore",S1094,0))&lt;10),"SI","NO")</f>
        <v/>
      </c>
    </row>
    <row r="1095">
      <c r="A1095" t="inlineStr">
        <is>
          <t>c10f4_training</t>
        </is>
      </c>
      <c r="B1095" t="inlineStr">
        <is>
          <t>2026-06-25 15:39:04.374</t>
        </is>
      </c>
      <c r="C1095" t="n">
        <v/>
      </c>
      <c r="D1095" t="inlineStr">
        <is>
          <t>Media file</t>
        </is>
      </c>
      <c r="E1095" t="inlineStr">
        <is>
          <t>player #1:C:/Users/manuel.felline/Documents/BEHAVIOR BTBR/NOR second cohort/BTBR/training/c10_f4.mp4</t>
        </is>
      </c>
      <c r="F1095" t="n">
        <v>-7.1</v>
      </c>
      <c r="G1095" t="n">
        <v>567.333</v>
      </c>
      <c r="H1095" t="n">
        <v>627.966</v>
      </c>
      <c r="I1095" t="n">
        <v>30</v>
      </c>
      <c r="J1095" t="inlineStr">
        <is>
          <t>BTBR</t>
        </is>
      </c>
      <c r="K1095" t="inlineStr">
        <is>
          <t xml:space="preserve"> Female</t>
        </is>
      </c>
      <c r="L1095" t="inlineStr">
        <is>
          <t>No focal subject</t>
        </is>
      </c>
      <c r="M1095" t="n">
        <v>46.333</v>
      </c>
      <c r="N1095" t="inlineStr">
        <is>
          <t>Explore_F</t>
        </is>
      </c>
      <c r="O1095" t="inlineStr">
        <is>
          <t>Familiar</t>
        </is>
      </c>
      <c r="P1095" t="inlineStr">
        <is>
          <t>STATE</t>
        </is>
      </c>
      <c r="Q1095" t="n">
        <v>15.167</v>
      </c>
      <c r="R1095" t="n">
        <v>15.967</v>
      </c>
      <c r="S1095" t="n">
        <v>0.8</v>
      </c>
      <c r="T1095" t="inlineStr">
        <is>
          <t>C:/Users/manuel.felline/Documents/BEHAVIOR BTBR/NOR second cohort/BTBR/training/c10_f4.mp4</t>
        </is>
      </c>
      <c r="U1095" t="n">
        <v>668</v>
      </c>
      <c r="V1095" t="n">
        <v>692</v>
      </c>
      <c r="W1095" t="n">
        <v/>
      </c>
      <c r="X1095" t="n">
        <v/>
      </c>
      <c r="Y1095" t="n">
        <v/>
      </c>
      <c r="Z1095" t="n">
        <v/>
      </c>
      <c r="AA1095">
        <f>SUMIFS($S$2:S1095,$A$2:A1095,A1095,$N$2:N1095,"Explore*")</f>
        <v/>
      </c>
      <c r="AB1095">
        <f>IF(AND(LEFT(N1095,7)="Explore",(AA1095-IF(LEFT(N1095,7)="Explore",S1095,0))&lt;10),"SI","NO")</f>
        <v/>
      </c>
    </row>
    <row r="1096">
      <c r="A1096" t="inlineStr">
        <is>
          <t>c10f4_training</t>
        </is>
      </c>
      <c r="B1096" t="inlineStr">
        <is>
          <t>2026-06-25 15:39:04.374</t>
        </is>
      </c>
      <c r="C1096" t="n">
        <v/>
      </c>
      <c r="D1096" t="inlineStr">
        <is>
          <t>Media file</t>
        </is>
      </c>
      <c r="E1096" t="inlineStr">
        <is>
          <t>player #1:C:/Users/manuel.felline/Documents/BEHAVIOR BTBR/NOR second cohort/BTBR/training/c10_f4.mp4</t>
        </is>
      </c>
      <c r="F1096" t="n">
        <v>-7.1</v>
      </c>
      <c r="G1096" t="n">
        <v>567.333</v>
      </c>
      <c r="H1096" t="n">
        <v>627.966</v>
      </c>
      <c r="I1096" t="n">
        <v>30</v>
      </c>
      <c r="J1096" t="inlineStr">
        <is>
          <t>BTBR</t>
        </is>
      </c>
      <c r="K1096" t="inlineStr">
        <is>
          <t xml:space="preserve"> Female</t>
        </is>
      </c>
      <c r="L1096" t="inlineStr">
        <is>
          <t>No focal subject</t>
        </is>
      </c>
      <c r="M1096" t="n">
        <v>46.333</v>
      </c>
      <c r="N1096" t="inlineStr">
        <is>
          <t>Explore_F2</t>
        </is>
      </c>
      <c r="O1096" t="inlineStr">
        <is>
          <t>Second familiar</t>
        </is>
      </c>
      <c r="P1096" t="inlineStr">
        <is>
          <t>STATE</t>
        </is>
      </c>
      <c r="Q1096" t="n">
        <v>18.533</v>
      </c>
      <c r="R1096" t="n">
        <v>18.867</v>
      </c>
      <c r="S1096" t="n">
        <v>0.334</v>
      </c>
      <c r="T1096" t="inlineStr">
        <is>
          <t>C:/Users/manuel.felline/Documents/BEHAVIOR BTBR/NOR second cohort/BTBR/training/c10_f4.mp4</t>
        </is>
      </c>
      <c r="U1096" t="n">
        <v>769</v>
      </c>
      <c r="V1096" t="n">
        <v>779</v>
      </c>
      <c r="W1096" t="n">
        <v/>
      </c>
      <c r="X1096" t="n">
        <v/>
      </c>
      <c r="Y1096" t="n">
        <v/>
      </c>
      <c r="Z1096" t="n">
        <v/>
      </c>
      <c r="AA1096">
        <f>SUMIFS($S$2:S1096,$A$2:A1096,A1096,$N$2:N1096,"Explore*")</f>
        <v/>
      </c>
      <c r="AB1096">
        <f>IF(AND(LEFT(N1096,7)="Explore",(AA1096-IF(LEFT(N1096,7)="Explore",S1096,0))&lt;10),"SI","NO")</f>
        <v/>
      </c>
    </row>
    <row r="1097">
      <c r="A1097" t="inlineStr">
        <is>
          <t>c10f4_training</t>
        </is>
      </c>
      <c r="B1097" t="inlineStr">
        <is>
          <t>2026-06-25 15:39:04.374</t>
        </is>
      </c>
      <c r="C1097" t="n">
        <v/>
      </c>
      <c r="D1097" t="inlineStr">
        <is>
          <t>Media file</t>
        </is>
      </c>
      <c r="E1097" t="inlineStr">
        <is>
          <t>player #1:C:/Users/manuel.felline/Documents/BEHAVIOR BTBR/NOR second cohort/BTBR/training/c10_f4.mp4</t>
        </is>
      </c>
      <c r="F1097" t="n">
        <v>-7.1</v>
      </c>
      <c r="G1097" t="n">
        <v>567.333</v>
      </c>
      <c r="H1097" t="n">
        <v>627.966</v>
      </c>
      <c r="I1097" t="n">
        <v>30</v>
      </c>
      <c r="J1097" t="inlineStr">
        <is>
          <t>BTBR</t>
        </is>
      </c>
      <c r="K1097" t="inlineStr">
        <is>
          <t xml:space="preserve"> Female</t>
        </is>
      </c>
      <c r="L1097" t="inlineStr">
        <is>
          <t>No focal subject</t>
        </is>
      </c>
      <c r="M1097" t="n">
        <v>46.333</v>
      </c>
      <c r="N1097" t="inlineStr">
        <is>
          <t>Explore_F</t>
        </is>
      </c>
      <c r="O1097" t="inlineStr">
        <is>
          <t>Familiar</t>
        </is>
      </c>
      <c r="P1097" t="inlineStr">
        <is>
          <t>STATE</t>
        </is>
      </c>
      <c r="Q1097" t="n">
        <v>19.6</v>
      </c>
      <c r="R1097" t="n">
        <v>20.067</v>
      </c>
      <c r="S1097" t="n">
        <v>0.467</v>
      </c>
      <c r="T1097" t="inlineStr">
        <is>
          <t>C:/Users/manuel.felline/Documents/BEHAVIOR BTBR/NOR second cohort/BTBR/training/c10_f4.mp4</t>
        </is>
      </c>
      <c r="U1097" t="n">
        <v>801</v>
      </c>
      <c r="V1097" t="n">
        <v>815</v>
      </c>
      <c r="W1097" t="n">
        <v/>
      </c>
      <c r="X1097" t="n">
        <v/>
      </c>
      <c r="Y1097" t="n">
        <v/>
      </c>
      <c r="Z1097" t="n">
        <v/>
      </c>
      <c r="AA1097">
        <f>SUMIFS($S$2:S1097,$A$2:A1097,A1097,$N$2:N1097,"Explore*")</f>
        <v/>
      </c>
      <c r="AB1097">
        <f>IF(AND(LEFT(N1097,7)="Explore",(AA1097-IF(LEFT(N1097,7)="Explore",S1097,0))&lt;10),"SI","NO")</f>
        <v/>
      </c>
    </row>
    <row r="1098">
      <c r="A1098" t="inlineStr">
        <is>
          <t>c10f4_training</t>
        </is>
      </c>
      <c r="B1098" t="inlineStr">
        <is>
          <t>2026-06-25 15:39:04.374</t>
        </is>
      </c>
      <c r="C1098" t="n">
        <v/>
      </c>
      <c r="D1098" t="inlineStr">
        <is>
          <t>Media file</t>
        </is>
      </c>
      <c r="E1098" t="inlineStr">
        <is>
          <t>player #1:C:/Users/manuel.felline/Documents/BEHAVIOR BTBR/NOR second cohort/BTBR/training/c10_f4.mp4</t>
        </is>
      </c>
      <c r="F1098" t="n">
        <v>-7.1</v>
      </c>
      <c r="G1098" t="n">
        <v>567.333</v>
      </c>
      <c r="H1098" t="n">
        <v>627.966</v>
      </c>
      <c r="I1098" t="n">
        <v>30</v>
      </c>
      <c r="J1098" t="inlineStr">
        <is>
          <t>BTBR</t>
        </is>
      </c>
      <c r="K1098" t="inlineStr">
        <is>
          <t xml:space="preserve"> Female</t>
        </is>
      </c>
      <c r="L1098" t="inlineStr">
        <is>
          <t>No focal subject</t>
        </is>
      </c>
      <c r="M1098" t="n">
        <v>46.333</v>
      </c>
      <c r="N1098" t="inlineStr">
        <is>
          <t>Explore_F</t>
        </is>
      </c>
      <c r="O1098" t="inlineStr">
        <is>
          <t>Familiar</t>
        </is>
      </c>
      <c r="P1098" t="inlineStr">
        <is>
          <t>STATE</t>
        </is>
      </c>
      <c r="Q1098" t="n">
        <v>25.933</v>
      </c>
      <c r="R1098" t="n">
        <v>26.233</v>
      </c>
      <c r="S1098" t="n">
        <v>0.3</v>
      </c>
      <c r="T1098" t="inlineStr">
        <is>
          <t>C:/Users/manuel.felline/Documents/BEHAVIOR BTBR/NOR second cohort/BTBR/training/c10_f4.mp4</t>
        </is>
      </c>
      <c r="U1098" t="n">
        <v>991</v>
      </c>
      <c r="V1098" t="n">
        <v>1000</v>
      </c>
      <c r="W1098" t="n">
        <v/>
      </c>
      <c r="X1098" t="n">
        <v/>
      </c>
      <c r="Y1098" t="n">
        <v/>
      </c>
      <c r="Z1098" t="n">
        <v/>
      </c>
      <c r="AA1098">
        <f>SUMIFS($S$2:S1098,$A$2:A1098,A1098,$N$2:N1098,"Explore*")</f>
        <v/>
      </c>
      <c r="AB1098">
        <f>IF(AND(LEFT(N1098,7)="Explore",(AA1098-IF(LEFT(N1098,7)="Explore",S1098,0))&lt;10),"SI","NO")</f>
        <v/>
      </c>
    </row>
    <row r="1099">
      <c r="A1099" t="inlineStr">
        <is>
          <t>c10f4_training</t>
        </is>
      </c>
      <c r="B1099" t="inlineStr">
        <is>
          <t>2026-06-25 15:39:04.374</t>
        </is>
      </c>
      <c r="C1099" t="n">
        <v/>
      </c>
      <c r="D1099" t="inlineStr">
        <is>
          <t>Media file</t>
        </is>
      </c>
      <c r="E1099" t="inlineStr">
        <is>
          <t>player #1:C:/Users/manuel.felline/Documents/BEHAVIOR BTBR/NOR second cohort/BTBR/training/c10_f4.mp4</t>
        </is>
      </c>
      <c r="F1099" t="n">
        <v>-7.1</v>
      </c>
      <c r="G1099" t="n">
        <v>567.333</v>
      </c>
      <c r="H1099" t="n">
        <v>627.966</v>
      </c>
      <c r="I1099" t="n">
        <v>30</v>
      </c>
      <c r="J1099" t="inlineStr">
        <is>
          <t>BTBR</t>
        </is>
      </c>
      <c r="K1099" t="inlineStr">
        <is>
          <t xml:space="preserve"> Female</t>
        </is>
      </c>
      <c r="L1099" t="inlineStr">
        <is>
          <t>No focal subject</t>
        </is>
      </c>
      <c r="M1099" t="n">
        <v>46.333</v>
      </c>
      <c r="N1099" t="inlineStr">
        <is>
          <t>Explore_F2</t>
        </is>
      </c>
      <c r="O1099" t="inlineStr">
        <is>
          <t>Second familiar</t>
        </is>
      </c>
      <c r="P1099" t="inlineStr">
        <is>
          <t>STATE</t>
        </is>
      </c>
      <c r="Q1099" t="n">
        <v>28.9</v>
      </c>
      <c r="R1099" t="n">
        <v>29.167</v>
      </c>
      <c r="S1099" t="n">
        <v>0.267</v>
      </c>
      <c r="T1099" t="inlineStr">
        <is>
          <t>C:/Users/manuel.felline/Documents/BEHAVIOR BTBR/NOR second cohort/BTBR/training/c10_f4.mp4</t>
        </is>
      </c>
      <c r="U1099" t="n">
        <v>1080</v>
      </c>
      <c r="V1099" t="n">
        <v>1088</v>
      </c>
      <c r="W1099" t="n">
        <v/>
      </c>
      <c r="X1099" t="n">
        <v/>
      </c>
      <c r="Y1099" t="n">
        <v/>
      </c>
      <c r="Z1099" t="n">
        <v/>
      </c>
      <c r="AA1099">
        <f>SUMIFS($S$2:S1099,$A$2:A1099,A1099,$N$2:N1099,"Explore*")</f>
        <v/>
      </c>
      <c r="AB1099">
        <f>IF(AND(LEFT(N1099,7)="Explore",(AA1099-IF(LEFT(N1099,7)="Explore",S1099,0))&lt;10),"SI","NO")</f>
        <v/>
      </c>
    </row>
    <row r="1100">
      <c r="A1100" t="inlineStr">
        <is>
          <t>c10f4_training</t>
        </is>
      </c>
      <c r="B1100" t="inlineStr">
        <is>
          <t>2026-06-25 15:39:04.374</t>
        </is>
      </c>
      <c r="C1100" t="n">
        <v/>
      </c>
      <c r="D1100" t="inlineStr">
        <is>
          <t>Media file</t>
        </is>
      </c>
      <c r="E1100" t="inlineStr">
        <is>
          <t>player #1:C:/Users/manuel.felline/Documents/BEHAVIOR BTBR/NOR second cohort/BTBR/training/c10_f4.mp4</t>
        </is>
      </c>
      <c r="F1100" t="n">
        <v>-7.1</v>
      </c>
      <c r="G1100" t="n">
        <v>567.333</v>
      </c>
      <c r="H1100" t="n">
        <v>627.966</v>
      </c>
      <c r="I1100" t="n">
        <v>30</v>
      </c>
      <c r="J1100" t="inlineStr">
        <is>
          <t>BTBR</t>
        </is>
      </c>
      <c r="K1100" t="inlineStr">
        <is>
          <t xml:space="preserve"> Female</t>
        </is>
      </c>
      <c r="L1100" t="inlineStr">
        <is>
          <t>No focal subject</t>
        </is>
      </c>
      <c r="M1100" t="n">
        <v>46.333</v>
      </c>
      <c r="N1100" t="inlineStr">
        <is>
          <t>Explore_F</t>
        </is>
      </c>
      <c r="O1100" t="inlineStr">
        <is>
          <t>Familiar</t>
        </is>
      </c>
      <c r="P1100" t="inlineStr">
        <is>
          <t>STATE</t>
        </is>
      </c>
      <c r="Q1100" t="n">
        <v>31.433</v>
      </c>
      <c r="R1100" t="n">
        <v>31.767</v>
      </c>
      <c r="S1100" t="n">
        <v>0.334</v>
      </c>
      <c r="T1100" t="inlineStr">
        <is>
          <t>C:/Users/manuel.felline/Documents/BEHAVIOR BTBR/NOR second cohort/BTBR/training/c10_f4.mp4</t>
        </is>
      </c>
      <c r="U1100" t="n">
        <v>1156</v>
      </c>
      <c r="V1100" t="n">
        <v>1166</v>
      </c>
      <c r="W1100" t="n">
        <v/>
      </c>
      <c r="X1100" t="n">
        <v/>
      </c>
      <c r="Y1100" t="n">
        <v/>
      </c>
      <c r="Z1100" t="n">
        <v/>
      </c>
      <c r="AA1100">
        <f>SUMIFS($S$2:S1100,$A$2:A1100,A1100,$N$2:N1100,"Explore*")</f>
        <v/>
      </c>
      <c r="AB1100">
        <f>IF(AND(LEFT(N1100,7)="Explore",(AA1100-IF(LEFT(N1100,7)="Explore",S1100,0))&lt;10),"SI","NO")</f>
        <v/>
      </c>
    </row>
    <row r="1101">
      <c r="A1101" t="inlineStr">
        <is>
          <t>c10f4_training</t>
        </is>
      </c>
      <c r="B1101" t="inlineStr">
        <is>
          <t>2026-06-25 15:39:04.374</t>
        </is>
      </c>
      <c r="C1101" t="n">
        <v/>
      </c>
      <c r="D1101" t="inlineStr">
        <is>
          <t>Media file</t>
        </is>
      </c>
      <c r="E1101" t="inlineStr">
        <is>
          <t>player #1:C:/Users/manuel.felline/Documents/BEHAVIOR BTBR/NOR second cohort/BTBR/training/c10_f4.mp4</t>
        </is>
      </c>
      <c r="F1101" t="n">
        <v>-7.1</v>
      </c>
      <c r="G1101" t="n">
        <v>567.333</v>
      </c>
      <c r="H1101" t="n">
        <v>627.966</v>
      </c>
      <c r="I1101" t="n">
        <v>30</v>
      </c>
      <c r="J1101" t="inlineStr">
        <is>
          <t>BTBR</t>
        </is>
      </c>
      <c r="K1101" t="inlineStr">
        <is>
          <t xml:space="preserve"> Female</t>
        </is>
      </c>
      <c r="L1101" t="inlineStr">
        <is>
          <t>No focal subject</t>
        </is>
      </c>
      <c r="M1101" t="n">
        <v>46.333</v>
      </c>
      <c r="N1101" t="inlineStr">
        <is>
          <t>Explore_F2</t>
        </is>
      </c>
      <c r="O1101" t="inlineStr">
        <is>
          <t>Second familiar</t>
        </is>
      </c>
      <c r="P1101" t="inlineStr">
        <is>
          <t>STATE</t>
        </is>
      </c>
      <c r="Q1101" t="n">
        <v>35.933</v>
      </c>
      <c r="R1101" t="n">
        <v>36.267</v>
      </c>
      <c r="S1101" t="n">
        <v>0.334</v>
      </c>
      <c r="T1101" t="inlineStr">
        <is>
          <t>C:/Users/manuel.felline/Documents/BEHAVIOR BTBR/NOR second cohort/BTBR/training/c10_f4.mp4</t>
        </is>
      </c>
      <c r="U1101" t="n">
        <v>1291</v>
      </c>
      <c r="V1101" t="n">
        <v>1301</v>
      </c>
      <c r="W1101" t="n">
        <v/>
      </c>
      <c r="X1101" t="n">
        <v/>
      </c>
      <c r="Y1101" t="n">
        <v/>
      </c>
      <c r="Z1101" t="n">
        <v/>
      </c>
      <c r="AA1101">
        <f>SUMIFS($S$2:S1101,$A$2:A1101,A1101,$N$2:N1101,"Explore*")</f>
        <v/>
      </c>
      <c r="AB1101">
        <f>IF(AND(LEFT(N1101,7)="Explore",(AA1101-IF(LEFT(N1101,7)="Explore",S1101,0))&lt;10),"SI","NO")</f>
        <v/>
      </c>
    </row>
    <row r="1102">
      <c r="A1102" t="inlineStr">
        <is>
          <t>c10f4_training</t>
        </is>
      </c>
      <c r="B1102" t="inlineStr">
        <is>
          <t>2026-06-25 15:39:04.374</t>
        </is>
      </c>
      <c r="C1102" t="n">
        <v/>
      </c>
      <c r="D1102" t="inlineStr">
        <is>
          <t>Media file</t>
        </is>
      </c>
      <c r="E1102" t="inlineStr">
        <is>
          <t>player #1:C:/Users/manuel.felline/Documents/BEHAVIOR BTBR/NOR second cohort/BTBR/training/c10_f4.mp4</t>
        </is>
      </c>
      <c r="F1102" t="n">
        <v>-7.1</v>
      </c>
      <c r="G1102" t="n">
        <v>567.333</v>
      </c>
      <c r="H1102" t="n">
        <v>627.966</v>
      </c>
      <c r="I1102" t="n">
        <v>30</v>
      </c>
      <c r="J1102" t="inlineStr">
        <is>
          <t>BTBR</t>
        </is>
      </c>
      <c r="K1102" t="inlineStr">
        <is>
          <t xml:space="preserve"> Female</t>
        </is>
      </c>
      <c r="L1102" t="inlineStr">
        <is>
          <t>No focal subject</t>
        </is>
      </c>
      <c r="M1102" t="n">
        <v>46.333</v>
      </c>
      <c r="N1102" t="inlineStr">
        <is>
          <t>Explore_F2</t>
        </is>
      </c>
      <c r="O1102" t="inlineStr">
        <is>
          <t>Second familiar</t>
        </is>
      </c>
      <c r="P1102" t="inlineStr">
        <is>
          <t>STATE</t>
        </is>
      </c>
      <c r="Q1102" t="n">
        <v>40.333</v>
      </c>
      <c r="R1102" t="n">
        <v>40.8</v>
      </c>
      <c r="S1102" t="n">
        <v>0.467</v>
      </c>
      <c r="T1102" t="inlineStr">
        <is>
          <t>C:/Users/manuel.felline/Documents/BEHAVIOR BTBR/NOR second cohort/BTBR/training/c10_f4.mp4</t>
        </is>
      </c>
      <c r="U1102" t="n">
        <v>1423</v>
      </c>
      <c r="V1102" t="n">
        <v>1437</v>
      </c>
      <c r="W1102" t="n">
        <v/>
      </c>
      <c r="X1102" t="n">
        <v/>
      </c>
      <c r="Y1102" t="n">
        <v/>
      </c>
      <c r="Z1102" t="n">
        <v/>
      </c>
      <c r="AA1102">
        <f>SUMIFS($S$2:S1102,$A$2:A1102,A1102,$N$2:N1102,"Explore*")</f>
        <v/>
      </c>
      <c r="AB1102">
        <f>IF(AND(LEFT(N1102,7)="Explore",(AA1102-IF(LEFT(N1102,7)="Explore",S1102,0))&lt;10),"SI","NO")</f>
        <v/>
      </c>
    </row>
    <row r="1103">
      <c r="A1103" t="inlineStr">
        <is>
          <t>c10f4_training</t>
        </is>
      </c>
      <c r="B1103" t="inlineStr">
        <is>
          <t>2026-06-25 15:39:04.374</t>
        </is>
      </c>
      <c r="C1103" t="n">
        <v/>
      </c>
      <c r="D1103" t="inlineStr">
        <is>
          <t>Media file</t>
        </is>
      </c>
      <c r="E1103" t="inlineStr">
        <is>
          <t>player #1:C:/Users/manuel.felline/Documents/BEHAVIOR BTBR/NOR second cohort/BTBR/training/c10_f4.mp4</t>
        </is>
      </c>
      <c r="F1103" t="n">
        <v>-7.1</v>
      </c>
      <c r="G1103" t="n">
        <v>567.333</v>
      </c>
      <c r="H1103" t="n">
        <v>627.966</v>
      </c>
      <c r="I1103" t="n">
        <v>30</v>
      </c>
      <c r="J1103" t="inlineStr">
        <is>
          <t>BTBR</t>
        </is>
      </c>
      <c r="K1103" t="inlineStr">
        <is>
          <t xml:space="preserve"> Female</t>
        </is>
      </c>
      <c r="L1103" t="inlineStr">
        <is>
          <t>No focal subject</t>
        </is>
      </c>
      <c r="M1103" t="n">
        <v>46.333</v>
      </c>
      <c r="N1103" t="inlineStr">
        <is>
          <t>Explore_F</t>
        </is>
      </c>
      <c r="O1103" t="inlineStr">
        <is>
          <t>Familiar</t>
        </is>
      </c>
      <c r="P1103" t="inlineStr">
        <is>
          <t>STATE</t>
        </is>
      </c>
      <c r="Q1103" t="n">
        <v>41.433</v>
      </c>
      <c r="R1103" t="n">
        <v>42.233</v>
      </c>
      <c r="S1103" t="n">
        <v>0.8</v>
      </c>
      <c r="T1103" t="inlineStr">
        <is>
          <t>C:/Users/manuel.felline/Documents/BEHAVIOR BTBR/NOR second cohort/BTBR/training/c10_f4.mp4</t>
        </is>
      </c>
      <c r="U1103" t="n">
        <v>1456</v>
      </c>
      <c r="V1103" t="n">
        <v>1480</v>
      </c>
      <c r="W1103" t="n">
        <v/>
      </c>
      <c r="X1103" t="n">
        <v/>
      </c>
      <c r="Y1103" t="n">
        <v/>
      </c>
      <c r="Z1103" t="n">
        <v/>
      </c>
      <c r="AA1103">
        <f>SUMIFS($S$2:S1103,$A$2:A1103,A1103,$N$2:N1103,"Explore*")</f>
        <v/>
      </c>
      <c r="AB1103">
        <f>IF(AND(LEFT(N1103,7)="Explore",(AA1103-IF(LEFT(N1103,7)="Explore",S1103,0))&lt;10),"SI","NO")</f>
        <v/>
      </c>
    </row>
    <row r="1104">
      <c r="A1104" t="inlineStr">
        <is>
          <t>c10f4_training</t>
        </is>
      </c>
      <c r="B1104" t="inlineStr">
        <is>
          <t>2026-06-25 15:39:04.374</t>
        </is>
      </c>
      <c r="C1104" t="n">
        <v/>
      </c>
      <c r="D1104" t="inlineStr">
        <is>
          <t>Media file</t>
        </is>
      </c>
      <c r="E1104" t="inlineStr">
        <is>
          <t>player #1:C:/Users/manuel.felline/Documents/BEHAVIOR BTBR/NOR second cohort/BTBR/training/c10_f4.mp4</t>
        </is>
      </c>
      <c r="F1104" t="n">
        <v>-7.1</v>
      </c>
      <c r="G1104" t="n">
        <v>567.333</v>
      </c>
      <c r="H1104" t="n">
        <v>627.966</v>
      </c>
      <c r="I1104" t="n">
        <v>30</v>
      </c>
      <c r="J1104" t="inlineStr">
        <is>
          <t>BTBR</t>
        </is>
      </c>
      <c r="K1104" t="inlineStr">
        <is>
          <t xml:space="preserve"> Female</t>
        </is>
      </c>
      <c r="L1104" t="inlineStr">
        <is>
          <t>No focal subject</t>
        </is>
      </c>
      <c r="M1104" t="n">
        <v>46.333</v>
      </c>
      <c r="N1104" t="inlineStr">
        <is>
          <t>Explore_F</t>
        </is>
      </c>
      <c r="O1104" t="inlineStr">
        <is>
          <t>Familiar</t>
        </is>
      </c>
      <c r="P1104" t="inlineStr">
        <is>
          <t>STATE</t>
        </is>
      </c>
      <c r="Q1104" t="n">
        <v>44.167</v>
      </c>
      <c r="R1104" t="n">
        <v>45.233</v>
      </c>
      <c r="S1104" t="n">
        <v>1.066</v>
      </c>
      <c r="T1104" t="inlineStr">
        <is>
          <t>C:/Users/manuel.felline/Documents/BEHAVIOR BTBR/NOR second cohort/BTBR/training/c10_f4.mp4</t>
        </is>
      </c>
      <c r="U1104" t="n">
        <v>1538</v>
      </c>
      <c r="V1104" t="n">
        <v>1570</v>
      </c>
      <c r="W1104" t="n">
        <v/>
      </c>
      <c r="X1104" t="n">
        <v/>
      </c>
      <c r="Y1104" t="n">
        <v/>
      </c>
      <c r="Z1104" t="n">
        <v/>
      </c>
      <c r="AA1104">
        <f>SUMIFS($S$2:S1104,$A$2:A1104,A1104,$N$2:N1104,"Explore*")</f>
        <v/>
      </c>
      <c r="AB1104">
        <f>IF(AND(LEFT(N1104,7)="Explore",(AA1104-IF(LEFT(N1104,7)="Explore",S1104,0))&lt;10),"SI","NO")</f>
        <v/>
      </c>
    </row>
    <row r="1105">
      <c r="A1105" t="inlineStr">
        <is>
          <t>c10f4_training</t>
        </is>
      </c>
      <c r="B1105" t="inlineStr">
        <is>
          <t>2026-06-25 15:39:04.374</t>
        </is>
      </c>
      <c r="C1105" t="n">
        <v/>
      </c>
      <c r="D1105" t="inlineStr">
        <is>
          <t>Media file</t>
        </is>
      </c>
      <c r="E1105" t="inlineStr">
        <is>
          <t>player #1:C:/Users/manuel.felline/Documents/BEHAVIOR BTBR/NOR second cohort/BTBR/training/c10_f4.mp4</t>
        </is>
      </c>
      <c r="F1105" t="n">
        <v>-7.1</v>
      </c>
      <c r="G1105" t="n">
        <v>567.333</v>
      </c>
      <c r="H1105" t="n">
        <v>627.966</v>
      </c>
      <c r="I1105" t="n">
        <v>30</v>
      </c>
      <c r="J1105" t="inlineStr">
        <is>
          <t>BTBR</t>
        </is>
      </c>
      <c r="K1105" t="inlineStr">
        <is>
          <t xml:space="preserve"> Female</t>
        </is>
      </c>
      <c r="L1105" t="inlineStr">
        <is>
          <t>No focal subject</t>
        </is>
      </c>
      <c r="M1105" t="n">
        <v>46.333</v>
      </c>
      <c r="N1105" t="inlineStr">
        <is>
          <t>Explore_F2</t>
        </is>
      </c>
      <c r="O1105" t="inlineStr">
        <is>
          <t>Second familiar</t>
        </is>
      </c>
      <c r="P1105" t="inlineStr">
        <is>
          <t>STATE</t>
        </is>
      </c>
      <c r="Q1105" t="n">
        <v>45.667</v>
      </c>
      <c r="R1105" t="n">
        <v>46.033</v>
      </c>
      <c r="S1105" t="n">
        <v>0.366</v>
      </c>
      <c r="T1105" t="inlineStr">
        <is>
          <t>C:/Users/manuel.felline/Documents/BEHAVIOR BTBR/NOR second cohort/BTBR/training/c10_f4.mp4</t>
        </is>
      </c>
      <c r="U1105" t="n">
        <v>1583</v>
      </c>
      <c r="V1105" t="n">
        <v>1594</v>
      </c>
      <c r="W1105" t="n">
        <v/>
      </c>
      <c r="X1105" t="n">
        <v/>
      </c>
      <c r="Y1105" t="n">
        <v/>
      </c>
      <c r="Z1105" t="n">
        <v/>
      </c>
      <c r="AA1105">
        <f>SUMIFS($S$2:S1105,$A$2:A1105,A1105,$N$2:N1105,"Explore*")</f>
        <v/>
      </c>
      <c r="AB1105">
        <f>IF(AND(LEFT(N1105,7)="Explore",(AA1105-IF(LEFT(N1105,7)="Explore",S1105,0))&lt;10),"SI","NO")</f>
        <v/>
      </c>
    </row>
    <row r="1106">
      <c r="A1106" t="inlineStr">
        <is>
          <t>c10f4_training</t>
        </is>
      </c>
      <c r="B1106" t="inlineStr">
        <is>
          <t>2026-06-25 15:39:04.374</t>
        </is>
      </c>
      <c r="C1106" t="n">
        <v/>
      </c>
      <c r="D1106" t="inlineStr">
        <is>
          <t>Media file</t>
        </is>
      </c>
      <c r="E1106" t="inlineStr">
        <is>
          <t>player #1:C:/Users/manuel.felline/Documents/BEHAVIOR BTBR/NOR second cohort/BTBR/training/c10_f4.mp4</t>
        </is>
      </c>
      <c r="F1106" t="n">
        <v>-7.1</v>
      </c>
      <c r="G1106" t="n">
        <v>567.333</v>
      </c>
      <c r="H1106" t="n">
        <v>627.966</v>
      </c>
      <c r="I1106" t="n">
        <v>30</v>
      </c>
      <c r="J1106" t="inlineStr">
        <is>
          <t>BTBR</t>
        </is>
      </c>
      <c r="K1106" t="inlineStr">
        <is>
          <t xml:space="preserve"> Female</t>
        </is>
      </c>
      <c r="L1106" t="inlineStr">
        <is>
          <t>No focal subject</t>
        </is>
      </c>
      <c r="M1106" t="n">
        <v>46.333</v>
      </c>
      <c r="N1106" t="inlineStr">
        <is>
          <t>Explore_F2</t>
        </is>
      </c>
      <c r="O1106" t="inlineStr">
        <is>
          <t>Second familiar</t>
        </is>
      </c>
      <c r="P1106" t="inlineStr">
        <is>
          <t>STATE</t>
        </is>
      </c>
      <c r="Q1106" t="n">
        <v>49.8</v>
      </c>
      <c r="R1106" t="n">
        <v>50.233</v>
      </c>
      <c r="S1106" t="n">
        <v>0.433</v>
      </c>
      <c r="T1106" t="inlineStr">
        <is>
          <t>C:/Users/manuel.felline/Documents/BEHAVIOR BTBR/NOR second cohort/BTBR/training/c10_f4.mp4</t>
        </is>
      </c>
      <c r="U1106" t="n">
        <v>1707</v>
      </c>
      <c r="V1106" t="n">
        <v>1720</v>
      </c>
      <c r="W1106" t="n">
        <v/>
      </c>
      <c r="X1106" t="n">
        <v/>
      </c>
      <c r="Y1106" t="n">
        <v/>
      </c>
      <c r="Z1106" t="n">
        <v/>
      </c>
      <c r="AA1106">
        <f>SUMIFS($S$2:S1106,$A$2:A1106,A1106,$N$2:N1106,"Explore*")</f>
        <v/>
      </c>
      <c r="AB1106">
        <f>IF(AND(LEFT(N1106,7)="Explore",(AA1106-IF(LEFT(N1106,7)="Explore",S1106,0))&lt;10),"SI","NO")</f>
        <v/>
      </c>
    </row>
    <row r="1107">
      <c r="A1107" t="inlineStr">
        <is>
          <t>c10f4_training</t>
        </is>
      </c>
      <c r="B1107" t="inlineStr">
        <is>
          <t>2026-06-25 15:39:04.374</t>
        </is>
      </c>
      <c r="C1107" t="n">
        <v/>
      </c>
      <c r="D1107" t="inlineStr">
        <is>
          <t>Media file</t>
        </is>
      </c>
      <c r="E1107" t="inlineStr">
        <is>
          <t>player #1:C:/Users/manuel.felline/Documents/BEHAVIOR BTBR/NOR second cohort/BTBR/training/c10_f4.mp4</t>
        </is>
      </c>
      <c r="F1107" t="n">
        <v>-7.1</v>
      </c>
      <c r="G1107" t="n">
        <v>567.333</v>
      </c>
      <c r="H1107" t="n">
        <v>627.966</v>
      </c>
      <c r="I1107" t="n">
        <v>30</v>
      </c>
      <c r="J1107" t="inlineStr">
        <is>
          <t>BTBR</t>
        </is>
      </c>
      <c r="K1107" t="inlineStr">
        <is>
          <t xml:space="preserve"> Female</t>
        </is>
      </c>
      <c r="L1107" t="inlineStr">
        <is>
          <t>No focal subject</t>
        </is>
      </c>
      <c r="M1107" t="n">
        <v>46.333</v>
      </c>
      <c r="N1107" t="inlineStr">
        <is>
          <t>Explore_F2</t>
        </is>
      </c>
      <c r="O1107" t="inlineStr">
        <is>
          <t>Second familiar</t>
        </is>
      </c>
      <c r="P1107" t="inlineStr">
        <is>
          <t>STATE</t>
        </is>
      </c>
      <c r="Q1107" t="n">
        <v>56.067</v>
      </c>
      <c r="R1107" t="n">
        <v>57.767</v>
      </c>
      <c r="S1107" t="n">
        <v>1.7</v>
      </c>
      <c r="T1107" t="inlineStr">
        <is>
          <t>C:/Users/manuel.felline/Documents/BEHAVIOR BTBR/NOR second cohort/BTBR/training/c10_f4.mp4</t>
        </is>
      </c>
      <c r="U1107" t="n">
        <v>1895</v>
      </c>
      <c r="V1107" t="n">
        <v>1946</v>
      </c>
      <c r="W1107" t="n">
        <v/>
      </c>
      <c r="X1107" t="n">
        <v/>
      </c>
      <c r="Y1107" t="n">
        <v/>
      </c>
      <c r="Z1107" t="n">
        <v/>
      </c>
      <c r="AA1107">
        <f>SUMIFS($S$2:S1107,$A$2:A1107,A1107,$N$2:N1107,"Explore*")</f>
        <v/>
      </c>
      <c r="AB1107">
        <f>IF(AND(LEFT(N1107,7)="Explore",(AA1107-IF(LEFT(N1107,7)="Explore",S1107,0))&lt;10),"SI","NO")</f>
        <v/>
      </c>
    </row>
    <row r="1108">
      <c r="A1108" t="inlineStr">
        <is>
          <t>c10f4_training</t>
        </is>
      </c>
      <c r="B1108" t="inlineStr">
        <is>
          <t>2026-06-25 15:39:04.374</t>
        </is>
      </c>
      <c r="C1108" t="n">
        <v/>
      </c>
      <c r="D1108" t="inlineStr">
        <is>
          <t>Media file</t>
        </is>
      </c>
      <c r="E1108" t="inlineStr">
        <is>
          <t>player #1:C:/Users/manuel.felline/Documents/BEHAVIOR BTBR/NOR second cohort/BTBR/training/c10_f4.mp4</t>
        </is>
      </c>
      <c r="F1108" t="n">
        <v>-7.1</v>
      </c>
      <c r="G1108" t="n">
        <v>567.333</v>
      </c>
      <c r="H1108" t="n">
        <v>627.966</v>
      </c>
      <c r="I1108" t="n">
        <v>30</v>
      </c>
      <c r="J1108" t="inlineStr">
        <is>
          <t>BTBR</t>
        </is>
      </c>
      <c r="K1108" t="inlineStr">
        <is>
          <t xml:space="preserve"> Female</t>
        </is>
      </c>
      <c r="L1108" t="inlineStr">
        <is>
          <t>No focal subject</t>
        </is>
      </c>
      <c r="M1108" t="n">
        <v>46.333</v>
      </c>
      <c r="N1108" t="inlineStr">
        <is>
          <t>Explore_F</t>
        </is>
      </c>
      <c r="O1108" t="inlineStr">
        <is>
          <t>Familiar</t>
        </is>
      </c>
      <c r="P1108" t="inlineStr">
        <is>
          <t>STATE</t>
        </is>
      </c>
      <c r="Q1108" t="n">
        <v>60.467</v>
      </c>
      <c r="R1108" t="n">
        <v>60.9</v>
      </c>
      <c r="S1108" t="n">
        <v>0.433</v>
      </c>
      <c r="T1108" t="inlineStr">
        <is>
          <t>C:/Users/manuel.felline/Documents/BEHAVIOR BTBR/NOR second cohort/BTBR/training/c10_f4.mp4</t>
        </is>
      </c>
      <c r="U1108" t="n">
        <v>2027</v>
      </c>
      <c r="V1108" t="n">
        <v>2040</v>
      </c>
      <c r="W1108" t="n">
        <v/>
      </c>
      <c r="X1108" t="n">
        <v/>
      </c>
      <c r="Y1108" t="n">
        <v/>
      </c>
      <c r="Z1108" t="n">
        <v/>
      </c>
      <c r="AA1108">
        <f>SUMIFS($S$2:S1108,$A$2:A1108,A1108,$N$2:N1108,"Explore*")</f>
        <v/>
      </c>
      <c r="AB1108">
        <f>IF(AND(LEFT(N1108,7)="Explore",(AA1108-IF(LEFT(N1108,7)="Explore",S1108,0))&lt;10),"SI","NO")</f>
        <v/>
      </c>
    </row>
    <row r="1109">
      <c r="A1109" t="inlineStr">
        <is>
          <t>c10f4_training</t>
        </is>
      </c>
      <c r="B1109" t="inlineStr">
        <is>
          <t>2026-06-25 15:39:04.374</t>
        </is>
      </c>
      <c r="C1109" t="n">
        <v/>
      </c>
      <c r="D1109" t="inlineStr">
        <is>
          <t>Media file</t>
        </is>
      </c>
      <c r="E1109" t="inlineStr">
        <is>
          <t>player #1:C:/Users/manuel.felline/Documents/BEHAVIOR BTBR/NOR second cohort/BTBR/training/c10_f4.mp4</t>
        </is>
      </c>
      <c r="F1109" t="n">
        <v>-7.1</v>
      </c>
      <c r="G1109" t="n">
        <v>567.333</v>
      </c>
      <c r="H1109" t="n">
        <v>627.966</v>
      </c>
      <c r="I1109" t="n">
        <v>30</v>
      </c>
      <c r="J1109" t="inlineStr">
        <is>
          <t>BTBR</t>
        </is>
      </c>
      <c r="K1109" t="inlineStr">
        <is>
          <t xml:space="preserve"> Female</t>
        </is>
      </c>
      <c r="L1109" t="inlineStr">
        <is>
          <t>No focal subject</t>
        </is>
      </c>
      <c r="M1109" t="n">
        <v>46.333</v>
      </c>
      <c r="N1109" t="inlineStr">
        <is>
          <t>Explore_F</t>
        </is>
      </c>
      <c r="O1109" t="inlineStr">
        <is>
          <t>Familiar</t>
        </is>
      </c>
      <c r="P1109" t="inlineStr">
        <is>
          <t>STATE</t>
        </is>
      </c>
      <c r="Q1109" t="n">
        <v>62.167</v>
      </c>
      <c r="R1109" t="n">
        <v>62.733</v>
      </c>
      <c r="S1109" t="n">
        <v>0.5659999999999999</v>
      </c>
      <c r="T1109" t="inlineStr">
        <is>
          <t>C:/Users/manuel.felline/Documents/BEHAVIOR BTBR/NOR second cohort/BTBR/training/c10_f4.mp4</t>
        </is>
      </c>
      <c r="U1109" t="n">
        <v>2078</v>
      </c>
      <c r="V1109" t="n">
        <v>2095</v>
      </c>
      <c r="W1109" t="n">
        <v/>
      </c>
      <c r="X1109" t="n">
        <v/>
      </c>
      <c r="Y1109" t="n">
        <v/>
      </c>
      <c r="Z1109" t="n">
        <v/>
      </c>
      <c r="AA1109">
        <f>SUMIFS($S$2:S1109,$A$2:A1109,A1109,$N$2:N1109,"Explore*")</f>
        <v/>
      </c>
      <c r="AB1109">
        <f>IF(AND(LEFT(N1109,7)="Explore",(AA1109-IF(LEFT(N1109,7)="Explore",S1109,0))&lt;10),"SI","NO")</f>
        <v/>
      </c>
    </row>
    <row r="1110">
      <c r="A1110" t="inlineStr">
        <is>
          <t>c10f4_training</t>
        </is>
      </c>
      <c r="B1110" t="inlineStr">
        <is>
          <t>2026-06-25 15:39:04.374</t>
        </is>
      </c>
      <c r="C1110" t="n">
        <v/>
      </c>
      <c r="D1110" t="inlineStr">
        <is>
          <t>Media file</t>
        </is>
      </c>
      <c r="E1110" t="inlineStr">
        <is>
          <t>player #1:C:/Users/manuel.felline/Documents/BEHAVIOR BTBR/NOR second cohort/BTBR/training/c10_f4.mp4</t>
        </is>
      </c>
      <c r="F1110" t="n">
        <v>-7.1</v>
      </c>
      <c r="G1110" t="n">
        <v>567.333</v>
      </c>
      <c r="H1110" t="n">
        <v>627.966</v>
      </c>
      <c r="I1110" t="n">
        <v>30</v>
      </c>
      <c r="J1110" t="inlineStr">
        <is>
          <t>BTBR</t>
        </is>
      </c>
      <c r="K1110" t="inlineStr">
        <is>
          <t xml:space="preserve"> Female</t>
        </is>
      </c>
      <c r="L1110" t="inlineStr">
        <is>
          <t>No focal subject</t>
        </is>
      </c>
      <c r="M1110" t="n">
        <v>46.333</v>
      </c>
      <c r="N1110" t="inlineStr">
        <is>
          <t>Explore_F2</t>
        </is>
      </c>
      <c r="O1110" t="inlineStr">
        <is>
          <t>Second familiar</t>
        </is>
      </c>
      <c r="P1110" t="inlineStr">
        <is>
          <t>STATE</t>
        </is>
      </c>
      <c r="Q1110" t="n">
        <v>63.733</v>
      </c>
      <c r="R1110" t="n">
        <v>64.06699999999999</v>
      </c>
      <c r="S1110" t="n">
        <v>0.334</v>
      </c>
      <c r="T1110" t="inlineStr">
        <is>
          <t>C:/Users/manuel.felline/Documents/BEHAVIOR BTBR/NOR second cohort/BTBR/training/c10_f4.mp4</t>
        </is>
      </c>
      <c r="U1110" t="n">
        <v>2125</v>
      </c>
      <c r="V1110" t="n">
        <v>2135</v>
      </c>
      <c r="W1110" t="n">
        <v/>
      </c>
      <c r="X1110" t="n">
        <v/>
      </c>
      <c r="Y1110" t="n">
        <v/>
      </c>
      <c r="Z1110" t="n">
        <v/>
      </c>
      <c r="AA1110">
        <f>SUMIFS($S$2:S1110,$A$2:A1110,A1110,$N$2:N1110,"Explore*")</f>
        <v/>
      </c>
      <c r="AB1110">
        <f>IF(AND(LEFT(N1110,7)="Explore",(AA1110-IF(LEFT(N1110,7)="Explore",S1110,0))&lt;10),"SI","NO")</f>
        <v/>
      </c>
    </row>
    <row r="1111">
      <c r="A1111" t="inlineStr">
        <is>
          <t>c10f4_training</t>
        </is>
      </c>
      <c r="B1111" t="inlineStr">
        <is>
          <t>2026-06-25 15:39:04.374</t>
        </is>
      </c>
      <c r="C1111" t="n">
        <v/>
      </c>
      <c r="D1111" t="inlineStr">
        <is>
          <t>Media file</t>
        </is>
      </c>
      <c r="E1111" t="inlineStr">
        <is>
          <t>player #1:C:/Users/manuel.felline/Documents/BEHAVIOR BTBR/NOR second cohort/BTBR/training/c10_f4.mp4</t>
        </is>
      </c>
      <c r="F1111" t="n">
        <v>-7.1</v>
      </c>
      <c r="G1111" t="n">
        <v>567.333</v>
      </c>
      <c r="H1111" t="n">
        <v>627.966</v>
      </c>
      <c r="I1111" t="n">
        <v>30</v>
      </c>
      <c r="J1111" t="inlineStr">
        <is>
          <t>BTBR</t>
        </is>
      </c>
      <c r="K1111" t="inlineStr">
        <is>
          <t xml:space="preserve"> Female</t>
        </is>
      </c>
      <c r="L1111" t="inlineStr">
        <is>
          <t>No focal subject</t>
        </is>
      </c>
      <c r="M1111" t="n">
        <v>46.333</v>
      </c>
      <c r="N1111" t="inlineStr">
        <is>
          <t>Explore_F2</t>
        </is>
      </c>
      <c r="O1111" t="inlineStr">
        <is>
          <t>Second familiar</t>
        </is>
      </c>
      <c r="P1111" t="inlineStr">
        <is>
          <t>STATE</t>
        </is>
      </c>
      <c r="Q1111" t="n">
        <v>81.833</v>
      </c>
      <c r="R1111" t="n">
        <v>82.233</v>
      </c>
      <c r="S1111" t="n">
        <v>0.4</v>
      </c>
      <c r="T1111" t="inlineStr">
        <is>
          <t>C:/Users/manuel.felline/Documents/BEHAVIOR BTBR/NOR second cohort/BTBR/training/c10_f4.mp4</t>
        </is>
      </c>
      <c r="U1111" t="n">
        <v>2668</v>
      </c>
      <c r="V1111" t="n">
        <v>2680</v>
      </c>
      <c r="W1111" t="n">
        <v/>
      </c>
      <c r="X1111" t="n">
        <v/>
      </c>
      <c r="Y1111" t="n">
        <v/>
      </c>
      <c r="Z1111" t="n">
        <v/>
      </c>
      <c r="AA1111">
        <f>SUMIFS($S$2:S1111,$A$2:A1111,A1111,$N$2:N1111,"Explore*")</f>
        <v/>
      </c>
      <c r="AB1111">
        <f>IF(AND(LEFT(N1111,7)="Explore",(AA1111-IF(LEFT(N1111,7)="Explore",S1111,0))&lt;10),"SI","NO")</f>
        <v/>
      </c>
    </row>
    <row r="1112">
      <c r="A1112" t="inlineStr">
        <is>
          <t>c10f4_training</t>
        </is>
      </c>
      <c r="B1112" t="inlineStr">
        <is>
          <t>2026-06-25 15:39:04.374</t>
        </is>
      </c>
      <c r="C1112" t="n">
        <v/>
      </c>
      <c r="D1112" t="inlineStr">
        <is>
          <t>Media file</t>
        </is>
      </c>
      <c r="E1112" t="inlineStr">
        <is>
          <t>player #1:C:/Users/manuel.felline/Documents/BEHAVIOR BTBR/NOR second cohort/BTBR/training/c10_f4.mp4</t>
        </is>
      </c>
      <c r="F1112" t="n">
        <v>-7.1</v>
      </c>
      <c r="G1112" t="n">
        <v>567.333</v>
      </c>
      <c r="H1112" t="n">
        <v>627.966</v>
      </c>
      <c r="I1112" t="n">
        <v>30</v>
      </c>
      <c r="J1112" t="inlineStr">
        <is>
          <t>BTBR</t>
        </is>
      </c>
      <c r="K1112" t="inlineStr">
        <is>
          <t xml:space="preserve"> Female</t>
        </is>
      </c>
      <c r="L1112" t="inlineStr">
        <is>
          <t>No focal subject</t>
        </is>
      </c>
      <c r="M1112" t="n">
        <v>46.333</v>
      </c>
      <c r="N1112" t="inlineStr">
        <is>
          <t>Explore_F2</t>
        </is>
      </c>
      <c r="O1112" t="inlineStr">
        <is>
          <t>Second familiar</t>
        </is>
      </c>
      <c r="P1112" t="inlineStr">
        <is>
          <t>STATE</t>
        </is>
      </c>
      <c r="Q1112" t="n">
        <v>87.633</v>
      </c>
      <c r="R1112" t="n">
        <v>88.7</v>
      </c>
      <c r="S1112" t="n">
        <v>1.067</v>
      </c>
      <c r="T1112" t="inlineStr">
        <is>
          <t>C:/Users/manuel.felline/Documents/BEHAVIOR BTBR/NOR second cohort/BTBR/training/c10_f4.mp4</t>
        </is>
      </c>
      <c r="U1112" t="n">
        <v>2842</v>
      </c>
      <c r="V1112" t="n">
        <v>2874</v>
      </c>
      <c r="W1112" t="n">
        <v/>
      </c>
      <c r="X1112" t="n">
        <v/>
      </c>
      <c r="Y1112" t="n">
        <v/>
      </c>
      <c r="Z1112" t="n">
        <v/>
      </c>
      <c r="AA1112">
        <f>SUMIFS($S$2:S1112,$A$2:A1112,A1112,$N$2:N1112,"Explore*")</f>
        <v/>
      </c>
      <c r="AB1112">
        <f>IF(AND(LEFT(N1112,7)="Explore",(AA1112-IF(LEFT(N1112,7)="Explore",S1112,0))&lt;10),"SI","NO")</f>
        <v/>
      </c>
    </row>
    <row r="1113">
      <c r="A1113" t="inlineStr">
        <is>
          <t>c10f4_training</t>
        </is>
      </c>
      <c r="B1113" t="inlineStr">
        <is>
          <t>2026-06-25 15:39:04.374</t>
        </is>
      </c>
      <c r="C1113" t="n">
        <v/>
      </c>
      <c r="D1113" t="inlineStr">
        <is>
          <t>Media file</t>
        </is>
      </c>
      <c r="E1113" t="inlineStr">
        <is>
          <t>player #1:C:/Users/manuel.felline/Documents/BEHAVIOR BTBR/NOR second cohort/BTBR/training/c10_f4.mp4</t>
        </is>
      </c>
      <c r="F1113" t="n">
        <v>-7.1</v>
      </c>
      <c r="G1113" t="n">
        <v>567.333</v>
      </c>
      <c r="H1113" t="n">
        <v>627.966</v>
      </c>
      <c r="I1113" t="n">
        <v>30</v>
      </c>
      <c r="J1113" t="inlineStr">
        <is>
          <t>BTBR</t>
        </is>
      </c>
      <c r="K1113" t="inlineStr">
        <is>
          <t xml:space="preserve"> Female</t>
        </is>
      </c>
      <c r="L1113" t="inlineStr">
        <is>
          <t>No focal subject</t>
        </is>
      </c>
      <c r="M1113" t="n">
        <v>46.333</v>
      </c>
      <c r="N1113" t="inlineStr">
        <is>
          <t>Explore_F2</t>
        </is>
      </c>
      <c r="O1113" t="inlineStr">
        <is>
          <t>Second familiar</t>
        </is>
      </c>
      <c r="P1113" t="inlineStr">
        <is>
          <t>STATE</t>
        </is>
      </c>
      <c r="Q1113" t="n">
        <v>98.467</v>
      </c>
      <c r="R1113" t="n">
        <v>99.967</v>
      </c>
      <c r="S1113" t="n">
        <v>1.5</v>
      </c>
      <c r="T1113" t="inlineStr">
        <is>
          <t>C:/Users/manuel.felline/Documents/BEHAVIOR BTBR/NOR second cohort/BTBR/training/c10_f4.mp4</t>
        </is>
      </c>
      <c r="U1113" t="n">
        <v>3167</v>
      </c>
      <c r="V1113" t="n">
        <v>3212</v>
      </c>
      <c r="W1113" t="n">
        <v/>
      </c>
      <c r="X1113" t="n">
        <v/>
      </c>
      <c r="Y1113" t="n">
        <v/>
      </c>
      <c r="Z1113" t="n">
        <v/>
      </c>
      <c r="AA1113">
        <f>SUMIFS($S$2:S1113,$A$2:A1113,A1113,$N$2:N1113,"Explore*")</f>
        <v/>
      </c>
      <c r="AB1113">
        <f>IF(AND(LEFT(N1113,7)="Explore",(AA1113-IF(LEFT(N1113,7)="Explore",S1113,0))&lt;10),"SI","NO")</f>
        <v/>
      </c>
    </row>
    <row r="1114">
      <c r="A1114" t="inlineStr">
        <is>
          <t>c10f4_training</t>
        </is>
      </c>
      <c r="B1114" t="inlineStr">
        <is>
          <t>2026-06-25 15:39:04.374</t>
        </is>
      </c>
      <c r="C1114" t="n">
        <v/>
      </c>
      <c r="D1114" t="inlineStr">
        <is>
          <t>Media file</t>
        </is>
      </c>
      <c r="E1114" t="inlineStr">
        <is>
          <t>player #1:C:/Users/manuel.felline/Documents/BEHAVIOR BTBR/NOR second cohort/BTBR/training/c10_f4.mp4</t>
        </is>
      </c>
      <c r="F1114" t="n">
        <v>-7.1</v>
      </c>
      <c r="G1114" t="n">
        <v>567.333</v>
      </c>
      <c r="H1114" t="n">
        <v>627.966</v>
      </c>
      <c r="I1114" t="n">
        <v>30</v>
      </c>
      <c r="J1114" t="inlineStr">
        <is>
          <t>BTBR</t>
        </is>
      </c>
      <c r="K1114" t="inlineStr">
        <is>
          <t xml:space="preserve"> Female</t>
        </is>
      </c>
      <c r="L1114" t="inlineStr">
        <is>
          <t>No focal subject</t>
        </is>
      </c>
      <c r="M1114" t="n">
        <v>46.333</v>
      </c>
      <c r="N1114" t="inlineStr">
        <is>
          <t>Explore_F2</t>
        </is>
      </c>
      <c r="O1114" t="inlineStr">
        <is>
          <t>Second familiar</t>
        </is>
      </c>
      <c r="P1114" t="inlineStr">
        <is>
          <t>STATE</t>
        </is>
      </c>
      <c r="Q1114" t="n">
        <v>110.767</v>
      </c>
      <c r="R1114" t="n">
        <v>112</v>
      </c>
      <c r="S1114" t="n">
        <v>1.233</v>
      </c>
      <c r="T1114" t="inlineStr">
        <is>
          <t>C:/Users/manuel.felline/Documents/BEHAVIOR BTBR/NOR second cohort/BTBR/training/c10_f4.mp4</t>
        </is>
      </c>
      <c r="U1114" t="n">
        <v>3535</v>
      </c>
      <c r="V1114" t="n">
        <v>3572</v>
      </c>
      <c r="W1114" t="n">
        <v/>
      </c>
      <c r="X1114" t="n">
        <v/>
      </c>
      <c r="Y1114" t="n">
        <v/>
      </c>
      <c r="Z1114" t="n">
        <v/>
      </c>
      <c r="AA1114">
        <f>SUMIFS($S$2:S1114,$A$2:A1114,A1114,$N$2:N1114,"Explore*")</f>
        <v/>
      </c>
      <c r="AB1114">
        <f>IF(AND(LEFT(N1114,7)="Explore",(AA1114-IF(LEFT(N1114,7)="Explore",S1114,0))&lt;10),"SI","NO")</f>
        <v/>
      </c>
    </row>
    <row r="1115">
      <c r="A1115" t="inlineStr">
        <is>
          <t>c10f4_training</t>
        </is>
      </c>
      <c r="B1115" t="inlineStr">
        <is>
          <t>2026-06-25 15:39:04.374</t>
        </is>
      </c>
      <c r="C1115" t="n">
        <v/>
      </c>
      <c r="D1115" t="inlineStr">
        <is>
          <t>Media file</t>
        </is>
      </c>
      <c r="E1115" t="inlineStr">
        <is>
          <t>player #1:C:/Users/manuel.felline/Documents/BEHAVIOR BTBR/NOR second cohort/BTBR/training/c10_f4.mp4</t>
        </is>
      </c>
      <c r="F1115" t="n">
        <v>-7.1</v>
      </c>
      <c r="G1115" t="n">
        <v>567.333</v>
      </c>
      <c r="H1115" t="n">
        <v>627.966</v>
      </c>
      <c r="I1115" t="n">
        <v>30</v>
      </c>
      <c r="J1115" t="inlineStr">
        <is>
          <t>BTBR</t>
        </is>
      </c>
      <c r="K1115" t="inlineStr">
        <is>
          <t xml:space="preserve"> Female</t>
        </is>
      </c>
      <c r="L1115" t="inlineStr">
        <is>
          <t>No focal subject</t>
        </is>
      </c>
      <c r="M1115" t="n">
        <v>46.333</v>
      </c>
      <c r="N1115" t="inlineStr">
        <is>
          <t>Explore_F2</t>
        </is>
      </c>
      <c r="O1115" t="inlineStr">
        <is>
          <t>Second familiar</t>
        </is>
      </c>
      <c r="P1115" t="inlineStr">
        <is>
          <t>STATE</t>
        </is>
      </c>
      <c r="Q1115" t="n">
        <v>118.767</v>
      </c>
      <c r="R1115" t="n">
        <v>119.033</v>
      </c>
      <c r="S1115" t="n">
        <v>0.266</v>
      </c>
      <c r="T1115" t="inlineStr">
        <is>
          <t>C:/Users/manuel.felline/Documents/BEHAVIOR BTBR/NOR second cohort/BTBR/training/c10_f4.mp4</t>
        </is>
      </c>
      <c r="U1115" t="n">
        <v>3775</v>
      </c>
      <c r="V1115" t="n">
        <v>3783</v>
      </c>
      <c r="W1115" t="n">
        <v/>
      </c>
      <c r="X1115" t="n">
        <v/>
      </c>
      <c r="Y1115" t="n">
        <v/>
      </c>
      <c r="Z1115" t="n">
        <v/>
      </c>
      <c r="AA1115">
        <f>SUMIFS($S$2:S1115,$A$2:A1115,A1115,$N$2:N1115,"Explore*")</f>
        <v/>
      </c>
      <c r="AB1115">
        <f>IF(AND(LEFT(N1115,7)="Explore",(AA1115-IF(LEFT(N1115,7)="Explore",S1115,0))&lt;10),"SI","NO")</f>
        <v/>
      </c>
    </row>
    <row r="1116">
      <c r="A1116" t="inlineStr">
        <is>
          <t>c10f4_training</t>
        </is>
      </c>
      <c r="B1116" t="inlineStr">
        <is>
          <t>2026-06-25 15:39:04.374</t>
        </is>
      </c>
      <c r="C1116" t="n">
        <v/>
      </c>
      <c r="D1116" t="inlineStr">
        <is>
          <t>Media file</t>
        </is>
      </c>
      <c r="E1116" t="inlineStr">
        <is>
          <t>player #1:C:/Users/manuel.felline/Documents/BEHAVIOR BTBR/NOR second cohort/BTBR/training/c10_f4.mp4</t>
        </is>
      </c>
      <c r="F1116" t="n">
        <v>-7.1</v>
      </c>
      <c r="G1116" t="n">
        <v>567.333</v>
      </c>
      <c r="H1116" t="n">
        <v>627.966</v>
      </c>
      <c r="I1116" t="n">
        <v>30</v>
      </c>
      <c r="J1116" t="inlineStr">
        <is>
          <t>BTBR</t>
        </is>
      </c>
      <c r="K1116" t="inlineStr">
        <is>
          <t xml:space="preserve"> Female</t>
        </is>
      </c>
      <c r="L1116" t="inlineStr">
        <is>
          <t>No focal subject</t>
        </is>
      </c>
      <c r="M1116" t="n">
        <v>46.333</v>
      </c>
      <c r="N1116" t="inlineStr">
        <is>
          <t>Explore_F</t>
        </is>
      </c>
      <c r="O1116" t="inlineStr">
        <is>
          <t>Familiar</t>
        </is>
      </c>
      <c r="P1116" t="inlineStr">
        <is>
          <t>STATE</t>
        </is>
      </c>
      <c r="Q1116" t="n">
        <v>121.333</v>
      </c>
      <c r="R1116" t="n">
        <v>122.567</v>
      </c>
      <c r="S1116" t="n">
        <v>1.234</v>
      </c>
      <c r="T1116" t="inlineStr">
        <is>
          <t>C:/Users/manuel.felline/Documents/BEHAVIOR BTBR/NOR second cohort/BTBR/training/c10_f4.mp4</t>
        </is>
      </c>
      <c r="U1116" t="n">
        <v>3852</v>
      </c>
      <c r="V1116" t="n">
        <v>3889</v>
      </c>
      <c r="W1116" t="n">
        <v/>
      </c>
      <c r="X1116" t="n">
        <v/>
      </c>
      <c r="Y1116" t="n">
        <v/>
      </c>
      <c r="Z1116" t="n">
        <v/>
      </c>
      <c r="AA1116">
        <f>SUMIFS($S$2:S1116,$A$2:A1116,A1116,$N$2:N1116,"Explore*")</f>
        <v/>
      </c>
      <c r="AB1116">
        <f>IF(AND(LEFT(N1116,7)="Explore",(AA1116-IF(LEFT(N1116,7)="Explore",S1116,0))&lt;10),"SI","NO")</f>
        <v/>
      </c>
    </row>
    <row r="1117">
      <c r="A1117" t="inlineStr">
        <is>
          <t>c10f4_training</t>
        </is>
      </c>
      <c r="B1117" t="inlineStr">
        <is>
          <t>2026-06-25 15:39:04.374</t>
        </is>
      </c>
      <c r="C1117" t="n">
        <v/>
      </c>
      <c r="D1117" t="inlineStr">
        <is>
          <t>Media file</t>
        </is>
      </c>
      <c r="E1117" t="inlineStr">
        <is>
          <t>player #1:C:/Users/manuel.felline/Documents/BEHAVIOR BTBR/NOR second cohort/BTBR/training/c10_f4.mp4</t>
        </is>
      </c>
      <c r="F1117" t="n">
        <v>-7.1</v>
      </c>
      <c r="G1117" t="n">
        <v>567.333</v>
      </c>
      <c r="H1117" t="n">
        <v>627.966</v>
      </c>
      <c r="I1117" t="n">
        <v>30</v>
      </c>
      <c r="J1117" t="inlineStr">
        <is>
          <t>BTBR</t>
        </is>
      </c>
      <c r="K1117" t="inlineStr">
        <is>
          <t xml:space="preserve"> Female</t>
        </is>
      </c>
      <c r="L1117" t="inlineStr">
        <is>
          <t>No focal subject</t>
        </is>
      </c>
      <c r="M1117" t="n">
        <v>46.333</v>
      </c>
      <c r="N1117" t="inlineStr">
        <is>
          <t>Explore_F</t>
        </is>
      </c>
      <c r="O1117" t="inlineStr">
        <is>
          <t>Familiar</t>
        </is>
      </c>
      <c r="P1117" t="inlineStr">
        <is>
          <t>STATE</t>
        </is>
      </c>
      <c r="Q1117" t="n">
        <v>133.8</v>
      </c>
      <c r="R1117" t="n">
        <v>134.167</v>
      </c>
      <c r="S1117" t="n">
        <v>0.367</v>
      </c>
      <c r="T1117" t="inlineStr">
        <is>
          <t>C:/Users/manuel.felline/Documents/BEHAVIOR BTBR/NOR second cohort/BTBR/training/c10_f4.mp4</t>
        </is>
      </c>
      <c r="U1117" t="n">
        <v>4226</v>
      </c>
      <c r="V1117" t="n">
        <v>4237</v>
      </c>
      <c r="W1117" t="n">
        <v/>
      </c>
      <c r="X1117" t="n">
        <v/>
      </c>
      <c r="Y1117" t="n">
        <v/>
      </c>
      <c r="Z1117" t="n">
        <v/>
      </c>
      <c r="AA1117">
        <f>SUMIFS($S$2:S1117,$A$2:A1117,A1117,$N$2:N1117,"Explore*")</f>
        <v/>
      </c>
      <c r="AB1117">
        <f>IF(AND(LEFT(N1117,7)="Explore",(AA1117-IF(LEFT(N1117,7)="Explore",S1117,0))&lt;10),"SI","NO")</f>
        <v/>
      </c>
    </row>
    <row r="1118">
      <c r="A1118" t="inlineStr">
        <is>
          <t>c10f4_training</t>
        </is>
      </c>
      <c r="B1118" t="inlineStr">
        <is>
          <t>2026-06-25 15:39:04.374</t>
        </is>
      </c>
      <c r="C1118" t="n">
        <v/>
      </c>
      <c r="D1118" t="inlineStr">
        <is>
          <t>Media file</t>
        </is>
      </c>
      <c r="E1118" t="inlineStr">
        <is>
          <t>player #1:C:/Users/manuel.felline/Documents/BEHAVIOR BTBR/NOR second cohort/BTBR/training/c10_f4.mp4</t>
        </is>
      </c>
      <c r="F1118" t="n">
        <v>-7.1</v>
      </c>
      <c r="G1118" t="n">
        <v>567.333</v>
      </c>
      <c r="H1118" t="n">
        <v>627.966</v>
      </c>
      <c r="I1118" t="n">
        <v>30</v>
      </c>
      <c r="J1118" t="inlineStr">
        <is>
          <t>BTBR</t>
        </is>
      </c>
      <c r="K1118" t="inlineStr">
        <is>
          <t xml:space="preserve"> Female</t>
        </is>
      </c>
      <c r="L1118" t="inlineStr">
        <is>
          <t>No focal subject</t>
        </is>
      </c>
      <c r="M1118" t="n">
        <v>46.333</v>
      </c>
      <c r="N1118" t="inlineStr">
        <is>
          <t>Explore_F2</t>
        </is>
      </c>
      <c r="O1118" t="inlineStr">
        <is>
          <t>Second familiar</t>
        </is>
      </c>
      <c r="P1118" t="inlineStr">
        <is>
          <t>STATE</t>
        </is>
      </c>
      <c r="Q1118" t="n">
        <v>168.7</v>
      </c>
      <c r="R1118" t="n">
        <v>169.1</v>
      </c>
      <c r="S1118" t="n">
        <v>0.4</v>
      </c>
      <c r="T1118" t="inlineStr">
        <is>
          <t>C:/Users/manuel.felline/Documents/BEHAVIOR BTBR/NOR second cohort/BTBR/training/c10_f4.mp4</t>
        </is>
      </c>
      <c r="U1118" t="n">
        <v>5273</v>
      </c>
      <c r="V1118" t="n">
        <v>5285</v>
      </c>
      <c r="W1118" t="n">
        <v/>
      </c>
      <c r="X1118" t="n">
        <v/>
      </c>
      <c r="Y1118" t="n">
        <v/>
      </c>
      <c r="Z1118" t="n">
        <v/>
      </c>
      <c r="AA1118">
        <f>SUMIFS($S$2:S1118,$A$2:A1118,A1118,$N$2:N1118,"Explore*")</f>
        <v/>
      </c>
      <c r="AB1118">
        <f>IF(AND(LEFT(N1118,7)="Explore",(AA1118-IF(LEFT(N1118,7)="Explore",S1118,0))&lt;10),"SI","NO")</f>
        <v/>
      </c>
    </row>
    <row r="1119">
      <c r="A1119" t="inlineStr">
        <is>
          <t>c10f4_training</t>
        </is>
      </c>
      <c r="B1119" t="inlineStr">
        <is>
          <t>2026-06-25 15:39:04.374</t>
        </is>
      </c>
      <c r="C1119" t="n">
        <v/>
      </c>
      <c r="D1119" t="inlineStr">
        <is>
          <t>Media file</t>
        </is>
      </c>
      <c r="E1119" t="inlineStr">
        <is>
          <t>player #1:C:/Users/manuel.felline/Documents/BEHAVIOR BTBR/NOR second cohort/BTBR/training/c10_f4.mp4</t>
        </is>
      </c>
      <c r="F1119" t="n">
        <v>-7.1</v>
      </c>
      <c r="G1119" t="n">
        <v>567.333</v>
      </c>
      <c r="H1119" t="n">
        <v>627.966</v>
      </c>
      <c r="I1119" t="n">
        <v>30</v>
      </c>
      <c r="J1119" t="inlineStr">
        <is>
          <t>BTBR</t>
        </is>
      </c>
      <c r="K1119" t="inlineStr">
        <is>
          <t xml:space="preserve"> Female</t>
        </is>
      </c>
      <c r="L1119" t="inlineStr">
        <is>
          <t>No focal subject</t>
        </is>
      </c>
      <c r="M1119" t="n">
        <v>46.333</v>
      </c>
      <c r="N1119" t="inlineStr">
        <is>
          <t>Explore_F</t>
        </is>
      </c>
      <c r="O1119" t="inlineStr">
        <is>
          <t>Familiar</t>
        </is>
      </c>
      <c r="P1119" t="inlineStr">
        <is>
          <t>STATE</t>
        </is>
      </c>
      <c r="Q1119" t="n">
        <v>170.3</v>
      </c>
      <c r="R1119" t="n">
        <v>171.033</v>
      </c>
      <c r="S1119" t="n">
        <v>0.733</v>
      </c>
      <c r="T1119" t="inlineStr">
        <is>
          <t>C:/Users/manuel.felline/Documents/BEHAVIOR BTBR/NOR second cohort/BTBR/training/c10_f4.mp4</t>
        </is>
      </c>
      <c r="U1119" t="n">
        <v>5321</v>
      </c>
      <c r="V1119" t="n">
        <v>5343</v>
      </c>
      <c r="W1119" t="n">
        <v/>
      </c>
      <c r="X1119" t="n">
        <v/>
      </c>
      <c r="Y1119" t="n">
        <v/>
      </c>
      <c r="Z1119" t="n">
        <v/>
      </c>
      <c r="AA1119">
        <f>SUMIFS($S$2:S1119,$A$2:A1119,A1119,$N$2:N1119,"Explore*")</f>
        <v/>
      </c>
      <c r="AB1119">
        <f>IF(AND(LEFT(N1119,7)="Explore",(AA1119-IF(LEFT(N1119,7)="Explore",S1119,0))&lt;10),"SI","NO")</f>
        <v/>
      </c>
    </row>
    <row r="1120">
      <c r="A1120" t="inlineStr">
        <is>
          <t>c10f4_training</t>
        </is>
      </c>
      <c r="B1120" t="inlineStr">
        <is>
          <t>2026-06-25 15:39:04.374</t>
        </is>
      </c>
      <c r="C1120" t="n">
        <v/>
      </c>
      <c r="D1120" t="inlineStr">
        <is>
          <t>Media file</t>
        </is>
      </c>
      <c r="E1120" t="inlineStr">
        <is>
          <t>player #1:C:/Users/manuel.felline/Documents/BEHAVIOR BTBR/NOR second cohort/BTBR/training/c10_f4.mp4</t>
        </is>
      </c>
      <c r="F1120" t="n">
        <v>-7.1</v>
      </c>
      <c r="G1120" t="n">
        <v>567.333</v>
      </c>
      <c r="H1120" t="n">
        <v>627.966</v>
      </c>
      <c r="I1120" t="n">
        <v>30</v>
      </c>
      <c r="J1120" t="inlineStr">
        <is>
          <t>BTBR</t>
        </is>
      </c>
      <c r="K1120" t="inlineStr">
        <is>
          <t xml:space="preserve"> Female</t>
        </is>
      </c>
      <c r="L1120" t="inlineStr">
        <is>
          <t>No focal subject</t>
        </is>
      </c>
      <c r="M1120" t="n">
        <v>46.333</v>
      </c>
      <c r="N1120" t="inlineStr">
        <is>
          <t>Explore_F2</t>
        </is>
      </c>
      <c r="O1120" t="inlineStr">
        <is>
          <t>Second familiar</t>
        </is>
      </c>
      <c r="P1120" t="inlineStr">
        <is>
          <t>STATE</t>
        </is>
      </c>
      <c r="Q1120" t="n">
        <v>173.366</v>
      </c>
      <c r="R1120" t="n">
        <v>174.466</v>
      </c>
      <c r="S1120" t="n">
        <v>1.1</v>
      </c>
      <c r="T1120" t="inlineStr">
        <is>
          <t>C:/Users/manuel.felline/Documents/BEHAVIOR BTBR/NOR second cohort/BTBR/training/c10_f4.mp4</t>
        </is>
      </c>
      <c r="U1120" t="n">
        <v>5413</v>
      </c>
      <c r="V1120" t="n">
        <v>5446</v>
      </c>
      <c r="W1120" t="n">
        <v/>
      </c>
      <c r="X1120" t="n">
        <v/>
      </c>
      <c r="Y1120" t="n">
        <v/>
      </c>
      <c r="Z1120" t="n">
        <v/>
      </c>
      <c r="AA1120">
        <f>SUMIFS($S$2:S1120,$A$2:A1120,A1120,$N$2:N1120,"Explore*")</f>
        <v/>
      </c>
      <c r="AB1120">
        <f>IF(AND(LEFT(N1120,7)="Explore",(AA1120-IF(LEFT(N1120,7)="Explore",S1120,0))&lt;10),"SI","NO")</f>
        <v/>
      </c>
    </row>
    <row r="1121">
      <c r="A1121" t="inlineStr">
        <is>
          <t>c10f4_training</t>
        </is>
      </c>
      <c r="B1121" t="inlineStr">
        <is>
          <t>2026-06-25 15:39:04.374</t>
        </is>
      </c>
      <c r="C1121" t="n">
        <v/>
      </c>
      <c r="D1121" t="inlineStr">
        <is>
          <t>Media file</t>
        </is>
      </c>
      <c r="E1121" t="inlineStr">
        <is>
          <t>player #1:C:/Users/manuel.felline/Documents/BEHAVIOR BTBR/NOR second cohort/BTBR/training/c10_f4.mp4</t>
        </is>
      </c>
      <c r="F1121" t="n">
        <v>-7.1</v>
      </c>
      <c r="G1121" t="n">
        <v>567.333</v>
      </c>
      <c r="H1121" t="n">
        <v>627.966</v>
      </c>
      <c r="I1121" t="n">
        <v>30</v>
      </c>
      <c r="J1121" t="inlineStr">
        <is>
          <t>BTBR</t>
        </is>
      </c>
      <c r="K1121" t="inlineStr">
        <is>
          <t xml:space="preserve"> Female</t>
        </is>
      </c>
      <c r="L1121" t="inlineStr">
        <is>
          <t>No focal subject</t>
        </is>
      </c>
      <c r="M1121" t="n">
        <v>46.333</v>
      </c>
      <c r="N1121" t="inlineStr">
        <is>
          <t>Explore_F</t>
        </is>
      </c>
      <c r="O1121" t="inlineStr">
        <is>
          <t>Familiar</t>
        </is>
      </c>
      <c r="P1121" t="inlineStr">
        <is>
          <t>STATE</t>
        </is>
      </c>
      <c r="Q1121" t="n">
        <v>177.566</v>
      </c>
      <c r="R1121" t="n">
        <v>178.566</v>
      </c>
      <c r="S1121" t="n">
        <v>1</v>
      </c>
      <c r="T1121" t="inlineStr">
        <is>
          <t>C:/Users/manuel.felline/Documents/BEHAVIOR BTBR/NOR second cohort/BTBR/training/c10_f4.mp4</t>
        </is>
      </c>
      <c r="U1121" t="n">
        <v>5539</v>
      </c>
      <c r="V1121" t="n">
        <v>5569</v>
      </c>
      <c r="W1121" t="n">
        <v/>
      </c>
      <c r="X1121" t="n">
        <v/>
      </c>
      <c r="Y1121" t="n">
        <v/>
      </c>
      <c r="Z1121" t="n">
        <v/>
      </c>
      <c r="AA1121">
        <f>SUMIFS($S$2:S1121,$A$2:A1121,A1121,$N$2:N1121,"Explore*")</f>
        <v/>
      </c>
      <c r="AB1121">
        <f>IF(AND(LEFT(N1121,7)="Explore",(AA1121-IF(LEFT(N1121,7)="Explore",S1121,0))&lt;10),"SI","NO")</f>
        <v/>
      </c>
    </row>
    <row r="1122">
      <c r="A1122" t="inlineStr">
        <is>
          <t>c10f4_training</t>
        </is>
      </c>
      <c r="B1122" t="inlineStr">
        <is>
          <t>2026-06-25 15:39:04.374</t>
        </is>
      </c>
      <c r="C1122" t="n">
        <v/>
      </c>
      <c r="D1122" t="inlineStr">
        <is>
          <t>Media file</t>
        </is>
      </c>
      <c r="E1122" t="inlineStr">
        <is>
          <t>player #1:C:/Users/manuel.felline/Documents/BEHAVIOR BTBR/NOR second cohort/BTBR/training/c10_f4.mp4</t>
        </is>
      </c>
      <c r="F1122" t="n">
        <v>-7.1</v>
      </c>
      <c r="G1122" t="n">
        <v>567.333</v>
      </c>
      <c r="H1122" t="n">
        <v>627.966</v>
      </c>
      <c r="I1122" t="n">
        <v>30</v>
      </c>
      <c r="J1122" t="inlineStr">
        <is>
          <t>BTBR</t>
        </is>
      </c>
      <c r="K1122" t="inlineStr">
        <is>
          <t xml:space="preserve"> Female</t>
        </is>
      </c>
      <c r="L1122" t="inlineStr">
        <is>
          <t>No focal subject</t>
        </is>
      </c>
      <c r="M1122" t="n">
        <v>46.333</v>
      </c>
      <c r="N1122" t="inlineStr">
        <is>
          <t>Explore_F2</t>
        </is>
      </c>
      <c r="O1122" t="inlineStr">
        <is>
          <t>Second familiar</t>
        </is>
      </c>
      <c r="P1122" t="inlineStr">
        <is>
          <t>STATE</t>
        </is>
      </c>
      <c r="Q1122" t="n">
        <v>213.666</v>
      </c>
      <c r="R1122" t="n">
        <v>214.566</v>
      </c>
      <c r="S1122" t="n">
        <v>0.9</v>
      </c>
      <c r="T1122" t="inlineStr">
        <is>
          <t>C:/Users/manuel.felline/Documents/BEHAVIOR BTBR/NOR second cohort/BTBR/training/c10_f4.mp4</t>
        </is>
      </c>
      <c r="U1122" t="n">
        <v>6622</v>
      </c>
      <c r="V1122" t="n">
        <v>6649</v>
      </c>
      <c r="W1122" t="n">
        <v/>
      </c>
      <c r="X1122" t="n">
        <v/>
      </c>
      <c r="Y1122" t="n">
        <v/>
      </c>
      <c r="Z1122" t="n">
        <v/>
      </c>
      <c r="AA1122">
        <f>SUMIFS($S$2:S1122,$A$2:A1122,A1122,$N$2:N1122,"Explore*")</f>
        <v/>
      </c>
      <c r="AB1122">
        <f>IF(AND(LEFT(N1122,7)="Explore",(AA1122-IF(LEFT(N1122,7)="Explore",S1122,0))&lt;10),"SI","NO")</f>
        <v/>
      </c>
    </row>
    <row r="1123">
      <c r="A1123" t="inlineStr">
        <is>
          <t>c10f4_training</t>
        </is>
      </c>
      <c r="B1123" t="inlineStr">
        <is>
          <t>2026-06-25 15:39:04.374</t>
        </is>
      </c>
      <c r="C1123" t="n">
        <v/>
      </c>
      <c r="D1123" t="inlineStr">
        <is>
          <t>Media file</t>
        </is>
      </c>
      <c r="E1123" t="inlineStr">
        <is>
          <t>player #1:C:/Users/manuel.felline/Documents/BEHAVIOR BTBR/NOR second cohort/BTBR/training/c10_f4.mp4</t>
        </is>
      </c>
      <c r="F1123" t="n">
        <v>-7.1</v>
      </c>
      <c r="G1123" t="n">
        <v>567.333</v>
      </c>
      <c r="H1123" t="n">
        <v>627.966</v>
      </c>
      <c r="I1123" t="n">
        <v>30</v>
      </c>
      <c r="J1123" t="inlineStr">
        <is>
          <t>BTBR</t>
        </is>
      </c>
      <c r="K1123" t="inlineStr">
        <is>
          <t xml:space="preserve"> Female</t>
        </is>
      </c>
      <c r="L1123" t="inlineStr">
        <is>
          <t>No focal subject</t>
        </is>
      </c>
      <c r="M1123" t="n">
        <v>46.333</v>
      </c>
      <c r="N1123" t="inlineStr">
        <is>
          <t>Explore_F2</t>
        </is>
      </c>
      <c r="O1123" t="inlineStr">
        <is>
          <t>Second familiar</t>
        </is>
      </c>
      <c r="P1123" t="inlineStr">
        <is>
          <t>STATE</t>
        </is>
      </c>
      <c r="Q1123" t="n">
        <v>236.2</v>
      </c>
      <c r="R1123" t="n">
        <v>237.333</v>
      </c>
      <c r="S1123" t="n">
        <v>1.133</v>
      </c>
      <c r="T1123" t="inlineStr">
        <is>
          <t>C:/Users/manuel.felline/Documents/BEHAVIOR BTBR/NOR second cohort/BTBR/training/c10_f4.mp4</t>
        </is>
      </c>
      <c r="U1123" t="n">
        <v>7298</v>
      </c>
      <c r="V1123" t="n">
        <v>7332</v>
      </c>
      <c r="W1123" t="n">
        <v/>
      </c>
      <c r="X1123" t="n">
        <v/>
      </c>
      <c r="Y1123" t="n">
        <v/>
      </c>
      <c r="Z1123" t="n">
        <v/>
      </c>
      <c r="AA1123">
        <f>SUMIFS($S$2:S1123,$A$2:A1123,A1123,$N$2:N1123,"Explore*")</f>
        <v/>
      </c>
      <c r="AB1123">
        <f>IF(AND(LEFT(N1123,7)="Explore",(AA1123-IF(LEFT(N1123,7)="Explore",S1123,0))&lt;10),"SI","NO")</f>
        <v/>
      </c>
    </row>
    <row r="1124">
      <c r="A1124" t="inlineStr">
        <is>
          <t>c10f4_training</t>
        </is>
      </c>
      <c r="B1124" t="inlineStr">
        <is>
          <t>2026-06-25 15:39:04.374</t>
        </is>
      </c>
      <c r="C1124" t="n">
        <v/>
      </c>
      <c r="D1124" t="inlineStr">
        <is>
          <t>Media file</t>
        </is>
      </c>
      <c r="E1124" t="inlineStr">
        <is>
          <t>player #1:C:/Users/manuel.felline/Documents/BEHAVIOR BTBR/NOR second cohort/BTBR/training/c10_f4.mp4</t>
        </is>
      </c>
      <c r="F1124" t="n">
        <v>-7.1</v>
      </c>
      <c r="G1124" t="n">
        <v>567.333</v>
      </c>
      <c r="H1124" t="n">
        <v>627.966</v>
      </c>
      <c r="I1124" t="n">
        <v>30</v>
      </c>
      <c r="J1124" t="inlineStr">
        <is>
          <t>BTBR</t>
        </is>
      </c>
      <c r="K1124" t="inlineStr">
        <is>
          <t xml:space="preserve"> Female</t>
        </is>
      </c>
      <c r="L1124" t="inlineStr">
        <is>
          <t>No focal subject</t>
        </is>
      </c>
      <c r="M1124" t="n">
        <v>46.333</v>
      </c>
      <c r="N1124" t="inlineStr">
        <is>
          <t>Explore_F</t>
        </is>
      </c>
      <c r="O1124" t="inlineStr">
        <is>
          <t>Familiar</t>
        </is>
      </c>
      <c r="P1124" t="inlineStr">
        <is>
          <t>STATE</t>
        </is>
      </c>
      <c r="Q1124" t="n">
        <v>238.733</v>
      </c>
      <c r="R1124" t="n">
        <v>239.5</v>
      </c>
      <c r="S1124" t="n">
        <v>0.767</v>
      </c>
      <c r="T1124" t="inlineStr">
        <is>
          <t>C:/Users/manuel.felline/Documents/BEHAVIOR BTBR/NOR second cohort/BTBR/training/c10_f4.mp4</t>
        </is>
      </c>
      <c r="U1124" t="n">
        <v>7374</v>
      </c>
      <c r="V1124" t="n">
        <v>7397</v>
      </c>
      <c r="W1124" t="n">
        <v/>
      </c>
      <c r="X1124" t="n">
        <v/>
      </c>
      <c r="Y1124" t="n">
        <v/>
      </c>
      <c r="Z1124" t="n">
        <v/>
      </c>
      <c r="AA1124">
        <f>SUMIFS($S$2:S1124,$A$2:A1124,A1124,$N$2:N1124,"Explore*")</f>
        <v/>
      </c>
      <c r="AB1124">
        <f>IF(AND(LEFT(N1124,7)="Explore",(AA1124-IF(LEFT(N1124,7)="Explore",S1124,0))&lt;10),"SI","NO")</f>
        <v/>
      </c>
    </row>
    <row r="1125">
      <c r="A1125" t="inlineStr">
        <is>
          <t>c10f4_training</t>
        </is>
      </c>
      <c r="B1125" t="inlineStr">
        <is>
          <t>2026-06-25 15:39:04.374</t>
        </is>
      </c>
      <c r="C1125" t="n">
        <v/>
      </c>
      <c r="D1125" t="inlineStr">
        <is>
          <t>Media file</t>
        </is>
      </c>
      <c r="E1125" t="inlineStr">
        <is>
          <t>player #1:C:/Users/manuel.felline/Documents/BEHAVIOR BTBR/NOR second cohort/BTBR/training/c10_f4.mp4</t>
        </is>
      </c>
      <c r="F1125" t="n">
        <v>-7.1</v>
      </c>
      <c r="G1125" t="n">
        <v>567.333</v>
      </c>
      <c r="H1125" t="n">
        <v>627.966</v>
      </c>
      <c r="I1125" t="n">
        <v>30</v>
      </c>
      <c r="J1125" t="inlineStr">
        <is>
          <t>BTBR</t>
        </is>
      </c>
      <c r="K1125" t="inlineStr">
        <is>
          <t xml:space="preserve"> Female</t>
        </is>
      </c>
      <c r="L1125" t="inlineStr">
        <is>
          <t>No focal subject</t>
        </is>
      </c>
      <c r="M1125" t="n">
        <v>46.333</v>
      </c>
      <c r="N1125" t="inlineStr">
        <is>
          <t>Explore_F2</t>
        </is>
      </c>
      <c r="O1125" t="inlineStr">
        <is>
          <t>Second familiar</t>
        </is>
      </c>
      <c r="P1125" t="inlineStr">
        <is>
          <t>STATE</t>
        </is>
      </c>
      <c r="Q1125" t="n">
        <v>259.366</v>
      </c>
      <c r="R1125" t="n">
        <v>260.466</v>
      </c>
      <c r="S1125" t="n">
        <v>1.1</v>
      </c>
      <c r="T1125" t="inlineStr">
        <is>
          <t>C:/Users/manuel.felline/Documents/BEHAVIOR BTBR/NOR second cohort/BTBR/training/c10_f4.mp4</t>
        </is>
      </c>
      <c r="U1125" t="n">
        <v>7993</v>
      </c>
      <c r="V1125" t="n">
        <v>8026</v>
      </c>
      <c r="W1125" t="n">
        <v/>
      </c>
      <c r="X1125" t="n">
        <v/>
      </c>
      <c r="Y1125" t="n">
        <v/>
      </c>
      <c r="Z1125" t="n">
        <v/>
      </c>
      <c r="AA1125">
        <f>SUMIFS($S$2:S1125,$A$2:A1125,A1125,$N$2:N1125,"Explore*")</f>
        <v/>
      </c>
      <c r="AB1125">
        <f>IF(AND(LEFT(N1125,7)="Explore",(AA1125-IF(LEFT(N1125,7)="Explore",S1125,0))&lt;10),"SI","NO")</f>
        <v/>
      </c>
    </row>
    <row r="1126">
      <c r="A1126" t="inlineStr">
        <is>
          <t>c10f4_training</t>
        </is>
      </c>
      <c r="B1126" t="inlineStr">
        <is>
          <t>2026-06-25 15:39:04.374</t>
        </is>
      </c>
      <c r="C1126" t="n">
        <v/>
      </c>
      <c r="D1126" t="inlineStr">
        <is>
          <t>Media file</t>
        </is>
      </c>
      <c r="E1126" t="inlineStr">
        <is>
          <t>player #1:C:/Users/manuel.felline/Documents/BEHAVIOR BTBR/NOR second cohort/BTBR/training/c10_f4.mp4</t>
        </is>
      </c>
      <c r="F1126" t="n">
        <v>-7.1</v>
      </c>
      <c r="G1126" t="n">
        <v>567.333</v>
      </c>
      <c r="H1126" t="n">
        <v>627.966</v>
      </c>
      <c r="I1126" t="n">
        <v>30</v>
      </c>
      <c r="J1126" t="inlineStr">
        <is>
          <t>BTBR</t>
        </is>
      </c>
      <c r="K1126" t="inlineStr">
        <is>
          <t xml:space="preserve"> Female</t>
        </is>
      </c>
      <c r="L1126" t="inlineStr">
        <is>
          <t>No focal subject</t>
        </is>
      </c>
      <c r="M1126" t="n">
        <v>46.333</v>
      </c>
      <c r="N1126" t="inlineStr">
        <is>
          <t>Explore_F2</t>
        </is>
      </c>
      <c r="O1126" t="inlineStr">
        <is>
          <t>Second familiar</t>
        </is>
      </c>
      <c r="P1126" t="inlineStr">
        <is>
          <t>STATE</t>
        </is>
      </c>
      <c r="Q1126" t="n">
        <v>281.066</v>
      </c>
      <c r="R1126" t="n">
        <v>282.366</v>
      </c>
      <c r="S1126" t="n">
        <v>1.3</v>
      </c>
      <c r="T1126" t="inlineStr">
        <is>
          <t>C:/Users/manuel.felline/Documents/BEHAVIOR BTBR/NOR second cohort/BTBR/training/c10_f4.mp4</t>
        </is>
      </c>
      <c r="U1126" t="n">
        <v>8644</v>
      </c>
      <c r="V1126" t="n">
        <v>8683</v>
      </c>
      <c r="W1126" t="n">
        <v/>
      </c>
      <c r="X1126" t="n">
        <v/>
      </c>
      <c r="Y1126" t="n">
        <v/>
      </c>
      <c r="Z1126" t="n">
        <v/>
      </c>
      <c r="AA1126">
        <f>SUMIFS($S$2:S1126,$A$2:A1126,A1126,$N$2:N1126,"Explore*")</f>
        <v/>
      </c>
      <c r="AB1126">
        <f>IF(AND(LEFT(N1126,7)="Explore",(AA1126-IF(LEFT(N1126,7)="Explore",S1126,0))&lt;10),"SI","NO")</f>
        <v/>
      </c>
    </row>
    <row r="1127">
      <c r="A1127" t="inlineStr">
        <is>
          <t>c10f4_training</t>
        </is>
      </c>
      <c r="B1127" t="inlineStr">
        <is>
          <t>2026-06-25 15:39:04.374</t>
        </is>
      </c>
      <c r="C1127" t="n">
        <v/>
      </c>
      <c r="D1127" t="inlineStr">
        <is>
          <t>Media file</t>
        </is>
      </c>
      <c r="E1127" t="inlineStr">
        <is>
          <t>player #1:C:/Users/manuel.felline/Documents/BEHAVIOR BTBR/NOR second cohort/BTBR/training/c10_f4.mp4</t>
        </is>
      </c>
      <c r="F1127" t="n">
        <v>-7.1</v>
      </c>
      <c r="G1127" t="n">
        <v>567.333</v>
      </c>
      <c r="H1127" t="n">
        <v>627.966</v>
      </c>
      <c r="I1127" t="n">
        <v>30</v>
      </c>
      <c r="J1127" t="inlineStr">
        <is>
          <t>BTBR</t>
        </is>
      </c>
      <c r="K1127" t="inlineStr">
        <is>
          <t xml:space="preserve"> Female</t>
        </is>
      </c>
      <c r="L1127" t="inlineStr">
        <is>
          <t>No focal subject</t>
        </is>
      </c>
      <c r="M1127" t="n">
        <v>46.333</v>
      </c>
      <c r="N1127" t="inlineStr">
        <is>
          <t>Explore_F</t>
        </is>
      </c>
      <c r="O1127" t="inlineStr">
        <is>
          <t>Familiar</t>
        </is>
      </c>
      <c r="P1127" t="inlineStr">
        <is>
          <t>STATE</t>
        </is>
      </c>
      <c r="Q1127" t="n">
        <v>290.766</v>
      </c>
      <c r="R1127" t="n">
        <v>291.233</v>
      </c>
      <c r="S1127" t="n">
        <v>0.467</v>
      </c>
      <c r="T1127" t="inlineStr">
        <is>
          <t>C:/Users/manuel.felline/Documents/BEHAVIOR BTBR/NOR second cohort/BTBR/training/c10_f4.mp4</t>
        </is>
      </c>
      <c r="U1127" t="n">
        <v>8935</v>
      </c>
      <c r="V1127" t="n">
        <v>8949</v>
      </c>
      <c r="W1127" t="n">
        <v/>
      </c>
      <c r="X1127" t="n">
        <v/>
      </c>
      <c r="Y1127" t="n">
        <v/>
      </c>
      <c r="Z1127" t="n">
        <v/>
      </c>
      <c r="AA1127">
        <f>SUMIFS($S$2:S1127,$A$2:A1127,A1127,$N$2:N1127,"Explore*")</f>
        <v/>
      </c>
      <c r="AB1127">
        <f>IF(AND(LEFT(N1127,7)="Explore",(AA1127-IF(LEFT(N1127,7)="Explore",S1127,0))&lt;10),"SI","NO")</f>
        <v/>
      </c>
    </row>
    <row r="1128">
      <c r="A1128" t="inlineStr">
        <is>
          <t>c10f4_training</t>
        </is>
      </c>
      <c r="B1128" t="inlineStr">
        <is>
          <t>2026-06-25 15:39:04.374</t>
        </is>
      </c>
      <c r="C1128" t="n">
        <v/>
      </c>
      <c r="D1128" t="inlineStr">
        <is>
          <t>Media file</t>
        </is>
      </c>
      <c r="E1128" t="inlineStr">
        <is>
          <t>player #1:C:/Users/manuel.felline/Documents/BEHAVIOR BTBR/NOR second cohort/BTBR/training/c10_f4.mp4</t>
        </is>
      </c>
      <c r="F1128" t="n">
        <v>-7.1</v>
      </c>
      <c r="G1128" t="n">
        <v>567.333</v>
      </c>
      <c r="H1128" t="n">
        <v>627.966</v>
      </c>
      <c r="I1128" t="n">
        <v>30</v>
      </c>
      <c r="J1128" t="inlineStr">
        <is>
          <t>BTBR</t>
        </is>
      </c>
      <c r="K1128" t="inlineStr">
        <is>
          <t xml:space="preserve"> Female</t>
        </is>
      </c>
      <c r="L1128" t="inlineStr">
        <is>
          <t>No focal subject</t>
        </is>
      </c>
      <c r="M1128" t="n">
        <v>46.333</v>
      </c>
      <c r="N1128" t="inlineStr">
        <is>
          <t>Explore_F</t>
        </is>
      </c>
      <c r="O1128" t="inlineStr">
        <is>
          <t>Familiar</t>
        </is>
      </c>
      <c r="P1128" t="inlineStr">
        <is>
          <t>STATE</t>
        </is>
      </c>
      <c r="Q1128" t="n">
        <v>324.533</v>
      </c>
      <c r="R1128" t="n">
        <v>325.666</v>
      </c>
      <c r="S1128" t="n">
        <v>1.133</v>
      </c>
      <c r="T1128" t="inlineStr">
        <is>
          <t>C:/Users/manuel.felline/Documents/BEHAVIOR BTBR/NOR second cohort/BTBR/training/c10_f4.mp4</t>
        </is>
      </c>
      <c r="U1128" t="n">
        <v>9948</v>
      </c>
      <c r="V1128" t="n">
        <v>9982</v>
      </c>
      <c r="W1128" t="n">
        <v/>
      </c>
      <c r="X1128" t="n">
        <v/>
      </c>
      <c r="Y1128" t="n">
        <v/>
      </c>
      <c r="Z1128" t="n">
        <v/>
      </c>
      <c r="AA1128">
        <f>SUMIFS($S$2:S1128,$A$2:A1128,A1128,$N$2:N1128,"Explore*")</f>
        <v/>
      </c>
      <c r="AB1128">
        <f>IF(AND(LEFT(N1128,7)="Explore",(AA1128-IF(LEFT(N1128,7)="Explore",S1128,0))&lt;10),"SI","NO")</f>
        <v/>
      </c>
    </row>
    <row r="1129">
      <c r="A1129" t="inlineStr">
        <is>
          <t>c10f4_training</t>
        </is>
      </c>
      <c r="B1129" t="inlineStr">
        <is>
          <t>2026-06-25 15:39:04.374</t>
        </is>
      </c>
      <c r="C1129" t="n">
        <v/>
      </c>
      <c r="D1129" t="inlineStr">
        <is>
          <t>Media file</t>
        </is>
      </c>
      <c r="E1129" t="inlineStr">
        <is>
          <t>player #1:C:/Users/manuel.felline/Documents/BEHAVIOR BTBR/NOR second cohort/BTBR/training/c10_f4.mp4</t>
        </is>
      </c>
      <c r="F1129" t="n">
        <v>-7.1</v>
      </c>
      <c r="G1129" t="n">
        <v>567.333</v>
      </c>
      <c r="H1129" t="n">
        <v>627.966</v>
      </c>
      <c r="I1129" t="n">
        <v>30</v>
      </c>
      <c r="J1129" t="inlineStr">
        <is>
          <t>BTBR</t>
        </is>
      </c>
      <c r="K1129" t="inlineStr">
        <is>
          <t xml:space="preserve"> Female</t>
        </is>
      </c>
      <c r="L1129" t="inlineStr">
        <is>
          <t>No focal subject</t>
        </is>
      </c>
      <c r="M1129" t="n">
        <v>46.333</v>
      </c>
      <c r="N1129" t="inlineStr">
        <is>
          <t>Explore_F2</t>
        </is>
      </c>
      <c r="O1129" t="inlineStr">
        <is>
          <t>Second familiar</t>
        </is>
      </c>
      <c r="P1129" t="inlineStr">
        <is>
          <t>STATE</t>
        </is>
      </c>
      <c r="Q1129" t="n">
        <v>326.7</v>
      </c>
      <c r="R1129" t="n">
        <v>327.833</v>
      </c>
      <c r="S1129" t="n">
        <v>1.133</v>
      </c>
      <c r="T1129" t="inlineStr">
        <is>
          <t>C:/Users/manuel.felline/Documents/BEHAVIOR BTBR/NOR second cohort/BTBR/training/c10_f4.mp4</t>
        </is>
      </c>
      <c r="U1129" t="n">
        <v>10013</v>
      </c>
      <c r="V1129" t="n">
        <v>10047</v>
      </c>
      <c r="W1129" t="n">
        <v/>
      </c>
      <c r="X1129" t="n">
        <v/>
      </c>
      <c r="Y1129" t="n">
        <v/>
      </c>
      <c r="Z1129" t="n">
        <v/>
      </c>
      <c r="AA1129">
        <f>SUMIFS($S$2:S1129,$A$2:A1129,A1129,$N$2:N1129,"Explore*")</f>
        <v/>
      </c>
      <c r="AB1129">
        <f>IF(AND(LEFT(N1129,7)="Explore",(AA1129-IF(LEFT(N1129,7)="Explore",S1129,0))&lt;10),"SI","NO")</f>
        <v/>
      </c>
    </row>
    <row r="1130">
      <c r="A1130" t="inlineStr">
        <is>
          <t>c10f4_training</t>
        </is>
      </c>
      <c r="B1130" t="inlineStr">
        <is>
          <t>2026-06-25 15:39:04.374</t>
        </is>
      </c>
      <c r="C1130" t="n">
        <v/>
      </c>
      <c r="D1130" t="inlineStr">
        <is>
          <t>Media file</t>
        </is>
      </c>
      <c r="E1130" t="inlineStr">
        <is>
          <t>player #1:C:/Users/manuel.felline/Documents/BEHAVIOR BTBR/NOR second cohort/BTBR/training/c10_f4.mp4</t>
        </is>
      </c>
      <c r="F1130" t="n">
        <v>-7.1</v>
      </c>
      <c r="G1130" t="n">
        <v>567.333</v>
      </c>
      <c r="H1130" t="n">
        <v>627.966</v>
      </c>
      <c r="I1130" t="n">
        <v>30</v>
      </c>
      <c r="J1130" t="inlineStr">
        <is>
          <t>BTBR</t>
        </is>
      </c>
      <c r="K1130" t="inlineStr">
        <is>
          <t xml:space="preserve"> Female</t>
        </is>
      </c>
      <c r="L1130" t="inlineStr">
        <is>
          <t>No focal subject</t>
        </is>
      </c>
      <c r="M1130" t="n">
        <v>46.333</v>
      </c>
      <c r="N1130" t="inlineStr">
        <is>
          <t>Explore_F2</t>
        </is>
      </c>
      <c r="O1130" t="inlineStr">
        <is>
          <t>Second familiar</t>
        </is>
      </c>
      <c r="P1130" t="inlineStr">
        <is>
          <t>STATE</t>
        </is>
      </c>
      <c r="Q1130" t="n">
        <v>336.7</v>
      </c>
      <c r="R1130" t="n">
        <v>337.833</v>
      </c>
      <c r="S1130" t="n">
        <v>1.133</v>
      </c>
      <c r="T1130" t="inlineStr">
        <is>
          <t>C:/Users/manuel.felline/Documents/BEHAVIOR BTBR/NOR second cohort/BTBR/training/c10_f4.mp4</t>
        </is>
      </c>
      <c r="U1130" t="n">
        <v>10313</v>
      </c>
      <c r="V1130" t="n">
        <v>10347</v>
      </c>
      <c r="W1130" t="n">
        <v/>
      </c>
      <c r="X1130" t="n">
        <v/>
      </c>
      <c r="Y1130" t="n">
        <v/>
      </c>
      <c r="Z1130" t="n">
        <v/>
      </c>
      <c r="AA1130">
        <f>SUMIFS($S$2:S1130,$A$2:A1130,A1130,$N$2:N1130,"Explore*")</f>
        <v/>
      </c>
      <c r="AB1130">
        <f>IF(AND(LEFT(N1130,7)="Explore",(AA1130-IF(LEFT(N1130,7)="Explore",S1130,0))&lt;10),"SI","NO")</f>
        <v/>
      </c>
    </row>
    <row r="1131">
      <c r="A1131" t="inlineStr">
        <is>
          <t>c10f4_training</t>
        </is>
      </c>
      <c r="B1131" t="inlineStr">
        <is>
          <t>2026-06-25 15:39:04.374</t>
        </is>
      </c>
      <c r="C1131" t="n">
        <v/>
      </c>
      <c r="D1131" t="inlineStr">
        <is>
          <t>Media file</t>
        </is>
      </c>
      <c r="E1131" t="inlineStr">
        <is>
          <t>player #1:C:/Users/manuel.felline/Documents/BEHAVIOR BTBR/NOR second cohort/BTBR/training/c10_f4.mp4</t>
        </is>
      </c>
      <c r="F1131" t="n">
        <v>-7.1</v>
      </c>
      <c r="G1131" t="n">
        <v>567.333</v>
      </c>
      <c r="H1131" t="n">
        <v>627.966</v>
      </c>
      <c r="I1131" t="n">
        <v>30</v>
      </c>
      <c r="J1131" t="inlineStr">
        <is>
          <t>BTBR</t>
        </is>
      </c>
      <c r="K1131" t="inlineStr">
        <is>
          <t xml:space="preserve"> Female</t>
        </is>
      </c>
      <c r="L1131" t="inlineStr">
        <is>
          <t>No focal subject</t>
        </is>
      </c>
      <c r="M1131" t="n">
        <v>46.333</v>
      </c>
      <c r="N1131" t="inlineStr">
        <is>
          <t>Explore_F</t>
        </is>
      </c>
      <c r="O1131" t="inlineStr">
        <is>
          <t>Familiar</t>
        </is>
      </c>
      <c r="P1131" t="inlineStr">
        <is>
          <t>STATE</t>
        </is>
      </c>
      <c r="Q1131" t="n">
        <v>338.666</v>
      </c>
      <c r="R1131" t="n">
        <v>339.533</v>
      </c>
      <c r="S1131" t="n">
        <v>0.867</v>
      </c>
      <c r="T1131" t="inlineStr">
        <is>
          <t>C:/Users/manuel.felline/Documents/BEHAVIOR BTBR/NOR second cohort/BTBR/training/c10_f4.mp4</t>
        </is>
      </c>
      <c r="U1131" t="n">
        <v>10372</v>
      </c>
      <c r="V1131" t="n">
        <v>10398</v>
      </c>
      <c r="W1131" t="n">
        <v/>
      </c>
      <c r="X1131" t="n">
        <v/>
      </c>
      <c r="Y1131" t="n">
        <v/>
      </c>
      <c r="Z1131" t="n">
        <v/>
      </c>
      <c r="AA1131">
        <f>SUMIFS($S$2:S1131,$A$2:A1131,A1131,$N$2:N1131,"Explore*")</f>
        <v/>
      </c>
      <c r="AB1131">
        <f>IF(AND(LEFT(N1131,7)="Explore",(AA1131-IF(LEFT(N1131,7)="Explore",S1131,0))&lt;10),"SI","NO")</f>
        <v/>
      </c>
    </row>
    <row r="1132">
      <c r="A1132" t="inlineStr">
        <is>
          <t>c10f4_training</t>
        </is>
      </c>
      <c r="B1132" t="inlineStr">
        <is>
          <t>2026-06-25 15:39:04.374</t>
        </is>
      </c>
      <c r="C1132" t="n">
        <v/>
      </c>
      <c r="D1132" t="inlineStr">
        <is>
          <t>Media file</t>
        </is>
      </c>
      <c r="E1132" t="inlineStr">
        <is>
          <t>player #1:C:/Users/manuel.felline/Documents/BEHAVIOR BTBR/NOR second cohort/BTBR/training/c10_f4.mp4</t>
        </is>
      </c>
      <c r="F1132" t="n">
        <v>-7.1</v>
      </c>
      <c r="G1132" t="n">
        <v>567.333</v>
      </c>
      <c r="H1132" t="n">
        <v>627.966</v>
      </c>
      <c r="I1132" t="n">
        <v>30</v>
      </c>
      <c r="J1132" t="inlineStr">
        <is>
          <t>BTBR</t>
        </is>
      </c>
      <c r="K1132" t="inlineStr">
        <is>
          <t xml:space="preserve"> Female</t>
        </is>
      </c>
      <c r="L1132" t="inlineStr">
        <is>
          <t>No focal subject</t>
        </is>
      </c>
      <c r="M1132" t="n">
        <v>46.333</v>
      </c>
      <c r="N1132" t="inlineStr">
        <is>
          <t>Explore_F2</t>
        </is>
      </c>
      <c r="O1132" t="inlineStr">
        <is>
          <t>Second familiar</t>
        </is>
      </c>
      <c r="P1132" t="inlineStr">
        <is>
          <t>STATE</t>
        </is>
      </c>
      <c r="Q1132" t="n">
        <v>348.6</v>
      </c>
      <c r="R1132" t="n">
        <v>349.366</v>
      </c>
      <c r="S1132" t="n">
        <v>0.766</v>
      </c>
      <c r="T1132" t="inlineStr">
        <is>
          <t>C:/Users/manuel.felline/Documents/BEHAVIOR BTBR/NOR second cohort/BTBR/training/c10_f4.mp4</t>
        </is>
      </c>
      <c r="U1132" t="n">
        <v>10669</v>
      </c>
      <c r="V1132" t="n">
        <v>10692</v>
      </c>
      <c r="W1132" t="n">
        <v/>
      </c>
      <c r="X1132" t="n">
        <v/>
      </c>
      <c r="Y1132" t="n">
        <v/>
      </c>
      <c r="Z1132" t="n">
        <v/>
      </c>
      <c r="AA1132">
        <f>SUMIFS($S$2:S1132,$A$2:A1132,A1132,$N$2:N1132,"Explore*")</f>
        <v/>
      </c>
      <c r="AB1132">
        <f>IF(AND(LEFT(N1132,7)="Explore",(AA1132-IF(LEFT(N1132,7)="Explore",S1132,0))&lt;10),"SI","NO")</f>
        <v/>
      </c>
    </row>
    <row r="1133">
      <c r="A1133" t="inlineStr">
        <is>
          <t>c10f4_training</t>
        </is>
      </c>
      <c r="B1133" t="inlineStr">
        <is>
          <t>2026-06-25 15:39:04.374</t>
        </is>
      </c>
      <c r="C1133" t="n">
        <v/>
      </c>
      <c r="D1133" t="inlineStr">
        <is>
          <t>Media file</t>
        </is>
      </c>
      <c r="E1133" t="inlineStr">
        <is>
          <t>player #1:C:/Users/manuel.felline/Documents/BEHAVIOR BTBR/NOR second cohort/BTBR/training/c10_f4.mp4</t>
        </is>
      </c>
      <c r="F1133" t="n">
        <v>-7.1</v>
      </c>
      <c r="G1133" t="n">
        <v>567.333</v>
      </c>
      <c r="H1133" t="n">
        <v>627.966</v>
      </c>
      <c r="I1133" t="n">
        <v>30</v>
      </c>
      <c r="J1133" t="inlineStr">
        <is>
          <t>BTBR</t>
        </is>
      </c>
      <c r="K1133" t="inlineStr">
        <is>
          <t xml:space="preserve"> Female</t>
        </is>
      </c>
      <c r="L1133" t="inlineStr">
        <is>
          <t>No focal subject</t>
        </is>
      </c>
      <c r="M1133" t="n">
        <v>46.333</v>
      </c>
      <c r="N1133" t="inlineStr">
        <is>
          <t>Explore_F2</t>
        </is>
      </c>
      <c r="O1133" t="inlineStr">
        <is>
          <t>Second familiar</t>
        </is>
      </c>
      <c r="P1133" t="inlineStr">
        <is>
          <t>STATE</t>
        </is>
      </c>
      <c r="Q1133" t="n">
        <v>375.166</v>
      </c>
      <c r="R1133" t="n">
        <v>377.166</v>
      </c>
      <c r="S1133" t="n">
        <v>2</v>
      </c>
      <c r="T1133" t="inlineStr">
        <is>
          <t>C:/Users/manuel.felline/Documents/BEHAVIOR BTBR/NOR second cohort/BTBR/training/c10_f4.mp4</t>
        </is>
      </c>
      <c r="U1133" t="n">
        <v>11466</v>
      </c>
      <c r="V1133" t="n">
        <v>11526</v>
      </c>
      <c r="W1133" t="n">
        <v/>
      </c>
      <c r="X1133" t="n">
        <v/>
      </c>
      <c r="Y1133" t="n">
        <v/>
      </c>
      <c r="Z1133" t="n">
        <v/>
      </c>
      <c r="AA1133">
        <f>SUMIFS($S$2:S1133,$A$2:A1133,A1133,$N$2:N1133,"Explore*")</f>
        <v/>
      </c>
      <c r="AB1133">
        <f>IF(AND(LEFT(N1133,7)="Explore",(AA1133-IF(LEFT(N1133,7)="Explore",S1133,0))&lt;10),"SI","NO")</f>
        <v/>
      </c>
    </row>
    <row r="1134">
      <c r="A1134" t="inlineStr">
        <is>
          <t>c10f4_training</t>
        </is>
      </c>
      <c r="B1134" t="inlineStr">
        <is>
          <t>2026-06-25 15:39:04.374</t>
        </is>
      </c>
      <c r="C1134" t="n">
        <v/>
      </c>
      <c r="D1134" t="inlineStr">
        <is>
          <t>Media file</t>
        </is>
      </c>
      <c r="E1134" t="inlineStr">
        <is>
          <t>player #1:C:/Users/manuel.felline/Documents/BEHAVIOR BTBR/NOR second cohort/BTBR/training/c10_f4.mp4</t>
        </is>
      </c>
      <c r="F1134" t="n">
        <v>-7.1</v>
      </c>
      <c r="G1134" t="n">
        <v>567.333</v>
      </c>
      <c r="H1134" t="n">
        <v>627.966</v>
      </c>
      <c r="I1134" t="n">
        <v>30</v>
      </c>
      <c r="J1134" t="inlineStr">
        <is>
          <t>BTBR</t>
        </is>
      </c>
      <c r="K1134" t="inlineStr">
        <is>
          <t xml:space="preserve"> Female</t>
        </is>
      </c>
      <c r="L1134" t="inlineStr">
        <is>
          <t>No focal subject</t>
        </is>
      </c>
      <c r="M1134" t="n">
        <v>46.333</v>
      </c>
      <c r="N1134" t="inlineStr">
        <is>
          <t>Explore_F2</t>
        </is>
      </c>
      <c r="O1134" t="inlineStr">
        <is>
          <t>Second familiar</t>
        </is>
      </c>
      <c r="P1134" t="inlineStr">
        <is>
          <t>STATE</t>
        </is>
      </c>
      <c r="Q1134" t="n">
        <v>380.466</v>
      </c>
      <c r="R1134" t="n">
        <v>382.366</v>
      </c>
      <c r="S1134" t="n">
        <v>1.9</v>
      </c>
      <c r="T1134" t="inlineStr">
        <is>
          <t>C:/Users/manuel.felline/Documents/BEHAVIOR BTBR/NOR second cohort/BTBR/training/c10_f4.mp4</t>
        </is>
      </c>
      <c r="U1134" t="n">
        <v>11625</v>
      </c>
      <c r="V1134" t="n">
        <v>11682</v>
      </c>
      <c r="W1134" t="n">
        <v/>
      </c>
      <c r="X1134" t="n">
        <v/>
      </c>
      <c r="Y1134" t="n">
        <v/>
      </c>
      <c r="Z1134" t="n">
        <v/>
      </c>
      <c r="AA1134">
        <f>SUMIFS($S$2:S1134,$A$2:A1134,A1134,$N$2:N1134,"Explore*")</f>
        <v/>
      </c>
      <c r="AB1134">
        <f>IF(AND(LEFT(N1134,7)="Explore",(AA1134-IF(LEFT(N1134,7)="Explore",S1134,0))&lt;10),"SI","NO")</f>
        <v/>
      </c>
    </row>
    <row r="1135">
      <c r="A1135" t="inlineStr">
        <is>
          <t>c10f4_training</t>
        </is>
      </c>
      <c r="B1135" t="inlineStr">
        <is>
          <t>2026-06-25 15:39:04.374</t>
        </is>
      </c>
      <c r="C1135" t="n">
        <v/>
      </c>
      <c r="D1135" t="inlineStr">
        <is>
          <t>Media file</t>
        </is>
      </c>
      <c r="E1135" t="inlineStr">
        <is>
          <t>player #1:C:/Users/manuel.felline/Documents/BEHAVIOR BTBR/NOR second cohort/BTBR/training/c10_f4.mp4</t>
        </is>
      </c>
      <c r="F1135" t="n">
        <v>-7.1</v>
      </c>
      <c r="G1135" t="n">
        <v>567.333</v>
      </c>
      <c r="H1135" t="n">
        <v>627.966</v>
      </c>
      <c r="I1135" t="n">
        <v>30</v>
      </c>
      <c r="J1135" t="inlineStr">
        <is>
          <t>BTBR</t>
        </is>
      </c>
      <c r="K1135" t="inlineStr">
        <is>
          <t xml:space="preserve"> Female</t>
        </is>
      </c>
      <c r="L1135" t="inlineStr">
        <is>
          <t>No focal subject</t>
        </is>
      </c>
      <c r="M1135" t="n">
        <v>46.333</v>
      </c>
      <c r="N1135" t="inlineStr">
        <is>
          <t>Explore_F</t>
        </is>
      </c>
      <c r="O1135" t="inlineStr">
        <is>
          <t>Familiar</t>
        </is>
      </c>
      <c r="P1135" t="inlineStr">
        <is>
          <t>STATE</t>
        </is>
      </c>
      <c r="Q1135" t="n">
        <v>383.8</v>
      </c>
      <c r="R1135" t="n">
        <v>385.9</v>
      </c>
      <c r="S1135" t="n">
        <v>2.1</v>
      </c>
      <c r="T1135" t="inlineStr">
        <is>
          <t>C:/Users/manuel.felline/Documents/BEHAVIOR BTBR/NOR second cohort/BTBR/training/c10_f4.mp4</t>
        </is>
      </c>
      <c r="U1135" t="n">
        <v>11725</v>
      </c>
      <c r="V1135" t="n">
        <v>11788</v>
      </c>
      <c r="W1135" t="n">
        <v/>
      </c>
      <c r="X1135" t="n">
        <v/>
      </c>
      <c r="Y1135" t="n">
        <v/>
      </c>
      <c r="Z1135" t="n">
        <v/>
      </c>
      <c r="AA1135">
        <f>SUMIFS($S$2:S1135,$A$2:A1135,A1135,$N$2:N1135,"Explore*")</f>
        <v/>
      </c>
      <c r="AB1135">
        <f>IF(AND(LEFT(N1135,7)="Explore",(AA1135-IF(LEFT(N1135,7)="Explore",S1135,0))&lt;10),"SI","NO")</f>
        <v/>
      </c>
    </row>
    <row r="1136">
      <c r="A1136" t="inlineStr">
        <is>
          <t>c10f4_training</t>
        </is>
      </c>
      <c r="B1136" t="inlineStr">
        <is>
          <t>2026-06-25 15:39:04.374</t>
        </is>
      </c>
      <c r="C1136" t="n">
        <v/>
      </c>
      <c r="D1136" t="inlineStr">
        <is>
          <t>Media file</t>
        </is>
      </c>
      <c r="E1136" t="inlineStr">
        <is>
          <t>player #1:C:/Users/manuel.felline/Documents/BEHAVIOR BTBR/NOR second cohort/BTBR/training/c10_f4.mp4</t>
        </is>
      </c>
      <c r="F1136" t="n">
        <v>-7.1</v>
      </c>
      <c r="G1136" t="n">
        <v>567.333</v>
      </c>
      <c r="H1136" t="n">
        <v>627.966</v>
      </c>
      <c r="I1136" t="n">
        <v>30</v>
      </c>
      <c r="J1136" t="inlineStr">
        <is>
          <t>BTBR</t>
        </is>
      </c>
      <c r="K1136" t="inlineStr">
        <is>
          <t xml:space="preserve"> Female</t>
        </is>
      </c>
      <c r="L1136" t="inlineStr">
        <is>
          <t>No focal subject</t>
        </is>
      </c>
      <c r="M1136" t="n">
        <v>46.333</v>
      </c>
      <c r="N1136" t="inlineStr">
        <is>
          <t>Explore_F</t>
        </is>
      </c>
      <c r="O1136" t="inlineStr">
        <is>
          <t>Familiar</t>
        </is>
      </c>
      <c r="P1136" t="inlineStr">
        <is>
          <t>STATE</t>
        </is>
      </c>
      <c r="Q1136" t="n">
        <v>415.166</v>
      </c>
      <c r="R1136" t="n">
        <v>415.733</v>
      </c>
      <c r="S1136" t="n">
        <v>0.5669999999999999</v>
      </c>
      <c r="T1136" t="inlineStr">
        <is>
          <t>C:/Users/manuel.felline/Documents/BEHAVIOR BTBR/NOR second cohort/BTBR/training/c10_f4.mp4</t>
        </is>
      </c>
      <c r="U1136" t="n">
        <v>12666</v>
      </c>
      <c r="V1136" t="n">
        <v>12683</v>
      </c>
      <c r="W1136" t="n">
        <v/>
      </c>
      <c r="X1136" t="n">
        <v/>
      </c>
      <c r="Y1136" t="n">
        <v/>
      </c>
      <c r="Z1136" t="n">
        <v/>
      </c>
      <c r="AA1136">
        <f>SUMIFS($S$2:S1136,$A$2:A1136,A1136,$N$2:N1136,"Explore*")</f>
        <v/>
      </c>
      <c r="AB1136">
        <f>IF(AND(LEFT(N1136,7)="Explore",(AA1136-IF(LEFT(N1136,7)="Explore",S1136,0))&lt;10),"SI","NO")</f>
        <v/>
      </c>
    </row>
    <row r="1137">
      <c r="A1137" t="inlineStr">
        <is>
          <t>c10f4_training</t>
        </is>
      </c>
      <c r="B1137" t="inlineStr">
        <is>
          <t>2026-06-25 15:39:04.374</t>
        </is>
      </c>
      <c r="C1137" t="n">
        <v/>
      </c>
      <c r="D1137" t="inlineStr">
        <is>
          <t>Media file</t>
        </is>
      </c>
      <c r="E1137" t="inlineStr">
        <is>
          <t>player #1:C:/Users/manuel.felline/Documents/BEHAVIOR BTBR/NOR second cohort/BTBR/training/c10_f4.mp4</t>
        </is>
      </c>
      <c r="F1137" t="n">
        <v>-7.1</v>
      </c>
      <c r="G1137" t="n">
        <v>567.333</v>
      </c>
      <c r="H1137" t="n">
        <v>627.966</v>
      </c>
      <c r="I1137" t="n">
        <v>30</v>
      </c>
      <c r="J1137" t="inlineStr">
        <is>
          <t>BTBR</t>
        </is>
      </c>
      <c r="K1137" t="inlineStr">
        <is>
          <t xml:space="preserve"> Female</t>
        </is>
      </c>
      <c r="L1137" t="inlineStr">
        <is>
          <t>No focal subject</t>
        </is>
      </c>
      <c r="M1137" t="n">
        <v>46.333</v>
      </c>
      <c r="N1137" t="inlineStr">
        <is>
          <t>Explore_F2</t>
        </is>
      </c>
      <c r="O1137" t="inlineStr">
        <is>
          <t>Second familiar</t>
        </is>
      </c>
      <c r="P1137" t="inlineStr">
        <is>
          <t>STATE</t>
        </is>
      </c>
      <c r="Q1137" t="n">
        <v>416.2</v>
      </c>
      <c r="R1137" t="n">
        <v>417</v>
      </c>
      <c r="S1137" t="n">
        <v>0.8</v>
      </c>
      <c r="T1137" t="inlineStr">
        <is>
          <t>C:/Users/manuel.felline/Documents/BEHAVIOR BTBR/NOR second cohort/BTBR/training/c10_f4.mp4</t>
        </is>
      </c>
      <c r="U1137" t="n">
        <v>12697</v>
      </c>
      <c r="V1137" t="n">
        <v>12721</v>
      </c>
      <c r="W1137" t="n">
        <v/>
      </c>
      <c r="X1137" t="n">
        <v/>
      </c>
      <c r="Y1137" t="n">
        <v/>
      </c>
      <c r="Z1137" t="n">
        <v/>
      </c>
      <c r="AA1137">
        <f>SUMIFS($S$2:S1137,$A$2:A1137,A1137,$N$2:N1137,"Explore*")</f>
        <v/>
      </c>
      <c r="AB1137">
        <f>IF(AND(LEFT(N1137,7)="Explore",(AA1137-IF(LEFT(N1137,7)="Explore",S1137,0))&lt;10),"SI","NO")</f>
        <v/>
      </c>
    </row>
    <row r="1138">
      <c r="A1138" t="inlineStr">
        <is>
          <t>c10f4_training</t>
        </is>
      </c>
      <c r="B1138" t="inlineStr">
        <is>
          <t>2026-06-25 15:39:04.374</t>
        </is>
      </c>
      <c r="C1138" t="n">
        <v/>
      </c>
      <c r="D1138" t="inlineStr">
        <is>
          <t>Media file</t>
        </is>
      </c>
      <c r="E1138" t="inlineStr">
        <is>
          <t>player #1:C:/Users/manuel.felline/Documents/BEHAVIOR BTBR/NOR second cohort/BTBR/training/c10_f4.mp4</t>
        </is>
      </c>
      <c r="F1138" t="n">
        <v>-7.1</v>
      </c>
      <c r="G1138" t="n">
        <v>567.333</v>
      </c>
      <c r="H1138" t="n">
        <v>627.966</v>
      </c>
      <c r="I1138" t="n">
        <v>30</v>
      </c>
      <c r="J1138" t="inlineStr">
        <is>
          <t>BTBR</t>
        </is>
      </c>
      <c r="K1138" t="inlineStr">
        <is>
          <t xml:space="preserve"> Female</t>
        </is>
      </c>
      <c r="L1138" t="inlineStr">
        <is>
          <t>No focal subject</t>
        </is>
      </c>
      <c r="M1138" t="n">
        <v>46.333</v>
      </c>
      <c r="N1138" t="inlineStr">
        <is>
          <t>Explore_F2</t>
        </is>
      </c>
      <c r="O1138" t="inlineStr">
        <is>
          <t>Second familiar</t>
        </is>
      </c>
      <c r="P1138" t="inlineStr">
        <is>
          <t>STATE</t>
        </is>
      </c>
      <c r="Q1138" t="n">
        <v>418.533</v>
      </c>
      <c r="R1138" t="n">
        <v>418.866</v>
      </c>
      <c r="S1138" t="n">
        <v>0.333</v>
      </c>
      <c r="T1138" t="inlineStr">
        <is>
          <t>C:/Users/manuel.felline/Documents/BEHAVIOR BTBR/NOR second cohort/BTBR/training/c10_f4.mp4</t>
        </is>
      </c>
      <c r="U1138" t="n">
        <v>12767</v>
      </c>
      <c r="V1138" t="n">
        <v>12777</v>
      </c>
      <c r="W1138" t="n">
        <v/>
      </c>
      <c r="X1138" t="n">
        <v/>
      </c>
      <c r="Y1138" t="n">
        <v/>
      </c>
      <c r="Z1138" t="n">
        <v/>
      </c>
      <c r="AA1138">
        <f>SUMIFS($S$2:S1138,$A$2:A1138,A1138,$N$2:N1138,"Explore*")</f>
        <v/>
      </c>
      <c r="AB1138">
        <f>IF(AND(LEFT(N1138,7)="Explore",(AA1138-IF(LEFT(N1138,7)="Explore",S1138,0))&lt;10),"SI","NO")</f>
        <v/>
      </c>
    </row>
    <row r="1139">
      <c r="A1139" t="inlineStr">
        <is>
          <t>c10f4_training</t>
        </is>
      </c>
      <c r="B1139" t="inlineStr">
        <is>
          <t>2026-06-25 15:39:04.374</t>
        </is>
      </c>
      <c r="C1139" t="n">
        <v/>
      </c>
      <c r="D1139" t="inlineStr">
        <is>
          <t>Media file</t>
        </is>
      </c>
      <c r="E1139" t="inlineStr">
        <is>
          <t>player #1:C:/Users/manuel.felline/Documents/BEHAVIOR BTBR/NOR second cohort/BTBR/training/c10_f4.mp4</t>
        </is>
      </c>
      <c r="F1139" t="n">
        <v>-7.1</v>
      </c>
      <c r="G1139" t="n">
        <v>567.333</v>
      </c>
      <c r="H1139" t="n">
        <v>627.966</v>
      </c>
      <c r="I1139" t="n">
        <v>30</v>
      </c>
      <c r="J1139" t="inlineStr">
        <is>
          <t>BTBR</t>
        </is>
      </c>
      <c r="K1139" t="inlineStr">
        <is>
          <t xml:space="preserve"> Female</t>
        </is>
      </c>
      <c r="L1139" t="inlineStr">
        <is>
          <t>No focal subject</t>
        </is>
      </c>
      <c r="M1139" t="n">
        <v>46.333</v>
      </c>
      <c r="N1139" t="inlineStr">
        <is>
          <t>Explore_F</t>
        </is>
      </c>
      <c r="O1139" t="inlineStr">
        <is>
          <t>Familiar</t>
        </is>
      </c>
      <c r="P1139" t="inlineStr">
        <is>
          <t>STATE</t>
        </is>
      </c>
      <c r="Q1139" t="n">
        <v>450.566</v>
      </c>
      <c r="R1139" t="n">
        <v>451.3</v>
      </c>
      <c r="S1139" t="n">
        <v>0.734</v>
      </c>
      <c r="T1139" t="inlineStr">
        <is>
          <t>C:/Users/manuel.felline/Documents/BEHAVIOR BTBR/NOR second cohort/BTBR/training/c10_f4.mp4</t>
        </is>
      </c>
      <c r="U1139" t="n">
        <v>13728</v>
      </c>
      <c r="V1139" t="n">
        <v>13750</v>
      </c>
      <c r="W1139" t="n">
        <v/>
      </c>
      <c r="X1139" t="n">
        <v/>
      </c>
      <c r="Y1139" t="n">
        <v/>
      </c>
      <c r="Z1139" t="n">
        <v/>
      </c>
      <c r="AA1139">
        <f>SUMIFS($S$2:S1139,$A$2:A1139,A1139,$N$2:N1139,"Explore*")</f>
        <v/>
      </c>
      <c r="AB1139">
        <f>IF(AND(LEFT(N1139,7)="Explore",(AA1139-IF(LEFT(N1139,7)="Explore",S1139,0))&lt;10),"SI","NO")</f>
        <v/>
      </c>
    </row>
    <row r="1140">
      <c r="A1140" t="inlineStr">
        <is>
          <t>c10f4_training</t>
        </is>
      </c>
      <c r="B1140" t="inlineStr">
        <is>
          <t>2026-06-25 15:39:04.374</t>
        </is>
      </c>
      <c r="C1140" t="n">
        <v/>
      </c>
      <c r="D1140" t="inlineStr">
        <is>
          <t>Media file</t>
        </is>
      </c>
      <c r="E1140" t="inlineStr">
        <is>
          <t>player #1:C:/Users/manuel.felline/Documents/BEHAVIOR BTBR/NOR second cohort/BTBR/training/c10_f4.mp4</t>
        </is>
      </c>
      <c r="F1140" t="n">
        <v>-7.1</v>
      </c>
      <c r="G1140" t="n">
        <v>567.333</v>
      </c>
      <c r="H1140" t="n">
        <v>627.966</v>
      </c>
      <c r="I1140" t="n">
        <v>30</v>
      </c>
      <c r="J1140" t="inlineStr">
        <is>
          <t>BTBR</t>
        </is>
      </c>
      <c r="K1140" t="inlineStr">
        <is>
          <t xml:space="preserve"> Female</t>
        </is>
      </c>
      <c r="L1140" t="inlineStr">
        <is>
          <t>No focal subject</t>
        </is>
      </c>
      <c r="M1140" t="n">
        <v>46.333</v>
      </c>
      <c r="N1140" t="inlineStr">
        <is>
          <t>Explore_F</t>
        </is>
      </c>
      <c r="O1140" t="inlineStr">
        <is>
          <t>Familiar</t>
        </is>
      </c>
      <c r="P1140" t="inlineStr">
        <is>
          <t>STATE</t>
        </is>
      </c>
      <c r="Q1140" t="n">
        <v>452.266</v>
      </c>
      <c r="R1140" t="n">
        <v>452.966</v>
      </c>
      <c r="S1140" t="n">
        <v>0.7</v>
      </c>
      <c r="T1140" t="inlineStr">
        <is>
          <t>C:/Users/manuel.felline/Documents/BEHAVIOR BTBR/NOR second cohort/BTBR/training/c10_f4.mp4</t>
        </is>
      </c>
      <c r="U1140" t="n">
        <v>13779</v>
      </c>
      <c r="V1140" t="n">
        <v>13800</v>
      </c>
      <c r="W1140" t="n">
        <v/>
      </c>
      <c r="X1140" t="n">
        <v/>
      </c>
      <c r="Y1140" t="n">
        <v/>
      </c>
      <c r="Z1140" t="n">
        <v/>
      </c>
      <c r="AA1140">
        <f>SUMIFS($S$2:S1140,$A$2:A1140,A1140,$N$2:N1140,"Explore*")</f>
        <v/>
      </c>
      <c r="AB1140">
        <f>IF(AND(LEFT(N1140,7)="Explore",(AA1140-IF(LEFT(N1140,7)="Explore",S1140,0))&lt;10),"SI","NO")</f>
        <v/>
      </c>
    </row>
    <row r="1141">
      <c r="A1141" t="inlineStr">
        <is>
          <t>c10f4_training</t>
        </is>
      </c>
      <c r="B1141" t="inlineStr">
        <is>
          <t>2026-06-25 15:39:04.374</t>
        </is>
      </c>
      <c r="C1141" t="n">
        <v/>
      </c>
      <c r="D1141" t="inlineStr">
        <is>
          <t>Media file</t>
        </is>
      </c>
      <c r="E1141" t="inlineStr">
        <is>
          <t>player #1:C:/Users/manuel.felline/Documents/BEHAVIOR BTBR/NOR second cohort/BTBR/training/c10_f4.mp4</t>
        </is>
      </c>
      <c r="F1141" t="n">
        <v>-7.1</v>
      </c>
      <c r="G1141" t="n">
        <v>567.333</v>
      </c>
      <c r="H1141" t="n">
        <v>627.966</v>
      </c>
      <c r="I1141" t="n">
        <v>30</v>
      </c>
      <c r="J1141" t="inlineStr">
        <is>
          <t>BTBR</t>
        </is>
      </c>
      <c r="K1141" t="inlineStr">
        <is>
          <t xml:space="preserve"> Female</t>
        </is>
      </c>
      <c r="L1141" t="inlineStr">
        <is>
          <t>No focal subject</t>
        </is>
      </c>
      <c r="M1141" t="n">
        <v>46.333</v>
      </c>
      <c r="N1141" t="inlineStr">
        <is>
          <t>Explore_F</t>
        </is>
      </c>
      <c r="O1141" t="inlineStr">
        <is>
          <t>Familiar</t>
        </is>
      </c>
      <c r="P1141" t="inlineStr">
        <is>
          <t>STATE</t>
        </is>
      </c>
      <c r="Q1141" t="n">
        <v>467.033</v>
      </c>
      <c r="R1141" t="n">
        <v>467.666</v>
      </c>
      <c r="S1141" t="n">
        <v>0.633</v>
      </c>
      <c r="T1141" t="inlineStr">
        <is>
          <t>C:/Users/manuel.felline/Documents/BEHAVIOR BTBR/NOR second cohort/BTBR/training/c10_f4.mp4</t>
        </is>
      </c>
      <c r="U1141" t="n">
        <v>14222</v>
      </c>
      <c r="V1141" t="n">
        <v>14241</v>
      </c>
      <c r="W1141" t="n">
        <v/>
      </c>
      <c r="X1141" t="n">
        <v/>
      </c>
      <c r="Y1141" t="n">
        <v/>
      </c>
      <c r="Z1141" t="n">
        <v/>
      </c>
      <c r="AA1141">
        <f>SUMIFS($S$2:S1141,$A$2:A1141,A1141,$N$2:N1141,"Explore*")</f>
        <v/>
      </c>
      <c r="AB1141">
        <f>IF(AND(LEFT(N1141,7)="Explore",(AA1141-IF(LEFT(N1141,7)="Explore",S1141,0))&lt;10),"SI","NO")</f>
        <v/>
      </c>
    </row>
    <row r="1142">
      <c r="A1142" t="inlineStr">
        <is>
          <t>c10f4_training</t>
        </is>
      </c>
      <c r="B1142" t="inlineStr">
        <is>
          <t>2026-06-25 15:39:04.374</t>
        </is>
      </c>
      <c r="C1142" t="n">
        <v/>
      </c>
      <c r="D1142" t="inlineStr">
        <is>
          <t>Media file</t>
        </is>
      </c>
      <c r="E1142" t="inlineStr">
        <is>
          <t>player #1:C:/Users/manuel.felline/Documents/BEHAVIOR BTBR/NOR second cohort/BTBR/training/c10_f4.mp4</t>
        </is>
      </c>
      <c r="F1142" t="n">
        <v>-7.1</v>
      </c>
      <c r="G1142" t="n">
        <v>567.333</v>
      </c>
      <c r="H1142" t="n">
        <v>627.966</v>
      </c>
      <c r="I1142" t="n">
        <v>30</v>
      </c>
      <c r="J1142" t="inlineStr">
        <is>
          <t>BTBR</t>
        </is>
      </c>
      <c r="K1142" t="inlineStr">
        <is>
          <t xml:space="preserve"> Female</t>
        </is>
      </c>
      <c r="L1142" t="inlineStr">
        <is>
          <t>No focal subject</t>
        </is>
      </c>
      <c r="M1142" t="n">
        <v>46.333</v>
      </c>
      <c r="N1142" t="inlineStr">
        <is>
          <t>Explore_F2</t>
        </is>
      </c>
      <c r="O1142" t="inlineStr">
        <is>
          <t>Second familiar</t>
        </is>
      </c>
      <c r="P1142" t="inlineStr">
        <is>
          <t>STATE</t>
        </is>
      </c>
      <c r="Q1142" t="n">
        <v>485.433</v>
      </c>
      <c r="R1142" t="n">
        <v>486.733</v>
      </c>
      <c r="S1142" t="n">
        <v>1.3</v>
      </c>
      <c r="T1142" t="inlineStr">
        <is>
          <t>C:/Users/manuel.felline/Documents/BEHAVIOR BTBR/NOR second cohort/BTBR/training/c10_f4.mp4</t>
        </is>
      </c>
      <c r="U1142" t="n">
        <v>14775</v>
      </c>
      <c r="V1142" t="n">
        <v>14813</v>
      </c>
      <c r="W1142" t="n">
        <v/>
      </c>
      <c r="X1142" t="n">
        <v/>
      </c>
      <c r="Y1142" t="n">
        <v/>
      </c>
      <c r="Z1142" t="n">
        <v/>
      </c>
      <c r="AA1142">
        <f>SUMIFS($S$2:S1142,$A$2:A1142,A1142,$N$2:N1142,"Explore*")</f>
        <v/>
      </c>
      <c r="AB1142">
        <f>IF(AND(LEFT(N1142,7)="Explore",(AA1142-IF(LEFT(N1142,7)="Explore",S1142,0))&lt;10),"SI","NO")</f>
        <v/>
      </c>
    </row>
    <row r="1143">
      <c r="A1143" t="inlineStr">
        <is>
          <t>c10f4_training</t>
        </is>
      </c>
      <c r="B1143" t="inlineStr">
        <is>
          <t>2026-06-25 15:39:04.374</t>
        </is>
      </c>
      <c r="C1143" t="n">
        <v/>
      </c>
      <c r="D1143" t="inlineStr">
        <is>
          <t>Media file</t>
        </is>
      </c>
      <c r="E1143" t="inlineStr">
        <is>
          <t>player #1:C:/Users/manuel.felline/Documents/BEHAVIOR BTBR/NOR second cohort/BTBR/training/c10_f4.mp4</t>
        </is>
      </c>
      <c r="F1143" t="n">
        <v>-7.1</v>
      </c>
      <c r="G1143" t="n">
        <v>567.333</v>
      </c>
      <c r="H1143" t="n">
        <v>627.966</v>
      </c>
      <c r="I1143" t="n">
        <v>30</v>
      </c>
      <c r="J1143" t="inlineStr">
        <is>
          <t>BTBR</t>
        </is>
      </c>
      <c r="K1143" t="inlineStr">
        <is>
          <t xml:space="preserve"> Female</t>
        </is>
      </c>
      <c r="L1143" t="inlineStr">
        <is>
          <t>No focal subject</t>
        </is>
      </c>
      <c r="M1143" t="n">
        <v>46.333</v>
      </c>
      <c r="N1143" t="inlineStr">
        <is>
          <t>Explore_F</t>
        </is>
      </c>
      <c r="O1143" t="inlineStr">
        <is>
          <t>Familiar</t>
        </is>
      </c>
      <c r="P1143" t="inlineStr">
        <is>
          <t>STATE</t>
        </is>
      </c>
      <c r="Q1143" t="n">
        <v>531.766</v>
      </c>
      <c r="R1143" t="n">
        <v>532.599</v>
      </c>
      <c r="S1143" t="n">
        <v>0.833</v>
      </c>
      <c r="T1143" t="inlineStr">
        <is>
          <t>C:/Users/manuel.felline/Documents/BEHAVIOR BTBR/NOR second cohort/BTBR/training/c10_f4.mp4</t>
        </is>
      </c>
      <c r="U1143" t="n">
        <v>16164</v>
      </c>
      <c r="V1143" t="n">
        <v>16189</v>
      </c>
      <c r="W1143" t="n">
        <v/>
      </c>
      <c r="X1143" t="n">
        <v/>
      </c>
      <c r="Y1143" t="n">
        <v/>
      </c>
      <c r="Z1143" t="n">
        <v/>
      </c>
      <c r="AA1143">
        <f>SUMIFS($S$2:S1143,$A$2:A1143,A1143,$N$2:N1143,"Explore*")</f>
        <v/>
      </c>
      <c r="AB1143">
        <f>IF(AND(LEFT(N1143,7)="Explore",(AA1143-IF(LEFT(N1143,7)="Explore",S1143,0))&lt;10),"SI","NO")</f>
        <v/>
      </c>
    </row>
    <row r="1144">
      <c r="A1144" t="inlineStr">
        <is>
          <t>c10f4_training</t>
        </is>
      </c>
      <c r="B1144" t="inlineStr">
        <is>
          <t>2026-06-25 15:39:04.374</t>
        </is>
      </c>
      <c r="C1144" t="n">
        <v/>
      </c>
      <c r="D1144" t="inlineStr">
        <is>
          <t>Media file</t>
        </is>
      </c>
      <c r="E1144" t="inlineStr">
        <is>
          <t>player #1:C:/Users/manuel.felline/Documents/BEHAVIOR BTBR/NOR second cohort/BTBR/training/c10_f4.mp4</t>
        </is>
      </c>
      <c r="F1144" t="n">
        <v>-7.1</v>
      </c>
      <c r="G1144" t="n">
        <v>567.333</v>
      </c>
      <c r="H1144" t="n">
        <v>627.966</v>
      </c>
      <c r="I1144" t="n">
        <v>30</v>
      </c>
      <c r="J1144" t="inlineStr">
        <is>
          <t>BTBR</t>
        </is>
      </c>
      <c r="K1144" t="inlineStr">
        <is>
          <t xml:space="preserve"> Female</t>
        </is>
      </c>
      <c r="L1144" t="inlineStr">
        <is>
          <t>No focal subject</t>
        </is>
      </c>
      <c r="M1144" t="n">
        <v>46.333</v>
      </c>
      <c r="N1144" t="inlineStr">
        <is>
          <t>Explore_F2</t>
        </is>
      </c>
      <c r="O1144" t="inlineStr">
        <is>
          <t>Second familiar</t>
        </is>
      </c>
      <c r="P1144" t="inlineStr">
        <is>
          <t>STATE</t>
        </is>
      </c>
      <c r="Q1144" t="n">
        <v>540.799</v>
      </c>
      <c r="R1144" t="n">
        <v>541.599</v>
      </c>
      <c r="S1144" t="n">
        <v>0.8</v>
      </c>
      <c r="T1144" t="inlineStr">
        <is>
          <t>C:/Users/manuel.felline/Documents/BEHAVIOR BTBR/NOR second cohort/BTBR/training/c10_f4.mp4</t>
        </is>
      </c>
      <c r="U1144" t="n">
        <v>16435</v>
      </c>
      <c r="V1144" t="n">
        <v>16459</v>
      </c>
      <c r="W1144" t="n">
        <v/>
      </c>
      <c r="X1144" t="n">
        <v/>
      </c>
      <c r="Y1144" t="n">
        <v/>
      </c>
      <c r="Z1144" t="n">
        <v/>
      </c>
      <c r="AA1144">
        <f>SUMIFS($S$2:S1144,$A$2:A1144,A1144,$N$2:N1144,"Explore*")</f>
        <v/>
      </c>
      <c r="AB1144">
        <f>IF(AND(LEFT(N1144,7)="Explore",(AA1144-IF(LEFT(N1144,7)="Explore",S1144,0))&lt;10),"SI","NO")</f>
        <v/>
      </c>
    </row>
    <row r="1145">
      <c r="A1145" t="inlineStr">
        <is>
          <t>c10f4_training</t>
        </is>
      </c>
      <c r="B1145" t="inlineStr">
        <is>
          <t>2026-06-25 15:39:04.374</t>
        </is>
      </c>
      <c r="C1145" t="n">
        <v/>
      </c>
      <c r="D1145" t="inlineStr">
        <is>
          <t>Media file</t>
        </is>
      </c>
      <c r="E1145" t="inlineStr">
        <is>
          <t>player #1:C:/Users/manuel.felline/Documents/BEHAVIOR BTBR/NOR second cohort/BTBR/training/c10_f4.mp4</t>
        </is>
      </c>
      <c r="F1145" t="n">
        <v>-7.1</v>
      </c>
      <c r="G1145" t="n">
        <v>567.333</v>
      </c>
      <c r="H1145" t="n">
        <v>627.966</v>
      </c>
      <c r="I1145" t="n">
        <v>30</v>
      </c>
      <c r="J1145" t="inlineStr">
        <is>
          <t>BTBR</t>
        </is>
      </c>
      <c r="K1145" t="inlineStr">
        <is>
          <t xml:space="preserve"> Female</t>
        </is>
      </c>
      <c r="L1145" t="inlineStr">
        <is>
          <t>No focal subject</t>
        </is>
      </c>
      <c r="M1145" t="n">
        <v>46.333</v>
      </c>
      <c r="N1145" t="inlineStr">
        <is>
          <t>Explore_F</t>
        </is>
      </c>
      <c r="O1145" t="inlineStr">
        <is>
          <t>Familiar</t>
        </is>
      </c>
      <c r="P1145" t="inlineStr">
        <is>
          <t>STATE</t>
        </is>
      </c>
      <c r="Q1145" t="n">
        <v>554.2329999999999</v>
      </c>
      <c r="R1145" t="n">
        <v>555.833</v>
      </c>
      <c r="S1145" t="n">
        <v>1.6</v>
      </c>
      <c r="T1145" t="inlineStr">
        <is>
          <t>C:/Users/manuel.felline/Documents/BEHAVIOR BTBR/NOR second cohort/BTBR/training/c10_f4.mp4</t>
        </is>
      </c>
      <c r="U1145" t="n">
        <v>16838</v>
      </c>
      <c r="V1145" t="n">
        <v>16886</v>
      </c>
      <c r="W1145" t="n">
        <v/>
      </c>
      <c r="X1145" t="n">
        <v/>
      </c>
      <c r="Y1145" t="n">
        <v/>
      </c>
      <c r="Z1145" t="n">
        <v/>
      </c>
      <c r="AA1145">
        <f>SUMIFS($S$2:S1145,$A$2:A1145,A1145,$N$2:N1145,"Explore*")</f>
        <v/>
      </c>
      <c r="AB1145">
        <f>IF(AND(LEFT(N1145,7)="Explore",(AA1145-IF(LEFT(N1145,7)="Explore",S1145,0))&lt;10),"SI","NO")</f>
        <v/>
      </c>
    </row>
    <row r="1146">
      <c r="A1146" t="inlineStr">
        <is>
          <t>c10f4_training</t>
        </is>
      </c>
      <c r="B1146" t="inlineStr">
        <is>
          <t>2026-06-25 15:39:04.374</t>
        </is>
      </c>
      <c r="C1146" t="n">
        <v/>
      </c>
      <c r="D1146" t="inlineStr">
        <is>
          <t>Media file</t>
        </is>
      </c>
      <c r="E1146" t="inlineStr">
        <is>
          <t>player #1:C:/Users/manuel.felline/Documents/BEHAVIOR BTBR/NOR second cohort/BTBR/training/c10_f4.mp4</t>
        </is>
      </c>
      <c r="F1146" t="n">
        <v>-7.1</v>
      </c>
      <c r="G1146" t="n">
        <v>567.333</v>
      </c>
      <c r="H1146" t="n">
        <v>627.966</v>
      </c>
      <c r="I1146" t="n">
        <v>30</v>
      </c>
      <c r="J1146" t="inlineStr">
        <is>
          <t>BTBR</t>
        </is>
      </c>
      <c r="K1146" t="inlineStr">
        <is>
          <t xml:space="preserve"> Female</t>
        </is>
      </c>
      <c r="L1146" t="inlineStr">
        <is>
          <t>No focal subject</t>
        </is>
      </c>
      <c r="M1146" t="n">
        <v>46.333</v>
      </c>
      <c r="N1146" t="inlineStr">
        <is>
          <t>Explore_F</t>
        </is>
      </c>
      <c r="O1146" t="inlineStr">
        <is>
          <t>Familiar</t>
        </is>
      </c>
      <c r="P1146" t="inlineStr">
        <is>
          <t>STATE</t>
        </is>
      </c>
      <c r="Q1146" t="n">
        <v>570.499</v>
      </c>
      <c r="R1146" t="n">
        <v>571.1660000000001</v>
      </c>
      <c r="S1146" t="n">
        <v>0.667</v>
      </c>
      <c r="T1146" t="inlineStr">
        <is>
          <t>C:/Users/manuel.felline/Documents/BEHAVIOR BTBR/NOR second cohort/BTBR/training/c10_f4.mp4</t>
        </is>
      </c>
      <c r="U1146" t="n">
        <v>17326</v>
      </c>
      <c r="V1146" t="n">
        <v>17346</v>
      </c>
      <c r="W1146" t="n">
        <v/>
      </c>
      <c r="X1146" t="n">
        <v/>
      </c>
      <c r="Y1146" t="n">
        <v/>
      </c>
      <c r="Z1146" t="n">
        <v/>
      </c>
      <c r="AA1146">
        <f>SUMIFS($S$2:S1146,$A$2:A1146,A1146,$N$2:N1146,"Explore*")</f>
        <v/>
      </c>
      <c r="AB1146">
        <f>IF(AND(LEFT(N1146,7)="Explore",(AA1146-IF(LEFT(N1146,7)="Explore",S1146,0))&lt;10),"SI","NO")</f>
        <v/>
      </c>
    </row>
    <row r="1147">
      <c r="A1147" t="inlineStr">
        <is>
          <t>c10f5_training</t>
        </is>
      </c>
      <c r="B1147" t="inlineStr">
        <is>
          <t>2026-06-25 16:24:03.995</t>
        </is>
      </c>
      <c r="C1147" t="n">
        <v/>
      </c>
      <c r="D1147" t="inlineStr">
        <is>
          <t>Media file</t>
        </is>
      </c>
      <c r="E1147" t="inlineStr">
        <is>
          <t>player #1:C:/Users/manuel.felline/Documents/BEHAVIOR BTBR/NOR second cohort/BTBR/training/c10_f5.mp4</t>
        </is>
      </c>
      <c r="F1147" t="n">
        <v>-8.567</v>
      </c>
      <c r="G1147" t="n">
        <v>584.699</v>
      </c>
      <c r="H1147" t="n">
        <v>622.099</v>
      </c>
      <c r="I1147" t="n">
        <v>30</v>
      </c>
      <c r="J1147" t="inlineStr">
        <is>
          <t>BTBR</t>
        </is>
      </c>
      <c r="K1147" t="inlineStr">
        <is>
          <t xml:space="preserve"> Female</t>
        </is>
      </c>
      <c r="L1147" t="inlineStr">
        <is>
          <t>No focal subject</t>
        </is>
      </c>
      <c r="M1147" t="n">
        <v>37.468</v>
      </c>
      <c r="N1147" t="inlineStr">
        <is>
          <t>Explore_F2</t>
        </is>
      </c>
      <c r="O1147" t="inlineStr">
        <is>
          <t>Second familiar</t>
        </is>
      </c>
      <c r="P1147" t="inlineStr">
        <is>
          <t>STATE</t>
        </is>
      </c>
      <c r="Q1147" t="n">
        <v>1.5</v>
      </c>
      <c r="R1147" t="n">
        <v>2.066</v>
      </c>
      <c r="S1147" t="n">
        <v>0.5659999999999999</v>
      </c>
      <c r="T1147" t="inlineStr">
        <is>
          <t>C:/Users/manuel.felline/Documents/BEHAVIOR BTBR/NOR second cohort/BTBR/training/c10_f5.mp4</t>
        </is>
      </c>
      <c r="U1147" t="n">
        <v>302</v>
      </c>
      <c r="V1147" t="n">
        <v>319</v>
      </c>
      <c r="W1147" t="n">
        <v/>
      </c>
      <c r="X1147" t="n">
        <v/>
      </c>
      <c r="Y1147" t="n">
        <v/>
      </c>
      <c r="Z1147" t="n">
        <v/>
      </c>
      <c r="AA1147">
        <f>SUMIFS($S$2:S1147,$A$2:A1147,A1147,$N$2:N1147,"Explore*")</f>
        <v/>
      </c>
      <c r="AB1147">
        <f>IF(AND(LEFT(N1147,7)="Explore",(AA1147-IF(LEFT(N1147,7)="Explore",S1147,0))&lt;10),"SI","NO")</f>
        <v/>
      </c>
    </row>
    <row r="1148">
      <c r="A1148" t="inlineStr">
        <is>
          <t>c10f5_training</t>
        </is>
      </c>
      <c r="B1148" t="inlineStr">
        <is>
          <t>2026-06-25 16:24:03.995</t>
        </is>
      </c>
      <c r="C1148" t="n">
        <v/>
      </c>
      <c r="D1148" t="inlineStr">
        <is>
          <t>Media file</t>
        </is>
      </c>
      <c r="E1148" t="inlineStr">
        <is>
          <t>player #1:C:/Users/manuel.felline/Documents/BEHAVIOR BTBR/NOR second cohort/BTBR/training/c10_f5.mp4</t>
        </is>
      </c>
      <c r="F1148" t="n">
        <v>-8.567</v>
      </c>
      <c r="G1148" t="n">
        <v>584.699</v>
      </c>
      <c r="H1148" t="n">
        <v>622.099</v>
      </c>
      <c r="I1148" t="n">
        <v>30</v>
      </c>
      <c r="J1148" t="inlineStr">
        <is>
          <t>BTBR</t>
        </is>
      </c>
      <c r="K1148" t="inlineStr">
        <is>
          <t xml:space="preserve"> Female</t>
        </is>
      </c>
      <c r="L1148" t="inlineStr">
        <is>
          <t>No focal subject</t>
        </is>
      </c>
      <c r="M1148" t="n">
        <v>37.468</v>
      </c>
      <c r="N1148" t="inlineStr">
        <is>
          <t>Explore_F</t>
        </is>
      </c>
      <c r="O1148" t="inlineStr">
        <is>
          <t>Familiar</t>
        </is>
      </c>
      <c r="P1148" t="inlineStr">
        <is>
          <t>STATE</t>
        </is>
      </c>
      <c r="Q1148" t="n">
        <v>11.5</v>
      </c>
      <c r="R1148" t="n">
        <v>12.966</v>
      </c>
      <c r="S1148" t="n">
        <v>1.466</v>
      </c>
      <c r="T1148" t="inlineStr">
        <is>
          <t>C:/Users/manuel.felline/Documents/BEHAVIOR BTBR/NOR second cohort/BTBR/training/c10_f5.mp4</t>
        </is>
      </c>
      <c r="U1148" t="n">
        <v>602</v>
      </c>
      <c r="V1148" t="n">
        <v>646</v>
      </c>
      <c r="W1148" t="n">
        <v/>
      </c>
      <c r="X1148" t="n">
        <v/>
      </c>
      <c r="Y1148" t="n">
        <v/>
      </c>
      <c r="Z1148" t="n">
        <v/>
      </c>
      <c r="AA1148">
        <f>SUMIFS($S$2:S1148,$A$2:A1148,A1148,$N$2:N1148,"Explore*")</f>
        <v/>
      </c>
      <c r="AB1148">
        <f>IF(AND(LEFT(N1148,7)="Explore",(AA1148-IF(LEFT(N1148,7)="Explore",S1148,0))&lt;10),"SI","NO")</f>
        <v/>
      </c>
    </row>
    <row r="1149">
      <c r="A1149" t="inlineStr">
        <is>
          <t>c10f5_training</t>
        </is>
      </c>
      <c r="B1149" t="inlineStr">
        <is>
          <t>2026-06-25 16:24:03.995</t>
        </is>
      </c>
      <c r="C1149" t="n">
        <v/>
      </c>
      <c r="D1149" t="inlineStr">
        <is>
          <t>Media file</t>
        </is>
      </c>
      <c r="E1149" t="inlineStr">
        <is>
          <t>player #1:C:/Users/manuel.felline/Documents/BEHAVIOR BTBR/NOR second cohort/BTBR/training/c10_f5.mp4</t>
        </is>
      </c>
      <c r="F1149" t="n">
        <v>-8.567</v>
      </c>
      <c r="G1149" t="n">
        <v>584.699</v>
      </c>
      <c r="H1149" t="n">
        <v>622.099</v>
      </c>
      <c r="I1149" t="n">
        <v>30</v>
      </c>
      <c r="J1149" t="inlineStr">
        <is>
          <t>BTBR</t>
        </is>
      </c>
      <c r="K1149" t="inlineStr">
        <is>
          <t xml:space="preserve"> Female</t>
        </is>
      </c>
      <c r="L1149" t="inlineStr">
        <is>
          <t>No focal subject</t>
        </is>
      </c>
      <c r="M1149" t="n">
        <v>37.468</v>
      </c>
      <c r="N1149" t="inlineStr">
        <is>
          <t>Explore_F2</t>
        </is>
      </c>
      <c r="O1149" t="inlineStr">
        <is>
          <t>Second familiar</t>
        </is>
      </c>
      <c r="P1149" t="inlineStr">
        <is>
          <t>STATE</t>
        </is>
      </c>
      <c r="Q1149" t="n">
        <v>13.566</v>
      </c>
      <c r="R1149" t="n">
        <v>16.533</v>
      </c>
      <c r="S1149" t="n">
        <v>2.967</v>
      </c>
      <c r="T1149" t="inlineStr">
        <is>
          <t>C:/Users/manuel.felline/Documents/BEHAVIOR BTBR/NOR second cohort/BTBR/training/c10_f5.mp4</t>
        </is>
      </c>
      <c r="U1149" t="n">
        <v>664</v>
      </c>
      <c r="V1149" t="n">
        <v>753</v>
      </c>
      <c r="W1149" t="n">
        <v/>
      </c>
      <c r="X1149" t="n">
        <v/>
      </c>
      <c r="Y1149" t="n">
        <v/>
      </c>
      <c r="Z1149" t="n">
        <v/>
      </c>
      <c r="AA1149">
        <f>SUMIFS($S$2:S1149,$A$2:A1149,A1149,$N$2:N1149,"Explore*")</f>
        <v/>
      </c>
      <c r="AB1149">
        <f>IF(AND(LEFT(N1149,7)="Explore",(AA1149-IF(LEFT(N1149,7)="Explore",S1149,0))&lt;10),"SI","NO")</f>
        <v/>
      </c>
    </row>
    <row r="1150">
      <c r="A1150" t="inlineStr">
        <is>
          <t>c10f5_training</t>
        </is>
      </c>
      <c r="B1150" t="inlineStr">
        <is>
          <t>2026-06-25 16:24:03.995</t>
        </is>
      </c>
      <c r="C1150" t="n">
        <v/>
      </c>
      <c r="D1150" t="inlineStr">
        <is>
          <t>Media file</t>
        </is>
      </c>
      <c r="E1150" t="inlineStr">
        <is>
          <t>player #1:C:/Users/manuel.felline/Documents/BEHAVIOR BTBR/NOR second cohort/BTBR/training/c10_f5.mp4</t>
        </is>
      </c>
      <c r="F1150" t="n">
        <v>-8.567</v>
      </c>
      <c r="G1150" t="n">
        <v>584.699</v>
      </c>
      <c r="H1150" t="n">
        <v>622.099</v>
      </c>
      <c r="I1150" t="n">
        <v>30</v>
      </c>
      <c r="J1150" t="inlineStr">
        <is>
          <t>BTBR</t>
        </is>
      </c>
      <c r="K1150" t="inlineStr">
        <is>
          <t xml:space="preserve"> Female</t>
        </is>
      </c>
      <c r="L1150" t="inlineStr">
        <is>
          <t>No focal subject</t>
        </is>
      </c>
      <c r="M1150" t="n">
        <v>37.468</v>
      </c>
      <c r="N1150" t="inlineStr">
        <is>
          <t>Explore_F</t>
        </is>
      </c>
      <c r="O1150" t="inlineStr">
        <is>
          <t>Familiar</t>
        </is>
      </c>
      <c r="P1150" t="inlineStr">
        <is>
          <t>STATE</t>
        </is>
      </c>
      <c r="Q1150" t="n">
        <v>23.233</v>
      </c>
      <c r="R1150" t="n">
        <v>23.6</v>
      </c>
      <c r="S1150" t="n">
        <v>0.367</v>
      </c>
      <c r="T1150" t="inlineStr">
        <is>
          <t>C:/Users/manuel.felline/Documents/BEHAVIOR BTBR/NOR second cohort/BTBR/training/c10_f5.mp4</t>
        </is>
      </c>
      <c r="U1150" t="n">
        <v>954</v>
      </c>
      <c r="V1150" t="n">
        <v>965</v>
      </c>
      <c r="W1150" t="n">
        <v/>
      </c>
      <c r="X1150" t="n">
        <v/>
      </c>
      <c r="Y1150" t="n">
        <v/>
      </c>
      <c r="Z1150" t="n">
        <v/>
      </c>
      <c r="AA1150">
        <f>SUMIFS($S$2:S1150,$A$2:A1150,A1150,$N$2:N1150,"Explore*")</f>
        <v/>
      </c>
      <c r="AB1150">
        <f>IF(AND(LEFT(N1150,7)="Explore",(AA1150-IF(LEFT(N1150,7)="Explore",S1150,0))&lt;10),"SI","NO")</f>
        <v/>
      </c>
    </row>
    <row r="1151">
      <c r="A1151" t="inlineStr">
        <is>
          <t>c10f5_training</t>
        </is>
      </c>
      <c r="B1151" t="inlineStr">
        <is>
          <t>2026-06-25 16:24:03.995</t>
        </is>
      </c>
      <c r="C1151" t="n">
        <v/>
      </c>
      <c r="D1151" t="inlineStr">
        <is>
          <t>Media file</t>
        </is>
      </c>
      <c r="E1151" t="inlineStr">
        <is>
          <t>player #1:C:/Users/manuel.felline/Documents/BEHAVIOR BTBR/NOR second cohort/BTBR/training/c10_f5.mp4</t>
        </is>
      </c>
      <c r="F1151" t="n">
        <v>-8.567</v>
      </c>
      <c r="G1151" t="n">
        <v>584.699</v>
      </c>
      <c r="H1151" t="n">
        <v>622.099</v>
      </c>
      <c r="I1151" t="n">
        <v>30</v>
      </c>
      <c r="J1151" t="inlineStr">
        <is>
          <t>BTBR</t>
        </is>
      </c>
      <c r="K1151" t="inlineStr">
        <is>
          <t xml:space="preserve"> Female</t>
        </is>
      </c>
      <c r="L1151" t="inlineStr">
        <is>
          <t>No focal subject</t>
        </is>
      </c>
      <c r="M1151" t="n">
        <v>37.468</v>
      </c>
      <c r="N1151" t="inlineStr">
        <is>
          <t>Explore_F2</t>
        </is>
      </c>
      <c r="O1151" t="inlineStr">
        <is>
          <t>Second familiar</t>
        </is>
      </c>
      <c r="P1151" t="inlineStr">
        <is>
          <t>STATE</t>
        </is>
      </c>
      <c r="Q1151" t="n">
        <v>45.666</v>
      </c>
      <c r="R1151" t="n">
        <v>46.3</v>
      </c>
      <c r="S1151" t="n">
        <v>0.634</v>
      </c>
      <c r="T1151" t="inlineStr">
        <is>
          <t>C:/Users/manuel.felline/Documents/BEHAVIOR BTBR/NOR second cohort/BTBR/training/c10_f5.mp4</t>
        </is>
      </c>
      <c r="U1151" t="n">
        <v>1627</v>
      </c>
      <c r="V1151" t="n">
        <v>1646</v>
      </c>
      <c r="W1151" t="n">
        <v/>
      </c>
      <c r="X1151" t="n">
        <v/>
      </c>
      <c r="Y1151" t="n">
        <v/>
      </c>
      <c r="Z1151" t="n">
        <v/>
      </c>
      <c r="AA1151">
        <f>SUMIFS($S$2:S1151,$A$2:A1151,A1151,$N$2:N1151,"Explore*")</f>
        <v/>
      </c>
      <c r="AB1151">
        <f>IF(AND(LEFT(N1151,7)="Explore",(AA1151-IF(LEFT(N1151,7)="Explore",S1151,0))&lt;10),"SI","NO")</f>
        <v/>
      </c>
    </row>
    <row r="1152">
      <c r="A1152" t="inlineStr">
        <is>
          <t>c10f5_training</t>
        </is>
      </c>
      <c r="B1152" t="inlineStr">
        <is>
          <t>2026-06-25 16:24:03.995</t>
        </is>
      </c>
      <c r="C1152" t="n">
        <v/>
      </c>
      <c r="D1152" t="inlineStr">
        <is>
          <t>Media file</t>
        </is>
      </c>
      <c r="E1152" t="inlineStr">
        <is>
          <t>player #1:C:/Users/manuel.felline/Documents/BEHAVIOR BTBR/NOR second cohort/BTBR/training/c10_f5.mp4</t>
        </is>
      </c>
      <c r="F1152" t="n">
        <v>-8.567</v>
      </c>
      <c r="G1152" t="n">
        <v>584.699</v>
      </c>
      <c r="H1152" t="n">
        <v>622.099</v>
      </c>
      <c r="I1152" t="n">
        <v>30</v>
      </c>
      <c r="J1152" t="inlineStr">
        <is>
          <t>BTBR</t>
        </is>
      </c>
      <c r="K1152" t="inlineStr">
        <is>
          <t xml:space="preserve"> Female</t>
        </is>
      </c>
      <c r="L1152" t="inlineStr">
        <is>
          <t>No focal subject</t>
        </is>
      </c>
      <c r="M1152" t="n">
        <v>37.468</v>
      </c>
      <c r="N1152" t="inlineStr">
        <is>
          <t>Explore_F2</t>
        </is>
      </c>
      <c r="O1152" t="inlineStr">
        <is>
          <t>Second familiar</t>
        </is>
      </c>
      <c r="P1152" t="inlineStr">
        <is>
          <t>STATE</t>
        </is>
      </c>
      <c r="Q1152" t="n">
        <v>47.266</v>
      </c>
      <c r="R1152" t="n">
        <v>49.833</v>
      </c>
      <c r="S1152" t="n">
        <v>2.567</v>
      </c>
      <c r="T1152" t="inlineStr">
        <is>
          <t>C:/Users/manuel.felline/Documents/BEHAVIOR BTBR/NOR second cohort/BTBR/training/c10_f5.mp4</t>
        </is>
      </c>
      <c r="U1152" t="n">
        <v>1675</v>
      </c>
      <c r="V1152" t="n">
        <v>1752</v>
      </c>
      <c r="W1152" t="n">
        <v/>
      </c>
      <c r="X1152" t="n">
        <v/>
      </c>
      <c r="Y1152" t="n">
        <v/>
      </c>
      <c r="Z1152" t="n">
        <v/>
      </c>
      <c r="AA1152">
        <f>SUMIFS($S$2:S1152,$A$2:A1152,A1152,$N$2:N1152,"Explore*")</f>
        <v/>
      </c>
      <c r="AB1152">
        <f>IF(AND(LEFT(N1152,7)="Explore",(AA1152-IF(LEFT(N1152,7)="Explore",S1152,0))&lt;10),"SI","NO")</f>
        <v/>
      </c>
    </row>
    <row r="1153">
      <c r="A1153" t="inlineStr">
        <is>
          <t>c10f5_training</t>
        </is>
      </c>
      <c r="B1153" t="inlineStr">
        <is>
          <t>2026-06-25 16:24:03.995</t>
        </is>
      </c>
      <c r="C1153" t="n">
        <v/>
      </c>
      <c r="D1153" t="inlineStr">
        <is>
          <t>Media file</t>
        </is>
      </c>
      <c r="E1153" t="inlineStr">
        <is>
          <t>player #1:C:/Users/manuel.felline/Documents/BEHAVIOR BTBR/NOR second cohort/BTBR/training/c10_f5.mp4</t>
        </is>
      </c>
      <c r="F1153" t="n">
        <v>-8.567</v>
      </c>
      <c r="G1153" t="n">
        <v>584.699</v>
      </c>
      <c r="H1153" t="n">
        <v>622.099</v>
      </c>
      <c r="I1153" t="n">
        <v>30</v>
      </c>
      <c r="J1153" t="inlineStr">
        <is>
          <t>BTBR</t>
        </is>
      </c>
      <c r="K1153" t="inlineStr">
        <is>
          <t xml:space="preserve"> Female</t>
        </is>
      </c>
      <c r="L1153" t="inlineStr">
        <is>
          <t>No focal subject</t>
        </is>
      </c>
      <c r="M1153" t="n">
        <v>37.468</v>
      </c>
      <c r="N1153" t="inlineStr">
        <is>
          <t>Explore_F2</t>
        </is>
      </c>
      <c r="O1153" t="inlineStr">
        <is>
          <t>Second familiar</t>
        </is>
      </c>
      <c r="P1153" t="inlineStr">
        <is>
          <t>STATE</t>
        </is>
      </c>
      <c r="Q1153" t="n">
        <v>69.066</v>
      </c>
      <c r="R1153" t="n">
        <v>69.46599999999999</v>
      </c>
      <c r="S1153" t="n">
        <v>0.4</v>
      </c>
      <c r="T1153" t="inlineStr">
        <is>
          <t>C:/Users/manuel.felline/Documents/BEHAVIOR BTBR/NOR second cohort/BTBR/training/c10_f5.mp4</t>
        </is>
      </c>
      <c r="U1153" t="n">
        <v>2329</v>
      </c>
      <c r="V1153" t="n">
        <v>2341</v>
      </c>
      <c r="W1153" t="n">
        <v/>
      </c>
      <c r="X1153" t="n">
        <v/>
      </c>
      <c r="Y1153" t="n">
        <v/>
      </c>
      <c r="Z1153" t="n">
        <v/>
      </c>
      <c r="AA1153">
        <f>SUMIFS($S$2:S1153,$A$2:A1153,A1153,$N$2:N1153,"Explore*")</f>
        <v/>
      </c>
      <c r="AB1153">
        <f>IF(AND(LEFT(N1153,7)="Explore",(AA1153-IF(LEFT(N1153,7)="Explore",S1153,0))&lt;10),"SI","NO")</f>
        <v/>
      </c>
    </row>
    <row r="1154">
      <c r="A1154" t="inlineStr">
        <is>
          <t>c10f5_training</t>
        </is>
      </c>
      <c r="B1154" t="inlineStr">
        <is>
          <t>2026-06-25 16:24:03.995</t>
        </is>
      </c>
      <c r="C1154" t="n">
        <v/>
      </c>
      <c r="D1154" t="inlineStr">
        <is>
          <t>Media file</t>
        </is>
      </c>
      <c r="E1154" t="inlineStr">
        <is>
          <t>player #1:C:/Users/manuel.felline/Documents/BEHAVIOR BTBR/NOR second cohort/BTBR/training/c10_f5.mp4</t>
        </is>
      </c>
      <c r="F1154" t="n">
        <v>-8.567</v>
      </c>
      <c r="G1154" t="n">
        <v>584.699</v>
      </c>
      <c r="H1154" t="n">
        <v>622.099</v>
      </c>
      <c r="I1154" t="n">
        <v>30</v>
      </c>
      <c r="J1154" t="inlineStr">
        <is>
          <t>BTBR</t>
        </is>
      </c>
      <c r="K1154" t="inlineStr">
        <is>
          <t xml:space="preserve"> Female</t>
        </is>
      </c>
      <c r="L1154" t="inlineStr">
        <is>
          <t>No focal subject</t>
        </is>
      </c>
      <c r="M1154" t="n">
        <v>37.468</v>
      </c>
      <c r="N1154" t="inlineStr">
        <is>
          <t>Explore_F2</t>
        </is>
      </c>
      <c r="O1154" t="inlineStr">
        <is>
          <t>Second familiar</t>
        </is>
      </c>
      <c r="P1154" t="inlineStr">
        <is>
          <t>STATE</t>
        </is>
      </c>
      <c r="Q1154" t="n">
        <v>73.233</v>
      </c>
      <c r="R1154" t="n">
        <v>74.533</v>
      </c>
      <c r="S1154" t="n">
        <v>1.3</v>
      </c>
      <c r="T1154" t="inlineStr">
        <is>
          <t>C:/Users/manuel.felline/Documents/BEHAVIOR BTBR/NOR second cohort/BTBR/training/c10_f5.mp4</t>
        </is>
      </c>
      <c r="U1154" t="n">
        <v>2454</v>
      </c>
      <c r="V1154" t="n">
        <v>2493</v>
      </c>
      <c r="W1154" t="n">
        <v/>
      </c>
      <c r="X1154" t="n">
        <v/>
      </c>
      <c r="Y1154" t="n">
        <v/>
      </c>
      <c r="Z1154" t="n">
        <v/>
      </c>
      <c r="AA1154">
        <f>SUMIFS($S$2:S1154,$A$2:A1154,A1154,$N$2:N1154,"Explore*")</f>
        <v/>
      </c>
      <c r="AB1154">
        <f>IF(AND(LEFT(N1154,7)="Explore",(AA1154-IF(LEFT(N1154,7)="Explore",S1154,0))&lt;10),"SI","NO")</f>
        <v/>
      </c>
    </row>
    <row r="1155">
      <c r="A1155" t="inlineStr">
        <is>
          <t>c10f5_training</t>
        </is>
      </c>
      <c r="B1155" t="inlineStr">
        <is>
          <t>2026-06-25 16:24:03.995</t>
        </is>
      </c>
      <c r="C1155" t="n">
        <v/>
      </c>
      <c r="D1155" t="inlineStr">
        <is>
          <t>Media file</t>
        </is>
      </c>
      <c r="E1155" t="inlineStr">
        <is>
          <t>player #1:C:/Users/manuel.felline/Documents/BEHAVIOR BTBR/NOR second cohort/BTBR/training/c10_f5.mp4</t>
        </is>
      </c>
      <c r="F1155" t="n">
        <v>-8.567</v>
      </c>
      <c r="G1155" t="n">
        <v>584.699</v>
      </c>
      <c r="H1155" t="n">
        <v>622.099</v>
      </c>
      <c r="I1155" t="n">
        <v>30</v>
      </c>
      <c r="J1155" t="inlineStr">
        <is>
          <t>BTBR</t>
        </is>
      </c>
      <c r="K1155" t="inlineStr">
        <is>
          <t xml:space="preserve"> Female</t>
        </is>
      </c>
      <c r="L1155" t="inlineStr">
        <is>
          <t>No focal subject</t>
        </is>
      </c>
      <c r="M1155" t="n">
        <v>37.468</v>
      </c>
      <c r="N1155" t="inlineStr">
        <is>
          <t>Explore_F</t>
        </is>
      </c>
      <c r="O1155" t="inlineStr">
        <is>
          <t>Familiar</t>
        </is>
      </c>
      <c r="P1155" t="inlineStr">
        <is>
          <t>STATE</t>
        </is>
      </c>
      <c r="Q1155" t="n">
        <v>76.866</v>
      </c>
      <c r="R1155" t="n">
        <v>77.233</v>
      </c>
      <c r="S1155" t="n">
        <v>0.367</v>
      </c>
      <c r="T1155" t="inlineStr">
        <is>
          <t>C:/Users/manuel.felline/Documents/BEHAVIOR BTBR/NOR second cohort/BTBR/training/c10_f5.mp4</t>
        </is>
      </c>
      <c r="U1155" t="n">
        <v>2563</v>
      </c>
      <c r="V1155" t="n">
        <v>2574</v>
      </c>
      <c r="W1155" t="n">
        <v/>
      </c>
      <c r="X1155" t="n">
        <v/>
      </c>
      <c r="Y1155" t="n">
        <v/>
      </c>
      <c r="Z1155" t="n">
        <v/>
      </c>
      <c r="AA1155">
        <f>SUMIFS($S$2:S1155,$A$2:A1155,A1155,$N$2:N1155,"Explore*")</f>
        <v/>
      </c>
      <c r="AB1155">
        <f>IF(AND(LEFT(N1155,7)="Explore",(AA1155-IF(LEFT(N1155,7)="Explore",S1155,0))&lt;10),"SI","NO")</f>
        <v/>
      </c>
    </row>
    <row r="1156">
      <c r="A1156" t="inlineStr">
        <is>
          <t>c10f5_training</t>
        </is>
      </c>
      <c r="B1156" t="inlineStr">
        <is>
          <t>2026-06-25 16:24:03.995</t>
        </is>
      </c>
      <c r="C1156" t="n">
        <v/>
      </c>
      <c r="D1156" t="inlineStr">
        <is>
          <t>Media file</t>
        </is>
      </c>
      <c r="E1156" t="inlineStr">
        <is>
          <t>player #1:C:/Users/manuel.felline/Documents/BEHAVIOR BTBR/NOR second cohort/BTBR/training/c10_f5.mp4</t>
        </is>
      </c>
      <c r="F1156" t="n">
        <v>-8.567</v>
      </c>
      <c r="G1156" t="n">
        <v>584.699</v>
      </c>
      <c r="H1156" t="n">
        <v>622.099</v>
      </c>
      <c r="I1156" t="n">
        <v>30</v>
      </c>
      <c r="J1156" t="inlineStr">
        <is>
          <t>BTBR</t>
        </is>
      </c>
      <c r="K1156" t="inlineStr">
        <is>
          <t xml:space="preserve"> Female</t>
        </is>
      </c>
      <c r="L1156" t="inlineStr">
        <is>
          <t>No focal subject</t>
        </is>
      </c>
      <c r="M1156" t="n">
        <v>37.468</v>
      </c>
      <c r="N1156" t="inlineStr">
        <is>
          <t>Explore_F</t>
        </is>
      </c>
      <c r="O1156" t="inlineStr">
        <is>
          <t>Familiar</t>
        </is>
      </c>
      <c r="P1156" t="inlineStr">
        <is>
          <t>STATE</t>
        </is>
      </c>
      <c r="Q1156" t="n">
        <v>77.8</v>
      </c>
      <c r="R1156" t="n">
        <v>79.033</v>
      </c>
      <c r="S1156" t="n">
        <v>1.233</v>
      </c>
      <c r="T1156" t="inlineStr">
        <is>
          <t>C:/Users/manuel.felline/Documents/BEHAVIOR BTBR/NOR second cohort/BTBR/training/c10_f5.mp4</t>
        </is>
      </c>
      <c r="U1156" t="n">
        <v>2591</v>
      </c>
      <c r="V1156" t="n">
        <v>2628</v>
      </c>
      <c r="W1156" t="n">
        <v/>
      </c>
      <c r="X1156" t="n">
        <v/>
      </c>
      <c r="Y1156" t="n">
        <v/>
      </c>
      <c r="Z1156" t="n">
        <v/>
      </c>
      <c r="AA1156">
        <f>SUMIFS($S$2:S1156,$A$2:A1156,A1156,$N$2:N1156,"Explore*")</f>
        <v/>
      </c>
      <c r="AB1156">
        <f>IF(AND(LEFT(N1156,7)="Explore",(AA1156-IF(LEFT(N1156,7)="Explore",S1156,0))&lt;10),"SI","NO")</f>
        <v/>
      </c>
    </row>
    <row r="1157">
      <c r="A1157" t="inlineStr">
        <is>
          <t>c10f5_training</t>
        </is>
      </c>
      <c r="B1157" t="inlineStr">
        <is>
          <t>2026-06-25 16:24:03.995</t>
        </is>
      </c>
      <c r="C1157" t="n">
        <v/>
      </c>
      <c r="D1157" t="inlineStr">
        <is>
          <t>Media file</t>
        </is>
      </c>
      <c r="E1157" t="inlineStr">
        <is>
          <t>player #1:C:/Users/manuel.felline/Documents/BEHAVIOR BTBR/NOR second cohort/BTBR/training/c10_f5.mp4</t>
        </is>
      </c>
      <c r="F1157" t="n">
        <v>-8.567</v>
      </c>
      <c r="G1157" t="n">
        <v>584.699</v>
      </c>
      <c r="H1157" t="n">
        <v>622.099</v>
      </c>
      <c r="I1157" t="n">
        <v>30</v>
      </c>
      <c r="J1157" t="inlineStr">
        <is>
          <t>BTBR</t>
        </is>
      </c>
      <c r="K1157" t="inlineStr">
        <is>
          <t xml:space="preserve"> Female</t>
        </is>
      </c>
      <c r="L1157" t="inlineStr">
        <is>
          <t>No focal subject</t>
        </is>
      </c>
      <c r="M1157" t="n">
        <v>37.468</v>
      </c>
      <c r="N1157" t="inlineStr">
        <is>
          <t>Explore_F</t>
        </is>
      </c>
      <c r="O1157" t="inlineStr">
        <is>
          <t>Familiar</t>
        </is>
      </c>
      <c r="P1157" t="inlineStr">
        <is>
          <t>STATE</t>
        </is>
      </c>
      <c r="Q1157" t="n">
        <v>80.166</v>
      </c>
      <c r="R1157" t="n">
        <v>81.40000000000001</v>
      </c>
      <c r="S1157" t="n">
        <v>1.234</v>
      </c>
      <c r="T1157" t="inlineStr">
        <is>
          <t>C:/Users/manuel.felline/Documents/BEHAVIOR BTBR/NOR second cohort/BTBR/training/c10_f5.mp4</t>
        </is>
      </c>
      <c r="U1157" t="n">
        <v>2662</v>
      </c>
      <c r="V1157" t="n">
        <v>2699</v>
      </c>
      <c r="W1157" t="n">
        <v/>
      </c>
      <c r="X1157" t="n">
        <v/>
      </c>
      <c r="Y1157" t="n">
        <v/>
      </c>
      <c r="Z1157" t="n">
        <v/>
      </c>
      <c r="AA1157">
        <f>SUMIFS($S$2:S1157,$A$2:A1157,A1157,$N$2:N1157,"Explore*")</f>
        <v/>
      </c>
      <c r="AB1157">
        <f>IF(AND(LEFT(N1157,7)="Explore",(AA1157-IF(LEFT(N1157,7)="Explore",S1157,0))&lt;10),"SI","NO")</f>
        <v/>
      </c>
    </row>
    <row r="1158">
      <c r="A1158" t="inlineStr">
        <is>
          <t>c10f5_training</t>
        </is>
      </c>
      <c r="B1158" t="inlineStr">
        <is>
          <t>2026-06-25 16:24:03.995</t>
        </is>
      </c>
      <c r="C1158" t="n">
        <v/>
      </c>
      <c r="D1158" t="inlineStr">
        <is>
          <t>Media file</t>
        </is>
      </c>
      <c r="E1158" t="inlineStr">
        <is>
          <t>player #1:C:/Users/manuel.felline/Documents/BEHAVIOR BTBR/NOR second cohort/BTBR/training/c10_f5.mp4</t>
        </is>
      </c>
      <c r="F1158" t="n">
        <v>-8.567</v>
      </c>
      <c r="G1158" t="n">
        <v>584.699</v>
      </c>
      <c r="H1158" t="n">
        <v>622.099</v>
      </c>
      <c r="I1158" t="n">
        <v>30</v>
      </c>
      <c r="J1158" t="inlineStr">
        <is>
          <t>BTBR</t>
        </is>
      </c>
      <c r="K1158" t="inlineStr">
        <is>
          <t xml:space="preserve"> Female</t>
        </is>
      </c>
      <c r="L1158" t="inlineStr">
        <is>
          <t>No focal subject</t>
        </is>
      </c>
      <c r="M1158" t="n">
        <v>37.468</v>
      </c>
      <c r="N1158" t="inlineStr">
        <is>
          <t>Explore_F2</t>
        </is>
      </c>
      <c r="O1158" t="inlineStr">
        <is>
          <t>Second familiar</t>
        </is>
      </c>
      <c r="P1158" t="inlineStr">
        <is>
          <t>STATE</t>
        </is>
      </c>
      <c r="Q1158" t="n">
        <v>82.666</v>
      </c>
      <c r="R1158" t="n">
        <v>83.40000000000001</v>
      </c>
      <c r="S1158" t="n">
        <v>0.734</v>
      </c>
      <c r="T1158" t="inlineStr">
        <is>
          <t>C:/Users/manuel.felline/Documents/BEHAVIOR BTBR/NOR second cohort/BTBR/training/c10_f5.mp4</t>
        </is>
      </c>
      <c r="U1158" t="n">
        <v>2737</v>
      </c>
      <c r="V1158" t="n">
        <v>2759</v>
      </c>
      <c r="W1158" t="n">
        <v/>
      </c>
      <c r="X1158" t="n">
        <v/>
      </c>
      <c r="Y1158" t="n">
        <v/>
      </c>
      <c r="Z1158" t="n">
        <v/>
      </c>
      <c r="AA1158">
        <f>SUMIFS($S$2:S1158,$A$2:A1158,A1158,$N$2:N1158,"Explore*")</f>
        <v/>
      </c>
      <c r="AB1158">
        <f>IF(AND(LEFT(N1158,7)="Explore",(AA1158-IF(LEFT(N1158,7)="Explore",S1158,0))&lt;10),"SI","NO")</f>
        <v/>
      </c>
    </row>
    <row r="1159">
      <c r="A1159" t="inlineStr">
        <is>
          <t>c10f5_training</t>
        </is>
      </c>
      <c r="B1159" t="inlineStr">
        <is>
          <t>2026-06-25 16:24:03.995</t>
        </is>
      </c>
      <c r="C1159" t="n">
        <v/>
      </c>
      <c r="D1159" t="inlineStr">
        <is>
          <t>Media file</t>
        </is>
      </c>
      <c r="E1159" t="inlineStr">
        <is>
          <t>player #1:C:/Users/manuel.felline/Documents/BEHAVIOR BTBR/NOR second cohort/BTBR/training/c10_f5.mp4</t>
        </is>
      </c>
      <c r="F1159" t="n">
        <v>-8.567</v>
      </c>
      <c r="G1159" t="n">
        <v>584.699</v>
      </c>
      <c r="H1159" t="n">
        <v>622.099</v>
      </c>
      <c r="I1159" t="n">
        <v>30</v>
      </c>
      <c r="J1159" t="inlineStr">
        <is>
          <t>BTBR</t>
        </is>
      </c>
      <c r="K1159" t="inlineStr">
        <is>
          <t xml:space="preserve"> Female</t>
        </is>
      </c>
      <c r="L1159" t="inlineStr">
        <is>
          <t>No focal subject</t>
        </is>
      </c>
      <c r="M1159" t="n">
        <v>37.468</v>
      </c>
      <c r="N1159" t="inlineStr">
        <is>
          <t>Explore_F</t>
        </is>
      </c>
      <c r="O1159" t="inlineStr">
        <is>
          <t>Familiar</t>
        </is>
      </c>
      <c r="P1159" t="inlineStr">
        <is>
          <t>STATE</t>
        </is>
      </c>
      <c r="Q1159" t="n">
        <v>96.733</v>
      </c>
      <c r="R1159" t="n">
        <v>97.93300000000001</v>
      </c>
      <c r="S1159" t="n">
        <v>1.2</v>
      </c>
      <c r="T1159" t="inlineStr">
        <is>
          <t>C:/Users/manuel.felline/Documents/BEHAVIOR BTBR/NOR second cohort/BTBR/training/c10_f5.mp4</t>
        </is>
      </c>
      <c r="U1159" t="n">
        <v>3158</v>
      </c>
      <c r="V1159" t="n">
        <v>3194</v>
      </c>
      <c r="W1159" t="n">
        <v/>
      </c>
      <c r="X1159" t="n">
        <v/>
      </c>
      <c r="Y1159" t="n">
        <v/>
      </c>
      <c r="Z1159" t="n">
        <v/>
      </c>
      <c r="AA1159">
        <f>SUMIFS($S$2:S1159,$A$2:A1159,A1159,$N$2:N1159,"Explore*")</f>
        <v/>
      </c>
      <c r="AB1159">
        <f>IF(AND(LEFT(N1159,7)="Explore",(AA1159-IF(LEFT(N1159,7)="Explore",S1159,0))&lt;10),"SI","NO")</f>
        <v/>
      </c>
    </row>
    <row r="1160">
      <c r="A1160" t="inlineStr">
        <is>
          <t>c10f5_training</t>
        </is>
      </c>
      <c r="B1160" t="inlineStr">
        <is>
          <t>2026-06-25 16:24:03.995</t>
        </is>
      </c>
      <c r="C1160" t="n">
        <v/>
      </c>
      <c r="D1160" t="inlineStr">
        <is>
          <t>Media file</t>
        </is>
      </c>
      <c r="E1160" t="inlineStr">
        <is>
          <t>player #1:C:/Users/manuel.felline/Documents/BEHAVIOR BTBR/NOR second cohort/BTBR/training/c10_f5.mp4</t>
        </is>
      </c>
      <c r="F1160" t="n">
        <v>-8.567</v>
      </c>
      <c r="G1160" t="n">
        <v>584.699</v>
      </c>
      <c r="H1160" t="n">
        <v>622.099</v>
      </c>
      <c r="I1160" t="n">
        <v>30</v>
      </c>
      <c r="J1160" t="inlineStr">
        <is>
          <t>BTBR</t>
        </is>
      </c>
      <c r="K1160" t="inlineStr">
        <is>
          <t xml:space="preserve"> Female</t>
        </is>
      </c>
      <c r="L1160" t="inlineStr">
        <is>
          <t>No focal subject</t>
        </is>
      </c>
      <c r="M1160" t="n">
        <v>37.468</v>
      </c>
      <c r="N1160" t="inlineStr">
        <is>
          <t>Explore_F2</t>
        </is>
      </c>
      <c r="O1160" t="inlineStr">
        <is>
          <t>Second familiar</t>
        </is>
      </c>
      <c r="P1160" t="inlineStr">
        <is>
          <t>STATE</t>
        </is>
      </c>
      <c r="Q1160" t="n">
        <v>99.666</v>
      </c>
      <c r="R1160" t="n">
        <v>101</v>
      </c>
      <c r="S1160" t="n">
        <v>1.334</v>
      </c>
      <c r="T1160" t="inlineStr">
        <is>
          <t>C:/Users/manuel.felline/Documents/BEHAVIOR BTBR/NOR second cohort/BTBR/training/c10_f5.mp4</t>
        </is>
      </c>
      <c r="U1160" t="n">
        <v>3246</v>
      </c>
      <c r="V1160" t="n">
        <v>3286</v>
      </c>
      <c r="W1160" t="n">
        <v/>
      </c>
      <c r="X1160" t="n">
        <v/>
      </c>
      <c r="Y1160" t="n">
        <v/>
      </c>
      <c r="Z1160" t="n">
        <v/>
      </c>
      <c r="AA1160">
        <f>SUMIFS($S$2:S1160,$A$2:A1160,A1160,$N$2:N1160,"Explore*")</f>
        <v/>
      </c>
      <c r="AB1160">
        <f>IF(AND(LEFT(N1160,7)="Explore",(AA1160-IF(LEFT(N1160,7)="Explore",S1160,0))&lt;10),"SI","NO")</f>
        <v/>
      </c>
    </row>
    <row r="1161">
      <c r="A1161" t="inlineStr">
        <is>
          <t>c10f5_training</t>
        </is>
      </c>
      <c r="B1161" t="inlineStr">
        <is>
          <t>2026-06-25 16:24:03.995</t>
        </is>
      </c>
      <c r="C1161" t="n">
        <v/>
      </c>
      <c r="D1161" t="inlineStr">
        <is>
          <t>Media file</t>
        </is>
      </c>
      <c r="E1161" t="inlineStr">
        <is>
          <t>player #1:C:/Users/manuel.felline/Documents/BEHAVIOR BTBR/NOR second cohort/BTBR/training/c10_f5.mp4</t>
        </is>
      </c>
      <c r="F1161" t="n">
        <v>-8.567</v>
      </c>
      <c r="G1161" t="n">
        <v>584.699</v>
      </c>
      <c r="H1161" t="n">
        <v>622.099</v>
      </c>
      <c r="I1161" t="n">
        <v>30</v>
      </c>
      <c r="J1161" t="inlineStr">
        <is>
          <t>BTBR</t>
        </is>
      </c>
      <c r="K1161" t="inlineStr">
        <is>
          <t xml:space="preserve"> Female</t>
        </is>
      </c>
      <c r="L1161" t="inlineStr">
        <is>
          <t>No focal subject</t>
        </is>
      </c>
      <c r="M1161" t="n">
        <v>37.468</v>
      </c>
      <c r="N1161" t="inlineStr">
        <is>
          <t>Explore_F2</t>
        </is>
      </c>
      <c r="O1161" t="inlineStr">
        <is>
          <t>Second familiar</t>
        </is>
      </c>
      <c r="P1161" t="inlineStr">
        <is>
          <t>STATE</t>
        </is>
      </c>
      <c r="Q1161" t="n">
        <v>105.1</v>
      </c>
      <c r="R1161" t="n">
        <v>106.1</v>
      </c>
      <c r="S1161" t="n">
        <v>1</v>
      </c>
      <c r="T1161" t="inlineStr">
        <is>
          <t>C:/Users/manuel.felline/Documents/BEHAVIOR BTBR/NOR second cohort/BTBR/training/c10_f5.mp4</t>
        </is>
      </c>
      <c r="U1161" t="n">
        <v>3409</v>
      </c>
      <c r="V1161" t="n">
        <v>3439</v>
      </c>
      <c r="W1161" t="n">
        <v/>
      </c>
      <c r="X1161" t="n">
        <v/>
      </c>
      <c r="Y1161" t="n">
        <v/>
      </c>
      <c r="Z1161" t="n">
        <v/>
      </c>
      <c r="AA1161">
        <f>SUMIFS($S$2:S1161,$A$2:A1161,A1161,$N$2:N1161,"Explore*")</f>
        <v/>
      </c>
      <c r="AB1161">
        <f>IF(AND(LEFT(N1161,7)="Explore",(AA1161-IF(LEFT(N1161,7)="Explore",S1161,0))&lt;10),"SI","NO")</f>
        <v/>
      </c>
    </row>
    <row r="1162">
      <c r="A1162" t="inlineStr">
        <is>
          <t>c10f5_training</t>
        </is>
      </c>
      <c r="B1162" t="inlineStr">
        <is>
          <t>2026-06-25 16:24:03.995</t>
        </is>
      </c>
      <c r="C1162" t="n">
        <v/>
      </c>
      <c r="D1162" t="inlineStr">
        <is>
          <t>Media file</t>
        </is>
      </c>
      <c r="E1162" t="inlineStr">
        <is>
          <t>player #1:C:/Users/manuel.felline/Documents/BEHAVIOR BTBR/NOR second cohort/BTBR/training/c10_f5.mp4</t>
        </is>
      </c>
      <c r="F1162" t="n">
        <v>-8.567</v>
      </c>
      <c r="G1162" t="n">
        <v>584.699</v>
      </c>
      <c r="H1162" t="n">
        <v>622.099</v>
      </c>
      <c r="I1162" t="n">
        <v>30</v>
      </c>
      <c r="J1162" t="inlineStr">
        <is>
          <t>BTBR</t>
        </is>
      </c>
      <c r="K1162" t="inlineStr">
        <is>
          <t xml:space="preserve"> Female</t>
        </is>
      </c>
      <c r="L1162" t="inlineStr">
        <is>
          <t>No focal subject</t>
        </is>
      </c>
      <c r="M1162" t="n">
        <v>37.468</v>
      </c>
      <c r="N1162" t="inlineStr">
        <is>
          <t>Explore_F</t>
        </is>
      </c>
      <c r="O1162" t="inlineStr">
        <is>
          <t>Familiar</t>
        </is>
      </c>
      <c r="P1162" t="inlineStr">
        <is>
          <t>STATE</t>
        </is>
      </c>
      <c r="Q1162" t="n">
        <v>119.433</v>
      </c>
      <c r="R1162" t="n">
        <v>120.766</v>
      </c>
      <c r="S1162" t="n">
        <v>1.333</v>
      </c>
      <c r="T1162" t="inlineStr">
        <is>
          <t>C:/Users/manuel.felline/Documents/BEHAVIOR BTBR/NOR second cohort/BTBR/training/c10_f5.mp4</t>
        </is>
      </c>
      <c r="U1162" t="n">
        <v>3839</v>
      </c>
      <c r="V1162" t="n">
        <v>3879</v>
      </c>
      <c r="W1162" t="n">
        <v/>
      </c>
      <c r="X1162" t="n">
        <v/>
      </c>
      <c r="Y1162" t="n">
        <v/>
      </c>
      <c r="Z1162" t="n">
        <v/>
      </c>
      <c r="AA1162">
        <f>SUMIFS($S$2:S1162,$A$2:A1162,A1162,$N$2:N1162,"Explore*")</f>
        <v/>
      </c>
      <c r="AB1162">
        <f>IF(AND(LEFT(N1162,7)="Explore",(AA1162-IF(LEFT(N1162,7)="Explore",S1162,0))&lt;10),"SI","NO")</f>
        <v/>
      </c>
    </row>
    <row r="1163">
      <c r="A1163" t="inlineStr">
        <is>
          <t>c10f5_training</t>
        </is>
      </c>
      <c r="B1163" t="inlineStr">
        <is>
          <t>2026-06-25 16:24:03.995</t>
        </is>
      </c>
      <c r="C1163" t="n">
        <v/>
      </c>
      <c r="D1163" t="inlineStr">
        <is>
          <t>Media file</t>
        </is>
      </c>
      <c r="E1163" t="inlineStr">
        <is>
          <t>player #1:C:/Users/manuel.felline/Documents/BEHAVIOR BTBR/NOR second cohort/BTBR/training/c10_f5.mp4</t>
        </is>
      </c>
      <c r="F1163" t="n">
        <v>-8.567</v>
      </c>
      <c r="G1163" t="n">
        <v>584.699</v>
      </c>
      <c r="H1163" t="n">
        <v>622.099</v>
      </c>
      <c r="I1163" t="n">
        <v>30</v>
      </c>
      <c r="J1163" t="inlineStr">
        <is>
          <t>BTBR</t>
        </is>
      </c>
      <c r="K1163" t="inlineStr">
        <is>
          <t xml:space="preserve"> Female</t>
        </is>
      </c>
      <c r="L1163" t="inlineStr">
        <is>
          <t>No focal subject</t>
        </is>
      </c>
      <c r="M1163" t="n">
        <v>37.468</v>
      </c>
      <c r="N1163" t="inlineStr">
        <is>
          <t>Explore_F2</t>
        </is>
      </c>
      <c r="O1163" t="inlineStr">
        <is>
          <t>Second familiar</t>
        </is>
      </c>
      <c r="P1163" t="inlineStr">
        <is>
          <t>STATE</t>
        </is>
      </c>
      <c r="Q1163" t="n">
        <v>153.3</v>
      </c>
      <c r="R1163" t="n">
        <v>155.499</v>
      </c>
      <c r="S1163" t="n">
        <v>2.199</v>
      </c>
      <c r="T1163" t="inlineStr">
        <is>
          <t>C:/Users/manuel.felline/Documents/BEHAVIOR BTBR/NOR second cohort/BTBR/training/c10_f5.mp4</t>
        </is>
      </c>
      <c r="U1163" t="n">
        <v>4855</v>
      </c>
      <c r="V1163" t="n">
        <v>4921</v>
      </c>
      <c r="W1163" t="n">
        <v/>
      </c>
      <c r="X1163" t="n">
        <v/>
      </c>
      <c r="Y1163" t="n">
        <v/>
      </c>
      <c r="Z1163" t="n">
        <v/>
      </c>
      <c r="AA1163">
        <f>SUMIFS($S$2:S1163,$A$2:A1163,A1163,$N$2:N1163,"Explore*")</f>
        <v/>
      </c>
      <c r="AB1163">
        <f>IF(AND(LEFT(N1163,7)="Explore",(AA1163-IF(LEFT(N1163,7)="Explore",S1163,0))&lt;10),"SI","NO")</f>
        <v/>
      </c>
    </row>
    <row r="1164">
      <c r="A1164" t="inlineStr">
        <is>
          <t>c10f5_training</t>
        </is>
      </c>
      <c r="B1164" t="inlineStr">
        <is>
          <t>2026-06-25 16:24:03.995</t>
        </is>
      </c>
      <c r="C1164" t="n">
        <v/>
      </c>
      <c r="D1164" t="inlineStr">
        <is>
          <t>Media file</t>
        </is>
      </c>
      <c r="E1164" t="inlineStr">
        <is>
          <t>player #1:C:/Users/manuel.felline/Documents/BEHAVIOR BTBR/NOR second cohort/BTBR/training/c10_f5.mp4</t>
        </is>
      </c>
      <c r="F1164" t="n">
        <v>-8.567</v>
      </c>
      <c r="G1164" t="n">
        <v>584.699</v>
      </c>
      <c r="H1164" t="n">
        <v>622.099</v>
      </c>
      <c r="I1164" t="n">
        <v>30</v>
      </c>
      <c r="J1164" t="inlineStr">
        <is>
          <t>BTBR</t>
        </is>
      </c>
      <c r="K1164" t="inlineStr">
        <is>
          <t xml:space="preserve"> Female</t>
        </is>
      </c>
      <c r="L1164" t="inlineStr">
        <is>
          <t>No focal subject</t>
        </is>
      </c>
      <c r="M1164" t="n">
        <v>37.468</v>
      </c>
      <c r="N1164" t="inlineStr">
        <is>
          <t>Explore_F</t>
        </is>
      </c>
      <c r="O1164" t="inlineStr">
        <is>
          <t>Familiar</t>
        </is>
      </c>
      <c r="P1164" t="inlineStr">
        <is>
          <t>STATE</t>
        </is>
      </c>
      <c r="Q1164" t="n">
        <v>156.599</v>
      </c>
      <c r="R1164" t="n">
        <v>157.299</v>
      </c>
      <c r="S1164" t="n">
        <v>0.7</v>
      </c>
      <c r="T1164" t="inlineStr">
        <is>
          <t>C:/Users/manuel.felline/Documents/BEHAVIOR BTBR/NOR second cohort/BTBR/training/c10_f5.mp4</t>
        </is>
      </c>
      <c r="U1164" t="n">
        <v>4954</v>
      </c>
      <c r="V1164" t="n">
        <v>4975</v>
      </c>
      <c r="W1164" t="n">
        <v/>
      </c>
      <c r="X1164" t="n">
        <v/>
      </c>
      <c r="Y1164" t="n">
        <v/>
      </c>
      <c r="Z1164" t="n">
        <v/>
      </c>
      <c r="AA1164">
        <f>SUMIFS($S$2:S1164,$A$2:A1164,A1164,$N$2:N1164,"Explore*")</f>
        <v/>
      </c>
      <c r="AB1164">
        <f>IF(AND(LEFT(N1164,7)="Explore",(AA1164-IF(LEFT(N1164,7)="Explore",S1164,0))&lt;10),"SI","NO")</f>
        <v/>
      </c>
    </row>
    <row r="1165">
      <c r="A1165" t="inlineStr">
        <is>
          <t>c10f5_training</t>
        </is>
      </c>
      <c r="B1165" t="inlineStr">
        <is>
          <t>2026-06-25 16:24:03.995</t>
        </is>
      </c>
      <c r="C1165" t="n">
        <v/>
      </c>
      <c r="D1165" t="inlineStr">
        <is>
          <t>Media file</t>
        </is>
      </c>
      <c r="E1165" t="inlineStr">
        <is>
          <t>player #1:C:/Users/manuel.felline/Documents/BEHAVIOR BTBR/NOR second cohort/BTBR/training/c10_f5.mp4</t>
        </is>
      </c>
      <c r="F1165" t="n">
        <v>-8.567</v>
      </c>
      <c r="G1165" t="n">
        <v>584.699</v>
      </c>
      <c r="H1165" t="n">
        <v>622.099</v>
      </c>
      <c r="I1165" t="n">
        <v>30</v>
      </c>
      <c r="J1165" t="inlineStr">
        <is>
          <t>BTBR</t>
        </is>
      </c>
      <c r="K1165" t="inlineStr">
        <is>
          <t xml:space="preserve"> Female</t>
        </is>
      </c>
      <c r="L1165" t="inlineStr">
        <is>
          <t>No focal subject</t>
        </is>
      </c>
      <c r="M1165" t="n">
        <v>37.468</v>
      </c>
      <c r="N1165" t="inlineStr">
        <is>
          <t>Explore_F2</t>
        </is>
      </c>
      <c r="O1165" t="inlineStr">
        <is>
          <t>Second familiar</t>
        </is>
      </c>
      <c r="P1165" t="inlineStr">
        <is>
          <t>STATE</t>
        </is>
      </c>
      <c r="Q1165" t="n">
        <v>164.333</v>
      </c>
      <c r="R1165" t="n">
        <v>165.033</v>
      </c>
      <c r="S1165" t="n">
        <v>0.7</v>
      </c>
      <c r="T1165" t="inlineStr">
        <is>
          <t>C:/Users/manuel.felline/Documents/BEHAVIOR BTBR/NOR second cohort/BTBR/training/c10_f5.mp4</t>
        </is>
      </c>
      <c r="U1165" t="n">
        <v>5186</v>
      </c>
      <c r="V1165" t="n">
        <v>5207</v>
      </c>
      <c r="W1165" t="n">
        <v/>
      </c>
      <c r="X1165" t="n">
        <v/>
      </c>
      <c r="Y1165" t="n">
        <v/>
      </c>
      <c r="Z1165" t="n">
        <v/>
      </c>
      <c r="AA1165">
        <f>SUMIFS($S$2:S1165,$A$2:A1165,A1165,$N$2:N1165,"Explore*")</f>
        <v/>
      </c>
      <c r="AB1165">
        <f>IF(AND(LEFT(N1165,7)="Explore",(AA1165-IF(LEFT(N1165,7)="Explore",S1165,0))&lt;10),"SI","NO")</f>
        <v/>
      </c>
    </row>
    <row r="1166">
      <c r="A1166" t="inlineStr">
        <is>
          <t>c10f5_training</t>
        </is>
      </c>
      <c r="B1166" t="inlineStr">
        <is>
          <t>2026-06-25 16:24:03.995</t>
        </is>
      </c>
      <c r="C1166" t="n">
        <v/>
      </c>
      <c r="D1166" t="inlineStr">
        <is>
          <t>Media file</t>
        </is>
      </c>
      <c r="E1166" t="inlineStr">
        <is>
          <t>player #1:C:/Users/manuel.felline/Documents/BEHAVIOR BTBR/NOR second cohort/BTBR/training/c10_f5.mp4</t>
        </is>
      </c>
      <c r="F1166" t="n">
        <v>-8.567</v>
      </c>
      <c r="G1166" t="n">
        <v>584.699</v>
      </c>
      <c r="H1166" t="n">
        <v>622.099</v>
      </c>
      <c r="I1166" t="n">
        <v>30</v>
      </c>
      <c r="J1166" t="inlineStr">
        <is>
          <t>BTBR</t>
        </is>
      </c>
      <c r="K1166" t="inlineStr">
        <is>
          <t xml:space="preserve"> Female</t>
        </is>
      </c>
      <c r="L1166" t="inlineStr">
        <is>
          <t>No focal subject</t>
        </is>
      </c>
      <c r="M1166" t="n">
        <v>37.468</v>
      </c>
      <c r="N1166" t="inlineStr">
        <is>
          <t>Explore_F2</t>
        </is>
      </c>
      <c r="O1166" t="inlineStr">
        <is>
          <t>Second familiar</t>
        </is>
      </c>
      <c r="P1166" t="inlineStr">
        <is>
          <t>STATE</t>
        </is>
      </c>
      <c r="Q1166" t="n">
        <v>180.399</v>
      </c>
      <c r="R1166" t="n">
        <v>181.233</v>
      </c>
      <c r="S1166" t="n">
        <v>0.834</v>
      </c>
      <c r="T1166" t="inlineStr">
        <is>
          <t>C:/Users/manuel.felline/Documents/BEHAVIOR BTBR/NOR second cohort/BTBR/training/c10_f5.mp4</t>
        </is>
      </c>
      <c r="U1166" t="n">
        <v>5668</v>
      </c>
      <c r="V1166" t="n">
        <v>5693</v>
      </c>
      <c r="W1166" t="n">
        <v/>
      </c>
      <c r="X1166" t="n">
        <v/>
      </c>
      <c r="Y1166" t="n">
        <v/>
      </c>
      <c r="Z1166" t="n">
        <v/>
      </c>
      <c r="AA1166">
        <f>SUMIFS($S$2:S1166,$A$2:A1166,A1166,$N$2:N1166,"Explore*")</f>
        <v/>
      </c>
      <c r="AB1166">
        <f>IF(AND(LEFT(N1166,7)="Explore",(AA1166-IF(LEFT(N1166,7)="Explore",S1166,0))&lt;10),"SI","NO")</f>
        <v/>
      </c>
    </row>
    <row r="1167">
      <c r="A1167" t="inlineStr">
        <is>
          <t>c10f5_training</t>
        </is>
      </c>
      <c r="B1167" t="inlineStr">
        <is>
          <t>2026-06-25 16:24:03.995</t>
        </is>
      </c>
      <c r="C1167" t="n">
        <v/>
      </c>
      <c r="D1167" t="inlineStr">
        <is>
          <t>Media file</t>
        </is>
      </c>
      <c r="E1167" t="inlineStr">
        <is>
          <t>player #1:C:/Users/manuel.felline/Documents/BEHAVIOR BTBR/NOR second cohort/BTBR/training/c10_f5.mp4</t>
        </is>
      </c>
      <c r="F1167" t="n">
        <v>-8.567</v>
      </c>
      <c r="G1167" t="n">
        <v>584.699</v>
      </c>
      <c r="H1167" t="n">
        <v>622.099</v>
      </c>
      <c r="I1167" t="n">
        <v>30</v>
      </c>
      <c r="J1167" t="inlineStr">
        <is>
          <t>BTBR</t>
        </is>
      </c>
      <c r="K1167" t="inlineStr">
        <is>
          <t xml:space="preserve"> Female</t>
        </is>
      </c>
      <c r="L1167" t="inlineStr">
        <is>
          <t>No focal subject</t>
        </is>
      </c>
      <c r="M1167" t="n">
        <v>37.468</v>
      </c>
      <c r="N1167" t="inlineStr">
        <is>
          <t>Explore_F2</t>
        </is>
      </c>
      <c r="O1167" t="inlineStr">
        <is>
          <t>Second familiar</t>
        </is>
      </c>
      <c r="P1167" t="inlineStr">
        <is>
          <t>STATE</t>
        </is>
      </c>
      <c r="Q1167" t="n">
        <v>200.599</v>
      </c>
      <c r="R1167" t="n">
        <v>201.799</v>
      </c>
      <c r="S1167" t="n">
        <v>1.2</v>
      </c>
      <c r="T1167" t="inlineStr">
        <is>
          <t>C:/Users/manuel.felline/Documents/BEHAVIOR BTBR/NOR second cohort/BTBR/training/c10_f5.mp4</t>
        </is>
      </c>
      <c r="U1167" t="n">
        <v>6274</v>
      </c>
      <c r="V1167" t="n">
        <v>6310</v>
      </c>
      <c r="W1167" t="n">
        <v/>
      </c>
      <c r="X1167" t="n">
        <v/>
      </c>
      <c r="Y1167" t="n">
        <v/>
      </c>
      <c r="Z1167" t="n">
        <v/>
      </c>
      <c r="AA1167">
        <f>SUMIFS($S$2:S1167,$A$2:A1167,A1167,$N$2:N1167,"Explore*")</f>
        <v/>
      </c>
      <c r="AB1167">
        <f>IF(AND(LEFT(N1167,7)="Explore",(AA1167-IF(LEFT(N1167,7)="Explore",S1167,0))&lt;10),"SI","NO")</f>
        <v/>
      </c>
    </row>
    <row r="1168">
      <c r="A1168" t="inlineStr">
        <is>
          <t>c10f5_training</t>
        </is>
      </c>
      <c r="B1168" t="inlineStr">
        <is>
          <t>2026-06-25 16:24:03.995</t>
        </is>
      </c>
      <c r="C1168" t="n">
        <v/>
      </c>
      <c r="D1168" t="inlineStr">
        <is>
          <t>Media file</t>
        </is>
      </c>
      <c r="E1168" t="inlineStr">
        <is>
          <t>player #1:C:/Users/manuel.felline/Documents/BEHAVIOR BTBR/NOR second cohort/BTBR/training/c10_f5.mp4</t>
        </is>
      </c>
      <c r="F1168" t="n">
        <v>-8.567</v>
      </c>
      <c r="G1168" t="n">
        <v>584.699</v>
      </c>
      <c r="H1168" t="n">
        <v>622.099</v>
      </c>
      <c r="I1168" t="n">
        <v>30</v>
      </c>
      <c r="J1168" t="inlineStr">
        <is>
          <t>BTBR</t>
        </is>
      </c>
      <c r="K1168" t="inlineStr">
        <is>
          <t xml:space="preserve"> Female</t>
        </is>
      </c>
      <c r="L1168" t="inlineStr">
        <is>
          <t>No focal subject</t>
        </is>
      </c>
      <c r="M1168" t="n">
        <v>37.468</v>
      </c>
      <c r="N1168" t="inlineStr">
        <is>
          <t>Explore_F</t>
        </is>
      </c>
      <c r="O1168" t="inlineStr">
        <is>
          <t>Familiar</t>
        </is>
      </c>
      <c r="P1168" t="inlineStr">
        <is>
          <t>STATE</t>
        </is>
      </c>
      <c r="Q1168" t="n">
        <v>202.633</v>
      </c>
      <c r="R1168" t="n">
        <v>203.299</v>
      </c>
      <c r="S1168" t="n">
        <v>0.666</v>
      </c>
      <c r="T1168" t="inlineStr">
        <is>
          <t>C:/Users/manuel.felline/Documents/BEHAVIOR BTBR/NOR second cohort/BTBR/training/c10_f5.mp4</t>
        </is>
      </c>
      <c r="U1168" t="n">
        <v>6335</v>
      </c>
      <c r="V1168" t="n">
        <v>6355</v>
      </c>
      <c r="W1168" t="n">
        <v/>
      </c>
      <c r="X1168" t="n">
        <v/>
      </c>
      <c r="Y1168" t="n">
        <v/>
      </c>
      <c r="Z1168" t="n">
        <v/>
      </c>
      <c r="AA1168">
        <f>SUMIFS($S$2:S1168,$A$2:A1168,A1168,$N$2:N1168,"Explore*")</f>
        <v/>
      </c>
      <c r="AB1168">
        <f>IF(AND(LEFT(N1168,7)="Explore",(AA1168-IF(LEFT(N1168,7)="Explore",S1168,0))&lt;10),"SI","NO")</f>
        <v/>
      </c>
    </row>
    <row r="1169">
      <c r="A1169" t="inlineStr">
        <is>
          <t>c10f5_training</t>
        </is>
      </c>
      <c r="B1169" t="inlineStr">
        <is>
          <t>2026-06-25 16:24:03.995</t>
        </is>
      </c>
      <c r="C1169" t="n">
        <v/>
      </c>
      <c r="D1169" t="inlineStr">
        <is>
          <t>Media file</t>
        </is>
      </c>
      <c r="E1169" t="inlineStr">
        <is>
          <t>player #1:C:/Users/manuel.felline/Documents/BEHAVIOR BTBR/NOR second cohort/BTBR/training/c10_f5.mp4</t>
        </is>
      </c>
      <c r="F1169" t="n">
        <v>-8.567</v>
      </c>
      <c r="G1169" t="n">
        <v>584.699</v>
      </c>
      <c r="H1169" t="n">
        <v>622.099</v>
      </c>
      <c r="I1169" t="n">
        <v>30</v>
      </c>
      <c r="J1169" t="inlineStr">
        <is>
          <t>BTBR</t>
        </is>
      </c>
      <c r="K1169" t="inlineStr">
        <is>
          <t xml:space="preserve"> Female</t>
        </is>
      </c>
      <c r="L1169" t="inlineStr">
        <is>
          <t>No focal subject</t>
        </is>
      </c>
      <c r="M1169" t="n">
        <v>37.468</v>
      </c>
      <c r="N1169" t="inlineStr">
        <is>
          <t>Explore_F2</t>
        </is>
      </c>
      <c r="O1169" t="inlineStr">
        <is>
          <t>Second familiar</t>
        </is>
      </c>
      <c r="P1169" t="inlineStr">
        <is>
          <t>STATE</t>
        </is>
      </c>
      <c r="Q1169" t="n">
        <v>260.299</v>
      </c>
      <c r="R1169" t="n">
        <v>260.833</v>
      </c>
      <c r="S1169" t="n">
        <v>0.534</v>
      </c>
      <c r="T1169" t="inlineStr">
        <is>
          <t>C:/Users/manuel.felline/Documents/BEHAVIOR BTBR/NOR second cohort/BTBR/training/c10_f5.mp4</t>
        </is>
      </c>
      <c r="U1169" t="n">
        <v>8065</v>
      </c>
      <c r="V1169" t="n">
        <v>8082</v>
      </c>
      <c r="W1169" t="n">
        <v/>
      </c>
      <c r="X1169" t="n">
        <v/>
      </c>
      <c r="Y1169" t="n">
        <v/>
      </c>
      <c r="Z1169" t="n">
        <v/>
      </c>
      <c r="AA1169">
        <f>SUMIFS($S$2:S1169,$A$2:A1169,A1169,$N$2:N1169,"Explore*")</f>
        <v/>
      </c>
      <c r="AB1169">
        <f>IF(AND(LEFT(N1169,7)="Explore",(AA1169-IF(LEFT(N1169,7)="Explore",S1169,0))&lt;10),"SI","NO")</f>
        <v/>
      </c>
    </row>
    <row r="1170">
      <c r="A1170" t="inlineStr">
        <is>
          <t>c10f5_training</t>
        </is>
      </c>
      <c r="B1170" t="inlineStr">
        <is>
          <t>2026-06-25 16:24:03.995</t>
        </is>
      </c>
      <c r="C1170" t="n">
        <v/>
      </c>
      <c r="D1170" t="inlineStr">
        <is>
          <t>Media file</t>
        </is>
      </c>
      <c r="E1170" t="inlineStr">
        <is>
          <t>player #1:C:/Users/manuel.felline/Documents/BEHAVIOR BTBR/NOR second cohort/BTBR/training/c10_f5.mp4</t>
        </is>
      </c>
      <c r="F1170" t="n">
        <v>-8.567</v>
      </c>
      <c r="G1170" t="n">
        <v>584.699</v>
      </c>
      <c r="H1170" t="n">
        <v>622.099</v>
      </c>
      <c r="I1170" t="n">
        <v>30</v>
      </c>
      <c r="J1170" t="inlineStr">
        <is>
          <t>BTBR</t>
        </is>
      </c>
      <c r="K1170" t="inlineStr">
        <is>
          <t xml:space="preserve"> Female</t>
        </is>
      </c>
      <c r="L1170" t="inlineStr">
        <is>
          <t>No focal subject</t>
        </is>
      </c>
      <c r="M1170" t="n">
        <v>37.468</v>
      </c>
      <c r="N1170" t="inlineStr">
        <is>
          <t>Explore_F2</t>
        </is>
      </c>
      <c r="O1170" t="inlineStr">
        <is>
          <t>Second familiar</t>
        </is>
      </c>
      <c r="P1170" t="inlineStr">
        <is>
          <t>STATE</t>
        </is>
      </c>
      <c r="Q1170" t="n">
        <v>272.966</v>
      </c>
      <c r="R1170" t="n">
        <v>273.799</v>
      </c>
      <c r="S1170" t="n">
        <v>0.833</v>
      </c>
      <c r="T1170" t="inlineStr">
        <is>
          <t>C:/Users/manuel.felline/Documents/BEHAVIOR BTBR/NOR second cohort/BTBR/training/c10_f5.mp4</t>
        </is>
      </c>
      <c r="U1170" t="n">
        <v>8445</v>
      </c>
      <c r="V1170" t="n">
        <v>8471</v>
      </c>
      <c r="W1170" t="n">
        <v/>
      </c>
      <c r="X1170" t="n">
        <v/>
      </c>
      <c r="Y1170" t="n">
        <v/>
      </c>
      <c r="Z1170" t="n">
        <v/>
      </c>
      <c r="AA1170">
        <f>SUMIFS($S$2:S1170,$A$2:A1170,A1170,$N$2:N1170,"Explore*")</f>
        <v/>
      </c>
      <c r="AB1170">
        <f>IF(AND(LEFT(N1170,7)="Explore",(AA1170-IF(LEFT(N1170,7)="Explore",S1170,0))&lt;10),"SI","NO")</f>
        <v/>
      </c>
    </row>
    <row r="1171">
      <c r="A1171" t="inlineStr">
        <is>
          <t>c10f5_training</t>
        </is>
      </c>
      <c r="B1171" t="inlineStr">
        <is>
          <t>2026-06-25 16:24:03.995</t>
        </is>
      </c>
      <c r="C1171" t="n">
        <v/>
      </c>
      <c r="D1171" t="inlineStr">
        <is>
          <t>Media file</t>
        </is>
      </c>
      <c r="E1171" t="inlineStr">
        <is>
          <t>player #1:C:/Users/manuel.felline/Documents/BEHAVIOR BTBR/NOR second cohort/BTBR/training/c10_f5.mp4</t>
        </is>
      </c>
      <c r="F1171" t="n">
        <v>-8.567</v>
      </c>
      <c r="G1171" t="n">
        <v>584.699</v>
      </c>
      <c r="H1171" t="n">
        <v>622.099</v>
      </c>
      <c r="I1171" t="n">
        <v>30</v>
      </c>
      <c r="J1171" t="inlineStr">
        <is>
          <t>BTBR</t>
        </is>
      </c>
      <c r="K1171" t="inlineStr">
        <is>
          <t xml:space="preserve"> Female</t>
        </is>
      </c>
      <c r="L1171" t="inlineStr">
        <is>
          <t>No focal subject</t>
        </is>
      </c>
      <c r="M1171" t="n">
        <v>37.468</v>
      </c>
      <c r="N1171" t="inlineStr">
        <is>
          <t>Explore_F2</t>
        </is>
      </c>
      <c r="O1171" t="inlineStr">
        <is>
          <t>Second familiar</t>
        </is>
      </c>
      <c r="P1171" t="inlineStr">
        <is>
          <t>STATE</t>
        </is>
      </c>
      <c r="Q1171" t="n">
        <v>275.199</v>
      </c>
      <c r="R1171" t="n">
        <v>275.666</v>
      </c>
      <c r="S1171" t="n">
        <v>0.467</v>
      </c>
      <c r="T1171" t="inlineStr">
        <is>
          <t>C:/Users/manuel.felline/Documents/BEHAVIOR BTBR/NOR second cohort/BTBR/training/c10_f5.mp4</t>
        </is>
      </c>
      <c r="U1171" t="n">
        <v>8512</v>
      </c>
      <c r="V1171" t="n">
        <v>8526</v>
      </c>
      <c r="W1171" t="n">
        <v/>
      </c>
      <c r="X1171" t="n">
        <v/>
      </c>
      <c r="Y1171" t="n">
        <v/>
      </c>
      <c r="Z1171" t="n">
        <v/>
      </c>
      <c r="AA1171">
        <f>SUMIFS($S$2:S1171,$A$2:A1171,A1171,$N$2:N1171,"Explore*")</f>
        <v/>
      </c>
      <c r="AB1171">
        <f>IF(AND(LEFT(N1171,7)="Explore",(AA1171-IF(LEFT(N1171,7)="Explore",S1171,0))&lt;10),"SI","NO")</f>
        <v/>
      </c>
    </row>
    <row r="1172">
      <c r="A1172" t="inlineStr">
        <is>
          <t>c10f5_training</t>
        </is>
      </c>
      <c r="B1172" t="inlineStr">
        <is>
          <t>2026-06-25 16:24:03.995</t>
        </is>
      </c>
      <c r="C1172" t="n">
        <v/>
      </c>
      <c r="D1172" t="inlineStr">
        <is>
          <t>Media file</t>
        </is>
      </c>
      <c r="E1172" t="inlineStr">
        <is>
          <t>player #1:C:/Users/manuel.felline/Documents/BEHAVIOR BTBR/NOR second cohort/BTBR/training/c10_f5.mp4</t>
        </is>
      </c>
      <c r="F1172" t="n">
        <v>-8.567</v>
      </c>
      <c r="G1172" t="n">
        <v>584.699</v>
      </c>
      <c r="H1172" t="n">
        <v>622.099</v>
      </c>
      <c r="I1172" t="n">
        <v>30</v>
      </c>
      <c r="J1172" t="inlineStr">
        <is>
          <t>BTBR</t>
        </is>
      </c>
      <c r="K1172" t="inlineStr">
        <is>
          <t xml:space="preserve"> Female</t>
        </is>
      </c>
      <c r="L1172" t="inlineStr">
        <is>
          <t>No focal subject</t>
        </is>
      </c>
      <c r="M1172" t="n">
        <v>37.468</v>
      </c>
      <c r="N1172" t="inlineStr">
        <is>
          <t>Explore_F2</t>
        </is>
      </c>
      <c r="O1172" t="inlineStr">
        <is>
          <t>Second familiar</t>
        </is>
      </c>
      <c r="P1172" t="inlineStr">
        <is>
          <t>STATE</t>
        </is>
      </c>
      <c r="Q1172" t="n">
        <v>281.833</v>
      </c>
      <c r="R1172" t="n">
        <v>282.299</v>
      </c>
      <c r="S1172" t="n">
        <v>0.466</v>
      </c>
      <c r="T1172" t="inlineStr">
        <is>
          <t>C:/Users/manuel.felline/Documents/BEHAVIOR BTBR/NOR second cohort/BTBR/training/c10_f5.mp4</t>
        </is>
      </c>
      <c r="U1172" t="n">
        <v>8711</v>
      </c>
      <c r="V1172" t="n">
        <v>8725</v>
      </c>
      <c r="W1172" t="n">
        <v/>
      </c>
      <c r="X1172" t="n">
        <v/>
      </c>
      <c r="Y1172" t="n">
        <v/>
      </c>
      <c r="Z1172" t="n">
        <v/>
      </c>
      <c r="AA1172">
        <f>SUMIFS($S$2:S1172,$A$2:A1172,A1172,$N$2:N1172,"Explore*")</f>
        <v/>
      </c>
      <c r="AB1172">
        <f>IF(AND(LEFT(N1172,7)="Explore",(AA1172-IF(LEFT(N1172,7)="Explore",S1172,0))&lt;10),"SI","NO")</f>
        <v/>
      </c>
    </row>
    <row r="1173">
      <c r="A1173" t="inlineStr">
        <is>
          <t>c10f5_training</t>
        </is>
      </c>
      <c r="B1173" t="inlineStr">
        <is>
          <t>2026-06-25 16:24:03.995</t>
        </is>
      </c>
      <c r="C1173" t="n">
        <v/>
      </c>
      <c r="D1173" t="inlineStr">
        <is>
          <t>Media file</t>
        </is>
      </c>
      <c r="E1173" t="inlineStr">
        <is>
          <t>player #1:C:/Users/manuel.felline/Documents/BEHAVIOR BTBR/NOR second cohort/BTBR/training/c10_f5.mp4</t>
        </is>
      </c>
      <c r="F1173" t="n">
        <v>-8.567</v>
      </c>
      <c r="G1173" t="n">
        <v>584.699</v>
      </c>
      <c r="H1173" t="n">
        <v>622.099</v>
      </c>
      <c r="I1173" t="n">
        <v>30</v>
      </c>
      <c r="J1173" t="inlineStr">
        <is>
          <t>BTBR</t>
        </is>
      </c>
      <c r="K1173" t="inlineStr">
        <is>
          <t xml:space="preserve"> Female</t>
        </is>
      </c>
      <c r="L1173" t="inlineStr">
        <is>
          <t>No focal subject</t>
        </is>
      </c>
      <c r="M1173" t="n">
        <v>37.468</v>
      </c>
      <c r="N1173" t="inlineStr">
        <is>
          <t>Explore_F2</t>
        </is>
      </c>
      <c r="O1173" t="inlineStr">
        <is>
          <t>Second familiar</t>
        </is>
      </c>
      <c r="P1173" t="inlineStr">
        <is>
          <t>STATE</t>
        </is>
      </c>
      <c r="Q1173" t="n">
        <v>305.833</v>
      </c>
      <c r="R1173" t="n">
        <v>306.299</v>
      </c>
      <c r="S1173" t="n">
        <v>0.466</v>
      </c>
      <c r="T1173" t="inlineStr">
        <is>
          <t>C:/Users/manuel.felline/Documents/BEHAVIOR BTBR/NOR second cohort/BTBR/training/c10_f5.mp4</t>
        </is>
      </c>
      <c r="U1173" t="n">
        <v>9430</v>
      </c>
      <c r="V1173" t="n">
        <v>9444</v>
      </c>
      <c r="W1173" t="n">
        <v/>
      </c>
      <c r="X1173" t="n">
        <v/>
      </c>
      <c r="Y1173" t="n">
        <v/>
      </c>
      <c r="Z1173" t="n">
        <v/>
      </c>
      <c r="AA1173">
        <f>SUMIFS($S$2:S1173,$A$2:A1173,A1173,$N$2:N1173,"Explore*")</f>
        <v/>
      </c>
      <c r="AB1173">
        <f>IF(AND(LEFT(N1173,7)="Explore",(AA1173-IF(LEFT(N1173,7)="Explore",S1173,0))&lt;10),"SI","NO")</f>
        <v/>
      </c>
    </row>
    <row r="1174">
      <c r="A1174" t="inlineStr">
        <is>
          <t>c10f5_training</t>
        </is>
      </c>
      <c r="B1174" t="inlineStr">
        <is>
          <t>2026-06-25 16:24:03.995</t>
        </is>
      </c>
      <c r="C1174" t="n">
        <v/>
      </c>
      <c r="D1174" t="inlineStr">
        <is>
          <t>Media file</t>
        </is>
      </c>
      <c r="E1174" t="inlineStr">
        <is>
          <t>player #1:C:/Users/manuel.felline/Documents/BEHAVIOR BTBR/NOR second cohort/BTBR/training/c10_f5.mp4</t>
        </is>
      </c>
      <c r="F1174" t="n">
        <v>-8.567</v>
      </c>
      <c r="G1174" t="n">
        <v>584.699</v>
      </c>
      <c r="H1174" t="n">
        <v>622.099</v>
      </c>
      <c r="I1174" t="n">
        <v>30</v>
      </c>
      <c r="J1174" t="inlineStr">
        <is>
          <t>BTBR</t>
        </is>
      </c>
      <c r="K1174" t="inlineStr">
        <is>
          <t xml:space="preserve"> Female</t>
        </is>
      </c>
      <c r="L1174" t="inlineStr">
        <is>
          <t>No focal subject</t>
        </is>
      </c>
      <c r="M1174" t="n">
        <v>37.468</v>
      </c>
      <c r="N1174" t="inlineStr">
        <is>
          <t>Explore_F2</t>
        </is>
      </c>
      <c r="O1174" t="inlineStr">
        <is>
          <t>Second familiar</t>
        </is>
      </c>
      <c r="P1174" t="inlineStr">
        <is>
          <t>STATE</t>
        </is>
      </c>
      <c r="Q1174" t="n">
        <v>315.866</v>
      </c>
      <c r="R1174" t="n">
        <v>316.433</v>
      </c>
      <c r="S1174" t="n">
        <v>0.5669999999999999</v>
      </c>
      <c r="T1174" t="inlineStr">
        <is>
          <t>C:/Users/manuel.felline/Documents/BEHAVIOR BTBR/NOR second cohort/BTBR/training/c10_f5.mp4</t>
        </is>
      </c>
      <c r="U1174" t="n">
        <v>9731</v>
      </c>
      <c r="V1174" t="n">
        <v>9749</v>
      </c>
      <c r="W1174" t="n">
        <v/>
      </c>
      <c r="X1174" t="n">
        <v/>
      </c>
      <c r="Y1174" t="n">
        <v/>
      </c>
      <c r="Z1174" t="n">
        <v/>
      </c>
      <c r="AA1174">
        <f>SUMIFS($S$2:S1174,$A$2:A1174,A1174,$N$2:N1174,"Explore*")</f>
        <v/>
      </c>
      <c r="AB1174">
        <f>IF(AND(LEFT(N1174,7)="Explore",(AA1174-IF(LEFT(N1174,7)="Explore",S1174,0))&lt;10),"SI","NO")</f>
        <v/>
      </c>
    </row>
    <row r="1175">
      <c r="A1175" t="inlineStr">
        <is>
          <t>c10f5_training</t>
        </is>
      </c>
      <c r="B1175" t="inlineStr">
        <is>
          <t>2026-06-25 16:24:03.995</t>
        </is>
      </c>
      <c r="C1175" t="n">
        <v/>
      </c>
      <c r="D1175" t="inlineStr">
        <is>
          <t>Media file</t>
        </is>
      </c>
      <c r="E1175" t="inlineStr">
        <is>
          <t>player #1:C:/Users/manuel.felline/Documents/BEHAVIOR BTBR/NOR second cohort/BTBR/training/c10_f5.mp4</t>
        </is>
      </c>
      <c r="F1175" t="n">
        <v>-8.567</v>
      </c>
      <c r="G1175" t="n">
        <v>584.699</v>
      </c>
      <c r="H1175" t="n">
        <v>622.099</v>
      </c>
      <c r="I1175" t="n">
        <v>30</v>
      </c>
      <c r="J1175" t="inlineStr">
        <is>
          <t>BTBR</t>
        </is>
      </c>
      <c r="K1175" t="inlineStr">
        <is>
          <t xml:space="preserve"> Female</t>
        </is>
      </c>
      <c r="L1175" t="inlineStr">
        <is>
          <t>No focal subject</t>
        </is>
      </c>
      <c r="M1175" t="n">
        <v>37.468</v>
      </c>
      <c r="N1175" t="inlineStr">
        <is>
          <t>Explore_F2</t>
        </is>
      </c>
      <c r="O1175" t="inlineStr">
        <is>
          <t>Second familiar</t>
        </is>
      </c>
      <c r="P1175" t="inlineStr">
        <is>
          <t>STATE</t>
        </is>
      </c>
      <c r="Q1175" t="n">
        <v>327.499</v>
      </c>
      <c r="R1175" t="n">
        <v>328.299</v>
      </c>
      <c r="S1175" t="n">
        <v>0.8</v>
      </c>
      <c r="T1175" t="inlineStr">
        <is>
          <t>C:/Users/manuel.felline/Documents/BEHAVIOR BTBR/NOR second cohort/BTBR/training/c10_f5.mp4</t>
        </is>
      </c>
      <c r="U1175" t="n">
        <v>10080</v>
      </c>
      <c r="V1175" t="n">
        <v>10104</v>
      </c>
      <c r="W1175" t="n">
        <v/>
      </c>
      <c r="X1175" t="n">
        <v/>
      </c>
      <c r="Y1175" t="n">
        <v/>
      </c>
      <c r="Z1175" t="n">
        <v/>
      </c>
      <c r="AA1175">
        <f>SUMIFS($S$2:S1175,$A$2:A1175,A1175,$N$2:N1175,"Explore*")</f>
        <v/>
      </c>
      <c r="AB1175">
        <f>IF(AND(LEFT(N1175,7)="Explore",(AA1175-IF(LEFT(N1175,7)="Explore",S1175,0))&lt;10),"SI","NO")</f>
        <v/>
      </c>
    </row>
    <row r="1176">
      <c r="A1176" t="inlineStr">
        <is>
          <t>c10f5_training</t>
        </is>
      </c>
      <c r="B1176" t="inlineStr">
        <is>
          <t>2026-06-25 16:24:03.995</t>
        </is>
      </c>
      <c r="C1176" t="n">
        <v/>
      </c>
      <c r="D1176" t="inlineStr">
        <is>
          <t>Media file</t>
        </is>
      </c>
      <c r="E1176" t="inlineStr">
        <is>
          <t>player #1:C:/Users/manuel.felline/Documents/BEHAVIOR BTBR/NOR second cohort/BTBR/training/c10_f5.mp4</t>
        </is>
      </c>
      <c r="F1176" t="n">
        <v>-8.567</v>
      </c>
      <c r="G1176" t="n">
        <v>584.699</v>
      </c>
      <c r="H1176" t="n">
        <v>622.099</v>
      </c>
      <c r="I1176" t="n">
        <v>30</v>
      </c>
      <c r="J1176" t="inlineStr">
        <is>
          <t>BTBR</t>
        </is>
      </c>
      <c r="K1176" t="inlineStr">
        <is>
          <t xml:space="preserve"> Female</t>
        </is>
      </c>
      <c r="L1176" t="inlineStr">
        <is>
          <t>No focal subject</t>
        </is>
      </c>
      <c r="M1176" t="n">
        <v>37.468</v>
      </c>
      <c r="N1176" t="inlineStr">
        <is>
          <t>Explore_F2</t>
        </is>
      </c>
      <c r="O1176" t="inlineStr">
        <is>
          <t>Second familiar</t>
        </is>
      </c>
      <c r="P1176" t="inlineStr">
        <is>
          <t>STATE</t>
        </is>
      </c>
      <c r="Q1176" t="n">
        <v>340.199</v>
      </c>
      <c r="R1176" t="n">
        <v>340.666</v>
      </c>
      <c r="S1176" t="n">
        <v>0.467</v>
      </c>
      <c r="T1176" t="inlineStr">
        <is>
          <t>C:/Users/manuel.felline/Documents/BEHAVIOR BTBR/NOR second cohort/BTBR/training/c10_f5.mp4</t>
        </is>
      </c>
      <c r="U1176" t="n">
        <v>10461</v>
      </c>
      <c r="V1176" t="n">
        <v>10475</v>
      </c>
      <c r="W1176" t="n">
        <v/>
      </c>
      <c r="X1176" t="n">
        <v/>
      </c>
      <c r="Y1176" t="n">
        <v/>
      </c>
      <c r="Z1176" t="n">
        <v/>
      </c>
      <c r="AA1176">
        <f>SUMIFS($S$2:S1176,$A$2:A1176,A1176,$N$2:N1176,"Explore*")</f>
        <v/>
      </c>
      <c r="AB1176">
        <f>IF(AND(LEFT(N1176,7)="Explore",(AA1176-IF(LEFT(N1176,7)="Explore",S1176,0))&lt;10),"SI","NO")</f>
        <v/>
      </c>
    </row>
    <row r="1177">
      <c r="A1177" t="inlineStr">
        <is>
          <t>c10f5_training</t>
        </is>
      </c>
      <c r="B1177" t="inlineStr">
        <is>
          <t>2026-06-25 16:24:03.995</t>
        </is>
      </c>
      <c r="C1177" t="n">
        <v/>
      </c>
      <c r="D1177" t="inlineStr">
        <is>
          <t>Media file</t>
        </is>
      </c>
      <c r="E1177" t="inlineStr">
        <is>
          <t>player #1:C:/Users/manuel.felline/Documents/BEHAVIOR BTBR/NOR second cohort/BTBR/training/c10_f5.mp4</t>
        </is>
      </c>
      <c r="F1177" t="n">
        <v>-8.567</v>
      </c>
      <c r="G1177" t="n">
        <v>584.699</v>
      </c>
      <c r="H1177" t="n">
        <v>622.099</v>
      </c>
      <c r="I1177" t="n">
        <v>30</v>
      </c>
      <c r="J1177" t="inlineStr">
        <is>
          <t>BTBR</t>
        </is>
      </c>
      <c r="K1177" t="inlineStr">
        <is>
          <t xml:space="preserve"> Female</t>
        </is>
      </c>
      <c r="L1177" t="inlineStr">
        <is>
          <t>No focal subject</t>
        </is>
      </c>
      <c r="M1177" t="n">
        <v>37.468</v>
      </c>
      <c r="N1177" t="inlineStr">
        <is>
          <t>Explore_F</t>
        </is>
      </c>
      <c r="O1177" t="inlineStr">
        <is>
          <t>Familiar</t>
        </is>
      </c>
      <c r="P1177" t="inlineStr">
        <is>
          <t>STATE</t>
        </is>
      </c>
      <c r="Q1177" t="n">
        <v>382.799</v>
      </c>
      <c r="R1177" t="n">
        <v>383.399</v>
      </c>
      <c r="S1177" t="n">
        <v>0.6</v>
      </c>
      <c r="T1177" t="inlineStr">
        <is>
          <t>C:/Users/manuel.felline/Documents/BEHAVIOR BTBR/NOR second cohort/BTBR/training/c10_f5.mp4</t>
        </is>
      </c>
      <c r="U1177" t="n">
        <v>11739</v>
      </c>
      <c r="V1177" t="n">
        <v>11757</v>
      </c>
      <c r="W1177" t="n">
        <v/>
      </c>
      <c r="X1177" t="n">
        <v/>
      </c>
      <c r="Y1177" t="n">
        <v/>
      </c>
      <c r="Z1177" t="n">
        <v/>
      </c>
      <c r="AA1177">
        <f>SUMIFS($S$2:S1177,$A$2:A1177,A1177,$N$2:N1177,"Explore*")</f>
        <v/>
      </c>
      <c r="AB1177">
        <f>IF(AND(LEFT(N1177,7)="Explore",(AA1177-IF(LEFT(N1177,7)="Explore",S1177,0))&lt;10),"SI","NO")</f>
        <v/>
      </c>
    </row>
    <row r="1178">
      <c r="A1178" t="inlineStr">
        <is>
          <t>c10f5_training</t>
        </is>
      </c>
      <c r="B1178" t="inlineStr">
        <is>
          <t>2026-06-25 16:24:03.995</t>
        </is>
      </c>
      <c r="C1178" t="n">
        <v/>
      </c>
      <c r="D1178" t="inlineStr">
        <is>
          <t>Media file</t>
        </is>
      </c>
      <c r="E1178" t="inlineStr">
        <is>
          <t>player #1:C:/Users/manuel.felline/Documents/BEHAVIOR BTBR/NOR second cohort/BTBR/training/c10_f5.mp4</t>
        </is>
      </c>
      <c r="F1178" t="n">
        <v>-8.567</v>
      </c>
      <c r="G1178" t="n">
        <v>584.699</v>
      </c>
      <c r="H1178" t="n">
        <v>622.099</v>
      </c>
      <c r="I1178" t="n">
        <v>30</v>
      </c>
      <c r="J1178" t="inlineStr">
        <is>
          <t>BTBR</t>
        </is>
      </c>
      <c r="K1178" t="inlineStr">
        <is>
          <t xml:space="preserve"> Female</t>
        </is>
      </c>
      <c r="L1178" t="inlineStr">
        <is>
          <t>No focal subject</t>
        </is>
      </c>
      <c r="M1178" t="n">
        <v>37.468</v>
      </c>
      <c r="N1178" t="inlineStr">
        <is>
          <t>Explore_F2</t>
        </is>
      </c>
      <c r="O1178" t="inlineStr">
        <is>
          <t>Second familiar</t>
        </is>
      </c>
      <c r="P1178" t="inlineStr">
        <is>
          <t>STATE</t>
        </is>
      </c>
      <c r="Q1178" t="n">
        <v>400.933</v>
      </c>
      <c r="R1178" t="n">
        <v>402.966</v>
      </c>
      <c r="S1178" t="n">
        <v>2.033</v>
      </c>
      <c r="T1178" t="inlineStr">
        <is>
          <t>C:/Users/manuel.felline/Documents/BEHAVIOR BTBR/NOR second cohort/BTBR/training/c10_f5.mp4</t>
        </is>
      </c>
      <c r="U1178" t="n">
        <v>12283</v>
      </c>
      <c r="V1178" t="n">
        <v>12344</v>
      </c>
      <c r="W1178" t="n">
        <v/>
      </c>
      <c r="X1178" t="n">
        <v/>
      </c>
      <c r="Y1178" t="n">
        <v/>
      </c>
      <c r="Z1178" t="n">
        <v/>
      </c>
      <c r="AA1178">
        <f>SUMIFS($S$2:S1178,$A$2:A1178,A1178,$N$2:N1178,"Explore*")</f>
        <v/>
      </c>
      <c r="AB1178">
        <f>IF(AND(LEFT(N1178,7)="Explore",(AA1178-IF(LEFT(N1178,7)="Explore",S1178,0))&lt;10),"SI","NO")</f>
        <v/>
      </c>
    </row>
    <row r="1179">
      <c r="A1179" t="inlineStr">
        <is>
          <t>c10f5_training</t>
        </is>
      </c>
      <c r="B1179" t="inlineStr">
        <is>
          <t>2026-06-25 16:24:03.995</t>
        </is>
      </c>
      <c r="C1179" t="n">
        <v/>
      </c>
      <c r="D1179" t="inlineStr">
        <is>
          <t>Media file</t>
        </is>
      </c>
      <c r="E1179" t="inlineStr">
        <is>
          <t>player #1:C:/Users/manuel.felline/Documents/BEHAVIOR BTBR/NOR second cohort/BTBR/training/c10_f5.mp4</t>
        </is>
      </c>
      <c r="F1179" t="n">
        <v>-8.567</v>
      </c>
      <c r="G1179" t="n">
        <v>584.699</v>
      </c>
      <c r="H1179" t="n">
        <v>622.099</v>
      </c>
      <c r="I1179" t="n">
        <v>30</v>
      </c>
      <c r="J1179" t="inlineStr">
        <is>
          <t>BTBR</t>
        </is>
      </c>
      <c r="K1179" t="inlineStr">
        <is>
          <t xml:space="preserve"> Female</t>
        </is>
      </c>
      <c r="L1179" t="inlineStr">
        <is>
          <t>No focal subject</t>
        </is>
      </c>
      <c r="M1179" t="n">
        <v>37.468</v>
      </c>
      <c r="N1179" t="inlineStr">
        <is>
          <t>Explore_F</t>
        </is>
      </c>
      <c r="O1179" t="inlineStr">
        <is>
          <t>Familiar</t>
        </is>
      </c>
      <c r="P1179" t="inlineStr">
        <is>
          <t>STATE</t>
        </is>
      </c>
      <c r="Q1179" t="n">
        <v>404.399</v>
      </c>
      <c r="R1179" t="n">
        <v>405.166</v>
      </c>
      <c r="S1179" t="n">
        <v>0.767</v>
      </c>
      <c r="T1179" t="inlineStr">
        <is>
          <t>C:/Users/manuel.felline/Documents/BEHAVIOR BTBR/NOR second cohort/BTBR/training/c10_f5.mp4</t>
        </is>
      </c>
      <c r="U1179" t="n">
        <v>12387</v>
      </c>
      <c r="V1179" t="n">
        <v>12410</v>
      </c>
      <c r="W1179" t="n">
        <v/>
      </c>
      <c r="X1179" t="n">
        <v/>
      </c>
      <c r="Y1179" t="n">
        <v/>
      </c>
      <c r="Z1179" t="n">
        <v/>
      </c>
      <c r="AA1179">
        <f>SUMIFS($S$2:S1179,$A$2:A1179,A1179,$N$2:N1179,"Explore*")</f>
        <v/>
      </c>
      <c r="AB1179">
        <f>IF(AND(LEFT(N1179,7)="Explore",(AA1179-IF(LEFT(N1179,7)="Explore",S1179,0))&lt;10),"SI","NO")</f>
        <v/>
      </c>
    </row>
    <row r="1180">
      <c r="A1180" t="inlineStr">
        <is>
          <t>c10f5_training</t>
        </is>
      </c>
      <c r="B1180" t="inlineStr">
        <is>
          <t>2026-06-25 16:24:03.995</t>
        </is>
      </c>
      <c r="C1180" t="n">
        <v/>
      </c>
      <c r="D1180" t="inlineStr">
        <is>
          <t>Media file</t>
        </is>
      </c>
      <c r="E1180" t="inlineStr">
        <is>
          <t>player #1:C:/Users/manuel.felline/Documents/BEHAVIOR BTBR/NOR second cohort/BTBR/training/c10_f5.mp4</t>
        </is>
      </c>
      <c r="F1180" t="n">
        <v>-8.567</v>
      </c>
      <c r="G1180" t="n">
        <v>584.699</v>
      </c>
      <c r="H1180" t="n">
        <v>622.099</v>
      </c>
      <c r="I1180" t="n">
        <v>30</v>
      </c>
      <c r="J1180" t="inlineStr">
        <is>
          <t>BTBR</t>
        </is>
      </c>
      <c r="K1180" t="inlineStr">
        <is>
          <t xml:space="preserve"> Female</t>
        </is>
      </c>
      <c r="L1180" t="inlineStr">
        <is>
          <t>No focal subject</t>
        </is>
      </c>
      <c r="M1180" t="n">
        <v>37.468</v>
      </c>
      <c r="N1180" t="inlineStr">
        <is>
          <t>Explore_F2</t>
        </is>
      </c>
      <c r="O1180" t="inlineStr">
        <is>
          <t>Second familiar</t>
        </is>
      </c>
      <c r="P1180" t="inlineStr">
        <is>
          <t>STATE</t>
        </is>
      </c>
      <c r="Q1180" t="n">
        <v>451.133</v>
      </c>
      <c r="R1180" t="n">
        <v>451.899</v>
      </c>
      <c r="S1180" t="n">
        <v>0.766</v>
      </c>
      <c r="T1180" t="inlineStr">
        <is>
          <t>C:/Users/manuel.felline/Documents/BEHAVIOR BTBR/NOR second cohort/BTBR/training/c10_f5.mp4</t>
        </is>
      </c>
      <c r="U1180" t="n">
        <v>13789</v>
      </c>
      <c r="V1180" t="n">
        <v>13812</v>
      </c>
      <c r="W1180" t="n">
        <v/>
      </c>
      <c r="X1180" t="n">
        <v/>
      </c>
      <c r="Y1180" t="n">
        <v/>
      </c>
      <c r="Z1180" t="n">
        <v/>
      </c>
      <c r="AA1180">
        <f>SUMIFS($S$2:S1180,$A$2:A1180,A1180,$N$2:N1180,"Explore*")</f>
        <v/>
      </c>
      <c r="AB1180">
        <f>IF(AND(LEFT(N1180,7)="Explore",(AA1180-IF(LEFT(N1180,7)="Explore",S1180,0))&lt;10),"SI","NO")</f>
        <v/>
      </c>
    </row>
    <row r="1181">
      <c r="A1181" t="inlineStr">
        <is>
          <t>c10f5_training</t>
        </is>
      </c>
      <c r="B1181" t="inlineStr">
        <is>
          <t>2026-06-25 16:24:03.995</t>
        </is>
      </c>
      <c r="C1181" t="n">
        <v/>
      </c>
      <c r="D1181" t="inlineStr">
        <is>
          <t>Media file</t>
        </is>
      </c>
      <c r="E1181" t="inlineStr">
        <is>
          <t>player #1:C:/Users/manuel.felline/Documents/BEHAVIOR BTBR/NOR second cohort/BTBR/training/c10_f5.mp4</t>
        </is>
      </c>
      <c r="F1181" t="n">
        <v>-8.567</v>
      </c>
      <c r="G1181" t="n">
        <v>584.699</v>
      </c>
      <c r="H1181" t="n">
        <v>622.099</v>
      </c>
      <c r="I1181" t="n">
        <v>30</v>
      </c>
      <c r="J1181" t="inlineStr">
        <is>
          <t>BTBR</t>
        </is>
      </c>
      <c r="K1181" t="inlineStr">
        <is>
          <t xml:space="preserve"> Female</t>
        </is>
      </c>
      <c r="L1181" t="inlineStr">
        <is>
          <t>No focal subject</t>
        </is>
      </c>
      <c r="M1181" t="n">
        <v>37.468</v>
      </c>
      <c r="N1181" t="inlineStr">
        <is>
          <t>Explore_F</t>
        </is>
      </c>
      <c r="O1181" t="inlineStr">
        <is>
          <t>Familiar</t>
        </is>
      </c>
      <c r="P1181" t="inlineStr">
        <is>
          <t>STATE</t>
        </is>
      </c>
      <c r="Q1181" t="n">
        <v>453.566</v>
      </c>
      <c r="R1181" t="n">
        <v>454.166</v>
      </c>
      <c r="S1181" t="n">
        <v>0.6</v>
      </c>
      <c r="T1181" t="inlineStr">
        <is>
          <t>C:/Users/manuel.felline/Documents/BEHAVIOR BTBR/NOR second cohort/BTBR/training/c10_f5.mp4</t>
        </is>
      </c>
      <c r="U1181" t="n">
        <v>13862</v>
      </c>
      <c r="V1181" t="n">
        <v>13880</v>
      </c>
      <c r="W1181" t="n">
        <v/>
      </c>
      <c r="X1181" t="n">
        <v/>
      </c>
      <c r="Y1181" t="n">
        <v/>
      </c>
      <c r="Z1181" t="n">
        <v/>
      </c>
      <c r="AA1181">
        <f>SUMIFS($S$2:S1181,$A$2:A1181,A1181,$N$2:N1181,"Explore*")</f>
        <v/>
      </c>
      <c r="AB1181">
        <f>IF(AND(LEFT(N1181,7)="Explore",(AA1181-IF(LEFT(N1181,7)="Explore",S1181,0))&lt;10),"SI","NO")</f>
        <v/>
      </c>
    </row>
    <row r="1182">
      <c r="A1182" t="inlineStr">
        <is>
          <t>c10f5_training</t>
        </is>
      </c>
      <c r="B1182" t="inlineStr">
        <is>
          <t>2026-06-25 16:24:03.995</t>
        </is>
      </c>
      <c r="C1182" t="n">
        <v/>
      </c>
      <c r="D1182" t="inlineStr">
        <is>
          <t>Media file</t>
        </is>
      </c>
      <c r="E1182" t="inlineStr">
        <is>
          <t>player #1:C:/Users/manuel.felline/Documents/BEHAVIOR BTBR/NOR second cohort/BTBR/training/c10_f5.mp4</t>
        </is>
      </c>
      <c r="F1182" t="n">
        <v>-8.567</v>
      </c>
      <c r="G1182" t="n">
        <v>584.699</v>
      </c>
      <c r="H1182" t="n">
        <v>622.099</v>
      </c>
      <c r="I1182" t="n">
        <v>30</v>
      </c>
      <c r="J1182" t="inlineStr">
        <is>
          <t>BTBR</t>
        </is>
      </c>
      <c r="K1182" t="inlineStr">
        <is>
          <t xml:space="preserve"> Female</t>
        </is>
      </c>
      <c r="L1182" t="inlineStr">
        <is>
          <t>No focal subject</t>
        </is>
      </c>
      <c r="M1182" t="n">
        <v>37.468</v>
      </c>
      <c r="N1182" t="inlineStr">
        <is>
          <t>Explore_F2</t>
        </is>
      </c>
      <c r="O1182" t="inlineStr">
        <is>
          <t>Second familiar</t>
        </is>
      </c>
      <c r="P1182" t="inlineStr">
        <is>
          <t>STATE</t>
        </is>
      </c>
      <c r="Q1182" t="n">
        <v>470.999</v>
      </c>
      <c r="R1182" t="n">
        <v>471.366</v>
      </c>
      <c r="S1182" t="n">
        <v>0.367</v>
      </c>
      <c r="T1182" t="inlineStr">
        <is>
          <t>C:/Users/manuel.felline/Documents/BEHAVIOR BTBR/NOR second cohort/BTBR/training/c10_f5.mp4</t>
        </is>
      </c>
      <c r="U1182" t="n">
        <v>14385</v>
      </c>
      <c r="V1182" t="n">
        <v>14396</v>
      </c>
      <c r="W1182" t="n">
        <v/>
      </c>
      <c r="X1182" t="n">
        <v/>
      </c>
      <c r="Y1182" t="n">
        <v/>
      </c>
      <c r="Z1182" t="n">
        <v/>
      </c>
      <c r="AA1182">
        <f>SUMIFS($S$2:S1182,$A$2:A1182,A1182,$N$2:N1182,"Explore*")</f>
        <v/>
      </c>
      <c r="AB1182">
        <f>IF(AND(LEFT(N1182,7)="Explore",(AA1182-IF(LEFT(N1182,7)="Explore",S1182,0))&lt;10),"SI","NO")</f>
        <v/>
      </c>
    </row>
    <row r="1183">
      <c r="A1183" t="inlineStr">
        <is>
          <t>c10f5_training</t>
        </is>
      </c>
      <c r="B1183" t="inlineStr">
        <is>
          <t>2026-06-25 16:24:03.995</t>
        </is>
      </c>
      <c r="C1183" t="n">
        <v/>
      </c>
      <c r="D1183" t="inlineStr">
        <is>
          <t>Media file</t>
        </is>
      </c>
      <c r="E1183" t="inlineStr">
        <is>
          <t>player #1:C:/Users/manuel.felline/Documents/BEHAVIOR BTBR/NOR second cohort/BTBR/training/c10_f5.mp4</t>
        </is>
      </c>
      <c r="F1183" t="n">
        <v>-8.567</v>
      </c>
      <c r="G1183" t="n">
        <v>584.699</v>
      </c>
      <c r="H1183" t="n">
        <v>622.099</v>
      </c>
      <c r="I1183" t="n">
        <v>30</v>
      </c>
      <c r="J1183" t="inlineStr">
        <is>
          <t>BTBR</t>
        </is>
      </c>
      <c r="K1183" t="inlineStr">
        <is>
          <t xml:space="preserve"> Female</t>
        </is>
      </c>
      <c r="L1183" t="inlineStr">
        <is>
          <t>No focal subject</t>
        </is>
      </c>
      <c r="M1183" t="n">
        <v>37.468</v>
      </c>
      <c r="N1183" t="inlineStr">
        <is>
          <t>Explore_F2</t>
        </is>
      </c>
      <c r="O1183" t="inlineStr">
        <is>
          <t>Second familiar</t>
        </is>
      </c>
      <c r="P1183" t="inlineStr">
        <is>
          <t>STATE</t>
        </is>
      </c>
      <c r="Q1183" t="n">
        <v>487.599</v>
      </c>
      <c r="R1183" t="n">
        <v>488.132</v>
      </c>
      <c r="S1183" t="n">
        <v>0.533</v>
      </c>
      <c r="T1183" t="inlineStr">
        <is>
          <t>C:/Users/manuel.felline/Documents/BEHAVIOR BTBR/NOR second cohort/BTBR/training/c10_f5.mp4</t>
        </is>
      </c>
      <c r="U1183" t="n">
        <v>14883</v>
      </c>
      <c r="V1183" t="n">
        <v>14899</v>
      </c>
      <c r="W1183" t="n">
        <v/>
      </c>
      <c r="X1183" t="n">
        <v/>
      </c>
      <c r="Y1183" t="n">
        <v/>
      </c>
      <c r="Z1183" t="n">
        <v/>
      </c>
      <c r="AA1183">
        <f>SUMIFS($S$2:S1183,$A$2:A1183,A1183,$N$2:N1183,"Explore*")</f>
        <v/>
      </c>
      <c r="AB1183">
        <f>IF(AND(LEFT(N1183,7)="Explore",(AA1183-IF(LEFT(N1183,7)="Explore",S1183,0))&lt;10),"SI","NO")</f>
        <v/>
      </c>
    </row>
    <row r="1184">
      <c r="A1184" t="inlineStr">
        <is>
          <t>c10f5_training</t>
        </is>
      </c>
      <c r="B1184" t="inlineStr">
        <is>
          <t>2026-06-25 16:24:03.995</t>
        </is>
      </c>
      <c r="C1184" t="n">
        <v/>
      </c>
      <c r="D1184" t="inlineStr">
        <is>
          <t>Media file</t>
        </is>
      </c>
      <c r="E1184" t="inlineStr">
        <is>
          <t>player #1:C:/Users/manuel.felline/Documents/BEHAVIOR BTBR/NOR second cohort/BTBR/training/c10_f5.mp4</t>
        </is>
      </c>
      <c r="F1184" t="n">
        <v>-8.567</v>
      </c>
      <c r="G1184" t="n">
        <v>584.699</v>
      </c>
      <c r="H1184" t="n">
        <v>622.099</v>
      </c>
      <c r="I1184" t="n">
        <v>30</v>
      </c>
      <c r="J1184" t="inlineStr">
        <is>
          <t>BTBR</t>
        </is>
      </c>
      <c r="K1184" t="inlineStr">
        <is>
          <t xml:space="preserve"> Female</t>
        </is>
      </c>
      <c r="L1184" t="inlineStr">
        <is>
          <t>No focal subject</t>
        </is>
      </c>
      <c r="M1184" t="n">
        <v>37.468</v>
      </c>
      <c r="N1184" t="inlineStr">
        <is>
          <t>Explore_F2</t>
        </is>
      </c>
      <c r="O1184" t="inlineStr">
        <is>
          <t>Second familiar</t>
        </is>
      </c>
      <c r="P1184" t="inlineStr">
        <is>
          <t>STATE</t>
        </is>
      </c>
      <c r="Q1184" t="n">
        <v>530.599</v>
      </c>
      <c r="R1184" t="n">
        <v>530.966</v>
      </c>
      <c r="S1184" t="n">
        <v>0.367</v>
      </c>
      <c r="T1184" t="inlineStr">
        <is>
          <t>C:/Users/manuel.felline/Documents/BEHAVIOR BTBR/NOR second cohort/BTBR/training/c10_f5.mp4</t>
        </is>
      </c>
      <c r="U1184" t="n">
        <v>16172</v>
      </c>
      <c r="V1184" t="n">
        <v>16183</v>
      </c>
      <c r="W1184" t="n">
        <v/>
      </c>
      <c r="X1184" t="n">
        <v/>
      </c>
      <c r="Y1184" t="n">
        <v/>
      </c>
      <c r="Z1184" t="n">
        <v/>
      </c>
      <c r="AA1184">
        <f>SUMIFS($S$2:S1184,$A$2:A1184,A1184,$N$2:N1184,"Explore*")</f>
        <v/>
      </c>
      <c r="AB1184">
        <f>IF(AND(LEFT(N1184,7)="Explore",(AA1184-IF(LEFT(N1184,7)="Explore",S1184,0))&lt;10),"SI","NO")</f>
        <v/>
      </c>
    </row>
    <row r="1185">
      <c r="A1185" t="inlineStr">
        <is>
          <t>c10f5_training</t>
        </is>
      </c>
      <c r="B1185" t="inlineStr">
        <is>
          <t>2026-06-25 16:24:03.995</t>
        </is>
      </c>
      <c r="C1185" t="n">
        <v/>
      </c>
      <c r="D1185" t="inlineStr">
        <is>
          <t>Media file</t>
        </is>
      </c>
      <c r="E1185" t="inlineStr">
        <is>
          <t>player #1:C:/Users/manuel.felline/Documents/BEHAVIOR BTBR/NOR second cohort/BTBR/training/c10_f5.mp4</t>
        </is>
      </c>
      <c r="F1185" t="n">
        <v>-8.567</v>
      </c>
      <c r="G1185" t="n">
        <v>584.699</v>
      </c>
      <c r="H1185" t="n">
        <v>622.099</v>
      </c>
      <c r="I1185" t="n">
        <v>30</v>
      </c>
      <c r="J1185" t="inlineStr">
        <is>
          <t>BTBR</t>
        </is>
      </c>
      <c r="K1185" t="inlineStr">
        <is>
          <t xml:space="preserve"> Female</t>
        </is>
      </c>
      <c r="L1185" t="inlineStr">
        <is>
          <t>No focal subject</t>
        </is>
      </c>
      <c r="M1185" t="n">
        <v>37.468</v>
      </c>
      <c r="N1185" t="inlineStr">
        <is>
          <t>Explore_F</t>
        </is>
      </c>
      <c r="O1185" t="inlineStr">
        <is>
          <t>Familiar</t>
        </is>
      </c>
      <c r="P1185" t="inlineStr">
        <is>
          <t>STATE</t>
        </is>
      </c>
      <c r="Q1185" t="n">
        <v>540.499</v>
      </c>
      <c r="R1185" t="n">
        <v>541.6660000000001</v>
      </c>
      <c r="S1185" t="n">
        <v>1.167</v>
      </c>
      <c r="T1185" t="inlineStr">
        <is>
          <t>C:/Users/manuel.felline/Documents/BEHAVIOR BTBR/NOR second cohort/BTBR/training/c10_f5.mp4</t>
        </is>
      </c>
      <c r="U1185" t="n">
        <v>16469</v>
      </c>
      <c r="V1185" t="n">
        <v>16504</v>
      </c>
      <c r="W1185" t="n">
        <v/>
      </c>
      <c r="X1185" t="n">
        <v/>
      </c>
      <c r="Y1185" t="n">
        <v/>
      </c>
      <c r="Z1185" t="n">
        <v/>
      </c>
      <c r="AA1185">
        <f>SUMIFS($S$2:S1185,$A$2:A1185,A1185,$N$2:N1185,"Explore*")</f>
        <v/>
      </c>
      <c r="AB1185">
        <f>IF(AND(LEFT(N1185,7)="Explore",(AA1185-IF(LEFT(N1185,7)="Explore",S1185,0))&lt;10),"SI","NO")</f>
        <v/>
      </c>
    </row>
    <row r="1186">
      <c r="A1186" t="inlineStr">
        <is>
          <t>c10f5_training</t>
        </is>
      </c>
      <c r="B1186" t="inlineStr">
        <is>
          <t>2026-06-25 16:24:03.995</t>
        </is>
      </c>
      <c r="C1186" t="n">
        <v/>
      </c>
      <c r="D1186" t="inlineStr">
        <is>
          <t>Media file</t>
        </is>
      </c>
      <c r="E1186" t="inlineStr">
        <is>
          <t>player #1:C:/Users/manuel.felline/Documents/BEHAVIOR BTBR/NOR second cohort/BTBR/training/c10_f5.mp4</t>
        </is>
      </c>
      <c r="F1186" t="n">
        <v>-8.567</v>
      </c>
      <c r="G1186" t="n">
        <v>584.699</v>
      </c>
      <c r="H1186" t="n">
        <v>622.099</v>
      </c>
      <c r="I1186" t="n">
        <v>30</v>
      </c>
      <c r="J1186" t="inlineStr">
        <is>
          <t>BTBR</t>
        </is>
      </c>
      <c r="K1186" t="inlineStr">
        <is>
          <t xml:space="preserve"> Female</t>
        </is>
      </c>
      <c r="L1186" t="inlineStr">
        <is>
          <t>No focal subject</t>
        </is>
      </c>
      <c r="M1186" t="n">
        <v>37.468</v>
      </c>
      <c r="N1186" t="inlineStr">
        <is>
          <t>Explore_F</t>
        </is>
      </c>
      <c r="O1186" t="inlineStr">
        <is>
          <t>Familiar</t>
        </is>
      </c>
      <c r="P1186" t="inlineStr">
        <is>
          <t>STATE</t>
        </is>
      </c>
      <c r="Q1186" t="n">
        <v>585.532</v>
      </c>
      <c r="R1186" t="n">
        <v>586.199</v>
      </c>
      <c r="S1186" t="n">
        <v>0.667</v>
      </c>
      <c r="T1186" t="inlineStr">
        <is>
          <t>C:/Users/manuel.felline/Documents/BEHAVIOR BTBR/NOR second cohort/BTBR/training/c10_f5.mp4</t>
        </is>
      </c>
      <c r="U1186" t="n">
        <v>17820</v>
      </c>
      <c r="V1186" t="n">
        <v>17840</v>
      </c>
      <c r="W1186" t="n">
        <v/>
      </c>
      <c r="X1186" t="n">
        <v/>
      </c>
      <c r="Y1186" t="n">
        <v/>
      </c>
      <c r="Z1186" t="n">
        <v/>
      </c>
      <c r="AA1186">
        <f>SUMIFS($S$2:S1186,$A$2:A1186,A1186,$N$2:N1186,"Explore*")</f>
        <v/>
      </c>
      <c r="AB1186">
        <f>IF(AND(LEFT(N1186,7)="Explore",(AA1186-IF(LEFT(N1186,7)="Explore",S1186,0))&lt;10),"SI","NO")</f>
        <v/>
      </c>
    </row>
    <row r="1187">
      <c r="A1187" t="inlineStr">
        <is>
          <t>c10f6_training</t>
        </is>
      </c>
      <c r="B1187" t="inlineStr">
        <is>
          <t>2026-06-29 17:03:21.443</t>
        </is>
      </c>
      <c r="C1187" t="n">
        <v/>
      </c>
      <c r="D1187" t="inlineStr">
        <is>
          <t>Media file</t>
        </is>
      </c>
      <c r="E1187" t="inlineStr">
        <is>
          <t>player #1:C:/Users/manuel.felline/Documents/BEHAVIOR BTBR/NOR second cohort/BTBR/training/c10_f6.mp4</t>
        </is>
      </c>
      <c r="F1187" t="n">
        <v>-9.067</v>
      </c>
      <c r="G1187" t="n">
        <v>567.933</v>
      </c>
      <c r="H1187" t="n">
        <v>654.399</v>
      </c>
      <c r="I1187" t="n">
        <v>30</v>
      </c>
      <c r="J1187" t="inlineStr">
        <is>
          <t>BTBR</t>
        </is>
      </c>
      <c r="K1187" t="inlineStr">
        <is>
          <t xml:space="preserve"> Female</t>
        </is>
      </c>
      <c r="L1187" t="inlineStr">
        <is>
          <t>No focal subject</t>
        </is>
      </c>
      <c r="M1187" t="n">
        <v>67.398</v>
      </c>
      <c r="N1187" t="inlineStr">
        <is>
          <t>Explore_F</t>
        </is>
      </c>
      <c r="O1187" t="inlineStr">
        <is>
          <t>Familiar</t>
        </is>
      </c>
      <c r="P1187" t="inlineStr">
        <is>
          <t>STATE</t>
        </is>
      </c>
      <c r="Q1187" t="n">
        <v>3.533</v>
      </c>
      <c r="R1187" t="n">
        <v>4.1</v>
      </c>
      <c r="S1187" t="n">
        <v>0.5669999999999999</v>
      </c>
      <c r="T1187" t="inlineStr">
        <is>
          <t>C:/Users/manuel.felline/Documents/BEHAVIOR BTBR/NOR second cohort/BTBR/training/c10_f6.mp4</t>
        </is>
      </c>
      <c r="U1187" t="n">
        <v>378</v>
      </c>
      <c r="V1187" t="n">
        <v>396</v>
      </c>
      <c r="W1187" t="n">
        <v/>
      </c>
      <c r="X1187" t="n">
        <v/>
      </c>
      <c r="Y1187" t="n">
        <v/>
      </c>
      <c r="Z1187" t="n">
        <v/>
      </c>
      <c r="AA1187">
        <f>SUMIFS($S$2:S1187,$A$2:A1187,A1187,$N$2:N1187,"Explore*")</f>
        <v/>
      </c>
      <c r="AB1187">
        <f>IF(AND(LEFT(N1187,7)="Explore",(AA1187-IF(LEFT(N1187,7)="Explore",S1187,0))&lt;10),"SI","NO")</f>
        <v/>
      </c>
    </row>
    <row r="1188">
      <c r="A1188" t="inlineStr">
        <is>
          <t>c10f6_training</t>
        </is>
      </c>
      <c r="B1188" t="inlineStr">
        <is>
          <t>2026-06-29 17:03:21.443</t>
        </is>
      </c>
      <c r="C1188" t="n">
        <v/>
      </c>
      <c r="D1188" t="inlineStr">
        <is>
          <t>Media file</t>
        </is>
      </c>
      <c r="E1188" t="inlineStr">
        <is>
          <t>player #1:C:/Users/manuel.felline/Documents/BEHAVIOR BTBR/NOR second cohort/BTBR/training/c10_f6.mp4</t>
        </is>
      </c>
      <c r="F1188" t="n">
        <v>-9.067</v>
      </c>
      <c r="G1188" t="n">
        <v>567.933</v>
      </c>
      <c r="H1188" t="n">
        <v>654.399</v>
      </c>
      <c r="I1188" t="n">
        <v>30</v>
      </c>
      <c r="J1188" t="inlineStr">
        <is>
          <t>BTBR</t>
        </is>
      </c>
      <c r="K1188" t="inlineStr">
        <is>
          <t xml:space="preserve"> Female</t>
        </is>
      </c>
      <c r="L1188" t="inlineStr">
        <is>
          <t>No focal subject</t>
        </is>
      </c>
      <c r="M1188" t="n">
        <v>67.398</v>
      </c>
      <c r="N1188" t="inlineStr">
        <is>
          <t>Explore_F2</t>
        </is>
      </c>
      <c r="O1188" t="inlineStr">
        <is>
          <t>Second familiar</t>
        </is>
      </c>
      <c r="P1188" t="inlineStr">
        <is>
          <t>STATE</t>
        </is>
      </c>
      <c r="Q1188" t="n">
        <v>8.1</v>
      </c>
      <c r="R1188" t="n">
        <v>9.032999999999999</v>
      </c>
      <c r="S1188" t="n">
        <v>0.9330000000000001</v>
      </c>
      <c r="T1188" t="inlineStr">
        <is>
          <t>C:/Users/manuel.felline/Documents/BEHAVIOR BTBR/NOR second cohort/BTBR/training/c10_f6.mp4</t>
        </is>
      </c>
      <c r="U1188" t="n">
        <v>515</v>
      </c>
      <c r="V1188" t="n">
        <v>543</v>
      </c>
      <c r="W1188" t="n">
        <v/>
      </c>
      <c r="X1188" t="n">
        <v/>
      </c>
      <c r="Y1188" t="n">
        <v/>
      </c>
      <c r="Z1188" t="n">
        <v/>
      </c>
      <c r="AA1188">
        <f>SUMIFS($S$2:S1188,$A$2:A1188,A1188,$N$2:N1188,"Explore*")</f>
        <v/>
      </c>
      <c r="AB1188">
        <f>IF(AND(LEFT(N1188,7)="Explore",(AA1188-IF(LEFT(N1188,7)="Explore",S1188,0))&lt;10),"SI","NO")</f>
        <v/>
      </c>
    </row>
    <row r="1189">
      <c r="A1189" t="inlineStr">
        <is>
          <t>c10f6_training</t>
        </is>
      </c>
      <c r="B1189" t="inlineStr">
        <is>
          <t>2026-06-29 17:03:21.443</t>
        </is>
      </c>
      <c r="C1189" t="n">
        <v/>
      </c>
      <c r="D1189" t="inlineStr">
        <is>
          <t>Media file</t>
        </is>
      </c>
      <c r="E1189" t="inlineStr">
        <is>
          <t>player #1:C:/Users/manuel.felline/Documents/BEHAVIOR BTBR/NOR second cohort/BTBR/training/c10_f6.mp4</t>
        </is>
      </c>
      <c r="F1189" t="n">
        <v>-9.067</v>
      </c>
      <c r="G1189" t="n">
        <v>567.933</v>
      </c>
      <c r="H1189" t="n">
        <v>654.399</v>
      </c>
      <c r="I1189" t="n">
        <v>30</v>
      </c>
      <c r="J1189" t="inlineStr">
        <is>
          <t>BTBR</t>
        </is>
      </c>
      <c r="K1189" t="inlineStr">
        <is>
          <t xml:space="preserve"> Female</t>
        </is>
      </c>
      <c r="L1189" t="inlineStr">
        <is>
          <t>No focal subject</t>
        </is>
      </c>
      <c r="M1189" t="n">
        <v>67.398</v>
      </c>
      <c r="N1189" t="inlineStr">
        <is>
          <t>Explore_F</t>
        </is>
      </c>
      <c r="O1189" t="inlineStr">
        <is>
          <t>Familiar</t>
        </is>
      </c>
      <c r="P1189" t="inlineStr">
        <is>
          <t>STATE</t>
        </is>
      </c>
      <c r="Q1189" t="n">
        <v>9.733000000000001</v>
      </c>
      <c r="R1189" t="n">
        <v>10.533</v>
      </c>
      <c r="S1189" t="n">
        <v>0.8</v>
      </c>
      <c r="T1189" t="inlineStr">
        <is>
          <t>C:/Users/manuel.felline/Documents/BEHAVIOR BTBR/NOR second cohort/BTBR/training/c10_f6.mp4</t>
        </is>
      </c>
      <c r="U1189" t="n">
        <v>564</v>
      </c>
      <c r="V1189" t="n">
        <v>588</v>
      </c>
      <c r="W1189" t="n">
        <v/>
      </c>
      <c r="X1189" t="n">
        <v/>
      </c>
      <c r="Y1189" t="n">
        <v/>
      </c>
      <c r="Z1189" t="n">
        <v/>
      </c>
      <c r="AA1189">
        <f>SUMIFS($S$2:S1189,$A$2:A1189,A1189,$N$2:N1189,"Explore*")</f>
        <v/>
      </c>
      <c r="AB1189">
        <f>IF(AND(LEFT(N1189,7)="Explore",(AA1189-IF(LEFT(N1189,7)="Explore",S1189,0))&lt;10),"SI","NO")</f>
        <v/>
      </c>
    </row>
    <row r="1190">
      <c r="A1190" t="inlineStr">
        <is>
          <t>c10f6_training</t>
        </is>
      </c>
      <c r="B1190" t="inlineStr">
        <is>
          <t>2026-06-29 17:03:21.443</t>
        </is>
      </c>
      <c r="C1190" t="n">
        <v/>
      </c>
      <c r="D1190" t="inlineStr">
        <is>
          <t>Media file</t>
        </is>
      </c>
      <c r="E1190" t="inlineStr">
        <is>
          <t>player #1:C:/Users/manuel.felline/Documents/BEHAVIOR BTBR/NOR second cohort/BTBR/training/c10_f6.mp4</t>
        </is>
      </c>
      <c r="F1190" t="n">
        <v>-9.067</v>
      </c>
      <c r="G1190" t="n">
        <v>567.933</v>
      </c>
      <c r="H1190" t="n">
        <v>654.399</v>
      </c>
      <c r="I1190" t="n">
        <v>30</v>
      </c>
      <c r="J1190" t="inlineStr">
        <is>
          <t>BTBR</t>
        </is>
      </c>
      <c r="K1190" t="inlineStr">
        <is>
          <t xml:space="preserve"> Female</t>
        </is>
      </c>
      <c r="L1190" t="inlineStr">
        <is>
          <t>No focal subject</t>
        </is>
      </c>
      <c r="M1190" t="n">
        <v>67.398</v>
      </c>
      <c r="N1190" t="inlineStr">
        <is>
          <t>Explore_F2</t>
        </is>
      </c>
      <c r="O1190" t="inlineStr">
        <is>
          <t>Second familiar</t>
        </is>
      </c>
      <c r="P1190" t="inlineStr">
        <is>
          <t>STATE</t>
        </is>
      </c>
      <c r="Q1190" t="n">
        <v>13.7</v>
      </c>
      <c r="R1190" t="n">
        <v>14.1</v>
      </c>
      <c r="S1190" t="n">
        <v>0.4</v>
      </c>
      <c r="T1190" t="inlineStr">
        <is>
          <t>C:/Users/manuel.felline/Documents/BEHAVIOR BTBR/NOR second cohort/BTBR/training/c10_f6.mp4</t>
        </is>
      </c>
      <c r="U1190" t="n">
        <v>683</v>
      </c>
      <c r="V1190" t="n">
        <v>695</v>
      </c>
      <c r="W1190" t="n">
        <v/>
      </c>
      <c r="X1190" t="n">
        <v/>
      </c>
      <c r="Y1190" t="n">
        <v/>
      </c>
      <c r="Z1190" t="n">
        <v/>
      </c>
      <c r="AA1190">
        <f>SUMIFS($S$2:S1190,$A$2:A1190,A1190,$N$2:N1190,"Explore*")</f>
        <v/>
      </c>
      <c r="AB1190">
        <f>IF(AND(LEFT(N1190,7)="Explore",(AA1190-IF(LEFT(N1190,7)="Explore",S1190,0))&lt;10),"SI","NO")</f>
        <v/>
      </c>
    </row>
    <row r="1191">
      <c r="A1191" t="inlineStr">
        <is>
          <t>c10f6_training</t>
        </is>
      </c>
      <c r="B1191" t="inlineStr">
        <is>
          <t>2026-06-29 17:03:21.443</t>
        </is>
      </c>
      <c r="C1191" t="n">
        <v/>
      </c>
      <c r="D1191" t="inlineStr">
        <is>
          <t>Media file</t>
        </is>
      </c>
      <c r="E1191" t="inlineStr">
        <is>
          <t>player #1:C:/Users/manuel.felline/Documents/BEHAVIOR BTBR/NOR second cohort/BTBR/training/c10_f6.mp4</t>
        </is>
      </c>
      <c r="F1191" t="n">
        <v>-9.067</v>
      </c>
      <c r="G1191" t="n">
        <v>567.933</v>
      </c>
      <c r="H1191" t="n">
        <v>654.399</v>
      </c>
      <c r="I1191" t="n">
        <v>30</v>
      </c>
      <c r="J1191" t="inlineStr">
        <is>
          <t>BTBR</t>
        </is>
      </c>
      <c r="K1191" t="inlineStr">
        <is>
          <t xml:space="preserve"> Female</t>
        </is>
      </c>
      <c r="L1191" t="inlineStr">
        <is>
          <t>No focal subject</t>
        </is>
      </c>
      <c r="M1191" t="n">
        <v>67.398</v>
      </c>
      <c r="N1191" t="inlineStr">
        <is>
          <t>Explore_F</t>
        </is>
      </c>
      <c r="O1191" t="inlineStr">
        <is>
          <t>Familiar</t>
        </is>
      </c>
      <c r="P1191" t="inlineStr">
        <is>
          <t>STATE</t>
        </is>
      </c>
      <c r="Q1191" t="n">
        <v>17.6</v>
      </c>
      <c r="R1191" t="n">
        <v>18</v>
      </c>
      <c r="S1191" t="n">
        <v>0.4</v>
      </c>
      <c r="T1191" t="inlineStr">
        <is>
          <t>C:/Users/manuel.felline/Documents/BEHAVIOR BTBR/NOR second cohort/BTBR/training/c10_f6.mp4</t>
        </is>
      </c>
      <c r="U1191" t="n">
        <v>799</v>
      </c>
      <c r="V1191" t="n">
        <v>811</v>
      </c>
      <c r="W1191" t="n">
        <v/>
      </c>
      <c r="X1191" t="n">
        <v/>
      </c>
      <c r="Y1191" t="n">
        <v/>
      </c>
      <c r="Z1191" t="n">
        <v/>
      </c>
      <c r="AA1191">
        <f>SUMIFS($S$2:S1191,$A$2:A1191,A1191,$N$2:N1191,"Explore*")</f>
        <v/>
      </c>
      <c r="AB1191">
        <f>IF(AND(LEFT(N1191,7)="Explore",(AA1191-IF(LEFT(N1191,7)="Explore",S1191,0))&lt;10),"SI","NO")</f>
        <v/>
      </c>
    </row>
    <row r="1192">
      <c r="A1192" t="inlineStr">
        <is>
          <t>c10f6_training</t>
        </is>
      </c>
      <c r="B1192" t="inlineStr">
        <is>
          <t>2026-06-29 17:03:21.443</t>
        </is>
      </c>
      <c r="C1192" t="n">
        <v/>
      </c>
      <c r="D1192" t="inlineStr">
        <is>
          <t>Media file</t>
        </is>
      </c>
      <c r="E1192" t="inlineStr">
        <is>
          <t>player #1:C:/Users/manuel.felline/Documents/BEHAVIOR BTBR/NOR second cohort/BTBR/training/c10_f6.mp4</t>
        </is>
      </c>
      <c r="F1192" t="n">
        <v>-9.067</v>
      </c>
      <c r="G1192" t="n">
        <v>567.933</v>
      </c>
      <c r="H1192" t="n">
        <v>654.399</v>
      </c>
      <c r="I1192" t="n">
        <v>30</v>
      </c>
      <c r="J1192" t="inlineStr">
        <is>
          <t>BTBR</t>
        </is>
      </c>
      <c r="K1192" t="inlineStr">
        <is>
          <t xml:space="preserve"> Female</t>
        </is>
      </c>
      <c r="L1192" t="inlineStr">
        <is>
          <t>No focal subject</t>
        </is>
      </c>
      <c r="M1192" t="n">
        <v>67.398</v>
      </c>
      <c r="N1192" t="inlineStr">
        <is>
          <t>Explore_F2</t>
        </is>
      </c>
      <c r="O1192" t="inlineStr">
        <is>
          <t>Second familiar</t>
        </is>
      </c>
      <c r="P1192" t="inlineStr">
        <is>
          <t>STATE</t>
        </is>
      </c>
      <c r="Q1192" t="n">
        <v>20.4</v>
      </c>
      <c r="R1192" t="n">
        <v>20.833</v>
      </c>
      <c r="S1192" t="n">
        <v>0.433</v>
      </c>
      <c r="T1192" t="inlineStr">
        <is>
          <t>C:/Users/manuel.felline/Documents/BEHAVIOR BTBR/NOR second cohort/BTBR/training/c10_f6.mp4</t>
        </is>
      </c>
      <c r="U1192" t="n">
        <v>883</v>
      </c>
      <c r="V1192" t="n">
        <v>896</v>
      </c>
      <c r="W1192" t="n">
        <v/>
      </c>
      <c r="X1192" t="n">
        <v/>
      </c>
      <c r="Y1192" t="n">
        <v/>
      </c>
      <c r="Z1192" t="n">
        <v/>
      </c>
      <c r="AA1192">
        <f>SUMIFS($S$2:S1192,$A$2:A1192,A1192,$N$2:N1192,"Explore*")</f>
        <v/>
      </c>
      <c r="AB1192">
        <f>IF(AND(LEFT(N1192,7)="Explore",(AA1192-IF(LEFT(N1192,7)="Explore",S1192,0))&lt;10),"SI","NO")</f>
        <v/>
      </c>
    </row>
    <row r="1193">
      <c r="A1193" t="inlineStr">
        <is>
          <t>c10f6_training</t>
        </is>
      </c>
      <c r="B1193" t="inlineStr">
        <is>
          <t>2026-06-29 17:03:21.443</t>
        </is>
      </c>
      <c r="C1193" t="n">
        <v/>
      </c>
      <c r="D1193" t="inlineStr">
        <is>
          <t>Media file</t>
        </is>
      </c>
      <c r="E1193" t="inlineStr">
        <is>
          <t>player #1:C:/Users/manuel.felline/Documents/BEHAVIOR BTBR/NOR second cohort/BTBR/training/c10_f6.mp4</t>
        </is>
      </c>
      <c r="F1193" t="n">
        <v>-9.067</v>
      </c>
      <c r="G1193" t="n">
        <v>567.933</v>
      </c>
      <c r="H1193" t="n">
        <v>654.399</v>
      </c>
      <c r="I1193" t="n">
        <v>30</v>
      </c>
      <c r="J1193" t="inlineStr">
        <is>
          <t>BTBR</t>
        </is>
      </c>
      <c r="K1193" t="inlineStr">
        <is>
          <t xml:space="preserve"> Female</t>
        </is>
      </c>
      <c r="L1193" t="inlineStr">
        <is>
          <t>No focal subject</t>
        </is>
      </c>
      <c r="M1193" t="n">
        <v>67.398</v>
      </c>
      <c r="N1193" t="inlineStr">
        <is>
          <t>Explore_F</t>
        </is>
      </c>
      <c r="O1193" t="inlineStr">
        <is>
          <t>Familiar</t>
        </is>
      </c>
      <c r="P1193" t="inlineStr">
        <is>
          <t>STATE</t>
        </is>
      </c>
      <c r="Q1193" t="n">
        <v>23.1</v>
      </c>
      <c r="R1193" t="n">
        <v>23.433</v>
      </c>
      <c r="S1193" t="n">
        <v>0.333</v>
      </c>
      <c r="T1193" t="inlineStr">
        <is>
          <t>C:/Users/manuel.felline/Documents/BEHAVIOR BTBR/NOR second cohort/BTBR/training/c10_f6.mp4</t>
        </is>
      </c>
      <c r="U1193" t="n">
        <v>964</v>
      </c>
      <c r="V1193" t="n">
        <v>974</v>
      </c>
      <c r="W1193" t="n">
        <v/>
      </c>
      <c r="X1193" t="n">
        <v/>
      </c>
      <c r="Y1193" t="n">
        <v/>
      </c>
      <c r="Z1193" t="n">
        <v/>
      </c>
      <c r="AA1193">
        <f>SUMIFS($S$2:S1193,$A$2:A1193,A1193,$N$2:N1193,"Explore*")</f>
        <v/>
      </c>
      <c r="AB1193">
        <f>IF(AND(LEFT(N1193,7)="Explore",(AA1193-IF(LEFT(N1193,7)="Explore",S1193,0))&lt;10),"SI","NO")</f>
        <v/>
      </c>
    </row>
    <row r="1194">
      <c r="A1194" t="inlineStr">
        <is>
          <t>c10f6_training</t>
        </is>
      </c>
      <c r="B1194" t="inlineStr">
        <is>
          <t>2026-06-29 17:03:21.443</t>
        </is>
      </c>
      <c r="C1194" t="n">
        <v/>
      </c>
      <c r="D1194" t="inlineStr">
        <is>
          <t>Media file</t>
        </is>
      </c>
      <c r="E1194" t="inlineStr">
        <is>
          <t>player #1:C:/Users/manuel.felline/Documents/BEHAVIOR BTBR/NOR second cohort/BTBR/training/c10_f6.mp4</t>
        </is>
      </c>
      <c r="F1194" t="n">
        <v>-9.067</v>
      </c>
      <c r="G1194" t="n">
        <v>567.933</v>
      </c>
      <c r="H1194" t="n">
        <v>654.399</v>
      </c>
      <c r="I1194" t="n">
        <v>30</v>
      </c>
      <c r="J1194" t="inlineStr">
        <is>
          <t>BTBR</t>
        </is>
      </c>
      <c r="K1194" t="inlineStr">
        <is>
          <t xml:space="preserve"> Female</t>
        </is>
      </c>
      <c r="L1194" t="inlineStr">
        <is>
          <t>No focal subject</t>
        </is>
      </c>
      <c r="M1194" t="n">
        <v>67.398</v>
      </c>
      <c r="N1194" t="inlineStr">
        <is>
          <t>Explore_F2</t>
        </is>
      </c>
      <c r="O1194" t="inlineStr">
        <is>
          <t>Second familiar</t>
        </is>
      </c>
      <c r="P1194" t="inlineStr">
        <is>
          <t>STATE</t>
        </is>
      </c>
      <c r="Q1194" t="n">
        <v>25.366</v>
      </c>
      <c r="R1194" t="n">
        <v>25.633</v>
      </c>
      <c r="S1194" t="n">
        <v>0.267</v>
      </c>
      <c r="T1194" t="inlineStr">
        <is>
          <t>C:/Users/manuel.felline/Documents/BEHAVIOR BTBR/NOR second cohort/BTBR/training/c10_f6.mp4</t>
        </is>
      </c>
      <c r="U1194" t="n">
        <v>1032</v>
      </c>
      <c r="V1194" t="n">
        <v>1040</v>
      </c>
      <c r="W1194" t="n">
        <v/>
      </c>
      <c r="X1194" t="n">
        <v/>
      </c>
      <c r="Y1194" t="n">
        <v/>
      </c>
      <c r="Z1194" t="n">
        <v/>
      </c>
      <c r="AA1194">
        <f>SUMIFS($S$2:S1194,$A$2:A1194,A1194,$N$2:N1194,"Explore*")</f>
        <v/>
      </c>
      <c r="AB1194">
        <f>IF(AND(LEFT(N1194,7)="Explore",(AA1194-IF(LEFT(N1194,7)="Explore",S1194,0))&lt;10),"SI","NO")</f>
        <v/>
      </c>
    </row>
    <row r="1195">
      <c r="A1195" t="inlineStr">
        <is>
          <t>c10f6_training</t>
        </is>
      </c>
      <c r="B1195" t="inlineStr">
        <is>
          <t>2026-06-29 17:03:21.443</t>
        </is>
      </c>
      <c r="C1195" t="n">
        <v/>
      </c>
      <c r="D1195" t="inlineStr">
        <is>
          <t>Media file</t>
        </is>
      </c>
      <c r="E1195" t="inlineStr">
        <is>
          <t>player #1:C:/Users/manuel.felline/Documents/BEHAVIOR BTBR/NOR second cohort/BTBR/training/c10_f6.mp4</t>
        </is>
      </c>
      <c r="F1195" t="n">
        <v>-9.067</v>
      </c>
      <c r="G1195" t="n">
        <v>567.933</v>
      </c>
      <c r="H1195" t="n">
        <v>654.399</v>
      </c>
      <c r="I1195" t="n">
        <v>30</v>
      </c>
      <c r="J1195" t="inlineStr">
        <is>
          <t>BTBR</t>
        </is>
      </c>
      <c r="K1195" t="inlineStr">
        <is>
          <t xml:space="preserve"> Female</t>
        </is>
      </c>
      <c r="L1195" t="inlineStr">
        <is>
          <t>No focal subject</t>
        </is>
      </c>
      <c r="M1195" t="n">
        <v>67.398</v>
      </c>
      <c r="N1195" t="inlineStr">
        <is>
          <t>Explore_F</t>
        </is>
      </c>
      <c r="O1195" t="inlineStr">
        <is>
          <t>Familiar</t>
        </is>
      </c>
      <c r="P1195" t="inlineStr">
        <is>
          <t>STATE</t>
        </is>
      </c>
      <c r="Q1195" t="n">
        <v>27.633</v>
      </c>
      <c r="R1195" t="n">
        <v>28</v>
      </c>
      <c r="S1195" t="n">
        <v>0.367</v>
      </c>
      <c r="T1195" t="inlineStr">
        <is>
          <t>C:/Users/manuel.felline/Documents/BEHAVIOR BTBR/NOR second cohort/BTBR/training/c10_f6.mp4</t>
        </is>
      </c>
      <c r="U1195" t="n">
        <v>1100</v>
      </c>
      <c r="V1195" t="n">
        <v>1111</v>
      </c>
      <c r="W1195" t="n">
        <v/>
      </c>
      <c r="X1195" t="n">
        <v/>
      </c>
      <c r="Y1195" t="n">
        <v/>
      </c>
      <c r="Z1195" t="n">
        <v/>
      </c>
      <c r="AA1195">
        <f>SUMIFS($S$2:S1195,$A$2:A1195,A1195,$N$2:N1195,"Explore*")</f>
        <v/>
      </c>
      <c r="AB1195">
        <f>IF(AND(LEFT(N1195,7)="Explore",(AA1195-IF(LEFT(N1195,7)="Explore",S1195,0))&lt;10),"SI","NO")</f>
        <v/>
      </c>
    </row>
    <row r="1196">
      <c r="A1196" t="inlineStr">
        <is>
          <t>c10f6_training</t>
        </is>
      </c>
      <c r="B1196" t="inlineStr">
        <is>
          <t>2026-06-29 17:03:21.443</t>
        </is>
      </c>
      <c r="C1196" t="n">
        <v/>
      </c>
      <c r="D1196" t="inlineStr">
        <is>
          <t>Media file</t>
        </is>
      </c>
      <c r="E1196" t="inlineStr">
        <is>
          <t>player #1:C:/Users/manuel.felline/Documents/BEHAVIOR BTBR/NOR second cohort/BTBR/training/c10_f6.mp4</t>
        </is>
      </c>
      <c r="F1196" t="n">
        <v>-9.067</v>
      </c>
      <c r="G1196" t="n">
        <v>567.933</v>
      </c>
      <c r="H1196" t="n">
        <v>654.399</v>
      </c>
      <c r="I1196" t="n">
        <v>30</v>
      </c>
      <c r="J1196" t="inlineStr">
        <is>
          <t>BTBR</t>
        </is>
      </c>
      <c r="K1196" t="inlineStr">
        <is>
          <t xml:space="preserve"> Female</t>
        </is>
      </c>
      <c r="L1196" t="inlineStr">
        <is>
          <t>No focal subject</t>
        </is>
      </c>
      <c r="M1196" t="n">
        <v>67.398</v>
      </c>
      <c r="N1196" t="inlineStr">
        <is>
          <t>Explore_F2</t>
        </is>
      </c>
      <c r="O1196" t="inlineStr">
        <is>
          <t>Second familiar</t>
        </is>
      </c>
      <c r="P1196" t="inlineStr">
        <is>
          <t>STATE</t>
        </is>
      </c>
      <c r="Q1196" t="n">
        <v>28.966</v>
      </c>
      <c r="R1196" t="n">
        <v>29.566</v>
      </c>
      <c r="S1196" t="n">
        <v>0.6</v>
      </c>
      <c r="T1196" t="inlineStr">
        <is>
          <t>C:/Users/manuel.felline/Documents/BEHAVIOR BTBR/NOR second cohort/BTBR/training/c10_f6.mp4</t>
        </is>
      </c>
      <c r="U1196" t="n">
        <v>1140</v>
      </c>
      <c r="V1196" t="n">
        <v>1158</v>
      </c>
      <c r="W1196" t="n">
        <v/>
      </c>
      <c r="X1196" t="n">
        <v/>
      </c>
      <c r="Y1196" t="n">
        <v/>
      </c>
      <c r="Z1196" t="n">
        <v/>
      </c>
      <c r="AA1196">
        <f>SUMIFS($S$2:S1196,$A$2:A1196,A1196,$N$2:N1196,"Explore*")</f>
        <v/>
      </c>
      <c r="AB1196">
        <f>IF(AND(LEFT(N1196,7)="Explore",(AA1196-IF(LEFT(N1196,7)="Explore",S1196,0))&lt;10),"SI","NO")</f>
        <v/>
      </c>
    </row>
    <row r="1197">
      <c r="A1197" t="inlineStr">
        <is>
          <t>c10f6_training</t>
        </is>
      </c>
      <c r="B1197" t="inlineStr">
        <is>
          <t>2026-06-29 17:03:21.443</t>
        </is>
      </c>
      <c r="C1197" t="n">
        <v/>
      </c>
      <c r="D1197" t="inlineStr">
        <is>
          <t>Media file</t>
        </is>
      </c>
      <c r="E1197" t="inlineStr">
        <is>
          <t>player #1:C:/Users/manuel.felline/Documents/BEHAVIOR BTBR/NOR second cohort/BTBR/training/c10_f6.mp4</t>
        </is>
      </c>
      <c r="F1197" t="n">
        <v>-9.067</v>
      </c>
      <c r="G1197" t="n">
        <v>567.933</v>
      </c>
      <c r="H1197" t="n">
        <v>654.399</v>
      </c>
      <c r="I1197" t="n">
        <v>30</v>
      </c>
      <c r="J1197" t="inlineStr">
        <is>
          <t>BTBR</t>
        </is>
      </c>
      <c r="K1197" t="inlineStr">
        <is>
          <t xml:space="preserve"> Female</t>
        </is>
      </c>
      <c r="L1197" t="inlineStr">
        <is>
          <t>No focal subject</t>
        </is>
      </c>
      <c r="M1197" t="n">
        <v>67.398</v>
      </c>
      <c r="N1197" t="inlineStr">
        <is>
          <t>Explore_F</t>
        </is>
      </c>
      <c r="O1197" t="inlineStr">
        <is>
          <t>Familiar</t>
        </is>
      </c>
      <c r="P1197" t="inlineStr">
        <is>
          <t>STATE</t>
        </is>
      </c>
      <c r="Q1197" t="n">
        <v>36.8</v>
      </c>
      <c r="R1197" t="n">
        <v>37.166</v>
      </c>
      <c r="S1197" t="n">
        <v>0.366</v>
      </c>
      <c r="T1197" t="inlineStr">
        <is>
          <t>C:/Users/manuel.felline/Documents/BEHAVIOR BTBR/NOR second cohort/BTBR/training/c10_f6.mp4</t>
        </is>
      </c>
      <c r="U1197" t="n">
        <v>1375</v>
      </c>
      <c r="V1197" t="n">
        <v>1386</v>
      </c>
      <c r="W1197" t="n">
        <v/>
      </c>
      <c r="X1197" t="n">
        <v/>
      </c>
      <c r="Y1197" t="n">
        <v/>
      </c>
      <c r="Z1197" t="n">
        <v/>
      </c>
      <c r="AA1197">
        <f>SUMIFS($S$2:S1197,$A$2:A1197,A1197,$N$2:N1197,"Explore*")</f>
        <v/>
      </c>
      <c r="AB1197">
        <f>IF(AND(LEFT(N1197,7)="Explore",(AA1197-IF(LEFT(N1197,7)="Explore",S1197,0))&lt;10),"SI","NO")</f>
        <v/>
      </c>
    </row>
    <row r="1198">
      <c r="A1198" t="inlineStr">
        <is>
          <t>c10f6_training</t>
        </is>
      </c>
      <c r="B1198" t="inlineStr">
        <is>
          <t>2026-06-29 17:03:21.443</t>
        </is>
      </c>
      <c r="C1198" t="n">
        <v/>
      </c>
      <c r="D1198" t="inlineStr">
        <is>
          <t>Media file</t>
        </is>
      </c>
      <c r="E1198" t="inlineStr">
        <is>
          <t>player #1:C:/Users/manuel.felline/Documents/BEHAVIOR BTBR/NOR second cohort/BTBR/training/c10_f6.mp4</t>
        </is>
      </c>
      <c r="F1198" t="n">
        <v>-9.067</v>
      </c>
      <c r="G1198" t="n">
        <v>567.933</v>
      </c>
      <c r="H1198" t="n">
        <v>654.399</v>
      </c>
      <c r="I1198" t="n">
        <v>30</v>
      </c>
      <c r="J1198" t="inlineStr">
        <is>
          <t>BTBR</t>
        </is>
      </c>
      <c r="K1198" t="inlineStr">
        <is>
          <t xml:space="preserve"> Female</t>
        </is>
      </c>
      <c r="L1198" t="inlineStr">
        <is>
          <t>No focal subject</t>
        </is>
      </c>
      <c r="M1198" t="n">
        <v>67.398</v>
      </c>
      <c r="N1198" t="inlineStr">
        <is>
          <t>Explore_F2</t>
        </is>
      </c>
      <c r="O1198" t="inlineStr">
        <is>
          <t>Second familiar</t>
        </is>
      </c>
      <c r="P1198" t="inlineStr">
        <is>
          <t>STATE</t>
        </is>
      </c>
      <c r="Q1198" t="n">
        <v>42.7</v>
      </c>
      <c r="R1198" t="n">
        <v>44.833</v>
      </c>
      <c r="S1198" t="n">
        <v>2.133</v>
      </c>
      <c r="T1198" t="inlineStr">
        <is>
          <t>C:/Users/manuel.felline/Documents/BEHAVIOR BTBR/NOR second cohort/BTBR/training/c10_f6.mp4</t>
        </is>
      </c>
      <c r="U1198" t="n">
        <v>1552</v>
      </c>
      <c r="V1198" t="n">
        <v>1616</v>
      </c>
      <c r="W1198" t="n">
        <v/>
      </c>
      <c r="X1198" t="n">
        <v/>
      </c>
      <c r="Y1198" t="n">
        <v/>
      </c>
      <c r="Z1198" t="n">
        <v/>
      </c>
      <c r="AA1198">
        <f>SUMIFS($S$2:S1198,$A$2:A1198,A1198,$N$2:N1198,"Explore*")</f>
        <v/>
      </c>
      <c r="AB1198">
        <f>IF(AND(LEFT(N1198,7)="Explore",(AA1198-IF(LEFT(N1198,7)="Explore",S1198,0))&lt;10),"SI","NO")</f>
        <v/>
      </c>
    </row>
    <row r="1199">
      <c r="A1199" t="inlineStr">
        <is>
          <t>c10f6_training</t>
        </is>
      </c>
      <c r="B1199" t="inlineStr">
        <is>
          <t>2026-06-29 17:03:21.443</t>
        </is>
      </c>
      <c r="C1199" t="n">
        <v/>
      </c>
      <c r="D1199" t="inlineStr">
        <is>
          <t>Media file</t>
        </is>
      </c>
      <c r="E1199" t="inlineStr">
        <is>
          <t>player #1:C:/Users/manuel.felline/Documents/BEHAVIOR BTBR/NOR second cohort/BTBR/training/c10_f6.mp4</t>
        </is>
      </c>
      <c r="F1199" t="n">
        <v>-9.067</v>
      </c>
      <c r="G1199" t="n">
        <v>567.933</v>
      </c>
      <c r="H1199" t="n">
        <v>654.399</v>
      </c>
      <c r="I1199" t="n">
        <v>30</v>
      </c>
      <c r="J1199" t="inlineStr">
        <is>
          <t>BTBR</t>
        </is>
      </c>
      <c r="K1199" t="inlineStr">
        <is>
          <t xml:space="preserve"> Female</t>
        </is>
      </c>
      <c r="L1199" t="inlineStr">
        <is>
          <t>No focal subject</t>
        </is>
      </c>
      <c r="M1199" t="n">
        <v>67.398</v>
      </c>
      <c r="N1199" t="inlineStr">
        <is>
          <t>Explore_F2</t>
        </is>
      </c>
      <c r="O1199" t="inlineStr">
        <is>
          <t>Second familiar</t>
        </is>
      </c>
      <c r="P1199" t="inlineStr">
        <is>
          <t>STATE</t>
        </is>
      </c>
      <c r="Q1199" t="n">
        <v>47.9</v>
      </c>
      <c r="R1199" t="n">
        <v>50.066</v>
      </c>
      <c r="S1199" t="n">
        <v>2.166</v>
      </c>
      <c r="T1199" t="inlineStr">
        <is>
          <t>C:/Users/manuel.felline/Documents/BEHAVIOR BTBR/NOR second cohort/BTBR/training/c10_f6.mp4</t>
        </is>
      </c>
      <c r="U1199" t="n">
        <v>1708</v>
      </c>
      <c r="V1199" t="n">
        <v>1773</v>
      </c>
      <c r="W1199" t="n">
        <v/>
      </c>
      <c r="X1199" t="n">
        <v/>
      </c>
      <c r="Y1199" t="n">
        <v/>
      </c>
      <c r="Z1199" t="n">
        <v/>
      </c>
      <c r="AA1199">
        <f>SUMIFS($S$2:S1199,$A$2:A1199,A1199,$N$2:N1199,"Explore*")</f>
        <v/>
      </c>
      <c r="AB1199">
        <f>IF(AND(LEFT(N1199,7)="Explore",(AA1199-IF(LEFT(N1199,7)="Explore",S1199,0))&lt;10),"SI","NO")</f>
        <v/>
      </c>
    </row>
    <row r="1200">
      <c r="A1200" t="inlineStr">
        <is>
          <t>c10f6_training</t>
        </is>
      </c>
      <c r="B1200" t="inlineStr">
        <is>
          <t>2026-06-29 17:03:21.443</t>
        </is>
      </c>
      <c r="C1200" t="n">
        <v/>
      </c>
      <c r="D1200" t="inlineStr">
        <is>
          <t>Media file</t>
        </is>
      </c>
      <c r="E1200" t="inlineStr">
        <is>
          <t>player #1:C:/Users/manuel.felline/Documents/BEHAVIOR BTBR/NOR second cohort/BTBR/training/c10_f6.mp4</t>
        </is>
      </c>
      <c r="F1200" t="n">
        <v>-9.067</v>
      </c>
      <c r="G1200" t="n">
        <v>567.933</v>
      </c>
      <c r="H1200" t="n">
        <v>654.399</v>
      </c>
      <c r="I1200" t="n">
        <v>30</v>
      </c>
      <c r="J1200" t="inlineStr">
        <is>
          <t>BTBR</t>
        </is>
      </c>
      <c r="K1200" t="inlineStr">
        <is>
          <t xml:space="preserve"> Female</t>
        </is>
      </c>
      <c r="L1200" t="inlineStr">
        <is>
          <t>No focal subject</t>
        </is>
      </c>
      <c r="M1200" t="n">
        <v>67.398</v>
      </c>
      <c r="N1200" t="inlineStr">
        <is>
          <t>Explore_F</t>
        </is>
      </c>
      <c r="O1200" t="inlineStr">
        <is>
          <t>Familiar</t>
        </is>
      </c>
      <c r="P1200" t="inlineStr">
        <is>
          <t>STATE</t>
        </is>
      </c>
      <c r="Q1200" t="n">
        <v>58.3</v>
      </c>
      <c r="R1200" t="n">
        <v>58.566</v>
      </c>
      <c r="S1200" t="n">
        <v>0.266</v>
      </c>
      <c r="T1200" t="inlineStr">
        <is>
          <t>C:/Users/manuel.felline/Documents/BEHAVIOR BTBR/NOR second cohort/BTBR/training/c10_f6.mp4</t>
        </is>
      </c>
      <c r="U1200" t="n">
        <v>2020</v>
      </c>
      <c r="V1200" t="n">
        <v>2028</v>
      </c>
      <c r="W1200" t="n">
        <v/>
      </c>
      <c r="X1200" t="n">
        <v/>
      </c>
      <c r="Y1200" t="n">
        <v/>
      </c>
      <c r="Z1200" t="n">
        <v/>
      </c>
      <c r="AA1200">
        <f>SUMIFS($S$2:S1200,$A$2:A1200,A1200,$N$2:N1200,"Explore*")</f>
        <v/>
      </c>
      <c r="AB1200">
        <f>IF(AND(LEFT(N1200,7)="Explore",(AA1200-IF(LEFT(N1200,7)="Explore",S1200,0))&lt;10),"SI","NO")</f>
        <v/>
      </c>
    </row>
    <row r="1201">
      <c r="A1201" t="inlineStr">
        <is>
          <t>c10f6_training</t>
        </is>
      </c>
      <c r="B1201" t="inlineStr">
        <is>
          <t>2026-06-29 17:03:21.443</t>
        </is>
      </c>
      <c r="C1201" t="n">
        <v/>
      </c>
      <c r="D1201" t="inlineStr">
        <is>
          <t>Media file</t>
        </is>
      </c>
      <c r="E1201" t="inlineStr">
        <is>
          <t>player #1:C:/Users/manuel.felline/Documents/BEHAVIOR BTBR/NOR second cohort/BTBR/training/c10_f6.mp4</t>
        </is>
      </c>
      <c r="F1201" t="n">
        <v>-9.067</v>
      </c>
      <c r="G1201" t="n">
        <v>567.933</v>
      </c>
      <c r="H1201" t="n">
        <v>654.399</v>
      </c>
      <c r="I1201" t="n">
        <v>30</v>
      </c>
      <c r="J1201" t="inlineStr">
        <is>
          <t>BTBR</t>
        </is>
      </c>
      <c r="K1201" t="inlineStr">
        <is>
          <t xml:space="preserve"> Female</t>
        </is>
      </c>
      <c r="L1201" t="inlineStr">
        <is>
          <t>No focal subject</t>
        </is>
      </c>
      <c r="M1201" t="n">
        <v>67.398</v>
      </c>
      <c r="N1201" t="inlineStr">
        <is>
          <t>Explore_F2</t>
        </is>
      </c>
      <c r="O1201" t="inlineStr">
        <is>
          <t>Second familiar</t>
        </is>
      </c>
      <c r="P1201" t="inlineStr">
        <is>
          <t>STATE</t>
        </is>
      </c>
      <c r="Q1201" t="n">
        <v>72.166</v>
      </c>
      <c r="R1201" t="n">
        <v>72.43300000000001</v>
      </c>
      <c r="S1201" t="n">
        <v>0.267</v>
      </c>
      <c r="T1201" t="inlineStr">
        <is>
          <t>C:/Users/manuel.felline/Documents/BEHAVIOR BTBR/NOR second cohort/BTBR/training/c10_f6.mp4</t>
        </is>
      </c>
      <c r="U1201" t="n">
        <v>2435</v>
      </c>
      <c r="V1201" t="n">
        <v>2443</v>
      </c>
      <c r="W1201" t="n">
        <v/>
      </c>
      <c r="X1201" t="n">
        <v/>
      </c>
      <c r="Y1201" t="n">
        <v/>
      </c>
      <c r="Z1201" t="n">
        <v/>
      </c>
      <c r="AA1201">
        <f>SUMIFS($S$2:S1201,$A$2:A1201,A1201,$N$2:N1201,"Explore*")</f>
        <v/>
      </c>
      <c r="AB1201">
        <f>IF(AND(LEFT(N1201,7)="Explore",(AA1201-IF(LEFT(N1201,7)="Explore",S1201,0))&lt;10),"SI","NO")</f>
        <v/>
      </c>
    </row>
    <row r="1202">
      <c r="A1202" t="inlineStr">
        <is>
          <t>c10f6_training</t>
        </is>
      </c>
      <c r="B1202" t="inlineStr">
        <is>
          <t>2026-06-29 17:03:21.443</t>
        </is>
      </c>
      <c r="C1202" t="n">
        <v/>
      </c>
      <c r="D1202" t="inlineStr">
        <is>
          <t>Media file</t>
        </is>
      </c>
      <c r="E1202" t="inlineStr">
        <is>
          <t>player #1:C:/Users/manuel.felline/Documents/BEHAVIOR BTBR/NOR second cohort/BTBR/training/c10_f6.mp4</t>
        </is>
      </c>
      <c r="F1202" t="n">
        <v>-9.067</v>
      </c>
      <c r="G1202" t="n">
        <v>567.933</v>
      </c>
      <c r="H1202" t="n">
        <v>654.399</v>
      </c>
      <c r="I1202" t="n">
        <v>30</v>
      </c>
      <c r="J1202" t="inlineStr">
        <is>
          <t>BTBR</t>
        </is>
      </c>
      <c r="K1202" t="inlineStr">
        <is>
          <t xml:space="preserve"> Female</t>
        </is>
      </c>
      <c r="L1202" t="inlineStr">
        <is>
          <t>No focal subject</t>
        </is>
      </c>
      <c r="M1202" t="n">
        <v>67.398</v>
      </c>
      <c r="N1202" t="inlineStr">
        <is>
          <t>Explore_F</t>
        </is>
      </c>
      <c r="O1202" t="inlineStr">
        <is>
          <t>Familiar</t>
        </is>
      </c>
      <c r="P1202" t="inlineStr">
        <is>
          <t>STATE</t>
        </is>
      </c>
      <c r="Q1202" t="n">
        <v>72.866</v>
      </c>
      <c r="R1202" t="n">
        <v>74.166</v>
      </c>
      <c r="S1202" t="n">
        <v>1.3</v>
      </c>
      <c r="T1202" t="inlineStr">
        <is>
          <t>C:/Users/manuel.felline/Documents/BEHAVIOR BTBR/NOR second cohort/BTBR/training/c10_f6.mp4</t>
        </is>
      </c>
      <c r="U1202" t="n">
        <v>2456</v>
      </c>
      <c r="V1202" t="n">
        <v>2495</v>
      </c>
      <c r="W1202" t="n">
        <v/>
      </c>
      <c r="X1202" t="n">
        <v/>
      </c>
      <c r="Y1202" t="n">
        <v/>
      </c>
      <c r="Z1202" t="n">
        <v/>
      </c>
      <c r="AA1202">
        <f>SUMIFS($S$2:S1202,$A$2:A1202,A1202,$N$2:N1202,"Explore*")</f>
        <v/>
      </c>
      <c r="AB1202">
        <f>IF(AND(LEFT(N1202,7)="Explore",(AA1202-IF(LEFT(N1202,7)="Explore",S1202,0))&lt;10),"SI","NO")</f>
        <v/>
      </c>
    </row>
    <row r="1203">
      <c r="A1203" t="inlineStr">
        <is>
          <t>c10f6_training</t>
        </is>
      </c>
      <c r="B1203" t="inlineStr">
        <is>
          <t>2026-06-29 17:03:21.443</t>
        </is>
      </c>
      <c r="C1203" t="n">
        <v/>
      </c>
      <c r="D1203" t="inlineStr">
        <is>
          <t>Media file</t>
        </is>
      </c>
      <c r="E1203" t="inlineStr">
        <is>
          <t>player #1:C:/Users/manuel.felline/Documents/BEHAVIOR BTBR/NOR second cohort/BTBR/training/c10_f6.mp4</t>
        </is>
      </c>
      <c r="F1203" t="n">
        <v>-9.067</v>
      </c>
      <c r="G1203" t="n">
        <v>567.933</v>
      </c>
      <c r="H1203" t="n">
        <v>654.399</v>
      </c>
      <c r="I1203" t="n">
        <v>30</v>
      </c>
      <c r="J1203" t="inlineStr">
        <is>
          <t>BTBR</t>
        </is>
      </c>
      <c r="K1203" t="inlineStr">
        <is>
          <t xml:space="preserve"> Female</t>
        </is>
      </c>
      <c r="L1203" t="inlineStr">
        <is>
          <t>No focal subject</t>
        </is>
      </c>
      <c r="M1203" t="n">
        <v>67.398</v>
      </c>
      <c r="N1203" t="inlineStr">
        <is>
          <t>Explore_F</t>
        </is>
      </c>
      <c r="O1203" t="inlineStr">
        <is>
          <t>Familiar</t>
        </is>
      </c>
      <c r="P1203" t="inlineStr">
        <is>
          <t>STATE</t>
        </is>
      </c>
      <c r="Q1203" t="n">
        <v>75.90000000000001</v>
      </c>
      <c r="R1203" t="n">
        <v>76.133</v>
      </c>
      <c r="S1203" t="n">
        <v>0.233</v>
      </c>
      <c r="T1203" t="inlineStr">
        <is>
          <t>C:/Users/manuel.felline/Documents/BEHAVIOR BTBR/NOR second cohort/BTBR/training/c10_f6.mp4</t>
        </is>
      </c>
      <c r="U1203" t="n">
        <v>2547</v>
      </c>
      <c r="V1203" t="n">
        <v>2554</v>
      </c>
      <c r="W1203" t="n">
        <v/>
      </c>
      <c r="X1203" t="n">
        <v/>
      </c>
      <c r="Y1203" t="n">
        <v/>
      </c>
      <c r="Z1203" t="n">
        <v/>
      </c>
      <c r="AA1203">
        <f>SUMIFS($S$2:S1203,$A$2:A1203,A1203,$N$2:N1203,"Explore*")</f>
        <v/>
      </c>
      <c r="AB1203">
        <f>IF(AND(LEFT(N1203,7)="Explore",(AA1203-IF(LEFT(N1203,7)="Explore",S1203,0))&lt;10),"SI","NO")</f>
        <v/>
      </c>
    </row>
    <row r="1204">
      <c r="A1204" t="inlineStr">
        <is>
          <t>c10f6_training</t>
        </is>
      </c>
      <c r="B1204" t="inlineStr">
        <is>
          <t>2026-06-29 17:03:21.443</t>
        </is>
      </c>
      <c r="C1204" t="n">
        <v/>
      </c>
      <c r="D1204" t="inlineStr">
        <is>
          <t>Media file</t>
        </is>
      </c>
      <c r="E1204" t="inlineStr">
        <is>
          <t>player #1:C:/Users/manuel.felline/Documents/BEHAVIOR BTBR/NOR second cohort/BTBR/training/c10_f6.mp4</t>
        </is>
      </c>
      <c r="F1204" t="n">
        <v>-9.067</v>
      </c>
      <c r="G1204" t="n">
        <v>567.933</v>
      </c>
      <c r="H1204" t="n">
        <v>654.399</v>
      </c>
      <c r="I1204" t="n">
        <v>30</v>
      </c>
      <c r="J1204" t="inlineStr">
        <is>
          <t>BTBR</t>
        </is>
      </c>
      <c r="K1204" t="inlineStr">
        <is>
          <t xml:space="preserve"> Female</t>
        </is>
      </c>
      <c r="L1204" t="inlineStr">
        <is>
          <t>No focal subject</t>
        </is>
      </c>
      <c r="M1204" t="n">
        <v>67.398</v>
      </c>
      <c r="N1204" t="inlineStr">
        <is>
          <t>Explore_F</t>
        </is>
      </c>
      <c r="O1204" t="inlineStr">
        <is>
          <t>Familiar</t>
        </is>
      </c>
      <c r="P1204" t="inlineStr">
        <is>
          <t>STATE</t>
        </is>
      </c>
      <c r="Q1204" t="n">
        <v>77.96599999999999</v>
      </c>
      <c r="R1204" t="n">
        <v>79.09999999999999</v>
      </c>
      <c r="S1204" t="n">
        <v>1.134</v>
      </c>
      <c r="T1204" t="inlineStr">
        <is>
          <t>C:/Users/manuel.felline/Documents/BEHAVIOR BTBR/NOR second cohort/BTBR/training/c10_f6.mp4</t>
        </is>
      </c>
      <c r="U1204" t="n">
        <v>2609</v>
      </c>
      <c r="V1204" t="n">
        <v>2643</v>
      </c>
      <c r="W1204" t="n">
        <v/>
      </c>
      <c r="X1204" t="n">
        <v/>
      </c>
      <c r="Y1204" t="n">
        <v/>
      </c>
      <c r="Z1204" t="n">
        <v/>
      </c>
      <c r="AA1204">
        <f>SUMIFS($S$2:S1204,$A$2:A1204,A1204,$N$2:N1204,"Explore*")</f>
        <v/>
      </c>
      <c r="AB1204">
        <f>IF(AND(LEFT(N1204,7)="Explore",(AA1204-IF(LEFT(N1204,7)="Explore",S1204,0))&lt;10),"SI","NO")</f>
        <v/>
      </c>
    </row>
    <row r="1205">
      <c r="A1205" t="inlineStr">
        <is>
          <t>c10f6_training</t>
        </is>
      </c>
      <c r="B1205" t="inlineStr">
        <is>
          <t>2026-06-29 17:03:21.443</t>
        </is>
      </c>
      <c r="C1205" t="n">
        <v/>
      </c>
      <c r="D1205" t="inlineStr">
        <is>
          <t>Media file</t>
        </is>
      </c>
      <c r="E1205" t="inlineStr">
        <is>
          <t>player #1:C:/Users/manuel.felline/Documents/BEHAVIOR BTBR/NOR second cohort/BTBR/training/c10_f6.mp4</t>
        </is>
      </c>
      <c r="F1205" t="n">
        <v>-9.067</v>
      </c>
      <c r="G1205" t="n">
        <v>567.933</v>
      </c>
      <c r="H1205" t="n">
        <v>654.399</v>
      </c>
      <c r="I1205" t="n">
        <v>30</v>
      </c>
      <c r="J1205" t="inlineStr">
        <is>
          <t>BTBR</t>
        </is>
      </c>
      <c r="K1205" t="inlineStr">
        <is>
          <t xml:space="preserve"> Female</t>
        </is>
      </c>
      <c r="L1205" t="inlineStr">
        <is>
          <t>No focal subject</t>
        </is>
      </c>
      <c r="M1205" t="n">
        <v>67.398</v>
      </c>
      <c r="N1205" t="inlineStr">
        <is>
          <t>Explore_F2</t>
        </is>
      </c>
      <c r="O1205" t="inlineStr">
        <is>
          <t>Second familiar</t>
        </is>
      </c>
      <c r="P1205" t="inlineStr">
        <is>
          <t>STATE</t>
        </is>
      </c>
      <c r="Q1205" t="n">
        <v>80.3</v>
      </c>
      <c r="R1205" t="n">
        <v>81.633</v>
      </c>
      <c r="S1205" t="n">
        <v>1.333</v>
      </c>
      <c r="T1205" t="inlineStr">
        <is>
          <t>C:/Users/manuel.felline/Documents/BEHAVIOR BTBR/NOR second cohort/BTBR/training/c10_f6.mp4</t>
        </is>
      </c>
      <c r="U1205" t="n">
        <v>2679</v>
      </c>
      <c r="V1205" t="n">
        <v>2719</v>
      </c>
      <c r="W1205" t="n">
        <v/>
      </c>
      <c r="X1205" t="n">
        <v/>
      </c>
      <c r="Y1205" t="n">
        <v/>
      </c>
      <c r="Z1205" t="n">
        <v/>
      </c>
      <c r="AA1205">
        <f>SUMIFS($S$2:S1205,$A$2:A1205,A1205,$N$2:N1205,"Explore*")</f>
        <v/>
      </c>
      <c r="AB1205">
        <f>IF(AND(LEFT(N1205,7)="Explore",(AA1205-IF(LEFT(N1205,7)="Explore",S1205,0))&lt;10),"SI","NO")</f>
        <v/>
      </c>
    </row>
    <row r="1206">
      <c r="A1206" t="inlineStr">
        <is>
          <t>c10f6_training</t>
        </is>
      </c>
      <c r="B1206" t="inlineStr">
        <is>
          <t>2026-06-29 17:03:21.443</t>
        </is>
      </c>
      <c r="C1206" t="n">
        <v/>
      </c>
      <c r="D1206" t="inlineStr">
        <is>
          <t>Media file</t>
        </is>
      </c>
      <c r="E1206" t="inlineStr">
        <is>
          <t>player #1:C:/Users/manuel.felline/Documents/BEHAVIOR BTBR/NOR second cohort/BTBR/training/c10_f6.mp4</t>
        </is>
      </c>
      <c r="F1206" t="n">
        <v>-9.067</v>
      </c>
      <c r="G1206" t="n">
        <v>567.933</v>
      </c>
      <c r="H1206" t="n">
        <v>654.399</v>
      </c>
      <c r="I1206" t="n">
        <v>30</v>
      </c>
      <c r="J1206" t="inlineStr">
        <is>
          <t>BTBR</t>
        </is>
      </c>
      <c r="K1206" t="inlineStr">
        <is>
          <t xml:space="preserve"> Female</t>
        </is>
      </c>
      <c r="L1206" t="inlineStr">
        <is>
          <t>No focal subject</t>
        </is>
      </c>
      <c r="M1206" t="n">
        <v>67.398</v>
      </c>
      <c r="N1206" t="inlineStr">
        <is>
          <t>Explore_F</t>
        </is>
      </c>
      <c r="O1206" t="inlineStr">
        <is>
          <t>Familiar</t>
        </is>
      </c>
      <c r="P1206" t="inlineStr">
        <is>
          <t>STATE</t>
        </is>
      </c>
      <c r="Q1206" t="n">
        <v>82.166</v>
      </c>
      <c r="R1206" t="n">
        <v>83.59999999999999</v>
      </c>
      <c r="S1206" t="n">
        <v>1.434</v>
      </c>
      <c r="T1206" t="inlineStr">
        <is>
          <t>C:/Users/manuel.felline/Documents/BEHAVIOR BTBR/NOR second cohort/BTBR/training/c10_f6.mp4</t>
        </is>
      </c>
      <c r="U1206" t="n">
        <v>2735</v>
      </c>
      <c r="V1206" t="n">
        <v>2778</v>
      </c>
      <c r="W1206" t="n">
        <v/>
      </c>
      <c r="X1206" t="n">
        <v/>
      </c>
      <c r="Y1206" t="n">
        <v/>
      </c>
      <c r="Z1206" t="n">
        <v/>
      </c>
      <c r="AA1206">
        <f>SUMIFS($S$2:S1206,$A$2:A1206,A1206,$N$2:N1206,"Explore*")</f>
        <v/>
      </c>
      <c r="AB1206">
        <f>IF(AND(LEFT(N1206,7)="Explore",(AA1206-IF(LEFT(N1206,7)="Explore",S1206,0))&lt;10),"SI","NO")</f>
        <v/>
      </c>
    </row>
    <row r="1207">
      <c r="A1207" t="inlineStr">
        <is>
          <t>c10f6_training</t>
        </is>
      </c>
      <c r="B1207" t="inlineStr">
        <is>
          <t>2026-06-29 17:03:21.443</t>
        </is>
      </c>
      <c r="C1207" t="n">
        <v/>
      </c>
      <c r="D1207" t="inlineStr">
        <is>
          <t>Media file</t>
        </is>
      </c>
      <c r="E1207" t="inlineStr">
        <is>
          <t>player #1:C:/Users/manuel.felline/Documents/BEHAVIOR BTBR/NOR second cohort/BTBR/training/c10_f6.mp4</t>
        </is>
      </c>
      <c r="F1207" t="n">
        <v>-9.067</v>
      </c>
      <c r="G1207" t="n">
        <v>567.933</v>
      </c>
      <c r="H1207" t="n">
        <v>654.399</v>
      </c>
      <c r="I1207" t="n">
        <v>30</v>
      </c>
      <c r="J1207" t="inlineStr">
        <is>
          <t>BTBR</t>
        </is>
      </c>
      <c r="K1207" t="inlineStr">
        <is>
          <t xml:space="preserve"> Female</t>
        </is>
      </c>
      <c r="L1207" t="inlineStr">
        <is>
          <t>No focal subject</t>
        </is>
      </c>
      <c r="M1207" t="n">
        <v>67.398</v>
      </c>
      <c r="N1207" t="inlineStr">
        <is>
          <t>Explore_F2</t>
        </is>
      </c>
      <c r="O1207" t="inlineStr">
        <is>
          <t>Second familiar</t>
        </is>
      </c>
      <c r="P1207" t="inlineStr">
        <is>
          <t>STATE</t>
        </is>
      </c>
      <c r="Q1207" t="n">
        <v>84.96599999999999</v>
      </c>
      <c r="R1207" t="n">
        <v>85.333</v>
      </c>
      <c r="S1207" t="n">
        <v>0.367</v>
      </c>
      <c r="T1207" t="inlineStr">
        <is>
          <t>C:/Users/manuel.felline/Documents/BEHAVIOR BTBR/NOR second cohort/BTBR/training/c10_f6.mp4</t>
        </is>
      </c>
      <c r="U1207" t="n">
        <v>2819</v>
      </c>
      <c r="V1207" t="n">
        <v>2830</v>
      </c>
      <c r="W1207" t="n">
        <v/>
      </c>
      <c r="X1207" t="n">
        <v/>
      </c>
      <c r="Y1207" t="n">
        <v/>
      </c>
      <c r="Z1207" t="n">
        <v/>
      </c>
      <c r="AA1207">
        <f>SUMIFS($S$2:S1207,$A$2:A1207,A1207,$N$2:N1207,"Explore*")</f>
        <v/>
      </c>
      <c r="AB1207">
        <f>IF(AND(LEFT(N1207,7)="Explore",(AA1207-IF(LEFT(N1207,7)="Explore",S1207,0))&lt;10),"SI","NO")</f>
        <v/>
      </c>
    </row>
    <row r="1208">
      <c r="A1208" t="inlineStr">
        <is>
          <t>c10f6_training</t>
        </is>
      </c>
      <c r="B1208" t="inlineStr">
        <is>
          <t>2026-06-29 17:03:21.443</t>
        </is>
      </c>
      <c r="C1208" t="n">
        <v/>
      </c>
      <c r="D1208" t="inlineStr">
        <is>
          <t>Media file</t>
        </is>
      </c>
      <c r="E1208" t="inlineStr">
        <is>
          <t>player #1:C:/Users/manuel.felline/Documents/BEHAVIOR BTBR/NOR second cohort/BTBR/training/c10_f6.mp4</t>
        </is>
      </c>
      <c r="F1208" t="n">
        <v>-9.067</v>
      </c>
      <c r="G1208" t="n">
        <v>567.933</v>
      </c>
      <c r="H1208" t="n">
        <v>654.399</v>
      </c>
      <c r="I1208" t="n">
        <v>30</v>
      </c>
      <c r="J1208" t="inlineStr">
        <is>
          <t>BTBR</t>
        </is>
      </c>
      <c r="K1208" t="inlineStr">
        <is>
          <t xml:space="preserve"> Female</t>
        </is>
      </c>
      <c r="L1208" t="inlineStr">
        <is>
          <t>No focal subject</t>
        </is>
      </c>
      <c r="M1208" t="n">
        <v>67.398</v>
      </c>
      <c r="N1208" t="inlineStr">
        <is>
          <t>Explore_F</t>
        </is>
      </c>
      <c r="O1208" t="inlineStr">
        <is>
          <t>Familiar</t>
        </is>
      </c>
      <c r="P1208" t="inlineStr">
        <is>
          <t>STATE</t>
        </is>
      </c>
      <c r="Q1208" t="n">
        <v>89.133</v>
      </c>
      <c r="R1208" t="n">
        <v>89.43300000000001</v>
      </c>
      <c r="S1208" t="n">
        <v>0.3</v>
      </c>
      <c r="T1208" t="inlineStr">
        <is>
          <t>C:/Users/manuel.felline/Documents/BEHAVIOR BTBR/NOR second cohort/BTBR/training/c10_f6.mp4</t>
        </is>
      </c>
      <c r="U1208" t="n">
        <v>2944</v>
      </c>
      <c r="V1208" t="n">
        <v>2953</v>
      </c>
      <c r="W1208" t="n">
        <v/>
      </c>
      <c r="X1208" t="n">
        <v/>
      </c>
      <c r="Y1208" t="n">
        <v/>
      </c>
      <c r="Z1208" t="n">
        <v/>
      </c>
      <c r="AA1208">
        <f>SUMIFS($S$2:S1208,$A$2:A1208,A1208,$N$2:N1208,"Explore*")</f>
        <v/>
      </c>
      <c r="AB1208">
        <f>IF(AND(LEFT(N1208,7)="Explore",(AA1208-IF(LEFT(N1208,7)="Explore",S1208,0))&lt;10),"SI","NO")</f>
        <v/>
      </c>
    </row>
    <row r="1209">
      <c r="A1209" t="inlineStr">
        <is>
          <t>c10f6_training</t>
        </is>
      </c>
      <c r="B1209" t="inlineStr">
        <is>
          <t>2026-06-29 17:03:21.443</t>
        </is>
      </c>
      <c r="C1209" t="n">
        <v/>
      </c>
      <c r="D1209" t="inlineStr">
        <is>
          <t>Media file</t>
        </is>
      </c>
      <c r="E1209" t="inlineStr">
        <is>
          <t>player #1:C:/Users/manuel.felline/Documents/BEHAVIOR BTBR/NOR second cohort/BTBR/training/c10_f6.mp4</t>
        </is>
      </c>
      <c r="F1209" t="n">
        <v>-9.067</v>
      </c>
      <c r="G1209" t="n">
        <v>567.933</v>
      </c>
      <c r="H1209" t="n">
        <v>654.399</v>
      </c>
      <c r="I1209" t="n">
        <v>30</v>
      </c>
      <c r="J1209" t="inlineStr">
        <is>
          <t>BTBR</t>
        </is>
      </c>
      <c r="K1209" t="inlineStr">
        <is>
          <t xml:space="preserve"> Female</t>
        </is>
      </c>
      <c r="L1209" t="inlineStr">
        <is>
          <t>No focal subject</t>
        </is>
      </c>
      <c r="M1209" t="n">
        <v>67.398</v>
      </c>
      <c r="N1209" t="inlineStr">
        <is>
          <t>Explore_F</t>
        </is>
      </c>
      <c r="O1209" t="inlineStr">
        <is>
          <t>Familiar</t>
        </is>
      </c>
      <c r="P1209" t="inlineStr">
        <is>
          <t>STATE</t>
        </is>
      </c>
      <c r="Q1209" t="n">
        <v>92.09999999999999</v>
      </c>
      <c r="R1209" t="n">
        <v>93.066</v>
      </c>
      <c r="S1209" t="n">
        <v>0.966</v>
      </c>
      <c r="T1209" t="inlineStr">
        <is>
          <t>C:/Users/manuel.felline/Documents/BEHAVIOR BTBR/NOR second cohort/BTBR/training/c10_f6.mp4</t>
        </is>
      </c>
      <c r="U1209" t="n">
        <v>3033</v>
      </c>
      <c r="V1209" t="n">
        <v>3062</v>
      </c>
      <c r="W1209" t="n">
        <v/>
      </c>
      <c r="X1209" t="n">
        <v/>
      </c>
      <c r="Y1209" t="n">
        <v/>
      </c>
      <c r="Z1209" t="n">
        <v/>
      </c>
      <c r="AA1209">
        <f>SUMIFS($S$2:S1209,$A$2:A1209,A1209,$N$2:N1209,"Explore*")</f>
        <v/>
      </c>
      <c r="AB1209">
        <f>IF(AND(LEFT(N1209,7)="Explore",(AA1209-IF(LEFT(N1209,7)="Explore",S1209,0))&lt;10),"SI","NO")</f>
        <v/>
      </c>
    </row>
    <row r="1210">
      <c r="A1210" t="inlineStr">
        <is>
          <t>c10f6_training</t>
        </is>
      </c>
      <c r="B1210" t="inlineStr">
        <is>
          <t>2026-06-29 17:03:21.443</t>
        </is>
      </c>
      <c r="C1210" t="n">
        <v/>
      </c>
      <c r="D1210" t="inlineStr">
        <is>
          <t>Media file</t>
        </is>
      </c>
      <c r="E1210" t="inlineStr">
        <is>
          <t>player #1:C:/Users/manuel.felline/Documents/BEHAVIOR BTBR/NOR second cohort/BTBR/training/c10_f6.mp4</t>
        </is>
      </c>
      <c r="F1210" t="n">
        <v>-9.067</v>
      </c>
      <c r="G1210" t="n">
        <v>567.933</v>
      </c>
      <c r="H1210" t="n">
        <v>654.399</v>
      </c>
      <c r="I1210" t="n">
        <v>30</v>
      </c>
      <c r="J1210" t="inlineStr">
        <is>
          <t>BTBR</t>
        </is>
      </c>
      <c r="K1210" t="inlineStr">
        <is>
          <t xml:space="preserve"> Female</t>
        </is>
      </c>
      <c r="L1210" t="inlineStr">
        <is>
          <t>No focal subject</t>
        </is>
      </c>
      <c r="M1210" t="n">
        <v>67.398</v>
      </c>
      <c r="N1210" t="inlineStr">
        <is>
          <t>Explore_F2</t>
        </is>
      </c>
      <c r="O1210" t="inlineStr">
        <is>
          <t>Second familiar</t>
        </is>
      </c>
      <c r="P1210" t="inlineStr">
        <is>
          <t>STATE</t>
        </is>
      </c>
      <c r="Q1210" t="n">
        <v>97.43300000000001</v>
      </c>
      <c r="R1210" t="n">
        <v>97.76600000000001</v>
      </c>
      <c r="S1210" t="n">
        <v>0.333</v>
      </c>
      <c r="T1210" t="inlineStr">
        <is>
          <t>C:/Users/manuel.felline/Documents/BEHAVIOR BTBR/NOR second cohort/BTBR/training/c10_f6.mp4</t>
        </is>
      </c>
      <c r="U1210" t="n">
        <v>3193</v>
      </c>
      <c r="V1210" t="n">
        <v>3203</v>
      </c>
      <c r="W1210" t="n">
        <v/>
      </c>
      <c r="X1210" t="n">
        <v/>
      </c>
      <c r="Y1210" t="n">
        <v/>
      </c>
      <c r="Z1210" t="n">
        <v/>
      </c>
      <c r="AA1210">
        <f>SUMIFS($S$2:S1210,$A$2:A1210,A1210,$N$2:N1210,"Explore*")</f>
        <v/>
      </c>
      <c r="AB1210">
        <f>IF(AND(LEFT(N1210,7)="Explore",(AA1210-IF(LEFT(N1210,7)="Explore",S1210,0))&lt;10),"SI","NO")</f>
        <v/>
      </c>
    </row>
    <row r="1211">
      <c r="A1211" t="inlineStr">
        <is>
          <t>c10f6_training</t>
        </is>
      </c>
      <c r="B1211" t="inlineStr">
        <is>
          <t>2026-06-29 17:03:21.443</t>
        </is>
      </c>
      <c r="C1211" t="n">
        <v/>
      </c>
      <c r="D1211" t="inlineStr">
        <is>
          <t>Media file</t>
        </is>
      </c>
      <c r="E1211" t="inlineStr">
        <is>
          <t>player #1:C:/Users/manuel.felline/Documents/BEHAVIOR BTBR/NOR second cohort/BTBR/training/c10_f6.mp4</t>
        </is>
      </c>
      <c r="F1211" t="n">
        <v>-9.067</v>
      </c>
      <c r="G1211" t="n">
        <v>567.933</v>
      </c>
      <c r="H1211" t="n">
        <v>654.399</v>
      </c>
      <c r="I1211" t="n">
        <v>30</v>
      </c>
      <c r="J1211" t="inlineStr">
        <is>
          <t>BTBR</t>
        </is>
      </c>
      <c r="K1211" t="inlineStr">
        <is>
          <t xml:space="preserve"> Female</t>
        </is>
      </c>
      <c r="L1211" t="inlineStr">
        <is>
          <t>No focal subject</t>
        </is>
      </c>
      <c r="M1211" t="n">
        <v>67.398</v>
      </c>
      <c r="N1211" t="inlineStr">
        <is>
          <t>Explore_F</t>
        </is>
      </c>
      <c r="O1211" t="inlineStr">
        <is>
          <t>Familiar</t>
        </is>
      </c>
      <c r="P1211" t="inlineStr">
        <is>
          <t>STATE</t>
        </is>
      </c>
      <c r="Q1211" t="n">
        <v>99.233</v>
      </c>
      <c r="R1211" t="n">
        <v>100.2</v>
      </c>
      <c r="S1211" t="n">
        <v>0.967</v>
      </c>
      <c r="T1211" t="inlineStr">
        <is>
          <t>C:/Users/manuel.felline/Documents/BEHAVIOR BTBR/NOR second cohort/BTBR/training/c10_f6.mp4</t>
        </is>
      </c>
      <c r="U1211" t="n">
        <v>3247</v>
      </c>
      <c r="V1211" t="n">
        <v>3276</v>
      </c>
      <c r="W1211" t="n">
        <v/>
      </c>
      <c r="X1211" t="n">
        <v/>
      </c>
      <c r="Y1211" t="n">
        <v/>
      </c>
      <c r="Z1211" t="n">
        <v/>
      </c>
      <c r="AA1211">
        <f>SUMIFS($S$2:S1211,$A$2:A1211,A1211,$N$2:N1211,"Explore*")</f>
        <v/>
      </c>
      <c r="AB1211">
        <f>IF(AND(LEFT(N1211,7)="Explore",(AA1211-IF(LEFT(N1211,7)="Explore",S1211,0))&lt;10),"SI","NO")</f>
        <v/>
      </c>
    </row>
    <row r="1212">
      <c r="A1212" t="inlineStr">
        <is>
          <t>c10f6_training</t>
        </is>
      </c>
      <c r="B1212" t="inlineStr">
        <is>
          <t>2026-06-29 17:03:21.443</t>
        </is>
      </c>
      <c r="C1212" t="n">
        <v/>
      </c>
      <c r="D1212" t="inlineStr">
        <is>
          <t>Media file</t>
        </is>
      </c>
      <c r="E1212" t="inlineStr">
        <is>
          <t>player #1:C:/Users/manuel.felline/Documents/BEHAVIOR BTBR/NOR second cohort/BTBR/training/c10_f6.mp4</t>
        </is>
      </c>
      <c r="F1212" t="n">
        <v>-9.067</v>
      </c>
      <c r="G1212" t="n">
        <v>567.933</v>
      </c>
      <c r="H1212" t="n">
        <v>654.399</v>
      </c>
      <c r="I1212" t="n">
        <v>30</v>
      </c>
      <c r="J1212" t="inlineStr">
        <is>
          <t>BTBR</t>
        </is>
      </c>
      <c r="K1212" t="inlineStr">
        <is>
          <t xml:space="preserve"> Female</t>
        </is>
      </c>
      <c r="L1212" t="inlineStr">
        <is>
          <t>No focal subject</t>
        </is>
      </c>
      <c r="M1212" t="n">
        <v>67.398</v>
      </c>
      <c r="N1212" t="inlineStr">
        <is>
          <t>Explore_F</t>
        </is>
      </c>
      <c r="O1212" t="inlineStr">
        <is>
          <t>Familiar</t>
        </is>
      </c>
      <c r="P1212" t="inlineStr">
        <is>
          <t>STATE</t>
        </is>
      </c>
      <c r="Q1212" t="n">
        <v>104.866</v>
      </c>
      <c r="R1212" t="n">
        <v>105.3</v>
      </c>
      <c r="S1212" t="n">
        <v>0.434</v>
      </c>
      <c r="T1212" t="inlineStr">
        <is>
          <t>C:/Users/manuel.felline/Documents/BEHAVIOR BTBR/NOR second cohort/BTBR/training/c10_f6.mp4</t>
        </is>
      </c>
      <c r="U1212" t="n">
        <v>3416</v>
      </c>
      <c r="V1212" t="n">
        <v>3429</v>
      </c>
      <c r="W1212" t="n">
        <v/>
      </c>
      <c r="X1212" t="n">
        <v/>
      </c>
      <c r="Y1212" t="n">
        <v/>
      </c>
      <c r="Z1212" t="n">
        <v/>
      </c>
      <c r="AA1212">
        <f>SUMIFS($S$2:S1212,$A$2:A1212,A1212,$N$2:N1212,"Explore*")</f>
        <v/>
      </c>
      <c r="AB1212">
        <f>IF(AND(LEFT(N1212,7)="Explore",(AA1212-IF(LEFT(N1212,7)="Explore",S1212,0))&lt;10),"SI","NO")</f>
        <v/>
      </c>
    </row>
    <row r="1213">
      <c r="A1213" t="inlineStr">
        <is>
          <t>c10f6_training</t>
        </is>
      </c>
      <c r="B1213" t="inlineStr">
        <is>
          <t>2026-06-29 17:03:21.443</t>
        </is>
      </c>
      <c r="C1213" t="n">
        <v/>
      </c>
      <c r="D1213" t="inlineStr">
        <is>
          <t>Media file</t>
        </is>
      </c>
      <c r="E1213" t="inlineStr">
        <is>
          <t>player #1:C:/Users/manuel.felline/Documents/BEHAVIOR BTBR/NOR second cohort/BTBR/training/c10_f6.mp4</t>
        </is>
      </c>
      <c r="F1213" t="n">
        <v>-9.067</v>
      </c>
      <c r="G1213" t="n">
        <v>567.933</v>
      </c>
      <c r="H1213" t="n">
        <v>654.399</v>
      </c>
      <c r="I1213" t="n">
        <v>30</v>
      </c>
      <c r="J1213" t="inlineStr">
        <is>
          <t>BTBR</t>
        </is>
      </c>
      <c r="K1213" t="inlineStr">
        <is>
          <t xml:space="preserve"> Female</t>
        </is>
      </c>
      <c r="L1213" t="inlineStr">
        <is>
          <t>No focal subject</t>
        </is>
      </c>
      <c r="M1213" t="n">
        <v>67.398</v>
      </c>
      <c r="N1213" t="inlineStr">
        <is>
          <t>Explore_F</t>
        </is>
      </c>
      <c r="O1213" t="inlineStr">
        <is>
          <t>Familiar</t>
        </is>
      </c>
      <c r="P1213" t="inlineStr">
        <is>
          <t>STATE</t>
        </is>
      </c>
      <c r="Q1213" t="n">
        <v>118.366</v>
      </c>
      <c r="R1213" t="n">
        <v>118.966</v>
      </c>
      <c r="S1213" t="n">
        <v>0.6</v>
      </c>
      <c r="T1213" t="inlineStr">
        <is>
          <t>C:/Users/manuel.felline/Documents/BEHAVIOR BTBR/NOR second cohort/BTBR/training/c10_f6.mp4</t>
        </is>
      </c>
      <c r="U1213" t="n">
        <v>3821</v>
      </c>
      <c r="V1213" t="n">
        <v>3839</v>
      </c>
      <c r="W1213" t="n">
        <v/>
      </c>
      <c r="X1213" t="n">
        <v/>
      </c>
      <c r="Y1213" t="n">
        <v/>
      </c>
      <c r="Z1213" t="n">
        <v/>
      </c>
      <c r="AA1213">
        <f>SUMIFS($S$2:S1213,$A$2:A1213,A1213,$N$2:N1213,"Explore*")</f>
        <v/>
      </c>
      <c r="AB1213">
        <f>IF(AND(LEFT(N1213,7)="Explore",(AA1213-IF(LEFT(N1213,7)="Explore",S1213,0))&lt;10),"SI","NO")</f>
        <v/>
      </c>
    </row>
    <row r="1214">
      <c r="A1214" t="inlineStr">
        <is>
          <t>c10f6_training</t>
        </is>
      </c>
      <c r="B1214" t="inlineStr">
        <is>
          <t>2026-06-29 17:03:21.443</t>
        </is>
      </c>
      <c r="C1214" t="n">
        <v/>
      </c>
      <c r="D1214" t="inlineStr">
        <is>
          <t>Media file</t>
        </is>
      </c>
      <c r="E1214" t="inlineStr">
        <is>
          <t>player #1:C:/Users/manuel.felline/Documents/BEHAVIOR BTBR/NOR second cohort/BTBR/training/c10_f6.mp4</t>
        </is>
      </c>
      <c r="F1214" t="n">
        <v>-9.067</v>
      </c>
      <c r="G1214" t="n">
        <v>567.933</v>
      </c>
      <c r="H1214" t="n">
        <v>654.399</v>
      </c>
      <c r="I1214" t="n">
        <v>30</v>
      </c>
      <c r="J1214" t="inlineStr">
        <is>
          <t>BTBR</t>
        </is>
      </c>
      <c r="K1214" t="inlineStr">
        <is>
          <t xml:space="preserve"> Female</t>
        </is>
      </c>
      <c r="L1214" t="inlineStr">
        <is>
          <t>No focal subject</t>
        </is>
      </c>
      <c r="M1214" t="n">
        <v>67.398</v>
      </c>
      <c r="N1214" t="inlineStr">
        <is>
          <t>Explore_F2</t>
        </is>
      </c>
      <c r="O1214" t="inlineStr">
        <is>
          <t>Second familiar</t>
        </is>
      </c>
      <c r="P1214" t="inlineStr">
        <is>
          <t>STATE</t>
        </is>
      </c>
      <c r="Q1214" t="n">
        <v>122.3</v>
      </c>
      <c r="R1214" t="n">
        <v>123.6</v>
      </c>
      <c r="S1214" t="n">
        <v>1.3</v>
      </c>
      <c r="T1214" t="inlineStr">
        <is>
          <t>C:/Users/manuel.felline/Documents/BEHAVIOR BTBR/NOR second cohort/BTBR/training/c10_f6.mp4</t>
        </is>
      </c>
      <c r="U1214" t="n">
        <v>3938</v>
      </c>
      <c r="V1214" t="n">
        <v>3977</v>
      </c>
      <c r="W1214" t="n">
        <v/>
      </c>
      <c r="X1214" t="n">
        <v/>
      </c>
      <c r="Y1214" t="n">
        <v/>
      </c>
      <c r="Z1214" t="n">
        <v/>
      </c>
      <c r="AA1214">
        <f>SUMIFS($S$2:S1214,$A$2:A1214,A1214,$N$2:N1214,"Explore*")</f>
        <v/>
      </c>
      <c r="AB1214">
        <f>IF(AND(LEFT(N1214,7)="Explore",(AA1214-IF(LEFT(N1214,7)="Explore",S1214,0))&lt;10),"SI","NO")</f>
        <v/>
      </c>
    </row>
    <row r="1215">
      <c r="A1215" t="inlineStr">
        <is>
          <t>c10f6_training</t>
        </is>
      </c>
      <c r="B1215" t="inlineStr">
        <is>
          <t>2026-06-29 17:03:21.443</t>
        </is>
      </c>
      <c r="C1215" t="n">
        <v/>
      </c>
      <c r="D1215" t="inlineStr">
        <is>
          <t>Media file</t>
        </is>
      </c>
      <c r="E1215" t="inlineStr">
        <is>
          <t>player #1:C:/Users/manuel.felline/Documents/BEHAVIOR BTBR/NOR second cohort/BTBR/training/c10_f6.mp4</t>
        </is>
      </c>
      <c r="F1215" t="n">
        <v>-9.067</v>
      </c>
      <c r="G1215" t="n">
        <v>567.933</v>
      </c>
      <c r="H1215" t="n">
        <v>654.399</v>
      </c>
      <c r="I1215" t="n">
        <v>30</v>
      </c>
      <c r="J1215" t="inlineStr">
        <is>
          <t>BTBR</t>
        </is>
      </c>
      <c r="K1215" t="inlineStr">
        <is>
          <t xml:space="preserve"> Female</t>
        </is>
      </c>
      <c r="L1215" t="inlineStr">
        <is>
          <t>No focal subject</t>
        </is>
      </c>
      <c r="M1215" t="n">
        <v>67.398</v>
      </c>
      <c r="N1215" t="inlineStr">
        <is>
          <t>Explore_F2</t>
        </is>
      </c>
      <c r="O1215" t="inlineStr">
        <is>
          <t>Second familiar</t>
        </is>
      </c>
      <c r="P1215" t="inlineStr">
        <is>
          <t>STATE</t>
        </is>
      </c>
      <c r="Q1215" t="n">
        <v>134.366</v>
      </c>
      <c r="R1215" t="n">
        <v>135.733</v>
      </c>
      <c r="S1215" t="n">
        <v>1.367</v>
      </c>
      <c r="T1215" t="inlineStr">
        <is>
          <t>C:/Users/manuel.felline/Documents/BEHAVIOR BTBR/NOR second cohort/BTBR/training/c10_f6.mp4</t>
        </is>
      </c>
      <c r="U1215" t="n">
        <v>4300</v>
      </c>
      <c r="V1215" t="n">
        <v>4342</v>
      </c>
      <c r="W1215" t="n">
        <v/>
      </c>
      <c r="X1215" t="n">
        <v/>
      </c>
      <c r="Y1215" t="n">
        <v/>
      </c>
      <c r="Z1215" t="n">
        <v/>
      </c>
      <c r="AA1215">
        <f>SUMIFS($S$2:S1215,$A$2:A1215,A1215,$N$2:N1215,"Explore*")</f>
        <v/>
      </c>
      <c r="AB1215">
        <f>IF(AND(LEFT(N1215,7)="Explore",(AA1215-IF(LEFT(N1215,7)="Explore",S1215,0))&lt;10),"SI","NO")</f>
        <v/>
      </c>
    </row>
    <row r="1216">
      <c r="A1216" t="inlineStr">
        <is>
          <t>c10f6_training</t>
        </is>
      </c>
      <c r="B1216" t="inlineStr">
        <is>
          <t>2026-06-29 17:03:21.443</t>
        </is>
      </c>
      <c r="C1216" t="n">
        <v/>
      </c>
      <c r="D1216" t="inlineStr">
        <is>
          <t>Media file</t>
        </is>
      </c>
      <c r="E1216" t="inlineStr">
        <is>
          <t>player #1:C:/Users/manuel.felline/Documents/BEHAVIOR BTBR/NOR second cohort/BTBR/training/c10_f6.mp4</t>
        </is>
      </c>
      <c r="F1216" t="n">
        <v>-9.067</v>
      </c>
      <c r="G1216" t="n">
        <v>567.933</v>
      </c>
      <c r="H1216" t="n">
        <v>654.399</v>
      </c>
      <c r="I1216" t="n">
        <v>30</v>
      </c>
      <c r="J1216" t="inlineStr">
        <is>
          <t>BTBR</t>
        </is>
      </c>
      <c r="K1216" t="inlineStr">
        <is>
          <t xml:space="preserve"> Female</t>
        </is>
      </c>
      <c r="L1216" t="inlineStr">
        <is>
          <t>No focal subject</t>
        </is>
      </c>
      <c r="M1216" t="n">
        <v>67.398</v>
      </c>
      <c r="N1216" t="inlineStr">
        <is>
          <t>Explore_F2</t>
        </is>
      </c>
      <c r="O1216" t="inlineStr">
        <is>
          <t>Second familiar</t>
        </is>
      </c>
      <c r="P1216" t="inlineStr">
        <is>
          <t>STATE</t>
        </is>
      </c>
      <c r="Q1216" t="n">
        <v>144.6</v>
      </c>
      <c r="R1216" t="n">
        <v>145.2</v>
      </c>
      <c r="S1216" t="n">
        <v>0.6</v>
      </c>
      <c r="T1216" t="inlineStr">
        <is>
          <t>C:/Users/manuel.felline/Documents/BEHAVIOR BTBR/NOR second cohort/BTBR/training/c10_f6.mp4</t>
        </is>
      </c>
      <c r="U1216" t="n">
        <v>4607</v>
      </c>
      <c r="V1216" t="n">
        <v>4625</v>
      </c>
      <c r="W1216" t="n">
        <v/>
      </c>
      <c r="X1216" t="n">
        <v/>
      </c>
      <c r="Y1216" t="n">
        <v/>
      </c>
      <c r="Z1216" t="n">
        <v/>
      </c>
      <c r="AA1216">
        <f>SUMIFS($S$2:S1216,$A$2:A1216,A1216,$N$2:N1216,"Explore*")</f>
        <v/>
      </c>
      <c r="AB1216">
        <f>IF(AND(LEFT(N1216,7)="Explore",(AA1216-IF(LEFT(N1216,7)="Explore",S1216,0))&lt;10),"SI","NO")</f>
        <v/>
      </c>
    </row>
    <row r="1217">
      <c r="A1217" t="inlineStr">
        <is>
          <t>c10f6_training</t>
        </is>
      </c>
      <c r="B1217" t="inlineStr">
        <is>
          <t>2026-06-29 17:03:21.443</t>
        </is>
      </c>
      <c r="C1217" t="n">
        <v/>
      </c>
      <c r="D1217" t="inlineStr">
        <is>
          <t>Media file</t>
        </is>
      </c>
      <c r="E1217" t="inlineStr">
        <is>
          <t>player #1:C:/Users/manuel.felline/Documents/BEHAVIOR BTBR/NOR second cohort/BTBR/training/c10_f6.mp4</t>
        </is>
      </c>
      <c r="F1217" t="n">
        <v>-9.067</v>
      </c>
      <c r="G1217" t="n">
        <v>567.933</v>
      </c>
      <c r="H1217" t="n">
        <v>654.399</v>
      </c>
      <c r="I1217" t="n">
        <v>30</v>
      </c>
      <c r="J1217" t="inlineStr">
        <is>
          <t>BTBR</t>
        </is>
      </c>
      <c r="K1217" t="inlineStr">
        <is>
          <t xml:space="preserve"> Female</t>
        </is>
      </c>
      <c r="L1217" t="inlineStr">
        <is>
          <t>No focal subject</t>
        </is>
      </c>
      <c r="M1217" t="n">
        <v>67.398</v>
      </c>
      <c r="N1217" t="inlineStr">
        <is>
          <t>Explore_F</t>
        </is>
      </c>
      <c r="O1217" t="inlineStr">
        <is>
          <t>Familiar</t>
        </is>
      </c>
      <c r="P1217" t="inlineStr">
        <is>
          <t>STATE</t>
        </is>
      </c>
      <c r="Q1217" t="n">
        <v>145.8</v>
      </c>
      <c r="R1217" t="n">
        <v>147.466</v>
      </c>
      <c r="S1217" t="n">
        <v>1.666</v>
      </c>
      <c r="T1217" t="inlineStr">
        <is>
          <t>C:/Users/manuel.felline/Documents/BEHAVIOR BTBR/NOR second cohort/BTBR/training/c10_f6.mp4</t>
        </is>
      </c>
      <c r="U1217" t="n">
        <v>4643</v>
      </c>
      <c r="V1217" t="n">
        <v>4693</v>
      </c>
      <c r="W1217" t="n">
        <v/>
      </c>
      <c r="X1217" t="n">
        <v/>
      </c>
      <c r="Y1217" t="n">
        <v/>
      </c>
      <c r="Z1217" t="n">
        <v/>
      </c>
      <c r="AA1217">
        <f>SUMIFS($S$2:S1217,$A$2:A1217,A1217,$N$2:N1217,"Explore*")</f>
        <v/>
      </c>
      <c r="AB1217">
        <f>IF(AND(LEFT(N1217,7)="Explore",(AA1217-IF(LEFT(N1217,7)="Explore",S1217,0))&lt;10),"SI","NO")</f>
        <v/>
      </c>
    </row>
    <row r="1218">
      <c r="A1218" t="inlineStr">
        <is>
          <t>c10f6_training</t>
        </is>
      </c>
      <c r="B1218" t="inlineStr">
        <is>
          <t>2026-06-29 17:03:21.443</t>
        </is>
      </c>
      <c r="C1218" t="n">
        <v/>
      </c>
      <c r="D1218" t="inlineStr">
        <is>
          <t>Media file</t>
        </is>
      </c>
      <c r="E1218" t="inlineStr">
        <is>
          <t>player #1:C:/Users/manuel.felline/Documents/BEHAVIOR BTBR/NOR second cohort/BTBR/training/c10_f6.mp4</t>
        </is>
      </c>
      <c r="F1218" t="n">
        <v>-9.067</v>
      </c>
      <c r="G1218" t="n">
        <v>567.933</v>
      </c>
      <c r="H1218" t="n">
        <v>654.399</v>
      </c>
      <c r="I1218" t="n">
        <v>30</v>
      </c>
      <c r="J1218" t="inlineStr">
        <is>
          <t>BTBR</t>
        </is>
      </c>
      <c r="K1218" t="inlineStr">
        <is>
          <t xml:space="preserve"> Female</t>
        </is>
      </c>
      <c r="L1218" t="inlineStr">
        <is>
          <t>No focal subject</t>
        </is>
      </c>
      <c r="M1218" t="n">
        <v>67.398</v>
      </c>
      <c r="N1218" t="inlineStr">
        <is>
          <t>Explore_F</t>
        </is>
      </c>
      <c r="O1218" t="inlineStr">
        <is>
          <t>Familiar</t>
        </is>
      </c>
      <c r="P1218" t="inlineStr">
        <is>
          <t>STATE</t>
        </is>
      </c>
      <c r="Q1218" t="n">
        <v>152.866</v>
      </c>
      <c r="R1218" t="n">
        <v>153.3</v>
      </c>
      <c r="S1218" t="n">
        <v>0.434</v>
      </c>
      <c r="T1218" t="inlineStr">
        <is>
          <t>C:/Users/manuel.felline/Documents/BEHAVIOR BTBR/NOR second cohort/BTBR/training/c10_f6.mp4</t>
        </is>
      </c>
      <c r="U1218" t="n">
        <v>4856</v>
      </c>
      <c r="V1218" t="n">
        <v>4868</v>
      </c>
      <c r="W1218" t="n">
        <v/>
      </c>
      <c r="X1218" t="n">
        <v/>
      </c>
      <c r="Y1218" t="n">
        <v/>
      </c>
      <c r="Z1218" t="n">
        <v/>
      </c>
      <c r="AA1218">
        <f>SUMIFS($S$2:S1218,$A$2:A1218,A1218,$N$2:N1218,"Explore*")</f>
        <v/>
      </c>
      <c r="AB1218">
        <f>IF(AND(LEFT(N1218,7)="Explore",(AA1218-IF(LEFT(N1218,7)="Explore",S1218,0))&lt;10),"SI","NO")</f>
        <v/>
      </c>
    </row>
    <row r="1219">
      <c r="A1219" t="inlineStr">
        <is>
          <t>c10f6_training</t>
        </is>
      </c>
      <c r="B1219" t="inlineStr">
        <is>
          <t>2026-06-29 17:03:21.443</t>
        </is>
      </c>
      <c r="C1219" t="n">
        <v/>
      </c>
      <c r="D1219" t="inlineStr">
        <is>
          <t>Media file</t>
        </is>
      </c>
      <c r="E1219" t="inlineStr">
        <is>
          <t>player #1:C:/Users/manuel.felline/Documents/BEHAVIOR BTBR/NOR second cohort/BTBR/training/c10_f6.mp4</t>
        </is>
      </c>
      <c r="F1219" t="n">
        <v>-9.067</v>
      </c>
      <c r="G1219" t="n">
        <v>567.933</v>
      </c>
      <c r="H1219" t="n">
        <v>654.399</v>
      </c>
      <c r="I1219" t="n">
        <v>30</v>
      </c>
      <c r="J1219" t="inlineStr">
        <is>
          <t>BTBR</t>
        </is>
      </c>
      <c r="K1219" t="inlineStr">
        <is>
          <t xml:space="preserve"> Female</t>
        </is>
      </c>
      <c r="L1219" t="inlineStr">
        <is>
          <t>No focal subject</t>
        </is>
      </c>
      <c r="M1219" t="n">
        <v>67.398</v>
      </c>
      <c r="N1219" t="inlineStr">
        <is>
          <t>Explore_F</t>
        </is>
      </c>
      <c r="O1219" t="inlineStr">
        <is>
          <t>Familiar</t>
        </is>
      </c>
      <c r="P1219" t="inlineStr">
        <is>
          <t>STATE</t>
        </is>
      </c>
      <c r="Q1219" t="n">
        <v>161.066</v>
      </c>
      <c r="R1219" t="n">
        <v>161.333</v>
      </c>
      <c r="S1219" t="n">
        <v>0.267</v>
      </c>
      <c r="T1219" t="inlineStr">
        <is>
          <t>C:/Users/manuel.felline/Documents/BEHAVIOR BTBR/NOR second cohort/BTBR/training/c10_f6.mp4</t>
        </is>
      </c>
      <c r="U1219" t="n">
        <v>5101</v>
      </c>
      <c r="V1219" t="n">
        <v>5109</v>
      </c>
      <c r="W1219" t="n">
        <v/>
      </c>
      <c r="X1219" t="n">
        <v/>
      </c>
      <c r="Y1219" t="n">
        <v/>
      </c>
      <c r="Z1219" t="n">
        <v/>
      </c>
      <c r="AA1219">
        <f>SUMIFS($S$2:S1219,$A$2:A1219,A1219,$N$2:N1219,"Explore*")</f>
        <v/>
      </c>
      <c r="AB1219">
        <f>IF(AND(LEFT(N1219,7)="Explore",(AA1219-IF(LEFT(N1219,7)="Explore",S1219,0))&lt;10),"SI","NO")</f>
        <v/>
      </c>
    </row>
    <row r="1220">
      <c r="A1220" t="inlineStr">
        <is>
          <t>c10f6_training</t>
        </is>
      </c>
      <c r="B1220" t="inlineStr">
        <is>
          <t>2026-06-29 17:03:21.443</t>
        </is>
      </c>
      <c r="C1220" t="n">
        <v/>
      </c>
      <c r="D1220" t="inlineStr">
        <is>
          <t>Media file</t>
        </is>
      </c>
      <c r="E1220" t="inlineStr">
        <is>
          <t>player #1:C:/Users/manuel.felline/Documents/BEHAVIOR BTBR/NOR second cohort/BTBR/training/c10_f6.mp4</t>
        </is>
      </c>
      <c r="F1220" t="n">
        <v>-9.067</v>
      </c>
      <c r="G1220" t="n">
        <v>567.933</v>
      </c>
      <c r="H1220" t="n">
        <v>654.399</v>
      </c>
      <c r="I1220" t="n">
        <v>30</v>
      </c>
      <c r="J1220" t="inlineStr">
        <is>
          <t>BTBR</t>
        </is>
      </c>
      <c r="K1220" t="inlineStr">
        <is>
          <t xml:space="preserve"> Female</t>
        </is>
      </c>
      <c r="L1220" t="inlineStr">
        <is>
          <t>No focal subject</t>
        </is>
      </c>
      <c r="M1220" t="n">
        <v>67.398</v>
      </c>
      <c r="N1220" t="inlineStr">
        <is>
          <t>Explore_F2</t>
        </is>
      </c>
      <c r="O1220" t="inlineStr">
        <is>
          <t>Second familiar</t>
        </is>
      </c>
      <c r="P1220" t="inlineStr">
        <is>
          <t>STATE</t>
        </is>
      </c>
      <c r="Q1220" t="n">
        <v>161.799</v>
      </c>
      <c r="R1220" t="n">
        <v>162.399</v>
      </c>
      <c r="S1220" t="n">
        <v>0.6</v>
      </c>
      <c r="T1220" t="inlineStr">
        <is>
          <t>C:/Users/manuel.felline/Documents/BEHAVIOR BTBR/NOR second cohort/BTBR/training/c10_f6.mp4</t>
        </is>
      </c>
      <c r="U1220" t="n">
        <v>5123</v>
      </c>
      <c r="V1220" t="n">
        <v>5141</v>
      </c>
      <c r="W1220" t="n">
        <v/>
      </c>
      <c r="X1220" t="n">
        <v/>
      </c>
      <c r="Y1220" t="n">
        <v/>
      </c>
      <c r="Z1220" t="n">
        <v/>
      </c>
      <c r="AA1220">
        <f>SUMIFS($S$2:S1220,$A$2:A1220,A1220,$N$2:N1220,"Explore*")</f>
        <v/>
      </c>
      <c r="AB1220">
        <f>IF(AND(LEFT(N1220,7)="Explore",(AA1220-IF(LEFT(N1220,7)="Explore",S1220,0))&lt;10),"SI","NO")</f>
        <v/>
      </c>
    </row>
    <row r="1221">
      <c r="A1221" t="inlineStr">
        <is>
          <t>c10f6_training</t>
        </is>
      </c>
      <c r="B1221" t="inlineStr">
        <is>
          <t>2026-06-29 17:03:21.443</t>
        </is>
      </c>
      <c r="C1221" t="n">
        <v/>
      </c>
      <c r="D1221" t="inlineStr">
        <is>
          <t>Media file</t>
        </is>
      </c>
      <c r="E1221" t="inlineStr">
        <is>
          <t>player #1:C:/Users/manuel.felline/Documents/BEHAVIOR BTBR/NOR second cohort/BTBR/training/c10_f6.mp4</t>
        </is>
      </c>
      <c r="F1221" t="n">
        <v>-9.067</v>
      </c>
      <c r="G1221" t="n">
        <v>567.933</v>
      </c>
      <c r="H1221" t="n">
        <v>654.399</v>
      </c>
      <c r="I1221" t="n">
        <v>30</v>
      </c>
      <c r="J1221" t="inlineStr">
        <is>
          <t>BTBR</t>
        </is>
      </c>
      <c r="K1221" t="inlineStr">
        <is>
          <t xml:space="preserve"> Female</t>
        </is>
      </c>
      <c r="L1221" t="inlineStr">
        <is>
          <t>No focal subject</t>
        </is>
      </c>
      <c r="M1221" t="n">
        <v>67.398</v>
      </c>
      <c r="N1221" t="inlineStr">
        <is>
          <t>Explore_F</t>
        </is>
      </c>
      <c r="O1221" t="inlineStr">
        <is>
          <t>Familiar</t>
        </is>
      </c>
      <c r="P1221" t="inlineStr">
        <is>
          <t>STATE</t>
        </is>
      </c>
      <c r="Q1221" t="n">
        <v>173.733</v>
      </c>
      <c r="R1221" t="n">
        <v>175.266</v>
      </c>
      <c r="S1221" t="n">
        <v>1.533</v>
      </c>
      <c r="T1221" t="inlineStr">
        <is>
          <t>C:/Users/manuel.felline/Documents/BEHAVIOR BTBR/NOR second cohort/BTBR/training/c10_f6.mp4</t>
        </is>
      </c>
      <c r="U1221" t="n">
        <v>5480</v>
      </c>
      <c r="V1221" t="n">
        <v>5526</v>
      </c>
      <c r="W1221" t="n">
        <v/>
      </c>
      <c r="X1221" t="n">
        <v/>
      </c>
      <c r="Y1221" t="n">
        <v/>
      </c>
      <c r="Z1221" t="n">
        <v/>
      </c>
      <c r="AA1221">
        <f>SUMIFS($S$2:S1221,$A$2:A1221,A1221,$N$2:N1221,"Explore*")</f>
        <v/>
      </c>
      <c r="AB1221">
        <f>IF(AND(LEFT(N1221,7)="Explore",(AA1221-IF(LEFT(N1221,7)="Explore",S1221,0))&lt;10),"SI","NO")</f>
        <v/>
      </c>
    </row>
    <row r="1222">
      <c r="A1222" t="inlineStr">
        <is>
          <t>c10f6_training</t>
        </is>
      </c>
      <c r="B1222" t="inlineStr">
        <is>
          <t>2026-06-29 17:03:21.443</t>
        </is>
      </c>
      <c r="C1222" t="n">
        <v/>
      </c>
      <c r="D1222" t="inlineStr">
        <is>
          <t>Media file</t>
        </is>
      </c>
      <c r="E1222" t="inlineStr">
        <is>
          <t>player #1:C:/Users/manuel.felline/Documents/BEHAVIOR BTBR/NOR second cohort/BTBR/training/c10_f6.mp4</t>
        </is>
      </c>
      <c r="F1222" t="n">
        <v>-9.067</v>
      </c>
      <c r="G1222" t="n">
        <v>567.933</v>
      </c>
      <c r="H1222" t="n">
        <v>654.399</v>
      </c>
      <c r="I1222" t="n">
        <v>30</v>
      </c>
      <c r="J1222" t="inlineStr">
        <is>
          <t>BTBR</t>
        </is>
      </c>
      <c r="K1222" t="inlineStr">
        <is>
          <t xml:space="preserve"> Female</t>
        </is>
      </c>
      <c r="L1222" t="inlineStr">
        <is>
          <t>No focal subject</t>
        </is>
      </c>
      <c r="M1222" t="n">
        <v>67.398</v>
      </c>
      <c r="N1222" t="inlineStr">
        <is>
          <t>Explore_F</t>
        </is>
      </c>
      <c r="O1222" t="inlineStr">
        <is>
          <t>Familiar</t>
        </is>
      </c>
      <c r="P1222" t="inlineStr">
        <is>
          <t>STATE</t>
        </is>
      </c>
      <c r="Q1222" t="n">
        <v>197.666</v>
      </c>
      <c r="R1222" t="n">
        <v>199.033</v>
      </c>
      <c r="S1222" t="n">
        <v>1.367</v>
      </c>
      <c r="T1222" t="inlineStr">
        <is>
          <t>C:/Users/manuel.felline/Documents/BEHAVIOR BTBR/NOR second cohort/BTBR/training/c10_f6.mp4</t>
        </is>
      </c>
      <c r="U1222" t="n">
        <v>6199</v>
      </c>
      <c r="V1222" t="n">
        <v>6239</v>
      </c>
      <c r="W1222" t="n">
        <v/>
      </c>
      <c r="X1222" t="n">
        <v/>
      </c>
      <c r="Y1222" t="n">
        <v/>
      </c>
      <c r="Z1222" t="n">
        <v/>
      </c>
      <c r="AA1222">
        <f>SUMIFS($S$2:S1222,$A$2:A1222,A1222,$N$2:N1222,"Explore*")</f>
        <v/>
      </c>
      <c r="AB1222">
        <f>IF(AND(LEFT(N1222,7)="Explore",(AA1222-IF(LEFT(N1222,7)="Explore",S1222,0))&lt;10),"SI","NO")</f>
        <v/>
      </c>
    </row>
    <row r="1223">
      <c r="A1223" t="inlineStr">
        <is>
          <t>c10f6_training</t>
        </is>
      </c>
      <c r="B1223" t="inlineStr">
        <is>
          <t>2026-06-29 17:03:21.443</t>
        </is>
      </c>
      <c r="C1223" t="n">
        <v/>
      </c>
      <c r="D1223" t="inlineStr">
        <is>
          <t>Media file</t>
        </is>
      </c>
      <c r="E1223" t="inlineStr">
        <is>
          <t>player #1:C:/Users/manuel.felline/Documents/BEHAVIOR BTBR/NOR second cohort/BTBR/training/c10_f6.mp4</t>
        </is>
      </c>
      <c r="F1223" t="n">
        <v>-9.067</v>
      </c>
      <c r="G1223" t="n">
        <v>567.933</v>
      </c>
      <c r="H1223" t="n">
        <v>654.399</v>
      </c>
      <c r="I1223" t="n">
        <v>30</v>
      </c>
      <c r="J1223" t="inlineStr">
        <is>
          <t>BTBR</t>
        </is>
      </c>
      <c r="K1223" t="inlineStr">
        <is>
          <t xml:space="preserve"> Female</t>
        </is>
      </c>
      <c r="L1223" t="inlineStr">
        <is>
          <t>No focal subject</t>
        </is>
      </c>
      <c r="M1223" t="n">
        <v>67.398</v>
      </c>
      <c r="N1223" t="inlineStr">
        <is>
          <t>Explore_F2</t>
        </is>
      </c>
      <c r="O1223" t="inlineStr">
        <is>
          <t>Second familiar</t>
        </is>
      </c>
      <c r="P1223" t="inlineStr">
        <is>
          <t>STATE</t>
        </is>
      </c>
      <c r="Q1223" t="n">
        <v>200.499</v>
      </c>
      <c r="R1223" t="n">
        <v>201.466</v>
      </c>
      <c r="S1223" t="n">
        <v>0.967</v>
      </c>
      <c r="T1223" t="inlineStr">
        <is>
          <t>C:/Users/manuel.felline/Documents/BEHAVIOR BTBR/NOR second cohort/BTBR/training/c10_f6.mp4</t>
        </is>
      </c>
      <c r="U1223" t="n">
        <v>6283</v>
      </c>
      <c r="V1223" t="n">
        <v>6312</v>
      </c>
      <c r="W1223" t="n">
        <v/>
      </c>
      <c r="X1223" t="n">
        <v/>
      </c>
      <c r="Y1223" t="n">
        <v/>
      </c>
      <c r="Z1223" t="n">
        <v/>
      </c>
      <c r="AA1223">
        <f>SUMIFS($S$2:S1223,$A$2:A1223,A1223,$N$2:N1223,"Explore*")</f>
        <v/>
      </c>
      <c r="AB1223">
        <f>IF(AND(LEFT(N1223,7)="Explore",(AA1223-IF(LEFT(N1223,7)="Explore",S1223,0))&lt;10),"SI","NO")</f>
        <v/>
      </c>
    </row>
    <row r="1224">
      <c r="A1224" t="inlineStr">
        <is>
          <t>c10f6_training</t>
        </is>
      </c>
      <c r="B1224" t="inlineStr">
        <is>
          <t>2026-06-29 17:03:21.443</t>
        </is>
      </c>
      <c r="C1224" t="n">
        <v/>
      </c>
      <c r="D1224" t="inlineStr">
        <is>
          <t>Media file</t>
        </is>
      </c>
      <c r="E1224" t="inlineStr">
        <is>
          <t>player #1:C:/Users/manuel.felline/Documents/BEHAVIOR BTBR/NOR second cohort/BTBR/training/c10_f6.mp4</t>
        </is>
      </c>
      <c r="F1224" t="n">
        <v>-9.067</v>
      </c>
      <c r="G1224" t="n">
        <v>567.933</v>
      </c>
      <c r="H1224" t="n">
        <v>654.399</v>
      </c>
      <c r="I1224" t="n">
        <v>30</v>
      </c>
      <c r="J1224" t="inlineStr">
        <is>
          <t>BTBR</t>
        </is>
      </c>
      <c r="K1224" t="inlineStr">
        <is>
          <t xml:space="preserve"> Female</t>
        </is>
      </c>
      <c r="L1224" t="inlineStr">
        <is>
          <t>No focal subject</t>
        </is>
      </c>
      <c r="M1224" t="n">
        <v>67.398</v>
      </c>
      <c r="N1224" t="inlineStr">
        <is>
          <t>Explore_F2</t>
        </is>
      </c>
      <c r="O1224" t="inlineStr">
        <is>
          <t>Second familiar</t>
        </is>
      </c>
      <c r="P1224" t="inlineStr">
        <is>
          <t>STATE</t>
        </is>
      </c>
      <c r="Q1224" t="n">
        <v>220.499</v>
      </c>
      <c r="R1224" t="n">
        <v>221.133</v>
      </c>
      <c r="S1224" t="n">
        <v>0.634</v>
      </c>
      <c r="T1224" t="inlineStr">
        <is>
          <t>C:/Users/manuel.felline/Documents/BEHAVIOR BTBR/NOR second cohort/BTBR/training/c10_f6.mp4</t>
        </is>
      </c>
      <c r="U1224" t="n">
        <v>6883</v>
      </c>
      <c r="V1224" t="n">
        <v>6902</v>
      </c>
      <c r="W1224" t="n">
        <v/>
      </c>
      <c r="X1224" t="n">
        <v/>
      </c>
      <c r="Y1224" t="n">
        <v/>
      </c>
      <c r="Z1224" t="n">
        <v/>
      </c>
      <c r="AA1224">
        <f>SUMIFS($S$2:S1224,$A$2:A1224,A1224,$N$2:N1224,"Explore*")</f>
        <v/>
      </c>
      <c r="AB1224">
        <f>IF(AND(LEFT(N1224,7)="Explore",(AA1224-IF(LEFT(N1224,7)="Explore",S1224,0))&lt;10),"SI","NO")</f>
        <v/>
      </c>
    </row>
    <row r="1225">
      <c r="A1225" t="inlineStr">
        <is>
          <t>c10f6_training</t>
        </is>
      </c>
      <c r="B1225" t="inlineStr">
        <is>
          <t>2026-06-29 17:03:21.443</t>
        </is>
      </c>
      <c r="C1225" t="n">
        <v/>
      </c>
      <c r="D1225" t="inlineStr">
        <is>
          <t>Media file</t>
        </is>
      </c>
      <c r="E1225" t="inlineStr">
        <is>
          <t>player #1:C:/Users/manuel.felline/Documents/BEHAVIOR BTBR/NOR second cohort/BTBR/training/c10_f6.mp4</t>
        </is>
      </c>
      <c r="F1225" t="n">
        <v>-9.067</v>
      </c>
      <c r="G1225" t="n">
        <v>567.933</v>
      </c>
      <c r="H1225" t="n">
        <v>654.399</v>
      </c>
      <c r="I1225" t="n">
        <v>30</v>
      </c>
      <c r="J1225" t="inlineStr">
        <is>
          <t>BTBR</t>
        </is>
      </c>
      <c r="K1225" t="inlineStr">
        <is>
          <t xml:space="preserve"> Female</t>
        </is>
      </c>
      <c r="L1225" t="inlineStr">
        <is>
          <t>No focal subject</t>
        </is>
      </c>
      <c r="M1225" t="n">
        <v>67.398</v>
      </c>
      <c r="N1225" t="inlineStr">
        <is>
          <t>Explore_F2</t>
        </is>
      </c>
      <c r="O1225" t="inlineStr">
        <is>
          <t>Second familiar</t>
        </is>
      </c>
      <c r="P1225" t="inlineStr">
        <is>
          <t>STATE</t>
        </is>
      </c>
      <c r="Q1225" t="n">
        <v>223.599</v>
      </c>
      <c r="R1225" t="n">
        <v>224.199</v>
      </c>
      <c r="S1225" t="n">
        <v>0.6</v>
      </c>
      <c r="T1225" t="inlineStr">
        <is>
          <t>C:/Users/manuel.felline/Documents/BEHAVIOR BTBR/NOR second cohort/BTBR/training/c10_f6.mp4</t>
        </is>
      </c>
      <c r="U1225" t="n">
        <v>6976</v>
      </c>
      <c r="V1225" t="n">
        <v>6994</v>
      </c>
      <c r="W1225" t="n">
        <v/>
      </c>
      <c r="X1225" t="n">
        <v/>
      </c>
      <c r="Y1225" t="n">
        <v/>
      </c>
      <c r="Z1225" t="n">
        <v/>
      </c>
      <c r="AA1225">
        <f>SUMIFS($S$2:S1225,$A$2:A1225,A1225,$N$2:N1225,"Explore*")</f>
        <v/>
      </c>
      <c r="AB1225">
        <f>IF(AND(LEFT(N1225,7)="Explore",(AA1225-IF(LEFT(N1225,7)="Explore",S1225,0))&lt;10),"SI","NO")</f>
        <v/>
      </c>
    </row>
    <row r="1226">
      <c r="A1226" t="inlineStr">
        <is>
          <t>c10f6_training</t>
        </is>
      </c>
      <c r="B1226" t="inlineStr">
        <is>
          <t>2026-06-29 17:03:21.443</t>
        </is>
      </c>
      <c r="C1226" t="n">
        <v/>
      </c>
      <c r="D1226" t="inlineStr">
        <is>
          <t>Media file</t>
        </is>
      </c>
      <c r="E1226" t="inlineStr">
        <is>
          <t>player #1:C:/Users/manuel.felline/Documents/BEHAVIOR BTBR/NOR second cohort/BTBR/training/c10_f6.mp4</t>
        </is>
      </c>
      <c r="F1226" t="n">
        <v>-9.067</v>
      </c>
      <c r="G1226" t="n">
        <v>567.933</v>
      </c>
      <c r="H1226" t="n">
        <v>654.399</v>
      </c>
      <c r="I1226" t="n">
        <v>30</v>
      </c>
      <c r="J1226" t="inlineStr">
        <is>
          <t>BTBR</t>
        </is>
      </c>
      <c r="K1226" t="inlineStr">
        <is>
          <t xml:space="preserve"> Female</t>
        </is>
      </c>
      <c r="L1226" t="inlineStr">
        <is>
          <t>No focal subject</t>
        </is>
      </c>
      <c r="M1226" t="n">
        <v>67.398</v>
      </c>
      <c r="N1226" t="inlineStr">
        <is>
          <t>Explore_F</t>
        </is>
      </c>
      <c r="O1226" t="inlineStr">
        <is>
          <t>Familiar</t>
        </is>
      </c>
      <c r="P1226" t="inlineStr">
        <is>
          <t>STATE</t>
        </is>
      </c>
      <c r="Q1226" t="n">
        <v>225.866</v>
      </c>
      <c r="R1226" t="n">
        <v>228.033</v>
      </c>
      <c r="S1226" t="n">
        <v>2.167</v>
      </c>
      <c r="T1226" t="inlineStr">
        <is>
          <t>C:/Users/manuel.felline/Documents/BEHAVIOR BTBR/NOR second cohort/BTBR/training/c10_f6.mp4</t>
        </is>
      </c>
      <c r="U1226" t="n">
        <v>7043</v>
      </c>
      <c r="V1226" t="n">
        <v>7108</v>
      </c>
      <c r="W1226" t="n">
        <v/>
      </c>
      <c r="X1226" t="n">
        <v/>
      </c>
      <c r="Y1226" t="n">
        <v/>
      </c>
      <c r="Z1226" t="n">
        <v/>
      </c>
      <c r="AA1226">
        <f>SUMIFS($S$2:S1226,$A$2:A1226,A1226,$N$2:N1226,"Explore*")</f>
        <v/>
      </c>
      <c r="AB1226">
        <f>IF(AND(LEFT(N1226,7)="Explore",(AA1226-IF(LEFT(N1226,7)="Explore",S1226,0))&lt;10),"SI","NO")</f>
        <v/>
      </c>
    </row>
    <row r="1227">
      <c r="A1227" t="inlineStr">
        <is>
          <t>c10f6_training</t>
        </is>
      </c>
      <c r="B1227" t="inlineStr">
        <is>
          <t>2026-06-29 17:03:21.443</t>
        </is>
      </c>
      <c r="C1227" t="n">
        <v/>
      </c>
      <c r="D1227" t="inlineStr">
        <is>
          <t>Media file</t>
        </is>
      </c>
      <c r="E1227" t="inlineStr">
        <is>
          <t>player #1:C:/Users/manuel.felline/Documents/BEHAVIOR BTBR/NOR second cohort/BTBR/training/c10_f6.mp4</t>
        </is>
      </c>
      <c r="F1227" t="n">
        <v>-9.067</v>
      </c>
      <c r="G1227" t="n">
        <v>567.933</v>
      </c>
      <c r="H1227" t="n">
        <v>654.399</v>
      </c>
      <c r="I1227" t="n">
        <v>30</v>
      </c>
      <c r="J1227" t="inlineStr">
        <is>
          <t>BTBR</t>
        </is>
      </c>
      <c r="K1227" t="inlineStr">
        <is>
          <t xml:space="preserve"> Female</t>
        </is>
      </c>
      <c r="L1227" t="inlineStr">
        <is>
          <t>No focal subject</t>
        </is>
      </c>
      <c r="M1227" t="n">
        <v>67.398</v>
      </c>
      <c r="N1227" t="inlineStr">
        <is>
          <t>Explore_F2</t>
        </is>
      </c>
      <c r="O1227" t="inlineStr">
        <is>
          <t>Second familiar</t>
        </is>
      </c>
      <c r="P1227" t="inlineStr">
        <is>
          <t>STATE</t>
        </is>
      </c>
      <c r="Q1227" t="n">
        <v>230.399</v>
      </c>
      <c r="R1227" t="n">
        <v>231.133</v>
      </c>
      <c r="S1227" t="n">
        <v>0.734</v>
      </c>
      <c r="T1227" t="inlineStr">
        <is>
          <t>C:/Users/manuel.felline/Documents/BEHAVIOR BTBR/NOR second cohort/BTBR/training/c10_f6.mp4</t>
        </is>
      </c>
      <c r="U1227" t="n">
        <v>7179</v>
      </c>
      <c r="V1227" t="n">
        <v>7201</v>
      </c>
      <c r="W1227" t="n">
        <v/>
      </c>
      <c r="X1227" t="n">
        <v/>
      </c>
      <c r="Y1227" t="n">
        <v/>
      </c>
      <c r="Z1227" t="n">
        <v/>
      </c>
      <c r="AA1227">
        <f>SUMIFS($S$2:S1227,$A$2:A1227,A1227,$N$2:N1227,"Explore*")</f>
        <v/>
      </c>
      <c r="AB1227">
        <f>IF(AND(LEFT(N1227,7)="Explore",(AA1227-IF(LEFT(N1227,7)="Explore",S1227,0))&lt;10),"SI","NO")</f>
        <v/>
      </c>
    </row>
    <row r="1228">
      <c r="A1228" t="inlineStr">
        <is>
          <t>c10f6_training</t>
        </is>
      </c>
      <c r="B1228" t="inlineStr">
        <is>
          <t>2026-06-29 17:03:21.443</t>
        </is>
      </c>
      <c r="C1228" t="n">
        <v/>
      </c>
      <c r="D1228" t="inlineStr">
        <is>
          <t>Media file</t>
        </is>
      </c>
      <c r="E1228" t="inlineStr">
        <is>
          <t>player #1:C:/Users/manuel.felline/Documents/BEHAVIOR BTBR/NOR second cohort/BTBR/training/c10_f6.mp4</t>
        </is>
      </c>
      <c r="F1228" t="n">
        <v>-9.067</v>
      </c>
      <c r="G1228" t="n">
        <v>567.933</v>
      </c>
      <c r="H1228" t="n">
        <v>654.399</v>
      </c>
      <c r="I1228" t="n">
        <v>30</v>
      </c>
      <c r="J1228" t="inlineStr">
        <is>
          <t>BTBR</t>
        </is>
      </c>
      <c r="K1228" t="inlineStr">
        <is>
          <t xml:space="preserve"> Female</t>
        </is>
      </c>
      <c r="L1228" t="inlineStr">
        <is>
          <t>No focal subject</t>
        </is>
      </c>
      <c r="M1228" t="n">
        <v>67.398</v>
      </c>
      <c r="N1228" t="inlineStr">
        <is>
          <t>Explore_F</t>
        </is>
      </c>
      <c r="O1228" t="inlineStr">
        <is>
          <t>Familiar</t>
        </is>
      </c>
      <c r="P1228" t="inlineStr">
        <is>
          <t>STATE</t>
        </is>
      </c>
      <c r="Q1228" t="n">
        <v>248.999</v>
      </c>
      <c r="R1228" t="n">
        <v>249.333</v>
      </c>
      <c r="S1228" t="n">
        <v>0.334</v>
      </c>
      <c r="T1228" t="inlineStr">
        <is>
          <t>C:/Users/manuel.felline/Documents/BEHAVIOR BTBR/NOR second cohort/BTBR/training/c10_f6.mp4</t>
        </is>
      </c>
      <c r="U1228" t="n">
        <v>7737</v>
      </c>
      <c r="V1228" t="n">
        <v>7747</v>
      </c>
      <c r="W1228" t="n">
        <v/>
      </c>
      <c r="X1228" t="n">
        <v/>
      </c>
      <c r="Y1228" t="n">
        <v/>
      </c>
      <c r="Z1228" t="n">
        <v/>
      </c>
      <c r="AA1228">
        <f>SUMIFS($S$2:S1228,$A$2:A1228,A1228,$N$2:N1228,"Explore*")</f>
        <v/>
      </c>
      <c r="AB1228">
        <f>IF(AND(LEFT(N1228,7)="Explore",(AA1228-IF(LEFT(N1228,7)="Explore",S1228,0))&lt;10),"SI","NO")</f>
        <v/>
      </c>
    </row>
    <row r="1229">
      <c r="A1229" t="inlineStr">
        <is>
          <t>c10f6_training</t>
        </is>
      </c>
      <c r="B1229" t="inlineStr">
        <is>
          <t>2026-06-29 17:03:21.443</t>
        </is>
      </c>
      <c r="C1229" t="n">
        <v/>
      </c>
      <c r="D1229" t="inlineStr">
        <is>
          <t>Media file</t>
        </is>
      </c>
      <c r="E1229" t="inlineStr">
        <is>
          <t>player #1:C:/Users/manuel.felline/Documents/BEHAVIOR BTBR/NOR second cohort/BTBR/training/c10_f6.mp4</t>
        </is>
      </c>
      <c r="F1229" t="n">
        <v>-9.067</v>
      </c>
      <c r="G1229" t="n">
        <v>567.933</v>
      </c>
      <c r="H1229" t="n">
        <v>654.399</v>
      </c>
      <c r="I1229" t="n">
        <v>30</v>
      </c>
      <c r="J1229" t="inlineStr">
        <is>
          <t>BTBR</t>
        </is>
      </c>
      <c r="K1229" t="inlineStr">
        <is>
          <t xml:space="preserve"> Female</t>
        </is>
      </c>
      <c r="L1229" t="inlineStr">
        <is>
          <t>No focal subject</t>
        </is>
      </c>
      <c r="M1229" t="n">
        <v>67.398</v>
      </c>
      <c r="N1229" t="inlineStr">
        <is>
          <t>Explore_F2</t>
        </is>
      </c>
      <c r="O1229" t="inlineStr">
        <is>
          <t>Second familiar</t>
        </is>
      </c>
      <c r="P1229" t="inlineStr">
        <is>
          <t>STATE</t>
        </is>
      </c>
      <c r="Q1229" t="n">
        <v>250.233</v>
      </c>
      <c r="R1229" t="n">
        <v>251.999</v>
      </c>
      <c r="S1229" t="n">
        <v>1.766</v>
      </c>
      <c r="T1229" t="inlineStr">
        <is>
          <t>C:/Users/manuel.felline/Documents/BEHAVIOR BTBR/NOR second cohort/BTBR/training/c10_f6.mp4</t>
        </is>
      </c>
      <c r="U1229" t="n">
        <v>7774</v>
      </c>
      <c r="V1229" t="n">
        <v>7827</v>
      </c>
      <c r="W1229" t="n">
        <v/>
      </c>
      <c r="X1229" t="n">
        <v/>
      </c>
      <c r="Y1229" t="n">
        <v/>
      </c>
      <c r="Z1229" t="n">
        <v/>
      </c>
      <c r="AA1229">
        <f>SUMIFS($S$2:S1229,$A$2:A1229,A1229,$N$2:N1229,"Explore*")</f>
        <v/>
      </c>
      <c r="AB1229">
        <f>IF(AND(LEFT(N1229,7)="Explore",(AA1229-IF(LEFT(N1229,7)="Explore",S1229,0))&lt;10),"SI","NO")</f>
        <v/>
      </c>
    </row>
    <row r="1230">
      <c r="A1230" t="inlineStr">
        <is>
          <t>c10f6_training</t>
        </is>
      </c>
      <c r="B1230" t="inlineStr">
        <is>
          <t>2026-06-29 17:03:21.443</t>
        </is>
      </c>
      <c r="C1230" t="n">
        <v/>
      </c>
      <c r="D1230" t="inlineStr">
        <is>
          <t>Media file</t>
        </is>
      </c>
      <c r="E1230" t="inlineStr">
        <is>
          <t>player #1:C:/Users/manuel.felline/Documents/BEHAVIOR BTBR/NOR second cohort/BTBR/training/c10_f6.mp4</t>
        </is>
      </c>
      <c r="F1230" t="n">
        <v>-9.067</v>
      </c>
      <c r="G1230" t="n">
        <v>567.933</v>
      </c>
      <c r="H1230" t="n">
        <v>654.399</v>
      </c>
      <c r="I1230" t="n">
        <v>30</v>
      </c>
      <c r="J1230" t="inlineStr">
        <is>
          <t>BTBR</t>
        </is>
      </c>
      <c r="K1230" t="inlineStr">
        <is>
          <t xml:space="preserve"> Female</t>
        </is>
      </c>
      <c r="L1230" t="inlineStr">
        <is>
          <t>No focal subject</t>
        </is>
      </c>
      <c r="M1230" t="n">
        <v>67.398</v>
      </c>
      <c r="N1230" t="inlineStr">
        <is>
          <t>Explore_F</t>
        </is>
      </c>
      <c r="O1230" t="inlineStr">
        <is>
          <t>Familiar</t>
        </is>
      </c>
      <c r="P1230" t="inlineStr">
        <is>
          <t>STATE</t>
        </is>
      </c>
      <c r="Q1230" t="n">
        <v>269.533</v>
      </c>
      <c r="R1230" t="n">
        <v>271.099</v>
      </c>
      <c r="S1230" t="n">
        <v>1.566</v>
      </c>
      <c r="T1230" t="inlineStr">
        <is>
          <t>C:/Users/manuel.felline/Documents/BEHAVIOR BTBR/NOR second cohort/BTBR/training/c10_f6.mp4</t>
        </is>
      </c>
      <c r="U1230" t="n">
        <v>8353</v>
      </c>
      <c r="V1230" t="n">
        <v>8400</v>
      </c>
      <c r="W1230" t="n">
        <v/>
      </c>
      <c r="X1230" t="n">
        <v/>
      </c>
      <c r="Y1230" t="n">
        <v/>
      </c>
      <c r="Z1230" t="n">
        <v/>
      </c>
      <c r="AA1230">
        <f>SUMIFS($S$2:S1230,$A$2:A1230,A1230,$N$2:N1230,"Explore*")</f>
        <v/>
      </c>
      <c r="AB1230">
        <f>IF(AND(LEFT(N1230,7)="Explore",(AA1230-IF(LEFT(N1230,7)="Explore",S1230,0))&lt;10),"SI","NO")</f>
        <v/>
      </c>
    </row>
    <row r="1231">
      <c r="A1231" t="inlineStr">
        <is>
          <t>c10f6_training</t>
        </is>
      </c>
      <c r="B1231" t="inlineStr">
        <is>
          <t>2026-06-29 17:03:21.443</t>
        </is>
      </c>
      <c r="C1231" t="n">
        <v/>
      </c>
      <c r="D1231" t="inlineStr">
        <is>
          <t>Media file</t>
        </is>
      </c>
      <c r="E1231" t="inlineStr">
        <is>
          <t>player #1:C:/Users/manuel.felline/Documents/BEHAVIOR BTBR/NOR second cohort/BTBR/training/c10_f6.mp4</t>
        </is>
      </c>
      <c r="F1231" t="n">
        <v>-9.067</v>
      </c>
      <c r="G1231" t="n">
        <v>567.933</v>
      </c>
      <c r="H1231" t="n">
        <v>654.399</v>
      </c>
      <c r="I1231" t="n">
        <v>30</v>
      </c>
      <c r="J1231" t="inlineStr">
        <is>
          <t>BTBR</t>
        </is>
      </c>
      <c r="K1231" t="inlineStr">
        <is>
          <t xml:space="preserve"> Female</t>
        </is>
      </c>
      <c r="L1231" t="inlineStr">
        <is>
          <t>No focal subject</t>
        </is>
      </c>
      <c r="M1231" t="n">
        <v>67.398</v>
      </c>
      <c r="N1231" t="inlineStr">
        <is>
          <t>Explore_F</t>
        </is>
      </c>
      <c r="O1231" t="inlineStr">
        <is>
          <t>Familiar</t>
        </is>
      </c>
      <c r="P1231" t="inlineStr">
        <is>
          <t>STATE</t>
        </is>
      </c>
      <c r="Q1231" t="n">
        <v>283.566</v>
      </c>
      <c r="R1231" t="n">
        <v>284.066</v>
      </c>
      <c r="S1231" t="n">
        <v>0.5</v>
      </c>
      <c r="T1231" t="inlineStr">
        <is>
          <t>C:/Users/manuel.felline/Documents/BEHAVIOR BTBR/NOR second cohort/BTBR/training/c10_f6.mp4</t>
        </is>
      </c>
      <c r="U1231" t="n">
        <v>8773</v>
      </c>
      <c r="V1231" t="n">
        <v>8788</v>
      </c>
      <c r="W1231" t="n">
        <v/>
      </c>
      <c r="X1231" t="n">
        <v/>
      </c>
      <c r="Y1231" t="n">
        <v/>
      </c>
      <c r="Z1231" t="n">
        <v/>
      </c>
      <c r="AA1231">
        <f>SUMIFS($S$2:S1231,$A$2:A1231,A1231,$N$2:N1231,"Explore*")</f>
        <v/>
      </c>
      <c r="AB1231">
        <f>IF(AND(LEFT(N1231,7)="Explore",(AA1231-IF(LEFT(N1231,7)="Explore",S1231,0))&lt;10),"SI","NO")</f>
        <v/>
      </c>
    </row>
    <row r="1232">
      <c r="A1232" t="inlineStr">
        <is>
          <t>c10f6_training</t>
        </is>
      </c>
      <c r="B1232" t="inlineStr">
        <is>
          <t>2026-06-29 17:03:21.443</t>
        </is>
      </c>
      <c r="C1232" t="n">
        <v/>
      </c>
      <c r="D1232" t="inlineStr">
        <is>
          <t>Media file</t>
        </is>
      </c>
      <c r="E1232" t="inlineStr">
        <is>
          <t>player #1:C:/Users/manuel.felline/Documents/BEHAVIOR BTBR/NOR second cohort/BTBR/training/c10_f6.mp4</t>
        </is>
      </c>
      <c r="F1232" t="n">
        <v>-9.067</v>
      </c>
      <c r="G1232" t="n">
        <v>567.933</v>
      </c>
      <c r="H1232" t="n">
        <v>654.399</v>
      </c>
      <c r="I1232" t="n">
        <v>30</v>
      </c>
      <c r="J1232" t="inlineStr">
        <is>
          <t>BTBR</t>
        </is>
      </c>
      <c r="K1232" t="inlineStr">
        <is>
          <t xml:space="preserve"> Female</t>
        </is>
      </c>
      <c r="L1232" t="inlineStr">
        <is>
          <t>No focal subject</t>
        </is>
      </c>
      <c r="M1232" t="n">
        <v>67.398</v>
      </c>
      <c r="N1232" t="inlineStr">
        <is>
          <t>Explore_F2</t>
        </is>
      </c>
      <c r="O1232" t="inlineStr">
        <is>
          <t>Second familiar</t>
        </is>
      </c>
      <c r="P1232" t="inlineStr">
        <is>
          <t>STATE</t>
        </is>
      </c>
      <c r="Q1232" t="n">
        <v>285.933</v>
      </c>
      <c r="R1232" t="n">
        <v>287.433</v>
      </c>
      <c r="S1232" t="n">
        <v>1.5</v>
      </c>
      <c r="T1232" t="inlineStr">
        <is>
          <t>C:/Users/manuel.felline/Documents/BEHAVIOR BTBR/NOR second cohort/BTBR/training/c10_f6.mp4</t>
        </is>
      </c>
      <c r="U1232" t="n">
        <v>8844</v>
      </c>
      <c r="V1232" t="n">
        <v>8889</v>
      </c>
      <c r="W1232" t="n">
        <v/>
      </c>
      <c r="X1232" t="n">
        <v/>
      </c>
      <c r="Y1232" t="n">
        <v/>
      </c>
      <c r="Z1232" t="n">
        <v/>
      </c>
      <c r="AA1232">
        <f>SUMIFS($S$2:S1232,$A$2:A1232,A1232,$N$2:N1232,"Explore*")</f>
        <v/>
      </c>
      <c r="AB1232">
        <f>IF(AND(LEFT(N1232,7)="Explore",(AA1232-IF(LEFT(N1232,7)="Explore",S1232,0))&lt;10),"SI","NO")</f>
        <v/>
      </c>
    </row>
    <row r="1233">
      <c r="A1233" t="inlineStr">
        <is>
          <t>c10f6_training</t>
        </is>
      </c>
      <c r="B1233" t="inlineStr">
        <is>
          <t>2026-06-29 17:03:21.443</t>
        </is>
      </c>
      <c r="C1233" t="n">
        <v/>
      </c>
      <c r="D1233" t="inlineStr">
        <is>
          <t>Media file</t>
        </is>
      </c>
      <c r="E1233" t="inlineStr">
        <is>
          <t>player #1:C:/Users/manuel.felline/Documents/BEHAVIOR BTBR/NOR second cohort/BTBR/training/c10_f6.mp4</t>
        </is>
      </c>
      <c r="F1233" t="n">
        <v>-9.067</v>
      </c>
      <c r="G1233" t="n">
        <v>567.933</v>
      </c>
      <c r="H1233" t="n">
        <v>654.399</v>
      </c>
      <c r="I1233" t="n">
        <v>30</v>
      </c>
      <c r="J1233" t="inlineStr">
        <is>
          <t>BTBR</t>
        </is>
      </c>
      <c r="K1233" t="inlineStr">
        <is>
          <t xml:space="preserve"> Female</t>
        </is>
      </c>
      <c r="L1233" t="inlineStr">
        <is>
          <t>No focal subject</t>
        </is>
      </c>
      <c r="M1233" t="n">
        <v>67.398</v>
      </c>
      <c r="N1233" t="inlineStr">
        <is>
          <t>Explore_F</t>
        </is>
      </c>
      <c r="O1233" t="inlineStr">
        <is>
          <t>Familiar</t>
        </is>
      </c>
      <c r="P1233" t="inlineStr">
        <is>
          <t>STATE</t>
        </is>
      </c>
      <c r="Q1233" t="n">
        <v>289.933</v>
      </c>
      <c r="R1233" t="n">
        <v>290.766</v>
      </c>
      <c r="S1233" t="n">
        <v>0.833</v>
      </c>
      <c r="T1233" t="inlineStr">
        <is>
          <t>C:/Users/manuel.felline/Documents/BEHAVIOR BTBR/NOR second cohort/BTBR/training/c10_f6.mp4</t>
        </is>
      </c>
      <c r="U1233" t="n">
        <v>8964</v>
      </c>
      <c r="V1233" t="n">
        <v>8989</v>
      </c>
      <c r="W1233" t="n">
        <v/>
      </c>
      <c r="X1233" t="n">
        <v/>
      </c>
      <c r="Y1233" t="n">
        <v/>
      </c>
      <c r="Z1233" t="n">
        <v/>
      </c>
      <c r="AA1233">
        <f>SUMIFS($S$2:S1233,$A$2:A1233,A1233,$N$2:N1233,"Explore*")</f>
        <v/>
      </c>
      <c r="AB1233">
        <f>IF(AND(LEFT(N1233,7)="Explore",(AA1233-IF(LEFT(N1233,7)="Explore",S1233,0))&lt;10),"SI","NO")</f>
        <v/>
      </c>
    </row>
    <row r="1234">
      <c r="A1234" t="inlineStr">
        <is>
          <t>c10f6_training</t>
        </is>
      </c>
      <c r="B1234" t="inlineStr">
        <is>
          <t>2026-06-29 17:03:21.443</t>
        </is>
      </c>
      <c r="C1234" t="n">
        <v/>
      </c>
      <c r="D1234" t="inlineStr">
        <is>
          <t>Media file</t>
        </is>
      </c>
      <c r="E1234" t="inlineStr">
        <is>
          <t>player #1:C:/Users/manuel.felline/Documents/BEHAVIOR BTBR/NOR second cohort/BTBR/training/c10_f6.mp4</t>
        </is>
      </c>
      <c r="F1234" t="n">
        <v>-9.067</v>
      </c>
      <c r="G1234" t="n">
        <v>567.933</v>
      </c>
      <c r="H1234" t="n">
        <v>654.399</v>
      </c>
      <c r="I1234" t="n">
        <v>30</v>
      </c>
      <c r="J1234" t="inlineStr">
        <is>
          <t>BTBR</t>
        </is>
      </c>
      <c r="K1234" t="inlineStr">
        <is>
          <t xml:space="preserve"> Female</t>
        </is>
      </c>
      <c r="L1234" t="inlineStr">
        <is>
          <t>No focal subject</t>
        </is>
      </c>
      <c r="M1234" t="n">
        <v>67.398</v>
      </c>
      <c r="N1234" t="inlineStr">
        <is>
          <t>Explore_F2</t>
        </is>
      </c>
      <c r="O1234" t="inlineStr">
        <is>
          <t>Second familiar</t>
        </is>
      </c>
      <c r="P1234" t="inlineStr">
        <is>
          <t>STATE</t>
        </is>
      </c>
      <c r="Q1234" t="n">
        <v>346.866</v>
      </c>
      <c r="R1234" t="n">
        <v>347.966</v>
      </c>
      <c r="S1234" t="n">
        <v>1.1</v>
      </c>
      <c r="T1234" t="inlineStr">
        <is>
          <t>C:/Users/manuel.felline/Documents/BEHAVIOR BTBR/NOR second cohort/BTBR/training/c10_f6.mp4</t>
        </is>
      </c>
      <c r="U1234" t="n">
        <v>10671</v>
      </c>
      <c r="V1234" t="n">
        <v>10704</v>
      </c>
      <c r="W1234" t="n">
        <v/>
      </c>
      <c r="X1234" t="n">
        <v/>
      </c>
      <c r="Y1234" t="n">
        <v/>
      </c>
      <c r="Z1234" t="n">
        <v/>
      </c>
      <c r="AA1234">
        <f>SUMIFS($S$2:S1234,$A$2:A1234,A1234,$N$2:N1234,"Explore*")</f>
        <v/>
      </c>
      <c r="AB1234">
        <f>IF(AND(LEFT(N1234,7)="Explore",(AA1234-IF(LEFT(N1234,7)="Explore",S1234,0))&lt;10),"SI","NO")</f>
        <v/>
      </c>
    </row>
    <row r="1235">
      <c r="A1235" t="inlineStr">
        <is>
          <t>c10f6_training</t>
        </is>
      </c>
      <c r="B1235" t="inlineStr">
        <is>
          <t>2026-06-29 17:03:21.443</t>
        </is>
      </c>
      <c r="C1235" t="n">
        <v/>
      </c>
      <c r="D1235" t="inlineStr">
        <is>
          <t>Media file</t>
        </is>
      </c>
      <c r="E1235" t="inlineStr">
        <is>
          <t>player #1:C:/Users/manuel.felline/Documents/BEHAVIOR BTBR/NOR second cohort/BTBR/training/c10_f6.mp4</t>
        </is>
      </c>
      <c r="F1235" t="n">
        <v>-9.067</v>
      </c>
      <c r="G1235" t="n">
        <v>567.933</v>
      </c>
      <c r="H1235" t="n">
        <v>654.399</v>
      </c>
      <c r="I1235" t="n">
        <v>30</v>
      </c>
      <c r="J1235" t="inlineStr">
        <is>
          <t>BTBR</t>
        </is>
      </c>
      <c r="K1235" t="inlineStr">
        <is>
          <t xml:space="preserve"> Female</t>
        </is>
      </c>
      <c r="L1235" t="inlineStr">
        <is>
          <t>No focal subject</t>
        </is>
      </c>
      <c r="M1235" t="n">
        <v>67.398</v>
      </c>
      <c r="N1235" t="inlineStr">
        <is>
          <t>Explore_F</t>
        </is>
      </c>
      <c r="O1235" t="inlineStr">
        <is>
          <t>Familiar</t>
        </is>
      </c>
      <c r="P1235" t="inlineStr">
        <is>
          <t>STATE</t>
        </is>
      </c>
      <c r="Q1235" t="n">
        <v>348.766</v>
      </c>
      <c r="R1235" t="n">
        <v>350.199</v>
      </c>
      <c r="S1235" t="n">
        <v>1.433</v>
      </c>
      <c r="T1235" t="inlineStr">
        <is>
          <t>C:/Users/manuel.felline/Documents/BEHAVIOR BTBR/NOR second cohort/BTBR/training/c10_f6.mp4</t>
        </is>
      </c>
      <c r="U1235" t="n">
        <v>10728</v>
      </c>
      <c r="V1235" t="n">
        <v>10771</v>
      </c>
      <c r="W1235" t="n">
        <v/>
      </c>
      <c r="X1235" t="n">
        <v/>
      </c>
      <c r="Y1235" t="n">
        <v/>
      </c>
      <c r="Z1235" t="n">
        <v/>
      </c>
      <c r="AA1235">
        <f>SUMIFS($S$2:S1235,$A$2:A1235,A1235,$N$2:N1235,"Explore*")</f>
        <v/>
      </c>
      <c r="AB1235">
        <f>IF(AND(LEFT(N1235,7)="Explore",(AA1235-IF(LEFT(N1235,7)="Explore",S1235,0))&lt;10),"SI","NO")</f>
        <v/>
      </c>
    </row>
    <row r="1236">
      <c r="A1236" t="inlineStr">
        <is>
          <t>c10f6_training</t>
        </is>
      </c>
      <c r="B1236" t="inlineStr">
        <is>
          <t>2026-06-29 17:03:21.443</t>
        </is>
      </c>
      <c r="C1236" t="n">
        <v/>
      </c>
      <c r="D1236" t="inlineStr">
        <is>
          <t>Media file</t>
        </is>
      </c>
      <c r="E1236" t="inlineStr">
        <is>
          <t>player #1:C:/Users/manuel.felline/Documents/BEHAVIOR BTBR/NOR second cohort/BTBR/training/c10_f6.mp4</t>
        </is>
      </c>
      <c r="F1236" t="n">
        <v>-9.067</v>
      </c>
      <c r="G1236" t="n">
        <v>567.933</v>
      </c>
      <c r="H1236" t="n">
        <v>654.399</v>
      </c>
      <c r="I1236" t="n">
        <v>30</v>
      </c>
      <c r="J1236" t="inlineStr">
        <is>
          <t>BTBR</t>
        </is>
      </c>
      <c r="K1236" t="inlineStr">
        <is>
          <t xml:space="preserve"> Female</t>
        </is>
      </c>
      <c r="L1236" t="inlineStr">
        <is>
          <t>No focal subject</t>
        </is>
      </c>
      <c r="M1236" t="n">
        <v>67.398</v>
      </c>
      <c r="N1236" t="inlineStr">
        <is>
          <t>Explore_F</t>
        </is>
      </c>
      <c r="O1236" t="inlineStr">
        <is>
          <t>Familiar</t>
        </is>
      </c>
      <c r="P1236" t="inlineStr">
        <is>
          <t>STATE</t>
        </is>
      </c>
      <c r="Q1236" t="n">
        <v>352.366</v>
      </c>
      <c r="R1236" t="n">
        <v>353.199</v>
      </c>
      <c r="S1236" t="n">
        <v>0.833</v>
      </c>
      <c r="T1236" t="inlineStr">
        <is>
          <t>C:/Users/manuel.felline/Documents/BEHAVIOR BTBR/NOR second cohort/BTBR/training/c10_f6.mp4</t>
        </is>
      </c>
      <c r="U1236" t="n">
        <v>10836</v>
      </c>
      <c r="V1236" t="n">
        <v>10861</v>
      </c>
      <c r="W1236" t="n">
        <v/>
      </c>
      <c r="X1236" t="n">
        <v/>
      </c>
      <c r="Y1236" t="n">
        <v/>
      </c>
      <c r="Z1236" t="n">
        <v/>
      </c>
      <c r="AA1236">
        <f>SUMIFS($S$2:S1236,$A$2:A1236,A1236,$N$2:N1236,"Explore*")</f>
        <v/>
      </c>
      <c r="AB1236">
        <f>IF(AND(LEFT(N1236,7)="Explore",(AA1236-IF(LEFT(N1236,7)="Explore",S1236,0))&lt;10),"SI","NO")</f>
        <v/>
      </c>
    </row>
    <row r="1237">
      <c r="A1237" t="inlineStr">
        <is>
          <t>c10f6_training</t>
        </is>
      </c>
      <c r="B1237" t="inlineStr">
        <is>
          <t>2026-06-29 17:03:21.443</t>
        </is>
      </c>
      <c r="C1237" t="n">
        <v/>
      </c>
      <c r="D1237" t="inlineStr">
        <is>
          <t>Media file</t>
        </is>
      </c>
      <c r="E1237" t="inlineStr">
        <is>
          <t>player #1:C:/Users/manuel.felline/Documents/BEHAVIOR BTBR/NOR second cohort/BTBR/training/c10_f6.mp4</t>
        </is>
      </c>
      <c r="F1237" t="n">
        <v>-9.067</v>
      </c>
      <c r="G1237" t="n">
        <v>567.933</v>
      </c>
      <c r="H1237" t="n">
        <v>654.399</v>
      </c>
      <c r="I1237" t="n">
        <v>30</v>
      </c>
      <c r="J1237" t="inlineStr">
        <is>
          <t>BTBR</t>
        </is>
      </c>
      <c r="K1237" t="inlineStr">
        <is>
          <t xml:space="preserve"> Female</t>
        </is>
      </c>
      <c r="L1237" t="inlineStr">
        <is>
          <t>No focal subject</t>
        </is>
      </c>
      <c r="M1237" t="n">
        <v>67.398</v>
      </c>
      <c r="N1237" t="inlineStr">
        <is>
          <t>Explore_F2</t>
        </is>
      </c>
      <c r="O1237" t="inlineStr">
        <is>
          <t>Second familiar</t>
        </is>
      </c>
      <c r="P1237" t="inlineStr">
        <is>
          <t>STATE</t>
        </is>
      </c>
      <c r="Q1237" t="n">
        <v>353.766</v>
      </c>
      <c r="R1237" t="n">
        <v>354.299</v>
      </c>
      <c r="S1237" t="n">
        <v>0.533</v>
      </c>
      <c r="T1237" t="inlineStr">
        <is>
          <t>C:/Users/manuel.felline/Documents/BEHAVIOR BTBR/NOR second cohort/BTBR/training/c10_f6.mp4</t>
        </is>
      </c>
      <c r="U1237" t="n">
        <v>10878</v>
      </c>
      <c r="V1237" t="n">
        <v>10894</v>
      </c>
      <c r="W1237" t="n">
        <v/>
      </c>
      <c r="X1237" t="n">
        <v/>
      </c>
      <c r="Y1237" t="n">
        <v/>
      </c>
      <c r="Z1237" t="n">
        <v/>
      </c>
      <c r="AA1237">
        <f>SUMIFS($S$2:S1237,$A$2:A1237,A1237,$N$2:N1237,"Explore*")</f>
        <v/>
      </c>
      <c r="AB1237">
        <f>IF(AND(LEFT(N1237,7)="Explore",(AA1237-IF(LEFT(N1237,7)="Explore",S1237,0))&lt;10),"SI","NO")</f>
        <v/>
      </c>
    </row>
    <row r="1238">
      <c r="A1238" t="inlineStr">
        <is>
          <t>c10f6_training</t>
        </is>
      </c>
      <c r="B1238" t="inlineStr">
        <is>
          <t>2026-06-29 17:03:21.443</t>
        </is>
      </c>
      <c r="C1238" t="n">
        <v/>
      </c>
      <c r="D1238" t="inlineStr">
        <is>
          <t>Media file</t>
        </is>
      </c>
      <c r="E1238" t="inlineStr">
        <is>
          <t>player #1:C:/Users/manuel.felline/Documents/BEHAVIOR BTBR/NOR second cohort/BTBR/training/c10_f6.mp4</t>
        </is>
      </c>
      <c r="F1238" t="n">
        <v>-9.067</v>
      </c>
      <c r="G1238" t="n">
        <v>567.933</v>
      </c>
      <c r="H1238" t="n">
        <v>654.399</v>
      </c>
      <c r="I1238" t="n">
        <v>30</v>
      </c>
      <c r="J1238" t="inlineStr">
        <is>
          <t>BTBR</t>
        </is>
      </c>
      <c r="K1238" t="inlineStr">
        <is>
          <t xml:space="preserve"> Female</t>
        </is>
      </c>
      <c r="L1238" t="inlineStr">
        <is>
          <t>No focal subject</t>
        </is>
      </c>
      <c r="M1238" t="n">
        <v>67.398</v>
      </c>
      <c r="N1238" t="inlineStr">
        <is>
          <t>Explore_F</t>
        </is>
      </c>
      <c r="O1238" t="inlineStr">
        <is>
          <t>Familiar</t>
        </is>
      </c>
      <c r="P1238" t="inlineStr">
        <is>
          <t>STATE</t>
        </is>
      </c>
      <c r="Q1238" t="n">
        <v>357.233</v>
      </c>
      <c r="R1238" t="n">
        <v>359.399</v>
      </c>
      <c r="S1238" t="n">
        <v>2.166</v>
      </c>
      <c r="T1238" t="inlineStr">
        <is>
          <t>C:/Users/manuel.felline/Documents/BEHAVIOR BTBR/NOR second cohort/BTBR/training/c10_f6.mp4</t>
        </is>
      </c>
      <c r="U1238" t="n">
        <v>10982</v>
      </c>
      <c r="V1238" t="n">
        <v>11047</v>
      </c>
      <c r="W1238" t="n">
        <v/>
      </c>
      <c r="X1238" t="n">
        <v/>
      </c>
      <c r="Y1238" t="n">
        <v/>
      </c>
      <c r="Z1238" t="n">
        <v/>
      </c>
      <c r="AA1238">
        <f>SUMIFS($S$2:S1238,$A$2:A1238,A1238,$N$2:N1238,"Explore*")</f>
        <v/>
      </c>
      <c r="AB1238">
        <f>IF(AND(LEFT(N1238,7)="Explore",(AA1238-IF(LEFT(N1238,7)="Explore",S1238,0))&lt;10),"SI","NO")</f>
        <v/>
      </c>
    </row>
    <row r="1239">
      <c r="A1239" t="inlineStr">
        <is>
          <t>c10f6_training</t>
        </is>
      </c>
      <c r="B1239" t="inlineStr">
        <is>
          <t>2026-06-29 17:03:21.443</t>
        </is>
      </c>
      <c r="C1239" t="n">
        <v/>
      </c>
      <c r="D1239" t="inlineStr">
        <is>
          <t>Media file</t>
        </is>
      </c>
      <c r="E1239" t="inlineStr">
        <is>
          <t>player #1:C:/Users/manuel.felline/Documents/BEHAVIOR BTBR/NOR second cohort/BTBR/training/c10_f6.mp4</t>
        </is>
      </c>
      <c r="F1239" t="n">
        <v>-9.067</v>
      </c>
      <c r="G1239" t="n">
        <v>567.933</v>
      </c>
      <c r="H1239" t="n">
        <v>654.399</v>
      </c>
      <c r="I1239" t="n">
        <v>30</v>
      </c>
      <c r="J1239" t="inlineStr">
        <is>
          <t>BTBR</t>
        </is>
      </c>
      <c r="K1239" t="inlineStr">
        <is>
          <t xml:space="preserve"> Female</t>
        </is>
      </c>
      <c r="L1239" t="inlineStr">
        <is>
          <t>No focal subject</t>
        </is>
      </c>
      <c r="M1239" t="n">
        <v>67.398</v>
      </c>
      <c r="N1239" t="inlineStr">
        <is>
          <t>Explore_F</t>
        </is>
      </c>
      <c r="O1239" t="inlineStr">
        <is>
          <t>Familiar</t>
        </is>
      </c>
      <c r="P1239" t="inlineStr">
        <is>
          <t>STATE</t>
        </is>
      </c>
      <c r="Q1239" t="n">
        <v>360.933</v>
      </c>
      <c r="R1239" t="n">
        <v>361.533</v>
      </c>
      <c r="S1239" t="n">
        <v>0.6</v>
      </c>
      <c r="T1239" t="inlineStr">
        <is>
          <t>C:/Users/manuel.felline/Documents/BEHAVIOR BTBR/NOR second cohort/BTBR/training/c10_f6.mp4</t>
        </is>
      </c>
      <c r="U1239" t="n">
        <v>11093</v>
      </c>
      <c r="V1239" t="n">
        <v>11111</v>
      </c>
      <c r="W1239" t="n">
        <v/>
      </c>
      <c r="X1239" t="n">
        <v/>
      </c>
      <c r="Y1239" t="n">
        <v/>
      </c>
      <c r="Z1239" t="n">
        <v/>
      </c>
      <c r="AA1239">
        <f>SUMIFS($S$2:S1239,$A$2:A1239,A1239,$N$2:N1239,"Explore*")</f>
        <v/>
      </c>
      <c r="AB1239">
        <f>IF(AND(LEFT(N1239,7)="Explore",(AA1239-IF(LEFT(N1239,7)="Explore",S1239,0))&lt;10),"SI","NO")</f>
        <v/>
      </c>
    </row>
    <row r="1240">
      <c r="A1240" t="inlineStr">
        <is>
          <t>c10f6_training</t>
        </is>
      </c>
      <c r="B1240" t="inlineStr">
        <is>
          <t>2026-06-29 17:03:21.443</t>
        </is>
      </c>
      <c r="C1240" t="n">
        <v/>
      </c>
      <c r="D1240" t="inlineStr">
        <is>
          <t>Media file</t>
        </is>
      </c>
      <c r="E1240" t="inlineStr">
        <is>
          <t>player #1:C:/Users/manuel.felline/Documents/BEHAVIOR BTBR/NOR second cohort/BTBR/training/c10_f6.mp4</t>
        </is>
      </c>
      <c r="F1240" t="n">
        <v>-9.067</v>
      </c>
      <c r="G1240" t="n">
        <v>567.933</v>
      </c>
      <c r="H1240" t="n">
        <v>654.399</v>
      </c>
      <c r="I1240" t="n">
        <v>30</v>
      </c>
      <c r="J1240" t="inlineStr">
        <is>
          <t>BTBR</t>
        </is>
      </c>
      <c r="K1240" t="inlineStr">
        <is>
          <t xml:space="preserve"> Female</t>
        </is>
      </c>
      <c r="L1240" t="inlineStr">
        <is>
          <t>No focal subject</t>
        </is>
      </c>
      <c r="M1240" t="n">
        <v>67.398</v>
      </c>
      <c r="N1240" t="inlineStr">
        <is>
          <t>Explore_F</t>
        </is>
      </c>
      <c r="O1240" t="inlineStr">
        <is>
          <t>Familiar</t>
        </is>
      </c>
      <c r="P1240" t="inlineStr">
        <is>
          <t>STATE</t>
        </is>
      </c>
      <c r="Q1240" t="n">
        <v>366.266</v>
      </c>
      <c r="R1240" t="n">
        <v>367.299</v>
      </c>
      <c r="S1240" t="n">
        <v>1.033</v>
      </c>
      <c r="T1240" t="inlineStr">
        <is>
          <t>C:/Users/manuel.felline/Documents/BEHAVIOR BTBR/NOR second cohort/BTBR/training/c10_f6.mp4</t>
        </is>
      </c>
      <c r="U1240" t="n">
        <v>11253</v>
      </c>
      <c r="V1240" t="n">
        <v>11284</v>
      </c>
      <c r="W1240" t="n">
        <v/>
      </c>
      <c r="X1240" t="n">
        <v/>
      </c>
      <c r="Y1240" t="n">
        <v/>
      </c>
      <c r="Z1240" t="n">
        <v/>
      </c>
      <c r="AA1240">
        <f>SUMIFS($S$2:S1240,$A$2:A1240,A1240,$N$2:N1240,"Explore*")</f>
        <v/>
      </c>
      <c r="AB1240">
        <f>IF(AND(LEFT(N1240,7)="Explore",(AA1240-IF(LEFT(N1240,7)="Explore",S1240,0))&lt;10),"SI","NO")</f>
        <v/>
      </c>
    </row>
    <row r="1241">
      <c r="A1241" t="inlineStr">
        <is>
          <t>c10f6_training</t>
        </is>
      </c>
      <c r="B1241" t="inlineStr">
        <is>
          <t>2026-06-29 17:03:21.443</t>
        </is>
      </c>
      <c r="C1241" t="n">
        <v/>
      </c>
      <c r="D1241" t="inlineStr">
        <is>
          <t>Media file</t>
        </is>
      </c>
      <c r="E1241" t="inlineStr">
        <is>
          <t>player #1:C:/Users/manuel.felline/Documents/BEHAVIOR BTBR/NOR second cohort/BTBR/training/c10_f6.mp4</t>
        </is>
      </c>
      <c r="F1241" t="n">
        <v>-9.067</v>
      </c>
      <c r="G1241" t="n">
        <v>567.933</v>
      </c>
      <c r="H1241" t="n">
        <v>654.399</v>
      </c>
      <c r="I1241" t="n">
        <v>30</v>
      </c>
      <c r="J1241" t="inlineStr">
        <is>
          <t>BTBR</t>
        </is>
      </c>
      <c r="K1241" t="inlineStr">
        <is>
          <t xml:space="preserve"> Female</t>
        </is>
      </c>
      <c r="L1241" t="inlineStr">
        <is>
          <t>No focal subject</t>
        </is>
      </c>
      <c r="M1241" t="n">
        <v>67.398</v>
      </c>
      <c r="N1241" t="inlineStr">
        <is>
          <t>Explore_F2</t>
        </is>
      </c>
      <c r="O1241" t="inlineStr">
        <is>
          <t>Second familiar</t>
        </is>
      </c>
      <c r="P1241" t="inlineStr">
        <is>
          <t>STATE</t>
        </is>
      </c>
      <c r="Q1241" t="n">
        <v>381.133</v>
      </c>
      <c r="R1241" t="n">
        <v>381.799</v>
      </c>
      <c r="S1241" t="n">
        <v>0.666</v>
      </c>
      <c r="T1241" t="inlineStr">
        <is>
          <t>C:/Users/manuel.felline/Documents/BEHAVIOR BTBR/NOR second cohort/BTBR/training/c10_f6.mp4</t>
        </is>
      </c>
      <c r="U1241" t="n">
        <v>11699</v>
      </c>
      <c r="V1241" t="n">
        <v>11718</v>
      </c>
      <c r="W1241" t="n">
        <v/>
      </c>
      <c r="X1241" t="n">
        <v/>
      </c>
      <c r="Y1241" t="n">
        <v/>
      </c>
      <c r="Z1241" t="n">
        <v/>
      </c>
      <c r="AA1241">
        <f>SUMIFS($S$2:S1241,$A$2:A1241,A1241,$N$2:N1241,"Explore*")</f>
        <v/>
      </c>
      <c r="AB1241">
        <f>IF(AND(LEFT(N1241,7)="Explore",(AA1241-IF(LEFT(N1241,7)="Explore",S1241,0))&lt;10),"SI","NO")</f>
        <v/>
      </c>
    </row>
    <row r="1242">
      <c r="A1242" t="inlineStr">
        <is>
          <t>c10f6_training</t>
        </is>
      </c>
      <c r="B1242" t="inlineStr">
        <is>
          <t>2026-06-29 17:03:21.443</t>
        </is>
      </c>
      <c r="C1242" t="n">
        <v/>
      </c>
      <c r="D1242" t="inlineStr">
        <is>
          <t>Media file</t>
        </is>
      </c>
      <c r="E1242" t="inlineStr">
        <is>
          <t>player #1:C:/Users/manuel.felline/Documents/BEHAVIOR BTBR/NOR second cohort/BTBR/training/c10_f6.mp4</t>
        </is>
      </c>
      <c r="F1242" t="n">
        <v>-9.067</v>
      </c>
      <c r="G1242" t="n">
        <v>567.933</v>
      </c>
      <c r="H1242" t="n">
        <v>654.399</v>
      </c>
      <c r="I1242" t="n">
        <v>30</v>
      </c>
      <c r="J1242" t="inlineStr">
        <is>
          <t>BTBR</t>
        </is>
      </c>
      <c r="K1242" t="inlineStr">
        <is>
          <t xml:space="preserve"> Female</t>
        </is>
      </c>
      <c r="L1242" t="inlineStr">
        <is>
          <t>No focal subject</t>
        </is>
      </c>
      <c r="M1242" t="n">
        <v>67.398</v>
      </c>
      <c r="N1242" t="inlineStr">
        <is>
          <t>Explore_F2</t>
        </is>
      </c>
      <c r="O1242" t="inlineStr">
        <is>
          <t>Second familiar</t>
        </is>
      </c>
      <c r="P1242" t="inlineStr">
        <is>
          <t>STATE</t>
        </is>
      </c>
      <c r="Q1242" t="n">
        <v>388.899</v>
      </c>
      <c r="R1242" t="n">
        <v>389.799</v>
      </c>
      <c r="S1242" t="n">
        <v>0.9</v>
      </c>
      <c r="T1242" t="inlineStr">
        <is>
          <t>C:/Users/manuel.felline/Documents/BEHAVIOR BTBR/NOR second cohort/BTBR/training/c10_f6.mp4</t>
        </is>
      </c>
      <c r="U1242" t="n">
        <v>11931</v>
      </c>
      <c r="V1242" t="n">
        <v>11958</v>
      </c>
      <c r="W1242" t="n">
        <v/>
      </c>
      <c r="X1242" t="n">
        <v/>
      </c>
      <c r="Y1242" t="n">
        <v/>
      </c>
      <c r="Z1242" t="n">
        <v/>
      </c>
      <c r="AA1242">
        <f>SUMIFS($S$2:S1242,$A$2:A1242,A1242,$N$2:N1242,"Explore*")</f>
        <v/>
      </c>
      <c r="AB1242">
        <f>IF(AND(LEFT(N1242,7)="Explore",(AA1242-IF(LEFT(N1242,7)="Explore",S1242,0))&lt;10),"SI","NO")</f>
        <v/>
      </c>
    </row>
    <row r="1243">
      <c r="A1243" t="inlineStr">
        <is>
          <t>c10f6_training</t>
        </is>
      </c>
      <c r="B1243" t="inlineStr">
        <is>
          <t>2026-06-29 17:03:21.443</t>
        </is>
      </c>
      <c r="C1243" t="n">
        <v/>
      </c>
      <c r="D1243" t="inlineStr">
        <is>
          <t>Media file</t>
        </is>
      </c>
      <c r="E1243" t="inlineStr">
        <is>
          <t>player #1:C:/Users/manuel.felline/Documents/BEHAVIOR BTBR/NOR second cohort/BTBR/training/c10_f6.mp4</t>
        </is>
      </c>
      <c r="F1243" t="n">
        <v>-9.067</v>
      </c>
      <c r="G1243" t="n">
        <v>567.933</v>
      </c>
      <c r="H1243" t="n">
        <v>654.399</v>
      </c>
      <c r="I1243" t="n">
        <v>30</v>
      </c>
      <c r="J1243" t="inlineStr">
        <is>
          <t>BTBR</t>
        </is>
      </c>
      <c r="K1243" t="inlineStr">
        <is>
          <t xml:space="preserve"> Female</t>
        </is>
      </c>
      <c r="L1243" t="inlineStr">
        <is>
          <t>No focal subject</t>
        </is>
      </c>
      <c r="M1243" t="n">
        <v>67.398</v>
      </c>
      <c r="N1243" t="inlineStr">
        <is>
          <t>Explore_F</t>
        </is>
      </c>
      <c r="O1243" t="inlineStr">
        <is>
          <t>Familiar</t>
        </is>
      </c>
      <c r="P1243" t="inlineStr">
        <is>
          <t>STATE</t>
        </is>
      </c>
      <c r="Q1243" t="n">
        <v>390.733</v>
      </c>
      <c r="R1243" t="n">
        <v>391.299</v>
      </c>
      <c r="S1243" t="n">
        <v>0.5659999999999999</v>
      </c>
      <c r="T1243" t="inlineStr">
        <is>
          <t>C:/Users/manuel.felline/Documents/BEHAVIOR BTBR/NOR second cohort/BTBR/training/c10_f6.mp4</t>
        </is>
      </c>
      <c r="U1243" t="n">
        <v>11986</v>
      </c>
      <c r="V1243" t="n">
        <v>12003</v>
      </c>
      <c r="W1243" t="n">
        <v/>
      </c>
      <c r="X1243" t="n">
        <v/>
      </c>
      <c r="Y1243" t="n">
        <v/>
      </c>
      <c r="Z1243" t="n">
        <v/>
      </c>
      <c r="AA1243">
        <f>SUMIFS($S$2:S1243,$A$2:A1243,A1243,$N$2:N1243,"Explore*")</f>
        <v/>
      </c>
      <c r="AB1243">
        <f>IF(AND(LEFT(N1243,7)="Explore",(AA1243-IF(LEFT(N1243,7)="Explore",S1243,0))&lt;10),"SI","NO")</f>
        <v/>
      </c>
    </row>
    <row r="1244">
      <c r="A1244" t="inlineStr">
        <is>
          <t>c10f6_training</t>
        </is>
      </c>
      <c r="B1244" t="inlineStr">
        <is>
          <t>2026-06-29 17:03:21.443</t>
        </is>
      </c>
      <c r="C1244" t="n">
        <v/>
      </c>
      <c r="D1244" t="inlineStr">
        <is>
          <t>Media file</t>
        </is>
      </c>
      <c r="E1244" t="inlineStr">
        <is>
          <t>player #1:C:/Users/manuel.felline/Documents/BEHAVIOR BTBR/NOR second cohort/BTBR/training/c10_f6.mp4</t>
        </is>
      </c>
      <c r="F1244" t="n">
        <v>-9.067</v>
      </c>
      <c r="G1244" t="n">
        <v>567.933</v>
      </c>
      <c r="H1244" t="n">
        <v>654.399</v>
      </c>
      <c r="I1244" t="n">
        <v>30</v>
      </c>
      <c r="J1244" t="inlineStr">
        <is>
          <t>BTBR</t>
        </is>
      </c>
      <c r="K1244" t="inlineStr">
        <is>
          <t xml:space="preserve"> Female</t>
        </is>
      </c>
      <c r="L1244" t="inlineStr">
        <is>
          <t>No focal subject</t>
        </is>
      </c>
      <c r="M1244" t="n">
        <v>67.398</v>
      </c>
      <c r="N1244" t="inlineStr">
        <is>
          <t>Explore_F2</t>
        </is>
      </c>
      <c r="O1244" t="inlineStr">
        <is>
          <t>Second familiar</t>
        </is>
      </c>
      <c r="P1244" t="inlineStr">
        <is>
          <t>STATE</t>
        </is>
      </c>
      <c r="Q1244" t="n">
        <v>407.299</v>
      </c>
      <c r="R1244" t="n">
        <v>408.199</v>
      </c>
      <c r="S1244" t="n">
        <v>0.9</v>
      </c>
      <c r="T1244" t="inlineStr">
        <is>
          <t>C:/Users/manuel.felline/Documents/BEHAVIOR BTBR/NOR second cohort/BTBR/training/c10_f6.mp4</t>
        </is>
      </c>
      <c r="U1244" t="n">
        <v>12483</v>
      </c>
      <c r="V1244" t="n">
        <v>12510</v>
      </c>
      <c r="W1244" t="n">
        <v/>
      </c>
      <c r="X1244" t="n">
        <v/>
      </c>
      <c r="Y1244" t="n">
        <v/>
      </c>
      <c r="Z1244" t="n">
        <v/>
      </c>
      <c r="AA1244">
        <f>SUMIFS($S$2:S1244,$A$2:A1244,A1244,$N$2:N1244,"Explore*")</f>
        <v/>
      </c>
      <c r="AB1244">
        <f>IF(AND(LEFT(N1244,7)="Explore",(AA1244-IF(LEFT(N1244,7)="Explore",S1244,0))&lt;10),"SI","NO")</f>
        <v/>
      </c>
    </row>
    <row r="1245">
      <c r="A1245" t="inlineStr">
        <is>
          <t>c10f6_training</t>
        </is>
      </c>
      <c r="B1245" t="inlineStr">
        <is>
          <t>2026-06-29 17:03:21.443</t>
        </is>
      </c>
      <c r="C1245" t="n">
        <v/>
      </c>
      <c r="D1245" t="inlineStr">
        <is>
          <t>Media file</t>
        </is>
      </c>
      <c r="E1245" t="inlineStr">
        <is>
          <t>player #1:C:/Users/manuel.felline/Documents/BEHAVIOR BTBR/NOR second cohort/BTBR/training/c10_f6.mp4</t>
        </is>
      </c>
      <c r="F1245" t="n">
        <v>-9.067</v>
      </c>
      <c r="G1245" t="n">
        <v>567.933</v>
      </c>
      <c r="H1245" t="n">
        <v>654.399</v>
      </c>
      <c r="I1245" t="n">
        <v>30</v>
      </c>
      <c r="J1245" t="inlineStr">
        <is>
          <t>BTBR</t>
        </is>
      </c>
      <c r="K1245" t="inlineStr">
        <is>
          <t xml:space="preserve"> Female</t>
        </is>
      </c>
      <c r="L1245" t="inlineStr">
        <is>
          <t>No focal subject</t>
        </is>
      </c>
      <c r="M1245" t="n">
        <v>67.398</v>
      </c>
      <c r="N1245" t="inlineStr">
        <is>
          <t>Explore_F2</t>
        </is>
      </c>
      <c r="O1245" t="inlineStr">
        <is>
          <t>Second familiar</t>
        </is>
      </c>
      <c r="P1245" t="inlineStr">
        <is>
          <t>STATE</t>
        </is>
      </c>
      <c r="Q1245" t="n">
        <v>433.699</v>
      </c>
      <c r="R1245" t="n">
        <v>434.599</v>
      </c>
      <c r="S1245" t="n">
        <v>0.9</v>
      </c>
      <c r="T1245" t="inlineStr">
        <is>
          <t>C:/Users/manuel.felline/Documents/BEHAVIOR BTBR/NOR second cohort/BTBR/training/c10_f6.mp4</t>
        </is>
      </c>
      <c r="U1245" t="n">
        <v>13274</v>
      </c>
      <c r="V1245" t="n">
        <v>13301</v>
      </c>
      <c r="W1245" t="n">
        <v/>
      </c>
      <c r="X1245" t="n">
        <v/>
      </c>
      <c r="Y1245" t="n">
        <v/>
      </c>
      <c r="Z1245" t="n">
        <v/>
      </c>
      <c r="AA1245">
        <f>SUMIFS($S$2:S1245,$A$2:A1245,A1245,$N$2:N1245,"Explore*")</f>
        <v/>
      </c>
      <c r="AB1245">
        <f>IF(AND(LEFT(N1245,7)="Explore",(AA1245-IF(LEFT(N1245,7)="Explore",S1245,0))&lt;10),"SI","NO")</f>
        <v/>
      </c>
    </row>
    <row r="1246">
      <c r="A1246" t="inlineStr">
        <is>
          <t>c10f6_training</t>
        </is>
      </c>
      <c r="B1246" t="inlineStr">
        <is>
          <t>2026-06-29 17:03:21.443</t>
        </is>
      </c>
      <c r="C1246" t="n">
        <v/>
      </c>
      <c r="D1246" t="inlineStr">
        <is>
          <t>Media file</t>
        </is>
      </c>
      <c r="E1246" t="inlineStr">
        <is>
          <t>player #1:C:/Users/manuel.felline/Documents/BEHAVIOR BTBR/NOR second cohort/BTBR/training/c10_f6.mp4</t>
        </is>
      </c>
      <c r="F1246" t="n">
        <v>-9.067</v>
      </c>
      <c r="G1246" t="n">
        <v>567.933</v>
      </c>
      <c r="H1246" t="n">
        <v>654.399</v>
      </c>
      <c r="I1246" t="n">
        <v>30</v>
      </c>
      <c r="J1246" t="inlineStr">
        <is>
          <t>BTBR</t>
        </is>
      </c>
      <c r="K1246" t="inlineStr">
        <is>
          <t xml:space="preserve"> Female</t>
        </is>
      </c>
      <c r="L1246" t="inlineStr">
        <is>
          <t>No focal subject</t>
        </is>
      </c>
      <c r="M1246" t="n">
        <v>67.398</v>
      </c>
      <c r="N1246" t="inlineStr">
        <is>
          <t>Explore_F2</t>
        </is>
      </c>
      <c r="O1246" t="inlineStr">
        <is>
          <t>Second familiar</t>
        </is>
      </c>
      <c r="P1246" t="inlineStr">
        <is>
          <t>STATE</t>
        </is>
      </c>
      <c r="Q1246" t="n">
        <v>454.999</v>
      </c>
      <c r="R1246" t="n">
        <v>457.199</v>
      </c>
      <c r="S1246" t="n">
        <v>2.2</v>
      </c>
      <c r="T1246" t="inlineStr">
        <is>
          <t>C:/Users/manuel.felline/Documents/BEHAVIOR BTBR/NOR second cohort/BTBR/training/c10_f6.mp4</t>
        </is>
      </c>
      <c r="U1246" t="n">
        <v>13913</v>
      </c>
      <c r="V1246" t="n">
        <v>13979</v>
      </c>
      <c r="W1246" t="n">
        <v/>
      </c>
      <c r="X1246" t="n">
        <v/>
      </c>
      <c r="Y1246" t="n">
        <v/>
      </c>
      <c r="Z1246" t="n">
        <v/>
      </c>
      <c r="AA1246">
        <f>SUMIFS($S$2:S1246,$A$2:A1246,A1246,$N$2:N1246,"Explore*")</f>
        <v/>
      </c>
      <c r="AB1246">
        <f>IF(AND(LEFT(N1246,7)="Explore",(AA1246-IF(LEFT(N1246,7)="Explore",S1246,0))&lt;10),"SI","NO")</f>
        <v/>
      </c>
    </row>
    <row r="1247">
      <c r="A1247" t="inlineStr">
        <is>
          <t>c10f6_training</t>
        </is>
      </c>
      <c r="B1247" t="inlineStr">
        <is>
          <t>2026-06-29 17:03:21.443</t>
        </is>
      </c>
      <c r="C1247" t="n">
        <v/>
      </c>
      <c r="D1247" t="inlineStr">
        <is>
          <t>Media file</t>
        </is>
      </c>
      <c r="E1247" t="inlineStr">
        <is>
          <t>player #1:C:/Users/manuel.felline/Documents/BEHAVIOR BTBR/NOR second cohort/BTBR/training/c10_f6.mp4</t>
        </is>
      </c>
      <c r="F1247" t="n">
        <v>-9.067</v>
      </c>
      <c r="G1247" t="n">
        <v>567.933</v>
      </c>
      <c r="H1247" t="n">
        <v>654.399</v>
      </c>
      <c r="I1247" t="n">
        <v>30</v>
      </c>
      <c r="J1247" t="inlineStr">
        <is>
          <t>BTBR</t>
        </is>
      </c>
      <c r="K1247" t="inlineStr">
        <is>
          <t xml:space="preserve"> Female</t>
        </is>
      </c>
      <c r="L1247" t="inlineStr">
        <is>
          <t>No focal subject</t>
        </is>
      </c>
      <c r="M1247" t="n">
        <v>67.398</v>
      </c>
      <c r="N1247" t="inlineStr">
        <is>
          <t>Explore_F2</t>
        </is>
      </c>
      <c r="O1247" t="inlineStr">
        <is>
          <t>Second familiar</t>
        </is>
      </c>
      <c r="P1247" t="inlineStr">
        <is>
          <t>STATE</t>
        </is>
      </c>
      <c r="Q1247" t="n">
        <v>467.399</v>
      </c>
      <c r="R1247" t="n">
        <v>467.633</v>
      </c>
      <c r="S1247" t="n">
        <v>0.234</v>
      </c>
      <c r="T1247" t="inlineStr">
        <is>
          <t>C:/Users/manuel.felline/Documents/BEHAVIOR BTBR/NOR second cohort/BTBR/training/c10_f6.mp4</t>
        </is>
      </c>
      <c r="U1247" t="n">
        <v>14285</v>
      </c>
      <c r="V1247" t="n">
        <v>14292</v>
      </c>
      <c r="W1247" t="n">
        <v/>
      </c>
      <c r="X1247" t="n">
        <v/>
      </c>
      <c r="Y1247" t="n">
        <v/>
      </c>
      <c r="Z1247" t="n">
        <v/>
      </c>
      <c r="AA1247">
        <f>SUMIFS($S$2:S1247,$A$2:A1247,A1247,$N$2:N1247,"Explore*")</f>
        <v/>
      </c>
      <c r="AB1247">
        <f>IF(AND(LEFT(N1247,7)="Explore",(AA1247-IF(LEFT(N1247,7)="Explore",S1247,0))&lt;10),"SI","NO")</f>
        <v/>
      </c>
    </row>
    <row r="1248">
      <c r="A1248" t="inlineStr">
        <is>
          <t>c10f6_training</t>
        </is>
      </c>
      <c r="B1248" t="inlineStr">
        <is>
          <t>2026-06-29 17:03:21.443</t>
        </is>
      </c>
      <c r="C1248" t="n">
        <v/>
      </c>
      <c r="D1248" t="inlineStr">
        <is>
          <t>Media file</t>
        </is>
      </c>
      <c r="E1248" t="inlineStr">
        <is>
          <t>player #1:C:/Users/manuel.felline/Documents/BEHAVIOR BTBR/NOR second cohort/BTBR/training/c10_f6.mp4</t>
        </is>
      </c>
      <c r="F1248" t="n">
        <v>-9.067</v>
      </c>
      <c r="G1248" t="n">
        <v>567.933</v>
      </c>
      <c r="H1248" t="n">
        <v>654.399</v>
      </c>
      <c r="I1248" t="n">
        <v>30</v>
      </c>
      <c r="J1248" t="inlineStr">
        <is>
          <t>BTBR</t>
        </is>
      </c>
      <c r="K1248" t="inlineStr">
        <is>
          <t xml:space="preserve"> Female</t>
        </is>
      </c>
      <c r="L1248" t="inlineStr">
        <is>
          <t>No focal subject</t>
        </is>
      </c>
      <c r="M1248" t="n">
        <v>67.398</v>
      </c>
      <c r="N1248" t="inlineStr">
        <is>
          <t>Explore_F2</t>
        </is>
      </c>
      <c r="O1248" t="inlineStr">
        <is>
          <t>Second familiar</t>
        </is>
      </c>
      <c r="P1248" t="inlineStr">
        <is>
          <t>STATE</t>
        </is>
      </c>
      <c r="Q1248" t="n">
        <v>474.699</v>
      </c>
      <c r="R1248" t="n">
        <v>475.633</v>
      </c>
      <c r="S1248" t="n">
        <v>0.9340000000000001</v>
      </c>
      <c r="T1248" t="inlineStr">
        <is>
          <t>C:/Users/manuel.felline/Documents/BEHAVIOR BTBR/NOR second cohort/BTBR/training/c10_f6.mp4</t>
        </is>
      </c>
      <c r="U1248" t="n">
        <v>14504</v>
      </c>
      <c r="V1248" t="n">
        <v>14532</v>
      </c>
      <c r="W1248" t="n">
        <v/>
      </c>
      <c r="X1248" t="n">
        <v/>
      </c>
      <c r="Y1248" t="n">
        <v/>
      </c>
      <c r="Z1248" t="n">
        <v/>
      </c>
      <c r="AA1248">
        <f>SUMIFS($S$2:S1248,$A$2:A1248,A1248,$N$2:N1248,"Explore*")</f>
        <v/>
      </c>
      <c r="AB1248">
        <f>IF(AND(LEFT(N1248,7)="Explore",(AA1248-IF(LEFT(N1248,7)="Explore",S1248,0))&lt;10),"SI","NO")</f>
        <v/>
      </c>
    </row>
    <row r="1249">
      <c r="A1249" t="inlineStr">
        <is>
          <t>c10f6_training</t>
        </is>
      </c>
      <c r="B1249" t="inlineStr">
        <is>
          <t>2026-06-29 17:03:21.443</t>
        </is>
      </c>
      <c r="C1249" t="n">
        <v/>
      </c>
      <c r="D1249" t="inlineStr">
        <is>
          <t>Media file</t>
        </is>
      </c>
      <c r="E1249" t="inlineStr">
        <is>
          <t>player #1:C:/Users/manuel.felline/Documents/BEHAVIOR BTBR/NOR second cohort/BTBR/training/c10_f6.mp4</t>
        </is>
      </c>
      <c r="F1249" t="n">
        <v>-9.067</v>
      </c>
      <c r="G1249" t="n">
        <v>567.933</v>
      </c>
      <c r="H1249" t="n">
        <v>654.399</v>
      </c>
      <c r="I1249" t="n">
        <v>30</v>
      </c>
      <c r="J1249" t="inlineStr">
        <is>
          <t>BTBR</t>
        </is>
      </c>
      <c r="K1249" t="inlineStr">
        <is>
          <t xml:space="preserve"> Female</t>
        </is>
      </c>
      <c r="L1249" t="inlineStr">
        <is>
          <t>No focal subject</t>
        </is>
      </c>
      <c r="M1249" t="n">
        <v>67.398</v>
      </c>
      <c r="N1249" t="inlineStr">
        <is>
          <t>Explore_F</t>
        </is>
      </c>
      <c r="O1249" t="inlineStr">
        <is>
          <t>Familiar</t>
        </is>
      </c>
      <c r="P1249" t="inlineStr">
        <is>
          <t>STATE</t>
        </is>
      </c>
      <c r="Q1249" t="n">
        <v>488.699</v>
      </c>
      <c r="R1249" t="n">
        <v>489.799</v>
      </c>
      <c r="S1249" t="n">
        <v>1.1</v>
      </c>
      <c r="T1249" t="inlineStr">
        <is>
          <t>C:/Users/manuel.felline/Documents/BEHAVIOR BTBR/NOR second cohort/BTBR/training/c10_f6.mp4</t>
        </is>
      </c>
      <c r="U1249" t="n">
        <v>14923</v>
      </c>
      <c r="V1249" t="n">
        <v>14956</v>
      </c>
      <c r="W1249" t="n">
        <v/>
      </c>
      <c r="X1249" t="n">
        <v/>
      </c>
      <c r="Y1249" t="n">
        <v/>
      </c>
      <c r="Z1249" t="n">
        <v/>
      </c>
      <c r="AA1249">
        <f>SUMIFS($S$2:S1249,$A$2:A1249,A1249,$N$2:N1249,"Explore*")</f>
        <v/>
      </c>
      <c r="AB1249">
        <f>IF(AND(LEFT(N1249,7)="Explore",(AA1249-IF(LEFT(N1249,7)="Explore",S1249,0))&lt;10),"SI","NO")</f>
        <v/>
      </c>
    </row>
    <row r="1250">
      <c r="A1250" t="inlineStr">
        <is>
          <t>c10f6_training</t>
        </is>
      </c>
      <c r="B1250" t="inlineStr">
        <is>
          <t>2026-06-29 17:03:21.443</t>
        </is>
      </c>
      <c r="C1250" t="n">
        <v/>
      </c>
      <c r="D1250" t="inlineStr">
        <is>
          <t>Media file</t>
        </is>
      </c>
      <c r="E1250" t="inlineStr">
        <is>
          <t>player #1:C:/Users/manuel.felline/Documents/BEHAVIOR BTBR/NOR second cohort/BTBR/training/c10_f6.mp4</t>
        </is>
      </c>
      <c r="F1250" t="n">
        <v>-9.067</v>
      </c>
      <c r="G1250" t="n">
        <v>567.933</v>
      </c>
      <c r="H1250" t="n">
        <v>654.399</v>
      </c>
      <c r="I1250" t="n">
        <v>30</v>
      </c>
      <c r="J1250" t="inlineStr">
        <is>
          <t>BTBR</t>
        </is>
      </c>
      <c r="K1250" t="inlineStr">
        <is>
          <t xml:space="preserve"> Female</t>
        </is>
      </c>
      <c r="L1250" t="inlineStr">
        <is>
          <t>No focal subject</t>
        </is>
      </c>
      <c r="M1250" t="n">
        <v>67.398</v>
      </c>
      <c r="N1250" t="inlineStr">
        <is>
          <t>Explore_F</t>
        </is>
      </c>
      <c r="O1250" t="inlineStr">
        <is>
          <t>Familiar</t>
        </is>
      </c>
      <c r="P1250" t="inlineStr">
        <is>
          <t>STATE</t>
        </is>
      </c>
      <c r="Q1250" t="n">
        <v>491.266</v>
      </c>
      <c r="R1250" t="n">
        <v>491.932</v>
      </c>
      <c r="S1250" t="n">
        <v>0.666</v>
      </c>
      <c r="T1250" t="inlineStr">
        <is>
          <t>C:/Users/manuel.felline/Documents/BEHAVIOR BTBR/NOR second cohort/BTBR/training/c10_f6.mp4</t>
        </is>
      </c>
      <c r="U1250" t="n">
        <v>15000</v>
      </c>
      <c r="V1250" t="n">
        <v>15020</v>
      </c>
      <c r="W1250" t="n">
        <v/>
      </c>
      <c r="X1250" t="n">
        <v/>
      </c>
      <c r="Y1250" t="n">
        <v/>
      </c>
      <c r="Z1250" t="n">
        <v/>
      </c>
      <c r="AA1250">
        <f>SUMIFS($S$2:S1250,$A$2:A1250,A1250,$N$2:N1250,"Explore*")</f>
        <v/>
      </c>
      <c r="AB1250">
        <f>IF(AND(LEFT(N1250,7)="Explore",(AA1250-IF(LEFT(N1250,7)="Explore",S1250,0))&lt;10),"SI","NO")</f>
        <v/>
      </c>
    </row>
    <row r="1251">
      <c r="A1251" t="inlineStr">
        <is>
          <t>c10f6_training</t>
        </is>
      </c>
      <c r="B1251" t="inlineStr">
        <is>
          <t>2026-06-29 17:03:21.443</t>
        </is>
      </c>
      <c r="C1251" t="n">
        <v/>
      </c>
      <c r="D1251" t="inlineStr">
        <is>
          <t>Media file</t>
        </is>
      </c>
      <c r="E1251" t="inlineStr">
        <is>
          <t>player #1:C:/Users/manuel.felline/Documents/BEHAVIOR BTBR/NOR second cohort/BTBR/training/c10_f6.mp4</t>
        </is>
      </c>
      <c r="F1251" t="n">
        <v>-9.067</v>
      </c>
      <c r="G1251" t="n">
        <v>567.933</v>
      </c>
      <c r="H1251" t="n">
        <v>654.399</v>
      </c>
      <c r="I1251" t="n">
        <v>30</v>
      </c>
      <c r="J1251" t="inlineStr">
        <is>
          <t>BTBR</t>
        </is>
      </c>
      <c r="K1251" t="inlineStr">
        <is>
          <t xml:space="preserve"> Female</t>
        </is>
      </c>
      <c r="L1251" t="inlineStr">
        <is>
          <t>No focal subject</t>
        </is>
      </c>
      <c r="M1251" t="n">
        <v>67.398</v>
      </c>
      <c r="N1251" t="inlineStr">
        <is>
          <t>Explore_F</t>
        </is>
      </c>
      <c r="O1251" t="inlineStr">
        <is>
          <t>Familiar</t>
        </is>
      </c>
      <c r="P1251" t="inlineStr">
        <is>
          <t>STATE</t>
        </is>
      </c>
      <c r="Q1251" t="n">
        <v>498.866</v>
      </c>
      <c r="R1251" t="n">
        <v>499.566</v>
      </c>
      <c r="S1251" t="n">
        <v>0.7</v>
      </c>
      <c r="T1251" t="inlineStr">
        <is>
          <t>C:/Users/manuel.felline/Documents/BEHAVIOR BTBR/NOR second cohort/BTBR/training/c10_f6.mp4</t>
        </is>
      </c>
      <c r="U1251" t="n">
        <v>15228</v>
      </c>
      <c r="V1251" t="n">
        <v>15249</v>
      </c>
      <c r="W1251" t="n">
        <v/>
      </c>
      <c r="X1251" t="n">
        <v/>
      </c>
      <c r="Y1251" t="n">
        <v/>
      </c>
      <c r="Z1251" t="n">
        <v/>
      </c>
      <c r="AA1251">
        <f>SUMIFS($S$2:S1251,$A$2:A1251,A1251,$N$2:N1251,"Explore*")</f>
        <v/>
      </c>
      <c r="AB1251">
        <f>IF(AND(LEFT(N1251,7)="Explore",(AA1251-IF(LEFT(N1251,7)="Explore",S1251,0))&lt;10),"SI","NO")</f>
        <v/>
      </c>
    </row>
    <row r="1252">
      <c r="A1252" t="inlineStr">
        <is>
          <t>c10f6_training</t>
        </is>
      </c>
      <c r="B1252" t="inlineStr">
        <is>
          <t>2026-06-29 17:03:21.443</t>
        </is>
      </c>
      <c r="C1252" t="n">
        <v/>
      </c>
      <c r="D1252" t="inlineStr">
        <is>
          <t>Media file</t>
        </is>
      </c>
      <c r="E1252" t="inlineStr">
        <is>
          <t>player #1:C:/Users/manuel.felline/Documents/BEHAVIOR BTBR/NOR second cohort/BTBR/training/c10_f6.mp4</t>
        </is>
      </c>
      <c r="F1252" t="n">
        <v>-9.067</v>
      </c>
      <c r="G1252" t="n">
        <v>567.933</v>
      </c>
      <c r="H1252" t="n">
        <v>654.399</v>
      </c>
      <c r="I1252" t="n">
        <v>30</v>
      </c>
      <c r="J1252" t="inlineStr">
        <is>
          <t>BTBR</t>
        </is>
      </c>
      <c r="K1252" t="inlineStr">
        <is>
          <t xml:space="preserve"> Female</t>
        </is>
      </c>
      <c r="L1252" t="inlineStr">
        <is>
          <t>No focal subject</t>
        </is>
      </c>
      <c r="M1252" t="n">
        <v>67.398</v>
      </c>
      <c r="N1252" t="inlineStr">
        <is>
          <t>Explore_F2</t>
        </is>
      </c>
      <c r="O1252" t="inlineStr">
        <is>
          <t>Second familiar</t>
        </is>
      </c>
      <c r="P1252" t="inlineStr">
        <is>
          <t>STATE</t>
        </is>
      </c>
      <c r="Q1252" t="n">
        <v>511.032</v>
      </c>
      <c r="R1252" t="n">
        <v>513.799</v>
      </c>
      <c r="S1252" t="n">
        <v>2.767</v>
      </c>
      <c r="T1252" t="inlineStr">
        <is>
          <t>C:/Users/manuel.felline/Documents/BEHAVIOR BTBR/NOR second cohort/BTBR/training/c10_f6.mp4</t>
        </is>
      </c>
      <c r="U1252" t="n">
        <v>15593</v>
      </c>
      <c r="V1252" t="n">
        <v>15676</v>
      </c>
      <c r="W1252" t="n">
        <v/>
      </c>
      <c r="X1252" t="n">
        <v/>
      </c>
      <c r="Y1252" t="n">
        <v/>
      </c>
      <c r="Z1252" t="n">
        <v/>
      </c>
      <c r="AA1252">
        <f>SUMIFS($S$2:S1252,$A$2:A1252,A1252,$N$2:N1252,"Explore*")</f>
        <v/>
      </c>
      <c r="AB1252">
        <f>IF(AND(LEFT(N1252,7)="Explore",(AA1252-IF(LEFT(N1252,7)="Explore",S1252,0))&lt;10),"SI","NO")</f>
        <v/>
      </c>
    </row>
    <row r="1253">
      <c r="A1253" t="inlineStr">
        <is>
          <t>c10f6_training</t>
        </is>
      </c>
      <c r="B1253" t="inlineStr">
        <is>
          <t>2026-06-29 17:03:21.443</t>
        </is>
      </c>
      <c r="C1253" t="n">
        <v/>
      </c>
      <c r="D1253" t="inlineStr">
        <is>
          <t>Media file</t>
        </is>
      </c>
      <c r="E1253" t="inlineStr">
        <is>
          <t>player #1:C:/Users/manuel.felline/Documents/BEHAVIOR BTBR/NOR second cohort/BTBR/training/c10_f6.mp4</t>
        </is>
      </c>
      <c r="F1253" t="n">
        <v>-9.067</v>
      </c>
      <c r="G1253" t="n">
        <v>567.933</v>
      </c>
      <c r="H1253" t="n">
        <v>654.399</v>
      </c>
      <c r="I1253" t="n">
        <v>30</v>
      </c>
      <c r="J1253" t="inlineStr">
        <is>
          <t>BTBR</t>
        </is>
      </c>
      <c r="K1253" t="inlineStr">
        <is>
          <t xml:space="preserve"> Female</t>
        </is>
      </c>
      <c r="L1253" t="inlineStr">
        <is>
          <t>No focal subject</t>
        </is>
      </c>
      <c r="M1253" t="n">
        <v>67.398</v>
      </c>
      <c r="N1253" t="inlineStr">
        <is>
          <t>Explore_F2</t>
        </is>
      </c>
      <c r="O1253" t="inlineStr">
        <is>
          <t>Second familiar</t>
        </is>
      </c>
      <c r="P1253" t="inlineStr">
        <is>
          <t>STATE</t>
        </is>
      </c>
      <c r="Q1253" t="n">
        <v>520.299</v>
      </c>
      <c r="R1253" t="n">
        <v>523.6319999999999</v>
      </c>
      <c r="S1253" t="n">
        <v>3.333</v>
      </c>
      <c r="T1253" t="inlineStr">
        <is>
          <t>C:/Users/manuel.felline/Documents/BEHAVIOR BTBR/NOR second cohort/BTBR/training/c10_f6.mp4</t>
        </is>
      </c>
      <c r="U1253" t="n">
        <v>15871</v>
      </c>
      <c r="V1253" t="n">
        <v>15971</v>
      </c>
      <c r="W1253" t="n">
        <v/>
      </c>
      <c r="X1253" t="n">
        <v/>
      </c>
      <c r="Y1253" t="n">
        <v/>
      </c>
      <c r="Z1253" t="n">
        <v/>
      </c>
      <c r="AA1253">
        <f>SUMIFS($S$2:S1253,$A$2:A1253,A1253,$N$2:N1253,"Explore*")</f>
        <v/>
      </c>
      <c r="AB1253">
        <f>IF(AND(LEFT(N1253,7)="Explore",(AA1253-IF(LEFT(N1253,7)="Explore",S1253,0))&lt;10),"SI","NO")</f>
        <v/>
      </c>
    </row>
    <row r="1254">
      <c r="A1254" t="inlineStr">
        <is>
          <t>c10f6_training</t>
        </is>
      </c>
      <c r="B1254" t="inlineStr">
        <is>
          <t>2026-06-29 17:03:21.443</t>
        </is>
      </c>
      <c r="C1254" t="n">
        <v/>
      </c>
      <c r="D1254" t="inlineStr">
        <is>
          <t>Media file</t>
        </is>
      </c>
      <c r="E1254" t="inlineStr">
        <is>
          <t>player #1:C:/Users/manuel.felline/Documents/BEHAVIOR BTBR/NOR second cohort/BTBR/training/c10_f6.mp4</t>
        </is>
      </c>
      <c r="F1254" t="n">
        <v>-9.067</v>
      </c>
      <c r="G1254" t="n">
        <v>567.933</v>
      </c>
      <c r="H1254" t="n">
        <v>654.399</v>
      </c>
      <c r="I1254" t="n">
        <v>30</v>
      </c>
      <c r="J1254" t="inlineStr">
        <is>
          <t>BTBR</t>
        </is>
      </c>
      <c r="K1254" t="inlineStr">
        <is>
          <t xml:space="preserve"> Female</t>
        </is>
      </c>
      <c r="L1254" t="inlineStr">
        <is>
          <t>No focal subject</t>
        </is>
      </c>
      <c r="M1254" t="n">
        <v>67.398</v>
      </c>
      <c r="N1254" t="inlineStr">
        <is>
          <t>Explore_F2</t>
        </is>
      </c>
      <c r="O1254" t="inlineStr">
        <is>
          <t>Second familiar</t>
        </is>
      </c>
      <c r="P1254" t="inlineStr">
        <is>
          <t>STATE</t>
        </is>
      </c>
      <c r="Q1254" t="n">
        <v>549.566</v>
      </c>
      <c r="R1254" t="n">
        <v>551.099</v>
      </c>
      <c r="S1254" t="n">
        <v>1.533</v>
      </c>
      <c r="T1254" t="inlineStr">
        <is>
          <t>C:/Users/manuel.felline/Documents/BEHAVIOR BTBR/NOR second cohort/BTBR/training/c10_f6.mp4</t>
        </is>
      </c>
      <c r="U1254" t="n">
        <v>16748</v>
      </c>
      <c r="V1254" t="n">
        <v>16794</v>
      </c>
      <c r="W1254" t="n">
        <v/>
      </c>
      <c r="X1254" t="n">
        <v/>
      </c>
      <c r="Y1254" t="n">
        <v/>
      </c>
      <c r="Z1254" t="n">
        <v/>
      </c>
      <c r="AA1254">
        <f>SUMIFS($S$2:S1254,$A$2:A1254,A1254,$N$2:N1254,"Explore*")</f>
        <v/>
      </c>
      <c r="AB1254">
        <f>IF(AND(LEFT(N1254,7)="Explore",(AA1254-IF(LEFT(N1254,7)="Explore",S1254,0))&lt;10),"SI","NO")</f>
        <v/>
      </c>
    </row>
    <row r="1255">
      <c r="A1255" t="inlineStr">
        <is>
          <t>c10f6_training</t>
        </is>
      </c>
      <c r="B1255" t="inlineStr">
        <is>
          <t>2026-06-29 17:03:21.443</t>
        </is>
      </c>
      <c r="C1255" t="n">
        <v/>
      </c>
      <c r="D1255" t="inlineStr">
        <is>
          <t>Media file</t>
        </is>
      </c>
      <c r="E1255" t="inlineStr">
        <is>
          <t>player #1:C:/Users/manuel.felline/Documents/BEHAVIOR BTBR/NOR second cohort/BTBR/training/c10_f6.mp4</t>
        </is>
      </c>
      <c r="F1255" t="n">
        <v>-9.067</v>
      </c>
      <c r="G1255" t="n">
        <v>567.933</v>
      </c>
      <c r="H1255" t="n">
        <v>654.399</v>
      </c>
      <c r="I1255" t="n">
        <v>30</v>
      </c>
      <c r="J1255" t="inlineStr">
        <is>
          <t>BTBR</t>
        </is>
      </c>
      <c r="K1255" t="inlineStr">
        <is>
          <t xml:space="preserve"> Female</t>
        </is>
      </c>
      <c r="L1255" t="inlineStr">
        <is>
          <t>No focal subject</t>
        </is>
      </c>
      <c r="M1255" t="n">
        <v>67.398</v>
      </c>
      <c r="N1255" t="inlineStr">
        <is>
          <t>Explore_F</t>
        </is>
      </c>
      <c r="O1255" t="inlineStr">
        <is>
          <t>Familiar</t>
        </is>
      </c>
      <c r="P1255" t="inlineStr">
        <is>
          <t>STATE</t>
        </is>
      </c>
      <c r="Q1255" t="n">
        <v>557.6660000000001</v>
      </c>
      <c r="R1255" t="n">
        <v>558.566</v>
      </c>
      <c r="S1255" t="n">
        <v>0.9</v>
      </c>
      <c r="T1255" t="inlineStr">
        <is>
          <t>C:/Users/manuel.felline/Documents/BEHAVIOR BTBR/NOR second cohort/BTBR/training/c10_f6.mp4</t>
        </is>
      </c>
      <c r="U1255" t="n">
        <v>16991</v>
      </c>
      <c r="V1255" t="n">
        <v>17018</v>
      </c>
      <c r="W1255" t="n">
        <v/>
      </c>
      <c r="X1255" t="n">
        <v/>
      </c>
      <c r="Y1255" t="n">
        <v/>
      </c>
      <c r="Z1255" t="n">
        <v/>
      </c>
      <c r="AA1255">
        <f>SUMIFS($S$2:S1255,$A$2:A1255,A1255,$N$2:N1255,"Explore*")</f>
        <v/>
      </c>
      <c r="AB1255">
        <f>IF(AND(LEFT(N1255,7)="Explore",(AA1255-IF(LEFT(N1255,7)="Explore",S1255,0))&lt;10),"SI","NO")</f>
        <v/>
      </c>
    </row>
    <row r="1256">
      <c r="A1256" t="inlineStr">
        <is>
          <t>c10f6_training</t>
        </is>
      </c>
      <c r="B1256" t="inlineStr">
        <is>
          <t>2026-06-29 17:03:21.443</t>
        </is>
      </c>
      <c r="C1256" t="n">
        <v/>
      </c>
      <c r="D1256" t="inlineStr">
        <is>
          <t>Media file</t>
        </is>
      </c>
      <c r="E1256" t="inlineStr">
        <is>
          <t>player #1:C:/Users/manuel.felline/Documents/BEHAVIOR BTBR/NOR second cohort/BTBR/training/c10_f6.mp4</t>
        </is>
      </c>
      <c r="F1256" t="n">
        <v>-9.067</v>
      </c>
      <c r="G1256" t="n">
        <v>567.933</v>
      </c>
      <c r="H1256" t="n">
        <v>654.399</v>
      </c>
      <c r="I1256" t="n">
        <v>30</v>
      </c>
      <c r="J1256" t="inlineStr">
        <is>
          <t>BTBR</t>
        </is>
      </c>
      <c r="K1256" t="inlineStr">
        <is>
          <t xml:space="preserve"> Female</t>
        </is>
      </c>
      <c r="L1256" t="inlineStr">
        <is>
          <t>No focal subject</t>
        </is>
      </c>
      <c r="M1256" t="n">
        <v>67.398</v>
      </c>
      <c r="N1256" t="inlineStr">
        <is>
          <t>Explore_F</t>
        </is>
      </c>
      <c r="O1256" t="inlineStr">
        <is>
          <t>Familiar</t>
        </is>
      </c>
      <c r="P1256" t="inlineStr">
        <is>
          <t>STATE</t>
        </is>
      </c>
      <c r="Q1256" t="n">
        <v>570.499</v>
      </c>
      <c r="R1256" t="n">
        <v>571.466</v>
      </c>
      <c r="S1256" t="n">
        <v>0.967</v>
      </c>
      <c r="T1256" t="inlineStr">
        <is>
          <t>C:/Users/manuel.felline/Documents/BEHAVIOR BTBR/NOR second cohort/BTBR/training/c10_f6.mp4</t>
        </is>
      </c>
      <c r="U1256" t="n">
        <v>17376</v>
      </c>
      <c r="V1256" t="n">
        <v>17405</v>
      </c>
      <c r="W1256" t="n">
        <v/>
      </c>
      <c r="X1256" t="n">
        <v/>
      </c>
      <c r="Y1256" t="n">
        <v/>
      </c>
      <c r="Z1256" t="n">
        <v/>
      </c>
      <c r="AA1256">
        <f>SUMIFS($S$2:S1256,$A$2:A1256,A1256,$N$2:N1256,"Explore*")</f>
        <v/>
      </c>
      <c r="AB1256">
        <f>IF(AND(LEFT(N1256,7)="Explore",(AA1256-IF(LEFT(N1256,7)="Explore",S1256,0))&lt;10),"SI","NO")</f>
        <v/>
      </c>
    </row>
    <row r="1257">
      <c r="A1257" t="inlineStr">
        <is>
          <t>c16f3_training</t>
        </is>
      </c>
      <c r="B1257" t="inlineStr">
        <is>
          <t>2026-06-30 10:31:37.520</t>
        </is>
      </c>
      <c r="C1257" t="n">
        <v/>
      </c>
      <c r="D1257" t="inlineStr">
        <is>
          <t>Media file</t>
        </is>
      </c>
      <c r="E1257" t="inlineStr">
        <is>
          <t>player #1:C:/Users/manuel.felline/Documents/BEHAVIOR BTBR/NOR second cohort/BTBR/training/c16_f3.mp4</t>
        </is>
      </c>
      <c r="F1257" t="n">
        <v>-9.5</v>
      </c>
      <c r="G1257" t="n">
        <v>596.566</v>
      </c>
      <c r="H1257" t="n">
        <v>642.333</v>
      </c>
      <c r="I1257" t="n">
        <v>30</v>
      </c>
      <c r="J1257" t="inlineStr">
        <is>
          <t>BTBR</t>
        </is>
      </c>
      <c r="K1257" t="inlineStr">
        <is>
          <t xml:space="preserve"> Female</t>
        </is>
      </c>
      <c r="L1257" t="inlineStr">
        <is>
          <t>No focal subject</t>
        </is>
      </c>
      <c r="M1257" t="n">
        <v>32.705</v>
      </c>
      <c r="N1257" t="inlineStr">
        <is>
          <t>Explore_F2</t>
        </is>
      </c>
      <c r="O1257" t="inlineStr">
        <is>
          <t>Second familiar</t>
        </is>
      </c>
      <c r="P1257" t="inlineStr">
        <is>
          <t>STATE</t>
        </is>
      </c>
      <c r="Q1257" t="n">
        <v>0.9</v>
      </c>
      <c r="R1257" t="n">
        <v>1.267</v>
      </c>
      <c r="S1257" t="n">
        <v>0.367</v>
      </c>
      <c r="T1257" t="inlineStr">
        <is>
          <t>C:/Users/manuel.felline/Documents/BEHAVIOR BTBR/NOR second cohort/BTBR/training/c16_f3.mp4</t>
        </is>
      </c>
      <c r="U1257" t="n">
        <v>312</v>
      </c>
      <c r="V1257" t="n">
        <v>323</v>
      </c>
      <c r="W1257" t="n">
        <v/>
      </c>
      <c r="X1257" t="n">
        <v/>
      </c>
      <c r="Y1257" t="n">
        <v/>
      </c>
      <c r="Z1257" t="n">
        <v/>
      </c>
      <c r="AA1257">
        <f>SUMIFS($S$2:S1257,$A$2:A1257,A1257,$N$2:N1257,"Explore*")</f>
        <v/>
      </c>
      <c r="AB1257">
        <f>IF(AND(LEFT(N1257,7)="Explore",(AA1257-IF(LEFT(N1257,7)="Explore",S1257,0))&lt;10),"SI","NO")</f>
        <v/>
      </c>
    </row>
    <row r="1258">
      <c r="A1258" t="inlineStr">
        <is>
          <t>c16f3_training</t>
        </is>
      </c>
      <c r="B1258" t="inlineStr">
        <is>
          <t>2026-06-30 10:31:37.520</t>
        </is>
      </c>
      <c r="C1258" t="n">
        <v/>
      </c>
      <c r="D1258" t="inlineStr">
        <is>
          <t>Media file</t>
        </is>
      </c>
      <c r="E1258" t="inlineStr">
        <is>
          <t>player #1:C:/Users/manuel.felline/Documents/BEHAVIOR BTBR/NOR second cohort/BTBR/training/c16_f3.mp4</t>
        </is>
      </c>
      <c r="F1258" t="n">
        <v>-9.5</v>
      </c>
      <c r="G1258" t="n">
        <v>596.566</v>
      </c>
      <c r="H1258" t="n">
        <v>642.333</v>
      </c>
      <c r="I1258" t="n">
        <v>30</v>
      </c>
      <c r="J1258" t="inlineStr">
        <is>
          <t>BTBR</t>
        </is>
      </c>
      <c r="K1258" t="inlineStr">
        <is>
          <t xml:space="preserve"> Female</t>
        </is>
      </c>
      <c r="L1258" t="inlineStr">
        <is>
          <t>No focal subject</t>
        </is>
      </c>
      <c r="M1258" t="n">
        <v>32.705</v>
      </c>
      <c r="N1258" t="inlineStr">
        <is>
          <t>Explore_F</t>
        </is>
      </c>
      <c r="O1258" t="inlineStr">
        <is>
          <t>Familiar</t>
        </is>
      </c>
      <c r="P1258" t="inlineStr">
        <is>
          <t>STATE</t>
        </is>
      </c>
      <c r="Q1258" t="n">
        <v>6.233</v>
      </c>
      <c r="R1258" t="n">
        <v>6.667</v>
      </c>
      <c r="S1258" t="n">
        <v>0.434</v>
      </c>
      <c r="T1258" t="inlineStr">
        <is>
          <t>C:/Users/manuel.felline/Documents/BEHAVIOR BTBR/NOR second cohort/BTBR/training/c16_f3.mp4</t>
        </is>
      </c>
      <c r="U1258" t="n">
        <v>472</v>
      </c>
      <c r="V1258" t="n">
        <v>485</v>
      </c>
      <c r="W1258" t="n">
        <v/>
      </c>
      <c r="X1258" t="n">
        <v/>
      </c>
      <c r="Y1258" t="n">
        <v/>
      </c>
      <c r="Z1258" t="n">
        <v/>
      </c>
      <c r="AA1258">
        <f>SUMIFS($S$2:S1258,$A$2:A1258,A1258,$N$2:N1258,"Explore*")</f>
        <v/>
      </c>
      <c r="AB1258">
        <f>IF(AND(LEFT(N1258,7)="Explore",(AA1258-IF(LEFT(N1258,7)="Explore",S1258,0))&lt;10),"SI","NO")</f>
        <v/>
      </c>
    </row>
    <row r="1259">
      <c r="A1259" t="inlineStr">
        <is>
          <t>c16f3_training</t>
        </is>
      </c>
      <c r="B1259" t="inlineStr">
        <is>
          <t>2026-06-30 10:31:37.520</t>
        </is>
      </c>
      <c r="C1259" t="n">
        <v/>
      </c>
      <c r="D1259" t="inlineStr">
        <is>
          <t>Media file</t>
        </is>
      </c>
      <c r="E1259" t="inlineStr">
        <is>
          <t>player #1:C:/Users/manuel.felline/Documents/BEHAVIOR BTBR/NOR second cohort/BTBR/training/c16_f3.mp4</t>
        </is>
      </c>
      <c r="F1259" t="n">
        <v>-9.5</v>
      </c>
      <c r="G1259" t="n">
        <v>596.566</v>
      </c>
      <c r="H1259" t="n">
        <v>642.333</v>
      </c>
      <c r="I1259" t="n">
        <v>30</v>
      </c>
      <c r="J1259" t="inlineStr">
        <is>
          <t>BTBR</t>
        </is>
      </c>
      <c r="K1259" t="inlineStr">
        <is>
          <t xml:space="preserve"> Female</t>
        </is>
      </c>
      <c r="L1259" t="inlineStr">
        <is>
          <t>No focal subject</t>
        </is>
      </c>
      <c r="M1259" t="n">
        <v>32.705</v>
      </c>
      <c r="N1259" t="inlineStr">
        <is>
          <t>Explore_F2</t>
        </is>
      </c>
      <c r="O1259" t="inlineStr">
        <is>
          <t>Second familiar</t>
        </is>
      </c>
      <c r="P1259" t="inlineStr">
        <is>
          <t>STATE</t>
        </is>
      </c>
      <c r="Q1259" t="n">
        <v>10.6</v>
      </c>
      <c r="R1259" t="n">
        <v>11.4</v>
      </c>
      <c r="S1259" t="n">
        <v>0.8</v>
      </c>
      <c r="T1259" t="inlineStr">
        <is>
          <t>C:/Users/manuel.felline/Documents/BEHAVIOR BTBR/NOR second cohort/BTBR/training/c16_f3.mp4</t>
        </is>
      </c>
      <c r="U1259" t="n">
        <v>603</v>
      </c>
      <c r="V1259" t="n">
        <v>627</v>
      </c>
      <c r="W1259" t="n">
        <v/>
      </c>
      <c r="X1259" t="n">
        <v/>
      </c>
      <c r="Y1259" t="n">
        <v/>
      </c>
      <c r="Z1259" t="n">
        <v/>
      </c>
      <c r="AA1259">
        <f>SUMIFS($S$2:S1259,$A$2:A1259,A1259,$N$2:N1259,"Explore*")</f>
        <v/>
      </c>
      <c r="AB1259">
        <f>IF(AND(LEFT(N1259,7)="Explore",(AA1259-IF(LEFT(N1259,7)="Explore",S1259,0))&lt;10),"SI","NO")</f>
        <v/>
      </c>
    </row>
    <row r="1260">
      <c r="A1260" t="inlineStr">
        <is>
          <t>c16f3_training</t>
        </is>
      </c>
      <c r="B1260" t="inlineStr">
        <is>
          <t>2026-06-30 10:31:37.520</t>
        </is>
      </c>
      <c r="C1260" t="n">
        <v/>
      </c>
      <c r="D1260" t="inlineStr">
        <is>
          <t>Media file</t>
        </is>
      </c>
      <c r="E1260" t="inlineStr">
        <is>
          <t>player #1:C:/Users/manuel.felline/Documents/BEHAVIOR BTBR/NOR second cohort/BTBR/training/c16_f3.mp4</t>
        </is>
      </c>
      <c r="F1260" t="n">
        <v>-9.5</v>
      </c>
      <c r="G1260" t="n">
        <v>596.566</v>
      </c>
      <c r="H1260" t="n">
        <v>642.333</v>
      </c>
      <c r="I1260" t="n">
        <v>30</v>
      </c>
      <c r="J1260" t="inlineStr">
        <is>
          <t>BTBR</t>
        </is>
      </c>
      <c r="K1260" t="inlineStr">
        <is>
          <t xml:space="preserve"> Female</t>
        </is>
      </c>
      <c r="L1260" t="inlineStr">
        <is>
          <t>No focal subject</t>
        </is>
      </c>
      <c r="M1260" t="n">
        <v>32.705</v>
      </c>
      <c r="N1260" t="inlineStr">
        <is>
          <t>Explore_F</t>
        </is>
      </c>
      <c r="O1260" t="inlineStr">
        <is>
          <t>Familiar</t>
        </is>
      </c>
      <c r="P1260" t="inlineStr">
        <is>
          <t>STATE</t>
        </is>
      </c>
      <c r="Q1260" t="n">
        <v>12</v>
      </c>
      <c r="R1260" t="n">
        <v>12.567</v>
      </c>
      <c r="S1260" t="n">
        <v>0.5669999999999999</v>
      </c>
      <c r="T1260" t="inlineStr">
        <is>
          <t>C:/Users/manuel.felline/Documents/BEHAVIOR BTBR/NOR second cohort/BTBR/training/c16_f3.mp4</t>
        </is>
      </c>
      <c r="U1260" t="n">
        <v>645</v>
      </c>
      <c r="V1260" t="n">
        <v>662</v>
      </c>
      <c r="W1260" t="n">
        <v/>
      </c>
      <c r="X1260" t="n">
        <v/>
      </c>
      <c r="Y1260" t="n">
        <v/>
      </c>
      <c r="Z1260" t="n">
        <v/>
      </c>
      <c r="AA1260">
        <f>SUMIFS($S$2:S1260,$A$2:A1260,A1260,$N$2:N1260,"Explore*")</f>
        <v/>
      </c>
      <c r="AB1260">
        <f>IF(AND(LEFT(N1260,7)="Explore",(AA1260-IF(LEFT(N1260,7)="Explore",S1260,0))&lt;10),"SI","NO")</f>
        <v/>
      </c>
    </row>
    <row r="1261">
      <c r="A1261" t="inlineStr">
        <is>
          <t>c16f3_training</t>
        </is>
      </c>
      <c r="B1261" t="inlineStr">
        <is>
          <t>2026-06-30 10:31:37.520</t>
        </is>
      </c>
      <c r="C1261" t="n">
        <v/>
      </c>
      <c r="D1261" t="inlineStr">
        <is>
          <t>Media file</t>
        </is>
      </c>
      <c r="E1261" t="inlineStr">
        <is>
          <t>player #1:C:/Users/manuel.felline/Documents/BEHAVIOR BTBR/NOR second cohort/BTBR/training/c16_f3.mp4</t>
        </is>
      </c>
      <c r="F1261" t="n">
        <v>-9.5</v>
      </c>
      <c r="G1261" t="n">
        <v>596.566</v>
      </c>
      <c r="H1261" t="n">
        <v>642.333</v>
      </c>
      <c r="I1261" t="n">
        <v>30</v>
      </c>
      <c r="J1261" t="inlineStr">
        <is>
          <t>BTBR</t>
        </is>
      </c>
      <c r="K1261" t="inlineStr">
        <is>
          <t xml:space="preserve"> Female</t>
        </is>
      </c>
      <c r="L1261" t="inlineStr">
        <is>
          <t>No focal subject</t>
        </is>
      </c>
      <c r="M1261" t="n">
        <v>32.705</v>
      </c>
      <c r="N1261" t="inlineStr">
        <is>
          <t>Explore_F2</t>
        </is>
      </c>
      <c r="O1261" t="inlineStr">
        <is>
          <t>Second familiar</t>
        </is>
      </c>
      <c r="P1261" t="inlineStr">
        <is>
          <t>STATE</t>
        </is>
      </c>
      <c r="Q1261" t="n">
        <v>18.233</v>
      </c>
      <c r="R1261" t="n">
        <v>18.733</v>
      </c>
      <c r="S1261" t="n">
        <v>0.5</v>
      </c>
      <c r="T1261" t="inlineStr">
        <is>
          <t>C:/Users/manuel.felline/Documents/BEHAVIOR BTBR/NOR second cohort/BTBR/training/c16_f3.mp4</t>
        </is>
      </c>
      <c r="U1261" t="n">
        <v>832</v>
      </c>
      <c r="V1261" t="n">
        <v>847</v>
      </c>
      <c r="W1261" t="n">
        <v/>
      </c>
      <c r="X1261" t="n">
        <v/>
      </c>
      <c r="Y1261" t="n">
        <v/>
      </c>
      <c r="Z1261" t="n">
        <v/>
      </c>
      <c r="AA1261">
        <f>SUMIFS($S$2:S1261,$A$2:A1261,A1261,$N$2:N1261,"Explore*")</f>
        <v/>
      </c>
      <c r="AB1261">
        <f>IF(AND(LEFT(N1261,7)="Explore",(AA1261-IF(LEFT(N1261,7)="Explore",S1261,0))&lt;10),"SI","NO")</f>
        <v/>
      </c>
    </row>
    <row r="1262">
      <c r="A1262" t="inlineStr">
        <is>
          <t>c16f3_training</t>
        </is>
      </c>
      <c r="B1262" t="inlineStr">
        <is>
          <t>2026-06-30 10:31:37.520</t>
        </is>
      </c>
      <c r="C1262" t="n">
        <v/>
      </c>
      <c r="D1262" t="inlineStr">
        <is>
          <t>Media file</t>
        </is>
      </c>
      <c r="E1262" t="inlineStr">
        <is>
          <t>player #1:C:/Users/manuel.felline/Documents/BEHAVIOR BTBR/NOR second cohort/BTBR/training/c16_f3.mp4</t>
        </is>
      </c>
      <c r="F1262" t="n">
        <v>-9.5</v>
      </c>
      <c r="G1262" t="n">
        <v>596.566</v>
      </c>
      <c r="H1262" t="n">
        <v>642.333</v>
      </c>
      <c r="I1262" t="n">
        <v>30</v>
      </c>
      <c r="J1262" t="inlineStr">
        <is>
          <t>BTBR</t>
        </is>
      </c>
      <c r="K1262" t="inlineStr">
        <is>
          <t xml:space="preserve"> Female</t>
        </is>
      </c>
      <c r="L1262" t="inlineStr">
        <is>
          <t>No focal subject</t>
        </is>
      </c>
      <c r="M1262" t="n">
        <v>32.705</v>
      </c>
      <c r="N1262" t="inlineStr">
        <is>
          <t>Explore_F</t>
        </is>
      </c>
      <c r="O1262" t="inlineStr">
        <is>
          <t>Familiar</t>
        </is>
      </c>
      <c r="P1262" t="inlineStr">
        <is>
          <t>STATE</t>
        </is>
      </c>
      <c r="Q1262" t="n">
        <v>19.367</v>
      </c>
      <c r="R1262" t="n">
        <v>19.767</v>
      </c>
      <c r="S1262" t="n">
        <v>0.4</v>
      </c>
      <c r="T1262" t="inlineStr">
        <is>
          <t>C:/Users/manuel.felline/Documents/BEHAVIOR BTBR/NOR second cohort/BTBR/training/c16_f3.mp4</t>
        </is>
      </c>
      <c r="U1262" t="n">
        <v>866</v>
      </c>
      <c r="V1262" t="n">
        <v>878</v>
      </c>
      <c r="W1262" t="n">
        <v/>
      </c>
      <c r="X1262" t="n">
        <v/>
      </c>
      <c r="Y1262" t="n">
        <v/>
      </c>
      <c r="Z1262" t="n">
        <v/>
      </c>
      <c r="AA1262">
        <f>SUMIFS($S$2:S1262,$A$2:A1262,A1262,$N$2:N1262,"Explore*")</f>
        <v/>
      </c>
      <c r="AB1262">
        <f>IF(AND(LEFT(N1262,7)="Explore",(AA1262-IF(LEFT(N1262,7)="Explore",S1262,0))&lt;10),"SI","NO")</f>
        <v/>
      </c>
    </row>
    <row r="1263">
      <c r="A1263" t="inlineStr">
        <is>
          <t>c16f3_training</t>
        </is>
      </c>
      <c r="B1263" t="inlineStr">
        <is>
          <t>2026-06-30 10:31:37.520</t>
        </is>
      </c>
      <c r="C1263" t="n">
        <v/>
      </c>
      <c r="D1263" t="inlineStr">
        <is>
          <t>Media file</t>
        </is>
      </c>
      <c r="E1263" t="inlineStr">
        <is>
          <t>player #1:C:/Users/manuel.felline/Documents/BEHAVIOR BTBR/NOR second cohort/BTBR/training/c16_f3.mp4</t>
        </is>
      </c>
      <c r="F1263" t="n">
        <v>-9.5</v>
      </c>
      <c r="G1263" t="n">
        <v>596.566</v>
      </c>
      <c r="H1263" t="n">
        <v>642.333</v>
      </c>
      <c r="I1263" t="n">
        <v>30</v>
      </c>
      <c r="J1263" t="inlineStr">
        <is>
          <t>BTBR</t>
        </is>
      </c>
      <c r="K1263" t="inlineStr">
        <is>
          <t xml:space="preserve"> Female</t>
        </is>
      </c>
      <c r="L1263" t="inlineStr">
        <is>
          <t>No focal subject</t>
        </is>
      </c>
      <c r="M1263" t="n">
        <v>32.705</v>
      </c>
      <c r="N1263" t="inlineStr">
        <is>
          <t>Explore_F</t>
        </is>
      </c>
      <c r="O1263" t="inlineStr">
        <is>
          <t>Familiar</t>
        </is>
      </c>
      <c r="P1263" t="inlineStr">
        <is>
          <t>STATE</t>
        </is>
      </c>
      <c r="Q1263" t="n">
        <v>20.967</v>
      </c>
      <c r="R1263" t="n">
        <v>22.233</v>
      </c>
      <c r="S1263" t="n">
        <v>1.266</v>
      </c>
      <c r="T1263" t="inlineStr">
        <is>
          <t>C:/Users/manuel.felline/Documents/BEHAVIOR BTBR/NOR second cohort/BTBR/training/c16_f3.mp4</t>
        </is>
      </c>
      <c r="U1263" t="n">
        <v>914</v>
      </c>
      <c r="V1263" t="n">
        <v>952</v>
      </c>
      <c r="W1263" t="n">
        <v/>
      </c>
      <c r="X1263" t="n">
        <v/>
      </c>
      <c r="Y1263" t="n">
        <v/>
      </c>
      <c r="Z1263" t="n">
        <v/>
      </c>
      <c r="AA1263">
        <f>SUMIFS($S$2:S1263,$A$2:A1263,A1263,$N$2:N1263,"Explore*")</f>
        <v/>
      </c>
      <c r="AB1263">
        <f>IF(AND(LEFT(N1263,7)="Explore",(AA1263-IF(LEFT(N1263,7)="Explore",S1263,0))&lt;10),"SI","NO")</f>
        <v/>
      </c>
    </row>
    <row r="1264">
      <c r="A1264" t="inlineStr">
        <is>
          <t>c16f3_training</t>
        </is>
      </c>
      <c r="B1264" t="inlineStr">
        <is>
          <t>2026-06-30 10:31:37.520</t>
        </is>
      </c>
      <c r="C1264" t="n">
        <v/>
      </c>
      <c r="D1264" t="inlineStr">
        <is>
          <t>Media file</t>
        </is>
      </c>
      <c r="E1264" t="inlineStr">
        <is>
          <t>player #1:C:/Users/manuel.felline/Documents/BEHAVIOR BTBR/NOR second cohort/BTBR/training/c16_f3.mp4</t>
        </is>
      </c>
      <c r="F1264" t="n">
        <v>-9.5</v>
      </c>
      <c r="G1264" t="n">
        <v>596.566</v>
      </c>
      <c r="H1264" t="n">
        <v>642.333</v>
      </c>
      <c r="I1264" t="n">
        <v>30</v>
      </c>
      <c r="J1264" t="inlineStr">
        <is>
          <t>BTBR</t>
        </is>
      </c>
      <c r="K1264" t="inlineStr">
        <is>
          <t xml:space="preserve"> Female</t>
        </is>
      </c>
      <c r="L1264" t="inlineStr">
        <is>
          <t>No focal subject</t>
        </is>
      </c>
      <c r="M1264" t="n">
        <v>32.705</v>
      </c>
      <c r="N1264" t="inlineStr">
        <is>
          <t>Explore_F2</t>
        </is>
      </c>
      <c r="O1264" t="inlineStr">
        <is>
          <t>Second familiar</t>
        </is>
      </c>
      <c r="P1264" t="inlineStr">
        <is>
          <t>STATE</t>
        </is>
      </c>
      <c r="Q1264" t="n">
        <v>23.767</v>
      </c>
      <c r="R1264" t="n">
        <v>25.633</v>
      </c>
      <c r="S1264" t="n">
        <v>1.866</v>
      </c>
      <c r="T1264" t="inlineStr">
        <is>
          <t>C:/Users/manuel.felline/Documents/BEHAVIOR BTBR/NOR second cohort/BTBR/training/c16_f3.mp4</t>
        </is>
      </c>
      <c r="U1264" t="n">
        <v>998</v>
      </c>
      <c r="V1264" t="n">
        <v>1054</v>
      </c>
      <c r="W1264" t="n">
        <v/>
      </c>
      <c r="X1264" t="n">
        <v/>
      </c>
      <c r="Y1264" t="n">
        <v/>
      </c>
      <c r="Z1264" t="n">
        <v/>
      </c>
      <c r="AA1264">
        <f>SUMIFS($S$2:S1264,$A$2:A1264,A1264,$N$2:N1264,"Explore*")</f>
        <v/>
      </c>
      <c r="AB1264">
        <f>IF(AND(LEFT(N1264,7)="Explore",(AA1264-IF(LEFT(N1264,7)="Explore",S1264,0))&lt;10),"SI","NO")</f>
        <v/>
      </c>
    </row>
    <row r="1265">
      <c r="A1265" t="inlineStr">
        <is>
          <t>c16f3_training</t>
        </is>
      </c>
      <c r="B1265" t="inlineStr">
        <is>
          <t>2026-06-30 10:31:37.520</t>
        </is>
      </c>
      <c r="C1265" t="n">
        <v/>
      </c>
      <c r="D1265" t="inlineStr">
        <is>
          <t>Media file</t>
        </is>
      </c>
      <c r="E1265" t="inlineStr">
        <is>
          <t>player #1:C:/Users/manuel.felline/Documents/BEHAVIOR BTBR/NOR second cohort/BTBR/training/c16_f3.mp4</t>
        </is>
      </c>
      <c r="F1265" t="n">
        <v>-9.5</v>
      </c>
      <c r="G1265" t="n">
        <v>596.566</v>
      </c>
      <c r="H1265" t="n">
        <v>642.333</v>
      </c>
      <c r="I1265" t="n">
        <v>30</v>
      </c>
      <c r="J1265" t="inlineStr">
        <is>
          <t>BTBR</t>
        </is>
      </c>
      <c r="K1265" t="inlineStr">
        <is>
          <t xml:space="preserve"> Female</t>
        </is>
      </c>
      <c r="L1265" t="inlineStr">
        <is>
          <t>No focal subject</t>
        </is>
      </c>
      <c r="M1265" t="n">
        <v>32.705</v>
      </c>
      <c r="N1265" t="inlineStr">
        <is>
          <t>Explore_F2</t>
        </is>
      </c>
      <c r="O1265" t="inlineStr">
        <is>
          <t>Second familiar</t>
        </is>
      </c>
      <c r="P1265" t="inlineStr">
        <is>
          <t>STATE</t>
        </is>
      </c>
      <c r="Q1265" t="n">
        <v>31.4</v>
      </c>
      <c r="R1265" t="n">
        <v>31.8</v>
      </c>
      <c r="S1265" t="n">
        <v>0.4</v>
      </c>
      <c r="T1265" t="inlineStr">
        <is>
          <t>C:/Users/manuel.felline/Documents/BEHAVIOR BTBR/NOR second cohort/BTBR/training/c16_f3.mp4</t>
        </is>
      </c>
      <c r="U1265" t="n">
        <v>1227</v>
      </c>
      <c r="V1265" t="n">
        <v>1239</v>
      </c>
      <c r="W1265" t="n">
        <v/>
      </c>
      <c r="X1265" t="n">
        <v/>
      </c>
      <c r="Y1265" t="n">
        <v/>
      </c>
      <c r="Z1265" t="n">
        <v/>
      </c>
      <c r="AA1265">
        <f>SUMIFS($S$2:S1265,$A$2:A1265,A1265,$N$2:N1265,"Explore*")</f>
        <v/>
      </c>
      <c r="AB1265">
        <f>IF(AND(LEFT(N1265,7)="Explore",(AA1265-IF(LEFT(N1265,7)="Explore",S1265,0))&lt;10),"SI","NO")</f>
        <v/>
      </c>
    </row>
    <row r="1266">
      <c r="A1266" t="inlineStr">
        <is>
          <t>c16f3_training</t>
        </is>
      </c>
      <c r="B1266" t="inlineStr">
        <is>
          <t>2026-06-30 10:31:37.520</t>
        </is>
      </c>
      <c r="C1266" t="n">
        <v/>
      </c>
      <c r="D1266" t="inlineStr">
        <is>
          <t>Media file</t>
        </is>
      </c>
      <c r="E1266" t="inlineStr">
        <is>
          <t>player #1:C:/Users/manuel.felline/Documents/BEHAVIOR BTBR/NOR second cohort/BTBR/training/c16_f3.mp4</t>
        </is>
      </c>
      <c r="F1266" t="n">
        <v>-9.5</v>
      </c>
      <c r="G1266" t="n">
        <v>596.566</v>
      </c>
      <c r="H1266" t="n">
        <v>642.333</v>
      </c>
      <c r="I1266" t="n">
        <v>30</v>
      </c>
      <c r="J1266" t="inlineStr">
        <is>
          <t>BTBR</t>
        </is>
      </c>
      <c r="K1266" t="inlineStr">
        <is>
          <t xml:space="preserve"> Female</t>
        </is>
      </c>
      <c r="L1266" t="inlineStr">
        <is>
          <t>No focal subject</t>
        </is>
      </c>
      <c r="M1266" t="n">
        <v>32.705</v>
      </c>
      <c r="N1266" t="inlineStr">
        <is>
          <t>Explore_F</t>
        </is>
      </c>
      <c r="O1266" t="inlineStr">
        <is>
          <t>Familiar</t>
        </is>
      </c>
      <c r="P1266" t="inlineStr">
        <is>
          <t>STATE</t>
        </is>
      </c>
      <c r="Q1266" t="n">
        <v>40.733</v>
      </c>
      <c r="R1266" t="n">
        <v>41.367</v>
      </c>
      <c r="S1266" t="n">
        <v>0.634</v>
      </c>
      <c r="T1266" t="inlineStr">
        <is>
          <t>C:/Users/manuel.felline/Documents/BEHAVIOR BTBR/NOR second cohort/BTBR/training/c16_f3.mp4</t>
        </is>
      </c>
      <c r="U1266" t="n">
        <v>1507</v>
      </c>
      <c r="V1266" t="n">
        <v>1526</v>
      </c>
      <c r="W1266" t="n">
        <v/>
      </c>
      <c r="X1266" t="n">
        <v/>
      </c>
      <c r="Y1266" t="n">
        <v/>
      </c>
      <c r="Z1266" t="n">
        <v/>
      </c>
      <c r="AA1266">
        <f>SUMIFS($S$2:S1266,$A$2:A1266,A1266,$N$2:N1266,"Explore*")</f>
        <v/>
      </c>
      <c r="AB1266">
        <f>IF(AND(LEFT(N1266,7)="Explore",(AA1266-IF(LEFT(N1266,7)="Explore",S1266,0))&lt;10),"SI","NO")</f>
        <v/>
      </c>
    </row>
    <row r="1267">
      <c r="A1267" t="inlineStr">
        <is>
          <t>c16f3_training</t>
        </is>
      </c>
      <c r="B1267" t="inlineStr">
        <is>
          <t>2026-06-30 10:31:37.520</t>
        </is>
      </c>
      <c r="C1267" t="n">
        <v/>
      </c>
      <c r="D1267" t="inlineStr">
        <is>
          <t>Media file</t>
        </is>
      </c>
      <c r="E1267" t="inlineStr">
        <is>
          <t>player #1:C:/Users/manuel.felline/Documents/BEHAVIOR BTBR/NOR second cohort/BTBR/training/c16_f3.mp4</t>
        </is>
      </c>
      <c r="F1267" t="n">
        <v>-9.5</v>
      </c>
      <c r="G1267" t="n">
        <v>596.566</v>
      </c>
      <c r="H1267" t="n">
        <v>642.333</v>
      </c>
      <c r="I1267" t="n">
        <v>30</v>
      </c>
      <c r="J1267" t="inlineStr">
        <is>
          <t>BTBR</t>
        </is>
      </c>
      <c r="K1267" t="inlineStr">
        <is>
          <t xml:space="preserve"> Female</t>
        </is>
      </c>
      <c r="L1267" t="inlineStr">
        <is>
          <t>No focal subject</t>
        </is>
      </c>
      <c r="M1267" t="n">
        <v>32.705</v>
      </c>
      <c r="N1267" t="inlineStr">
        <is>
          <t>Explore_F2</t>
        </is>
      </c>
      <c r="O1267" t="inlineStr">
        <is>
          <t>Second familiar</t>
        </is>
      </c>
      <c r="P1267" t="inlineStr">
        <is>
          <t>STATE</t>
        </is>
      </c>
      <c r="Q1267" t="n">
        <v>48.233</v>
      </c>
      <c r="R1267" t="n">
        <v>48.5</v>
      </c>
      <c r="S1267" t="n">
        <v>0.267</v>
      </c>
      <c r="T1267" t="inlineStr">
        <is>
          <t>C:/Users/manuel.felline/Documents/BEHAVIOR BTBR/NOR second cohort/BTBR/training/c16_f3.mp4</t>
        </is>
      </c>
      <c r="U1267" t="n">
        <v>1732</v>
      </c>
      <c r="V1267" t="n">
        <v>1740</v>
      </c>
      <c r="W1267" t="n">
        <v/>
      </c>
      <c r="X1267" t="n">
        <v/>
      </c>
      <c r="Y1267" t="n">
        <v/>
      </c>
      <c r="Z1267" t="n">
        <v/>
      </c>
      <c r="AA1267">
        <f>SUMIFS($S$2:S1267,$A$2:A1267,A1267,$N$2:N1267,"Explore*")</f>
        <v/>
      </c>
      <c r="AB1267">
        <f>IF(AND(LEFT(N1267,7)="Explore",(AA1267-IF(LEFT(N1267,7)="Explore",S1267,0))&lt;10),"SI","NO")</f>
        <v/>
      </c>
    </row>
    <row r="1268">
      <c r="A1268" t="inlineStr">
        <is>
          <t>c16f3_training</t>
        </is>
      </c>
      <c r="B1268" t="inlineStr">
        <is>
          <t>2026-06-30 10:31:37.520</t>
        </is>
      </c>
      <c r="C1268" t="n">
        <v/>
      </c>
      <c r="D1268" t="inlineStr">
        <is>
          <t>Media file</t>
        </is>
      </c>
      <c r="E1268" t="inlineStr">
        <is>
          <t>player #1:C:/Users/manuel.felline/Documents/BEHAVIOR BTBR/NOR second cohort/BTBR/training/c16_f3.mp4</t>
        </is>
      </c>
      <c r="F1268" t="n">
        <v>-9.5</v>
      </c>
      <c r="G1268" t="n">
        <v>596.566</v>
      </c>
      <c r="H1268" t="n">
        <v>642.333</v>
      </c>
      <c r="I1268" t="n">
        <v>30</v>
      </c>
      <c r="J1268" t="inlineStr">
        <is>
          <t>BTBR</t>
        </is>
      </c>
      <c r="K1268" t="inlineStr">
        <is>
          <t xml:space="preserve"> Female</t>
        </is>
      </c>
      <c r="L1268" t="inlineStr">
        <is>
          <t>No focal subject</t>
        </is>
      </c>
      <c r="M1268" t="n">
        <v>32.705</v>
      </c>
      <c r="N1268" t="inlineStr">
        <is>
          <t>Explore_F</t>
        </is>
      </c>
      <c r="O1268" t="inlineStr">
        <is>
          <t>Familiar</t>
        </is>
      </c>
      <c r="P1268" t="inlineStr">
        <is>
          <t>STATE</t>
        </is>
      </c>
      <c r="Q1268" t="n">
        <v>49.567</v>
      </c>
      <c r="R1268" t="n">
        <v>50.2</v>
      </c>
      <c r="S1268" t="n">
        <v>0.633</v>
      </c>
      <c r="T1268" t="inlineStr">
        <is>
          <t>C:/Users/manuel.felline/Documents/BEHAVIOR BTBR/NOR second cohort/BTBR/training/c16_f3.mp4</t>
        </is>
      </c>
      <c r="U1268" t="n">
        <v>1772</v>
      </c>
      <c r="V1268" t="n">
        <v>1791</v>
      </c>
      <c r="W1268" t="n">
        <v/>
      </c>
      <c r="X1268" t="n">
        <v/>
      </c>
      <c r="Y1268" t="n">
        <v/>
      </c>
      <c r="Z1268" t="n">
        <v/>
      </c>
      <c r="AA1268">
        <f>SUMIFS($S$2:S1268,$A$2:A1268,A1268,$N$2:N1268,"Explore*")</f>
        <v/>
      </c>
      <c r="AB1268">
        <f>IF(AND(LEFT(N1268,7)="Explore",(AA1268-IF(LEFT(N1268,7)="Explore",S1268,0))&lt;10),"SI","NO")</f>
        <v/>
      </c>
    </row>
    <row r="1269">
      <c r="A1269" t="inlineStr">
        <is>
          <t>c16f3_training</t>
        </is>
      </c>
      <c r="B1269" t="inlineStr">
        <is>
          <t>2026-06-30 10:31:37.520</t>
        </is>
      </c>
      <c r="C1269" t="n">
        <v/>
      </c>
      <c r="D1269" t="inlineStr">
        <is>
          <t>Media file</t>
        </is>
      </c>
      <c r="E1269" t="inlineStr">
        <is>
          <t>player #1:C:/Users/manuel.felline/Documents/BEHAVIOR BTBR/NOR second cohort/BTBR/training/c16_f3.mp4</t>
        </is>
      </c>
      <c r="F1269" t="n">
        <v>-9.5</v>
      </c>
      <c r="G1269" t="n">
        <v>596.566</v>
      </c>
      <c r="H1269" t="n">
        <v>642.333</v>
      </c>
      <c r="I1269" t="n">
        <v>30</v>
      </c>
      <c r="J1269" t="inlineStr">
        <is>
          <t>BTBR</t>
        </is>
      </c>
      <c r="K1269" t="inlineStr">
        <is>
          <t xml:space="preserve"> Female</t>
        </is>
      </c>
      <c r="L1269" t="inlineStr">
        <is>
          <t>No focal subject</t>
        </is>
      </c>
      <c r="M1269" t="n">
        <v>32.705</v>
      </c>
      <c r="N1269" t="inlineStr">
        <is>
          <t>Explore_F2</t>
        </is>
      </c>
      <c r="O1269" t="inlineStr">
        <is>
          <t>Second familiar</t>
        </is>
      </c>
      <c r="P1269" t="inlineStr">
        <is>
          <t>STATE</t>
        </is>
      </c>
      <c r="Q1269" t="n">
        <v>51.133</v>
      </c>
      <c r="R1269" t="n">
        <v>51.567</v>
      </c>
      <c r="S1269" t="n">
        <v>0.434</v>
      </c>
      <c r="T1269" t="inlineStr">
        <is>
          <t>C:/Users/manuel.felline/Documents/BEHAVIOR BTBR/NOR second cohort/BTBR/training/c16_f3.mp4</t>
        </is>
      </c>
      <c r="U1269" t="n">
        <v>1820</v>
      </c>
      <c r="V1269" t="n">
        <v>1832</v>
      </c>
      <c r="W1269" t="n">
        <v/>
      </c>
      <c r="X1269" t="n">
        <v/>
      </c>
      <c r="Y1269" t="n">
        <v/>
      </c>
      <c r="Z1269" t="n">
        <v/>
      </c>
      <c r="AA1269">
        <f>SUMIFS($S$2:S1269,$A$2:A1269,A1269,$N$2:N1269,"Explore*")</f>
        <v/>
      </c>
      <c r="AB1269">
        <f>IF(AND(LEFT(N1269,7)="Explore",(AA1269-IF(LEFT(N1269,7)="Explore",S1269,0))&lt;10),"SI","NO")</f>
        <v/>
      </c>
    </row>
    <row r="1270">
      <c r="A1270" t="inlineStr">
        <is>
          <t>c16f3_training</t>
        </is>
      </c>
      <c r="B1270" t="inlineStr">
        <is>
          <t>2026-06-30 10:31:37.520</t>
        </is>
      </c>
      <c r="C1270" t="n">
        <v/>
      </c>
      <c r="D1270" t="inlineStr">
        <is>
          <t>Media file</t>
        </is>
      </c>
      <c r="E1270" t="inlineStr">
        <is>
          <t>player #1:C:/Users/manuel.felline/Documents/BEHAVIOR BTBR/NOR second cohort/BTBR/training/c16_f3.mp4</t>
        </is>
      </c>
      <c r="F1270" t="n">
        <v>-9.5</v>
      </c>
      <c r="G1270" t="n">
        <v>596.566</v>
      </c>
      <c r="H1270" t="n">
        <v>642.333</v>
      </c>
      <c r="I1270" t="n">
        <v>30</v>
      </c>
      <c r="J1270" t="inlineStr">
        <is>
          <t>BTBR</t>
        </is>
      </c>
      <c r="K1270" t="inlineStr">
        <is>
          <t xml:space="preserve"> Female</t>
        </is>
      </c>
      <c r="L1270" t="inlineStr">
        <is>
          <t>No focal subject</t>
        </is>
      </c>
      <c r="M1270" t="n">
        <v>32.705</v>
      </c>
      <c r="N1270" t="inlineStr">
        <is>
          <t>Explore_F</t>
        </is>
      </c>
      <c r="O1270" t="inlineStr">
        <is>
          <t>Familiar</t>
        </is>
      </c>
      <c r="P1270" t="inlineStr">
        <is>
          <t>STATE</t>
        </is>
      </c>
      <c r="Q1270" t="n">
        <v>56.133</v>
      </c>
      <c r="R1270" t="n">
        <v>57.167</v>
      </c>
      <c r="S1270" t="n">
        <v>1.034</v>
      </c>
      <c r="T1270" t="inlineStr">
        <is>
          <t>C:/Users/manuel.felline/Documents/BEHAVIOR BTBR/NOR second cohort/BTBR/training/c16_f3.mp4</t>
        </is>
      </c>
      <c r="U1270" t="n">
        <v>1969</v>
      </c>
      <c r="V1270" t="n">
        <v>2000</v>
      </c>
      <c r="W1270" t="n">
        <v/>
      </c>
      <c r="X1270" t="n">
        <v/>
      </c>
      <c r="Y1270" t="n">
        <v/>
      </c>
      <c r="Z1270" t="n">
        <v/>
      </c>
      <c r="AA1270">
        <f>SUMIFS($S$2:S1270,$A$2:A1270,A1270,$N$2:N1270,"Explore*")</f>
        <v/>
      </c>
      <c r="AB1270">
        <f>IF(AND(LEFT(N1270,7)="Explore",(AA1270-IF(LEFT(N1270,7)="Explore",S1270,0))&lt;10),"SI","NO")</f>
        <v/>
      </c>
    </row>
    <row r="1271">
      <c r="A1271" t="inlineStr">
        <is>
          <t>c16f3_training</t>
        </is>
      </c>
      <c r="B1271" t="inlineStr">
        <is>
          <t>2026-06-30 10:31:37.520</t>
        </is>
      </c>
      <c r="C1271" t="n">
        <v/>
      </c>
      <c r="D1271" t="inlineStr">
        <is>
          <t>Media file</t>
        </is>
      </c>
      <c r="E1271" t="inlineStr">
        <is>
          <t>player #1:C:/Users/manuel.felline/Documents/BEHAVIOR BTBR/NOR second cohort/BTBR/training/c16_f3.mp4</t>
        </is>
      </c>
      <c r="F1271" t="n">
        <v>-9.5</v>
      </c>
      <c r="G1271" t="n">
        <v>596.566</v>
      </c>
      <c r="H1271" t="n">
        <v>642.333</v>
      </c>
      <c r="I1271" t="n">
        <v>30</v>
      </c>
      <c r="J1271" t="inlineStr">
        <is>
          <t>BTBR</t>
        </is>
      </c>
      <c r="K1271" t="inlineStr">
        <is>
          <t xml:space="preserve"> Female</t>
        </is>
      </c>
      <c r="L1271" t="inlineStr">
        <is>
          <t>No focal subject</t>
        </is>
      </c>
      <c r="M1271" t="n">
        <v>32.705</v>
      </c>
      <c r="N1271" t="inlineStr">
        <is>
          <t>Explore_F2</t>
        </is>
      </c>
      <c r="O1271" t="inlineStr">
        <is>
          <t>Second familiar</t>
        </is>
      </c>
      <c r="P1271" t="inlineStr">
        <is>
          <t>STATE</t>
        </is>
      </c>
      <c r="Q1271" t="n">
        <v>68.467</v>
      </c>
      <c r="R1271" t="n">
        <v>68.767</v>
      </c>
      <c r="S1271" t="n">
        <v>0.3</v>
      </c>
      <c r="T1271" t="inlineStr">
        <is>
          <t>C:/Users/manuel.felline/Documents/BEHAVIOR BTBR/NOR second cohort/BTBR/training/c16_f3.mp4</t>
        </is>
      </c>
      <c r="U1271" t="n">
        <v>2339</v>
      </c>
      <c r="V1271" t="n">
        <v>2348</v>
      </c>
      <c r="W1271" t="n">
        <v/>
      </c>
      <c r="X1271" t="n">
        <v/>
      </c>
      <c r="Y1271" t="n">
        <v/>
      </c>
      <c r="Z1271" t="n">
        <v/>
      </c>
      <c r="AA1271">
        <f>SUMIFS($S$2:S1271,$A$2:A1271,A1271,$N$2:N1271,"Explore*")</f>
        <v/>
      </c>
      <c r="AB1271">
        <f>IF(AND(LEFT(N1271,7)="Explore",(AA1271-IF(LEFT(N1271,7)="Explore",S1271,0))&lt;10),"SI","NO")</f>
        <v/>
      </c>
    </row>
    <row r="1272">
      <c r="A1272" t="inlineStr">
        <is>
          <t>c16f3_training</t>
        </is>
      </c>
      <c r="B1272" t="inlineStr">
        <is>
          <t>2026-06-30 10:31:37.520</t>
        </is>
      </c>
      <c r="C1272" t="n">
        <v/>
      </c>
      <c r="D1272" t="inlineStr">
        <is>
          <t>Media file</t>
        </is>
      </c>
      <c r="E1272" t="inlineStr">
        <is>
          <t>player #1:C:/Users/manuel.felline/Documents/BEHAVIOR BTBR/NOR second cohort/BTBR/training/c16_f3.mp4</t>
        </is>
      </c>
      <c r="F1272" t="n">
        <v>-9.5</v>
      </c>
      <c r="G1272" t="n">
        <v>596.566</v>
      </c>
      <c r="H1272" t="n">
        <v>642.333</v>
      </c>
      <c r="I1272" t="n">
        <v>30</v>
      </c>
      <c r="J1272" t="inlineStr">
        <is>
          <t>BTBR</t>
        </is>
      </c>
      <c r="K1272" t="inlineStr">
        <is>
          <t xml:space="preserve"> Female</t>
        </is>
      </c>
      <c r="L1272" t="inlineStr">
        <is>
          <t>No focal subject</t>
        </is>
      </c>
      <c r="M1272" t="n">
        <v>32.705</v>
      </c>
      <c r="N1272" t="inlineStr">
        <is>
          <t>Explore_F2</t>
        </is>
      </c>
      <c r="O1272" t="inlineStr">
        <is>
          <t>Second familiar</t>
        </is>
      </c>
      <c r="P1272" t="inlineStr">
        <is>
          <t>STATE</t>
        </is>
      </c>
      <c r="Q1272" t="n">
        <v>69.633</v>
      </c>
      <c r="R1272" t="n">
        <v>70.533</v>
      </c>
      <c r="S1272" t="n">
        <v>0.9</v>
      </c>
      <c r="T1272" t="inlineStr">
        <is>
          <t>C:/Users/manuel.felline/Documents/BEHAVIOR BTBR/NOR second cohort/BTBR/training/c16_f3.mp4</t>
        </is>
      </c>
      <c r="U1272" t="n">
        <v>2374</v>
      </c>
      <c r="V1272" t="n">
        <v>2401</v>
      </c>
      <c r="W1272" t="n">
        <v/>
      </c>
      <c r="X1272" t="n">
        <v/>
      </c>
      <c r="Y1272" t="n">
        <v/>
      </c>
      <c r="Z1272" t="n">
        <v/>
      </c>
      <c r="AA1272">
        <f>SUMIFS($S$2:S1272,$A$2:A1272,A1272,$N$2:N1272,"Explore*")</f>
        <v/>
      </c>
      <c r="AB1272">
        <f>IF(AND(LEFT(N1272,7)="Explore",(AA1272-IF(LEFT(N1272,7)="Explore",S1272,0))&lt;10),"SI","NO")</f>
        <v/>
      </c>
    </row>
    <row r="1273">
      <c r="A1273" t="inlineStr">
        <is>
          <t>c16f3_training</t>
        </is>
      </c>
      <c r="B1273" t="inlineStr">
        <is>
          <t>2026-06-30 10:31:37.520</t>
        </is>
      </c>
      <c r="C1273" t="n">
        <v/>
      </c>
      <c r="D1273" t="inlineStr">
        <is>
          <t>Media file</t>
        </is>
      </c>
      <c r="E1273" t="inlineStr">
        <is>
          <t>player #1:C:/Users/manuel.felline/Documents/BEHAVIOR BTBR/NOR second cohort/BTBR/training/c16_f3.mp4</t>
        </is>
      </c>
      <c r="F1273" t="n">
        <v>-9.5</v>
      </c>
      <c r="G1273" t="n">
        <v>596.566</v>
      </c>
      <c r="H1273" t="n">
        <v>642.333</v>
      </c>
      <c r="I1273" t="n">
        <v>30</v>
      </c>
      <c r="J1273" t="inlineStr">
        <is>
          <t>BTBR</t>
        </is>
      </c>
      <c r="K1273" t="inlineStr">
        <is>
          <t xml:space="preserve"> Female</t>
        </is>
      </c>
      <c r="L1273" t="inlineStr">
        <is>
          <t>No focal subject</t>
        </is>
      </c>
      <c r="M1273" t="n">
        <v>32.705</v>
      </c>
      <c r="N1273" t="inlineStr">
        <is>
          <t>Explore_F</t>
        </is>
      </c>
      <c r="O1273" t="inlineStr">
        <is>
          <t>Familiar</t>
        </is>
      </c>
      <c r="P1273" t="inlineStr">
        <is>
          <t>STATE</t>
        </is>
      </c>
      <c r="Q1273" t="n">
        <v>79.867</v>
      </c>
      <c r="R1273" t="n">
        <v>80.633</v>
      </c>
      <c r="S1273" t="n">
        <v>0.766</v>
      </c>
      <c r="T1273" t="inlineStr">
        <is>
          <t>C:/Users/manuel.felline/Documents/BEHAVIOR BTBR/NOR second cohort/BTBR/training/c16_f3.mp4</t>
        </is>
      </c>
      <c r="U1273" t="n">
        <v>2681</v>
      </c>
      <c r="V1273" t="n">
        <v>2704</v>
      </c>
      <c r="W1273" t="n">
        <v/>
      </c>
      <c r="X1273" t="n">
        <v/>
      </c>
      <c r="Y1273" t="n">
        <v/>
      </c>
      <c r="Z1273" t="n">
        <v/>
      </c>
      <c r="AA1273">
        <f>SUMIFS($S$2:S1273,$A$2:A1273,A1273,$N$2:N1273,"Explore*")</f>
        <v/>
      </c>
      <c r="AB1273">
        <f>IF(AND(LEFT(N1273,7)="Explore",(AA1273-IF(LEFT(N1273,7)="Explore",S1273,0))&lt;10),"SI","NO")</f>
        <v/>
      </c>
    </row>
    <row r="1274">
      <c r="A1274" t="inlineStr">
        <is>
          <t>c16f3_training</t>
        </is>
      </c>
      <c r="B1274" t="inlineStr">
        <is>
          <t>2026-06-30 10:31:37.520</t>
        </is>
      </c>
      <c r="C1274" t="n">
        <v/>
      </c>
      <c r="D1274" t="inlineStr">
        <is>
          <t>Media file</t>
        </is>
      </c>
      <c r="E1274" t="inlineStr">
        <is>
          <t>player #1:C:/Users/manuel.felline/Documents/BEHAVIOR BTBR/NOR second cohort/BTBR/training/c16_f3.mp4</t>
        </is>
      </c>
      <c r="F1274" t="n">
        <v>-9.5</v>
      </c>
      <c r="G1274" t="n">
        <v>596.566</v>
      </c>
      <c r="H1274" t="n">
        <v>642.333</v>
      </c>
      <c r="I1274" t="n">
        <v>30</v>
      </c>
      <c r="J1274" t="inlineStr">
        <is>
          <t>BTBR</t>
        </is>
      </c>
      <c r="K1274" t="inlineStr">
        <is>
          <t xml:space="preserve"> Female</t>
        </is>
      </c>
      <c r="L1274" t="inlineStr">
        <is>
          <t>No focal subject</t>
        </is>
      </c>
      <c r="M1274" t="n">
        <v>32.705</v>
      </c>
      <c r="N1274" t="inlineStr">
        <is>
          <t>Explore_F2</t>
        </is>
      </c>
      <c r="O1274" t="inlineStr">
        <is>
          <t>Second familiar</t>
        </is>
      </c>
      <c r="P1274" t="inlineStr">
        <is>
          <t>STATE</t>
        </is>
      </c>
      <c r="Q1274" t="n">
        <v>85.833</v>
      </c>
      <c r="R1274" t="n">
        <v>86.167</v>
      </c>
      <c r="S1274" t="n">
        <v>0.334</v>
      </c>
      <c r="T1274" t="inlineStr">
        <is>
          <t>C:/Users/manuel.felline/Documents/BEHAVIOR BTBR/NOR second cohort/BTBR/training/c16_f3.mp4</t>
        </is>
      </c>
      <c r="U1274" t="n">
        <v>2860</v>
      </c>
      <c r="V1274" t="n">
        <v>2870</v>
      </c>
      <c r="W1274" t="n">
        <v/>
      </c>
      <c r="X1274" t="n">
        <v/>
      </c>
      <c r="Y1274" t="n">
        <v/>
      </c>
      <c r="Z1274" t="n">
        <v/>
      </c>
      <c r="AA1274">
        <f>SUMIFS($S$2:S1274,$A$2:A1274,A1274,$N$2:N1274,"Explore*")</f>
        <v/>
      </c>
      <c r="AB1274">
        <f>IF(AND(LEFT(N1274,7)="Explore",(AA1274-IF(LEFT(N1274,7)="Explore",S1274,0))&lt;10),"SI","NO")</f>
        <v/>
      </c>
    </row>
    <row r="1275">
      <c r="A1275" t="inlineStr">
        <is>
          <t>c16f3_training</t>
        </is>
      </c>
      <c r="B1275" t="inlineStr">
        <is>
          <t>2026-06-30 10:31:37.520</t>
        </is>
      </c>
      <c r="C1275" t="n">
        <v/>
      </c>
      <c r="D1275" t="inlineStr">
        <is>
          <t>Media file</t>
        </is>
      </c>
      <c r="E1275" t="inlineStr">
        <is>
          <t>player #1:C:/Users/manuel.felline/Documents/BEHAVIOR BTBR/NOR second cohort/BTBR/training/c16_f3.mp4</t>
        </is>
      </c>
      <c r="F1275" t="n">
        <v>-9.5</v>
      </c>
      <c r="G1275" t="n">
        <v>596.566</v>
      </c>
      <c r="H1275" t="n">
        <v>642.333</v>
      </c>
      <c r="I1275" t="n">
        <v>30</v>
      </c>
      <c r="J1275" t="inlineStr">
        <is>
          <t>BTBR</t>
        </is>
      </c>
      <c r="K1275" t="inlineStr">
        <is>
          <t xml:space="preserve"> Female</t>
        </is>
      </c>
      <c r="L1275" t="inlineStr">
        <is>
          <t>No focal subject</t>
        </is>
      </c>
      <c r="M1275" t="n">
        <v>32.705</v>
      </c>
      <c r="N1275" t="inlineStr">
        <is>
          <t>Explore_F2</t>
        </is>
      </c>
      <c r="O1275" t="inlineStr">
        <is>
          <t>Second familiar</t>
        </is>
      </c>
      <c r="P1275" t="inlineStr">
        <is>
          <t>STATE</t>
        </is>
      </c>
      <c r="Q1275" t="n">
        <v>90.367</v>
      </c>
      <c r="R1275" t="n">
        <v>90.667</v>
      </c>
      <c r="S1275" t="n">
        <v>0.3</v>
      </c>
      <c r="T1275" t="inlineStr">
        <is>
          <t>C:/Users/manuel.felline/Documents/BEHAVIOR BTBR/NOR second cohort/BTBR/training/c16_f3.mp4</t>
        </is>
      </c>
      <c r="U1275" t="n">
        <v>2996</v>
      </c>
      <c r="V1275" t="n">
        <v>3005</v>
      </c>
      <c r="W1275" t="n">
        <v/>
      </c>
      <c r="X1275" t="n">
        <v/>
      </c>
      <c r="Y1275" t="n">
        <v/>
      </c>
      <c r="Z1275" t="n">
        <v/>
      </c>
      <c r="AA1275">
        <f>SUMIFS($S$2:S1275,$A$2:A1275,A1275,$N$2:N1275,"Explore*")</f>
        <v/>
      </c>
      <c r="AB1275">
        <f>IF(AND(LEFT(N1275,7)="Explore",(AA1275-IF(LEFT(N1275,7)="Explore",S1275,0))&lt;10),"SI","NO")</f>
        <v/>
      </c>
    </row>
    <row r="1276">
      <c r="A1276" t="inlineStr">
        <is>
          <t>c16f3_training</t>
        </is>
      </c>
      <c r="B1276" t="inlineStr">
        <is>
          <t>2026-06-30 10:31:37.520</t>
        </is>
      </c>
      <c r="C1276" t="n">
        <v/>
      </c>
      <c r="D1276" t="inlineStr">
        <is>
          <t>Media file</t>
        </is>
      </c>
      <c r="E1276" t="inlineStr">
        <is>
          <t>player #1:C:/Users/manuel.felline/Documents/BEHAVIOR BTBR/NOR second cohort/BTBR/training/c16_f3.mp4</t>
        </is>
      </c>
      <c r="F1276" t="n">
        <v>-9.5</v>
      </c>
      <c r="G1276" t="n">
        <v>596.566</v>
      </c>
      <c r="H1276" t="n">
        <v>642.333</v>
      </c>
      <c r="I1276" t="n">
        <v>30</v>
      </c>
      <c r="J1276" t="inlineStr">
        <is>
          <t>BTBR</t>
        </is>
      </c>
      <c r="K1276" t="inlineStr">
        <is>
          <t xml:space="preserve"> Female</t>
        </is>
      </c>
      <c r="L1276" t="inlineStr">
        <is>
          <t>No focal subject</t>
        </is>
      </c>
      <c r="M1276" t="n">
        <v>32.705</v>
      </c>
      <c r="N1276" t="inlineStr">
        <is>
          <t>Explore_F2</t>
        </is>
      </c>
      <c r="O1276" t="inlineStr">
        <is>
          <t>Second familiar</t>
        </is>
      </c>
      <c r="P1276" t="inlineStr">
        <is>
          <t>STATE</t>
        </is>
      </c>
      <c r="Q1276" t="n">
        <v>94.767</v>
      </c>
      <c r="R1276" t="n">
        <v>95.06699999999999</v>
      </c>
      <c r="S1276" t="n">
        <v>0.3</v>
      </c>
      <c r="T1276" t="inlineStr">
        <is>
          <t>C:/Users/manuel.felline/Documents/BEHAVIOR BTBR/NOR second cohort/BTBR/training/c16_f3.mp4</t>
        </is>
      </c>
      <c r="U1276" t="n">
        <v>3128</v>
      </c>
      <c r="V1276" t="n">
        <v>3137</v>
      </c>
      <c r="W1276" t="n">
        <v/>
      </c>
      <c r="X1276" t="n">
        <v/>
      </c>
      <c r="Y1276" t="n">
        <v/>
      </c>
      <c r="Z1276" t="n">
        <v/>
      </c>
      <c r="AA1276">
        <f>SUMIFS($S$2:S1276,$A$2:A1276,A1276,$N$2:N1276,"Explore*")</f>
        <v/>
      </c>
      <c r="AB1276">
        <f>IF(AND(LEFT(N1276,7)="Explore",(AA1276-IF(LEFT(N1276,7)="Explore",S1276,0))&lt;10),"SI","NO")</f>
        <v/>
      </c>
    </row>
    <row r="1277">
      <c r="A1277" t="inlineStr">
        <is>
          <t>c16f3_training</t>
        </is>
      </c>
      <c r="B1277" t="inlineStr">
        <is>
          <t>2026-06-30 10:31:37.520</t>
        </is>
      </c>
      <c r="C1277" t="n">
        <v/>
      </c>
      <c r="D1277" t="inlineStr">
        <is>
          <t>Media file</t>
        </is>
      </c>
      <c r="E1277" t="inlineStr">
        <is>
          <t>player #1:C:/Users/manuel.felline/Documents/BEHAVIOR BTBR/NOR second cohort/BTBR/training/c16_f3.mp4</t>
        </is>
      </c>
      <c r="F1277" t="n">
        <v>-9.5</v>
      </c>
      <c r="G1277" t="n">
        <v>596.566</v>
      </c>
      <c r="H1277" t="n">
        <v>642.333</v>
      </c>
      <c r="I1277" t="n">
        <v>30</v>
      </c>
      <c r="J1277" t="inlineStr">
        <is>
          <t>BTBR</t>
        </is>
      </c>
      <c r="K1277" t="inlineStr">
        <is>
          <t xml:space="preserve"> Female</t>
        </is>
      </c>
      <c r="L1277" t="inlineStr">
        <is>
          <t>No focal subject</t>
        </is>
      </c>
      <c r="M1277" t="n">
        <v>32.705</v>
      </c>
      <c r="N1277" t="inlineStr">
        <is>
          <t>Explore_F2</t>
        </is>
      </c>
      <c r="O1277" t="inlineStr">
        <is>
          <t>Second familiar</t>
        </is>
      </c>
      <c r="P1277" t="inlineStr">
        <is>
          <t>STATE</t>
        </is>
      </c>
      <c r="Q1277" t="n">
        <v>95.633</v>
      </c>
      <c r="R1277" t="n">
        <v>96.267</v>
      </c>
      <c r="S1277" t="n">
        <v>0.634</v>
      </c>
      <c r="T1277" t="inlineStr">
        <is>
          <t>C:/Users/manuel.felline/Documents/BEHAVIOR BTBR/NOR second cohort/BTBR/training/c16_f3.mp4</t>
        </is>
      </c>
      <c r="U1277" t="n">
        <v>3154</v>
      </c>
      <c r="V1277" t="n">
        <v>3173</v>
      </c>
      <c r="W1277" t="n">
        <v/>
      </c>
      <c r="X1277" t="n">
        <v/>
      </c>
      <c r="Y1277" t="n">
        <v/>
      </c>
      <c r="Z1277" t="n">
        <v/>
      </c>
      <c r="AA1277">
        <f>SUMIFS($S$2:S1277,$A$2:A1277,A1277,$N$2:N1277,"Explore*")</f>
        <v/>
      </c>
      <c r="AB1277">
        <f>IF(AND(LEFT(N1277,7)="Explore",(AA1277-IF(LEFT(N1277,7)="Explore",S1277,0))&lt;10),"SI","NO")</f>
        <v/>
      </c>
    </row>
    <row r="1278">
      <c r="A1278" t="inlineStr">
        <is>
          <t>c16f3_training</t>
        </is>
      </c>
      <c r="B1278" t="inlineStr">
        <is>
          <t>2026-06-30 10:31:37.520</t>
        </is>
      </c>
      <c r="C1278" t="n">
        <v/>
      </c>
      <c r="D1278" t="inlineStr">
        <is>
          <t>Media file</t>
        </is>
      </c>
      <c r="E1278" t="inlineStr">
        <is>
          <t>player #1:C:/Users/manuel.felline/Documents/BEHAVIOR BTBR/NOR second cohort/BTBR/training/c16_f3.mp4</t>
        </is>
      </c>
      <c r="F1278" t="n">
        <v>-9.5</v>
      </c>
      <c r="G1278" t="n">
        <v>596.566</v>
      </c>
      <c r="H1278" t="n">
        <v>642.333</v>
      </c>
      <c r="I1278" t="n">
        <v>30</v>
      </c>
      <c r="J1278" t="inlineStr">
        <is>
          <t>BTBR</t>
        </is>
      </c>
      <c r="K1278" t="inlineStr">
        <is>
          <t xml:space="preserve"> Female</t>
        </is>
      </c>
      <c r="L1278" t="inlineStr">
        <is>
          <t>No focal subject</t>
        </is>
      </c>
      <c r="M1278" t="n">
        <v>32.705</v>
      </c>
      <c r="N1278" t="inlineStr">
        <is>
          <t>Explore_F</t>
        </is>
      </c>
      <c r="O1278" t="inlineStr">
        <is>
          <t>Familiar</t>
        </is>
      </c>
      <c r="P1278" t="inlineStr">
        <is>
          <t>STATE</t>
        </is>
      </c>
      <c r="Q1278" t="n">
        <v>101.933</v>
      </c>
      <c r="R1278" t="n">
        <v>102.5</v>
      </c>
      <c r="S1278" t="n">
        <v>0.5669999999999999</v>
      </c>
      <c r="T1278" t="inlineStr">
        <is>
          <t>C:/Users/manuel.felline/Documents/BEHAVIOR BTBR/NOR second cohort/BTBR/training/c16_f3.mp4</t>
        </is>
      </c>
      <c r="U1278" t="n">
        <v>3343</v>
      </c>
      <c r="V1278" t="n">
        <v>3360</v>
      </c>
      <c r="W1278" t="n">
        <v/>
      </c>
      <c r="X1278" t="n">
        <v/>
      </c>
      <c r="Y1278" t="n">
        <v/>
      </c>
      <c r="Z1278" t="n">
        <v/>
      </c>
      <c r="AA1278">
        <f>SUMIFS($S$2:S1278,$A$2:A1278,A1278,$N$2:N1278,"Explore*")</f>
        <v/>
      </c>
      <c r="AB1278">
        <f>IF(AND(LEFT(N1278,7)="Explore",(AA1278-IF(LEFT(N1278,7)="Explore",S1278,0))&lt;10),"SI","NO")</f>
        <v/>
      </c>
    </row>
    <row r="1279">
      <c r="A1279" t="inlineStr">
        <is>
          <t>c16f3_training</t>
        </is>
      </c>
      <c r="B1279" t="inlineStr">
        <is>
          <t>2026-06-30 10:31:37.520</t>
        </is>
      </c>
      <c r="C1279" t="n">
        <v/>
      </c>
      <c r="D1279" t="inlineStr">
        <is>
          <t>Media file</t>
        </is>
      </c>
      <c r="E1279" t="inlineStr">
        <is>
          <t>player #1:C:/Users/manuel.felline/Documents/BEHAVIOR BTBR/NOR second cohort/BTBR/training/c16_f3.mp4</t>
        </is>
      </c>
      <c r="F1279" t="n">
        <v>-9.5</v>
      </c>
      <c r="G1279" t="n">
        <v>596.566</v>
      </c>
      <c r="H1279" t="n">
        <v>642.333</v>
      </c>
      <c r="I1279" t="n">
        <v>30</v>
      </c>
      <c r="J1279" t="inlineStr">
        <is>
          <t>BTBR</t>
        </is>
      </c>
      <c r="K1279" t="inlineStr">
        <is>
          <t xml:space="preserve"> Female</t>
        </is>
      </c>
      <c r="L1279" t="inlineStr">
        <is>
          <t>No focal subject</t>
        </is>
      </c>
      <c r="M1279" t="n">
        <v>32.705</v>
      </c>
      <c r="N1279" t="inlineStr">
        <is>
          <t>Explore_F2</t>
        </is>
      </c>
      <c r="O1279" t="inlineStr">
        <is>
          <t>Second familiar</t>
        </is>
      </c>
      <c r="P1279" t="inlineStr">
        <is>
          <t>STATE</t>
        </is>
      </c>
      <c r="Q1279" t="n">
        <v>111.067</v>
      </c>
      <c r="R1279" t="n">
        <v>111.367</v>
      </c>
      <c r="S1279" t="n">
        <v>0.3</v>
      </c>
      <c r="T1279" t="inlineStr">
        <is>
          <t>C:/Users/manuel.felline/Documents/BEHAVIOR BTBR/NOR second cohort/BTBR/training/c16_f3.mp4</t>
        </is>
      </c>
      <c r="U1279" t="n">
        <v>3617</v>
      </c>
      <c r="V1279" t="n">
        <v>3626</v>
      </c>
      <c r="W1279" t="n">
        <v/>
      </c>
      <c r="X1279" t="n">
        <v/>
      </c>
      <c r="Y1279" t="n">
        <v/>
      </c>
      <c r="Z1279" t="n">
        <v/>
      </c>
      <c r="AA1279">
        <f>SUMIFS($S$2:S1279,$A$2:A1279,A1279,$N$2:N1279,"Explore*")</f>
        <v/>
      </c>
      <c r="AB1279">
        <f>IF(AND(LEFT(N1279,7)="Explore",(AA1279-IF(LEFT(N1279,7)="Explore",S1279,0))&lt;10),"SI","NO")</f>
        <v/>
      </c>
    </row>
    <row r="1280">
      <c r="A1280" t="inlineStr">
        <is>
          <t>c16f3_training</t>
        </is>
      </c>
      <c r="B1280" t="inlineStr">
        <is>
          <t>2026-06-30 10:31:37.520</t>
        </is>
      </c>
      <c r="C1280" t="n">
        <v/>
      </c>
      <c r="D1280" t="inlineStr">
        <is>
          <t>Media file</t>
        </is>
      </c>
      <c r="E1280" t="inlineStr">
        <is>
          <t>player #1:C:/Users/manuel.felline/Documents/BEHAVIOR BTBR/NOR second cohort/BTBR/training/c16_f3.mp4</t>
        </is>
      </c>
      <c r="F1280" t="n">
        <v>-9.5</v>
      </c>
      <c r="G1280" t="n">
        <v>596.566</v>
      </c>
      <c r="H1280" t="n">
        <v>642.333</v>
      </c>
      <c r="I1280" t="n">
        <v>30</v>
      </c>
      <c r="J1280" t="inlineStr">
        <is>
          <t>BTBR</t>
        </is>
      </c>
      <c r="K1280" t="inlineStr">
        <is>
          <t xml:space="preserve"> Female</t>
        </is>
      </c>
      <c r="L1280" t="inlineStr">
        <is>
          <t>No focal subject</t>
        </is>
      </c>
      <c r="M1280" t="n">
        <v>32.705</v>
      </c>
      <c r="N1280" t="inlineStr">
        <is>
          <t>Explore_F</t>
        </is>
      </c>
      <c r="O1280" t="inlineStr">
        <is>
          <t>Familiar</t>
        </is>
      </c>
      <c r="P1280" t="inlineStr">
        <is>
          <t>STATE</t>
        </is>
      </c>
      <c r="Q1280" t="n">
        <v>118.133</v>
      </c>
      <c r="R1280" t="n">
        <v>118.467</v>
      </c>
      <c r="S1280" t="n">
        <v>0.334</v>
      </c>
      <c r="T1280" t="inlineStr">
        <is>
          <t>C:/Users/manuel.felline/Documents/BEHAVIOR BTBR/NOR second cohort/BTBR/training/c16_f3.mp4</t>
        </is>
      </c>
      <c r="U1280" t="n">
        <v>3829</v>
      </c>
      <c r="V1280" t="n">
        <v>3839</v>
      </c>
      <c r="W1280" t="n">
        <v/>
      </c>
      <c r="X1280" t="n">
        <v/>
      </c>
      <c r="Y1280" t="n">
        <v/>
      </c>
      <c r="Z1280" t="n">
        <v/>
      </c>
      <c r="AA1280">
        <f>SUMIFS($S$2:S1280,$A$2:A1280,A1280,$N$2:N1280,"Explore*")</f>
        <v/>
      </c>
      <c r="AB1280">
        <f>IF(AND(LEFT(N1280,7)="Explore",(AA1280-IF(LEFT(N1280,7)="Explore",S1280,0))&lt;10),"SI","NO")</f>
        <v/>
      </c>
    </row>
    <row r="1281">
      <c r="A1281" t="inlineStr">
        <is>
          <t>c16f3_training</t>
        </is>
      </c>
      <c r="B1281" t="inlineStr">
        <is>
          <t>2026-06-30 10:31:37.520</t>
        </is>
      </c>
      <c r="C1281" t="n">
        <v/>
      </c>
      <c r="D1281" t="inlineStr">
        <is>
          <t>Media file</t>
        </is>
      </c>
      <c r="E1281" t="inlineStr">
        <is>
          <t>player #1:C:/Users/manuel.felline/Documents/BEHAVIOR BTBR/NOR second cohort/BTBR/training/c16_f3.mp4</t>
        </is>
      </c>
      <c r="F1281" t="n">
        <v>-9.5</v>
      </c>
      <c r="G1281" t="n">
        <v>596.566</v>
      </c>
      <c r="H1281" t="n">
        <v>642.333</v>
      </c>
      <c r="I1281" t="n">
        <v>30</v>
      </c>
      <c r="J1281" t="inlineStr">
        <is>
          <t>BTBR</t>
        </is>
      </c>
      <c r="K1281" t="inlineStr">
        <is>
          <t xml:space="preserve"> Female</t>
        </is>
      </c>
      <c r="L1281" t="inlineStr">
        <is>
          <t>No focal subject</t>
        </is>
      </c>
      <c r="M1281" t="n">
        <v>32.705</v>
      </c>
      <c r="N1281" t="inlineStr">
        <is>
          <t>Explore_F2</t>
        </is>
      </c>
      <c r="O1281" t="inlineStr">
        <is>
          <t>Second familiar</t>
        </is>
      </c>
      <c r="P1281" t="inlineStr">
        <is>
          <t>STATE</t>
        </is>
      </c>
      <c r="Q1281" t="n">
        <v>125.533</v>
      </c>
      <c r="R1281" t="n">
        <v>126.167</v>
      </c>
      <c r="S1281" t="n">
        <v>0.634</v>
      </c>
      <c r="T1281" t="inlineStr">
        <is>
          <t>C:/Users/manuel.felline/Documents/BEHAVIOR BTBR/NOR second cohort/BTBR/training/c16_f3.mp4</t>
        </is>
      </c>
      <c r="U1281" t="n">
        <v>4051</v>
      </c>
      <c r="V1281" t="n">
        <v>4070</v>
      </c>
      <c r="W1281" t="n">
        <v/>
      </c>
      <c r="X1281" t="n">
        <v/>
      </c>
      <c r="Y1281" t="n">
        <v/>
      </c>
      <c r="Z1281" t="n">
        <v/>
      </c>
      <c r="AA1281">
        <f>SUMIFS($S$2:S1281,$A$2:A1281,A1281,$N$2:N1281,"Explore*")</f>
        <v/>
      </c>
      <c r="AB1281">
        <f>IF(AND(LEFT(N1281,7)="Explore",(AA1281-IF(LEFT(N1281,7)="Explore",S1281,0))&lt;10),"SI","NO")</f>
        <v/>
      </c>
    </row>
    <row r="1282">
      <c r="A1282" t="inlineStr">
        <is>
          <t>c16f3_training</t>
        </is>
      </c>
      <c r="B1282" t="inlineStr">
        <is>
          <t>2026-06-30 10:31:37.520</t>
        </is>
      </c>
      <c r="C1282" t="n">
        <v/>
      </c>
      <c r="D1282" t="inlineStr">
        <is>
          <t>Media file</t>
        </is>
      </c>
      <c r="E1282" t="inlineStr">
        <is>
          <t>player #1:C:/Users/manuel.felline/Documents/BEHAVIOR BTBR/NOR second cohort/BTBR/training/c16_f3.mp4</t>
        </is>
      </c>
      <c r="F1282" t="n">
        <v>-9.5</v>
      </c>
      <c r="G1282" t="n">
        <v>596.566</v>
      </c>
      <c r="H1282" t="n">
        <v>642.333</v>
      </c>
      <c r="I1282" t="n">
        <v>30</v>
      </c>
      <c r="J1282" t="inlineStr">
        <is>
          <t>BTBR</t>
        </is>
      </c>
      <c r="K1282" t="inlineStr">
        <is>
          <t xml:space="preserve"> Female</t>
        </is>
      </c>
      <c r="L1282" t="inlineStr">
        <is>
          <t>No focal subject</t>
        </is>
      </c>
      <c r="M1282" t="n">
        <v>32.705</v>
      </c>
      <c r="N1282" t="inlineStr">
        <is>
          <t>Explore_F</t>
        </is>
      </c>
      <c r="O1282" t="inlineStr">
        <is>
          <t>Familiar</t>
        </is>
      </c>
      <c r="P1282" t="inlineStr">
        <is>
          <t>STATE</t>
        </is>
      </c>
      <c r="Q1282" t="n">
        <v>130.767</v>
      </c>
      <c r="R1282" t="n">
        <v>131.233</v>
      </c>
      <c r="S1282" t="n">
        <v>0.466</v>
      </c>
      <c r="T1282" t="inlineStr">
        <is>
          <t>C:/Users/manuel.felline/Documents/BEHAVIOR BTBR/NOR second cohort/BTBR/training/c16_f3.mp4</t>
        </is>
      </c>
      <c r="U1282" t="n">
        <v>4208</v>
      </c>
      <c r="V1282" t="n">
        <v>4222</v>
      </c>
      <c r="W1282" t="n">
        <v/>
      </c>
      <c r="X1282" t="n">
        <v/>
      </c>
      <c r="Y1282" t="n">
        <v/>
      </c>
      <c r="Z1282" t="n">
        <v/>
      </c>
      <c r="AA1282">
        <f>SUMIFS($S$2:S1282,$A$2:A1282,A1282,$N$2:N1282,"Explore*")</f>
        <v/>
      </c>
      <c r="AB1282">
        <f>IF(AND(LEFT(N1282,7)="Explore",(AA1282-IF(LEFT(N1282,7)="Explore",S1282,0))&lt;10),"SI","NO")</f>
        <v/>
      </c>
    </row>
    <row r="1283">
      <c r="A1283" t="inlineStr">
        <is>
          <t>c16f3_training</t>
        </is>
      </c>
      <c r="B1283" t="inlineStr">
        <is>
          <t>2026-06-30 10:31:37.520</t>
        </is>
      </c>
      <c r="C1283" t="n">
        <v/>
      </c>
      <c r="D1283" t="inlineStr">
        <is>
          <t>Media file</t>
        </is>
      </c>
      <c r="E1283" t="inlineStr">
        <is>
          <t>player #1:C:/Users/manuel.felline/Documents/BEHAVIOR BTBR/NOR second cohort/BTBR/training/c16_f3.mp4</t>
        </is>
      </c>
      <c r="F1283" t="n">
        <v>-9.5</v>
      </c>
      <c r="G1283" t="n">
        <v>596.566</v>
      </c>
      <c r="H1283" t="n">
        <v>642.333</v>
      </c>
      <c r="I1283" t="n">
        <v>30</v>
      </c>
      <c r="J1283" t="inlineStr">
        <is>
          <t>BTBR</t>
        </is>
      </c>
      <c r="K1283" t="inlineStr">
        <is>
          <t xml:space="preserve"> Female</t>
        </is>
      </c>
      <c r="L1283" t="inlineStr">
        <is>
          <t>No focal subject</t>
        </is>
      </c>
      <c r="M1283" t="n">
        <v>32.705</v>
      </c>
      <c r="N1283" t="inlineStr">
        <is>
          <t>Explore_F2</t>
        </is>
      </c>
      <c r="O1283" t="inlineStr">
        <is>
          <t>Second familiar</t>
        </is>
      </c>
      <c r="P1283" t="inlineStr">
        <is>
          <t>STATE</t>
        </is>
      </c>
      <c r="Q1283" t="n">
        <v>135.8</v>
      </c>
      <c r="R1283" t="n">
        <v>136.267</v>
      </c>
      <c r="S1283" t="n">
        <v>0.467</v>
      </c>
      <c r="T1283" t="inlineStr">
        <is>
          <t>C:/Users/manuel.felline/Documents/BEHAVIOR BTBR/NOR second cohort/BTBR/training/c16_f3.mp4</t>
        </is>
      </c>
      <c r="U1283" t="n">
        <v>4359</v>
      </c>
      <c r="V1283" t="n">
        <v>4373</v>
      </c>
      <c r="W1283" t="n">
        <v/>
      </c>
      <c r="X1283" t="n">
        <v/>
      </c>
      <c r="Y1283" t="n">
        <v/>
      </c>
      <c r="Z1283" t="n">
        <v/>
      </c>
      <c r="AA1283">
        <f>SUMIFS($S$2:S1283,$A$2:A1283,A1283,$N$2:N1283,"Explore*")</f>
        <v/>
      </c>
      <c r="AB1283">
        <f>IF(AND(LEFT(N1283,7)="Explore",(AA1283-IF(LEFT(N1283,7)="Explore",S1283,0))&lt;10),"SI","NO")</f>
        <v/>
      </c>
    </row>
    <row r="1284">
      <c r="A1284" t="inlineStr">
        <is>
          <t>c16f3_training</t>
        </is>
      </c>
      <c r="B1284" t="inlineStr">
        <is>
          <t>2026-06-30 10:31:37.520</t>
        </is>
      </c>
      <c r="C1284" t="n">
        <v/>
      </c>
      <c r="D1284" t="inlineStr">
        <is>
          <t>Media file</t>
        </is>
      </c>
      <c r="E1284" t="inlineStr">
        <is>
          <t>player #1:C:/Users/manuel.felline/Documents/BEHAVIOR BTBR/NOR second cohort/BTBR/training/c16_f3.mp4</t>
        </is>
      </c>
      <c r="F1284" t="n">
        <v>-9.5</v>
      </c>
      <c r="G1284" t="n">
        <v>596.566</v>
      </c>
      <c r="H1284" t="n">
        <v>642.333</v>
      </c>
      <c r="I1284" t="n">
        <v>30</v>
      </c>
      <c r="J1284" t="inlineStr">
        <is>
          <t>BTBR</t>
        </is>
      </c>
      <c r="K1284" t="inlineStr">
        <is>
          <t xml:space="preserve"> Female</t>
        </is>
      </c>
      <c r="L1284" t="inlineStr">
        <is>
          <t>No focal subject</t>
        </is>
      </c>
      <c r="M1284" t="n">
        <v>32.705</v>
      </c>
      <c r="N1284" t="inlineStr">
        <is>
          <t>Explore_F</t>
        </is>
      </c>
      <c r="O1284" t="inlineStr">
        <is>
          <t>Familiar</t>
        </is>
      </c>
      <c r="P1284" t="inlineStr">
        <is>
          <t>STATE</t>
        </is>
      </c>
      <c r="Q1284" t="n">
        <v>153.133</v>
      </c>
      <c r="R1284" t="n">
        <v>153.6</v>
      </c>
      <c r="S1284" t="n">
        <v>0.467</v>
      </c>
      <c r="T1284" t="inlineStr">
        <is>
          <t>C:/Users/manuel.felline/Documents/BEHAVIOR BTBR/NOR second cohort/BTBR/training/c16_f3.mp4</t>
        </is>
      </c>
      <c r="U1284" t="n">
        <v>4879</v>
      </c>
      <c r="V1284" t="n">
        <v>4893</v>
      </c>
      <c r="W1284" t="n">
        <v/>
      </c>
      <c r="X1284" t="n">
        <v/>
      </c>
      <c r="Y1284" t="n">
        <v/>
      </c>
      <c r="Z1284" t="n">
        <v/>
      </c>
      <c r="AA1284">
        <f>SUMIFS($S$2:S1284,$A$2:A1284,A1284,$N$2:N1284,"Explore*")</f>
        <v/>
      </c>
      <c r="AB1284">
        <f>IF(AND(LEFT(N1284,7)="Explore",(AA1284-IF(LEFT(N1284,7)="Explore",S1284,0))&lt;10),"SI","NO")</f>
        <v/>
      </c>
    </row>
    <row r="1285">
      <c r="A1285" t="inlineStr">
        <is>
          <t>c16f3_training</t>
        </is>
      </c>
      <c r="B1285" t="inlineStr">
        <is>
          <t>2026-06-30 10:31:37.520</t>
        </is>
      </c>
      <c r="C1285" t="n">
        <v/>
      </c>
      <c r="D1285" t="inlineStr">
        <is>
          <t>Media file</t>
        </is>
      </c>
      <c r="E1285" t="inlineStr">
        <is>
          <t>player #1:C:/Users/manuel.felline/Documents/BEHAVIOR BTBR/NOR second cohort/BTBR/training/c16_f3.mp4</t>
        </is>
      </c>
      <c r="F1285" t="n">
        <v>-9.5</v>
      </c>
      <c r="G1285" t="n">
        <v>596.566</v>
      </c>
      <c r="H1285" t="n">
        <v>642.333</v>
      </c>
      <c r="I1285" t="n">
        <v>30</v>
      </c>
      <c r="J1285" t="inlineStr">
        <is>
          <t>BTBR</t>
        </is>
      </c>
      <c r="K1285" t="inlineStr">
        <is>
          <t xml:space="preserve"> Female</t>
        </is>
      </c>
      <c r="L1285" t="inlineStr">
        <is>
          <t>No focal subject</t>
        </is>
      </c>
      <c r="M1285" t="n">
        <v>32.705</v>
      </c>
      <c r="N1285" t="inlineStr">
        <is>
          <t>Explore_F2</t>
        </is>
      </c>
      <c r="O1285" t="inlineStr">
        <is>
          <t>Second familiar</t>
        </is>
      </c>
      <c r="P1285" t="inlineStr">
        <is>
          <t>STATE</t>
        </is>
      </c>
      <c r="Q1285" t="n">
        <v>160.133</v>
      </c>
      <c r="R1285" t="n">
        <v>162.1</v>
      </c>
      <c r="S1285" t="n">
        <v>1.967</v>
      </c>
      <c r="T1285" t="inlineStr">
        <is>
          <t>C:/Users/manuel.felline/Documents/BEHAVIOR BTBR/NOR second cohort/BTBR/training/c16_f3.mp4</t>
        </is>
      </c>
      <c r="U1285" t="n">
        <v>5089</v>
      </c>
      <c r="V1285" t="n">
        <v>5148</v>
      </c>
      <c r="W1285" t="n">
        <v/>
      </c>
      <c r="X1285" t="n">
        <v/>
      </c>
      <c r="Y1285" t="n">
        <v/>
      </c>
      <c r="Z1285" t="n">
        <v/>
      </c>
      <c r="AA1285">
        <f>SUMIFS($S$2:S1285,$A$2:A1285,A1285,$N$2:N1285,"Explore*")</f>
        <v/>
      </c>
      <c r="AB1285">
        <f>IF(AND(LEFT(N1285,7)="Explore",(AA1285-IF(LEFT(N1285,7)="Explore",S1285,0))&lt;10),"SI","NO")</f>
        <v/>
      </c>
    </row>
    <row r="1286">
      <c r="A1286" t="inlineStr">
        <is>
          <t>c16f3_training</t>
        </is>
      </c>
      <c r="B1286" t="inlineStr">
        <is>
          <t>2026-06-30 10:31:37.520</t>
        </is>
      </c>
      <c r="C1286" t="n">
        <v/>
      </c>
      <c r="D1286" t="inlineStr">
        <is>
          <t>Media file</t>
        </is>
      </c>
      <c r="E1286" t="inlineStr">
        <is>
          <t>player #1:C:/Users/manuel.felline/Documents/BEHAVIOR BTBR/NOR second cohort/BTBR/training/c16_f3.mp4</t>
        </is>
      </c>
      <c r="F1286" t="n">
        <v>-9.5</v>
      </c>
      <c r="G1286" t="n">
        <v>596.566</v>
      </c>
      <c r="H1286" t="n">
        <v>642.333</v>
      </c>
      <c r="I1286" t="n">
        <v>30</v>
      </c>
      <c r="J1286" t="inlineStr">
        <is>
          <t>BTBR</t>
        </is>
      </c>
      <c r="K1286" t="inlineStr">
        <is>
          <t xml:space="preserve"> Female</t>
        </is>
      </c>
      <c r="L1286" t="inlineStr">
        <is>
          <t>No focal subject</t>
        </is>
      </c>
      <c r="M1286" t="n">
        <v>32.705</v>
      </c>
      <c r="N1286" t="inlineStr">
        <is>
          <t>Explore_F</t>
        </is>
      </c>
      <c r="O1286" t="inlineStr">
        <is>
          <t>Familiar</t>
        </is>
      </c>
      <c r="P1286" t="inlineStr">
        <is>
          <t>STATE</t>
        </is>
      </c>
      <c r="Q1286" t="n">
        <v>167.366</v>
      </c>
      <c r="R1286" t="n">
        <v>167.833</v>
      </c>
      <c r="S1286" t="n">
        <v>0.467</v>
      </c>
      <c r="T1286" t="inlineStr">
        <is>
          <t>C:/Users/manuel.felline/Documents/BEHAVIOR BTBR/NOR second cohort/BTBR/training/c16_f3.mp4</t>
        </is>
      </c>
      <c r="U1286" t="n">
        <v>5306</v>
      </c>
      <c r="V1286" t="n">
        <v>5320</v>
      </c>
      <c r="W1286" t="n">
        <v/>
      </c>
      <c r="X1286" t="n">
        <v/>
      </c>
      <c r="Y1286" t="n">
        <v/>
      </c>
      <c r="Z1286" t="n">
        <v/>
      </c>
      <c r="AA1286">
        <f>SUMIFS($S$2:S1286,$A$2:A1286,A1286,$N$2:N1286,"Explore*")</f>
        <v/>
      </c>
      <c r="AB1286">
        <f>IF(AND(LEFT(N1286,7)="Explore",(AA1286-IF(LEFT(N1286,7)="Explore",S1286,0))&lt;10),"SI","NO")</f>
        <v/>
      </c>
    </row>
    <row r="1287">
      <c r="A1287" t="inlineStr">
        <is>
          <t>c16f3_training</t>
        </is>
      </c>
      <c r="B1287" t="inlineStr">
        <is>
          <t>2026-06-30 10:31:37.520</t>
        </is>
      </c>
      <c r="C1287" t="n">
        <v/>
      </c>
      <c r="D1287" t="inlineStr">
        <is>
          <t>Media file</t>
        </is>
      </c>
      <c r="E1287" t="inlineStr">
        <is>
          <t>player #1:C:/Users/manuel.felline/Documents/BEHAVIOR BTBR/NOR second cohort/BTBR/training/c16_f3.mp4</t>
        </is>
      </c>
      <c r="F1287" t="n">
        <v>-9.5</v>
      </c>
      <c r="G1287" t="n">
        <v>596.566</v>
      </c>
      <c r="H1287" t="n">
        <v>642.333</v>
      </c>
      <c r="I1287" t="n">
        <v>30</v>
      </c>
      <c r="J1287" t="inlineStr">
        <is>
          <t>BTBR</t>
        </is>
      </c>
      <c r="K1287" t="inlineStr">
        <is>
          <t xml:space="preserve"> Female</t>
        </is>
      </c>
      <c r="L1287" t="inlineStr">
        <is>
          <t>No focal subject</t>
        </is>
      </c>
      <c r="M1287" t="n">
        <v>32.705</v>
      </c>
      <c r="N1287" t="inlineStr">
        <is>
          <t>Explore_F2</t>
        </is>
      </c>
      <c r="O1287" t="inlineStr">
        <is>
          <t>Second familiar</t>
        </is>
      </c>
      <c r="P1287" t="inlineStr">
        <is>
          <t>STATE</t>
        </is>
      </c>
      <c r="Q1287" t="n">
        <v>176.4</v>
      </c>
      <c r="R1287" t="n">
        <v>176.766</v>
      </c>
      <c r="S1287" t="n">
        <v>0.366</v>
      </c>
      <c r="T1287" t="inlineStr">
        <is>
          <t>C:/Users/manuel.felline/Documents/BEHAVIOR BTBR/NOR second cohort/BTBR/training/c16_f3.mp4</t>
        </is>
      </c>
      <c r="U1287" t="n">
        <v>5577</v>
      </c>
      <c r="V1287" t="n">
        <v>5588</v>
      </c>
      <c r="W1287" t="n">
        <v/>
      </c>
      <c r="X1287" t="n">
        <v/>
      </c>
      <c r="Y1287" t="n">
        <v/>
      </c>
      <c r="Z1287" t="n">
        <v/>
      </c>
      <c r="AA1287">
        <f>SUMIFS($S$2:S1287,$A$2:A1287,A1287,$N$2:N1287,"Explore*")</f>
        <v/>
      </c>
      <c r="AB1287">
        <f>IF(AND(LEFT(N1287,7)="Explore",(AA1287-IF(LEFT(N1287,7)="Explore",S1287,0))&lt;10),"SI","NO")</f>
        <v/>
      </c>
    </row>
    <row r="1288">
      <c r="A1288" t="inlineStr">
        <is>
          <t>c16f3_training</t>
        </is>
      </c>
      <c r="B1288" t="inlineStr">
        <is>
          <t>2026-06-30 10:31:37.520</t>
        </is>
      </c>
      <c r="C1288" t="n">
        <v/>
      </c>
      <c r="D1288" t="inlineStr">
        <is>
          <t>Media file</t>
        </is>
      </c>
      <c r="E1288" t="inlineStr">
        <is>
          <t>player #1:C:/Users/manuel.felline/Documents/BEHAVIOR BTBR/NOR second cohort/BTBR/training/c16_f3.mp4</t>
        </is>
      </c>
      <c r="F1288" t="n">
        <v>-9.5</v>
      </c>
      <c r="G1288" t="n">
        <v>596.566</v>
      </c>
      <c r="H1288" t="n">
        <v>642.333</v>
      </c>
      <c r="I1288" t="n">
        <v>30</v>
      </c>
      <c r="J1288" t="inlineStr">
        <is>
          <t>BTBR</t>
        </is>
      </c>
      <c r="K1288" t="inlineStr">
        <is>
          <t xml:space="preserve"> Female</t>
        </is>
      </c>
      <c r="L1288" t="inlineStr">
        <is>
          <t>No focal subject</t>
        </is>
      </c>
      <c r="M1288" t="n">
        <v>32.705</v>
      </c>
      <c r="N1288" t="inlineStr">
        <is>
          <t>Explore_F</t>
        </is>
      </c>
      <c r="O1288" t="inlineStr">
        <is>
          <t>Familiar</t>
        </is>
      </c>
      <c r="P1288" t="inlineStr">
        <is>
          <t>STATE</t>
        </is>
      </c>
      <c r="Q1288" t="n">
        <v>181.866</v>
      </c>
      <c r="R1288" t="n">
        <v>182.4</v>
      </c>
      <c r="S1288" t="n">
        <v>0.534</v>
      </c>
      <c r="T1288" t="inlineStr">
        <is>
          <t>C:/Users/manuel.felline/Documents/BEHAVIOR BTBR/NOR second cohort/BTBR/training/c16_f3.mp4</t>
        </is>
      </c>
      <c r="U1288" t="n">
        <v>5741</v>
      </c>
      <c r="V1288" t="n">
        <v>5757</v>
      </c>
      <c r="W1288" t="n">
        <v/>
      </c>
      <c r="X1288" t="n">
        <v/>
      </c>
      <c r="Y1288" t="n">
        <v/>
      </c>
      <c r="Z1288" t="n">
        <v/>
      </c>
      <c r="AA1288">
        <f>SUMIFS($S$2:S1288,$A$2:A1288,A1288,$N$2:N1288,"Explore*")</f>
        <v/>
      </c>
      <c r="AB1288">
        <f>IF(AND(LEFT(N1288,7)="Explore",(AA1288-IF(LEFT(N1288,7)="Explore",S1288,0))&lt;10),"SI","NO")</f>
        <v/>
      </c>
    </row>
    <row r="1289">
      <c r="A1289" t="inlineStr">
        <is>
          <t>c16f3_training</t>
        </is>
      </c>
      <c r="B1289" t="inlineStr">
        <is>
          <t>2026-06-30 10:31:37.520</t>
        </is>
      </c>
      <c r="C1289" t="n">
        <v/>
      </c>
      <c r="D1289" t="inlineStr">
        <is>
          <t>Media file</t>
        </is>
      </c>
      <c r="E1289" t="inlineStr">
        <is>
          <t>player #1:C:/Users/manuel.felline/Documents/BEHAVIOR BTBR/NOR second cohort/BTBR/training/c16_f3.mp4</t>
        </is>
      </c>
      <c r="F1289" t="n">
        <v>-9.5</v>
      </c>
      <c r="G1289" t="n">
        <v>596.566</v>
      </c>
      <c r="H1289" t="n">
        <v>642.333</v>
      </c>
      <c r="I1289" t="n">
        <v>30</v>
      </c>
      <c r="J1289" t="inlineStr">
        <is>
          <t>BTBR</t>
        </is>
      </c>
      <c r="K1289" t="inlineStr">
        <is>
          <t xml:space="preserve"> Female</t>
        </is>
      </c>
      <c r="L1289" t="inlineStr">
        <is>
          <t>No focal subject</t>
        </is>
      </c>
      <c r="M1289" t="n">
        <v>32.705</v>
      </c>
      <c r="N1289" t="inlineStr">
        <is>
          <t>Explore_F</t>
        </is>
      </c>
      <c r="O1289" t="inlineStr">
        <is>
          <t>Familiar</t>
        </is>
      </c>
      <c r="P1289" t="inlineStr">
        <is>
          <t>STATE</t>
        </is>
      </c>
      <c r="Q1289" t="n">
        <v>188.166</v>
      </c>
      <c r="R1289" t="n">
        <v>188.566</v>
      </c>
      <c r="S1289" t="n">
        <v>0.4</v>
      </c>
      <c r="T1289" t="inlineStr">
        <is>
          <t>C:/Users/manuel.felline/Documents/BEHAVIOR BTBR/NOR second cohort/BTBR/training/c16_f3.mp4</t>
        </is>
      </c>
      <c r="U1289" t="n">
        <v>5930</v>
      </c>
      <c r="V1289" t="n">
        <v>5942</v>
      </c>
      <c r="W1289" t="n">
        <v/>
      </c>
      <c r="X1289" t="n">
        <v/>
      </c>
      <c r="Y1289" t="n">
        <v/>
      </c>
      <c r="Z1289" t="n">
        <v/>
      </c>
      <c r="AA1289">
        <f>SUMIFS($S$2:S1289,$A$2:A1289,A1289,$N$2:N1289,"Explore*")</f>
        <v/>
      </c>
      <c r="AB1289">
        <f>IF(AND(LEFT(N1289,7)="Explore",(AA1289-IF(LEFT(N1289,7)="Explore",S1289,0))&lt;10),"SI","NO")</f>
        <v/>
      </c>
    </row>
    <row r="1290">
      <c r="A1290" t="inlineStr">
        <is>
          <t>c16f3_training</t>
        </is>
      </c>
      <c r="B1290" t="inlineStr">
        <is>
          <t>2026-06-30 10:31:37.520</t>
        </is>
      </c>
      <c r="C1290" t="n">
        <v/>
      </c>
      <c r="D1290" t="inlineStr">
        <is>
          <t>Media file</t>
        </is>
      </c>
      <c r="E1290" t="inlineStr">
        <is>
          <t>player #1:C:/Users/manuel.felline/Documents/BEHAVIOR BTBR/NOR second cohort/BTBR/training/c16_f3.mp4</t>
        </is>
      </c>
      <c r="F1290" t="n">
        <v>-9.5</v>
      </c>
      <c r="G1290" t="n">
        <v>596.566</v>
      </c>
      <c r="H1290" t="n">
        <v>642.333</v>
      </c>
      <c r="I1290" t="n">
        <v>30</v>
      </c>
      <c r="J1290" t="inlineStr">
        <is>
          <t>BTBR</t>
        </is>
      </c>
      <c r="K1290" t="inlineStr">
        <is>
          <t xml:space="preserve"> Female</t>
        </is>
      </c>
      <c r="L1290" t="inlineStr">
        <is>
          <t>No focal subject</t>
        </is>
      </c>
      <c r="M1290" t="n">
        <v>32.705</v>
      </c>
      <c r="N1290" t="inlineStr">
        <is>
          <t>Explore_F2</t>
        </is>
      </c>
      <c r="O1290" t="inlineStr">
        <is>
          <t>Second familiar</t>
        </is>
      </c>
      <c r="P1290" t="inlineStr">
        <is>
          <t>STATE</t>
        </is>
      </c>
      <c r="Q1290" t="n">
        <v>196.8</v>
      </c>
      <c r="R1290" t="n">
        <v>197.4</v>
      </c>
      <c r="S1290" t="n">
        <v>0.6</v>
      </c>
      <c r="T1290" t="inlineStr">
        <is>
          <t>C:/Users/manuel.felline/Documents/BEHAVIOR BTBR/NOR second cohort/BTBR/training/c16_f3.mp4</t>
        </is>
      </c>
      <c r="U1290" t="n">
        <v>6189</v>
      </c>
      <c r="V1290" t="n">
        <v>6207</v>
      </c>
      <c r="W1290" t="n">
        <v/>
      </c>
      <c r="X1290" t="n">
        <v/>
      </c>
      <c r="Y1290" t="n">
        <v/>
      </c>
      <c r="Z1290" t="n">
        <v/>
      </c>
      <c r="AA1290">
        <f>SUMIFS($S$2:S1290,$A$2:A1290,A1290,$N$2:N1290,"Explore*")</f>
        <v/>
      </c>
      <c r="AB1290">
        <f>IF(AND(LEFT(N1290,7)="Explore",(AA1290-IF(LEFT(N1290,7)="Explore",S1290,0))&lt;10),"SI","NO")</f>
        <v/>
      </c>
    </row>
    <row r="1291">
      <c r="A1291" t="inlineStr">
        <is>
          <t>c16f3_training</t>
        </is>
      </c>
      <c r="B1291" t="inlineStr">
        <is>
          <t>2026-06-30 10:31:37.520</t>
        </is>
      </c>
      <c r="C1291" t="n">
        <v/>
      </c>
      <c r="D1291" t="inlineStr">
        <is>
          <t>Media file</t>
        </is>
      </c>
      <c r="E1291" t="inlineStr">
        <is>
          <t>player #1:C:/Users/manuel.felline/Documents/BEHAVIOR BTBR/NOR second cohort/BTBR/training/c16_f3.mp4</t>
        </is>
      </c>
      <c r="F1291" t="n">
        <v>-9.5</v>
      </c>
      <c r="G1291" t="n">
        <v>596.566</v>
      </c>
      <c r="H1291" t="n">
        <v>642.333</v>
      </c>
      <c r="I1291" t="n">
        <v>30</v>
      </c>
      <c r="J1291" t="inlineStr">
        <is>
          <t>BTBR</t>
        </is>
      </c>
      <c r="K1291" t="inlineStr">
        <is>
          <t xml:space="preserve"> Female</t>
        </is>
      </c>
      <c r="L1291" t="inlineStr">
        <is>
          <t>No focal subject</t>
        </is>
      </c>
      <c r="M1291" t="n">
        <v>32.705</v>
      </c>
      <c r="N1291" t="inlineStr">
        <is>
          <t>Explore_F2</t>
        </is>
      </c>
      <c r="O1291" t="inlineStr">
        <is>
          <t>Second familiar</t>
        </is>
      </c>
      <c r="P1291" t="inlineStr">
        <is>
          <t>STATE</t>
        </is>
      </c>
      <c r="Q1291" t="n">
        <v>208.466</v>
      </c>
      <c r="R1291" t="n">
        <v>208.9</v>
      </c>
      <c r="S1291" t="n">
        <v>0.434</v>
      </c>
      <c r="T1291" t="inlineStr">
        <is>
          <t>C:/Users/manuel.felline/Documents/BEHAVIOR BTBR/NOR second cohort/BTBR/training/c16_f3.mp4</t>
        </is>
      </c>
      <c r="U1291" t="n">
        <v>6539</v>
      </c>
      <c r="V1291" t="n">
        <v>6552</v>
      </c>
      <c r="W1291" t="n">
        <v/>
      </c>
      <c r="X1291" t="n">
        <v/>
      </c>
      <c r="Y1291" t="n">
        <v/>
      </c>
      <c r="Z1291" t="n">
        <v/>
      </c>
      <c r="AA1291">
        <f>SUMIFS($S$2:S1291,$A$2:A1291,A1291,$N$2:N1291,"Explore*")</f>
        <v/>
      </c>
      <c r="AB1291">
        <f>IF(AND(LEFT(N1291,7)="Explore",(AA1291-IF(LEFT(N1291,7)="Explore",S1291,0))&lt;10),"SI","NO")</f>
        <v/>
      </c>
    </row>
    <row r="1292">
      <c r="A1292" t="inlineStr">
        <is>
          <t>c16f3_training</t>
        </is>
      </c>
      <c r="B1292" t="inlineStr">
        <is>
          <t>2026-06-30 10:31:37.520</t>
        </is>
      </c>
      <c r="C1292" t="n">
        <v/>
      </c>
      <c r="D1292" t="inlineStr">
        <is>
          <t>Media file</t>
        </is>
      </c>
      <c r="E1292" t="inlineStr">
        <is>
          <t>player #1:C:/Users/manuel.felline/Documents/BEHAVIOR BTBR/NOR second cohort/BTBR/training/c16_f3.mp4</t>
        </is>
      </c>
      <c r="F1292" t="n">
        <v>-9.5</v>
      </c>
      <c r="G1292" t="n">
        <v>596.566</v>
      </c>
      <c r="H1292" t="n">
        <v>642.333</v>
      </c>
      <c r="I1292" t="n">
        <v>30</v>
      </c>
      <c r="J1292" t="inlineStr">
        <is>
          <t>BTBR</t>
        </is>
      </c>
      <c r="K1292" t="inlineStr">
        <is>
          <t xml:space="preserve"> Female</t>
        </is>
      </c>
      <c r="L1292" t="inlineStr">
        <is>
          <t>No focal subject</t>
        </is>
      </c>
      <c r="M1292" t="n">
        <v>32.705</v>
      </c>
      <c r="N1292" t="inlineStr">
        <is>
          <t>Explore_F</t>
        </is>
      </c>
      <c r="O1292" t="inlineStr">
        <is>
          <t>Familiar</t>
        </is>
      </c>
      <c r="P1292" t="inlineStr">
        <is>
          <t>STATE</t>
        </is>
      </c>
      <c r="Q1292" t="n">
        <v>217.033</v>
      </c>
      <c r="R1292" t="n">
        <v>217.4</v>
      </c>
      <c r="S1292" t="n">
        <v>0.367</v>
      </c>
      <c r="T1292" t="inlineStr">
        <is>
          <t>C:/Users/manuel.felline/Documents/BEHAVIOR BTBR/NOR second cohort/BTBR/training/c16_f3.mp4</t>
        </is>
      </c>
      <c r="U1292" t="n">
        <v>6796</v>
      </c>
      <c r="V1292" t="n">
        <v>6807</v>
      </c>
      <c r="W1292" t="n">
        <v/>
      </c>
      <c r="X1292" t="n">
        <v/>
      </c>
      <c r="Y1292" t="n">
        <v/>
      </c>
      <c r="Z1292" t="n">
        <v/>
      </c>
      <c r="AA1292">
        <f>SUMIFS($S$2:S1292,$A$2:A1292,A1292,$N$2:N1292,"Explore*")</f>
        <v/>
      </c>
      <c r="AB1292">
        <f>IF(AND(LEFT(N1292,7)="Explore",(AA1292-IF(LEFT(N1292,7)="Explore",S1292,0))&lt;10),"SI","NO")</f>
        <v/>
      </c>
    </row>
    <row r="1293">
      <c r="A1293" t="inlineStr">
        <is>
          <t>c16f3_training</t>
        </is>
      </c>
      <c r="B1293" t="inlineStr">
        <is>
          <t>2026-06-30 10:31:37.520</t>
        </is>
      </c>
      <c r="C1293" t="n">
        <v/>
      </c>
      <c r="D1293" t="inlineStr">
        <is>
          <t>Media file</t>
        </is>
      </c>
      <c r="E1293" t="inlineStr">
        <is>
          <t>player #1:C:/Users/manuel.felline/Documents/BEHAVIOR BTBR/NOR second cohort/BTBR/training/c16_f3.mp4</t>
        </is>
      </c>
      <c r="F1293" t="n">
        <v>-9.5</v>
      </c>
      <c r="G1293" t="n">
        <v>596.566</v>
      </c>
      <c r="H1293" t="n">
        <v>642.333</v>
      </c>
      <c r="I1293" t="n">
        <v>30</v>
      </c>
      <c r="J1293" t="inlineStr">
        <is>
          <t>BTBR</t>
        </is>
      </c>
      <c r="K1293" t="inlineStr">
        <is>
          <t xml:space="preserve"> Female</t>
        </is>
      </c>
      <c r="L1293" t="inlineStr">
        <is>
          <t>No focal subject</t>
        </is>
      </c>
      <c r="M1293" t="n">
        <v>32.705</v>
      </c>
      <c r="N1293" t="inlineStr">
        <is>
          <t>Explore_F</t>
        </is>
      </c>
      <c r="O1293" t="inlineStr">
        <is>
          <t>Familiar</t>
        </is>
      </c>
      <c r="P1293" t="inlineStr">
        <is>
          <t>STATE</t>
        </is>
      </c>
      <c r="Q1293" t="n">
        <v>248.366</v>
      </c>
      <c r="R1293" t="n">
        <v>249.133</v>
      </c>
      <c r="S1293" t="n">
        <v>0.767</v>
      </c>
      <c r="T1293" t="inlineStr">
        <is>
          <t>C:/Users/manuel.felline/Documents/BEHAVIOR BTBR/NOR second cohort/BTBR/training/c16_f3.mp4</t>
        </is>
      </c>
      <c r="U1293" t="n">
        <v>7736</v>
      </c>
      <c r="V1293" t="n">
        <v>7759</v>
      </c>
      <c r="W1293" t="n">
        <v/>
      </c>
      <c r="X1293" t="n">
        <v/>
      </c>
      <c r="Y1293" t="n">
        <v/>
      </c>
      <c r="Z1293" t="n">
        <v/>
      </c>
      <c r="AA1293">
        <f>SUMIFS($S$2:S1293,$A$2:A1293,A1293,$N$2:N1293,"Explore*")</f>
        <v/>
      </c>
      <c r="AB1293">
        <f>IF(AND(LEFT(N1293,7)="Explore",(AA1293-IF(LEFT(N1293,7)="Explore",S1293,0))&lt;10),"SI","NO")</f>
        <v/>
      </c>
    </row>
    <row r="1294">
      <c r="A1294" t="inlineStr">
        <is>
          <t>c16f3_training</t>
        </is>
      </c>
      <c r="B1294" t="inlineStr">
        <is>
          <t>2026-06-30 10:31:37.520</t>
        </is>
      </c>
      <c r="C1294" t="n">
        <v/>
      </c>
      <c r="D1294" t="inlineStr">
        <is>
          <t>Media file</t>
        </is>
      </c>
      <c r="E1294" t="inlineStr">
        <is>
          <t>player #1:C:/Users/manuel.felline/Documents/BEHAVIOR BTBR/NOR second cohort/BTBR/training/c16_f3.mp4</t>
        </is>
      </c>
      <c r="F1294" t="n">
        <v>-9.5</v>
      </c>
      <c r="G1294" t="n">
        <v>596.566</v>
      </c>
      <c r="H1294" t="n">
        <v>642.333</v>
      </c>
      <c r="I1294" t="n">
        <v>30</v>
      </c>
      <c r="J1294" t="inlineStr">
        <is>
          <t>BTBR</t>
        </is>
      </c>
      <c r="K1294" t="inlineStr">
        <is>
          <t xml:space="preserve"> Female</t>
        </is>
      </c>
      <c r="L1294" t="inlineStr">
        <is>
          <t>No focal subject</t>
        </is>
      </c>
      <c r="M1294" t="n">
        <v>32.705</v>
      </c>
      <c r="N1294" t="inlineStr">
        <is>
          <t>Explore_F2</t>
        </is>
      </c>
      <c r="O1294" t="inlineStr">
        <is>
          <t>Second familiar</t>
        </is>
      </c>
      <c r="P1294" t="inlineStr">
        <is>
          <t>STATE</t>
        </is>
      </c>
      <c r="Q1294" t="n">
        <v>254.433</v>
      </c>
      <c r="R1294" t="n">
        <v>254.966</v>
      </c>
      <c r="S1294" t="n">
        <v>0.533</v>
      </c>
      <c r="T1294" t="inlineStr">
        <is>
          <t>C:/Users/manuel.felline/Documents/BEHAVIOR BTBR/NOR second cohort/BTBR/training/c16_f3.mp4</t>
        </is>
      </c>
      <c r="U1294" t="n">
        <v>7918</v>
      </c>
      <c r="V1294" t="n">
        <v>7934</v>
      </c>
      <c r="W1294" t="n">
        <v/>
      </c>
      <c r="X1294" t="n">
        <v/>
      </c>
      <c r="Y1294" t="n">
        <v/>
      </c>
      <c r="Z1294" t="n">
        <v/>
      </c>
      <c r="AA1294">
        <f>SUMIFS($S$2:S1294,$A$2:A1294,A1294,$N$2:N1294,"Explore*")</f>
        <v/>
      </c>
      <c r="AB1294">
        <f>IF(AND(LEFT(N1294,7)="Explore",(AA1294-IF(LEFT(N1294,7)="Explore",S1294,0))&lt;10),"SI","NO")</f>
        <v/>
      </c>
    </row>
    <row r="1295">
      <c r="A1295" t="inlineStr">
        <is>
          <t>c16f3_training</t>
        </is>
      </c>
      <c r="B1295" t="inlineStr">
        <is>
          <t>2026-06-30 10:31:37.520</t>
        </is>
      </c>
      <c r="C1295" t="n">
        <v/>
      </c>
      <c r="D1295" t="inlineStr">
        <is>
          <t>Media file</t>
        </is>
      </c>
      <c r="E1295" t="inlineStr">
        <is>
          <t>player #1:C:/Users/manuel.felline/Documents/BEHAVIOR BTBR/NOR second cohort/BTBR/training/c16_f3.mp4</t>
        </is>
      </c>
      <c r="F1295" t="n">
        <v>-9.5</v>
      </c>
      <c r="G1295" t="n">
        <v>596.566</v>
      </c>
      <c r="H1295" t="n">
        <v>642.333</v>
      </c>
      <c r="I1295" t="n">
        <v>30</v>
      </c>
      <c r="J1295" t="inlineStr">
        <is>
          <t>BTBR</t>
        </is>
      </c>
      <c r="K1295" t="inlineStr">
        <is>
          <t xml:space="preserve"> Female</t>
        </is>
      </c>
      <c r="L1295" t="inlineStr">
        <is>
          <t>No focal subject</t>
        </is>
      </c>
      <c r="M1295" t="n">
        <v>32.705</v>
      </c>
      <c r="N1295" t="inlineStr">
        <is>
          <t>Explore_F</t>
        </is>
      </c>
      <c r="O1295" t="inlineStr">
        <is>
          <t>Familiar</t>
        </is>
      </c>
      <c r="P1295" t="inlineStr">
        <is>
          <t>STATE</t>
        </is>
      </c>
      <c r="Q1295" t="n">
        <v>263.966</v>
      </c>
      <c r="R1295" t="n">
        <v>264.266</v>
      </c>
      <c r="S1295" t="n">
        <v>0.3</v>
      </c>
      <c r="T1295" t="inlineStr">
        <is>
          <t>C:/Users/manuel.felline/Documents/BEHAVIOR BTBR/NOR second cohort/BTBR/training/c16_f3.mp4</t>
        </is>
      </c>
      <c r="U1295" t="n">
        <v>8204</v>
      </c>
      <c r="V1295" t="n">
        <v>8213</v>
      </c>
      <c r="W1295" t="n">
        <v/>
      </c>
      <c r="X1295" t="n">
        <v/>
      </c>
      <c r="Y1295" t="n">
        <v/>
      </c>
      <c r="Z1295" t="n">
        <v/>
      </c>
      <c r="AA1295">
        <f>SUMIFS($S$2:S1295,$A$2:A1295,A1295,$N$2:N1295,"Explore*")</f>
        <v/>
      </c>
      <c r="AB1295">
        <f>IF(AND(LEFT(N1295,7)="Explore",(AA1295-IF(LEFT(N1295,7)="Explore",S1295,0))&lt;10),"SI","NO")</f>
        <v/>
      </c>
    </row>
    <row r="1296">
      <c r="A1296" t="inlineStr">
        <is>
          <t>c16f3_training</t>
        </is>
      </c>
      <c r="B1296" t="inlineStr">
        <is>
          <t>2026-06-30 10:31:37.520</t>
        </is>
      </c>
      <c r="C1296" t="n">
        <v/>
      </c>
      <c r="D1296" t="inlineStr">
        <is>
          <t>Media file</t>
        </is>
      </c>
      <c r="E1296" t="inlineStr">
        <is>
          <t>player #1:C:/Users/manuel.felline/Documents/BEHAVIOR BTBR/NOR second cohort/BTBR/training/c16_f3.mp4</t>
        </is>
      </c>
      <c r="F1296" t="n">
        <v>-9.5</v>
      </c>
      <c r="G1296" t="n">
        <v>596.566</v>
      </c>
      <c r="H1296" t="n">
        <v>642.333</v>
      </c>
      <c r="I1296" t="n">
        <v>30</v>
      </c>
      <c r="J1296" t="inlineStr">
        <is>
          <t>BTBR</t>
        </is>
      </c>
      <c r="K1296" t="inlineStr">
        <is>
          <t xml:space="preserve"> Female</t>
        </is>
      </c>
      <c r="L1296" t="inlineStr">
        <is>
          <t>No focal subject</t>
        </is>
      </c>
      <c r="M1296" t="n">
        <v>32.705</v>
      </c>
      <c r="N1296" t="inlineStr">
        <is>
          <t>Explore_F2</t>
        </is>
      </c>
      <c r="O1296" t="inlineStr">
        <is>
          <t>Second familiar</t>
        </is>
      </c>
      <c r="P1296" t="inlineStr">
        <is>
          <t>STATE</t>
        </is>
      </c>
      <c r="Q1296" t="n">
        <v>271.833</v>
      </c>
      <c r="R1296" t="n">
        <v>272.2</v>
      </c>
      <c r="S1296" t="n">
        <v>0.367</v>
      </c>
      <c r="T1296" t="inlineStr">
        <is>
          <t>C:/Users/manuel.felline/Documents/BEHAVIOR BTBR/NOR second cohort/BTBR/training/c16_f3.mp4</t>
        </is>
      </c>
      <c r="U1296" t="n">
        <v>8440</v>
      </c>
      <c r="V1296" t="n">
        <v>8451</v>
      </c>
      <c r="W1296" t="n">
        <v/>
      </c>
      <c r="X1296" t="n">
        <v/>
      </c>
      <c r="Y1296" t="n">
        <v/>
      </c>
      <c r="Z1296" t="n">
        <v/>
      </c>
      <c r="AA1296">
        <f>SUMIFS($S$2:S1296,$A$2:A1296,A1296,$N$2:N1296,"Explore*")</f>
        <v/>
      </c>
      <c r="AB1296">
        <f>IF(AND(LEFT(N1296,7)="Explore",(AA1296-IF(LEFT(N1296,7)="Explore",S1296,0))&lt;10),"SI","NO")</f>
        <v/>
      </c>
    </row>
    <row r="1297">
      <c r="A1297" t="inlineStr">
        <is>
          <t>c16f3_training</t>
        </is>
      </c>
      <c r="B1297" t="inlineStr">
        <is>
          <t>2026-06-30 10:31:37.520</t>
        </is>
      </c>
      <c r="C1297" t="n">
        <v/>
      </c>
      <c r="D1297" t="inlineStr">
        <is>
          <t>Media file</t>
        </is>
      </c>
      <c r="E1297" t="inlineStr">
        <is>
          <t>player #1:C:/Users/manuel.felline/Documents/BEHAVIOR BTBR/NOR second cohort/BTBR/training/c16_f3.mp4</t>
        </is>
      </c>
      <c r="F1297" t="n">
        <v>-9.5</v>
      </c>
      <c r="G1297" t="n">
        <v>596.566</v>
      </c>
      <c r="H1297" t="n">
        <v>642.333</v>
      </c>
      <c r="I1297" t="n">
        <v>30</v>
      </c>
      <c r="J1297" t="inlineStr">
        <is>
          <t>BTBR</t>
        </is>
      </c>
      <c r="K1297" t="inlineStr">
        <is>
          <t xml:space="preserve"> Female</t>
        </is>
      </c>
      <c r="L1297" t="inlineStr">
        <is>
          <t>No focal subject</t>
        </is>
      </c>
      <c r="M1297" t="n">
        <v>32.705</v>
      </c>
      <c r="N1297" t="inlineStr">
        <is>
          <t>Explore_F</t>
        </is>
      </c>
      <c r="O1297" t="inlineStr">
        <is>
          <t>Familiar</t>
        </is>
      </c>
      <c r="P1297" t="inlineStr">
        <is>
          <t>STATE</t>
        </is>
      </c>
      <c r="Q1297" t="n">
        <v>285.333</v>
      </c>
      <c r="R1297" t="n">
        <v>286.233</v>
      </c>
      <c r="S1297" t="n">
        <v>0.9</v>
      </c>
      <c r="T1297" t="inlineStr">
        <is>
          <t>C:/Users/manuel.felline/Documents/BEHAVIOR BTBR/NOR second cohort/BTBR/training/c16_f3.mp4</t>
        </is>
      </c>
      <c r="U1297" t="n">
        <v>8845</v>
      </c>
      <c r="V1297" t="n">
        <v>8872</v>
      </c>
      <c r="W1297" t="n">
        <v/>
      </c>
      <c r="X1297" t="n">
        <v/>
      </c>
      <c r="Y1297" t="n">
        <v/>
      </c>
      <c r="Z1297" t="n">
        <v/>
      </c>
      <c r="AA1297">
        <f>SUMIFS($S$2:S1297,$A$2:A1297,A1297,$N$2:N1297,"Explore*")</f>
        <v/>
      </c>
      <c r="AB1297">
        <f>IF(AND(LEFT(N1297,7)="Explore",(AA1297-IF(LEFT(N1297,7)="Explore",S1297,0))&lt;10),"SI","NO")</f>
        <v/>
      </c>
    </row>
    <row r="1298">
      <c r="A1298" t="inlineStr">
        <is>
          <t>c16f3_training</t>
        </is>
      </c>
      <c r="B1298" t="inlineStr">
        <is>
          <t>2026-06-30 10:31:37.520</t>
        </is>
      </c>
      <c r="C1298" t="n">
        <v/>
      </c>
      <c r="D1298" t="inlineStr">
        <is>
          <t>Media file</t>
        </is>
      </c>
      <c r="E1298" t="inlineStr">
        <is>
          <t>player #1:C:/Users/manuel.felline/Documents/BEHAVIOR BTBR/NOR second cohort/BTBR/training/c16_f3.mp4</t>
        </is>
      </c>
      <c r="F1298" t="n">
        <v>-9.5</v>
      </c>
      <c r="G1298" t="n">
        <v>596.566</v>
      </c>
      <c r="H1298" t="n">
        <v>642.333</v>
      </c>
      <c r="I1298" t="n">
        <v>30</v>
      </c>
      <c r="J1298" t="inlineStr">
        <is>
          <t>BTBR</t>
        </is>
      </c>
      <c r="K1298" t="inlineStr">
        <is>
          <t xml:space="preserve"> Female</t>
        </is>
      </c>
      <c r="L1298" t="inlineStr">
        <is>
          <t>No focal subject</t>
        </is>
      </c>
      <c r="M1298" t="n">
        <v>32.705</v>
      </c>
      <c r="N1298" t="inlineStr">
        <is>
          <t>Explore_F2</t>
        </is>
      </c>
      <c r="O1298" t="inlineStr">
        <is>
          <t>Second familiar</t>
        </is>
      </c>
      <c r="P1298" t="inlineStr">
        <is>
          <t>STATE</t>
        </is>
      </c>
      <c r="Q1298" t="n">
        <v>294.233</v>
      </c>
      <c r="R1298" t="n">
        <v>294.966</v>
      </c>
      <c r="S1298" t="n">
        <v>0.733</v>
      </c>
      <c r="T1298" t="inlineStr">
        <is>
          <t>C:/Users/manuel.felline/Documents/BEHAVIOR BTBR/NOR second cohort/BTBR/training/c16_f3.mp4</t>
        </is>
      </c>
      <c r="U1298" t="n">
        <v>9112</v>
      </c>
      <c r="V1298" t="n">
        <v>9134</v>
      </c>
      <c r="W1298" t="n">
        <v/>
      </c>
      <c r="X1298" t="n">
        <v/>
      </c>
      <c r="Y1298" t="n">
        <v/>
      </c>
      <c r="Z1298" t="n">
        <v/>
      </c>
      <c r="AA1298">
        <f>SUMIFS($S$2:S1298,$A$2:A1298,A1298,$N$2:N1298,"Explore*")</f>
        <v/>
      </c>
      <c r="AB1298">
        <f>IF(AND(LEFT(N1298,7)="Explore",(AA1298-IF(LEFT(N1298,7)="Explore",S1298,0))&lt;10),"SI","NO")</f>
        <v/>
      </c>
    </row>
    <row r="1299">
      <c r="A1299" t="inlineStr">
        <is>
          <t>c16f3_training</t>
        </is>
      </c>
      <c r="B1299" t="inlineStr">
        <is>
          <t>2026-06-30 10:31:37.520</t>
        </is>
      </c>
      <c r="C1299" t="n">
        <v/>
      </c>
      <c r="D1299" t="inlineStr">
        <is>
          <t>Media file</t>
        </is>
      </c>
      <c r="E1299" t="inlineStr">
        <is>
          <t>player #1:C:/Users/manuel.felline/Documents/BEHAVIOR BTBR/NOR second cohort/BTBR/training/c16_f3.mp4</t>
        </is>
      </c>
      <c r="F1299" t="n">
        <v>-9.5</v>
      </c>
      <c r="G1299" t="n">
        <v>596.566</v>
      </c>
      <c r="H1299" t="n">
        <v>642.333</v>
      </c>
      <c r="I1299" t="n">
        <v>30</v>
      </c>
      <c r="J1299" t="inlineStr">
        <is>
          <t>BTBR</t>
        </is>
      </c>
      <c r="K1299" t="inlineStr">
        <is>
          <t xml:space="preserve"> Female</t>
        </is>
      </c>
      <c r="L1299" t="inlineStr">
        <is>
          <t>No focal subject</t>
        </is>
      </c>
      <c r="M1299" t="n">
        <v>32.705</v>
      </c>
      <c r="N1299" t="inlineStr">
        <is>
          <t>Explore_F</t>
        </is>
      </c>
      <c r="O1299" t="inlineStr">
        <is>
          <t>Familiar</t>
        </is>
      </c>
      <c r="P1299" t="inlineStr">
        <is>
          <t>STATE</t>
        </is>
      </c>
      <c r="Q1299" t="n">
        <v>328.466</v>
      </c>
      <c r="R1299" t="n">
        <v>328.833</v>
      </c>
      <c r="S1299" t="n">
        <v>0.367</v>
      </c>
      <c r="T1299" t="inlineStr">
        <is>
          <t>C:/Users/manuel.felline/Documents/BEHAVIOR BTBR/NOR second cohort/BTBR/training/c16_f3.mp4</t>
        </is>
      </c>
      <c r="U1299" t="n">
        <v>10138</v>
      </c>
      <c r="V1299" t="n">
        <v>10149</v>
      </c>
      <c r="W1299" t="n">
        <v/>
      </c>
      <c r="X1299" t="n">
        <v/>
      </c>
      <c r="Y1299" t="n">
        <v/>
      </c>
      <c r="Z1299" t="n">
        <v/>
      </c>
      <c r="AA1299">
        <f>SUMIFS($S$2:S1299,$A$2:A1299,A1299,$N$2:N1299,"Explore*")</f>
        <v/>
      </c>
      <c r="AB1299">
        <f>IF(AND(LEFT(N1299,7)="Explore",(AA1299-IF(LEFT(N1299,7)="Explore",S1299,0))&lt;10),"SI","NO")</f>
        <v/>
      </c>
    </row>
    <row r="1300">
      <c r="A1300" t="inlineStr">
        <is>
          <t>c16f3_training</t>
        </is>
      </c>
      <c r="B1300" t="inlineStr">
        <is>
          <t>2026-06-30 10:31:37.520</t>
        </is>
      </c>
      <c r="C1300" t="n">
        <v/>
      </c>
      <c r="D1300" t="inlineStr">
        <is>
          <t>Media file</t>
        </is>
      </c>
      <c r="E1300" t="inlineStr">
        <is>
          <t>player #1:C:/Users/manuel.felline/Documents/BEHAVIOR BTBR/NOR second cohort/BTBR/training/c16_f3.mp4</t>
        </is>
      </c>
      <c r="F1300" t="n">
        <v>-9.5</v>
      </c>
      <c r="G1300" t="n">
        <v>596.566</v>
      </c>
      <c r="H1300" t="n">
        <v>642.333</v>
      </c>
      <c r="I1300" t="n">
        <v>30</v>
      </c>
      <c r="J1300" t="inlineStr">
        <is>
          <t>BTBR</t>
        </is>
      </c>
      <c r="K1300" t="inlineStr">
        <is>
          <t xml:space="preserve"> Female</t>
        </is>
      </c>
      <c r="L1300" t="inlineStr">
        <is>
          <t>No focal subject</t>
        </is>
      </c>
      <c r="M1300" t="n">
        <v>32.705</v>
      </c>
      <c r="N1300" t="inlineStr">
        <is>
          <t>Explore_F2</t>
        </is>
      </c>
      <c r="O1300" t="inlineStr">
        <is>
          <t>Second familiar</t>
        </is>
      </c>
      <c r="P1300" t="inlineStr">
        <is>
          <t>STATE</t>
        </is>
      </c>
      <c r="Q1300" t="n">
        <v>334.966</v>
      </c>
      <c r="R1300" t="n">
        <v>335.366</v>
      </c>
      <c r="S1300" t="n">
        <v>0.4</v>
      </c>
      <c r="T1300" t="inlineStr">
        <is>
          <t>C:/Users/manuel.felline/Documents/BEHAVIOR BTBR/NOR second cohort/BTBR/training/c16_f3.mp4</t>
        </is>
      </c>
      <c r="U1300" t="n">
        <v>10333</v>
      </c>
      <c r="V1300" t="n">
        <v>10345</v>
      </c>
      <c r="W1300" t="n">
        <v/>
      </c>
      <c r="X1300" t="n">
        <v/>
      </c>
      <c r="Y1300" t="n">
        <v/>
      </c>
      <c r="Z1300" t="n">
        <v/>
      </c>
      <c r="AA1300">
        <f>SUMIFS($S$2:S1300,$A$2:A1300,A1300,$N$2:N1300,"Explore*")</f>
        <v/>
      </c>
      <c r="AB1300">
        <f>IF(AND(LEFT(N1300,7)="Explore",(AA1300-IF(LEFT(N1300,7)="Explore",S1300,0))&lt;10),"SI","NO")</f>
        <v/>
      </c>
    </row>
    <row r="1301">
      <c r="A1301" t="inlineStr">
        <is>
          <t>c16f3_training</t>
        </is>
      </c>
      <c r="B1301" t="inlineStr">
        <is>
          <t>2026-06-30 10:31:37.520</t>
        </is>
      </c>
      <c r="C1301" t="n">
        <v/>
      </c>
      <c r="D1301" t="inlineStr">
        <is>
          <t>Media file</t>
        </is>
      </c>
      <c r="E1301" t="inlineStr">
        <is>
          <t>player #1:C:/Users/manuel.felline/Documents/BEHAVIOR BTBR/NOR second cohort/BTBR/training/c16_f3.mp4</t>
        </is>
      </c>
      <c r="F1301" t="n">
        <v>-9.5</v>
      </c>
      <c r="G1301" t="n">
        <v>596.566</v>
      </c>
      <c r="H1301" t="n">
        <v>642.333</v>
      </c>
      <c r="I1301" t="n">
        <v>30</v>
      </c>
      <c r="J1301" t="inlineStr">
        <is>
          <t>BTBR</t>
        </is>
      </c>
      <c r="K1301" t="inlineStr">
        <is>
          <t xml:space="preserve"> Female</t>
        </is>
      </c>
      <c r="L1301" t="inlineStr">
        <is>
          <t>No focal subject</t>
        </is>
      </c>
      <c r="M1301" t="n">
        <v>32.705</v>
      </c>
      <c r="N1301" t="inlineStr">
        <is>
          <t>Explore_F</t>
        </is>
      </c>
      <c r="O1301" t="inlineStr">
        <is>
          <t>Familiar</t>
        </is>
      </c>
      <c r="P1301" t="inlineStr">
        <is>
          <t>STATE</t>
        </is>
      </c>
      <c r="Q1301" t="n">
        <v>341.833</v>
      </c>
      <c r="R1301" t="n">
        <v>342.166</v>
      </c>
      <c r="S1301" t="n">
        <v>0.333</v>
      </c>
      <c r="T1301" t="inlineStr">
        <is>
          <t>C:/Users/manuel.felline/Documents/BEHAVIOR BTBR/NOR second cohort/BTBR/training/c16_f3.mp4</t>
        </is>
      </c>
      <c r="U1301" t="n">
        <v>10539</v>
      </c>
      <c r="V1301" t="n">
        <v>10549</v>
      </c>
      <c r="W1301" t="n">
        <v/>
      </c>
      <c r="X1301" t="n">
        <v/>
      </c>
      <c r="Y1301" t="n">
        <v/>
      </c>
      <c r="Z1301" t="n">
        <v/>
      </c>
      <c r="AA1301">
        <f>SUMIFS($S$2:S1301,$A$2:A1301,A1301,$N$2:N1301,"Explore*")</f>
        <v/>
      </c>
      <c r="AB1301">
        <f>IF(AND(LEFT(N1301,7)="Explore",(AA1301-IF(LEFT(N1301,7)="Explore",S1301,0))&lt;10),"SI","NO")</f>
        <v/>
      </c>
    </row>
    <row r="1302">
      <c r="A1302" t="inlineStr">
        <is>
          <t>c16f3_training</t>
        </is>
      </c>
      <c r="B1302" t="inlineStr">
        <is>
          <t>2026-06-30 10:31:37.520</t>
        </is>
      </c>
      <c r="C1302" t="n">
        <v/>
      </c>
      <c r="D1302" t="inlineStr">
        <is>
          <t>Media file</t>
        </is>
      </c>
      <c r="E1302" t="inlineStr">
        <is>
          <t>player #1:C:/Users/manuel.felline/Documents/BEHAVIOR BTBR/NOR second cohort/BTBR/training/c16_f3.mp4</t>
        </is>
      </c>
      <c r="F1302" t="n">
        <v>-9.5</v>
      </c>
      <c r="G1302" t="n">
        <v>596.566</v>
      </c>
      <c r="H1302" t="n">
        <v>642.333</v>
      </c>
      <c r="I1302" t="n">
        <v>30</v>
      </c>
      <c r="J1302" t="inlineStr">
        <is>
          <t>BTBR</t>
        </is>
      </c>
      <c r="K1302" t="inlineStr">
        <is>
          <t xml:space="preserve"> Female</t>
        </is>
      </c>
      <c r="L1302" t="inlineStr">
        <is>
          <t>No focal subject</t>
        </is>
      </c>
      <c r="M1302" t="n">
        <v>32.705</v>
      </c>
      <c r="N1302" t="inlineStr">
        <is>
          <t>Explore_F</t>
        </is>
      </c>
      <c r="O1302" t="inlineStr">
        <is>
          <t>Familiar</t>
        </is>
      </c>
      <c r="P1302" t="inlineStr">
        <is>
          <t>STATE</t>
        </is>
      </c>
      <c r="Q1302" t="n">
        <v>374.5</v>
      </c>
      <c r="R1302" t="n">
        <v>375</v>
      </c>
      <c r="S1302" t="n">
        <v>0.5</v>
      </c>
      <c r="T1302" t="inlineStr">
        <is>
          <t>C:/Users/manuel.felline/Documents/BEHAVIOR BTBR/NOR second cohort/BTBR/training/c16_f3.mp4</t>
        </is>
      </c>
      <c r="U1302" t="n">
        <v>11519</v>
      </c>
      <c r="V1302" t="n">
        <v>11534</v>
      </c>
      <c r="W1302" t="n">
        <v/>
      </c>
      <c r="X1302" t="n">
        <v/>
      </c>
      <c r="Y1302" t="n">
        <v/>
      </c>
      <c r="Z1302" t="n">
        <v/>
      </c>
      <c r="AA1302">
        <f>SUMIFS($S$2:S1302,$A$2:A1302,A1302,$N$2:N1302,"Explore*")</f>
        <v/>
      </c>
      <c r="AB1302">
        <f>IF(AND(LEFT(N1302,7)="Explore",(AA1302-IF(LEFT(N1302,7)="Explore",S1302,0))&lt;10),"SI","NO")</f>
        <v/>
      </c>
    </row>
    <row r="1303">
      <c r="A1303" t="inlineStr">
        <is>
          <t>c16f3_training</t>
        </is>
      </c>
      <c r="B1303" t="inlineStr">
        <is>
          <t>2026-06-30 10:31:37.520</t>
        </is>
      </c>
      <c r="C1303" t="n">
        <v/>
      </c>
      <c r="D1303" t="inlineStr">
        <is>
          <t>Media file</t>
        </is>
      </c>
      <c r="E1303" t="inlineStr">
        <is>
          <t>player #1:C:/Users/manuel.felline/Documents/BEHAVIOR BTBR/NOR second cohort/BTBR/training/c16_f3.mp4</t>
        </is>
      </c>
      <c r="F1303" t="n">
        <v>-9.5</v>
      </c>
      <c r="G1303" t="n">
        <v>596.566</v>
      </c>
      <c r="H1303" t="n">
        <v>642.333</v>
      </c>
      <c r="I1303" t="n">
        <v>30</v>
      </c>
      <c r="J1303" t="inlineStr">
        <is>
          <t>BTBR</t>
        </is>
      </c>
      <c r="K1303" t="inlineStr">
        <is>
          <t xml:space="preserve"> Female</t>
        </is>
      </c>
      <c r="L1303" t="inlineStr">
        <is>
          <t>No focal subject</t>
        </is>
      </c>
      <c r="M1303" t="n">
        <v>32.705</v>
      </c>
      <c r="N1303" t="inlineStr">
        <is>
          <t>Explore_F</t>
        </is>
      </c>
      <c r="O1303" t="inlineStr">
        <is>
          <t>Familiar</t>
        </is>
      </c>
      <c r="P1303" t="inlineStr">
        <is>
          <t>STATE</t>
        </is>
      </c>
      <c r="Q1303" t="n">
        <v>386.266</v>
      </c>
      <c r="R1303" t="n">
        <v>386.866</v>
      </c>
      <c r="S1303" t="n">
        <v>0.6</v>
      </c>
      <c r="T1303" t="inlineStr">
        <is>
          <t>C:/Users/manuel.felline/Documents/BEHAVIOR BTBR/NOR second cohort/BTBR/training/c16_f3.mp4</t>
        </is>
      </c>
      <c r="U1303" t="n">
        <v>11872</v>
      </c>
      <c r="V1303" t="n">
        <v>11890</v>
      </c>
      <c r="W1303" t="n">
        <v/>
      </c>
      <c r="X1303" t="n">
        <v/>
      </c>
      <c r="Y1303" t="n">
        <v/>
      </c>
      <c r="Z1303" t="n">
        <v/>
      </c>
      <c r="AA1303">
        <f>SUMIFS($S$2:S1303,$A$2:A1303,A1303,$N$2:N1303,"Explore*")</f>
        <v/>
      </c>
      <c r="AB1303">
        <f>IF(AND(LEFT(N1303,7)="Explore",(AA1303-IF(LEFT(N1303,7)="Explore",S1303,0))&lt;10),"SI","NO")</f>
        <v/>
      </c>
    </row>
    <row r="1304">
      <c r="A1304" t="inlineStr">
        <is>
          <t>c16f3_training</t>
        </is>
      </c>
      <c r="B1304" t="inlineStr">
        <is>
          <t>2026-06-30 10:31:37.520</t>
        </is>
      </c>
      <c r="C1304" t="n">
        <v/>
      </c>
      <c r="D1304" t="inlineStr">
        <is>
          <t>Media file</t>
        </is>
      </c>
      <c r="E1304" t="inlineStr">
        <is>
          <t>player #1:C:/Users/manuel.felline/Documents/BEHAVIOR BTBR/NOR second cohort/BTBR/training/c16_f3.mp4</t>
        </is>
      </c>
      <c r="F1304" t="n">
        <v>-9.5</v>
      </c>
      <c r="G1304" t="n">
        <v>596.566</v>
      </c>
      <c r="H1304" t="n">
        <v>642.333</v>
      </c>
      <c r="I1304" t="n">
        <v>30</v>
      </c>
      <c r="J1304" t="inlineStr">
        <is>
          <t>BTBR</t>
        </is>
      </c>
      <c r="K1304" t="inlineStr">
        <is>
          <t xml:space="preserve"> Female</t>
        </is>
      </c>
      <c r="L1304" t="inlineStr">
        <is>
          <t>No focal subject</t>
        </is>
      </c>
      <c r="M1304" t="n">
        <v>32.705</v>
      </c>
      <c r="N1304" t="inlineStr">
        <is>
          <t>Explore_F</t>
        </is>
      </c>
      <c r="O1304" t="inlineStr">
        <is>
          <t>Familiar</t>
        </is>
      </c>
      <c r="P1304" t="inlineStr">
        <is>
          <t>STATE</t>
        </is>
      </c>
      <c r="Q1304" t="n">
        <v>417.733</v>
      </c>
      <c r="R1304" t="n">
        <v>418.866</v>
      </c>
      <c r="S1304" t="n">
        <v>1.133</v>
      </c>
      <c r="T1304" t="inlineStr">
        <is>
          <t>C:/Users/manuel.felline/Documents/BEHAVIOR BTBR/NOR second cohort/BTBR/training/c16_f3.mp4</t>
        </is>
      </c>
      <c r="U1304" t="n">
        <v>12816</v>
      </c>
      <c r="V1304" t="n">
        <v>12850</v>
      </c>
      <c r="W1304" t="n">
        <v/>
      </c>
      <c r="X1304" t="n">
        <v/>
      </c>
      <c r="Y1304" t="n">
        <v/>
      </c>
      <c r="Z1304" t="n">
        <v/>
      </c>
      <c r="AA1304">
        <f>SUMIFS($S$2:S1304,$A$2:A1304,A1304,$N$2:N1304,"Explore*")</f>
        <v/>
      </c>
      <c r="AB1304">
        <f>IF(AND(LEFT(N1304,7)="Explore",(AA1304-IF(LEFT(N1304,7)="Explore",S1304,0))&lt;10),"SI","NO")</f>
        <v/>
      </c>
    </row>
    <row r="1305">
      <c r="A1305" t="inlineStr">
        <is>
          <t>c16f3_training</t>
        </is>
      </c>
      <c r="B1305" t="inlineStr">
        <is>
          <t>2026-06-30 10:31:37.520</t>
        </is>
      </c>
      <c r="C1305" t="n">
        <v/>
      </c>
      <c r="D1305" t="inlineStr">
        <is>
          <t>Media file</t>
        </is>
      </c>
      <c r="E1305" t="inlineStr">
        <is>
          <t>player #1:C:/Users/manuel.felline/Documents/BEHAVIOR BTBR/NOR second cohort/BTBR/training/c16_f3.mp4</t>
        </is>
      </c>
      <c r="F1305" t="n">
        <v>-9.5</v>
      </c>
      <c r="G1305" t="n">
        <v>596.566</v>
      </c>
      <c r="H1305" t="n">
        <v>642.333</v>
      </c>
      <c r="I1305" t="n">
        <v>30</v>
      </c>
      <c r="J1305" t="inlineStr">
        <is>
          <t>BTBR</t>
        </is>
      </c>
      <c r="K1305" t="inlineStr">
        <is>
          <t xml:space="preserve"> Female</t>
        </is>
      </c>
      <c r="L1305" t="inlineStr">
        <is>
          <t>No focal subject</t>
        </is>
      </c>
      <c r="M1305" t="n">
        <v>32.705</v>
      </c>
      <c r="N1305" t="inlineStr">
        <is>
          <t>Explore_F</t>
        </is>
      </c>
      <c r="O1305" t="inlineStr">
        <is>
          <t>Familiar</t>
        </is>
      </c>
      <c r="P1305" t="inlineStr">
        <is>
          <t>STATE</t>
        </is>
      </c>
      <c r="Q1305" t="n">
        <v>431.466</v>
      </c>
      <c r="R1305" t="n">
        <v>431.9</v>
      </c>
      <c r="S1305" t="n">
        <v>0.434</v>
      </c>
      <c r="T1305" t="inlineStr">
        <is>
          <t>C:/Users/manuel.felline/Documents/BEHAVIOR BTBR/NOR second cohort/BTBR/training/c16_f3.mp4</t>
        </is>
      </c>
      <c r="U1305" t="n">
        <v>13228</v>
      </c>
      <c r="V1305" t="n">
        <v>13241</v>
      </c>
      <c r="W1305" t="n">
        <v/>
      </c>
      <c r="X1305" t="n">
        <v/>
      </c>
      <c r="Y1305" t="n">
        <v/>
      </c>
      <c r="Z1305" t="n">
        <v/>
      </c>
      <c r="AA1305">
        <f>SUMIFS($S$2:S1305,$A$2:A1305,A1305,$N$2:N1305,"Explore*")</f>
        <v/>
      </c>
      <c r="AB1305">
        <f>IF(AND(LEFT(N1305,7)="Explore",(AA1305-IF(LEFT(N1305,7)="Explore",S1305,0))&lt;10),"SI","NO")</f>
        <v/>
      </c>
    </row>
    <row r="1306">
      <c r="A1306" t="inlineStr">
        <is>
          <t>c16f3_training</t>
        </is>
      </c>
      <c r="B1306" t="inlineStr">
        <is>
          <t>2026-06-30 10:31:37.520</t>
        </is>
      </c>
      <c r="C1306" t="n">
        <v/>
      </c>
      <c r="D1306" t="inlineStr">
        <is>
          <t>Media file</t>
        </is>
      </c>
      <c r="E1306" t="inlineStr">
        <is>
          <t>player #1:C:/Users/manuel.felline/Documents/BEHAVIOR BTBR/NOR second cohort/BTBR/training/c16_f3.mp4</t>
        </is>
      </c>
      <c r="F1306" t="n">
        <v>-9.5</v>
      </c>
      <c r="G1306" t="n">
        <v>596.566</v>
      </c>
      <c r="H1306" t="n">
        <v>642.333</v>
      </c>
      <c r="I1306" t="n">
        <v>30</v>
      </c>
      <c r="J1306" t="inlineStr">
        <is>
          <t>BTBR</t>
        </is>
      </c>
      <c r="K1306" t="inlineStr">
        <is>
          <t xml:space="preserve"> Female</t>
        </is>
      </c>
      <c r="L1306" t="inlineStr">
        <is>
          <t>No focal subject</t>
        </is>
      </c>
      <c r="M1306" t="n">
        <v>32.705</v>
      </c>
      <c r="N1306" t="inlineStr">
        <is>
          <t>Explore_F2</t>
        </is>
      </c>
      <c r="O1306" t="inlineStr">
        <is>
          <t>Second familiar</t>
        </is>
      </c>
      <c r="P1306" t="inlineStr">
        <is>
          <t>STATE</t>
        </is>
      </c>
      <c r="Q1306" t="n">
        <v>440.766</v>
      </c>
      <c r="R1306" t="n">
        <v>441.033</v>
      </c>
      <c r="S1306" t="n">
        <v>0.267</v>
      </c>
      <c r="T1306" t="inlineStr">
        <is>
          <t>C:/Users/manuel.felline/Documents/BEHAVIOR BTBR/NOR second cohort/BTBR/training/c16_f3.mp4</t>
        </is>
      </c>
      <c r="U1306" t="n">
        <v>13507</v>
      </c>
      <c r="V1306" t="n">
        <v>13516</v>
      </c>
      <c r="W1306" t="n">
        <v/>
      </c>
      <c r="X1306" t="n">
        <v/>
      </c>
      <c r="Y1306" t="n">
        <v/>
      </c>
      <c r="Z1306" t="n">
        <v/>
      </c>
      <c r="AA1306">
        <f>SUMIFS($S$2:S1306,$A$2:A1306,A1306,$N$2:N1306,"Explore*")</f>
        <v/>
      </c>
      <c r="AB1306">
        <f>IF(AND(LEFT(N1306,7)="Explore",(AA1306-IF(LEFT(N1306,7)="Explore",S1306,0))&lt;10),"SI","NO")</f>
        <v/>
      </c>
    </row>
    <row r="1307">
      <c r="A1307" t="inlineStr">
        <is>
          <t>c16f3_training</t>
        </is>
      </c>
      <c r="B1307" t="inlineStr">
        <is>
          <t>2026-06-30 10:31:37.520</t>
        </is>
      </c>
      <c r="C1307" t="n">
        <v/>
      </c>
      <c r="D1307" t="inlineStr">
        <is>
          <t>Media file</t>
        </is>
      </c>
      <c r="E1307" t="inlineStr">
        <is>
          <t>player #1:C:/Users/manuel.felline/Documents/BEHAVIOR BTBR/NOR second cohort/BTBR/training/c16_f3.mp4</t>
        </is>
      </c>
      <c r="F1307" t="n">
        <v>-9.5</v>
      </c>
      <c r="G1307" t="n">
        <v>596.566</v>
      </c>
      <c r="H1307" t="n">
        <v>642.333</v>
      </c>
      <c r="I1307" t="n">
        <v>30</v>
      </c>
      <c r="J1307" t="inlineStr">
        <is>
          <t>BTBR</t>
        </is>
      </c>
      <c r="K1307" t="inlineStr">
        <is>
          <t xml:space="preserve"> Female</t>
        </is>
      </c>
      <c r="L1307" t="inlineStr">
        <is>
          <t>No focal subject</t>
        </is>
      </c>
      <c r="M1307" t="n">
        <v>32.705</v>
      </c>
      <c r="N1307" t="inlineStr">
        <is>
          <t>Explore_F</t>
        </is>
      </c>
      <c r="O1307" t="inlineStr">
        <is>
          <t>Familiar</t>
        </is>
      </c>
      <c r="P1307" t="inlineStr">
        <is>
          <t>STATE</t>
        </is>
      </c>
      <c r="Q1307" t="n">
        <v>445.6</v>
      </c>
      <c r="R1307" t="n">
        <v>446</v>
      </c>
      <c r="S1307" t="n">
        <v>0.4</v>
      </c>
      <c r="T1307" t="inlineStr">
        <is>
          <t>C:/Users/manuel.felline/Documents/BEHAVIOR BTBR/NOR second cohort/BTBR/training/c16_f3.mp4</t>
        </is>
      </c>
      <c r="U1307" t="n">
        <v>13652</v>
      </c>
      <c r="V1307" t="n">
        <v>13664</v>
      </c>
      <c r="W1307" t="n">
        <v/>
      </c>
      <c r="X1307" t="n">
        <v/>
      </c>
      <c r="Y1307" t="n">
        <v/>
      </c>
      <c r="Z1307" t="n">
        <v/>
      </c>
      <c r="AA1307">
        <f>SUMIFS($S$2:S1307,$A$2:A1307,A1307,$N$2:N1307,"Explore*")</f>
        <v/>
      </c>
      <c r="AB1307">
        <f>IF(AND(LEFT(N1307,7)="Explore",(AA1307-IF(LEFT(N1307,7)="Explore",S1307,0))&lt;10),"SI","NO")</f>
        <v/>
      </c>
    </row>
    <row r="1308">
      <c r="A1308" t="inlineStr">
        <is>
          <t>c16f3_training</t>
        </is>
      </c>
      <c r="B1308" t="inlineStr">
        <is>
          <t>2026-06-30 10:31:37.520</t>
        </is>
      </c>
      <c r="C1308" t="n">
        <v/>
      </c>
      <c r="D1308" t="inlineStr">
        <is>
          <t>Media file</t>
        </is>
      </c>
      <c r="E1308" t="inlineStr">
        <is>
          <t>player #1:C:/Users/manuel.felline/Documents/BEHAVIOR BTBR/NOR second cohort/BTBR/training/c16_f3.mp4</t>
        </is>
      </c>
      <c r="F1308" t="n">
        <v>-9.5</v>
      </c>
      <c r="G1308" t="n">
        <v>596.566</v>
      </c>
      <c r="H1308" t="n">
        <v>642.333</v>
      </c>
      <c r="I1308" t="n">
        <v>30</v>
      </c>
      <c r="J1308" t="inlineStr">
        <is>
          <t>BTBR</t>
        </is>
      </c>
      <c r="K1308" t="inlineStr">
        <is>
          <t xml:space="preserve"> Female</t>
        </is>
      </c>
      <c r="L1308" t="inlineStr">
        <is>
          <t>No focal subject</t>
        </is>
      </c>
      <c r="M1308" t="n">
        <v>32.705</v>
      </c>
      <c r="N1308" t="inlineStr">
        <is>
          <t>Explore_F</t>
        </is>
      </c>
      <c r="O1308" t="inlineStr">
        <is>
          <t>Familiar</t>
        </is>
      </c>
      <c r="P1308" t="inlineStr">
        <is>
          <t>STATE</t>
        </is>
      </c>
      <c r="Q1308" t="n">
        <v>480.433</v>
      </c>
      <c r="R1308" t="n">
        <v>480.966</v>
      </c>
      <c r="S1308" t="n">
        <v>0.533</v>
      </c>
      <c r="T1308" t="inlineStr">
        <is>
          <t>C:/Users/manuel.felline/Documents/BEHAVIOR BTBR/NOR second cohort/BTBR/training/c16_f3.mp4</t>
        </is>
      </c>
      <c r="U1308" t="n">
        <v>14697</v>
      </c>
      <c r="V1308" t="n">
        <v>14713</v>
      </c>
      <c r="W1308" t="n">
        <v/>
      </c>
      <c r="X1308" t="n">
        <v/>
      </c>
      <c r="Y1308" t="n">
        <v/>
      </c>
      <c r="Z1308" t="n">
        <v/>
      </c>
      <c r="AA1308">
        <f>SUMIFS($S$2:S1308,$A$2:A1308,A1308,$N$2:N1308,"Explore*")</f>
        <v/>
      </c>
      <c r="AB1308">
        <f>IF(AND(LEFT(N1308,7)="Explore",(AA1308-IF(LEFT(N1308,7)="Explore",S1308,0))&lt;10),"SI","NO")</f>
        <v/>
      </c>
    </row>
    <row r="1309">
      <c r="A1309" t="inlineStr">
        <is>
          <t>c16f3_training</t>
        </is>
      </c>
      <c r="B1309" t="inlineStr">
        <is>
          <t>2026-06-30 10:31:37.520</t>
        </is>
      </c>
      <c r="C1309" t="n">
        <v/>
      </c>
      <c r="D1309" t="inlineStr">
        <is>
          <t>Media file</t>
        </is>
      </c>
      <c r="E1309" t="inlineStr">
        <is>
          <t>player #1:C:/Users/manuel.felline/Documents/BEHAVIOR BTBR/NOR second cohort/BTBR/training/c16_f3.mp4</t>
        </is>
      </c>
      <c r="F1309" t="n">
        <v>-9.5</v>
      </c>
      <c r="G1309" t="n">
        <v>596.566</v>
      </c>
      <c r="H1309" t="n">
        <v>642.333</v>
      </c>
      <c r="I1309" t="n">
        <v>30</v>
      </c>
      <c r="J1309" t="inlineStr">
        <is>
          <t>BTBR</t>
        </is>
      </c>
      <c r="K1309" t="inlineStr">
        <is>
          <t xml:space="preserve"> Female</t>
        </is>
      </c>
      <c r="L1309" t="inlineStr">
        <is>
          <t>No focal subject</t>
        </is>
      </c>
      <c r="M1309" t="n">
        <v>32.705</v>
      </c>
      <c r="N1309" t="inlineStr">
        <is>
          <t>Explore_F2</t>
        </is>
      </c>
      <c r="O1309" t="inlineStr">
        <is>
          <t>Second familiar</t>
        </is>
      </c>
      <c r="P1309" t="inlineStr">
        <is>
          <t>STATE</t>
        </is>
      </c>
      <c r="Q1309" t="n">
        <v>497.133</v>
      </c>
      <c r="R1309" t="n">
        <v>497.499</v>
      </c>
      <c r="S1309" t="n">
        <v>0.366</v>
      </c>
      <c r="T1309" t="inlineStr">
        <is>
          <t>C:/Users/manuel.felline/Documents/BEHAVIOR BTBR/NOR second cohort/BTBR/training/c16_f3.mp4</t>
        </is>
      </c>
      <c r="U1309" t="n">
        <v>15198</v>
      </c>
      <c r="V1309" t="n">
        <v>15209</v>
      </c>
      <c r="W1309" t="n">
        <v/>
      </c>
      <c r="X1309" t="n">
        <v/>
      </c>
      <c r="Y1309" t="n">
        <v/>
      </c>
      <c r="Z1309" t="n">
        <v/>
      </c>
      <c r="AA1309">
        <f>SUMIFS($S$2:S1309,$A$2:A1309,A1309,$N$2:N1309,"Explore*")</f>
        <v/>
      </c>
      <c r="AB1309">
        <f>IF(AND(LEFT(N1309,7)="Explore",(AA1309-IF(LEFT(N1309,7)="Explore",S1309,0))&lt;10),"SI","NO")</f>
        <v/>
      </c>
    </row>
    <row r="1310">
      <c r="A1310" t="inlineStr">
        <is>
          <t>c16f3_training</t>
        </is>
      </c>
      <c r="B1310" t="inlineStr">
        <is>
          <t>2026-06-30 10:31:37.520</t>
        </is>
      </c>
      <c r="C1310" t="n">
        <v/>
      </c>
      <c r="D1310" t="inlineStr">
        <is>
          <t>Media file</t>
        </is>
      </c>
      <c r="E1310" t="inlineStr">
        <is>
          <t>player #1:C:/Users/manuel.felline/Documents/BEHAVIOR BTBR/NOR second cohort/BTBR/training/c16_f3.mp4</t>
        </is>
      </c>
      <c r="F1310" t="n">
        <v>-9.5</v>
      </c>
      <c r="G1310" t="n">
        <v>596.566</v>
      </c>
      <c r="H1310" t="n">
        <v>642.333</v>
      </c>
      <c r="I1310" t="n">
        <v>30</v>
      </c>
      <c r="J1310" t="inlineStr">
        <is>
          <t>BTBR</t>
        </is>
      </c>
      <c r="K1310" t="inlineStr">
        <is>
          <t xml:space="preserve"> Female</t>
        </is>
      </c>
      <c r="L1310" t="inlineStr">
        <is>
          <t>No focal subject</t>
        </is>
      </c>
      <c r="M1310" t="n">
        <v>32.705</v>
      </c>
      <c r="N1310" t="inlineStr">
        <is>
          <t>Explore_F</t>
        </is>
      </c>
      <c r="O1310" t="inlineStr">
        <is>
          <t>Familiar</t>
        </is>
      </c>
      <c r="P1310" t="inlineStr">
        <is>
          <t>STATE</t>
        </is>
      </c>
      <c r="Q1310" t="n">
        <v>512.466</v>
      </c>
      <c r="R1310" t="n">
        <v>512.866</v>
      </c>
      <c r="S1310" t="n">
        <v>0.4</v>
      </c>
      <c r="T1310" t="inlineStr">
        <is>
          <t>C:/Users/manuel.felline/Documents/BEHAVIOR BTBR/NOR second cohort/BTBR/training/c16_f3.mp4</t>
        </is>
      </c>
      <c r="U1310" t="n">
        <v>15658</v>
      </c>
      <c r="V1310" t="n">
        <v>15670</v>
      </c>
      <c r="W1310" t="n">
        <v/>
      </c>
      <c r="X1310" t="n">
        <v/>
      </c>
      <c r="Y1310" t="n">
        <v/>
      </c>
      <c r="Z1310" t="n">
        <v/>
      </c>
      <c r="AA1310">
        <f>SUMIFS($S$2:S1310,$A$2:A1310,A1310,$N$2:N1310,"Explore*")</f>
        <v/>
      </c>
      <c r="AB1310">
        <f>IF(AND(LEFT(N1310,7)="Explore",(AA1310-IF(LEFT(N1310,7)="Explore",S1310,0))&lt;10),"SI","NO")</f>
        <v/>
      </c>
    </row>
    <row r="1311">
      <c r="A1311" t="inlineStr">
        <is>
          <t>c16f3_training</t>
        </is>
      </c>
      <c r="B1311" t="inlineStr">
        <is>
          <t>2026-06-30 10:31:37.520</t>
        </is>
      </c>
      <c r="C1311" t="n">
        <v/>
      </c>
      <c r="D1311" t="inlineStr">
        <is>
          <t>Media file</t>
        </is>
      </c>
      <c r="E1311" t="inlineStr">
        <is>
          <t>player #1:C:/Users/manuel.felline/Documents/BEHAVIOR BTBR/NOR second cohort/BTBR/training/c16_f3.mp4</t>
        </is>
      </c>
      <c r="F1311" t="n">
        <v>-9.5</v>
      </c>
      <c r="G1311" t="n">
        <v>596.566</v>
      </c>
      <c r="H1311" t="n">
        <v>642.333</v>
      </c>
      <c r="I1311" t="n">
        <v>30</v>
      </c>
      <c r="J1311" t="inlineStr">
        <is>
          <t>BTBR</t>
        </is>
      </c>
      <c r="K1311" t="inlineStr">
        <is>
          <t xml:space="preserve"> Female</t>
        </is>
      </c>
      <c r="L1311" t="inlineStr">
        <is>
          <t>No focal subject</t>
        </is>
      </c>
      <c r="M1311" t="n">
        <v>32.705</v>
      </c>
      <c r="N1311" t="inlineStr">
        <is>
          <t>Explore_F</t>
        </is>
      </c>
      <c r="O1311" t="inlineStr">
        <is>
          <t>Familiar</t>
        </is>
      </c>
      <c r="P1311" t="inlineStr">
        <is>
          <t>STATE</t>
        </is>
      </c>
      <c r="Q1311" t="n">
        <v>565.833</v>
      </c>
      <c r="R1311" t="n">
        <v>566.1660000000001</v>
      </c>
      <c r="S1311" t="n">
        <v>0.333</v>
      </c>
      <c r="T1311" t="inlineStr">
        <is>
          <t>C:/Users/manuel.felline/Documents/BEHAVIOR BTBR/NOR second cohort/BTBR/training/c16_f3.mp4</t>
        </is>
      </c>
      <c r="U1311" t="n">
        <v>17259</v>
      </c>
      <c r="V1311" t="n">
        <v>17269</v>
      </c>
      <c r="W1311" t="n">
        <v/>
      </c>
      <c r="X1311" t="n">
        <v/>
      </c>
      <c r="Y1311" t="n">
        <v/>
      </c>
      <c r="Z1311" t="n">
        <v/>
      </c>
      <c r="AA1311">
        <f>SUMIFS($S$2:S1311,$A$2:A1311,A1311,$N$2:N1311,"Explore*")</f>
        <v/>
      </c>
      <c r="AB1311">
        <f>IF(AND(LEFT(N1311,7)="Explore",(AA1311-IF(LEFT(N1311,7)="Explore",S1311,0))&lt;10),"SI","NO")</f>
        <v/>
      </c>
    </row>
    <row r="1312">
      <c r="A1312" t="inlineStr">
        <is>
          <t>c16f3_training</t>
        </is>
      </c>
      <c r="B1312" t="inlineStr">
        <is>
          <t>2026-06-30 10:31:37.520</t>
        </is>
      </c>
      <c r="C1312" t="n">
        <v/>
      </c>
      <c r="D1312" t="inlineStr">
        <is>
          <t>Media file</t>
        </is>
      </c>
      <c r="E1312" t="inlineStr">
        <is>
          <t>player #1:C:/Users/manuel.felline/Documents/BEHAVIOR BTBR/NOR second cohort/BTBR/training/c16_f3.mp4</t>
        </is>
      </c>
      <c r="F1312" t="n">
        <v>-9.5</v>
      </c>
      <c r="G1312" t="n">
        <v>596.566</v>
      </c>
      <c r="H1312" t="n">
        <v>642.333</v>
      </c>
      <c r="I1312" t="n">
        <v>30</v>
      </c>
      <c r="J1312" t="inlineStr">
        <is>
          <t>BTBR</t>
        </is>
      </c>
      <c r="K1312" t="inlineStr">
        <is>
          <t xml:space="preserve"> Female</t>
        </is>
      </c>
      <c r="L1312" t="inlineStr">
        <is>
          <t>No focal subject</t>
        </is>
      </c>
      <c r="M1312" t="n">
        <v>32.705</v>
      </c>
      <c r="N1312" t="inlineStr">
        <is>
          <t>Explore_F2</t>
        </is>
      </c>
      <c r="O1312" t="inlineStr">
        <is>
          <t>Second familiar</t>
        </is>
      </c>
      <c r="P1312" t="inlineStr">
        <is>
          <t>STATE</t>
        </is>
      </c>
      <c r="Q1312" t="n">
        <v>570.2329999999999</v>
      </c>
      <c r="R1312" t="n">
        <v>570.6660000000001</v>
      </c>
      <c r="S1312" t="n">
        <v>0.433</v>
      </c>
      <c r="T1312" t="inlineStr">
        <is>
          <t>C:/Users/manuel.felline/Documents/BEHAVIOR BTBR/NOR second cohort/BTBR/training/c16_f3.mp4</t>
        </is>
      </c>
      <c r="U1312" t="n">
        <v>17391</v>
      </c>
      <c r="V1312" t="n">
        <v>17404</v>
      </c>
      <c r="W1312" t="n">
        <v/>
      </c>
      <c r="X1312" t="n">
        <v/>
      </c>
      <c r="Y1312" t="n">
        <v/>
      </c>
      <c r="Z1312" t="n">
        <v/>
      </c>
      <c r="AA1312">
        <f>SUMIFS($S$2:S1312,$A$2:A1312,A1312,$N$2:N1312,"Explore*")</f>
        <v/>
      </c>
      <c r="AB1312">
        <f>IF(AND(LEFT(N1312,7)="Explore",(AA1312-IF(LEFT(N1312,7)="Explore",S1312,0))&lt;10),"SI","NO")</f>
        <v/>
      </c>
    </row>
    <row r="1313">
      <c r="A1313" t="inlineStr">
        <is>
          <t>c16f3_training</t>
        </is>
      </c>
      <c r="B1313" t="inlineStr">
        <is>
          <t>2026-06-30 10:31:37.520</t>
        </is>
      </c>
      <c r="C1313" t="n">
        <v/>
      </c>
      <c r="D1313" t="inlineStr">
        <is>
          <t>Media file</t>
        </is>
      </c>
      <c r="E1313" t="inlineStr">
        <is>
          <t>player #1:C:/Users/manuel.felline/Documents/BEHAVIOR BTBR/NOR second cohort/BTBR/training/c16_f3.mp4</t>
        </is>
      </c>
      <c r="F1313" t="n">
        <v>-9.5</v>
      </c>
      <c r="G1313" t="n">
        <v>596.566</v>
      </c>
      <c r="H1313" t="n">
        <v>642.333</v>
      </c>
      <c r="I1313" t="n">
        <v>30</v>
      </c>
      <c r="J1313" t="inlineStr">
        <is>
          <t>BTBR</t>
        </is>
      </c>
      <c r="K1313" t="inlineStr">
        <is>
          <t xml:space="preserve"> Female</t>
        </is>
      </c>
      <c r="L1313" t="inlineStr">
        <is>
          <t>No focal subject</t>
        </is>
      </c>
      <c r="M1313" t="n">
        <v>32.705</v>
      </c>
      <c r="N1313" t="inlineStr">
        <is>
          <t>Explore_F2</t>
        </is>
      </c>
      <c r="O1313" t="inlineStr">
        <is>
          <t>Second familiar</t>
        </is>
      </c>
      <c r="P1313" t="inlineStr">
        <is>
          <t>STATE</t>
        </is>
      </c>
      <c r="Q1313" t="n">
        <v>590.199</v>
      </c>
      <c r="R1313" t="n">
        <v>590.566</v>
      </c>
      <c r="S1313" t="n">
        <v>0.367</v>
      </c>
      <c r="T1313" t="inlineStr">
        <is>
          <t>C:/Users/manuel.felline/Documents/BEHAVIOR BTBR/NOR second cohort/BTBR/training/c16_f3.mp4</t>
        </is>
      </c>
      <c r="U1313" t="n">
        <v>17990</v>
      </c>
      <c r="V1313" t="n">
        <v>18001</v>
      </c>
      <c r="W1313" t="n">
        <v/>
      </c>
      <c r="X1313" t="n">
        <v/>
      </c>
      <c r="Y1313" t="n">
        <v/>
      </c>
      <c r="Z1313" t="n">
        <v/>
      </c>
      <c r="AA1313">
        <f>SUMIFS($S$2:S1313,$A$2:A1313,A1313,$N$2:N1313,"Explore*")</f>
        <v/>
      </c>
      <c r="AB1313">
        <f>IF(AND(LEFT(N1313,7)="Explore",(AA1313-IF(LEFT(N1313,7)="Explore",S1313,0))&lt;10),"SI","NO")</f>
        <v/>
      </c>
    </row>
    <row r="1314">
      <c r="A1314" t="inlineStr">
        <is>
          <t>c16f3_training</t>
        </is>
      </c>
      <c r="B1314" t="inlineStr">
        <is>
          <t>2026-06-30 10:31:37.520</t>
        </is>
      </c>
      <c r="C1314" t="n">
        <v/>
      </c>
      <c r="D1314" t="inlineStr">
        <is>
          <t>Media file</t>
        </is>
      </c>
      <c r="E1314" t="inlineStr">
        <is>
          <t>player #1:C:/Users/manuel.felline/Documents/BEHAVIOR BTBR/NOR second cohort/BTBR/training/c16_f3.mp4</t>
        </is>
      </c>
      <c r="F1314" t="n">
        <v>-9.5</v>
      </c>
      <c r="G1314" t="n">
        <v>596.566</v>
      </c>
      <c r="H1314" t="n">
        <v>642.333</v>
      </c>
      <c r="I1314" t="n">
        <v>30</v>
      </c>
      <c r="J1314" t="inlineStr">
        <is>
          <t>BTBR</t>
        </is>
      </c>
      <c r="K1314" t="inlineStr">
        <is>
          <t xml:space="preserve"> Female</t>
        </is>
      </c>
      <c r="L1314" t="inlineStr">
        <is>
          <t>No focal subject</t>
        </is>
      </c>
      <c r="M1314" t="n">
        <v>32.705</v>
      </c>
      <c r="N1314" t="inlineStr">
        <is>
          <t>Explore_F</t>
        </is>
      </c>
      <c r="O1314" t="inlineStr">
        <is>
          <t>Familiar</t>
        </is>
      </c>
      <c r="P1314" t="inlineStr">
        <is>
          <t>STATE</t>
        </is>
      </c>
      <c r="Q1314" t="n">
        <v>596.7329999999999</v>
      </c>
      <c r="R1314" t="n">
        <v>597.466</v>
      </c>
      <c r="S1314" t="n">
        <v>0.733</v>
      </c>
      <c r="T1314" t="inlineStr">
        <is>
          <t>C:/Users/manuel.felline/Documents/BEHAVIOR BTBR/NOR second cohort/BTBR/training/c16_f3.mp4</t>
        </is>
      </c>
      <c r="U1314" t="n">
        <v>18186</v>
      </c>
      <c r="V1314" t="n">
        <v>18208</v>
      </c>
      <c r="W1314" t="n">
        <v/>
      </c>
      <c r="X1314" t="n">
        <v/>
      </c>
      <c r="Y1314" t="n">
        <v/>
      </c>
      <c r="Z1314" t="n">
        <v/>
      </c>
      <c r="AA1314">
        <f>SUMIFS($S$2:S1314,$A$2:A1314,A1314,$N$2:N1314,"Explore*")</f>
        <v/>
      </c>
      <c r="AB1314">
        <f>IF(AND(LEFT(N1314,7)="Explore",(AA1314-IF(LEFT(N1314,7)="Explore",S1314,0))&lt;10),"SI","NO")</f>
        <v/>
      </c>
    </row>
    <row r="1315">
      <c r="A1315" t="inlineStr">
        <is>
          <t>c16f4_training</t>
        </is>
      </c>
      <c r="B1315" t="inlineStr">
        <is>
          <t>2026-06-30 15:44:43.910</t>
        </is>
      </c>
      <c r="C1315" t="n">
        <v/>
      </c>
      <c r="D1315" t="inlineStr">
        <is>
          <t>Media file</t>
        </is>
      </c>
      <c r="E1315" t="inlineStr">
        <is>
          <t>player #1:C:/Users/manuel.felline/Documents/BEHAVIOR BTBR/NOR second cohort/BTBR/training/c16_f4.mp4</t>
        </is>
      </c>
      <c r="F1315" t="n">
        <v>-11.067</v>
      </c>
      <c r="G1315" t="n">
        <v>591.032</v>
      </c>
      <c r="H1315" t="n">
        <v>627.699</v>
      </c>
      <c r="I1315" t="n">
        <v>30</v>
      </c>
      <c r="J1315" t="inlineStr">
        <is>
          <t>BTBR</t>
        </is>
      </c>
      <c r="K1315" t="inlineStr">
        <is>
          <t xml:space="preserve"> Female</t>
        </is>
      </c>
      <c r="L1315" t="inlineStr">
        <is>
          <t>No focal subject</t>
        </is>
      </c>
      <c r="M1315" t="n">
        <v>51.199</v>
      </c>
      <c r="N1315" t="inlineStr">
        <is>
          <t>Explore_F</t>
        </is>
      </c>
      <c r="O1315" t="inlineStr">
        <is>
          <t>Familiar</t>
        </is>
      </c>
      <c r="P1315" t="inlineStr">
        <is>
          <t>STATE</t>
        </is>
      </c>
      <c r="Q1315" t="n">
        <v>3.2</v>
      </c>
      <c r="R1315" t="n">
        <v>4.366</v>
      </c>
      <c r="S1315" t="n">
        <v>1.166</v>
      </c>
      <c r="T1315" t="inlineStr">
        <is>
          <t>C:/Users/manuel.felline/Documents/BEHAVIOR BTBR/NOR second cohort/BTBR/training/c16_f4.mp4</t>
        </is>
      </c>
      <c r="U1315" t="n">
        <v>428</v>
      </c>
      <c r="V1315" t="n">
        <v>463</v>
      </c>
      <c r="W1315" t="n">
        <v/>
      </c>
      <c r="X1315" t="n">
        <v/>
      </c>
      <c r="Y1315" t="n">
        <v/>
      </c>
      <c r="Z1315" t="n">
        <v/>
      </c>
      <c r="AA1315">
        <f>SUMIFS($S$2:S1315,$A$2:A1315,A1315,$N$2:N1315,"Explore*")</f>
        <v/>
      </c>
      <c r="AB1315">
        <f>IF(AND(LEFT(N1315,7)="Explore",(AA1315-IF(LEFT(N1315,7)="Explore",S1315,0))&lt;10),"SI","NO")</f>
        <v/>
      </c>
    </row>
    <row r="1316">
      <c r="A1316" t="inlineStr">
        <is>
          <t>c16f4_training</t>
        </is>
      </c>
      <c r="B1316" t="inlineStr">
        <is>
          <t>2026-06-30 15:44:43.910</t>
        </is>
      </c>
      <c r="C1316" t="n">
        <v/>
      </c>
      <c r="D1316" t="inlineStr">
        <is>
          <t>Media file</t>
        </is>
      </c>
      <c r="E1316" t="inlineStr">
        <is>
          <t>player #1:C:/Users/manuel.felline/Documents/BEHAVIOR BTBR/NOR second cohort/BTBR/training/c16_f4.mp4</t>
        </is>
      </c>
      <c r="F1316" t="n">
        <v>-11.067</v>
      </c>
      <c r="G1316" t="n">
        <v>591.032</v>
      </c>
      <c r="H1316" t="n">
        <v>627.699</v>
      </c>
      <c r="I1316" t="n">
        <v>30</v>
      </c>
      <c r="J1316" t="inlineStr">
        <is>
          <t>BTBR</t>
        </is>
      </c>
      <c r="K1316" t="inlineStr">
        <is>
          <t xml:space="preserve"> Female</t>
        </is>
      </c>
      <c r="L1316" t="inlineStr">
        <is>
          <t>No focal subject</t>
        </is>
      </c>
      <c r="M1316" t="n">
        <v>51.199</v>
      </c>
      <c r="N1316" t="inlineStr">
        <is>
          <t>Explore_F2</t>
        </is>
      </c>
      <c r="O1316" t="inlineStr">
        <is>
          <t>Second familiar</t>
        </is>
      </c>
      <c r="P1316" t="inlineStr">
        <is>
          <t>STATE</t>
        </is>
      </c>
      <c r="Q1316" t="n">
        <v>7.566</v>
      </c>
      <c r="R1316" t="n">
        <v>8.333</v>
      </c>
      <c r="S1316" t="n">
        <v>0.767</v>
      </c>
      <c r="T1316" t="inlineStr">
        <is>
          <t>C:/Users/manuel.felline/Documents/BEHAVIOR BTBR/NOR second cohort/BTBR/training/c16_f4.mp4</t>
        </is>
      </c>
      <c r="U1316" t="n">
        <v>559</v>
      </c>
      <c r="V1316" t="n">
        <v>582</v>
      </c>
      <c r="W1316" t="n">
        <v/>
      </c>
      <c r="X1316" t="n">
        <v/>
      </c>
      <c r="Y1316" t="n">
        <v/>
      </c>
      <c r="Z1316" t="n">
        <v/>
      </c>
      <c r="AA1316">
        <f>SUMIFS($S$2:S1316,$A$2:A1316,A1316,$N$2:N1316,"Explore*")</f>
        <v/>
      </c>
      <c r="AB1316">
        <f>IF(AND(LEFT(N1316,7)="Explore",(AA1316-IF(LEFT(N1316,7)="Explore",S1316,0))&lt;10),"SI","NO")</f>
        <v/>
      </c>
    </row>
    <row r="1317">
      <c r="A1317" t="inlineStr">
        <is>
          <t>c16f4_training</t>
        </is>
      </c>
      <c r="B1317" t="inlineStr">
        <is>
          <t>2026-06-30 15:44:43.910</t>
        </is>
      </c>
      <c r="C1317" t="n">
        <v/>
      </c>
      <c r="D1317" t="inlineStr">
        <is>
          <t>Media file</t>
        </is>
      </c>
      <c r="E1317" t="inlineStr">
        <is>
          <t>player #1:C:/Users/manuel.felline/Documents/BEHAVIOR BTBR/NOR second cohort/BTBR/training/c16_f4.mp4</t>
        </is>
      </c>
      <c r="F1317" t="n">
        <v>-11.067</v>
      </c>
      <c r="G1317" t="n">
        <v>591.032</v>
      </c>
      <c r="H1317" t="n">
        <v>627.699</v>
      </c>
      <c r="I1317" t="n">
        <v>30</v>
      </c>
      <c r="J1317" t="inlineStr">
        <is>
          <t>BTBR</t>
        </is>
      </c>
      <c r="K1317" t="inlineStr">
        <is>
          <t xml:space="preserve"> Female</t>
        </is>
      </c>
      <c r="L1317" t="inlineStr">
        <is>
          <t>No focal subject</t>
        </is>
      </c>
      <c r="M1317" t="n">
        <v>51.199</v>
      </c>
      <c r="N1317" t="inlineStr">
        <is>
          <t>Explore_F</t>
        </is>
      </c>
      <c r="O1317" t="inlineStr">
        <is>
          <t>Familiar</t>
        </is>
      </c>
      <c r="P1317" t="inlineStr">
        <is>
          <t>STATE</t>
        </is>
      </c>
      <c r="Q1317" t="n">
        <v>13.566</v>
      </c>
      <c r="R1317" t="n">
        <v>13.966</v>
      </c>
      <c r="S1317" t="n">
        <v>0.4</v>
      </c>
      <c r="T1317" t="inlineStr">
        <is>
          <t>C:/Users/manuel.felline/Documents/BEHAVIOR BTBR/NOR second cohort/BTBR/training/c16_f4.mp4</t>
        </is>
      </c>
      <c r="U1317" t="n">
        <v>739</v>
      </c>
      <c r="V1317" t="n">
        <v>751</v>
      </c>
      <c r="W1317" t="n">
        <v/>
      </c>
      <c r="X1317" t="n">
        <v/>
      </c>
      <c r="Y1317" t="n">
        <v/>
      </c>
      <c r="Z1317" t="n">
        <v/>
      </c>
      <c r="AA1317">
        <f>SUMIFS($S$2:S1317,$A$2:A1317,A1317,$N$2:N1317,"Explore*")</f>
        <v/>
      </c>
      <c r="AB1317">
        <f>IF(AND(LEFT(N1317,7)="Explore",(AA1317-IF(LEFT(N1317,7)="Explore",S1317,0))&lt;10),"SI","NO")</f>
        <v/>
      </c>
    </row>
    <row r="1318">
      <c r="A1318" t="inlineStr">
        <is>
          <t>c16f4_training</t>
        </is>
      </c>
      <c r="B1318" t="inlineStr">
        <is>
          <t>2026-06-30 15:44:43.910</t>
        </is>
      </c>
      <c r="C1318" t="n">
        <v/>
      </c>
      <c r="D1318" t="inlineStr">
        <is>
          <t>Media file</t>
        </is>
      </c>
      <c r="E1318" t="inlineStr">
        <is>
          <t>player #1:C:/Users/manuel.felline/Documents/BEHAVIOR BTBR/NOR second cohort/BTBR/training/c16_f4.mp4</t>
        </is>
      </c>
      <c r="F1318" t="n">
        <v>-11.067</v>
      </c>
      <c r="G1318" t="n">
        <v>591.032</v>
      </c>
      <c r="H1318" t="n">
        <v>627.699</v>
      </c>
      <c r="I1318" t="n">
        <v>30</v>
      </c>
      <c r="J1318" t="inlineStr">
        <is>
          <t>BTBR</t>
        </is>
      </c>
      <c r="K1318" t="inlineStr">
        <is>
          <t xml:space="preserve"> Female</t>
        </is>
      </c>
      <c r="L1318" t="inlineStr">
        <is>
          <t>No focal subject</t>
        </is>
      </c>
      <c r="M1318" t="n">
        <v>51.199</v>
      </c>
      <c r="N1318" t="inlineStr">
        <is>
          <t>Explore_F2</t>
        </is>
      </c>
      <c r="O1318" t="inlineStr">
        <is>
          <t>Second familiar</t>
        </is>
      </c>
      <c r="P1318" t="inlineStr">
        <is>
          <t>STATE</t>
        </is>
      </c>
      <c r="Q1318" t="n">
        <v>15.3</v>
      </c>
      <c r="R1318" t="n">
        <v>16.466</v>
      </c>
      <c r="S1318" t="n">
        <v>1.166</v>
      </c>
      <c r="T1318" t="inlineStr">
        <is>
          <t>C:/Users/manuel.felline/Documents/BEHAVIOR BTBR/NOR second cohort/BTBR/training/c16_f4.mp4</t>
        </is>
      </c>
      <c r="U1318" t="n">
        <v>791</v>
      </c>
      <c r="V1318" t="n">
        <v>826</v>
      </c>
      <c r="W1318" t="n">
        <v/>
      </c>
      <c r="X1318" t="n">
        <v/>
      </c>
      <c r="Y1318" t="n">
        <v/>
      </c>
      <c r="Z1318" t="n">
        <v/>
      </c>
      <c r="AA1318">
        <f>SUMIFS($S$2:S1318,$A$2:A1318,A1318,$N$2:N1318,"Explore*")</f>
        <v/>
      </c>
      <c r="AB1318">
        <f>IF(AND(LEFT(N1318,7)="Explore",(AA1318-IF(LEFT(N1318,7)="Explore",S1318,0))&lt;10),"SI","NO")</f>
        <v/>
      </c>
    </row>
    <row r="1319">
      <c r="A1319" t="inlineStr">
        <is>
          <t>c16f4_training</t>
        </is>
      </c>
      <c r="B1319" t="inlineStr">
        <is>
          <t>2026-06-30 15:44:43.910</t>
        </is>
      </c>
      <c r="C1319" t="n">
        <v/>
      </c>
      <c r="D1319" t="inlineStr">
        <is>
          <t>Media file</t>
        </is>
      </c>
      <c r="E1319" t="inlineStr">
        <is>
          <t>player #1:C:/Users/manuel.felline/Documents/BEHAVIOR BTBR/NOR second cohort/BTBR/training/c16_f4.mp4</t>
        </is>
      </c>
      <c r="F1319" t="n">
        <v>-11.067</v>
      </c>
      <c r="G1319" t="n">
        <v>591.032</v>
      </c>
      <c r="H1319" t="n">
        <v>627.699</v>
      </c>
      <c r="I1319" t="n">
        <v>30</v>
      </c>
      <c r="J1319" t="inlineStr">
        <is>
          <t>BTBR</t>
        </is>
      </c>
      <c r="K1319" t="inlineStr">
        <is>
          <t xml:space="preserve"> Female</t>
        </is>
      </c>
      <c r="L1319" t="inlineStr">
        <is>
          <t>No focal subject</t>
        </is>
      </c>
      <c r="M1319" t="n">
        <v>51.199</v>
      </c>
      <c r="N1319" t="inlineStr">
        <is>
          <t>Explore_F</t>
        </is>
      </c>
      <c r="O1319" t="inlineStr">
        <is>
          <t>Familiar</t>
        </is>
      </c>
      <c r="P1319" t="inlineStr">
        <is>
          <t>STATE</t>
        </is>
      </c>
      <c r="Q1319" t="n">
        <v>18.4</v>
      </c>
      <c r="R1319" t="n">
        <v>18.7</v>
      </c>
      <c r="S1319" t="n">
        <v>0.3</v>
      </c>
      <c r="T1319" t="inlineStr">
        <is>
          <t>C:/Users/manuel.felline/Documents/BEHAVIOR BTBR/NOR second cohort/BTBR/training/c16_f4.mp4</t>
        </is>
      </c>
      <c r="U1319" t="n">
        <v>884</v>
      </c>
      <c r="V1319" t="n">
        <v>893</v>
      </c>
      <c r="W1319" t="n">
        <v/>
      </c>
      <c r="X1319" t="n">
        <v/>
      </c>
      <c r="Y1319" t="n">
        <v/>
      </c>
      <c r="Z1319" t="n">
        <v/>
      </c>
      <c r="AA1319">
        <f>SUMIFS($S$2:S1319,$A$2:A1319,A1319,$N$2:N1319,"Explore*")</f>
        <v/>
      </c>
      <c r="AB1319">
        <f>IF(AND(LEFT(N1319,7)="Explore",(AA1319-IF(LEFT(N1319,7)="Explore",S1319,0))&lt;10),"SI","NO")</f>
        <v/>
      </c>
    </row>
    <row r="1320">
      <c r="A1320" t="inlineStr">
        <is>
          <t>c16f4_training</t>
        </is>
      </c>
      <c r="B1320" t="inlineStr">
        <is>
          <t>2026-06-30 15:44:43.910</t>
        </is>
      </c>
      <c r="C1320" t="n">
        <v/>
      </c>
      <c r="D1320" t="inlineStr">
        <is>
          <t>Media file</t>
        </is>
      </c>
      <c r="E1320" t="inlineStr">
        <is>
          <t>player #1:C:/Users/manuel.felline/Documents/BEHAVIOR BTBR/NOR second cohort/BTBR/training/c16_f4.mp4</t>
        </is>
      </c>
      <c r="F1320" t="n">
        <v>-11.067</v>
      </c>
      <c r="G1320" t="n">
        <v>591.032</v>
      </c>
      <c r="H1320" t="n">
        <v>627.699</v>
      </c>
      <c r="I1320" t="n">
        <v>30</v>
      </c>
      <c r="J1320" t="inlineStr">
        <is>
          <t>BTBR</t>
        </is>
      </c>
      <c r="K1320" t="inlineStr">
        <is>
          <t xml:space="preserve"> Female</t>
        </is>
      </c>
      <c r="L1320" t="inlineStr">
        <is>
          <t>No focal subject</t>
        </is>
      </c>
      <c r="M1320" t="n">
        <v>51.199</v>
      </c>
      <c r="N1320" t="inlineStr">
        <is>
          <t>Explore_F</t>
        </is>
      </c>
      <c r="O1320" t="inlineStr">
        <is>
          <t>Familiar</t>
        </is>
      </c>
      <c r="P1320" t="inlineStr">
        <is>
          <t>STATE</t>
        </is>
      </c>
      <c r="Q1320" t="n">
        <v>19.7</v>
      </c>
      <c r="R1320" t="n">
        <v>20.3</v>
      </c>
      <c r="S1320" t="n">
        <v>0.6</v>
      </c>
      <c r="T1320" t="inlineStr">
        <is>
          <t>C:/Users/manuel.felline/Documents/BEHAVIOR BTBR/NOR second cohort/BTBR/training/c16_f4.mp4</t>
        </is>
      </c>
      <c r="U1320" t="n">
        <v>923</v>
      </c>
      <c r="V1320" t="n">
        <v>941</v>
      </c>
      <c r="W1320" t="n">
        <v/>
      </c>
      <c r="X1320" t="n">
        <v/>
      </c>
      <c r="Y1320" t="n">
        <v/>
      </c>
      <c r="Z1320" t="n">
        <v/>
      </c>
      <c r="AA1320">
        <f>SUMIFS($S$2:S1320,$A$2:A1320,A1320,$N$2:N1320,"Explore*")</f>
        <v/>
      </c>
      <c r="AB1320">
        <f>IF(AND(LEFT(N1320,7)="Explore",(AA1320-IF(LEFT(N1320,7)="Explore",S1320,0))&lt;10),"SI","NO")</f>
        <v/>
      </c>
    </row>
    <row r="1321">
      <c r="A1321" t="inlineStr">
        <is>
          <t>c16f4_training</t>
        </is>
      </c>
      <c r="B1321" t="inlineStr">
        <is>
          <t>2026-06-30 15:44:43.910</t>
        </is>
      </c>
      <c r="C1321" t="n">
        <v/>
      </c>
      <c r="D1321" t="inlineStr">
        <is>
          <t>Media file</t>
        </is>
      </c>
      <c r="E1321" t="inlineStr">
        <is>
          <t>player #1:C:/Users/manuel.felline/Documents/BEHAVIOR BTBR/NOR second cohort/BTBR/training/c16_f4.mp4</t>
        </is>
      </c>
      <c r="F1321" t="n">
        <v>-11.067</v>
      </c>
      <c r="G1321" t="n">
        <v>591.032</v>
      </c>
      <c r="H1321" t="n">
        <v>627.699</v>
      </c>
      <c r="I1321" t="n">
        <v>30</v>
      </c>
      <c r="J1321" t="inlineStr">
        <is>
          <t>BTBR</t>
        </is>
      </c>
      <c r="K1321" t="inlineStr">
        <is>
          <t xml:space="preserve"> Female</t>
        </is>
      </c>
      <c r="L1321" t="inlineStr">
        <is>
          <t>No focal subject</t>
        </is>
      </c>
      <c r="M1321" t="n">
        <v>51.199</v>
      </c>
      <c r="N1321" t="inlineStr">
        <is>
          <t>Explore_F</t>
        </is>
      </c>
      <c r="O1321" t="inlineStr">
        <is>
          <t>Familiar</t>
        </is>
      </c>
      <c r="P1321" t="inlineStr">
        <is>
          <t>STATE</t>
        </is>
      </c>
      <c r="Q1321" t="n">
        <v>28.9</v>
      </c>
      <c r="R1321" t="n">
        <v>29.133</v>
      </c>
      <c r="S1321" t="n">
        <v>0.233</v>
      </c>
      <c r="T1321" t="inlineStr">
        <is>
          <t>C:/Users/manuel.felline/Documents/BEHAVIOR BTBR/NOR second cohort/BTBR/training/c16_f4.mp4</t>
        </is>
      </c>
      <c r="U1321" t="n">
        <v>1199</v>
      </c>
      <c r="V1321" t="n">
        <v>1206</v>
      </c>
      <c r="W1321" t="n">
        <v/>
      </c>
      <c r="X1321" t="n">
        <v/>
      </c>
      <c r="Y1321" t="n">
        <v/>
      </c>
      <c r="Z1321" t="n">
        <v/>
      </c>
      <c r="AA1321">
        <f>SUMIFS($S$2:S1321,$A$2:A1321,A1321,$N$2:N1321,"Explore*")</f>
        <v/>
      </c>
      <c r="AB1321">
        <f>IF(AND(LEFT(N1321,7)="Explore",(AA1321-IF(LEFT(N1321,7)="Explore",S1321,0))&lt;10),"SI","NO")</f>
        <v/>
      </c>
    </row>
    <row r="1322">
      <c r="A1322" t="inlineStr">
        <is>
          <t>c16f4_training</t>
        </is>
      </c>
      <c r="B1322" t="inlineStr">
        <is>
          <t>2026-06-30 15:44:43.910</t>
        </is>
      </c>
      <c r="C1322" t="n">
        <v/>
      </c>
      <c r="D1322" t="inlineStr">
        <is>
          <t>Media file</t>
        </is>
      </c>
      <c r="E1322" t="inlineStr">
        <is>
          <t>player #1:C:/Users/manuel.felline/Documents/BEHAVIOR BTBR/NOR second cohort/BTBR/training/c16_f4.mp4</t>
        </is>
      </c>
      <c r="F1322" t="n">
        <v>-11.067</v>
      </c>
      <c r="G1322" t="n">
        <v>591.032</v>
      </c>
      <c r="H1322" t="n">
        <v>627.699</v>
      </c>
      <c r="I1322" t="n">
        <v>30</v>
      </c>
      <c r="J1322" t="inlineStr">
        <is>
          <t>BTBR</t>
        </is>
      </c>
      <c r="K1322" t="inlineStr">
        <is>
          <t xml:space="preserve"> Female</t>
        </is>
      </c>
      <c r="L1322" t="inlineStr">
        <is>
          <t>No focal subject</t>
        </is>
      </c>
      <c r="M1322" t="n">
        <v>51.199</v>
      </c>
      <c r="N1322" t="inlineStr">
        <is>
          <t>Explore_F2</t>
        </is>
      </c>
      <c r="O1322" t="inlineStr">
        <is>
          <t>Second familiar</t>
        </is>
      </c>
      <c r="P1322" t="inlineStr">
        <is>
          <t>STATE</t>
        </is>
      </c>
      <c r="Q1322" t="n">
        <v>29.566</v>
      </c>
      <c r="R1322" t="n">
        <v>30.566</v>
      </c>
      <c r="S1322" t="n">
        <v>1</v>
      </c>
      <c r="T1322" t="inlineStr">
        <is>
          <t>C:/Users/manuel.felline/Documents/BEHAVIOR BTBR/NOR second cohort/BTBR/training/c16_f4.mp4</t>
        </is>
      </c>
      <c r="U1322" t="n">
        <v>1219</v>
      </c>
      <c r="V1322" t="n">
        <v>1249</v>
      </c>
      <c r="W1322" t="n">
        <v/>
      </c>
      <c r="X1322" t="n">
        <v/>
      </c>
      <c r="Y1322" t="n">
        <v/>
      </c>
      <c r="Z1322" t="n">
        <v/>
      </c>
      <c r="AA1322">
        <f>SUMIFS($S$2:S1322,$A$2:A1322,A1322,$N$2:N1322,"Explore*")</f>
        <v/>
      </c>
      <c r="AB1322">
        <f>IF(AND(LEFT(N1322,7)="Explore",(AA1322-IF(LEFT(N1322,7)="Explore",S1322,0))&lt;10),"SI","NO")</f>
        <v/>
      </c>
    </row>
    <row r="1323">
      <c r="A1323" t="inlineStr">
        <is>
          <t>c16f4_training</t>
        </is>
      </c>
      <c r="B1323" t="inlineStr">
        <is>
          <t>2026-06-30 15:44:43.910</t>
        </is>
      </c>
      <c r="C1323" t="n">
        <v/>
      </c>
      <c r="D1323" t="inlineStr">
        <is>
          <t>Media file</t>
        </is>
      </c>
      <c r="E1323" t="inlineStr">
        <is>
          <t>player #1:C:/Users/manuel.felline/Documents/BEHAVIOR BTBR/NOR second cohort/BTBR/training/c16_f4.mp4</t>
        </is>
      </c>
      <c r="F1323" t="n">
        <v>-11.067</v>
      </c>
      <c r="G1323" t="n">
        <v>591.032</v>
      </c>
      <c r="H1323" t="n">
        <v>627.699</v>
      </c>
      <c r="I1323" t="n">
        <v>30</v>
      </c>
      <c r="J1323" t="inlineStr">
        <is>
          <t>BTBR</t>
        </is>
      </c>
      <c r="K1323" t="inlineStr">
        <is>
          <t xml:space="preserve"> Female</t>
        </is>
      </c>
      <c r="L1323" t="inlineStr">
        <is>
          <t>No focal subject</t>
        </is>
      </c>
      <c r="M1323" t="n">
        <v>51.199</v>
      </c>
      <c r="N1323" t="inlineStr">
        <is>
          <t>Explore_F2</t>
        </is>
      </c>
      <c r="O1323" t="inlineStr">
        <is>
          <t>Second familiar</t>
        </is>
      </c>
      <c r="P1323" t="inlineStr">
        <is>
          <t>STATE</t>
        </is>
      </c>
      <c r="Q1323" t="n">
        <v>31.7</v>
      </c>
      <c r="R1323" t="n">
        <v>32.4</v>
      </c>
      <c r="S1323" t="n">
        <v>0.7</v>
      </c>
      <c r="T1323" t="inlineStr">
        <is>
          <t>C:/Users/manuel.felline/Documents/BEHAVIOR BTBR/NOR second cohort/BTBR/training/c16_f4.mp4</t>
        </is>
      </c>
      <c r="U1323" t="n">
        <v>1283</v>
      </c>
      <c r="V1323" t="n">
        <v>1304</v>
      </c>
      <c r="W1323" t="n">
        <v/>
      </c>
      <c r="X1323" t="n">
        <v/>
      </c>
      <c r="Y1323" t="n">
        <v/>
      </c>
      <c r="Z1323" t="n">
        <v/>
      </c>
      <c r="AA1323">
        <f>SUMIFS($S$2:S1323,$A$2:A1323,A1323,$N$2:N1323,"Explore*")</f>
        <v/>
      </c>
      <c r="AB1323">
        <f>IF(AND(LEFT(N1323,7)="Explore",(AA1323-IF(LEFT(N1323,7)="Explore",S1323,0))&lt;10),"SI","NO")</f>
        <v/>
      </c>
    </row>
    <row r="1324">
      <c r="A1324" t="inlineStr">
        <is>
          <t>c16f4_training</t>
        </is>
      </c>
      <c r="B1324" t="inlineStr">
        <is>
          <t>2026-06-30 15:44:43.910</t>
        </is>
      </c>
      <c r="C1324" t="n">
        <v/>
      </c>
      <c r="D1324" t="inlineStr">
        <is>
          <t>Media file</t>
        </is>
      </c>
      <c r="E1324" t="inlineStr">
        <is>
          <t>player #1:C:/Users/manuel.felline/Documents/BEHAVIOR BTBR/NOR second cohort/BTBR/training/c16_f4.mp4</t>
        </is>
      </c>
      <c r="F1324" t="n">
        <v>-11.067</v>
      </c>
      <c r="G1324" t="n">
        <v>591.032</v>
      </c>
      <c r="H1324" t="n">
        <v>627.699</v>
      </c>
      <c r="I1324" t="n">
        <v>30</v>
      </c>
      <c r="J1324" t="inlineStr">
        <is>
          <t>BTBR</t>
        </is>
      </c>
      <c r="K1324" t="inlineStr">
        <is>
          <t xml:space="preserve"> Female</t>
        </is>
      </c>
      <c r="L1324" t="inlineStr">
        <is>
          <t>No focal subject</t>
        </is>
      </c>
      <c r="M1324" t="n">
        <v>51.199</v>
      </c>
      <c r="N1324" t="inlineStr">
        <is>
          <t>Explore_F</t>
        </is>
      </c>
      <c r="O1324" t="inlineStr">
        <is>
          <t>Familiar</t>
        </is>
      </c>
      <c r="P1324" t="inlineStr">
        <is>
          <t>STATE</t>
        </is>
      </c>
      <c r="Q1324" t="n">
        <v>34.4</v>
      </c>
      <c r="R1324" t="n">
        <v>34.8</v>
      </c>
      <c r="S1324" t="n">
        <v>0.4</v>
      </c>
      <c r="T1324" t="inlineStr">
        <is>
          <t>C:/Users/manuel.felline/Documents/BEHAVIOR BTBR/NOR second cohort/BTBR/training/c16_f4.mp4</t>
        </is>
      </c>
      <c r="U1324" t="n">
        <v>1364</v>
      </c>
      <c r="V1324" t="n">
        <v>1376</v>
      </c>
      <c r="W1324" t="n">
        <v/>
      </c>
      <c r="X1324" t="n">
        <v/>
      </c>
      <c r="Y1324" t="n">
        <v/>
      </c>
      <c r="Z1324" t="n">
        <v/>
      </c>
      <c r="AA1324">
        <f>SUMIFS($S$2:S1324,$A$2:A1324,A1324,$N$2:N1324,"Explore*")</f>
        <v/>
      </c>
      <c r="AB1324">
        <f>IF(AND(LEFT(N1324,7)="Explore",(AA1324-IF(LEFT(N1324,7)="Explore",S1324,0))&lt;10),"SI","NO")</f>
        <v/>
      </c>
    </row>
    <row r="1325">
      <c r="A1325" t="inlineStr">
        <is>
          <t>c16f4_training</t>
        </is>
      </c>
      <c r="B1325" t="inlineStr">
        <is>
          <t>2026-06-30 15:44:43.910</t>
        </is>
      </c>
      <c r="C1325" t="n">
        <v/>
      </c>
      <c r="D1325" t="inlineStr">
        <is>
          <t>Media file</t>
        </is>
      </c>
      <c r="E1325" t="inlineStr">
        <is>
          <t>player #1:C:/Users/manuel.felline/Documents/BEHAVIOR BTBR/NOR second cohort/BTBR/training/c16_f4.mp4</t>
        </is>
      </c>
      <c r="F1325" t="n">
        <v>-11.067</v>
      </c>
      <c r="G1325" t="n">
        <v>591.032</v>
      </c>
      <c r="H1325" t="n">
        <v>627.699</v>
      </c>
      <c r="I1325" t="n">
        <v>30</v>
      </c>
      <c r="J1325" t="inlineStr">
        <is>
          <t>BTBR</t>
        </is>
      </c>
      <c r="K1325" t="inlineStr">
        <is>
          <t xml:space="preserve"> Female</t>
        </is>
      </c>
      <c r="L1325" t="inlineStr">
        <is>
          <t>No focal subject</t>
        </is>
      </c>
      <c r="M1325" t="n">
        <v>51.199</v>
      </c>
      <c r="N1325" t="inlineStr">
        <is>
          <t>Explore_F</t>
        </is>
      </c>
      <c r="O1325" t="inlineStr">
        <is>
          <t>Familiar</t>
        </is>
      </c>
      <c r="P1325" t="inlineStr">
        <is>
          <t>STATE</t>
        </is>
      </c>
      <c r="Q1325" t="n">
        <v>35.766</v>
      </c>
      <c r="R1325" t="n">
        <v>37.866</v>
      </c>
      <c r="S1325" t="n">
        <v>2.1</v>
      </c>
      <c r="T1325" t="inlineStr">
        <is>
          <t>C:/Users/manuel.felline/Documents/BEHAVIOR BTBR/NOR second cohort/BTBR/training/c16_f4.mp4</t>
        </is>
      </c>
      <c r="U1325" t="n">
        <v>1405</v>
      </c>
      <c r="V1325" t="n">
        <v>1468</v>
      </c>
      <c r="W1325" t="n">
        <v/>
      </c>
      <c r="X1325" t="n">
        <v/>
      </c>
      <c r="Y1325" t="n">
        <v/>
      </c>
      <c r="Z1325" t="n">
        <v/>
      </c>
      <c r="AA1325">
        <f>SUMIFS($S$2:S1325,$A$2:A1325,A1325,$N$2:N1325,"Explore*")</f>
        <v/>
      </c>
      <c r="AB1325">
        <f>IF(AND(LEFT(N1325,7)="Explore",(AA1325-IF(LEFT(N1325,7)="Explore",S1325,0))&lt;10),"SI","NO")</f>
        <v/>
      </c>
    </row>
    <row r="1326">
      <c r="A1326" t="inlineStr">
        <is>
          <t>c16f4_training</t>
        </is>
      </c>
      <c r="B1326" t="inlineStr">
        <is>
          <t>2026-06-30 15:44:43.910</t>
        </is>
      </c>
      <c r="C1326" t="n">
        <v/>
      </c>
      <c r="D1326" t="inlineStr">
        <is>
          <t>Media file</t>
        </is>
      </c>
      <c r="E1326" t="inlineStr">
        <is>
          <t>player #1:C:/Users/manuel.felline/Documents/BEHAVIOR BTBR/NOR second cohort/BTBR/training/c16_f4.mp4</t>
        </is>
      </c>
      <c r="F1326" t="n">
        <v>-11.067</v>
      </c>
      <c r="G1326" t="n">
        <v>591.032</v>
      </c>
      <c r="H1326" t="n">
        <v>627.699</v>
      </c>
      <c r="I1326" t="n">
        <v>30</v>
      </c>
      <c r="J1326" t="inlineStr">
        <is>
          <t>BTBR</t>
        </is>
      </c>
      <c r="K1326" t="inlineStr">
        <is>
          <t xml:space="preserve"> Female</t>
        </is>
      </c>
      <c r="L1326" t="inlineStr">
        <is>
          <t>No focal subject</t>
        </is>
      </c>
      <c r="M1326" t="n">
        <v>51.199</v>
      </c>
      <c r="N1326" t="inlineStr">
        <is>
          <t>Explore_F2</t>
        </is>
      </c>
      <c r="O1326" t="inlineStr">
        <is>
          <t>Second familiar</t>
        </is>
      </c>
      <c r="P1326" t="inlineStr">
        <is>
          <t>STATE</t>
        </is>
      </c>
      <c r="Q1326" t="n">
        <v>38.566</v>
      </c>
      <c r="R1326" t="n">
        <v>39.733</v>
      </c>
      <c r="S1326" t="n">
        <v>1.167</v>
      </c>
      <c r="T1326" t="inlineStr">
        <is>
          <t>C:/Users/manuel.felline/Documents/BEHAVIOR BTBR/NOR second cohort/BTBR/training/c16_f4.mp4</t>
        </is>
      </c>
      <c r="U1326" t="n">
        <v>1489</v>
      </c>
      <c r="V1326" t="n">
        <v>1524</v>
      </c>
      <c r="W1326" t="n">
        <v/>
      </c>
      <c r="X1326" t="n">
        <v/>
      </c>
      <c r="Y1326" t="n">
        <v/>
      </c>
      <c r="Z1326" t="n">
        <v/>
      </c>
      <c r="AA1326">
        <f>SUMIFS($S$2:S1326,$A$2:A1326,A1326,$N$2:N1326,"Explore*")</f>
        <v/>
      </c>
      <c r="AB1326">
        <f>IF(AND(LEFT(N1326,7)="Explore",(AA1326-IF(LEFT(N1326,7)="Explore",S1326,0))&lt;10),"SI","NO")</f>
        <v/>
      </c>
    </row>
    <row r="1327">
      <c r="A1327" t="inlineStr">
        <is>
          <t>c16f4_training</t>
        </is>
      </c>
      <c r="B1327" t="inlineStr">
        <is>
          <t>2026-06-30 15:44:43.910</t>
        </is>
      </c>
      <c r="C1327" t="n">
        <v/>
      </c>
      <c r="D1327" t="inlineStr">
        <is>
          <t>Media file</t>
        </is>
      </c>
      <c r="E1327" t="inlineStr">
        <is>
          <t>player #1:C:/Users/manuel.felline/Documents/BEHAVIOR BTBR/NOR second cohort/BTBR/training/c16_f4.mp4</t>
        </is>
      </c>
      <c r="F1327" t="n">
        <v>-11.067</v>
      </c>
      <c r="G1327" t="n">
        <v>591.032</v>
      </c>
      <c r="H1327" t="n">
        <v>627.699</v>
      </c>
      <c r="I1327" t="n">
        <v>30</v>
      </c>
      <c r="J1327" t="inlineStr">
        <is>
          <t>BTBR</t>
        </is>
      </c>
      <c r="K1327" t="inlineStr">
        <is>
          <t xml:space="preserve"> Female</t>
        </is>
      </c>
      <c r="L1327" t="inlineStr">
        <is>
          <t>No focal subject</t>
        </is>
      </c>
      <c r="M1327" t="n">
        <v>51.199</v>
      </c>
      <c r="N1327" t="inlineStr">
        <is>
          <t>Explore_F2</t>
        </is>
      </c>
      <c r="O1327" t="inlineStr">
        <is>
          <t>Second familiar</t>
        </is>
      </c>
      <c r="P1327" t="inlineStr">
        <is>
          <t>STATE</t>
        </is>
      </c>
      <c r="Q1327" t="n">
        <v>42.333</v>
      </c>
      <c r="R1327" t="n">
        <v>42.566</v>
      </c>
      <c r="S1327" t="n">
        <v>0.233</v>
      </c>
      <c r="T1327" t="inlineStr">
        <is>
          <t>C:/Users/manuel.felline/Documents/BEHAVIOR BTBR/NOR second cohort/BTBR/training/c16_f4.mp4</t>
        </is>
      </c>
      <c r="U1327" t="n">
        <v>1602</v>
      </c>
      <c r="V1327" t="n">
        <v>1609</v>
      </c>
      <c r="W1327" t="n">
        <v/>
      </c>
      <c r="X1327" t="n">
        <v/>
      </c>
      <c r="Y1327" t="n">
        <v/>
      </c>
      <c r="Z1327" t="n">
        <v/>
      </c>
      <c r="AA1327">
        <f>SUMIFS($S$2:S1327,$A$2:A1327,A1327,$N$2:N1327,"Explore*")</f>
        <v/>
      </c>
      <c r="AB1327">
        <f>IF(AND(LEFT(N1327,7)="Explore",(AA1327-IF(LEFT(N1327,7)="Explore",S1327,0))&lt;10),"SI","NO")</f>
        <v/>
      </c>
    </row>
    <row r="1328">
      <c r="A1328" t="inlineStr">
        <is>
          <t>c16f4_training</t>
        </is>
      </c>
      <c r="B1328" t="inlineStr">
        <is>
          <t>2026-06-30 15:44:43.910</t>
        </is>
      </c>
      <c r="C1328" t="n">
        <v/>
      </c>
      <c r="D1328" t="inlineStr">
        <is>
          <t>Media file</t>
        </is>
      </c>
      <c r="E1328" t="inlineStr">
        <is>
          <t>player #1:C:/Users/manuel.felline/Documents/BEHAVIOR BTBR/NOR second cohort/BTBR/training/c16_f4.mp4</t>
        </is>
      </c>
      <c r="F1328" t="n">
        <v>-11.067</v>
      </c>
      <c r="G1328" t="n">
        <v>591.032</v>
      </c>
      <c r="H1328" t="n">
        <v>627.699</v>
      </c>
      <c r="I1328" t="n">
        <v>30</v>
      </c>
      <c r="J1328" t="inlineStr">
        <is>
          <t>BTBR</t>
        </is>
      </c>
      <c r="K1328" t="inlineStr">
        <is>
          <t xml:space="preserve"> Female</t>
        </is>
      </c>
      <c r="L1328" t="inlineStr">
        <is>
          <t>No focal subject</t>
        </is>
      </c>
      <c r="M1328" t="n">
        <v>51.199</v>
      </c>
      <c r="N1328" t="inlineStr">
        <is>
          <t>Explore_F</t>
        </is>
      </c>
      <c r="O1328" t="inlineStr">
        <is>
          <t>Familiar</t>
        </is>
      </c>
      <c r="P1328" t="inlineStr">
        <is>
          <t>STATE</t>
        </is>
      </c>
      <c r="Q1328" t="n">
        <v>42.933</v>
      </c>
      <c r="R1328" t="n">
        <v>43.5</v>
      </c>
      <c r="S1328" t="n">
        <v>0.5669999999999999</v>
      </c>
      <c r="T1328" t="inlineStr">
        <is>
          <t>C:/Users/manuel.felline/Documents/BEHAVIOR BTBR/NOR second cohort/BTBR/training/c16_f4.mp4</t>
        </is>
      </c>
      <c r="U1328" t="n">
        <v>1620</v>
      </c>
      <c r="V1328" t="n">
        <v>1637</v>
      </c>
      <c r="W1328" t="n">
        <v/>
      </c>
      <c r="X1328" t="n">
        <v/>
      </c>
      <c r="Y1328" t="n">
        <v/>
      </c>
      <c r="Z1328" t="n">
        <v/>
      </c>
      <c r="AA1328">
        <f>SUMIFS($S$2:S1328,$A$2:A1328,A1328,$N$2:N1328,"Explore*")</f>
        <v/>
      </c>
      <c r="AB1328">
        <f>IF(AND(LEFT(N1328,7)="Explore",(AA1328-IF(LEFT(N1328,7)="Explore",S1328,0))&lt;10),"SI","NO")</f>
        <v/>
      </c>
    </row>
    <row r="1329">
      <c r="A1329" t="inlineStr">
        <is>
          <t>c16f4_training</t>
        </is>
      </c>
      <c r="B1329" t="inlineStr">
        <is>
          <t>2026-06-30 15:44:43.910</t>
        </is>
      </c>
      <c r="C1329" t="n">
        <v/>
      </c>
      <c r="D1329" t="inlineStr">
        <is>
          <t>Media file</t>
        </is>
      </c>
      <c r="E1329" t="inlineStr">
        <is>
          <t>player #1:C:/Users/manuel.felline/Documents/BEHAVIOR BTBR/NOR second cohort/BTBR/training/c16_f4.mp4</t>
        </is>
      </c>
      <c r="F1329" t="n">
        <v>-11.067</v>
      </c>
      <c r="G1329" t="n">
        <v>591.032</v>
      </c>
      <c r="H1329" t="n">
        <v>627.699</v>
      </c>
      <c r="I1329" t="n">
        <v>30</v>
      </c>
      <c r="J1329" t="inlineStr">
        <is>
          <t>BTBR</t>
        </is>
      </c>
      <c r="K1329" t="inlineStr">
        <is>
          <t xml:space="preserve"> Female</t>
        </is>
      </c>
      <c r="L1329" t="inlineStr">
        <is>
          <t>No focal subject</t>
        </is>
      </c>
      <c r="M1329" t="n">
        <v>51.199</v>
      </c>
      <c r="N1329" t="inlineStr">
        <is>
          <t>Explore_F2</t>
        </is>
      </c>
      <c r="O1329" t="inlineStr">
        <is>
          <t>Second familiar</t>
        </is>
      </c>
      <c r="P1329" t="inlineStr">
        <is>
          <t>STATE</t>
        </is>
      </c>
      <c r="Q1329" t="n">
        <v>45.9</v>
      </c>
      <c r="R1329" t="n">
        <v>46.366</v>
      </c>
      <c r="S1329" t="n">
        <v>0.466</v>
      </c>
      <c r="T1329" t="inlineStr">
        <is>
          <t>C:/Users/manuel.felline/Documents/BEHAVIOR BTBR/NOR second cohort/BTBR/training/c16_f4.mp4</t>
        </is>
      </c>
      <c r="U1329" t="n">
        <v>1709</v>
      </c>
      <c r="V1329" t="n">
        <v>1723</v>
      </c>
      <c r="W1329" t="n">
        <v/>
      </c>
      <c r="X1329" t="n">
        <v/>
      </c>
      <c r="Y1329" t="n">
        <v/>
      </c>
      <c r="Z1329" t="n">
        <v/>
      </c>
      <c r="AA1329">
        <f>SUMIFS($S$2:S1329,$A$2:A1329,A1329,$N$2:N1329,"Explore*")</f>
        <v/>
      </c>
      <c r="AB1329">
        <f>IF(AND(LEFT(N1329,7)="Explore",(AA1329-IF(LEFT(N1329,7)="Explore",S1329,0))&lt;10),"SI","NO")</f>
        <v/>
      </c>
    </row>
    <row r="1330">
      <c r="A1330" t="inlineStr">
        <is>
          <t>c16f4_training</t>
        </is>
      </c>
      <c r="B1330" t="inlineStr">
        <is>
          <t>2026-06-30 15:44:43.910</t>
        </is>
      </c>
      <c r="C1330" t="n">
        <v/>
      </c>
      <c r="D1330" t="inlineStr">
        <is>
          <t>Media file</t>
        </is>
      </c>
      <c r="E1330" t="inlineStr">
        <is>
          <t>player #1:C:/Users/manuel.felline/Documents/BEHAVIOR BTBR/NOR second cohort/BTBR/training/c16_f4.mp4</t>
        </is>
      </c>
      <c r="F1330" t="n">
        <v>-11.067</v>
      </c>
      <c r="G1330" t="n">
        <v>591.032</v>
      </c>
      <c r="H1330" t="n">
        <v>627.699</v>
      </c>
      <c r="I1330" t="n">
        <v>30</v>
      </c>
      <c r="J1330" t="inlineStr">
        <is>
          <t>BTBR</t>
        </is>
      </c>
      <c r="K1330" t="inlineStr">
        <is>
          <t xml:space="preserve"> Female</t>
        </is>
      </c>
      <c r="L1330" t="inlineStr">
        <is>
          <t>No focal subject</t>
        </is>
      </c>
      <c r="M1330" t="n">
        <v>51.199</v>
      </c>
      <c r="N1330" t="inlineStr">
        <is>
          <t>Explore_F2</t>
        </is>
      </c>
      <c r="O1330" t="inlineStr">
        <is>
          <t>Second familiar</t>
        </is>
      </c>
      <c r="P1330" t="inlineStr">
        <is>
          <t>STATE</t>
        </is>
      </c>
      <c r="Q1330" t="n">
        <v>47.466</v>
      </c>
      <c r="R1330" t="n">
        <v>47.8</v>
      </c>
      <c r="S1330" t="n">
        <v>0.334</v>
      </c>
      <c r="T1330" t="inlineStr">
        <is>
          <t>C:/Users/manuel.felline/Documents/BEHAVIOR BTBR/NOR second cohort/BTBR/training/c16_f4.mp4</t>
        </is>
      </c>
      <c r="U1330" t="n">
        <v>1756</v>
      </c>
      <c r="V1330" t="n">
        <v>1766</v>
      </c>
      <c r="W1330" t="n">
        <v/>
      </c>
      <c r="X1330" t="n">
        <v/>
      </c>
      <c r="Y1330" t="n">
        <v/>
      </c>
      <c r="Z1330" t="n">
        <v/>
      </c>
      <c r="AA1330">
        <f>SUMIFS($S$2:S1330,$A$2:A1330,A1330,$N$2:N1330,"Explore*")</f>
        <v/>
      </c>
      <c r="AB1330">
        <f>IF(AND(LEFT(N1330,7)="Explore",(AA1330-IF(LEFT(N1330,7)="Explore",S1330,0))&lt;10),"SI","NO")</f>
        <v/>
      </c>
    </row>
    <row r="1331">
      <c r="A1331" t="inlineStr">
        <is>
          <t>c16f4_training</t>
        </is>
      </c>
      <c r="B1331" t="inlineStr">
        <is>
          <t>2026-06-30 15:44:43.910</t>
        </is>
      </c>
      <c r="C1331" t="n">
        <v/>
      </c>
      <c r="D1331" t="inlineStr">
        <is>
          <t>Media file</t>
        </is>
      </c>
      <c r="E1331" t="inlineStr">
        <is>
          <t>player #1:C:/Users/manuel.felline/Documents/BEHAVIOR BTBR/NOR second cohort/BTBR/training/c16_f4.mp4</t>
        </is>
      </c>
      <c r="F1331" t="n">
        <v>-11.067</v>
      </c>
      <c r="G1331" t="n">
        <v>591.032</v>
      </c>
      <c r="H1331" t="n">
        <v>627.699</v>
      </c>
      <c r="I1331" t="n">
        <v>30</v>
      </c>
      <c r="J1331" t="inlineStr">
        <is>
          <t>BTBR</t>
        </is>
      </c>
      <c r="K1331" t="inlineStr">
        <is>
          <t xml:space="preserve"> Female</t>
        </is>
      </c>
      <c r="L1331" t="inlineStr">
        <is>
          <t>No focal subject</t>
        </is>
      </c>
      <c r="M1331" t="n">
        <v>51.199</v>
      </c>
      <c r="N1331" t="inlineStr">
        <is>
          <t>Explore_F2</t>
        </is>
      </c>
      <c r="O1331" t="inlineStr">
        <is>
          <t>Second familiar</t>
        </is>
      </c>
      <c r="P1331" t="inlineStr">
        <is>
          <t>STATE</t>
        </is>
      </c>
      <c r="Q1331" t="n">
        <v>48.8</v>
      </c>
      <c r="R1331" t="n">
        <v>49.933</v>
      </c>
      <c r="S1331" t="n">
        <v>1.133</v>
      </c>
      <c r="T1331" t="inlineStr">
        <is>
          <t>C:/Users/manuel.felline/Documents/BEHAVIOR BTBR/NOR second cohort/BTBR/training/c16_f4.mp4</t>
        </is>
      </c>
      <c r="U1331" t="n">
        <v>1796</v>
      </c>
      <c r="V1331" t="n">
        <v>1830</v>
      </c>
      <c r="W1331" t="n">
        <v/>
      </c>
      <c r="X1331" t="n">
        <v/>
      </c>
      <c r="Y1331" t="n">
        <v/>
      </c>
      <c r="Z1331" t="n">
        <v/>
      </c>
      <c r="AA1331">
        <f>SUMIFS($S$2:S1331,$A$2:A1331,A1331,$N$2:N1331,"Explore*")</f>
        <v/>
      </c>
      <c r="AB1331">
        <f>IF(AND(LEFT(N1331,7)="Explore",(AA1331-IF(LEFT(N1331,7)="Explore",S1331,0))&lt;10),"SI","NO")</f>
        <v/>
      </c>
    </row>
    <row r="1332">
      <c r="A1332" t="inlineStr">
        <is>
          <t>c16f4_training</t>
        </is>
      </c>
      <c r="B1332" t="inlineStr">
        <is>
          <t>2026-06-30 15:44:43.910</t>
        </is>
      </c>
      <c r="C1332" t="n">
        <v/>
      </c>
      <c r="D1332" t="inlineStr">
        <is>
          <t>Media file</t>
        </is>
      </c>
      <c r="E1332" t="inlineStr">
        <is>
          <t>player #1:C:/Users/manuel.felline/Documents/BEHAVIOR BTBR/NOR second cohort/BTBR/training/c16_f4.mp4</t>
        </is>
      </c>
      <c r="F1332" t="n">
        <v>-11.067</v>
      </c>
      <c r="G1332" t="n">
        <v>591.032</v>
      </c>
      <c r="H1332" t="n">
        <v>627.699</v>
      </c>
      <c r="I1332" t="n">
        <v>30</v>
      </c>
      <c r="J1332" t="inlineStr">
        <is>
          <t>BTBR</t>
        </is>
      </c>
      <c r="K1332" t="inlineStr">
        <is>
          <t xml:space="preserve"> Female</t>
        </is>
      </c>
      <c r="L1332" t="inlineStr">
        <is>
          <t>No focal subject</t>
        </is>
      </c>
      <c r="M1332" t="n">
        <v>51.199</v>
      </c>
      <c r="N1332" t="inlineStr">
        <is>
          <t>Explore_F</t>
        </is>
      </c>
      <c r="O1332" t="inlineStr">
        <is>
          <t>Familiar</t>
        </is>
      </c>
      <c r="P1332" t="inlineStr">
        <is>
          <t>STATE</t>
        </is>
      </c>
      <c r="Q1332" t="n">
        <v>51.5</v>
      </c>
      <c r="R1332" t="n">
        <v>52.766</v>
      </c>
      <c r="S1332" t="n">
        <v>1.266</v>
      </c>
      <c r="T1332" t="inlineStr">
        <is>
          <t>C:/Users/manuel.felline/Documents/BEHAVIOR BTBR/NOR second cohort/BTBR/training/c16_f4.mp4</t>
        </is>
      </c>
      <c r="U1332" t="n">
        <v>1877</v>
      </c>
      <c r="V1332" t="n">
        <v>1915</v>
      </c>
      <c r="W1332" t="n">
        <v/>
      </c>
      <c r="X1332" t="n">
        <v/>
      </c>
      <c r="Y1332" t="n">
        <v/>
      </c>
      <c r="Z1332" t="n">
        <v/>
      </c>
      <c r="AA1332">
        <f>SUMIFS($S$2:S1332,$A$2:A1332,A1332,$N$2:N1332,"Explore*")</f>
        <v/>
      </c>
      <c r="AB1332">
        <f>IF(AND(LEFT(N1332,7)="Explore",(AA1332-IF(LEFT(N1332,7)="Explore",S1332,0))&lt;10),"SI","NO")</f>
        <v/>
      </c>
    </row>
    <row r="1333">
      <c r="A1333" t="inlineStr">
        <is>
          <t>c16f4_training</t>
        </is>
      </c>
      <c r="B1333" t="inlineStr">
        <is>
          <t>2026-06-30 15:44:43.910</t>
        </is>
      </c>
      <c r="C1333" t="n">
        <v/>
      </c>
      <c r="D1333" t="inlineStr">
        <is>
          <t>Media file</t>
        </is>
      </c>
      <c r="E1333" t="inlineStr">
        <is>
          <t>player #1:C:/Users/manuel.felline/Documents/BEHAVIOR BTBR/NOR second cohort/BTBR/training/c16_f4.mp4</t>
        </is>
      </c>
      <c r="F1333" t="n">
        <v>-11.067</v>
      </c>
      <c r="G1333" t="n">
        <v>591.032</v>
      </c>
      <c r="H1333" t="n">
        <v>627.699</v>
      </c>
      <c r="I1333" t="n">
        <v>30</v>
      </c>
      <c r="J1333" t="inlineStr">
        <is>
          <t>BTBR</t>
        </is>
      </c>
      <c r="K1333" t="inlineStr">
        <is>
          <t xml:space="preserve"> Female</t>
        </is>
      </c>
      <c r="L1333" t="inlineStr">
        <is>
          <t>No focal subject</t>
        </is>
      </c>
      <c r="M1333" t="n">
        <v>51.199</v>
      </c>
      <c r="N1333" t="inlineStr">
        <is>
          <t>Explore_F</t>
        </is>
      </c>
      <c r="O1333" t="inlineStr">
        <is>
          <t>Familiar</t>
        </is>
      </c>
      <c r="P1333" t="inlineStr">
        <is>
          <t>STATE</t>
        </is>
      </c>
      <c r="Q1333" t="n">
        <v>54.566</v>
      </c>
      <c r="R1333" t="n">
        <v>55.666</v>
      </c>
      <c r="S1333" t="n">
        <v>1.1</v>
      </c>
      <c r="T1333" t="inlineStr">
        <is>
          <t>C:/Users/manuel.felline/Documents/BEHAVIOR BTBR/NOR second cohort/BTBR/training/c16_f4.mp4</t>
        </is>
      </c>
      <c r="U1333" t="n">
        <v>1969</v>
      </c>
      <c r="V1333" t="n">
        <v>2002</v>
      </c>
      <c r="W1333" t="n">
        <v/>
      </c>
      <c r="X1333" t="n">
        <v/>
      </c>
      <c r="Y1333" t="n">
        <v/>
      </c>
      <c r="Z1333" t="n">
        <v/>
      </c>
      <c r="AA1333">
        <f>SUMIFS($S$2:S1333,$A$2:A1333,A1333,$N$2:N1333,"Explore*")</f>
        <v/>
      </c>
      <c r="AB1333">
        <f>IF(AND(LEFT(N1333,7)="Explore",(AA1333-IF(LEFT(N1333,7)="Explore",S1333,0))&lt;10),"SI","NO")</f>
        <v/>
      </c>
    </row>
    <row r="1334">
      <c r="A1334" t="inlineStr">
        <is>
          <t>c16f4_training</t>
        </is>
      </c>
      <c r="B1334" t="inlineStr">
        <is>
          <t>2026-06-30 15:44:43.910</t>
        </is>
      </c>
      <c r="C1334" t="n">
        <v/>
      </c>
      <c r="D1334" t="inlineStr">
        <is>
          <t>Media file</t>
        </is>
      </c>
      <c r="E1334" t="inlineStr">
        <is>
          <t>player #1:C:/Users/manuel.felline/Documents/BEHAVIOR BTBR/NOR second cohort/BTBR/training/c16_f4.mp4</t>
        </is>
      </c>
      <c r="F1334" t="n">
        <v>-11.067</v>
      </c>
      <c r="G1334" t="n">
        <v>591.032</v>
      </c>
      <c r="H1334" t="n">
        <v>627.699</v>
      </c>
      <c r="I1334" t="n">
        <v>30</v>
      </c>
      <c r="J1334" t="inlineStr">
        <is>
          <t>BTBR</t>
        </is>
      </c>
      <c r="K1334" t="inlineStr">
        <is>
          <t xml:space="preserve"> Female</t>
        </is>
      </c>
      <c r="L1334" t="inlineStr">
        <is>
          <t>No focal subject</t>
        </is>
      </c>
      <c r="M1334" t="n">
        <v>51.199</v>
      </c>
      <c r="N1334" t="inlineStr">
        <is>
          <t>Explore_F</t>
        </is>
      </c>
      <c r="O1334" t="inlineStr">
        <is>
          <t>Familiar</t>
        </is>
      </c>
      <c r="P1334" t="inlineStr">
        <is>
          <t>STATE</t>
        </is>
      </c>
      <c r="Q1334" t="n">
        <v>60.666</v>
      </c>
      <c r="R1334" t="n">
        <v>61.866</v>
      </c>
      <c r="S1334" t="n">
        <v>1.2</v>
      </c>
      <c r="T1334" t="inlineStr">
        <is>
          <t>C:/Users/manuel.felline/Documents/BEHAVIOR BTBR/NOR second cohort/BTBR/training/c16_f4.mp4</t>
        </is>
      </c>
      <c r="U1334" t="n">
        <v>2152</v>
      </c>
      <c r="V1334" t="n">
        <v>2188</v>
      </c>
      <c r="W1334" t="n">
        <v/>
      </c>
      <c r="X1334" t="n">
        <v/>
      </c>
      <c r="Y1334" t="n">
        <v/>
      </c>
      <c r="Z1334" t="n">
        <v/>
      </c>
      <c r="AA1334">
        <f>SUMIFS($S$2:S1334,$A$2:A1334,A1334,$N$2:N1334,"Explore*")</f>
        <v/>
      </c>
      <c r="AB1334">
        <f>IF(AND(LEFT(N1334,7)="Explore",(AA1334-IF(LEFT(N1334,7)="Explore",S1334,0))&lt;10),"SI","NO")</f>
        <v/>
      </c>
    </row>
    <row r="1335">
      <c r="A1335" t="inlineStr">
        <is>
          <t>c16f4_training</t>
        </is>
      </c>
      <c r="B1335" t="inlineStr">
        <is>
          <t>2026-06-30 15:44:43.910</t>
        </is>
      </c>
      <c r="C1335" t="n">
        <v/>
      </c>
      <c r="D1335" t="inlineStr">
        <is>
          <t>Media file</t>
        </is>
      </c>
      <c r="E1335" t="inlineStr">
        <is>
          <t>player #1:C:/Users/manuel.felline/Documents/BEHAVIOR BTBR/NOR second cohort/BTBR/training/c16_f4.mp4</t>
        </is>
      </c>
      <c r="F1335" t="n">
        <v>-11.067</v>
      </c>
      <c r="G1335" t="n">
        <v>591.032</v>
      </c>
      <c r="H1335" t="n">
        <v>627.699</v>
      </c>
      <c r="I1335" t="n">
        <v>30</v>
      </c>
      <c r="J1335" t="inlineStr">
        <is>
          <t>BTBR</t>
        </is>
      </c>
      <c r="K1335" t="inlineStr">
        <is>
          <t xml:space="preserve"> Female</t>
        </is>
      </c>
      <c r="L1335" t="inlineStr">
        <is>
          <t>No focal subject</t>
        </is>
      </c>
      <c r="M1335" t="n">
        <v>51.199</v>
      </c>
      <c r="N1335" t="inlineStr">
        <is>
          <t>Explore_F2</t>
        </is>
      </c>
      <c r="O1335" t="inlineStr">
        <is>
          <t>Second familiar</t>
        </is>
      </c>
      <c r="P1335" t="inlineStr">
        <is>
          <t>STATE</t>
        </is>
      </c>
      <c r="Q1335" t="n">
        <v>66.733</v>
      </c>
      <c r="R1335" t="n">
        <v>68</v>
      </c>
      <c r="S1335" t="n">
        <v>1.267</v>
      </c>
      <c r="T1335" t="inlineStr">
        <is>
          <t>C:/Users/manuel.felline/Documents/BEHAVIOR BTBR/NOR second cohort/BTBR/training/c16_f4.mp4</t>
        </is>
      </c>
      <c r="U1335" t="n">
        <v>2334</v>
      </c>
      <c r="V1335" t="n">
        <v>2371</v>
      </c>
      <c r="W1335" t="n">
        <v/>
      </c>
      <c r="X1335" t="n">
        <v/>
      </c>
      <c r="Y1335" t="n">
        <v/>
      </c>
      <c r="Z1335" t="n">
        <v/>
      </c>
      <c r="AA1335">
        <f>SUMIFS($S$2:S1335,$A$2:A1335,A1335,$N$2:N1335,"Explore*")</f>
        <v/>
      </c>
      <c r="AB1335">
        <f>IF(AND(LEFT(N1335,7)="Explore",(AA1335-IF(LEFT(N1335,7)="Explore",S1335,0))&lt;10),"SI","NO")</f>
        <v/>
      </c>
    </row>
    <row r="1336">
      <c r="A1336" t="inlineStr">
        <is>
          <t>c16f4_training</t>
        </is>
      </c>
      <c r="B1336" t="inlineStr">
        <is>
          <t>2026-06-30 15:44:43.910</t>
        </is>
      </c>
      <c r="C1336" t="n">
        <v/>
      </c>
      <c r="D1336" t="inlineStr">
        <is>
          <t>Media file</t>
        </is>
      </c>
      <c r="E1336" t="inlineStr">
        <is>
          <t>player #1:C:/Users/manuel.felline/Documents/BEHAVIOR BTBR/NOR second cohort/BTBR/training/c16_f4.mp4</t>
        </is>
      </c>
      <c r="F1336" t="n">
        <v>-11.067</v>
      </c>
      <c r="G1336" t="n">
        <v>591.032</v>
      </c>
      <c r="H1336" t="n">
        <v>627.699</v>
      </c>
      <c r="I1336" t="n">
        <v>30</v>
      </c>
      <c r="J1336" t="inlineStr">
        <is>
          <t>BTBR</t>
        </is>
      </c>
      <c r="K1336" t="inlineStr">
        <is>
          <t xml:space="preserve"> Female</t>
        </is>
      </c>
      <c r="L1336" t="inlineStr">
        <is>
          <t>No focal subject</t>
        </is>
      </c>
      <c r="M1336" t="n">
        <v>51.199</v>
      </c>
      <c r="N1336" t="inlineStr">
        <is>
          <t>Explore_F</t>
        </is>
      </c>
      <c r="O1336" t="inlineStr">
        <is>
          <t>Familiar</t>
        </is>
      </c>
      <c r="P1336" t="inlineStr">
        <is>
          <t>STATE</t>
        </is>
      </c>
      <c r="Q1336" t="n">
        <v>69.3</v>
      </c>
      <c r="R1336" t="n">
        <v>69.96599999999999</v>
      </c>
      <c r="S1336" t="n">
        <v>0.666</v>
      </c>
      <c r="T1336" t="inlineStr">
        <is>
          <t>C:/Users/manuel.felline/Documents/BEHAVIOR BTBR/NOR second cohort/BTBR/training/c16_f4.mp4</t>
        </is>
      </c>
      <c r="U1336" t="n">
        <v>2411</v>
      </c>
      <c r="V1336" t="n">
        <v>2430</v>
      </c>
      <c r="W1336" t="n">
        <v/>
      </c>
      <c r="X1336" t="n">
        <v/>
      </c>
      <c r="Y1336" t="n">
        <v/>
      </c>
      <c r="Z1336" t="n">
        <v/>
      </c>
      <c r="AA1336">
        <f>SUMIFS($S$2:S1336,$A$2:A1336,A1336,$N$2:N1336,"Explore*")</f>
        <v/>
      </c>
      <c r="AB1336">
        <f>IF(AND(LEFT(N1336,7)="Explore",(AA1336-IF(LEFT(N1336,7)="Explore",S1336,0))&lt;10),"SI","NO")</f>
        <v/>
      </c>
    </row>
    <row r="1337">
      <c r="A1337" t="inlineStr">
        <is>
          <t>c16f4_training</t>
        </is>
      </c>
      <c r="B1337" t="inlineStr">
        <is>
          <t>2026-06-30 15:44:43.910</t>
        </is>
      </c>
      <c r="C1337" t="n">
        <v/>
      </c>
      <c r="D1337" t="inlineStr">
        <is>
          <t>Media file</t>
        </is>
      </c>
      <c r="E1337" t="inlineStr">
        <is>
          <t>player #1:C:/Users/manuel.felline/Documents/BEHAVIOR BTBR/NOR second cohort/BTBR/training/c16_f4.mp4</t>
        </is>
      </c>
      <c r="F1337" t="n">
        <v>-11.067</v>
      </c>
      <c r="G1337" t="n">
        <v>591.032</v>
      </c>
      <c r="H1337" t="n">
        <v>627.699</v>
      </c>
      <c r="I1337" t="n">
        <v>30</v>
      </c>
      <c r="J1337" t="inlineStr">
        <is>
          <t>BTBR</t>
        </is>
      </c>
      <c r="K1337" t="inlineStr">
        <is>
          <t xml:space="preserve"> Female</t>
        </is>
      </c>
      <c r="L1337" t="inlineStr">
        <is>
          <t>No focal subject</t>
        </is>
      </c>
      <c r="M1337" t="n">
        <v>51.199</v>
      </c>
      <c r="N1337" t="inlineStr">
        <is>
          <t>Explore_F2</t>
        </is>
      </c>
      <c r="O1337" t="inlineStr">
        <is>
          <t>Second familiar</t>
        </is>
      </c>
      <c r="P1337" t="inlineStr">
        <is>
          <t>STATE</t>
        </is>
      </c>
      <c r="Q1337" t="n">
        <v>79.8</v>
      </c>
      <c r="R1337" t="n">
        <v>80.7</v>
      </c>
      <c r="S1337" t="n">
        <v>0.9</v>
      </c>
      <c r="T1337" t="inlineStr">
        <is>
          <t>C:/Users/manuel.felline/Documents/BEHAVIOR BTBR/NOR second cohort/BTBR/training/c16_f4.mp4</t>
        </is>
      </c>
      <c r="U1337" t="n">
        <v>2725</v>
      </c>
      <c r="V1337" t="n">
        <v>2752</v>
      </c>
      <c r="W1337" t="n">
        <v/>
      </c>
      <c r="X1337" t="n">
        <v/>
      </c>
      <c r="Y1337" t="n">
        <v/>
      </c>
      <c r="Z1337" t="n">
        <v/>
      </c>
      <c r="AA1337">
        <f>SUMIFS($S$2:S1337,$A$2:A1337,A1337,$N$2:N1337,"Explore*")</f>
        <v/>
      </c>
      <c r="AB1337">
        <f>IF(AND(LEFT(N1337,7)="Explore",(AA1337-IF(LEFT(N1337,7)="Explore",S1337,0))&lt;10),"SI","NO")</f>
        <v/>
      </c>
    </row>
    <row r="1338">
      <c r="A1338" t="inlineStr">
        <is>
          <t>c16f4_training</t>
        </is>
      </c>
      <c r="B1338" t="inlineStr">
        <is>
          <t>2026-06-30 15:44:43.910</t>
        </is>
      </c>
      <c r="C1338" t="n">
        <v/>
      </c>
      <c r="D1338" t="inlineStr">
        <is>
          <t>Media file</t>
        </is>
      </c>
      <c r="E1338" t="inlineStr">
        <is>
          <t>player #1:C:/Users/manuel.felline/Documents/BEHAVIOR BTBR/NOR second cohort/BTBR/training/c16_f4.mp4</t>
        </is>
      </c>
      <c r="F1338" t="n">
        <v>-11.067</v>
      </c>
      <c r="G1338" t="n">
        <v>591.032</v>
      </c>
      <c r="H1338" t="n">
        <v>627.699</v>
      </c>
      <c r="I1338" t="n">
        <v>30</v>
      </c>
      <c r="J1338" t="inlineStr">
        <is>
          <t>BTBR</t>
        </is>
      </c>
      <c r="K1338" t="inlineStr">
        <is>
          <t xml:space="preserve"> Female</t>
        </is>
      </c>
      <c r="L1338" t="inlineStr">
        <is>
          <t>No focal subject</t>
        </is>
      </c>
      <c r="M1338" t="n">
        <v>51.199</v>
      </c>
      <c r="N1338" t="inlineStr">
        <is>
          <t>Explore_F2</t>
        </is>
      </c>
      <c r="O1338" t="inlineStr">
        <is>
          <t>Second familiar</t>
        </is>
      </c>
      <c r="P1338" t="inlineStr">
        <is>
          <t>STATE</t>
        </is>
      </c>
      <c r="Q1338" t="n">
        <v>82.3</v>
      </c>
      <c r="R1338" t="n">
        <v>83.2</v>
      </c>
      <c r="S1338" t="n">
        <v>0.9</v>
      </c>
      <c r="T1338" t="inlineStr">
        <is>
          <t>C:/Users/manuel.felline/Documents/BEHAVIOR BTBR/NOR second cohort/BTBR/training/c16_f4.mp4</t>
        </is>
      </c>
      <c r="U1338" t="n">
        <v>2800</v>
      </c>
      <c r="V1338" t="n">
        <v>2827</v>
      </c>
      <c r="W1338" t="n">
        <v/>
      </c>
      <c r="X1338" t="n">
        <v/>
      </c>
      <c r="Y1338" t="n">
        <v/>
      </c>
      <c r="Z1338" t="n">
        <v/>
      </c>
      <c r="AA1338">
        <f>SUMIFS($S$2:S1338,$A$2:A1338,A1338,$N$2:N1338,"Explore*")</f>
        <v/>
      </c>
      <c r="AB1338">
        <f>IF(AND(LEFT(N1338,7)="Explore",(AA1338-IF(LEFT(N1338,7)="Explore",S1338,0))&lt;10),"SI","NO")</f>
        <v/>
      </c>
    </row>
    <row r="1339">
      <c r="A1339" t="inlineStr">
        <is>
          <t>c16f4_training</t>
        </is>
      </c>
      <c r="B1339" t="inlineStr">
        <is>
          <t>2026-06-30 15:44:43.910</t>
        </is>
      </c>
      <c r="C1339" t="n">
        <v/>
      </c>
      <c r="D1339" t="inlineStr">
        <is>
          <t>Media file</t>
        </is>
      </c>
      <c r="E1339" t="inlineStr">
        <is>
          <t>player #1:C:/Users/manuel.felline/Documents/BEHAVIOR BTBR/NOR second cohort/BTBR/training/c16_f4.mp4</t>
        </is>
      </c>
      <c r="F1339" t="n">
        <v>-11.067</v>
      </c>
      <c r="G1339" t="n">
        <v>591.032</v>
      </c>
      <c r="H1339" t="n">
        <v>627.699</v>
      </c>
      <c r="I1339" t="n">
        <v>30</v>
      </c>
      <c r="J1339" t="inlineStr">
        <is>
          <t>BTBR</t>
        </is>
      </c>
      <c r="K1339" t="inlineStr">
        <is>
          <t xml:space="preserve"> Female</t>
        </is>
      </c>
      <c r="L1339" t="inlineStr">
        <is>
          <t>No focal subject</t>
        </is>
      </c>
      <c r="M1339" t="n">
        <v>51.199</v>
      </c>
      <c r="N1339" t="inlineStr">
        <is>
          <t>Explore_F</t>
        </is>
      </c>
      <c r="O1339" t="inlineStr">
        <is>
          <t>Familiar</t>
        </is>
      </c>
      <c r="P1339" t="inlineStr">
        <is>
          <t>STATE</t>
        </is>
      </c>
      <c r="Q1339" t="n">
        <v>83.96599999999999</v>
      </c>
      <c r="R1339" t="n">
        <v>85.5</v>
      </c>
      <c r="S1339" t="n">
        <v>1.534</v>
      </c>
      <c r="T1339" t="inlineStr">
        <is>
          <t>C:/Users/manuel.felline/Documents/BEHAVIOR BTBR/NOR second cohort/BTBR/training/c16_f4.mp4</t>
        </is>
      </c>
      <c r="U1339" t="n">
        <v>2850</v>
      </c>
      <c r="V1339" t="n">
        <v>2896</v>
      </c>
      <c r="W1339" t="n">
        <v/>
      </c>
      <c r="X1339" t="n">
        <v/>
      </c>
      <c r="Y1339" t="n">
        <v/>
      </c>
      <c r="Z1339" t="n">
        <v/>
      </c>
      <c r="AA1339">
        <f>SUMIFS($S$2:S1339,$A$2:A1339,A1339,$N$2:N1339,"Explore*")</f>
        <v/>
      </c>
      <c r="AB1339">
        <f>IF(AND(LEFT(N1339,7)="Explore",(AA1339-IF(LEFT(N1339,7)="Explore",S1339,0))&lt;10),"SI","NO")</f>
        <v/>
      </c>
    </row>
    <row r="1340">
      <c r="A1340" t="inlineStr">
        <is>
          <t>c16f4_training</t>
        </is>
      </c>
      <c r="B1340" t="inlineStr">
        <is>
          <t>2026-06-30 15:44:43.910</t>
        </is>
      </c>
      <c r="C1340" t="n">
        <v/>
      </c>
      <c r="D1340" t="inlineStr">
        <is>
          <t>Media file</t>
        </is>
      </c>
      <c r="E1340" t="inlineStr">
        <is>
          <t>player #1:C:/Users/manuel.felline/Documents/BEHAVIOR BTBR/NOR second cohort/BTBR/training/c16_f4.mp4</t>
        </is>
      </c>
      <c r="F1340" t="n">
        <v>-11.067</v>
      </c>
      <c r="G1340" t="n">
        <v>591.032</v>
      </c>
      <c r="H1340" t="n">
        <v>627.699</v>
      </c>
      <c r="I1340" t="n">
        <v>30</v>
      </c>
      <c r="J1340" t="inlineStr">
        <is>
          <t>BTBR</t>
        </is>
      </c>
      <c r="K1340" t="inlineStr">
        <is>
          <t xml:space="preserve"> Female</t>
        </is>
      </c>
      <c r="L1340" t="inlineStr">
        <is>
          <t>No focal subject</t>
        </is>
      </c>
      <c r="M1340" t="n">
        <v>51.199</v>
      </c>
      <c r="N1340" t="inlineStr">
        <is>
          <t>Explore_F</t>
        </is>
      </c>
      <c r="O1340" t="inlineStr">
        <is>
          <t>Familiar</t>
        </is>
      </c>
      <c r="P1340" t="inlineStr">
        <is>
          <t>STATE</t>
        </is>
      </c>
      <c r="Q1340" t="n">
        <v>100.333</v>
      </c>
      <c r="R1340" t="n">
        <v>101.5</v>
      </c>
      <c r="S1340" t="n">
        <v>1.167</v>
      </c>
      <c r="T1340" t="inlineStr">
        <is>
          <t>C:/Users/manuel.felline/Documents/BEHAVIOR BTBR/NOR second cohort/BTBR/training/c16_f4.mp4</t>
        </is>
      </c>
      <c r="U1340" t="n">
        <v>3341</v>
      </c>
      <c r="V1340" t="n">
        <v>3376</v>
      </c>
      <c r="W1340" t="n">
        <v/>
      </c>
      <c r="X1340" t="n">
        <v/>
      </c>
      <c r="Y1340" t="n">
        <v/>
      </c>
      <c r="Z1340" t="n">
        <v/>
      </c>
      <c r="AA1340">
        <f>SUMIFS($S$2:S1340,$A$2:A1340,A1340,$N$2:N1340,"Explore*")</f>
        <v/>
      </c>
      <c r="AB1340">
        <f>IF(AND(LEFT(N1340,7)="Explore",(AA1340-IF(LEFT(N1340,7)="Explore",S1340,0))&lt;10),"SI","NO")</f>
        <v/>
      </c>
    </row>
    <row r="1341">
      <c r="A1341" t="inlineStr">
        <is>
          <t>c16f4_training</t>
        </is>
      </c>
      <c r="B1341" t="inlineStr">
        <is>
          <t>2026-06-30 15:44:43.910</t>
        </is>
      </c>
      <c r="C1341" t="n">
        <v/>
      </c>
      <c r="D1341" t="inlineStr">
        <is>
          <t>Media file</t>
        </is>
      </c>
      <c r="E1341" t="inlineStr">
        <is>
          <t>player #1:C:/Users/manuel.felline/Documents/BEHAVIOR BTBR/NOR second cohort/BTBR/training/c16_f4.mp4</t>
        </is>
      </c>
      <c r="F1341" t="n">
        <v>-11.067</v>
      </c>
      <c r="G1341" t="n">
        <v>591.032</v>
      </c>
      <c r="H1341" t="n">
        <v>627.699</v>
      </c>
      <c r="I1341" t="n">
        <v>30</v>
      </c>
      <c r="J1341" t="inlineStr">
        <is>
          <t>BTBR</t>
        </is>
      </c>
      <c r="K1341" t="inlineStr">
        <is>
          <t xml:space="preserve"> Female</t>
        </is>
      </c>
      <c r="L1341" t="inlineStr">
        <is>
          <t>No focal subject</t>
        </is>
      </c>
      <c r="M1341" t="n">
        <v>51.199</v>
      </c>
      <c r="N1341" t="inlineStr">
        <is>
          <t>Explore_F2</t>
        </is>
      </c>
      <c r="O1341" t="inlineStr">
        <is>
          <t>Second familiar</t>
        </is>
      </c>
      <c r="P1341" t="inlineStr">
        <is>
          <t>STATE</t>
        </is>
      </c>
      <c r="Q1341" t="n">
        <v>103.4</v>
      </c>
      <c r="R1341" t="n">
        <v>104.2</v>
      </c>
      <c r="S1341" t="n">
        <v>0.8</v>
      </c>
      <c r="T1341" t="inlineStr">
        <is>
          <t>C:/Users/manuel.felline/Documents/BEHAVIOR BTBR/NOR second cohort/BTBR/training/c16_f4.mp4</t>
        </is>
      </c>
      <c r="U1341" t="n">
        <v>3433</v>
      </c>
      <c r="V1341" t="n">
        <v>3457</v>
      </c>
      <c r="W1341" t="n">
        <v/>
      </c>
      <c r="X1341" t="n">
        <v/>
      </c>
      <c r="Y1341" t="n">
        <v/>
      </c>
      <c r="Z1341" t="n">
        <v/>
      </c>
      <c r="AA1341">
        <f>SUMIFS($S$2:S1341,$A$2:A1341,A1341,$N$2:N1341,"Explore*")</f>
        <v/>
      </c>
      <c r="AB1341">
        <f>IF(AND(LEFT(N1341,7)="Explore",(AA1341-IF(LEFT(N1341,7)="Explore",S1341,0))&lt;10),"SI","NO")</f>
        <v/>
      </c>
    </row>
    <row r="1342">
      <c r="A1342" t="inlineStr">
        <is>
          <t>c16f4_training</t>
        </is>
      </c>
      <c r="B1342" t="inlineStr">
        <is>
          <t>2026-06-30 15:44:43.910</t>
        </is>
      </c>
      <c r="C1342" t="n">
        <v/>
      </c>
      <c r="D1342" t="inlineStr">
        <is>
          <t>Media file</t>
        </is>
      </c>
      <c r="E1342" t="inlineStr">
        <is>
          <t>player #1:C:/Users/manuel.felline/Documents/BEHAVIOR BTBR/NOR second cohort/BTBR/training/c16_f4.mp4</t>
        </is>
      </c>
      <c r="F1342" t="n">
        <v>-11.067</v>
      </c>
      <c r="G1342" t="n">
        <v>591.032</v>
      </c>
      <c r="H1342" t="n">
        <v>627.699</v>
      </c>
      <c r="I1342" t="n">
        <v>30</v>
      </c>
      <c r="J1342" t="inlineStr">
        <is>
          <t>BTBR</t>
        </is>
      </c>
      <c r="K1342" t="inlineStr">
        <is>
          <t xml:space="preserve"> Female</t>
        </is>
      </c>
      <c r="L1342" t="inlineStr">
        <is>
          <t>No focal subject</t>
        </is>
      </c>
      <c r="M1342" t="n">
        <v>51.199</v>
      </c>
      <c r="N1342" t="inlineStr">
        <is>
          <t>Explore_F2</t>
        </is>
      </c>
      <c r="O1342" t="inlineStr">
        <is>
          <t>Second familiar</t>
        </is>
      </c>
      <c r="P1342" t="inlineStr">
        <is>
          <t>STATE</t>
        </is>
      </c>
      <c r="Q1342" t="n">
        <v>109.833</v>
      </c>
      <c r="R1342" t="n">
        <v>111</v>
      </c>
      <c r="S1342" t="n">
        <v>1.167</v>
      </c>
      <c r="T1342" t="inlineStr">
        <is>
          <t>C:/Users/manuel.felline/Documents/BEHAVIOR BTBR/NOR second cohort/BTBR/training/c16_f4.mp4</t>
        </is>
      </c>
      <c r="U1342" t="n">
        <v>3626</v>
      </c>
      <c r="V1342" t="n">
        <v>3661</v>
      </c>
      <c r="W1342" t="n">
        <v/>
      </c>
      <c r="X1342" t="n">
        <v/>
      </c>
      <c r="Y1342" t="n">
        <v/>
      </c>
      <c r="Z1342" t="n">
        <v/>
      </c>
      <c r="AA1342">
        <f>SUMIFS($S$2:S1342,$A$2:A1342,A1342,$N$2:N1342,"Explore*")</f>
        <v/>
      </c>
      <c r="AB1342">
        <f>IF(AND(LEFT(N1342,7)="Explore",(AA1342-IF(LEFT(N1342,7)="Explore",S1342,0))&lt;10),"SI","NO")</f>
        <v/>
      </c>
    </row>
    <row r="1343">
      <c r="A1343" t="inlineStr">
        <is>
          <t>c16f4_training</t>
        </is>
      </c>
      <c r="B1343" t="inlineStr">
        <is>
          <t>2026-06-30 15:44:43.910</t>
        </is>
      </c>
      <c r="C1343" t="n">
        <v/>
      </c>
      <c r="D1343" t="inlineStr">
        <is>
          <t>Media file</t>
        </is>
      </c>
      <c r="E1343" t="inlineStr">
        <is>
          <t>player #1:C:/Users/manuel.felline/Documents/BEHAVIOR BTBR/NOR second cohort/BTBR/training/c16_f4.mp4</t>
        </is>
      </c>
      <c r="F1343" t="n">
        <v>-11.067</v>
      </c>
      <c r="G1343" t="n">
        <v>591.032</v>
      </c>
      <c r="H1343" t="n">
        <v>627.699</v>
      </c>
      <c r="I1343" t="n">
        <v>30</v>
      </c>
      <c r="J1343" t="inlineStr">
        <is>
          <t>BTBR</t>
        </is>
      </c>
      <c r="K1343" t="inlineStr">
        <is>
          <t xml:space="preserve"> Female</t>
        </is>
      </c>
      <c r="L1343" t="inlineStr">
        <is>
          <t>No focal subject</t>
        </is>
      </c>
      <c r="M1343" t="n">
        <v>51.199</v>
      </c>
      <c r="N1343" t="inlineStr">
        <is>
          <t>Explore_F</t>
        </is>
      </c>
      <c r="O1343" t="inlineStr">
        <is>
          <t>Familiar</t>
        </is>
      </c>
      <c r="P1343" t="inlineStr">
        <is>
          <t>STATE</t>
        </is>
      </c>
      <c r="Q1343" t="n">
        <v>111.6</v>
      </c>
      <c r="R1343" t="n">
        <v>112.1</v>
      </c>
      <c r="S1343" t="n">
        <v>0.5</v>
      </c>
      <c r="T1343" t="inlineStr">
        <is>
          <t>C:/Users/manuel.felline/Documents/BEHAVIOR BTBR/NOR second cohort/BTBR/training/c16_f4.mp4</t>
        </is>
      </c>
      <c r="U1343" t="n">
        <v>3679</v>
      </c>
      <c r="V1343" t="n">
        <v>3694</v>
      </c>
      <c r="W1343" t="n">
        <v/>
      </c>
      <c r="X1343" t="n">
        <v/>
      </c>
      <c r="Y1343" t="n">
        <v/>
      </c>
      <c r="Z1343" t="n">
        <v/>
      </c>
      <c r="AA1343">
        <f>SUMIFS($S$2:S1343,$A$2:A1343,A1343,$N$2:N1343,"Explore*")</f>
        <v/>
      </c>
      <c r="AB1343">
        <f>IF(AND(LEFT(N1343,7)="Explore",(AA1343-IF(LEFT(N1343,7)="Explore",S1343,0))&lt;10),"SI","NO")</f>
        <v/>
      </c>
    </row>
    <row r="1344">
      <c r="A1344" t="inlineStr">
        <is>
          <t>c16f4_training</t>
        </is>
      </c>
      <c r="B1344" t="inlineStr">
        <is>
          <t>2026-06-30 15:44:43.910</t>
        </is>
      </c>
      <c r="C1344" t="n">
        <v/>
      </c>
      <c r="D1344" t="inlineStr">
        <is>
          <t>Media file</t>
        </is>
      </c>
      <c r="E1344" t="inlineStr">
        <is>
          <t>player #1:C:/Users/manuel.felline/Documents/BEHAVIOR BTBR/NOR second cohort/BTBR/training/c16_f4.mp4</t>
        </is>
      </c>
      <c r="F1344" t="n">
        <v>-11.067</v>
      </c>
      <c r="G1344" t="n">
        <v>591.032</v>
      </c>
      <c r="H1344" t="n">
        <v>627.699</v>
      </c>
      <c r="I1344" t="n">
        <v>30</v>
      </c>
      <c r="J1344" t="inlineStr">
        <is>
          <t>BTBR</t>
        </is>
      </c>
      <c r="K1344" t="inlineStr">
        <is>
          <t xml:space="preserve"> Female</t>
        </is>
      </c>
      <c r="L1344" t="inlineStr">
        <is>
          <t>No focal subject</t>
        </is>
      </c>
      <c r="M1344" t="n">
        <v>51.199</v>
      </c>
      <c r="N1344" t="inlineStr">
        <is>
          <t>Explore_F</t>
        </is>
      </c>
      <c r="O1344" t="inlineStr">
        <is>
          <t>Familiar</t>
        </is>
      </c>
      <c r="P1344" t="inlineStr">
        <is>
          <t>STATE</t>
        </is>
      </c>
      <c r="Q1344" t="n">
        <v>113.166</v>
      </c>
      <c r="R1344" t="n">
        <v>113.566</v>
      </c>
      <c r="S1344" t="n">
        <v>0.4</v>
      </c>
      <c r="T1344" t="inlineStr">
        <is>
          <t>C:/Users/manuel.felline/Documents/BEHAVIOR BTBR/NOR second cohort/BTBR/training/c16_f4.mp4</t>
        </is>
      </c>
      <c r="U1344" t="n">
        <v>3726</v>
      </c>
      <c r="V1344" t="n">
        <v>3738</v>
      </c>
      <c r="W1344" t="n">
        <v/>
      </c>
      <c r="X1344" t="n">
        <v/>
      </c>
      <c r="Y1344" t="n">
        <v/>
      </c>
      <c r="Z1344" t="n">
        <v/>
      </c>
      <c r="AA1344">
        <f>SUMIFS($S$2:S1344,$A$2:A1344,A1344,$N$2:N1344,"Explore*")</f>
        <v/>
      </c>
      <c r="AB1344">
        <f>IF(AND(LEFT(N1344,7)="Explore",(AA1344-IF(LEFT(N1344,7)="Explore",S1344,0))&lt;10),"SI","NO")</f>
        <v/>
      </c>
    </row>
    <row r="1345">
      <c r="A1345" t="inlineStr">
        <is>
          <t>c16f4_training</t>
        </is>
      </c>
      <c r="B1345" t="inlineStr">
        <is>
          <t>2026-06-30 15:44:43.910</t>
        </is>
      </c>
      <c r="C1345" t="n">
        <v/>
      </c>
      <c r="D1345" t="inlineStr">
        <is>
          <t>Media file</t>
        </is>
      </c>
      <c r="E1345" t="inlineStr">
        <is>
          <t>player #1:C:/Users/manuel.felline/Documents/BEHAVIOR BTBR/NOR second cohort/BTBR/training/c16_f4.mp4</t>
        </is>
      </c>
      <c r="F1345" t="n">
        <v>-11.067</v>
      </c>
      <c r="G1345" t="n">
        <v>591.032</v>
      </c>
      <c r="H1345" t="n">
        <v>627.699</v>
      </c>
      <c r="I1345" t="n">
        <v>30</v>
      </c>
      <c r="J1345" t="inlineStr">
        <is>
          <t>BTBR</t>
        </is>
      </c>
      <c r="K1345" t="inlineStr">
        <is>
          <t xml:space="preserve"> Female</t>
        </is>
      </c>
      <c r="L1345" t="inlineStr">
        <is>
          <t>No focal subject</t>
        </is>
      </c>
      <c r="M1345" t="n">
        <v>51.199</v>
      </c>
      <c r="N1345" t="inlineStr">
        <is>
          <t>Explore_F</t>
        </is>
      </c>
      <c r="O1345" t="inlineStr">
        <is>
          <t>Familiar</t>
        </is>
      </c>
      <c r="P1345" t="inlineStr">
        <is>
          <t>STATE</t>
        </is>
      </c>
      <c r="Q1345" t="n">
        <v>123.133</v>
      </c>
      <c r="R1345" t="n">
        <v>123.9</v>
      </c>
      <c r="S1345" t="n">
        <v>0.767</v>
      </c>
      <c r="T1345" t="inlineStr">
        <is>
          <t>C:/Users/manuel.felline/Documents/BEHAVIOR BTBR/NOR second cohort/BTBR/training/c16_f4.mp4</t>
        </is>
      </c>
      <c r="U1345" t="n">
        <v>4025</v>
      </c>
      <c r="V1345" t="n">
        <v>4048</v>
      </c>
      <c r="W1345" t="n">
        <v/>
      </c>
      <c r="X1345" t="n">
        <v/>
      </c>
      <c r="Y1345" t="n">
        <v/>
      </c>
      <c r="Z1345" t="n">
        <v/>
      </c>
      <c r="AA1345">
        <f>SUMIFS($S$2:S1345,$A$2:A1345,A1345,$N$2:N1345,"Explore*")</f>
        <v/>
      </c>
      <c r="AB1345">
        <f>IF(AND(LEFT(N1345,7)="Explore",(AA1345-IF(LEFT(N1345,7)="Explore",S1345,0))&lt;10),"SI","NO")</f>
        <v/>
      </c>
    </row>
    <row r="1346">
      <c r="A1346" t="inlineStr">
        <is>
          <t>c16f4_training</t>
        </is>
      </c>
      <c r="B1346" t="inlineStr">
        <is>
          <t>2026-06-30 15:44:43.910</t>
        </is>
      </c>
      <c r="C1346" t="n">
        <v/>
      </c>
      <c r="D1346" t="inlineStr">
        <is>
          <t>Media file</t>
        </is>
      </c>
      <c r="E1346" t="inlineStr">
        <is>
          <t>player #1:C:/Users/manuel.felline/Documents/BEHAVIOR BTBR/NOR second cohort/BTBR/training/c16_f4.mp4</t>
        </is>
      </c>
      <c r="F1346" t="n">
        <v>-11.067</v>
      </c>
      <c r="G1346" t="n">
        <v>591.032</v>
      </c>
      <c r="H1346" t="n">
        <v>627.699</v>
      </c>
      <c r="I1346" t="n">
        <v>30</v>
      </c>
      <c r="J1346" t="inlineStr">
        <is>
          <t>BTBR</t>
        </is>
      </c>
      <c r="K1346" t="inlineStr">
        <is>
          <t xml:space="preserve"> Female</t>
        </is>
      </c>
      <c r="L1346" t="inlineStr">
        <is>
          <t>No focal subject</t>
        </is>
      </c>
      <c r="M1346" t="n">
        <v>51.199</v>
      </c>
      <c r="N1346" t="inlineStr">
        <is>
          <t>Explore_F2</t>
        </is>
      </c>
      <c r="O1346" t="inlineStr">
        <is>
          <t>Second familiar</t>
        </is>
      </c>
      <c r="P1346" t="inlineStr">
        <is>
          <t>STATE</t>
        </is>
      </c>
      <c r="Q1346" t="n">
        <v>126.466</v>
      </c>
      <c r="R1346" t="n">
        <v>129.6</v>
      </c>
      <c r="S1346" t="n">
        <v>3.134</v>
      </c>
      <c r="T1346" t="inlineStr">
        <is>
          <t>C:/Users/manuel.felline/Documents/BEHAVIOR BTBR/NOR second cohort/BTBR/training/c16_f4.mp4</t>
        </is>
      </c>
      <c r="U1346" t="n">
        <v>4125</v>
      </c>
      <c r="V1346" t="n">
        <v>4219</v>
      </c>
      <c r="W1346" t="n">
        <v/>
      </c>
      <c r="X1346" t="n">
        <v/>
      </c>
      <c r="Y1346" t="n">
        <v/>
      </c>
      <c r="Z1346" t="n">
        <v/>
      </c>
      <c r="AA1346">
        <f>SUMIFS($S$2:S1346,$A$2:A1346,A1346,$N$2:N1346,"Explore*")</f>
        <v/>
      </c>
      <c r="AB1346">
        <f>IF(AND(LEFT(N1346,7)="Explore",(AA1346-IF(LEFT(N1346,7)="Explore",S1346,0))&lt;10),"SI","NO")</f>
        <v/>
      </c>
    </row>
    <row r="1347">
      <c r="A1347" t="inlineStr">
        <is>
          <t>c16f4_training</t>
        </is>
      </c>
      <c r="B1347" t="inlineStr">
        <is>
          <t>2026-06-30 15:44:43.910</t>
        </is>
      </c>
      <c r="C1347" t="n">
        <v/>
      </c>
      <c r="D1347" t="inlineStr">
        <is>
          <t>Media file</t>
        </is>
      </c>
      <c r="E1347" t="inlineStr">
        <is>
          <t>player #1:C:/Users/manuel.felline/Documents/BEHAVIOR BTBR/NOR second cohort/BTBR/training/c16_f4.mp4</t>
        </is>
      </c>
      <c r="F1347" t="n">
        <v>-11.067</v>
      </c>
      <c r="G1347" t="n">
        <v>591.032</v>
      </c>
      <c r="H1347" t="n">
        <v>627.699</v>
      </c>
      <c r="I1347" t="n">
        <v>30</v>
      </c>
      <c r="J1347" t="inlineStr">
        <is>
          <t>BTBR</t>
        </is>
      </c>
      <c r="K1347" t="inlineStr">
        <is>
          <t xml:space="preserve"> Female</t>
        </is>
      </c>
      <c r="L1347" t="inlineStr">
        <is>
          <t>No focal subject</t>
        </is>
      </c>
      <c r="M1347" t="n">
        <v>51.199</v>
      </c>
      <c r="N1347" t="inlineStr">
        <is>
          <t>Explore_F2</t>
        </is>
      </c>
      <c r="O1347" t="inlineStr">
        <is>
          <t>Second familiar</t>
        </is>
      </c>
      <c r="P1347" t="inlineStr">
        <is>
          <t>STATE</t>
        </is>
      </c>
      <c r="Q1347" t="n">
        <v>141.233</v>
      </c>
      <c r="R1347" t="n">
        <v>142.433</v>
      </c>
      <c r="S1347" t="n">
        <v>1.2</v>
      </c>
      <c r="T1347" t="inlineStr">
        <is>
          <t>C:/Users/manuel.felline/Documents/BEHAVIOR BTBR/NOR second cohort/BTBR/training/c16_f4.mp4</t>
        </is>
      </c>
      <c r="U1347" t="n">
        <v>4568</v>
      </c>
      <c r="V1347" t="n">
        <v>4604</v>
      </c>
      <c r="W1347" t="n">
        <v/>
      </c>
      <c r="X1347" t="n">
        <v/>
      </c>
      <c r="Y1347" t="n">
        <v/>
      </c>
      <c r="Z1347" t="n">
        <v/>
      </c>
      <c r="AA1347">
        <f>SUMIFS($S$2:S1347,$A$2:A1347,A1347,$N$2:N1347,"Explore*")</f>
        <v/>
      </c>
      <c r="AB1347">
        <f>IF(AND(LEFT(N1347,7)="Explore",(AA1347-IF(LEFT(N1347,7)="Explore",S1347,0))&lt;10),"SI","NO")</f>
        <v/>
      </c>
    </row>
    <row r="1348">
      <c r="A1348" t="inlineStr">
        <is>
          <t>c16f4_training</t>
        </is>
      </c>
      <c r="B1348" t="inlineStr">
        <is>
          <t>2026-06-30 15:44:43.910</t>
        </is>
      </c>
      <c r="C1348" t="n">
        <v/>
      </c>
      <c r="D1348" t="inlineStr">
        <is>
          <t>Media file</t>
        </is>
      </c>
      <c r="E1348" t="inlineStr">
        <is>
          <t>player #1:C:/Users/manuel.felline/Documents/BEHAVIOR BTBR/NOR second cohort/BTBR/training/c16_f4.mp4</t>
        </is>
      </c>
      <c r="F1348" t="n">
        <v>-11.067</v>
      </c>
      <c r="G1348" t="n">
        <v>591.032</v>
      </c>
      <c r="H1348" t="n">
        <v>627.699</v>
      </c>
      <c r="I1348" t="n">
        <v>30</v>
      </c>
      <c r="J1348" t="inlineStr">
        <is>
          <t>BTBR</t>
        </is>
      </c>
      <c r="K1348" t="inlineStr">
        <is>
          <t xml:space="preserve"> Female</t>
        </is>
      </c>
      <c r="L1348" t="inlineStr">
        <is>
          <t>No focal subject</t>
        </is>
      </c>
      <c r="M1348" t="n">
        <v>51.199</v>
      </c>
      <c r="N1348" t="inlineStr">
        <is>
          <t>Explore_F</t>
        </is>
      </c>
      <c r="O1348" t="inlineStr">
        <is>
          <t>Familiar</t>
        </is>
      </c>
      <c r="P1348" t="inlineStr">
        <is>
          <t>STATE</t>
        </is>
      </c>
      <c r="Q1348" t="n">
        <v>164.733</v>
      </c>
      <c r="R1348" t="n">
        <v>165.866</v>
      </c>
      <c r="S1348" t="n">
        <v>1.133</v>
      </c>
      <c r="T1348" t="inlineStr">
        <is>
          <t>C:/Users/manuel.felline/Documents/BEHAVIOR BTBR/NOR second cohort/BTBR/training/c16_f4.mp4</t>
        </is>
      </c>
      <c r="U1348" t="n">
        <v>5273</v>
      </c>
      <c r="V1348" t="n">
        <v>5307</v>
      </c>
      <c r="W1348" t="n">
        <v/>
      </c>
      <c r="X1348" t="n">
        <v/>
      </c>
      <c r="Y1348" t="n">
        <v/>
      </c>
      <c r="Z1348" t="n">
        <v/>
      </c>
      <c r="AA1348">
        <f>SUMIFS($S$2:S1348,$A$2:A1348,A1348,$N$2:N1348,"Explore*")</f>
        <v/>
      </c>
      <c r="AB1348">
        <f>IF(AND(LEFT(N1348,7)="Explore",(AA1348-IF(LEFT(N1348,7)="Explore",S1348,0))&lt;10),"SI","NO")</f>
        <v/>
      </c>
    </row>
    <row r="1349">
      <c r="A1349" t="inlineStr">
        <is>
          <t>c16f4_training</t>
        </is>
      </c>
      <c r="B1349" t="inlineStr">
        <is>
          <t>2026-06-30 15:44:43.910</t>
        </is>
      </c>
      <c r="C1349" t="n">
        <v/>
      </c>
      <c r="D1349" t="inlineStr">
        <is>
          <t>Media file</t>
        </is>
      </c>
      <c r="E1349" t="inlineStr">
        <is>
          <t>player #1:C:/Users/manuel.felline/Documents/BEHAVIOR BTBR/NOR second cohort/BTBR/training/c16_f4.mp4</t>
        </is>
      </c>
      <c r="F1349" t="n">
        <v>-11.067</v>
      </c>
      <c r="G1349" t="n">
        <v>591.032</v>
      </c>
      <c r="H1349" t="n">
        <v>627.699</v>
      </c>
      <c r="I1349" t="n">
        <v>30</v>
      </c>
      <c r="J1349" t="inlineStr">
        <is>
          <t>BTBR</t>
        </is>
      </c>
      <c r="K1349" t="inlineStr">
        <is>
          <t xml:space="preserve"> Female</t>
        </is>
      </c>
      <c r="L1349" t="inlineStr">
        <is>
          <t>No focal subject</t>
        </is>
      </c>
      <c r="M1349" t="n">
        <v>51.199</v>
      </c>
      <c r="N1349" t="inlineStr">
        <is>
          <t>Explore_F2</t>
        </is>
      </c>
      <c r="O1349" t="inlineStr">
        <is>
          <t>Second familiar</t>
        </is>
      </c>
      <c r="P1349" t="inlineStr">
        <is>
          <t>STATE</t>
        </is>
      </c>
      <c r="Q1349" t="n">
        <v>167.066</v>
      </c>
      <c r="R1349" t="n">
        <v>168.166</v>
      </c>
      <c r="S1349" t="n">
        <v>1.1</v>
      </c>
      <c r="T1349" t="inlineStr">
        <is>
          <t>C:/Users/manuel.felline/Documents/BEHAVIOR BTBR/NOR second cohort/BTBR/training/c16_f4.mp4</t>
        </is>
      </c>
      <c r="U1349" t="n">
        <v>5343</v>
      </c>
      <c r="V1349" t="n">
        <v>5376</v>
      </c>
      <c r="W1349" t="n">
        <v/>
      </c>
      <c r="X1349" t="n">
        <v/>
      </c>
      <c r="Y1349" t="n">
        <v/>
      </c>
      <c r="Z1349" t="n">
        <v/>
      </c>
      <c r="AA1349">
        <f>SUMIFS($S$2:S1349,$A$2:A1349,A1349,$N$2:N1349,"Explore*")</f>
        <v/>
      </c>
      <c r="AB1349">
        <f>IF(AND(LEFT(N1349,7)="Explore",(AA1349-IF(LEFT(N1349,7)="Explore",S1349,0))&lt;10),"SI","NO")</f>
        <v/>
      </c>
    </row>
    <row r="1350">
      <c r="A1350" t="inlineStr">
        <is>
          <t>c16f4_training</t>
        </is>
      </c>
      <c r="B1350" t="inlineStr">
        <is>
          <t>2026-06-30 15:44:43.910</t>
        </is>
      </c>
      <c r="C1350" t="n">
        <v/>
      </c>
      <c r="D1350" t="inlineStr">
        <is>
          <t>Media file</t>
        </is>
      </c>
      <c r="E1350" t="inlineStr">
        <is>
          <t>player #1:C:/Users/manuel.felline/Documents/BEHAVIOR BTBR/NOR second cohort/BTBR/training/c16_f4.mp4</t>
        </is>
      </c>
      <c r="F1350" t="n">
        <v>-11.067</v>
      </c>
      <c r="G1350" t="n">
        <v>591.032</v>
      </c>
      <c r="H1350" t="n">
        <v>627.699</v>
      </c>
      <c r="I1350" t="n">
        <v>30</v>
      </c>
      <c r="J1350" t="inlineStr">
        <is>
          <t>BTBR</t>
        </is>
      </c>
      <c r="K1350" t="inlineStr">
        <is>
          <t xml:space="preserve"> Female</t>
        </is>
      </c>
      <c r="L1350" t="inlineStr">
        <is>
          <t>No focal subject</t>
        </is>
      </c>
      <c r="M1350" t="n">
        <v>51.199</v>
      </c>
      <c r="N1350" t="inlineStr">
        <is>
          <t>Explore_F</t>
        </is>
      </c>
      <c r="O1350" t="inlineStr">
        <is>
          <t>Familiar</t>
        </is>
      </c>
      <c r="P1350" t="inlineStr">
        <is>
          <t>STATE</t>
        </is>
      </c>
      <c r="Q1350" t="n">
        <v>169.666</v>
      </c>
      <c r="R1350" t="n">
        <v>170.466</v>
      </c>
      <c r="S1350" t="n">
        <v>0.8</v>
      </c>
      <c r="T1350" t="inlineStr">
        <is>
          <t>C:/Users/manuel.felline/Documents/BEHAVIOR BTBR/NOR second cohort/BTBR/training/c16_f4.mp4</t>
        </is>
      </c>
      <c r="U1350" t="n">
        <v>5421</v>
      </c>
      <c r="V1350" t="n">
        <v>5445</v>
      </c>
      <c r="W1350" t="n">
        <v/>
      </c>
      <c r="X1350" t="n">
        <v/>
      </c>
      <c r="Y1350" t="n">
        <v/>
      </c>
      <c r="Z1350" t="n">
        <v/>
      </c>
      <c r="AA1350">
        <f>SUMIFS($S$2:S1350,$A$2:A1350,A1350,$N$2:N1350,"Explore*")</f>
        <v/>
      </c>
      <c r="AB1350">
        <f>IF(AND(LEFT(N1350,7)="Explore",(AA1350-IF(LEFT(N1350,7)="Explore",S1350,0))&lt;10),"SI","NO")</f>
        <v/>
      </c>
    </row>
    <row r="1351">
      <c r="A1351" t="inlineStr">
        <is>
          <t>c16f4_training</t>
        </is>
      </c>
      <c r="B1351" t="inlineStr">
        <is>
          <t>2026-06-30 15:44:43.910</t>
        </is>
      </c>
      <c r="C1351" t="n">
        <v/>
      </c>
      <c r="D1351" t="inlineStr">
        <is>
          <t>Media file</t>
        </is>
      </c>
      <c r="E1351" t="inlineStr">
        <is>
          <t>player #1:C:/Users/manuel.felline/Documents/BEHAVIOR BTBR/NOR second cohort/BTBR/training/c16_f4.mp4</t>
        </is>
      </c>
      <c r="F1351" t="n">
        <v>-11.067</v>
      </c>
      <c r="G1351" t="n">
        <v>591.032</v>
      </c>
      <c r="H1351" t="n">
        <v>627.699</v>
      </c>
      <c r="I1351" t="n">
        <v>30</v>
      </c>
      <c r="J1351" t="inlineStr">
        <is>
          <t>BTBR</t>
        </is>
      </c>
      <c r="K1351" t="inlineStr">
        <is>
          <t xml:space="preserve"> Female</t>
        </is>
      </c>
      <c r="L1351" t="inlineStr">
        <is>
          <t>No focal subject</t>
        </is>
      </c>
      <c r="M1351" t="n">
        <v>51.199</v>
      </c>
      <c r="N1351" t="inlineStr">
        <is>
          <t>Explore_F2</t>
        </is>
      </c>
      <c r="O1351" t="inlineStr">
        <is>
          <t>Second familiar</t>
        </is>
      </c>
      <c r="P1351" t="inlineStr">
        <is>
          <t>STATE</t>
        </is>
      </c>
      <c r="Q1351" t="n">
        <v>179.766</v>
      </c>
      <c r="R1351" t="n">
        <v>180.133</v>
      </c>
      <c r="S1351" t="n">
        <v>0.367</v>
      </c>
      <c r="T1351" t="inlineStr">
        <is>
          <t>C:/Users/manuel.felline/Documents/BEHAVIOR BTBR/NOR second cohort/BTBR/training/c16_f4.mp4</t>
        </is>
      </c>
      <c r="U1351" t="n">
        <v>5724</v>
      </c>
      <c r="V1351" t="n">
        <v>5735</v>
      </c>
      <c r="W1351" t="n">
        <v/>
      </c>
      <c r="X1351" t="n">
        <v/>
      </c>
      <c r="Y1351" t="n">
        <v/>
      </c>
      <c r="Z1351" t="n">
        <v/>
      </c>
      <c r="AA1351">
        <f>SUMIFS($S$2:S1351,$A$2:A1351,A1351,$N$2:N1351,"Explore*")</f>
        <v/>
      </c>
      <c r="AB1351">
        <f>IF(AND(LEFT(N1351,7)="Explore",(AA1351-IF(LEFT(N1351,7)="Explore",S1351,0))&lt;10),"SI","NO")</f>
        <v/>
      </c>
    </row>
    <row r="1352">
      <c r="A1352" t="inlineStr">
        <is>
          <t>c16f4_training</t>
        </is>
      </c>
      <c r="B1352" t="inlineStr">
        <is>
          <t>2026-06-30 15:44:43.910</t>
        </is>
      </c>
      <c r="C1352" t="n">
        <v/>
      </c>
      <c r="D1352" t="inlineStr">
        <is>
          <t>Media file</t>
        </is>
      </c>
      <c r="E1352" t="inlineStr">
        <is>
          <t>player #1:C:/Users/manuel.felline/Documents/BEHAVIOR BTBR/NOR second cohort/BTBR/training/c16_f4.mp4</t>
        </is>
      </c>
      <c r="F1352" t="n">
        <v>-11.067</v>
      </c>
      <c r="G1352" t="n">
        <v>591.032</v>
      </c>
      <c r="H1352" t="n">
        <v>627.699</v>
      </c>
      <c r="I1352" t="n">
        <v>30</v>
      </c>
      <c r="J1352" t="inlineStr">
        <is>
          <t>BTBR</t>
        </is>
      </c>
      <c r="K1352" t="inlineStr">
        <is>
          <t xml:space="preserve"> Female</t>
        </is>
      </c>
      <c r="L1352" t="inlineStr">
        <is>
          <t>No focal subject</t>
        </is>
      </c>
      <c r="M1352" t="n">
        <v>51.199</v>
      </c>
      <c r="N1352" t="inlineStr">
        <is>
          <t>Explore_F</t>
        </is>
      </c>
      <c r="O1352" t="inlineStr">
        <is>
          <t>Familiar</t>
        </is>
      </c>
      <c r="P1352" t="inlineStr">
        <is>
          <t>STATE</t>
        </is>
      </c>
      <c r="Q1352" t="n">
        <v>182.133</v>
      </c>
      <c r="R1352" t="n">
        <v>182.499</v>
      </c>
      <c r="S1352" t="n">
        <v>0.366</v>
      </c>
      <c r="T1352" t="inlineStr">
        <is>
          <t>C:/Users/manuel.felline/Documents/BEHAVIOR BTBR/NOR second cohort/BTBR/training/c16_f4.mp4</t>
        </is>
      </c>
      <c r="U1352" t="n">
        <v>5795</v>
      </c>
      <c r="V1352" t="n">
        <v>5806</v>
      </c>
      <c r="W1352" t="n">
        <v/>
      </c>
      <c r="X1352" t="n">
        <v/>
      </c>
      <c r="Y1352" t="n">
        <v/>
      </c>
      <c r="Z1352" t="n">
        <v/>
      </c>
      <c r="AA1352">
        <f>SUMIFS($S$2:S1352,$A$2:A1352,A1352,$N$2:N1352,"Explore*")</f>
        <v/>
      </c>
      <c r="AB1352">
        <f>IF(AND(LEFT(N1352,7)="Explore",(AA1352-IF(LEFT(N1352,7)="Explore",S1352,0))&lt;10),"SI","NO")</f>
        <v/>
      </c>
    </row>
    <row r="1353">
      <c r="A1353" t="inlineStr">
        <is>
          <t>c16f4_training</t>
        </is>
      </c>
      <c r="B1353" t="inlineStr">
        <is>
          <t>2026-06-30 15:44:43.910</t>
        </is>
      </c>
      <c r="C1353" t="n">
        <v/>
      </c>
      <c r="D1353" t="inlineStr">
        <is>
          <t>Media file</t>
        </is>
      </c>
      <c r="E1353" t="inlineStr">
        <is>
          <t>player #1:C:/Users/manuel.felline/Documents/BEHAVIOR BTBR/NOR second cohort/BTBR/training/c16_f4.mp4</t>
        </is>
      </c>
      <c r="F1353" t="n">
        <v>-11.067</v>
      </c>
      <c r="G1353" t="n">
        <v>591.032</v>
      </c>
      <c r="H1353" t="n">
        <v>627.699</v>
      </c>
      <c r="I1353" t="n">
        <v>30</v>
      </c>
      <c r="J1353" t="inlineStr">
        <is>
          <t>BTBR</t>
        </is>
      </c>
      <c r="K1353" t="inlineStr">
        <is>
          <t xml:space="preserve"> Female</t>
        </is>
      </c>
      <c r="L1353" t="inlineStr">
        <is>
          <t>No focal subject</t>
        </is>
      </c>
      <c r="M1353" t="n">
        <v>51.199</v>
      </c>
      <c r="N1353" t="inlineStr">
        <is>
          <t>Explore_F</t>
        </is>
      </c>
      <c r="O1353" t="inlineStr">
        <is>
          <t>Familiar</t>
        </is>
      </c>
      <c r="P1353" t="inlineStr">
        <is>
          <t>STATE</t>
        </is>
      </c>
      <c r="Q1353" t="n">
        <v>188.133</v>
      </c>
      <c r="R1353" t="n">
        <v>188.733</v>
      </c>
      <c r="S1353" t="n">
        <v>0.6</v>
      </c>
      <c r="T1353" t="inlineStr">
        <is>
          <t>C:/Users/manuel.felline/Documents/BEHAVIOR BTBR/NOR second cohort/BTBR/training/c16_f4.mp4</t>
        </is>
      </c>
      <c r="U1353" t="n">
        <v>5975</v>
      </c>
      <c r="V1353" t="n">
        <v>5993</v>
      </c>
      <c r="W1353" t="n">
        <v/>
      </c>
      <c r="X1353" t="n">
        <v/>
      </c>
      <c r="Y1353" t="n">
        <v/>
      </c>
      <c r="Z1353" t="n">
        <v/>
      </c>
      <c r="AA1353">
        <f>SUMIFS($S$2:S1353,$A$2:A1353,A1353,$N$2:N1353,"Explore*")</f>
        <v/>
      </c>
      <c r="AB1353">
        <f>IF(AND(LEFT(N1353,7)="Explore",(AA1353-IF(LEFT(N1353,7)="Explore",S1353,0))&lt;10),"SI","NO")</f>
        <v/>
      </c>
    </row>
    <row r="1354">
      <c r="A1354" t="inlineStr">
        <is>
          <t>c16f4_training</t>
        </is>
      </c>
      <c r="B1354" t="inlineStr">
        <is>
          <t>2026-06-30 15:44:43.910</t>
        </is>
      </c>
      <c r="C1354" t="n">
        <v/>
      </c>
      <c r="D1354" t="inlineStr">
        <is>
          <t>Media file</t>
        </is>
      </c>
      <c r="E1354" t="inlineStr">
        <is>
          <t>player #1:C:/Users/manuel.felline/Documents/BEHAVIOR BTBR/NOR second cohort/BTBR/training/c16_f4.mp4</t>
        </is>
      </c>
      <c r="F1354" t="n">
        <v>-11.067</v>
      </c>
      <c r="G1354" t="n">
        <v>591.032</v>
      </c>
      <c r="H1354" t="n">
        <v>627.699</v>
      </c>
      <c r="I1354" t="n">
        <v>30</v>
      </c>
      <c r="J1354" t="inlineStr">
        <is>
          <t>BTBR</t>
        </is>
      </c>
      <c r="K1354" t="inlineStr">
        <is>
          <t xml:space="preserve"> Female</t>
        </is>
      </c>
      <c r="L1354" t="inlineStr">
        <is>
          <t>No focal subject</t>
        </is>
      </c>
      <c r="M1354" t="n">
        <v>51.199</v>
      </c>
      <c r="N1354" t="inlineStr">
        <is>
          <t>Explore_F</t>
        </is>
      </c>
      <c r="O1354" t="inlineStr">
        <is>
          <t>Familiar</t>
        </is>
      </c>
      <c r="P1354" t="inlineStr">
        <is>
          <t>STATE</t>
        </is>
      </c>
      <c r="Q1354" t="n">
        <v>212.999</v>
      </c>
      <c r="R1354" t="n">
        <v>213.299</v>
      </c>
      <c r="S1354" t="n">
        <v>0.3</v>
      </c>
      <c r="T1354" t="inlineStr">
        <is>
          <t>C:/Users/manuel.felline/Documents/BEHAVIOR BTBR/NOR second cohort/BTBR/training/c16_f4.mp4</t>
        </is>
      </c>
      <c r="U1354" t="n">
        <v>6721</v>
      </c>
      <c r="V1354" t="n">
        <v>6730</v>
      </c>
      <c r="W1354" t="n">
        <v/>
      </c>
      <c r="X1354" t="n">
        <v/>
      </c>
      <c r="Y1354" t="n">
        <v/>
      </c>
      <c r="Z1354" t="n">
        <v/>
      </c>
      <c r="AA1354">
        <f>SUMIFS($S$2:S1354,$A$2:A1354,A1354,$N$2:N1354,"Explore*")</f>
        <v/>
      </c>
      <c r="AB1354">
        <f>IF(AND(LEFT(N1354,7)="Explore",(AA1354-IF(LEFT(N1354,7)="Explore",S1354,0))&lt;10),"SI","NO")</f>
        <v/>
      </c>
    </row>
    <row r="1355">
      <c r="A1355" t="inlineStr">
        <is>
          <t>c16f4_training</t>
        </is>
      </c>
      <c r="B1355" t="inlineStr">
        <is>
          <t>2026-06-30 15:44:43.910</t>
        </is>
      </c>
      <c r="C1355" t="n">
        <v/>
      </c>
      <c r="D1355" t="inlineStr">
        <is>
          <t>Media file</t>
        </is>
      </c>
      <c r="E1355" t="inlineStr">
        <is>
          <t>player #1:C:/Users/manuel.felline/Documents/BEHAVIOR BTBR/NOR second cohort/BTBR/training/c16_f4.mp4</t>
        </is>
      </c>
      <c r="F1355" t="n">
        <v>-11.067</v>
      </c>
      <c r="G1355" t="n">
        <v>591.032</v>
      </c>
      <c r="H1355" t="n">
        <v>627.699</v>
      </c>
      <c r="I1355" t="n">
        <v>30</v>
      </c>
      <c r="J1355" t="inlineStr">
        <is>
          <t>BTBR</t>
        </is>
      </c>
      <c r="K1355" t="inlineStr">
        <is>
          <t xml:space="preserve"> Female</t>
        </is>
      </c>
      <c r="L1355" t="inlineStr">
        <is>
          <t>No focal subject</t>
        </is>
      </c>
      <c r="M1355" t="n">
        <v>51.199</v>
      </c>
      <c r="N1355" t="inlineStr">
        <is>
          <t>Explore_F2</t>
        </is>
      </c>
      <c r="O1355" t="inlineStr">
        <is>
          <t>Second familiar</t>
        </is>
      </c>
      <c r="P1355" t="inlineStr">
        <is>
          <t>STATE</t>
        </is>
      </c>
      <c r="Q1355" t="n">
        <v>216.066</v>
      </c>
      <c r="R1355" t="n">
        <v>217.166</v>
      </c>
      <c r="S1355" t="n">
        <v>1.1</v>
      </c>
      <c r="T1355" t="inlineStr">
        <is>
          <t>C:/Users/manuel.felline/Documents/BEHAVIOR BTBR/NOR second cohort/BTBR/training/c16_f4.mp4</t>
        </is>
      </c>
      <c r="U1355" t="n">
        <v>6813</v>
      </c>
      <c r="V1355" t="n">
        <v>6846</v>
      </c>
      <c r="W1355" t="n">
        <v/>
      </c>
      <c r="X1355" t="n">
        <v/>
      </c>
      <c r="Y1355" t="n">
        <v/>
      </c>
      <c r="Z1355" t="n">
        <v/>
      </c>
      <c r="AA1355">
        <f>SUMIFS($S$2:S1355,$A$2:A1355,A1355,$N$2:N1355,"Explore*")</f>
        <v/>
      </c>
      <c r="AB1355">
        <f>IF(AND(LEFT(N1355,7)="Explore",(AA1355-IF(LEFT(N1355,7)="Explore",S1355,0))&lt;10),"SI","NO")</f>
        <v/>
      </c>
    </row>
    <row r="1356">
      <c r="A1356" t="inlineStr">
        <is>
          <t>c16f4_training</t>
        </is>
      </c>
      <c r="B1356" t="inlineStr">
        <is>
          <t>2026-06-30 15:44:43.910</t>
        </is>
      </c>
      <c r="C1356" t="n">
        <v/>
      </c>
      <c r="D1356" t="inlineStr">
        <is>
          <t>Media file</t>
        </is>
      </c>
      <c r="E1356" t="inlineStr">
        <is>
          <t>player #1:C:/Users/manuel.felline/Documents/BEHAVIOR BTBR/NOR second cohort/BTBR/training/c16_f4.mp4</t>
        </is>
      </c>
      <c r="F1356" t="n">
        <v>-11.067</v>
      </c>
      <c r="G1356" t="n">
        <v>591.032</v>
      </c>
      <c r="H1356" t="n">
        <v>627.699</v>
      </c>
      <c r="I1356" t="n">
        <v>30</v>
      </c>
      <c r="J1356" t="inlineStr">
        <is>
          <t>BTBR</t>
        </is>
      </c>
      <c r="K1356" t="inlineStr">
        <is>
          <t xml:space="preserve"> Female</t>
        </is>
      </c>
      <c r="L1356" t="inlineStr">
        <is>
          <t>No focal subject</t>
        </is>
      </c>
      <c r="M1356" t="n">
        <v>51.199</v>
      </c>
      <c r="N1356" t="inlineStr">
        <is>
          <t>Explore_F</t>
        </is>
      </c>
      <c r="O1356" t="inlineStr">
        <is>
          <t>Familiar</t>
        </is>
      </c>
      <c r="P1356" t="inlineStr">
        <is>
          <t>STATE</t>
        </is>
      </c>
      <c r="Q1356" t="n">
        <v>217.999</v>
      </c>
      <c r="R1356" t="n">
        <v>218.533</v>
      </c>
      <c r="S1356" t="n">
        <v>0.534</v>
      </c>
      <c r="T1356" t="inlineStr">
        <is>
          <t>C:/Users/manuel.felline/Documents/BEHAVIOR BTBR/NOR second cohort/BTBR/training/c16_f4.mp4</t>
        </is>
      </c>
      <c r="U1356" t="n">
        <v>6871</v>
      </c>
      <c r="V1356" t="n">
        <v>6888</v>
      </c>
      <c r="W1356" t="n">
        <v/>
      </c>
      <c r="X1356" t="n">
        <v/>
      </c>
      <c r="Y1356" t="n">
        <v/>
      </c>
      <c r="Z1356" t="n">
        <v/>
      </c>
      <c r="AA1356">
        <f>SUMIFS($S$2:S1356,$A$2:A1356,A1356,$N$2:N1356,"Explore*")</f>
        <v/>
      </c>
      <c r="AB1356">
        <f>IF(AND(LEFT(N1356,7)="Explore",(AA1356-IF(LEFT(N1356,7)="Explore",S1356,0))&lt;10),"SI","NO")</f>
        <v/>
      </c>
    </row>
    <row r="1357">
      <c r="A1357" t="inlineStr">
        <is>
          <t>c16f4_training</t>
        </is>
      </c>
      <c r="B1357" t="inlineStr">
        <is>
          <t>2026-06-30 15:44:43.910</t>
        </is>
      </c>
      <c r="C1357" t="n">
        <v/>
      </c>
      <c r="D1357" t="inlineStr">
        <is>
          <t>Media file</t>
        </is>
      </c>
      <c r="E1357" t="inlineStr">
        <is>
          <t>player #1:C:/Users/manuel.felline/Documents/BEHAVIOR BTBR/NOR second cohort/BTBR/training/c16_f4.mp4</t>
        </is>
      </c>
      <c r="F1357" t="n">
        <v>-11.067</v>
      </c>
      <c r="G1357" t="n">
        <v>591.032</v>
      </c>
      <c r="H1357" t="n">
        <v>627.699</v>
      </c>
      <c r="I1357" t="n">
        <v>30</v>
      </c>
      <c r="J1357" t="inlineStr">
        <is>
          <t>BTBR</t>
        </is>
      </c>
      <c r="K1357" t="inlineStr">
        <is>
          <t xml:space="preserve"> Female</t>
        </is>
      </c>
      <c r="L1357" t="inlineStr">
        <is>
          <t>No focal subject</t>
        </is>
      </c>
      <c r="M1357" t="n">
        <v>51.199</v>
      </c>
      <c r="N1357" t="inlineStr">
        <is>
          <t>Explore_F2</t>
        </is>
      </c>
      <c r="O1357" t="inlineStr">
        <is>
          <t>Second familiar</t>
        </is>
      </c>
      <c r="P1357" t="inlineStr">
        <is>
          <t>STATE</t>
        </is>
      </c>
      <c r="Q1357" t="n">
        <v>228.133</v>
      </c>
      <c r="R1357" t="n">
        <v>228.733</v>
      </c>
      <c r="S1357" t="n">
        <v>0.6</v>
      </c>
      <c r="T1357" t="inlineStr">
        <is>
          <t>C:/Users/manuel.felline/Documents/BEHAVIOR BTBR/NOR second cohort/BTBR/training/c16_f4.mp4</t>
        </is>
      </c>
      <c r="U1357" t="n">
        <v>7174</v>
      </c>
      <c r="V1357" t="n">
        <v>7192</v>
      </c>
      <c r="W1357" t="n">
        <v/>
      </c>
      <c r="X1357" t="n">
        <v/>
      </c>
      <c r="Y1357" t="n">
        <v/>
      </c>
      <c r="Z1357" t="n">
        <v/>
      </c>
      <c r="AA1357">
        <f>SUMIFS($S$2:S1357,$A$2:A1357,A1357,$N$2:N1357,"Explore*")</f>
        <v/>
      </c>
      <c r="AB1357">
        <f>IF(AND(LEFT(N1357,7)="Explore",(AA1357-IF(LEFT(N1357,7)="Explore",S1357,0))&lt;10),"SI","NO")</f>
        <v/>
      </c>
    </row>
    <row r="1358">
      <c r="A1358" t="inlineStr">
        <is>
          <t>c16f4_training</t>
        </is>
      </c>
      <c r="B1358" t="inlineStr">
        <is>
          <t>2026-06-30 15:44:43.910</t>
        </is>
      </c>
      <c r="C1358" t="n">
        <v/>
      </c>
      <c r="D1358" t="inlineStr">
        <is>
          <t>Media file</t>
        </is>
      </c>
      <c r="E1358" t="inlineStr">
        <is>
          <t>player #1:C:/Users/manuel.felline/Documents/BEHAVIOR BTBR/NOR second cohort/BTBR/training/c16_f4.mp4</t>
        </is>
      </c>
      <c r="F1358" t="n">
        <v>-11.067</v>
      </c>
      <c r="G1358" t="n">
        <v>591.032</v>
      </c>
      <c r="H1358" t="n">
        <v>627.699</v>
      </c>
      <c r="I1358" t="n">
        <v>30</v>
      </c>
      <c r="J1358" t="inlineStr">
        <is>
          <t>BTBR</t>
        </is>
      </c>
      <c r="K1358" t="inlineStr">
        <is>
          <t xml:space="preserve"> Female</t>
        </is>
      </c>
      <c r="L1358" t="inlineStr">
        <is>
          <t>No focal subject</t>
        </is>
      </c>
      <c r="M1358" t="n">
        <v>51.199</v>
      </c>
      <c r="N1358" t="inlineStr">
        <is>
          <t>Explore_F</t>
        </is>
      </c>
      <c r="O1358" t="inlineStr">
        <is>
          <t>Familiar</t>
        </is>
      </c>
      <c r="P1358" t="inlineStr">
        <is>
          <t>STATE</t>
        </is>
      </c>
      <c r="Q1358" t="n">
        <v>272.799</v>
      </c>
      <c r="R1358" t="n">
        <v>272.999</v>
      </c>
      <c r="S1358" t="n">
        <v>0.2</v>
      </c>
      <c r="T1358" t="inlineStr">
        <is>
          <t>C:/Users/manuel.felline/Documents/BEHAVIOR BTBR/NOR second cohort/BTBR/training/c16_f4.mp4</t>
        </is>
      </c>
      <c r="U1358" t="n">
        <v>8514</v>
      </c>
      <c r="V1358" t="n">
        <v>8520</v>
      </c>
      <c r="W1358" t="n">
        <v/>
      </c>
      <c r="X1358" t="n">
        <v/>
      </c>
      <c r="Y1358" t="n">
        <v/>
      </c>
      <c r="Z1358" t="n">
        <v/>
      </c>
      <c r="AA1358">
        <f>SUMIFS($S$2:S1358,$A$2:A1358,A1358,$N$2:N1358,"Explore*")</f>
        <v/>
      </c>
      <c r="AB1358">
        <f>IF(AND(LEFT(N1358,7)="Explore",(AA1358-IF(LEFT(N1358,7)="Explore",S1358,0))&lt;10),"SI","NO")</f>
        <v/>
      </c>
    </row>
    <row r="1359">
      <c r="A1359" t="inlineStr">
        <is>
          <t>c16f4_training</t>
        </is>
      </c>
      <c r="B1359" t="inlineStr">
        <is>
          <t>2026-06-30 15:44:43.910</t>
        </is>
      </c>
      <c r="C1359" t="n">
        <v/>
      </c>
      <c r="D1359" t="inlineStr">
        <is>
          <t>Media file</t>
        </is>
      </c>
      <c r="E1359" t="inlineStr">
        <is>
          <t>player #1:C:/Users/manuel.felline/Documents/BEHAVIOR BTBR/NOR second cohort/BTBR/training/c16_f4.mp4</t>
        </is>
      </c>
      <c r="F1359" t="n">
        <v>-11.067</v>
      </c>
      <c r="G1359" t="n">
        <v>591.032</v>
      </c>
      <c r="H1359" t="n">
        <v>627.699</v>
      </c>
      <c r="I1359" t="n">
        <v>30</v>
      </c>
      <c r="J1359" t="inlineStr">
        <is>
          <t>BTBR</t>
        </is>
      </c>
      <c r="K1359" t="inlineStr">
        <is>
          <t xml:space="preserve"> Female</t>
        </is>
      </c>
      <c r="L1359" t="inlineStr">
        <is>
          <t>No focal subject</t>
        </is>
      </c>
      <c r="M1359" t="n">
        <v>51.199</v>
      </c>
      <c r="N1359" t="inlineStr">
        <is>
          <t>Explore_F</t>
        </is>
      </c>
      <c r="O1359" t="inlineStr">
        <is>
          <t>Familiar</t>
        </is>
      </c>
      <c r="P1359" t="inlineStr">
        <is>
          <t>STATE</t>
        </is>
      </c>
      <c r="Q1359" t="n">
        <v>277.099</v>
      </c>
      <c r="R1359" t="n">
        <v>277.933</v>
      </c>
      <c r="S1359" t="n">
        <v>0.834</v>
      </c>
      <c r="T1359" t="inlineStr">
        <is>
          <t>C:/Users/manuel.felline/Documents/BEHAVIOR BTBR/NOR second cohort/BTBR/training/c16_f4.mp4</t>
        </is>
      </c>
      <c r="U1359" t="n">
        <v>8643</v>
      </c>
      <c r="V1359" t="n">
        <v>8668</v>
      </c>
      <c r="W1359" t="n">
        <v/>
      </c>
      <c r="X1359" t="n">
        <v/>
      </c>
      <c r="Y1359" t="n">
        <v/>
      </c>
      <c r="Z1359" t="n">
        <v/>
      </c>
      <c r="AA1359">
        <f>SUMIFS($S$2:S1359,$A$2:A1359,A1359,$N$2:N1359,"Explore*")</f>
        <v/>
      </c>
      <c r="AB1359">
        <f>IF(AND(LEFT(N1359,7)="Explore",(AA1359-IF(LEFT(N1359,7)="Explore",S1359,0))&lt;10),"SI","NO")</f>
        <v/>
      </c>
    </row>
    <row r="1360">
      <c r="A1360" t="inlineStr">
        <is>
          <t>c16f4_training</t>
        </is>
      </c>
      <c r="B1360" t="inlineStr">
        <is>
          <t>2026-06-30 15:44:43.910</t>
        </is>
      </c>
      <c r="C1360" t="n">
        <v/>
      </c>
      <c r="D1360" t="inlineStr">
        <is>
          <t>Media file</t>
        </is>
      </c>
      <c r="E1360" t="inlineStr">
        <is>
          <t>player #1:C:/Users/manuel.felline/Documents/BEHAVIOR BTBR/NOR second cohort/BTBR/training/c16_f4.mp4</t>
        </is>
      </c>
      <c r="F1360" t="n">
        <v>-11.067</v>
      </c>
      <c r="G1360" t="n">
        <v>591.032</v>
      </c>
      <c r="H1360" t="n">
        <v>627.699</v>
      </c>
      <c r="I1360" t="n">
        <v>30</v>
      </c>
      <c r="J1360" t="inlineStr">
        <is>
          <t>BTBR</t>
        </is>
      </c>
      <c r="K1360" t="inlineStr">
        <is>
          <t xml:space="preserve"> Female</t>
        </is>
      </c>
      <c r="L1360" t="inlineStr">
        <is>
          <t>No focal subject</t>
        </is>
      </c>
      <c r="M1360" t="n">
        <v>51.199</v>
      </c>
      <c r="N1360" t="inlineStr">
        <is>
          <t>Explore_F2</t>
        </is>
      </c>
      <c r="O1360" t="inlineStr">
        <is>
          <t>Second familiar</t>
        </is>
      </c>
      <c r="P1360" t="inlineStr">
        <is>
          <t>STATE</t>
        </is>
      </c>
      <c r="Q1360" t="n">
        <v>279.333</v>
      </c>
      <c r="R1360" t="n">
        <v>281.033</v>
      </c>
      <c r="S1360" t="n">
        <v>1.7</v>
      </c>
      <c r="T1360" t="inlineStr">
        <is>
          <t>C:/Users/manuel.felline/Documents/BEHAVIOR BTBR/NOR second cohort/BTBR/training/c16_f4.mp4</t>
        </is>
      </c>
      <c r="U1360" t="n">
        <v>8710</v>
      </c>
      <c r="V1360" t="n">
        <v>8761</v>
      </c>
      <c r="W1360" t="n">
        <v/>
      </c>
      <c r="X1360" t="n">
        <v/>
      </c>
      <c r="Y1360" t="n">
        <v/>
      </c>
      <c r="Z1360" t="n">
        <v/>
      </c>
      <c r="AA1360">
        <f>SUMIFS($S$2:S1360,$A$2:A1360,A1360,$N$2:N1360,"Explore*")</f>
        <v/>
      </c>
      <c r="AB1360">
        <f>IF(AND(LEFT(N1360,7)="Explore",(AA1360-IF(LEFT(N1360,7)="Explore",S1360,0))&lt;10),"SI","NO")</f>
        <v/>
      </c>
    </row>
    <row r="1361">
      <c r="A1361" t="inlineStr">
        <is>
          <t>c16f4_training</t>
        </is>
      </c>
      <c r="B1361" t="inlineStr">
        <is>
          <t>2026-06-30 15:44:43.910</t>
        </is>
      </c>
      <c r="C1361" t="n">
        <v/>
      </c>
      <c r="D1361" t="inlineStr">
        <is>
          <t>Media file</t>
        </is>
      </c>
      <c r="E1361" t="inlineStr">
        <is>
          <t>player #1:C:/Users/manuel.felline/Documents/BEHAVIOR BTBR/NOR second cohort/BTBR/training/c16_f4.mp4</t>
        </is>
      </c>
      <c r="F1361" t="n">
        <v>-11.067</v>
      </c>
      <c r="G1361" t="n">
        <v>591.032</v>
      </c>
      <c r="H1361" t="n">
        <v>627.699</v>
      </c>
      <c r="I1361" t="n">
        <v>30</v>
      </c>
      <c r="J1361" t="inlineStr">
        <is>
          <t>BTBR</t>
        </is>
      </c>
      <c r="K1361" t="inlineStr">
        <is>
          <t xml:space="preserve"> Female</t>
        </is>
      </c>
      <c r="L1361" t="inlineStr">
        <is>
          <t>No focal subject</t>
        </is>
      </c>
      <c r="M1361" t="n">
        <v>51.199</v>
      </c>
      <c r="N1361" t="inlineStr">
        <is>
          <t>Explore_F</t>
        </is>
      </c>
      <c r="O1361" t="inlineStr">
        <is>
          <t>Familiar</t>
        </is>
      </c>
      <c r="P1361" t="inlineStr">
        <is>
          <t>STATE</t>
        </is>
      </c>
      <c r="Q1361" t="n">
        <v>312.633</v>
      </c>
      <c r="R1361" t="n">
        <v>313.166</v>
      </c>
      <c r="S1361" t="n">
        <v>0.533</v>
      </c>
      <c r="T1361" t="inlineStr">
        <is>
          <t>C:/Users/manuel.felline/Documents/BEHAVIOR BTBR/NOR second cohort/BTBR/training/c16_f4.mp4</t>
        </is>
      </c>
      <c r="U1361" t="n">
        <v>9709</v>
      </c>
      <c r="V1361" t="n">
        <v>9725</v>
      </c>
      <c r="W1361" t="n">
        <v/>
      </c>
      <c r="X1361" t="n">
        <v/>
      </c>
      <c r="Y1361" t="n">
        <v/>
      </c>
      <c r="Z1361" t="n">
        <v/>
      </c>
      <c r="AA1361">
        <f>SUMIFS($S$2:S1361,$A$2:A1361,A1361,$N$2:N1361,"Explore*")</f>
        <v/>
      </c>
      <c r="AB1361">
        <f>IF(AND(LEFT(N1361,7)="Explore",(AA1361-IF(LEFT(N1361,7)="Explore",S1361,0))&lt;10),"SI","NO")</f>
        <v/>
      </c>
    </row>
    <row r="1362">
      <c r="A1362" t="inlineStr">
        <is>
          <t>c16f4_training</t>
        </is>
      </c>
      <c r="B1362" t="inlineStr">
        <is>
          <t>2026-06-30 15:44:43.910</t>
        </is>
      </c>
      <c r="C1362" t="n">
        <v/>
      </c>
      <c r="D1362" t="inlineStr">
        <is>
          <t>Media file</t>
        </is>
      </c>
      <c r="E1362" t="inlineStr">
        <is>
          <t>player #1:C:/Users/manuel.felline/Documents/BEHAVIOR BTBR/NOR second cohort/BTBR/training/c16_f4.mp4</t>
        </is>
      </c>
      <c r="F1362" t="n">
        <v>-11.067</v>
      </c>
      <c r="G1362" t="n">
        <v>591.032</v>
      </c>
      <c r="H1362" t="n">
        <v>627.699</v>
      </c>
      <c r="I1362" t="n">
        <v>30</v>
      </c>
      <c r="J1362" t="inlineStr">
        <is>
          <t>BTBR</t>
        </is>
      </c>
      <c r="K1362" t="inlineStr">
        <is>
          <t xml:space="preserve"> Female</t>
        </is>
      </c>
      <c r="L1362" t="inlineStr">
        <is>
          <t>No focal subject</t>
        </is>
      </c>
      <c r="M1362" t="n">
        <v>51.199</v>
      </c>
      <c r="N1362" t="inlineStr">
        <is>
          <t>Explore_F2</t>
        </is>
      </c>
      <c r="O1362" t="inlineStr">
        <is>
          <t>Second familiar</t>
        </is>
      </c>
      <c r="P1362" t="inlineStr">
        <is>
          <t>STATE</t>
        </is>
      </c>
      <c r="Q1362" t="n">
        <v>320.699</v>
      </c>
      <c r="R1362" t="n">
        <v>321.533</v>
      </c>
      <c r="S1362" t="n">
        <v>0.834</v>
      </c>
      <c r="T1362" t="inlineStr">
        <is>
          <t>C:/Users/manuel.felline/Documents/BEHAVIOR BTBR/NOR second cohort/BTBR/training/c16_f4.mp4</t>
        </is>
      </c>
      <c r="U1362" t="n">
        <v>9951</v>
      </c>
      <c r="V1362" t="n">
        <v>9977</v>
      </c>
      <c r="W1362" t="n">
        <v/>
      </c>
      <c r="X1362" t="n">
        <v/>
      </c>
      <c r="Y1362" t="n">
        <v/>
      </c>
      <c r="Z1362" t="n">
        <v/>
      </c>
      <c r="AA1362">
        <f>SUMIFS($S$2:S1362,$A$2:A1362,A1362,$N$2:N1362,"Explore*")</f>
        <v/>
      </c>
      <c r="AB1362">
        <f>IF(AND(LEFT(N1362,7)="Explore",(AA1362-IF(LEFT(N1362,7)="Explore",S1362,0))&lt;10),"SI","NO")</f>
        <v/>
      </c>
    </row>
    <row r="1363">
      <c r="A1363" t="inlineStr">
        <is>
          <t>c16f4_training</t>
        </is>
      </c>
      <c r="B1363" t="inlineStr">
        <is>
          <t>2026-06-30 15:44:43.910</t>
        </is>
      </c>
      <c r="C1363" t="n">
        <v/>
      </c>
      <c r="D1363" t="inlineStr">
        <is>
          <t>Media file</t>
        </is>
      </c>
      <c r="E1363" t="inlineStr">
        <is>
          <t>player #1:C:/Users/manuel.felline/Documents/BEHAVIOR BTBR/NOR second cohort/BTBR/training/c16_f4.mp4</t>
        </is>
      </c>
      <c r="F1363" t="n">
        <v>-11.067</v>
      </c>
      <c r="G1363" t="n">
        <v>591.032</v>
      </c>
      <c r="H1363" t="n">
        <v>627.699</v>
      </c>
      <c r="I1363" t="n">
        <v>30</v>
      </c>
      <c r="J1363" t="inlineStr">
        <is>
          <t>BTBR</t>
        </is>
      </c>
      <c r="K1363" t="inlineStr">
        <is>
          <t xml:space="preserve"> Female</t>
        </is>
      </c>
      <c r="L1363" t="inlineStr">
        <is>
          <t>No focal subject</t>
        </is>
      </c>
      <c r="M1363" t="n">
        <v>51.199</v>
      </c>
      <c r="N1363" t="inlineStr">
        <is>
          <t>Explore_F2</t>
        </is>
      </c>
      <c r="O1363" t="inlineStr">
        <is>
          <t>Second familiar</t>
        </is>
      </c>
      <c r="P1363" t="inlineStr">
        <is>
          <t>STATE</t>
        </is>
      </c>
      <c r="Q1363" t="n">
        <v>328.333</v>
      </c>
      <c r="R1363" t="n">
        <v>329.366</v>
      </c>
      <c r="S1363" t="n">
        <v>1.033</v>
      </c>
      <c r="T1363" t="inlineStr">
        <is>
          <t>C:/Users/manuel.felline/Documents/BEHAVIOR BTBR/NOR second cohort/BTBR/training/c16_f4.mp4</t>
        </is>
      </c>
      <c r="U1363" t="n">
        <v>10180</v>
      </c>
      <c r="V1363" t="n">
        <v>10211</v>
      </c>
      <c r="W1363" t="n">
        <v/>
      </c>
      <c r="X1363" t="n">
        <v/>
      </c>
      <c r="Y1363" t="n">
        <v/>
      </c>
      <c r="Z1363" t="n">
        <v/>
      </c>
      <c r="AA1363">
        <f>SUMIFS($S$2:S1363,$A$2:A1363,A1363,$N$2:N1363,"Explore*")</f>
        <v/>
      </c>
      <c r="AB1363">
        <f>IF(AND(LEFT(N1363,7)="Explore",(AA1363-IF(LEFT(N1363,7)="Explore",S1363,0))&lt;10),"SI","NO")</f>
        <v/>
      </c>
    </row>
    <row r="1364">
      <c r="A1364" t="inlineStr">
        <is>
          <t>c16f4_training</t>
        </is>
      </c>
      <c r="B1364" t="inlineStr">
        <is>
          <t>2026-06-30 15:44:43.910</t>
        </is>
      </c>
      <c r="C1364" t="n">
        <v/>
      </c>
      <c r="D1364" t="inlineStr">
        <is>
          <t>Media file</t>
        </is>
      </c>
      <c r="E1364" t="inlineStr">
        <is>
          <t>player #1:C:/Users/manuel.felline/Documents/BEHAVIOR BTBR/NOR second cohort/BTBR/training/c16_f4.mp4</t>
        </is>
      </c>
      <c r="F1364" t="n">
        <v>-11.067</v>
      </c>
      <c r="G1364" t="n">
        <v>591.032</v>
      </c>
      <c r="H1364" t="n">
        <v>627.699</v>
      </c>
      <c r="I1364" t="n">
        <v>30</v>
      </c>
      <c r="J1364" t="inlineStr">
        <is>
          <t>BTBR</t>
        </is>
      </c>
      <c r="K1364" t="inlineStr">
        <is>
          <t xml:space="preserve"> Female</t>
        </is>
      </c>
      <c r="L1364" t="inlineStr">
        <is>
          <t>No focal subject</t>
        </is>
      </c>
      <c r="M1364" t="n">
        <v>51.199</v>
      </c>
      <c r="N1364" t="inlineStr">
        <is>
          <t>Explore_F</t>
        </is>
      </c>
      <c r="O1364" t="inlineStr">
        <is>
          <t>Familiar</t>
        </is>
      </c>
      <c r="P1364" t="inlineStr">
        <is>
          <t>STATE</t>
        </is>
      </c>
      <c r="Q1364" t="n">
        <v>386.966</v>
      </c>
      <c r="R1364" t="n">
        <v>388.266</v>
      </c>
      <c r="S1364" t="n">
        <v>1.3</v>
      </c>
      <c r="T1364" t="inlineStr">
        <is>
          <t>C:/Users/manuel.felline/Documents/BEHAVIOR BTBR/NOR second cohort/BTBR/training/c16_f4.mp4</t>
        </is>
      </c>
      <c r="U1364" t="n">
        <v>11938</v>
      </c>
      <c r="V1364" t="n">
        <v>11977</v>
      </c>
      <c r="W1364" t="n">
        <v/>
      </c>
      <c r="X1364" t="n">
        <v/>
      </c>
      <c r="Y1364" t="n">
        <v/>
      </c>
      <c r="Z1364" t="n">
        <v/>
      </c>
      <c r="AA1364">
        <f>SUMIFS($S$2:S1364,$A$2:A1364,A1364,$N$2:N1364,"Explore*")</f>
        <v/>
      </c>
      <c r="AB1364">
        <f>IF(AND(LEFT(N1364,7)="Explore",(AA1364-IF(LEFT(N1364,7)="Explore",S1364,0))&lt;10),"SI","NO")</f>
        <v/>
      </c>
    </row>
    <row r="1365">
      <c r="A1365" t="inlineStr">
        <is>
          <t>c16f4_training</t>
        </is>
      </c>
      <c r="B1365" t="inlineStr">
        <is>
          <t>2026-06-30 15:44:43.910</t>
        </is>
      </c>
      <c r="C1365" t="n">
        <v/>
      </c>
      <c r="D1365" t="inlineStr">
        <is>
          <t>Media file</t>
        </is>
      </c>
      <c r="E1365" t="inlineStr">
        <is>
          <t>player #1:C:/Users/manuel.felline/Documents/BEHAVIOR BTBR/NOR second cohort/BTBR/training/c16_f4.mp4</t>
        </is>
      </c>
      <c r="F1365" t="n">
        <v>-11.067</v>
      </c>
      <c r="G1365" t="n">
        <v>591.032</v>
      </c>
      <c r="H1365" t="n">
        <v>627.699</v>
      </c>
      <c r="I1365" t="n">
        <v>30</v>
      </c>
      <c r="J1365" t="inlineStr">
        <is>
          <t>BTBR</t>
        </is>
      </c>
      <c r="K1365" t="inlineStr">
        <is>
          <t xml:space="preserve"> Female</t>
        </is>
      </c>
      <c r="L1365" t="inlineStr">
        <is>
          <t>No focal subject</t>
        </is>
      </c>
      <c r="M1365" t="n">
        <v>51.199</v>
      </c>
      <c r="N1365" t="inlineStr">
        <is>
          <t>Explore_F2</t>
        </is>
      </c>
      <c r="O1365" t="inlineStr">
        <is>
          <t>Second familiar</t>
        </is>
      </c>
      <c r="P1365" t="inlineStr">
        <is>
          <t>STATE</t>
        </is>
      </c>
      <c r="Q1365" t="n">
        <v>389.266</v>
      </c>
      <c r="R1365" t="n">
        <v>389.999</v>
      </c>
      <c r="S1365" t="n">
        <v>0.733</v>
      </c>
      <c r="T1365" t="inlineStr">
        <is>
          <t>C:/Users/manuel.felline/Documents/BEHAVIOR BTBR/NOR second cohort/BTBR/training/c16_f4.mp4</t>
        </is>
      </c>
      <c r="U1365" t="n">
        <v>12007</v>
      </c>
      <c r="V1365" t="n">
        <v>12029</v>
      </c>
      <c r="W1365" t="n">
        <v/>
      </c>
      <c r="X1365" t="n">
        <v/>
      </c>
      <c r="Y1365" t="n">
        <v/>
      </c>
      <c r="Z1365" t="n">
        <v/>
      </c>
      <c r="AA1365">
        <f>SUMIFS($S$2:S1365,$A$2:A1365,A1365,$N$2:N1365,"Explore*")</f>
        <v/>
      </c>
      <c r="AB1365">
        <f>IF(AND(LEFT(N1365,7)="Explore",(AA1365-IF(LEFT(N1365,7)="Explore",S1365,0))&lt;10),"SI","NO")</f>
        <v/>
      </c>
    </row>
    <row r="1366">
      <c r="A1366" t="inlineStr">
        <is>
          <t>c16f4_training</t>
        </is>
      </c>
      <c r="B1366" t="inlineStr">
        <is>
          <t>2026-06-30 15:44:43.910</t>
        </is>
      </c>
      <c r="C1366" t="n">
        <v/>
      </c>
      <c r="D1366" t="inlineStr">
        <is>
          <t>Media file</t>
        </is>
      </c>
      <c r="E1366" t="inlineStr">
        <is>
          <t>player #1:C:/Users/manuel.felline/Documents/BEHAVIOR BTBR/NOR second cohort/BTBR/training/c16_f4.mp4</t>
        </is>
      </c>
      <c r="F1366" t="n">
        <v>-11.067</v>
      </c>
      <c r="G1366" t="n">
        <v>591.032</v>
      </c>
      <c r="H1366" t="n">
        <v>627.699</v>
      </c>
      <c r="I1366" t="n">
        <v>30</v>
      </c>
      <c r="J1366" t="inlineStr">
        <is>
          <t>BTBR</t>
        </is>
      </c>
      <c r="K1366" t="inlineStr">
        <is>
          <t xml:space="preserve"> Female</t>
        </is>
      </c>
      <c r="L1366" t="inlineStr">
        <is>
          <t>No focal subject</t>
        </is>
      </c>
      <c r="M1366" t="n">
        <v>51.199</v>
      </c>
      <c r="N1366" t="inlineStr">
        <is>
          <t>Explore_F</t>
        </is>
      </c>
      <c r="O1366" t="inlineStr">
        <is>
          <t>Familiar</t>
        </is>
      </c>
      <c r="P1366" t="inlineStr">
        <is>
          <t>STATE</t>
        </is>
      </c>
      <c r="Q1366" t="n">
        <v>403.666</v>
      </c>
      <c r="R1366" t="n">
        <v>404.266</v>
      </c>
      <c r="S1366" t="n">
        <v>0.6</v>
      </c>
      <c r="T1366" t="inlineStr">
        <is>
          <t>C:/Users/manuel.felline/Documents/BEHAVIOR BTBR/NOR second cohort/BTBR/training/c16_f4.mp4</t>
        </is>
      </c>
      <c r="U1366" t="n">
        <v>12439</v>
      </c>
      <c r="V1366" t="n">
        <v>12457</v>
      </c>
      <c r="W1366" t="n">
        <v/>
      </c>
      <c r="X1366" t="n">
        <v/>
      </c>
      <c r="Y1366" t="n">
        <v/>
      </c>
      <c r="Z1366" t="n">
        <v/>
      </c>
      <c r="AA1366">
        <f>SUMIFS($S$2:S1366,$A$2:A1366,A1366,$N$2:N1366,"Explore*")</f>
        <v/>
      </c>
      <c r="AB1366">
        <f>IF(AND(LEFT(N1366,7)="Explore",(AA1366-IF(LEFT(N1366,7)="Explore",S1366,0))&lt;10),"SI","NO")</f>
        <v/>
      </c>
    </row>
    <row r="1367">
      <c r="A1367" t="inlineStr">
        <is>
          <t>c16f4_training</t>
        </is>
      </c>
      <c r="B1367" t="inlineStr">
        <is>
          <t>2026-06-30 15:44:43.910</t>
        </is>
      </c>
      <c r="C1367" t="n">
        <v/>
      </c>
      <c r="D1367" t="inlineStr">
        <is>
          <t>Media file</t>
        </is>
      </c>
      <c r="E1367" t="inlineStr">
        <is>
          <t>player #1:C:/Users/manuel.felline/Documents/BEHAVIOR BTBR/NOR second cohort/BTBR/training/c16_f4.mp4</t>
        </is>
      </c>
      <c r="F1367" t="n">
        <v>-11.067</v>
      </c>
      <c r="G1367" t="n">
        <v>591.032</v>
      </c>
      <c r="H1367" t="n">
        <v>627.699</v>
      </c>
      <c r="I1367" t="n">
        <v>30</v>
      </c>
      <c r="J1367" t="inlineStr">
        <is>
          <t>BTBR</t>
        </is>
      </c>
      <c r="K1367" t="inlineStr">
        <is>
          <t xml:space="preserve"> Female</t>
        </is>
      </c>
      <c r="L1367" t="inlineStr">
        <is>
          <t>No focal subject</t>
        </is>
      </c>
      <c r="M1367" t="n">
        <v>51.199</v>
      </c>
      <c r="N1367" t="inlineStr">
        <is>
          <t>Explore_F2</t>
        </is>
      </c>
      <c r="O1367" t="inlineStr">
        <is>
          <t>Second familiar</t>
        </is>
      </c>
      <c r="P1367" t="inlineStr">
        <is>
          <t>STATE</t>
        </is>
      </c>
      <c r="Q1367" t="n">
        <v>411.133</v>
      </c>
      <c r="R1367" t="n">
        <v>411.766</v>
      </c>
      <c r="S1367" t="n">
        <v>0.633</v>
      </c>
      <c r="T1367" t="inlineStr">
        <is>
          <t>C:/Users/manuel.felline/Documents/BEHAVIOR BTBR/NOR second cohort/BTBR/training/c16_f4.mp4</t>
        </is>
      </c>
      <c r="U1367" t="n">
        <v>12663</v>
      </c>
      <c r="V1367" t="n">
        <v>12682</v>
      </c>
      <c r="W1367" t="n">
        <v/>
      </c>
      <c r="X1367" t="n">
        <v/>
      </c>
      <c r="Y1367" t="n">
        <v/>
      </c>
      <c r="Z1367" t="n">
        <v/>
      </c>
      <c r="AA1367">
        <f>SUMIFS($S$2:S1367,$A$2:A1367,A1367,$N$2:N1367,"Explore*")</f>
        <v/>
      </c>
      <c r="AB1367">
        <f>IF(AND(LEFT(N1367,7)="Explore",(AA1367-IF(LEFT(N1367,7)="Explore",S1367,0))&lt;10),"SI","NO")</f>
        <v/>
      </c>
    </row>
    <row r="1368">
      <c r="A1368" t="inlineStr">
        <is>
          <t>c16f4_training</t>
        </is>
      </c>
      <c r="B1368" t="inlineStr">
        <is>
          <t>2026-06-30 15:44:43.910</t>
        </is>
      </c>
      <c r="C1368" t="n">
        <v/>
      </c>
      <c r="D1368" t="inlineStr">
        <is>
          <t>Media file</t>
        </is>
      </c>
      <c r="E1368" t="inlineStr">
        <is>
          <t>player #1:C:/Users/manuel.felline/Documents/BEHAVIOR BTBR/NOR second cohort/BTBR/training/c16_f4.mp4</t>
        </is>
      </c>
      <c r="F1368" t="n">
        <v>-11.067</v>
      </c>
      <c r="G1368" t="n">
        <v>591.032</v>
      </c>
      <c r="H1368" t="n">
        <v>627.699</v>
      </c>
      <c r="I1368" t="n">
        <v>30</v>
      </c>
      <c r="J1368" t="inlineStr">
        <is>
          <t>BTBR</t>
        </is>
      </c>
      <c r="K1368" t="inlineStr">
        <is>
          <t xml:space="preserve"> Female</t>
        </is>
      </c>
      <c r="L1368" t="inlineStr">
        <is>
          <t>No focal subject</t>
        </is>
      </c>
      <c r="M1368" t="n">
        <v>51.199</v>
      </c>
      <c r="N1368" t="inlineStr">
        <is>
          <t>Explore_F2</t>
        </is>
      </c>
      <c r="O1368" t="inlineStr">
        <is>
          <t>Second familiar</t>
        </is>
      </c>
      <c r="P1368" t="inlineStr">
        <is>
          <t>STATE</t>
        </is>
      </c>
      <c r="Q1368" t="n">
        <v>413.499</v>
      </c>
      <c r="R1368" t="n">
        <v>414.199</v>
      </c>
      <c r="S1368" t="n">
        <v>0.7</v>
      </c>
      <c r="T1368" t="inlineStr">
        <is>
          <t>C:/Users/manuel.felline/Documents/BEHAVIOR BTBR/NOR second cohort/BTBR/training/c16_f4.mp4</t>
        </is>
      </c>
      <c r="U1368" t="n">
        <v>12734</v>
      </c>
      <c r="V1368" t="n">
        <v>12755</v>
      </c>
      <c r="W1368" t="n">
        <v/>
      </c>
      <c r="X1368" t="n">
        <v/>
      </c>
      <c r="Y1368" t="n">
        <v/>
      </c>
      <c r="Z1368" t="n">
        <v/>
      </c>
      <c r="AA1368">
        <f>SUMIFS($S$2:S1368,$A$2:A1368,A1368,$N$2:N1368,"Explore*")</f>
        <v/>
      </c>
      <c r="AB1368">
        <f>IF(AND(LEFT(N1368,7)="Explore",(AA1368-IF(LEFT(N1368,7)="Explore",S1368,0))&lt;10),"SI","NO")</f>
        <v/>
      </c>
    </row>
    <row r="1369">
      <c r="A1369" t="inlineStr">
        <is>
          <t>c16f4_training</t>
        </is>
      </c>
      <c r="B1369" t="inlineStr">
        <is>
          <t>2026-06-30 15:44:43.910</t>
        </is>
      </c>
      <c r="C1369" t="n">
        <v/>
      </c>
      <c r="D1369" t="inlineStr">
        <is>
          <t>Media file</t>
        </is>
      </c>
      <c r="E1369" t="inlineStr">
        <is>
          <t>player #1:C:/Users/manuel.felline/Documents/BEHAVIOR BTBR/NOR second cohort/BTBR/training/c16_f4.mp4</t>
        </is>
      </c>
      <c r="F1369" t="n">
        <v>-11.067</v>
      </c>
      <c r="G1369" t="n">
        <v>591.032</v>
      </c>
      <c r="H1369" t="n">
        <v>627.699</v>
      </c>
      <c r="I1369" t="n">
        <v>30</v>
      </c>
      <c r="J1369" t="inlineStr">
        <is>
          <t>BTBR</t>
        </is>
      </c>
      <c r="K1369" t="inlineStr">
        <is>
          <t xml:space="preserve"> Female</t>
        </is>
      </c>
      <c r="L1369" t="inlineStr">
        <is>
          <t>No focal subject</t>
        </is>
      </c>
      <c r="M1369" t="n">
        <v>51.199</v>
      </c>
      <c r="N1369" t="inlineStr">
        <is>
          <t>Explore_F</t>
        </is>
      </c>
      <c r="O1369" t="inlineStr">
        <is>
          <t>Familiar</t>
        </is>
      </c>
      <c r="P1369" t="inlineStr">
        <is>
          <t>STATE</t>
        </is>
      </c>
      <c r="Q1369" t="n">
        <v>433.299</v>
      </c>
      <c r="R1369" t="n">
        <v>434.133</v>
      </c>
      <c r="S1369" t="n">
        <v>0.834</v>
      </c>
      <c r="T1369" t="inlineStr">
        <is>
          <t>C:/Users/manuel.felline/Documents/BEHAVIOR BTBR/NOR second cohort/BTBR/training/c16_f4.mp4</t>
        </is>
      </c>
      <c r="U1369" t="n">
        <v>13328</v>
      </c>
      <c r="V1369" t="n">
        <v>13353</v>
      </c>
      <c r="W1369" t="n">
        <v/>
      </c>
      <c r="X1369" t="n">
        <v/>
      </c>
      <c r="Y1369" t="n">
        <v/>
      </c>
      <c r="Z1369" t="n">
        <v/>
      </c>
      <c r="AA1369">
        <f>SUMIFS($S$2:S1369,$A$2:A1369,A1369,$N$2:N1369,"Explore*")</f>
        <v/>
      </c>
      <c r="AB1369">
        <f>IF(AND(LEFT(N1369,7)="Explore",(AA1369-IF(LEFT(N1369,7)="Explore",S1369,0))&lt;10),"SI","NO")</f>
        <v/>
      </c>
    </row>
    <row r="1370">
      <c r="A1370" t="inlineStr">
        <is>
          <t>c16f4_training</t>
        </is>
      </c>
      <c r="B1370" t="inlineStr">
        <is>
          <t>2026-06-30 15:44:43.910</t>
        </is>
      </c>
      <c r="C1370" t="n">
        <v/>
      </c>
      <c r="D1370" t="inlineStr">
        <is>
          <t>Media file</t>
        </is>
      </c>
      <c r="E1370" t="inlineStr">
        <is>
          <t>player #1:C:/Users/manuel.felline/Documents/BEHAVIOR BTBR/NOR second cohort/BTBR/training/c16_f4.mp4</t>
        </is>
      </c>
      <c r="F1370" t="n">
        <v>-11.067</v>
      </c>
      <c r="G1370" t="n">
        <v>591.032</v>
      </c>
      <c r="H1370" t="n">
        <v>627.699</v>
      </c>
      <c r="I1370" t="n">
        <v>30</v>
      </c>
      <c r="J1370" t="inlineStr">
        <is>
          <t>BTBR</t>
        </is>
      </c>
      <c r="K1370" t="inlineStr">
        <is>
          <t xml:space="preserve"> Female</t>
        </is>
      </c>
      <c r="L1370" t="inlineStr">
        <is>
          <t>No focal subject</t>
        </is>
      </c>
      <c r="M1370" t="n">
        <v>51.199</v>
      </c>
      <c r="N1370" t="inlineStr">
        <is>
          <t>Explore_F</t>
        </is>
      </c>
      <c r="O1370" t="inlineStr">
        <is>
          <t>Familiar</t>
        </is>
      </c>
      <c r="P1370" t="inlineStr">
        <is>
          <t>STATE</t>
        </is>
      </c>
      <c r="Q1370" t="n">
        <v>467.066</v>
      </c>
      <c r="R1370" t="n">
        <v>467.466</v>
      </c>
      <c r="S1370" t="n">
        <v>0.4</v>
      </c>
      <c r="T1370" t="inlineStr">
        <is>
          <t>C:/Users/manuel.felline/Documents/BEHAVIOR BTBR/NOR second cohort/BTBR/training/c16_f4.mp4</t>
        </is>
      </c>
      <c r="U1370" t="n">
        <v>14341</v>
      </c>
      <c r="V1370" t="n">
        <v>14353</v>
      </c>
      <c r="W1370" t="n">
        <v/>
      </c>
      <c r="X1370" t="n">
        <v/>
      </c>
      <c r="Y1370" t="n">
        <v/>
      </c>
      <c r="Z1370" t="n">
        <v/>
      </c>
      <c r="AA1370">
        <f>SUMIFS($S$2:S1370,$A$2:A1370,A1370,$N$2:N1370,"Explore*")</f>
        <v/>
      </c>
      <c r="AB1370">
        <f>IF(AND(LEFT(N1370,7)="Explore",(AA1370-IF(LEFT(N1370,7)="Explore",S1370,0))&lt;10),"SI","NO")</f>
        <v/>
      </c>
    </row>
    <row r="1371">
      <c r="A1371" t="inlineStr">
        <is>
          <t>c16f4_training</t>
        </is>
      </c>
      <c r="B1371" t="inlineStr">
        <is>
          <t>2026-06-30 15:44:43.910</t>
        </is>
      </c>
      <c r="C1371" t="n">
        <v/>
      </c>
      <c r="D1371" t="inlineStr">
        <is>
          <t>Media file</t>
        </is>
      </c>
      <c r="E1371" t="inlineStr">
        <is>
          <t>player #1:C:/Users/manuel.felline/Documents/BEHAVIOR BTBR/NOR second cohort/BTBR/training/c16_f4.mp4</t>
        </is>
      </c>
      <c r="F1371" t="n">
        <v>-11.067</v>
      </c>
      <c r="G1371" t="n">
        <v>591.032</v>
      </c>
      <c r="H1371" t="n">
        <v>627.699</v>
      </c>
      <c r="I1371" t="n">
        <v>30</v>
      </c>
      <c r="J1371" t="inlineStr">
        <is>
          <t>BTBR</t>
        </is>
      </c>
      <c r="K1371" t="inlineStr">
        <is>
          <t xml:space="preserve"> Female</t>
        </is>
      </c>
      <c r="L1371" t="inlineStr">
        <is>
          <t>No focal subject</t>
        </is>
      </c>
      <c r="M1371" t="n">
        <v>51.199</v>
      </c>
      <c r="N1371" t="inlineStr">
        <is>
          <t>Explore_F2</t>
        </is>
      </c>
      <c r="O1371" t="inlineStr">
        <is>
          <t>Second familiar</t>
        </is>
      </c>
      <c r="P1371" t="inlineStr">
        <is>
          <t>STATE</t>
        </is>
      </c>
      <c r="Q1371" t="n">
        <v>507.066</v>
      </c>
      <c r="R1371" t="n">
        <v>507.566</v>
      </c>
      <c r="S1371" t="n">
        <v>0.5</v>
      </c>
      <c r="T1371" t="inlineStr">
        <is>
          <t>C:/Users/manuel.felline/Documents/BEHAVIOR BTBR/NOR second cohort/BTBR/training/c16_f4.mp4</t>
        </is>
      </c>
      <c r="U1371" t="n">
        <v>15541</v>
      </c>
      <c r="V1371" t="n">
        <v>15556</v>
      </c>
      <c r="W1371" t="n">
        <v/>
      </c>
      <c r="X1371" t="n">
        <v/>
      </c>
      <c r="Y1371" t="n">
        <v/>
      </c>
      <c r="Z1371" t="n">
        <v/>
      </c>
      <c r="AA1371">
        <f>SUMIFS($S$2:S1371,$A$2:A1371,A1371,$N$2:N1371,"Explore*")</f>
        <v/>
      </c>
      <c r="AB1371">
        <f>IF(AND(LEFT(N1371,7)="Explore",(AA1371-IF(LEFT(N1371,7)="Explore",S1371,0))&lt;10),"SI","NO")</f>
        <v/>
      </c>
    </row>
    <row r="1372">
      <c r="A1372" t="inlineStr">
        <is>
          <t>c16f4_training</t>
        </is>
      </c>
      <c r="B1372" t="inlineStr">
        <is>
          <t>2026-06-30 15:44:43.910</t>
        </is>
      </c>
      <c r="C1372" t="n">
        <v/>
      </c>
      <c r="D1372" t="inlineStr">
        <is>
          <t>Media file</t>
        </is>
      </c>
      <c r="E1372" t="inlineStr">
        <is>
          <t>player #1:C:/Users/manuel.felline/Documents/BEHAVIOR BTBR/NOR second cohort/BTBR/training/c16_f4.mp4</t>
        </is>
      </c>
      <c r="F1372" t="n">
        <v>-11.067</v>
      </c>
      <c r="G1372" t="n">
        <v>591.032</v>
      </c>
      <c r="H1372" t="n">
        <v>627.699</v>
      </c>
      <c r="I1372" t="n">
        <v>30</v>
      </c>
      <c r="J1372" t="inlineStr">
        <is>
          <t>BTBR</t>
        </is>
      </c>
      <c r="K1372" t="inlineStr">
        <is>
          <t xml:space="preserve"> Female</t>
        </is>
      </c>
      <c r="L1372" t="inlineStr">
        <is>
          <t>No focal subject</t>
        </is>
      </c>
      <c r="M1372" t="n">
        <v>51.199</v>
      </c>
      <c r="N1372" t="inlineStr">
        <is>
          <t>Explore_F</t>
        </is>
      </c>
      <c r="O1372" t="inlineStr">
        <is>
          <t>Familiar</t>
        </is>
      </c>
      <c r="P1372" t="inlineStr">
        <is>
          <t>STATE</t>
        </is>
      </c>
      <c r="Q1372" t="n">
        <v>518.366</v>
      </c>
      <c r="R1372" t="n">
        <v>518.866</v>
      </c>
      <c r="S1372" t="n">
        <v>0.5</v>
      </c>
      <c r="T1372" t="inlineStr">
        <is>
          <t>C:/Users/manuel.felline/Documents/BEHAVIOR BTBR/NOR second cohort/BTBR/training/c16_f4.mp4</t>
        </is>
      </c>
      <c r="U1372" t="n">
        <v>15880</v>
      </c>
      <c r="V1372" t="n">
        <v>15895</v>
      </c>
      <c r="W1372" t="n">
        <v/>
      </c>
      <c r="X1372" t="n">
        <v/>
      </c>
      <c r="Y1372" t="n">
        <v/>
      </c>
      <c r="Z1372" t="n">
        <v/>
      </c>
      <c r="AA1372">
        <f>SUMIFS($S$2:S1372,$A$2:A1372,A1372,$N$2:N1372,"Explore*")</f>
        <v/>
      </c>
      <c r="AB1372">
        <f>IF(AND(LEFT(N1372,7)="Explore",(AA1372-IF(LEFT(N1372,7)="Explore",S1372,0))&lt;10),"SI","NO")</f>
        <v/>
      </c>
    </row>
    <row r="1373">
      <c r="A1373" t="inlineStr">
        <is>
          <t>c16f4_training</t>
        </is>
      </c>
      <c r="B1373" t="inlineStr">
        <is>
          <t>2026-06-30 15:44:43.910</t>
        </is>
      </c>
      <c r="C1373" t="n">
        <v/>
      </c>
      <c r="D1373" t="inlineStr">
        <is>
          <t>Media file</t>
        </is>
      </c>
      <c r="E1373" t="inlineStr">
        <is>
          <t>player #1:C:/Users/manuel.felline/Documents/BEHAVIOR BTBR/NOR second cohort/BTBR/training/c16_f4.mp4</t>
        </is>
      </c>
      <c r="F1373" t="n">
        <v>-11.067</v>
      </c>
      <c r="G1373" t="n">
        <v>591.032</v>
      </c>
      <c r="H1373" t="n">
        <v>627.699</v>
      </c>
      <c r="I1373" t="n">
        <v>30</v>
      </c>
      <c r="J1373" t="inlineStr">
        <is>
          <t>BTBR</t>
        </is>
      </c>
      <c r="K1373" t="inlineStr">
        <is>
          <t xml:space="preserve"> Female</t>
        </is>
      </c>
      <c r="L1373" t="inlineStr">
        <is>
          <t>No focal subject</t>
        </is>
      </c>
      <c r="M1373" t="n">
        <v>51.199</v>
      </c>
      <c r="N1373" t="inlineStr">
        <is>
          <t>Explore_F2</t>
        </is>
      </c>
      <c r="O1373" t="inlineStr">
        <is>
          <t>Second familiar</t>
        </is>
      </c>
      <c r="P1373" t="inlineStr">
        <is>
          <t>STATE</t>
        </is>
      </c>
      <c r="Q1373" t="n">
        <v>524.566</v>
      </c>
      <c r="R1373" t="n">
        <v>525.332</v>
      </c>
      <c r="S1373" t="n">
        <v>0.766</v>
      </c>
      <c r="T1373" t="inlineStr">
        <is>
          <t>C:/Users/manuel.felline/Documents/BEHAVIOR BTBR/NOR second cohort/BTBR/training/c16_f4.mp4</t>
        </is>
      </c>
      <c r="U1373" t="n">
        <v>16066</v>
      </c>
      <c r="V1373" t="n">
        <v>16089</v>
      </c>
      <c r="W1373" t="n">
        <v/>
      </c>
      <c r="X1373" t="n">
        <v/>
      </c>
      <c r="Y1373" t="n">
        <v/>
      </c>
      <c r="Z1373" t="n">
        <v/>
      </c>
      <c r="AA1373">
        <f>SUMIFS($S$2:S1373,$A$2:A1373,A1373,$N$2:N1373,"Explore*")</f>
        <v/>
      </c>
      <c r="AB1373">
        <f>IF(AND(LEFT(N1373,7)="Explore",(AA1373-IF(LEFT(N1373,7)="Explore",S1373,0))&lt;10),"SI","NO")</f>
        <v/>
      </c>
    </row>
    <row r="1374">
      <c r="A1374" t="inlineStr">
        <is>
          <t>c16f4_training</t>
        </is>
      </c>
      <c r="B1374" t="inlineStr">
        <is>
          <t>2026-06-30 15:44:43.910</t>
        </is>
      </c>
      <c r="C1374" t="n">
        <v/>
      </c>
      <c r="D1374" t="inlineStr">
        <is>
          <t>Media file</t>
        </is>
      </c>
      <c r="E1374" t="inlineStr">
        <is>
          <t>player #1:C:/Users/manuel.felline/Documents/BEHAVIOR BTBR/NOR second cohort/BTBR/training/c16_f4.mp4</t>
        </is>
      </c>
      <c r="F1374" t="n">
        <v>-11.067</v>
      </c>
      <c r="G1374" t="n">
        <v>591.032</v>
      </c>
      <c r="H1374" t="n">
        <v>627.699</v>
      </c>
      <c r="I1374" t="n">
        <v>30</v>
      </c>
      <c r="J1374" t="inlineStr">
        <is>
          <t>BTBR</t>
        </is>
      </c>
      <c r="K1374" t="inlineStr">
        <is>
          <t xml:space="preserve"> Female</t>
        </is>
      </c>
      <c r="L1374" t="inlineStr">
        <is>
          <t>No focal subject</t>
        </is>
      </c>
      <c r="M1374" t="n">
        <v>51.199</v>
      </c>
      <c r="N1374" t="inlineStr">
        <is>
          <t>Explore_F</t>
        </is>
      </c>
      <c r="O1374" t="inlineStr">
        <is>
          <t>Familiar</t>
        </is>
      </c>
      <c r="P1374" t="inlineStr">
        <is>
          <t>STATE</t>
        </is>
      </c>
      <c r="Q1374" t="n">
        <v>547.1660000000001</v>
      </c>
      <c r="R1374" t="n">
        <v>548.1319999999999</v>
      </c>
      <c r="S1374" t="n">
        <v>0.966</v>
      </c>
      <c r="T1374" t="inlineStr">
        <is>
          <t>C:/Users/manuel.felline/Documents/BEHAVIOR BTBR/NOR second cohort/BTBR/training/c16_f4.mp4</t>
        </is>
      </c>
      <c r="U1374" t="n">
        <v>16743</v>
      </c>
      <c r="V1374" t="n">
        <v>16772</v>
      </c>
      <c r="W1374" t="n">
        <v/>
      </c>
      <c r="X1374" t="n">
        <v/>
      </c>
      <c r="Y1374" t="n">
        <v/>
      </c>
      <c r="Z1374" t="n">
        <v/>
      </c>
      <c r="AA1374">
        <f>SUMIFS($S$2:S1374,$A$2:A1374,A1374,$N$2:N1374,"Explore*")</f>
        <v/>
      </c>
      <c r="AB1374">
        <f>IF(AND(LEFT(N1374,7)="Explore",(AA1374-IF(LEFT(N1374,7)="Explore",S1374,0))&lt;10),"SI","NO")</f>
        <v/>
      </c>
    </row>
    <row r="1375">
      <c r="A1375" t="inlineStr">
        <is>
          <t>c16f4_training</t>
        </is>
      </c>
      <c r="B1375" t="inlineStr">
        <is>
          <t>2026-06-30 15:44:43.910</t>
        </is>
      </c>
      <c r="C1375" t="n">
        <v/>
      </c>
      <c r="D1375" t="inlineStr">
        <is>
          <t>Media file</t>
        </is>
      </c>
      <c r="E1375" t="inlineStr">
        <is>
          <t>player #1:C:/Users/manuel.felline/Documents/BEHAVIOR BTBR/NOR second cohort/BTBR/training/c16_f4.mp4</t>
        </is>
      </c>
      <c r="F1375" t="n">
        <v>-11.067</v>
      </c>
      <c r="G1375" t="n">
        <v>591.032</v>
      </c>
      <c r="H1375" t="n">
        <v>627.699</v>
      </c>
      <c r="I1375" t="n">
        <v>30</v>
      </c>
      <c r="J1375" t="inlineStr">
        <is>
          <t>BTBR</t>
        </is>
      </c>
      <c r="K1375" t="inlineStr">
        <is>
          <t xml:space="preserve"> Female</t>
        </is>
      </c>
      <c r="L1375" t="inlineStr">
        <is>
          <t>No focal subject</t>
        </is>
      </c>
      <c r="M1375" t="n">
        <v>51.199</v>
      </c>
      <c r="N1375" t="inlineStr">
        <is>
          <t>Explore_F</t>
        </is>
      </c>
      <c r="O1375" t="inlineStr">
        <is>
          <t>Familiar</t>
        </is>
      </c>
      <c r="P1375" t="inlineStr">
        <is>
          <t>STATE</t>
        </is>
      </c>
      <c r="Q1375" t="n">
        <v>593.699</v>
      </c>
      <c r="R1375" t="n">
        <v>594.232</v>
      </c>
      <c r="S1375" t="n">
        <v>0.533</v>
      </c>
      <c r="T1375" t="inlineStr">
        <is>
          <t>C:/Users/manuel.felline/Documents/BEHAVIOR BTBR/NOR second cohort/BTBR/training/c16_f4.mp4</t>
        </is>
      </c>
      <c r="U1375" t="n">
        <v>18139</v>
      </c>
      <c r="V1375" t="n">
        <v>18155</v>
      </c>
      <c r="W1375" t="n">
        <v/>
      </c>
      <c r="X1375" t="n">
        <v/>
      </c>
      <c r="Y1375" t="n">
        <v/>
      </c>
      <c r="Z1375" t="n">
        <v/>
      </c>
      <c r="AA1375">
        <f>SUMIFS($S$2:S1375,$A$2:A1375,A1375,$N$2:N1375,"Explore*")</f>
        <v/>
      </c>
      <c r="AB1375">
        <f>IF(AND(LEFT(N1375,7)="Explore",(AA1375-IF(LEFT(N1375,7)="Explore",S1375,0))&lt;10),"SI","NO")</f>
        <v/>
      </c>
    </row>
    <row r="1376">
      <c r="A1376" t="inlineStr">
        <is>
          <t>c16f5_training</t>
        </is>
      </c>
      <c r="B1376" t="inlineStr">
        <is>
          <t>2026-06-30 16:23:30.398</t>
        </is>
      </c>
      <c r="C1376" t="n">
        <v/>
      </c>
      <c r="D1376" t="inlineStr">
        <is>
          <t>Media file</t>
        </is>
      </c>
      <c r="E1376" t="inlineStr">
        <is>
          <t>player #1:C:/Users/manuel.felline/Documents/BEHAVIOR BTBR/NOR second cohort/BTBR/training/c16_f5.mp4</t>
        </is>
      </c>
      <c r="F1376" t="n">
        <v>-10.533</v>
      </c>
      <c r="G1376" t="n">
        <v>577.266</v>
      </c>
      <c r="H1376" t="n">
        <v>627.999</v>
      </c>
      <c r="I1376" t="n">
        <v>30</v>
      </c>
      <c r="J1376" t="inlineStr">
        <is>
          <t>BTBR</t>
        </is>
      </c>
      <c r="K1376" t="inlineStr">
        <is>
          <t xml:space="preserve"> Female</t>
        </is>
      </c>
      <c r="L1376" t="inlineStr">
        <is>
          <t>No focal subject</t>
        </is>
      </c>
      <c r="M1376" t="n">
        <v>33.469</v>
      </c>
      <c r="N1376" t="inlineStr">
        <is>
          <t>Explore_F2</t>
        </is>
      </c>
      <c r="O1376" t="inlineStr">
        <is>
          <t>Second familiar</t>
        </is>
      </c>
      <c r="P1376" t="inlineStr">
        <is>
          <t>STATE</t>
        </is>
      </c>
      <c r="Q1376" t="n">
        <v>4.1</v>
      </c>
      <c r="R1376" t="n">
        <v>4.534</v>
      </c>
      <c r="S1376" t="n">
        <v>0.434</v>
      </c>
      <c r="T1376" t="inlineStr">
        <is>
          <t>C:/Users/manuel.felline/Documents/BEHAVIOR BTBR/NOR second cohort/BTBR/training/c16_f5.mp4</t>
        </is>
      </c>
      <c r="U1376" t="n">
        <v>436</v>
      </c>
      <c r="V1376" t="n">
        <v>449</v>
      </c>
      <c r="W1376" t="n">
        <v/>
      </c>
      <c r="X1376" t="n">
        <v/>
      </c>
      <c r="Y1376" t="n">
        <v/>
      </c>
      <c r="Z1376" t="n">
        <v/>
      </c>
      <c r="AA1376">
        <f>SUMIFS($S$2:S1376,$A$2:A1376,A1376,$N$2:N1376,"Explore*")</f>
        <v/>
      </c>
      <c r="AB1376">
        <f>IF(AND(LEFT(N1376,7)="Explore",(AA1376-IF(LEFT(N1376,7)="Explore",S1376,0))&lt;10),"SI","NO")</f>
        <v/>
      </c>
    </row>
    <row r="1377">
      <c r="A1377" t="inlineStr">
        <is>
          <t>c16f5_training</t>
        </is>
      </c>
      <c r="B1377" t="inlineStr">
        <is>
          <t>2026-06-30 16:23:30.398</t>
        </is>
      </c>
      <c r="C1377" t="n">
        <v/>
      </c>
      <c r="D1377" t="inlineStr">
        <is>
          <t>Media file</t>
        </is>
      </c>
      <c r="E1377" t="inlineStr">
        <is>
          <t>player #1:C:/Users/manuel.felline/Documents/BEHAVIOR BTBR/NOR second cohort/BTBR/training/c16_f5.mp4</t>
        </is>
      </c>
      <c r="F1377" t="n">
        <v>-10.533</v>
      </c>
      <c r="G1377" t="n">
        <v>577.266</v>
      </c>
      <c r="H1377" t="n">
        <v>627.999</v>
      </c>
      <c r="I1377" t="n">
        <v>30</v>
      </c>
      <c r="J1377" t="inlineStr">
        <is>
          <t>BTBR</t>
        </is>
      </c>
      <c r="K1377" t="inlineStr">
        <is>
          <t xml:space="preserve"> Female</t>
        </is>
      </c>
      <c r="L1377" t="inlineStr">
        <is>
          <t>No focal subject</t>
        </is>
      </c>
      <c r="M1377" t="n">
        <v>33.469</v>
      </c>
      <c r="N1377" t="inlineStr">
        <is>
          <t>Explore_F</t>
        </is>
      </c>
      <c r="O1377" t="inlineStr">
        <is>
          <t>Familiar</t>
        </is>
      </c>
      <c r="P1377" t="inlineStr">
        <is>
          <t>STATE</t>
        </is>
      </c>
      <c r="Q1377" t="n">
        <v>5.667</v>
      </c>
      <c r="R1377" t="n">
        <v>6.4</v>
      </c>
      <c r="S1377" t="n">
        <v>0.733</v>
      </c>
      <c r="T1377" t="inlineStr">
        <is>
          <t>C:/Users/manuel.felline/Documents/BEHAVIOR BTBR/NOR second cohort/BTBR/training/c16_f5.mp4</t>
        </is>
      </c>
      <c r="U1377" t="n">
        <v>483</v>
      </c>
      <c r="V1377" t="n">
        <v>505</v>
      </c>
      <c r="W1377" t="n">
        <v/>
      </c>
      <c r="X1377" t="n">
        <v/>
      </c>
      <c r="Y1377" t="n">
        <v/>
      </c>
      <c r="Z1377" t="n">
        <v/>
      </c>
      <c r="AA1377">
        <f>SUMIFS($S$2:S1377,$A$2:A1377,A1377,$N$2:N1377,"Explore*")</f>
        <v/>
      </c>
      <c r="AB1377">
        <f>IF(AND(LEFT(N1377,7)="Explore",(AA1377-IF(LEFT(N1377,7)="Explore",S1377,0))&lt;10),"SI","NO")</f>
        <v/>
      </c>
    </row>
    <row r="1378">
      <c r="A1378" t="inlineStr">
        <is>
          <t>c16f5_training</t>
        </is>
      </c>
      <c r="B1378" t="inlineStr">
        <is>
          <t>2026-06-30 16:23:30.398</t>
        </is>
      </c>
      <c r="C1378" t="n">
        <v/>
      </c>
      <c r="D1378" t="inlineStr">
        <is>
          <t>Media file</t>
        </is>
      </c>
      <c r="E1378" t="inlineStr">
        <is>
          <t>player #1:C:/Users/manuel.felline/Documents/BEHAVIOR BTBR/NOR second cohort/BTBR/training/c16_f5.mp4</t>
        </is>
      </c>
      <c r="F1378" t="n">
        <v>-10.533</v>
      </c>
      <c r="G1378" t="n">
        <v>577.266</v>
      </c>
      <c r="H1378" t="n">
        <v>627.999</v>
      </c>
      <c r="I1378" t="n">
        <v>30</v>
      </c>
      <c r="J1378" t="inlineStr">
        <is>
          <t>BTBR</t>
        </is>
      </c>
      <c r="K1378" t="inlineStr">
        <is>
          <t xml:space="preserve"> Female</t>
        </is>
      </c>
      <c r="L1378" t="inlineStr">
        <is>
          <t>No focal subject</t>
        </is>
      </c>
      <c r="M1378" t="n">
        <v>33.469</v>
      </c>
      <c r="N1378" t="inlineStr">
        <is>
          <t>Explore_F2</t>
        </is>
      </c>
      <c r="O1378" t="inlineStr">
        <is>
          <t>Second familiar</t>
        </is>
      </c>
      <c r="P1378" t="inlineStr">
        <is>
          <t>STATE</t>
        </is>
      </c>
      <c r="Q1378" t="n">
        <v>11.667</v>
      </c>
      <c r="R1378" t="n">
        <v>13.867</v>
      </c>
      <c r="S1378" t="n">
        <v>2.2</v>
      </c>
      <c r="T1378" t="inlineStr">
        <is>
          <t>C:/Users/manuel.felline/Documents/BEHAVIOR BTBR/NOR second cohort/BTBR/training/c16_f5.mp4</t>
        </is>
      </c>
      <c r="U1378" t="n">
        <v>662</v>
      </c>
      <c r="V1378" t="n">
        <v>727</v>
      </c>
      <c r="W1378" t="n">
        <v/>
      </c>
      <c r="X1378" t="n">
        <v/>
      </c>
      <c r="Y1378" t="n">
        <v/>
      </c>
      <c r="Z1378" t="n">
        <v/>
      </c>
      <c r="AA1378">
        <f>SUMIFS($S$2:S1378,$A$2:A1378,A1378,$N$2:N1378,"Explore*")</f>
        <v/>
      </c>
      <c r="AB1378">
        <f>IF(AND(LEFT(N1378,7)="Explore",(AA1378-IF(LEFT(N1378,7)="Explore",S1378,0))&lt;10),"SI","NO")</f>
        <v/>
      </c>
    </row>
    <row r="1379">
      <c r="A1379" t="inlineStr">
        <is>
          <t>c16f5_training</t>
        </is>
      </c>
      <c r="B1379" t="inlineStr">
        <is>
          <t>2026-06-30 16:23:30.398</t>
        </is>
      </c>
      <c r="C1379" t="n">
        <v/>
      </c>
      <c r="D1379" t="inlineStr">
        <is>
          <t>Media file</t>
        </is>
      </c>
      <c r="E1379" t="inlineStr">
        <is>
          <t>player #1:C:/Users/manuel.felline/Documents/BEHAVIOR BTBR/NOR second cohort/BTBR/training/c16_f5.mp4</t>
        </is>
      </c>
      <c r="F1379" t="n">
        <v>-10.533</v>
      </c>
      <c r="G1379" t="n">
        <v>577.266</v>
      </c>
      <c r="H1379" t="n">
        <v>627.999</v>
      </c>
      <c r="I1379" t="n">
        <v>30</v>
      </c>
      <c r="J1379" t="inlineStr">
        <is>
          <t>BTBR</t>
        </is>
      </c>
      <c r="K1379" t="inlineStr">
        <is>
          <t xml:space="preserve"> Female</t>
        </is>
      </c>
      <c r="L1379" t="inlineStr">
        <is>
          <t>No focal subject</t>
        </is>
      </c>
      <c r="M1379" t="n">
        <v>33.469</v>
      </c>
      <c r="N1379" t="inlineStr">
        <is>
          <t>Explore_F</t>
        </is>
      </c>
      <c r="O1379" t="inlineStr">
        <is>
          <t>Familiar</t>
        </is>
      </c>
      <c r="P1379" t="inlineStr">
        <is>
          <t>STATE</t>
        </is>
      </c>
      <c r="Q1379" t="n">
        <v>15.034</v>
      </c>
      <c r="R1379" t="n">
        <v>15.4</v>
      </c>
      <c r="S1379" t="n">
        <v>0.366</v>
      </c>
      <c r="T1379" t="inlineStr">
        <is>
          <t>C:/Users/manuel.felline/Documents/BEHAVIOR BTBR/NOR second cohort/BTBR/training/c16_f5.mp4</t>
        </is>
      </c>
      <c r="U1379" t="n">
        <v>762</v>
      </c>
      <c r="V1379" t="n">
        <v>773</v>
      </c>
      <c r="W1379" t="n">
        <v/>
      </c>
      <c r="X1379" t="n">
        <v/>
      </c>
      <c r="Y1379" t="n">
        <v/>
      </c>
      <c r="Z1379" t="n">
        <v/>
      </c>
      <c r="AA1379">
        <f>SUMIFS($S$2:S1379,$A$2:A1379,A1379,$N$2:N1379,"Explore*")</f>
        <v/>
      </c>
      <c r="AB1379">
        <f>IF(AND(LEFT(N1379,7)="Explore",(AA1379-IF(LEFT(N1379,7)="Explore",S1379,0))&lt;10),"SI","NO")</f>
        <v/>
      </c>
    </row>
    <row r="1380">
      <c r="A1380" t="inlineStr">
        <is>
          <t>c16f5_training</t>
        </is>
      </c>
      <c r="B1380" t="inlineStr">
        <is>
          <t>2026-06-30 16:23:30.398</t>
        </is>
      </c>
      <c r="C1380" t="n">
        <v/>
      </c>
      <c r="D1380" t="inlineStr">
        <is>
          <t>Media file</t>
        </is>
      </c>
      <c r="E1380" t="inlineStr">
        <is>
          <t>player #1:C:/Users/manuel.felline/Documents/BEHAVIOR BTBR/NOR second cohort/BTBR/training/c16_f5.mp4</t>
        </is>
      </c>
      <c r="F1380" t="n">
        <v>-10.533</v>
      </c>
      <c r="G1380" t="n">
        <v>577.266</v>
      </c>
      <c r="H1380" t="n">
        <v>627.999</v>
      </c>
      <c r="I1380" t="n">
        <v>30</v>
      </c>
      <c r="J1380" t="inlineStr">
        <is>
          <t>BTBR</t>
        </is>
      </c>
      <c r="K1380" t="inlineStr">
        <is>
          <t xml:space="preserve"> Female</t>
        </is>
      </c>
      <c r="L1380" t="inlineStr">
        <is>
          <t>No focal subject</t>
        </is>
      </c>
      <c r="M1380" t="n">
        <v>33.469</v>
      </c>
      <c r="N1380" t="inlineStr">
        <is>
          <t>Explore_F</t>
        </is>
      </c>
      <c r="O1380" t="inlineStr">
        <is>
          <t>Familiar</t>
        </is>
      </c>
      <c r="P1380" t="inlineStr">
        <is>
          <t>STATE</t>
        </is>
      </c>
      <c r="Q1380" t="n">
        <v>21.167</v>
      </c>
      <c r="R1380" t="n">
        <v>21.5</v>
      </c>
      <c r="S1380" t="n">
        <v>0.333</v>
      </c>
      <c r="T1380" t="inlineStr">
        <is>
          <t>C:/Users/manuel.felline/Documents/BEHAVIOR BTBR/NOR second cohort/BTBR/training/c16_f5.mp4</t>
        </is>
      </c>
      <c r="U1380" t="n">
        <v>945</v>
      </c>
      <c r="V1380" t="n">
        <v>955</v>
      </c>
      <c r="W1380" t="n">
        <v/>
      </c>
      <c r="X1380" t="n">
        <v/>
      </c>
      <c r="Y1380" t="n">
        <v/>
      </c>
      <c r="Z1380" t="n">
        <v/>
      </c>
      <c r="AA1380">
        <f>SUMIFS($S$2:S1380,$A$2:A1380,A1380,$N$2:N1380,"Explore*")</f>
        <v/>
      </c>
      <c r="AB1380">
        <f>IF(AND(LEFT(N1380,7)="Explore",(AA1380-IF(LEFT(N1380,7)="Explore",S1380,0))&lt;10),"SI","NO")</f>
        <v/>
      </c>
    </row>
    <row r="1381">
      <c r="A1381" t="inlineStr">
        <is>
          <t>c16f5_training</t>
        </is>
      </c>
      <c r="B1381" t="inlineStr">
        <is>
          <t>2026-06-30 16:23:30.398</t>
        </is>
      </c>
      <c r="C1381" t="n">
        <v/>
      </c>
      <c r="D1381" t="inlineStr">
        <is>
          <t>Media file</t>
        </is>
      </c>
      <c r="E1381" t="inlineStr">
        <is>
          <t>player #1:C:/Users/manuel.felline/Documents/BEHAVIOR BTBR/NOR second cohort/BTBR/training/c16_f5.mp4</t>
        </is>
      </c>
      <c r="F1381" t="n">
        <v>-10.533</v>
      </c>
      <c r="G1381" t="n">
        <v>577.266</v>
      </c>
      <c r="H1381" t="n">
        <v>627.999</v>
      </c>
      <c r="I1381" t="n">
        <v>30</v>
      </c>
      <c r="J1381" t="inlineStr">
        <is>
          <t>BTBR</t>
        </is>
      </c>
      <c r="K1381" t="inlineStr">
        <is>
          <t xml:space="preserve"> Female</t>
        </is>
      </c>
      <c r="L1381" t="inlineStr">
        <is>
          <t>No focal subject</t>
        </is>
      </c>
      <c r="M1381" t="n">
        <v>33.469</v>
      </c>
      <c r="N1381" t="inlineStr">
        <is>
          <t>Explore_F</t>
        </is>
      </c>
      <c r="O1381" t="inlineStr">
        <is>
          <t>Familiar</t>
        </is>
      </c>
      <c r="P1381" t="inlineStr">
        <is>
          <t>STATE</t>
        </is>
      </c>
      <c r="Q1381" t="n">
        <v>39.334</v>
      </c>
      <c r="R1381" t="n">
        <v>39.767</v>
      </c>
      <c r="S1381" t="n">
        <v>0.433</v>
      </c>
      <c r="T1381" t="inlineStr">
        <is>
          <t>C:/Users/manuel.felline/Documents/BEHAVIOR BTBR/NOR second cohort/BTBR/training/c16_f5.mp4</t>
        </is>
      </c>
      <c r="U1381" t="n">
        <v>1486</v>
      </c>
      <c r="V1381" t="n">
        <v>1499</v>
      </c>
      <c r="W1381" t="n">
        <v/>
      </c>
      <c r="X1381" t="n">
        <v/>
      </c>
      <c r="Y1381" t="n">
        <v/>
      </c>
      <c r="Z1381" t="n">
        <v/>
      </c>
      <c r="AA1381">
        <f>SUMIFS($S$2:S1381,$A$2:A1381,A1381,$N$2:N1381,"Explore*")</f>
        <v/>
      </c>
      <c r="AB1381">
        <f>IF(AND(LEFT(N1381,7)="Explore",(AA1381-IF(LEFT(N1381,7)="Explore",S1381,0))&lt;10),"SI","NO")</f>
        <v/>
      </c>
    </row>
    <row r="1382">
      <c r="A1382" t="inlineStr">
        <is>
          <t>c16f5_training</t>
        </is>
      </c>
      <c r="B1382" t="inlineStr">
        <is>
          <t>2026-06-30 16:23:30.398</t>
        </is>
      </c>
      <c r="C1382" t="n">
        <v/>
      </c>
      <c r="D1382" t="inlineStr">
        <is>
          <t>Media file</t>
        </is>
      </c>
      <c r="E1382" t="inlineStr">
        <is>
          <t>player #1:C:/Users/manuel.felline/Documents/BEHAVIOR BTBR/NOR second cohort/BTBR/training/c16_f5.mp4</t>
        </is>
      </c>
      <c r="F1382" t="n">
        <v>-10.533</v>
      </c>
      <c r="G1382" t="n">
        <v>577.266</v>
      </c>
      <c r="H1382" t="n">
        <v>627.999</v>
      </c>
      <c r="I1382" t="n">
        <v>30</v>
      </c>
      <c r="J1382" t="inlineStr">
        <is>
          <t>BTBR</t>
        </is>
      </c>
      <c r="K1382" t="inlineStr">
        <is>
          <t xml:space="preserve"> Female</t>
        </is>
      </c>
      <c r="L1382" t="inlineStr">
        <is>
          <t>No focal subject</t>
        </is>
      </c>
      <c r="M1382" t="n">
        <v>33.469</v>
      </c>
      <c r="N1382" t="inlineStr">
        <is>
          <t>Explore_F</t>
        </is>
      </c>
      <c r="O1382" t="inlineStr">
        <is>
          <t>Familiar</t>
        </is>
      </c>
      <c r="P1382" t="inlineStr">
        <is>
          <t>STATE</t>
        </is>
      </c>
      <c r="Q1382" t="n">
        <v>43.167</v>
      </c>
      <c r="R1382" t="n">
        <v>43.534</v>
      </c>
      <c r="S1382" t="n">
        <v>0.367</v>
      </c>
      <c r="T1382" t="inlineStr">
        <is>
          <t>C:/Users/manuel.felline/Documents/BEHAVIOR BTBR/NOR second cohort/BTBR/training/c16_f5.mp4</t>
        </is>
      </c>
      <c r="U1382" t="n">
        <v>1601</v>
      </c>
      <c r="V1382" t="n">
        <v>1612</v>
      </c>
      <c r="W1382" t="n">
        <v/>
      </c>
      <c r="X1382" t="n">
        <v/>
      </c>
      <c r="Y1382" t="n">
        <v/>
      </c>
      <c r="Z1382" t="n">
        <v/>
      </c>
      <c r="AA1382">
        <f>SUMIFS($S$2:S1382,$A$2:A1382,A1382,$N$2:N1382,"Explore*")</f>
        <v/>
      </c>
      <c r="AB1382">
        <f>IF(AND(LEFT(N1382,7)="Explore",(AA1382-IF(LEFT(N1382,7)="Explore",S1382,0))&lt;10),"SI","NO")</f>
        <v/>
      </c>
    </row>
    <row r="1383">
      <c r="A1383" t="inlineStr">
        <is>
          <t>c16f5_training</t>
        </is>
      </c>
      <c r="B1383" t="inlineStr">
        <is>
          <t>2026-06-30 16:23:30.398</t>
        </is>
      </c>
      <c r="C1383" t="n">
        <v/>
      </c>
      <c r="D1383" t="inlineStr">
        <is>
          <t>Media file</t>
        </is>
      </c>
      <c r="E1383" t="inlineStr">
        <is>
          <t>player #1:C:/Users/manuel.felline/Documents/BEHAVIOR BTBR/NOR second cohort/BTBR/training/c16_f5.mp4</t>
        </is>
      </c>
      <c r="F1383" t="n">
        <v>-10.533</v>
      </c>
      <c r="G1383" t="n">
        <v>577.266</v>
      </c>
      <c r="H1383" t="n">
        <v>627.999</v>
      </c>
      <c r="I1383" t="n">
        <v>30</v>
      </c>
      <c r="J1383" t="inlineStr">
        <is>
          <t>BTBR</t>
        </is>
      </c>
      <c r="K1383" t="inlineStr">
        <is>
          <t xml:space="preserve"> Female</t>
        </is>
      </c>
      <c r="L1383" t="inlineStr">
        <is>
          <t>No focal subject</t>
        </is>
      </c>
      <c r="M1383" t="n">
        <v>33.469</v>
      </c>
      <c r="N1383" t="inlineStr">
        <is>
          <t>Explore_F2</t>
        </is>
      </c>
      <c r="O1383" t="inlineStr">
        <is>
          <t>Second familiar</t>
        </is>
      </c>
      <c r="P1383" t="inlineStr">
        <is>
          <t>STATE</t>
        </is>
      </c>
      <c r="Q1383" t="n">
        <v>46.067</v>
      </c>
      <c r="R1383" t="n">
        <v>46.4</v>
      </c>
      <c r="S1383" t="n">
        <v>0.333</v>
      </c>
      <c r="T1383" t="inlineStr">
        <is>
          <t>C:/Users/manuel.felline/Documents/BEHAVIOR BTBR/NOR second cohort/BTBR/training/c16_f5.mp4</t>
        </is>
      </c>
      <c r="U1383" t="n">
        <v>1688</v>
      </c>
      <c r="V1383" t="n">
        <v>1697</v>
      </c>
      <c r="W1383" t="n">
        <v/>
      </c>
      <c r="X1383" t="n">
        <v/>
      </c>
      <c r="Y1383" t="n">
        <v/>
      </c>
      <c r="Z1383" t="n">
        <v/>
      </c>
      <c r="AA1383">
        <f>SUMIFS($S$2:S1383,$A$2:A1383,A1383,$N$2:N1383,"Explore*")</f>
        <v/>
      </c>
      <c r="AB1383">
        <f>IF(AND(LEFT(N1383,7)="Explore",(AA1383-IF(LEFT(N1383,7)="Explore",S1383,0))&lt;10),"SI","NO")</f>
        <v/>
      </c>
    </row>
    <row r="1384">
      <c r="A1384" t="inlineStr">
        <is>
          <t>c16f5_training</t>
        </is>
      </c>
      <c r="B1384" t="inlineStr">
        <is>
          <t>2026-06-30 16:23:30.398</t>
        </is>
      </c>
      <c r="C1384" t="n">
        <v/>
      </c>
      <c r="D1384" t="inlineStr">
        <is>
          <t>Media file</t>
        </is>
      </c>
      <c r="E1384" t="inlineStr">
        <is>
          <t>player #1:C:/Users/manuel.felline/Documents/BEHAVIOR BTBR/NOR second cohort/BTBR/training/c16_f5.mp4</t>
        </is>
      </c>
      <c r="F1384" t="n">
        <v>-10.533</v>
      </c>
      <c r="G1384" t="n">
        <v>577.266</v>
      </c>
      <c r="H1384" t="n">
        <v>627.999</v>
      </c>
      <c r="I1384" t="n">
        <v>30</v>
      </c>
      <c r="J1384" t="inlineStr">
        <is>
          <t>BTBR</t>
        </is>
      </c>
      <c r="K1384" t="inlineStr">
        <is>
          <t xml:space="preserve"> Female</t>
        </is>
      </c>
      <c r="L1384" t="inlineStr">
        <is>
          <t>No focal subject</t>
        </is>
      </c>
      <c r="M1384" t="n">
        <v>33.469</v>
      </c>
      <c r="N1384" t="inlineStr">
        <is>
          <t>Explore_F</t>
        </is>
      </c>
      <c r="O1384" t="inlineStr">
        <is>
          <t>Familiar</t>
        </is>
      </c>
      <c r="P1384" t="inlineStr">
        <is>
          <t>STATE</t>
        </is>
      </c>
      <c r="Q1384" t="n">
        <v>48.334</v>
      </c>
      <c r="R1384" t="n">
        <v>48.6</v>
      </c>
      <c r="S1384" t="n">
        <v>0.266</v>
      </c>
      <c r="T1384" t="inlineStr">
        <is>
          <t>C:/Users/manuel.felline/Documents/BEHAVIOR BTBR/NOR second cohort/BTBR/training/c16_f5.mp4</t>
        </is>
      </c>
      <c r="U1384" t="n">
        <v>1755</v>
      </c>
      <c r="V1384" t="n">
        <v>1763</v>
      </c>
      <c r="W1384" t="n">
        <v/>
      </c>
      <c r="X1384" t="n">
        <v/>
      </c>
      <c r="Y1384" t="n">
        <v/>
      </c>
      <c r="Z1384" t="n">
        <v/>
      </c>
      <c r="AA1384">
        <f>SUMIFS($S$2:S1384,$A$2:A1384,A1384,$N$2:N1384,"Explore*")</f>
        <v/>
      </c>
      <c r="AB1384">
        <f>IF(AND(LEFT(N1384,7)="Explore",(AA1384-IF(LEFT(N1384,7)="Explore",S1384,0))&lt;10),"SI","NO")</f>
        <v/>
      </c>
    </row>
    <row r="1385">
      <c r="A1385" t="inlineStr">
        <is>
          <t>c16f5_training</t>
        </is>
      </c>
      <c r="B1385" t="inlineStr">
        <is>
          <t>2026-06-30 16:23:30.398</t>
        </is>
      </c>
      <c r="C1385" t="n">
        <v/>
      </c>
      <c r="D1385" t="inlineStr">
        <is>
          <t>Media file</t>
        </is>
      </c>
      <c r="E1385" t="inlineStr">
        <is>
          <t>player #1:C:/Users/manuel.felline/Documents/BEHAVIOR BTBR/NOR second cohort/BTBR/training/c16_f5.mp4</t>
        </is>
      </c>
      <c r="F1385" t="n">
        <v>-10.533</v>
      </c>
      <c r="G1385" t="n">
        <v>577.266</v>
      </c>
      <c r="H1385" t="n">
        <v>627.999</v>
      </c>
      <c r="I1385" t="n">
        <v>30</v>
      </c>
      <c r="J1385" t="inlineStr">
        <is>
          <t>BTBR</t>
        </is>
      </c>
      <c r="K1385" t="inlineStr">
        <is>
          <t xml:space="preserve"> Female</t>
        </is>
      </c>
      <c r="L1385" t="inlineStr">
        <is>
          <t>No focal subject</t>
        </is>
      </c>
      <c r="M1385" t="n">
        <v>33.469</v>
      </c>
      <c r="N1385" t="inlineStr">
        <is>
          <t>Explore_F</t>
        </is>
      </c>
      <c r="O1385" t="inlineStr">
        <is>
          <t>Familiar</t>
        </is>
      </c>
      <c r="P1385" t="inlineStr">
        <is>
          <t>STATE</t>
        </is>
      </c>
      <c r="Q1385" t="n">
        <v>52.234</v>
      </c>
      <c r="R1385" t="n">
        <v>52.667</v>
      </c>
      <c r="S1385" t="n">
        <v>0.433</v>
      </c>
      <c r="T1385" t="inlineStr">
        <is>
          <t>C:/Users/manuel.felline/Documents/BEHAVIOR BTBR/NOR second cohort/BTBR/training/c16_f5.mp4</t>
        </is>
      </c>
      <c r="U1385" t="n">
        <v>1871</v>
      </c>
      <c r="V1385" t="n">
        <v>1884</v>
      </c>
      <c r="W1385" t="n">
        <v/>
      </c>
      <c r="X1385" t="n">
        <v/>
      </c>
      <c r="Y1385" t="n">
        <v/>
      </c>
      <c r="Z1385" t="n">
        <v/>
      </c>
      <c r="AA1385">
        <f>SUMIFS($S$2:S1385,$A$2:A1385,A1385,$N$2:N1385,"Explore*")</f>
        <v/>
      </c>
      <c r="AB1385">
        <f>IF(AND(LEFT(N1385,7)="Explore",(AA1385-IF(LEFT(N1385,7)="Explore",S1385,0))&lt;10),"SI","NO")</f>
        <v/>
      </c>
    </row>
    <row r="1386">
      <c r="A1386" t="inlineStr">
        <is>
          <t>c16f5_training</t>
        </is>
      </c>
      <c r="B1386" t="inlineStr">
        <is>
          <t>2026-06-30 16:23:30.398</t>
        </is>
      </c>
      <c r="C1386" t="n">
        <v/>
      </c>
      <c r="D1386" t="inlineStr">
        <is>
          <t>Media file</t>
        </is>
      </c>
      <c r="E1386" t="inlineStr">
        <is>
          <t>player #1:C:/Users/manuel.felline/Documents/BEHAVIOR BTBR/NOR second cohort/BTBR/training/c16_f5.mp4</t>
        </is>
      </c>
      <c r="F1386" t="n">
        <v>-10.533</v>
      </c>
      <c r="G1386" t="n">
        <v>577.266</v>
      </c>
      <c r="H1386" t="n">
        <v>627.999</v>
      </c>
      <c r="I1386" t="n">
        <v>30</v>
      </c>
      <c r="J1386" t="inlineStr">
        <is>
          <t>BTBR</t>
        </is>
      </c>
      <c r="K1386" t="inlineStr">
        <is>
          <t xml:space="preserve"> Female</t>
        </is>
      </c>
      <c r="L1386" t="inlineStr">
        <is>
          <t>No focal subject</t>
        </is>
      </c>
      <c r="M1386" t="n">
        <v>33.469</v>
      </c>
      <c r="N1386" t="inlineStr">
        <is>
          <t>Explore_F2</t>
        </is>
      </c>
      <c r="O1386" t="inlineStr">
        <is>
          <t>Second familiar</t>
        </is>
      </c>
      <c r="P1386" t="inlineStr">
        <is>
          <t>STATE</t>
        </is>
      </c>
      <c r="Q1386" t="n">
        <v>54.967</v>
      </c>
      <c r="R1386" t="n">
        <v>55.734</v>
      </c>
      <c r="S1386" t="n">
        <v>0.767</v>
      </c>
      <c r="T1386" t="inlineStr">
        <is>
          <t>C:/Users/manuel.felline/Documents/BEHAVIOR BTBR/NOR second cohort/BTBR/training/c16_f5.mp4</t>
        </is>
      </c>
      <c r="U1386" t="n">
        <v>1952</v>
      </c>
      <c r="V1386" t="n">
        <v>1975</v>
      </c>
      <c r="W1386" t="n">
        <v/>
      </c>
      <c r="X1386" t="n">
        <v/>
      </c>
      <c r="Y1386" t="n">
        <v/>
      </c>
      <c r="Z1386" t="n">
        <v/>
      </c>
      <c r="AA1386">
        <f>SUMIFS($S$2:S1386,$A$2:A1386,A1386,$N$2:N1386,"Explore*")</f>
        <v/>
      </c>
      <c r="AB1386">
        <f>IF(AND(LEFT(N1386,7)="Explore",(AA1386-IF(LEFT(N1386,7)="Explore",S1386,0))&lt;10),"SI","NO")</f>
        <v/>
      </c>
    </row>
    <row r="1387">
      <c r="A1387" t="inlineStr">
        <is>
          <t>c16f5_training</t>
        </is>
      </c>
      <c r="B1387" t="inlineStr">
        <is>
          <t>2026-06-30 16:23:30.398</t>
        </is>
      </c>
      <c r="C1387" t="n">
        <v/>
      </c>
      <c r="D1387" t="inlineStr">
        <is>
          <t>Media file</t>
        </is>
      </c>
      <c r="E1387" t="inlineStr">
        <is>
          <t>player #1:C:/Users/manuel.felline/Documents/BEHAVIOR BTBR/NOR second cohort/BTBR/training/c16_f5.mp4</t>
        </is>
      </c>
      <c r="F1387" t="n">
        <v>-10.533</v>
      </c>
      <c r="G1387" t="n">
        <v>577.266</v>
      </c>
      <c r="H1387" t="n">
        <v>627.999</v>
      </c>
      <c r="I1387" t="n">
        <v>30</v>
      </c>
      <c r="J1387" t="inlineStr">
        <is>
          <t>BTBR</t>
        </is>
      </c>
      <c r="K1387" t="inlineStr">
        <is>
          <t xml:space="preserve"> Female</t>
        </is>
      </c>
      <c r="L1387" t="inlineStr">
        <is>
          <t>No focal subject</t>
        </is>
      </c>
      <c r="M1387" t="n">
        <v>33.469</v>
      </c>
      <c r="N1387" t="inlineStr">
        <is>
          <t>Explore_F</t>
        </is>
      </c>
      <c r="O1387" t="inlineStr">
        <is>
          <t>Familiar</t>
        </is>
      </c>
      <c r="P1387" t="inlineStr">
        <is>
          <t>STATE</t>
        </is>
      </c>
      <c r="Q1387" t="n">
        <v>56.867</v>
      </c>
      <c r="R1387" t="n">
        <v>57.167</v>
      </c>
      <c r="S1387" t="n">
        <v>0.3</v>
      </c>
      <c r="T1387" t="inlineStr">
        <is>
          <t>C:/Users/manuel.felline/Documents/BEHAVIOR BTBR/NOR second cohort/BTBR/training/c16_f5.mp4</t>
        </is>
      </c>
      <c r="U1387" t="n">
        <v>2009</v>
      </c>
      <c r="V1387" t="n">
        <v>2018</v>
      </c>
      <c r="W1387" t="n">
        <v/>
      </c>
      <c r="X1387" t="n">
        <v/>
      </c>
      <c r="Y1387" t="n">
        <v/>
      </c>
      <c r="Z1387" t="n">
        <v/>
      </c>
      <c r="AA1387">
        <f>SUMIFS($S$2:S1387,$A$2:A1387,A1387,$N$2:N1387,"Explore*")</f>
        <v/>
      </c>
      <c r="AB1387">
        <f>IF(AND(LEFT(N1387,7)="Explore",(AA1387-IF(LEFT(N1387,7)="Explore",S1387,0))&lt;10),"SI","NO")</f>
        <v/>
      </c>
    </row>
    <row r="1388">
      <c r="A1388" t="inlineStr">
        <is>
          <t>c16f5_training</t>
        </is>
      </c>
      <c r="B1388" t="inlineStr">
        <is>
          <t>2026-06-30 16:23:30.398</t>
        </is>
      </c>
      <c r="C1388" t="n">
        <v/>
      </c>
      <c r="D1388" t="inlineStr">
        <is>
          <t>Media file</t>
        </is>
      </c>
      <c r="E1388" t="inlineStr">
        <is>
          <t>player #1:C:/Users/manuel.felline/Documents/BEHAVIOR BTBR/NOR second cohort/BTBR/training/c16_f5.mp4</t>
        </is>
      </c>
      <c r="F1388" t="n">
        <v>-10.533</v>
      </c>
      <c r="G1388" t="n">
        <v>577.266</v>
      </c>
      <c r="H1388" t="n">
        <v>627.999</v>
      </c>
      <c r="I1388" t="n">
        <v>30</v>
      </c>
      <c r="J1388" t="inlineStr">
        <is>
          <t>BTBR</t>
        </is>
      </c>
      <c r="K1388" t="inlineStr">
        <is>
          <t xml:space="preserve"> Female</t>
        </is>
      </c>
      <c r="L1388" t="inlineStr">
        <is>
          <t>No focal subject</t>
        </is>
      </c>
      <c r="M1388" t="n">
        <v>33.469</v>
      </c>
      <c r="N1388" t="inlineStr">
        <is>
          <t>Explore_F</t>
        </is>
      </c>
      <c r="O1388" t="inlineStr">
        <is>
          <t>Familiar</t>
        </is>
      </c>
      <c r="P1388" t="inlineStr">
        <is>
          <t>STATE</t>
        </is>
      </c>
      <c r="Q1388" t="n">
        <v>58.467</v>
      </c>
      <c r="R1388" t="n">
        <v>58.634</v>
      </c>
      <c r="S1388" t="n">
        <v>0.167</v>
      </c>
      <c r="T1388" t="inlineStr">
        <is>
          <t>C:/Users/manuel.felline/Documents/BEHAVIOR BTBR/NOR second cohort/BTBR/training/c16_f5.mp4</t>
        </is>
      </c>
      <c r="U1388" t="n">
        <v>2057</v>
      </c>
      <c r="V1388" t="n">
        <v>2062</v>
      </c>
      <c r="W1388" t="n">
        <v/>
      </c>
      <c r="X1388" t="n">
        <v/>
      </c>
      <c r="Y1388" t="n">
        <v/>
      </c>
      <c r="Z1388" t="n">
        <v/>
      </c>
      <c r="AA1388">
        <f>SUMIFS($S$2:S1388,$A$2:A1388,A1388,$N$2:N1388,"Explore*")</f>
        <v/>
      </c>
      <c r="AB1388">
        <f>IF(AND(LEFT(N1388,7)="Explore",(AA1388-IF(LEFT(N1388,7)="Explore",S1388,0))&lt;10),"SI","NO")</f>
        <v/>
      </c>
    </row>
    <row r="1389">
      <c r="A1389" t="inlineStr">
        <is>
          <t>c16f5_training</t>
        </is>
      </c>
      <c r="B1389" t="inlineStr">
        <is>
          <t>2026-06-30 16:23:30.398</t>
        </is>
      </c>
      <c r="C1389" t="n">
        <v/>
      </c>
      <c r="D1389" t="inlineStr">
        <is>
          <t>Media file</t>
        </is>
      </c>
      <c r="E1389" t="inlineStr">
        <is>
          <t>player #1:C:/Users/manuel.felline/Documents/BEHAVIOR BTBR/NOR second cohort/BTBR/training/c16_f5.mp4</t>
        </is>
      </c>
      <c r="F1389" t="n">
        <v>-10.533</v>
      </c>
      <c r="G1389" t="n">
        <v>577.266</v>
      </c>
      <c r="H1389" t="n">
        <v>627.999</v>
      </c>
      <c r="I1389" t="n">
        <v>30</v>
      </c>
      <c r="J1389" t="inlineStr">
        <is>
          <t>BTBR</t>
        </is>
      </c>
      <c r="K1389" t="inlineStr">
        <is>
          <t xml:space="preserve"> Female</t>
        </is>
      </c>
      <c r="L1389" t="inlineStr">
        <is>
          <t>No focal subject</t>
        </is>
      </c>
      <c r="M1389" t="n">
        <v>33.469</v>
      </c>
      <c r="N1389" t="inlineStr">
        <is>
          <t>Explore_F</t>
        </is>
      </c>
      <c r="O1389" t="inlineStr">
        <is>
          <t>Familiar</t>
        </is>
      </c>
      <c r="P1389" t="inlineStr">
        <is>
          <t>STATE</t>
        </is>
      </c>
      <c r="Q1389" t="n">
        <v>63.467</v>
      </c>
      <c r="R1389" t="n">
        <v>63.734</v>
      </c>
      <c r="S1389" t="n">
        <v>0.267</v>
      </c>
      <c r="T1389" t="inlineStr">
        <is>
          <t>C:/Users/manuel.felline/Documents/BEHAVIOR BTBR/NOR second cohort/BTBR/training/c16_f5.mp4</t>
        </is>
      </c>
      <c r="U1389" t="n">
        <v>2206</v>
      </c>
      <c r="V1389" t="n">
        <v>2214</v>
      </c>
      <c r="W1389" t="n">
        <v/>
      </c>
      <c r="X1389" t="n">
        <v/>
      </c>
      <c r="Y1389" t="n">
        <v/>
      </c>
      <c r="Z1389" t="n">
        <v/>
      </c>
      <c r="AA1389">
        <f>SUMIFS($S$2:S1389,$A$2:A1389,A1389,$N$2:N1389,"Explore*")</f>
        <v/>
      </c>
      <c r="AB1389">
        <f>IF(AND(LEFT(N1389,7)="Explore",(AA1389-IF(LEFT(N1389,7)="Explore",S1389,0))&lt;10),"SI","NO")</f>
        <v/>
      </c>
    </row>
    <row r="1390">
      <c r="A1390" t="inlineStr">
        <is>
          <t>c16f5_training</t>
        </is>
      </c>
      <c r="B1390" t="inlineStr">
        <is>
          <t>2026-06-30 16:23:30.398</t>
        </is>
      </c>
      <c r="C1390" t="n">
        <v/>
      </c>
      <c r="D1390" t="inlineStr">
        <is>
          <t>Media file</t>
        </is>
      </c>
      <c r="E1390" t="inlineStr">
        <is>
          <t>player #1:C:/Users/manuel.felline/Documents/BEHAVIOR BTBR/NOR second cohort/BTBR/training/c16_f5.mp4</t>
        </is>
      </c>
      <c r="F1390" t="n">
        <v>-10.533</v>
      </c>
      <c r="G1390" t="n">
        <v>577.266</v>
      </c>
      <c r="H1390" t="n">
        <v>627.999</v>
      </c>
      <c r="I1390" t="n">
        <v>30</v>
      </c>
      <c r="J1390" t="inlineStr">
        <is>
          <t>BTBR</t>
        </is>
      </c>
      <c r="K1390" t="inlineStr">
        <is>
          <t xml:space="preserve"> Female</t>
        </is>
      </c>
      <c r="L1390" t="inlineStr">
        <is>
          <t>No focal subject</t>
        </is>
      </c>
      <c r="M1390" t="n">
        <v>33.469</v>
      </c>
      <c r="N1390" t="inlineStr">
        <is>
          <t>Explore_F</t>
        </is>
      </c>
      <c r="O1390" t="inlineStr">
        <is>
          <t>Familiar</t>
        </is>
      </c>
      <c r="P1390" t="inlineStr">
        <is>
          <t>STATE</t>
        </is>
      </c>
      <c r="Q1390" t="n">
        <v>69.2</v>
      </c>
      <c r="R1390" t="n">
        <v>70.3</v>
      </c>
      <c r="S1390" t="n">
        <v>1.1</v>
      </c>
      <c r="T1390" t="inlineStr">
        <is>
          <t>C:/Users/manuel.felline/Documents/BEHAVIOR BTBR/NOR second cohort/BTBR/training/c16_f5.mp4</t>
        </is>
      </c>
      <c r="U1390" t="n">
        <v>2377</v>
      </c>
      <c r="V1390" t="n">
        <v>2409</v>
      </c>
      <c r="W1390" t="n">
        <v/>
      </c>
      <c r="X1390" t="n">
        <v/>
      </c>
      <c r="Y1390" t="n">
        <v/>
      </c>
      <c r="Z1390" t="n">
        <v/>
      </c>
      <c r="AA1390">
        <f>SUMIFS($S$2:S1390,$A$2:A1390,A1390,$N$2:N1390,"Explore*")</f>
        <v/>
      </c>
      <c r="AB1390">
        <f>IF(AND(LEFT(N1390,7)="Explore",(AA1390-IF(LEFT(N1390,7)="Explore",S1390,0))&lt;10),"SI","NO")</f>
        <v/>
      </c>
    </row>
    <row r="1391">
      <c r="A1391" t="inlineStr">
        <is>
          <t>c16f5_training</t>
        </is>
      </c>
      <c r="B1391" t="inlineStr">
        <is>
          <t>2026-06-30 16:23:30.398</t>
        </is>
      </c>
      <c r="C1391" t="n">
        <v/>
      </c>
      <c r="D1391" t="inlineStr">
        <is>
          <t>Media file</t>
        </is>
      </c>
      <c r="E1391" t="inlineStr">
        <is>
          <t>player #1:C:/Users/manuel.felline/Documents/BEHAVIOR BTBR/NOR second cohort/BTBR/training/c16_f5.mp4</t>
        </is>
      </c>
      <c r="F1391" t="n">
        <v>-10.533</v>
      </c>
      <c r="G1391" t="n">
        <v>577.266</v>
      </c>
      <c r="H1391" t="n">
        <v>627.999</v>
      </c>
      <c r="I1391" t="n">
        <v>30</v>
      </c>
      <c r="J1391" t="inlineStr">
        <is>
          <t>BTBR</t>
        </is>
      </c>
      <c r="K1391" t="inlineStr">
        <is>
          <t xml:space="preserve"> Female</t>
        </is>
      </c>
      <c r="L1391" t="inlineStr">
        <is>
          <t>No focal subject</t>
        </is>
      </c>
      <c r="M1391" t="n">
        <v>33.469</v>
      </c>
      <c r="N1391" t="inlineStr">
        <is>
          <t>Explore_F</t>
        </is>
      </c>
      <c r="O1391" t="inlineStr">
        <is>
          <t>Familiar</t>
        </is>
      </c>
      <c r="P1391" t="inlineStr">
        <is>
          <t>STATE</t>
        </is>
      </c>
      <c r="Q1391" t="n">
        <v>72.267</v>
      </c>
      <c r="R1391" t="n">
        <v>72.467</v>
      </c>
      <c r="S1391" t="n">
        <v>0.2</v>
      </c>
      <c r="T1391" t="inlineStr">
        <is>
          <t>C:/Users/manuel.felline/Documents/BEHAVIOR BTBR/NOR second cohort/BTBR/training/c16_f5.mp4</t>
        </is>
      </c>
      <c r="U1391" t="n">
        <v>2468</v>
      </c>
      <c r="V1391" t="n">
        <v>2474</v>
      </c>
      <c r="W1391" t="n">
        <v/>
      </c>
      <c r="X1391" t="n">
        <v/>
      </c>
      <c r="Y1391" t="n">
        <v/>
      </c>
      <c r="Z1391" t="n">
        <v/>
      </c>
      <c r="AA1391">
        <f>SUMIFS($S$2:S1391,$A$2:A1391,A1391,$N$2:N1391,"Explore*")</f>
        <v/>
      </c>
      <c r="AB1391">
        <f>IF(AND(LEFT(N1391,7)="Explore",(AA1391-IF(LEFT(N1391,7)="Explore",S1391,0))&lt;10),"SI","NO")</f>
        <v/>
      </c>
    </row>
    <row r="1392">
      <c r="A1392" t="inlineStr">
        <is>
          <t>c16f5_training</t>
        </is>
      </c>
      <c r="B1392" t="inlineStr">
        <is>
          <t>2026-06-30 16:23:30.398</t>
        </is>
      </c>
      <c r="C1392" t="n">
        <v/>
      </c>
      <c r="D1392" t="inlineStr">
        <is>
          <t>Media file</t>
        </is>
      </c>
      <c r="E1392" t="inlineStr">
        <is>
          <t>player #1:C:/Users/manuel.felline/Documents/BEHAVIOR BTBR/NOR second cohort/BTBR/training/c16_f5.mp4</t>
        </is>
      </c>
      <c r="F1392" t="n">
        <v>-10.533</v>
      </c>
      <c r="G1392" t="n">
        <v>577.266</v>
      </c>
      <c r="H1392" t="n">
        <v>627.999</v>
      </c>
      <c r="I1392" t="n">
        <v>30</v>
      </c>
      <c r="J1392" t="inlineStr">
        <is>
          <t>BTBR</t>
        </is>
      </c>
      <c r="K1392" t="inlineStr">
        <is>
          <t xml:space="preserve"> Female</t>
        </is>
      </c>
      <c r="L1392" t="inlineStr">
        <is>
          <t>No focal subject</t>
        </is>
      </c>
      <c r="M1392" t="n">
        <v>33.469</v>
      </c>
      <c r="N1392" t="inlineStr">
        <is>
          <t>Explore_F2</t>
        </is>
      </c>
      <c r="O1392" t="inlineStr">
        <is>
          <t>Second familiar</t>
        </is>
      </c>
      <c r="P1392" t="inlineStr">
        <is>
          <t>STATE</t>
        </is>
      </c>
      <c r="Q1392" t="n">
        <v>74.40000000000001</v>
      </c>
      <c r="R1392" t="n">
        <v>74.7</v>
      </c>
      <c r="S1392" t="n">
        <v>0.3</v>
      </c>
      <c r="T1392" t="inlineStr">
        <is>
          <t>C:/Users/manuel.felline/Documents/BEHAVIOR BTBR/NOR second cohort/BTBR/training/c16_f5.mp4</t>
        </is>
      </c>
      <c r="U1392" t="n">
        <v>2532</v>
      </c>
      <c r="V1392" t="n">
        <v>2541</v>
      </c>
      <c r="W1392" t="n">
        <v/>
      </c>
      <c r="X1392" t="n">
        <v/>
      </c>
      <c r="Y1392" t="n">
        <v/>
      </c>
      <c r="Z1392" t="n">
        <v/>
      </c>
      <c r="AA1392">
        <f>SUMIFS($S$2:S1392,$A$2:A1392,A1392,$N$2:N1392,"Explore*")</f>
        <v/>
      </c>
      <c r="AB1392">
        <f>IF(AND(LEFT(N1392,7)="Explore",(AA1392-IF(LEFT(N1392,7)="Explore",S1392,0))&lt;10),"SI","NO")</f>
        <v/>
      </c>
    </row>
    <row r="1393">
      <c r="A1393" t="inlineStr">
        <is>
          <t>c16f5_training</t>
        </is>
      </c>
      <c r="B1393" t="inlineStr">
        <is>
          <t>2026-06-30 16:23:30.398</t>
        </is>
      </c>
      <c r="C1393" t="n">
        <v/>
      </c>
      <c r="D1393" t="inlineStr">
        <is>
          <t>Media file</t>
        </is>
      </c>
      <c r="E1393" t="inlineStr">
        <is>
          <t>player #1:C:/Users/manuel.felline/Documents/BEHAVIOR BTBR/NOR second cohort/BTBR/training/c16_f5.mp4</t>
        </is>
      </c>
      <c r="F1393" t="n">
        <v>-10.533</v>
      </c>
      <c r="G1393" t="n">
        <v>577.266</v>
      </c>
      <c r="H1393" t="n">
        <v>627.999</v>
      </c>
      <c r="I1393" t="n">
        <v>30</v>
      </c>
      <c r="J1393" t="inlineStr">
        <is>
          <t>BTBR</t>
        </is>
      </c>
      <c r="K1393" t="inlineStr">
        <is>
          <t xml:space="preserve"> Female</t>
        </is>
      </c>
      <c r="L1393" t="inlineStr">
        <is>
          <t>No focal subject</t>
        </is>
      </c>
      <c r="M1393" t="n">
        <v>33.469</v>
      </c>
      <c r="N1393" t="inlineStr">
        <is>
          <t>Explore_F</t>
        </is>
      </c>
      <c r="O1393" t="inlineStr">
        <is>
          <t>Familiar</t>
        </is>
      </c>
      <c r="P1393" t="inlineStr">
        <is>
          <t>STATE</t>
        </is>
      </c>
      <c r="Q1393" t="n">
        <v>110.267</v>
      </c>
      <c r="R1393" t="n">
        <v>110.967</v>
      </c>
      <c r="S1393" t="n">
        <v>0.7</v>
      </c>
      <c r="T1393" t="inlineStr">
        <is>
          <t>C:/Users/manuel.felline/Documents/BEHAVIOR BTBR/NOR second cohort/BTBR/training/c16_f5.mp4</t>
        </is>
      </c>
      <c r="U1393" t="n">
        <v>3601</v>
      </c>
      <c r="V1393" t="n">
        <v>3622</v>
      </c>
      <c r="W1393" t="n">
        <v/>
      </c>
      <c r="X1393" t="n">
        <v/>
      </c>
      <c r="Y1393" t="n">
        <v/>
      </c>
      <c r="Z1393" t="n">
        <v/>
      </c>
      <c r="AA1393">
        <f>SUMIFS($S$2:S1393,$A$2:A1393,A1393,$N$2:N1393,"Explore*")</f>
        <v/>
      </c>
      <c r="AB1393">
        <f>IF(AND(LEFT(N1393,7)="Explore",(AA1393-IF(LEFT(N1393,7)="Explore",S1393,0))&lt;10),"SI","NO")</f>
        <v/>
      </c>
    </row>
    <row r="1394">
      <c r="A1394" t="inlineStr">
        <is>
          <t>c16f5_training</t>
        </is>
      </c>
      <c r="B1394" t="inlineStr">
        <is>
          <t>2026-06-30 16:23:30.398</t>
        </is>
      </c>
      <c r="C1394" t="n">
        <v/>
      </c>
      <c r="D1394" t="inlineStr">
        <is>
          <t>Media file</t>
        </is>
      </c>
      <c r="E1394" t="inlineStr">
        <is>
          <t>player #1:C:/Users/manuel.felline/Documents/BEHAVIOR BTBR/NOR second cohort/BTBR/training/c16_f5.mp4</t>
        </is>
      </c>
      <c r="F1394" t="n">
        <v>-10.533</v>
      </c>
      <c r="G1394" t="n">
        <v>577.266</v>
      </c>
      <c r="H1394" t="n">
        <v>627.999</v>
      </c>
      <c r="I1394" t="n">
        <v>30</v>
      </c>
      <c r="J1394" t="inlineStr">
        <is>
          <t>BTBR</t>
        </is>
      </c>
      <c r="K1394" t="inlineStr">
        <is>
          <t xml:space="preserve"> Female</t>
        </is>
      </c>
      <c r="L1394" t="inlineStr">
        <is>
          <t>No focal subject</t>
        </is>
      </c>
      <c r="M1394" t="n">
        <v>33.469</v>
      </c>
      <c r="N1394" t="inlineStr">
        <is>
          <t>Explore_F2</t>
        </is>
      </c>
      <c r="O1394" t="inlineStr">
        <is>
          <t>Second familiar</t>
        </is>
      </c>
      <c r="P1394" t="inlineStr">
        <is>
          <t>STATE</t>
        </is>
      </c>
      <c r="Q1394" t="n">
        <v>118.867</v>
      </c>
      <c r="R1394" t="n">
        <v>120.334</v>
      </c>
      <c r="S1394" t="n">
        <v>1.467</v>
      </c>
      <c r="T1394" t="inlineStr">
        <is>
          <t>C:/Users/manuel.felline/Documents/BEHAVIOR BTBR/NOR second cohort/BTBR/training/c16_f5.mp4</t>
        </is>
      </c>
      <c r="U1394" t="n">
        <v>3857</v>
      </c>
      <c r="V1394" t="n">
        <v>3901</v>
      </c>
      <c r="W1394" t="n">
        <v/>
      </c>
      <c r="X1394" t="n">
        <v/>
      </c>
      <c r="Y1394" t="n">
        <v/>
      </c>
      <c r="Z1394" t="n">
        <v/>
      </c>
      <c r="AA1394">
        <f>SUMIFS($S$2:S1394,$A$2:A1394,A1394,$N$2:N1394,"Explore*")</f>
        <v/>
      </c>
      <c r="AB1394">
        <f>IF(AND(LEFT(N1394,7)="Explore",(AA1394-IF(LEFT(N1394,7)="Explore",S1394,0))&lt;10),"SI","NO")</f>
        <v/>
      </c>
    </row>
    <row r="1395">
      <c r="A1395" t="inlineStr">
        <is>
          <t>c16f5_training</t>
        </is>
      </c>
      <c r="B1395" t="inlineStr">
        <is>
          <t>2026-06-30 16:23:30.398</t>
        </is>
      </c>
      <c r="C1395" t="n">
        <v/>
      </c>
      <c r="D1395" t="inlineStr">
        <is>
          <t>Media file</t>
        </is>
      </c>
      <c r="E1395" t="inlineStr">
        <is>
          <t>player #1:C:/Users/manuel.felline/Documents/BEHAVIOR BTBR/NOR second cohort/BTBR/training/c16_f5.mp4</t>
        </is>
      </c>
      <c r="F1395" t="n">
        <v>-10.533</v>
      </c>
      <c r="G1395" t="n">
        <v>577.266</v>
      </c>
      <c r="H1395" t="n">
        <v>627.999</v>
      </c>
      <c r="I1395" t="n">
        <v>30</v>
      </c>
      <c r="J1395" t="inlineStr">
        <is>
          <t>BTBR</t>
        </is>
      </c>
      <c r="K1395" t="inlineStr">
        <is>
          <t xml:space="preserve"> Female</t>
        </is>
      </c>
      <c r="L1395" t="inlineStr">
        <is>
          <t>No focal subject</t>
        </is>
      </c>
      <c r="M1395" t="n">
        <v>33.469</v>
      </c>
      <c r="N1395" t="inlineStr">
        <is>
          <t>Explore_F</t>
        </is>
      </c>
      <c r="O1395" t="inlineStr">
        <is>
          <t>Familiar</t>
        </is>
      </c>
      <c r="P1395" t="inlineStr">
        <is>
          <t>STATE</t>
        </is>
      </c>
      <c r="Q1395" t="n">
        <v>121.167</v>
      </c>
      <c r="R1395" t="n">
        <v>121.934</v>
      </c>
      <c r="S1395" t="n">
        <v>0.767</v>
      </c>
      <c r="T1395" t="inlineStr">
        <is>
          <t>C:/Users/manuel.felline/Documents/BEHAVIOR BTBR/NOR second cohort/BTBR/training/c16_f5.mp4</t>
        </is>
      </c>
      <c r="U1395" t="n">
        <v>3926</v>
      </c>
      <c r="V1395" t="n">
        <v>3949</v>
      </c>
      <c r="W1395" t="n">
        <v/>
      </c>
      <c r="X1395" t="n">
        <v/>
      </c>
      <c r="Y1395" t="n">
        <v/>
      </c>
      <c r="Z1395" t="n">
        <v/>
      </c>
      <c r="AA1395">
        <f>SUMIFS($S$2:S1395,$A$2:A1395,A1395,$N$2:N1395,"Explore*")</f>
        <v/>
      </c>
      <c r="AB1395">
        <f>IF(AND(LEFT(N1395,7)="Explore",(AA1395-IF(LEFT(N1395,7)="Explore",S1395,0))&lt;10),"SI","NO")</f>
        <v/>
      </c>
    </row>
    <row r="1396">
      <c r="A1396" t="inlineStr">
        <is>
          <t>c16f5_training</t>
        </is>
      </c>
      <c r="B1396" t="inlineStr">
        <is>
          <t>2026-06-30 16:23:30.398</t>
        </is>
      </c>
      <c r="C1396" t="n">
        <v/>
      </c>
      <c r="D1396" t="inlineStr">
        <is>
          <t>Media file</t>
        </is>
      </c>
      <c r="E1396" t="inlineStr">
        <is>
          <t>player #1:C:/Users/manuel.felline/Documents/BEHAVIOR BTBR/NOR second cohort/BTBR/training/c16_f5.mp4</t>
        </is>
      </c>
      <c r="F1396" t="n">
        <v>-10.533</v>
      </c>
      <c r="G1396" t="n">
        <v>577.266</v>
      </c>
      <c r="H1396" t="n">
        <v>627.999</v>
      </c>
      <c r="I1396" t="n">
        <v>30</v>
      </c>
      <c r="J1396" t="inlineStr">
        <is>
          <t>BTBR</t>
        </is>
      </c>
      <c r="K1396" t="inlineStr">
        <is>
          <t xml:space="preserve"> Female</t>
        </is>
      </c>
      <c r="L1396" t="inlineStr">
        <is>
          <t>No focal subject</t>
        </is>
      </c>
      <c r="M1396" t="n">
        <v>33.469</v>
      </c>
      <c r="N1396" t="inlineStr">
        <is>
          <t>Explore_F</t>
        </is>
      </c>
      <c r="O1396" t="inlineStr">
        <is>
          <t>Familiar</t>
        </is>
      </c>
      <c r="P1396" t="inlineStr">
        <is>
          <t>STATE</t>
        </is>
      </c>
      <c r="Q1396" t="n">
        <v>142.4</v>
      </c>
      <c r="R1396" t="n">
        <v>143</v>
      </c>
      <c r="S1396" t="n">
        <v>0.6</v>
      </c>
      <c r="T1396" t="inlineStr">
        <is>
          <t>C:/Users/manuel.felline/Documents/BEHAVIOR BTBR/NOR second cohort/BTBR/training/c16_f5.mp4</t>
        </is>
      </c>
      <c r="U1396" t="n">
        <v>4559</v>
      </c>
      <c r="V1396" t="n">
        <v>4576</v>
      </c>
      <c r="W1396" t="n">
        <v/>
      </c>
      <c r="X1396" t="n">
        <v/>
      </c>
      <c r="Y1396" t="n">
        <v/>
      </c>
      <c r="Z1396" t="n">
        <v/>
      </c>
      <c r="AA1396">
        <f>SUMIFS($S$2:S1396,$A$2:A1396,A1396,$N$2:N1396,"Explore*")</f>
        <v/>
      </c>
      <c r="AB1396">
        <f>IF(AND(LEFT(N1396,7)="Explore",(AA1396-IF(LEFT(N1396,7)="Explore",S1396,0))&lt;10),"SI","NO")</f>
        <v/>
      </c>
    </row>
    <row r="1397">
      <c r="A1397" t="inlineStr">
        <is>
          <t>c16f5_training</t>
        </is>
      </c>
      <c r="B1397" t="inlineStr">
        <is>
          <t>2026-06-30 16:23:30.398</t>
        </is>
      </c>
      <c r="C1397" t="n">
        <v/>
      </c>
      <c r="D1397" t="inlineStr">
        <is>
          <t>Media file</t>
        </is>
      </c>
      <c r="E1397" t="inlineStr">
        <is>
          <t>player #1:C:/Users/manuel.felline/Documents/BEHAVIOR BTBR/NOR second cohort/BTBR/training/c16_f5.mp4</t>
        </is>
      </c>
      <c r="F1397" t="n">
        <v>-10.533</v>
      </c>
      <c r="G1397" t="n">
        <v>577.266</v>
      </c>
      <c r="H1397" t="n">
        <v>627.999</v>
      </c>
      <c r="I1397" t="n">
        <v>30</v>
      </c>
      <c r="J1397" t="inlineStr">
        <is>
          <t>BTBR</t>
        </is>
      </c>
      <c r="K1397" t="inlineStr">
        <is>
          <t xml:space="preserve"> Female</t>
        </is>
      </c>
      <c r="L1397" t="inlineStr">
        <is>
          <t>No focal subject</t>
        </is>
      </c>
      <c r="M1397" t="n">
        <v>33.469</v>
      </c>
      <c r="N1397" t="inlineStr">
        <is>
          <t>Explore_F2</t>
        </is>
      </c>
      <c r="O1397" t="inlineStr">
        <is>
          <t>Second familiar</t>
        </is>
      </c>
      <c r="P1397" t="inlineStr">
        <is>
          <t>STATE</t>
        </is>
      </c>
      <c r="Q1397" t="n">
        <v>149.334</v>
      </c>
      <c r="R1397" t="n">
        <v>150.134</v>
      </c>
      <c r="S1397" t="n">
        <v>0.8</v>
      </c>
      <c r="T1397" t="inlineStr">
        <is>
          <t>C:/Users/manuel.felline/Documents/BEHAVIOR BTBR/NOR second cohort/BTBR/training/c16_f5.mp4</t>
        </is>
      </c>
      <c r="U1397" t="n">
        <v>4765</v>
      </c>
      <c r="V1397" t="n">
        <v>4789</v>
      </c>
      <c r="W1397" t="n">
        <v/>
      </c>
      <c r="X1397" t="n">
        <v/>
      </c>
      <c r="Y1397" t="n">
        <v/>
      </c>
      <c r="Z1397" t="n">
        <v/>
      </c>
      <c r="AA1397">
        <f>SUMIFS($S$2:S1397,$A$2:A1397,A1397,$N$2:N1397,"Explore*")</f>
        <v/>
      </c>
      <c r="AB1397">
        <f>IF(AND(LEFT(N1397,7)="Explore",(AA1397-IF(LEFT(N1397,7)="Explore",S1397,0))&lt;10),"SI","NO")</f>
        <v/>
      </c>
    </row>
    <row r="1398">
      <c r="A1398" t="inlineStr">
        <is>
          <t>c16f5_training</t>
        </is>
      </c>
      <c r="B1398" t="inlineStr">
        <is>
          <t>2026-06-30 16:23:30.398</t>
        </is>
      </c>
      <c r="C1398" t="n">
        <v/>
      </c>
      <c r="D1398" t="inlineStr">
        <is>
          <t>Media file</t>
        </is>
      </c>
      <c r="E1398" t="inlineStr">
        <is>
          <t>player #1:C:/Users/manuel.felline/Documents/BEHAVIOR BTBR/NOR second cohort/BTBR/training/c16_f5.mp4</t>
        </is>
      </c>
      <c r="F1398" t="n">
        <v>-10.533</v>
      </c>
      <c r="G1398" t="n">
        <v>577.266</v>
      </c>
      <c r="H1398" t="n">
        <v>627.999</v>
      </c>
      <c r="I1398" t="n">
        <v>30</v>
      </c>
      <c r="J1398" t="inlineStr">
        <is>
          <t>BTBR</t>
        </is>
      </c>
      <c r="K1398" t="inlineStr">
        <is>
          <t xml:space="preserve"> Female</t>
        </is>
      </c>
      <c r="L1398" t="inlineStr">
        <is>
          <t>No focal subject</t>
        </is>
      </c>
      <c r="M1398" t="n">
        <v>33.469</v>
      </c>
      <c r="N1398" t="inlineStr">
        <is>
          <t>Explore_F</t>
        </is>
      </c>
      <c r="O1398" t="inlineStr">
        <is>
          <t>Familiar</t>
        </is>
      </c>
      <c r="P1398" t="inlineStr">
        <is>
          <t>STATE</t>
        </is>
      </c>
      <c r="Q1398" t="n">
        <v>172.5</v>
      </c>
      <c r="R1398" t="n">
        <v>173.067</v>
      </c>
      <c r="S1398" t="n">
        <v>0.5669999999999999</v>
      </c>
      <c r="T1398" t="inlineStr">
        <is>
          <t>C:/Users/manuel.felline/Documents/BEHAVIOR BTBR/NOR second cohort/BTBR/training/c16_f5.mp4</t>
        </is>
      </c>
      <c r="U1398" t="n">
        <v>5456</v>
      </c>
      <c r="V1398" t="n">
        <v>5473</v>
      </c>
      <c r="W1398" t="n">
        <v/>
      </c>
      <c r="X1398" t="n">
        <v/>
      </c>
      <c r="Y1398" t="n">
        <v/>
      </c>
      <c r="Z1398" t="n">
        <v/>
      </c>
      <c r="AA1398">
        <f>SUMIFS($S$2:S1398,$A$2:A1398,A1398,$N$2:N1398,"Explore*")</f>
        <v/>
      </c>
      <c r="AB1398">
        <f>IF(AND(LEFT(N1398,7)="Explore",(AA1398-IF(LEFT(N1398,7)="Explore",S1398,0))&lt;10),"SI","NO")</f>
        <v/>
      </c>
    </row>
    <row r="1399">
      <c r="A1399" t="inlineStr">
        <is>
          <t>c16f5_training</t>
        </is>
      </c>
      <c r="B1399" t="inlineStr">
        <is>
          <t>2026-06-30 16:23:30.398</t>
        </is>
      </c>
      <c r="C1399" t="n">
        <v/>
      </c>
      <c r="D1399" t="inlineStr">
        <is>
          <t>Media file</t>
        </is>
      </c>
      <c r="E1399" t="inlineStr">
        <is>
          <t>player #1:C:/Users/manuel.felline/Documents/BEHAVIOR BTBR/NOR second cohort/BTBR/training/c16_f5.mp4</t>
        </is>
      </c>
      <c r="F1399" t="n">
        <v>-10.533</v>
      </c>
      <c r="G1399" t="n">
        <v>577.266</v>
      </c>
      <c r="H1399" t="n">
        <v>627.999</v>
      </c>
      <c r="I1399" t="n">
        <v>30</v>
      </c>
      <c r="J1399" t="inlineStr">
        <is>
          <t>BTBR</t>
        </is>
      </c>
      <c r="K1399" t="inlineStr">
        <is>
          <t xml:space="preserve"> Female</t>
        </is>
      </c>
      <c r="L1399" t="inlineStr">
        <is>
          <t>No focal subject</t>
        </is>
      </c>
      <c r="M1399" t="n">
        <v>33.469</v>
      </c>
      <c r="N1399" t="inlineStr">
        <is>
          <t>Explore_F2</t>
        </is>
      </c>
      <c r="O1399" t="inlineStr">
        <is>
          <t>Second familiar</t>
        </is>
      </c>
      <c r="P1399" t="inlineStr">
        <is>
          <t>STATE</t>
        </is>
      </c>
      <c r="Q1399" t="n">
        <v>180.133</v>
      </c>
      <c r="R1399" t="n">
        <v>181.033</v>
      </c>
      <c r="S1399" t="n">
        <v>0.9</v>
      </c>
      <c r="T1399" t="inlineStr">
        <is>
          <t>C:/Users/manuel.felline/Documents/BEHAVIOR BTBR/NOR second cohort/BTBR/training/c16_f5.mp4</t>
        </is>
      </c>
      <c r="U1399" t="n">
        <v>5683</v>
      </c>
      <c r="V1399" t="n">
        <v>5710</v>
      </c>
      <c r="W1399" t="n">
        <v/>
      </c>
      <c r="X1399" t="n">
        <v/>
      </c>
      <c r="Y1399" t="n">
        <v/>
      </c>
      <c r="Z1399" t="n">
        <v/>
      </c>
      <c r="AA1399">
        <f>SUMIFS($S$2:S1399,$A$2:A1399,A1399,$N$2:N1399,"Explore*")</f>
        <v/>
      </c>
      <c r="AB1399">
        <f>IF(AND(LEFT(N1399,7)="Explore",(AA1399-IF(LEFT(N1399,7)="Explore",S1399,0))&lt;10),"SI","NO")</f>
        <v/>
      </c>
    </row>
    <row r="1400">
      <c r="A1400" t="inlineStr">
        <is>
          <t>c16f5_training</t>
        </is>
      </c>
      <c r="B1400" t="inlineStr">
        <is>
          <t>2026-06-30 16:23:30.398</t>
        </is>
      </c>
      <c r="C1400" t="n">
        <v/>
      </c>
      <c r="D1400" t="inlineStr">
        <is>
          <t>Media file</t>
        </is>
      </c>
      <c r="E1400" t="inlineStr">
        <is>
          <t>player #1:C:/Users/manuel.felline/Documents/BEHAVIOR BTBR/NOR second cohort/BTBR/training/c16_f5.mp4</t>
        </is>
      </c>
      <c r="F1400" t="n">
        <v>-10.533</v>
      </c>
      <c r="G1400" t="n">
        <v>577.266</v>
      </c>
      <c r="H1400" t="n">
        <v>627.999</v>
      </c>
      <c r="I1400" t="n">
        <v>30</v>
      </c>
      <c r="J1400" t="inlineStr">
        <is>
          <t>BTBR</t>
        </is>
      </c>
      <c r="K1400" t="inlineStr">
        <is>
          <t xml:space="preserve"> Female</t>
        </is>
      </c>
      <c r="L1400" t="inlineStr">
        <is>
          <t>No focal subject</t>
        </is>
      </c>
      <c r="M1400" t="n">
        <v>33.469</v>
      </c>
      <c r="N1400" t="inlineStr">
        <is>
          <t>Explore_F</t>
        </is>
      </c>
      <c r="O1400" t="inlineStr">
        <is>
          <t>Familiar</t>
        </is>
      </c>
      <c r="P1400" t="inlineStr">
        <is>
          <t>STATE</t>
        </is>
      </c>
      <c r="Q1400" t="n">
        <v>186.067</v>
      </c>
      <c r="R1400" t="n">
        <v>186.6</v>
      </c>
      <c r="S1400" t="n">
        <v>0.533</v>
      </c>
      <c r="T1400" t="inlineStr">
        <is>
          <t>C:/Users/manuel.felline/Documents/BEHAVIOR BTBR/NOR second cohort/BTBR/training/c16_f5.mp4</t>
        </is>
      </c>
      <c r="U1400" t="n">
        <v>5860</v>
      </c>
      <c r="V1400" t="n">
        <v>5876</v>
      </c>
      <c r="W1400" t="n">
        <v/>
      </c>
      <c r="X1400" t="n">
        <v/>
      </c>
      <c r="Y1400" t="n">
        <v/>
      </c>
      <c r="Z1400" t="n">
        <v/>
      </c>
      <c r="AA1400">
        <f>SUMIFS($S$2:S1400,$A$2:A1400,A1400,$N$2:N1400,"Explore*")</f>
        <v/>
      </c>
      <c r="AB1400">
        <f>IF(AND(LEFT(N1400,7)="Explore",(AA1400-IF(LEFT(N1400,7)="Explore",S1400,0))&lt;10),"SI","NO")</f>
        <v/>
      </c>
    </row>
    <row r="1401">
      <c r="A1401" t="inlineStr">
        <is>
          <t>c16f5_training</t>
        </is>
      </c>
      <c r="B1401" t="inlineStr">
        <is>
          <t>2026-06-30 16:23:30.398</t>
        </is>
      </c>
      <c r="C1401" t="n">
        <v/>
      </c>
      <c r="D1401" t="inlineStr">
        <is>
          <t>Media file</t>
        </is>
      </c>
      <c r="E1401" t="inlineStr">
        <is>
          <t>player #1:C:/Users/manuel.felline/Documents/BEHAVIOR BTBR/NOR second cohort/BTBR/training/c16_f5.mp4</t>
        </is>
      </c>
      <c r="F1401" t="n">
        <v>-10.533</v>
      </c>
      <c r="G1401" t="n">
        <v>577.266</v>
      </c>
      <c r="H1401" t="n">
        <v>627.999</v>
      </c>
      <c r="I1401" t="n">
        <v>30</v>
      </c>
      <c r="J1401" t="inlineStr">
        <is>
          <t>BTBR</t>
        </is>
      </c>
      <c r="K1401" t="inlineStr">
        <is>
          <t xml:space="preserve"> Female</t>
        </is>
      </c>
      <c r="L1401" t="inlineStr">
        <is>
          <t>No focal subject</t>
        </is>
      </c>
      <c r="M1401" t="n">
        <v>33.469</v>
      </c>
      <c r="N1401" t="inlineStr">
        <is>
          <t>Explore_F2</t>
        </is>
      </c>
      <c r="O1401" t="inlineStr">
        <is>
          <t>Second familiar</t>
        </is>
      </c>
      <c r="P1401" t="inlineStr">
        <is>
          <t>STATE</t>
        </is>
      </c>
      <c r="Q1401" t="n">
        <v>194.767</v>
      </c>
      <c r="R1401" t="n">
        <v>195.3</v>
      </c>
      <c r="S1401" t="n">
        <v>0.533</v>
      </c>
      <c r="T1401" t="inlineStr">
        <is>
          <t>C:/Users/manuel.felline/Documents/BEHAVIOR BTBR/NOR second cohort/BTBR/training/c16_f5.mp4</t>
        </is>
      </c>
      <c r="U1401" t="n">
        <v>6120</v>
      </c>
      <c r="V1401" t="n">
        <v>6135</v>
      </c>
      <c r="W1401" t="n">
        <v/>
      </c>
      <c r="X1401" t="n">
        <v/>
      </c>
      <c r="Y1401" t="n">
        <v/>
      </c>
      <c r="Z1401" t="n">
        <v/>
      </c>
      <c r="AA1401">
        <f>SUMIFS($S$2:S1401,$A$2:A1401,A1401,$N$2:N1401,"Explore*")</f>
        <v/>
      </c>
      <c r="AB1401">
        <f>IF(AND(LEFT(N1401,7)="Explore",(AA1401-IF(LEFT(N1401,7)="Explore",S1401,0))&lt;10),"SI","NO")</f>
        <v/>
      </c>
    </row>
    <row r="1402">
      <c r="A1402" t="inlineStr">
        <is>
          <t>c16f5_training</t>
        </is>
      </c>
      <c r="B1402" t="inlineStr">
        <is>
          <t>2026-06-30 16:23:30.398</t>
        </is>
      </c>
      <c r="C1402" t="n">
        <v/>
      </c>
      <c r="D1402" t="inlineStr">
        <is>
          <t>Media file</t>
        </is>
      </c>
      <c r="E1402" t="inlineStr">
        <is>
          <t>player #1:C:/Users/manuel.felline/Documents/BEHAVIOR BTBR/NOR second cohort/BTBR/training/c16_f5.mp4</t>
        </is>
      </c>
      <c r="F1402" t="n">
        <v>-10.533</v>
      </c>
      <c r="G1402" t="n">
        <v>577.266</v>
      </c>
      <c r="H1402" t="n">
        <v>627.999</v>
      </c>
      <c r="I1402" t="n">
        <v>30</v>
      </c>
      <c r="J1402" t="inlineStr">
        <is>
          <t>BTBR</t>
        </is>
      </c>
      <c r="K1402" t="inlineStr">
        <is>
          <t xml:space="preserve"> Female</t>
        </is>
      </c>
      <c r="L1402" t="inlineStr">
        <is>
          <t>No focal subject</t>
        </is>
      </c>
      <c r="M1402" t="n">
        <v>33.469</v>
      </c>
      <c r="N1402" t="inlineStr">
        <is>
          <t>Explore_F</t>
        </is>
      </c>
      <c r="O1402" t="inlineStr">
        <is>
          <t>Familiar</t>
        </is>
      </c>
      <c r="P1402" t="inlineStr">
        <is>
          <t>STATE</t>
        </is>
      </c>
      <c r="Q1402" t="n">
        <v>203.7</v>
      </c>
      <c r="R1402" t="n">
        <v>204.1</v>
      </c>
      <c r="S1402" t="n">
        <v>0.4</v>
      </c>
      <c r="T1402" t="inlineStr">
        <is>
          <t>C:/Users/manuel.felline/Documents/BEHAVIOR BTBR/NOR second cohort/BTBR/training/c16_f5.mp4</t>
        </is>
      </c>
      <c r="U1402" t="n">
        <v>6386</v>
      </c>
      <c r="V1402" t="n">
        <v>6398</v>
      </c>
      <c r="W1402" t="n">
        <v/>
      </c>
      <c r="X1402" t="n">
        <v/>
      </c>
      <c r="Y1402" t="n">
        <v/>
      </c>
      <c r="Z1402" t="n">
        <v/>
      </c>
      <c r="AA1402">
        <f>SUMIFS($S$2:S1402,$A$2:A1402,A1402,$N$2:N1402,"Explore*")</f>
        <v/>
      </c>
      <c r="AB1402">
        <f>IF(AND(LEFT(N1402,7)="Explore",(AA1402-IF(LEFT(N1402,7)="Explore",S1402,0))&lt;10),"SI","NO")</f>
        <v/>
      </c>
    </row>
    <row r="1403">
      <c r="A1403" t="inlineStr">
        <is>
          <t>c16f5_training</t>
        </is>
      </c>
      <c r="B1403" t="inlineStr">
        <is>
          <t>2026-06-30 16:23:30.398</t>
        </is>
      </c>
      <c r="C1403" t="n">
        <v/>
      </c>
      <c r="D1403" t="inlineStr">
        <is>
          <t>Media file</t>
        </is>
      </c>
      <c r="E1403" t="inlineStr">
        <is>
          <t>player #1:C:/Users/manuel.felline/Documents/BEHAVIOR BTBR/NOR second cohort/BTBR/training/c16_f5.mp4</t>
        </is>
      </c>
      <c r="F1403" t="n">
        <v>-10.533</v>
      </c>
      <c r="G1403" t="n">
        <v>577.266</v>
      </c>
      <c r="H1403" t="n">
        <v>627.999</v>
      </c>
      <c r="I1403" t="n">
        <v>30</v>
      </c>
      <c r="J1403" t="inlineStr">
        <is>
          <t>BTBR</t>
        </is>
      </c>
      <c r="K1403" t="inlineStr">
        <is>
          <t xml:space="preserve"> Female</t>
        </is>
      </c>
      <c r="L1403" t="inlineStr">
        <is>
          <t>No focal subject</t>
        </is>
      </c>
      <c r="M1403" t="n">
        <v>33.469</v>
      </c>
      <c r="N1403" t="inlineStr">
        <is>
          <t>Explore_F</t>
        </is>
      </c>
      <c r="O1403" t="inlineStr">
        <is>
          <t>Familiar</t>
        </is>
      </c>
      <c r="P1403" t="inlineStr">
        <is>
          <t>STATE</t>
        </is>
      </c>
      <c r="Q1403" t="n">
        <v>211.6</v>
      </c>
      <c r="R1403" t="n">
        <v>212.367</v>
      </c>
      <c r="S1403" t="n">
        <v>0.767</v>
      </c>
      <c r="T1403" t="inlineStr">
        <is>
          <t>C:/Users/manuel.felline/Documents/BEHAVIOR BTBR/NOR second cohort/BTBR/training/c16_f5.mp4</t>
        </is>
      </c>
      <c r="U1403" t="n">
        <v>6621</v>
      </c>
      <c r="V1403" t="n">
        <v>6644</v>
      </c>
      <c r="W1403" t="n">
        <v/>
      </c>
      <c r="X1403" t="n">
        <v/>
      </c>
      <c r="Y1403" t="n">
        <v/>
      </c>
      <c r="Z1403" t="n">
        <v/>
      </c>
      <c r="AA1403">
        <f>SUMIFS($S$2:S1403,$A$2:A1403,A1403,$N$2:N1403,"Explore*")</f>
        <v/>
      </c>
      <c r="AB1403">
        <f>IF(AND(LEFT(N1403,7)="Explore",(AA1403-IF(LEFT(N1403,7)="Explore",S1403,0))&lt;10),"SI","NO")</f>
        <v/>
      </c>
    </row>
    <row r="1404">
      <c r="A1404" t="inlineStr">
        <is>
          <t>c16f5_training</t>
        </is>
      </c>
      <c r="B1404" t="inlineStr">
        <is>
          <t>2026-06-30 16:23:30.398</t>
        </is>
      </c>
      <c r="C1404" t="n">
        <v/>
      </c>
      <c r="D1404" t="inlineStr">
        <is>
          <t>Media file</t>
        </is>
      </c>
      <c r="E1404" t="inlineStr">
        <is>
          <t>player #1:C:/Users/manuel.felline/Documents/BEHAVIOR BTBR/NOR second cohort/BTBR/training/c16_f5.mp4</t>
        </is>
      </c>
      <c r="F1404" t="n">
        <v>-10.533</v>
      </c>
      <c r="G1404" t="n">
        <v>577.266</v>
      </c>
      <c r="H1404" t="n">
        <v>627.999</v>
      </c>
      <c r="I1404" t="n">
        <v>30</v>
      </c>
      <c r="J1404" t="inlineStr">
        <is>
          <t>BTBR</t>
        </is>
      </c>
      <c r="K1404" t="inlineStr">
        <is>
          <t xml:space="preserve"> Female</t>
        </is>
      </c>
      <c r="L1404" t="inlineStr">
        <is>
          <t>No focal subject</t>
        </is>
      </c>
      <c r="M1404" t="n">
        <v>33.469</v>
      </c>
      <c r="N1404" t="inlineStr">
        <is>
          <t>Explore_F</t>
        </is>
      </c>
      <c r="O1404" t="inlineStr">
        <is>
          <t>Familiar</t>
        </is>
      </c>
      <c r="P1404" t="inlineStr">
        <is>
          <t>STATE</t>
        </is>
      </c>
      <c r="Q1404" t="n">
        <v>240.7</v>
      </c>
      <c r="R1404" t="n">
        <v>241.167</v>
      </c>
      <c r="S1404" t="n">
        <v>0.467</v>
      </c>
      <c r="T1404" t="inlineStr">
        <is>
          <t>C:/Users/manuel.felline/Documents/BEHAVIOR BTBR/NOR second cohort/BTBR/training/c16_f5.mp4</t>
        </is>
      </c>
      <c r="U1404" t="n">
        <v>7489</v>
      </c>
      <c r="V1404" t="n">
        <v>7503</v>
      </c>
      <c r="W1404" t="n">
        <v/>
      </c>
      <c r="X1404" t="n">
        <v/>
      </c>
      <c r="Y1404" t="n">
        <v/>
      </c>
      <c r="Z1404" t="n">
        <v/>
      </c>
      <c r="AA1404">
        <f>SUMIFS($S$2:S1404,$A$2:A1404,A1404,$N$2:N1404,"Explore*")</f>
        <v/>
      </c>
      <c r="AB1404">
        <f>IF(AND(LEFT(N1404,7)="Explore",(AA1404-IF(LEFT(N1404,7)="Explore",S1404,0))&lt;10),"SI","NO")</f>
        <v/>
      </c>
    </row>
    <row r="1405">
      <c r="A1405" t="inlineStr">
        <is>
          <t>c16f5_training</t>
        </is>
      </c>
      <c r="B1405" t="inlineStr">
        <is>
          <t>2026-06-30 16:23:30.398</t>
        </is>
      </c>
      <c r="C1405" t="n">
        <v/>
      </c>
      <c r="D1405" t="inlineStr">
        <is>
          <t>Media file</t>
        </is>
      </c>
      <c r="E1405" t="inlineStr">
        <is>
          <t>player #1:C:/Users/manuel.felline/Documents/BEHAVIOR BTBR/NOR second cohort/BTBR/training/c16_f5.mp4</t>
        </is>
      </c>
      <c r="F1405" t="n">
        <v>-10.533</v>
      </c>
      <c r="G1405" t="n">
        <v>577.266</v>
      </c>
      <c r="H1405" t="n">
        <v>627.999</v>
      </c>
      <c r="I1405" t="n">
        <v>30</v>
      </c>
      <c r="J1405" t="inlineStr">
        <is>
          <t>BTBR</t>
        </is>
      </c>
      <c r="K1405" t="inlineStr">
        <is>
          <t xml:space="preserve"> Female</t>
        </is>
      </c>
      <c r="L1405" t="inlineStr">
        <is>
          <t>No focal subject</t>
        </is>
      </c>
      <c r="M1405" t="n">
        <v>33.469</v>
      </c>
      <c r="N1405" t="inlineStr">
        <is>
          <t>Explore_F2</t>
        </is>
      </c>
      <c r="O1405" t="inlineStr">
        <is>
          <t>Second familiar</t>
        </is>
      </c>
      <c r="P1405" t="inlineStr">
        <is>
          <t>STATE</t>
        </is>
      </c>
      <c r="Q1405" t="n">
        <v>246.633</v>
      </c>
      <c r="R1405" t="n">
        <v>247.167</v>
      </c>
      <c r="S1405" t="n">
        <v>0.534</v>
      </c>
      <c r="T1405" t="inlineStr">
        <is>
          <t>C:/Users/manuel.felline/Documents/BEHAVIOR BTBR/NOR second cohort/BTBR/training/c16_f5.mp4</t>
        </is>
      </c>
      <c r="U1405" t="n">
        <v>7666</v>
      </c>
      <c r="V1405" t="n">
        <v>7681</v>
      </c>
      <c r="W1405" t="n">
        <v/>
      </c>
      <c r="X1405" t="n">
        <v/>
      </c>
      <c r="Y1405" t="n">
        <v/>
      </c>
      <c r="Z1405" t="n">
        <v/>
      </c>
      <c r="AA1405">
        <f>SUMIFS($S$2:S1405,$A$2:A1405,A1405,$N$2:N1405,"Explore*")</f>
        <v/>
      </c>
      <c r="AB1405">
        <f>IF(AND(LEFT(N1405,7)="Explore",(AA1405-IF(LEFT(N1405,7)="Explore",S1405,0))&lt;10),"SI","NO")</f>
        <v/>
      </c>
    </row>
    <row r="1406">
      <c r="A1406" t="inlineStr">
        <is>
          <t>c16f5_training</t>
        </is>
      </c>
      <c r="B1406" t="inlineStr">
        <is>
          <t>2026-06-30 16:23:30.398</t>
        </is>
      </c>
      <c r="C1406" t="n">
        <v/>
      </c>
      <c r="D1406" t="inlineStr">
        <is>
          <t>Media file</t>
        </is>
      </c>
      <c r="E1406" t="inlineStr">
        <is>
          <t>player #1:C:/Users/manuel.felline/Documents/BEHAVIOR BTBR/NOR second cohort/BTBR/training/c16_f5.mp4</t>
        </is>
      </c>
      <c r="F1406" t="n">
        <v>-10.533</v>
      </c>
      <c r="G1406" t="n">
        <v>577.266</v>
      </c>
      <c r="H1406" t="n">
        <v>627.999</v>
      </c>
      <c r="I1406" t="n">
        <v>30</v>
      </c>
      <c r="J1406" t="inlineStr">
        <is>
          <t>BTBR</t>
        </is>
      </c>
      <c r="K1406" t="inlineStr">
        <is>
          <t xml:space="preserve"> Female</t>
        </is>
      </c>
      <c r="L1406" t="inlineStr">
        <is>
          <t>No focal subject</t>
        </is>
      </c>
      <c r="M1406" t="n">
        <v>33.469</v>
      </c>
      <c r="N1406" t="inlineStr">
        <is>
          <t>Explore_F</t>
        </is>
      </c>
      <c r="O1406" t="inlineStr">
        <is>
          <t>Familiar</t>
        </is>
      </c>
      <c r="P1406" t="inlineStr">
        <is>
          <t>STATE</t>
        </is>
      </c>
      <c r="Q1406" t="n">
        <v>267.267</v>
      </c>
      <c r="R1406" t="n">
        <v>267.5</v>
      </c>
      <c r="S1406" t="n">
        <v>0.233</v>
      </c>
      <c r="T1406" t="inlineStr">
        <is>
          <t>C:/Users/manuel.felline/Documents/BEHAVIOR BTBR/NOR second cohort/BTBR/training/c16_f5.mp4</t>
        </is>
      </c>
      <c r="U1406" t="n">
        <v>8281</v>
      </c>
      <c r="V1406" t="n">
        <v>8288</v>
      </c>
      <c r="W1406" t="n">
        <v/>
      </c>
      <c r="X1406" t="n">
        <v/>
      </c>
      <c r="Y1406" t="n">
        <v/>
      </c>
      <c r="Z1406" t="n">
        <v/>
      </c>
      <c r="AA1406">
        <f>SUMIFS($S$2:S1406,$A$2:A1406,A1406,$N$2:N1406,"Explore*")</f>
        <v/>
      </c>
      <c r="AB1406">
        <f>IF(AND(LEFT(N1406,7)="Explore",(AA1406-IF(LEFT(N1406,7)="Explore",S1406,0))&lt;10),"SI","NO")</f>
        <v/>
      </c>
    </row>
    <row r="1407">
      <c r="A1407" t="inlineStr">
        <is>
          <t>c16f5_training</t>
        </is>
      </c>
      <c r="B1407" t="inlineStr">
        <is>
          <t>2026-06-30 16:23:30.398</t>
        </is>
      </c>
      <c r="C1407" t="n">
        <v/>
      </c>
      <c r="D1407" t="inlineStr">
        <is>
          <t>Media file</t>
        </is>
      </c>
      <c r="E1407" t="inlineStr">
        <is>
          <t>player #1:C:/Users/manuel.felline/Documents/BEHAVIOR BTBR/NOR second cohort/BTBR/training/c16_f5.mp4</t>
        </is>
      </c>
      <c r="F1407" t="n">
        <v>-10.533</v>
      </c>
      <c r="G1407" t="n">
        <v>577.266</v>
      </c>
      <c r="H1407" t="n">
        <v>627.999</v>
      </c>
      <c r="I1407" t="n">
        <v>30</v>
      </c>
      <c r="J1407" t="inlineStr">
        <is>
          <t>BTBR</t>
        </is>
      </c>
      <c r="K1407" t="inlineStr">
        <is>
          <t xml:space="preserve"> Female</t>
        </is>
      </c>
      <c r="L1407" t="inlineStr">
        <is>
          <t>No focal subject</t>
        </is>
      </c>
      <c r="M1407" t="n">
        <v>33.469</v>
      </c>
      <c r="N1407" t="inlineStr">
        <is>
          <t>Explore_F2</t>
        </is>
      </c>
      <c r="O1407" t="inlineStr">
        <is>
          <t>Second familiar</t>
        </is>
      </c>
      <c r="P1407" t="inlineStr">
        <is>
          <t>STATE</t>
        </is>
      </c>
      <c r="Q1407" t="n">
        <v>274.433</v>
      </c>
      <c r="R1407" t="n">
        <v>274.9</v>
      </c>
      <c r="S1407" t="n">
        <v>0.467</v>
      </c>
      <c r="T1407" t="inlineStr">
        <is>
          <t>C:/Users/manuel.felline/Documents/BEHAVIOR BTBR/NOR second cohort/BTBR/training/c16_f5.mp4</t>
        </is>
      </c>
      <c r="U1407" t="n">
        <v>8494</v>
      </c>
      <c r="V1407" t="n">
        <v>8508</v>
      </c>
      <c r="W1407" t="n">
        <v/>
      </c>
      <c r="X1407" t="n">
        <v/>
      </c>
      <c r="Y1407" t="n">
        <v/>
      </c>
      <c r="Z1407" t="n">
        <v/>
      </c>
      <c r="AA1407">
        <f>SUMIFS($S$2:S1407,$A$2:A1407,A1407,$N$2:N1407,"Explore*")</f>
        <v/>
      </c>
      <c r="AB1407">
        <f>IF(AND(LEFT(N1407,7)="Explore",(AA1407-IF(LEFT(N1407,7)="Explore",S1407,0))&lt;10),"SI","NO")</f>
        <v/>
      </c>
    </row>
    <row r="1408">
      <c r="A1408" t="inlineStr">
        <is>
          <t>c16f5_training</t>
        </is>
      </c>
      <c r="B1408" t="inlineStr">
        <is>
          <t>2026-06-30 16:23:30.398</t>
        </is>
      </c>
      <c r="C1408" t="n">
        <v/>
      </c>
      <c r="D1408" t="inlineStr">
        <is>
          <t>Media file</t>
        </is>
      </c>
      <c r="E1408" t="inlineStr">
        <is>
          <t>player #1:C:/Users/manuel.felline/Documents/BEHAVIOR BTBR/NOR second cohort/BTBR/training/c16_f5.mp4</t>
        </is>
      </c>
      <c r="F1408" t="n">
        <v>-10.533</v>
      </c>
      <c r="G1408" t="n">
        <v>577.266</v>
      </c>
      <c r="H1408" t="n">
        <v>627.999</v>
      </c>
      <c r="I1408" t="n">
        <v>30</v>
      </c>
      <c r="J1408" t="inlineStr">
        <is>
          <t>BTBR</t>
        </is>
      </c>
      <c r="K1408" t="inlineStr">
        <is>
          <t xml:space="preserve"> Female</t>
        </is>
      </c>
      <c r="L1408" t="inlineStr">
        <is>
          <t>No focal subject</t>
        </is>
      </c>
      <c r="M1408" t="n">
        <v>33.469</v>
      </c>
      <c r="N1408" t="inlineStr">
        <is>
          <t>Explore_F</t>
        </is>
      </c>
      <c r="O1408" t="inlineStr">
        <is>
          <t>Familiar</t>
        </is>
      </c>
      <c r="P1408" t="inlineStr">
        <is>
          <t>STATE</t>
        </is>
      </c>
      <c r="Q1408" t="n">
        <v>284.067</v>
      </c>
      <c r="R1408" t="n">
        <v>284.9</v>
      </c>
      <c r="S1408" t="n">
        <v>0.833</v>
      </c>
      <c r="T1408" t="inlineStr">
        <is>
          <t>C:/Users/manuel.felline/Documents/BEHAVIOR BTBR/NOR second cohort/BTBR/training/c16_f5.mp4</t>
        </is>
      </c>
      <c r="U1408" t="n">
        <v>8781</v>
      </c>
      <c r="V1408" t="n">
        <v>8806</v>
      </c>
      <c r="W1408" t="n">
        <v/>
      </c>
      <c r="X1408" t="n">
        <v/>
      </c>
      <c r="Y1408" t="n">
        <v/>
      </c>
      <c r="Z1408" t="n">
        <v/>
      </c>
      <c r="AA1408">
        <f>SUMIFS($S$2:S1408,$A$2:A1408,A1408,$N$2:N1408,"Explore*")</f>
        <v/>
      </c>
      <c r="AB1408">
        <f>IF(AND(LEFT(N1408,7)="Explore",(AA1408-IF(LEFT(N1408,7)="Explore",S1408,0))&lt;10),"SI","NO")</f>
        <v/>
      </c>
    </row>
    <row r="1409">
      <c r="A1409" t="inlineStr">
        <is>
          <t>c16f5_training</t>
        </is>
      </c>
      <c r="B1409" t="inlineStr">
        <is>
          <t>2026-06-30 16:23:30.398</t>
        </is>
      </c>
      <c r="C1409" t="n">
        <v/>
      </c>
      <c r="D1409" t="inlineStr">
        <is>
          <t>Media file</t>
        </is>
      </c>
      <c r="E1409" t="inlineStr">
        <is>
          <t>player #1:C:/Users/manuel.felline/Documents/BEHAVIOR BTBR/NOR second cohort/BTBR/training/c16_f5.mp4</t>
        </is>
      </c>
      <c r="F1409" t="n">
        <v>-10.533</v>
      </c>
      <c r="G1409" t="n">
        <v>577.266</v>
      </c>
      <c r="H1409" t="n">
        <v>627.999</v>
      </c>
      <c r="I1409" t="n">
        <v>30</v>
      </c>
      <c r="J1409" t="inlineStr">
        <is>
          <t>BTBR</t>
        </is>
      </c>
      <c r="K1409" t="inlineStr">
        <is>
          <t xml:space="preserve"> Female</t>
        </is>
      </c>
      <c r="L1409" t="inlineStr">
        <is>
          <t>No focal subject</t>
        </is>
      </c>
      <c r="M1409" t="n">
        <v>33.469</v>
      </c>
      <c r="N1409" t="inlineStr">
        <is>
          <t>Explore_F2</t>
        </is>
      </c>
      <c r="O1409" t="inlineStr">
        <is>
          <t>Second familiar</t>
        </is>
      </c>
      <c r="P1409" t="inlineStr">
        <is>
          <t>STATE</t>
        </is>
      </c>
      <c r="Q1409" t="n">
        <v>293.667</v>
      </c>
      <c r="R1409" t="n">
        <v>294.033</v>
      </c>
      <c r="S1409" t="n">
        <v>0.366</v>
      </c>
      <c r="T1409" t="inlineStr">
        <is>
          <t>C:/Users/manuel.felline/Documents/BEHAVIOR BTBR/NOR second cohort/BTBR/training/c16_f5.mp4</t>
        </is>
      </c>
      <c r="U1409" t="n">
        <v>9068</v>
      </c>
      <c r="V1409" t="n">
        <v>9078</v>
      </c>
      <c r="W1409" t="n">
        <v/>
      </c>
      <c r="X1409" t="n">
        <v/>
      </c>
      <c r="Y1409" t="n">
        <v/>
      </c>
      <c r="Z1409" t="n">
        <v/>
      </c>
      <c r="AA1409">
        <f>SUMIFS($S$2:S1409,$A$2:A1409,A1409,$N$2:N1409,"Explore*")</f>
        <v/>
      </c>
      <c r="AB1409">
        <f>IF(AND(LEFT(N1409,7)="Explore",(AA1409-IF(LEFT(N1409,7)="Explore",S1409,0))&lt;10),"SI","NO")</f>
        <v/>
      </c>
    </row>
    <row r="1410">
      <c r="A1410" t="inlineStr">
        <is>
          <t>c16f5_training</t>
        </is>
      </c>
      <c r="B1410" t="inlineStr">
        <is>
          <t>2026-06-30 16:23:30.398</t>
        </is>
      </c>
      <c r="C1410" t="n">
        <v/>
      </c>
      <c r="D1410" t="inlineStr">
        <is>
          <t>Media file</t>
        </is>
      </c>
      <c r="E1410" t="inlineStr">
        <is>
          <t>player #1:C:/Users/manuel.felline/Documents/BEHAVIOR BTBR/NOR second cohort/BTBR/training/c16_f5.mp4</t>
        </is>
      </c>
      <c r="F1410" t="n">
        <v>-10.533</v>
      </c>
      <c r="G1410" t="n">
        <v>577.266</v>
      </c>
      <c r="H1410" t="n">
        <v>627.999</v>
      </c>
      <c r="I1410" t="n">
        <v>30</v>
      </c>
      <c r="J1410" t="inlineStr">
        <is>
          <t>BTBR</t>
        </is>
      </c>
      <c r="K1410" t="inlineStr">
        <is>
          <t xml:space="preserve"> Female</t>
        </is>
      </c>
      <c r="L1410" t="inlineStr">
        <is>
          <t>No focal subject</t>
        </is>
      </c>
      <c r="M1410" t="n">
        <v>33.469</v>
      </c>
      <c r="N1410" t="inlineStr">
        <is>
          <t>Explore_F</t>
        </is>
      </c>
      <c r="O1410" t="inlineStr">
        <is>
          <t>Familiar</t>
        </is>
      </c>
      <c r="P1410" t="inlineStr">
        <is>
          <t>STATE</t>
        </is>
      </c>
      <c r="Q1410" t="n">
        <v>300.7</v>
      </c>
      <c r="R1410" t="n">
        <v>301.7</v>
      </c>
      <c r="S1410" t="n">
        <v>1</v>
      </c>
      <c r="T1410" t="inlineStr">
        <is>
          <t>C:/Users/manuel.felline/Documents/BEHAVIOR BTBR/NOR second cohort/BTBR/training/c16_f5.mp4</t>
        </is>
      </c>
      <c r="U1410" t="n">
        <v>9277</v>
      </c>
      <c r="V1410" t="n">
        <v>9307</v>
      </c>
      <c r="W1410" t="n">
        <v/>
      </c>
      <c r="X1410" t="n">
        <v/>
      </c>
      <c r="Y1410" t="n">
        <v/>
      </c>
      <c r="Z1410" t="n">
        <v/>
      </c>
      <c r="AA1410">
        <f>SUMIFS($S$2:S1410,$A$2:A1410,A1410,$N$2:N1410,"Explore*")</f>
        <v/>
      </c>
      <c r="AB1410">
        <f>IF(AND(LEFT(N1410,7)="Explore",(AA1410-IF(LEFT(N1410,7)="Explore",S1410,0))&lt;10),"SI","NO")</f>
        <v/>
      </c>
    </row>
    <row r="1411">
      <c r="A1411" t="inlineStr">
        <is>
          <t>c16f5_training</t>
        </is>
      </c>
      <c r="B1411" t="inlineStr">
        <is>
          <t>2026-06-30 16:23:30.398</t>
        </is>
      </c>
      <c r="C1411" t="n">
        <v/>
      </c>
      <c r="D1411" t="inlineStr">
        <is>
          <t>Media file</t>
        </is>
      </c>
      <c r="E1411" t="inlineStr">
        <is>
          <t>player #1:C:/Users/manuel.felline/Documents/BEHAVIOR BTBR/NOR second cohort/BTBR/training/c16_f5.mp4</t>
        </is>
      </c>
      <c r="F1411" t="n">
        <v>-10.533</v>
      </c>
      <c r="G1411" t="n">
        <v>577.266</v>
      </c>
      <c r="H1411" t="n">
        <v>627.999</v>
      </c>
      <c r="I1411" t="n">
        <v>30</v>
      </c>
      <c r="J1411" t="inlineStr">
        <is>
          <t>BTBR</t>
        </is>
      </c>
      <c r="K1411" t="inlineStr">
        <is>
          <t xml:space="preserve"> Female</t>
        </is>
      </c>
      <c r="L1411" t="inlineStr">
        <is>
          <t>No focal subject</t>
        </is>
      </c>
      <c r="M1411" t="n">
        <v>33.469</v>
      </c>
      <c r="N1411" t="inlineStr">
        <is>
          <t>Explore_F</t>
        </is>
      </c>
      <c r="O1411" t="inlineStr">
        <is>
          <t>Familiar</t>
        </is>
      </c>
      <c r="P1411" t="inlineStr">
        <is>
          <t>STATE</t>
        </is>
      </c>
      <c r="Q1411" t="n">
        <v>303.1</v>
      </c>
      <c r="R1411" t="n">
        <v>304.7</v>
      </c>
      <c r="S1411" t="n">
        <v>1.6</v>
      </c>
      <c r="T1411" t="inlineStr">
        <is>
          <t>C:/Users/manuel.felline/Documents/BEHAVIOR BTBR/NOR second cohort/BTBR/training/c16_f5.mp4</t>
        </is>
      </c>
      <c r="U1411" t="n">
        <v>9349</v>
      </c>
      <c r="V1411" t="n">
        <v>9396</v>
      </c>
      <c r="W1411" t="n">
        <v/>
      </c>
      <c r="X1411" t="n">
        <v/>
      </c>
      <c r="Y1411" t="n">
        <v/>
      </c>
      <c r="Z1411" t="n">
        <v/>
      </c>
      <c r="AA1411">
        <f>SUMIFS($S$2:S1411,$A$2:A1411,A1411,$N$2:N1411,"Explore*")</f>
        <v/>
      </c>
      <c r="AB1411">
        <f>IF(AND(LEFT(N1411,7)="Explore",(AA1411-IF(LEFT(N1411,7)="Explore",S1411,0))&lt;10),"SI","NO")</f>
        <v/>
      </c>
    </row>
    <row r="1412">
      <c r="A1412" t="inlineStr">
        <is>
          <t>c16f5_training</t>
        </is>
      </c>
      <c r="B1412" t="inlineStr">
        <is>
          <t>2026-06-30 16:23:30.398</t>
        </is>
      </c>
      <c r="C1412" t="n">
        <v/>
      </c>
      <c r="D1412" t="inlineStr">
        <is>
          <t>Media file</t>
        </is>
      </c>
      <c r="E1412" t="inlineStr">
        <is>
          <t>player #1:C:/Users/manuel.felline/Documents/BEHAVIOR BTBR/NOR second cohort/BTBR/training/c16_f5.mp4</t>
        </is>
      </c>
      <c r="F1412" t="n">
        <v>-10.533</v>
      </c>
      <c r="G1412" t="n">
        <v>577.266</v>
      </c>
      <c r="H1412" t="n">
        <v>627.999</v>
      </c>
      <c r="I1412" t="n">
        <v>30</v>
      </c>
      <c r="J1412" t="inlineStr">
        <is>
          <t>BTBR</t>
        </is>
      </c>
      <c r="K1412" t="inlineStr">
        <is>
          <t xml:space="preserve"> Female</t>
        </is>
      </c>
      <c r="L1412" t="inlineStr">
        <is>
          <t>No focal subject</t>
        </is>
      </c>
      <c r="M1412" t="n">
        <v>33.469</v>
      </c>
      <c r="N1412" t="inlineStr">
        <is>
          <t>Explore_F</t>
        </is>
      </c>
      <c r="O1412" t="inlineStr">
        <is>
          <t>Familiar</t>
        </is>
      </c>
      <c r="P1412" t="inlineStr">
        <is>
          <t>STATE</t>
        </is>
      </c>
      <c r="Q1412" t="n">
        <v>315.5</v>
      </c>
      <c r="R1412" t="n">
        <v>315.9</v>
      </c>
      <c r="S1412" t="n">
        <v>0.4</v>
      </c>
      <c r="T1412" t="inlineStr">
        <is>
          <t>C:/Users/manuel.felline/Documents/BEHAVIOR BTBR/NOR second cohort/BTBR/training/c16_f5.mp4</t>
        </is>
      </c>
      <c r="U1412" t="n">
        <v>9718</v>
      </c>
      <c r="V1412" t="n">
        <v>9730</v>
      </c>
      <c r="W1412" t="n">
        <v/>
      </c>
      <c r="X1412" t="n">
        <v/>
      </c>
      <c r="Y1412" t="n">
        <v/>
      </c>
      <c r="Z1412" t="n">
        <v/>
      </c>
      <c r="AA1412">
        <f>SUMIFS($S$2:S1412,$A$2:A1412,A1412,$N$2:N1412,"Explore*")</f>
        <v/>
      </c>
      <c r="AB1412">
        <f>IF(AND(LEFT(N1412,7)="Explore",(AA1412-IF(LEFT(N1412,7)="Explore",S1412,0))&lt;10),"SI","NO")</f>
        <v/>
      </c>
    </row>
    <row r="1413">
      <c r="A1413" t="inlineStr">
        <is>
          <t>c16f5_training</t>
        </is>
      </c>
      <c r="B1413" t="inlineStr">
        <is>
          <t>2026-06-30 16:23:30.398</t>
        </is>
      </c>
      <c r="C1413" t="n">
        <v/>
      </c>
      <c r="D1413" t="inlineStr">
        <is>
          <t>Media file</t>
        </is>
      </c>
      <c r="E1413" t="inlineStr">
        <is>
          <t>player #1:C:/Users/manuel.felline/Documents/BEHAVIOR BTBR/NOR second cohort/BTBR/training/c16_f5.mp4</t>
        </is>
      </c>
      <c r="F1413" t="n">
        <v>-10.533</v>
      </c>
      <c r="G1413" t="n">
        <v>577.266</v>
      </c>
      <c r="H1413" t="n">
        <v>627.999</v>
      </c>
      <c r="I1413" t="n">
        <v>30</v>
      </c>
      <c r="J1413" t="inlineStr">
        <is>
          <t>BTBR</t>
        </is>
      </c>
      <c r="K1413" t="inlineStr">
        <is>
          <t xml:space="preserve"> Female</t>
        </is>
      </c>
      <c r="L1413" t="inlineStr">
        <is>
          <t>No focal subject</t>
        </is>
      </c>
      <c r="M1413" t="n">
        <v>33.469</v>
      </c>
      <c r="N1413" t="inlineStr">
        <is>
          <t>Explore_F2</t>
        </is>
      </c>
      <c r="O1413" t="inlineStr">
        <is>
          <t>Second familiar</t>
        </is>
      </c>
      <c r="P1413" t="inlineStr">
        <is>
          <t>STATE</t>
        </is>
      </c>
      <c r="Q1413" t="n">
        <v>327.533</v>
      </c>
      <c r="R1413" t="n">
        <v>328.367</v>
      </c>
      <c r="S1413" t="n">
        <v>0.834</v>
      </c>
      <c r="T1413" t="inlineStr">
        <is>
          <t>C:/Users/manuel.felline/Documents/BEHAVIOR BTBR/NOR second cohort/BTBR/training/c16_f5.mp4</t>
        </is>
      </c>
      <c r="U1413" t="n">
        <v>10077</v>
      </c>
      <c r="V1413" t="n">
        <v>10102</v>
      </c>
      <c r="W1413" t="n">
        <v/>
      </c>
      <c r="X1413" t="n">
        <v/>
      </c>
      <c r="Y1413" t="n">
        <v/>
      </c>
      <c r="Z1413" t="n">
        <v/>
      </c>
      <c r="AA1413">
        <f>SUMIFS($S$2:S1413,$A$2:A1413,A1413,$N$2:N1413,"Explore*")</f>
        <v/>
      </c>
      <c r="AB1413">
        <f>IF(AND(LEFT(N1413,7)="Explore",(AA1413-IF(LEFT(N1413,7)="Explore",S1413,0))&lt;10),"SI","NO")</f>
        <v/>
      </c>
    </row>
    <row r="1414">
      <c r="A1414" t="inlineStr">
        <is>
          <t>c16f5_training</t>
        </is>
      </c>
      <c r="B1414" t="inlineStr">
        <is>
          <t>2026-06-30 16:23:30.398</t>
        </is>
      </c>
      <c r="C1414" t="n">
        <v/>
      </c>
      <c r="D1414" t="inlineStr">
        <is>
          <t>Media file</t>
        </is>
      </c>
      <c r="E1414" t="inlineStr">
        <is>
          <t>player #1:C:/Users/manuel.felline/Documents/BEHAVIOR BTBR/NOR second cohort/BTBR/training/c16_f5.mp4</t>
        </is>
      </c>
      <c r="F1414" t="n">
        <v>-10.533</v>
      </c>
      <c r="G1414" t="n">
        <v>577.266</v>
      </c>
      <c r="H1414" t="n">
        <v>627.999</v>
      </c>
      <c r="I1414" t="n">
        <v>30</v>
      </c>
      <c r="J1414" t="inlineStr">
        <is>
          <t>BTBR</t>
        </is>
      </c>
      <c r="K1414" t="inlineStr">
        <is>
          <t xml:space="preserve"> Female</t>
        </is>
      </c>
      <c r="L1414" t="inlineStr">
        <is>
          <t>No focal subject</t>
        </is>
      </c>
      <c r="M1414" t="n">
        <v>33.469</v>
      </c>
      <c r="N1414" t="inlineStr">
        <is>
          <t>Explore_F2</t>
        </is>
      </c>
      <c r="O1414" t="inlineStr">
        <is>
          <t>Second familiar</t>
        </is>
      </c>
      <c r="P1414" t="inlineStr">
        <is>
          <t>STATE</t>
        </is>
      </c>
      <c r="Q1414" t="n">
        <v>354.733</v>
      </c>
      <c r="R1414" t="n">
        <v>355.1</v>
      </c>
      <c r="S1414" t="n">
        <v>0.367</v>
      </c>
      <c r="T1414" t="inlineStr">
        <is>
          <t>C:/Users/manuel.felline/Documents/BEHAVIOR BTBR/NOR second cohort/BTBR/training/c16_f5.mp4</t>
        </is>
      </c>
      <c r="U1414" t="n">
        <v>10888</v>
      </c>
      <c r="V1414" t="n">
        <v>10899</v>
      </c>
      <c r="W1414" t="n">
        <v/>
      </c>
      <c r="X1414" t="n">
        <v/>
      </c>
      <c r="Y1414" t="n">
        <v/>
      </c>
      <c r="Z1414" t="n">
        <v/>
      </c>
      <c r="AA1414">
        <f>SUMIFS($S$2:S1414,$A$2:A1414,A1414,$N$2:N1414,"Explore*")</f>
        <v/>
      </c>
      <c r="AB1414">
        <f>IF(AND(LEFT(N1414,7)="Explore",(AA1414-IF(LEFT(N1414,7)="Explore",S1414,0))&lt;10),"SI","NO")</f>
        <v/>
      </c>
    </row>
    <row r="1415">
      <c r="A1415" t="inlineStr">
        <is>
          <t>c16f5_training</t>
        </is>
      </c>
      <c r="B1415" t="inlineStr">
        <is>
          <t>2026-06-30 16:23:30.398</t>
        </is>
      </c>
      <c r="C1415" t="n">
        <v/>
      </c>
      <c r="D1415" t="inlineStr">
        <is>
          <t>Media file</t>
        </is>
      </c>
      <c r="E1415" t="inlineStr">
        <is>
          <t>player #1:C:/Users/manuel.felline/Documents/BEHAVIOR BTBR/NOR second cohort/BTBR/training/c16_f5.mp4</t>
        </is>
      </c>
      <c r="F1415" t="n">
        <v>-10.533</v>
      </c>
      <c r="G1415" t="n">
        <v>577.266</v>
      </c>
      <c r="H1415" t="n">
        <v>627.999</v>
      </c>
      <c r="I1415" t="n">
        <v>30</v>
      </c>
      <c r="J1415" t="inlineStr">
        <is>
          <t>BTBR</t>
        </is>
      </c>
      <c r="K1415" t="inlineStr">
        <is>
          <t xml:space="preserve"> Female</t>
        </is>
      </c>
      <c r="L1415" t="inlineStr">
        <is>
          <t>No focal subject</t>
        </is>
      </c>
      <c r="M1415" t="n">
        <v>33.469</v>
      </c>
      <c r="N1415" t="inlineStr">
        <is>
          <t>Explore_F</t>
        </is>
      </c>
      <c r="O1415" t="inlineStr">
        <is>
          <t>Familiar</t>
        </is>
      </c>
      <c r="P1415" t="inlineStr">
        <is>
          <t>STATE</t>
        </is>
      </c>
      <c r="Q1415" t="n">
        <v>370.833</v>
      </c>
      <c r="R1415" t="n">
        <v>371.367</v>
      </c>
      <c r="S1415" t="n">
        <v>0.534</v>
      </c>
      <c r="T1415" t="inlineStr">
        <is>
          <t>C:/Users/manuel.felline/Documents/BEHAVIOR BTBR/NOR second cohort/BTBR/training/c16_f5.mp4</t>
        </is>
      </c>
      <c r="U1415" t="n">
        <v>11368</v>
      </c>
      <c r="V1415" t="n">
        <v>11384</v>
      </c>
      <c r="W1415" t="n">
        <v/>
      </c>
      <c r="X1415" t="n">
        <v/>
      </c>
      <c r="Y1415" t="n">
        <v/>
      </c>
      <c r="Z1415" t="n">
        <v/>
      </c>
      <c r="AA1415">
        <f>SUMIFS($S$2:S1415,$A$2:A1415,A1415,$N$2:N1415,"Explore*")</f>
        <v/>
      </c>
      <c r="AB1415">
        <f>IF(AND(LEFT(N1415,7)="Explore",(AA1415-IF(LEFT(N1415,7)="Explore",S1415,0))&lt;10),"SI","NO")</f>
        <v/>
      </c>
    </row>
    <row r="1416">
      <c r="A1416" t="inlineStr">
        <is>
          <t>c16f5_training</t>
        </is>
      </c>
      <c r="B1416" t="inlineStr">
        <is>
          <t>2026-06-30 16:23:30.398</t>
        </is>
      </c>
      <c r="C1416" t="n">
        <v/>
      </c>
      <c r="D1416" t="inlineStr">
        <is>
          <t>Media file</t>
        </is>
      </c>
      <c r="E1416" t="inlineStr">
        <is>
          <t>player #1:C:/Users/manuel.felline/Documents/BEHAVIOR BTBR/NOR second cohort/BTBR/training/c16_f5.mp4</t>
        </is>
      </c>
      <c r="F1416" t="n">
        <v>-10.533</v>
      </c>
      <c r="G1416" t="n">
        <v>577.266</v>
      </c>
      <c r="H1416" t="n">
        <v>627.999</v>
      </c>
      <c r="I1416" t="n">
        <v>30</v>
      </c>
      <c r="J1416" t="inlineStr">
        <is>
          <t>BTBR</t>
        </is>
      </c>
      <c r="K1416" t="inlineStr">
        <is>
          <t xml:space="preserve"> Female</t>
        </is>
      </c>
      <c r="L1416" t="inlineStr">
        <is>
          <t>No focal subject</t>
        </is>
      </c>
      <c r="M1416" t="n">
        <v>33.469</v>
      </c>
      <c r="N1416" t="inlineStr">
        <is>
          <t>Explore_F2</t>
        </is>
      </c>
      <c r="O1416" t="inlineStr">
        <is>
          <t>Second familiar</t>
        </is>
      </c>
      <c r="P1416" t="inlineStr">
        <is>
          <t>STATE</t>
        </is>
      </c>
      <c r="Q1416" t="n">
        <v>380.633</v>
      </c>
      <c r="R1416" t="n">
        <v>381.433</v>
      </c>
      <c r="S1416" t="n">
        <v>0.8</v>
      </c>
      <c r="T1416" t="inlineStr">
        <is>
          <t>C:/Users/manuel.felline/Documents/BEHAVIOR BTBR/NOR second cohort/BTBR/training/c16_f5.mp4</t>
        </is>
      </c>
      <c r="U1416" t="n">
        <v>11660</v>
      </c>
      <c r="V1416" t="n">
        <v>11684</v>
      </c>
      <c r="W1416" t="n">
        <v/>
      </c>
      <c r="X1416" t="n">
        <v/>
      </c>
      <c r="Y1416" t="n">
        <v/>
      </c>
      <c r="Z1416" t="n">
        <v/>
      </c>
      <c r="AA1416">
        <f>SUMIFS($S$2:S1416,$A$2:A1416,A1416,$N$2:N1416,"Explore*")</f>
        <v/>
      </c>
      <c r="AB1416">
        <f>IF(AND(LEFT(N1416,7)="Explore",(AA1416-IF(LEFT(N1416,7)="Explore",S1416,0))&lt;10),"SI","NO")</f>
        <v/>
      </c>
    </row>
    <row r="1417">
      <c r="A1417" t="inlineStr">
        <is>
          <t>c16f5_training</t>
        </is>
      </c>
      <c r="B1417" t="inlineStr">
        <is>
          <t>2026-06-30 16:23:30.398</t>
        </is>
      </c>
      <c r="C1417" t="n">
        <v/>
      </c>
      <c r="D1417" t="inlineStr">
        <is>
          <t>Media file</t>
        </is>
      </c>
      <c r="E1417" t="inlineStr">
        <is>
          <t>player #1:C:/Users/manuel.felline/Documents/BEHAVIOR BTBR/NOR second cohort/BTBR/training/c16_f5.mp4</t>
        </is>
      </c>
      <c r="F1417" t="n">
        <v>-10.533</v>
      </c>
      <c r="G1417" t="n">
        <v>577.266</v>
      </c>
      <c r="H1417" t="n">
        <v>627.999</v>
      </c>
      <c r="I1417" t="n">
        <v>30</v>
      </c>
      <c r="J1417" t="inlineStr">
        <is>
          <t>BTBR</t>
        </is>
      </c>
      <c r="K1417" t="inlineStr">
        <is>
          <t xml:space="preserve"> Female</t>
        </is>
      </c>
      <c r="L1417" t="inlineStr">
        <is>
          <t>No focal subject</t>
        </is>
      </c>
      <c r="M1417" t="n">
        <v>33.469</v>
      </c>
      <c r="N1417" t="inlineStr">
        <is>
          <t>Explore_F</t>
        </is>
      </c>
      <c r="O1417" t="inlineStr">
        <is>
          <t>Familiar</t>
        </is>
      </c>
      <c r="P1417" t="inlineStr">
        <is>
          <t>STATE</t>
        </is>
      </c>
      <c r="Q1417" t="n">
        <v>400.167</v>
      </c>
      <c r="R1417" t="n">
        <v>400.6</v>
      </c>
      <c r="S1417" t="n">
        <v>0.433</v>
      </c>
      <c r="T1417" t="inlineStr">
        <is>
          <t>C:/Users/manuel.felline/Documents/BEHAVIOR BTBR/NOR second cohort/BTBR/training/c16_f5.mp4</t>
        </is>
      </c>
      <c r="U1417" t="n">
        <v>12242</v>
      </c>
      <c r="V1417" t="n">
        <v>12255</v>
      </c>
      <c r="W1417" t="n">
        <v/>
      </c>
      <c r="X1417" t="n">
        <v/>
      </c>
      <c r="Y1417" t="n">
        <v/>
      </c>
      <c r="Z1417" t="n">
        <v/>
      </c>
      <c r="AA1417">
        <f>SUMIFS($S$2:S1417,$A$2:A1417,A1417,$N$2:N1417,"Explore*")</f>
        <v/>
      </c>
      <c r="AB1417">
        <f>IF(AND(LEFT(N1417,7)="Explore",(AA1417-IF(LEFT(N1417,7)="Explore",S1417,0))&lt;10),"SI","NO")</f>
        <v/>
      </c>
    </row>
    <row r="1418">
      <c r="A1418" t="inlineStr">
        <is>
          <t>c16f5_training</t>
        </is>
      </c>
      <c r="B1418" t="inlineStr">
        <is>
          <t>2026-06-30 16:23:30.398</t>
        </is>
      </c>
      <c r="C1418" t="n">
        <v/>
      </c>
      <c r="D1418" t="inlineStr">
        <is>
          <t>Media file</t>
        </is>
      </c>
      <c r="E1418" t="inlineStr">
        <is>
          <t>player #1:C:/Users/manuel.felline/Documents/BEHAVIOR BTBR/NOR second cohort/BTBR/training/c16_f5.mp4</t>
        </is>
      </c>
      <c r="F1418" t="n">
        <v>-10.533</v>
      </c>
      <c r="G1418" t="n">
        <v>577.266</v>
      </c>
      <c r="H1418" t="n">
        <v>627.999</v>
      </c>
      <c r="I1418" t="n">
        <v>30</v>
      </c>
      <c r="J1418" t="inlineStr">
        <is>
          <t>BTBR</t>
        </is>
      </c>
      <c r="K1418" t="inlineStr">
        <is>
          <t xml:space="preserve"> Female</t>
        </is>
      </c>
      <c r="L1418" t="inlineStr">
        <is>
          <t>No focal subject</t>
        </is>
      </c>
      <c r="M1418" t="n">
        <v>33.469</v>
      </c>
      <c r="N1418" t="inlineStr">
        <is>
          <t>Explore_F2</t>
        </is>
      </c>
      <c r="O1418" t="inlineStr">
        <is>
          <t>Second familiar</t>
        </is>
      </c>
      <c r="P1418" t="inlineStr">
        <is>
          <t>STATE</t>
        </is>
      </c>
      <c r="Q1418" t="n">
        <v>410.167</v>
      </c>
      <c r="R1418" t="n">
        <v>411</v>
      </c>
      <c r="S1418" t="n">
        <v>0.833</v>
      </c>
      <c r="T1418" t="inlineStr">
        <is>
          <t>C:/Users/manuel.felline/Documents/BEHAVIOR BTBR/NOR second cohort/BTBR/training/c16_f5.mp4</t>
        </is>
      </c>
      <c r="U1418" t="n">
        <v>12540</v>
      </c>
      <c r="V1418" t="n">
        <v>12565</v>
      </c>
      <c r="W1418" t="n">
        <v/>
      </c>
      <c r="X1418" t="n">
        <v/>
      </c>
      <c r="Y1418" t="n">
        <v/>
      </c>
      <c r="Z1418" t="n">
        <v/>
      </c>
      <c r="AA1418">
        <f>SUMIFS($S$2:S1418,$A$2:A1418,A1418,$N$2:N1418,"Explore*")</f>
        <v/>
      </c>
      <c r="AB1418">
        <f>IF(AND(LEFT(N1418,7)="Explore",(AA1418-IF(LEFT(N1418,7)="Explore",S1418,0))&lt;10),"SI","NO")</f>
        <v/>
      </c>
    </row>
    <row r="1419">
      <c r="A1419" t="inlineStr">
        <is>
          <t>c16f5_training</t>
        </is>
      </c>
      <c r="B1419" t="inlineStr">
        <is>
          <t>2026-06-30 16:23:30.398</t>
        </is>
      </c>
      <c r="C1419" t="n">
        <v/>
      </c>
      <c r="D1419" t="inlineStr">
        <is>
          <t>Media file</t>
        </is>
      </c>
      <c r="E1419" t="inlineStr">
        <is>
          <t>player #1:C:/Users/manuel.felline/Documents/BEHAVIOR BTBR/NOR second cohort/BTBR/training/c16_f5.mp4</t>
        </is>
      </c>
      <c r="F1419" t="n">
        <v>-10.533</v>
      </c>
      <c r="G1419" t="n">
        <v>577.266</v>
      </c>
      <c r="H1419" t="n">
        <v>627.999</v>
      </c>
      <c r="I1419" t="n">
        <v>30</v>
      </c>
      <c r="J1419" t="inlineStr">
        <is>
          <t>BTBR</t>
        </is>
      </c>
      <c r="K1419" t="inlineStr">
        <is>
          <t xml:space="preserve"> Female</t>
        </is>
      </c>
      <c r="L1419" t="inlineStr">
        <is>
          <t>No focal subject</t>
        </is>
      </c>
      <c r="M1419" t="n">
        <v>33.469</v>
      </c>
      <c r="N1419" t="inlineStr">
        <is>
          <t>Explore_F</t>
        </is>
      </c>
      <c r="O1419" t="inlineStr">
        <is>
          <t>Familiar</t>
        </is>
      </c>
      <c r="P1419" t="inlineStr">
        <is>
          <t>STATE</t>
        </is>
      </c>
      <c r="Q1419" t="n">
        <v>446.433</v>
      </c>
      <c r="R1419" t="n">
        <v>447.1</v>
      </c>
      <c r="S1419" t="n">
        <v>0.667</v>
      </c>
      <c r="T1419" t="inlineStr">
        <is>
          <t>C:/Users/manuel.felline/Documents/BEHAVIOR BTBR/NOR second cohort/BTBR/training/c16_f5.mp4</t>
        </is>
      </c>
      <c r="U1419" t="n">
        <v>13621</v>
      </c>
      <c r="V1419" t="n">
        <v>13641</v>
      </c>
      <c r="W1419" t="n">
        <v/>
      </c>
      <c r="X1419" t="n">
        <v/>
      </c>
      <c r="Y1419" t="n">
        <v/>
      </c>
      <c r="Z1419" t="n">
        <v/>
      </c>
      <c r="AA1419">
        <f>SUMIFS($S$2:S1419,$A$2:A1419,A1419,$N$2:N1419,"Explore*")</f>
        <v/>
      </c>
      <c r="AB1419">
        <f>IF(AND(LEFT(N1419,7)="Explore",(AA1419-IF(LEFT(N1419,7)="Explore",S1419,0))&lt;10),"SI","NO")</f>
        <v/>
      </c>
    </row>
    <row r="1420">
      <c r="A1420" t="inlineStr">
        <is>
          <t>c16f5_training</t>
        </is>
      </c>
      <c r="B1420" t="inlineStr">
        <is>
          <t>2026-06-30 16:23:30.398</t>
        </is>
      </c>
      <c r="C1420" t="n">
        <v/>
      </c>
      <c r="D1420" t="inlineStr">
        <is>
          <t>Media file</t>
        </is>
      </c>
      <c r="E1420" t="inlineStr">
        <is>
          <t>player #1:C:/Users/manuel.felline/Documents/BEHAVIOR BTBR/NOR second cohort/BTBR/training/c16_f5.mp4</t>
        </is>
      </c>
      <c r="F1420" t="n">
        <v>-10.533</v>
      </c>
      <c r="G1420" t="n">
        <v>577.266</v>
      </c>
      <c r="H1420" t="n">
        <v>627.999</v>
      </c>
      <c r="I1420" t="n">
        <v>30</v>
      </c>
      <c r="J1420" t="inlineStr">
        <is>
          <t>BTBR</t>
        </is>
      </c>
      <c r="K1420" t="inlineStr">
        <is>
          <t xml:space="preserve"> Female</t>
        </is>
      </c>
      <c r="L1420" t="inlineStr">
        <is>
          <t>No focal subject</t>
        </is>
      </c>
      <c r="M1420" t="n">
        <v>33.469</v>
      </c>
      <c r="N1420" t="inlineStr">
        <is>
          <t>Explore_F2</t>
        </is>
      </c>
      <c r="O1420" t="inlineStr">
        <is>
          <t>Second familiar</t>
        </is>
      </c>
      <c r="P1420" t="inlineStr">
        <is>
          <t>STATE</t>
        </is>
      </c>
      <c r="Q1420" t="n">
        <v>460.233</v>
      </c>
      <c r="R1420" t="n">
        <v>460.5</v>
      </c>
      <c r="S1420" t="n">
        <v>0.267</v>
      </c>
      <c r="T1420" t="inlineStr">
        <is>
          <t>C:/Users/manuel.felline/Documents/BEHAVIOR BTBR/NOR second cohort/BTBR/training/c16_f5.mp4</t>
        </is>
      </c>
      <c r="U1420" t="n">
        <v>14033</v>
      </c>
      <c r="V1420" t="n">
        <v>14040</v>
      </c>
      <c r="W1420" t="n">
        <v/>
      </c>
      <c r="X1420" t="n">
        <v/>
      </c>
      <c r="Y1420" t="n">
        <v/>
      </c>
      <c r="Z1420" t="n">
        <v/>
      </c>
      <c r="AA1420">
        <f>SUMIFS($S$2:S1420,$A$2:A1420,A1420,$N$2:N1420,"Explore*")</f>
        <v/>
      </c>
      <c r="AB1420">
        <f>IF(AND(LEFT(N1420,7)="Explore",(AA1420-IF(LEFT(N1420,7)="Explore",S1420,0))&lt;10),"SI","NO")</f>
        <v/>
      </c>
    </row>
    <row r="1421">
      <c r="A1421" t="inlineStr">
        <is>
          <t>c16f5_training</t>
        </is>
      </c>
      <c r="B1421" t="inlineStr">
        <is>
          <t>2026-06-30 16:23:30.398</t>
        </is>
      </c>
      <c r="C1421" t="n">
        <v/>
      </c>
      <c r="D1421" t="inlineStr">
        <is>
          <t>Media file</t>
        </is>
      </c>
      <c r="E1421" t="inlineStr">
        <is>
          <t>player #1:C:/Users/manuel.felline/Documents/BEHAVIOR BTBR/NOR second cohort/BTBR/training/c16_f5.mp4</t>
        </is>
      </c>
      <c r="F1421" t="n">
        <v>-10.533</v>
      </c>
      <c r="G1421" t="n">
        <v>577.266</v>
      </c>
      <c r="H1421" t="n">
        <v>627.999</v>
      </c>
      <c r="I1421" t="n">
        <v>30</v>
      </c>
      <c r="J1421" t="inlineStr">
        <is>
          <t>BTBR</t>
        </is>
      </c>
      <c r="K1421" t="inlineStr">
        <is>
          <t xml:space="preserve"> Female</t>
        </is>
      </c>
      <c r="L1421" t="inlineStr">
        <is>
          <t>No focal subject</t>
        </is>
      </c>
      <c r="M1421" t="n">
        <v>33.469</v>
      </c>
      <c r="N1421" t="inlineStr">
        <is>
          <t>Explore_F</t>
        </is>
      </c>
      <c r="O1421" t="inlineStr">
        <is>
          <t>Familiar</t>
        </is>
      </c>
      <c r="P1421" t="inlineStr">
        <is>
          <t>STATE</t>
        </is>
      </c>
      <c r="Q1421" t="n">
        <v>461.833</v>
      </c>
      <c r="R1421" t="n">
        <v>462.567</v>
      </c>
      <c r="S1421" t="n">
        <v>0.734</v>
      </c>
      <c r="T1421" t="inlineStr">
        <is>
          <t>C:/Users/manuel.felline/Documents/BEHAVIOR BTBR/NOR second cohort/BTBR/training/c16_f5.mp4</t>
        </is>
      </c>
      <c r="U1421" t="n">
        <v>14080</v>
      </c>
      <c r="V1421" t="n">
        <v>14102</v>
      </c>
      <c r="W1421" t="n">
        <v/>
      </c>
      <c r="X1421" t="n">
        <v/>
      </c>
      <c r="Y1421" t="n">
        <v/>
      </c>
      <c r="Z1421" t="n">
        <v/>
      </c>
      <c r="AA1421">
        <f>SUMIFS($S$2:S1421,$A$2:A1421,A1421,$N$2:N1421,"Explore*")</f>
        <v/>
      </c>
      <c r="AB1421">
        <f>IF(AND(LEFT(N1421,7)="Explore",(AA1421-IF(LEFT(N1421,7)="Explore",S1421,0))&lt;10),"SI","NO")</f>
        <v/>
      </c>
    </row>
    <row r="1422">
      <c r="A1422" t="inlineStr">
        <is>
          <t>c16f5_training</t>
        </is>
      </c>
      <c r="B1422" t="inlineStr">
        <is>
          <t>2026-06-30 16:23:30.398</t>
        </is>
      </c>
      <c r="C1422" t="n">
        <v/>
      </c>
      <c r="D1422" t="inlineStr">
        <is>
          <t>Media file</t>
        </is>
      </c>
      <c r="E1422" t="inlineStr">
        <is>
          <t>player #1:C:/Users/manuel.felline/Documents/BEHAVIOR BTBR/NOR second cohort/BTBR/training/c16_f5.mp4</t>
        </is>
      </c>
      <c r="F1422" t="n">
        <v>-10.533</v>
      </c>
      <c r="G1422" t="n">
        <v>577.266</v>
      </c>
      <c r="H1422" t="n">
        <v>627.999</v>
      </c>
      <c r="I1422" t="n">
        <v>30</v>
      </c>
      <c r="J1422" t="inlineStr">
        <is>
          <t>BTBR</t>
        </is>
      </c>
      <c r="K1422" t="inlineStr">
        <is>
          <t xml:space="preserve"> Female</t>
        </is>
      </c>
      <c r="L1422" t="inlineStr">
        <is>
          <t>No focal subject</t>
        </is>
      </c>
      <c r="M1422" t="n">
        <v>33.469</v>
      </c>
      <c r="N1422" t="inlineStr">
        <is>
          <t>Explore_F2</t>
        </is>
      </c>
      <c r="O1422" t="inlineStr">
        <is>
          <t>Second familiar</t>
        </is>
      </c>
      <c r="P1422" t="inlineStr">
        <is>
          <t>STATE</t>
        </is>
      </c>
      <c r="Q1422" t="n">
        <v>464.8</v>
      </c>
      <c r="R1422" t="n">
        <v>465.433</v>
      </c>
      <c r="S1422" t="n">
        <v>0.633</v>
      </c>
      <c r="T1422" t="inlineStr">
        <is>
          <t>C:/Users/manuel.felline/Documents/BEHAVIOR BTBR/NOR second cohort/BTBR/training/c16_f5.mp4</t>
        </is>
      </c>
      <c r="U1422" t="n">
        <v>14169</v>
      </c>
      <c r="V1422" t="n">
        <v>14188</v>
      </c>
      <c r="W1422" t="n">
        <v/>
      </c>
      <c r="X1422" t="n">
        <v/>
      </c>
      <c r="Y1422" t="n">
        <v/>
      </c>
      <c r="Z1422" t="n">
        <v/>
      </c>
      <c r="AA1422">
        <f>SUMIFS($S$2:S1422,$A$2:A1422,A1422,$N$2:N1422,"Explore*")</f>
        <v/>
      </c>
      <c r="AB1422">
        <f>IF(AND(LEFT(N1422,7)="Explore",(AA1422-IF(LEFT(N1422,7)="Explore",S1422,0))&lt;10),"SI","NO")</f>
        <v/>
      </c>
    </row>
    <row r="1423">
      <c r="A1423" t="inlineStr">
        <is>
          <t>c16f5_training</t>
        </is>
      </c>
      <c r="B1423" t="inlineStr">
        <is>
          <t>2026-06-30 16:23:30.398</t>
        </is>
      </c>
      <c r="C1423" t="n">
        <v/>
      </c>
      <c r="D1423" t="inlineStr">
        <is>
          <t>Media file</t>
        </is>
      </c>
      <c r="E1423" t="inlineStr">
        <is>
          <t>player #1:C:/Users/manuel.felline/Documents/BEHAVIOR BTBR/NOR second cohort/BTBR/training/c16_f5.mp4</t>
        </is>
      </c>
      <c r="F1423" t="n">
        <v>-10.533</v>
      </c>
      <c r="G1423" t="n">
        <v>577.266</v>
      </c>
      <c r="H1423" t="n">
        <v>627.999</v>
      </c>
      <c r="I1423" t="n">
        <v>30</v>
      </c>
      <c r="J1423" t="inlineStr">
        <is>
          <t>BTBR</t>
        </is>
      </c>
      <c r="K1423" t="inlineStr">
        <is>
          <t xml:space="preserve"> Female</t>
        </is>
      </c>
      <c r="L1423" t="inlineStr">
        <is>
          <t>No focal subject</t>
        </is>
      </c>
      <c r="M1423" t="n">
        <v>33.469</v>
      </c>
      <c r="N1423" t="inlineStr">
        <is>
          <t>Explore_F</t>
        </is>
      </c>
      <c r="O1423" t="inlineStr">
        <is>
          <t>Familiar</t>
        </is>
      </c>
      <c r="P1423" t="inlineStr">
        <is>
          <t>STATE</t>
        </is>
      </c>
      <c r="Q1423" t="n">
        <v>471.533</v>
      </c>
      <c r="R1423" t="n">
        <v>471.933</v>
      </c>
      <c r="S1423" t="n">
        <v>0.4</v>
      </c>
      <c r="T1423" t="inlineStr">
        <is>
          <t>C:/Users/manuel.felline/Documents/BEHAVIOR BTBR/NOR second cohort/BTBR/training/c16_f5.mp4</t>
        </is>
      </c>
      <c r="U1423" t="n">
        <v>14369</v>
      </c>
      <c r="V1423" t="n">
        <v>14381</v>
      </c>
      <c r="W1423" t="n">
        <v/>
      </c>
      <c r="X1423" t="n">
        <v/>
      </c>
      <c r="Y1423" t="n">
        <v/>
      </c>
      <c r="Z1423" t="n">
        <v/>
      </c>
      <c r="AA1423">
        <f>SUMIFS($S$2:S1423,$A$2:A1423,A1423,$N$2:N1423,"Explore*")</f>
        <v/>
      </c>
      <c r="AB1423">
        <f>IF(AND(LEFT(N1423,7)="Explore",(AA1423-IF(LEFT(N1423,7)="Explore",S1423,0))&lt;10),"SI","NO")</f>
        <v/>
      </c>
    </row>
    <row r="1424">
      <c r="A1424" t="inlineStr">
        <is>
          <t>c16f5_training</t>
        </is>
      </c>
      <c r="B1424" t="inlineStr">
        <is>
          <t>2026-06-30 16:23:30.398</t>
        </is>
      </c>
      <c r="C1424" t="n">
        <v/>
      </c>
      <c r="D1424" t="inlineStr">
        <is>
          <t>Media file</t>
        </is>
      </c>
      <c r="E1424" t="inlineStr">
        <is>
          <t>player #1:C:/Users/manuel.felline/Documents/BEHAVIOR BTBR/NOR second cohort/BTBR/training/c16_f5.mp4</t>
        </is>
      </c>
      <c r="F1424" t="n">
        <v>-10.533</v>
      </c>
      <c r="G1424" t="n">
        <v>577.266</v>
      </c>
      <c r="H1424" t="n">
        <v>627.999</v>
      </c>
      <c r="I1424" t="n">
        <v>30</v>
      </c>
      <c r="J1424" t="inlineStr">
        <is>
          <t>BTBR</t>
        </is>
      </c>
      <c r="K1424" t="inlineStr">
        <is>
          <t xml:space="preserve"> Female</t>
        </is>
      </c>
      <c r="L1424" t="inlineStr">
        <is>
          <t>No focal subject</t>
        </is>
      </c>
      <c r="M1424" t="n">
        <v>33.469</v>
      </c>
      <c r="N1424" t="inlineStr">
        <is>
          <t>Explore_F</t>
        </is>
      </c>
      <c r="O1424" t="inlineStr">
        <is>
          <t>Familiar</t>
        </is>
      </c>
      <c r="P1424" t="inlineStr">
        <is>
          <t>STATE</t>
        </is>
      </c>
      <c r="Q1424" t="n">
        <v>516.433</v>
      </c>
      <c r="R1424" t="n">
        <v>517.433</v>
      </c>
      <c r="S1424" t="n">
        <v>1</v>
      </c>
      <c r="T1424" t="inlineStr">
        <is>
          <t>C:/Users/manuel.felline/Documents/BEHAVIOR BTBR/NOR second cohort/BTBR/training/c16_f5.mp4</t>
        </is>
      </c>
      <c r="U1424" t="n">
        <v>15708</v>
      </c>
      <c r="V1424" t="n">
        <v>15738</v>
      </c>
      <c r="W1424" t="n">
        <v/>
      </c>
      <c r="X1424" t="n">
        <v/>
      </c>
      <c r="Y1424" t="n">
        <v/>
      </c>
      <c r="Z1424" t="n">
        <v/>
      </c>
      <c r="AA1424">
        <f>SUMIFS($S$2:S1424,$A$2:A1424,A1424,$N$2:N1424,"Explore*")</f>
        <v/>
      </c>
      <c r="AB1424">
        <f>IF(AND(LEFT(N1424,7)="Explore",(AA1424-IF(LEFT(N1424,7)="Explore",S1424,0))&lt;10),"SI","NO")</f>
        <v/>
      </c>
    </row>
    <row r="1425">
      <c r="A1425" t="inlineStr">
        <is>
          <t>c16f5_training</t>
        </is>
      </c>
      <c r="B1425" t="inlineStr">
        <is>
          <t>2026-06-30 16:23:30.398</t>
        </is>
      </c>
      <c r="C1425" t="n">
        <v/>
      </c>
      <c r="D1425" t="inlineStr">
        <is>
          <t>Media file</t>
        </is>
      </c>
      <c r="E1425" t="inlineStr">
        <is>
          <t>player #1:C:/Users/manuel.felline/Documents/BEHAVIOR BTBR/NOR second cohort/BTBR/training/c16_f5.mp4</t>
        </is>
      </c>
      <c r="F1425" t="n">
        <v>-10.533</v>
      </c>
      <c r="G1425" t="n">
        <v>577.266</v>
      </c>
      <c r="H1425" t="n">
        <v>627.999</v>
      </c>
      <c r="I1425" t="n">
        <v>30</v>
      </c>
      <c r="J1425" t="inlineStr">
        <is>
          <t>BTBR</t>
        </is>
      </c>
      <c r="K1425" t="inlineStr">
        <is>
          <t xml:space="preserve"> Female</t>
        </is>
      </c>
      <c r="L1425" t="inlineStr">
        <is>
          <t>No focal subject</t>
        </is>
      </c>
      <c r="M1425" t="n">
        <v>33.469</v>
      </c>
      <c r="N1425" t="inlineStr">
        <is>
          <t>Explore_F2</t>
        </is>
      </c>
      <c r="O1425" t="inlineStr">
        <is>
          <t>Second familiar</t>
        </is>
      </c>
      <c r="P1425" t="inlineStr">
        <is>
          <t>STATE</t>
        </is>
      </c>
      <c r="Q1425" t="n">
        <v>537.366</v>
      </c>
      <c r="R1425" t="n">
        <v>537.866</v>
      </c>
      <c r="S1425" t="n">
        <v>0.5</v>
      </c>
      <c r="T1425" t="inlineStr">
        <is>
          <t>C:/Users/manuel.felline/Documents/BEHAVIOR BTBR/NOR second cohort/BTBR/training/c16_f5.mp4</t>
        </is>
      </c>
      <c r="U1425" t="n">
        <v>16332</v>
      </c>
      <c r="V1425" t="n">
        <v>16347</v>
      </c>
      <c r="W1425" t="n">
        <v/>
      </c>
      <c r="X1425" t="n">
        <v/>
      </c>
      <c r="Y1425" t="n">
        <v/>
      </c>
      <c r="Z1425" t="n">
        <v/>
      </c>
      <c r="AA1425">
        <f>SUMIFS($S$2:S1425,$A$2:A1425,A1425,$N$2:N1425,"Explore*")</f>
        <v/>
      </c>
      <c r="AB1425">
        <f>IF(AND(LEFT(N1425,7)="Explore",(AA1425-IF(LEFT(N1425,7)="Explore",S1425,0))&lt;10),"SI","NO")</f>
        <v/>
      </c>
    </row>
    <row r="1426">
      <c r="A1426" t="inlineStr">
        <is>
          <t>c16f5_training</t>
        </is>
      </c>
      <c r="B1426" t="inlineStr">
        <is>
          <t>2026-06-30 16:23:30.398</t>
        </is>
      </c>
      <c r="C1426" t="n">
        <v/>
      </c>
      <c r="D1426" t="inlineStr">
        <is>
          <t>Media file</t>
        </is>
      </c>
      <c r="E1426" t="inlineStr">
        <is>
          <t>player #1:C:/Users/manuel.felline/Documents/BEHAVIOR BTBR/NOR second cohort/BTBR/training/c16_f5.mp4</t>
        </is>
      </c>
      <c r="F1426" t="n">
        <v>-10.533</v>
      </c>
      <c r="G1426" t="n">
        <v>577.266</v>
      </c>
      <c r="H1426" t="n">
        <v>627.999</v>
      </c>
      <c r="I1426" t="n">
        <v>30</v>
      </c>
      <c r="J1426" t="inlineStr">
        <is>
          <t>BTBR</t>
        </is>
      </c>
      <c r="K1426" t="inlineStr">
        <is>
          <t xml:space="preserve"> Female</t>
        </is>
      </c>
      <c r="L1426" t="inlineStr">
        <is>
          <t>No focal subject</t>
        </is>
      </c>
      <c r="M1426" t="n">
        <v>33.469</v>
      </c>
      <c r="N1426" t="inlineStr">
        <is>
          <t>Explore_F2</t>
        </is>
      </c>
      <c r="O1426" t="inlineStr">
        <is>
          <t>Second familiar</t>
        </is>
      </c>
      <c r="P1426" t="inlineStr">
        <is>
          <t>STATE</t>
        </is>
      </c>
      <c r="Q1426" t="n">
        <v>567.366</v>
      </c>
      <c r="R1426" t="n">
        <v>567.9</v>
      </c>
      <c r="S1426" t="n">
        <v>0.534</v>
      </c>
      <c r="T1426" t="inlineStr">
        <is>
          <t>C:/Users/manuel.felline/Documents/BEHAVIOR BTBR/NOR second cohort/BTBR/training/c16_f5.mp4</t>
        </is>
      </c>
      <c r="U1426" t="n">
        <v>17226</v>
      </c>
      <c r="V1426" t="n">
        <v>17242</v>
      </c>
      <c r="W1426" t="n">
        <v/>
      </c>
      <c r="X1426" t="n">
        <v/>
      </c>
      <c r="Y1426" t="n">
        <v/>
      </c>
      <c r="Z1426" t="n">
        <v/>
      </c>
      <c r="AA1426">
        <f>SUMIFS($S$2:S1426,$A$2:A1426,A1426,$N$2:N1426,"Explore*")</f>
        <v/>
      </c>
      <c r="AB1426">
        <f>IF(AND(LEFT(N1426,7)="Explore",(AA1426-IF(LEFT(N1426,7)="Explore",S1426,0))&lt;10),"SI","NO")</f>
        <v/>
      </c>
    </row>
    <row r="1427">
      <c r="A1427" t="inlineStr">
        <is>
          <t>c16f5_training</t>
        </is>
      </c>
      <c r="B1427" t="inlineStr">
        <is>
          <t>2026-06-30 16:23:30.398</t>
        </is>
      </c>
      <c r="C1427" t="n">
        <v/>
      </c>
      <c r="D1427" t="inlineStr">
        <is>
          <t>Media file</t>
        </is>
      </c>
      <c r="E1427" t="inlineStr">
        <is>
          <t>player #1:C:/Users/manuel.felline/Documents/BEHAVIOR BTBR/NOR second cohort/BTBR/training/c16_f5.mp4</t>
        </is>
      </c>
      <c r="F1427" t="n">
        <v>-10.533</v>
      </c>
      <c r="G1427" t="n">
        <v>577.266</v>
      </c>
      <c r="H1427" t="n">
        <v>627.999</v>
      </c>
      <c r="I1427" t="n">
        <v>30</v>
      </c>
      <c r="J1427" t="inlineStr">
        <is>
          <t>BTBR</t>
        </is>
      </c>
      <c r="K1427" t="inlineStr">
        <is>
          <t xml:space="preserve"> Female</t>
        </is>
      </c>
      <c r="L1427" t="inlineStr">
        <is>
          <t>No focal subject</t>
        </is>
      </c>
      <c r="M1427" t="n">
        <v>33.469</v>
      </c>
      <c r="N1427" t="inlineStr">
        <is>
          <t>Explore_F2</t>
        </is>
      </c>
      <c r="O1427" t="inlineStr">
        <is>
          <t>Second familiar</t>
        </is>
      </c>
      <c r="P1427" t="inlineStr">
        <is>
          <t>STATE</t>
        </is>
      </c>
      <c r="Q1427" t="n">
        <v>574.966</v>
      </c>
      <c r="R1427" t="n">
        <v>575.7329999999999</v>
      </c>
      <c r="S1427" t="n">
        <v>0.767</v>
      </c>
      <c r="T1427" t="inlineStr">
        <is>
          <t>C:/Users/manuel.felline/Documents/BEHAVIOR BTBR/NOR second cohort/BTBR/training/c16_f5.mp4</t>
        </is>
      </c>
      <c r="U1427" t="n">
        <v>17452</v>
      </c>
      <c r="V1427" t="n">
        <v>17475</v>
      </c>
      <c r="W1427" t="n">
        <v/>
      </c>
      <c r="X1427" t="n">
        <v/>
      </c>
      <c r="Y1427" t="n">
        <v/>
      </c>
      <c r="Z1427" t="n">
        <v/>
      </c>
      <c r="AA1427">
        <f>SUMIFS($S$2:S1427,$A$2:A1427,A1427,$N$2:N1427,"Explore*")</f>
        <v/>
      </c>
      <c r="AB1427">
        <f>IF(AND(LEFT(N1427,7)="Explore",(AA1427-IF(LEFT(N1427,7)="Explore",S1427,0))&lt;10),"SI","NO")</f>
        <v/>
      </c>
    </row>
    <row r="1428">
      <c r="A1428" t="inlineStr">
        <is>
          <t>c16f5_training</t>
        </is>
      </c>
      <c r="B1428" t="inlineStr">
        <is>
          <t>2026-06-30 16:23:30.398</t>
        </is>
      </c>
      <c r="C1428" t="n">
        <v/>
      </c>
      <c r="D1428" t="inlineStr">
        <is>
          <t>Media file</t>
        </is>
      </c>
      <c r="E1428" t="inlineStr">
        <is>
          <t>player #1:C:/Users/manuel.felline/Documents/BEHAVIOR BTBR/NOR second cohort/BTBR/training/c16_f5.mp4</t>
        </is>
      </c>
      <c r="F1428" t="n">
        <v>-10.533</v>
      </c>
      <c r="G1428" t="n">
        <v>577.266</v>
      </c>
      <c r="H1428" t="n">
        <v>627.999</v>
      </c>
      <c r="I1428" t="n">
        <v>30</v>
      </c>
      <c r="J1428" t="inlineStr">
        <is>
          <t>BTBR</t>
        </is>
      </c>
      <c r="K1428" t="inlineStr">
        <is>
          <t xml:space="preserve"> Female</t>
        </is>
      </c>
      <c r="L1428" t="inlineStr">
        <is>
          <t>No focal subject</t>
        </is>
      </c>
      <c r="M1428" t="n">
        <v>33.469</v>
      </c>
      <c r="N1428" t="inlineStr">
        <is>
          <t>Explore_F2</t>
        </is>
      </c>
      <c r="O1428" t="inlineStr">
        <is>
          <t>Second familiar</t>
        </is>
      </c>
      <c r="P1428" t="inlineStr">
        <is>
          <t>STATE</t>
        </is>
      </c>
      <c r="Q1428" t="n">
        <v>577</v>
      </c>
      <c r="R1428" t="n">
        <v>577.833</v>
      </c>
      <c r="S1428" t="n">
        <v>0.833</v>
      </c>
      <c r="T1428" t="inlineStr">
        <is>
          <t>C:/Users/manuel.felline/Documents/BEHAVIOR BTBR/NOR second cohort/BTBR/training/c16_f5.mp4</t>
        </is>
      </c>
      <c r="U1428" t="n">
        <v>17513</v>
      </c>
      <c r="V1428" t="n">
        <v>17538</v>
      </c>
      <c r="W1428" t="n">
        <v/>
      </c>
      <c r="X1428" t="n">
        <v/>
      </c>
      <c r="Y1428" t="n">
        <v/>
      </c>
      <c r="Z1428" t="n">
        <v/>
      </c>
      <c r="AA1428">
        <f>SUMIFS($S$2:S1428,$A$2:A1428,A1428,$N$2:N1428,"Explore*")</f>
        <v/>
      </c>
      <c r="AB1428">
        <f>IF(AND(LEFT(N1428,7)="Explore",(AA1428-IF(LEFT(N1428,7)="Explore",S1428,0))&lt;10),"SI","NO")</f>
        <v/>
      </c>
    </row>
    <row r="1429">
      <c r="A1429" t="inlineStr">
        <is>
          <t>c16f5_training</t>
        </is>
      </c>
      <c r="B1429" t="inlineStr">
        <is>
          <t>2026-06-30 16:23:30.398</t>
        </is>
      </c>
      <c r="C1429" t="n">
        <v/>
      </c>
      <c r="D1429" t="inlineStr">
        <is>
          <t>Media file</t>
        </is>
      </c>
      <c r="E1429" t="inlineStr">
        <is>
          <t>player #1:C:/Users/manuel.felline/Documents/BEHAVIOR BTBR/NOR second cohort/BTBR/training/c16_f5.mp4</t>
        </is>
      </c>
      <c r="F1429" t="n">
        <v>-10.533</v>
      </c>
      <c r="G1429" t="n">
        <v>577.266</v>
      </c>
      <c r="H1429" t="n">
        <v>627.999</v>
      </c>
      <c r="I1429" t="n">
        <v>30</v>
      </c>
      <c r="J1429" t="inlineStr">
        <is>
          <t>BTBR</t>
        </is>
      </c>
      <c r="K1429" t="inlineStr">
        <is>
          <t xml:space="preserve"> Female</t>
        </is>
      </c>
      <c r="L1429" t="inlineStr">
        <is>
          <t>No focal subject</t>
        </is>
      </c>
      <c r="M1429" t="n">
        <v>33.469</v>
      </c>
      <c r="N1429" t="inlineStr">
        <is>
          <t>Explore_F</t>
        </is>
      </c>
      <c r="O1429" t="inlineStr">
        <is>
          <t>Familiar</t>
        </is>
      </c>
      <c r="P1429" t="inlineStr">
        <is>
          <t>STATE</t>
        </is>
      </c>
      <c r="Q1429" t="n">
        <v>580.966</v>
      </c>
      <c r="R1429" t="n">
        <v>581.366</v>
      </c>
      <c r="S1429" t="n">
        <v>0.4</v>
      </c>
      <c r="T1429" t="inlineStr">
        <is>
          <t>C:/Users/manuel.felline/Documents/BEHAVIOR BTBR/NOR second cohort/BTBR/training/c16_f5.mp4</t>
        </is>
      </c>
      <c r="U1429" t="n">
        <v>17631</v>
      </c>
      <c r="V1429" t="n">
        <v>17643</v>
      </c>
      <c r="W1429" t="n">
        <v/>
      </c>
      <c r="X1429" t="n">
        <v/>
      </c>
      <c r="Y1429" t="n">
        <v/>
      </c>
      <c r="Z1429" t="n">
        <v/>
      </c>
      <c r="AA1429">
        <f>SUMIFS($S$2:S1429,$A$2:A1429,A1429,$N$2:N1429,"Explore*")</f>
        <v/>
      </c>
      <c r="AB1429">
        <f>IF(AND(LEFT(N1429,7)="Explore",(AA1429-IF(LEFT(N1429,7)="Explore",S1429,0))&lt;10),"SI","NO")</f>
        <v/>
      </c>
    </row>
    <row r="1430">
      <c r="A1430" t="inlineStr">
        <is>
          <t>c50m1_training</t>
        </is>
      </c>
      <c r="B1430" t="inlineStr">
        <is>
          <t>2026-02-20 11:33:16.174</t>
        </is>
      </c>
      <c r="C1430" t="n">
        <v/>
      </c>
      <c r="D1430" t="inlineStr">
        <is>
          <t>Media file</t>
        </is>
      </c>
      <c r="E1430" t="inlineStr">
        <is>
          <t>player #1:WT\training\c50m1.mp4</t>
        </is>
      </c>
      <c r="F1430" t="n">
        <v>-11.233</v>
      </c>
      <c r="G1430" t="n">
        <v>587.766</v>
      </c>
      <c r="H1430" t="n">
        <v>625.099</v>
      </c>
      <c r="I1430" t="n">
        <v>30</v>
      </c>
      <c r="J1430" t="inlineStr">
        <is>
          <t xml:space="preserve"> WT</t>
        </is>
      </c>
      <c r="K1430" t="inlineStr">
        <is>
          <t>Male</t>
        </is>
      </c>
      <c r="L1430" t="inlineStr">
        <is>
          <t>No focal subject</t>
        </is>
      </c>
      <c r="M1430" t="n">
        <v>13.767</v>
      </c>
      <c r="N1430" t="inlineStr">
        <is>
          <t>Explore_F2</t>
        </is>
      </c>
      <c r="O1430" t="inlineStr">
        <is>
          <t>Second familiar</t>
        </is>
      </c>
      <c r="P1430" t="inlineStr">
        <is>
          <t>STATE</t>
        </is>
      </c>
      <c r="Q1430" t="n">
        <v>8.834</v>
      </c>
      <c r="R1430" t="n">
        <v>9.699999999999999</v>
      </c>
      <c r="S1430" t="n">
        <v>0.866</v>
      </c>
      <c r="T1430" t="inlineStr">
        <is>
          <t>WT\training\c50m1.mp4</t>
        </is>
      </c>
      <c r="U1430" t="n">
        <v>265</v>
      </c>
      <c r="V1430" t="n">
        <v>291</v>
      </c>
      <c r="W1430" t="n">
        <v/>
      </c>
      <c r="X1430" t="n">
        <v/>
      </c>
      <c r="Y1430" t="n">
        <v/>
      </c>
      <c r="Z1430" t="n">
        <v/>
      </c>
      <c r="AA1430">
        <f>SUMIFS($S$2:S1430,$A$2:A1430,A1430,$N$2:N1430,"Explore*")</f>
        <v/>
      </c>
      <c r="AB1430">
        <f>IF(AND(LEFT(N1430,7)="Explore",(AA1430-IF(LEFT(N1430,7)="Explore",S1430,0))&lt;10),"SI","NO")</f>
        <v/>
      </c>
    </row>
    <row r="1431">
      <c r="A1431" t="inlineStr">
        <is>
          <t>c50m1_training</t>
        </is>
      </c>
      <c r="B1431" t="inlineStr">
        <is>
          <t>2026-02-20 11:33:16.174</t>
        </is>
      </c>
      <c r="C1431" t="n">
        <v/>
      </c>
      <c r="D1431" t="inlineStr">
        <is>
          <t>Media file</t>
        </is>
      </c>
      <c r="E1431" t="inlineStr">
        <is>
          <t>player #1:WT\training\c50m1.mp4</t>
        </is>
      </c>
      <c r="F1431" t="n">
        <v>-11.233</v>
      </c>
      <c r="G1431" t="n">
        <v>587.766</v>
      </c>
      <c r="H1431" t="n">
        <v>625.099</v>
      </c>
      <c r="I1431" t="n">
        <v>30</v>
      </c>
      <c r="J1431" t="inlineStr">
        <is>
          <t xml:space="preserve"> WT</t>
        </is>
      </c>
      <c r="K1431" t="inlineStr">
        <is>
          <t>Male</t>
        </is>
      </c>
      <c r="L1431" t="inlineStr">
        <is>
          <t>No focal subject</t>
        </is>
      </c>
      <c r="M1431" t="n">
        <v>13.767</v>
      </c>
      <c r="N1431" t="inlineStr">
        <is>
          <t>Explore_F</t>
        </is>
      </c>
      <c r="O1431" t="inlineStr">
        <is>
          <t>Familiar</t>
        </is>
      </c>
      <c r="P1431" t="inlineStr">
        <is>
          <t>STATE</t>
        </is>
      </c>
      <c r="Q1431" t="n">
        <v>16.2</v>
      </c>
      <c r="R1431" t="n">
        <v>16.634</v>
      </c>
      <c r="S1431" t="n">
        <v>0.434</v>
      </c>
      <c r="T1431" t="inlineStr">
        <is>
          <t>WT\training\c50m1.mp4</t>
        </is>
      </c>
      <c r="U1431" t="n">
        <v>486</v>
      </c>
      <c r="V1431" t="n">
        <v>499</v>
      </c>
      <c r="W1431" t="n">
        <v/>
      </c>
      <c r="X1431" t="n">
        <v/>
      </c>
      <c r="Y1431" t="n">
        <v/>
      </c>
      <c r="Z1431" t="n">
        <v/>
      </c>
      <c r="AA1431">
        <f>SUMIFS($S$2:S1431,$A$2:A1431,A1431,$N$2:N1431,"Explore*")</f>
        <v/>
      </c>
      <c r="AB1431">
        <f>IF(AND(LEFT(N1431,7)="Explore",(AA1431-IF(LEFT(N1431,7)="Explore",S1431,0))&lt;10),"SI","NO")</f>
        <v/>
      </c>
    </row>
    <row r="1432">
      <c r="A1432" t="inlineStr">
        <is>
          <t>c50m1_training</t>
        </is>
      </c>
      <c r="B1432" t="inlineStr">
        <is>
          <t>2026-02-20 11:33:16.174</t>
        </is>
      </c>
      <c r="C1432" t="n">
        <v/>
      </c>
      <c r="D1432" t="inlineStr">
        <is>
          <t>Media file</t>
        </is>
      </c>
      <c r="E1432" t="inlineStr">
        <is>
          <t>player #1:WT\training\c50m1.mp4</t>
        </is>
      </c>
      <c r="F1432" t="n">
        <v>-11.233</v>
      </c>
      <c r="G1432" t="n">
        <v>587.766</v>
      </c>
      <c r="H1432" t="n">
        <v>625.099</v>
      </c>
      <c r="I1432" t="n">
        <v>30</v>
      </c>
      <c r="J1432" t="inlineStr">
        <is>
          <t xml:space="preserve"> WT</t>
        </is>
      </c>
      <c r="K1432" t="inlineStr">
        <is>
          <t>Male</t>
        </is>
      </c>
      <c r="L1432" t="inlineStr">
        <is>
          <t>No focal subject</t>
        </is>
      </c>
      <c r="M1432" t="n">
        <v>13.767</v>
      </c>
      <c r="N1432" t="inlineStr">
        <is>
          <t>Explore_F2</t>
        </is>
      </c>
      <c r="O1432" t="inlineStr">
        <is>
          <t>Second familiar</t>
        </is>
      </c>
      <c r="P1432" t="inlineStr">
        <is>
          <t>STATE</t>
        </is>
      </c>
      <c r="Q1432" t="n">
        <v>18.067</v>
      </c>
      <c r="R1432" t="n">
        <v>18.834</v>
      </c>
      <c r="S1432" t="n">
        <v>0.767</v>
      </c>
      <c r="T1432" t="inlineStr">
        <is>
          <t>WT\training\c50m1.mp4</t>
        </is>
      </c>
      <c r="U1432" t="n">
        <v>542</v>
      </c>
      <c r="V1432" t="n">
        <v>565</v>
      </c>
      <c r="W1432" t="n">
        <v/>
      </c>
      <c r="X1432" t="n">
        <v/>
      </c>
      <c r="Y1432" t="n">
        <v/>
      </c>
      <c r="Z1432" t="n">
        <v/>
      </c>
      <c r="AA1432">
        <f>SUMIFS($S$2:S1432,$A$2:A1432,A1432,$N$2:N1432,"Explore*")</f>
        <v/>
      </c>
      <c r="AB1432">
        <f>IF(AND(LEFT(N1432,7)="Explore",(AA1432-IF(LEFT(N1432,7)="Explore",S1432,0))&lt;10),"SI","NO")</f>
        <v/>
      </c>
    </row>
    <row r="1433">
      <c r="A1433" t="inlineStr">
        <is>
          <t>c50m1_training</t>
        </is>
      </c>
      <c r="B1433" t="inlineStr">
        <is>
          <t>2026-02-20 11:33:16.174</t>
        </is>
      </c>
      <c r="C1433" t="n">
        <v/>
      </c>
      <c r="D1433" t="inlineStr">
        <is>
          <t>Media file</t>
        </is>
      </c>
      <c r="E1433" t="inlineStr">
        <is>
          <t>player #1:WT\training\c50m1.mp4</t>
        </is>
      </c>
      <c r="F1433" t="n">
        <v>-11.233</v>
      </c>
      <c r="G1433" t="n">
        <v>587.766</v>
      </c>
      <c r="H1433" t="n">
        <v>625.099</v>
      </c>
      <c r="I1433" t="n">
        <v>30</v>
      </c>
      <c r="J1433" t="inlineStr">
        <is>
          <t xml:space="preserve"> WT</t>
        </is>
      </c>
      <c r="K1433" t="inlineStr">
        <is>
          <t>Male</t>
        </is>
      </c>
      <c r="L1433" t="inlineStr">
        <is>
          <t>No focal subject</t>
        </is>
      </c>
      <c r="M1433" t="n">
        <v>13.767</v>
      </c>
      <c r="N1433" t="inlineStr">
        <is>
          <t>Explore_F2</t>
        </is>
      </c>
      <c r="O1433" t="inlineStr">
        <is>
          <t>Second familiar</t>
        </is>
      </c>
      <c r="P1433" t="inlineStr">
        <is>
          <t>STATE</t>
        </is>
      </c>
      <c r="Q1433" t="n">
        <v>19.734</v>
      </c>
      <c r="R1433" t="n">
        <v>20.034</v>
      </c>
      <c r="S1433" t="n">
        <v>0.3</v>
      </c>
      <c r="T1433" t="inlineStr">
        <is>
          <t>WT\training\c50m1.mp4</t>
        </is>
      </c>
      <c r="U1433" t="n">
        <v>592</v>
      </c>
      <c r="V1433" t="n">
        <v>602</v>
      </c>
      <c r="W1433" t="n">
        <v/>
      </c>
      <c r="X1433" t="n">
        <v/>
      </c>
      <c r="Y1433" t="n">
        <v/>
      </c>
      <c r="Z1433" t="n">
        <v/>
      </c>
      <c r="AA1433">
        <f>SUMIFS($S$2:S1433,$A$2:A1433,A1433,$N$2:N1433,"Explore*")</f>
        <v/>
      </c>
      <c r="AB1433">
        <f>IF(AND(LEFT(N1433,7)="Explore",(AA1433-IF(LEFT(N1433,7)="Explore",S1433,0))&lt;10),"SI","NO")</f>
        <v/>
      </c>
    </row>
    <row r="1434">
      <c r="A1434" t="inlineStr">
        <is>
          <t>c50m1_training</t>
        </is>
      </c>
      <c r="B1434" t="inlineStr">
        <is>
          <t>2026-02-20 11:33:16.174</t>
        </is>
      </c>
      <c r="C1434" t="n">
        <v/>
      </c>
      <c r="D1434" t="inlineStr">
        <is>
          <t>Media file</t>
        </is>
      </c>
      <c r="E1434" t="inlineStr">
        <is>
          <t>player #1:WT\training\c50m1.mp4</t>
        </is>
      </c>
      <c r="F1434" t="n">
        <v>-11.233</v>
      </c>
      <c r="G1434" t="n">
        <v>587.766</v>
      </c>
      <c r="H1434" t="n">
        <v>625.099</v>
      </c>
      <c r="I1434" t="n">
        <v>30</v>
      </c>
      <c r="J1434" t="inlineStr">
        <is>
          <t xml:space="preserve"> WT</t>
        </is>
      </c>
      <c r="K1434" t="inlineStr">
        <is>
          <t>Male</t>
        </is>
      </c>
      <c r="L1434" t="inlineStr">
        <is>
          <t>No focal subject</t>
        </is>
      </c>
      <c r="M1434" t="n">
        <v>13.767</v>
      </c>
      <c r="N1434" t="inlineStr">
        <is>
          <t>Explore_F2</t>
        </is>
      </c>
      <c r="O1434" t="inlineStr">
        <is>
          <t>Second familiar</t>
        </is>
      </c>
      <c r="P1434" t="inlineStr">
        <is>
          <t>STATE</t>
        </is>
      </c>
      <c r="Q1434" t="n">
        <v>148.3</v>
      </c>
      <c r="R1434" t="n">
        <v>148.5</v>
      </c>
      <c r="S1434" t="n">
        <v>0.2</v>
      </c>
      <c r="T1434" t="inlineStr">
        <is>
          <t>WT\training\c50m1.mp4</t>
        </is>
      </c>
      <c r="U1434" t="n">
        <v>4449</v>
      </c>
      <c r="V1434" t="n">
        <v>4457</v>
      </c>
      <c r="W1434" t="n">
        <v/>
      </c>
      <c r="X1434" t="n">
        <v/>
      </c>
      <c r="Y1434" t="n">
        <v/>
      </c>
      <c r="Z1434" t="n">
        <v/>
      </c>
      <c r="AA1434">
        <f>SUMIFS($S$2:S1434,$A$2:A1434,A1434,$N$2:N1434,"Explore*")</f>
        <v/>
      </c>
      <c r="AB1434">
        <f>IF(AND(LEFT(N1434,7)="Explore",(AA1434-IF(LEFT(N1434,7)="Explore",S1434,0))&lt;10),"SI","NO")</f>
        <v/>
      </c>
    </row>
    <row r="1435">
      <c r="A1435" t="inlineStr">
        <is>
          <t>c50m1_training</t>
        </is>
      </c>
      <c r="B1435" t="inlineStr">
        <is>
          <t>2026-02-20 11:33:16.174</t>
        </is>
      </c>
      <c r="C1435" t="n">
        <v/>
      </c>
      <c r="D1435" t="inlineStr">
        <is>
          <t>Media file</t>
        </is>
      </c>
      <c r="E1435" t="inlineStr">
        <is>
          <t>player #1:WT\training\c50m1.mp4</t>
        </is>
      </c>
      <c r="F1435" t="n">
        <v>-11.233</v>
      </c>
      <c r="G1435" t="n">
        <v>587.766</v>
      </c>
      <c r="H1435" t="n">
        <v>625.099</v>
      </c>
      <c r="I1435" t="n">
        <v>30</v>
      </c>
      <c r="J1435" t="inlineStr">
        <is>
          <t xml:space="preserve"> WT</t>
        </is>
      </c>
      <c r="K1435" t="inlineStr">
        <is>
          <t>Male</t>
        </is>
      </c>
      <c r="L1435" t="inlineStr">
        <is>
          <t>No focal subject</t>
        </is>
      </c>
      <c r="M1435" t="n">
        <v>13.767</v>
      </c>
      <c r="N1435" t="inlineStr">
        <is>
          <t>Explore_F</t>
        </is>
      </c>
      <c r="O1435" t="inlineStr">
        <is>
          <t>Familiar</t>
        </is>
      </c>
      <c r="P1435" t="inlineStr">
        <is>
          <t>STATE</t>
        </is>
      </c>
      <c r="Q1435" t="n">
        <v>156.767</v>
      </c>
      <c r="R1435" t="n">
        <v>157.1</v>
      </c>
      <c r="S1435" t="n">
        <v>0.333</v>
      </c>
      <c r="T1435" t="inlineStr">
        <is>
          <t>WT\training\c50m1.mp4</t>
        </is>
      </c>
      <c r="U1435" t="n">
        <v>4703</v>
      </c>
      <c r="V1435" t="n">
        <v>4713</v>
      </c>
      <c r="W1435" t="n">
        <v/>
      </c>
      <c r="X1435" t="n">
        <v/>
      </c>
      <c r="Y1435" t="n">
        <v/>
      </c>
      <c r="Z1435" t="n">
        <v/>
      </c>
      <c r="AA1435">
        <f>SUMIFS($S$2:S1435,$A$2:A1435,A1435,$N$2:N1435,"Explore*")</f>
        <v/>
      </c>
      <c r="AB1435">
        <f>IF(AND(LEFT(N1435,7)="Explore",(AA1435-IF(LEFT(N1435,7)="Explore",S1435,0))&lt;10),"SI","NO")</f>
        <v/>
      </c>
    </row>
    <row r="1436">
      <c r="A1436" t="inlineStr">
        <is>
          <t>c50m1_training</t>
        </is>
      </c>
      <c r="B1436" t="inlineStr">
        <is>
          <t>2026-02-20 11:33:16.174</t>
        </is>
      </c>
      <c r="C1436" t="n">
        <v/>
      </c>
      <c r="D1436" t="inlineStr">
        <is>
          <t>Media file</t>
        </is>
      </c>
      <c r="E1436" t="inlineStr">
        <is>
          <t>player #1:WT\training\c50m1.mp4</t>
        </is>
      </c>
      <c r="F1436" t="n">
        <v>-11.233</v>
      </c>
      <c r="G1436" t="n">
        <v>587.766</v>
      </c>
      <c r="H1436" t="n">
        <v>625.099</v>
      </c>
      <c r="I1436" t="n">
        <v>30</v>
      </c>
      <c r="J1436" t="inlineStr">
        <is>
          <t xml:space="preserve"> WT</t>
        </is>
      </c>
      <c r="K1436" t="inlineStr">
        <is>
          <t>Male</t>
        </is>
      </c>
      <c r="L1436" t="inlineStr">
        <is>
          <t>No focal subject</t>
        </is>
      </c>
      <c r="M1436" t="n">
        <v>13.767</v>
      </c>
      <c r="N1436" t="inlineStr">
        <is>
          <t>Explore_F</t>
        </is>
      </c>
      <c r="O1436" t="inlineStr">
        <is>
          <t>Familiar</t>
        </is>
      </c>
      <c r="P1436" t="inlineStr">
        <is>
          <t>STATE</t>
        </is>
      </c>
      <c r="Q1436" t="n">
        <v>172.167</v>
      </c>
      <c r="R1436" t="n">
        <v>172.4</v>
      </c>
      <c r="S1436" t="n">
        <v>0.233</v>
      </c>
      <c r="T1436" t="inlineStr">
        <is>
          <t>WT\training\c50m1.mp4</t>
        </is>
      </c>
      <c r="U1436" t="n">
        <v>5165</v>
      </c>
      <c r="V1436" t="n">
        <v>5172</v>
      </c>
      <c r="W1436" t="n">
        <v/>
      </c>
      <c r="X1436" t="n">
        <v/>
      </c>
      <c r="Y1436" t="n">
        <v/>
      </c>
      <c r="Z1436" t="n">
        <v/>
      </c>
      <c r="AA1436">
        <f>SUMIFS($S$2:S1436,$A$2:A1436,A1436,$N$2:N1436,"Explore*")</f>
        <v/>
      </c>
      <c r="AB1436">
        <f>IF(AND(LEFT(N1436,7)="Explore",(AA1436-IF(LEFT(N1436,7)="Explore",S1436,0))&lt;10),"SI","NO")</f>
        <v/>
      </c>
    </row>
    <row r="1437">
      <c r="A1437" t="inlineStr">
        <is>
          <t>c50m1_training</t>
        </is>
      </c>
      <c r="B1437" t="inlineStr">
        <is>
          <t>2026-02-20 11:33:16.174</t>
        </is>
      </c>
      <c r="C1437" t="n">
        <v/>
      </c>
      <c r="D1437" t="inlineStr">
        <is>
          <t>Media file</t>
        </is>
      </c>
      <c r="E1437" t="inlineStr">
        <is>
          <t>player #1:WT\training\c50m1.mp4</t>
        </is>
      </c>
      <c r="F1437" t="n">
        <v>-11.233</v>
      </c>
      <c r="G1437" t="n">
        <v>587.766</v>
      </c>
      <c r="H1437" t="n">
        <v>625.099</v>
      </c>
      <c r="I1437" t="n">
        <v>30</v>
      </c>
      <c r="J1437" t="inlineStr">
        <is>
          <t xml:space="preserve"> WT</t>
        </is>
      </c>
      <c r="K1437" t="inlineStr">
        <is>
          <t>Male</t>
        </is>
      </c>
      <c r="L1437" t="inlineStr">
        <is>
          <t>No focal subject</t>
        </is>
      </c>
      <c r="M1437" t="n">
        <v>13.767</v>
      </c>
      <c r="N1437" t="inlineStr">
        <is>
          <t>Explore_F</t>
        </is>
      </c>
      <c r="O1437" t="inlineStr">
        <is>
          <t>Familiar</t>
        </is>
      </c>
      <c r="P1437" t="inlineStr">
        <is>
          <t>STATE</t>
        </is>
      </c>
      <c r="Q1437" t="n">
        <v>219.133</v>
      </c>
      <c r="R1437" t="n">
        <v>219.733</v>
      </c>
      <c r="S1437" t="n">
        <v>0.6</v>
      </c>
      <c r="T1437" t="inlineStr">
        <is>
          <t>WT\training\c50m1.mp4</t>
        </is>
      </c>
      <c r="U1437" t="n">
        <v>6574</v>
      </c>
      <c r="V1437" t="n">
        <v>6592</v>
      </c>
      <c r="W1437" t="n">
        <v/>
      </c>
      <c r="X1437" t="n">
        <v/>
      </c>
      <c r="Y1437" t="n">
        <v/>
      </c>
      <c r="Z1437" t="n">
        <v/>
      </c>
      <c r="AA1437">
        <f>SUMIFS($S$2:S1437,$A$2:A1437,A1437,$N$2:N1437,"Explore*")</f>
        <v/>
      </c>
      <c r="AB1437">
        <f>IF(AND(LEFT(N1437,7)="Explore",(AA1437-IF(LEFT(N1437,7)="Explore",S1437,0))&lt;10),"SI","NO")</f>
        <v/>
      </c>
    </row>
    <row r="1438">
      <c r="A1438" t="inlineStr">
        <is>
          <t>c50m1_training</t>
        </is>
      </c>
      <c r="B1438" t="inlineStr">
        <is>
          <t>2026-02-20 11:33:16.174</t>
        </is>
      </c>
      <c r="C1438" t="n">
        <v/>
      </c>
      <c r="D1438" t="inlineStr">
        <is>
          <t>Media file</t>
        </is>
      </c>
      <c r="E1438" t="inlineStr">
        <is>
          <t>player #1:WT\training\c50m1.mp4</t>
        </is>
      </c>
      <c r="F1438" t="n">
        <v>-11.233</v>
      </c>
      <c r="G1438" t="n">
        <v>587.766</v>
      </c>
      <c r="H1438" t="n">
        <v>625.099</v>
      </c>
      <c r="I1438" t="n">
        <v>30</v>
      </c>
      <c r="J1438" t="inlineStr">
        <is>
          <t xml:space="preserve"> WT</t>
        </is>
      </c>
      <c r="K1438" t="inlineStr">
        <is>
          <t>Male</t>
        </is>
      </c>
      <c r="L1438" t="inlineStr">
        <is>
          <t>No focal subject</t>
        </is>
      </c>
      <c r="M1438" t="n">
        <v>13.767</v>
      </c>
      <c r="N1438" t="inlineStr">
        <is>
          <t>Explore_F2</t>
        </is>
      </c>
      <c r="O1438" t="inlineStr">
        <is>
          <t>Second familiar</t>
        </is>
      </c>
      <c r="P1438" t="inlineStr">
        <is>
          <t>STATE</t>
        </is>
      </c>
      <c r="Q1438" t="n">
        <v>232.367</v>
      </c>
      <c r="R1438" t="n">
        <v>233</v>
      </c>
      <c r="S1438" t="n">
        <v>0.633</v>
      </c>
      <c r="T1438" t="inlineStr">
        <is>
          <t>WT\training\c50m1.mp4</t>
        </is>
      </c>
      <c r="U1438" t="n">
        <v>6971</v>
      </c>
      <c r="V1438" t="n">
        <v>6992</v>
      </c>
      <c r="W1438" t="n">
        <v/>
      </c>
      <c r="X1438" t="n">
        <v/>
      </c>
      <c r="Y1438" t="n">
        <v/>
      </c>
      <c r="Z1438" t="n">
        <v/>
      </c>
      <c r="AA1438">
        <f>SUMIFS($S$2:S1438,$A$2:A1438,A1438,$N$2:N1438,"Explore*")</f>
        <v/>
      </c>
      <c r="AB1438">
        <f>IF(AND(LEFT(N1438,7)="Explore",(AA1438-IF(LEFT(N1438,7)="Explore",S1438,0))&lt;10),"SI","NO")</f>
        <v/>
      </c>
    </row>
    <row r="1439">
      <c r="A1439" t="inlineStr">
        <is>
          <t>c50m1_training</t>
        </is>
      </c>
      <c r="B1439" t="inlineStr">
        <is>
          <t>2026-02-20 11:33:16.174</t>
        </is>
      </c>
      <c r="C1439" t="n">
        <v/>
      </c>
      <c r="D1439" t="inlineStr">
        <is>
          <t>Media file</t>
        </is>
      </c>
      <c r="E1439" t="inlineStr">
        <is>
          <t>player #1:WT\training\c50m1.mp4</t>
        </is>
      </c>
      <c r="F1439" t="n">
        <v>-11.233</v>
      </c>
      <c r="G1439" t="n">
        <v>587.766</v>
      </c>
      <c r="H1439" t="n">
        <v>625.099</v>
      </c>
      <c r="I1439" t="n">
        <v>30</v>
      </c>
      <c r="J1439" t="inlineStr">
        <is>
          <t xml:space="preserve"> WT</t>
        </is>
      </c>
      <c r="K1439" t="inlineStr">
        <is>
          <t>Male</t>
        </is>
      </c>
      <c r="L1439" t="inlineStr">
        <is>
          <t>No focal subject</t>
        </is>
      </c>
      <c r="M1439" t="n">
        <v>13.767</v>
      </c>
      <c r="N1439" t="inlineStr">
        <is>
          <t>Explore_F</t>
        </is>
      </c>
      <c r="O1439" t="inlineStr">
        <is>
          <t>Familiar</t>
        </is>
      </c>
      <c r="P1439" t="inlineStr">
        <is>
          <t>STATE</t>
        </is>
      </c>
      <c r="Q1439" t="n">
        <v>247.533</v>
      </c>
      <c r="R1439" t="n">
        <v>247.967</v>
      </c>
      <c r="S1439" t="n">
        <v>0.434</v>
      </c>
      <c r="T1439" t="inlineStr">
        <is>
          <t>WT\training\c50m1.mp4</t>
        </is>
      </c>
      <c r="U1439" t="n">
        <v>7427</v>
      </c>
      <c r="V1439" t="n">
        <v>7439</v>
      </c>
      <c r="W1439" t="n">
        <v/>
      </c>
      <c r="X1439" t="n">
        <v/>
      </c>
      <c r="Y1439" t="n">
        <v/>
      </c>
      <c r="Z1439" t="n">
        <v/>
      </c>
      <c r="AA1439">
        <f>SUMIFS($S$2:S1439,$A$2:A1439,A1439,$N$2:N1439,"Explore*")</f>
        <v/>
      </c>
      <c r="AB1439">
        <f>IF(AND(LEFT(N1439,7)="Explore",(AA1439-IF(LEFT(N1439,7)="Explore",S1439,0))&lt;10),"SI","NO")</f>
        <v/>
      </c>
    </row>
    <row r="1440">
      <c r="A1440" t="inlineStr">
        <is>
          <t>c50m1_training</t>
        </is>
      </c>
      <c r="B1440" t="inlineStr">
        <is>
          <t>2026-02-20 11:33:16.174</t>
        </is>
      </c>
      <c r="C1440" t="n">
        <v/>
      </c>
      <c r="D1440" t="inlineStr">
        <is>
          <t>Media file</t>
        </is>
      </c>
      <c r="E1440" t="inlineStr">
        <is>
          <t>player #1:WT\training\c50m1.mp4</t>
        </is>
      </c>
      <c r="F1440" t="n">
        <v>-11.233</v>
      </c>
      <c r="G1440" t="n">
        <v>587.766</v>
      </c>
      <c r="H1440" t="n">
        <v>625.099</v>
      </c>
      <c r="I1440" t="n">
        <v>30</v>
      </c>
      <c r="J1440" t="inlineStr">
        <is>
          <t xml:space="preserve"> WT</t>
        </is>
      </c>
      <c r="K1440" t="inlineStr">
        <is>
          <t>Male</t>
        </is>
      </c>
      <c r="L1440" t="inlineStr">
        <is>
          <t>No focal subject</t>
        </is>
      </c>
      <c r="M1440" t="n">
        <v>13.767</v>
      </c>
      <c r="N1440" t="inlineStr">
        <is>
          <t>Explore_F2</t>
        </is>
      </c>
      <c r="O1440" t="inlineStr">
        <is>
          <t>Second familiar</t>
        </is>
      </c>
      <c r="P1440" t="inlineStr">
        <is>
          <t>STATE</t>
        </is>
      </c>
      <c r="Q1440" t="n">
        <v>271.3</v>
      </c>
      <c r="R1440" t="n">
        <v>271.7</v>
      </c>
      <c r="S1440" t="n">
        <v>0.4</v>
      </c>
      <c r="T1440" t="inlineStr">
        <is>
          <t>WT\training\c50m1.mp4</t>
        </is>
      </c>
      <c r="U1440" t="n">
        <v>8139</v>
      </c>
      <c r="V1440" t="n">
        <v>8151</v>
      </c>
      <c r="W1440" t="n">
        <v/>
      </c>
      <c r="X1440" t="n">
        <v/>
      </c>
      <c r="Y1440" t="n">
        <v/>
      </c>
      <c r="Z1440" t="n">
        <v/>
      </c>
      <c r="AA1440">
        <f>SUMIFS($S$2:S1440,$A$2:A1440,A1440,$N$2:N1440,"Explore*")</f>
        <v/>
      </c>
      <c r="AB1440">
        <f>IF(AND(LEFT(N1440,7)="Explore",(AA1440-IF(LEFT(N1440,7)="Explore",S1440,0))&lt;10),"SI","NO")</f>
        <v/>
      </c>
    </row>
    <row r="1441">
      <c r="A1441" t="inlineStr">
        <is>
          <t>c50m1_training</t>
        </is>
      </c>
      <c r="B1441" t="inlineStr">
        <is>
          <t>2026-02-20 11:33:16.174</t>
        </is>
      </c>
      <c r="C1441" t="n">
        <v/>
      </c>
      <c r="D1441" t="inlineStr">
        <is>
          <t>Media file</t>
        </is>
      </c>
      <c r="E1441" t="inlineStr">
        <is>
          <t>player #1:WT\training\c50m1.mp4</t>
        </is>
      </c>
      <c r="F1441" t="n">
        <v>-11.233</v>
      </c>
      <c r="G1441" t="n">
        <v>587.766</v>
      </c>
      <c r="H1441" t="n">
        <v>625.099</v>
      </c>
      <c r="I1441" t="n">
        <v>30</v>
      </c>
      <c r="J1441" t="inlineStr">
        <is>
          <t xml:space="preserve"> WT</t>
        </is>
      </c>
      <c r="K1441" t="inlineStr">
        <is>
          <t>Male</t>
        </is>
      </c>
      <c r="L1441" t="inlineStr">
        <is>
          <t>No focal subject</t>
        </is>
      </c>
      <c r="M1441" t="n">
        <v>13.767</v>
      </c>
      <c r="N1441" t="inlineStr">
        <is>
          <t>Explore_F</t>
        </is>
      </c>
      <c r="O1441" t="inlineStr">
        <is>
          <t>Familiar</t>
        </is>
      </c>
      <c r="P1441" t="inlineStr">
        <is>
          <t>STATE</t>
        </is>
      </c>
      <c r="Q1441" t="n">
        <v>309</v>
      </c>
      <c r="R1441" t="n">
        <v>309.533</v>
      </c>
      <c r="S1441" t="n">
        <v>0.533</v>
      </c>
      <c r="T1441" t="inlineStr">
        <is>
          <t>WT\training\c50m1.mp4</t>
        </is>
      </c>
      <c r="U1441" t="n">
        <v>9272</v>
      </c>
      <c r="V1441" t="n">
        <v>9287</v>
      </c>
      <c r="W1441" t="n">
        <v/>
      </c>
      <c r="X1441" t="n">
        <v/>
      </c>
      <c r="Y1441" t="n">
        <v/>
      </c>
      <c r="Z1441" t="n">
        <v/>
      </c>
      <c r="AA1441">
        <f>SUMIFS($S$2:S1441,$A$2:A1441,A1441,$N$2:N1441,"Explore*")</f>
        <v/>
      </c>
      <c r="AB1441">
        <f>IF(AND(LEFT(N1441,7)="Explore",(AA1441-IF(LEFT(N1441,7)="Explore",S1441,0))&lt;10),"SI","NO")</f>
        <v/>
      </c>
    </row>
    <row r="1442">
      <c r="A1442" t="inlineStr">
        <is>
          <t>c50m1_training</t>
        </is>
      </c>
      <c r="B1442" t="inlineStr">
        <is>
          <t>2026-02-20 11:33:16.174</t>
        </is>
      </c>
      <c r="C1442" t="n">
        <v/>
      </c>
      <c r="D1442" t="inlineStr">
        <is>
          <t>Media file</t>
        </is>
      </c>
      <c r="E1442" t="inlineStr">
        <is>
          <t>player #1:WT\training\c50m1.mp4</t>
        </is>
      </c>
      <c r="F1442" t="n">
        <v>-11.233</v>
      </c>
      <c r="G1442" t="n">
        <v>587.766</v>
      </c>
      <c r="H1442" t="n">
        <v>625.099</v>
      </c>
      <c r="I1442" t="n">
        <v>30</v>
      </c>
      <c r="J1442" t="inlineStr">
        <is>
          <t xml:space="preserve"> WT</t>
        </is>
      </c>
      <c r="K1442" t="inlineStr">
        <is>
          <t>Male</t>
        </is>
      </c>
      <c r="L1442" t="inlineStr">
        <is>
          <t>No focal subject</t>
        </is>
      </c>
      <c r="M1442" t="n">
        <v>13.767</v>
      </c>
      <c r="N1442" t="inlineStr">
        <is>
          <t>Explore_F</t>
        </is>
      </c>
      <c r="O1442" t="inlineStr">
        <is>
          <t>Familiar</t>
        </is>
      </c>
      <c r="P1442" t="inlineStr">
        <is>
          <t>STATE</t>
        </is>
      </c>
      <c r="Q1442" t="n">
        <v>313.633</v>
      </c>
      <c r="R1442" t="n">
        <v>313.933</v>
      </c>
      <c r="S1442" t="n">
        <v>0.3</v>
      </c>
      <c r="T1442" t="inlineStr">
        <is>
          <t>WT\training\c50m1.mp4</t>
        </is>
      </c>
      <c r="U1442" t="n">
        <v>9408</v>
      </c>
      <c r="V1442" t="n">
        <v>9417</v>
      </c>
      <c r="W1442" t="n">
        <v/>
      </c>
      <c r="X1442" t="n">
        <v/>
      </c>
      <c r="Y1442" t="n">
        <v/>
      </c>
      <c r="Z1442" t="n">
        <v/>
      </c>
      <c r="AA1442">
        <f>SUMIFS($S$2:S1442,$A$2:A1442,A1442,$N$2:N1442,"Explore*")</f>
        <v/>
      </c>
      <c r="AB1442">
        <f>IF(AND(LEFT(N1442,7)="Explore",(AA1442-IF(LEFT(N1442,7)="Explore",S1442,0))&lt;10),"SI","NO")</f>
        <v/>
      </c>
    </row>
    <row r="1443">
      <c r="A1443" t="inlineStr">
        <is>
          <t>c50m1_training</t>
        </is>
      </c>
      <c r="B1443" t="inlineStr">
        <is>
          <t>2026-02-20 11:33:16.174</t>
        </is>
      </c>
      <c r="C1443" t="n">
        <v/>
      </c>
      <c r="D1443" t="inlineStr">
        <is>
          <t>Media file</t>
        </is>
      </c>
      <c r="E1443" t="inlineStr">
        <is>
          <t>player #1:WT\training\c50m1.mp4</t>
        </is>
      </c>
      <c r="F1443" t="n">
        <v>-11.233</v>
      </c>
      <c r="G1443" t="n">
        <v>587.766</v>
      </c>
      <c r="H1443" t="n">
        <v>625.099</v>
      </c>
      <c r="I1443" t="n">
        <v>30</v>
      </c>
      <c r="J1443" t="inlineStr">
        <is>
          <t xml:space="preserve"> WT</t>
        </is>
      </c>
      <c r="K1443" t="inlineStr">
        <is>
          <t>Male</t>
        </is>
      </c>
      <c r="L1443" t="inlineStr">
        <is>
          <t>No focal subject</t>
        </is>
      </c>
      <c r="M1443" t="n">
        <v>13.767</v>
      </c>
      <c r="N1443" t="inlineStr">
        <is>
          <t>Explore_F</t>
        </is>
      </c>
      <c r="O1443" t="inlineStr">
        <is>
          <t>Familiar</t>
        </is>
      </c>
      <c r="P1443" t="inlineStr">
        <is>
          <t>STATE</t>
        </is>
      </c>
      <c r="Q1443" t="n">
        <v>344.833</v>
      </c>
      <c r="R1443" t="n">
        <v>345.067</v>
      </c>
      <c r="S1443" t="n">
        <v>0.234</v>
      </c>
      <c r="T1443" t="inlineStr">
        <is>
          <t>WT\training\c50m1.mp4</t>
        </is>
      </c>
      <c r="U1443" t="n">
        <v>10344</v>
      </c>
      <c r="V1443" t="n">
        <v>10351</v>
      </c>
      <c r="W1443" t="n">
        <v/>
      </c>
      <c r="X1443" t="n">
        <v/>
      </c>
      <c r="Y1443" t="n">
        <v/>
      </c>
      <c r="Z1443" t="n">
        <v/>
      </c>
      <c r="AA1443">
        <f>SUMIFS($S$2:S1443,$A$2:A1443,A1443,$N$2:N1443,"Explore*")</f>
        <v/>
      </c>
      <c r="AB1443">
        <f>IF(AND(LEFT(N1443,7)="Explore",(AA1443-IF(LEFT(N1443,7)="Explore",S1443,0))&lt;10),"SI","NO")</f>
        <v/>
      </c>
    </row>
    <row r="1444">
      <c r="A1444" t="inlineStr">
        <is>
          <t>c50m1_training</t>
        </is>
      </c>
      <c r="B1444" t="inlineStr">
        <is>
          <t>2026-02-20 11:33:16.174</t>
        </is>
      </c>
      <c r="C1444" t="n">
        <v/>
      </c>
      <c r="D1444" t="inlineStr">
        <is>
          <t>Media file</t>
        </is>
      </c>
      <c r="E1444" t="inlineStr">
        <is>
          <t>player #1:WT\training\c50m1.mp4</t>
        </is>
      </c>
      <c r="F1444" t="n">
        <v>-11.233</v>
      </c>
      <c r="G1444" t="n">
        <v>587.766</v>
      </c>
      <c r="H1444" t="n">
        <v>625.099</v>
      </c>
      <c r="I1444" t="n">
        <v>30</v>
      </c>
      <c r="J1444" t="inlineStr">
        <is>
          <t xml:space="preserve"> WT</t>
        </is>
      </c>
      <c r="K1444" t="inlineStr">
        <is>
          <t>Male</t>
        </is>
      </c>
      <c r="L1444" t="inlineStr">
        <is>
          <t>No focal subject</t>
        </is>
      </c>
      <c r="M1444" t="n">
        <v>13.767</v>
      </c>
      <c r="N1444" t="inlineStr">
        <is>
          <t>Explore_F2</t>
        </is>
      </c>
      <c r="O1444" t="inlineStr">
        <is>
          <t>Second familiar</t>
        </is>
      </c>
      <c r="P1444" t="inlineStr">
        <is>
          <t>STATE</t>
        </is>
      </c>
      <c r="Q1444" t="n">
        <v>367.333</v>
      </c>
      <c r="R1444" t="n">
        <v>367.7</v>
      </c>
      <c r="S1444" t="n">
        <v>0.367</v>
      </c>
      <c r="T1444" t="inlineStr">
        <is>
          <t>WT\training\c50m1.mp4</t>
        </is>
      </c>
      <c r="U1444" t="n">
        <v>11019</v>
      </c>
      <c r="V1444" t="n">
        <v>11030</v>
      </c>
      <c r="W1444" t="n">
        <v/>
      </c>
      <c r="X1444" t="n">
        <v/>
      </c>
      <c r="Y1444" t="n">
        <v/>
      </c>
      <c r="Z1444" t="n">
        <v/>
      </c>
      <c r="AA1444">
        <f>SUMIFS($S$2:S1444,$A$2:A1444,A1444,$N$2:N1444,"Explore*")</f>
        <v/>
      </c>
      <c r="AB1444">
        <f>IF(AND(LEFT(N1444,7)="Explore",(AA1444-IF(LEFT(N1444,7)="Explore",S1444,0))&lt;10),"SI","NO")</f>
        <v/>
      </c>
    </row>
    <row r="1445">
      <c r="A1445" t="inlineStr">
        <is>
          <t>c50m1_training</t>
        </is>
      </c>
      <c r="B1445" t="inlineStr">
        <is>
          <t>2026-02-20 11:33:16.174</t>
        </is>
      </c>
      <c r="C1445" t="n">
        <v/>
      </c>
      <c r="D1445" t="inlineStr">
        <is>
          <t>Media file</t>
        </is>
      </c>
      <c r="E1445" t="inlineStr">
        <is>
          <t>player #1:WT\training\c50m1.mp4</t>
        </is>
      </c>
      <c r="F1445" t="n">
        <v>-11.233</v>
      </c>
      <c r="G1445" t="n">
        <v>587.766</v>
      </c>
      <c r="H1445" t="n">
        <v>625.099</v>
      </c>
      <c r="I1445" t="n">
        <v>30</v>
      </c>
      <c r="J1445" t="inlineStr">
        <is>
          <t xml:space="preserve"> WT</t>
        </is>
      </c>
      <c r="K1445" t="inlineStr">
        <is>
          <t>Male</t>
        </is>
      </c>
      <c r="L1445" t="inlineStr">
        <is>
          <t>No focal subject</t>
        </is>
      </c>
      <c r="M1445" t="n">
        <v>13.767</v>
      </c>
      <c r="N1445" t="inlineStr">
        <is>
          <t>Explore_F</t>
        </is>
      </c>
      <c r="O1445" t="inlineStr">
        <is>
          <t>Familiar</t>
        </is>
      </c>
      <c r="P1445" t="inlineStr">
        <is>
          <t>STATE</t>
        </is>
      </c>
      <c r="Q1445" t="n">
        <v>373.8</v>
      </c>
      <c r="R1445" t="n">
        <v>374.333</v>
      </c>
      <c r="S1445" t="n">
        <v>0.533</v>
      </c>
      <c r="T1445" t="inlineStr">
        <is>
          <t>WT\training\c50m1.mp4</t>
        </is>
      </c>
      <c r="U1445" t="n">
        <v>11213</v>
      </c>
      <c r="V1445" t="n">
        <v>11229</v>
      </c>
      <c r="W1445" t="n">
        <v/>
      </c>
      <c r="X1445" t="n">
        <v/>
      </c>
      <c r="Y1445" t="n">
        <v/>
      </c>
      <c r="Z1445" t="n">
        <v/>
      </c>
      <c r="AA1445">
        <f>SUMIFS($S$2:S1445,$A$2:A1445,A1445,$N$2:N1445,"Explore*")</f>
        <v/>
      </c>
      <c r="AB1445">
        <f>IF(AND(LEFT(N1445,7)="Explore",(AA1445-IF(LEFT(N1445,7)="Explore",S1445,0))&lt;10),"SI","NO")</f>
        <v/>
      </c>
    </row>
    <row r="1446">
      <c r="A1446" t="inlineStr">
        <is>
          <t>c50m1_training</t>
        </is>
      </c>
      <c r="B1446" t="inlineStr">
        <is>
          <t>2026-02-20 11:33:16.174</t>
        </is>
      </c>
      <c r="C1446" t="n">
        <v/>
      </c>
      <c r="D1446" t="inlineStr">
        <is>
          <t>Media file</t>
        </is>
      </c>
      <c r="E1446" t="inlineStr">
        <is>
          <t>player #1:WT\training\c50m1.mp4</t>
        </is>
      </c>
      <c r="F1446" t="n">
        <v>-11.233</v>
      </c>
      <c r="G1446" t="n">
        <v>587.766</v>
      </c>
      <c r="H1446" t="n">
        <v>625.099</v>
      </c>
      <c r="I1446" t="n">
        <v>30</v>
      </c>
      <c r="J1446" t="inlineStr">
        <is>
          <t xml:space="preserve"> WT</t>
        </is>
      </c>
      <c r="K1446" t="inlineStr">
        <is>
          <t>Male</t>
        </is>
      </c>
      <c r="L1446" t="inlineStr">
        <is>
          <t>No focal subject</t>
        </is>
      </c>
      <c r="M1446" t="n">
        <v>13.767</v>
      </c>
      <c r="N1446" t="inlineStr">
        <is>
          <t>Explore_F</t>
        </is>
      </c>
      <c r="O1446" t="inlineStr">
        <is>
          <t>Familiar</t>
        </is>
      </c>
      <c r="P1446" t="inlineStr">
        <is>
          <t>STATE</t>
        </is>
      </c>
      <c r="Q1446" t="n">
        <v>390</v>
      </c>
      <c r="R1446" t="n">
        <v>390.367</v>
      </c>
      <c r="S1446" t="n">
        <v>0.367</v>
      </c>
      <c r="T1446" t="inlineStr">
        <is>
          <t>WT\training\c50m1.mp4</t>
        </is>
      </c>
      <c r="U1446" t="n">
        <v>11701</v>
      </c>
      <c r="V1446" t="n">
        <v>11710</v>
      </c>
      <c r="W1446" t="n">
        <v/>
      </c>
      <c r="X1446" t="n">
        <v/>
      </c>
      <c r="Y1446" t="n">
        <v/>
      </c>
      <c r="Z1446" t="n">
        <v/>
      </c>
      <c r="AA1446">
        <f>SUMIFS($S$2:S1446,$A$2:A1446,A1446,$N$2:N1446,"Explore*")</f>
        <v/>
      </c>
      <c r="AB1446">
        <f>IF(AND(LEFT(N1446,7)="Explore",(AA1446-IF(LEFT(N1446,7)="Explore",S1446,0))&lt;10),"SI","NO")</f>
        <v/>
      </c>
    </row>
    <row r="1447">
      <c r="A1447" t="inlineStr">
        <is>
          <t>c50m1_training</t>
        </is>
      </c>
      <c r="B1447" t="inlineStr">
        <is>
          <t>2026-02-20 11:33:16.174</t>
        </is>
      </c>
      <c r="C1447" t="n">
        <v/>
      </c>
      <c r="D1447" t="inlineStr">
        <is>
          <t>Media file</t>
        </is>
      </c>
      <c r="E1447" t="inlineStr">
        <is>
          <t>player #1:WT\training\c50m1.mp4</t>
        </is>
      </c>
      <c r="F1447" t="n">
        <v>-11.233</v>
      </c>
      <c r="G1447" t="n">
        <v>587.766</v>
      </c>
      <c r="H1447" t="n">
        <v>625.099</v>
      </c>
      <c r="I1447" t="n">
        <v>30</v>
      </c>
      <c r="J1447" t="inlineStr">
        <is>
          <t xml:space="preserve"> WT</t>
        </is>
      </c>
      <c r="K1447" t="inlineStr">
        <is>
          <t>Male</t>
        </is>
      </c>
      <c r="L1447" t="inlineStr">
        <is>
          <t>No focal subject</t>
        </is>
      </c>
      <c r="M1447" t="n">
        <v>13.767</v>
      </c>
      <c r="N1447" t="inlineStr">
        <is>
          <t>Explore_F</t>
        </is>
      </c>
      <c r="O1447" t="inlineStr">
        <is>
          <t>Familiar</t>
        </is>
      </c>
      <c r="P1447" t="inlineStr">
        <is>
          <t>STATE</t>
        </is>
      </c>
      <c r="Q1447" t="n">
        <v>395.967</v>
      </c>
      <c r="R1447" t="n">
        <v>396.333</v>
      </c>
      <c r="S1447" t="n">
        <v>0.366</v>
      </c>
      <c r="T1447" t="inlineStr">
        <is>
          <t>WT\training\c50m1.mp4</t>
        </is>
      </c>
      <c r="U1447" t="n">
        <v>11878</v>
      </c>
      <c r="V1447" t="n">
        <v>11889</v>
      </c>
      <c r="W1447" t="n">
        <v/>
      </c>
      <c r="X1447" t="n">
        <v/>
      </c>
      <c r="Y1447" t="n">
        <v/>
      </c>
      <c r="Z1447" t="n">
        <v/>
      </c>
      <c r="AA1447">
        <f>SUMIFS($S$2:S1447,$A$2:A1447,A1447,$N$2:N1447,"Explore*")</f>
        <v/>
      </c>
      <c r="AB1447">
        <f>IF(AND(LEFT(N1447,7)="Explore",(AA1447-IF(LEFT(N1447,7)="Explore",S1447,0))&lt;10),"SI","NO")</f>
        <v/>
      </c>
    </row>
    <row r="1448">
      <c r="A1448" t="inlineStr">
        <is>
          <t>c50m1_training</t>
        </is>
      </c>
      <c r="B1448" t="inlineStr">
        <is>
          <t>2026-02-20 11:33:16.174</t>
        </is>
      </c>
      <c r="C1448" t="n">
        <v/>
      </c>
      <c r="D1448" t="inlineStr">
        <is>
          <t>Media file</t>
        </is>
      </c>
      <c r="E1448" t="inlineStr">
        <is>
          <t>player #1:WT\training\c50m1.mp4</t>
        </is>
      </c>
      <c r="F1448" t="n">
        <v>-11.233</v>
      </c>
      <c r="G1448" t="n">
        <v>587.766</v>
      </c>
      <c r="H1448" t="n">
        <v>625.099</v>
      </c>
      <c r="I1448" t="n">
        <v>30</v>
      </c>
      <c r="J1448" t="inlineStr">
        <is>
          <t xml:space="preserve"> WT</t>
        </is>
      </c>
      <c r="K1448" t="inlineStr">
        <is>
          <t>Male</t>
        </is>
      </c>
      <c r="L1448" t="inlineStr">
        <is>
          <t>No focal subject</t>
        </is>
      </c>
      <c r="M1448" t="n">
        <v>13.767</v>
      </c>
      <c r="N1448" t="inlineStr">
        <is>
          <t>Explore_F2</t>
        </is>
      </c>
      <c r="O1448" t="inlineStr">
        <is>
          <t>Second familiar</t>
        </is>
      </c>
      <c r="P1448" t="inlineStr">
        <is>
          <t>STATE</t>
        </is>
      </c>
      <c r="Q1448" t="n">
        <v>403.467</v>
      </c>
      <c r="R1448" t="n">
        <v>403.7</v>
      </c>
      <c r="S1448" t="n">
        <v>0.233</v>
      </c>
      <c r="T1448" t="inlineStr">
        <is>
          <t>WT\training\c50m1.mp4</t>
        </is>
      </c>
      <c r="U1448" t="n">
        <v>12103</v>
      </c>
      <c r="V1448" t="n">
        <v>12110</v>
      </c>
      <c r="W1448" t="n">
        <v/>
      </c>
      <c r="X1448" t="n">
        <v/>
      </c>
      <c r="Y1448" t="n">
        <v/>
      </c>
      <c r="Z1448" t="n">
        <v/>
      </c>
      <c r="AA1448">
        <f>SUMIFS($S$2:S1448,$A$2:A1448,A1448,$N$2:N1448,"Explore*")</f>
        <v/>
      </c>
      <c r="AB1448">
        <f>IF(AND(LEFT(N1448,7)="Explore",(AA1448-IF(LEFT(N1448,7)="Explore",S1448,0))&lt;10),"SI","NO")</f>
        <v/>
      </c>
    </row>
    <row r="1449">
      <c r="A1449" t="inlineStr">
        <is>
          <t>c50m1_training</t>
        </is>
      </c>
      <c r="B1449" t="inlineStr">
        <is>
          <t>2026-02-20 11:33:16.174</t>
        </is>
      </c>
      <c r="C1449" t="n">
        <v/>
      </c>
      <c r="D1449" t="inlineStr">
        <is>
          <t>Media file</t>
        </is>
      </c>
      <c r="E1449" t="inlineStr">
        <is>
          <t>player #1:WT\training\c50m1.mp4</t>
        </is>
      </c>
      <c r="F1449" t="n">
        <v>-11.233</v>
      </c>
      <c r="G1449" t="n">
        <v>587.766</v>
      </c>
      <c r="H1449" t="n">
        <v>625.099</v>
      </c>
      <c r="I1449" t="n">
        <v>30</v>
      </c>
      <c r="J1449" t="inlineStr">
        <is>
          <t xml:space="preserve"> WT</t>
        </is>
      </c>
      <c r="K1449" t="inlineStr">
        <is>
          <t>Male</t>
        </is>
      </c>
      <c r="L1449" t="inlineStr">
        <is>
          <t>No focal subject</t>
        </is>
      </c>
      <c r="M1449" t="n">
        <v>13.767</v>
      </c>
      <c r="N1449" t="inlineStr">
        <is>
          <t>Explore_F2</t>
        </is>
      </c>
      <c r="O1449" t="inlineStr">
        <is>
          <t>Second familiar</t>
        </is>
      </c>
      <c r="P1449" t="inlineStr">
        <is>
          <t>STATE</t>
        </is>
      </c>
      <c r="Q1449" t="n">
        <v>429.067</v>
      </c>
      <c r="R1449" t="n">
        <v>429.833</v>
      </c>
      <c r="S1449" t="n">
        <v>0.766</v>
      </c>
      <c r="T1449" t="inlineStr">
        <is>
          <t>WT\training\c50m1.mp4</t>
        </is>
      </c>
      <c r="U1449" t="n">
        <v>12871</v>
      </c>
      <c r="V1449" t="n">
        <v>12894</v>
      </c>
      <c r="W1449" t="n">
        <v/>
      </c>
      <c r="X1449" t="n">
        <v/>
      </c>
      <c r="Y1449" t="n">
        <v/>
      </c>
      <c r="Z1449" t="n">
        <v/>
      </c>
      <c r="AA1449">
        <f>SUMIFS($S$2:S1449,$A$2:A1449,A1449,$N$2:N1449,"Explore*")</f>
        <v/>
      </c>
      <c r="AB1449">
        <f>IF(AND(LEFT(N1449,7)="Explore",(AA1449-IF(LEFT(N1449,7)="Explore",S1449,0))&lt;10),"SI","NO")</f>
        <v/>
      </c>
    </row>
    <row r="1450">
      <c r="A1450" t="inlineStr">
        <is>
          <t>c50m1_training</t>
        </is>
      </c>
      <c r="B1450" t="inlineStr">
        <is>
          <t>2026-02-20 11:33:16.174</t>
        </is>
      </c>
      <c r="C1450" t="n">
        <v/>
      </c>
      <c r="D1450" t="inlineStr">
        <is>
          <t>Media file</t>
        </is>
      </c>
      <c r="E1450" t="inlineStr">
        <is>
          <t>player #1:WT\training\c50m1.mp4</t>
        </is>
      </c>
      <c r="F1450" t="n">
        <v>-11.233</v>
      </c>
      <c r="G1450" t="n">
        <v>587.766</v>
      </c>
      <c r="H1450" t="n">
        <v>625.099</v>
      </c>
      <c r="I1450" t="n">
        <v>30</v>
      </c>
      <c r="J1450" t="inlineStr">
        <is>
          <t xml:space="preserve"> WT</t>
        </is>
      </c>
      <c r="K1450" t="inlineStr">
        <is>
          <t>Male</t>
        </is>
      </c>
      <c r="L1450" t="inlineStr">
        <is>
          <t>No focal subject</t>
        </is>
      </c>
      <c r="M1450" t="n">
        <v>13.767</v>
      </c>
      <c r="N1450" t="inlineStr">
        <is>
          <t>Explore_F</t>
        </is>
      </c>
      <c r="O1450" t="inlineStr">
        <is>
          <t>Familiar</t>
        </is>
      </c>
      <c r="P1450" t="inlineStr">
        <is>
          <t>STATE</t>
        </is>
      </c>
      <c r="Q1450" t="n">
        <v>433.567</v>
      </c>
      <c r="R1450" t="n">
        <v>434.233</v>
      </c>
      <c r="S1450" t="n">
        <v>0.666</v>
      </c>
      <c r="T1450" t="inlineStr">
        <is>
          <t>WT\training\c50m1.mp4</t>
        </is>
      </c>
      <c r="U1450" t="n">
        <v>13006</v>
      </c>
      <c r="V1450" t="n">
        <v>13026</v>
      </c>
      <c r="W1450" t="n">
        <v/>
      </c>
      <c r="X1450" t="n">
        <v/>
      </c>
      <c r="Y1450" t="n">
        <v/>
      </c>
      <c r="Z1450" t="n">
        <v/>
      </c>
      <c r="AA1450">
        <f>SUMIFS($S$2:S1450,$A$2:A1450,A1450,$N$2:N1450,"Explore*")</f>
        <v/>
      </c>
      <c r="AB1450">
        <f>IF(AND(LEFT(N1450,7)="Explore",(AA1450-IF(LEFT(N1450,7)="Explore",S1450,0))&lt;10),"SI","NO")</f>
        <v/>
      </c>
    </row>
    <row r="1451">
      <c r="A1451" t="inlineStr">
        <is>
          <t>c50m1_training</t>
        </is>
      </c>
      <c r="B1451" t="inlineStr">
        <is>
          <t>2026-02-20 11:33:16.174</t>
        </is>
      </c>
      <c r="C1451" t="n">
        <v/>
      </c>
      <c r="D1451" t="inlineStr">
        <is>
          <t>Media file</t>
        </is>
      </c>
      <c r="E1451" t="inlineStr">
        <is>
          <t>player #1:WT\training\c50m1.mp4</t>
        </is>
      </c>
      <c r="F1451" t="n">
        <v>-11.233</v>
      </c>
      <c r="G1451" t="n">
        <v>587.766</v>
      </c>
      <c r="H1451" t="n">
        <v>625.099</v>
      </c>
      <c r="I1451" t="n">
        <v>30</v>
      </c>
      <c r="J1451" t="inlineStr">
        <is>
          <t xml:space="preserve"> WT</t>
        </is>
      </c>
      <c r="K1451" t="inlineStr">
        <is>
          <t>Male</t>
        </is>
      </c>
      <c r="L1451" t="inlineStr">
        <is>
          <t>No focal subject</t>
        </is>
      </c>
      <c r="M1451" t="n">
        <v>13.767</v>
      </c>
      <c r="N1451" t="inlineStr">
        <is>
          <t>Explore_F</t>
        </is>
      </c>
      <c r="O1451" t="inlineStr">
        <is>
          <t>Familiar</t>
        </is>
      </c>
      <c r="P1451" t="inlineStr">
        <is>
          <t>STATE</t>
        </is>
      </c>
      <c r="Q1451" t="n">
        <v>456.2</v>
      </c>
      <c r="R1451" t="n">
        <v>456.767</v>
      </c>
      <c r="S1451" t="n">
        <v>0.5669999999999999</v>
      </c>
      <c r="T1451" t="inlineStr">
        <is>
          <t>WT\training\c50m1.mp4</t>
        </is>
      </c>
      <c r="U1451" t="n">
        <v>13685</v>
      </c>
      <c r="V1451" t="n">
        <v>13702</v>
      </c>
      <c r="W1451" t="n">
        <v/>
      </c>
      <c r="X1451" t="n">
        <v/>
      </c>
      <c r="Y1451" t="n">
        <v/>
      </c>
      <c r="Z1451" t="n">
        <v/>
      </c>
      <c r="AA1451">
        <f>SUMIFS($S$2:S1451,$A$2:A1451,A1451,$N$2:N1451,"Explore*")</f>
        <v/>
      </c>
      <c r="AB1451">
        <f>IF(AND(LEFT(N1451,7)="Explore",(AA1451-IF(LEFT(N1451,7)="Explore",S1451,0))&lt;10),"SI","NO")</f>
        <v/>
      </c>
    </row>
    <row r="1452">
      <c r="A1452" t="inlineStr">
        <is>
          <t>c50m1_training</t>
        </is>
      </c>
      <c r="B1452" t="inlineStr">
        <is>
          <t>2026-02-20 11:33:16.174</t>
        </is>
      </c>
      <c r="C1452" t="n">
        <v/>
      </c>
      <c r="D1452" t="inlineStr">
        <is>
          <t>Media file</t>
        </is>
      </c>
      <c r="E1452" t="inlineStr">
        <is>
          <t>player #1:WT\training\c50m1.mp4</t>
        </is>
      </c>
      <c r="F1452" t="n">
        <v>-11.233</v>
      </c>
      <c r="G1452" t="n">
        <v>587.766</v>
      </c>
      <c r="H1452" t="n">
        <v>625.099</v>
      </c>
      <c r="I1452" t="n">
        <v>30</v>
      </c>
      <c r="J1452" t="inlineStr">
        <is>
          <t xml:space="preserve"> WT</t>
        </is>
      </c>
      <c r="K1452" t="inlineStr">
        <is>
          <t>Male</t>
        </is>
      </c>
      <c r="L1452" t="inlineStr">
        <is>
          <t>No focal subject</t>
        </is>
      </c>
      <c r="M1452" t="n">
        <v>13.767</v>
      </c>
      <c r="N1452" t="inlineStr">
        <is>
          <t>Explore_F</t>
        </is>
      </c>
      <c r="O1452" t="inlineStr">
        <is>
          <t>Familiar</t>
        </is>
      </c>
      <c r="P1452" t="inlineStr">
        <is>
          <t>STATE</t>
        </is>
      </c>
      <c r="Q1452" t="n">
        <v>474.533</v>
      </c>
      <c r="R1452" t="n">
        <v>474.767</v>
      </c>
      <c r="S1452" t="n">
        <v>0.234</v>
      </c>
      <c r="T1452" t="inlineStr">
        <is>
          <t>WT\training\c50m1.mp4</t>
        </is>
      </c>
      <c r="U1452" t="n">
        <v>14236</v>
      </c>
      <c r="V1452" t="n">
        <v>14242</v>
      </c>
      <c r="W1452" t="n">
        <v/>
      </c>
      <c r="X1452" t="n">
        <v/>
      </c>
      <c r="Y1452" t="n">
        <v/>
      </c>
      <c r="Z1452" t="n">
        <v/>
      </c>
      <c r="AA1452">
        <f>SUMIFS($S$2:S1452,$A$2:A1452,A1452,$N$2:N1452,"Explore*")</f>
        <v/>
      </c>
      <c r="AB1452">
        <f>IF(AND(LEFT(N1452,7)="Explore",(AA1452-IF(LEFT(N1452,7)="Explore",S1452,0))&lt;10),"SI","NO")</f>
        <v/>
      </c>
    </row>
    <row r="1453">
      <c r="A1453" t="inlineStr">
        <is>
          <t>c50m1_training</t>
        </is>
      </c>
      <c r="B1453" t="inlineStr">
        <is>
          <t>2026-02-20 11:33:16.174</t>
        </is>
      </c>
      <c r="C1453" t="n">
        <v/>
      </c>
      <c r="D1453" t="inlineStr">
        <is>
          <t>Media file</t>
        </is>
      </c>
      <c r="E1453" t="inlineStr">
        <is>
          <t>player #1:WT\training\c50m1.mp4</t>
        </is>
      </c>
      <c r="F1453" t="n">
        <v>-11.233</v>
      </c>
      <c r="G1453" t="n">
        <v>587.766</v>
      </c>
      <c r="H1453" t="n">
        <v>625.099</v>
      </c>
      <c r="I1453" t="n">
        <v>30</v>
      </c>
      <c r="J1453" t="inlineStr">
        <is>
          <t xml:space="preserve"> WT</t>
        </is>
      </c>
      <c r="K1453" t="inlineStr">
        <is>
          <t>Male</t>
        </is>
      </c>
      <c r="L1453" t="inlineStr">
        <is>
          <t>No focal subject</t>
        </is>
      </c>
      <c r="M1453" t="n">
        <v>13.767</v>
      </c>
      <c r="N1453" t="inlineStr">
        <is>
          <t>Explore_F</t>
        </is>
      </c>
      <c r="O1453" t="inlineStr">
        <is>
          <t>Familiar</t>
        </is>
      </c>
      <c r="P1453" t="inlineStr">
        <is>
          <t>STATE</t>
        </is>
      </c>
      <c r="Q1453" t="n">
        <v>475.5</v>
      </c>
      <c r="R1453" t="n">
        <v>475.733</v>
      </c>
      <c r="S1453" t="n">
        <v>0.233</v>
      </c>
      <c r="T1453" t="inlineStr">
        <is>
          <t>WT\training\c50m1.mp4</t>
        </is>
      </c>
      <c r="U1453" t="n">
        <v>14266</v>
      </c>
      <c r="V1453" t="n">
        <v>14271</v>
      </c>
      <c r="W1453" t="n">
        <v/>
      </c>
      <c r="X1453" t="n">
        <v/>
      </c>
      <c r="Y1453" t="n">
        <v/>
      </c>
      <c r="Z1453" t="n">
        <v/>
      </c>
      <c r="AA1453">
        <f>SUMIFS($S$2:S1453,$A$2:A1453,A1453,$N$2:N1453,"Explore*")</f>
        <v/>
      </c>
      <c r="AB1453">
        <f>IF(AND(LEFT(N1453,7)="Explore",(AA1453-IF(LEFT(N1453,7)="Explore",S1453,0))&lt;10),"SI","NO")</f>
        <v/>
      </c>
    </row>
    <row r="1454">
      <c r="A1454" t="inlineStr">
        <is>
          <t>c50m1_training</t>
        </is>
      </c>
      <c r="B1454" t="inlineStr">
        <is>
          <t>2026-02-20 11:33:16.174</t>
        </is>
      </c>
      <c r="C1454" t="n">
        <v/>
      </c>
      <c r="D1454" t="inlineStr">
        <is>
          <t>Media file</t>
        </is>
      </c>
      <c r="E1454" t="inlineStr">
        <is>
          <t>player #1:WT\training\c50m1.mp4</t>
        </is>
      </c>
      <c r="F1454" t="n">
        <v>-11.233</v>
      </c>
      <c r="G1454" t="n">
        <v>587.766</v>
      </c>
      <c r="H1454" t="n">
        <v>625.099</v>
      </c>
      <c r="I1454" t="n">
        <v>30</v>
      </c>
      <c r="J1454" t="inlineStr">
        <is>
          <t xml:space="preserve"> WT</t>
        </is>
      </c>
      <c r="K1454" t="inlineStr">
        <is>
          <t>Male</t>
        </is>
      </c>
      <c r="L1454" t="inlineStr">
        <is>
          <t>No focal subject</t>
        </is>
      </c>
      <c r="M1454" t="n">
        <v>13.767</v>
      </c>
      <c r="N1454" t="inlineStr">
        <is>
          <t>Explore_F2</t>
        </is>
      </c>
      <c r="O1454" t="inlineStr">
        <is>
          <t>Second familiar</t>
        </is>
      </c>
      <c r="P1454" t="inlineStr">
        <is>
          <t>STATE</t>
        </is>
      </c>
      <c r="Q1454" t="n">
        <v>480.066</v>
      </c>
      <c r="R1454" t="n">
        <v>481.033</v>
      </c>
      <c r="S1454" t="n">
        <v>0.967</v>
      </c>
      <c r="T1454" t="inlineStr">
        <is>
          <t>WT\training\c50m1.mp4</t>
        </is>
      </c>
      <c r="U1454" t="n">
        <v>14401</v>
      </c>
      <c r="V1454" t="n">
        <v>14431</v>
      </c>
      <c r="W1454" t="n">
        <v/>
      </c>
      <c r="X1454" t="n">
        <v/>
      </c>
      <c r="Y1454" t="n">
        <v/>
      </c>
      <c r="Z1454" t="n">
        <v/>
      </c>
      <c r="AA1454">
        <f>SUMIFS($S$2:S1454,$A$2:A1454,A1454,$N$2:N1454,"Explore*")</f>
        <v/>
      </c>
      <c r="AB1454">
        <f>IF(AND(LEFT(N1454,7)="Explore",(AA1454-IF(LEFT(N1454,7)="Explore",S1454,0))&lt;10),"SI","NO")</f>
        <v/>
      </c>
    </row>
    <row r="1455">
      <c r="A1455" t="inlineStr">
        <is>
          <t>c50m1_training</t>
        </is>
      </c>
      <c r="B1455" t="inlineStr">
        <is>
          <t>2026-02-20 11:33:16.174</t>
        </is>
      </c>
      <c r="C1455" t="n">
        <v/>
      </c>
      <c r="D1455" t="inlineStr">
        <is>
          <t>Media file</t>
        </is>
      </c>
      <c r="E1455" t="inlineStr">
        <is>
          <t>player #1:WT\training\c50m1.mp4</t>
        </is>
      </c>
      <c r="F1455" t="n">
        <v>-11.233</v>
      </c>
      <c r="G1455" t="n">
        <v>587.766</v>
      </c>
      <c r="H1455" t="n">
        <v>625.099</v>
      </c>
      <c r="I1455" t="n">
        <v>30</v>
      </c>
      <c r="J1455" t="inlineStr">
        <is>
          <t xml:space="preserve"> WT</t>
        </is>
      </c>
      <c r="K1455" t="inlineStr">
        <is>
          <t>Male</t>
        </is>
      </c>
      <c r="L1455" t="inlineStr">
        <is>
          <t>No focal subject</t>
        </is>
      </c>
      <c r="M1455" t="n">
        <v>13.767</v>
      </c>
      <c r="N1455" t="inlineStr">
        <is>
          <t>Explore_F2</t>
        </is>
      </c>
      <c r="O1455" t="inlineStr">
        <is>
          <t>Second familiar</t>
        </is>
      </c>
      <c r="P1455" t="inlineStr">
        <is>
          <t>STATE</t>
        </is>
      </c>
      <c r="Q1455" t="n">
        <v>510.533</v>
      </c>
      <c r="R1455" t="n">
        <v>510.8</v>
      </c>
      <c r="S1455" t="n">
        <v>0.267</v>
      </c>
      <c r="T1455" t="inlineStr">
        <is>
          <t>WT\training\c50m1.mp4</t>
        </is>
      </c>
      <c r="U1455" t="n">
        <v>15316</v>
      </c>
      <c r="V1455" t="n">
        <v>15323</v>
      </c>
      <c r="W1455" t="n">
        <v/>
      </c>
      <c r="X1455" t="n">
        <v/>
      </c>
      <c r="Y1455" t="n">
        <v/>
      </c>
      <c r="Z1455" t="n">
        <v/>
      </c>
      <c r="AA1455">
        <f>SUMIFS($S$2:S1455,$A$2:A1455,A1455,$N$2:N1455,"Explore*")</f>
        <v/>
      </c>
      <c r="AB1455">
        <f>IF(AND(LEFT(N1455,7)="Explore",(AA1455-IF(LEFT(N1455,7)="Explore",S1455,0))&lt;10),"SI","NO")</f>
        <v/>
      </c>
    </row>
    <row r="1456">
      <c r="A1456" t="inlineStr">
        <is>
          <t>c50m1_training</t>
        </is>
      </c>
      <c r="B1456" t="inlineStr">
        <is>
          <t>2026-02-20 11:33:16.174</t>
        </is>
      </c>
      <c r="C1456" t="n">
        <v/>
      </c>
      <c r="D1456" t="inlineStr">
        <is>
          <t>Media file</t>
        </is>
      </c>
      <c r="E1456" t="inlineStr">
        <is>
          <t>player #1:WT\training\c50m1.mp4</t>
        </is>
      </c>
      <c r="F1456" t="n">
        <v>-11.233</v>
      </c>
      <c r="G1456" t="n">
        <v>587.766</v>
      </c>
      <c r="H1456" t="n">
        <v>625.099</v>
      </c>
      <c r="I1456" t="n">
        <v>30</v>
      </c>
      <c r="J1456" t="inlineStr">
        <is>
          <t xml:space="preserve"> WT</t>
        </is>
      </c>
      <c r="K1456" t="inlineStr">
        <is>
          <t>Male</t>
        </is>
      </c>
      <c r="L1456" t="inlineStr">
        <is>
          <t>No focal subject</t>
        </is>
      </c>
      <c r="M1456" t="n">
        <v>13.767</v>
      </c>
      <c r="N1456" t="inlineStr">
        <is>
          <t>Explore_F2</t>
        </is>
      </c>
      <c r="O1456" t="inlineStr">
        <is>
          <t>Second familiar</t>
        </is>
      </c>
      <c r="P1456" t="inlineStr">
        <is>
          <t>STATE</t>
        </is>
      </c>
      <c r="Q1456" t="n">
        <v>540.5</v>
      </c>
      <c r="R1456" t="n">
        <v>540.766</v>
      </c>
      <c r="S1456" t="n">
        <v>0.266</v>
      </c>
      <c r="T1456" t="inlineStr">
        <is>
          <t>WT\training\c50m1.mp4</t>
        </is>
      </c>
      <c r="U1456" t="n">
        <v>16216</v>
      </c>
      <c r="V1456" t="n">
        <v>16222</v>
      </c>
      <c r="W1456" t="n">
        <v/>
      </c>
      <c r="X1456" t="n">
        <v/>
      </c>
      <c r="Y1456" t="n">
        <v/>
      </c>
      <c r="Z1456" t="n">
        <v/>
      </c>
      <c r="AA1456">
        <f>SUMIFS($S$2:S1456,$A$2:A1456,A1456,$N$2:N1456,"Explore*")</f>
        <v/>
      </c>
      <c r="AB1456">
        <f>IF(AND(LEFT(N1456,7)="Explore",(AA1456-IF(LEFT(N1456,7)="Explore",S1456,0))&lt;10),"SI","NO")</f>
        <v/>
      </c>
    </row>
    <row r="1457">
      <c r="A1457" t="inlineStr">
        <is>
          <t>c50m1_training</t>
        </is>
      </c>
      <c r="B1457" t="inlineStr">
        <is>
          <t>2026-02-20 11:33:16.174</t>
        </is>
      </c>
      <c r="C1457" t="n">
        <v/>
      </c>
      <c r="D1457" t="inlineStr">
        <is>
          <t>Media file</t>
        </is>
      </c>
      <c r="E1457" t="inlineStr">
        <is>
          <t>player #1:WT\training\c50m1.mp4</t>
        </is>
      </c>
      <c r="F1457" t="n">
        <v>-11.233</v>
      </c>
      <c r="G1457" t="n">
        <v>587.766</v>
      </c>
      <c r="H1457" t="n">
        <v>625.099</v>
      </c>
      <c r="I1457" t="n">
        <v>30</v>
      </c>
      <c r="J1457" t="inlineStr">
        <is>
          <t xml:space="preserve"> WT</t>
        </is>
      </c>
      <c r="K1457" t="inlineStr">
        <is>
          <t>Male</t>
        </is>
      </c>
      <c r="L1457" t="inlineStr">
        <is>
          <t>No focal subject</t>
        </is>
      </c>
      <c r="M1457" t="n">
        <v>13.767</v>
      </c>
      <c r="N1457" t="inlineStr">
        <is>
          <t>Explore_F</t>
        </is>
      </c>
      <c r="O1457" t="inlineStr">
        <is>
          <t>Familiar</t>
        </is>
      </c>
      <c r="P1457" t="inlineStr">
        <is>
          <t>STATE</t>
        </is>
      </c>
      <c r="Q1457" t="n">
        <v>545.066</v>
      </c>
      <c r="R1457" t="n">
        <v>545.5</v>
      </c>
      <c r="S1457" t="n">
        <v>0.434</v>
      </c>
      <c r="T1457" t="inlineStr">
        <is>
          <t>WT\training\c50m1.mp4</t>
        </is>
      </c>
      <c r="U1457" t="n">
        <v>16351</v>
      </c>
      <c r="V1457" t="n">
        <v>16366</v>
      </c>
      <c r="W1457" t="n">
        <v/>
      </c>
      <c r="X1457" t="n">
        <v/>
      </c>
      <c r="Y1457" t="n">
        <v/>
      </c>
      <c r="Z1457" t="n">
        <v/>
      </c>
      <c r="AA1457">
        <f>SUMIFS($S$2:S1457,$A$2:A1457,A1457,$N$2:N1457,"Explore*")</f>
        <v/>
      </c>
      <c r="AB1457">
        <f>IF(AND(LEFT(N1457,7)="Explore",(AA1457-IF(LEFT(N1457,7)="Explore",S1457,0))&lt;10),"SI","NO")</f>
        <v/>
      </c>
    </row>
    <row r="1458">
      <c r="A1458" t="inlineStr">
        <is>
          <t>c50m1_training</t>
        </is>
      </c>
      <c r="B1458" t="inlineStr">
        <is>
          <t>2026-02-20 11:33:16.174</t>
        </is>
      </c>
      <c r="C1458" t="n">
        <v/>
      </c>
      <c r="D1458" t="inlineStr">
        <is>
          <t>Media file</t>
        </is>
      </c>
      <c r="E1458" t="inlineStr">
        <is>
          <t>player #1:WT\training\c50m1.mp4</t>
        </is>
      </c>
      <c r="F1458" t="n">
        <v>-11.233</v>
      </c>
      <c r="G1458" t="n">
        <v>587.766</v>
      </c>
      <c r="H1458" t="n">
        <v>625.099</v>
      </c>
      <c r="I1458" t="n">
        <v>30</v>
      </c>
      <c r="J1458" t="inlineStr">
        <is>
          <t xml:space="preserve"> WT</t>
        </is>
      </c>
      <c r="K1458" t="inlineStr">
        <is>
          <t>Male</t>
        </is>
      </c>
      <c r="L1458" t="inlineStr">
        <is>
          <t>No focal subject</t>
        </is>
      </c>
      <c r="M1458" t="n">
        <v>13.767</v>
      </c>
      <c r="N1458" t="inlineStr">
        <is>
          <t>Explore_F</t>
        </is>
      </c>
      <c r="O1458" t="inlineStr">
        <is>
          <t>Familiar</t>
        </is>
      </c>
      <c r="P1458" t="inlineStr">
        <is>
          <t>STATE</t>
        </is>
      </c>
      <c r="Q1458" t="n">
        <v>554.933</v>
      </c>
      <c r="R1458" t="n">
        <v>555.2329999999999</v>
      </c>
      <c r="S1458" t="n">
        <v>0.3</v>
      </c>
      <c r="T1458" t="inlineStr">
        <is>
          <t>WT\training\c50m1.mp4</t>
        </is>
      </c>
      <c r="U1458" t="n">
        <v>16647</v>
      </c>
      <c r="V1458" t="n">
        <v>16656</v>
      </c>
      <c r="W1458" t="n">
        <v/>
      </c>
      <c r="X1458" t="n">
        <v/>
      </c>
      <c r="Y1458" t="n">
        <v/>
      </c>
      <c r="Z1458" t="n">
        <v/>
      </c>
      <c r="AA1458">
        <f>SUMIFS($S$2:S1458,$A$2:A1458,A1458,$N$2:N1458,"Explore*")</f>
        <v/>
      </c>
      <c r="AB1458">
        <f>IF(AND(LEFT(N1458,7)="Explore",(AA1458-IF(LEFT(N1458,7)="Explore",S1458,0))&lt;10),"SI","NO")</f>
        <v/>
      </c>
    </row>
    <row r="1459">
      <c r="A1459" t="inlineStr">
        <is>
          <t>c50m1_training</t>
        </is>
      </c>
      <c r="B1459" t="inlineStr">
        <is>
          <t>2026-02-20 11:33:16.174</t>
        </is>
      </c>
      <c r="C1459" t="n">
        <v/>
      </c>
      <c r="D1459" t="inlineStr">
        <is>
          <t>Media file</t>
        </is>
      </c>
      <c r="E1459" t="inlineStr">
        <is>
          <t>player #1:WT\training\c50m1.mp4</t>
        </is>
      </c>
      <c r="F1459" t="n">
        <v>-11.233</v>
      </c>
      <c r="G1459" t="n">
        <v>587.766</v>
      </c>
      <c r="H1459" t="n">
        <v>625.099</v>
      </c>
      <c r="I1459" t="n">
        <v>30</v>
      </c>
      <c r="J1459" t="inlineStr">
        <is>
          <t xml:space="preserve"> WT</t>
        </is>
      </c>
      <c r="K1459" t="inlineStr">
        <is>
          <t>Male</t>
        </is>
      </c>
      <c r="L1459" t="inlineStr">
        <is>
          <t>No focal subject</t>
        </is>
      </c>
      <c r="M1459" t="n">
        <v>13.767</v>
      </c>
      <c r="N1459" t="inlineStr">
        <is>
          <t>Explore_F</t>
        </is>
      </c>
      <c r="O1459" t="inlineStr">
        <is>
          <t>Familiar</t>
        </is>
      </c>
      <c r="P1459" t="inlineStr">
        <is>
          <t>STATE</t>
        </is>
      </c>
      <c r="Q1459" t="n">
        <v>571.866</v>
      </c>
      <c r="R1459" t="n">
        <v>572.2329999999999</v>
      </c>
      <c r="S1459" t="n">
        <v>0.367</v>
      </c>
      <c r="T1459" t="inlineStr">
        <is>
          <t>WT\training\c50m1.mp4</t>
        </is>
      </c>
      <c r="U1459" t="n">
        <v>17155</v>
      </c>
      <c r="V1459" t="n">
        <v>17166</v>
      </c>
      <c r="W1459" t="n">
        <v/>
      </c>
      <c r="X1459" t="n">
        <v/>
      </c>
      <c r="Y1459" t="n">
        <v/>
      </c>
      <c r="Z1459" t="n">
        <v/>
      </c>
      <c r="AA1459">
        <f>SUMIFS($S$2:S1459,$A$2:A1459,A1459,$N$2:N1459,"Explore*")</f>
        <v/>
      </c>
      <c r="AB1459">
        <f>IF(AND(LEFT(N1459,7)="Explore",(AA1459-IF(LEFT(N1459,7)="Explore",S1459,0))&lt;10),"SI","NO")</f>
        <v/>
      </c>
    </row>
    <row r="1460">
      <c r="A1460" t="inlineStr">
        <is>
          <t>c50m1_training</t>
        </is>
      </c>
      <c r="B1460" t="inlineStr">
        <is>
          <t>2026-02-20 11:33:16.174</t>
        </is>
      </c>
      <c r="C1460" t="n">
        <v/>
      </c>
      <c r="D1460" t="inlineStr">
        <is>
          <t>Media file</t>
        </is>
      </c>
      <c r="E1460" t="inlineStr">
        <is>
          <t>player #1:WT\training\c50m1.mp4</t>
        </is>
      </c>
      <c r="F1460" t="n">
        <v>-11.233</v>
      </c>
      <c r="G1460" t="n">
        <v>587.766</v>
      </c>
      <c r="H1460" t="n">
        <v>625.099</v>
      </c>
      <c r="I1460" t="n">
        <v>30</v>
      </c>
      <c r="J1460" t="inlineStr">
        <is>
          <t xml:space="preserve"> WT</t>
        </is>
      </c>
      <c r="K1460" t="inlineStr">
        <is>
          <t>Male</t>
        </is>
      </c>
      <c r="L1460" t="inlineStr">
        <is>
          <t>No focal subject</t>
        </is>
      </c>
      <c r="M1460" t="n">
        <v>13.767</v>
      </c>
      <c r="N1460" t="inlineStr">
        <is>
          <t>Explore_F2</t>
        </is>
      </c>
      <c r="O1460" t="inlineStr">
        <is>
          <t>Second familiar</t>
        </is>
      </c>
      <c r="P1460" t="inlineStr">
        <is>
          <t>STATE</t>
        </is>
      </c>
      <c r="Q1460" t="n">
        <v>596.033</v>
      </c>
      <c r="R1460" t="n">
        <v>596.6</v>
      </c>
      <c r="S1460" t="n">
        <v>0.5669999999999999</v>
      </c>
      <c r="T1460" t="inlineStr">
        <is>
          <t>WT\training\c50m1.mp4</t>
        </is>
      </c>
      <c r="U1460" t="n">
        <v>17881</v>
      </c>
      <c r="V1460" t="n">
        <v>17897</v>
      </c>
      <c r="W1460" t="n">
        <v/>
      </c>
      <c r="X1460" t="n">
        <v/>
      </c>
      <c r="Y1460" t="n">
        <v/>
      </c>
      <c r="Z1460" t="n">
        <v/>
      </c>
      <c r="AA1460">
        <f>SUMIFS($S$2:S1460,$A$2:A1460,A1460,$N$2:N1460,"Explore*")</f>
        <v/>
      </c>
      <c r="AB1460">
        <f>IF(AND(LEFT(N1460,7)="Explore",(AA1460-IF(LEFT(N1460,7)="Explore",S1460,0))&lt;10),"SI","NO")</f>
        <v/>
      </c>
    </row>
    <row r="1461">
      <c r="A1461" t="inlineStr">
        <is>
          <t>c50m2_training</t>
        </is>
      </c>
      <c r="B1461" t="inlineStr">
        <is>
          <t>2026-02-20 14:57:52.796</t>
        </is>
      </c>
      <c r="C1461" t="n">
        <v/>
      </c>
      <c r="D1461" t="inlineStr">
        <is>
          <t>Media file</t>
        </is>
      </c>
      <c r="E1461" t="inlineStr">
        <is>
          <t>player #1:WT\training\c50m2.mp4</t>
        </is>
      </c>
      <c r="F1461" t="n">
        <v>-10.567</v>
      </c>
      <c r="G1461" t="n">
        <v>586.599</v>
      </c>
      <c r="H1461" t="n">
        <v>623.066</v>
      </c>
      <c r="I1461" t="n">
        <v>30</v>
      </c>
      <c r="J1461" t="inlineStr">
        <is>
          <t xml:space="preserve"> WT</t>
        </is>
      </c>
      <c r="K1461" t="inlineStr">
        <is>
          <t>Male</t>
        </is>
      </c>
      <c r="L1461" t="inlineStr">
        <is>
          <t>No focal subject</t>
        </is>
      </c>
      <c r="M1461" t="n">
        <v>28.567</v>
      </c>
      <c r="N1461" t="inlineStr">
        <is>
          <t>Explore_F</t>
        </is>
      </c>
      <c r="O1461" t="inlineStr">
        <is>
          <t>Familiar</t>
        </is>
      </c>
      <c r="P1461" t="inlineStr">
        <is>
          <t>STATE</t>
        </is>
      </c>
      <c r="Q1461" t="n">
        <v>8</v>
      </c>
      <c r="R1461" t="n">
        <v>8.5</v>
      </c>
      <c r="S1461" t="n">
        <v>0.5</v>
      </c>
      <c r="T1461" t="inlineStr">
        <is>
          <t>WT\training\c50m2.mp4</t>
        </is>
      </c>
      <c r="U1461" t="n">
        <v>242</v>
      </c>
      <c r="V1461" t="n">
        <v>257</v>
      </c>
      <c r="W1461" t="n">
        <v/>
      </c>
      <c r="X1461" t="n">
        <v/>
      </c>
      <c r="Y1461" t="n">
        <v/>
      </c>
      <c r="Z1461" t="n">
        <v/>
      </c>
      <c r="AA1461">
        <f>SUMIFS($S$2:S1461,$A$2:A1461,A1461,$N$2:N1461,"Explore*")</f>
        <v/>
      </c>
      <c r="AB1461">
        <f>IF(AND(LEFT(N1461,7)="Explore",(AA1461-IF(LEFT(N1461,7)="Explore",S1461,0))&lt;10),"SI","NO")</f>
        <v/>
      </c>
    </row>
    <row r="1462">
      <c r="A1462" t="inlineStr">
        <is>
          <t>c50m2_training</t>
        </is>
      </c>
      <c r="B1462" t="inlineStr">
        <is>
          <t>2026-02-20 14:57:52.796</t>
        </is>
      </c>
      <c r="C1462" t="n">
        <v/>
      </c>
      <c r="D1462" t="inlineStr">
        <is>
          <t>Media file</t>
        </is>
      </c>
      <c r="E1462" t="inlineStr">
        <is>
          <t>player #1:WT\training\c50m2.mp4</t>
        </is>
      </c>
      <c r="F1462" t="n">
        <v>-10.567</v>
      </c>
      <c r="G1462" t="n">
        <v>586.599</v>
      </c>
      <c r="H1462" t="n">
        <v>623.066</v>
      </c>
      <c r="I1462" t="n">
        <v>30</v>
      </c>
      <c r="J1462" t="inlineStr">
        <is>
          <t xml:space="preserve"> WT</t>
        </is>
      </c>
      <c r="K1462" t="inlineStr">
        <is>
          <t>Male</t>
        </is>
      </c>
      <c r="L1462" t="inlineStr">
        <is>
          <t>No focal subject</t>
        </is>
      </c>
      <c r="M1462" t="n">
        <v>28.567</v>
      </c>
      <c r="N1462" t="inlineStr">
        <is>
          <t>Explore_F2</t>
        </is>
      </c>
      <c r="O1462" t="inlineStr">
        <is>
          <t>Second familiar</t>
        </is>
      </c>
      <c r="P1462" t="inlineStr">
        <is>
          <t>STATE</t>
        </is>
      </c>
      <c r="Q1462" t="n">
        <v>43.1</v>
      </c>
      <c r="R1462" t="n">
        <v>43.433</v>
      </c>
      <c r="S1462" t="n">
        <v>0.333</v>
      </c>
      <c r="T1462" t="inlineStr">
        <is>
          <t>WT\training\c50m2.mp4</t>
        </is>
      </c>
      <c r="U1462" t="n">
        <v>1293</v>
      </c>
      <c r="V1462" t="n">
        <v>1303</v>
      </c>
      <c r="W1462" t="n">
        <v/>
      </c>
      <c r="X1462" t="n">
        <v/>
      </c>
      <c r="Y1462" t="n">
        <v/>
      </c>
      <c r="Z1462" t="n">
        <v/>
      </c>
      <c r="AA1462">
        <f>SUMIFS($S$2:S1462,$A$2:A1462,A1462,$N$2:N1462,"Explore*")</f>
        <v/>
      </c>
      <c r="AB1462">
        <f>IF(AND(LEFT(N1462,7)="Explore",(AA1462-IF(LEFT(N1462,7)="Explore",S1462,0))&lt;10),"SI","NO")</f>
        <v/>
      </c>
    </row>
    <row r="1463">
      <c r="A1463" t="inlineStr">
        <is>
          <t>c50m2_training</t>
        </is>
      </c>
      <c r="B1463" t="inlineStr">
        <is>
          <t>2026-02-20 14:57:52.796</t>
        </is>
      </c>
      <c r="C1463" t="n">
        <v/>
      </c>
      <c r="D1463" t="inlineStr">
        <is>
          <t>Media file</t>
        </is>
      </c>
      <c r="E1463" t="inlineStr">
        <is>
          <t>player #1:WT\training\c50m2.mp4</t>
        </is>
      </c>
      <c r="F1463" t="n">
        <v>-10.567</v>
      </c>
      <c r="G1463" t="n">
        <v>586.599</v>
      </c>
      <c r="H1463" t="n">
        <v>623.066</v>
      </c>
      <c r="I1463" t="n">
        <v>30</v>
      </c>
      <c r="J1463" t="inlineStr">
        <is>
          <t xml:space="preserve"> WT</t>
        </is>
      </c>
      <c r="K1463" t="inlineStr">
        <is>
          <t>Male</t>
        </is>
      </c>
      <c r="L1463" t="inlineStr">
        <is>
          <t>No focal subject</t>
        </is>
      </c>
      <c r="M1463" t="n">
        <v>28.567</v>
      </c>
      <c r="N1463" t="inlineStr">
        <is>
          <t>Explore_F2</t>
        </is>
      </c>
      <c r="O1463" t="inlineStr">
        <is>
          <t>Second familiar</t>
        </is>
      </c>
      <c r="P1463" t="inlineStr">
        <is>
          <t>STATE</t>
        </is>
      </c>
      <c r="Q1463" t="n">
        <v>46.733</v>
      </c>
      <c r="R1463" t="n">
        <v>47.033</v>
      </c>
      <c r="S1463" t="n">
        <v>0.3</v>
      </c>
      <c r="T1463" t="inlineStr">
        <is>
          <t>WT\training\c50m2.mp4</t>
        </is>
      </c>
      <c r="U1463" t="n">
        <v>1402</v>
      </c>
      <c r="V1463" t="n">
        <v>1412</v>
      </c>
      <c r="W1463" t="n">
        <v/>
      </c>
      <c r="X1463" t="n">
        <v/>
      </c>
      <c r="Y1463" t="n">
        <v/>
      </c>
      <c r="Z1463" t="n">
        <v/>
      </c>
      <c r="AA1463">
        <f>SUMIFS($S$2:S1463,$A$2:A1463,A1463,$N$2:N1463,"Explore*")</f>
        <v/>
      </c>
      <c r="AB1463">
        <f>IF(AND(LEFT(N1463,7)="Explore",(AA1463-IF(LEFT(N1463,7)="Explore",S1463,0))&lt;10),"SI","NO")</f>
        <v/>
      </c>
    </row>
    <row r="1464">
      <c r="A1464" t="inlineStr">
        <is>
          <t>c50m2_training</t>
        </is>
      </c>
      <c r="B1464" t="inlineStr">
        <is>
          <t>2026-02-20 14:57:52.796</t>
        </is>
      </c>
      <c r="C1464" t="n">
        <v/>
      </c>
      <c r="D1464" t="inlineStr">
        <is>
          <t>Media file</t>
        </is>
      </c>
      <c r="E1464" t="inlineStr">
        <is>
          <t>player #1:WT\training\c50m2.mp4</t>
        </is>
      </c>
      <c r="F1464" t="n">
        <v>-10.567</v>
      </c>
      <c r="G1464" t="n">
        <v>586.599</v>
      </c>
      <c r="H1464" t="n">
        <v>623.066</v>
      </c>
      <c r="I1464" t="n">
        <v>30</v>
      </c>
      <c r="J1464" t="inlineStr">
        <is>
          <t xml:space="preserve"> WT</t>
        </is>
      </c>
      <c r="K1464" t="inlineStr">
        <is>
          <t>Male</t>
        </is>
      </c>
      <c r="L1464" t="inlineStr">
        <is>
          <t>No focal subject</t>
        </is>
      </c>
      <c r="M1464" t="n">
        <v>28.567</v>
      </c>
      <c r="N1464" t="inlineStr">
        <is>
          <t>Explore_F</t>
        </is>
      </c>
      <c r="O1464" t="inlineStr">
        <is>
          <t>Familiar</t>
        </is>
      </c>
      <c r="P1464" t="inlineStr">
        <is>
          <t>STATE</t>
        </is>
      </c>
      <c r="Q1464" t="n">
        <v>95.866</v>
      </c>
      <c r="R1464" t="n">
        <v>96.166</v>
      </c>
      <c r="S1464" t="n">
        <v>0.3</v>
      </c>
      <c r="T1464" t="inlineStr">
        <is>
          <t>WT\training\c50m2.mp4</t>
        </is>
      </c>
      <c r="U1464" t="n">
        <v>2876</v>
      </c>
      <c r="V1464" t="n">
        <v>2885</v>
      </c>
      <c r="W1464" t="n">
        <v/>
      </c>
      <c r="X1464" t="n">
        <v/>
      </c>
      <c r="Y1464" t="n">
        <v/>
      </c>
      <c r="Z1464" t="n">
        <v/>
      </c>
      <c r="AA1464">
        <f>SUMIFS($S$2:S1464,$A$2:A1464,A1464,$N$2:N1464,"Explore*")</f>
        <v/>
      </c>
      <c r="AB1464">
        <f>IF(AND(LEFT(N1464,7)="Explore",(AA1464-IF(LEFT(N1464,7)="Explore",S1464,0))&lt;10),"SI","NO")</f>
        <v/>
      </c>
    </row>
    <row r="1465">
      <c r="A1465" t="inlineStr">
        <is>
          <t>c50m2_training</t>
        </is>
      </c>
      <c r="B1465" t="inlineStr">
        <is>
          <t>2026-02-20 14:57:52.796</t>
        </is>
      </c>
      <c r="C1465" t="n">
        <v/>
      </c>
      <c r="D1465" t="inlineStr">
        <is>
          <t>Media file</t>
        </is>
      </c>
      <c r="E1465" t="inlineStr">
        <is>
          <t>player #1:WT\training\c50m2.mp4</t>
        </is>
      </c>
      <c r="F1465" t="n">
        <v>-10.567</v>
      </c>
      <c r="G1465" t="n">
        <v>586.599</v>
      </c>
      <c r="H1465" t="n">
        <v>623.066</v>
      </c>
      <c r="I1465" t="n">
        <v>30</v>
      </c>
      <c r="J1465" t="inlineStr">
        <is>
          <t xml:space="preserve"> WT</t>
        </is>
      </c>
      <c r="K1465" t="inlineStr">
        <is>
          <t>Male</t>
        </is>
      </c>
      <c r="L1465" t="inlineStr">
        <is>
          <t>No focal subject</t>
        </is>
      </c>
      <c r="M1465" t="n">
        <v>28.567</v>
      </c>
      <c r="N1465" t="inlineStr">
        <is>
          <t>Explore_F2</t>
        </is>
      </c>
      <c r="O1465" t="inlineStr">
        <is>
          <t>Second familiar</t>
        </is>
      </c>
      <c r="P1465" t="inlineStr">
        <is>
          <t>STATE</t>
        </is>
      </c>
      <c r="Q1465" t="n">
        <v>113.633</v>
      </c>
      <c r="R1465" t="n">
        <v>114</v>
      </c>
      <c r="S1465" t="n">
        <v>0.367</v>
      </c>
      <c r="T1465" t="inlineStr">
        <is>
          <t>WT\training\c50m2.mp4</t>
        </is>
      </c>
      <c r="U1465" t="n">
        <v>3409</v>
      </c>
      <c r="V1465" t="n">
        <v>3422</v>
      </c>
      <c r="W1465" t="n">
        <v/>
      </c>
      <c r="X1465" t="n">
        <v/>
      </c>
      <c r="Y1465" t="n">
        <v/>
      </c>
      <c r="Z1465" t="n">
        <v/>
      </c>
      <c r="AA1465">
        <f>SUMIFS($S$2:S1465,$A$2:A1465,A1465,$N$2:N1465,"Explore*")</f>
        <v/>
      </c>
      <c r="AB1465">
        <f>IF(AND(LEFT(N1465,7)="Explore",(AA1465-IF(LEFT(N1465,7)="Explore",S1465,0))&lt;10),"SI","NO")</f>
        <v/>
      </c>
    </row>
    <row r="1466">
      <c r="A1466" t="inlineStr">
        <is>
          <t>c50m2_training</t>
        </is>
      </c>
      <c r="B1466" t="inlineStr">
        <is>
          <t>2026-02-20 14:57:52.796</t>
        </is>
      </c>
      <c r="C1466" t="n">
        <v/>
      </c>
      <c r="D1466" t="inlineStr">
        <is>
          <t>Media file</t>
        </is>
      </c>
      <c r="E1466" t="inlineStr">
        <is>
          <t>player #1:WT\training\c50m2.mp4</t>
        </is>
      </c>
      <c r="F1466" t="n">
        <v>-10.567</v>
      </c>
      <c r="G1466" t="n">
        <v>586.599</v>
      </c>
      <c r="H1466" t="n">
        <v>623.066</v>
      </c>
      <c r="I1466" t="n">
        <v>30</v>
      </c>
      <c r="J1466" t="inlineStr">
        <is>
          <t xml:space="preserve"> WT</t>
        </is>
      </c>
      <c r="K1466" t="inlineStr">
        <is>
          <t>Male</t>
        </is>
      </c>
      <c r="L1466" t="inlineStr">
        <is>
          <t>No focal subject</t>
        </is>
      </c>
      <c r="M1466" t="n">
        <v>28.567</v>
      </c>
      <c r="N1466" t="inlineStr">
        <is>
          <t>Explore_F</t>
        </is>
      </c>
      <c r="O1466" t="inlineStr">
        <is>
          <t>Familiar</t>
        </is>
      </c>
      <c r="P1466" t="inlineStr">
        <is>
          <t>STATE</t>
        </is>
      </c>
      <c r="Q1466" t="n">
        <v>133.4</v>
      </c>
      <c r="R1466" t="n">
        <v>134.066</v>
      </c>
      <c r="S1466" t="n">
        <v>0.666</v>
      </c>
      <c r="T1466" t="inlineStr">
        <is>
          <t>WT\training\c50m2.mp4</t>
        </is>
      </c>
      <c r="U1466" t="n">
        <v>4002</v>
      </c>
      <c r="V1466" t="n">
        <v>4022</v>
      </c>
      <c r="W1466" t="n">
        <v/>
      </c>
      <c r="X1466" t="n">
        <v/>
      </c>
      <c r="Y1466" t="n">
        <v/>
      </c>
      <c r="Z1466" t="n">
        <v/>
      </c>
      <c r="AA1466">
        <f>SUMIFS($S$2:S1466,$A$2:A1466,A1466,$N$2:N1466,"Explore*")</f>
        <v/>
      </c>
      <c r="AB1466">
        <f>IF(AND(LEFT(N1466,7)="Explore",(AA1466-IF(LEFT(N1466,7)="Explore",S1466,0))&lt;10),"SI","NO")</f>
        <v/>
      </c>
    </row>
    <row r="1467">
      <c r="A1467" t="inlineStr">
        <is>
          <t>c50m2_training</t>
        </is>
      </c>
      <c r="B1467" t="inlineStr">
        <is>
          <t>2026-02-20 14:57:52.796</t>
        </is>
      </c>
      <c r="C1467" t="n">
        <v/>
      </c>
      <c r="D1467" t="inlineStr">
        <is>
          <t>Media file</t>
        </is>
      </c>
      <c r="E1467" t="inlineStr">
        <is>
          <t>player #1:WT\training\c50m2.mp4</t>
        </is>
      </c>
      <c r="F1467" t="n">
        <v>-10.567</v>
      </c>
      <c r="G1467" t="n">
        <v>586.599</v>
      </c>
      <c r="H1467" t="n">
        <v>623.066</v>
      </c>
      <c r="I1467" t="n">
        <v>30</v>
      </c>
      <c r="J1467" t="inlineStr">
        <is>
          <t xml:space="preserve"> WT</t>
        </is>
      </c>
      <c r="K1467" t="inlineStr">
        <is>
          <t>Male</t>
        </is>
      </c>
      <c r="L1467" t="inlineStr">
        <is>
          <t>No focal subject</t>
        </is>
      </c>
      <c r="M1467" t="n">
        <v>28.567</v>
      </c>
      <c r="N1467" t="inlineStr">
        <is>
          <t>Explore_F2</t>
        </is>
      </c>
      <c r="O1467" t="inlineStr">
        <is>
          <t>Second familiar</t>
        </is>
      </c>
      <c r="P1467" t="inlineStr">
        <is>
          <t>STATE</t>
        </is>
      </c>
      <c r="Q1467" t="n">
        <v>145.933</v>
      </c>
      <c r="R1467" t="n">
        <v>147.333</v>
      </c>
      <c r="S1467" t="n">
        <v>1.4</v>
      </c>
      <c r="T1467" t="inlineStr">
        <is>
          <t>WT\training\c50m2.mp4</t>
        </is>
      </c>
      <c r="U1467" t="n">
        <v>4378</v>
      </c>
      <c r="V1467" t="n">
        <v>4420</v>
      </c>
      <c r="W1467" t="n">
        <v/>
      </c>
      <c r="X1467" t="n">
        <v/>
      </c>
      <c r="Y1467" t="n">
        <v/>
      </c>
      <c r="Z1467" t="n">
        <v/>
      </c>
      <c r="AA1467">
        <f>SUMIFS($S$2:S1467,$A$2:A1467,A1467,$N$2:N1467,"Explore*")</f>
        <v/>
      </c>
      <c r="AB1467">
        <f>IF(AND(LEFT(N1467,7)="Explore",(AA1467-IF(LEFT(N1467,7)="Explore",S1467,0))&lt;10),"SI","NO")</f>
        <v/>
      </c>
    </row>
    <row r="1468">
      <c r="A1468" t="inlineStr">
        <is>
          <t>c50m2_training</t>
        </is>
      </c>
      <c r="B1468" t="inlineStr">
        <is>
          <t>2026-02-20 14:57:52.796</t>
        </is>
      </c>
      <c r="C1468" t="n">
        <v/>
      </c>
      <c r="D1468" t="inlineStr">
        <is>
          <t>Media file</t>
        </is>
      </c>
      <c r="E1468" t="inlineStr">
        <is>
          <t>player #1:WT\training\c50m2.mp4</t>
        </is>
      </c>
      <c r="F1468" t="n">
        <v>-10.567</v>
      </c>
      <c r="G1468" t="n">
        <v>586.599</v>
      </c>
      <c r="H1468" t="n">
        <v>623.066</v>
      </c>
      <c r="I1468" t="n">
        <v>30</v>
      </c>
      <c r="J1468" t="inlineStr">
        <is>
          <t xml:space="preserve"> WT</t>
        </is>
      </c>
      <c r="K1468" t="inlineStr">
        <is>
          <t>Male</t>
        </is>
      </c>
      <c r="L1468" t="inlineStr">
        <is>
          <t>No focal subject</t>
        </is>
      </c>
      <c r="M1468" t="n">
        <v>28.567</v>
      </c>
      <c r="N1468" t="inlineStr">
        <is>
          <t>Explore_F</t>
        </is>
      </c>
      <c r="O1468" t="inlineStr">
        <is>
          <t>Familiar</t>
        </is>
      </c>
      <c r="P1468" t="inlineStr">
        <is>
          <t>STATE</t>
        </is>
      </c>
      <c r="Q1468" t="n">
        <v>176.733</v>
      </c>
      <c r="R1468" t="n">
        <v>178.033</v>
      </c>
      <c r="S1468" t="n">
        <v>1.3</v>
      </c>
      <c r="T1468" t="inlineStr">
        <is>
          <t>WT\training\c50m2.mp4</t>
        </is>
      </c>
      <c r="U1468" t="n">
        <v>5302</v>
      </c>
      <c r="V1468" t="n">
        <v>5342</v>
      </c>
      <c r="W1468" t="n">
        <v/>
      </c>
      <c r="X1468" t="n">
        <v/>
      </c>
      <c r="Y1468" t="n">
        <v/>
      </c>
      <c r="Z1468" t="n">
        <v/>
      </c>
      <c r="AA1468">
        <f>SUMIFS($S$2:S1468,$A$2:A1468,A1468,$N$2:N1468,"Explore*")</f>
        <v/>
      </c>
      <c r="AB1468">
        <f>IF(AND(LEFT(N1468,7)="Explore",(AA1468-IF(LEFT(N1468,7)="Explore",S1468,0))&lt;10),"SI","NO")</f>
        <v/>
      </c>
    </row>
    <row r="1469">
      <c r="A1469" t="inlineStr">
        <is>
          <t>c50m2_training</t>
        </is>
      </c>
      <c r="B1469" t="inlineStr">
        <is>
          <t>2026-02-20 14:57:52.796</t>
        </is>
      </c>
      <c r="C1469" t="n">
        <v/>
      </c>
      <c r="D1469" t="inlineStr">
        <is>
          <t>Media file</t>
        </is>
      </c>
      <c r="E1469" t="inlineStr">
        <is>
          <t>player #1:WT\training\c50m2.mp4</t>
        </is>
      </c>
      <c r="F1469" t="n">
        <v>-10.567</v>
      </c>
      <c r="G1469" t="n">
        <v>586.599</v>
      </c>
      <c r="H1469" t="n">
        <v>623.066</v>
      </c>
      <c r="I1469" t="n">
        <v>30</v>
      </c>
      <c r="J1469" t="inlineStr">
        <is>
          <t xml:space="preserve"> WT</t>
        </is>
      </c>
      <c r="K1469" t="inlineStr">
        <is>
          <t>Male</t>
        </is>
      </c>
      <c r="L1469" t="inlineStr">
        <is>
          <t>No focal subject</t>
        </is>
      </c>
      <c r="M1469" t="n">
        <v>28.567</v>
      </c>
      <c r="N1469" t="inlineStr">
        <is>
          <t>Explore_F2</t>
        </is>
      </c>
      <c r="O1469" t="inlineStr">
        <is>
          <t>Second familiar</t>
        </is>
      </c>
      <c r="P1469" t="inlineStr">
        <is>
          <t>STATE</t>
        </is>
      </c>
      <c r="Q1469" t="n">
        <v>200.199</v>
      </c>
      <c r="R1469" t="n">
        <v>200.666</v>
      </c>
      <c r="S1469" t="n">
        <v>0.467</v>
      </c>
      <c r="T1469" t="inlineStr">
        <is>
          <t>WT\training\c50m2.mp4</t>
        </is>
      </c>
      <c r="U1469" t="n">
        <v>6006</v>
      </c>
      <c r="V1469" t="n">
        <v>6020</v>
      </c>
      <c r="W1469" t="n">
        <v/>
      </c>
      <c r="X1469" t="n">
        <v/>
      </c>
      <c r="Y1469" t="n">
        <v/>
      </c>
      <c r="Z1469" t="n">
        <v/>
      </c>
      <c r="AA1469">
        <f>SUMIFS($S$2:S1469,$A$2:A1469,A1469,$N$2:N1469,"Explore*")</f>
        <v/>
      </c>
      <c r="AB1469">
        <f>IF(AND(LEFT(N1469,7)="Explore",(AA1469-IF(LEFT(N1469,7)="Explore",S1469,0))&lt;10),"SI","NO")</f>
        <v/>
      </c>
    </row>
    <row r="1470">
      <c r="A1470" t="inlineStr">
        <is>
          <t>c50m2_training</t>
        </is>
      </c>
      <c r="B1470" t="inlineStr">
        <is>
          <t>2026-02-20 14:57:52.796</t>
        </is>
      </c>
      <c r="C1470" t="n">
        <v/>
      </c>
      <c r="D1470" t="inlineStr">
        <is>
          <t>Media file</t>
        </is>
      </c>
      <c r="E1470" t="inlineStr">
        <is>
          <t>player #1:WT\training\c50m2.mp4</t>
        </is>
      </c>
      <c r="F1470" t="n">
        <v>-10.567</v>
      </c>
      <c r="G1470" t="n">
        <v>586.599</v>
      </c>
      <c r="H1470" t="n">
        <v>623.066</v>
      </c>
      <c r="I1470" t="n">
        <v>30</v>
      </c>
      <c r="J1470" t="inlineStr">
        <is>
          <t xml:space="preserve"> WT</t>
        </is>
      </c>
      <c r="K1470" t="inlineStr">
        <is>
          <t>Male</t>
        </is>
      </c>
      <c r="L1470" t="inlineStr">
        <is>
          <t>No focal subject</t>
        </is>
      </c>
      <c r="M1470" t="n">
        <v>28.567</v>
      </c>
      <c r="N1470" t="inlineStr">
        <is>
          <t>Explore_F2</t>
        </is>
      </c>
      <c r="O1470" t="inlineStr">
        <is>
          <t>Second familiar</t>
        </is>
      </c>
      <c r="P1470" t="inlineStr">
        <is>
          <t>STATE</t>
        </is>
      </c>
      <c r="Q1470" t="n">
        <v>212.099</v>
      </c>
      <c r="R1470" t="n">
        <v>212.466</v>
      </c>
      <c r="S1470" t="n">
        <v>0.367</v>
      </c>
      <c r="T1470" t="inlineStr">
        <is>
          <t>WT\training\c50m2.mp4</t>
        </is>
      </c>
      <c r="U1470" t="n">
        <v>6363</v>
      </c>
      <c r="V1470" t="n">
        <v>6374</v>
      </c>
      <c r="W1470" t="n">
        <v/>
      </c>
      <c r="X1470" t="n">
        <v/>
      </c>
      <c r="Y1470" t="n">
        <v/>
      </c>
      <c r="Z1470" t="n">
        <v/>
      </c>
      <c r="AA1470">
        <f>SUMIFS($S$2:S1470,$A$2:A1470,A1470,$N$2:N1470,"Explore*")</f>
        <v/>
      </c>
      <c r="AB1470">
        <f>IF(AND(LEFT(N1470,7)="Explore",(AA1470-IF(LEFT(N1470,7)="Explore",S1470,0))&lt;10),"SI","NO")</f>
        <v/>
      </c>
    </row>
    <row r="1471">
      <c r="A1471" t="inlineStr">
        <is>
          <t>c50m2_training</t>
        </is>
      </c>
      <c r="B1471" t="inlineStr">
        <is>
          <t>2026-02-20 14:57:52.796</t>
        </is>
      </c>
      <c r="C1471" t="n">
        <v/>
      </c>
      <c r="D1471" t="inlineStr">
        <is>
          <t>Media file</t>
        </is>
      </c>
      <c r="E1471" t="inlineStr">
        <is>
          <t>player #1:WT\training\c50m2.mp4</t>
        </is>
      </c>
      <c r="F1471" t="n">
        <v>-10.567</v>
      </c>
      <c r="G1471" t="n">
        <v>586.599</v>
      </c>
      <c r="H1471" t="n">
        <v>623.066</v>
      </c>
      <c r="I1471" t="n">
        <v>30</v>
      </c>
      <c r="J1471" t="inlineStr">
        <is>
          <t xml:space="preserve"> WT</t>
        </is>
      </c>
      <c r="K1471" t="inlineStr">
        <is>
          <t>Male</t>
        </is>
      </c>
      <c r="L1471" t="inlineStr">
        <is>
          <t>No focal subject</t>
        </is>
      </c>
      <c r="M1471" t="n">
        <v>28.567</v>
      </c>
      <c r="N1471" t="inlineStr">
        <is>
          <t>Explore_F2</t>
        </is>
      </c>
      <c r="O1471" t="inlineStr">
        <is>
          <t>Second familiar</t>
        </is>
      </c>
      <c r="P1471" t="inlineStr">
        <is>
          <t>STATE</t>
        </is>
      </c>
      <c r="Q1471" t="n">
        <v>215.799</v>
      </c>
      <c r="R1471" t="n">
        <v>216.766</v>
      </c>
      <c r="S1471" t="n">
        <v>0.967</v>
      </c>
      <c r="T1471" t="inlineStr">
        <is>
          <t>WT\training\c50m2.mp4</t>
        </is>
      </c>
      <c r="U1471" t="n">
        <v>6474</v>
      </c>
      <c r="V1471" t="n">
        <v>6503</v>
      </c>
      <c r="W1471" t="n">
        <v/>
      </c>
      <c r="X1471" t="n">
        <v/>
      </c>
      <c r="Y1471" t="n">
        <v/>
      </c>
      <c r="Z1471" t="n">
        <v/>
      </c>
      <c r="AA1471">
        <f>SUMIFS($S$2:S1471,$A$2:A1471,A1471,$N$2:N1471,"Explore*")</f>
        <v/>
      </c>
      <c r="AB1471">
        <f>IF(AND(LEFT(N1471,7)="Explore",(AA1471-IF(LEFT(N1471,7)="Explore",S1471,0))&lt;10),"SI","NO")</f>
        <v/>
      </c>
    </row>
    <row r="1472">
      <c r="A1472" t="inlineStr">
        <is>
          <t>c50m2_training</t>
        </is>
      </c>
      <c r="B1472" t="inlineStr">
        <is>
          <t>2026-02-20 14:57:52.796</t>
        </is>
      </c>
      <c r="C1472" t="n">
        <v/>
      </c>
      <c r="D1472" t="inlineStr">
        <is>
          <t>Media file</t>
        </is>
      </c>
      <c r="E1472" t="inlineStr">
        <is>
          <t>player #1:WT\training\c50m2.mp4</t>
        </is>
      </c>
      <c r="F1472" t="n">
        <v>-10.567</v>
      </c>
      <c r="G1472" t="n">
        <v>586.599</v>
      </c>
      <c r="H1472" t="n">
        <v>623.066</v>
      </c>
      <c r="I1472" t="n">
        <v>30</v>
      </c>
      <c r="J1472" t="inlineStr">
        <is>
          <t xml:space="preserve"> WT</t>
        </is>
      </c>
      <c r="K1472" t="inlineStr">
        <is>
          <t>Male</t>
        </is>
      </c>
      <c r="L1472" t="inlineStr">
        <is>
          <t>No focal subject</t>
        </is>
      </c>
      <c r="M1472" t="n">
        <v>28.567</v>
      </c>
      <c r="N1472" t="inlineStr">
        <is>
          <t>Explore_F</t>
        </is>
      </c>
      <c r="O1472" t="inlineStr">
        <is>
          <t>Familiar</t>
        </is>
      </c>
      <c r="P1472" t="inlineStr">
        <is>
          <t>STATE</t>
        </is>
      </c>
      <c r="Q1472" t="n">
        <v>248.199</v>
      </c>
      <c r="R1472" t="n">
        <v>249.566</v>
      </c>
      <c r="S1472" t="n">
        <v>1.367</v>
      </c>
      <c r="T1472" t="inlineStr">
        <is>
          <t>WT\training\c50m2.mp4</t>
        </is>
      </c>
      <c r="U1472" t="n">
        <v>7446</v>
      </c>
      <c r="V1472" t="n">
        <v>7487</v>
      </c>
      <c r="W1472" t="n">
        <v/>
      </c>
      <c r="X1472" t="n">
        <v/>
      </c>
      <c r="Y1472" t="n">
        <v/>
      </c>
      <c r="Z1472" t="n">
        <v/>
      </c>
      <c r="AA1472">
        <f>SUMIFS($S$2:S1472,$A$2:A1472,A1472,$N$2:N1472,"Explore*")</f>
        <v/>
      </c>
      <c r="AB1472">
        <f>IF(AND(LEFT(N1472,7)="Explore",(AA1472-IF(LEFT(N1472,7)="Explore",S1472,0))&lt;10),"SI","NO")</f>
        <v/>
      </c>
    </row>
    <row r="1473">
      <c r="A1473" t="inlineStr">
        <is>
          <t>c50m2_training</t>
        </is>
      </c>
      <c r="B1473" t="inlineStr">
        <is>
          <t>2026-02-20 14:57:52.796</t>
        </is>
      </c>
      <c r="C1473" t="n">
        <v/>
      </c>
      <c r="D1473" t="inlineStr">
        <is>
          <t>Media file</t>
        </is>
      </c>
      <c r="E1473" t="inlineStr">
        <is>
          <t>player #1:WT\training\c50m2.mp4</t>
        </is>
      </c>
      <c r="F1473" t="n">
        <v>-10.567</v>
      </c>
      <c r="G1473" t="n">
        <v>586.599</v>
      </c>
      <c r="H1473" t="n">
        <v>623.066</v>
      </c>
      <c r="I1473" t="n">
        <v>30</v>
      </c>
      <c r="J1473" t="inlineStr">
        <is>
          <t xml:space="preserve"> WT</t>
        </is>
      </c>
      <c r="K1473" t="inlineStr">
        <is>
          <t>Male</t>
        </is>
      </c>
      <c r="L1473" t="inlineStr">
        <is>
          <t>No focal subject</t>
        </is>
      </c>
      <c r="M1473" t="n">
        <v>28.567</v>
      </c>
      <c r="N1473" t="inlineStr">
        <is>
          <t>Explore_F2</t>
        </is>
      </c>
      <c r="O1473" t="inlineStr">
        <is>
          <t>Second familiar</t>
        </is>
      </c>
      <c r="P1473" t="inlineStr">
        <is>
          <t>STATE</t>
        </is>
      </c>
      <c r="Q1473" t="n">
        <v>271.933</v>
      </c>
      <c r="R1473" t="n">
        <v>272.299</v>
      </c>
      <c r="S1473" t="n">
        <v>0.366</v>
      </c>
      <c r="T1473" t="inlineStr">
        <is>
          <t>WT\training\c50m2.mp4</t>
        </is>
      </c>
      <c r="U1473" t="n">
        <v>8158</v>
      </c>
      <c r="V1473" t="n">
        <v>8169</v>
      </c>
      <c r="W1473" t="n">
        <v/>
      </c>
      <c r="X1473" t="n">
        <v/>
      </c>
      <c r="Y1473" t="n">
        <v/>
      </c>
      <c r="Z1473" t="n">
        <v/>
      </c>
      <c r="AA1473">
        <f>SUMIFS($S$2:S1473,$A$2:A1473,A1473,$N$2:N1473,"Explore*")</f>
        <v/>
      </c>
      <c r="AB1473">
        <f>IF(AND(LEFT(N1473,7)="Explore",(AA1473-IF(LEFT(N1473,7)="Explore",S1473,0))&lt;10),"SI","NO")</f>
        <v/>
      </c>
    </row>
    <row r="1474">
      <c r="A1474" t="inlineStr">
        <is>
          <t>c50m2_training</t>
        </is>
      </c>
      <c r="B1474" t="inlineStr">
        <is>
          <t>2026-02-20 14:57:52.796</t>
        </is>
      </c>
      <c r="C1474" t="n">
        <v/>
      </c>
      <c r="D1474" t="inlineStr">
        <is>
          <t>Media file</t>
        </is>
      </c>
      <c r="E1474" t="inlineStr">
        <is>
          <t>player #1:WT\training\c50m2.mp4</t>
        </is>
      </c>
      <c r="F1474" t="n">
        <v>-10.567</v>
      </c>
      <c r="G1474" t="n">
        <v>586.599</v>
      </c>
      <c r="H1474" t="n">
        <v>623.066</v>
      </c>
      <c r="I1474" t="n">
        <v>30</v>
      </c>
      <c r="J1474" t="inlineStr">
        <is>
          <t xml:space="preserve"> WT</t>
        </is>
      </c>
      <c r="K1474" t="inlineStr">
        <is>
          <t>Male</t>
        </is>
      </c>
      <c r="L1474" t="inlineStr">
        <is>
          <t>No focal subject</t>
        </is>
      </c>
      <c r="M1474" t="n">
        <v>28.567</v>
      </c>
      <c r="N1474" t="inlineStr">
        <is>
          <t>Explore_F2</t>
        </is>
      </c>
      <c r="O1474" t="inlineStr">
        <is>
          <t>Second familiar</t>
        </is>
      </c>
      <c r="P1474" t="inlineStr">
        <is>
          <t>STATE</t>
        </is>
      </c>
      <c r="Q1474" t="n">
        <v>289.699</v>
      </c>
      <c r="R1474" t="n">
        <v>290.333</v>
      </c>
      <c r="S1474" t="n">
        <v>0.634</v>
      </c>
      <c r="T1474" t="inlineStr">
        <is>
          <t>WT\training\c50m2.mp4</t>
        </is>
      </c>
      <c r="U1474" t="n">
        <v>8691</v>
      </c>
      <c r="V1474" t="n">
        <v>8710</v>
      </c>
      <c r="W1474" t="n">
        <v/>
      </c>
      <c r="X1474" t="n">
        <v/>
      </c>
      <c r="Y1474" t="n">
        <v/>
      </c>
      <c r="Z1474" t="n">
        <v/>
      </c>
      <c r="AA1474">
        <f>SUMIFS($S$2:S1474,$A$2:A1474,A1474,$N$2:N1474,"Explore*")</f>
        <v/>
      </c>
      <c r="AB1474">
        <f>IF(AND(LEFT(N1474,7)="Explore",(AA1474-IF(LEFT(N1474,7)="Explore",S1474,0))&lt;10),"SI","NO")</f>
        <v/>
      </c>
    </row>
    <row r="1475">
      <c r="A1475" t="inlineStr">
        <is>
          <t>c50m2_training</t>
        </is>
      </c>
      <c r="B1475" t="inlineStr">
        <is>
          <t>2026-02-20 14:57:52.796</t>
        </is>
      </c>
      <c r="C1475" t="n">
        <v/>
      </c>
      <c r="D1475" t="inlineStr">
        <is>
          <t>Media file</t>
        </is>
      </c>
      <c r="E1475" t="inlineStr">
        <is>
          <t>player #1:WT\training\c50m2.mp4</t>
        </is>
      </c>
      <c r="F1475" t="n">
        <v>-10.567</v>
      </c>
      <c r="G1475" t="n">
        <v>586.599</v>
      </c>
      <c r="H1475" t="n">
        <v>623.066</v>
      </c>
      <c r="I1475" t="n">
        <v>30</v>
      </c>
      <c r="J1475" t="inlineStr">
        <is>
          <t xml:space="preserve"> WT</t>
        </is>
      </c>
      <c r="K1475" t="inlineStr">
        <is>
          <t>Male</t>
        </is>
      </c>
      <c r="L1475" t="inlineStr">
        <is>
          <t>No focal subject</t>
        </is>
      </c>
      <c r="M1475" t="n">
        <v>28.567</v>
      </c>
      <c r="N1475" t="inlineStr">
        <is>
          <t>Explore_F2</t>
        </is>
      </c>
      <c r="O1475" t="inlineStr">
        <is>
          <t>Second familiar</t>
        </is>
      </c>
      <c r="P1475" t="inlineStr">
        <is>
          <t>STATE</t>
        </is>
      </c>
      <c r="Q1475" t="n">
        <v>309.366</v>
      </c>
      <c r="R1475" t="n">
        <v>309.533</v>
      </c>
      <c r="S1475" t="n">
        <v>0.167</v>
      </c>
      <c r="T1475" t="inlineStr">
        <is>
          <t>WT\training\c50m2.mp4</t>
        </is>
      </c>
      <c r="U1475" t="n">
        <v>9281</v>
      </c>
      <c r="V1475" t="n">
        <v>9287</v>
      </c>
      <c r="W1475" t="n">
        <v/>
      </c>
      <c r="X1475" t="n">
        <v/>
      </c>
      <c r="Y1475" t="n">
        <v/>
      </c>
      <c r="Z1475" t="n">
        <v/>
      </c>
      <c r="AA1475">
        <f>SUMIFS($S$2:S1475,$A$2:A1475,A1475,$N$2:N1475,"Explore*")</f>
        <v/>
      </c>
      <c r="AB1475">
        <f>IF(AND(LEFT(N1475,7)="Explore",(AA1475-IF(LEFT(N1475,7)="Explore",S1475,0))&lt;10),"SI","NO")</f>
        <v/>
      </c>
    </row>
    <row r="1476">
      <c r="A1476" t="inlineStr">
        <is>
          <t>c50m2_training</t>
        </is>
      </c>
      <c r="B1476" t="inlineStr">
        <is>
          <t>2026-02-20 14:57:52.796</t>
        </is>
      </c>
      <c r="C1476" t="n">
        <v/>
      </c>
      <c r="D1476" t="inlineStr">
        <is>
          <t>Media file</t>
        </is>
      </c>
      <c r="E1476" t="inlineStr">
        <is>
          <t>player #1:WT\training\c50m2.mp4</t>
        </is>
      </c>
      <c r="F1476" t="n">
        <v>-10.567</v>
      </c>
      <c r="G1476" t="n">
        <v>586.599</v>
      </c>
      <c r="H1476" t="n">
        <v>623.066</v>
      </c>
      <c r="I1476" t="n">
        <v>30</v>
      </c>
      <c r="J1476" t="inlineStr">
        <is>
          <t xml:space="preserve"> WT</t>
        </is>
      </c>
      <c r="K1476" t="inlineStr">
        <is>
          <t>Male</t>
        </is>
      </c>
      <c r="L1476" t="inlineStr">
        <is>
          <t>No focal subject</t>
        </is>
      </c>
      <c r="M1476" t="n">
        <v>28.567</v>
      </c>
      <c r="N1476" t="inlineStr">
        <is>
          <t>Explore_F2</t>
        </is>
      </c>
      <c r="O1476" t="inlineStr">
        <is>
          <t>Second familiar</t>
        </is>
      </c>
      <c r="P1476" t="inlineStr">
        <is>
          <t>STATE</t>
        </is>
      </c>
      <c r="Q1476" t="n">
        <v>310.866</v>
      </c>
      <c r="R1476" t="n">
        <v>311.566</v>
      </c>
      <c r="S1476" t="n">
        <v>0.7</v>
      </c>
      <c r="T1476" t="inlineStr">
        <is>
          <t>WT\training\c50m2.mp4</t>
        </is>
      </c>
      <c r="U1476" t="n">
        <v>9326</v>
      </c>
      <c r="V1476" t="n">
        <v>9347</v>
      </c>
      <c r="W1476" t="n">
        <v/>
      </c>
      <c r="X1476" t="n">
        <v/>
      </c>
      <c r="Y1476" t="n">
        <v/>
      </c>
      <c r="Z1476" t="n">
        <v/>
      </c>
      <c r="AA1476">
        <f>SUMIFS($S$2:S1476,$A$2:A1476,A1476,$N$2:N1476,"Explore*")</f>
        <v/>
      </c>
      <c r="AB1476">
        <f>IF(AND(LEFT(N1476,7)="Explore",(AA1476-IF(LEFT(N1476,7)="Explore",S1476,0))&lt;10),"SI","NO")</f>
        <v/>
      </c>
    </row>
    <row r="1477">
      <c r="A1477" t="inlineStr">
        <is>
          <t>c50m2_training</t>
        </is>
      </c>
      <c r="B1477" t="inlineStr">
        <is>
          <t>2026-02-20 14:57:52.796</t>
        </is>
      </c>
      <c r="C1477" t="n">
        <v/>
      </c>
      <c r="D1477" t="inlineStr">
        <is>
          <t>Media file</t>
        </is>
      </c>
      <c r="E1477" t="inlineStr">
        <is>
          <t>player #1:WT\training\c50m2.mp4</t>
        </is>
      </c>
      <c r="F1477" t="n">
        <v>-10.567</v>
      </c>
      <c r="G1477" t="n">
        <v>586.599</v>
      </c>
      <c r="H1477" t="n">
        <v>623.066</v>
      </c>
      <c r="I1477" t="n">
        <v>30</v>
      </c>
      <c r="J1477" t="inlineStr">
        <is>
          <t xml:space="preserve"> WT</t>
        </is>
      </c>
      <c r="K1477" t="inlineStr">
        <is>
          <t>Male</t>
        </is>
      </c>
      <c r="L1477" t="inlineStr">
        <is>
          <t>No focal subject</t>
        </is>
      </c>
      <c r="M1477" t="n">
        <v>28.567</v>
      </c>
      <c r="N1477" t="inlineStr">
        <is>
          <t>Explore_F</t>
        </is>
      </c>
      <c r="O1477" t="inlineStr">
        <is>
          <t>Familiar</t>
        </is>
      </c>
      <c r="P1477" t="inlineStr">
        <is>
          <t>STATE</t>
        </is>
      </c>
      <c r="Q1477" t="n">
        <v>324.899</v>
      </c>
      <c r="R1477" t="n">
        <v>325.366</v>
      </c>
      <c r="S1477" t="n">
        <v>0.467</v>
      </c>
      <c r="T1477" t="inlineStr">
        <is>
          <t>WT\training\c50m2.mp4</t>
        </is>
      </c>
      <c r="U1477" t="n">
        <v>9747</v>
      </c>
      <c r="V1477" t="n">
        <v>9761</v>
      </c>
      <c r="W1477" t="n">
        <v/>
      </c>
      <c r="X1477" t="n">
        <v/>
      </c>
      <c r="Y1477" t="n">
        <v/>
      </c>
      <c r="Z1477" t="n">
        <v/>
      </c>
      <c r="AA1477">
        <f>SUMIFS($S$2:S1477,$A$2:A1477,A1477,$N$2:N1477,"Explore*")</f>
        <v/>
      </c>
      <c r="AB1477">
        <f>IF(AND(LEFT(N1477,7)="Explore",(AA1477-IF(LEFT(N1477,7)="Explore",S1477,0))&lt;10),"SI","NO")</f>
        <v/>
      </c>
    </row>
    <row r="1478">
      <c r="A1478" t="inlineStr">
        <is>
          <t>c50m2_training</t>
        </is>
      </c>
      <c r="B1478" t="inlineStr">
        <is>
          <t>2026-02-20 14:57:52.796</t>
        </is>
      </c>
      <c r="C1478" t="n">
        <v/>
      </c>
      <c r="D1478" t="inlineStr">
        <is>
          <t>Media file</t>
        </is>
      </c>
      <c r="E1478" t="inlineStr">
        <is>
          <t>player #1:WT\training\c50m2.mp4</t>
        </is>
      </c>
      <c r="F1478" t="n">
        <v>-10.567</v>
      </c>
      <c r="G1478" t="n">
        <v>586.599</v>
      </c>
      <c r="H1478" t="n">
        <v>623.066</v>
      </c>
      <c r="I1478" t="n">
        <v>30</v>
      </c>
      <c r="J1478" t="inlineStr">
        <is>
          <t xml:space="preserve"> WT</t>
        </is>
      </c>
      <c r="K1478" t="inlineStr">
        <is>
          <t>Male</t>
        </is>
      </c>
      <c r="L1478" t="inlineStr">
        <is>
          <t>No focal subject</t>
        </is>
      </c>
      <c r="M1478" t="n">
        <v>28.567</v>
      </c>
      <c r="N1478" t="inlineStr">
        <is>
          <t>Explore_F2</t>
        </is>
      </c>
      <c r="O1478" t="inlineStr">
        <is>
          <t>Second familiar</t>
        </is>
      </c>
      <c r="P1478" t="inlineStr">
        <is>
          <t>STATE</t>
        </is>
      </c>
      <c r="Q1478" t="n">
        <v>327.399</v>
      </c>
      <c r="R1478" t="n">
        <v>327.899</v>
      </c>
      <c r="S1478" t="n">
        <v>0.5</v>
      </c>
      <c r="T1478" t="inlineStr">
        <is>
          <t>WT\training\c50m2.mp4</t>
        </is>
      </c>
      <c r="U1478" t="n">
        <v>9822</v>
      </c>
      <c r="V1478" t="n">
        <v>9837</v>
      </c>
      <c r="W1478" t="n">
        <v/>
      </c>
      <c r="X1478" t="n">
        <v/>
      </c>
      <c r="Y1478" t="n">
        <v/>
      </c>
      <c r="Z1478" t="n">
        <v/>
      </c>
      <c r="AA1478">
        <f>SUMIFS($S$2:S1478,$A$2:A1478,A1478,$N$2:N1478,"Explore*")</f>
        <v/>
      </c>
      <c r="AB1478">
        <f>IF(AND(LEFT(N1478,7)="Explore",(AA1478-IF(LEFT(N1478,7)="Explore",S1478,0))&lt;10),"SI","NO")</f>
        <v/>
      </c>
    </row>
    <row r="1479">
      <c r="A1479" t="inlineStr">
        <is>
          <t>c50m2_training</t>
        </is>
      </c>
      <c r="B1479" t="inlineStr">
        <is>
          <t>2026-02-20 14:57:52.796</t>
        </is>
      </c>
      <c r="C1479" t="n">
        <v/>
      </c>
      <c r="D1479" t="inlineStr">
        <is>
          <t>Media file</t>
        </is>
      </c>
      <c r="E1479" t="inlineStr">
        <is>
          <t>player #1:WT\training\c50m2.mp4</t>
        </is>
      </c>
      <c r="F1479" t="n">
        <v>-10.567</v>
      </c>
      <c r="G1479" t="n">
        <v>586.599</v>
      </c>
      <c r="H1479" t="n">
        <v>623.066</v>
      </c>
      <c r="I1479" t="n">
        <v>30</v>
      </c>
      <c r="J1479" t="inlineStr">
        <is>
          <t xml:space="preserve"> WT</t>
        </is>
      </c>
      <c r="K1479" t="inlineStr">
        <is>
          <t>Male</t>
        </is>
      </c>
      <c r="L1479" t="inlineStr">
        <is>
          <t>No focal subject</t>
        </is>
      </c>
      <c r="M1479" t="n">
        <v>28.567</v>
      </c>
      <c r="N1479" t="inlineStr">
        <is>
          <t>Explore_F2</t>
        </is>
      </c>
      <c r="O1479" t="inlineStr">
        <is>
          <t>Second familiar</t>
        </is>
      </c>
      <c r="P1479" t="inlineStr">
        <is>
          <t>STATE</t>
        </is>
      </c>
      <c r="Q1479" t="n">
        <v>332.666</v>
      </c>
      <c r="R1479" t="n">
        <v>332.999</v>
      </c>
      <c r="S1479" t="n">
        <v>0.333</v>
      </c>
      <c r="T1479" t="inlineStr">
        <is>
          <t>WT\training\c50m2.mp4</t>
        </is>
      </c>
      <c r="U1479" t="n">
        <v>9980</v>
      </c>
      <c r="V1479" t="n">
        <v>9990</v>
      </c>
      <c r="W1479" t="n">
        <v/>
      </c>
      <c r="X1479" t="n">
        <v/>
      </c>
      <c r="Y1479" t="n">
        <v/>
      </c>
      <c r="Z1479" t="n">
        <v/>
      </c>
      <c r="AA1479">
        <f>SUMIFS($S$2:S1479,$A$2:A1479,A1479,$N$2:N1479,"Explore*")</f>
        <v/>
      </c>
      <c r="AB1479">
        <f>IF(AND(LEFT(N1479,7)="Explore",(AA1479-IF(LEFT(N1479,7)="Explore",S1479,0))&lt;10),"SI","NO")</f>
        <v/>
      </c>
    </row>
    <row r="1480">
      <c r="A1480" t="inlineStr">
        <is>
          <t>c50m2_training</t>
        </is>
      </c>
      <c r="B1480" t="inlineStr">
        <is>
          <t>2026-02-20 14:57:52.796</t>
        </is>
      </c>
      <c r="C1480" t="n">
        <v/>
      </c>
      <c r="D1480" t="inlineStr">
        <is>
          <t>Media file</t>
        </is>
      </c>
      <c r="E1480" t="inlineStr">
        <is>
          <t>player #1:WT\training\c50m2.mp4</t>
        </is>
      </c>
      <c r="F1480" t="n">
        <v>-10.567</v>
      </c>
      <c r="G1480" t="n">
        <v>586.599</v>
      </c>
      <c r="H1480" t="n">
        <v>623.066</v>
      </c>
      <c r="I1480" t="n">
        <v>30</v>
      </c>
      <c r="J1480" t="inlineStr">
        <is>
          <t xml:space="preserve"> WT</t>
        </is>
      </c>
      <c r="K1480" t="inlineStr">
        <is>
          <t>Male</t>
        </is>
      </c>
      <c r="L1480" t="inlineStr">
        <is>
          <t>No focal subject</t>
        </is>
      </c>
      <c r="M1480" t="n">
        <v>28.567</v>
      </c>
      <c r="N1480" t="inlineStr">
        <is>
          <t>Explore_F</t>
        </is>
      </c>
      <c r="O1480" t="inlineStr">
        <is>
          <t>Familiar</t>
        </is>
      </c>
      <c r="P1480" t="inlineStr">
        <is>
          <t>STATE</t>
        </is>
      </c>
      <c r="Q1480" t="n">
        <v>343.566</v>
      </c>
      <c r="R1480" t="n">
        <v>344.599</v>
      </c>
      <c r="S1480" t="n">
        <v>1.033</v>
      </c>
      <c r="T1480" t="inlineStr">
        <is>
          <t>WT\training\c50m2.mp4</t>
        </is>
      </c>
      <c r="U1480" t="n">
        <v>10307</v>
      </c>
      <c r="V1480" t="n">
        <v>10338</v>
      </c>
      <c r="W1480" t="n">
        <v/>
      </c>
      <c r="X1480" t="n">
        <v/>
      </c>
      <c r="Y1480" t="n">
        <v/>
      </c>
      <c r="Z1480" t="n">
        <v/>
      </c>
      <c r="AA1480">
        <f>SUMIFS($S$2:S1480,$A$2:A1480,A1480,$N$2:N1480,"Explore*")</f>
        <v/>
      </c>
      <c r="AB1480">
        <f>IF(AND(LEFT(N1480,7)="Explore",(AA1480-IF(LEFT(N1480,7)="Explore",S1480,0))&lt;10),"SI","NO")</f>
        <v/>
      </c>
    </row>
    <row r="1481">
      <c r="A1481" t="inlineStr">
        <is>
          <t>c50m2_training</t>
        </is>
      </c>
      <c r="B1481" t="inlineStr">
        <is>
          <t>2026-02-20 14:57:52.796</t>
        </is>
      </c>
      <c r="C1481" t="n">
        <v/>
      </c>
      <c r="D1481" t="inlineStr">
        <is>
          <t>Media file</t>
        </is>
      </c>
      <c r="E1481" t="inlineStr">
        <is>
          <t>player #1:WT\training\c50m2.mp4</t>
        </is>
      </c>
      <c r="F1481" t="n">
        <v>-10.567</v>
      </c>
      <c r="G1481" t="n">
        <v>586.599</v>
      </c>
      <c r="H1481" t="n">
        <v>623.066</v>
      </c>
      <c r="I1481" t="n">
        <v>30</v>
      </c>
      <c r="J1481" t="inlineStr">
        <is>
          <t xml:space="preserve"> WT</t>
        </is>
      </c>
      <c r="K1481" t="inlineStr">
        <is>
          <t>Male</t>
        </is>
      </c>
      <c r="L1481" t="inlineStr">
        <is>
          <t>No focal subject</t>
        </is>
      </c>
      <c r="M1481" t="n">
        <v>28.567</v>
      </c>
      <c r="N1481" t="inlineStr">
        <is>
          <t>Explore_F2</t>
        </is>
      </c>
      <c r="O1481" t="inlineStr">
        <is>
          <t>Second familiar</t>
        </is>
      </c>
      <c r="P1481" t="inlineStr">
        <is>
          <t>STATE</t>
        </is>
      </c>
      <c r="Q1481" t="n">
        <v>358.166</v>
      </c>
      <c r="R1481" t="n">
        <v>358.666</v>
      </c>
      <c r="S1481" t="n">
        <v>0.5</v>
      </c>
      <c r="T1481" t="inlineStr">
        <is>
          <t>WT\training\c50m2.mp4</t>
        </is>
      </c>
      <c r="U1481" t="n">
        <v>10745</v>
      </c>
      <c r="V1481" t="n">
        <v>10760</v>
      </c>
      <c r="W1481" t="n">
        <v/>
      </c>
      <c r="X1481" t="n">
        <v/>
      </c>
      <c r="Y1481" t="n">
        <v/>
      </c>
      <c r="Z1481" t="n">
        <v/>
      </c>
      <c r="AA1481">
        <f>SUMIFS($S$2:S1481,$A$2:A1481,A1481,$N$2:N1481,"Explore*")</f>
        <v/>
      </c>
      <c r="AB1481">
        <f>IF(AND(LEFT(N1481,7)="Explore",(AA1481-IF(LEFT(N1481,7)="Explore",S1481,0))&lt;10),"SI","NO")</f>
        <v/>
      </c>
    </row>
    <row r="1482">
      <c r="A1482" t="inlineStr">
        <is>
          <t>c50m2_training</t>
        </is>
      </c>
      <c r="B1482" t="inlineStr">
        <is>
          <t>2026-02-20 14:57:52.796</t>
        </is>
      </c>
      <c r="C1482" t="n">
        <v/>
      </c>
      <c r="D1482" t="inlineStr">
        <is>
          <t>Media file</t>
        </is>
      </c>
      <c r="E1482" t="inlineStr">
        <is>
          <t>player #1:WT\training\c50m2.mp4</t>
        </is>
      </c>
      <c r="F1482" t="n">
        <v>-10.567</v>
      </c>
      <c r="G1482" t="n">
        <v>586.599</v>
      </c>
      <c r="H1482" t="n">
        <v>623.066</v>
      </c>
      <c r="I1482" t="n">
        <v>30</v>
      </c>
      <c r="J1482" t="inlineStr">
        <is>
          <t xml:space="preserve"> WT</t>
        </is>
      </c>
      <c r="K1482" t="inlineStr">
        <is>
          <t>Male</t>
        </is>
      </c>
      <c r="L1482" t="inlineStr">
        <is>
          <t>No focal subject</t>
        </is>
      </c>
      <c r="M1482" t="n">
        <v>28.567</v>
      </c>
      <c r="N1482" t="inlineStr">
        <is>
          <t>Explore_F</t>
        </is>
      </c>
      <c r="O1482" t="inlineStr">
        <is>
          <t>Familiar</t>
        </is>
      </c>
      <c r="P1482" t="inlineStr">
        <is>
          <t>STATE</t>
        </is>
      </c>
      <c r="Q1482" t="n">
        <v>369.133</v>
      </c>
      <c r="R1482" t="n">
        <v>369.466</v>
      </c>
      <c r="S1482" t="n">
        <v>0.333</v>
      </c>
      <c r="T1482" t="inlineStr">
        <is>
          <t>WT\training\c50m2.mp4</t>
        </is>
      </c>
      <c r="U1482" t="n">
        <v>11074</v>
      </c>
      <c r="V1482" t="n">
        <v>11084</v>
      </c>
      <c r="W1482" t="n">
        <v/>
      </c>
      <c r="X1482" t="n">
        <v/>
      </c>
      <c r="Y1482" t="n">
        <v/>
      </c>
      <c r="Z1482" t="n">
        <v/>
      </c>
      <c r="AA1482">
        <f>SUMIFS($S$2:S1482,$A$2:A1482,A1482,$N$2:N1482,"Explore*")</f>
        <v/>
      </c>
      <c r="AB1482">
        <f>IF(AND(LEFT(N1482,7)="Explore",(AA1482-IF(LEFT(N1482,7)="Explore",S1482,0))&lt;10),"SI","NO")</f>
        <v/>
      </c>
    </row>
    <row r="1483">
      <c r="A1483" t="inlineStr">
        <is>
          <t>c50m2_training</t>
        </is>
      </c>
      <c r="B1483" t="inlineStr">
        <is>
          <t>2026-02-20 14:57:52.796</t>
        </is>
      </c>
      <c r="C1483" t="n">
        <v/>
      </c>
      <c r="D1483" t="inlineStr">
        <is>
          <t>Media file</t>
        </is>
      </c>
      <c r="E1483" t="inlineStr">
        <is>
          <t>player #1:WT\training\c50m2.mp4</t>
        </is>
      </c>
      <c r="F1483" t="n">
        <v>-10.567</v>
      </c>
      <c r="G1483" t="n">
        <v>586.599</v>
      </c>
      <c r="H1483" t="n">
        <v>623.066</v>
      </c>
      <c r="I1483" t="n">
        <v>30</v>
      </c>
      <c r="J1483" t="inlineStr">
        <is>
          <t xml:space="preserve"> WT</t>
        </is>
      </c>
      <c r="K1483" t="inlineStr">
        <is>
          <t>Male</t>
        </is>
      </c>
      <c r="L1483" t="inlineStr">
        <is>
          <t>No focal subject</t>
        </is>
      </c>
      <c r="M1483" t="n">
        <v>28.567</v>
      </c>
      <c r="N1483" t="inlineStr">
        <is>
          <t>Explore_F2</t>
        </is>
      </c>
      <c r="O1483" t="inlineStr">
        <is>
          <t>Second familiar</t>
        </is>
      </c>
      <c r="P1483" t="inlineStr">
        <is>
          <t>STATE</t>
        </is>
      </c>
      <c r="Q1483" t="n">
        <v>416.933</v>
      </c>
      <c r="R1483" t="n">
        <v>417.633</v>
      </c>
      <c r="S1483" t="n">
        <v>0.7</v>
      </c>
      <c r="T1483" t="inlineStr">
        <is>
          <t>WT\training\c50m2.mp4</t>
        </is>
      </c>
      <c r="U1483" t="n">
        <v>12508</v>
      </c>
      <c r="V1483" t="n">
        <v>12529</v>
      </c>
      <c r="W1483" t="n">
        <v/>
      </c>
      <c r="X1483" t="n">
        <v/>
      </c>
      <c r="Y1483" t="n">
        <v/>
      </c>
      <c r="Z1483" t="n">
        <v/>
      </c>
      <c r="AA1483">
        <f>SUMIFS($S$2:S1483,$A$2:A1483,A1483,$N$2:N1483,"Explore*")</f>
        <v/>
      </c>
      <c r="AB1483">
        <f>IF(AND(LEFT(N1483,7)="Explore",(AA1483-IF(LEFT(N1483,7)="Explore",S1483,0))&lt;10),"SI","NO")</f>
        <v/>
      </c>
    </row>
    <row r="1484">
      <c r="A1484" t="inlineStr">
        <is>
          <t>c50m2_training</t>
        </is>
      </c>
      <c r="B1484" t="inlineStr">
        <is>
          <t>2026-02-20 14:57:52.796</t>
        </is>
      </c>
      <c r="C1484" t="n">
        <v/>
      </c>
      <c r="D1484" t="inlineStr">
        <is>
          <t>Media file</t>
        </is>
      </c>
      <c r="E1484" t="inlineStr">
        <is>
          <t>player #1:WT\training\c50m2.mp4</t>
        </is>
      </c>
      <c r="F1484" t="n">
        <v>-10.567</v>
      </c>
      <c r="G1484" t="n">
        <v>586.599</v>
      </c>
      <c r="H1484" t="n">
        <v>623.066</v>
      </c>
      <c r="I1484" t="n">
        <v>30</v>
      </c>
      <c r="J1484" t="inlineStr">
        <is>
          <t xml:space="preserve"> WT</t>
        </is>
      </c>
      <c r="K1484" t="inlineStr">
        <is>
          <t>Male</t>
        </is>
      </c>
      <c r="L1484" t="inlineStr">
        <is>
          <t>No focal subject</t>
        </is>
      </c>
      <c r="M1484" t="n">
        <v>28.567</v>
      </c>
      <c r="N1484" t="inlineStr">
        <is>
          <t>Explore_F2</t>
        </is>
      </c>
      <c r="O1484" t="inlineStr">
        <is>
          <t>Second familiar</t>
        </is>
      </c>
      <c r="P1484" t="inlineStr">
        <is>
          <t>STATE</t>
        </is>
      </c>
      <c r="Q1484" t="n">
        <v>420.799</v>
      </c>
      <c r="R1484" t="n">
        <v>421.099</v>
      </c>
      <c r="S1484" t="n">
        <v>0.3</v>
      </c>
      <c r="T1484" t="inlineStr">
        <is>
          <t>WT\training\c50m2.mp4</t>
        </is>
      </c>
      <c r="U1484" t="n">
        <v>12624</v>
      </c>
      <c r="V1484" t="n">
        <v>12633</v>
      </c>
      <c r="W1484" t="n">
        <v/>
      </c>
      <c r="X1484" t="n">
        <v/>
      </c>
      <c r="Y1484" t="n">
        <v/>
      </c>
      <c r="Z1484" t="n">
        <v/>
      </c>
      <c r="AA1484">
        <f>SUMIFS($S$2:S1484,$A$2:A1484,A1484,$N$2:N1484,"Explore*")</f>
        <v/>
      </c>
      <c r="AB1484">
        <f>IF(AND(LEFT(N1484,7)="Explore",(AA1484-IF(LEFT(N1484,7)="Explore",S1484,0))&lt;10),"SI","NO")</f>
        <v/>
      </c>
    </row>
    <row r="1485">
      <c r="A1485" t="inlineStr">
        <is>
          <t>c50m2_training</t>
        </is>
      </c>
      <c r="B1485" t="inlineStr">
        <is>
          <t>2026-02-20 14:57:52.796</t>
        </is>
      </c>
      <c r="C1485" t="n">
        <v/>
      </c>
      <c r="D1485" t="inlineStr">
        <is>
          <t>Media file</t>
        </is>
      </c>
      <c r="E1485" t="inlineStr">
        <is>
          <t>player #1:WT\training\c50m2.mp4</t>
        </is>
      </c>
      <c r="F1485" t="n">
        <v>-10.567</v>
      </c>
      <c r="G1485" t="n">
        <v>586.599</v>
      </c>
      <c r="H1485" t="n">
        <v>623.066</v>
      </c>
      <c r="I1485" t="n">
        <v>30</v>
      </c>
      <c r="J1485" t="inlineStr">
        <is>
          <t xml:space="preserve"> WT</t>
        </is>
      </c>
      <c r="K1485" t="inlineStr">
        <is>
          <t>Male</t>
        </is>
      </c>
      <c r="L1485" t="inlineStr">
        <is>
          <t>No focal subject</t>
        </is>
      </c>
      <c r="M1485" t="n">
        <v>28.567</v>
      </c>
      <c r="N1485" t="inlineStr">
        <is>
          <t>Explore_F</t>
        </is>
      </c>
      <c r="O1485" t="inlineStr">
        <is>
          <t>Familiar</t>
        </is>
      </c>
      <c r="P1485" t="inlineStr">
        <is>
          <t>STATE</t>
        </is>
      </c>
      <c r="Q1485" t="n">
        <v>439.066</v>
      </c>
      <c r="R1485" t="n">
        <v>439.699</v>
      </c>
      <c r="S1485" t="n">
        <v>0.633</v>
      </c>
      <c r="T1485" t="inlineStr">
        <is>
          <t>WT\training\c50m2.mp4</t>
        </is>
      </c>
      <c r="U1485" t="n">
        <v>13172</v>
      </c>
      <c r="V1485" t="n">
        <v>13191</v>
      </c>
      <c r="W1485" t="n">
        <v/>
      </c>
      <c r="X1485" t="n">
        <v/>
      </c>
      <c r="Y1485" t="n">
        <v/>
      </c>
      <c r="Z1485" t="n">
        <v/>
      </c>
      <c r="AA1485">
        <f>SUMIFS($S$2:S1485,$A$2:A1485,A1485,$N$2:N1485,"Explore*")</f>
        <v/>
      </c>
      <c r="AB1485">
        <f>IF(AND(LEFT(N1485,7)="Explore",(AA1485-IF(LEFT(N1485,7)="Explore",S1485,0))&lt;10),"SI","NO")</f>
        <v/>
      </c>
    </row>
    <row r="1486">
      <c r="A1486" t="inlineStr">
        <is>
          <t>c50m2_training</t>
        </is>
      </c>
      <c r="B1486" t="inlineStr">
        <is>
          <t>2026-02-20 14:57:52.796</t>
        </is>
      </c>
      <c r="C1486" t="n">
        <v/>
      </c>
      <c r="D1486" t="inlineStr">
        <is>
          <t>Media file</t>
        </is>
      </c>
      <c r="E1486" t="inlineStr">
        <is>
          <t>player #1:WT\training\c50m2.mp4</t>
        </is>
      </c>
      <c r="F1486" t="n">
        <v>-10.567</v>
      </c>
      <c r="G1486" t="n">
        <v>586.599</v>
      </c>
      <c r="H1486" t="n">
        <v>623.066</v>
      </c>
      <c r="I1486" t="n">
        <v>30</v>
      </c>
      <c r="J1486" t="inlineStr">
        <is>
          <t xml:space="preserve"> WT</t>
        </is>
      </c>
      <c r="K1486" t="inlineStr">
        <is>
          <t>Male</t>
        </is>
      </c>
      <c r="L1486" t="inlineStr">
        <is>
          <t>No focal subject</t>
        </is>
      </c>
      <c r="M1486" t="n">
        <v>28.567</v>
      </c>
      <c r="N1486" t="inlineStr">
        <is>
          <t>Explore_F</t>
        </is>
      </c>
      <c r="O1486" t="inlineStr">
        <is>
          <t>Familiar</t>
        </is>
      </c>
      <c r="P1486" t="inlineStr">
        <is>
          <t>STATE</t>
        </is>
      </c>
      <c r="Q1486" t="n">
        <v>452.533</v>
      </c>
      <c r="R1486" t="n">
        <v>453.333</v>
      </c>
      <c r="S1486" t="n">
        <v>0.8</v>
      </c>
      <c r="T1486" t="inlineStr">
        <is>
          <t>WT\training\c50m2.mp4</t>
        </is>
      </c>
      <c r="U1486" t="n">
        <v>13577</v>
      </c>
      <c r="V1486" t="n">
        <v>13600</v>
      </c>
      <c r="W1486" t="n">
        <v/>
      </c>
      <c r="X1486" t="n">
        <v/>
      </c>
      <c r="Y1486" t="n">
        <v/>
      </c>
      <c r="Z1486" t="n">
        <v/>
      </c>
      <c r="AA1486">
        <f>SUMIFS($S$2:S1486,$A$2:A1486,A1486,$N$2:N1486,"Explore*")</f>
        <v/>
      </c>
      <c r="AB1486">
        <f>IF(AND(LEFT(N1486,7)="Explore",(AA1486-IF(LEFT(N1486,7)="Explore",S1486,0))&lt;10),"SI","NO")</f>
        <v/>
      </c>
    </row>
    <row r="1487">
      <c r="A1487" t="inlineStr">
        <is>
          <t>c50m2_training</t>
        </is>
      </c>
      <c r="B1487" t="inlineStr">
        <is>
          <t>2026-02-20 14:57:52.796</t>
        </is>
      </c>
      <c r="C1487" t="n">
        <v/>
      </c>
      <c r="D1487" t="inlineStr">
        <is>
          <t>Media file</t>
        </is>
      </c>
      <c r="E1487" t="inlineStr">
        <is>
          <t>player #1:WT\training\c50m2.mp4</t>
        </is>
      </c>
      <c r="F1487" t="n">
        <v>-10.567</v>
      </c>
      <c r="G1487" t="n">
        <v>586.599</v>
      </c>
      <c r="H1487" t="n">
        <v>623.066</v>
      </c>
      <c r="I1487" t="n">
        <v>30</v>
      </c>
      <c r="J1487" t="inlineStr">
        <is>
          <t xml:space="preserve"> WT</t>
        </is>
      </c>
      <c r="K1487" t="inlineStr">
        <is>
          <t>Male</t>
        </is>
      </c>
      <c r="L1487" t="inlineStr">
        <is>
          <t>No focal subject</t>
        </is>
      </c>
      <c r="M1487" t="n">
        <v>28.567</v>
      </c>
      <c r="N1487" t="inlineStr">
        <is>
          <t>Explore_F2</t>
        </is>
      </c>
      <c r="O1487" t="inlineStr">
        <is>
          <t>Second familiar</t>
        </is>
      </c>
      <c r="P1487" t="inlineStr">
        <is>
          <t>STATE</t>
        </is>
      </c>
      <c r="Q1487" t="n">
        <v>459.333</v>
      </c>
      <c r="R1487" t="n">
        <v>460.066</v>
      </c>
      <c r="S1487" t="n">
        <v>0.733</v>
      </c>
      <c r="T1487" t="inlineStr">
        <is>
          <t>WT\training\c50m2.mp4</t>
        </is>
      </c>
      <c r="U1487" t="n">
        <v>13780</v>
      </c>
      <c r="V1487" t="n">
        <v>13802</v>
      </c>
      <c r="W1487" t="n">
        <v/>
      </c>
      <c r="X1487" t="n">
        <v/>
      </c>
      <c r="Y1487" t="n">
        <v/>
      </c>
      <c r="Z1487" t="n">
        <v/>
      </c>
      <c r="AA1487">
        <f>SUMIFS($S$2:S1487,$A$2:A1487,A1487,$N$2:N1487,"Explore*")</f>
        <v/>
      </c>
      <c r="AB1487">
        <f>IF(AND(LEFT(N1487,7)="Explore",(AA1487-IF(LEFT(N1487,7)="Explore",S1487,0))&lt;10),"SI","NO")</f>
        <v/>
      </c>
    </row>
    <row r="1488">
      <c r="A1488" t="inlineStr">
        <is>
          <t>c50m2_training</t>
        </is>
      </c>
      <c r="B1488" t="inlineStr">
        <is>
          <t>2026-02-20 14:57:52.796</t>
        </is>
      </c>
      <c r="C1488" t="n">
        <v/>
      </c>
      <c r="D1488" t="inlineStr">
        <is>
          <t>Media file</t>
        </is>
      </c>
      <c r="E1488" t="inlineStr">
        <is>
          <t>player #1:WT\training\c50m2.mp4</t>
        </is>
      </c>
      <c r="F1488" t="n">
        <v>-10.567</v>
      </c>
      <c r="G1488" t="n">
        <v>586.599</v>
      </c>
      <c r="H1488" t="n">
        <v>623.066</v>
      </c>
      <c r="I1488" t="n">
        <v>30</v>
      </c>
      <c r="J1488" t="inlineStr">
        <is>
          <t xml:space="preserve"> WT</t>
        </is>
      </c>
      <c r="K1488" t="inlineStr">
        <is>
          <t>Male</t>
        </is>
      </c>
      <c r="L1488" t="inlineStr">
        <is>
          <t>No focal subject</t>
        </is>
      </c>
      <c r="M1488" t="n">
        <v>28.567</v>
      </c>
      <c r="N1488" t="inlineStr">
        <is>
          <t>Explore_F</t>
        </is>
      </c>
      <c r="O1488" t="inlineStr">
        <is>
          <t>Familiar</t>
        </is>
      </c>
      <c r="P1488" t="inlineStr">
        <is>
          <t>STATE</t>
        </is>
      </c>
      <c r="Q1488" t="n">
        <v>469.333</v>
      </c>
      <c r="R1488" t="n">
        <v>469.633</v>
      </c>
      <c r="S1488" t="n">
        <v>0.3</v>
      </c>
      <c r="T1488" t="inlineStr">
        <is>
          <t>WT\training\c50m2.mp4</t>
        </is>
      </c>
      <c r="U1488" t="n">
        <v>14080</v>
      </c>
      <c r="V1488" t="n">
        <v>14089</v>
      </c>
      <c r="W1488" t="n">
        <v/>
      </c>
      <c r="X1488" t="n">
        <v/>
      </c>
      <c r="Y1488" t="n">
        <v/>
      </c>
      <c r="Z1488" t="n">
        <v/>
      </c>
      <c r="AA1488">
        <f>SUMIFS($S$2:S1488,$A$2:A1488,A1488,$N$2:N1488,"Explore*")</f>
        <v/>
      </c>
      <c r="AB1488">
        <f>IF(AND(LEFT(N1488,7)="Explore",(AA1488-IF(LEFT(N1488,7)="Explore",S1488,0))&lt;10),"SI","NO")</f>
        <v/>
      </c>
    </row>
    <row r="1489">
      <c r="A1489" t="inlineStr">
        <is>
          <t>c50m2_training</t>
        </is>
      </c>
      <c r="B1489" t="inlineStr">
        <is>
          <t>2026-02-20 14:57:52.796</t>
        </is>
      </c>
      <c r="C1489" t="n">
        <v/>
      </c>
      <c r="D1489" t="inlineStr">
        <is>
          <t>Media file</t>
        </is>
      </c>
      <c r="E1489" t="inlineStr">
        <is>
          <t>player #1:WT\training\c50m2.mp4</t>
        </is>
      </c>
      <c r="F1489" t="n">
        <v>-10.567</v>
      </c>
      <c r="G1489" t="n">
        <v>586.599</v>
      </c>
      <c r="H1489" t="n">
        <v>623.066</v>
      </c>
      <c r="I1489" t="n">
        <v>30</v>
      </c>
      <c r="J1489" t="inlineStr">
        <is>
          <t xml:space="preserve"> WT</t>
        </is>
      </c>
      <c r="K1489" t="inlineStr">
        <is>
          <t>Male</t>
        </is>
      </c>
      <c r="L1489" t="inlineStr">
        <is>
          <t>No focal subject</t>
        </is>
      </c>
      <c r="M1489" t="n">
        <v>28.567</v>
      </c>
      <c r="N1489" t="inlineStr">
        <is>
          <t>Explore_F2</t>
        </is>
      </c>
      <c r="O1489" t="inlineStr">
        <is>
          <t>Second familiar</t>
        </is>
      </c>
      <c r="P1489" t="inlineStr">
        <is>
          <t>STATE</t>
        </is>
      </c>
      <c r="Q1489" t="n">
        <v>474.833</v>
      </c>
      <c r="R1489" t="n">
        <v>475.666</v>
      </c>
      <c r="S1489" t="n">
        <v>0.833</v>
      </c>
      <c r="T1489" t="inlineStr">
        <is>
          <t>WT\training\c50m2.mp4</t>
        </is>
      </c>
      <c r="U1489" t="n">
        <v>14245</v>
      </c>
      <c r="V1489" t="n">
        <v>14270</v>
      </c>
      <c r="W1489" t="n">
        <v/>
      </c>
      <c r="X1489" t="n">
        <v/>
      </c>
      <c r="Y1489" t="n">
        <v/>
      </c>
      <c r="Z1489" t="n">
        <v/>
      </c>
      <c r="AA1489">
        <f>SUMIFS($S$2:S1489,$A$2:A1489,A1489,$N$2:N1489,"Explore*")</f>
        <v/>
      </c>
      <c r="AB1489">
        <f>IF(AND(LEFT(N1489,7)="Explore",(AA1489-IF(LEFT(N1489,7)="Explore",S1489,0))&lt;10),"SI","NO")</f>
        <v/>
      </c>
    </row>
    <row r="1490">
      <c r="A1490" t="inlineStr">
        <is>
          <t>c50m2_training</t>
        </is>
      </c>
      <c r="B1490" t="inlineStr">
        <is>
          <t>2026-02-20 14:57:52.796</t>
        </is>
      </c>
      <c r="C1490" t="n">
        <v/>
      </c>
      <c r="D1490" t="inlineStr">
        <is>
          <t>Media file</t>
        </is>
      </c>
      <c r="E1490" t="inlineStr">
        <is>
          <t>player #1:WT\training\c50m2.mp4</t>
        </is>
      </c>
      <c r="F1490" t="n">
        <v>-10.567</v>
      </c>
      <c r="G1490" t="n">
        <v>586.599</v>
      </c>
      <c r="H1490" t="n">
        <v>623.066</v>
      </c>
      <c r="I1490" t="n">
        <v>30</v>
      </c>
      <c r="J1490" t="inlineStr">
        <is>
          <t xml:space="preserve"> WT</t>
        </is>
      </c>
      <c r="K1490" t="inlineStr">
        <is>
          <t>Male</t>
        </is>
      </c>
      <c r="L1490" t="inlineStr">
        <is>
          <t>No focal subject</t>
        </is>
      </c>
      <c r="M1490" t="n">
        <v>28.567</v>
      </c>
      <c r="N1490" t="inlineStr">
        <is>
          <t>Explore_F2</t>
        </is>
      </c>
      <c r="O1490" t="inlineStr">
        <is>
          <t>Second familiar</t>
        </is>
      </c>
      <c r="P1490" t="inlineStr">
        <is>
          <t>STATE</t>
        </is>
      </c>
      <c r="Q1490" t="n">
        <v>478.632</v>
      </c>
      <c r="R1490" t="n">
        <v>479.166</v>
      </c>
      <c r="S1490" t="n">
        <v>0.534</v>
      </c>
      <c r="T1490" t="inlineStr">
        <is>
          <t>WT\training\c50m2.mp4</t>
        </is>
      </c>
      <c r="U1490" t="n">
        <v>14359</v>
      </c>
      <c r="V1490" t="n">
        <v>14375</v>
      </c>
      <c r="W1490" t="n">
        <v/>
      </c>
      <c r="X1490" t="n">
        <v/>
      </c>
      <c r="Y1490" t="n">
        <v/>
      </c>
      <c r="Z1490" t="n">
        <v/>
      </c>
      <c r="AA1490">
        <f>SUMIFS($S$2:S1490,$A$2:A1490,A1490,$N$2:N1490,"Explore*")</f>
        <v/>
      </c>
      <c r="AB1490">
        <f>IF(AND(LEFT(N1490,7)="Explore",(AA1490-IF(LEFT(N1490,7)="Explore",S1490,0))&lt;10),"SI","NO")</f>
        <v/>
      </c>
    </row>
    <row r="1491">
      <c r="A1491" t="inlineStr">
        <is>
          <t>c50m2_training</t>
        </is>
      </c>
      <c r="B1491" t="inlineStr">
        <is>
          <t>2026-02-20 14:57:52.796</t>
        </is>
      </c>
      <c r="C1491" t="n">
        <v/>
      </c>
      <c r="D1491" t="inlineStr">
        <is>
          <t>Media file</t>
        </is>
      </c>
      <c r="E1491" t="inlineStr">
        <is>
          <t>player #1:WT\training\c50m2.mp4</t>
        </is>
      </c>
      <c r="F1491" t="n">
        <v>-10.567</v>
      </c>
      <c r="G1491" t="n">
        <v>586.599</v>
      </c>
      <c r="H1491" t="n">
        <v>623.066</v>
      </c>
      <c r="I1491" t="n">
        <v>30</v>
      </c>
      <c r="J1491" t="inlineStr">
        <is>
          <t xml:space="preserve"> WT</t>
        </is>
      </c>
      <c r="K1491" t="inlineStr">
        <is>
          <t>Male</t>
        </is>
      </c>
      <c r="L1491" t="inlineStr">
        <is>
          <t>No focal subject</t>
        </is>
      </c>
      <c r="M1491" t="n">
        <v>28.567</v>
      </c>
      <c r="N1491" t="inlineStr">
        <is>
          <t>Explore_F</t>
        </is>
      </c>
      <c r="O1491" t="inlineStr">
        <is>
          <t>Familiar</t>
        </is>
      </c>
      <c r="P1491" t="inlineStr">
        <is>
          <t>STATE</t>
        </is>
      </c>
      <c r="Q1491" t="n">
        <v>486.599</v>
      </c>
      <c r="R1491" t="n">
        <v>487.166</v>
      </c>
      <c r="S1491" t="n">
        <v>0.5669999999999999</v>
      </c>
      <c r="T1491" t="inlineStr">
        <is>
          <t>WT\training\c50m2.mp4</t>
        </is>
      </c>
      <c r="U1491" t="n">
        <v>14598</v>
      </c>
      <c r="V1491" t="n">
        <v>14615</v>
      </c>
      <c r="W1491" t="n">
        <v/>
      </c>
      <c r="X1491" t="n">
        <v/>
      </c>
      <c r="Y1491" t="n">
        <v/>
      </c>
      <c r="Z1491" t="n">
        <v/>
      </c>
      <c r="AA1491">
        <f>SUMIFS($S$2:S1491,$A$2:A1491,A1491,$N$2:N1491,"Explore*")</f>
        <v/>
      </c>
      <c r="AB1491">
        <f>IF(AND(LEFT(N1491,7)="Explore",(AA1491-IF(LEFT(N1491,7)="Explore",S1491,0))&lt;10),"SI","NO")</f>
        <v/>
      </c>
    </row>
    <row r="1492">
      <c r="A1492" t="inlineStr">
        <is>
          <t>c50m2_training</t>
        </is>
      </c>
      <c r="B1492" t="inlineStr">
        <is>
          <t>2026-02-20 14:57:52.796</t>
        </is>
      </c>
      <c r="C1492" t="n">
        <v/>
      </c>
      <c r="D1492" t="inlineStr">
        <is>
          <t>Media file</t>
        </is>
      </c>
      <c r="E1492" t="inlineStr">
        <is>
          <t>player #1:WT\training\c50m2.mp4</t>
        </is>
      </c>
      <c r="F1492" t="n">
        <v>-10.567</v>
      </c>
      <c r="G1492" t="n">
        <v>586.599</v>
      </c>
      <c r="H1492" t="n">
        <v>623.066</v>
      </c>
      <c r="I1492" t="n">
        <v>30</v>
      </c>
      <c r="J1492" t="inlineStr">
        <is>
          <t xml:space="preserve"> WT</t>
        </is>
      </c>
      <c r="K1492" t="inlineStr">
        <is>
          <t>Male</t>
        </is>
      </c>
      <c r="L1492" t="inlineStr">
        <is>
          <t>No focal subject</t>
        </is>
      </c>
      <c r="M1492" t="n">
        <v>28.567</v>
      </c>
      <c r="N1492" t="inlineStr">
        <is>
          <t>Explore_F</t>
        </is>
      </c>
      <c r="O1492" t="inlineStr">
        <is>
          <t>Familiar</t>
        </is>
      </c>
      <c r="P1492" t="inlineStr">
        <is>
          <t>STATE</t>
        </is>
      </c>
      <c r="Q1492" t="n">
        <v>493.732</v>
      </c>
      <c r="R1492" t="n">
        <v>494.966</v>
      </c>
      <c r="S1492" t="n">
        <v>1.234</v>
      </c>
      <c r="T1492" t="inlineStr">
        <is>
          <t>WT\training\c50m2.mp4</t>
        </is>
      </c>
      <c r="U1492" t="n">
        <v>14812</v>
      </c>
      <c r="V1492" t="n">
        <v>14849</v>
      </c>
      <c r="W1492" t="n">
        <v/>
      </c>
      <c r="X1492" t="n">
        <v/>
      </c>
      <c r="Y1492" t="n">
        <v/>
      </c>
      <c r="Z1492" t="n">
        <v/>
      </c>
      <c r="AA1492">
        <f>SUMIFS($S$2:S1492,$A$2:A1492,A1492,$N$2:N1492,"Explore*")</f>
        <v/>
      </c>
      <c r="AB1492">
        <f>IF(AND(LEFT(N1492,7)="Explore",(AA1492-IF(LEFT(N1492,7)="Explore",S1492,0))&lt;10),"SI","NO")</f>
        <v/>
      </c>
    </row>
    <row r="1493">
      <c r="A1493" t="inlineStr">
        <is>
          <t>c50m2_training</t>
        </is>
      </c>
      <c r="B1493" t="inlineStr">
        <is>
          <t>2026-02-20 14:57:52.796</t>
        </is>
      </c>
      <c r="C1493" t="n">
        <v/>
      </c>
      <c r="D1493" t="inlineStr">
        <is>
          <t>Media file</t>
        </is>
      </c>
      <c r="E1493" t="inlineStr">
        <is>
          <t>player #1:WT\training\c50m2.mp4</t>
        </is>
      </c>
      <c r="F1493" t="n">
        <v>-10.567</v>
      </c>
      <c r="G1493" t="n">
        <v>586.599</v>
      </c>
      <c r="H1493" t="n">
        <v>623.066</v>
      </c>
      <c r="I1493" t="n">
        <v>30</v>
      </c>
      <c r="J1493" t="inlineStr">
        <is>
          <t xml:space="preserve"> WT</t>
        </is>
      </c>
      <c r="K1493" t="inlineStr">
        <is>
          <t>Male</t>
        </is>
      </c>
      <c r="L1493" t="inlineStr">
        <is>
          <t>No focal subject</t>
        </is>
      </c>
      <c r="M1493" t="n">
        <v>28.567</v>
      </c>
      <c r="N1493" t="inlineStr">
        <is>
          <t>Explore_F</t>
        </is>
      </c>
      <c r="O1493" t="inlineStr">
        <is>
          <t>Familiar</t>
        </is>
      </c>
      <c r="P1493" t="inlineStr">
        <is>
          <t>STATE</t>
        </is>
      </c>
      <c r="Q1493" t="n">
        <v>502.632</v>
      </c>
      <c r="R1493" t="n">
        <v>502.966</v>
      </c>
      <c r="S1493" t="n">
        <v>0.334</v>
      </c>
      <c r="T1493" t="inlineStr">
        <is>
          <t>WT\training\c50m2.mp4</t>
        </is>
      </c>
      <c r="U1493" t="n">
        <v>15079</v>
      </c>
      <c r="V1493" t="n">
        <v>15089</v>
      </c>
      <c r="W1493" t="n">
        <v/>
      </c>
      <c r="X1493" t="n">
        <v/>
      </c>
      <c r="Y1493" t="n">
        <v/>
      </c>
      <c r="Z1493" t="n">
        <v/>
      </c>
      <c r="AA1493">
        <f>SUMIFS($S$2:S1493,$A$2:A1493,A1493,$N$2:N1493,"Explore*")</f>
        <v/>
      </c>
      <c r="AB1493">
        <f>IF(AND(LEFT(N1493,7)="Explore",(AA1493-IF(LEFT(N1493,7)="Explore",S1493,0))&lt;10),"SI","NO")</f>
        <v/>
      </c>
    </row>
    <row r="1494">
      <c r="A1494" t="inlineStr">
        <is>
          <t>c50m2_training</t>
        </is>
      </c>
      <c r="B1494" t="inlineStr">
        <is>
          <t>2026-02-20 14:57:52.796</t>
        </is>
      </c>
      <c r="C1494" t="n">
        <v/>
      </c>
      <c r="D1494" t="inlineStr">
        <is>
          <t>Media file</t>
        </is>
      </c>
      <c r="E1494" t="inlineStr">
        <is>
          <t>player #1:WT\training\c50m2.mp4</t>
        </is>
      </c>
      <c r="F1494" t="n">
        <v>-10.567</v>
      </c>
      <c r="G1494" t="n">
        <v>586.599</v>
      </c>
      <c r="H1494" t="n">
        <v>623.066</v>
      </c>
      <c r="I1494" t="n">
        <v>30</v>
      </c>
      <c r="J1494" t="inlineStr">
        <is>
          <t xml:space="preserve"> WT</t>
        </is>
      </c>
      <c r="K1494" t="inlineStr">
        <is>
          <t>Male</t>
        </is>
      </c>
      <c r="L1494" t="inlineStr">
        <is>
          <t>No focal subject</t>
        </is>
      </c>
      <c r="M1494" t="n">
        <v>28.567</v>
      </c>
      <c r="N1494" t="inlineStr">
        <is>
          <t>Explore_F</t>
        </is>
      </c>
      <c r="O1494" t="inlineStr">
        <is>
          <t>Familiar</t>
        </is>
      </c>
      <c r="P1494" t="inlineStr">
        <is>
          <t>STATE</t>
        </is>
      </c>
      <c r="Q1494" t="n">
        <v>518.599</v>
      </c>
      <c r="R1494" t="n">
        <v>519.999</v>
      </c>
      <c r="S1494" t="n">
        <v>1.4</v>
      </c>
      <c r="T1494" t="inlineStr">
        <is>
          <t>WT\training\c50m2.mp4</t>
        </is>
      </c>
      <c r="U1494" t="n">
        <v>15558</v>
      </c>
      <c r="V1494" t="n">
        <v>15600</v>
      </c>
      <c r="W1494" t="n">
        <v/>
      </c>
      <c r="X1494" t="n">
        <v/>
      </c>
      <c r="Y1494" t="n">
        <v/>
      </c>
      <c r="Z1494" t="n">
        <v/>
      </c>
      <c r="AA1494">
        <f>SUMIFS($S$2:S1494,$A$2:A1494,A1494,$N$2:N1494,"Explore*")</f>
        <v/>
      </c>
      <c r="AB1494">
        <f>IF(AND(LEFT(N1494,7)="Explore",(AA1494-IF(LEFT(N1494,7)="Explore",S1494,0))&lt;10),"SI","NO")</f>
        <v/>
      </c>
    </row>
    <row r="1495">
      <c r="A1495" t="inlineStr">
        <is>
          <t>c50m2_training</t>
        </is>
      </c>
      <c r="B1495" t="inlineStr">
        <is>
          <t>2026-02-20 14:57:52.796</t>
        </is>
      </c>
      <c r="C1495" t="n">
        <v/>
      </c>
      <c r="D1495" t="inlineStr">
        <is>
          <t>Media file</t>
        </is>
      </c>
      <c r="E1495" t="inlineStr">
        <is>
          <t>player #1:WT\training\c50m2.mp4</t>
        </is>
      </c>
      <c r="F1495" t="n">
        <v>-10.567</v>
      </c>
      <c r="G1495" t="n">
        <v>586.599</v>
      </c>
      <c r="H1495" t="n">
        <v>623.066</v>
      </c>
      <c r="I1495" t="n">
        <v>30</v>
      </c>
      <c r="J1495" t="inlineStr">
        <is>
          <t xml:space="preserve"> WT</t>
        </is>
      </c>
      <c r="K1495" t="inlineStr">
        <is>
          <t>Male</t>
        </is>
      </c>
      <c r="L1495" t="inlineStr">
        <is>
          <t>No focal subject</t>
        </is>
      </c>
      <c r="M1495" t="n">
        <v>28.567</v>
      </c>
      <c r="N1495" t="inlineStr">
        <is>
          <t>Explore_F</t>
        </is>
      </c>
      <c r="O1495" t="inlineStr">
        <is>
          <t>Familiar</t>
        </is>
      </c>
      <c r="P1495" t="inlineStr">
        <is>
          <t>STATE</t>
        </is>
      </c>
      <c r="Q1495" t="n">
        <v>520.699</v>
      </c>
      <c r="R1495" t="n">
        <v>520.899</v>
      </c>
      <c r="S1495" t="n">
        <v>0.2</v>
      </c>
      <c r="T1495" t="inlineStr">
        <is>
          <t>WT\training\c50m2.mp4</t>
        </is>
      </c>
      <c r="U1495" t="n">
        <v>15621</v>
      </c>
      <c r="V1495" t="n">
        <v>15627</v>
      </c>
      <c r="W1495" t="n">
        <v/>
      </c>
      <c r="X1495" t="n">
        <v/>
      </c>
      <c r="Y1495" t="n">
        <v/>
      </c>
      <c r="Z1495" t="n">
        <v/>
      </c>
      <c r="AA1495">
        <f>SUMIFS($S$2:S1495,$A$2:A1495,A1495,$N$2:N1495,"Explore*")</f>
        <v/>
      </c>
      <c r="AB1495">
        <f>IF(AND(LEFT(N1495,7)="Explore",(AA1495-IF(LEFT(N1495,7)="Explore",S1495,0))&lt;10),"SI","NO")</f>
        <v/>
      </c>
    </row>
    <row r="1496">
      <c r="A1496" t="inlineStr">
        <is>
          <t>c50m2_training</t>
        </is>
      </c>
      <c r="B1496" t="inlineStr">
        <is>
          <t>2026-02-20 14:57:52.796</t>
        </is>
      </c>
      <c r="C1496" t="n">
        <v/>
      </c>
      <c r="D1496" t="inlineStr">
        <is>
          <t>Media file</t>
        </is>
      </c>
      <c r="E1496" t="inlineStr">
        <is>
          <t>player #1:WT\training\c50m2.mp4</t>
        </is>
      </c>
      <c r="F1496" t="n">
        <v>-10.567</v>
      </c>
      <c r="G1496" t="n">
        <v>586.599</v>
      </c>
      <c r="H1496" t="n">
        <v>623.066</v>
      </c>
      <c r="I1496" t="n">
        <v>30</v>
      </c>
      <c r="J1496" t="inlineStr">
        <is>
          <t xml:space="preserve"> WT</t>
        </is>
      </c>
      <c r="K1496" t="inlineStr">
        <is>
          <t>Male</t>
        </is>
      </c>
      <c r="L1496" t="inlineStr">
        <is>
          <t>No focal subject</t>
        </is>
      </c>
      <c r="M1496" t="n">
        <v>28.567</v>
      </c>
      <c r="N1496" t="inlineStr">
        <is>
          <t>Explore_F2</t>
        </is>
      </c>
      <c r="O1496" t="inlineStr">
        <is>
          <t>Second familiar</t>
        </is>
      </c>
      <c r="P1496" t="inlineStr">
        <is>
          <t>STATE</t>
        </is>
      </c>
      <c r="Q1496" t="n">
        <v>525.499</v>
      </c>
      <c r="R1496" t="n">
        <v>526.766</v>
      </c>
      <c r="S1496" t="n">
        <v>1.267</v>
      </c>
      <c r="T1496" t="inlineStr">
        <is>
          <t>WT\training\c50m2.mp4</t>
        </is>
      </c>
      <c r="U1496" t="n">
        <v>16082</v>
      </c>
      <c r="V1496" t="n">
        <v>16120</v>
      </c>
      <c r="W1496" t="n">
        <v/>
      </c>
      <c r="X1496" t="n">
        <v/>
      </c>
      <c r="Y1496" t="n">
        <v/>
      </c>
      <c r="Z1496" t="n">
        <v/>
      </c>
      <c r="AA1496">
        <f>SUMIFS($S$2:S1496,$A$2:A1496,A1496,$N$2:N1496,"Explore*")</f>
        <v/>
      </c>
      <c r="AB1496">
        <f>IF(AND(LEFT(N1496,7)="Explore",(AA1496-IF(LEFT(N1496,7)="Explore",S1496,0))&lt;10),"SI","NO")</f>
        <v/>
      </c>
    </row>
    <row r="1497">
      <c r="A1497" t="inlineStr">
        <is>
          <t>c50m2_training</t>
        </is>
      </c>
      <c r="B1497" t="inlineStr">
        <is>
          <t>2026-02-20 14:57:52.796</t>
        </is>
      </c>
      <c r="C1497" t="n">
        <v/>
      </c>
      <c r="D1497" t="inlineStr">
        <is>
          <t>Media file</t>
        </is>
      </c>
      <c r="E1497" t="inlineStr">
        <is>
          <t>player #1:WT\training\c50m2.mp4</t>
        </is>
      </c>
      <c r="F1497" t="n">
        <v>-10.567</v>
      </c>
      <c r="G1497" t="n">
        <v>586.599</v>
      </c>
      <c r="H1497" t="n">
        <v>623.066</v>
      </c>
      <c r="I1497" t="n">
        <v>30</v>
      </c>
      <c r="J1497" t="inlineStr">
        <is>
          <t xml:space="preserve"> WT</t>
        </is>
      </c>
      <c r="K1497" t="inlineStr">
        <is>
          <t>Male</t>
        </is>
      </c>
      <c r="L1497" t="inlineStr">
        <is>
          <t>No focal subject</t>
        </is>
      </c>
      <c r="M1497" t="n">
        <v>28.567</v>
      </c>
      <c r="N1497" t="inlineStr">
        <is>
          <t>Explore_F2</t>
        </is>
      </c>
      <c r="O1497" t="inlineStr">
        <is>
          <t>Second familiar</t>
        </is>
      </c>
      <c r="P1497" t="inlineStr">
        <is>
          <t>STATE</t>
        </is>
      </c>
      <c r="Q1497" t="n">
        <v>530.366</v>
      </c>
      <c r="R1497" t="n">
        <v>530.732</v>
      </c>
      <c r="S1497" t="n">
        <v>0.366</v>
      </c>
      <c r="T1497" t="inlineStr">
        <is>
          <t>WT\training\c50m2.mp4</t>
        </is>
      </c>
      <c r="U1497" t="n">
        <v>16228</v>
      </c>
      <c r="V1497" t="n">
        <v>16239</v>
      </c>
      <c r="W1497" t="n">
        <v/>
      </c>
      <c r="X1497" t="n">
        <v/>
      </c>
      <c r="Y1497" t="n">
        <v/>
      </c>
      <c r="Z1497" t="n">
        <v/>
      </c>
      <c r="AA1497">
        <f>SUMIFS($S$2:S1497,$A$2:A1497,A1497,$N$2:N1497,"Explore*")</f>
        <v/>
      </c>
      <c r="AB1497">
        <f>IF(AND(LEFT(N1497,7)="Explore",(AA1497-IF(LEFT(N1497,7)="Explore",S1497,0))&lt;10),"SI","NO")</f>
        <v/>
      </c>
    </row>
    <row r="1498">
      <c r="A1498" t="inlineStr">
        <is>
          <t>c50m2_training</t>
        </is>
      </c>
      <c r="B1498" t="inlineStr">
        <is>
          <t>2026-02-20 14:57:52.796</t>
        </is>
      </c>
      <c r="C1498" t="n">
        <v/>
      </c>
      <c r="D1498" t="inlineStr">
        <is>
          <t>Media file</t>
        </is>
      </c>
      <c r="E1498" t="inlineStr">
        <is>
          <t>player #1:WT\training\c50m2.mp4</t>
        </is>
      </c>
      <c r="F1498" t="n">
        <v>-10.567</v>
      </c>
      <c r="G1498" t="n">
        <v>586.599</v>
      </c>
      <c r="H1498" t="n">
        <v>623.066</v>
      </c>
      <c r="I1498" t="n">
        <v>30</v>
      </c>
      <c r="J1498" t="inlineStr">
        <is>
          <t xml:space="preserve"> WT</t>
        </is>
      </c>
      <c r="K1498" t="inlineStr">
        <is>
          <t>Male</t>
        </is>
      </c>
      <c r="L1498" t="inlineStr">
        <is>
          <t>No focal subject</t>
        </is>
      </c>
      <c r="M1498" t="n">
        <v>28.567</v>
      </c>
      <c r="N1498" t="inlineStr">
        <is>
          <t>Explore_F2</t>
        </is>
      </c>
      <c r="O1498" t="inlineStr">
        <is>
          <t>Second familiar</t>
        </is>
      </c>
      <c r="P1498" t="inlineStr">
        <is>
          <t>STATE</t>
        </is>
      </c>
      <c r="Q1498" t="n">
        <v>539.699</v>
      </c>
      <c r="R1498" t="n">
        <v>540.1319999999999</v>
      </c>
      <c r="S1498" t="n">
        <v>0.433</v>
      </c>
      <c r="T1498" t="inlineStr">
        <is>
          <t>WT\training\c50m2.mp4</t>
        </is>
      </c>
      <c r="U1498" t="n">
        <v>16508</v>
      </c>
      <c r="V1498" t="n">
        <v>16521</v>
      </c>
      <c r="W1498" t="n">
        <v/>
      </c>
      <c r="X1498" t="n">
        <v/>
      </c>
      <c r="Y1498" t="n">
        <v/>
      </c>
      <c r="Z1498" t="n">
        <v/>
      </c>
      <c r="AA1498">
        <f>SUMIFS($S$2:S1498,$A$2:A1498,A1498,$N$2:N1498,"Explore*")</f>
        <v/>
      </c>
      <c r="AB1498">
        <f>IF(AND(LEFT(N1498,7)="Explore",(AA1498-IF(LEFT(N1498,7)="Explore",S1498,0))&lt;10),"SI","NO")</f>
        <v/>
      </c>
    </row>
    <row r="1499">
      <c r="A1499" t="inlineStr">
        <is>
          <t>c50m2_training</t>
        </is>
      </c>
      <c r="B1499" t="inlineStr">
        <is>
          <t>2026-02-20 14:57:52.796</t>
        </is>
      </c>
      <c r="C1499" t="n">
        <v/>
      </c>
      <c r="D1499" t="inlineStr">
        <is>
          <t>Media file</t>
        </is>
      </c>
      <c r="E1499" t="inlineStr">
        <is>
          <t>player #1:WT\training\c50m2.mp4</t>
        </is>
      </c>
      <c r="F1499" t="n">
        <v>-10.567</v>
      </c>
      <c r="G1499" t="n">
        <v>586.599</v>
      </c>
      <c r="H1499" t="n">
        <v>623.066</v>
      </c>
      <c r="I1499" t="n">
        <v>30</v>
      </c>
      <c r="J1499" t="inlineStr">
        <is>
          <t xml:space="preserve"> WT</t>
        </is>
      </c>
      <c r="K1499" t="inlineStr">
        <is>
          <t>Male</t>
        </is>
      </c>
      <c r="L1499" t="inlineStr">
        <is>
          <t>No focal subject</t>
        </is>
      </c>
      <c r="M1499" t="n">
        <v>28.567</v>
      </c>
      <c r="N1499" t="inlineStr">
        <is>
          <t>Explore_F</t>
        </is>
      </c>
      <c r="O1499" t="inlineStr">
        <is>
          <t>Familiar</t>
        </is>
      </c>
      <c r="P1499" t="inlineStr">
        <is>
          <t>STATE</t>
        </is>
      </c>
      <c r="Q1499" t="n">
        <v>546.099</v>
      </c>
      <c r="R1499" t="n">
        <v>546.966</v>
      </c>
      <c r="S1499" t="n">
        <v>0.867</v>
      </c>
      <c r="T1499" t="inlineStr">
        <is>
          <t>WT\training\c50m2.mp4</t>
        </is>
      </c>
      <c r="U1499" t="n">
        <v>16700</v>
      </c>
      <c r="V1499" t="n">
        <v>16726</v>
      </c>
      <c r="W1499" t="n">
        <v/>
      </c>
      <c r="X1499" t="n">
        <v/>
      </c>
      <c r="Y1499" t="n">
        <v/>
      </c>
      <c r="Z1499" t="n">
        <v/>
      </c>
      <c r="AA1499">
        <f>SUMIFS($S$2:S1499,$A$2:A1499,A1499,$N$2:N1499,"Explore*")</f>
        <v/>
      </c>
      <c r="AB1499">
        <f>IF(AND(LEFT(N1499,7)="Explore",(AA1499-IF(LEFT(N1499,7)="Explore",S1499,0))&lt;10),"SI","NO")</f>
        <v/>
      </c>
    </row>
    <row r="1500">
      <c r="A1500" t="inlineStr">
        <is>
          <t>c50m2_training</t>
        </is>
      </c>
      <c r="B1500" t="inlineStr">
        <is>
          <t>2026-02-20 14:57:52.796</t>
        </is>
      </c>
      <c r="C1500" t="n">
        <v/>
      </c>
      <c r="D1500" t="inlineStr">
        <is>
          <t>Media file</t>
        </is>
      </c>
      <c r="E1500" t="inlineStr">
        <is>
          <t>player #1:WT\training\c50m2.mp4</t>
        </is>
      </c>
      <c r="F1500" t="n">
        <v>-10.567</v>
      </c>
      <c r="G1500" t="n">
        <v>586.599</v>
      </c>
      <c r="H1500" t="n">
        <v>623.066</v>
      </c>
      <c r="I1500" t="n">
        <v>30</v>
      </c>
      <c r="J1500" t="inlineStr">
        <is>
          <t xml:space="preserve"> WT</t>
        </is>
      </c>
      <c r="K1500" t="inlineStr">
        <is>
          <t>Male</t>
        </is>
      </c>
      <c r="L1500" t="inlineStr">
        <is>
          <t>No focal subject</t>
        </is>
      </c>
      <c r="M1500" t="n">
        <v>28.567</v>
      </c>
      <c r="N1500" t="inlineStr">
        <is>
          <t>Explore_F2</t>
        </is>
      </c>
      <c r="O1500" t="inlineStr">
        <is>
          <t>Second familiar</t>
        </is>
      </c>
      <c r="P1500" t="inlineStr">
        <is>
          <t>STATE</t>
        </is>
      </c>
      <c r="Q1500" t="n">
        <v>555.566</v>
      </c>
      <c r="R1500" t="n">
        <v>556.1660000000001</v>
      </c>
      <c r="S1500" t="n">
        <v>0.6</v>
      </c>
      <c r="T1500" t="inlineStr">
        <is>
          <t>WT\training\c50m2.mp4</t>
        </is>
      </c>
      <c r="U1500" t="n">
        <v>16984</v>
      </c>
      <c r="V1500" t="n">
        <v>17002</v>
      </c>
      <c r="W1500" t="n">
        <v/>
      </c>
      <c r="X1500" t="n">
        <v/>
      </c>
      <c r="Y1500" t="n">
        <v/>
      </c>
      <c r="Z1500" t="n">
        <v/>
      </c>
      <c r="AA1500">
        <f>SUMIFS($S$2:S1500,$A$2:A1500,A1500,$N$2:N1500,"Explore*")</f>
        <v/>
      </c>
      <c r="AB1500">
        <f>IF(AND(LEFT(N1500,7)="Explore",(AA1500-IF(LEFT(N1500,7)="Explore",S1500,0))&lt;10),"SI","NO")</f>
        <v/>
      </c>
    </row>
    <row r="1501">
      <c r="A1501" t="inlineStr">
        <is>
          <t>c50m2_training</t>
        </is>
      </c>
      <c r="B1501" t="inlineStr">
        <is>
          <t>2026-02-20 14:57:52.796</t>
        </is>
      </c>
      <c r="C1501" t="n">
        <v/>
      </c>
      <c r="D1501" t="inlineStr">
        <is>
          <t>Media file</t>
        </is>
      </c>
      <c r="E1501" t="inlineStr">
        <is>
          <t>player #1:WT\training\c50m2.mp4</t>
        </is>
      </c>
      <c r="F1501" t="n">
        <v>-10.567</v>
      </c>
      <c r="G1501" t="n">
        <v>586.599</v>
      </c>
      <c r="H1501" t="n">
        <v>623.066</v>
      </c>
      <c r="I1501" t="n">
        <v>30</v>
      </c>
      <c r="J1501" t="inlineStr">
        <is>
          <t xml:space="preserve"> WT</t>
        </is>
      </c>
      <c r="K1501" t="inlineStr">
        <is>
          <t>Male</t>
        </is>
      </c>
      <c r="L1501" t="inlineStr">
        <is>
          <t>No focal subject</t>
        </is>
      </c>
      <c r="M1501" t="n">
        <v>28.567</v>
      </c>
      <c r="N1501" t="inlineStr">
        <is>
          <t>Explore_F</t>
        </is>
      </c>
      <c r="O1501" t="inlineStr">
        <is>
          <t>Familiar</t>
        </is>
      </c>
      <c r="P1501" t="inlineStr">
        <is>
          <t>STATE</t>
        </is>
      </c>
      <c r="Q1501" t="n">
        <v>571.099</v>
      </c>
      <c r="R1501" t="n">
        <v>572.1319999999999</v>
      </c>
      <c r="S1501" t="n">
        <v>1.033</v>
      </c>
      <c r="T1501" t="inlineStr">
        <is>
          <t>WT\training\c50m2.mp4</t>
        </is>
      </c>
      <c r="U1501" t="n">
        <v>17450</v>
      </c>
      <c r="V1501" t="n">
        <v>17481</v>
      </c>
      <c r="W1501" t="n">
        <v/>
      </c>
      <c r="X1501" t="n">
        <v/>
      </c>
      <c r="Y1501" t="n">
        <v/>
      </c>
      <c r="Z1501" t="n">
        <v/>
      </c>
      <c r="AA1501">
        <f>SUMIFS($S$2:S1501,$A$2:A1501,A1501,$N$2:N1501,"Explore*")</f>
        <v/>
      </c>
      <c r="AB1501">
        <f>IF(AND(LEFT(N1501,7)="Explore",(AA1501-IF(LEFT(N1501,7)="Explore",S1501,0))&lt;10),"SI","NO")</f>
        <v/>
      </c>
    </row>
    <row r="1502">
      <c r="A1502" t="inlineStr">
        <is>
          <t>c50m2_training</t>
        </is>
      </c>
      <c r="B1502" t="inlineStr">
        <is>
          <t>2026-02-20 14:57:52.796</t>
        </is>
      </c>
      <c r="C1502" t="n">
        <v/>
      </c>
      <c r="D1502" t="inlineStr">
        <is>
          <t>Media file</t>
        </is>
      </c>
      <c r="E1502" t="inlineStr">
        <is>
          <t>player #1:WT\training\c50m2.mp4</t>
        </is>
      </c>
      <c r="F1502" t="n">
        <v>-10.567</v>
      </c>
      <c r="G1502" t="n">
        <v>586.599</v>
      </c>
      <c r="H1502" t="n">
        <v>623.066</v>
      </c>
      <c r="I1502" t="n">
        <v>30</v>
      </c>
      <c r="J1502" t="inlineStr">
        <is>
          <t xml:space="preserve"> WT</t>
        </is>
      </c>
      <c r="K1502" t="inlineStr">
        <is>
          <t>Male</t>
        </is>
      </c>
      <c r="L1502" t="inlineStr">
        <is>
          <t>No focal subject</t>
        </is>
      </c>
      <c r="M1502" t="n">
        <v>28.567</v>
      </c>
      <c r="N1502" t="inlineStr">
        <is>
          <t>Explore_F</t>
        </is>
      </c>
      <c r="O1502" t="inlineStr">
        <is>
          <t>Familiar</t>
        </is>
      </c>
      <c r="P1502" t="inlineStr">
        <is>
          <t>STATE</t>
        </is>
      </c>
      <c r="Q1502" t="n">
        <v>579.432</v>
      </c>
      <c r="R1502" t="n">
        <v>579.832</v>
      </c>
      <c r="S1502" t="n">
        <v>0.4</v>
      </c>
      <c r="T1502" t="inlineStr">
        <is>
          <t>WT\training\c50m2.mp4</t>
        </is>
      </c>
      <c r="U1502" t="n">
        <v>17700</v>
      </c>
      <c r="V1502" t="n">
        <v>17712</v>
      </c>
      <c r="W1502" t="n">
        <v/>
      </c>
      <c r="X1502" t="n">
        <v/>
      </c>
      <c r="Y1502" t="n">
        <v/>
      </c>
      <c r="Z1502" t="n">
        <v/>
      </c>
      <c r="AA1502">
        <f>SUMIFS($S$2:S1502,$A$2:A1502,A1502,$N$2:N1502,"Explore*")</f>
        <v/>
      </c>
      <c r="AB1502">
        <f>IF(AND(LEFT(N1502,7)="Explore",(AA1502-IF(LEFT(N1502,7)="Explore",S1502,0))&lt;10),"SI","NO")</f>
        <v/>
      </c>
    </row>
    <row r="1503">
      <c r="A1503" t="inlineStr">
        <is>
          <t>c50m2_training</t>
        </is>
      </c>
      <c r="B1503" t="inlineStr">
        <is>
          <t>2026-02-20 14:57:52.796</t>
        </is>
      </c>
      <c r="C1503" t="n">
        <v/>
      </c>
      <c r="D1503" t="inlineStr">
        <is>
          <t>Media file</t>
        </is>
      </c>
      <c r="E1503" t="inlineStr">
        <is>
          <t>player #1:WT\training\c50m2.mp4</t>
        </is>
      </c>
      <c r="F1503" t="n">
        <v>-10.567</v>
      </c>
      <c r="G1503" t="n">
        <v>586.599</v>
      </c>
      <c r="H1503" t="n">
        <v>623.066</v>
      </c>
      <c r="I1503" t="n">
        <v>30</v>
      </c>
      <c r="J1503" t="inlineStr">
        <is>
          <t xml:space="preserve"> WT</t>
        </is>
      </c>
      <c r="K1503" t="inlineStr">
        <is>
          <t>Male</t>
        </is>
      </c>
      <c r="L1503" t="inlineStr">
        <is>
          <t>No focal subject</t>
        </is>
      </c>
      <c r="M1503" t="n">
        <v>28.567</v>
      </c>
      <c r="N1503" t="inlineStr">
        <is>
          <t>Explore_F2</t>
        </is>
      </c>
      <c r="O1503" t="inlineStr">
        <is>
          <t>Second familiar</t>
        </is>
      </c>
      <c r="P1503" t="inlineStr">
        <is>
          <t>STATE</t>
        </is>
      </c>
      <c r="Q1503" t="n">
        <v>585.366</v>
      </c>
      <c r="R1503" t="n">
        <v>585.832</v>
      </c>
      <c r="S1503" t="n">
        <v>0.466</v>
      </c>
      <c r="T1503" t="inlineStr">
        <is>
          <t>WT\training\c50m2.mp4</t>
        </is>
      </c>
      <c r="U1503" t="n">
        <v>17878</v>
      </c>
      <c r="V1503" t="n">
        <v>17892</v>
      </c>
      <c r="W1503" t="n">
        <v/>
      </c>
      <c r="X1503" t="n">
        <v/>
      </c>
      <c r="Y1503" t="n">
        <v/>
      </c>
      <c r="Z1503" t="n">
        <v/>
      </c>
      <c r="AA1503">
        <f>SUMIFS($S$2:S1503,$A$2:A1503,A1503,$N$2:N1503,"Explore*")</f>
        <v/>
      </c>
      <c r="AB1503">
        <f>IF(AND(LEFT(N1503,7)="Explore",(AA1503-IF(LEFT(N1503,7)="Explore",S1503,0))&lt;10),"SI","NO")</f>
        <v/>
      </c>
    </row>
    <row r="1504">
      <c r="A1504" t="inlineStr">
        <is>
          <t>c50m2_training</t>
        </is>
      </c>
      <c r="B1504" t="inlineStr">
        <is>
          <t>2026-02-20 14:57:52.796</t>
        </is>
      </c>
      <c r="C1504" t="n">
        <v/>
      </c>
      <c r="D1504" t="inlineStr">
        <is>
          <t>Media file</t>
        </is>
      </c>
      <c r="E1504" t="inlineStr">
        <is>
          <t>player #1:WT\training\c50m2.mp4</t>
        </is>
      </c>
      <c r="F1504" t="n">
        <v>-10.567</v>
      </c>
      <c r="G1504" t="n">
        <v>586.599</v>
      </c>
      <c r="H1504" t="n">
        <v>623.066</v>
      </c>
      <c r="I1504" t="n">
        <v>30</v>
      </c>
      <c r="J1504" t="inlineStr">
        <is>
          <t xml:space="preserve"> WT</t>
        </is>
      </c>
      <c r="K1504" t="inlineStr">
        <is>
          <t>Male</t>
        </is>
      </c>
      <c r="L1504" t="inlineStr">
        <is>
          <t>No focal subject</t>
        </is>
      </c>
      <c r="M1504" t="n">
        <v>28.567</v>
      </c>
      <c r="N1504" t="inlineStr">
        <is>
          <t>Explore_F2</t>
        </is>
      </c>
      <c r="O1504" t="inlineStr">
        <is>
          <t>Second familiar</t>
        </is>
      </c>
      <c r="P1504" t="inlineStr">
        <is>
          <t>STATE</t>
        </is>
      </c>
      <c r="Q1504" t="n">
        <v>590.232</v>
      </c>
      <c r="R1504" t="n">
        <v>590.799</v>
      </c>
      <c r="S1504" t="n">
        <v>0.5669999999999999</v>
      </c>
      <c r="T1504" t="inlineStr">
        <is>
          <t>WT\training\c50m2.mp4</t>
        </is>
      </c>
      <c r="U1504" t="n">
        <v>18024</v>
      </c>
      <c r="V1504" t="n">
        <v>18041</v>
      </c>
      <c r="W1504" t="n">
        <v/>
      </c>
      <c r="X1504" t="n">
        <v/>
      </c>
      <c r="Y1504" t="n">
        <v/>
      </c>
      <c r="Z1504" t="n">
        <v/>
      </c>
      <c r="AA1504">
        <f>SUMIFS($S$2:S1504,$A$2:A1504,A1504,$N$2:N1504,"Explore*")</f>
        <v/>
      </c>
      <c r="AB1504">
        <f>IF(AND(LEFT(N1504,7)="Explore",(AA1504-IF(LEFT(N1504,7)="Explore",S1504,0))&lt;10),"SI","NO")</f>
        <v/>
      </c>
    </row>
    <row r="1505">
      <c r="A1505" t="inlineStr">
        <is>
          <t>c50m2_training</t>
        </is>
      </c>
      <c r="B1505" t="inlineStr">
        <is>
          <t>2026-02-20 14:57:52.796</t>
        </is>
      </c>
      <c r="C1505" t="n">
        <v/>
      </c>
      <c r="D1505" t="inlineStr">
        <is>
          <t>Media file</t>
        </is>
      </c>
      <c r="E1505" t="inlineStr">
        <is>
          <t>player #1:WT\training\c50m2.mp4</t>
        </is>
      </c>
      <c r="F1505" t="n">
        <v>-10.567</v>
      </c>
      <c r="G1505" t="n">
        <v>586.599</v>
      </c>
      <c r="H1505" t="n">
        <v>623.066</v>
      </c>
      <c r="I1505" t="n">
        <v>30</v>
      </c>
      <c r="J1505" t="inlineStr">
        <is>
          <t xml:space="preserve"> WT</t>
        </is>
      </c>
      <c r="K1505" t="inlineStr">
        <is>
          <t>Male</t>
        </is>
      </c>
      <c r="L1505" t="inlineStr">
        <is>
          <t>No focal subject</t>
        </is>
      </c>
      <c r="M1505" t="n">
        <v>28.567</v>
      </c>
      <c r="N1505" t="inlineStr">
        <is>
          <t>Explore_F2</t>
        </is>
      </c>
      <c r="O1505" t="inlineStr">
        <is>
          <t>Second familiar</t>
        </is>
      </c>
      <c r="P1505" t="inlineStr">
        <is>
          <t>STATE</t>
        </is>
      </c>
      <c r="Q1505" t="n">
        <v>593.966</v>
      </c>
      <c r="R1505" t="n">
        <v>594.599</v>
      </c>
      <c r="S1505" t="n">
        <v>0.633</v>
      </c>
      <c r="T1505" t="inlineStr">
        <is>
          <t>WT\training\c50m2.mp4</t>
        </is>
      </c>
      <c r="U1505" t="n">
        <v>18136</v>
      </c>
      <c r="V1505" t="n">
        <v>18155</v>
      </c>
      <c r="W1505" t="n">
        <v/>
      </c>
      <c r="X1505" t="n">
        <v/>
      </c>
      <c r="Y1505" t="n">
        <v/>
      </c>
      <c r="Z1505" t="n">
        <v/>
      </c>
      <c r="AA1505">
        <f>SUMIFS($S$2:S1505,$A$2:A1505,A1505,$N$2:N1505,"Explore*")</f>
        <v/>
      </c>
      <c r="AB1505">
        <f>IF(AND(LEFT(N1505,7)="Explore",(AA1505-IF(LEFT(N1505,7)="Explore",S1505,0))&lt;10),"SI","NO")</f>
        <v/>
      </c>
    </row>
    <row r="1506">
      <c r="A1506" t="inlineStr">
        <is>
          <t>c50m3_training</t>
        </is>
      </c>
      <c r="B1506" t="inlineStr">
        <is>
          <t>2026-02-20 15:15:50.474</t>
        </is>
      </c>
      <c r="C1506" t="n">
        <v/>
      </c>
      <c r="D1506" t="inlineStr">
        <is>
          <t>Media file</t>
        </is>
      </c>
      <c r="E1506" t="inlineStr">
        <is>
          <t>player #1:WT\training\c50m3.mp4</t>
        </is>
      </c>
      <c r="F1506" t="n">
        <v>-9.967000000000001</v>
      </c>
      <c r="G1506" t="n">
        <v>390.5</v>
      </c>
      <c r="H1506" t="n">
        <v>626.699</v>
      </c>
      <c r="I1506" t="n">
        <v>30</v>
      </c>
      <c r="J1506" t="inlineStr">
        <is>
          <t xml:space="preserve"> WT</t>
        </is>
      </c>
      <c r="K1506" t="inlineStr">
        <is>
          <t>Male</t>
        </is>
      </c>
      <c r="L1506" t="inlineStr">
        <is>
          <t>No focal subject</t>
        </is>
      </c>
      <c r="M1506" t="n">
        <v>11.202</v>
      </c>
      <c r="N1506" t="inlineStr">
        <is>
          <t>Explore_F</t>
        </is>
      </c>
      <c r="O1506" t="inlineStr">
        <is>
          <t>Familiar</t>
        </is>
      </c>
      <c r="P1506" t="inlineStr">
        <is>
          <t>STATE</t>
        </is>
      </c>
      <c r="Q1506" t="n">
        <v>206.266</v>
      </c>
      <c r="R1506" t="n">
        <v>206.933</v>
      </c>
      <c r="S1506" t="n">
        <v>0.667</v>
      </c>
      <c r="T1506" t="inlineStr">
        <is>
          <t>WT\training\c50m3.mp4</t>
        </is>
      </c>
      <c r="U1506" t="n">
        <v>6188</v>
      </c>
      <c r="V1506" t="n">
        <v>6208</v>
      </c>
      <c r="W1506" t="n">
        <v/>
      </c>
      <c r="X1506" t="n">
        <v/>
      </c>
      <c r="Y1506" t="n">
        <v/>
      </c>
      <c r="Z1506" t="n">
        <v/>
      </c>
      <c r="AA1506">
        <f>SUMIFS($S$2:S1506,$A$2:A1506,A1506,$N$2:N1506,"Explore*")</f>
        <v/>
      </c>
      <c r="AB1506">
        <f>IF(AND(LEFT(N1506,7)="Explore",(AA1506-IF(LEFT(N1506,7)="Explore",S1506,0))&lt;10),"SI","NO")</f>
        <v/>
      </c>
    </row>
    <row r="1507">
      <c r="A1507" t="inlineStr">
        <is>
          <t>c50m3_training</t>
        </is>
      </c>
      <c r="B1507" t="inlineStr">
        <is>
          <t>2026-02-20 15:15:50.474</t>
        </is>
      </c>
      <c r="C1507" t="n">
        <v/>
      </c>
      <c r="D1507" t="inlineStr">
        <is>
          <t>Media file</t>
        </is>
      </c>
      <c r="E1507" t="inlineStr">
        <is>
          <t>player #1:WT\training\c50m3.mp4</t>
        </is>
      </c>
      <c r="F1507" t="n">
        <v>-9.967000000000001</v>
      </c>
      <c r="G1507" t="n">
        <v>390.5</v>
      </c>
      <c r="H1507" t="n">
        <v>626.699</v>
      </c>
      <c r="I1507" t="n">
        <v>30</v>
      </c>
      <c r="J1507" t="inlineStr">
        <is>
          <t xml:space="preserve"> WT</t>
        </is>
      </c>
      <c r="K1507" t="inlineStr">
        <is>
          <t>Male</t>
        </is>
      </c>
      <c r="L1507" t="inlineStr">
        <is>
          <t>No focal subject</t>
        </is>
      </c>
      <c r="M1507" t="n">
        <v>11.202</v>
      </c>
      <c r="N1507" t="inlineStr">
        <is>
          <t>Explore_F2</t>
        </is>
      </c>
      <c r="O1507" t="inlineStr">
        <is>
          <t>Second familiar</t>
        </is>
      </c>
      <c r="P1507" t="inlineStr">
        <is>
          <t>STATE</t>
        </is>
      </c>
      <c r="Q1507" t="n">
        <v>224.033</v>
      </c>
      <c r="R1507" t="n">
        <v>224.366</v>
      </c>
      <c r="S1507" t="n">
        <v>0.333</v>
      </c>
      <c r="T1507" t="inlineStr">
        <is>
          <t>WT\training\c50m3.mp4</t>
        </is>
      </c>
      <c r="U1507" t="n">
        <v>6722</v>
      </c>
      <c r="V1507" t="n">
        <v>6731</v>
      </c>
      <c r="W1507" t="n">
        <v/>
      </c>
      <c r="X1507" t="n">
        <v/>
      </c>
      <c r="Y1507" t="n">
        <v/>
      </c>
      <c r="Z1507" t="n">
        <v/>
      </c>
      <c r="AA1507">
        <f>SUMIFS($S$2:S1507,$A$2:A1507,A1507,$N$2:N1507,"Explore*")</f>
        <v/>
      </c>
      <c r="AB1507">
        <f>IF(AND(LEFT(N1507,7)="Explore",(AA1507-IF(LEFT(N1507,7)="Explore",S1507,0))&lt;10),"SI","NO")</f>
        <v/>
      </c>
    </row>
    <row r="1508">
      <c r="A1508" t="inlineStr">
        <is>
          <t>c50m3_training</t>
        </is>
      </c>
      <c r="B1508" t="inlineStr">
        <is>
          <t>2026-02-20 15:15:50.474</t>
        </is>
      </c>
      <c r="C1508" t="n">
        <v/>
      </c>
      <c r="D1508" t="inlineStr">
        <is>
          <t>Media file</t>
        </is>
      </c>
      <c r="E1508" t="inlineStr">
        <is>
          <t>player #1:WT\training\c50m3.mp4</t>
        </is>
      </c>
      <c r="F1508" t="n">
        <v>-9.967000000000001</v>
      </c>
      <c r="G1508" t="n">
        <v>390.5</v>
      </c>
      <c r="H1508" t="n">
        <v>626.699</v>
      </c>
      <c r="I1508" t="n">
        <v>30</v>
      </c>
      <c r="J1508" t="inlineStr">
        <is>
          <t xml:space="preserve"> WT</t>
        </is>
      </c>
      <c r="K1508" t="inlineStr">
        <is>
          <t>Male</t>
        </is>
      </c>
      <c r="L1508" t="inlineStr">
        <is>
          <t>No focal subject</t>
        </is>
      </c>
      <c r="M1508" t="n">
        <v>11.202</v>
      </c>
      <c r="N1508" t="inlineStr">
        <is>
          <t>Explore_F2</t>
        </is>
      </c>
      <c r="O1508" t="inlineStr">
        <is>
          <t>Second familiar</t>
        </is>
      </c>
      <c r="P1508" t="inlineStr">
        <is>
          <t>STATE</t>
        </is>
      </c>
      <c r="Q1508" t="n">
        <v>264.233</v>
      </c>
      <c r="R1508" t="n">
        <v>264.899</v>
      </c>
      <c r="S1508" t="n">
        <v>0.666</v>
      </c>
      <c r="T1508" t="inlineStr">
        <is>
          <t>WT\training\c50m3.mp4</t>
        </is>
      </c>
      <c r="U1508" t="n">
        <v>7927</v>
      </c>
      <c r="V1508" t="n">
        <v>7947</v>
      </c>
      <c r="W1508" t="n">
        <v/>
      </c>
      <c r="X1508" t="n">
        <v/>
      </c>
      <c r="Y1508" t="n">
        <v/>
      </c>
      <c r="Z1508" t="n">
        <v/>
      </c>
      <c r="AA1508">
        <f>SUMIFS($S$2:S1508,$A$2:A1508,A1508,$N$2:N1508,"Explore*")</f>
        <v/>
      </c>
      <c r="AB1508">
        <f>IF(AND(LEFT(N1508,7)="Explore",(AA1508-IF(LEFT(N1508,7)="Explore",S1508,0))&lt;10),"SI","NO")</f>
        <v/>
      </c>
    </row>
    <row r="1509">
      <c r="A1509" t="inlineStr">
        <is>
          <t>c50m3_training</t>
        </is>
      </c>
      <c r="B1509" t="inlineStr">
        <is>
          <t>2026-02-20 15:15:50.474</t>
        </is>
      </c>
      <c r="C1509" t="n">
        <v/>
      </c>
      <c r="D1509" t="inlineStr">
        <is>
          <t>Media file</t>
        </is>
      </c>
      <c r="E1509" t="inlineStr">
        <is>
          <t>player #1:WT\training\c50m3.mp4</t>
        </is>
      </c>
      <c r="F1509" t="n">
        <v>-9.967000000000001</v>
      </c>
      <c r="G1509" t="n">
        <v>390.5</v>
      </c>
      <c r="H1509" t="n">
        <v>626.699</v>
      </c>
      <c r="I1509" t="n">
        <v>30</v>
      </c>
      <c r="J1509" t="inlineStr">
        <is>
          <t xml:space="preserve"> WT</t>
        </is>
      </c>
      <c r="K1509" t="inlineStr">
        <is>
          <t>Male</t>
        </is>
      </c>
      <c r="L1509" t="inlineStr">
        <is>
          <t>No focal subject</t>
        </is>
      </c>
      <c r="M1509" t="n">
        <v>11.202</v>
      </c>
      <c r="N1509" t="inlineStr">
        <is>
          <t>Explore_F</t>
        </is>
      </c>
      <c r="O1509" t="inlineStr">
        <is>
          <t>Familiar</t>
        </is>
      </c>
      <c r="P1509" t="inlineStr">
        <is>
          <t>STATE</t>
        </is>
      </c>
      <c r="Q1509" t="n">
        <v>304.899</v>
      </c>
      <c r="R1509" t="n">
        <v>305.199</v>
      </c>
      <c r="S1509" t="n">
        <v>0.3</v>
      </c>
      <c r="T1509" t="inlineStr">
        <is>
          <t>WT\training\c50m3.mp4</t>
        </is>
      </c>
      <c r="U1509" t="n">
        <v>9147</v>
      </c>
      <c r="V1509" t="n">
        <v>9156</v>
      </c>
      <c r="W1509" t="n">
        <v/>
      </c>
      <c r="X1509" t="n">
        <v/>
      </c>
      <c r="Y1509" t="n">
        <v/>
      </c>
      <c r="Z1509" t="n">
        <v/>
      </c>
      <c r="AA1509">
        <f>SUMIFS($S$2:S1509,$A$2:A1509,A1509,$N$2:N1509,"Explore*")</f>
        <v/>
      </c>
      <c r="AB1509">
        <f>IF(AND(LEFT(N1509,7)="Explore",(AA1509-IF(LEFT(N1509,7)="Explore",S1509,0))&lt;10),"SI","NO")</f>
        <v/>
      </c>
    </row>
    <row r="1510">
      <c r="A1510" t="inlineStr">
        <is>
          <t>c50m3_training</t>
        </is>
      </c>
      <c r="B1510" t="inlineStr">
        <is>
          <t>2026-02-20 15:15:50.474</t>
        </is>
      </c>
      <c r="C1510" t="n">
        <v/>
      </c>
      <c r="D1510" t="inlineStr">
        <is>
          <t>Media file</t>
        </is>
      </c>
      <c r="E1510" t="inlineStr">
        <is>
          <t>player #1:WT\training\c50m3.mp4</t>
        </is>
      </c>
      <c r="F1510" t="n">
        <v>-9.967000000000001</v>
      </c>
      <c r="G1510" t="n">
        <v>390.5</v>
      </c>
      <c r="H1510" t="n">
        <v>626.699</v>
      </c>
      <c r="I1510" t="n">
        <v>30</v>
      </c>
      <c r="J1510" t="inlineStr">
        <is>
          <t xml:space="preserve"> WT</t>
        </is>
      </c>
      <c r="K1510" t="inlineStr">
        <is>
          <t>Male</t>
        </is>
      </c>
      <c r="L1510" t="inlineStr">
        <is>
          <t>No focal subject</t>
        </is>
      </c>
      <c r="M1510" t="n">
        <v>11.202</v>
      </c>
      <c r="N1510" t="inlineStr">
        <is>
          <t>Explore_F2</t>
        </is>
      </c>
      <c r="O1510" t="inlineStr">
        <is>
          <t>Second familiar</t>
        </is>
      </c>
      <c r="P1510" t="inlineStr">
        <is>
          <t>STATE</t>
        </is>
      </c>
      <c r="Q1510" t="n">
        <v>323.766</v>
      </c>
      <c r="R1510" t="n">
        <v>324.066</v>
      </c>
      <c r="S1510" t="n">
        <v>0.3</v>
      </c>
      <c r="T1510" t="inlineStr">
        <is>
          <t>WT\training\c50m3.mp4</t>
        </is>
      </c>
      <c r="U1510" t="n">
        <v>9713</v>
      </c>
      <c r="V1510" t="n">
        <v>9722</v>
      </c>
      <c r="W1510" t="n">
        <v/>
      </c>
      <c r="X1510" t="n">
        <v/>
      </c>
      <c r="Y1510" t="n">
        <v/>
      </c>
      <c r="Z1510" t="n">
        <v/>
      </c>
      <c r="AA1510">
        <f>SUMIFS($S$2:S1510,$A$2:A1510,A1510,$N$2:N1510,"Explore*")</f>
        <v/>
      </c>
      <c r="AB1510">
        <f>IF(AND(LEFT(N1510,7)="Explore",(AA1510-IF(LEFT(N1510,7)="Explore",S1510,0))&lt;10),"SI","NO")</f>
        <v/>
      </c>
    </row>
    <row r="1511">
      <c r="A1511" t="inlineStr">
        <is>
          <t>c50m3_training</t>
        </is>
      </c>
      <c r="B1511" t="inlineStr">
        <is>
          <t>2026-02-20 15:15:50.474</t>
        </is>
      </c>
      <c r="C1511" t="n">
        <v/>
      </c>
      <c r="D1511" t="inlineStr">
        <is>
          <t>Media file</t>
        </is>
      </c>
      <c r="E1511" t="inlineStr">
        <is>
          <t>player #1:WT\training\c50m3.mp4</t>
        </is>
      </c>
      <c r="F1511" t="n">
        <v>-9.967000000000001</v>
      </c>
      <c r="G1511" t="n">
        <v>390.5</v>
      </c>
      <c r="H1511" t="n">
        <v>626.699</v>
      </c>
      <c r="I1511" t="n">
        <v>30</v>
      </c>
      <c r="J1511" t="inlineStr">
        <is>
          <t xml:space="preserve"> WT</t>
        </is>
      </c>
      <c r="K1511" t="inlineStr">
        <is>
          <t>Male</t>
        </is>
      </c>
      <c r="L1511" t="inlineStr">
        <is>
          <t>No focal subject</t>
        </is>
      </c>
      <c r="M1511" t="n">
        <v>11.202</v>
      </c>
      <c r="N1511" t="inlineStr">
        <is>
          <t>Explore_F</t>
        </is>
      </c>
      <c r="O1511" t="inlineStr">
        <is>
          <t>Familiar</t>
        </is>
      </c>
      <c r="P1511" t="inlineStr">
        <is>
          <t>STATE</t>
        </is>
      </c>
      <c r="Q1511" t="n">
        <v>333.366</v>
      </c>
      <c r="R1511" t="n">
        <v>333.733</v>
      </c>
      <c r="S1511" t="n">
        <v>0.367</v>
      </c>
      <c r="T1511" t="inlineStr">
        <is>
          <t>WT\training\c50m3.mp4</t>
        </is>
      </c>
      <c r="U1511" t="n">
        <v>10001</v>
      </c>
      <c r="V1511" t="n">
        <v>10012</v>
      </c>
      <c r="W1511" t="n">
        <v/>
      </c>
      <c r="X1511" t="n">
        <v/>
      </c>
      <c r="Y1511" t="n">
        <v/>
      </c>
      <c r="Z1511" t="n">
        <v/>
      </c>
      <c r="AA1511">
        <f>SUMIFS($S$2:S1511,$A$2:A1511,A1511,$N$2:N1511,"Explore*")</f>
        <v/>
      </c>
      <c r="AB1511">
        <f>IF(AND(LEFT(N1511,7)="Explore",(AA1511-IF(LEFT(N1511,7)="Explore",S1511,0))&lt;10),"SI","NO")</f>
        <v/>
      </c>
    </row>
    <row r="1512">
      <c r="A1512" t="inlineStr">
        <is>
          <t>c50m3_training</t>
        </is>
      </c>
      <c r="B1512" t="inlineStr">
        <is>
          <t>2026-02-20 15:15:50.474</t>
        </is>
      </c>
      <c r="C1512" t="n">
        <v/>
      </c>
      <c r="D1512" t="inlineStr">
        <is>
          <t>Media file</t>
        </is>
      </c>
      <c r="E1512" t="inlineStr">
        <is>
          <t>player #1:WT\training\c50m3.mp4</t>
        </is>
      </c>
      <c r="F1512" t="n">
        <v>-9.967000000000001</v>
      </c>
      <c r="G1512" t="n">
        <v>390.5</v>
      </c>
      <c r="H1512" t="n">
        <v>626.699</v>
      </c>
      <c r="I1512" t="n">
        <v>30</v>
      </c>
      <c r="J1512" t="inlineStr">
        <is>
          <t xml:space="preserve"> WT</t>
        </is>
      </c>
      <c r="K1512" t="inlineStr">
        <is>
          <t>Male</t>
        </is>
      </c>
      <c r="L1512" t="inlineStr">
        <is>
          <t>No focal subject</t>
        </is>
      </c>
      <c r="M1512" t="n">
        <v>11.202</v>
      </c>
      <c r="N1512" t="inlineStr">
        <is>
          <t>Explore_F</t>
        </is>
      </c>
      <c r="O1512" t="inlineStr">
        <is>
          <t>Familiar</t>
        </is>
      </c>
      <c r="P1512" t="inlineStr">
        <is>
          <t>STATE</t>
        </is>
      </c>
      <c r="Q1512" t="n">
        <v>352.166</v>
      </c>
      <c r="R1512" t="n">
        <v>352.833</v>
      </c>
      <c r="S1512" t="n">
        <v>0.667</v>
      </c>
      <c r="T1512" t="inlineStr">
        <is>
          <t>WT\training\c50m3.mp4</t>
        </is>
      </c>
      <c r="U1512" t="n">
        <v>10565</v>
      </c>
      <c r="V1512" t="n">
        <v>10585</v>
      </c>
      <c r="W1512" t="n">
        <v/>
      </c>
      <c r="X1512" t="n">
        <v/>
      </c>
      <c r="Y1512" t="n">
        <v/>
      </c>
      <c r="Z1512" t="n">
        <v/>
      </c>
      <c r="AA1512">
        <f>SUMIFS($S$2:S1512,$A$2:A1512,A1512,$N$2:N1512,"Explore*")</f>
        <v/>
      </c>
      <c r="AB1512">
        <f>IF(AND(LEFT(N1512,7)="Explore",(AA1512-IF(LEFT(N1512,7)="Explore",S1512,0))&lt;10),"SI","NO")</f>
        <v/>
      </c>
    </row>
    <row r="1513">
      <c r="A1513" t="inlineStr">
        <is>
          <t>c50m3_training</t>
        </is>
      </c>
      <c r="B1513" t="inlineStr">
        <is>
          <t>2026-02-20 15:15:50.474</t>
        </is>
      </c>
      <c r="C1513" t="n">
        <v/>
      </c>
      <c r="D1513" t="inlineStr">
        <is>
          <t>Media file</t>
        </is>
      </c>
      <c r="E1513" t="inlineStr">
        <is>
          <t>player #1:WT\training\c50m3.mp4</t>
        </is>
      </c>
      <c r="F1513" t="n">
        <v>-9.967000000000001</v>
      </c>
      <c r="G1513" t="n">
        <v>390.5</v>
      </c>
      <c r="H1513" t="n">
        <v>626.699</v>
      </c>
      <c r="I1513" t="n">
        <v>30</v>
      </c>
      <c r="J1513" t="inlineStr">
        <is>
          <t xml:space="preserve"> WT</t>
        </is>
      </c>
      <c r="K1513" t="inlineStr">
        <is>
          <t>Male</t>
        </is>
      </c>
      <c r="L1513" t="inlineStr">
        <is>
          <t>No focal subject</t>
        </is>
      </c>
      <c r="M1513" t="n">
        <v>11.202</v>
      </c>
      <c r="N1513" t="inlineStr">
        <is>
          <t>Explore_F2</t>
        </is>
      </c>
      <c r="O1513" t="inlineStr">
        <is>
          <t>Second familiar</t>
        </is>
      </c>
      <c r="P1513" t="inlineStr">
        <is>
          <t>STATE</t>
        </is>
      </c>
      <c r="Q1513" t="n">
        <v>359.999</v>
      </c>
      <c r="R1513" t="n">
        <v>360.533</v>
      </c>
      <c r="S1513" t="n">
        <v>0.534</v>
      </c>
      <c r="T1513" t="inlineStr">
        <is>
          <t>WT\training\c50m3.mp4</t>
        </is>
      </c>
      <c r="U1513" t="n">
        <v>10800</v>
      </c>
      <c r="V1513" t="n">
        <v>10817</v>
      </c>
      <c r="W1513" t="n">
        <v/>
      </c>
      <c r="X1513" t="n">
        <v/>
      </c>
      <c r="Y1513" t="n">
        <v/>
      </c>
      <c r="Z1513" t="n">
        <v/>
      </c>
      <c r="AA1513">
        <f>SUMIFS($S$2:S1513,$A$2:A1513,A1513,$N$2:N1513,"Explore*")</f>
        <v/>
      </c>
      <c r="AB1513">
        <f>IF(AND(LEFT(N1513,7)="Explore",(AA1513-IF(LEFT(N1513,7)="Explore",S1513,0))&lt;10),"SI","NO")</f>
        <v/>
      </c>
    </row>
    <row r="1514">
      <c r="A1514" t="inlineStr">
        <is>
          <t>c50m3_training</t>
        </is>
      </c>
      <c r="B1514" t="inlineStr">
        <is>
          <t>2026-02-20 15:15:50.474</t>
        </is>
      </c>
      <c r="C1514" t="n">
        <v/>
      </c>
      <c r="D1514" t="inlineStr">
        <is>
          <t>Media file</t>
        </is>
      </c>
      <c r="E1514" t="inlineStr">
        <is>
          <t>player #1:WT\training\c50m3.mp4</t>
        </is>
      </c>
      <c r="F1514" t="n">
        <v>-9.967000000000001</v>
      </c>
      <c r="G1514" t="n">
        <v>390.5</v>
      </c>
      <c r="H1514" t="n">
        <v>626.699</v>
      </c>
      <c r="I1514" t="n">
        <v>30</v>
      </c>
      <c r="J1514" t="inlineStr">
        <is>
          <t xml:space="preserve"> WT</t>
        </is>
      </c>
      <c r="K1514" t="inlineStr">
        <is>
          <t>Male</t>
        </is>
      </c>
      <c r="L1514" t="inlineStr">
        <is>
          <t>No focal subject</t>
        </is>
      </c>
      <c r="M1514" t="n">
        <v>11.202</v>
      </c>
      <c r="N1514" t="inlineStr">
        <is>
          <t>Explore_F2</t>
        </is>
      </c>
      <c r="O1514" t="inlineStr">
        <is>
          <t>Second familiar</t>
        </is>
      </c>
      <c r="P1514" t="inlineStr">
        <is>
          <t>STATE</t>
        </is>
      </c>
      <c r="Q1514" t="n">
        <v>364.499</v>
      </c>
      <c r="R1514" t="n">
        <v>364.999</v>
      </c>
      <c r="S1514" t="n">
        <v>0.5</v>
      </c>
      <c r="T1514" t="inlineStr">
        <is>
          <t>WT\training\c50m3.mp4</t>
        </is>
      </c>
      <c r="U1514" t="n">
        <v>10935</v>
      </c>
      <c r="V1514" t="n">
        <v>10950</v>
      </c>
      <c r="W1514" t="n">
        <v/>
      </c>
      <c r="X1514" t="n">
        <v/>
      </c>
      <c r="Y1514" t="n">
        <v/>
      </c>
      <c r="Z1514" t="n">
        <v/>
      </c>
      <c r="AA1514">
        <f>SUMIFS($S$2:S1514,$A$2:A1514,A1514,$N$2:N1514,"Explore*")</f>
        <v/>
      </c>
      <c r="AB1514">
        <f>IF(AND(LEFT(N1514,7)="Explore",(AA1514-IF(LEFT(N1514,7)="Explore",S1514,0))&lt;10),"SI","NO")</f>
        <v/>
      </c>
    </row>
    <row r="1515">
      <c r="A1515" t="inlineStr">
        <is>
          <t>c50m3_training</t>
        </is>
      </c>
      <c r="B1515" t="inlineStr">
        <is>
          <t>2026-02-20 15:15:50.474</t>
        </is>
      </c>
      <c r="C1515" t="n">
        <v/>
      </c>
      <c r="D1515" t="inlineStr">
        <is>
          <t>Media file</t>
        </is>
      </c>
      <c r="E1515" t="inlineStr">
        <is>
          <t>player #1:WT\training\c50m3.mp4</t>
        </is>
      </c>
      <c r="F1515" t="n">
        <v>-9.967000000000001</v>
      </c>
      <c r="G1515" t="n">
        <v>390.5</v>
      </c>
      <c r="H1515" t="n">
        <v>626.699</v>
      </c>
      <c r="I1515" t="n">
        <v>30</v>
      </c>
      <c r="J1515" t="inlineStr">
        <is>
          <t xml:space="preserve"> WT</t>
        </is>
      </c>
      <c r="K1515" t="inlineStr">
        <is>
          <t>Male</t>
        </is>
      </c>
      <c r="L1515" t="inlineStr">
        <is>
          <t>No focal subject</t>
        </is>
      </c>
      <c r="M1515" t="n">
        <v>11.202</v>
      </c>
      <c r="N1515" t="inlineStr">
        <is>
          <t>Explore_F2</t>
        </is>
      </c>
      <c r="O1515" t="inlineStr">
        <is>
          <t>Second familiar</t>
        </is>
      </c>
      <c r="P1515" t="inlineStr">
        <is>
          <t>STATE</t>
        </is>
      </c>
      <c r="Q1515" t="n">
        <v>402.399</v>
      </c>
      <c r="R1515" t="n">
        <v>403.399</v>
      </c>
      <c r="S1515" t="n">
        <v>1</v>
      </c>
      <c r="T1515" t="inlineStr">
        <is>
          <t>WT\training\c50m3.mp4</t>
        </is>
      </c>
      <c r="U1515" t="n">
        <v>12072</v>
      </c>
      <c r="V1515" t="n">
        <v>12102</v>
      </c>
      <c r="W1515" t="n">
        <v/>
      </c>
      <c r="X1515" t="n">
        <v/>
      </c>
      <c r="Y1515" t="n">
        <v/>
      </c>
      <c r="Z1515" t="n">
        <v/>
      </c>
      <c r="AA1515">
        <f>SUMIFS($S$2:S1515,$A$2:A1515,A1515,$N$2:N1515,"Explore*")</f>
        <v/>
      </c>
      <c r="AB1515">
        <f>IF(AND(LEFT(N1515,7)="Explore",(AA1515-IF(LEFT(N1515,7)="Explore",S1515,0))&lt;10),"SI","NO")</f>
        <v/>
      </c>
    </row>
    <row r="1516">
      <c r="A1516" t="inlineStr">
        <is>
          <t>c50m3_training</t>
        </is>
      </c>
      <c r="B1516" t="inlineStr">
        <is>
          <t>2026-02-20 15:15:50.474</t>
        </is>
      </c>
      <c r="C1516" t="n">
        <v/>
      </c>
      <c r="D1516" t="inlineStr">
        <is>
          <t>Media file</t>
        </is>
      </c>
      <c r="E1516" t="inlineStr">
        <is>
          <t>player #1:WT\training\c50m3.mp4</t>
        </is>
      </c>
      <c r="F1516" t="n">
        <v>-9.967000000000001</v>
      </c>
      <c r="G1516" t="n">
        <v>390.5</v>
      </c>
      <c r="H1516" t="n">
        <v>626.699</v>
      </c>
      <c r="I1516" t="n">
        <v>30</v>
      </c>
      <c r="J1516" t="inlineStr">
        <is>
          <t xml:space="preserve"> WT</t>
        </is>
      </c>
      <c r="K1516" t="inlineStr">
        <is>
          <t>Male</t>
        </is>
      </c>
      <c r="L1516" t="inlineStr">
        <is>
          <t>No focal subject</t>
        </is>
      </c>
      <c r="M1516" t="n">
        <v>11.202</v>
      </c>
      <c r="N1516" t="inlineStr">
        <is>
          <t>Explore_F</t>
        </is>
      </c>
      <c r="O1516" t="inlineStr">
        <is>
          <t>Familiar</t>
        </is>
      </c>
      <c r="P1516" t="inlineStr">
        <is>
          <t>STATE</t>
        </is>
      </c>
      <c r="Q1516" t="n">
        <v>406.999</v>
      </c>
      <c r="R1516" t="n">
        <v>407.399</v>
      </c>
      <c r="S1516" t="n">
        <v>0.4</v>
      </c>
      <c r="T1516" t="inlineStr">
        <is>
          <t>WT\training\c50m3.mp4</t>
        </is>
      </c>
      <c r="U1516" t="n">
        <v>12210</v>
      </c>
      <c r="V1516" t="n">
        <v>12222</v>
      </c>
      <c r="W1516" t="n">
        <v/>
      </c>
      <c r="X1516" t="n">
        <v/>
      </c>
      <c r="Y1516" t="n">
        <v/>
      </c>
      <c r="Z1516" t="n">
        <v/>
      </c>
      <c r="AA1516">
        <f>SUMIFS($S$2:S1516,$A$2:A1516,A1516,$N$2:N1516,"Explore*")</f>
        <v/>
      </c>
      <c r="AB1516">
        <f>IF(AND(LEFT(N1516,7)="Explore",(AA1516-IF(LEFT(N1516,7)="Explore",S1516,0))&lt;10),"SI","NO")</f>
        <v/>
      </c>
    </row>
    <row r="1517">
      <c r="A1517" t="inlineStr">
        <is>
          <t>c50m3_training</t>
        </is>
      </c>
      <c r="B1517" t="inlineStr">
        <is>
          <t>2026-02-20 15:15:50.474</t>
        </is>
      </c>
      <c r="C1517" t="n">
        <v/>
      </c>
      <c r="D1517" t="inlineStr">
        <is>
          <t>Media file</t>
        </is>
      </c>
      <c r="E1517" t="inlineStr">
        <is>
          <t>player #1:WT\training\c50m3.mp4</t>
        </is>
      </c>
      <c r="F1517" t="n">
        <v>-9.967000000000001</v>
      </c>
      <c r="G1517" t="n">
        <v>390.5</v>
      </c>
      <c r="H1517" t="n">
        <v>626.699</v>
      </c>
      <c r="I1517" t="n">
        <v>30</v>
      </c>
      <c r="J1517" t="inlineStr">
        <is>
          <t xml:space="preserve"> WT</t>
        </is>
      </c>
      <c r="K1517" t="inlineStr">
        <is>
          <t>Male</t>
        </is>
      </c>
      <c r="L1517" t="inlineStr">
        <is>
          <t>No focal subject</t>
        </is>
      </c>
      <c r="M1517" t="n">
        <v>11.202</v>
      </c>
      <c r="N1517" t="inlineStr">
        <is>
          <t>Explore_F2</t>
        </is>
      </c>
      <c r="O1517" t="inlineStr">
        <is>
          <t>Second familiar</t>
        </is>
      </c>
      <c r="P1517" t="inlineStr">
        <is>
          <t>STATE</t>
        </is>
      </c>
      <c r="Q1517" t="n">
        <v>426.199</v>
      </c>
      <c r="R1517" t="n">
        <v>426.533</v>
      </c>
      <c r="S1517" t="n">
        <v>0.334</v>
      </c>
      <c r="T1517" t="inlineStr">
        <is>
          <t>WT\training\c50m3.mp4</t>
        </is>
      </c>
      <c r="U1517" t="n">
        <v>12786</v>
      </c>
      <c r="V1517" t="n">
        <v>12797</v>
      </c>
      <c r="W1517" t="n">
        <v/>
      </c>
      <c r="X1517" t="n">
        <v/>
      </c>
      <c r="Y1517" t="n">
        <v/>
      </c>
      <c r="Z1517" t="n">
        <v/>
      </c>
      <c r="AA1517">
        <f>SUMIFS($S$2:S1517,$A$2:A1517,A1517,$N$2:N1517,"Explore*")</f>
        <v/>
      </c>
      <c r="AB1517">
        <f>IF(AND(LEFT(N1517,7)="Explore",(AA1517-IF(LEFT(N1517,7)="Explore",S1517,0))&lt;10),"SI","NO")</f>
        <v/>
      </c>
    </row>
    <row r="1518">
      <c r="A1518" t="inlineStr">
        <is>
          <t>c50m3_training</t>
        </is>
      </c>
      <c r="B1518" t="inlineStr">
        <is>
          <t>2026-02-20 15:15:50.474</t>
        </is>
      </c>
      <c r="C1518" t="n">
        <v/>
      </c>
      <c r="D1518" t="inlineStr">
        <is>
          <t>Media file</t>
        </is>
      </c>
      <c r="E1518" t="inlineStr">
        <is>
          <t>player #1:WT\training\c50m3.mp4</t>
        </is>
      </c>
      <c r="F1518" t="n">
        <v>-9.967000000000001</v>
      </c>
      <c r="G1518" t="n">
        <v>390.5</v>
      </c>
      <c r="H1518" t="n">
        <v>626.699</v>
      </c>
      <c r="I1518" t="n">
        <v>30</v>
      </c>
      <c r="J1518" t="inlineStr">
        <is>
          <t xml:space="preserve"> WT</t>
        </is>
      </c>
      <c r="K1518" t="inlineStr">
        <is>
          <t>Male</t>
        </is>
      </c>
      <c r="L1518" t="inlineStr">
        <is>
          <t>No focal subject</t>
        </is>
      </c>
      <c r="M1518" t="n">
        <v>11.202</v>
      </c>
      <c r="N1518" t="inlineStr">
        <is>
          <t>Explore_F2</t>
        </is>
      </c>
      <c r="O1518" t="inlineStr">
        <is>
          <t>Second familiar</t>
        </is>
      </c>
      <c r="P1518" t="inlineStr">
        <is>
          <t>STATE</t>
        </is>
      </c>
      <c r="Q1518" t="n">
        <v>437.066</v>
      </c>
      <c r="R1518" t="n">
        <v>438.199</v>
      </c>
      <c r="S1518" t="n">
        <v>1.133</v>
      </c>
      <c r="T1518" t="inlineStr">
        <is>
          <t>WT\training\c50m3.mp4</t>
        </is>
      </c>
      <c r="U1518" t="n">
        <v>13112</v>
      </c>
      <c r="V1518" t="n">
        <v>13146</v>
      </c>
      <c r="W1518" t="n">
        <v/>
      </c>
      <c r="X1518" t="n">
        <v/>
      </c>
      <c r="Y1518" t="n">
        <v/>
      </c>
      <c r="Z1518" t="n">
        <v/>
      </c>
      <c r="AA1518">
        <f>SUMIFS($S$2:S1518,$A$2:A1518,A1518,$N$2:N1518,"Explore*")</f>
        <v/>
      </c>
      <c r="AB1518">
        <f>IF(AND(LEFT(N1518,7)="Explore",(AA1518-IF(LEFT(N1518,7)="Explore",S1518,0))&lt;10),"SI","NO")</f>
        <v/>
      </c>
    </row>
    <row r="1519">
      <c r="A1519" t="inlineStr">
        <is>
          <t>c50m3_training</t>
        </is>
      </c>
      <c r="B1519" t="inlineStr">
        <is>
          <t>2026-02-20 15:15:50.474</t>
        </is>
      </c>
      <c r="C1519" t="n">
        <v/>
      </c>
      <c r="D1519" t="inlineStr">
        <is>
          <t>Media file</t>
        </is>
      </c>
      <c r="E1519" t="inlineStr">
        <is>
          <t>player #1:WT\training\c50m3.mp4</t>
        </is>
      </c>
      <c r="F1519" t="n">
        <v>-9.967000000000001</v>
      </c>
      <c r="G1519" t="n">
        <v>390.5</v>
      </c>
      <c r="H1519" t="n">
        <v>626.699</v>
      </c>
      <c r="I1519" t="n">
        <v>30</v>
      </c>
      <c r="J1519" t="inlineStr">
        <is>
          <t xml:space="preserve"> WT</t>
        </is>
      </c>
      <c r="K1519" t="inlineStr">
        <is>
          <t>Male</t>
        </is>
      </c>
      <c r="L1519" t="inlineStr">
        <is>
          <t>No focal subject</t>
        </is>
      </c>
      <c r="M1519" t="n">
        <v>11.202</v>
      </c>
      <c r="N1519" t="inlineStr">
        <is>
          <t>Explore_F2</t>
        </is>
      </c>
      <c r="O1519" t="inlineStr">
        <is>
          <t>Second familiar</t>
        </is>
      </c>
      <c r="P1519" t="inlineStr">
        <is>
          <t>STATE</t>
        </is>
      </c>
      <c r="Q1519" t="n">
        <v>441.066</v>
      </c>
      <c r="R1519" t="n">
        <v>441.299</v>
      </c>
      <c r="S1519" t="n">
        <v>0.233</v>
      </c>
      <c r="T1519" t="inlineStr">
        <is>
          <t>WT\training\c50m3.mp4</t>
        </is>
      </c>
      <c r="U1519" t="n">
        <v>13232</v>
      </c>
      <c r="V1519" t="n">
        <v>13239</v>
      </c>
      <c r="W1519" t="n">
        <v/>
      </c>
      <c r="X1519" t="n">
        <v/>
      </c>
      <c r="Y1519" t="n">
        <v/>
      </c>
      <c r="Z1519" t="n">
        <v/>
      </c>
      <c r="AA1519">
        <f>SUMIFS($S$2:S1519,$A$2:A1519,A1519,$N$2:N1519,"Explore*")</f>
        <v/>
      </c>
      <c r="AB1519">
        <f>IF(AND(LEFT(N1519,7)="Explore",(AA1519-IF(LEFT(N1519,7)="Explore",S1519,0))&lt;10),"SI","NO")</f>
        <v/>
      </c>
    </row>
    <row r="1520">
      <c r="A1520" t="inlineStr">
        <is>
          <t>c50m3_training</t>
        </is>
      </c>
      <c r="B1520" t="inlineStr">
        <is>
          <t>2026-02-20 15:15:50.474</t>
        </is>
      </c>
      <c r="C1520" t="n">
        <v/>
      </c>
      <c r="D1520" t="inlineStr">
        <is>
          <t>Media file</t>
        </is>
      </c>
      <c r="E1520" t="inlineStr">
        <is>
          <t>player #1:WT\training\c50m3.mp4</t>
        </is>
      </c>
      <c r="F1520" t="n">
        <v>-9.967000000000001</v>
      </c>
      <c r="G1520" t="n">
        <v>390.5</v>
      </c>
      <c r="H1520" t="n">
        <v>626.699</v>
      </c>
      <c r="I1520" t="n">
        <v>30</v>
      </c>
      <c r="J1520" t="inlineStr">
        <is>
          <t xml:space="preserve"> WT</t>
        </is>
      </c>
      <c r="K1520" t="inlineStr">
        <is>
          <t>Male</t>
        </is>
      </c>
      <c r="L1520" t="inlineStr">
        <is>
          <t>No focal subject</t>
        </is>
      </c>
      <c r="M1520" t="n">
        <v>11.202</v>
      </c>
      <c r="N1520" t="inlineStr">
        <is>
          <t>Explore_F</t>
        </is>
      </c>
      <c r="O1520" t="inlineStr">
        <is>
          <t>Familiar</t>
        </is>
      </c>
      <c r="P1520" t="inlineStr">
        <is>
          <t>STATE</t>
        </is>
      </c>
      <c r="Q1520" t="n">
        <v>498.432</v>
      </c>
      <c r="R1520" t="n">
        <v>498.899</v>
      </c>
      <c r="S1520" t="n">
        <v>0.467</v>
      </c>
      <c r="T1520" t="inlineStr">
        <is>
          <t>WT\training\c50m3.mp4</t>
        </is>
      </c>
      <c r="U1520" t="n">
        <v>14953</v>
      </c>
      <c r="V1520" t="n">
        <v>14967</v>
      </c>
      <c r="W1520" t="n">
        <v/>
      </c>
      <c r="X1520" t="n">
        <v/>
      </c>
      <c r="Y1520" t="n">
        <v/>
      </c>
      <c r="Z1520" t="n">
        <v/>
      </c>
      <c r="AA1520">
        <f>SUMIFS($S$2:S1520,$A$2:A1520,A1520,$N$2:N1520,"Explore*")</f>
        <v/>
      </c>
      <c r="AB1520">
        <f>IF(AND(LEFT(N1520,7)="Explore",(AA1520-IF(LEFT(N1520,7)="Explore",S1520,0))&lt;10),"SI","NO")</f>
        <v/>
      </c>
    </row>
    <row r="1521">
      <c r="A1521" t="inlineStr">
        <is>
          <t>c50m3_training</t>
        </is>
      </c>
      <c r="B1521" t="inlineStr">
        <is>
          <t>2026-02-20 15:15:50.474</t>
        </is>
      </c>
      <c r="C1521" t="n">
        <v/>
      </c>
      <c r="D1521" t="inlineStr">
        <is>
          <t>Media file</t>
        </is>
      </c>
      <c r="E1521" t="inlineStr">
        <is>
          <t>player #1:WT\training\c50m3.mp4</t>
        </is>
      </c>
      <c r="F1521" t="n">
        <v>-9.967000000000001</v>
      </c>
      <c r="G1521" t="n">
        <v>390.5</v>
      </c>
      <c r="H1521" t="n">
        <v>626.699</v>
      </c>
      <c r="I1521" t="n">
        <v>30</v>
      </c>
      <c r="J1521" t="inlineStr">
        <is>
          <t xml:space="preserve"> WT</t>
        </is>
      </c>
      <c r="K1521" t="inlineStr">
        <is>
          <t>Male</t>
        </is>
      </c>
      <c r="L1521" t="inlineStr">
        <is>
          <t>No focal subject</t>
        </is>
      </c>
      <c r="M1521" t="n">
        <v>11.202</v>
      </c>
      <c r="N1521" t="inlineStr">
        <is>
          <t>Explore_F</t>
        </is>
      </c>
      <c r="O1521" t="inlineStr">
        <is>
          <t>Familiar</t>
        </is>
      </c>
      <c r="P1521" t="inlineStr">
        <is>
          <t>STATE</t>
        </is>
      </c>
      <c r="Q1521" t="n">
        <v>526.099</v>
      </c>
      <c r="R1521" t="n">
        <v>526.832</v>
      </c>
      <c r="S1521" t="n">
        <v>0.733</v>
      </c>
      <c r="T1521" t="inlineStr">
        <is>
          <t>WT\training\c50m3.mp4</t>
        </is>
      </c>
      <c r="U1521" t="n">
        <v>15783</v>
      </c>
      <c r="V1521" t="n">
        <v>15805</v>
      </c>
      <c r="W1521" t="n">
        <v/>
      </c>
      <c r="X1521" t="n">
        <v/>
      </c>
      <c r="Y1521" t="n">
        <v/>
      </c>
      <c r="Z1521" t="n">
        <v/>
      </c>
      <c r="AA1521">
        <f>SUMIFS($S$2:S1521,$A$2:A1521,A1521,$N$2:N1521,"Explore*")</f>
        <v/>
      </c>
      <c r="AB1521">
        <f>IF(AND(LEFT(N1521,7)="Explore",(AA1521-IF(LEFT(N1521,7)="Explore",S1521,0))&lt;10),"SI","NO")</f>
        <v/>
      </c>
    </row>
    <row r="1522">
      <c r="A1522" t="inlineStr">
        <is>
          <t>c50m3_training</t>
        </is>
      </c>
      <c r="B1522" t="inlineStr">
        <is>
          <t>2026-02-20 15:15:50.474</t>
        </is>
      </c>
      <c r="C1522" t="n">
        <v/>
      </c>
      <c r="D1522" t="inlineStr">
        <is>
          <t>Media file</t>
        </is>
      </c>
      <c r="E1522" t="inlineStr">
        <is>
          <t>player #1:WT\training\c50m3.mp4</t>
        </is>
      </c>
      <c r="F1522" t="n">
        <v>-9.967000000000001</v>
      </c>
      <c r="G1522" t="n">
        <v>390.5</v>
      </c>
      <c r="H1522" t="n">
        <v>626.699</v>
      </c>
      <c r="I1522" t="n">
        <v>30</v>
      </c>
      <c r="J1522" t="inlineStr">
        <is>
          <t xml:space="preserve"> WT</t>
        </is>
      </c>
      <c r="K1522" t="inlineStr">
        <is>
          <t>Male</t>
        </is>
      </c>
      <c r="L1522" t="inlineStr">
        <is>
          <t>No focal subject</t>
        </is>
      </c>
      <c r="M1522" t="n">
        <v>11.202</v>
      </c>
      <c r="N1522" t="inlineStr">
        <is>
          <t>Explore_F2</t>
        </is>
      </c>
      <c r="O1522" t="inlineStr">
        <is>
          <t>Second familiar</t>
        </is>
      </c>
      <c r="P1522" t="inlineStr">
        <is>
          <t>STATE</t>
        </is>
      </c>
      <c r="Q1522" t="n">
        <v>529.532</v>
      </c>
      <c r="R1522" t="n">
        <v>530.466</v>
      </c>
      <c r="S1522" t="n">
        <v>0.9340000000000001</v>
      </c>
      <c r="T1522" t="inlineStr">
        <is>
          <t>WT\training\c50m3.mp4</t>
        </is>
      </c>
      <c r="U1522" t="n">
        <v>15887</v>
      </c>
      <c r="V1522" t="n">
        <v>15914</v>
      </c>
      <c r="W1522" t="n">
        <v/>
      </c>
      <c r="X1522" t="n">
        <v/>
      </c>
      <c r="Y1522" t="n">
        <v/>
      </c>
      <c r="Z1522" t="n">
        <v/>
      </c>
      <c r="AA1522">
        <f>SUMIFS($S$2:S1522,$A$2:A1522,A1522,$N$2:N1522,"Explore*")</f>
        <v/>
      </c>
      <c r="AB1522">
        <f>IF(AND(LEFT(N1522,7)="Explore",(AA1522-IF(LEFT(N1522,7)="Explore",S1522,0))&lt;10),"SI","NO")</f>
        <v/>
      </c>
    </row>
    <row r="1523">
      <c r="A1523" t="inlineStr">
        <is>
          <t>c50m3_training</t>
        </is>
      </c>
      <c r="B1523" t="inlineStr">
        <is>
          <t>2026-02-20 15:15:50.474</t>
        </is>
      </c>
      <c r="C1523" t="n">
        <v/>
      </c>
      <c r="D1523" t="inlineStr">
        <is>
          <t>Media file</t>
        </is>
      </c>
      <c r="E1523" t="inlineStr">
        <is>
          <t>player #1:WT\training\c50m3.mp4</t>
        </is>
      </c>
      <c r="F1523" t="n">
        <v>-9.967000000000001</v>
      </c>
      <c r="G1523" t="n">
        <v>390.5</v>
      </c>
      <c r="H1523" t="n">
        <v>626.699</v>
      </c>
      <c r="I1523" t="n">
        <v>30</v>
      </c>
      <c r="J1523" t="inlineStr">
        <is>
          <t xml:space="preserve"> WT</t>
        </is>
      </c>
      <c r="K1523" t="inlineStr">
        <is>
          <t>Male</t>
        </is>
      </c>
      <c r="L1523" t="inlineStr">
        <is>
          <t>No focal subject</t>
        </is>
      </c>
      <c r="M1523" t="n">
        <v>11.202</v>
      </c>
      <c r="N1523" t="inlineStr">
        <is>
          <t>Explore_F2</t>
        </is>
      </c>
      <c r="O1523" t="inlineStr">
        <is>
          <t>Second familiar</t>
        </is>
      </c>
      <c r="P1523" t="inlineStr">
        <is>
          <t>STATE</t>
        </is>
      </c>
      <c r="Q1523" t="n">
        <v>537.099</v>
      </c>
      <c r="R1523" t="n">
        <v>537.699</v>
      </c>
      <c r="S1523" t="n">
        <v>0.6</v>
      </c>
      <c r="T1523" t="inlineStr">
        <is>
          <t>WT\training\c50m3.mp4</t>
        </is>
      </c>
      <c r="U1523" t="n">
        <v>16113</v>
      </c>
      <c r="V1523" t="n">
        <v>16131</v>
      </c>
      <c r="W1523" t="n">
        <v/>
      </c>
      <c r="X1523" t="n">
        <v/>
      </c>
      <c r="Y1523" t="n">
        <v/>
      </c>
      <c r="Z1523" t="n">
        <v/>
      </c>
      <c r="AA1523">
        <f>SUMIFS($S$2:S1523,$A$2:A1523,A1523,$N$2:N1523,"Explore*")</f>
        <v/>
      </c>
      <c r="AB1523">
        <f>IF(AND(LEFT(N1523,7)="Explore",(AA1523-IF(LEFT(N1523,7)="Explore",S1523,0))&lt;10),"SI","NO")</f>
        <v/>
      </c>
    </row>
    <row r="1524">
      <c r="A1524" t="inlineStr">
        <is>
          <t>c50m3_training</t>
        </is>
      </c>
      <c r="B1524" t="inlineStr">
        <is>
          <t>2026-02-20 15:15:50.474</t>
        </is>
      </c>
      <c r="C1524" t="n">
        <v/>
      </c>
      <c r="D1524" t="inlineStr">
        <is>
          <t>Media file</t>
        </is>
      </c>
      <c r="E1524" t="inlineStr">
        <is>
          <t>player #1:WT\training\c50m3.mp4</t>
        </is>
      </c>
      <c r="F1524" t="n">
        <v>-9.967000000000001</v>
      </c>
      <c r="G1524" t="n">
        <v>390.5</v>
      </c>
      <c r="H1524" t="n">
        <v>626.699</v>
      </c>
      <c r="I1524" t="n">
        <v>30</v>
      </c>
      <c r="J1524" t="inlineStr">
        <is>
          <t xml:space="preserve"> WT</t>
        </is>
      </c>
      <c r="K1524" t="inlineStr">
        <is>
          <t>Male</t>
        </is>
      </c>
      <c r="L1524" t="inlineStr">
        <is>
          <t>No focal subject</t>
        </is>
      </c>
      <c r="M1524" t="n">
        <v>11.202</v>
      </c>
      <c r="N1524" t="inlineStr">
        <is>
          <t>Explore_F</t>
        </is>
      </c>
      <c r="O1524" t="inlineStr">
        <is>
          <t>Familiar</t>
        </is>
      </c>
      <c r="P1524" t="inlineStr">
        <is>
          <t>STATE</t>
        </is>
      </c>
      <c r="Q1524" t="n">
        <v>547.032</v>
      </c>
      <c r="R1524" t="n">
        <v>547.599</v>
      </c>
      <c r="S1524" t="n">
        <v>0.5669999999999999</v>
      </c>
      <c r="T1524" t="inlineStr">
        <is>
          <t>WT\training\c50m3.mp4</t>
        </is>
      </c>
      <c r="U1524" t="n">
        <v>16412</v>
      </c>
      <c r="V1524" t="n">
        <v>16428</v>
      </c>
      <c r="W1524" t="n">
        <v/>
      </c>
      <c r="X1524" t="n">
        <v/>
      </c>
      <c r="Y1524" t="n">
        <v/>
      </c>
      <c r="Z1524" t="n">
        <v/>
      </c>
      <c r="AA1524">
        <f>SUMIFS($S$2:S1524,$A$2:A1524,A1524,$N$2:N1524,"Explore*")</f>
        <v/>
      </c>
      <c r="AB1524">
        <f>IF(AND(LEFT(N1524,7)="Explore",(AA1524-IF(LEFT(N1524,7)="Explore",S1524,0))&lt;10),"SI","NO")</f>
        <v/>
      </c>
    </row>
    <row r="1525">
      <c r="A1525" t="inlineStr">
        <is>
          <t>c50m3_training</t>
        </is>
      </c>
      <c r="B1525" t="inlineStr">
        <is>
          <t>2026-02-20 15:15:50.474</t>
        </is>
      </c>
      <c r="C1525" t="n">
        <v/>
      </c>
      <c r="D1525" t="inlineStr">
        <is>
          <t>Media file</t>
        </is>
      </c>
      <c r="E1525" t="inlineStr">
        <is>
          <t>player #1:WT\training\c50m3.mp4</t>
        </is>
      </c>
      <c r="F1525" t="n">
        <v>-9.967000000000001</v>
      </c>
      <c r="G1525" t="n">
        <v>390.5</v>
      </c>
      <c r="H1525" t="n">
        <v>626.699</v>
      </c>
      <c r="I1525" t="n">
        <v>30</v>
      </c>
      <c r="J1525" t="inlineStr">
        <is>
          <t xml:space="preserve"> WT</t>
        </is>
      </c>
      <c r="K1525" t="inlineStr">
        <is>
          <t>Male</t>
        </is>
      </c>
      <c r="L1525" t="inlineStr">
        <is>
          <t>No focal subject</t>
        </is>
      </c>
      <c r="M1525" t="n">
        <v>11.202</v>
      </c>
      <c r="N1525" t="inlineStr">
        <is>
          <t>Explore_F</t>
        </is>
      </c>
      <c r="O1525" t="inlineStr">
        <is>
          <t>Familiar</t>
        </is>
      </c>
      <c r="P1525" t="inlineStr">
        <is>
          <t>STATE</t>
        </is>
      </c>
      <c r="Q1525" t="n">
        <v>596.299</v>
      </c>
      <c r="R1525" t="n">
        <v>596.766</v>
      </c>
      <c r="S1525" t="n">
        <v>0.467</v>
      </c>
      <c r="T1525" t="inlineStr">
        <is>
          <t>WT\training\c50m3.mp4</t>
        </is>
      </c>
      <c r="U1525" t="n">
        <v>17889</v>
      </c>
      <c r="V1525" t="n">
        <v>17903</v>
      </c>
      <c r="W1525" t="n">
        <v/>
      </c>
      <c r="X1525" t="n">
        <v/>
      </c>
      <c r="Y1525" t="n">
        <v/>
      </c>
      <c r="Z1525" t="n">
        <v/>
      </c>
      <c r="AA1525">
        <f>SUMIFS($S$2:S1525,$A$2:A1525,A1525,$N$2:N1525,"Explore*")</f>
        <v/>
      </c>
      <c r="AB1525">
        <f>IF(AND(LEFT(N1525,7)="Explore",(AA1525-IF(LEFT(N1525,7)="Explore",S1525,0))&lt;10),"SI","NO")</f>
        <v/>
      </c>
    </row>
    <row r="1526">
      <c r="A1526" t="inlineStr">
        <is>
          <t>c52m1_training</t>
        </is>
      </c>
      <c r="B1526" t="inlineStr">
        <is>
          <t>2026-02-24 11:43:33.958</t>
        </is>
      </c>
      <c r="C1526" t="n">
        <v/>
      </c>
      <c r="D1526" t="inlineStr">
        <is>
          <t>Media file</t>
        </is>
      </c>
      <c r="E1526" t="inlineStr">
        <is>
          <t>player #1:WT\training\c52m1.mp4</t>
        </is>
      </c>
      <c r="F1526" t="n">
        <v>-9.067</v>
      </c>
      <c r="G1526" t="n">
        <v>595.299</v>
      </c>
      <c r="H1526" t="n">
        <v>645.799</v>
      </c>
      <c r="I1526" t="n">
        <v>30</v>
      </c>
      <c r="J1526" t="inlineStr">
        <is>
          <t xml:space="preserve"> WT</t>
        </is>
      </c>
      <c r="K1526" t="inlineStr">
        <is>
          <t>Male</t>
        </is>
      </c>
      <c r="L1526" t="inlineStr">
        <is>
          <t>No focal subject</t>
        </is>
      </c>
      <c r="M1526" t="n">
        <v>33.329</v>
      </c>
      <c r="N1526" t="inlineStr">
        <is>
          <t>Explore_F2</t>
        </is>
      </c>
      <c r="O1526" t="inlineStr">
        <is>
          <t>Second familiar</t>
        </is>
      </c>
      <c r="P1526" t="inlineStr">
        <is>
          <t>STATE</t>
        </is>
      </c>
      <c r="Q1526" t="n">
        <v>5.5</v>
      </c>
      <c r="R1526" t="n">
        <v>6.333</v>
      </c>
      <c r="S1526" t="n">
        <v>0.833</v>
      </c>
      <c r="T1526" t="inlineStr">
        <is>
          <t>WT\training\c52m1.mp4</t>
        </is>
      </c>
      <c r="U1526" t="n">
        <v>167</v>
      </c>
      <c r="V1526" t="n">
        <v>190</v>
      </c>
      <c r="W1526" t="n">
        <v/>
      </c>
      <c r="X1526" t="n">
        <v/>
      </c>
      <c r="Y1526" t="n">
        <v/>
      </c>
      <c r="Z1526" t="n">
        <v/>
      </c>
      <c r="AA1526">
        <f>SUMIFS($S$2:S1526,$A$2:A1526,A1526,$N$2:N1526,"Explore*")</f>
        <v/>
      </c>
      <c r="AB1526">
        <f>IF(AND(LEFT(N1526,7)="Explore",(AA1526-IF(LEFT(N1526,7)="Explore",S1526,0))&lt;10),"SI","NO")</f>
        <v/>
      </c>
    </row>
    <row r="1527">
      <c r="A1527" t="inlineStr">
        <is>
          <t>c52m1_training</t>
        </is>
      </c>
      <c r="B1527" t="inlineStr">
        <is>
          <t>2026-02-24 11:43:33.958</t>
        </is>
      </c>
      <c r="C1527" t="n">
        <v/>
      </c>
      <c r="D1527" t="inlineStr">
        <is>
          <t>Media file</t>
        </is>
      </c>
      <c r="E1527" t="inlineStr">
        <is>
          <t>player #1:WT\training\c52m1.mp4</t>
        </is>
      </c>
      <c r="F1527" t="n">
        <v>-9.067</v>
      </c>
      <c r="G1527" t="n">
        <v>595.299</v>
      </c>
      <c r="H1527" t="n">
        <v>645.799</v>
      </c>
      <c r="I1527" t="n">
        <v>30</v>
      </c>
      <c r="J1527" t="inlineStr">
        <is>
          <t xml:space="preserve"> WT</t>
        </is>
      </c>
      <c r="K1527" t="inlineStr">
        <is>
          <t>Male</t>
        </is>
      </c>
      <c r="L1527" t="inlineStr">
        <is>
          <t>No focal subject</t>
        </is>
      </c>
      <c r="M1527" t="n">
        <v>33.329</v>
      </c>
      <c r="N1527" t="inlineStr">
        <is>
          <t>Explore_F</t>
        </is>
      </c>
      <c r="O1527" t="inlineStr">
        <is>
          <t>Familiar</t>
        </is>
      </c>
      <c r="P1527" t="inlineStr">
        <is>
          <t>STATE</t>
        </is>
      </c>
      <c r="Q1527" t="n">
        <v>7.233</v>
      </c>
      <c r="R1527" t="n">
        <v>7.933</v>
      </c>
      <c r="S1527" t="n">
        <v>0.7</v>
      </c>
      <c r="T1527" t="inlineStr">
        <is>
          <t>WT\training\c52m1.mp4</t>
        </is>
      </c>
      <c r="U1527" t="n">
        <v>217</v>
      </c>
      <c r="V1527" t="n">
        <v>238</v>
      </c>
      <c r="W1527" t="n">
        <v/>
      </c>
      <c r="X1527" t="n">
        <v/>
      </c>
      <c r="Y1527" t="n">
        <v/>
      </c>
      <c r="Z1527" t="n">
        <v/>
      </c>
      <c r="AA1527">
        <f>SUMIFS($S$2:S1527,$A$2:A1527,A1527,$N$2:N1527,"Explore*")</f>
        <v/>
      </c>
      <c r="AB1527">
        <f>IF(AND(LEFT(N1527,7)="Explore",(AA1527-IF(LEFT(N1527,7)="Explore",S1527,0))&lt;10),"SI","NO")</f>
        <v/>
      </c>
    </row>
    <row r="1528">
      <c r="A1528" t="inlineStr">
        <is>
          <t>c52m1_training</t>
        </is>
      </c>
      <c r="B1528" t="inlineStr">
        <is>
          <t>2026-02-24 11:43:33.958</t>
        </is>
      </c>
      <c r="C1528" t="n">
        <v/>
      </c>
      <c r="D1528" t="inlineStr">
        <is>
          <t>Media file</t>
        </is>
      </c>
      <c r="E1528" t="inlineStr">
        <is>
          <t>player #1:WT\training\c52m1.mp4</t>
        </is>
      </c>
      <c r="F1528" t="n">
        <v>-9.067</v>
      </c>
      <c r="G1528" t="n">
        <v>595.299</v>
      </c>
      <c r="H1528" t="n">
        <v>645.799</v>
      </c>
      <c r="I1528" t="n">
        <v>30</v>
      </c>
      <c r="J1528" t="inlineStr">
        <is>
          <t xml:space="preserve"> WT</t>
        </is>
      </c>
      <c r="K1528" t="inlineStr">
        <is>
          <t>Male</t>
        </is>
      </c>
      <c r="L1528" t="inlineStr">
        <is>
          <t>No focal subject</t>
        </is>
      </c>
      <c r="M1528" t="n">
        <v>33.329</v>
      </c>
      <c r="N1528" t="inlineStr">
        <is>
          <t>Explore_F</t>
        </is>
      </c>
      <c r="O1528" t="inlineStr">
        <is>
          <t>Familiar</t>
        </is>
      </c>
      <c r="P1528" t="inlineStr">
        <is>
          <t>STATE</t>
        </is>
      </c>
      <c r="Q1528" t="n">
        <v>10.6</v>
      </c>
      <c r="R1528" t="n">
        <v>11.4</v>
      </c>
      <c r="S1528" t="n">
        <v>0.8</v>
      </c>
      <c r="T1528" t="inlineStr">
        <is>
          <t>WT\training\c52m1.mp4</t>
        </is>
      </c>
      <c r="U1528" t="n">
        <v>318</v>
      </c>
      <c r="V1528" t="n">
        <v>342</v>
      </c>
      <c r="W1528" t="n">
        <v/>
      </c>
      <c r="X1528" t="n">
        <v/>
      </c>
      <c r="Y1528" t="n">
        <v/>
      </c>
      <c r="Z1528" t="n">
        <v/>
      </c>
      <c r="AA1528">
        <f>SUMIFS($S$2:S1528,$A$2:A1528,A1528,$N$2:N1528,"Explore*")</f>
        <v/>
      </c>
      <c r="AB1528">
        <f>IF(AND(LEFT(N1528,7)="Explore",(AA1528-IF(LEFT(N1528,7)="Explore",S1528,0))&lt;10),"SI","NO")</f>
        <v/>
      </c>
    </row>
    <row r="1529">
      <c r="A1529" t="inlineStr">
        <is>
          <t>c52m1_training</t>
        </is>
      </c>
      <c r="B1529" t="inlineStr">
        <is>
          <t>2026-02-24 11:43:33.958</t>
        </is>
      </c>
      <c r="C1529" t="n">
        <v/>
      </c>
      <c r="D1529" t="inlineStr">
        <is>
          <t>Media file</t>
        </is>
      </c>
      <c r="E1529" t="inlineStr">
        <is>
          <t>player #1:WT\training\c52m1.mp4</t>
        </is>
      </c>
      <c r="F1529" t="n">
        <v>-9.067</v>
      </c>
      <c r="G1529" t="n">
        <v>595.299</v>
      </c>
      <c r="H1529" t="n">
        <v>645.799</v>
      </c>
      <c r="I1529" t="n">
        <v>30</v>
      </c>
      <c r="J1529" t="inlineStr">
        <is>
          <t xml:space="preserve"> WT</t>
        </is>
      </c>
      <c r="K1529" t="inlineStr">
        <is>
          <t>Male</t>
        </is>
      </c>
      <c r="L1529" t="inlineStr">
        <is>
          <t>No focal subject</t>
        </is>
      </c>
      <c r="M1529" t="n">
        <v>33.329</v>
      </c>
      <c r="N1529" t="inlineStr">
        <is>
          <t>Explore_F</t>
        </is>
      </c>
      <c r="O1529" t="inlineStr">
        <is>
          <t>Familiar</t>
        </is>
      </c>
      <c r="P1529" t="inlineStr">
        <is>
          <t>STATE</t>
        </is>
      </c>
      <c r="Q1529" t="n">
        <v>121.466</v>
      </c>
      <c r="R1529" t="n">
        <v>121.9</v>
      </c>
      <c r="S1529" t="n">
        <v>0.434</v>
      </c>
      <c r="T1529" t="inlineStr">
        <is>
          <t>WT\training\c52m1.mp4</t>
        </is>
      </c>
      <c r="U1529" t="n">
        <v>3644</v>
      </c>
      <c r="V1529" t="n">
        <v>3657</v>
      </c>
      <c r="W1529" t="n">
        <v/>
      </c>
      <c r="X1529" t="n">
        <v/>
      </c>
      <c r="Y1529" t="n">
        <v/>
      </c>
      <c r="Z1529" t="n">
        <v/>
      </c>
      <c r="AA1529">
        <f>SUMIFS($S$2:S1529,$A$2:A1529,A1529,$N$2:N1529,"Explore*")</f>
        <v/>
      </c>
      <c r="AB1529">
        <f>IF(AND(LEFT(N1529,7)="Explore",(AA1529-IF(LEFT(N1529,7)="Explore",S1529,0))&lt;10),"SI","NO")</f>
        <v/>
      </c>
    </row>
    <row r="1530">
      <c r="A1530" t="inlineStr">
        <is>
          <t>c52m1_training</t>
        </is>
      </c>
      <c r="B1530" t="inlineStr">
        <is>
          <t>2026-02-24 11:43:33.958</t>
        </is>
      </c>
      <c r="C1530" t="n">
        <v/>
      </c>
      <c r="D1530" t="inlineStr">
        <is>
          <t>Media file</t>
        </is>
      </c>
      <c r="E1530" t="inlineStr">
        <is>
          <t>player #1:WT\training\c52m1.mp4</t>
        </is>
      </c>
      <c r="F1530" t="n">
        <v>-9.067</v>
      </c>
      <c r="G1530" t="n">
        <v>595.299</v>
      </c>
      <c r="H1530" t="n">
        <v>645.799</v>
      </c>
      <c r="I1530" t="n">
        <v>30</v>
      </c>
      <c r="J1530" t="inlineStr">
        <is>
          <t xml:space="preserve"> WT</t>
        </is>
      </c>
      <c r="K1530" t="inlineStr">
        <is>
          <t>Male</t>
        </is>
      </c>
      <c r="L1530" t="inlineStr">
        <is>
          <t>No focal subject</t>
        </is>
      </c>
      <c r="M1530" t="n">
        <v>33.329</v>
      </c>
      <c r="N1530" t="inlineStr">
        <is>
          <t>Explore_F</t>
        </is>
      </c>
      <c r="O1530" t="inlineStr">
        <is>
          <t>Familiar</t>
        </is>
      </c>
      <c r="P1530" t="inlineStr">
        <is>
          <t>STATE</t>
        </is>
      </c>
      <c r="Q1530" t="n">
        <v>138.333</v>
      </c>
      <c r="R1530" t="n">
        <v>139.066</v>
      </c>
      <c r="S1530" t="n">
        <v>0.733</v>
      </c>
      <c r="T1530" t="inlineStr">
        <is>
          <t>WT\training\c52m1.mp4</t>
        </is>
      </c>
      <c r="U1530" t="n">
        <v>4150</v>
      </c>
      <c r="V1530" t="n">
        <v>4172</v>
      </c>
      <c r="W1530" t="n">
        <v/>
      </c>
      <c r="X1530" t="n">
        <v/>
      </c>
      <c r="Y1530" t="n">
        <v/>
      </c>
      <c r="Z1530" t="n">
        <v/>
      </c>
      <c r="AA1530">
        <f>SUMIFS($S$2:S1530,$A$2:A1530,A1530,$N$2:N1530,"Explore*")</f>
        <v/>
      </c>
      <c r="AB1530">
        <f>IF(AND(LEFT(N1530,7)="Explore",(AA1530-IF(LEFT(N1530,7)="Explore",S1530,0))&lt;10),"SI","NO")</f>
        <v/>
      </c>
    </row>
    <row r="1531">
      <c r="A1531" t="inlineStr">
        <is>
          <t>c52m1_training</t>
        </is>
      </c>
      <c r="B1531" t="inlineStr">
        <is>
          <t>2026-02-24 11:43:33.958</t>
        </is>
      </c>
      <c r="C1531" t="n">
        <v/>
      </c>
      <c r="D1531" t="inlineStr">
        <is>
          <t>Media file</t>
        </is>
      </c>
      <c r="E1531" t="inlineStr">
        <is>
          <t>player #1:WT\training\c52m1.mp4</t>
        </is>
      </c>
      <c r="F1531" t="n">
        <v>-9.067</v>
      </c>
      <c r="G1531" t="n">
        <v>595.299</v>
      </c>
      <c r="H1531" t="n">
        <v>645.799</v>
      </c>
      <c r="I1531" t="n">
        <v>30</v>
      </c>
      <c r="J1531" t="inlineStr">
        <is>
          <t xml:space="preserve"> WT</t>
        </is>
      </c>
      <c r="K1531" t="inlineStr">
        <is>
          <t>Male</t>
        </is>
      </c>
      <c r="L1531" t="inlineStr">
        <is>
          <t>No focal subject</t>
        </is>
      </c>
      <c r="M1531" t="n">
        <v>33.329</v>
      </c>
      <c r="N1531" t="inlineStr">
        <is>
          <t>Explore_F2</t>
        </is>
      </c>
      <c r="O1531" t="inlineStr">
        <is>
          <t>Second familiar</t>
        </is>
      </c>
      <c r="P1531" t="inlineStr">
        <is>
          <t>STATE</t>
        </is>
      </c>
      <c r="Q1531" t="n">
        <v>155.433</v>
      </c>
      <c r="R1531" t="n">
        <v>155.999</v>
      </c>
      <c r="S1531" t="n">
        <v>0.5659999999999999</v>
      </c>
      <c r="T1531" t="inlineStr">
        <is>
          <t>WT\training\c52m1.mp4</t>
        </is>
      </c>
      <c r="U1531" t="n">
        <v>4662</v>
      </c>
      <c r="V1531" t="n">
        <v>4679</v>
      </c>
      <c r="W1531" t="n">
        <v/>
      </c>
      <c r="X1531" t="n">
        <v/>
      </c>
      <c r="Y1531" t="n">
        <v/>
      </c>
      <c r="Z1531" t="n">
        <v/>
      </c>
      <c r="AA1531">
        <f>SUMIFS($S$2:S1531,$A$2:A1531,A1531,$N$2:N1531,"Explore*")</f>
        <v/>
      </c>
      <c r="AB1531">
        <f>IF(AND(LEFT(N1531,7)="Explore",(AA1531-IF(LEFT(N1531,7)="Explore",S1531,0))&lt;10),"SI","NO")</f>
        <v/>
      </c>
    </row>
    <row r="1532">
      <c r="A1532" t="inlineStr">
        <is>
          <t>c52m1_training</t>
        </is>
      </c>
      <c r="B1532" t="inlineStr">
        <is>
          <t>2026-02-24 11:43:33.958</t>
        </is>
      </c>
      <c r="C1532" t="n">
        <v/>
      </c>
      <c r="D1532" t="inlineStr">
        <is>
          <t>Media file</t>
        </is>
      </c>
      <c r="E1532" t="inlineStr">
        <is>
          <t>player #1:WT\training\c52m1.mp4</t>
        </is>
      </c>
      <c r="F1532" t="n">
        <v>-9.067</v>
      </c>
      <c r="G1532" t="n">
        <v>595.299</v>
      </c>
      <c r="H1532" t="n">
        <v>645.799</v>
      </c>
      <c r="I1532" t="n">
        <v>30</v>
      </c>
      <c r="J1532" t="inlineStr">
        <is>
          <t xml:space="preserve"> WT</t>
        </is>
      </c>
      <c r="K1532" t="inlineStr">
        <is>
          <t>Male</t>
        </is>
      </c>
      <c r="L1532" t="inlineStr">
        <is>
          <t>No focal subject</t>
        </is>
      </c>
      <c r="M1532" t="n">
        <v>33.329</v>
      </c>
      <c r="N1532" t="inlineStr">
        <is>
          <t>Explore_F</t>
        </is>
      </c>
      <c r="O1532" t="inlineStr">
        <is>
          <t>Familiar</t>
        </is>
      </c>
      <c r="P1532" t="inlineStr">
        <is>
          <t>STATE</t>
        </is>
      </c>
      <c r="Q1532" t="n">
        <v>218.166</v>
      </c>
      <c r="R1532" t="n">
        <v>218.599</v>
      </c>
      <c r="S1532" t="n">
        <v>0.433</v>
      </c>
      <c r="T1532" t="inlineStr">
        <is>
          <t>WT\training\c52m1.mp4</t>
        </is>
      </c>
      <c r="U1532" t="n">
        <v>6544</v>
      </c>
      <c r="V1532" t="n">
        <v>6558</v>
      </c>
      <c r="W1532" t="n">
        <v/>
      </c>
      <c r="X1532" t="n">
        <v/>
      </c>
      <c r="Y1532" t="n">
        <v/>
      </c>
      <c r="Z1532" t="n">
        <v/>
      </c>
      <c r="AA1532">
        <f>SUMIFS($S$2:S1532,$A$2:A1532,A1532,$N$2:N1532,"Explore*")</f>
        <v/>
      </c>
      <c r="AB1532">
        <f>IF(AND(LEFT(N1532,7)="Explore",(AA1532-IF(LEFT(N1532,7)="Explore",S1532,0))&lt;10),"SI","NO")</f>
        <v/>
      </c>
    </row>
    <row r="1533">
      <c r="A1533" t="inlineStr">
        <is>
          <t>c52m1_training</t>
        </is>
      </c>
      <c r="B1533" t="inlineStr">
        <is>
          <t>2026-02-24 11:43:33.958</t>
        </is>
      </c>
      <c r="C1533" t="n">
        <v/>
      </c>
      <c r="D1533" t="inlineStr">
        <is>
          <t>Media file</t>
        </is>
      </c>
      <c r="E1533" t="inlineStr">
        <is>
          <t>player #1:WT\training\c52m1.mp4</t>
        </is>
      </c>
      <c r="F1533" t="n">
        <v>-9.067</v>
      </c>
      <c r="G1533" t="n">
        <v>595.299</v>
      </c>
      <c r="H1533" t="n">
        <v>645.799</v>
      </c>
      <c r="I1533" t="n">
        <v>30</v>
      </c>
      <c r="J1533" t="inlineStr">
        <is>
          <t xml:space="preserve"> WT</t>
        </is>
      </c>
      <c r="K1533" t="inlineStr">
        <is>
          <t>Male</t>
        </is>
      </c>
      <c r="L1533" t="inlineStr">
        <is>
          <t>No focal subject</t>
        </is>
      </c>
      <c r="M1533" t="n">
        <v>33.329</v>
      </c>
      <c r="N1533" t="inlineStr">
        <is>
          <t>Explore_F</t>
        </is>
      </c>
      <c r="O1533" t="inlineStr">
        <is>
          <t>Familiar</t>
        </is>
      </c>
      <c r="P1533" t="inlineStr">
        <is>
          <t>STATE</t>
        </is>
      </c>
      <c r="Q1533" t="n">
        <v>220.633</v>
      </c>
      <c r="R1533" t="n">
        <v>220.999</v>
      </c>
      <c r="S1533" t="n">
        <v>0.366</v>
      </c>
      <c r="T1533" t="inlineStr">
        <is>
          <t>WT\training\c52m1.mp4</t>
        </is>
      </c>
      <c r="U1533" t="n">
        <v>6618</v>
      </c>
      <c r="V1533" t="n">
        <v>6629</v>
      </c>
      <c r="W1533" t="n">
        <v/>
      </c>
      <c r="X1533" t="n">
        <v/>
      </c>
      <c r="Y1533" t="n">
        <v/>
      </c>
      <c r="Z1533" t="n">
        <v/>
      </c>
      <c r="AA1533">
        <f>SUMIFS($S$2:S1533,$A$2:A1533,A1533,$N$2:N1533,"Explore*")</f>
        <v/>
      </c>
      <c r="AB1533">
        <f>IF(AND(LEFT(N1533,7)="Explore",(AA1533-IF(LEFT(N1533,7)="Explore",S1533,0))&lt;10),"SI","NO")</f>
        <v/>
      </c>
    </row>
    <row r="1534">
      <c r="A1534" t="inlineStr">
        <is>
          <t>c52m1_training</t>
        </is>
      </c>
      <c r="B1534" t="inlineStr">
        <is>
          <t>2026-02-24 11:43:33.958</t>
        </is>
      </c>
      <c r="C1534" t="n">
        <v/>
      </c>
      <c r="D1534" t="inlineStr">
        <is>
          <t>Media file</t>
        </is>
      </c>
      <c r="E1534" t="inlineStr">
        <is>
          <t>player #1:WT\training\c52m1.mp4</t>
        </is>
      </c>
      <c r="F1534" t="n">
        <v>-9.067</v>
      </c>
      <c r="G1534" t="n">
        <v>595.299</v>
      </c>
      <c r="H1534" t="n">
        <v>645.799</v>
      </c>
      <c r="I1534" t="n">
        <v>30</v>
      </c>
      <c r="J1534" t="inlineStr">
        <is>
          <t xml:space="preserve"> WT</t>
        </is>
      </c>
      <c r="K1534" t="inlineStr">
        <is>
          <t>Male</t>
        </is>
      </c>
      <c r="L1534" t="inlineStr">
        <is>
          <t>No focal subject</t>
        </is>
      </c>
      <c r="M1534" t="n">
        <v>33.329</v>
      </c>
      <c r="N1534" t="inlineStr">
        <is>
          <t>Explore_F</t>
        </is>
      </c>
      <c r="O1534" t="inlineStr">
        <is>
          <t>Familiar</t>
        </is>
      </c>
      <c r="P1534" t="inlineStr">
        <is>
          <t>STATE</t>
        </is>
      </c>
      <c r="Q1534" t="n">
        <v>248.966</v>
      </c>
      <c r="R1534" t="n">
        <v>249.266</v>
      </c>
      <c r="S1534" t="n">
        <v>0.3</v>
      </c>
      <c r="T1534" t="inlineStr">
        <is>
          <t>WT\training\c52m1.mp4</t>
        </is>
      </c>
      <c r="U1534" t="n">
        <v>7468</v>
      </c>
      <c r="V1534" t="n">
        <v>7477</v>
      </c>
      <c r="W1534" t="n">
        <v/>
      </c>
      <c r="X1534" t="n">
        <v/>
      </c>
      <c r="Y1534" t="n">
        <v/>
      </c>
      <c r="Z1534" t="n">
        <v/>
      </c>
      <c r="AA1534">
        <f>SUMIFS($S$2:S1534,$A$2:A1534,A1534,$N$2:N1534,"Explore*")</f>
        <v/>
      </c>
      <c r="AB1534">
        <f>IF(AND(LEFT(N1534,7)="Explore",(AA1534-IF(LEFT(N1534,7)="Explore",S1534,0))&lt;10),"SI","NO")</f>
        <v/>
      </c>
    </row>
    <row r="1535">
      <c r="A1535" t="inlineStr">
        <is>
          <t>c52m1_training</t>
        </is>
      </c>
      <c r="B1535" t="inlineStr">
        <is>
          <t>2026-02-24 11:43:33.958</t>
        </is>
      </c>
      <c r="C1535" t="n">
        <v/>
      </c>
      <c r="D1535" t="inlineStr">
        <is>
          <t>Media file</t>
        </is>
      </c>
      <c r="E1535" t="inlineStr">
        <is>
          <t>player #1:WT\training\c52m1.mp4</t>
        </is>
      </c>
      <c r="F1535" t="n">
        <v>-9.067</v>
      </c>
      <c r="G1535" t="n">
        <v>595.299</v>
      </c>
      <c r="H1535" t="n">
        <v>645.799</v>
      </c>
      <c r="I1535" t="n">
        <v>30</v>
      </c>
      <c r="J1535" t="inlineStr">
        <is>
          <t xml:space="preserve"> WT</t>
        </is>
      </c>
      <c r="K1535" t="inlineStr">
        <is>
          <t>Male</t>
        </is>
      </c>
      <c r="L1535" t="inlineStr">
        <is>
          <t>No focal subject</t>
        </is>
      </c>
      <c r="M1535" t="n">
        <v>33.329</v>
      </c>
      <c r="N1535" t="inlineStr">
        <is>
          <t>Explore_F</t>
        </is>
      </c>
      <c r="O1535" t="inlineStr">
        <is>
          <t>Familiar</t>
        </is>
      </c>
      <c r="P1535" t="inlineStr">
        <is>
          <t>STATE</t>
        </is>
      </c>
      <c r="Q1535" t="n">
        <v>254.566</v>
      </c>
      <c r="R1535" t="n">
        <v>255.099</v>
      </c>
      <c r="S1535" t="n">
        <v>0.533</v>
      </c>
      <c r="T1535" t="inlineStr">
        <is>
          <t>WT\training\c52m1.mp4</t>
        </is>
      </c>
      <c r="U1535" t="n">
        <v>7636</v>
      </c>
      <c r="V1535" t="n">
        <v>7653</v>
      </c>
      <c r="W1535" t="n">
        <v/>
      </c>
      <c r="X1535" t="n">
        <v/>
      </c>
      <c r="Y1535" t="n">
        <v/>
      </c>
      <c r="Z1535" t="n">
        <v/>
      </c>
      <c r="AA1535">
        <f>SUMIFS($S$2:S1535,$A$2:A1535,A1535,$N$2:N1535,"Explore*")</f>
        <v/>
      </c>
      <c r="AB1535">
        <f>IF(AND(LEFT(N1535,7)="Explore",(AA1535-IF(LEFT(N1535,7)="Explore",S1535,0))&lt;10),"SI","NO")</f>
        <v/>
      </c>
    </row>
    <row r="1536">
      <c r="A1536" t="inlineStr">
        <is>
          <t>c52m1_training</t>
        </is>
      </c>
      <c r="B1536" t="inlineStr">
        <is>
          <t>2026-02-24 11:43:33.958</t>
        </is>
      </c>
      <c r="C1536" t="n">
        <v/>
      </c>
      <c r="D1536" t="inlineStr">
        <is>
          <t>Media file</t>
        </is>
      </c>
      <c r="E1536" t="inlineStr">
        <is>
          <t>player #1:WT\training\c52m1.mp4</t>
        </is>
      </c>
      <c r="F1536" t="n">
        <v>-9.067</v>
      </c>
      <c r="G1536" t="n">
        <v>595.299</v>
      </c>
      <c r="H1536" t="n">
        <v>645.799</v>
      </c>
      <c r="I1536" t="n">
        <v>30</v>
      </c>
      <c r="J1536" t="inlineStr">
        <is>
          <t xml:space="preserve"> WT</t>
        </is>
      </c>
      <c r="K1536" t="inlineStr">
        <is>
          <t>Male</t>
        </is>
      </c>
      <c r="L1536" t="inlineStr">
        <is>
          <t>No focal subject</t>
        </is>
      </c>
      <c r="M1536" t="n">
        <v>33.329</v>
      </c>
      <c r="N1536" t="inlineStr">
        <is>
          <t>Explore_F</t>
        </is>
      </c>
      <c r="O1536" t="inlineStr">
        <is>
          <t>Familiar</t>
        </is>
      </c>
      <c r="P1536" t="inlineStr">
        <is>
          <t>STATE</t>
        </is>
      </c>
      <c r="Q1536" t="n">
        <v>268.066</v>
      </c>
      <c r="R1536" t="n">
        <v>268.499</v>
      </c>
      <c r="S1536" t="n">
        <v>0.433</v>
      </c>
      <c r="T1536" t="inlineStr">
        <is>
          <t>WT\training\c52m1.mp4</t>
        </is>
      </c>
      <c r="U1536" t="n">
        <v>8041</v>
      </c>
      <c r="V1536" t="n">
        <v>8054</v>
      </c>
      <c r="W1536" t="n">
        <v/>
      </c>
      <c r="X1536" t="n">
        <v/>
      </c>
      <c r="Y1536" t="n">
        <v/>
      </c>
      <c r="Z1536" t="n">
        <v/>
      </c>
      <c r="AA1536">
        <f>SUMIFS($S$2:S1536,$A$2:A1536,A1536,$N$2:N1536,"Explore*")</f>
        <v/>
      </c>
      <c r="AB1536">
        <f>IF(AND(LEFT(N1536,7)="Explore",(AA1536-IF(LEFT(N1536,7)="Explore",S1536,0))&lt;10),"SI","NO")</f>
        <v/>
      </c>
    </row>
    <row r="1537">
      <c r="A1537" t="inlineStr">
        <is>
          <t>c52m1_training</t>
        </is>
      </c>
      <c r="B1537" t="inlineStr">
        <is>
          <t>2026-02-24 11:43:33.958</t>
        </is>
      </c>
      <c r="C1537" t="n">
        <v/>
      </c>
      <c r="D1537" t="inlineStr">
        <is>
          <t>Media file</t>
        </is>
      </c>
      <c r="E1537" t="inlineStr">
        <is>
          <t>player #1:WT\training\c52m1.mp4</t>
        </is>
      </c>
      <c r="F1537" t="n">
        <v>-9.067</v>
      </c>
      <c r="G1537" t="n">
        <v>595.299</v>
      </c>
      <c r="H1537" t="n">
        <v>645.799</v>
      </c>
      <c r="I1537" t="n">
        <v>30</v>
      </c>
      <c r="J1537" t="inlineStr">
        <is>
          <t xml:space="preserve"> WT</t>
        </is>
      </c>
      <c r="K1537" t="inlineStr">
        <is>
          <t>Male</t>
        </is>
      </c>
      <c r="L1537" t="inlineStr">
        <is>
          <t>No focal subject</t>
        </is>
      </c>
      <c r="M1537" t="n">
        <v>33.329</v>
      </c>
      <c r="N1537" t="inlineStr">
        <is>
          <t>Explore_F2</t>
        </is>
      </c>
      <c r="O1537" t="inlineStr">
        <is>
          <t>Second familiar</t>
        </is>
      </c>
      <c r="P1537" t="inlineStr">
        <is>
          <t>STATE</t>
        </is>
      </c>
      <c r="Q1537" t="n">
        <v>274.799</v>
      </c>
      <c r="R1537" t="n">
        <v>275.399</v>
      </c>
      <c r="S1537" t="n">
        <v>0.6</v>
      </c>
      <c r="T1537" t="inlineStr">
        <is>
          <t>WT\training\c52m1.mp4</t>
        </is>
      </c>
      <c r="U1537" t="n">
        <v>8243</v>
      </c>
      <c r="V1537" t="n">
        <v>8261</v>
      </c>
      <c r="W1537" t="n">
        <v/>
      </c>
      <c r="X1537" t="n">
        <v/>
      </c>
      <c r="Y1537" t="n">
        <v/>
      </c>
      <c r="Z1537" t="n">
        <v/>
      </c>
      <c r="AA1537">
        <f>SUMIFS($S$2:S1537,$A$2:A1537,A1537,$N$2:N1537,"Explore*")</f>
        <v/>
      </c>
      <c r="AB1537">
        <f>IF(AND(LEFT(N1537,7)="Explore",(AA1537-IF(LEFT(N1537,7)="Explore",S1537,0))&lt;10),"SI","NO")</f>
        <v/>
      </c>
    </row>
    <row r="1538">
      <c r="A1538" t="inlineStr">
        <is>
          <t>c52m1_training</t>
        </is>
      </c>
      <c r="B1538" t="inlineStr">
        <is>
          <t>2026-02-24 11:43:33.958</t>
        </is>
      </c>
      <c r="C1538" t="n">
        <v/>
      </c>
      <c r="D1538" t="inlineStr">
        <is>
          <t>Media file</t>
        </is>
      </c>
      <c r="E1538" t="inlineStr">
        <is>
          <t>player #1:WT\training\c52m1.mp4</t>
        </is>
      </c>
      <c r="F1538" t="n">
        <v>-9.067</v>
      </c>
      <c r="G1538" t="n">
        <v>595.299</v>
      </c>
      <c r="H1538" t="n">
        <v>645.799</v>
      </c>
      <c r="I1538" t="n">
        <v>30</v>
      </c>
      <c r="J1538" t="inlineStr">
        <is>
          <t xml:space="preserve"> WT</t>
        </is>
      </c>
      <c r="K1538" t="inlineStr">
        <is>
          <t>Male</t>
        </is>
      </c>
      <c r="L1538" t="inlineStr">
        <is>
          <t>No focal subject</t>
        </is>
      </c>
      <c r="M1538" t="n">
        <v>33.329</v>
      </c>
      <c r="N1538" t="inlineStr">
        <is>
          <t>Explore_F</t>
        </is>
      </c>
      <c r="O1538" t="inlineStr">
        <is>
          <t>Familiar</t>
        </is>
      </c>
      <c r="P1538" t="inlineStr">
        <is>
          <t>STATE</t>
        </is>
      </c>
      <c r="Q1538" t="n">
        <v>278.166</v>
      </c>
      <c r="R1538" t="n">
        <v>278.766</v>
      </c>
      <c r="S1538" t="n">
        <v>0.6</v>
      </c>
      <c r="T1538" t="inlineStr">
        <is>
          <t>WT\training\c52m1.mp4</t>
        </is>
      </c>
      <c r="U1538" t="n">
        <v>8344</v>
      </c>
      <c r="V1538" t="n">
        <v>8362</v>
      </c>
      <c r="W1538" t="n">
        <v/>
      </c>
      <c r="X1538" t="n">
        <v/>
      </c>
      <c r="Y1538" t="n">
        <v/>
      </c>
      <c r="Z1538" t="n">
        <v/>
      </c>
      <c r="AA1538">
        <f>SUMIFS($S$2:S1538,$A$2:A1538,A1538,$N$2:N1538,"Explore*")</f>
        <v/>
      </c>
      <c r="AB1538">
        <f>IF(AND(LEFT(N1538,7)="Explore",(AA1538-IF(LEFT(N1538,7)="Explore",S1538,0))&lt;10),"SI","NO")</f>
        <v/>
      </c>
    </row>
    <row r="1539">
      <c r="A1539" t="inlineStr">
        <is>
          <t>c52m1_training</t>
        </is>
      </c>
      <c r="B1539" t="inlineStr">
        <is>
          <t>2026-02-24 11:43:33.958</t>
        </is>
      </c>
      <c r="C1539" t="n">
        <v/>
      </c>
      <c r="D1539" t="inlineStr">
        <is>
          <t>Media file</t>
        </is>
      </c>
      <c r="E1539" t="inlineStr">
        <is>
          <t>player #1:WT\training\c52m1.mp4</t>
        </is>
      </c>
      <c r="F1539" t="n">
        <v>-9.067</v>
      </c>
      <c r="G1539" t="n">
        <v>595.299</v>
      </c>
      <c r="H1539" t="n">
        <v>645.799</v>
      </c>
      <c r="I1539" t="n">
        <v>30</v>
      </c>
      <c r="J1539" t="inlineStr">
        <is>
          <t xml:space="preserve"> WT</t>
        </is>
      </c>
      <c r="K1539" t="inlineStr">
        <is>
          <t>Male</t>
        </is>
      </c>
      <c r="L1539" t="inlineStr">
        <is>
          <t>No focal subject</t>
        </is>
      </c>
      <c r="M1539" t="n">
        <v>33.329</v>
      </c>
      <c r="N1539" t="inlineStr">
        <is>
          <t>Explore_F2</t>
        </is>
      </c>
      <c r="O1539" t="inlineStr">
        <is>
          <t>Second familiar</t>
        </is>
      </c>
      <c r="P1539" t="inlineStr">
        <is>
          <t>STATE</t>
        </is>
      </c>
      <c r="Q1539" t="n">
        <v>279.433</v>
      </c>
      <c r="R1539" t="n">
        <v>280.533</v>
      </c>
      <c r="S1539" t="n">
        <v>1.1</v>
      </c>
      <c r="T1539" t="inlineStr">
        <is>
          <t>WT\training\c52m1.mp4</t>
        </is>
      </c>
      <c r="U1539" t="n">
        <v>8382</v>
      </c>
      <c r="V1539" t="n">
        <v>8415</v>
      </c>
      <c r="W1539" t="n">
        <v/>
      </c>
      <c r="X1539" t="n">
        <v/>
      </c>
      <c r="Y1539" t="n">
        <v/>
      </c>
      <c r="Z1539" t="n">
        <v/>
      </c>
      <c r="AA1539">
        <f>SUMIFS($S$2:S1539,$A$2:A1539,A1539,$N$2:N1539,"Explore*")</f>
        <v/>
      </c>
      <c r="AB1539">
        <f>IF(AND(LEFT(N1539,7)="Explore",(AA1539-IF(LEFT(N1539,7)="Explore",S1539,0))&lt;10),"SI","NO")</f>
        <v/>
      </c>
    </row>
    <row r="1540">
      <c r="A1540" t="inlineStr">
        <is>
          <t>c52m1_training</t>
        </is>
      </c>
      <c r="B1540" t="inlineStr">
        <is>
          <t>2026-02-24 11:43:33.958</t>
        </is>
      </c>
      <c r="C1540" t="n">
        <v/>
      </c>
      <c r="D1540" t="inlineStr">
        <is>
          <t>Media file</t>
        </is>
      </c>
      <c r="E1540" t="inlineStr">
        <is>
          <t>player #1:WT\training\c52m1.mp4</t>
        </is>
      </c>
      <c r="F1540" t="n">
        <v>-9.067</v>
      </c>
      <c r="G1540" t="n">
        <v>595.299</v>
      </c>
      <c r="H1540" t="n">
        <v>645.799</v>
      </c>
      <c r="I1540" t="n">
        <v>30</v>
      </c>
      <c r="J1540" t="inlineStr">
        <is>
          <t xml:space="preserve"> WT</t>
        </is>
      </c>
      <c r="K1540" t="inlineStr">
        <is>
          <t>Male</t>
        </is>
      </c>
      <c r="L1540" t="inlineStr">
        <is>
          <t>No focal subject</t>
        </is>
      </c>
      <c r="M1540" t="n">
        <v>33.329</v>
      </c>
      <c r="N1540" t="inlineStr">
        <is>
          <t>Explore_F</t>
        </is>
      </c>
      <c r="O1540" t="inlineStr">
        <is>
          <t>Familiar</t>
        </is>
      </c>
      <c r="P1540" t="inlineStr">
        <is>
          <t>STATE</t>
        </is>
      </c>
      <c r="Q1540" t="n">
        <v>300.099</v>
      </c>
      <c r="R1540" t="n">
        <v>300.633</v>
      </c>
      <c r="S1540" t="n">
        <v>0.534</v>
      </c>
      <c r="T1540" t="inlineStr">
        <is>
          <t>WT\training\c52m1.mp4</t>
        </is>
      </c>
      <c r="U1540" t="n">
        <v>9003</v>
      </c>
      <c r="V1540" t="n">
        <v>9018</v>
      </c>
      <c r="W1540" t="n">
        <v/>
      </c>
      <c r="X1540" t="n">
        <v/>
      </c>
      <c r="Y1540" t="n">
        <v/>
      </c>
      <c r="Z1540" t="n">
        <v/>
      </c>
      <c r="AA1540">
        <f>SUMIFS($S$2:S1540,$A$2:A1540,A1540,$N$2:N1540,"Explore*")</f>
        <v/>
      </c>
      <c r="AB1540">
        <f>IF(AND(LEFT(N1540,7)="Explore",(AA1540-IF(LEFT(N1540,7)="Explore",S1540,0))&lt;10),"SI","NO")</f>
        <v/>
      </c>
    </row>
    <row r="1541">
      <c r="A1541" t="inlineStr">
        <is>
          <t>c52m1_training</t>
        </is>
      </c>
      <c r="B1541" t="inlineStr">
        <is>
          <t>2026-02-24 11:43:33.958</t>
        </is>
      </c>
      <c r="C1541" t="n">
        <v/>
      </c>
      <c r="D1541" t="inlineStr">
        <is>
          <t>Media file</t>
        </is>
      </c>
      <c r="E1541" t="inlineStr">
        <is>
          <t>player #1:WT\training\c52m1.mp4</t>
        </is>
      </c>
      <c r="F1541" t="n">
        <v>-9.067</v>
      </c>
      <c r="G1541" t="n">
        <v>595.299</v>
      </c>
      <c r="H1541" t="n">
        <v>645.799</v>
      </c>
      <c r="I1541" t="n">
        <v>30</v>
      </c>
      <c r="J1541" t="inlineStr">
        <is>
          <t xml:space="preserve"> WT</t>
        </is>
      </c>
      <c r="K1541" t="inlineStr">
        <is>
          <t>Male</t>
        </is>
      </c>
      <c r="L1541" t="inlineStr">
        <is>
          <t>No focal subject</t>
        </is>
      </c>
      <c r="M1541" t="n">
        <v>33.329</v>
      </c>
      <c r="N1541" t="inlineStr">
        <is>
          <t>Explore_F2</t>
        </is>
      </c>
      <c r="O1541" t="inlineStr">
        <is>
          <t>Second familiar</t>
        </is>
      </c>
      <c r="P1541" t="inlineStr">
        <is>
          <t>STATE</t>
        </is>
      </c>
      <c r="Q1541" t="n">
        <v>302.166</v>
      </c>
      <c r="R1541" t="n">
        <v>302.899</v>
      </c>
      <c r="S1541" t="n">
        <v>0.733</v>
      </c>
      <c r="T1541" t="inlineStr">
        <is>
          <t>WT\training\c52m1.mp4</t>
        </is>
      </c>
      <c r="U1541" t="n">
        <v>9064</v>
      </c>
      <c r="V1541" t="n">
        <v>9086</v>
      </c>
      <c r="W1541" t="n">
        <v/>
      </c>
      <c r="X1541" t="n">
        <v/>
      </c>
      <c r="Y1541" t="n">
        <v/>
      </c>
      <c r="Z1541" t="n">
        <v/>
      </c>
      <c r="AA1541">
        <f>SUMIFS($S$2:S1541,$A$2:A1541,A1541,$N$2:N1541,"Explore*")</f>
        <v/>
      </c>
      <c r="AB1541">
        <f>IF(AND(LEFT(N1541,7)="Explore",(AA1541-IF(LEFT(N1541,7)="Explore",S1541,0))&lt;10),"SI","NO")</f>
        <v/>
      </c>
    </row>
    <row r="1542">
      <c r="A1542" t="inlineStr">
        <is>
          <t>c52m1_training</t>
        </is>
      </c>
      <c r="B1542" t="inlineStr">
        <is>
          <t>2026-02-24 11:43:33.958</t>
        </is>
      </c>
      <c r="C1542" t="n">
        <v/>
      </c>
      <c r="D1542" t="inlineStr">
        <is>
          <t>Media file</t>
        </is>
      </c>
      <c r="E1542" t="inlineStr">
        <is>
          <t>player #1:WT\training\c52m1.mp4</t>
        </is>
      </c>
      <c r="F1542" t="n">
        <v>-9.067</v>
      </c>
      <c r="G1542" t="n">
        <v>595.299</v>
      </c>
      <c r="H1542" t="n">
        <v>645.799</v>
      </c>
      <c r="I1542" t="n">
        <v>30</v>
      </c>
      <c r="J1542" t="inlineStr">
        <is>
          <t xml:space="preserve"> WT</t>
        </is>
      </c>
      <c r="K1542" t="inlineStr">
        <is>
          <t>Male</t>
        </is>
      </c>
      <c r="L1542" t="inlineStr">
        <is>
          <t>No focal subject</t>
        </is>
      </c>
      <c r="M1542" t="n">
        <v>33.329</v>
      </c>
      <c r="N1542" t="inlineStr">
        <is>
          <t>Explore_F2</t>
        </is>
      </c>
      <c r="O1542" t="inlineStr">
        <is>
          <t>Second familiar</t>
        </is>
      </c>
      <c r="P1542" t="inlineStr">
        <is>
          <t>STATE</t>
        </is>
      </c>
      <c r="Q1542" t="n">
        <v>310.533</v>
      </c>
      <c r="R1542" t="n">
        <v>311.499</v>
      </c>
      <c r="S1542" t="n">
        <v>0.966</v>
      </c>
      <c r="T1542" t="inlineStr">
        <is>
          <t>WT\training\c52m1.mp4</t>
        </is>
      </c>
      <c r="U1542" t="n">
        <v>9315</v>
      </c>
      <c r="V1542" t="n">
        <v>9344</v>
      </c>
      <c r="W1542" t="n">
        <v/>
      </c>
      <c r="X1542" t="n">
        <v/>
      </c>
      <c r="Y1542" t="n">
        <v/>
      </c>
      <c r="Z1542" t="n">
        <v/>
      </c>
      <c r="AA1542">
        <f>SUMIFS($S$2:S1542,$A$2:A1542,A1542,$N$2:N1542,"Explore*")</f>
        <v/>
      </c>
      <c r="AB1542">
        <f>IF(AND(LEFT(N1542,7)="Explore",(AA1542-IF(LEFT(N1542,7)="Explore",S1542,0))&lt;10),"SI","NO")</f>
        <v/>
      </c>
    </row>
    <row r="1543">
      <c r="A1543" t="inlineStr">
        <is>
          <t>c52m1_training</t>
        </is>
      </c>
      <c r="B1543" t="inlineStr">
        <is>
          <t>2026-02-24 11:43:33.958</t>
        </is>
      </c>
      <c r="C1543" t="n">
        <v/>
      </c>
      <c r="D1543" t="inlineStr">
        <is>
          <t>Media file</t>
        </is>
      </c>
      <c r="E1543" t="inlineStr">
        <is>
          <t>player #1:WT\training\c52m1.mp4</t>
        </is>
      </c>
      <c r="F1543" t="n">
        <v>-9.067</v>
      </c>
      <c r="G1543" t="n">
        <v>595.299</v>
      </c>
      <c r="H1543" t="n">
        <v>645.799</v>
      </c>
      <c r="I1543" t="n">
        <v>30</v>
      </c>
      <c r="J1543" t="inlineStr">
        <is>
          <t xml:space="preserve"> WT</t>
        </is>
      </c>
      <c r="K1543" t="inlineStr">
        <is>
          <t>Male</t>
        </is>
      </c>
      <c r="L1543" t="inlineStr">
        <is>
          <t>No focal subject</t>
        </is>
      </c>
      <c r="M1543" t="n">
        <v>33.329</v>
      </c>
      <c r="N1543" t="inlineStr">
        <is>
          <t>Explore_F</t>
        </is>
      </c>
      <c r="O1543" t="inlineStr">
        <is>
          <t>Familiar</t>
        </is>
      </c>
      <c r="P1543" t="inlineStr">
        <is>
          <t>STATE</t>
        </is>
      </c>
      <c r="Q1543" t="n">
        <v>328.233</v>
      </c>
      <c r="R1543" t="n">
        <v>329.066</v>
      </c>
      <c r="S1543" t="n">
        <v>0.833</v>
      </c>
      <c r="T1543" t="inlineStr">
        <is>
          <t>WT\training\c52m1.mp4</t>
        </is>
      </c>
      <c r="U1543" t="n">
        <v>9846</v>
      </c>
      <c r="V1543" t="n">
        <v>9871</v>
      </c>
      <c r="W1543" t="n">
        <v/>
      </c>
      <c r="X1543" t="n">
        <v/>
      </c>
      <c r="Y1543" t="n">
        <v/>
      </c>
      <c r="Z1543" t="n">
        <v/>
      </c>
      <c r="AA1543">
        <f>SUMIFS($S$2:S1543,$A$2:A1543,A1543,$N$2:N1543,"Explore*")</f>
        <v/>
      </c>
      <c r="AB1543">
        <f>IF(AND(LEFT(N1543,7)="Explore",(AA1543-IF(LEFT(N1543,7)="Explore",S1543,0))&lt;10),"SI","NO")</f>
        <v/>
      </c>
    </row>
    <row r="1544">
      <c r="A1544" t="inlineStr">
        <is>
          <t>c52m1_training</t>
        </is>
      </c>
      <c r="B1544" t="inlineStr">
        <is>
          <t>2026-02-24 11:43:33.958</t>
        </is>
      </c>
      <c r="C1544" t="n">
        <v/>
      </c>
      <c r="D1544" t="inlineStr">
        <is>
          <t>Media file</t>
        </is>
      </c>
      <c r="E1544" t="inlineStr">
        <is>
          <t>player #1:WT\training\c52m1.mp4</t>
        </is>
      </c>
      <c r="F1544" t="n">
        <v>-9.067</v>
      </c>
      <c r="G1544" t="n">
        <v>595.299</v>
      </c>
      <c r="H1544" t="n">
        <v>645.799</v>
      </c>
      <c r="I1544" t="n">
        <v>30</v>
      </c>
      <c r="J1544" t="inlineStr">
        <is>
          <t xml:space="preserve"> WT</t>
        </is>
      </c>
      <c r="K1544" t="inlineStr">
        <is>
          <t>Male</t>
        </is>
      </c>
      <c r="L1544" t="inlineStr">
        <is>
          <t>No focal subject</t>
        </is>
      </c>
      <c r="M1544" t="n">
        <v>33.329</v>
      </c>
      <c r="N1544" t="inlineStr">
        <is>
          <t>Explore_F2</t>
        </is>
      </c>
      <c r="O1544" t="inlineStr">
        <is>
          <t>Second familiar</t>
        </is>
      </c>
      <c r="P1544" t="inlineStr">
        <is>
          <t>STATE</t>
        </is>
      </c>
      <c r="Q1544" t="n">
        <v>337.666</v>
      </c>
      <c r="R1544" t="n">
        <v>338.066</v>
      </c>
      <c r="S1544" t="n">
        <v>0.4</v>
      </c>
      <c r="T1544" t="inlineStr">
        <is>
          <t>WT\training\c52m1.mp4</t>
        </is>
      </c>
      <c r="U1544" t="n">
        <v>10129</v>
      </c>
      <c r="V1544" t="n">
        <v>10141</v>
      </c>
      <c r="W1544" t="n">
        <v/>
      </c>
      <c r="X1544" t="n">
        <v/>
      </c>
      <c r="Y1544" t="n">
        <v/>
      </c>
      <c r="Z1544" t="n">
        <v/>
      </c>
      <c r="AA1544">
        <f>SUMIFS($S$2:S1544,$A$2:A1544,A1544,$N$2:N1544,"Explore*")</f>
        <v/>
      </c>
      <c r="AB1544">
        <f>IF(AND(LEFT(N1544,7)="Explore",(AA1544-IF(LEFT(N1544,7)="Explore",S1544,0))&lt;10),"SI","NO")</f>
        <v/>
      </c>
    </row>
    <row r="1545">
      <c r="A1545" t="inlineStr">
        <is>
          <t>c52m1_training</t>
        </is>
      </c>
      <c r="B1545" t="inlineStr">
        <is>
          <t>2026-02-24 11:43:33.958</t>
        </is>
      </c>
      <c r="C1545" t="n">
        <v/>
      </c>
      <c r="D1545" t="inlineStr">
        <is>
          <t>Media file</t>
        </is>
      </c>
      <c r="E1545" t="inlineStr">
        <is>
          <t>player #1:WT\training\c52m1.mp4</t>
        </is>
      </c>
      <c r="F1545" t="n">
        <v>-9.067</v>
      </c>
      <c r="G1545" t="n">
        <v>595.299</v>
      </c>
      <c r="H1545" t="n">
        <v>645.799</v>
      </c>
      <c r="I1545" t="n">
        <v>30</v>
      </c>
      <c r="J1545" t="inlineStr">
        <is>
          <t xml:space="preserve"> WT</t>
        </is>
      </c>
      <c r="K1545" t="inlineStr">
        <is>
          <t>Male</t>
        </is>
      </c>
      <c r="L1545" t="inlineStr">
        <is>
          <t>No focal subject</t>
        </is>
      </c>
      <c r="M1545" t="n">
        <v>33.329</v>
      </c>
      <c r="N1545" t="inlineStr">
        <is>
          <t>Explore_F2</t>
        </is>
      </c>
      <c r="O1545" t="inlineStr">
        <is>
          <t>Second familiar</t>
        </is>
      </c>
      <c r="P1545" t="inlineStr">
        <is>
          <t>STATE</t>
        </is>
      </c>
      <c r="Q1545" t="n">
        <v>355.799</v>
      </c>
      <c r="R1545" t="n">
        <v>356.866</v>
      </c>
      <c r="S1545" t="n">
        <v>1.067</v>
      </c>
      <c r="T1545" t="inlineStr">
        <is>
          <t>WT\training\c52m1.mp4</t>
        </is>
      </c>
      <c r="U1545" t="n">
        <v>10673</v>
      </c>
      <c r="V1545" t="n">
        <v>10705</v>
      </c>
      <c r="W1545" t="n">
        <v/>
      </c>
      <c r="X1545" t="n">
        <v/>
      </c>
      <c r="Y1545" t="n">
        <v/>
      </c>
      <c r="Z1545" t="n">
        <v/>
      </c>
      <c r="AA1545">
        <f>SUMIFS($S$2:S1545,$A$2:A1545,A1545,$N$2:N1545,"Explore*")</f>
        <v/>
      </c>
      <c r="AB1545">
        <f>IF(AND(LEFT(N1545,7)="Explore",(AA1545-IF(LEFT(N1545,7)="Explore",S1545,0))&lt;10),"SI","NO")</f>
        <v/>
      </c>
    </row>
    <row r="1546">
      <c r="A1546" t="inlineStr">
        <is>
          <t>c52m1_training</t>
        </is>
      </c>
      <c r="B1546" t="inlineStr">
        <is>
          <t>2026-02-24 11:43:33.958</t>
        </is>
      </c>
      <c r="C1546" t="n">
        <v/>
      </c>
      <c r="D1546" t="inlineStr">
        <is>
          <t>Media file</t>
        </is>
      </c>
      <c r="E1546" t="inlineStr">
        <is>
          <t>player #1:WT\training\c52m1.mp4</t>
        </is>
      </c>
      <c r="F1546" t="n">
        <v>-9.067</v>
      </c>
      <c r="G1546" t="n">
        <v>595.299</v>
      </c>
      <c r="H1546" t="n">
        <v>645.799</v>
      </c>
      <c r="I1546" t="n">
        <v>30</v>
      </c>
      <c r="J1546" t="inlineStr">
        <is>
          <t xml:space="preserve"> WT</t>
        </is>
      </c>
      <c r="K1546" t="inlineStr">
        <is>
          <t>Male</t>
        </is>
      </c>
      <c r="L1546" t="inlineStr">
        <is>
          <t>No focal subject</t>
        </is>
      </c>
      <c r="M1546" t="n">
        <v>33.329</v>
      </c>
      <c r="N1546" t="inlineStr">
        <is>
          <t>Explore_F</t>
        </is>
      </c>
      <c r="O1546" t="inlineStr">
        <is>
          <t>Familiar</t>
        </is>
      </c>
      <c r="P1546" t="inlineStr">
        <is>
          <t>STATE</t>
        </is>
      </c>
      <c r="Q1546" t="n">
        <v>357.533</v>
      </c>
      <c r="R1546" t="n">
        <v>358.399</v>
      </c>
      <c r="S1546" t="n">
        <v>0.866</v>
      </c>
      <c r="T1546" t="inlineStr">
        <is>
          <t>WT\training\c52m1.mp4</t>
        </is>
      </c>
      <c r="U1546" t="n">
        <v>10725</v>
      </c>
      <c r="V1546" t="n">
        <v>10751</v>
      </c>
      <c r="W1546" t="n">
        <v/>
      </c>
      <c r="X1546" t="n">
        <v/>
      </c>
      <c r="Y1546" t="n">
        <v/>
      </c>
      <c r="Z1546" t="n">
        <v/>
      </c>
      <c r="AA1546">
        <f>SUMIFS($S$2:S1546,$A$2:A1546,A1546,$N$2:N1546,"Explore*")</f>
        <v/>
      </c>
      <c r="AB1546">
        <f>IF(AND(LEFT(N1546,7)="Explore",(AA1546-IF(LEFT(N1546,7)="Explore",S1546,0))&lt;10),"SI","NO")</f>
        <v/>
      </c>
    </row>
    <row r="1547">
      <c r="A1547" t="inlineStr">
        <is>
          <t>c52m1_training</t>
        </is>
      </c>
      <c r="B1547" t="inlineStr">
        <is>
          <t>2026-02-24 11:43:33.958</t>
        </is>
      </c>
      <c r="C1547" t="n">
        <v/>
      </c>
      <c r="D1547" t="inlineStr">
        <is>
          <t>Media file</t>
        </is>
      </c>
      <c r="E1547" t="inlineStr">
        <is>
          <t>player #1:WT\training\c52m1.mp4</t>
        </is>
      </c>
      <c r="F1547" t="n">
        <v>-9.067</v>
      </c>
      <c r="G1547" t="n">
        <v>595.299</v>
      </c>
      <c r="H1547" t="n">
        <v>645.799</v>
      </c>
      <c r="I1547" t="n">
        <v>30</v>
      </c>
      <c r="J1547" t="inlineStr">
        <is>
          <t xml:space="preserve"> WT</t>
        </is>
      </c>
      <c r="K1547" t="inlineStr">
        <is>
          <t>Male</t>
        </is>
      </c>
      <c r="L1547" t="inlineStr">
        <is>
          <t>No focal subject</t>
        </is>
      </c>
      <c r="M1547" t="n">
        <v>33.329</v>
      </c>
      <c r="N1547" t="inlineStr">
        <is>
          <t>Explore_F2</t>
        </is>
      </c>
      <c r="O1547" t="inlineStr">
        <is>
          <t>Second familiar</t>
        </is>
      </c>
      <c r="P1547" t="inlineStr">
        <is>
          <t>STATE</t>
        </is>
      </c>
      <c r="Q1547" t="n">
        <v>384.533</v>
      </c>
      <c r="R1547" t="n">
        <v>384.833</v>
      </c>
      <c r="S1547" t="n">
        <v>0.3</v>
      </c>
      <c r="T1547" t="inlineStr">
        <is>
          <t>WT\training\c52m1.mp4</t>
        </is>
      </c>
      <c r="U1547" t="n">
        <v>11535</v>
      </c>
      <c r="V1547" t="n">
        <v>11544</v>
      </c>
      <c r="W1547" t="n">
        <v/>
      </c>
      <c r="X1547" t="n">
        <v/>
      </c>
      <c r="Y1547" t="n">
        <v/>
      </c>
      <c r="Z1547" t="n">
        <v/>
      </c>
      <c r="AA1547">
        <f>SUMIFS($S$2:S1547,$A$2:A1547,A1547,$N$2:N1547,"Explore*")</f>
        <v/>
      </c>
      <c r="AB1547">
        <f>IF(AND(LEFT(N1547,7)="Explore",(AA1547-IF(LEFT(N1547,7)="Explore",S1547,0))&lt;10),"SI","NO")</f>
        <v/>
      </c>
    </row>
    <row r="1548">
      <c r="A1548" t="inlineStr">
        <is>
          <t>c52m1_training</t>
        </is>
      </c>
      <c r="B1548" t="inlineStr">
        <is>
          <t>2026-02-24 11:43:33.958</t>
        </is>
      </c>
      <c r="C1548" t="n">
        <v/>
      </c>
      <c r="D1548" t="inlineStr">
        <is>
          <t>Media file</t>
        </is>
      </c>
      <c r="E1548" t="inlineStr">
        <is>
          <t>player #1:WT\training\c52m1.mp4</t>
        </is>
      </c>
      <c r="F1548" t="n">
        <v>-9.067</v>
      </c>
      <c r="G1548" t="n">
        <v>595.299</v>
      </c>
      <c r="H1548" t="n">
        <v>645.799</v>
      </c>
      <c r="I1548" t="n">
        <v>30</v>
      </c>
      <c r="J1548" t="inlineStr">
        <is>
          <t xml:space="preserve"> WT</t>
        </is>
      </c>
      <c r="K1548" t="inlineStr">
        <is>
          <t>Male</t>
        </is>
      </c>
      <c r="L1548" t="inlineStr">
        <is>
          <t>No focal subject</t>
        </is>
      </c>
      <c r="M1548" t="n">
        <v>33.329</v>
      </c>
      <c r="N1548" t="inlineStr">
        <is>
          <t>Explore_F2</t>
        </is>
      </c>
      <c r="O1548" t="inlineStr">
        <is>
          <t>Second familiar</t>
        </is>
      </c>
      <c r="P1548" t="inlineStr">
        <is>
          <t>STATE</t>
        </is>
      </c>
      <c r="Q1548" t="n">
        <v>406.366</v>
      </c>
      <c r="R1548" t="n">
        <v>406.633</v>
      </c>
      <c r="S1548" t="n">
        <v>0.267</v>
      </c>
      <c r="T1548" t="inlineStr">
        <is>
          <t>WT\training\c52m1.mp4</t>
        </is>
      </c>
      <c r="U1548" t="n">
        <v>12190</v>
      </c>
      <c r="V1548" t="n">
        <v>12198</v>
      </c>
      <c r="W1548" t="n">
        <v/>
      </c>
      <c r="X1548" t="n">
        <v/>
      </c>
      <c r="Y1548" t="n">
        <v/>
      </c>
      <c r="Z1548" t="n">
        <v/>
      </c>
      <c r="AA1548">
        <f>SUMIFS($S$2:S1548,$A$2:A1548,A1548,$N$2:N1548,"Explore*")</f>
        <v/>
      </c>
      <c r="AB1548">
        <f>IF(AND(LEFT(N1548,7)="Explore",(AA1548-IF(LEFT(N1548,7)="Explore",S1548,0))&lt;10),"SI","NO")</f>
        <v/>
      </c>
    </row>
    <row r="1549">
      <c r="A1549" t="inlineStr">
        <is>
          <t>c52m1_training</t>
        </is>
      </c>
      <c r="B1549" t="inlineStr">
        <is>
          <t>2026-02-24 11:43:33.958</t>
        </is>
      </c>
      <c r="C1549" t="n">
        <v/>
      </c>
      <c r="D1549" t="inlineStr">
        <is>
          <t>Media file</t>
        </is>
      </c>
      <c r="E1549" t="inlineStr">
        <is>
          <t>player #1:WT\training\c52m1.mp4</t>
        </is>
      </c>
      <c r="F1549" t="n">
        <v>-9.067</v>
      </c>
      <c r="G1549" t="n">
        <v>595.299</v>
      </c>
      <c r="H1549" t="n">
        <v>645.799</v>
      </c>
      <c r="I1549" t="n">
        <v>30</v>
      </c>
      <c r="J1549" t="inlineStr">
        <is>
          <t xml:space="preserve"> WT</t>
        </is>
      </c>
      <c r="K1549" t="inlineStr">
        <is>
          <t>Male</t>
        </is>
      </c>
      <c r="L1549" t="inlineStr">
        <is>
          <t>No focal subject</t>
        </is>
      </c>
      <c r="M1549" t="n">
        <v>33.329</v>
      </c>
      <c r="N1549" t="inlineStr">
        <is>
          <t>Explore_F2</t>
        </is>
      </c>
      <c r="O1549" t="inlineStr">
        <is>
          <t>Second familiar</t>
        </is>
      </c>
      <c r="P1549" t="inlineStr">
        <is>
          <t>STATE</t>
        </is>
      </c>
      <c r="Q1549" t="n">
        <v>408.233</v>
      </c>
      <c r="R1549" t="n">
        <v>408.499</v>
      </c>
      <c r="S1549" t="n">
        <v>0.266</v>
      </c>
      <c r="T1549" t="inlineStr">
        <is>
          <t>WT\training\c52m1.mp4</t>
        </is>
      </c>
      <c r="U1549" t="n">
        <v>12246</v>
      </c>
      <c r="V1549" t="n">
        <v>12254</v>
      </c>
      <c r="W1549" t="n">
        <v/>
      </c>
      <c r="X1549" t="n">
        <v/>
      </c>
      <c r="Y1549" t="n">
        <v/>
      </c>
      <c r="Z1549" t="n">
        <v/>
      </c>
      <c r="AA1549">
        <f>SUMIFS($S$2:S1549,$A$2:A1549,A1549,$N$2:N1549,"Explore*")</f>
        <v/>
      </c>
      <c r="AB1549">
        <f>IF(AND(LEFT(N1549,7)="Explore",(AA1549-IF(LEFT(N1549,7)="Explore",S1549,0))&lt;10),"SI","NO")</f>
        <v/>
      </c>
    </row>
    <row r="1550">
      <c r="A1550" t="inlineStr">
        <is>
          <t>c52m1_training</t>
        </is>
      </c>
      <c r="B1550" t="inlineStr">
        <is>
          <t>2026-02-24 11:43:33.958</t>
        </is>
      </c>
      <c r="C1550" t="n">
        <v/>
      </c>
      <c r="D1550" t="inlineStr">
        <is>
          <t>Media file</t>
        </is>
      </c>
      <c r="E1550" t="inlineStr">
        <is>
          <t>player #1:WT\training\c52m1.mp4</t>
        </is>
      </c>
      <c r="F1550" t="n">
        <v>-9.067</v>
      </c>
      <c r="G1550" t="n">
        <v>595.299</v>
      </c>
      <c r="H1550" t="n">
        <v>645.799</v>
      </c>
      <c r="I1550" t="n">
        <v>30</v>
      </c>
      <c r="J1550" t="inlineStr">
        <is>
          <t xml:space="preserve"> WT</t>
        </is>
      </c>
      <c r="K1550" t="inlineStr">
        <is>
          <t>Male</t>
        </is>
      </c>
      <c r="L1550" t="inlineStr">
        <is>
          <t>No focal subject</t>
        </is>
      </c>
      <c r="M1550" t="n">
        <v>33.329</v>
      </c>
      <c r="N1550" t="inlineStr">
        <is>
          <t>Explore_F</t>
        </is>
      </c>
      <c r="O1550" t="inlineStr">
        <is>
          <t>Familiar</t>
        </is>
      </c>
      <c r="P1550" t="inlineStr">
        <is>
          <t>STATE</t>
        </is>
      </c>
      <c r="Q1550" t="n">
        <v>410.866</v>
      </c>
      <c r="R1550" t="n">
        <v>412.899</v>
      </c>
      <c r="S1550" t="n">
        <v>2.033</v>
      </c>
      <c r="T1550" t="inlineStr">
        <is>
          <t>WT\training\c52m1.mp4</t>
        </is>
      </c>
      <c r="U1550" t="n">
        <v>12325</v>
      </c>
      <c r="V1550" t="n">
        <v>12386</v>
      </c>
      <c r="W1550" t="n">
        <v/>
      </c>
      <c r="X1550" t="n">
        <v/>
      </c>
      <c r="Y1550" t="n">
        <v/>
      </c>
      <c r="Z1550" t="n">
        <v/>
      </c>
      <c r="AA1550">
        <f>SUMIFS($S$2:S1550,$A$2:A1550,A1550,$N$2:N1550,"Explore*")</f>
        <v/>
      </c>
      <c r="AB1550">
        <f>IF(AND(LEFT(N1550,7)="Explore",(AA1550-IF(LEFT(N1550,7)="Explore",S1550,0))&lt;10),"SI","NO")</f>
        <v/>
      </c>
    </row>
    <row r="1551">
      <c r="A1551" t="inlineStr">
        <is>
          <t>c52m1_training</t>
        </is>
      </c>
      <c r="B1551" t="inlineStr">
        <is>
          <t>2026-02-24 11:43:33.958</t>
        </is>
      </c>
      <c r="C1551" t="n">
        <v/>
      </c>
      <c r="D1551" t="inlineStr">
        <is>
          <t>Media file</t>
        </is>
      </c>
      <c r="E1551" t="inlineStr">
        <is>
          <t>player #1:WT\training\c52m1.mp4</t>
        </is>
      </c>
      <c r="F1551" t="n">
        <v>-9.067</v>
      </c>
      <c r="G1551" t="n">
        <v>595.299</v>
      </c>
      <c r="H1551" t="n">
        <v>645.799</v>
      </c>
      <c r="I1551" t="n">
        <v>30</v>
      </c>
      <c r="J1551" t="inlineStr">
        <is>
          <t xml:space="preserve"> WT</t>
        </is>
      </c>
      <c r="K1551" t="inlineStr">
        <is>
          <t>Male</t>
        </is>
      </c>
      <c r="L1551" t="inlineStr">
        <is>
          <t>No focal subject</t>
        </is>
      </c>
      <c r="M1551" t="n">
        <v>33.329</v>
      </c>
      <c r="N1551" t="inlineStr">
        <is>
          <t>Explore_F</t>
        </is>
      </c>
      <c r="O1551" t="inlineStr">
        <is>
          <t>Familiar</t>
        </is>
      </c>
      <c r="P1551" t="inlineStr">
        <is>
          <t>STATE</t>
        </is>
      </c>
      <c r="Q1551" t="n">
        <v>416.533</v>
      </c>
      <c r="R1551" t="n">
        <v>417.266</v>
      </c>
      <c r="S1551" t="n">
        <v>0.733</v>
      </c>
      <c r="T1551" t="inlineStr">
        <is>
          <t>WT\training\c52m1.mp4</t>
        </is>
      </c>
      <c r="U1551" t="n">
        <v>12495</v>
      </c>
      <c r="V1551" t="n">
        <v>12517</v>
      </c>
      <c r="W1551" t="n">
        <v/>
      </c>
      <c r="X1551" t="n">
        <v/>
      </c>
      <c r="Y1551" t="n">
        <v/>
      </c>
      <c r="Z1551" t="n">
        <v/>
      </c>
      <c r="AA1551">
        <f>SUMIFS($S$2:S1551,$A$2:A1551,A1551,$N$2:N1551,"Explore*")</f>
        <v/>
      </c>
      <c r="AB1551">
        <f>IF(AND(LEFT(N1551,7)="Explore",(AA1551-IF(LEFT(N1551,7)="Explore",S1551,0))&lt;10),"SI","NO")</f>
        <v/>
      </c>
    </row>
    <row r="1552">
      <c r="A1552" t="inlineStr">
        <is>
          <t>c52m1_training</t>
        </is>
      </c>
      <c r="B1552" t="inlineStr">
        <is>
          <t>2026-02-24 11:43:33.958</t>
        </is>
      </c>
      <c r="C1552" t="n">
        <v/>
      </c>
      <c r="D1552" t="inlineStr">
        <is>
          <t>Media file</t>
        </is>
      </c>
      <c r="E1552" t="inlineStr">
        <is>
          <t>player #1:WT\training\c52m1.mp4</t>
        </is>
      </c>
      <c r="F1552" t="n">
        <v>-9.067</v>
      </c>
      <c r="G1552" t="n">
        <v>595.299</v>
      </c>
      <c r="H1552" t="n">
        <v>645.799</v>
      </c>
      <c r="I1552" t="n">
        <v>30</v>
      </c>
      <c r="J1552" t="inlineStr">
        <is>
          <t xml:space="preserve"> WT</t>
        </is>
      </c>
      <c r="K1552" t="inlineStr">
        <is>
          <t>Male</t>
        </is>
      </c>
      <c r="L1552" t="inlineStr">
        <is>
          <t>No focal subject</t>
        </is>
      </c>
      <c r="M1552" t="n">
        <v>33.329</v>
      </c>
      <c r="N1552" t="inlineStr">
        <is>
          <t>Explore_F</t>
        </is>
      </c>
      <c r="O1552" t="inlineStr">
        <is>
          <t>Familiar</t>
        </is>
      </c>
      <c r="P1552" t="inlineStr">
        <is>
          <t>STATE</t>
        </is>
      </c>
      <c r="Q1552" t="n">
        <v>418.233</v>
      </c>
      <c r="R1552" t="n">
        <v>418.799</v>
      </c>
      <c r="S1552" t="n">
        <v>0.5659999999999999</v>
      </c>
      <c r="T1552" t="inlineStr">
        <is>
          <t>WT\training\c52m1.mp4</t>
        </is>
      </c>
      <c r="U1552" t="n">
        <v>12546</v>
      </c>
      <c r="V1552" t="n">
        <v>12563</v>
      </c>
      <c r="W1552" t="n">
        <v/>
      </c>
      <c r="X1552" t="n">
        <v/>
      </c>
      <c r="Y1552" t="n">
        <v/>
      </c>
      <c r="Z1552" t="n">
        <v/>
      </c>
      <c r="AA1552">
        <f>SUMIFS($S$2:S1552,$A$2:A1552,A1552,$N$2:N1552,"Explore*")</f>
        <v/>
      </c>
      <c r="AB1552">
        <f>IF(AND(LEFT(N1552,7)="Explore",(AA1552-IF(LEFT(N1552,7)="Explore",S1552,0))&lt;10),"SI","NO")</f>
        <v/>
      </c>
    </row>
    <row r="1553">
      <c r="A1553" t="inlineStr">
        <is>
          <t>c52m1_training</t>
        </is>
      </c>
      <c r="B1553" t="inlineStr">
        <is>
          <t>2026-02-24 11:43:33.958</t>
        </is>
      </c>
      <c r="C1553" t="n">
        <v/>
      </c>
      <c r="D1553" t="inlineStr">
        <is>
          <t>Media file</t>
        </is>
      </c>
      <c r="E1553" t="inlineStr">
        <is>
          <t>player #1:WT\training\c52m1.mp4</t>
        </is>
      </c>
      <c r="F1553" t="n">
        <v>-9.067</v>
      </c>
      <c r="G1553" t="n">
        <v>595.299</v>
      </c>
      <c r="H1553" t="n">
        <v>645.799</v>
      </c>
      <c r="I1553" t="n">
        <v>30</v>
      </c>
      <c r="J1553" t="inlineStr">
        <is>
          <t xml:space="preserve"> WT</t>
        </is>
      </c>
      <c r="K1553" t="inlineStr">
        <is>
          <t>Male</t>
        </is>
      </c>
      <c r="L1553" t="inlineStr">
        <is>
          <t>No focal subject</t>
        </is>
      </c>
      <c r="M1553" t="n">
        <v>33.329</v>
      </c>
      <c r="N1553" t="inlineStr">
        <is>
          <t>Explore_F2</t>
        </is>
      </c>
      <c r="O1553" t="inlineStr">
        <is>
          <t>Second familiar</t>
        </is>
      </c>
      <c r="P1553" t="inlineStr">
        <is>
          <t>STATE</t>
        </is>
      </c>
      <c r="Q1553" t="n">
        <v>422.666</v>
      </c>
      <c r="R1553" t="n">
        <v>424.299</v>
      </c>
      <c r="S1553" t="n">
        <v>1.633</v>
      </c>
      <c r="T1553" t="inlineStr">
        <is>
          <t>WT\training\c52m1.mp4</t>
        </is>
      </c>
      <c r="U1553" t="n">
        <v>12679</v>
      </c>
      <c r="V1553" t="n">
        <v>12728</v>
      </c>
      <c r="W1553" t="n">
        <v/>
      </c>
      <c r="X1553" t="n">
        <v/>
      </c>
      <c r="Y1553" t="n">
        <v/>
      </c>
      <c r="Z1553" t="n">
        <v/>
      </c>
      <c r="AA1553">
        <f>SUMIFS($S$2:S1553,$A$2:A1553,A1553,$N$2:N1553,"Explore*")</f>
        <v/>
      </c>
      <c r="AB1553">
        <f>IF(AND(LEFT(N1553,7)="Explore",(AA1553-IF(LEFT(N1553,7)="Explore",S1553,0))&lt;10),"SI","NO")</f>
        <v/>
      </c>
    </row>
    <row r="1554">
      <c r="A1554" t="inlineStr">
        <is>
          <t>c52m1_training</t>
        </is>
      </c>
      <c r="B1554" t="inlineStr">
        <is>
          <t>2026-02-24 11:43:33.958</t>
        </is>
      </c>
      <c r="C1554" t="n">
        <v/>
      </c>
      <c r="D1554" t="inlineStr">
        <is>
          <t>Media file</t>
        </is>
      </c>
      <c r="E1554" t="inlineStr">
        <is>
          <t>player #1:WT\training\c52m1.mp4</t>
        </is>
      </c>
      <c r="F1554" t="n">
        <v>-9.067</v>
      </c>
      <c r="G1554" t="n">
        <v>595.299</v>
      </c>
      <c r="H1554" t="n">
        <v>645.799</v>
      </c>
      <c r="I1554" t="n">
        <v>30</v>
      </c>
      <c r="J1554" t="inlineStr">
        <is>
          <t xml:space="preserve"> WT</t>
        </is>
      </c>
      <c r="K1554" t="inlineStr">
        <is>
          <t>Male</t>
        </is>
      </c>
      <c r="L1554" t="inlineStr">
        <is>
          <t>No focal subject</t>
        </is>
      </c>
      <c r="M1554" t="n">
        <v>33.329</v>
      </c>
      <c r="N1554" t="inlineStr">
        <is>
          <t>Explore_F2</t>
        </is>
      </c>
      <c r="O1554" t="inlineStr">
        <is>
          <t>Second familiar</t>
        </is>
      </c>
      <c r="P1554" t="inlineStr">
        <is>
          <t>STATE</t>
        </is>
      </c>
      <c r="Q1554" t="n">
        <v>427.499</v>
      </c>
      <c r="R1554" t="n">
        <v>427.766</v>
      </c>
      <c r="S1554" t="n">
        <v>0.267</v>
      </c>
      <c r="T1554" t="inlineStr">
        <is>
          <t>WT\training\c52m1.mp4</t>
        </is>
      </c>
      <c r="U1554" t="n">
        <v>12824</v>
      </c>
      <c r="V1554" t="n">
        <v>12832</v>
      </c>
      <c r="W1554" t="n">
        <v/>
      </c>
      <c r="X1554" t="n">
        <v/>
      </c>
      <c r="Y1554" t="n">
        <v/>
      </c>
      <c r="Z1554" t="n">
        <v/>
      </c>
      <c r="AA1554">
        <f>SUMIFS($S$2:S1554,$A$2:A1554,A1554,$N$2:N1554,"Explore*")</f>
        <v/>
      </c>
      <c r="AB1554">
        <f>IF(AND(LEFT(N1554,7)="Explore",(AA1554-IF(LEFT(N1554,7)="Explore",S1554,0))&lt;10),"SI","NO")</f>
        <v/>
      </c>
    </row>
    <row r="1555">
      <c r="A1555" t="inlineStr">
        <is>
          <t>c52m1_training</t>
        </is>
      </c>
      <c r="B1555" t="inlineStr">
        <is>
          <t>2026-02-24 11:43:33.958</t>
        </is>
      </c>
      <c r="C1555" t="n">
        <v/>
      </c>
      <c r="D1555" t="inlineStr">
        <is>
          <t>Media file</t>
        </is>
      </c>
      <c r="E1555" t="inlineStr">
        <is>
          <t>player #1:WT\training\c52m1.mp4</t>
        </is>
      </c>
      <c r="F1555" t="n">
        <v>-9.067</v>
      </c>
      <c r="G1555" t="n">
        <v>595.299</v>
      </c>
      <c r="H1555" t="n">
        <v>645.799</v>
      </c>
      <c r="I1555" t="n">
        <v>30</v>
      </c>
      <c r="J1555" t="inlineStr">
        <is>
          <t xml:space="preserve"> WT</t>
        </is>
      </c>
      <c r="K1555" t="inlineStr">
        <is>
          <t>Male</t>
        </is>
      </c>
      <c r="L1555" t="inlineStr">
        <is>
          <t>No focal subject</t>
        </is>
      </c>
      <c r="M1555" t="n">
        <v>33.329</v>
      </c>
      <c r="N1555" t="inlineStr">
        <is>
          <t>Explore_F</t>
        </is>
      </c>
      <c r="O1555" t="inlineStr">
        <is>
          <t>Familiar</t>
        </is>
      </c>
      <c r="P1555" t="inlineStr">
        <is>
          <t>STATE</t>
        </is>
      </c>
      <c r="Q1555" t="n">
        <v>430.299</v>
      </c>
      <c r="R1555" t="n">
        <v>430.699</v>
      </c>
      <c r="S1555" t="n">
        <v>0.4</v>
      </c>
      <c r="T1555" t="inlineStr">
        <is>
          <t>WT\training\c52m1.mp4</t>
        </is>
      </c>
      <c r="U1555" t="n">
        <v>12908</v>
      </c>
      <c r="V1555" t="n">
        <v>12920</v>
      </c>
      <c r="W1555" t="n">
        <v/>
      </c>
      <c r="X1555" t="n">
        <v/>
      </c>
      <c r="Y1555" t="n">
        <v/>
      </c>
      <c r="Z1555" t="n">
        <v/>
      </c>
      <c r="AA1555">
        <f>SUMIFS($S$2:S1555,$A$2:A1555,A1555,$N$2:N1555,"Explore*")</f>
        <v/>
      </c>
      <c r="AB1555">
        <f>IF(AND(LEFT(N1555,7)="Explore",(AA1555-IF(LEFT(N1555,7)="Explore",S1555,0))&lt;10),"SI","NO")</f>
        <v/>
      </c>
    </row>
    <row r="1556">
      <c r="A1556" t="inlineStr">
        <is>
          <t>c52m1_training</t>
        </is>
      </c>
      <c r="B1556" t="inlineStr">
        <is>
          <t>2026-02-24 11:43:33.958</t>
        </is>
      </c>
      <c r="C1556" t="n">
        <v/>
      </c>
      <c r="D1556" t="inlineStr">
        <is>
          <t>Media file</t>
        </is>
      </c>
      <c r="E1556" t="inlineStr">
        <is>
          <t>player #1:WT\training\c52m1.mp4</t>
        </is>
      </c>
      <c r="F1556" t="n">
        <v>-9.067</v>
      </c>
      <c r="G1556" t="n">
        <v>595.299</v>
      </c>
      <c r="H1556" t="n">
        <v>645.799</v>
      </c>
      <c r="I1556" t="n">
        <v>30</v>
      </c>
      <c r="J1556" t="inlineStr">
        <is>
          <t xml:space="preserve"> WT</t>
        </is>
      </c>
      <c r="K1556" t="inlineStr">
        <is>
          <t>Male</t>
        </is>
      </c>
      <c r="L1556" t="inlineStr">
        <is>
          <t>No focal subject</t>
        </is>
      </c>
      <c r="M1556" t="n">
        <v>33.329</v>
      </c>
      <c r="N1556" t="inlineStr">
        <is>
          <t>Explore_F</t>
        </is>
      </c>
      <c r="O1556" t="inlineStr">
        <is>
          <t>Familiar</t>
        </is>
      </c>
      <c r="P1556" t="inlineStr">
        <is>
          <t>STATE</t>
        </is>
      </c>
      <c r="Q1556" t="n">
        <v>431.399</v>
      </c>
      <c r="R1556" t="n">
        <v>431.899</v>
      </c>
      <c r="S1556" t="n">
        <v>0.5</v>
      </c>
      <c r="T1556" t="inlineStr">
        <is>
          <t>WT\training\c52m1.mp4</t>
        </is>
      </c>
      <c r="U1556" t="n">
        <v>12941</v>
      </c>
      <c r="V1556" t="n">
        <v>12956</v>
      </c>
      <c r="W1556" t="n">
        <v/>
      </c>
      <c r="X1556" t="n">
        <v/>
      </c>
      <c r="Y1556" t="n">
        <v/>
      </c>
      <c r="Z1556" t="n">
        <v/>
      </c>
      <c r="AA1556">
        <f>SUMIFS($S$2:S1556,$A$2:A1556,A1556,$N$2:N1556,"Explore*")</f>
        <v/>
      </c>
      <c r="AB1556">
        <f>IF(AND(LEFT(N1556,7)="Explore",(AA1556-IF(LEFT(N1556,7)="Explore",S1556,0))&lt;10),"SI","NO")</f>
        <v/>
      </c>
    </row>
    <row r="1557">
      <c r="A1557" t="inlineStr">
        <is>
          <t>c52m1_training</t>
        </is>
      </c>
      <c r="B1557" t="inlineStr">
        <is>
          <t>2026-02-24 11:43:33.958</t>
        </is>
      </c>
      <c r="C1557" t="n">
        <v/>
      </c>
      <c r="D1557" t="inlineStr">
        <is>
          <t>Media file</t>
        </is>
      </c>
      <c r="E1557" t="inlineStr">
        <is>
          <t>player #1:WT\training\c52m1.mp4</t>
        </is>
      </c>
      <c r="F1557" t="n">
        <v>-9.067</v>
      </c>
      <c r="G1557" t="n">
        <v>595.299</v>
      </c>
      <c r="H1557" t="n">
        <v>645.799</v>
      </c>
      <c r="I1557" t="n">
        <v>30</v>
      </c>
      <c r="J1557" t="inlineStr">
        <is>
          <t xml:space="preserve"> WT</t>
        </is>
      </c>
      <c r="K1557" t="inlineStr">
        <is>
          <t>Male</t>
        </is>
      </c>
      <c r="L1557" t="inlineStr">
        <is>
          <t>No focal subject</t>
        </is>
      </c>
      <c r="M1557" t="n">
        <v>33.329</v>
      </c>
      <c r="N1557" t="inlineStr">
        <is>
          <t>Explore_F</t>
        </is>
      </c>
      <c r="O1557" t="inlineStr">
        <is>
          <t>Familiar</t>
        </is>
      </c>
      <c r="P1557" t="inlineStr">
        <is>
          <t>STATE</t>
        </is>
      </c>
      <c r="Q1557" t="n">
        <v>444.799</v>
      </c>
      <c r="R1557" t="n">
        <v>445.166</v>
      </c>
      <c r="S1557" t="n">
        <v>0.367</v>
      </c>
      <c r="T1557" t="inlineStr">
        <is>
          <t>WT\training\c52m1.mp4</t>
        </is>
      </c>
      <c r="U1557" t="n">
        <v>13614</v>
      </c>
      <c r="V1557" t="n">
        <v>13625</v>
      </c>
      <c r="W1557" t="n">
        <v/>
      </c>
      <c r="X1557" t="n">
        <v/>
      </c>
      <c r="Y1557" t="n">
        <v/>
      </c>
      <c r="Z1557" t="n">
        <v/>
      </c>
      <c r="AA1557">
        <f>SUMIFS($S$2:S1557,$A$2:A1557,A1557,$N$2:N1557,"Explore*")</f>
        <v/>
      </c>
      <c r="AB1557">
        <f>IF(AND(LEFT(N1557,7)="Explore",(AA1557-IF(LEFT(N1557,7)="Explore",S1557,0))&lt;10),"SI","NO")</f>
        <v/>
      </c>
    </row>
    <row r="1558">
      <c r="A1558" t="inlineStr">
        <is>
          <t>c52m1_training</t>
        </is>
      </c>
      <c r="B1558" t="inlineStr">
        <is>
          <t>2026-02-24 11:43:33.958</t>
        </is>
      </c>
      <c r="C1558" t="n">
        <v/>
      </c>
      <c r="D1558" t="inlineStr">
        <is>
          <t>Media file</t>
        </is>
      </c>
      <c r="E1558" t="inlineStr">
        <is>
          <t>player #1:WT\training\c52m1.mp4</t>
        </is>
      </c>
      <c r="F1558" t="n">
        <v>-9.067</v>
      </c>
      <c r="G1558" t="n">
        <v>595.299</v>
      </c>
      <c r="H1558" t="n">
        <v>645.799</v>
      </c>
      <c r="I1558" t="n">
        <v>30</v>
      </c>
      <c r="J1558" t="inlineStr">
        <is>
          <t xml:space="preserve"> WT</t>
        </is>
      </c>
      <c r="K1558" t="inlineStr">
        <is>
          <t>Male</t>
        </is>
      </c>
      <c r="L1558" t="inlineStr">
        <is>
          <t>No focal subject</t>
        </is>
      </c>
      <c r="M1558" t="n">
        <v>33.329</v>
      </c>
      <c r="N1558" t="inlineStr">
        <is>
          <t>Explore_F2</t>
        </is>
      </c>
      <c r="O1558" t="inlineStr">
        <is>
          <t>Second familiar</t>
        </is>
      </c>
      <c r="P1558" t="inlineStr">
        <is>
          <t>STATE</t>
        </is>
      </c>
      <c r="Q1558" t="n">
        <v>456.166</v>
      </c>
      <c r="R1558" t="n">
        <v>456.499</v>
      </c>
      <c r="S1558" t="n">
        <v>0.333</v>
      </c>
      <c r="T1558" t="inlineStr">
        <is>
          <t>WT\training\c52m1.mp4</t>
        </is>
      </c>
      <c r="U1558" t="n">
        <v>13955</v>
      </c>
      <c r="V1558" t="n">
        <v>13965</v>
      </c>
      <c r="W1558" t="n">
        <v/>
      </c>
      <c r="X1558" t="n">
        <v/>
      </c>
      <c r="Y1558" t="n">
        <v/>
      </c>
      <c r="Z1558" t="n">
        <v/>
      </c>
      <c r="AA1558">
        <f>SUMIFS($S$2:S1558,$A$2:A1558,A1558,$N$2:N1558,"Explore*")</f>
        <v/>
      </c>
      <c r="AB1558">
        <f>IF(AND(LEFT(N1558,7)="Explore",(AA1558-IF(LEFT(N1558,7)="Explore",S1558,0))&lt;10),"SI","NO")</f>
        <v/>
      </c>
    </row>
    <row r="1559">
      <c r="A1559" t="inlineStr">
        <is>
          <t>c52m1_training</t>
        </is>
      </c>
      <c r="B1559" t="inlineStr">
        <is>
          <t>2026-02-24 11:43:33.958</t>
        </is>
      </c>
      <c r="C1559" t="n">
        <v/>
      </c>
      <c r="D1559" t="inlineStr">
        <is>
          <t>Media file</t>
        </is>
      </c>
      <c r="E1559" t="inlineStr">
        <is>
          <t>player #1:WT\training\c52m1.mp4</t>
        </is>
      </c>
      <c r="F1559" t="n">
        <v>-9.067</v>
      </c>
      <c r="G1559" t="n">
        <v>595.299</v>
      </c>
      <c r="H1559" t="n">
        <v>645.799</v>
      </c>
      <c r="I1559" t="n">
        <v>30</v>
      </c>
      <c r="J1559" t="inlineStr">
        <is>
          <t xml:space="preserve"> WT</t>
        </is>
      </c>
      <c r="K1559" t="inlineStr">
        <is>
          <t>Male</t>
        </is>
      </c>
      <c r="L1559" t="inlineStr">
        <is>
          <t>No focal subject</t>
        </is>
      </c>
      <c r="M1559" t="n">
        <v>33.329</v>
      </c>
      <c r="N1559" t="inlineStr">
        <is>
          <t>Explore_F</t>
        </is>
      </c>
      <c r="O1559" t="inlineStr">
        <is>
          <t>Familiar</t>
        </is>
      </c>
      <c r="P1559" t="inlineStr">
        <is>
          <t>STATE</t>
        </is>
      </c>
      <c r="Q1559" t="n">
        <v>460.566</v>
      </c>
      <c r="R1559" t="n">
        <v>461.399</v>
      </c>
      <c r="S1559" t="n">
        <v>0.833</v>
      </c>
      <c r="T1559" t="inlineStr">
        <is>
          <t>WT\training\c52m1.mp4</t>
        </is>
      </c>
      <c r="U1559" t="n">
        <v>14087</v>
      </c>
      <c r="V1559" t="n">
        <v>14112</v>
      </c>
      <c r="W1559" t="n">
        <v/>
      </c>
      <c r="X1559" t="n">
        <v/>
      </c>
      <c r="Y1559" t="n">
        <v/>
      </c>
      <c r="Z1559" t="n">
        <v/>
      </c>
      <c r="AA1559">
        <f>SUMIFS($S$2:S1559,$A$2:A1559,A1559,$N$2:N1559,"Explore*")</f>
        <v/>
      </c>
      <c r="AB1559">
        <f>IF(AND(LEFT(N1559,7)="Explore",(AA1559-IF(LEFT(N1559,7)="Explore",S1559,0))&lt;10),"SI","NO")</f>
        <v/>
      </c>
    </row>
    <row r="1560">
      <c r="A1560" t="inlineStr">
        <is>
          <t>c52m1_training</t>
        </is>
      </c>
      <c r="B1560" t="inlineStr">
        <is>
          <t>2026-02-24 11:43:33.958</t>
        </is>
      </c>
      <c r="C1560" t="n">
        <v/>
      </c>
      <c r="D1560" t="inlineStr">
        <is>
          <t>Media file</t>
        </is>
      </c>
      <c r="E1560" t="inlineStr">
        <is>
          <t>player #1:WT\training\c52m1.mp4</t>
        </is>
      </c>
      <c r="F1560" t="n">
        <v>-9.067</v>
      </c>
      <c r="G1560" t="n">
        <v>595.299</v>
      </c>
      <c r="H1560" t="n">
        <v>645.799</v>
      </c>
      <c r="I1560" t="n">
        <v>30</v>
      </c>
      <c r="J1560" t="inlineStr">
        <is>
          <t xml:space="preserve"> WT</t>
        </is>
      </c>
      <c r="K1560" t="inlineStr">
        <is>
          <t>Male</t>
        </is>
      </c>
      <c r="L1560" t="inlineStr">
        <is>
          <t>No focal subject</t>
        </is>
      </c>
      <c r="M1560" t="n">
        <v>33.329</v>
      </c>
      <c r="N1560" t="inlineStr">
        <is>
          <t>Explore_F2</t>
        </is>
      </c>
      <c r="O1560" t="inlineStr">
        <is>
          <t>Second familiar</t>
        </is>
      </c>
      <c r="P1560" t="inlineStr">
        <is>
          <t>STATE</t>
        </is>
      </c>
      <c r="Q1560" t="n">
        <v>476.199</v>
      </c>
      <c r="R1560" t="n">
        <v>476.566</v>
      </c>
      <c r="S1560" t="n">
        <v>0.367</v>
      </c>
      <c r="T1560" t="inlineStr">
        <is>
          <t>WT\training\c52m1.mp4</t>
        </is>
      </c>
      <c r="U1560" t="n">
        <v>14556</v>
      </c>
      <c r="V1560" t="n">
        <v>14567</v>
      </c>
      <c r="W1560" t="n">
        <v/>
      </c>
      <c r="X1560" t="n">
        <v/>
      </c>
      <c r="Y1560" t="n">
        <v/>
      </c>
      <c r="Z1560" t="n">
        <v/>
      </c>
      <c r="AA1560">
        <f>SUMIFS($S$2:S1560,$A$2:A1560,A1560,$N$2:N1560,"Explore*")</f>
        <v/>
      </c>
      <c r="AB1560">
        <f>IF(AND(LEFT(N1560,7)="Explore",(AA1560-IF(LEFT(N1560,7)="Explore",S1560,0))&lt;10),"SI","NO")</f>
        <v/>
      </c>
    </row>
    <row r="1561">
      <c r="A1561" t="inlineStr">
        <is>
          <t>c52m1_training</t>
        </is>
      </c>
      <c r="B1561" t="inlineStr">
        <is>
          <t>2026-02-24 11:43:33.958</t>
        </is>
      </c>
      <c r="C1561" t="n">
        <v/>
      </c>
      <c r="D1561" t="inlineStr">
        <is>
          <t>Media file</t>
        </is>
      </c>
      <c r="E1561" t="inlineStr">
        <is>
          <t>player #1:WT\training\c52m1.mp4</t>
        </is>
      </c>
      <c r="F1561" t="n">
        <v>-9.067</v>
      </c>
      <c r="G1561" t="n">
        <v>595.299</v>
      </c>
      <c r="H1561" t="n">
        <v>645.799</v>
      </c>
      <c r="I1561" t="n">
        <v>30</v>
      </c>
      <c r="J1561" t="inlineStr">
        <is>
          <t xml:space="preserve"> WT</t>
        </is>
      </c>
      <c r="K1561" t="inlineStr">
        <is>
          <t>Male</t>
        </is>
      </c>
      <c r="L1561" t="inlineStr">
        <is>
          <t>No focal subject</t>
        </is>
      </c>
      <c r="M1561" t="n">
        <v>33.329</v>
      </c>
      <c r="N1561" t="inlineStr">
        <is>
          <t>Explore_F</t>
        </is>
      </c>
      <c r="O1561" t="inlineStr">
        <is>
          <t>Familiar</t>
        </is>
      </c>
      <c r="P1561" t="inlineStr">
        <is>
          <t>STATE</t>
        </is>
      </c>
      <c r="Q1561" t="n">
        <v>487.866</v>
      </c>
      <c r="R1561" t="n">
        <v>488.766</v>
      </c>
      <c r="S1561" t="n">
        <v>0.9</v>
      </c>
      <c r="T1561" t="inlineStr">
        <is>
          <t>WT\training\c52m1.mp4</t>
        </is>
      </c>
      <c r="U1561" t="n">
        <v>14906</v>
      </c>
      <c r="V1561" t="n">
        <v>14933</v>
      </c>
      <c r="W1561" t="n">
        <v/>
      </c>
      <c r="X1561" t="n">
        <v/>
      </c>
      <c r="Y1561" t="n">
        <v/>
      </c>
      <c r="Z1561" t="n">
        <v/>
      </c>
      <c r="AA1561">
        <f>SUMIFS($S$2:S1561,$A$2:A1561,A1561,$N$2:N1561,"Explore*")</f>
        <v/>
      </c>
      <c r="AB1561">
        <f>IF(AND(LEFT(N1561,7)="Explore",(AA1561-IF(LEFT(N1561,7)="Explore",S1561,0))&lt;10),"SI","NO")</f>
        <v/>
      </c>
    </row>
    <row r="1562">
      <c r="A1562" t="inlineStr">
        <is>
          <t>c52m1_training</t>
        </is>
      </c>
      <c r="B1562" t="inlineStr">
        <is>
          <t>2026-02-24 11:43:33.958</t>
        </is>
      </c>
      <c r="C1562" t="n">
        <v/>
      </c>
      <c r="D1562" t="inlineStr">
        <is>
          <t>Media file</t>
        </is>
      </c>
      <c r="E1562" t="inlineStr">
        <is>
          <t>player #1:WT\training\c52m1.mp4</t>
        </is>
      </c>
      <c r="F1562" t="n">
        <v>-9.067</v>
      </c>
      <c r="G1562" t="n">
        <v>595.299</v>
      </c>
      <c r="H1562" t="n">
        <v>645.799</v>
      </c>
      <c r="I1562" t="n">
        <v>30</v>
      </c>
      <c r="J1562" t="inlineStr">
        <is>
          <t xml:space="preserve"> WT</t>
        </is>
      </c>
      <c r="K1562" t="inlineStr">
        <is>
          <t>Male</t>
        </is>
      </c>
      <c r="L1562" t="inlineStr">
        <is>
          <t>No focal subject</t>
        </is>
      </c>
      <c r="M1562" t="n">
        <v>33.329</v>
      </c>
      <c r="N1562" t="inlineStr">
        <is>
          <t>Explore_F2</t>
        </is>
      </c>
      <c r="O1562" t="inlineStr">
        <is>
          <t>Second familiar</t>
        </is>
      </c>
      <c r="P1562" t="inlineStr">
        <is>
          <t>STATE</t>
        </is>
      </c>
      <c r="Q1562" t="n">
        <v>492.366</v>
      </c>
      <c r="R1562" t="n">
        <v>493.466</v>
      </c>
      <c r="S1562" t="n">
        <v>1.1</v>
      </c>
      <c r="T1562" t="inlineStr">
        <is>
          <t>WT\training\c52m1.mp4</t>
        </is>
      </c>
      <c r="U1562" t="n">
        <v>15041</v>
      </c>
      <c r="V1562" t="n">
        <v>15074</v>
      </c>
      <c r="W1562" t="n">
        <v/>
      </c>
      <c r="X1562" t="n">
        <v/>
      </c>
      <c r="Y1562" t="n">
        <v/>
      </c>
      <c r="Z1562" t="n">
        <v/>
      </c>
      <c r="AA1562">
        <f>SUMIFS($S$2:S1562,$A$2:A1562,A1562,$N$2:N1562,"Explore*")</f>
        <v/>
      </c>
      <c r="AB1562">
        <f>IF(AND(LEFT(N1562,7)="Explore",(AA1562-IF(LEFT(N1562,7)="Explore",S1562,0))&lt;10),"SI","NO")</f>
        <v/>
      </c>
    </row>
    <row r="1563">
      <c r="A1563" t="inlineStr">
        <is>
          <t>c52m1_training</t>
        </is>
      </c>
      <c r="B1563" t="inlineStr">
        <is>
          <t>2026-02-24 11:43:33.958</t>
        </is>
      </c>
      <c r="C1563" t="n">
        <v/>
      </c>
      <c r="D1563" t="inlineStr">
        <is>
          <t>Media file</t>
        </is>
      </c>
      <c r="E1563" t="inlineStr">
        <is>
          <t>player #1:WT\training\c52m1.mp4</t>
        </is>
      </c>
      <c r="F1563" t="n">
        <v>-9.067</v>
      </c>
      <c r="G1563" t="n">
        <v>595.299</v>
      </c>
      <c r="H1563" t="n">
        <v>645.799</v>
      </c>
      <c r="I1563" t="n">
        <v>30</v>
      </c>
      <c r="J1563" t="inlineStr">
        <is>
          <t xml:space="preserve"> WT</t>
        </is>
      </c>
      <c r="K1563" t="inlineStr">
        <is>
          <t>Male</t>
        </is>
      </c>
      <c r="L1563" t="inlineStr">
        <is>
          <t>No focal subject</t>
        </is>
      </c>
      <c r="M1563" t="n">
        <v>33.329</v>
      </c>
      <c r="N1563" t="inlineStr">
        <is>
          <t>Explore_F</t>
        </is>
      </c>
      <c r="O1563" t="inlineStr">
        <is>
          <t>Familiar</t>
        </is>
      </c>
      <c r="P1563" t="inlineStr">
        <is>
          <t>STATE</t>
        </is>
      </c>
      <c r="Q1563" t="n">
        <v>512.199</v>
      </c>
      <c r="R1563" t="n">
        <v>513.6660000000001</v>
      </c>
      <c r="S1563" t="n">
        <v>1.467</v>
      </c>
      <c r="T1563" t="inlineStr">
        <is>
          <t>WT\training\c52m1.mp4</t>
        </is>
      </c>
      <c r="U1563" t="n">
        <v>15636</v>
      </c>
      <c r="V1563" t="n">
        <v>15680</v>
      </c>
      <c r="W1563" t="n">
        <v/>
      </c>
      <c r="X1563" t="n">
        <v/>
      </c>
      <c r="Y1563" t="n">
        <v/>
      </c>
      <c r="Z1563" t="n">
        <v/>
      </c>
      <c r="AA1563">
        <f>SUMIFS($S$2:S1563,$A$2:A1563,A1563,$N$2:N1563,"Explore*")</f>
        <v/>
      </c>
      <c r="AB1563">
        <f>IF(AND(LEFT(N1563,7)="Explore",(AA1563-IF(LEFT(N1563,7)="Explore",S1563,0))&lt;10),"SI","NO")</f>
        <v/>
      </c>
    </row>
    <row r="1564">
      <c r="A1564" t="inlineStr">
        <is>
          <t>c52m1_training</t>
        </is>
      </c>
      <c r="B1564" t="inlineStr">
        <is>
          <t>2026-02-24 11:43:33.958</t>
        </is>
      </c>
      <c r="C1564" t="n">
        <v/>
      </c>
      <c r="D1564" t="inlineStr">
        <is>
          <t>Media file</t>
        </is>
      </c>
      <c r="E1564" t="inlineStr">
        <is>
          <t>player #1:WT\training\c52m1.mp4</t>
        </is>
      </c>
      <c r="F1564" t="n">
        <v>-9.067</v>
      </c>
      <c r="G1564" t="n">
        <v>595.299</v>
      </c>
      <c r="H1564" t="n">
        <v>645.799</v>
      </c>
      <c r="I1564" t="n">
        <v>30</v>
      </c>
      <c r="J1564" t="inlineStr">
        <is>
          <t xml:space="preserve"> WT</t>
        </is>
      </c>
      <c r="K1564" t="inlineStr">
        <is>
          <t>Male</t>
        </is>
      </c>
      <c r="L1564" t="inlineStr">
        <is>
          <t>No focal subject</t>
        </is>
      </c>
      <c r="M1564" t="n">
        <v>33.329</v>
      </c>
      <c r="N1564" t="inlineStr">
        <is>
          <t>Explore_F2</t>
        </is>
      </c>
      <c r="O1564" t="inlineStr">
        <is>
          <t>Second familiar</t>
        </is>
      </c>
      <c r="P1564" t="inlineStr">
        <is>
          <t>STATE</t>
        </is>
      </c>
      <c r="Q1564" t="n">
        <v>529.232</v>
      </c>
      <c r="R1564" t="n">
        <v>529.866</v>
      </c>
      <c r="S1564" t="n">
        <v>0.634</v>
      </c>
      <c r="T1564" t="inlineStr">
        <is>
          <t>WT\training\c52m1.mp4</t>
        </is>
      </c>
      <c r="U1564" t="n">
        <v>16147</v>
      </c>
      <c r="V1564" t="n">
        <v>16166</v>
      </c>
      <c r="W1564" t="n">
        <v/>
      </c>
      <c r="X1564" t="n">
        <v/>
      </c>
      <c r="Y1564" t="n">
        <v/>
      </c>
      <c r="Z1564" t="n">
        <v/>
      </c>
      <c r="AA1564">
        <f>SUMIFS($S$2:S1564,$A$2:A1564,A1564,$N$2:N1564,"Explore*")</f>
        <v/>
      </c>
      <c r="AB1564">
        <f>IF(AND(LEFT(N1564,7)="Explore",(AA1564-IF(LEFT(N1564,7)="Explore",S1564,0))&lt;10),"SI","NO")</f>
        <v/>
      </c>
    </row>
    <row r="1565">
      <c r="A1565" t="inlineStr">
        <is>
          <t>c52m1_training</t>
        </is>
      </c>
      <c r="B1565" t="inlineStr">
        <is>
          <t>2026-02-24 11:43:33.958</t>
        </is>
      </c>
      <c r="C1565" t="n">
        <v/>
      </c>
      <c r="D1565" t="inlineStr">
        <is>
          <t>Media file</t>
        </is>
      </c>
      <c r="E1565" t="inlineStr">
        <is>
          <t>player #1:WT\training\c52m1.mp4</t>
        </is>
      </c>
      <c r="F1565" t="n">
        <v>-9.067</v>
      </c>
      <c r="G1565" t="n">
        <v>595.299</v>
      </c>
      <c r="H1565" t="n">
        <v>645.799</v>
      </c>
      <c r="I1565" t="n">
        <v>30</v>
      </c>
      <c r="J1565" t="inlineStr">
        <is>
          <t xml:space="preserve"> WT</t>
        </is>
      </c>
      <c r="K1565" t="inlineStr">
        <is>
          <t>Male</t>
        </is>
      </c>
      <c r="L1565" t="inlineStr">
        <is>
          <t>No focal subject</t>
        </is>
      </c>
      <c r="M1565" t="n">
        <v>33.329</v>
      </c>
      <c r="N1565" t="inlineStr">
        <is>
          <t>Explore_F</t>
        </is>
      </c>
      <c r="O1565" t="inlineStr">
        <is>
          <t>Familiar</t>
        </is>
      </c>
      <c r="P1565" t="inlineStr">
        <is>
          <t>STATE</t>
        </is>
      </c>
      <c r="Q1565" t="n">
        <v>544.266</v>
      </c>
      <c r="R1565" t="n">
        <v>545.466</v>
      </c>
      <c r="S1565" t="n">
        <v>1.2</v>
      </c>
      <c r="T1565" t="inlineStr">
        <is>
          <t>WT\training\c52m1.mp4</t>
        </is>
      </c>
      <c r="U1565" t="n">
        <v>16598</v>
      </c>
      <c r="V1565" t="n">
        <v>16634</v>
      </c>
      <c r="W1565" t="n">
        <v/>
      </c>
      <c r="X1565" t="n">
        <v/>
      </c>
      <c r="Y1565" t="n">
        <v/>
      </c>
      <c r="Z1565" t="n">
        <v/>
      </c>
      <c r="AA1565">
        <f>SUMIFS($S$2:S1565,$A$2:A1565,A1565,$N$2:N1565,"Explore*")</f>
        <v/>
      </c>
      <c r="AB1565">
        <f>IF(AND(LEFT(N1565,7)="Explore",(AA1565-IF(LEFT(N1565,7)="Explore",S1565,0))&lt;10),"SI","NO")</f>
        <v/>
      </c>
    </row>
    <row r="1566">
      <c r="A1566" t="inlineStr">
        <is>
          <t>c52m1_training</t>
        </is>
      </c>
      <c r="B1566" t="inlineStr">
        <is>
          <t>2026-02-24 11:43:33.958</t>
        </is>
      </c>
      <c r="C1566" t="n">
        <v/>
      </c>
      <c r="D1566" t="inlineStr">
        <is>
          <t>Media file</t>
        </is>
      </c>
      <c r="E1566" t="inlineStr">
        <is>
          <t>player #1:WT\training\c52m1.mp4</t>
        </is>
      </c>
      <c r="F1566" t="n">
        <v>-9.067</v>
      </c>
      <c r="G1566" t="n">
        <v>595.299</v>
      </c>
      <c r="H1566" t="n">
        <v>645.799</v>
      </c>
      <c r="I1566" t="n">
        <v>30</v>
      </c>
      <c r="J1566" t="inlineStr">
        <is>
          <t xml:space="preserve"> WT</t>
        </is>
      </c>
      <c r="K1566" t="inlineStr">
        <is>
          <t>Male</t>
        </is>
      </c>
      <c r="L1566" t="inlineStr">
        <is>
          <t>No focal subject</t>
        </is>
      </c>
      <c r="M1566" t="n">
        <v>33.329</v>
      </c>
      <c r="N1566" t="inlineStr">
        <is>
          <t>Explore_F2</t>
        </is>
      </c>
      <c r="O1566" t="inlineStr">
        <is>
          <t>Second familiar</t>
        </is>
      </c>
      <c r="P1566" t="inlineStr">
        <is>
          <t>STATE</t>
        </is>
      </c>
      <c r="Q1566" t="n">
        <v>547.1660000000001</v>
      </c>
      <c r="R1566" t="n">
        <v>548.399</v>
      </c>
      <c r="S1566" t="n">
        <v>1.233</v>
      </c>
      <c r="T1566" t="inlineStr">
        <is>
          <t>WT\training\c52m1.mp4</t>
        </is>
      </c>
      <c r="U1566" t="n">
        <v>16685</v>
      </c>
      <c r="V1566" t="n">
        <v>16722</v>
      </c>
      <c r="W1566" t="n">
        <v/>
      </c>
      <c r="X1566" t="n">
        <v/>
      </c>
      <c r="Y1566" t="n">
        <v/>
      </c>
      <c r="Z1566" t="n">
        <v/>
      </c>
      <c r="AA1566">
        <f>SUMIFS($S$2:S1566,$A$2:A1566,A1566,$N$2:N1566,"Explore*")</f>
        <v/>
      </c>
      <c r="AB1566">
        <f>IF(AND(LEFT(N1566,7)="Explore",(AA1566-IF(LEFT(N1566,7)="Explore",S1566,0))&lt;10),"SI","NO")</f>
        <v/>
      </c>
    </row>
    <row r="1567">
      <c r="A1567" t="inlineStr">
        <is>
          <t>c52m1_training</t>
        </is>
      </c>
      <c r="B1567" t="inlineStr">
        <is>
          <t>2026-02-24 11:43:33.958</t>
        </is>
      </c>
      <c r="C1567" t="n">
        <v/>
      </c>
      <c r="D1567" t="inlineStr">
        <is>
          <t>Media file</t>
        </is>
      </c>
      <c r="E1567" t="inlineStr">
        <is>
          <t>player #1:WT\training\c52m1.mp4</t>
        </is>
      </c>
      <c r="F1567" t="n">
        <v>-9.067</v>
      </c>
      <c r="G1567" t="n">
        <v>595.299</v>
      </c>
      <c r="H1567" t="n">
        <v>645.799</v>
      </c>
      <c r="I1567" t="n">
        <v>30</v>
      </c>
      <c r="J1567" t="inlineStr">
        <is>
          <t xml:space="preserve"> WT</t>
        </is>
      </c>
      <c r="K1567" t="inlineStr">
        <is>
          <t>Male</t>
        </is>
      </c>
      <c r="L1567" t="inlineStr">
        <is>
          <t>No focal subject</t>
        </is>
      </c>
      <c r="M1567" t="n">
        <v>33.329</v>
      </c>
      <c r="N1567" t="inlineStr">
        <is>
          <t>Explore_F</t>
        </is>
      </c>
      <c r="O1567" t="inlineStr">
        <is>
          <t>Familiar</t>
        </is>
      </c>
      <c r="P1567" t="inlineStr">
        <is>
          <t>STATE</t>
        </is>
      </c>
      <c r="Q1567" t="n">
        <v>551.299</v>
      </c>
      <c r="R1567" t="n">
        <v>552.032</v>
      </c>
      <c r="S1567" t="n">
        <v>0.733</v>
      </c>
      <c r="T1567" t="inlineStr">
        <is>
          <t>WT\training\c52m1.mp4</t>
        </is>
      </c>
      <c r="U1567" t="n">
        <v>16809</v>
      </c>
      <c r="V1567" t="n">
        <v>16831</v>
      </c>
      <c r="W1567" t="n">
        <v/>
      </c>
      <c r="X1567" t="n">
        <v/>
      </c>
      <c r="Y1567" t="n">
        <v/>
      </c>
      <c r="Z1567" t="n">
        <v/>
      </c>
      <c r="AA1567">
        <f>SUMIFS($S$2:S1567,$A$2:A1567,A1567,$N$2:N1567,"Explore*")</f>
        <v/>
      </c>
      <c r="AB1567">
        <f>IF(AND(LEFT(N1567,7)="Explore",(AA1567-IF(LEFT(N1567,7)="Explore",S1567,0))&lt;10),"SI","NO")</f>
        <v/>
      </c>
    </row>
    <row r="1568">
      <c r="A1568" t="inlineStr">
        <is>
          <t>c52m1_training</t>
        </is>
      </c>
      <c r="B1568" t="inlineStr">
        <is>
          <t>2026-02-24 11:43:33.958</t>
        </is>
      </c>
      <c r="C1568" t="n">
        <v/>
      </c>
      <c r="D1568" t="inlineStr">
        <is>
          <t>Media file</t>
        </is>
      </c>
      <c r="E1568" t="inlineStr">
        <is>
          <t>player #1:WT\training\c52m1.mp4</t>
        </is>
      </c>
      <c r="F1568" t="n">
        <v>-9.067</v>
      </c>
      <c r="G1568" t="n">
        <v>595.299</v>
      </c>
      <c r="H1568" t="n">
        <v>645.799</v>
      </c>
      <c r="I1568" t="n">
        <v>30</v>
      </c>
      <c r="J1568" t="inlineStr">
        <is>
          <t xml:space="preserve"> WT</t>
        </is>
      </c>
      <c r="K1568" t="inlineStr">
        <is>
          <t>Male</t>
        </is>
      </c>
      <c r="L1568" t="inlineStr">
        <is>
          <t>No focal subject</t>
        </is>
      </c>
      <c r="M1568" t="n">
        <v>33.329</v>
      </c>
      <c r="N1568" t="inlineStr">
        <is>
          <t>Explore_F2</t>
        </is>
      </c>
      <c r="O1568" t="inlineStr">
        <is>
          <t>Second familiar</t>
        </is>
      </c>
      <c r="P1568" t="inlineStr">
        <is>
          <t>STATE</t>
        </is>
      </c>
      <c r="Q1568" t="n">
        <v>562.032</v>
      </c>
      <c r="R1568" t="n">
        <v>562.966</v>
      </c>
      <c r="S1568" t="n">
        <v>0.9340000000000001</v>
      </c>
      <c r="T1568" t="inlineStr">
        <is>
          <t>WT\training\c52m1.mp4</t>
        </is>
      </c>
      <c r="U1568" t="n">
        <v>17131</v>
      </c>
      <c r="V1568" t="n">
        <v>17159</v>
      </c>
      <c r="W1568" t="n">
        <v/>
      </c>
      <c r="X1568" t="n">
        <v/>
      </c>
      <c r="Y1568" t="n">
        <v/>
      </c>
      <c r="Z1568" t="n">
        <v/>
      </c>
      <c r="AA1568">
        <f>SUMIFS($S$2:S1568,$A$2:A1568,A1568,$N$2:N1568,"Explore*")</f>
        <v/>
      </c>
      <c r="AB1568">
        <f>IF(AND(LEFT(N1568,7)="Explore",(AA1568-IF(LEFT(N1568,7)="Explore",S1568,0))&lt;10),"SI","NO")</f>
        <v/>
      </c>
    </row>
    <row r="1569">
      <c r="A1569" t="inlineStr">
        <is>
          <t>c52m1_training</t>
        </is>
      </c>
      <c r="B1569" t="inlineStr">
        <is>
          <t>2026-02-24 11:43:33.958</t>
        </is>
      </c>
      <c r="C1569" t="n">
        <v/>
      </c>
      <c r="D1569" t="inlineStr">
        <is>
          <t>Media file</t>
        </is>
      </c>
      <c r="E1569" t="inlineStr">
        <is>
          <t>player #1:WT\training\c52m1.mp4</t>
        </is>
      </c>
      <c r="F1569" t="n">
        <v>-9.067</v>
      </c>
      <c r="G1569" t="n">
        <v>595.299</v>
      </c>
      <c r="H1569" t="n">
        <v>645.799</v>
      </c>
      <c r="I1569" t="n">
        <v>30</v>
      </c>
      <c r="J1569" t="inlineStr">
        <is>
          <t xml:space="preserve"> WT</t>
        </is>
      </c>
      <c r="K1569" t="inlineStr">
        <is>
          <t>Male</t>
        </is>
      </c>
      <c r="L1569" t="inlineStr">
        <is>
          <t>No focal subject</t>
        </is>
      </c>
      <c r="M1569" t="n">
        <v>33.329</v>
      </c>
      <c r="N1569" t="inlineStr">
        <is>
          <t>Explore_F</t>
        </is>
      </c>
      <c r="O1569" t="inlineStr">
        <is>
          <t>Familiar</t>
        </is>
      </c>
      <c r="P1569" t="inlineStr">
        <is>
          <t>STATE</t>
        </is>
      </c>
      <c r="Q1569" t="n">
        <v>578.1319999999999</v>
      </c>
      <c r="R1569" t="n">
        <v>578.599</v>
      </c>
      <c r="S1569" t="n">
        <v>0.467</v>
      </c>
      <c r="T1569" t="inlineStr">
        <is>
          <t>WT\training\c52m1.mp4</t>
        </is>
      </c>
      <c r="U1569" t="n">
        <v>17614</v>
      </c>
      <c r="V1569" t="n">
        <v>17628</v>
      </c>
      <c r="W1569" t="n">
        <v/>
      </c>
      <c r="X1569" t="n">
        <v/>
      </c>
      <c r="Y1569" t="n">
        <v/>
      </c>
      <c r="Z1569" t="n">
        <v/>
      </c>
      <c r="AA1569">
        <f>SUMIFS($S$2:S1569,$A$2:A1569,A1569,$N$2:N1569,"Explore*")</f>
        <v/>
      </c>
      <c r="AB1569">
        <f>IF(AND(LEFT(N1569,7)="Explore",(AA1569-IF(LEFT(N1569,7)="Explore",S1569,0))&lt;10),"SI","NO")</f>
        <v/>
      </c>
    </row>
    <row r="1570">
      <c r="A1570" t="inlineStr">
        <is>
          <t>c52m1_training</t>
        </is>
      </c>
      <c r="B1570" t="inlineStr">
        <is>
          <t>2026-02-24 11:43:33.958</t>
        </is>
      </c>
      <c r="C1570" t="n">
        <v/>
      </c>
      <c r="D1570" t="inlineStr">
        <is>
          <t>Media file</t>
        </is>
      </c>
      <c r="E1570" t="inlineStr">
        <is>
          <t>player #1:WT\training\c52m1.mp4</t>
        </is>
      </c>
      <c r="F1570" t="n">
        <v>-9.067</v>
      </c>
      <c r="G1570" t="n">
        <v>595.299</v>
      </c>
      <c r="H1570" t="n">
        <v>645.799</v>
      </c>
      <c r="I1570" t="n">
        <v>30</v>
      </c>
      <c r="J1570" t="inlineStr">
        <is>
          <t xml:space="preserve"> WT</t>
        </is>
      </c>
      <c r="K1570" t="inlineStr">
        <is>
          <t>Male</t>
        </is>
      </c>
      <c r="L1570" t="inlineStr">
        <is>
          <t>No focal subject</t>
        </is>
      </c>
      <c r="M1570" t="n">
        <v>33.329</v>
      </c>
      <c r="N1570" t="inlineStr">
        <is>
          <t>Explore_F</t>
        </is>
      </c>
      <c r="O1570" t="inlineStr">
        <is>
          <t>Familiar</t>
        </is>
      </c>
      <c r="P1570" t="inlineStr">
        <is>
          <t>STATE</t>
        </is>
      </c>
      <c r="Q1570" t="n">
        <v>596.6660000000001</v>
      </c>
      <c r="R1570" t="n">
        <v>597.999</v>
      </c>
      <c r="S1570" t="n">
        <v>1.333</v>
      </c>
      <c r="T1570" t="inlineStr">
        <is>
          <t>WT\training\c52m1.mp4</t>
        </is>
      </c>
      <c r="U1570" t="n">
        <v>18170</v>
      </c>
      <c r="V1570" t="n">
        <v>18210</v>
      </c>
      <c r="W1570" t="n">
        <v/>
      </c>
      <c r="X1570" t="n">
        <v/>
      </c>
      <c r="Y1570" t="n">
        <v/>
      </c>
      <c r="Z1570" t="n">
        <v/>
      </c>
      <c r="AA1570">
        <f>SUMIFS($S$2:S1570,$A$2:A1570,A1570,$N$2:N1570,"Explore*")</f>
        <v/>
      </c>
      <c r="AB1570">
        <f>IF(AND(LEFT(N1570,7)="Explore",(AA1570-IF(LEFT(N1570,7)="Explore",S1570,0))&lt;10),"SI","NO")</f>
        <v/>
      </c>
    </row>
    <row r="1571">
      <c r="A1571" t="inlineStr">
        <is>
          <t>c52m1_training</t>
        </is>
      </c>
      <c r="B1571" t="inlineStr">
        <is>
          <t>2026-02-24 11:43:33.958</t>
        </is>
      </c>
      <c r="C1571" t="n">
        <v/>
      </c>
      <c r="D1571" t="inlineStr">
        <is>
          <t>Media file</t>
        </is>
      </c>
      <c r="E1571" t="inlineStr">
        <is>
          <t>player #1:WT\training\c52m1.mp4</t>
        </is>
      </c>
      <c r="F1571" t="n">
        <v>-9.067</v>
      </c>
      <c r="G1571" t="n">
        <v>595.299</v>
      </c>
      <c r="H1571" t="n">
        <v>645.799</v>
      </c>
      <c r="I1571" t="n">
        <v>30</v>
      </c>
      <c r="J1571" t="inlineStr">
        <is>
          <t xml:space="preserve"> WT</t>
        </is>
      </c>
      <c r="K1571" t="inlineStr">
        <is>
          <t>Male</t>
        </is>
      </c>
      <c r="L1571" t="inlineStr">
        <is>
          <t>No focal subject</t>
        </is>
      </c>
      <c r="M1571" t="n">
        <v>33.329</v>
      </c>
      <c r="N1571" t="inlineStr">
        <is>
          <t>Explore_F2</t>
        </is>
      </c>
      <c r="O1571" t="inlineStr">
        <is>
          <t>Second familiar</t>
        </is>
      </c>
      <c r="P1571" t="inlineStr">
        <is>
          <t>STATE</t>
        </is>
      </c>
      <c r="Q1571" t="n">
        <v>600.1660000000001</v>
      </c>
      <c r="R1571" t="n">
        <v>600.799</v>
      </c>
      <c r="S1571" t="n">
        <v>0.633</v>
      </c>
      <c r="T1571" t="inlineStr">
        <is>
          <t>WT\training\c52m1.mp4</t>
        </is>
      </c>
      <c r="U1571" t="n">
        <v>18275</v>
      </c>
      <c r="V1571" t="n">
        <v>18294</v>
      </c>
      <c r="W1571" t="n">
        <v/>
      </c>
      <c r="X1571" t="n">
        <v/>
      </c>
      <c r="Y1571" t="n">
        <v/>
      </c>
      <c r="Z1571" t="n">
        <v/>
      </c>
      <c r="AA1571">
        <f>SUMIFS($S$2:S1571,$A$2:A1571,A1571,$N$2:N1571,"Explore*")</f>
        <v/>
      </c>
      <c r="AB1571">
        <f>IF(AND(LEFT(N1571,7)="Explore",(AA1571-IF(LEFT(N1571,7)="Explore",S1571,0))&lt;10),"SI","NO")</f>
        <v/>
      </c>
    </row>
    <row r="1572">
      <c r="A1572" t="inlineStr">
        <is>
          <t>c52m2_training</t>
        </is>
      </c>
      <c r="B1572" t="inlineStr">
        <is>
          <t>2026-02-24 11:53:10.526</t>
        </is>
      </c>
      <c r="C1572" t="n">
        <v/>
      </c>
      <c r="D1572" t="inlineStr">
        <is>
          <t>Media file</t>
        </is>
      </c>
      <c r="E1572" t="inlineStr">
        <is>
          <t>player #1:WT\training\c52m2.mp4</t>
        </is>
      </c>
      <c r="F1572" t="n">
        <v>-20.1</v>
      </c>
      <c r="G1572" t="n">
        <v>593</v>
      </c>
      <c r="H1572" t="n">
        <v>637.399</v>
      </c>
      <c r="I1572" t="n">
        <v>30</v>
      </c>
      <c r="J1572" t="inlineStr">
        <is>
          <t xml:space="preserve"> WT</t>
        </is>
      </c>
      <c r="K1572" t="inlineStr">
        <is>
          <t>Male</t>
        </is>
      </c>
      <c r="L1572" t="inlineStr">
        <is>
          <t>No focal subject</t>
        </is>
      </c>
      <c r="M1572" t="n">
        <v>26.135</v>
      </c>
      <c r="N1572" t="inlineStr">
        <is>
          <t>Explore_F2</t>
        </is>
      </c>
      <c r="O1572" t="inlineStr">
        <is>
          <t>Second familiar</t>
        </is>
      </c>
      <c r="P1572" t="inlineStr">
        <is>
          <t>STATE</t>
        </is>
      </c>
      <c r="Q1572" t="n">
        <v>6.833</v>
      </c>
      <c r="R1572" t="n">
        <v>7.267</v>
      </c>
      <c r="S1572" t="n">
        <v>0.434</v>
      </c>
      <c r="T1572" t="inlineStr">
        <is>
          <t>WT\training\c52m2.mp4</t>
        </is>
      </c>
      <c r="U1572" t="n">
        <v>205</v>
      </c>
      <c r="V1572" t="n">
        <v>218</v>
      </c>
      <c r="W1572" t="n">
        <v/>
      </c>
      <c r="X1572" t="n">
        <v/>
      </c>
      <c r="Y1572" t="n">
        <v/>
      </c>
      <c r="Z1572" t="n">
        <v/>
      </c>
      <c r="AA1572">
        <f>SUMIFS($S$2:S1572,$A$2:A1572,A1572,$N$2:N1572,"Explore*")</f>
        <v/>
      </c>
      <c r="AB1572">
        <f>IF(AND(LEFT(N1572,7)="Explore",(AA1572-IF(LEFT(N1572,7)="Explore",S1572,0))&lt;10),"SI","NO")</f>
        <v/>
      </c>
    </row>
    <row r="1573">
      <c r="A1573" t="inlineStr">
        <is>
          <t>c52m2_training</t>
        </is>
      </c>
      <c r="B1573" t="inlineStr">
        <is>
          <t>2026-02-24 11:53:10.526</t>
        </is>
      </c>
      <c r="C1573" t="n">
        <v/>
      </c>
      <c r="D1573" t="inlineStr">
        <is>
          <t>Media file</t>
        </is>
      </c>
      <c r="E1573" t="inlineStr">
        <is>
          <t>player #1:WT\training\c52m2.mp4</t>
        </is>
      </c>
      <c r="F1573" t="n">
        <v>-20.1</v>
      </c>
      <c r="G1573" t="n">
        <v>593</v>
      </c>
      <c r="H1573" t="n">
        <v>637.399</v>
      </c>
      <c r="I1573" t="n">
        <v>30</v>
      </c>
      <c r="J1573" t="inlineStr">
        <is>
          <t xml:space="preserve"> WT</t>
        </is>
      </c>
      <c r="K1573" t="inlineStr">
        <is>
          <t>Male</t>
        </is>
      </c>
      <c r="L1573" t="inlineStr">
        <is>
          <t>No focal subject</t>
        </is>
      </c>
      <c r="M1573" t="n">
        <v>26.135</v>
      </c>
      <c r="N1573" t="inlineStr">
        <is>
          <t>Explore_F</t>
        </is>
      </c>
      <c r="O1573" t="inlineStr">
        <is>
          <t>Familiar</t>
        </is>
      </c>
      <c r="P1573" t="inlineStr">
        <is>
          <t>STATE</t>
        </is>
      </c>
      <c r="Q1573" t="n">
        <v>72.43300000000001</v>
      </c>
      <c r="R1573" t="n">
        <v>72.867</v>
      </c>
      <c r="S1573" t="n">
        <v>0.434</v>
      </c>
      <c r="T1573" t="inlineStr">
        <is>
          <t>WT\training\c52m2.mp4</t>
        </is>
      </c>
      <c r="U1573" t="n">
        <v>2173</v>
      </c>
      <c r="V1573" t="n">
        <v>2186</v>
      </c>
      <c r="W1573" t="n">
        <v/>
      </c>
      <c r="X1573" t="n">
        <v/>
      </c>
      <c r="Y1573" t="n">
        <v/>
      </c>
      <c r="Z1573" t="n">
        <v/>
      </c>
      <c r="AA1573">
        <f>SUMIFS($S$2:S1573,$A$2:A1573,A1573,$N$2:N1573,"Explore*")</f>
        <v/>
      </c>
      <c r="AB1573">
        <f>IF(AND(LEFT(N1573,7)="Explore",(AA1573-IF(LEFT(N1573,7)="Explore",S1573,0))&lt;10),"SI","NO")</f>
        <v/>
      </c>
    </row>
    <row r="1574">
      <c r="A1574" t="inlineStr">
        <is>
          <t>c52m2_training</t>
        </is>
      </c>
      <c r="B1574" t="inlineStr">
        <is>
          <t>2026-02-24 11:53:10.526</t>
        </is>
      </c>
      <c r="C1574" t="n">
        <v/>
      </c>
      <c r="D1574" t="inlineStr">
        <is>
          <t>Media file</t>
        </is>
      </c>
      <c r="E1574" t="inlineStr">
        <is>
          <t>player #1:WT\training\c52m2.mp4</t>
        </is>
      </c>
      <c r="F1574" t="n">
        <v>-20.1</v>
      </c>
      <c r="G1574" t="n">
        <v>593</v>
      </c>
      <c r="H1574" t="n">
        <v>637.399</v>
      </c>
      <c r="I1574" t="n">
        <v>30</v>
      </c>
      <c r="J1574" t="inlineStr">
        <is>
          <t xml:space="preserve"> WT</t>
        </is>
      </c>
      <c r="K1574" t="inlineStr">
        <is>
          <t>Male</t>
        </is>
      </c>
      <c r="L1574" t="inlineStr">
        <is>
          <t>No focal subject</t>
        </is>
      </c>
      <c r="M1574" t="n">
        <v>26.135</v>
      </c>
      <c r="N1574" t="inlineStr">
        <is>
          <t>Explore_F2</t>
        </is>
      </c>
      <c r="O1574" t="inlineStr">
        <is>
          <t>Second familiar</t>
        </is>
      </c>
      <c r="P1574" t="inlineStr">
        <is>
          <t>STATE</t>
        </is>
      </c>
      <c r="Q1574" t="n">
        <v>169.933</v>
      </c>
      <c r="R1574" t="n">
        <v>170.433</v>
      </c>
      <c r="S1574" t="n">
        <v>0.5</v>
      </c>
      <c r="T1574" t="inlineStr">
        <is>
          <t>WT\training\c52m2.mp4</t>
        </is>
      </c>
      <c r="U1574" t="n">
        <v>5097</v>
      </c>
      <c r="V1574" t="n">
        <v>5112</v>
      </c>
      <c r="W1574" t="n">
        <v/>
      </c>
      <c r="X1574" t="n">
        <v/>
      </c>
      <c r="Y1574" t="n">
        <v/>
      </c>
      <c r="Z1574" t="n">
        <v/>
      </c>
      <c r="AA1574">
        <f>SUMIFS($S$2:S1574,$A$2:A1574,A1574,$N$2:N1574,"Explore*")</f>
        <v/>
      </c>
      <c r="AB1574">
        <f>IF(AND(LEFT(N1574,7)="Explore",(AA1574-IF(LEFT(N1574,7)="Explore",S1574,0))&lt;10),"SI","NO")</f>
        <v/>
      </c>
    </row>
    <row r="1575">
      <c r="A1575" t="inlineStr">
        <is>
          <t>c52m2_training</t>
        </is>
      </c>
      <c r="B1575" t="inlineStr">
        <is>
          <t>2026-02-24 11:53:10.526</t>
        </is>
      </c>
      <c r="C1575" t="n">
        <v/>
      </c>
      <c r="D1575" t="inlineStr">
        <is>
          <t>Media file</t>
        </is>
      </c>
      <c r="E1575" t="inlineStr">
        <is>
          <t>player #1:WT\training\c52m2.mp4</t>
        </is>
      </c>
      <c r="F1575" t="n">
        <v>-20.1</v>
      </c>
      <c r="G1575" t="n">
        <v>593</v>
      </c>
      <c r="H1575" t="n">
        <v>637.399</v>
      </c>
      <c r="I1575" t="n">
        <v>30</v>
      </c>
      <c r="J1575" t="inlineStr">
        <is>
          <t xml:space="preserve"> WT</t>
        </is>
      </c>
      <c r="K1575" t="inlineStr">
        <is>
          <t>Male</t>
        </is>
      </c>
      <c r="L1575" t="inlineStr">
        <is>
          <t>No focal subject</t>
        </is>
      </c>
      <c r="M1575" t="n">
        <v>26.135</v>
      </c>
      <c r="N1575" t="inlineStr">
        <is>
          <t>Explore_F</t>
        </is>
      </c>
      <c r="O1575" t="inlineStr">
        <is>
          <t>Familiar</t>
        </is>
      </c>
      <c r="P1575" t="inlineStr">
        <is>
          <t>STATE</t>
        </is>
      </c>
      <c r="Q1575" t="n">
        <v>177.133</v>
      </c>
      <c r="R1575" t="n">
        <v>177.533</v>
      </c>
      <c r="S1575" t="n">
        <v>0.4</v>
      </c>
      <c r="T1575" t="inlineStr">
        <is>
          <t>WT\training\c52m2.mp4</t>
        </is>
      </c>
      <c r="U1575" t="n">
        <v>5313</v>
      </c>
      <c r="V1575" t="n">
        <v>5325</v>
      </c>
      <c r="W1575" t="n">
        <v/>
      </c>
      <c r="X1575" t="n">
        <v/>
      </c>
      <c r="Y1575" t="n">
        <v/>
      </c>
      <c r="Z1575" t="n">
        <v/>
      </c>
      <c r="AA1575">
        <f>SUMIFS($S$2:S1575,$A$2:A1575,A1575,$N$2:N1575,"Explore*")</f>
        <v/>
      </c>
      <c r="AB1575">
        <f>IF(AND(LEFT(N1575,7)="Explore",(AA1575-IF(LEFT(N1575,7)="Explore",S1575,0))&lt;10),"SI","NO")</f>
        <v/>
      </c>
    </row>
    <row r="1576">
      <c r="A1576" t="inlineStr">
        <is>
          <t>c52m2_training</t>
        </is>
      </c>
      <c r="B1576" t="inlineStr">
        <is>
          <t>2026-02-24 11:53:10.526</t>
        </is>
      </c>
      <c r="C1576" t="n">
        <v/>
      </c>
      <c r="D1576" t="inlineStr">
        <is>
          <t>Media file</t>
        </is>
      </c>
      <c r="E1576" t="inlineStr">
        <is>
          <t>player #1:WT\training\c52m2.mp4</t>
        </is>
      </c>
      <c r="F1576" t="n">
        <v>-20.1</v>
      </c>
      <c r="G1576" t="n">
        <v>593</v>
      </c>
      <c r="H1576" t="n">
        <v>637.399</v>
      </c>
      <c r="I1576" t="n">
        <v>30</v>
      </c>
      <c r="J1576" t="inlineStr">
        <is>
          <t xml:space="preserve"> WT</t>
        </is>
      </c>
      <c r="K1576" t="inlineStr">
        <is>
          <t>Male</t>
        </is>
      </c>
      <c r="L1576" t="inlineStr">
        <is>
          <t>No focal subject</t>
        </is>
      </c>
      <c r="M1576" t="n">
        <v>26.135</v>
      </c>
      <c r="N1576" t="inlineStr">
        <is>
          <t>Explore_F2</t>
        </is>
      </c>
      <c r="O1576" t="inlineStr">
        <is>
          <t>Second familiar</t>
        </is>
      </c>
      <c r="P1576" t="inlineStr">
        <is>
          <t>STATE</t>
        </is>
      </c>
      <c r="Q1576" t="n">
        <v>177.933</v>
      </c>
      <c r="R1576" t="n">
        <v>178.433</v>
      </c>
      <c r="S1576" t="n">
        <v>0.5</v>
      </c>
      <c r="T1576" t="inlineStr">
        <is>
          <t>WT\training\c52m2.mp4</t>
        </is>
      </c>
      <c r="U1576" t="n">
        <v>5337</v>
      </c>
      <c r="V1576" t="n">
        <v>5352</v>
      </c>
      <c r="W1576" t="n">
        <v/>
      </c>
      <c r="X1576" t="n">
        <v/>
      </c>
      <c r="Y1576" t="n">
        <v/>
      </c>
      <c r="Z1576" t="n">
        <v/>
      </c>
      <c r="AA1576">
        <f>SUMIFS($S$2:S1576,$A$2:A1576,A1576,$N$2:N1576,"Explore*")</f>
        <v/>
      </c>
      <c r="AB1576">
        <f>IF(AND(LEFT(N1576,7)="Explore",(AA1576-IF(LEFT(N1576,7)="Explore",S1576,0))&lt;10),"SI","NO")</f>
        <v/>
      </c>
    </row>
    <row r="1577">
      <c r="A1577" t="inlineStr">
        <is>
          <t>c52m2_training</t>
        </is>
      </c>
      <c r="B1577" t="inlineStr">
        <is>
          <t>2026-02-24 11:53:10.526</t>
        </is>
      </c>
      <c r="C1577" t="n">
        <v/>
      </c>
      <c r="D1577" t="inlineStr">
        <is>
          <t>Media file</t>
        </is>
      </c>
      <c r="E1577" t="inlineStr">
        <is>
          <t>player #1:WT\training\c52m2.mp4</t>
        </is>
      </c>
      <c r="F1577" t="n">
        <v>-20.1</v>
      </c>
      <c r="G1577" t="n">
        <v>593</v>
      </c>
      <c r="H1577" t="n">
        <v>637.399</v>
      </c>
      <c r="I1577" t="n">
        <v>30</v>
      </c>
      <c r="J1577" t="inlineStr">
        <is>
          <t xml:space="preserve"> WT</t>
        </is>
      </c>
      <c r="K1577" t="inlineStr">
        <is>
          <t>Male</t>
        </is>
      </c>
      <c r="L1577" t="inlineStr">
        <is>
          <t>No focal subject</t>
        </is>
      </c>
      <c r="M1577" t="n">
        <v>26.135</v>
      </c>
      <c r="N1577" t="inlineStr">
        <is>
          <t>Explore_F2</t>
        </is>
      </c>
      <c r="O1577" t="inlineStr">
        <is>
          <t>Second familiar</t>
        </is>
      </c>
      <c r="P1577" t="inlineStr">
        <is>
          <t>STATE</t>
        </is>
      </c>
      <c r="Q1577" t="n">
        <v>183.366</v>
      </c>
      <c r="R1577" t="n">
        <v>184.466</v>
      </c>
      <c r="S1577" t="n">
        <v>1.1</v>
      </c>
      <c r="T1577" t="inlineStr">
        <is>
          <t>WT\training\c52m2.mp4</t>
        </is>
      </c>
      <c r="U1577" t="n">
        <v>5500</v>
      </c>
      <c r="V1577" t="n">
        <v>5533</v>
      </c>
      <c r="W1577" t="n">
        <v/>
      </c>
      <c r="X1577" t="n">
        <v/>
      </c>
      <c r="Y1577" t="n">
        <v/>
      </c>
      <c r="Z1577" t="n">
        <v/>
      </c>
      <c r="AA1577">
        <f>SUMIFS($S$2:S1577,$A$2:A1577,A1577,$N$2:N1577,"Explore*")</f>
        <v/>
      </c>
      <c r="AB1577">
        <f>IF(AND(LEFT(N1577,7)="Explore",(AA1577-IF(LEFT(N1577,7)="Explore",S1577,0))&lt;10),"SI","NO")</f>
        <v/>
      </c>
    </row>
    <row r="1578">
      <c r="A1578" t="inlineStr">
        <is>
          <t>c52m2_training</t>
        </is>
      </c>
      <c r="B1578" t="inlineStr">
        <is>
          <t>2026-02-24 11:53:10.526</t>
        </is>
      </c>
      <c r="C1578" t="n">
        <v/>
      </c>
      <c r="D1578" t="inlineStr">
        <is>
          <t>Media file</t>
        </is>
      </c>
      <c r="E1578" t="inlineStr">
        <is>
          <t>player #1:WT\training\c52m2.mp4</t>
        </is>
      </c>
      <c r="F1578" t="n">
        <v>-20.1</v>
      </c>
      <c r="G1578" t="n">
        <v>593</v>
      </c>
      <c r="H1578" t="n">
        <v>637.399</v>
      </c>
      <c r="I1578" t="n">
        <v>30</v>
      </c>
      <c r="J1578" t="inlineStr">
        <is>
          <t xml:space="preserve"> WT</t>
        </is>
      </c>
      <c r="K1578" t="inlineStr">
        <is>
          <t>Male</t>
        </is>
      </c>
      <c r="L1578" t="inlineStr">
        <is>
          <t>No focal subject</t>
        </is>
      </c>
      <c r="M1578" t="n">
        <v>26.135</v>
      </c>
      <c r="N1578" t="inlineStr">
        <is>
          <t>Explore_F</t>
        </is>
      </c>
      <c r="O1578" t="inlineStr">
        <is>
          <t>Familiar</t>
        </is>
      </c>
      <c r="P1578" t="inlineStr">
        <is>
          <t>STATE</t>
        </is>
      </c>
      <c r="Q1578" t="n">
        <v>196.333</v>
      </c>
      <c r="R1578" t="n">
        <v>196.733</v>
      </c>
      <c r="S1578" t="n">
        <v>0.4</v>
      </c>
      <c r="T1578" t="inlineStr">
        <is>
          <t>WT\training\c52m2.mp4</t>
        </is>
      </c>
      <c r="U1578" t="n">
        <v>5889</v>
      </c>
      <c r="V1578" t="n">
        <v>5901</v>
      </c>
      <c r="W1578" t="n">
        <v/>
      </c>
      <c r="X1578" t="n">
        <v/>
      </c>
      <c r="Y1578" t="n">
        <v/>
      </c>
      <c r="Z1578" t="n">
        <v/>
      </c>
      <c r="AA1578">
        <f>SUMIFS($S$2:S1578,$A$2:A1578,A1578,$N$2:N1578,"Explore*")</f>
        <v/>
      </c>
      <c r="AB1578">
        <f>IF(AND(LEFT(N1578,7)="Explore",(AA1578-IF(LEFT(N1578,7)="Explore",S1578,0))&lt;10),"SI","NO")</f>
        <v/>
      </c>
    </row>
    <row r="1579">
      <c r="A1579" t="inlineStr">
        <is>
          <t>c52m2_training</t>
        </is>
      </c>
      <c r="B1579" t="inlineStr">
        <is>
          <t>2026-02-24 11:53:10.526</t>
        </is>
      </c>
      <c r="C1579" t="n">
        <v/>
      </c>
      <c r="D1579" t="inlineStr">
        <is>
          <t>Media file</t>
        </is>
      </c>
      <c r="E1579" t="inlineStr">
        <is>
          <t>player #1:WT\training\c52m2.mp4</t>
        </is>
      </c>
      <c r="F1579" t="n">
        <v>-20.1</v>
      </c>
      <c r="G1579" t="n">
        <v>593</v>
      </c>
      <c r="H1579" t="n">
        <v>637.399</v>
      </c>
      <c r="I1579" t="n">
        <v>30</v>
      </c>
      <c r="J1579" t="inlineStr">
        <is>
          <t xml:space="preserve"> WT</t>
        </is>
      </c>
      <c r="K1579" t="inlineStr">
        <is>
          <t>Male</t>
        </is>
      </c>
      <c r="L1579" t="inlineStr">
        <is>
          <t>No focal subject</t>
        </is>
      </c>
      <c r="M1579" t="n">
        <v>26.135</v>
      </c>
      <c r="N1579" t="inlineStr">
        <is>
          <t>Explore_F</t>
        </is>
      </c>
      <c r="O1579" t="inlineStr">
        <is>
          <t>Familiar</t>
        </is>
      </c>
      <c r="P1579" t="inlineStr">
        <is>
          <t>STATE</t>
        </is>
      </c>
      <c r="Q1579" t="n">
        <v>199.066</v>
      </c>
      <c r="R1579" t="n">
        <v>199.433</v>
      </c>
      <c r="S1579" t="n">
        <v>0.367</v>
      </c>
      <c r="T1579" t="inlineStr">
        <is>
          <t>WT\training\c52m2.mp4</t>
        </is>
      </c>
      <c r="U1579" t="n">
        <v>5971</v>
      </c>
      <c r="V1579" t="n">
        <v>5982</v>
      </c>
      <c r="W1579" t="n">
        <v/>
      </c>
      <c r="X1579" t="n">
        <v/>
      </c>
      <c r="Y1579" t="n">
        <v/>
      </c>
      <c r="Z1579" t="n">
        <v/>
      </c>
      <c r="AA1579">
        <f>SUMIFS($S$2:S1579,$A$2:A1579,A1579,$N$2:N1579,"Explore*")</f>
        <v/>
      </c>
      <c r="AB1579">
        <f>IF(AND(LEFT(N1579,7)="Explore",(AA1579-IF(LEFT(N1579,7)="Explore",S1579,0))&lt;10),"SI","NO")</f>
        <v/>
      </c>
    </row>
    <row r="1580">
      <c r="A1580" t="inlineStr">
        <is>
          <t>c52m2_training</t>
        </is>
      </c>
      <c r="B1580" t="inlineStr">
        <is>
          <t>2026-02-24 11:53:10.526</t>
        </is>
      </c>
      <c r="C1580" t="n">
        <v/>
      </c>
      <c r="D1580" t="inlineStr">
        <is>
          <t>Media file</t>
        </is>
      </c>
      <c r="E1580" t="inlineStr">
        <is>
          <t>player #1:WT\training\c52m2.mp4</t>
        </is>
      </c>
      <c r="F1580" t="n">
        <v>-20.1</v>
      </c>
      <c r="G1580" t="n">
        <v>593</v>
      </c>
      <c r="H1580" t="n">
        <v>637.399</v>
      </c>
      <c r="I1580" t="n">
        <v>30</v>
      </c>
      <c r="J1580" t="inlineStr">
        <is>
          <t xml:space="preserve"> WT</t>
        </is>
      </c>
      <c r="K1580" t="inlineStr">
        <is>
          <t>Male</t>
        </is>
      </c>
      <c r="L1580" t="inlineStr">
        <is>
          <t>No focal subject</t>
        </is>
      </c>
      <c r="M1580" t="n">
        <v>26.135</v>
      </c>
      <c r="N1580" t="inlineStr">
        <is>
          <t>Explore_F2</t>
        </is>
      </c>
      <c r="O1580" t="inlineStr">
        <is>
          <t>Second familiar</t>
        </is>
      </c>
      <c r="P1580" t="inlineStr">
        <is>
          <t>STATE</t>
        </is>
      </c>
      <c r="Q1580" t="n">
        <v>204.466</v>
      </c>
      <c r="R1580" t="n">
        <v>205.3</v>
      </c>
      <c r="S1580" t="n">
        <v>0.834</v>
      </c>
      <c r="T1580" t="inlineStr">
        <is>
          <t>WT\training\c52m2.mp4</t>
        </is>
      </c>
      <c r="U1580" t="n">
        <v>6133</v>
      </c>
      <c r="V1580" t="n">
        <v>6158</v>
      </c>
      <c r="W1580" t="n">
        <v/>
      </c>
      <c r="X1580" t="n">
        <v/>
      </c>
      <c r="Y1580" t="n">
        <v/>
      </c>
      <c r="Z1580" t="n">
        <v/>
      </c>
      <c r="AA1580">
        <f>SUMIFS($S$2:S1580,$A$2:A1580,A1580,$N$2:N1580,"Explore*")</f>
        <v/>
      </c>
      <c r="AB1580">
        <f>IF(AND(LEFT(N1580,7)="Explore",(AA1580-IF(LEFT(N1580,7)="Explore",S1580,0))&lt;10),"SI","NO")</f>
        <v/>
      </c>
    </row>
    <row r="1581">
      <c r="A1581" t="inlineStr">
        <is>
          <t>c52m2_training</t>
        </is>
      </c>
      <c r="B1581" t="inlineStr">
        <is>
          <t>2026-02-24 11:53:10.526</t>
        </is>
      </c>
      <c r="C1581" t="n">
        <v/>
      </c>
      <c r="D1581" t="inlineStr">
        <is>
          <t>Media file</t>
        </is>
      </c>
      <c r="E1581" t="inlineStr">
        <is>
          <t>player #1:WT\training\c52m2.mp4</t>
        </is>
      </c>
      <c r="F1581" t="n">
        <v>-20.1</v>
      </c>
      <c r="G1581" t="n">
        <v>593</v>
      </c>
      <c r="H1581" t="n">
        <v>637.399</v>
      </c>
      <c r="I1581" t="n">
        <v>30</v>
      </c>
      <c r="J1581" t="inlineStr">
        <is>
          <t xml:space="preserve"> WT</t>
        </is>
      </c>
      <c r="K1581" t="inlineStr">
        <is>
          <t>Male</t>
        </is>
      </c>
      <c r="L1581" t="inlineStr">
        <is>
          <t>No focal subject</t>
        </is>
      </c>
      <c r="M1581" t="n">
        <v>26.135</v>
      </c>
      <c r="N1581" t="inlineStr">
        <is>
          <t>Explore_F2</t>
        </is>
      </c>
      <c r="O1581" t="inlineStr">
        <is>
          <t>Second familiar</t>
        </is>
      </c>
      <c r="P1581" t="inlineStr">
        <is>
          <t>STATE</t>
        </is>
      </c>
      <c r="Q1581" t="n">
        <v>208.533</v>
      </c>
      <c r="R1581" t="n">
        <v>209.6</v>
      </c>
      <c r="S1581" t="n">
        <v>1.067</v>
      </c>
      <c r="T1581" t="inlineStr">
        <is>
          <t>WT\training\c52m2.mp4</t>
        </is>
      </c>
      <c r="U1581" t="n">
        <v>6255</v>
      </c>
      <c r="V1581" t="n">
        <v>6288</v>
      </c>
      <c r="W1581" t="n">
        <v/>
      </c>
      <c r="X1581" t="n">
        <v/>
      </c>
      <c r="Y1581" t="n">
        <v/>
      </c>
      <c r="Z1581" t="n">
        <v/>
      </c>
      <c r="AA1581">
        <f>SUMIFS($S$2:S1581,$A$2:A1581,A1581,$N$2:N1581,"Explore*")</f>
        <v/>
      </c>
      <c r="AB1581">
        <f>IF(AND(LEFT(N1581,7)="Explore",(AA1581-IF(LEFT(N1581,7)="Explore",S1581,0))&lt;10),"SI","NO")</f>
        <v/>
      </c>
    </row>
    <row r="1582">
      <c r="A1582" t="inlineStr">
        <is>
          <t>c52m2_training</t>
        </is>
      </c>
      <c r="B1582" t="inlineStr">
        <is>
          <t>2026-02-24 11:53:10.526</t>
        </is>
      </c>
      <c r="C1582" t="n">
        <v/>
      </c>
      <c r="D1582" t="inlineStr">
        <is>
          <t>Media file</t>
        </is>
      </c>
      <c r="E1582" t="inlineStr">
        <is>
          <t>player #1:WT\training\c52m2.mp4</t>
        </is>
      </c>
      <c r="F1582" t="n">
        <v>-20.1</v>
      </c>
      <c r="G1582" t="n">
        <v>593</v>
      </c>
      <c r="H1582" t="n">
        <v>637.399</v>
      </c>
      <c r="I1582" t="n">
        <v>30</v>
      </c>
      <c r="J1582" t="inlineStr">
        <is>
          <t xml:space="preserve"> WT</t>
        </is>
      </c>
      <c r="K1582" t="inlineStr">
        <is>
          <t>Male</t>
        </is>
      </c>
      <c r="L1582" t="inlineStr">
        <is>
          <t>No focal subject</t>
        </is>
      </c>
      <c r="M1582" t="n">
        <v>26.135</v>
      </c>
      <c r="N1582" t="inlineStr">
        <is>
          <t>Explore_F</t>
        </is>
      </c>
      <c r="O1582" t="inlineStr">
        <is>
          <t>Familiar</t>
        </is>
      </c>
      <c r="P1582" t="inlineStr">
        <is>
          <t>STATE</t>
        </is>
      </c>
      <c r="Q1582" t="n">
        <v>220.9</v>
      </c>
      <c r="R1582" t="n">
        <v>221.366</v>
      </c>
      <c r="S1582" t="n">
        <v>0.466</v>
      </c>
      <c r="T1582" t="inlineStr">
        <is>
          <t>WT\training\c52m2.mp4</t>
        </is>
      </c>
      <c r="U1582" t="n">
        <v>6626</v>
      </c>
      <c r="V1582" t="n">
        <v>6640</v>
      </c>
      <c r="W1582" t="n">
        <v/>
      </c>
      <c r="X1582" t="n">
        <v/>
      </c>
      <c r="Y1582" t="n">
        <v/>
      </c>
      <c r="Z1582" t="n">
        <v/>
      </c>
      <c r="AA1582">
        <f>SUMIFS($S$2:S1582,$A$2:A1582,A1582,$N$2:N1582,"Explore*")</f>
        <v/>
      </c>
      <c r="AB1582">
        <f>IF(AND(LEFT(N1582,7)="Explore",(AA1582-IF(LEFT(N1582,7)="Explore",S1582,0))&lt;10),"SI","NO")</f>
        <v/>
      </c>
    </row>
    <row r="1583">
      <c r="A1583" t="inlineStr">
        <is>
          <t>c52m2_training</t>
        </is>
      </c>
      <c r="B1583" t="inlineStr">
        <is>
          <t>2026-02-24 11:53:10.526</t>
        </is>
      </c>
      <c r="C1583" t="n">
        <v/>
      </c>
      <c r="D1583" t="inlineStr">
        <is>
          <t>Media file</t>
        </is>
      </c>
      <c r="E1583" t="inlineStr">
        <is>
          <t>player #1:WT\training\c52m2.mp4</t>
        </is>
      </c>
      <c r="F1583" t="n">
        <v>-20.1</v>
      </c>
      <c r="G1583" t="n">
        <v>593</v>
      </c>
      <c r="H1583" t="n">
        <v>637.399</v>
      </c>
      <c r="I1583" t="n">
        <v>30</v>
      </c>
      <c r="J1583" t="inlineStr">
        <is>
          <t xml:space="preserve"> WT</t>
        </is>
      </c>
      <c r="K1583" t="inlineStr">
        <is>
          <t>Male</t>
        </is>
      </c>
      <c r="L1583" t="inlineStr">
        <is>
          <t>No focal subject</t>
        </is>
      </c>
      <c r="M1583" t="n">
        <v>26.135</v>
      </c>
      <c r="N1583" t="inlineStr">
        <is>
          <t>Explore_F</t>
        </is>
      </c>
      <c r="O1583" t="inlineStr">
        <is>
          <t>Familiar</t>
        </is>
      </c>
      <c r="P1583" t="inlineStr">
        <is>
          <t>STATE</t>
        </is>
      </c>
      <c r="Q1583" t="n">
        <v>223.233</v>
      </c>
      <c r="R1583" t="n">
        <v>223.433</v>
      </c>
      <c r="S1583" t="n">
        <v>0.2</v>
      </c>
      <c r="T1583" t="inlineStr">
        <is>
          <t>WT\training\c52m2.mp4</t>
        </is>
      </c>
      <c r="U1583" t="n">
        <v>6696</v>
      </c>
      <c r="V1583" t="n">
        <v>6702</v>
      </c>
      <c r="W1583" t="n">
        <v/>
      </c>
      <c r="X1583" t="n">
        <v/>
      </c>
      <c r="Y1583" t="n">
        <v/>
      </c>
      <c r="Z1583" t="n">
        <v/>
      </c>
      <c r="AA1583">
        <f>SUMIFS($S$2:S1583,$A$2:A1583,A1583,$N$2:N1583,"Explore*")</f>
        <v/>
      </c>
      <c r="AB1583">
        <f>IF(AND(LEFT(N1583,7)="Explore",(AA1583-IF(LEFT(N1583,7)="Explore",S1583,0))&lt;10),"SI","NO")</f>
        <v/>
      </c>
    </row>
    <row r="1584">
      <c r="A1584" t="inlineStr">
        <is>
          <t>c52m2_training</t>
        </is>
      </c>
      <c r="B1584" t="inlineStr">
        <is>
          <t>2026-02-24 11:53:10.526</t>
        </is>
      </c>
      <c r="C1584" t="n">
        <v/>
      </c>
      <c r="D1584" t="inlineStr">
        <is>
          <t>Media file</t>
        </is>
      </c>
      <c r="E1584" t="inlineStr">
        <is>
          <t>player #1:WT\training\c52m2.mp4</t>
        </is>
      </c>
      <c r="F1584" t="n">
        <v>-20.1</v>
      </c>
      <c r="G1584" t="n">
        <v>593</v>
      </c>
      <c r="H1584" t="n">
        <v>637.399</v>
      </c>
      <c r="I1584" t="n">
        <v>30</v>
      </c>
      <c r="J1584" t="inlineStr">
        <is>
          <t xml:space="preserve"> WT</t>
        </is>
      </c>
      <c r="K1584" t="inlineStr">
        <is>
          <t>Male</t>
        </is>
      </c>
      <c r="L1584" t="inlineStr">
        <is>
          <t>No focal subject</t>
        </is>
      </c>
      <c r="M1584" t="n">
        <v>26.135</v>
      </c>
      <c r="N1584" t="inlineStr">
        <is>
          <t>Explore_F</t>
        </is>
      </c>
      <c r="O1584" t="inlineStr">
        <is>
          <t>Familiar</t>
        </is>
      </c>
      <c r="P1584" t="inlineStr">
        <is>
          <t>STATE</t>
        </is>
      </c>
      <c r="Q1584" t="n">
        <v>246.566</v>
      </c>
      <c r="R1584" t="n">
        <v>247.166</v>
      </c>
      <c r="S1584" t="n">
        <v>0.6</v>
      </c>
      <c r="T1584" t="inlineStr">
        <is>
          <t>WT\training\c52m2.mp4</t>
        </is>
      </c>
      <c r="U1584" t="n">
        <v>7396</v>
      </c>
      <c r="V1584" t="n">
        <v>7414</v>
      </c>
      <c r="W1584" t="n">
        <v/>
      </c>
      <c r="X1584" t="n">
        <v/>
      </c>
      <c r="Y1584" t="n">
        <v/>
      </c>
      <c r="Z1584" t="n">
        <v/>
      </c>
      <c r="AA1584">
        <f>SUMIFS($S$2:S1584,$A$2:A1584,A1584,$N$2:N1584,"Explore*")</f>
        <v/>
      </c>
      <c r="AB1584">
        <f>IF(AND(LEFT(N1584,7)="Explore",(AA1584-IF(LEFT(N1584,7)="Explore",S1584,0))&lt;10),"SI","NO")</f>
        <v/>
      </c>
    </row>
    <row r="1585">
      <c r="A1585" t="inlineStr">
        <is>
          <t>c52m2_training</t>
        </is>
      </c>
      <c r="B1585" t="inlineStr">
        <is>
          <t>2026-02-24 11:53:10.526</t>
        </is>
      </c>
      <c r="C1585" t="n">
        <v/>
      </c>
      <c r="D1585" t="inlineStr">
        <is>
          <t>Media file</t>
        </is>
      </c>
      <c r="E1585" t="inlineStr">
        <is>
          <t>player #1:WT\training\c52m2.mp4</t>
        </is>
      </c>
      <c r="F1585" t="n">
        <v>-20.1</v>
      </c>
      <c r="G1585" t="n">
        <v>593</v>
      </c>
      <c r="H1585" t="n">
        <v>637.399</v>
      </c>
      <c r="I1585" t="n">
        <v>30</v>
      </c>
      <c r="J1585" t="inlineStr">
        <is>
          <t xml:space="preserve"> WT</t>
        </is>
      </c>
      <c r="K1585" t="inlineStr">
        <is>
          <t>Male</t>
        </is>
      </c>
      <c r="L1585" t="inlineStr">
        <is>
          <t>No focal subject</t>
        </is>
      </c>
      <c r="M1585" t="n">
        <v>26.135</v>
      </c>
      <c r="N1585" t="inlineStr">
        <is>
          <t>Explore_F</t>
        </is>
      </c>
      <c r="O1585" t="inlineStr">
        <is>
          <t>Familiar</t>
        </is>
      </c>
      <c r="P1585" t="inlineStr">
        <is>
          <t>STATE</t>
        </is>
      </c>
      <c r="Q1585" t="n">
        <v>252.966</v>
      </c>
      <c r="R1585" t="n">
        <v>255.366</v>
      </c>
      <c r="S1585" t="n">
        <v>2.4</v>
      </c>
      <c r="T1585" t="inlineStr">
        <is>
          <t>WT\training\c52m2.mp4</t>
        </is>
      </c>
      <c r="U1585" t="n">
        <v>7588</v>
      </c>
      <c r="V1585" t="n">
        <v>7659</v>
      </c>
      <c r="W1585" t="n">
        <v/>
      </c>
      <c r="X1585" t="n">
        <v/>
      </c>
      <c r="Y1585" t="n">
        <v/>
      </c>
      <c r="Z1585" t="n">
        <v/>
      </c>
      <c r="AA1585">
        <f>SUMIFS($S$2:S1585,$A$2:A1585,A1585,$N$2:N1585,"Explore*")</f>
        <v/>
      </c>
      <c r="AB1585">
        <f>IF(AND(LEFT(N1585,7)="Explore",(AA1585-IF(LEFT(N1585,7)="Explore",S1585,0))&lt;10),"SI","NO")</f>
        <v/>
      </c>
    </row>
    <row r="1586">
      <c r="A1586" t="inlineStr">
        <is>
          <t>c52m2_training</t>
        </is>
      </c>
      <c r="B1586" t="inlineStr">
        <is>
          <t>2026-02-24 11:53:10.526</t>
        </is>
      </c>
      <c r="C1586" t="n">
        <v/>
      </c>
      <c r="D1586" t="inlineStr">
        <is>
          <t>Media file</t>
        </is>
      </c>
      <c r="E1586" t="inlineStr">
        <is>
          <t>player #1:WT\training\c52m2.mp4</t>
        </is>
      </c>
      <c r="F1586" t="n">
        <v>-20.1</v>
      </c>
      <c r="G1586" t="n">
        <v>593</v>
      </c>
      <c r="H1586" t="n">
        <v>637.399</v>
      </c>
      <c r="I1586" t="n">
        <v>30</v>
      </c>
      <c r="J1586" t="inlineStr">
        <is>
          <t xml:space="preserve"> WT</t>
        </is>
      </c>
      <c r="K1586" t="inlineStr">
        <is>
          <t>Male</t>
        </is>
      </c>
      <c r="L1586" t="inlineStr">
        <is>
          <t>No focal subject</t>
        </is>
      </c>
      <c r="M1586" t="n">
        <v>26.135</v>
      </c>
      <c r="N1586" t="inlineStr">
        <is>
          <t>Explore_F</t>
        </is>
      </c>
      <c r="O1586" t="inlineStr">
        <is>
          <t>Familiar</t>
        </is>
      </c>
      <c r="P1586" t="inlineStr">
        <is>
          <t>STATE</t>
        </is>
      </c>
      <c r="Q1586" t="n">
        <v>258.7</v>
      </c>
      <c r="R1586" t="n">
        <v>259.533</v>
      </c>
      <c r="S1586" t="n">
        <v>0.833</v>
      </c>
      <c r="T1586" t="inlineStr">
        <is>
          <t>WT\training\c52m2.mp4</t>
        </is>
      </c>
      <c r="U1586" t="n">
        <v>7759</v>
      </c>
      <c r="V1586" t="n">
        <v>7784</v>
      </c>
      <c r="W1586" t="n">
        <v/>
      </c>
      <c r="X1586" t="n">
        <v/>
      </c>
      <c r="Y1586" t="n">
        <v/>
      </c>
      <c r="Z1586" t="n">
        <v/>
      </c>
      <c r="AA1586">
        <f>SUMIFS($S$2:S1586,$A$2:A1586,A1586,$N$2:N1586,"Explore*")</f>
        <v/>
      </c>
      <c r="AB1586">
        <f>IF(AND(LEFT(N1586,7)="Explore",(AA1586-IF(LEFT(N1586,7)="Explore",S1586,0))&lt;10),"SI","NO")</f>
        <v/>
      </c>
    </row>
    <row r="1587">
      <c r="A1587" t="inlineStr">
        <is>
          <t>c52m2_training</t>
        </is>
      </c>
      <c r="B1587" t="inlineStr">
        <is>
          <t>2026-02-24 11:53:10.526</t>
        </is>
      </c>
      <c r="C1587" t="n">
        <v/>
      </c>
      <c r="D1587" t="inlineStr">
        <is>
          <t>Media file</t>
        </is>
      </c>
      <c r="E1587" t="inlineStr">
        <is>
          <t>player #1:WT\training\c52m2.mp4</t>
        </is>
      </c>
      <c r="F1587" t="n">
        <v>-20.1</v>
      </c>
      <c r="G1587" t="n">
        <v>593</v>
      </c>
      <c r="H1587" t="n">
        <v>637.399</v>
      </c>
      <c r="I1587" t="n">
        <v>30</v>
      </c>
      <c r="J1587" t="inlineStr">
        <is>
          <t xml:space="preserve"> WT</t>
        </is>
      </c>
      <c r="K1587" t="inlineStr">
        <is>
          <t>Male</t>
        </is>
      </c>
      <c r="L1587" t="inlineStr">
        <is>
          <t>No focal subject</t>
        </is>
      </c>
      <c r="M1587" t="n">
        <v>26.135</v>
      </c>
      <c r="N1587" t="inlineStr">
        <is>
          <t>Explore_F</t>
        </is>
      </c>
      <c r="O1587" t="inlineStr">
        <is>
          <t>Familiar</t>
        </is>
      </c>
      <c r="P1587" t="inlineStr">
        <is>
          <t>STATE</t>
        </is>
      </c>
      <c r="Q1587" t="n">
        <v>264.066</v>
      </c>
      <c r="R1587" t="n">
        <v>264.533</v>
      </c>
      <c r="S1587" t="n">
        <v>0.467</v>
      </c>
      <c r="T1587" t="inlineStr">
        <is>
          <t>WT\training\c52m2.mp4</t>
        </is>
      </c>
      <c r="U1587" t="n">
        <v>7920</v>
      </c>
      <c r="V1587" t="n">
        <v>7934</v>
      </c>
      <c r="W1587" t="n">
        <v/>
      </c>
      <c r="X1587" t="n">
        <v/>
      </c>
      <c r="Y1587" t="n">
        <v/>
      </c>
      <c r="Z1587" t="n">
        <v/>
      </c>
      <c r="AA1587">
        <f>SUMIFS($S$2:S1587,$A$2:A1587,A1587,$N$2:N1587,"Explore*")</f>
        <v/>
      </c>
      <c r="AB1587">
        <f>IF(AND(LEFT(N1587,7)="Explore",(AA1587-IF(LEFT(N1587,7)="Explore",S1587,0))&lt;10),"SI","NO")</f>
        <v/>
      </c>
    </row>
    <row r="1588">
      <c r="A1588" t="inlineStr">
        <is>
          <t>c52m2_training</t>
        </is>
      </c>
      <c r="B1588" t="inlineStr">
        <is>
          <t>2026-02-24 11:53:10.526</t>
        </is>
      </c>
      <c r="C1588" t="n">
        <v/>
      </c>
      <c r="D1588" t="inlineStr">
        <is>
          <t>Media file</t>
        </is>
      </c>
      <c r="E1588" t="inlineStr">
        <is>
          <t>player #1:WT\training\c52m2.mp4</t>
        </is>
      </c>
      <c r="F1588" t="n">
        <v>-20.1</v>
      </c>
      <c r="G1588" t="n">
        <v>593</v>
      </c>
      <c r="H1588" t="n">
        <v>637.399</v>
      </c>
      <c r="I1588" t="n">
        <v>30</v>
      </c>
      <c r="J1588" t="inlineStr">
        <is>
          <t xml:space="preserve"> WT</t>
        </is>
      </c>
      <c r="K1588" t="inlineStr">
        <is>
          <t>Male</t>
        </is>
      </c>
      <c r="L1588" t="inlineStr">
        <is>
          <t>No focal subject</t>
        </is>
      </c>
      <c r="M1588" t="n">
        <v>26.135</v>
      </c>
      <c r="N1588" t="inlineStr">
        <is>
          <t>Explore_F2</t>
        </is>
      </c>
      <c r="O1588" t="inlineStr">
        <is>
          <t>Second familiar</t>
        </is>
      </c>
      <c r="P1588" t="inlineStr">
        <is>
          <t>STATE</t>
        </is>
      </c>
      <c r="Q1588" t="n">
        <v>270.5</v>
      </c>
      <c r="R1588" t="n">
        <v>272.733</v>
      </c>
      <c r="S1588" t="n">
        <v>2.233</v>
      </c>
      <c r="T1588" t="inlineStr">
        <is>
          <t>WT\training\c52m2.mp4</t>
        </is>
      </c>
      <c r="U1588" t="n">
        <v>8113</v>
      </c>
      <c r="V1588" t="n">
        <v>8180</v>
      </c>
      <c r="W1588" t="n">
        <v/>
      </c>
      <c r="X1588" t="n">
        <v/>
      </c>
      <c r="Y1588" t="n">
        <v/>
      </c>
      <c r="Z1588" t="n">
        <v/>
      </c>
      <c r="AA1588">
        <f>SUMIFS($S$2:S1588,$A$2:A1588,A1588,$N$2:N1588,"Explore*")</f>
        <v/>
      </c>
      <c r="AB1588">
        <f>IF(AND(LEFT(N1588,7)="Explore",(AA1588-IF(LEFT(N1588,7)="Explore",S1588,0))&lt;10),"SI","NO")</f>
        <v/>
      </c>
    </row>
    <row r="1589">
      <c r="A1589" t="inlineStr">
        <is>
          <t>c52m2_training</t>
        </is>
      </c>
      <c r="B1589" t="inlineStr">
        <is>
          <t>2026-02-24 11:53:10.526</t>
        </is>
      </c>
      <c r="C1589" t="n">
        <v/>
      </c>
      <c r="D1589" t="inlineStr">
        <is>
          <t>Media file</t>
        </is>
      </c>
      <c r="E1589" t="inlineStr">
        <is>
          <t>player #1:WT\training\c52m2.mp4</t>
        </is>
      </c>
      <c r="F1589" t="n">
        <v>-20.1</v>
      </c>
      <c r="G1589" t="n">
        <v>593</v>
      </c>
      <c r="H1589" t="n">
        <v>637.399</v>
      </c>
      <c r="I1589" t="n">
        <v>30</v>
      </c>
      <c r="J1589" t="inlineStr">
        <is>
          <t xml:space="preserve"> WT</t>
        </is>
      </c>
      <c r="K1589" t="inlineStr">
        <is>
          <t>Male</t>
        </is>
      </c>
      <c r="L1589" t="inlineStr">
        <is>
          <t>No focal subject</t>
        </is>
      </c>
      <c r="M1589" t="n">
        <v>26.135</v>
      </c>
      <c r="N1589" t="inlineStr">
        <is>
          <t>Explore_F</t>
        </is>
      </c>
      <c r="O1589" t="inlineStr">
        <is>
          <t>Familiar</t>
        </is>
      </c>
      <c r="P1589" t="inlineStr">
        <is>
          <t>STATE</t>
        </is>
      </c>
      <c r="Q1589" t="n">
        <v>274.733</v>
      </c>
      <c r="R1589" t="n">
        <v>276.2</v>
      </c>
      <c r="S1589" t="n">
        <v>1.467</v>
      </c>
      <c r="T1589" t="inlineStr">
        <is>
          <t>WT\training\c52m2.mp4</t>
        </is>
      </c>
      <c r="U1589" t="n">
        <v>8240</v>
      </c>
      <c r="V1589" t="n">
        <v>8284</v>
      </c>
      <c r="W1589" t="n">
        <v/>
      </c>
      <c r="X1589" t="n">
        <v/>
      </c>
      <c r="Y1589" t="n">
        <v/>
      </c>
      <c r="Z1589" t="n">
        <v/>
      </c>
      <c r="AA1589">
        <f>SUMIFS($S$2:S1589,$A$2:A1589,A1589,$N$2:N1589,"Explore*")</f>
        <v/>
      </c>
      <c r="AB1589">
        <f>IF(AND(LEFT(N1589,7)="Explore",(AA1589-IF(LEFT(N1589,7)="Explore",S1589,0))&lt;10),"SI","NO")</f>
        <v/>
      </c>
    </row>
    <row r="1590">
      <c r="A1590" t="inlineStr">
        <is>
          <t>c52m2_training</t>
        </is>
      </c>
      <c r="B1590" t="inlineStr">
        <is>
          <t>2026-02-24 11:53:10.526</t>
        </is>
      </c>
      <c r="C1590" t="n">
        <v/>
      </c>
      <c r="D1590" t="inlineStr">
        <is>
          <t>Media file</t>
        </is>
      </c>
      <c r="E1590" t="inlineStr">
        <is>
          <t>player #1:WT\training\c52m2.mp4</t>
        </is>
      </c>
      <c r="F1590" t="n">
        <v>-20.1</v>
      </c>
      <c r="G1590" t="n">
        <v>593</v>
      </c>
      <c r="H1590" t="n">
        <v>637.399</v>
      </c>
      <c r="I1590" t="n">
        <v>30</v>
      </c>
      <c r="J1590" t="inlineStr">
        <is>
          <t xml:space="preserve"> WT</t>
        </is>
      </c>
      <c r="K1590" t="inlineStr">
        <is>
          <t>Male</t>
        </is>
      </c>
      <c r="L1590" t="inlineStr">
        <is>
          <t>No focal subject</t>
        </is>
      </c>
      <c r="M1590" t="n">
        <v>26.135</v>
      </c>
      <c r="N1590" t="inlineStr">
        <is>
          <t>Explore_F2</t>
        </is>
      </c>
      <c r="O1590" t="inlineStr">
        <is>
          <t>Second familiar</t>
        </is>
      </c>
      <c r="P1590" t="inlineStr">
        <is>
          <t>STATE</t>
        </is>
      </c>
      <c r="Q1590" t="n">
        <v>280.366</v>
      </c>
      <c r="R1590" t="n">
        <v>281.466</v>
      </c>
      <c r="S1590" t="n">
        <v>1.1</v>
      </c>
      <c r="T1590" t="inlineStr">
        <is>
          <t>WT\training\c52m2.mp4</t>
        </is>
      </c>
      <c r="U1590" t="n">
        <v>8409</v>
      </c>
      <c r="V1590" t="n">
        <v>8442</v>
      </c>
      <c r="W1590" t="n">
        <v/>
      </c>
      <c r="X1590" t="n">
        <v/>
      </c>
      <c r="Y1590" t="n">
        <v/>
      </c>
      <c r="Z1590" t="n">
        <v/>
      </c>
      <c r="AA1590">
        <f>SUMIFS($S$2:S1590,$A$2:A1590,A1590,$N$2:N1590,"Explore*")</f>
        <v/>
      </c>
      <c r="AB1590">
        <f>IF(AND(LEFT(N1590,7)="Explore",(AA1590-IF(LEFT(N1590,7)="Explore",S1590,0))&lt;10),"SI","NO")</f>
        <v/>
      </c>
    </row>
    <row r="1591">
      <c r="A1591" t="inlineStr">
        <is>
          <t>c52m2_training</t>
        </is>
      </c>
      <c r="B1591" t="inlineStr">
        <is>
          <t>2026-02-24 11:53:10.526</t>
        </is>
      </c>
      <c r="C1591" t="n">
        <v/>
      </c>
      <c r="D1591" t="inlineStr">
        <is>
          <t>Media file</t>
        </is>
      </c>
      <c r="E1591" t="inlineStr">
        <is>
          <t>player #1:WT\training\c52m2.mp4</t>
        </is>
      </c>
      <c r="F1591" t="n">
        <v>-20.1</v>
      </c>
      <c r="G1591" t="n">
        <v>593</v>
      </c>
      <c r="H1591" t="n">
        <v>637.399</v>
      </c>
      <c r="I1591" t="n">
        <v>30</v>
      </c>
      <c r="J1591" t="inlineStr">
        <is>
          <t xml:space="preserve"> WT</t>
        </is>
      </c>
      <c r="K1591" t="inlineStr">
        <is>
          <t>Male</t>
        </is>
      </c>
      <c r="L1591" t="inlineStr">
        <is>
          <t>No focal subject</t>
        </is>
      </c>
      <c r="M1591" t="n">
        <v>26.135</v>
      </c>
      <c r="N1591" t="inlineStr">
        <is>
          <t>Explore_F</t>
        </is>
      </c>
      <c r="O1591" t="inlineStr">
        <is>
          <t>Familiar</t>
        </is>
      </c>
      <c r="P1591" t="inlineStr">
        <is>
          <t>STATE</t>
        </is>
      </c>
      <c r="Q1591" t="n">
        <v>296.2</v>
      </c>
      <c r="R1591" t="n">
        <v>297.033</v>
      </c>
      <c r="S1591" t="n">
        <v>0.833</v>
      </c>
      <c r="T1591" t="inlineStr">
        <is>
          <t>WT\training\c52m2.mp4</t>
        </is>
      </c>
      <c r="U1591" t="n">
        <v>8884</v>
      </c>
      <c r="V1591" t="n">
        <v>8909</v>
      </c>
      <c r="W1591" t="n">
        <v/>
      </c>
      <c r="X1591" t="n">
        <v/>
      </c>
      <c r="Y1591" t="n">
        <v/>
      </c>
      <c r="Z1591" t="n">
        <v/>
      </c>
      <c r="AA1591">
        <f>SUMIFS($S$2:S1591,$A$2:A1591,A1591,$N$2:N1591,"Explore*")</f>
        <v/>
      </c>
      <c r="AB1591">
        <f>IF(AND(LEFT(N1591,7)="Explore",(AA1591-IF(LEFT(N1591,7)="Explore",S1591,0))&lt;10),"SI","NO")</f>
        <v/>
      </c>
    </row>
    <row r="1592">
      <c r="A1592" t="inlineStr">
        <is>
          <t>c52m2_training</t>
        </is>
      </c>
      <c r="B1592" t="inlineStr">
        <is>
          <t>2026-02-24 11:53:10.526</t>
        </is>
      </c>
      <c r="C1592" t="n">
        <v/>
      </c>
      <c r="D1592" t="inlineStr">
        <is>
          <t>Media file</t>
        </is>
      </c>
      <c r="E1592" t="inlineStr">
        <is>
          <t>player #1:WT\training\c52m2.mp4</t>
        </is>
      </c>
      <c r="F1592" t="n">
        <v>-20.1</v>
      </c>
      <c r="G1592" t="n">
        <v>593</v>
      </c>
      <c r="H1592" t="n">
        <v>637.399</v>
      </c>
      <c r="I1592" t="n">
        <v>30</v>
      </c>
      <c r="J1592" t="inlineStr">
        <is>
          <t xml:space="preserve"> WT</t>
        </is>
      </c>
      <c r="K1592" t="inlineStr">
        <is>
          <t>Male</t>
        </is>
      </c>
      <c r="L1592" t="inlineStr">
        <is>
          <t>No focal subject</t>
        </is>
      </c>
      <c r="M1592" t="n">
        <v>26.135</v>
      </c>
      <c r="N1592" t="inlineStr">
        <is>
          <t>Explore_F</t>
        </is>
      </c>
      <c r="O1592" t="inlineStr">
        <is>
          <t>Familiar</t>
        </is>
      </c>
      <c r="P1592" t="inlineStr">
        <is>
          <t>STATE</t>
        </is>
      </c>
      <c r="Q1592" t="n">
        <v>308.966</v>
      </c>
      <c r="R1592" t="n">
        <v>309.633</v>
      </c>
      <c r="S1592" t="n">
        <v>0.667</v>
      </c>
      <c r="T1592" t="inlineStr">
        <is>
          <t>WT\training\c52m2.mp4</t>
        </is>
      </c>
      <c r="U1592" t="n">
        <v>9267</v>
      </c>
      <c r="V1592" t="n">
        <v>9287</v>
      </c>
      <c r="W1592" t="n">
        <v/>
      </c>
      <c r="X1592" t="n">
        <v/>
      </c>
      <c r="Y1592" t="n">
        <v/>
      </c>
      <c r="Z1592" t="n">
        <v/>
      </c>
      <c r="AA1592">
        <f>SUMIFS($S$2:S1592,$A$2:A1592,A1592,$N$2:N1592,"Explore*")</f>
        <v/>
      </c>
      <c r="AB1592">
        <f>IF(AND(LEFT(N1592,7)="Explore",(AA1592-IF(LEFT(N1592,7)="Explore",S1592,0))&lt;10),"SI","NO")</f>
        <v/>
      </c>
    </row>
    <row r="1593">
      <c r="A1593" t="inlineStr">
        <is>
          <t>c52m2_training</t>
        </is>
      </c>
      <c r="B1593" t="inlineStr">
        <is>
          <t>2026-02-24 11:53:10.526</t>
        </is>
      </c>
      <c r="C1593" t="n">
        <v/>
      </c>
      <c r="D1593" t="inlineStr">
        <is>
          <t>Media file</t>
        </is>
      </c>
      <c r="E1593" t="inlineStr">
        <is>
          <t>player #1:WT\training\c52m2.mp4</t>
        </is>
      </c>
      <c r="F1593" t="n">
        <v>-20.1</v>
      </c>
      <c r="G1593" t="n">
        <v>593</v>
      </c>
      <c r="H1593" t="n">
        <v>637.399</v>
      </c>
      <c r="I1593" t="n">
        <v>30</v>
      </c>
      <c r="J1593" t="inlineStr">
        <is>
          <t xml:space="preserve"> WT</t>
        </is>
      </c>
      <c r="K1593" t="inlineStr">
        <is>
          <t>Male</t>
        </is>
      </c>
      <c r="L1593" t="inlineStr">
        <is>
          <t>No focal subject</t>
        </is>
      </c>
      <c r="M1593" t="n">
        <v>26.135</v>
      </c>
      <c r="N1593" t="inlineStr">
        <is>
          <t>Explore_F2</t>
        </is>
      </c>
      <c r="O1593" t="inlineStr">
        <is>
          <t>Second familiar</t>
        </is>
      </c>
      <c r="P1593" t="inlineStr">
        <is>
          <t>STATE</t>
        </is>
      </c>
      <c r="Q1593" t="n">
        <v>319.6</v>
      </c>
      <c r="R1593" t="n">
        <v>320.566</v>
      </c>
      <c r="S1593" t="n">
        <v>0.966</v>
      </c>
      <c r="T1593" t="inlineStr">
        <is>
          <t>WT\training\c52m2.mp4</t>
        </is>
      </c>
      <c r="U1593" t="n">
        <v>9587</v>
      </c>
      <c r="V1593" t="n">
        <v>9615</v>
      </c>
      <c r="W1593" t="n">
        <v/>
      </c>
      <c r="X1593" t="n">
        <v/>
      </c>
      <c r="Y1593" t="n">
        <v/>
      </c>
      <c r="Z1593" t="n">
        <v/>
      </c>
      <c r="AA1593">
        <f>SUMIFS($S$2:S1593,$A$2:A1593,A1593,$N$2:N1593,"Explore*")</f>
        <v/>
      </c>
      <c r="AB1593">
        <f>IF(AND(LEFT(N1593,7)="Explore",(AA1593-IF(LEFT(N1593,7)="Explore",S1593,0))&lt;10),"SI","NO")</f>
        <v/>
      </c>
    </row>
    <row r="1594">
      <c r="A1594" t="inlineStr">
        <is>
          <t>c52m2_training</t>
        </is>
      </c>
      <c r="B1594" t="inlineStr">
        <is>
          <t>2026-02-24 11:53:10.526</t>
        </is>
      </c>
      <c r="C1594" t="n">
        <v/>
      </c>
      <c r="D1594" t="inlineStr">
        <is>
          <t>Media file</t>
        </is>
      </c>
      <c r="E1594" t="inlineStr">
        <is>
          <t>player #1:WT\training\c52m2.mp4</t>
        </is>
      </c>
      <c r="F1594" t="n">
        <v>-20.1</v>
      </c>
      <c r="G1594" t="n">
        <v>593</v>
      </c>
      <c r="H1594" t="n">
        <v>637.399</v>
      </c>
      <c r="I1594" t="n">
        <v>30</v>
      </c>
      <c r="J1594" t="inlineStr">
        <is>
          <t xml:space="preserve"> WT</t>
        </is>
      </c>
      <c r="K1594" t="inlineStr">
        <is>
          <t>Male</t>
        </is>
      </c>
      <c r="L1594" t="inlineStr">
        <is>
          <t>No focal subject</t>
        </is>
      </c>
      <c r="M1594" t="n">
        <v>26.135</v>
      </c>
      <c r="N1594" t="inlineStr">
        <is>
          <t>Explore_F</t>
        </is>
      </c>
      <c r="O1594" t="inlineStr">
        <is>
          <t>Familiar</t>
        </is>
      </c>
      <c r="P1594" t="inlineStr">
        <is>
          <t>STATE</t>
        </is>
      </c>
      <c r="Q1594" t="n">
        <v>323.6</v>
      </c>
      <c r="R1594" t="n">
        <v>324.033</v>
      </c>
      <c r="S1594" t="n">
        <v>0.433</v>
      </c>
      <c r="T1594" t="inlineStr">
        <is>
          <t>WT\training\c52m2.mp4</t>
        </is>
      </c>
      <c r="U1594" t="n">
        <v>9707</v>
      </c>
      <c r="V1594" t="n">
        <v>9719</v>
      </c>
      <c r="W1594" t="n">
        <v/>
      </c>
      <c r="X1594" t="n">
        <v/>
      </c>
      <c r="Y1594" t="n">
        <v/>
      </c>
      <c r="Z1594" t="n">
        <v/>
      </c>
      <c r="AA1594">
        <f>SUMIFS($S$2:S1594,$A$2:A1594,A1594,$N$2:N1594,"Explore*")</f>
        <v/>
      </c>
      <c r="AB1594">
        <f>IF(AND(LEFT(N1594,7)="Explore",(AA1594-IF(LEFT(N1594,7)="Explore",S1594,0))&lt;10),"SI","NO")</f>
        <v/>
      </c>
    </row>
    <row r="1595">
      <c r="A1595" t="inlineStr">
        <is>
          <t>c52m2_training</t>
        </is>
      </c>
      <c r="B1595" t="inlineStr">
        <is>
          <t>2026-02-24 11:53:10.526</t>
        </is>
      </c>
      <c r="C1595" t="n">
        <v/>
      </c>
      <c r="D1595" t="inlineStr">
        <is>
          <t>Media file</t>
        </is>
      </c>
      <c r="E1595" t="inlineStr">
        <is>
          <t>player #1:WT\training\c52m2.mp4</t>
        </is>
      </c>
      <c r="F1595" t="n">
        <v>-20.1</v>
      </c>
      <c r="G1595" t="n">
        <v>593</v>
      </c>
      <c r="H1595" t="n">
        <v>637.399</v>
      </c>
      <c r="I1595" t="n">
        <v>30</v>
      </c>
      <c r="J1595" t="inlineStr">
        <is>
          <t xml:space="preserve"> WT</t>
        </is>
      </c>
      <c r="K1595" t="inlineStr">
        <is>
          <t>Male</t>
        </is>
      </c>
      <c r="L1595" t="inlineStr">
        <is>
          <t>No focal subject</t>
        </is>
      </c>
      <c r="M1595" t="n">
        <v>26.135</v>
      </c>
      <c r="N1595" t="inlineStr">
        <is>
          <t>Explore_F</t>
        </is>
      </c>
      <c r="O1595" t="inlineStr">
        <is>
          <t>Familiar</t>
        </is>
      </c>
      <c r="P1595" t="inlineStr">
        <is>
          <t>STATE</t>
        </is>
      </c>
      <c r="Q1595" t="n">
        <v>358.466</v>
      </c>
      <c r="R1595" t="n">
        <v>358.933</v>
      </c>
      <c r="S1595" t="n">
        <v>0.467</v>
      </c>
      <c r="T1595" t="inlineStr">
        <is>
          <t>WT\training\c52m2.mp4</t>
        </is>
      </c>
      <c r="U1595" t="n">
        <v>10752</v>
      </c>
      <c r="V1595" t="n">
        <v>10766</v>
      </c>
      <c r="W1595" t="n">
        <v/>
      </c>
      <c r="X1595" t="n">
        <v/>
      </c>
      <c r="Y1595" t="n">
        <v/>
      </c>
      <c r="Z1595" t="n">
        <v/>
      </c>
      <c r="AA1595">
        <f>SUMIFS($S$2:S1595,$A$2:A1595,A1595,$N$2:N1595,"Explore*")</f>
        <v/>
      </c>
      <c r="AB1595">
        <f>IF(AND(LEFT(N1595,7)="Explore",(AA1595-IF(LEFT(N1595,7)="Explore",S1595,0))&lt;10),"SI","NO")</f>
        <v/>
      </c>
    </row>
    <row r="1596">
      <c r="A1596" t="inlineStr">
        <is>
          <t>c52m2_training</t>
        </is>
      </c>
      <c r="B1596" t="inlineStr">
        <is>
          <t>2026-02-24 11:53:10.526</t>
        </is>
      </c>
      <c r="C1596" t="n">
        <v/>
      </c>
      <c r="D1596" t="inlineStr">
        <is>
          <t>Media file</t>
        </is>
      </c>
      <c r="E1596" t="inlineStr">
        <is>
          <t>player #1:WT\training\c52m2.mp4</t>
        </is>
      </c>
      <c r="F1596" t="n">
        <v>-20.1</v>
      </c>
      <c r="G1596" t="n">
        <v>593</v>
      </c>
      <c r="H1596" t="n">
        <v>637.399</v>
      </c>
      <c r="I1596" t="n">
        <v>30</v>
      </c>
      <c r="J1596" t="inlineStr">
        <is>
          <t xml:space="preserve"> WT</t>
        </is>
      </c>
      <c r="K1596" t="inlineStr">
        <is>
          <t>Male</t>
        </is>
      </c>
      <c r="L1596" t="inlineStr">
        <is>
          <t>No focal subject</t>
        </is>
      </c>
      <c r="M1596" t="n">
        <v>26.135</v>
      </c>
      <c r="N1596" t="inlineStr">
        <is>
          <t>Explore_F</t>
        </is>
      </c>
      <c r="O1596" t="inlineStr">
        <is>
          <t>Familiar</t>
        </is>
      </c>
      <c r="P1596" t="inlineStr">
        <is>
          <t>STATE</t>
        </is>
      </c>
      <c r="Q1596" t="n">
        <v>361.1</v>
      </c>
      <c r="R1596" t="n">
        <v>361.6</v>
      </c>
      <c r="S1596" t="n">
        <v>0.5</v>
      </c>
      <c r="T1596" t="inlineStr">
        <is>
          <t>WT\training\c52m2.mp4</t>
        </is>
      </c>
      <c r="U1596" t="n">
        <v>10832</v>
      </c>
      <c r="V1596" t="n">
        <v>10847</v>
      </c>
      <c r="W1596" t="n">
        <v/>
      </c>
      <c r="X1596" t="n">
        <v/>
      </c>
      <c r="Y1596" t="n">
        <v/>
      </c>
      <c r="Z1596" t="n">
        <v/>
      </c>
      <c r="AA1596">
        <f>SUMIFS($S$2:S1596,$A$2:A1596,A1596,$N$2:N1596,"Explore*")</f>
        <v/>
      </c>
      <c r="AB1596">
        <f>IF(AND(LEFT(N1596,7)="Explore",(AA1596-IF(LEFT(N1596,7)="Explore",S1596,0))&lt;10),"SI","NO")</f>
        <v/>
      </c>
    </row>
    <row r="1597">
      <c r="A1597" t="inlineStr">
        <is>
          <t>c52m2_training</t>
        </is>
      </c>
      <c r="B1597" t="inlineStr">
        <is>
          <t>2026-02-24 11:53:10.526</t>
        </is>
      </c>
      <c r="C1597" t="n">
        <v/>
      </c>
      <c r="D1597" t="inlineStr">
        <is>
          <t>Media file</t>
        </is>
      </c>
      <c r="E1597" t="inlineStr">
        <is>
          <t>player #1:WT\training\c52m2.mp4</t>
        </is>
      </c>
      <c r="F1597" t="n">
        <v>-20.1</v>
      </c>
      <c r="G1597" t="n">
        <v>593</v>
      </c>
      <c r="H1597" t="n">
        <v>637.399</v>
      </c>
      <c r="I1597" t="n">
        <v>30</v>
      </c>
      <c r="J1597" t="inlineStr">
        <is>
          <t xml:space="preserve"> WT</t>
        </is>
      </c>
      <c r="K1597" t="inlineStr">
        <is>
          <t>Male</t>
        </is>
      </c>
      <c r="L1597" t="inlineStr">
        <is>
          <t>No focal subject</t>
        </is>
      </c>
      <c r="M1597" t="n">
        <v>26.135</v>
      </c>
      <c r="N1597" t="inlineStr">
        <is>
          <t>Explore_F2</t>
        </is>
      </c>
      <c r="O1597" t="inlineStr">
        <is>
          <t>Second familiar</t>
        </is>
      </c>
      <c r="P1597" t="inlineStr">
        <is>
          <t>STATE</t>
        </is>
      </c>
      <c r="Q1597" t="n">
        <v>364.366</v>
      </c>
      <c r="R1597" t="n">
        <v>365.133</v>
      </c>
      <c r="S1597" t="n">
        <v>0.767</v>
      </c>
      <c r="T1597" t="inlineStr">
        <is>
          <t>WT\training\c52m2.mp4</t>
        </is>
      </c>
      <c r="U1597" t="n">
        <v>10929</v>
      </c>
      <c r="V1597" t="n">
        <v>10952</v>
      </c>
      <c r="W1597" t="n">
        <v/>
      </c>
      <c r="X1597" t="n">
        <v/>
      </c>
      <c r="Y1597" t="n">
        <v/>
      </c>
      <c r="Z1597" t="n">
        <v/>
      </c>
      <c r="AA1597">
        <f>SUMIFS($S$2:S1597,$A$2:A1597,A1597,$N$2:N1597,"Explore*")</f>
        <v/>
      </c>
      <c r="AB1597">
        <f>IF(AND(LEFT(N1597,7)="Explore",(AA1597-IF(LEFT(N1597,7)="Explore",S1597,0))&lt;10),"SI","NO")</f>
        <v/>
      </c>
    </row>
    <row r="1598">
      <c r="A1598" t="inlineStr">
        <is>
          <t>c52m2_training</t>
        </is>
      </c>
      <c r="B1598" t="inlineStr">
        <is>
          <t>2026-02-24 11:53:10.526</t>
        </is>
      </c>
      <c r="C1598" t="n">
        <v/>
      </c>
      <c r="D1598" t="inlineStr">
        <is>
          <t>Media file</t>
        </is>
      </c>
      <c r="E1598" t="inlineStr">
        <is>
          <t>player #1:WT\training\c52m2.mp4</t>
        </is>
      </c>
      <c r="F1598" t="n">
        <v>-20.1</v>
      </c>
      <c r="G1598" t="n">
        <v>593</v>
      </c>
      <c r="H1598" t="n">
        <v>637.399</v>
      </c>
      <c r="I1598" t="n">
        <v>30</v>
      </c>
      <c r="J1598" t="inlineStr">
        <is>
          <t xml:space="preserve"> WT</t>
        </is>
      </c>
      <c r="K1598" t="inlineStr">
        <is>
          <t>Male</t>
        </is>
      </c>
      <c r="L1598" t="inlineStr">
        <is>
          <t>No focal subject</t>
        </is>
      </c>
      <c r="M1598" t="n">
        <v>26.135</v>
      </c>
      <c r="N1598" t="inlineStr">
        <is>
          <t>Explore_F2</t>
        </is>
      </c>
      <c r="O1598" t="inlineStr">
        <is>
          <t>Second familiar</t>
        </is>
      </c>
      <c r="P1598" t="inlineStr">
        <is>
          <t>STATE</t>
        </is>
      </c>
      <c r="Q1598" t="n">
        <v>426.266</v>
      </c>
      <c r="R1598" t="n">
        <v>426.5</v>
      </c>
      <c r="S1598" t="n">
        <v>0.234</v>
      </c>
      <c r="T1598" t="inlineStr">
        <is>
          <t>WT\training\c52m2.mp4</t>
        </is>
      </c>
      <c r="U1598" t="n">
        <v>13388</v>
      </c>
      <c r="V1598" t="n">
        <v>13395</v>
      </c>
      <c r="W1598" t="n">
        <v/>
      </c>
      <c r="X1598" t="n">
        <v/>
      </c>
      <c r="Y1598" t="n">
        <v/>
      </c>
      <c r="Z1598" t="n">
        <v/>
      </c>
      <c r="AA1598">
        <f>SUMIFS($S$2:S1598,$A$2:A1598,A1598,$N$2:N1598,"Explore*")</f>
        <v/>
      </c>
      <c r="AB1598">
        <f>IF(AND(LEFT(N1598,7)="Explore",(AA1598-IF(LEFT(N1598,7)="Explore",S1598,0))&lt;10),"SI","NO")</f>
        <v/>
      </c>
    </row>
    <row r="1599">
      <c r="A1599" t="inlineStr">
        <is>
          <t>c52m2_training</t>
        </is>
      </c>
      <c r="B1599" t="inlineStr">
        <is>
          <t>2026-02-24 11:53:10.526</t>
        </is>
      </c>
      <c r="C1599" t="n">
        <v/>
      </c>
      <c r="D1599" t="inlineStr">
        <is>
          <t>Media file</t>
        </is>
      </c>
      <c r="E1599" t="inlineStr">
        <is>
          <t>player #1:WT\training\c52m2.mp4</t>
        </is>
      </c>
      <c r="F1599" t="n">
        <v>-20.1</v>
      </c>
      <c r="G1599" t="n">
        <v>593</v>
      </c>
      <c r="H1599" t="n">
        <v>637.399</v>
      </c>
      <c r="I1599" t="n">
        <v>30</v>
      </c>
      <c r="J1599" t="inlineStr">
        <is>
          <t xml:space="preserve"> WT</t>
        </is>
      </c>
      <c r="K1599" t="inlineStr">
        <is>
          <t>Male</t>
        </is>
      </c>
      <c r="L1599" t="inlineStr">
        <is>
          <t>No focal subject</t>
        </is>
      </c>
      <c r="M1599" t="n">
        <v>26.135</v>
      </c>
      <c r="N1599" t="inlineStr">
        <is>
          <t>Explore_F2</t>
        </is>
      </c>
      <c r="O1599" t="inlineStr">
        <is>
          <t>Second familiar</t>
        </is>
      </c>
      <c r="P1599" t="inlineStr">
        <is>
          <t>STATE</t>
        </is>
      </c>
      <c r="Q1599" t="n">
        <v>431.3</v>
      </c>
      <c r="R1599" t="n">
        <v>431.6</v>
      </c>
      <c r="S1599" t="n">
        <v>0.3</v>
      </c>
      <c r="T1599" t="inlineStr">
        <is>
          <t>WT\training\c52m2.mp4</t>
        </is>
      </c>
      <c r="U1599" t="n">
        <v>13539</v>
      </c>
      <c r="V1599" t="n">
        <v>13548</v>
      </c>
      <c r="W1599" t="n">
        <v/>
      </c>
      <c r="X1599" t="n">
        <v/>
      </c>
      <c r="Y1599" t="n">
        <v/>
      </c>
      <c r="Z1599" t="n">
        <v/>
      </c>
      <c r="AA1599">
        <f>SUMIFS($S$2:S1599,$A$2:A1599,A1599,$N$2:N1599,"Explore*")</f>
        <v/>
      </c>
      <c r="AB1599">
        <f>IF(AND(LEFT(N1599,7)="Explore",(AA1599-IF(LEFT(N1599,7)="Explore",S1599,0))&lt;10),"SI","NO")</f>
        <v/>
      </c>
    </row>
    <row r="1600">
      <c r="A1600" t="inlineStr">
        <is>
          <t>c52m2_training</t>
        </is>
      </c>
      <c r="B1600" t="inlineStr">
        <is>
          <t>2026-02-24 11:53:10.526</t>
        </is>
      </c>
      <c r="C1600" t="n">
        <v/>
      </c>
      <c r="D1600" t="inlineStr">
        <is>
          <t>Media file</t>
        </is>
      </c>
      <c r="E1600" t="inlineStr">
        <is>
          <t>player #1:WT\training\c52m2.mp4</t>
        </is>
      </c>
      <c r="F1600" t="n">
        <v>-20.1</v>
      </c>
      <c r="G1600" t="n">
        <v>593</v>
      </c>
      <c r="H1600" t="n">
        <v>637.399</v>
      </c>
      <c r="I1600" t="n">
        <v>30</v>
      </c>
      <c r="J1600" t="inlineStr">
        <is>
          <t xml:space="preserve"> WT</t>
        </is>
      </c>
      <c r="K1600" t="inlineStr">
        <is>
          <t>Male</t>
        </is>
      </c>
      <c r="L1600" t="inlineStr">
        <is>
          <t>No focal subject</t>
        </is>
      </c>
      <c r="M1600" t="n">
        <v>26.135</v>
      </c>
      <c r="N1600" t="inlineStr">
        <is>
          <t>Explore_F</t>
        </is>
      </c>
      <c r="O1600" t="inlineStr">
        <is>
          <t>Familiar</t>
        </is>
      </c>
      <c r="P1600" t="inlineStr">
        <is>
          <t>STATE</t>
        </is>
      </c>
      <c r="Q1600" t="n">
        <v>435.733</v>
      </c>
      <c r="R1600" t="n">
        <v>436.066</v>
      </c>
      <c r="S1600" t="n">
        <v>0.333</v>
      </c>
      <c r="T1600" t="inlineStr">
        <is>
          <t>WT\training\c52m2.mp4</t>
        </is>
      </c>
      <c r="U1600" t="n">
        <v>13672</v>
      </c>
      <c r="V1600" t="n">
        <v>13682</v>
      </c>
      <c r="W1600" t="n">
        <v/>
      </c>
      <c r="X1600" t="n">
        <v/>
      </c>
      <c r="Y1600" t="n">
        <v/>
      </c>
      <c r="Z1600" t="n">
        <v/>
      </c>
      <c r="AA1600">
        <f>SUMIFS($S$2:S1600,$A$2:A1600,A1600,$N$2:N1600,"Explore*")</f>
        <v/>
      </c>
      <c r="AB1600">
        <f>IF(AND(LEFT(N1600,7)="Explore",(AA1600-IF(LEFT(N1600,7)="Explore",S1600,0))&lt;10),"SI","NO")</f>
        <v/>
      </c>
    </row>
    <row r="1601">
      <c r="A1601" t="inlineStr">
        <is>
          <t>c52m2_training</t>
        </is>
      </c>
      <c r="B1601" t="inlineStr">
        <is>
          <t>2026-02-24 11:53:10.526</t>
        </is>
      </c>
      <c r="C1601" t="n">
        <v/>
      </c>
      <c r="D1601" t="inlineStr">
        <is>
          <t>Media file</t>
        </is>
      </c>
      <c r="E1601" t="inlineStr">
        <is>
          <t>player #1:WT\training\c52m2.mp4</t>
        </is>
      </c>
      <c r="F1601" t="n">
        <v>-20.1</v>
      </c>
      <c r="G1601" t="n">
        <v>593</v>
      </c>
      <c r="H1601" t="n">
        <v>637.399</v>
      </c>
      <c r="I1601" t="n">
        <v>30</v>
      </c>
      <c r="J1601" t="inlineStr">
        <is>
          <t xml:space="preserve"> WT</t>
        </is>
      </c>
      <c r="K1601" t="inlineStr">
        <is>
          <t>Male</t>
        </is>
      </c>
      <c r="L1601" t="inlineStr">
        <is>
          <t>No focal subject</t>
        </is>
      </c>
      <c r="M1601" t="n">
        <v>26.135</v>
      </c>
      <c r="N1601" t="inlineStr">
        <is>
          <t>Explore_F</t>
        </is>
      </c>
      <c r="O1601" t="inlineStr">
        <is>
          <t>Familiar</t>
        </is>
      </c>
      <c r="P1601" t="inlineStr">
        <is>
          <t>STATE</t>
        </is>
      </c>
      <c r="Q1601" t="n">
        <v>481.266</v>
      </c>
      <c r="R1601" t="n">
        <v>482.199</v>
      </c>
      <c r="S1601" t="n">
        <v>0.9330000000000001</v>
      </c>
      <c r="T1601" t="inlineStr">
        <is>
          <t>WT\training\c52m2.mp4</t>
        </is>
      </c>
      <c r="U1601" t="n">
        <v>15038</v>
      </c>
      <c r="V1601" t="n">
        <v>15066</v>
      </c>
      <c r="W1601" t="n">
        <v/>
      </c>
      <c r="X1601" t="n">
        <v/>
      </c>
      <c r="Y1601" t="n">
        <v/>
      </c>
      <c r="Z1601" t="n">
        <v/>
      </c>
      <c r="AA1601">
        <f>SUMIFS($S$2:S1601,$A$2:A1601,A1601,$N$2:N1601,"Explore*")</f>
        <v/>
      </c>
      <c r="AB1601">
        <f>IF(AND(LEFT(N1601,7)="Explore",(AA1601-IF(LEFT(N1601,7)="Explore",S1601,0))&lt;10),"SI","NO")</f>
        <v/>
      </c>
    </row>
    <row r="1602">
      <c r="A1602" t="inlineStr">
        <is>
          <t>c52m2_training</t>
        </is>
      </c>
      <c r="B1602" t="inlineStr">
        <is>
          <t>2026-02-24 11:53:10.526</t>
        </is>
      </c>
      <c r="C1602" t="n">
        <v/>
      </c>
      <c r="D1602" t="inlineStr">
        <is>
          <t>Media file</t>
        </is>
      </c>
      <c r="E1602" t="inlineStr">
        <is>
          <t>player #1:WT\training\c52m2.mp4</t>
        </is>
      </c>
      <c r="F1602" t="n">
        <v>-20.1</v>
      </c>
      <c r="G1602" t="n">
        <v>593</v>
      </c>
      <c r="H1602" t="n">
        <v>637.399</v>
      </c>
      <c r="I1602" t="n">
        <v>30</v>
      </c>
      <c r="J1602" t="inlineStr">
        <is>
          <t xml:space="preserve"> WT</t>
        </is>
      </c>
      <c r="K1602" t="inlineStr">
        <is>
          <t>Male</t>
        </is>
      </c>
      <c r="L1602" t="inlineStr">
        <is>
          <t>No focal subject</t>
        </is>
      </c>
      <c r="M1602" t="n">
        <v>26.135</v>
      </c>
      <c r="N1602" t="inlineStr">
        <is>
          <t>Explore_F2</t>
        </is>
      </c>
      <c r="O1602" t="inlineStr">
        <is>
          <t>Second familiar</t>
        </is>
      </c>
      <c r="P1602" t="inlineStr">
        <is>
          <t>STATE</t>
        </is>
      </c>
      <c r="Q1602" t="n">
        <v>495.699</v>
      </c>
      <c r="R1602" t="n">
        <v>496.033</v>
      </c>
      <c r="S1602" t="n">
        <v>0.334</v>
      </c>
      <c r="T1602" t="inlineStr">
        <is>
          <t>WT\training\c52m2.mp4</t>
        </is>
      </c>
      <c r="U1602" t="n">
        <v>15471</v>
      </c>
      <c r="V1602" t="n">
        <v>15481</v>
      </c>
      <c r="W1602" t="n">
        <v/>
      </c>
      <c r="X1602" t="n">
        <v/>
      </c>
      <c r="Y1602" t="n">
        <v/>
      </c>
      <c r="Z1602" t="n">
        <v/>
      </c>
      <c r="AA1602">
        <f>SUMIFS($S$2:S1602,$A$2:A1602,A1602,$N$2:N1602,"Explore*")</f>
        <v/>
      </c>
      <c r="AB1602">
        <f>IF(AND(LEFT(N1602,7)="Explore",(AA1602-IF(LEFT(N1602,7)="Explore",S1602,0))&lt;10),"SI","NO")</f>
        <v/>
      </c>
    </row>
    <row r="1603">
      <c r="A1603" t="inlineStr">
        <is>
          <t>c52m2_training</t>
        </is>
      </c>
      <c r="B1603" t="inlineStr">
        <is>
          <t>2026-02-24 11:53:10.526</t>
        </is>
      </c>
      <c r="C1603" t="n">
        <v/>
      </c>
      <c r="D1603" t="inlineStr">
        <is>
          <t>Media file</t>
        </is>
      </c>
      <c r="E1603" t="inlineStr">
        <is>
          <t>player #1:WT\training\c52m2.mp4</t>
        </is>
      </c>
      <c r="F1603" t="n">
        <v>-20.1</v>
      </c>
      <c r="G1603" t="n">
        <v>593</v>
      </c>
      <c r="H1603" t="n">
        <v>637.399</v>
      </c>
      <c r="I1603" t="n">
        <v>30</v>
      </c>
      <c r="J1603" t="inlineStr">
        <is>
          <t xml:space="preserve"> WT</t>
        </is>
      </c>
      <c r="K1603" t="inlineStr">
        <is>
          <t>Male</t>
        </is>
      </c>
      <c r="L1603" t="inlineStr">
        <is>
          <t>No focal subject</t>
        </is>
      </c>
      <c r="M1603" t="n">
        <v>26.135</v>
      </c>
      <c r="N1603" t="inlineStr">
        <is>
          <t>Explore_F</t>
        </is>
      </c>
      <c r="O1603" t="inlineStr">
        <is>
          <t>Familiar</t>
        </is>
      </c>
      <c r="P1603" t="inlineStr">
        <is>
          <t>STATE</t>
        </is>
      </c>
      <c r="Q1603" t="n">
        <v>517.133</v>
      </c>
      <c r="R1603" t="n">
        <v>517.899</v>
      </c>
      <c r="S1603" t="n">
        <v>0.766</v>
      </c>
      <c r="T1603" t="inlineStr">
        <is>
          <t>WT\training\c52m2.mp4</t>
        </is>
      </c>
      <c r="U1603" t="n">
        <v>16114</v>
      </c>
      <c r="V1603" t="n">
        <v>16137</v>
      </c>
      <c r="W1603" t="n">
        <v/>
      </c>
      <c r="X1603" t="n">
        <v/>
      </c>
      <c r="Y1603" t="n">
        <v/>
      </c>
      <c r="Z1603" t="n">
        <v/>
      </c>
      <c r="AA1603">
        <f>SUMIFS($S$2:S1603,$A$2:A1603,A1603,$N$2:N1603,"Explore*")</f>
        <v/>
      </c>
      <c r="AB1603">
        <f>IF(AND(LEFT(N1603,7)="Explore",(AA1603-IF(LEFT(N1603,7)="Explore",S1603,0))&lt;10),"SI","NO")</f>
        <v/>
      </c>
    </row>
    <row r="1604">
      <c r="A1604" t="inlineStr">
        <is>
          <t>c52m2_training</t>
        </is>
      </c>
      <c r="B1604" t="inlineStr">
        <is>
          <t>2026-02-24 11:53:10.526</t>
        </is>
      </c>
      <c r="C1604" t="n">
        <v/>
      </c>
      <c r="D1604" t="inlineStr">
        <is>
          <t>Media file</t>
        </is>
      </c>
      <c r="E1604" t="inlineStr">
        <is>
          <t>player #1:WT\training\c52m2.mp4</t>
        </is>
      </c>
      <c r="F1604" t="n">
        <v>-20.1</v>
      </c>
      <c r="G1604" t="n">
        <v>593</v>
      </c>
      <c r="H1604" t="n">
        <v>637.399</v>
      </c>
      <c r="I1604" t="n">
        <v>30</v>
      </c>
      <c r="J1604" t="inlineStr">
        <is>
          <t xml:space="preserve"> WT</t>
        </is>
      </c>
      <c r="K1604" t="inlineStr">
        <is>
          <t>Male</t>
        </is>
      </c>
      <c r="L1604" t="inlineStr">
        <is>
          <t>No focal subject</t>
        </is>
      </c>
      <c r="M1604" t="n">
        <v>26.135</v>
      </c>
      <c r="N1604" t="inlineStr">
        <is>
          <t>Explore_F</t>
        </is>
      </c>
      <c r="O1604" t="inlineStr">
        <is>
          <t>Familiar</t>
        </is>
      </c>
      <c r="P1604" t="inlineStr">
        <is>
          <t>STATE</t>
        </is>
      </c>
      <c r="Q1604" t="n">
        <v>532.033</v>
      </c>
      <c r="R1604" t="n">
        <v>532.866</v>
      </c>
      <c r="S1604" t="n">
        <v>0.833</v>
      </c>
      <c r="T1604" t="inlineStr">
        <is>
          <t>WT\training\c52m2.mp4</t>
        </is>
      </c>
      <c r="U1604" t="n">
        <v>16561</v>
      </c>
      <c r="V1604" t="n">
        <v>16586</v>
      </c>
      <c r="W1604" t="n">
        <v/>
      </c>
      <c r="X1604" t="n">
        <v/>
      </c>
      <c r="Y1604" t="n">
        <v/>
      </c>
      <c r="Z1604" t="n">
        <v/>
      </c>
      <c r="AA1604">
        <f>SUMIFS($S$2:S1604,$A$2:A1604,A1604,$N$2:N1604,"Explore*")</f>
        <v/>
      </c>
      <c r="AB1604">
        <f>IF(AND(LEFT(N1604,7)="Explore",(AA1604-IF(LEFT(N1604,7)="Explore",S1604,0))&lt;10),"SI","NO")</f>
        <v/>
      </c>
    </row>
    <row r="1605">
      <c r="A1605" t="inlineStr">
        <is>
          <t>c52m2_training</t>
        </is>
      </c>
      <c r="B1605" t="inlineStr">
        <is>
          <t>2026-02-24 11:53:10.526</t>
        </is>
      </c>
      <c r="C1605" t="n">
        <v/>
      </c>
      <c r="D1605" t="inlineStr">
        <is>
          <t>Media file</t>
        </is>
      </c>
      <c r="E1605" t="inlineStr">
        <is>
          <t>player #1:WT\training\c52m2.mp4</t>
        </is>
      </c>
      <c r="F1605" t="n">
        <v>-20.1</v>
      </c>
      <c r="G1605" t="n">
        <v>593</v>
      </c>
      <c r="H1605" t="n">
        <v>637.399</v>
      </c>
      <c r="I1605" t="n">
        <v>30</v>
      </c>
      <c r="J1605" t="inlineStr">
        <is>
          <t xml:space="preserve"> WT</t>
        </is>
      </c>
      <c r="K1605" t="inlineStr">
        <is>
          <t>Male</t>
        </is>
      </c>
      <c r="L1605" t="inlineStr">
        <is>
          <t>No focal subject</t>
        </is>
      </c>
      <c r="M1605" t="n">
        <v>26.135</v>
      </c>
      <c r="N1605" t="inlineStr">
        <is>
          <t>Explore_F</t>
        </is>
      </c>
      <c r="O1605" t="inlineStr">
        <is>
          <t>Familiar</t>
        </is>
      </c>
      <c r="P1605" t="inlineStr">
        <is>
          <t>STATE</t>
        </is>
      </c>
      <c r="Q1605" t="n">
        <v>538.999</v>
      </c>
      <c r="R1605" t="n">
        <v>539.299</v>
      </c>
      <c r="S1605" t="n">
        <v>0.3</v>
      </c>
      <c r="T1605" t="inlineStr">
        <is>
          <t>WT\training\c52m2.mp4</t>
        </is>
      </c>
      <c r="U1605" t="n">
        <v>16770</v>
      </c>
      <c r="V1605" t="n">
        <v>16779</v>
      </c>
      <c r="W1605" t="n">
        <v/>
      </c>
      <c r="X1605" t="n">
        <v/>
      </c>
      <c r="Y1605" t="n">
        <v/>
      </c>
      <c r="Z1605" t="n">
        <v/>
      </c>
      <c r="AA1605">
        <f>SUMIFS($S$2:S1605,$A$2:A1605,A1605,$N$2:N1605,"Explore*")</f>
        <v/>
      </c>
      <c r="AB1605">
        <f>IF(AND(LEFT(N1605,7)="Explore",(AA1605-IF(LEFT(N1605,7)="Explore",S1605,0))&lt;10),"SI","NO")</f>
        <v/>
      </c>
    </row>
    <row r="1606">
      <c r="A1606" t="inlineStr">
        <is>
          <t>c52m2_training</t>
        </is>
      </c>
      <c r="B1606" t="inlineStr">
        <is>
          <t>2026-02-24 11:53:10.526</t>
        </is>
      </c>
      <c r="C1606" t="n">
        <v/>
      </c>
      <c r="D1606" t="inlineStr">
        <is>
          <t>Media file</t>
        </is>
      </c>
      <c r="E1606" t="inlineStr">
        <is>
          <t>player #1:WT\training\c52m2.mp4</t>
        </is>
      </c>
      <c r="F1606" t="n">
        <v>-20.1</v>
      </c>
      <c r="G1606" t="n">
        <v>593</v>
      </c>
      <c r="H1606" t="n">
        <v>637.399</v>
      </c>
      <c r="I1606" t="n">
        <v>30</v>
      </c>
      <c r="J1606" t="inlineStr">
        <is>
          <t xml:space="preserve"> WT</t>
        </is>
      </c>
      <c r="K1606" t="inlineStr">
        <is>
          <t>Male</t>
        </is>
      </c>
      <c r="L1606" t="inlineStr">
        <is>
          <t>No focal subject</t>
        </is>
      </c>
      <c r="M1606" t="n">
        <v>26.135</v>
      </c>
      <c r="N1606" t="inlineStr">
        <is>
          <t>Explore_F</t>
        </is>
      </c>
      <c r="O1606" t="inlineStr">
        <is>
          <t>Familiar</t>
        </is>
      </c>
      <c r="P1606" t="inlineStr">
        <is>
          <t>STATE</t>
        </is>
      </c>
      <c r="Q1606" t="n">
        <v>554.6660000000001</v>
      </c>
      <c r="R1606" t="n">
        <v>555.433</v>
      </c>
      <c r="S1606" t="n">
        <v>0.767</v>
      </c>
      <c r="T1606" t="inlineStr">
        <is>
          <t>WT\training\c52m2.mp4</t>
        </is>
      </c>
      <c r="U1606" t="n">
        <v>17240</v>
      </c>
      <c r="V1606" t="n">
        <v>17263</v>
      </c>
      <c r="W1606" t="n">
        <v/>
      </c>
      <c r="X1606" t="n">
        <v/>
      </c>
      <c r="Y1606" t="n">
        <v/>
      </c>
      <c r="Z1606" t="n">
        <v/>
      </c>
      <c r="AA1606">
        <f>SUMIFS($S$2:S1606,$A$2:A1606,A1606,$N$2:N1606,"Explore*")</f>
        <v/>
      </c>
      <c r="AB1606">
        <f>IF(AND(LEFT(N1606,7)="Explore",(AA1606-IF(LEFT(N1606,7)="Explore",S1606,0))&lt;10),"SI","NO")</f>
        <v/>
      </c>
    </row>
    <row r="1607">
      <c r="A1607" t="inlineStr">
        <is>
          <t>c52m2_training</t>
        </is>
      </c>
      <c r="B1607" t="inlineStr">
        <is>
          <t>2026-02-24 11:53:10.526</t>
        </is>
      </c>
      <c r="C1607" t="n">
        <v/>
      </c>
      <c r="D1607" t="inlineStr">
        <is>
          <t>Media file</t>
        </is>
      </c>
      <c r="E1607" t="inlineStr">
        <is>
          <t>player #1:WT\training\c52m2.mp4</t>
        </is>
      </c>
      <c r="F1607" t="n">
        <v>-20.1</v>
      </c>
      <c r="G1607" t="n">
        <v>593</v>
      </c>
      <c r="H1607" t="n">
        <v>637.399</v>
      </c>
      <c r="I1607" t="n">
        <v>30</v>
      </c>
      <c r="J1607" t="inlineStr">
        <is>
          <t xml:space="preserve"> WT</t>
        </is>
      </c>
      <c r="K1607" t="inlineStr">
        <is>
          <t>Male</t>
        </is>
      </c>
      <c r="L1607" t="inlineStr">
        <is>
          <t>No focal subject</t>
        </is>
      </c>
      <c r="M1607" t="n">
        <v>26.135</v>
      </c>
      <c r="N1607" t="inlineStr">
        <is>
          <t>Explore_F2</t>
        </is>
      </c>
      <c r="O1607" t="inlineStr">
        <is>
          <t>Second familiar</t>
        </is>
      </c>
      <c r="P1607" t="inlineStr">
        <is>
          <t>STATE</t>
        </is>
      </c>
      <c r="Q1607" t="n">
        <v>577.833</v>
      </c>
      <c r="R1607" t="n">
        <v>578.466</v>
      </c>
      <c r="S1607" t="n">
        <v>0.633</v>
      </c>
      <c r="T1607" t="inlineStr">
        <is>
          <t>WT\training\c52m2.mp4</t>
        </is>
      </c>
      <c r="U1607" t="n">
        <v>17934</v>
      </c>
      <c r="V1607" t="n">
        <v>17953</v>
      </c>
      <c r="W1607" t="n">
        <v/>
      </c>
      <c r="X1607" t="n">
        <v/>
      </c>
      <c r="Y1607" t="n">
        <v/>
      </c>
      <c r="Z1607" t="n">
        <v/>
      </c>
      <c r="AA1607">
        <f>SUMIFS($S$2:S1607,$A$2:A1607,A1607,$N$2:N1607,"Explore*")</f>
        <v/>
      </c>
      <c r="AB1607">
        <f>IF(AND(LEFT(N1607,7)="Explore",(AA1607-IF(LEFT(N1607,7)="Explore",S1607,0))&lt;10),"SI","NO")</f>
        <v/>
      </c>
    </row>
    <row r="1608">
      <c r="A1608" t="inlineStr">
        <is>
          <t>c52m2_training</t>
        </is>
      </c>
      <c r="B1608" t="inlineStr">
        <is>
          <t>2026-02-24 11:53:10.526</t>
        </is>
      </c>
      <c r="C1608" t="n">
        <v/>
      </c>
      <c r="D1608" t="inlineStr">
        <is>
          <t>Media file</t>
        </is>
      </c>
      <c r="E1608" t="inlineStr">
        <is>
          <t>player #1:WT\training\c52m2.mp4</t>
        </is>
      </c>
      <c r="F1608" t="n">
        <v>-20.1</v>
      </c>
      <c r="G1608" t="n">
        <v>593</v>
      </c>
      <c r="H1608" t="n">
        <v>637.399</v>
      </c>
      <c r="I1608" t="n">
        <v>30</v>
      </c>
      <c r="J1608" t="inlineStr">
        <is>
          <t xml:space="preserve"> WT</t>
        </is>
      </c>
      <c r="K1608" t="inlineStr">
        <is>
          <t>Male</t>
        </is>
      </c>
      <c r="L1608" t="inlineStr">
        <is>
          <t>No focal subject</t>
        </is>
      </c>
      <c r="M1608" t="n">
        <v>26.135</v>
      </c>
      <c r="N1608" t="inlineStr">
        <is>
          <t>Explore_F2</t>
        </is>
      </c>
      <c r="O1608" t="inlineStr">
        <is>
          <t>Second familiar</t>
        </is>
      </c>
      <c r="P1608" t="inlineStr">
        <is>
          <t>STATE</t>
        </is>
      </c>
      <c r="Q1608" t="n">
        <v>599.566</v>
      </c>
      <c r="R1608" t="n">
        <v>599.833</v>
      </c>
      <c r="S1608" t="n">
        <v>0.267</v>
      </c>
      <c r="T1608" t="inlineStr">
        <is>
          <t>WT\training\c52m2.mp4</t>
        </is>
      </c>
      <c r="U1608" t="n">
        <v>18586</v>
      </c>
      <c r="V1608" t="n">
        <v>18594</v>
      </c>
      <c r="W1608" t="n">
        <v/>
      </c>
      <c r="X1608" t="n">
        <v/>
      </c>
      <c r="Y1608" t="n">
        <v/>
      </c>
      <c r="Z1608" t="n">
        <v/>
      </c>
      <c r="AA1608">
        <f>SUMIFS($S$2:S1608,$A$2:A1608,A1608,$N$2:N1608,"Explore*")</f>
        <v/>
      </c>
      <c r="AB1608">
        <f>IF(AND(LEFT(N1608,7)="Explore",(AA1608-IF(LEFT(N1608,7)="Explore",S1608,0))&lt;10),"SI","NO")</f>
        <v/>
      </c>
    </row>
    <row r="1609">
      <c r="A1609" t="inlineStr">
        <is>
          <t>c53f1_training</t>
        </is>
      </c>
      <c r="B1609" t="inlineStr">
        <is>
          <t>2026-03-03 17:06:14.326</t>
        </is>
      </c>
      <c r="C1609" t="n">
        <v/>
      </c>
      <c r="D1609" t="inlineStr">
        <is>
          <t>Media file</t>
        </is>
      </c>
      <c r="E1609" t="inlineStr">
        <is>
          <t>player #1:WT\training\c53f1.mp4</t>
        </is>
      </c>
      <c r="F1609" t="n">
        <v>-17.667</v>
      </c>
      <c r="G1609" t="n">
        <v>437.432</v>
      </c>
      <c r="H1609" t="n">
        <v>630.133</v>
      </c>
      <c r="I1609" t="n">
        <v>30</v>
      </c>
      <c r="J1609" t="inlineStr">
        <is>
          <t xml:space="preserve"> WT</t>
        </is>
      </c>
      <c r="K1609" t="inlineStr">
        <is>
          <t xml:space="preserve"> Female</t>
        </is>
      </c>
      <c r="L1609" t="inlineStr">
        <is>
          <t>No focal subject</t>
        </is>
      </c>
      <c r="M1609" t="n">
        <v>9.167</v>
      </c>
      <c r="N1609" t="inlineStr">
        <is>
          <t>Explore_F</t>
        </is>
      </c>
      <c r="O1609" t="inlineStr">
        <is>
          <t>Familiar</t>
        </is>
      </c>
      <c r="P1609" t="inlineStr">
        <is>
          <t>STATE</t>
        </is>
      </c>
      <c r="Q1609" t="n">
        <v>45</v>
      </c>
      <c r="R1609" t="n">
        <v>45.866</v>
      </c>
      <c r="S1609" t="n">
        <v>0.866</v>
      </c>
      <c r="T1609" t="inlineStr">
        <is>
          <t>WT\training\c53f1.mp4</t>
        </is>
      </c>
      <c r="U1609" t="n">
        <v>1350</v>
      </c>
      <c r="V1609" t="n">
        <v>1374</v>
      </c>
      <c r="W1609" t="n">
        <v/>
      </c>
      <c r="X1609" t="n">
        <v/>
      </c>
      <c r="Y1609" t="n">
        <v/>
      </c>
      <c r="Z1609" t="n">
        <v/>
      </c>
      <c r="AA1609">
        <f>SUMIFS($S$2:S1609,$A$2:A1609,A1609,$N$2:N1609,"Explore*")</f>
        <v/>
      </c>
      <c r="AB1609">
        <f>IF(AND(LEFT(N1609,7)="Explore",(AA1609-IF(LEFT(N1609,7)="Explore",S1609,0))&lt;10),"SI","NO")</f>
        <v/>
      </c>
    </row>
    <row r="1610">
      <c r="A1610" t="inlineStr">
        <is>
          <t>c53f1_training</t>
        </is>
      </c>
      <c r="B1610" t="inlineStr">
        <is>
          <t>2026-03-03 17:06:14.326</t>
        </is>
      </c>
      <c r="C1610" t="n">
        <v/>
      </c>
      <c r="D1610" t="inlineStr">
        <is>
          <t>Media file</t>
        </is>
      </c>
      <c r="E1610" t="inlineStr">
        <is>
          <t>player #1:WT\training\c53f1.mp4</t>
        </is>
      </c>
      <c r="F1610" t="n">
        <v>-17.667</v>
      </c>
      <c r="G1610" t="n">
        <v>437.432</v>
      </c>
      <c r="H1610" t="n">
        <v>630.133</v>
      </c>
      <c r="I1610" t="n">
        <v>30</v>
      </c>
      <c r="J1610" t="inlineStr">
        <is>
          <t xml:space="preserve"> WT</t>
        </is>
      </c>
      <c r="K1610" t="inlineStr">
        <is>
          <t xml:space="preserve"> Female</t>
        </is>
      </c>
      <c r="L1610" t="inlineStr">
        <is>
          <t>No focal subject</t>
        </is>
      </c>
      <c r="M1610" t="n">
        <v>9.167</v>
      </c>
      <c r="N1610" t="inlineStr">
        <is>
          <t>Explore_F2</t>
        </is>
      </c>
      <c r="O1610" t="inlineStr">
        <is>
          <t>Second familiar</t>
        </is>
      </c>
      <c r="P1610" t="inlineStr">
        <is>
          <t>STATE</t>
        </is>
      </c>
      <c r="Q1610" t="n">
        <v>107.366</v>
      </c>
      <c r="R1610" t="n">
        <v>108.333</v>
      </c>
      <c r="S1610" t="n">
        <v>0.967</v>
      </c>
      <c r="T1610" t="inlineStr">
        <is>
          <t>WT\training\c53f1.mp4</t>
        </is>
      </c>
      <c r="U1610" t="n">
        <v>3216</v>
      </c>
      <c r="V1610" t="n">
        <v>3245</v>
      </c>
      <c r="W1610" t="n">
        <v/>
      </c>
      <c r="X1610" t="n">
        <v/>
      </c>
      <c r="Y1610" t="n">
        <v/>
      </c>
      <c r="Z1610" t="n">
        <v/>
      </c>
      <c r="AA1610">
        <f>SUMIFS($S$2:S1610,$A$2:A1610,A1610,$N$2:N1610,"Explore*")</f>
        <v/>
      </c>
      <c r="AB1610">
        <f>IF(AND(LEFT(N1610,7)="Explore",(AA1610-IF(LEFT(N1610,7)="Explore",S1610,0))&lt;10),"SI","NO")</f>
        <v/>
      </c>
    </row>
    <row r="1611">
      <c r="A1611" t="inlineStr">
        <is>
          <t>c53f1_training</t>
        </is>
      </c>
      <c r="B1611" t="inlineStr">
        <is>
          <t>2026-03-03 17:06:14.326</t>
        </is>
      </c>
      <c r="C1611" t="n">
        <v/>
      </c>
      <c r="D1611" t="inlineStr">
        <is>
          <t>Media file</t>
        </is>
      </c>
      <c r="E1611" t="inlineStr">
        <is>
          <t>player #1:WT\training\c53f1.mp4</t>
        </is>
      </c>
      <c r="F1611" t="n">
        <v>-17.667</v>
      </c>
      <c r="G1611" t="n">
        <v>437.432</v>
      </c>
      <c r="H1611" t="n">
        <v>630.133</v>
      </c>
      <c r="I1611" t="n">
        <v>30</v>
      </c>
      <c r="J1611" t="inlineStr">
        <is>
          <t xml:space="preserve"> WT</t>
        </is>
      </c>
      <c r="K1611" t="inlineStr">
        <is>
          <t xml:space="preserve"> Female</t>
        </is>
      </c>
      <c r="L1611" t="inlineStr">
        <is>
          <t>No focal subject</t>
        </is>
      </c>
      <c r="M1611" t="n">
        <v>9.167</v>
      </c>
      <c r="N1611" t="inlineStr">
        <is>
          <t>Explore_F</t>
        </is>
      </c>
      <c r="O1611" t="inlineStr">
        <is>
          <t>Familiar</t>
        </is>
      </c>
      <c r="P1611" t="inlineStr">
        <is>
          <t>STATE</t>
        </is>
      </c>
      <c r="Q1611" t="n">
        <v>118.5</v>
      </c>
      <c r="R1611" t="n">
        <v>119</v>
      </c>
      <c r="S1611" t="n">
        <v>0.5</v>
      </c>
      <c r="T1611" t="inlineStr">
        <is>
          <t>WT\training\c53f1.mp4</t>
        </is>
      </c>
      <c r="U1611" t="n">
        <v>3551</v>
      </c>
      <c r="V1611" t="n">
        <v>3566</v>
      </c>
      <c r="W1611" t="n">
        <v/>
      </c>
      <c r="X1611" t="n">
        <v/>
      </c>
      <c r="Y1611" t="n">
        <v/>
      </c>
      <c r="Z1611" t="n">
        <v/>
      </c>
      <c r="AA1611">
        <f>SUMIFS($S$2:S1611,$A$2:A1611,A1611,$N$2:N1611,"Explore*")</f>
        <v/>
      </c>
      <c r="AB1611">
        <f>IF(AND(LEFT(N1611,7)="Explore",(AA1611-IF(LEFT(N1611,7)="Explore",S1611,0))&lt;10),"SI","NO")</f>
        <v/>
      </c>
    </row>
    <row r="1612">
      <c r="A1612" t="inlineStr">
        <is>
          <t>c53f1_training</t>
        </is>
      </c>
      <c r="B1612" t="inlineStr">
        <is>
          <t>2026-03-03 17:06:14.326</t>
        </is>
      </c>
      <c r="C1612" t="n">
        <v/>
      </c>
      <c r="D1612" t="inlineStr">
        <is>
          <t>Media file</t>
        </is>
      </c>
      <c r="E1612" t="inlineStr">
        <is>
          <t>player #1:WT\training\c53f1.mp4</t>
        </is>
      </c>
      <c r="F1612" t="n">
        <v>-17.667</v>
      </c>
      <c r="G1612" t="n">
        <v>437.432</v>
      </c>
      <c r="H1612" t="n">
        <v>630.133</v>
      </c>
      <c r="I1612" t="n">
        <v>30</v>
      </c>
      <c r="J1612" t="inlineStr">
        <is>
          <t xml:space="preserve"> WT</t>
        </is>
      </c>
      <c r="K1612" t="inlineStr">
        <is>
          <t xml:space="preserve"> Female</t>
        </is>
      </c>
      <c r="L1612" t="inlineStr">
        <is>
          <t>No focal subject</t>
        </is>
      </c>
      <c r="M1612" t="n">
        <v>9.167</v>
      </c>
      <c r="N1612" t="inlineStr">
        <is>
          <t>Explore_F</t>
        </is>
      </c>
      <c r="O1612" t="inlineStr">
        <is>
          <t>Familiar</t>
        </is>
      </c>
      <c r="P1612" t="inlineStr">
        <is>
          <t>STATE</t>
        </is>
      </c>
      <c r="Q1612" t="n">
        <v>126.666</v>
      </c>
      <c r="R1612" t="n">
        <v>127.3</v>
      </c>
      <c r="S1612" t="n">
        <v>0.634</v>
      </c>
      <c r="T1612" t="inlineStr">
        <is>
          <t>WT\training\c53f1.mp4</t>
        </is>
      </c>
      <c r="U1612" t="n">
        <v>3794</v>
      </c>
      <c r="V1612" t="n">
        <v>3813</v>
      </c>
      <c r="W1612" t="n">
        <v/>
      </c>
      <c r="X1612" t="n">
        <v/>
      </c>
      <c r="Y1612" t="n">
        <v/>
      </c>
      <c r="Z1612" t="n">
        <v/>
      </c>
      <c r="AA1612">
        <f>SUMIFS($S$2:S1612,$A$2:A1612,A1612,$N$2:N1612,"Explore*")</f>
        <v/>
      </c>
      <c r="AB1612">
        <f>IF(AND(LEFT(N1612,7)="Explore",(AA1612-IF(LEFT(N1612,7)="Explore",S1612,0))&lt;10),"SI","NO")</f>
        <v/>
      </c>
    </row>
    <row r="1613">
      <c r="A1613" t="inlineStr">
        <is>
          <t>c53f1_training</t>
        </is>
      </c>
      <c r="B1613" t="inlineStr">
        <is>
          <t>2026-03-03 17:06:14.326</t>
        </is>
      </c>
      <c r="C1613" t="n">
        <v/>
      </c>
      <c r="D1613" t="inlineStr">
        <is>
          <t>Media file</t>
        </is>
      </c>
      <c r="E1613" t="inlineStr">
        <is>
          <t>player #1:WT\training\c53f1.mp4</t>
        </is>
      </c>
      <c r="F1613" t="n">
        <v>-17.667</v>
      </c>
      <c r="G1613" t="n">
        <v>437.432</v>
      </c>
      <c r="H1613" t="n">
        <v>630.133</v>
      </c>
      <c r="I1613" t="n">
        <v>30</v>
      </c>
      <c r="J1613" t="inlineStr">
        <is>
          <t xml:space="preserve"> WT</t>
        </is>
      </c>
      <c r="K1613" t="inlineStr">
        <is>
          <t xml:space="preserve"> Female</t>
        </is>
      </c>
      <c r="L1613" t="inlineStr">
        <is>
          <t>No focal subject</t>
        </is>
      </c>
      <c r="M1613" t="n">
        <v>9.167</v>
      </c>
      <c r="N1613" t="inlineStr">
        <is>
          <t>Explore_F2</t>
        </is>
      </c>
      <c r="O1613" t="inlineStr">
        <is>
          <t>Second familiar</t>
        </is>
      </c>
      <c r="P1613" t="inlineStr">
        <is>
          <t>STATE</t>
        </is>
      </c>
      <c r="Q1613" t="n">
        <v>148.066</v>
      </c>
      <c r="R1613" t="n">
        <v>149.733</v>
      </c>
      <c r="S1613" t="n">
        <v>1.667</v>
      </c>
      <c r="T1613" t="inlineStr">
        <is>
          <t>WT\training\c53f1.mp4</t>
        </is>
      </c>
      <c r="U1613" t="n">
        <v>4435</v>
      </c>
      <c r="V1613" t="n">
        <v>4485</v>
      </c>
      <c r="W1613" t="n">
        <v/>
      </c>
      <c r="X1613" t="n">
        <v/>
      </c>
      <c r="Y1613" t="n">
        <v/>
      </c>
      <c r="Z1613" t="n">
        <v/>
      </c>
      <c r="AA1613">
        <f>SUMIFS($S$2:S1613,$A$2:A1613,A1613,$N$2:N1613,"Explore*")</f>
        <v/>
      </c>
      <c r="AB1613">
        <f>IF(AND(LEFT(N1613,7)="Explore",(AA1613-IF(LEFT(N1613,7)="Explore",S1613,0))&lt;10),"SI","NO")</f>
        <v/>
      </c>
    </row>
    <row r="1614">
      <c r="A1614" t="inlineStr">
        <is>
          <t>c53f1_training</t>
        </is>
      </c>
      <c r="B1614" t="inlineStr">
        <is>
          <t>2026-03-03 17:06:14.326</t>
        </is>
      </c>
      <c r="C1614" t="n">
        <v/>
      </c>
      <c r="D1614" t="inlineStr">
        <is>
          <t>Media file</t>
        </is>
      </c>
      <c r="E1614" t="inlineStr">
        <is>
          <t>player #1:WT\training\c53f1.mp4</t>
        </is>
      </c>
      <c r="F1614" t="n">
        <v>-17.667</v>
      </c>
      <c r="G1614" t="n">
        <v>437.432</v>
      </c>
      <c r="H1614" t="n">
        <v>630.133</v>
      </c>
      <c r="I1614" t="n">
        <v>30</v>
      </c>
      <c r="J1614" t="inlineStr">
        <is>
          <t xml:space="preserve"> WT</t>
        </is>
      </c>
      <c r="K1614" t="inlineStr">
        <is>
          <t xml:space="preserve"> Female</t>
        </is>
      </c>
      <c r="L1614" t="inlineStr">
        <is>
          <t>No focal subject</t>
        </is>
      </c>
      <c r="M1614" t="n">
        <v>9.167</v>
      </c>
      <c r="N1614" t="inlineStr">
        <is>
          <t>Explore_F</t>
        </is>
      </c>
      <c r="O1614" t="inlineStr">
        <is>
          <t>Familiar</t>
        </is>
      </c>
      <c r="P1614" t="inlineStr">
        <is>
          <t>STATE</t>
        </is>
      </c>
      <c r="Q1614" t="n">
        <v>200.366</v>
      </c>
      <c r="R1614" t="n">
        <v>200.899</v>
      </c>
      <c r="S1614" t="n">
        <v>0.533</v>
      </c>
      <c r="T1614" t="inlineStr">
        <is>
          <t>WT\training\c53f1.mp4</t>
        </is>
      </c>
      <c r="U1614" t="n">
        <v>6001</v>
      </c>
      <c r="V1614" t="n">
        <v>6017</v>
      </c>
      <c r="W1614" t="n">
        <v/>
      </c>
      <c r="X1614" t="n">
        <v/>
      </c>
      <c r="Y1614" t="n">
        <v/>
      </c>
      <c r="Z1614" t="n">
        <v/>
      </c>
      <c r="AA1614">
        <f>SUMIFS($S$2:S1614,$A$2:A1614,A1614,$N$2:N1614,"Explore*")</f>
        <v/>
      </c>
      <c r="AB1614">
        <f>IF(AND(LEFT(N1614,7)="Explore",(AA1614-IF(LEFT(N1614,7)="Explore",S1614,0))&lt;10),"SI","NO")</f>
        <v/>
      </c>
    </row>
    <row r="1615">
      <c r="A1615" t="inlineStr">
        <is>
          <t>c53f1_training</t>
        </is>
      </c>
      <c r="B1615" t="inlineStr">
        <is>
          <t>2026-03-03 17:06:14.326</t>
        </is>
      </c>
      <c r="C1615" t="n">
        <v/>
      </c>
      <c r="D1615" t="inlineStr">
        <is>
          <t>Media file</t>
        </is>
      </c>
      <c r="E1615" t="inlineStr">
        <is>
          <t>player #1:WT\training\c53f1.mp4</t>
        </is>
      </c>
      <c r="F1615" t="n">
        <v>-17.667</v>
      </c>
      <c r="G1615" t="n">
        <v>437.432</v>
      </c>
      <c r="H1615" t="n">
        <v>630.133</v>
      </c>
      <c r="I1615" t="n">
        <v>30</v>
      </c>
      <c r="J1615" t="inlineStr">
        <is>
          <t xml:space="preserve"> WT</t>
        </is>
      </c>
      <c r="K1615" t="inlineStr">
        <is>
          <t xml:space="preserve"> Female</t>
        </is>
      </c>
      <c r="L1615" t="inlineStr">
        <is>
          <t>No focal subject</t>
        </is>
      </c>
      <c r="M1615" t="n">
        <v>9.167</v>
      </c>
      <c r="N1615" t="inlineStr">
        <is>
          <t>Explore_F</t>
        </is>
      </c>
      <c r="O1615" t="inlineStr">
        <is>
          <t>Familiar</t>
        </is>
      </c>
      <c r="P1615" t="inlineStr">
        <is>
          <t>STATE</t>
        </is>
      </c>
      <c r="Q1615" t="n">
        <v>205.566</v>
      </c>
      <c r="R1615" t="n">
        <v>206.099</v>
      </c>
      <c r="S1615" t="n">
        <v>0.533</v>
      </c>
      <c r="T1615" t="inlineStr">
        <is>
          <t>WT\training\c53f1.mp4</t>
        </is>
      </c>
      <c r="U1615" t="n">
        <v>6157</v>
      </c>
      <c r="V1615" t="n">
        <v>6173</v>
      </c>
      <c r="W1615" t="n">
        <v/>
      </c>
      <c r="X1615" t="n">
        <v/>
      </c>
      <c r="Y1615" t="n">
        <v/>
      </c>
      <c r="Z1615" t="n">
        <v/>
      </c>
      <c r="AA1615">
        <f>SUMIFS($S$2:S1615,$A$2:A1615,A1615,$N$2:N1615,"Explore*")</f>
        <v/>
      </c>
      <c r="AB1615">
        <f>IF(AND(LEFT(N1615,7)="Explore",(AA1615-IF(LEFT(N1615,7)="Explore",S1615,0))&lt;10),"SI","NO")</f>
        <v/>
      </c>
    </row>
    <row r="1616">
      <c r="A1616" t="inlineStr">
        <is>
          <t>c53f1_training</t>
        </is>
      </c>
      <c r="B1616" t="inlineStr">
        <is>
          <t>2026-03-03 17:06:14.326</t>
        </is>
      </c>
      <c r="C1616" t="n">
        <v/>
      </c>
      <c r="D1616" t="inlineStr">
        <is>
          <t>Media file</t>
        </is>
      </c>
      <c r="E1616" t="inlineStr">
        <is>
          <t>player #1:WT\training\c53f1.mp4</t>
        </is>
      </c>
      <c r="F1616" t="n">
        <v>-17.667</v>
      </c>
      <c r="G1616" t="n">
        <v>437.432</v>
      </c>
      <c r="H1616" t="n">
        <v>630.133</v>
      </c>
      <c r="I1616" t="n">
        <v>30</v>
      </c>
      <c r="J1616" t="inlineStr">
        <is>
          <t xml:space="preserve"> WT</t>
        </is>
      </c>
      <c r="K1616" t="inlineStr">
        <is>
          <t xml:space="preserve"> Female</t>
        </is>
      </c>
      <c r="L1616" t="inlineStr">
        <is>
          <t>No focal subject</t>
        </is>
      </c>
      <c r="M1616" t="n">
        <v>9.167</v>
      </c>
      <c r="N1616" t="inlineStr">
        <is>
          <t>Explore_F2</t>
        </is>
      </c>
      <c r="O1616" t="inlineStr">
        <is>
          <t>Second familiar</t>
        </is>
      </c>
      <c r="P1616" t="inlineStr">
        <is>
          <t>STATE</t>
        </is>
      </c>
      <c r="Q1616" t="n">
        <v>331.199</v>
      </c>
      <c r="R1616" t="n">
        <v>331.666</v>
      </c>
      <c r="S1616" t="n">
        <v>0.467</v>
      </c>
      <c r="T1616" t="inlineStr">
        <is>
          <t>WT\training\c53f1.mp4</t>
        </is>
      </c>
      <c r="U1616" t="n">
        <v>9920</v>
      </c>
      <c r="V1616" t="n">
        <v>9934</v>
      </c>
      <c r="W1616" t="n">
        <v/>
      </c>
      <c r="X1616" t="n">
        <v/>
      </c>
      <c r="Y1616" t="n">
        <v/>
      </c>
      <c r="Z1616" t="n">
        <v/>
      </c>
      <c r="AA1616">
        <f>SUMIFS($S$2:S1616,$A$2:A1616,A1616,$N$2:N1616,"Explore*")</f>
        <v/>
      </c>
      <c r="AB1616">
        <f>IF(AND(LEFT(N1616,7)="Explore",(AA1616-IF(LEFT(N1616,7)="Explore",S1616,0))&lt;10),"SI","NO")</f>
        <v/>
      </c>
    </row>
    <row r="1617">
      <c r="A1617" t="inlineStr">
        <is>
          <t>c53f1_training</t>
        </is>
      </c>
      <c r="B1617" t="inlineStr">
        <is>
          <t>2026-03-03 17:06:14.326</t>
        </is>
      </c>
      <c r="C1617" t="n">
        <v/>
      </c>
      <c r="D1617" t="inlineStr">
        <is>
          <t>Media file</t>
        </is>
      </c>
      <c r="E1617" t="inlineStr">
        <is>
          <t>player #1:WT\training\c53f1.mp4</t>
        </is>
      </c>
      <c r="F1617" t="n">
        <v>-17.667</v>
      </c>
      <c r="G1617" t="n">
        <v>437.432</v>
      </c>
      <c r="H1617" t="n">
        <v>630.133</v>
      </c>
      <c r="I1617" t="n">
        <v>30</v>
      </c>
      <c r="J1617" t="inlineStr">
        <is>
          <t xml:space="preserve"> WT</t>
        </is>
      </c>
      <c r="K1617" t="inlineStr">
        <is>
          <t xml:space="preserve"> Female</t>
        </is>
      </c>
      <c r="L1617" t="inlineStr">
        <is>
          <t>No focal subject</t>
        </is>
      </c>
      <c r="M1617" t="n">
        <v>9.167</v>
      </c>
      <c r="N1617" t="inlineStr">
        <is>
          <t>Explore_F2</t>
        </is>
      </c>
      <c r="O1617" t="inlineStr">
        <is>
          <t>Second familiar</t>
        </is>
      </c>
      <c r="P1617" t="inlineStr">
        <is>
          <t>STATE</t>
        </is>
      </c>
      <c r="Q1617" t="n">
        <v>339.599</v>
      </c>
      <c r="R1617" t="n">
        <v>339.966</v>
      </c>
      <c r="S1617" t="n">
        <v>0.367</v>
      </c>
      <c r="T1617" t="inlineStr">
        <is>
          <t>WT\training\c53f1.mp4</t>
        </is>
      </c>
      <c r="U1617" t="n">
        <v>10171</v>
      </c>
      <c r="V1617" t="n">
        <v>10182</v>
      </c>
      <c r="W1617" t="n">
        <v/>
      </c>
      <c r="X1617" t="n">
        <v/>
      </c>
      <c r="Y1617" t="n">
        <v/>
      </c>
      <c r="Z1617" t="n">
        <v/>
      </c>
      <c r="AA1617">
        <f>SUMIFS($S$2:S1617,$A$2:A1617,A1617,$N$2:N1617,"Explore*")</f>
        <v/>
      </c>
      <c r="AB1617">
        <f>IF(AND(LEFT(N1617,7)="Explore",(AA1617-IF(LEFT(N1617,7)="Explore",S1617,0))&lt;10),"SI","NO")</f>
        <v/>
      </c>
    </row>
    <row r="1618">
      <c r="A1618" t="inlineStr">
        <is>
          <t>c53f1_training</t>
        </is>
      </c>
      <c r="B1618" t="inlineStr">
        <is>
          <t>2026-03-03 17:06:14.326</t>
        </is>
      </c>
      <c r="C1618" t="n">
        <v/>
      </c>
      <c r="D1618" t="inlineStr">
        <is>
          <t>Media file</t>
        </is>
      </c>
      <c r="E1618" t="inlineStr">
        <is>
          <t>player #1:WT\training\c53f1.mp4</t>
        </is>
      </c>
      <c r="F1618" t="n">
        <v>-17.667</v>
      </c>
      <c r="G1618" t="n">
        <v>437.432</v>
      </c>
      <c r="H1618" t="n">
        <v>630.133</v>
      </c>
      <c r="I1618" t="n">
        <v>30</v>
      </c>
      <c r="J1618" t="inlineStr">
        <is>
          <t xml:space="preserve"> WT</t>
        </is>
      </c>
      <c r="K1618" t="inlineStr">
        <is>
          <t xml:space="preserve"> Female</t>
        </is>
      </c>
      <c r="L1618" t="inlineStr">
        <is>
          <t>No focal subject</t>
        </is>
      </c>
      <c r="M1618" t="n">
        <v>9.167</v>
      </c>
      <c r="N1618" t="inlineStr">
        <is>
          <t>Explore_F</t>
        </is>
      </c>
      <c r="O1618" t="inlineStr">
        <is>
          <t>Familiar</t>
        </is>
      </c>
      <c r="P1618" t="inlineStr">
        <is>
          <t>STATE</t>
        </is>
      </c>
      <c r="Q1618" t="n">
        <v>348.466</v>
      </c>
      <c r="R1618" t="n">
        <v>348.866</v>
      </c>
      <c r="S1618" t="n">
        <v>0.4</v>
      </c>
      <c r="T1618" t="inlineStr">
        <is>
          <t>WT\training\c53f1.mp4</t>
        </is>
      </c>
      <c r="U1618" t="n">
        <v>10437</v>
      </c>
      <c r="V1618" t="n">
        <v>10449</v>
      </c>
      <c r="W1618" t="n">
        <v/>
      </c>
      <c r="X1618" t="n">
        <v/>
      </c>
      <c r="Y1618" t="n">
        <v/>
      </c>
      <c r="Z1618" t="n">
        <v/>
      </c>
      <c r="AA1618">
        <f>SUMIFS($S$2:S1618,$A$2:A1618,A1618,$N$2:N1618,"Explore*")</f>
        <v/>
      </c>
      <c r="AB1618">
        <f>IF(AND(LEFT(N1618,7)="Explore",(AA1618-IF(LEFT(N1618,7)="Explore",S1618,0))&lt;10),"SI","NO")</f>
        <v/>
      </c>
    </row>
    <row r="1619">
      <c r="A1619" t="inlineStr">
        <is>
          <t>c53f1_training</t>
        </is>
      </c>
      <c r="B1619" t="inlineStr">
        <is>
          <t>2026-03-03 17:06:14.326</t>
        </is>
      </c>
      <c r="C1619" t="n">
        <v/>
      </c>
      <c r="D1619" t="inlineStr">
        <is>
          <t>Media file</t>
        </is>
      </c>
      <c r="E1619" t="inlineStr">
        <is>
          <t>player #1:WT\training\c53f1.mp4</t>
        </is>
      </c>
      <c r="F1619" t="n">
        <v>-17.667</v>
      </c>
      <c r="G1619" t="n">
        <v>437.432</v>
      </c>
      <c r="H1619" t="n">
        <v>630.133</v>
      </c>
      <c r="I1619" t="n">
        <v>30</v>
      </c>
      <c r="J1619" t="inlineStr">
        <is>
          <t xml:space="preserve"> WT</t>
        </is>
      </c>
      <c r="K1619" t="inlineStr">
        <is>
          <t xml:space="preserve"> Female</t>
        </is>
      </c>
      <c r="L1619" t="inlineStr">
        <is>
          <t>No focal subject</t>
        </is>
      </c>
      <c r="M1619" t="n">
        <v>9.167</v>
      </c>
      <c r="N1619" t="inlineStr">
        <is>
          <t>Explore_F2</t>
        </is>
      </c>
      <c r="O1619" t="inlineStr">
        <is>
          <t>Second familiar</t>
        </is>
      </c>
      <c r="P1619" t="inlineStr">
        <is>
          <t>STATE</t>
        </is>
      </c>
      <c r="Q1619" t="n">
        <v>363.899</v>
      </c>
      <c r="R1619" t="n">
        <v>364.566</v>
      </c>
      <c r="S1619" t="n">
        <v>0.667</v>
      </c>
      <c r="T1619" t="inlineStr">
        <is>
          <t>WT\training\c53f1.mp4</t>
        </is>
      </c>
      <c r="U1619" t="n">
        <v>10899</v>
      </c>
      <c r="V1619" t="n">
        <v>10919</v>
      </c>
      <c r="W1619" t="n">
        <v/>
      </c>
      <c r="X1619" t="n">
        <v/>
      </c>
      <c r="Y1619" t="n">
        <v/>
      </c>
      <c r="Z1619" t="n">
        <v/>
      </c>
      <c r="AA1619">
        <f>SUMIFS($S$2:S1619,$A$2:A1619,A1619,$N$2:N1619,"Explore*")</f>
        <v/>
      </c>
      <c r="AB1619">
        <f>IF(AND(LEFT(N1619,7)="Explore",(AA1619-IF(LEFT(N1619,7)="Explore",S1619,0))&lt;10),"SI","NO")</f>
        <v/>
      </c>
    </row>
    <row r="1620">
      <c r="A1620" t="inlineStr">
        <is>
          <t>c53f1_training</t>
        </is>
      </c>
      <c r="B1620" t="inlineStr">
        <is>
          <t>2026-03-03 17:06:14.326</t>
        </is>
      </c>
      <c r="C1620" t="n">
        <v/>
      </c>
      <c r="D1620" t="inlineStr">
        <is>
          <t>Media file</t>
        </is>
      </c>
      <c r="E1620" t="inlineStr">
        <is>
          <t>player #1:WT\training\c53f1.mp4</t>
        </is>
      </c>
      <c r="F1620" t="n">
        <v>-17.667</v>
      </c>
      <c r="G1620" t="n">
        <v>437.432</v>
      </c>
      <c r="H1620" t="n">
        <v>630.133</v>
      </c>
      <c r="I1620" t="n">
        <v>30</v>
      </c>
      <c r="J1620" t="inlineStr">
        <is>
          <t xml:space="preserve"> WT</t>
        </is>
      </c>
      <c r="K1620" t="inlineStr">
        <is>
          <t xml:space="preserve"> Female</t>
        </is>
      </c>
      <c r="L1620" t="inlineStr">
        <is>
          <t>No focal subject</t>
        </is>
      </c>
      <c r="M1620" t="n">
        <v>9.167</v>
      </c>
      <c r="N1620" t="inlineStr">
        <is>
          <t>Explore_F</t>
        </is>
      </c>
      <c r="O1620" t="inlineStr">
        <is>
          <t>Familiar</t>
        </is>
      </c>
      <c r="P1620" t="inlineStr">
        <is>
          <t>STATE</t>
        </is>
      </c>
      <c r="Q1620" t="n">
        <v>423.766</v>
      </c>
      <c r="R1620" t="n">
        <v>424.299</v>
      </c>
      <c r="S1620" t="n">
        <v>0.533</v>
      </c>
      <c r="T1620" t="inlineStr">
        <is>
          <t>WT\training\c53f1.mp4</t>
        </is>
      </c>
      <c r="U1620" t="n">
        <v>12692</v>
      </c>
      <c r="V1620" t="n">
        <v>12708</v>
      </c>
      <c r="W1620" t="n">
        <v/>
      </c>
      <c r="X1620" t="n">
        <v/>
      </c>
      <c r="Y1620" t="n">
        <v/>
      </c>
      <c r="Z1620" t="n">
        <v/>
      </c>
      <c r="AA1620">
        <f>SUMIFS($S$2:S1620,$A$2:A1620,A1620,$N$2:N1620,"Explore*")</f>
        <v/>
      </c>
      <c r="AB1620">
        <f>IF(AND(LEFT(N1620,7)="Explore",(AA1620-IF(LEFT(N1620,7)="Explore",S1620,0))&lt;10),"SI","NO")</f>
        <v/>
      </c>
    </row>
    <row r="1621">
      <c r="A1621" t="inlineStr">
        <is>
          <t>c53f1_training</t>
        </is>
      </c>
      <c r="B1621" t="inlineStr">
        <is>
          <t>2026-03-03 17:06:14.326</t>
        </is>
      </c>
      <c r="C1621" t="n">
        <v/>
      </c>
      <c r="D1621" t="inlineStr">
        <is>
          <t>Media file</t>
        </is>
      </c>
      <c r="E1621" t="inlineStr">
        <is>
          <t>player #1:WT\training\c53f1.mp4</t>
        </is>
      </c>
      <c r="F1621" t="n">
        <v>-17.667</v>
      </c>
      <c r="G1621" t="n">
        <v>437.432</v>
      </c>
      <c r="H1621" t="n">
        <v>630.133</v>
      </c>
      <c r="I1621" t="n">
        <v>30</v>
      </c>
      <c r="J1621" t="inlineStr">
        <is>
          <t xml:space="preserve"> WT</t>
        </is>
      </c>
      <c r="K1621" t="inlineStr">
        <is>
          <t xml:space="preserve"> Female</t>
        </is>
      </c>
      <c r="L1621" t="inlineStr">
        <is>
          <t>No focal subject</t>
        </is>
      </c>
      <c r="M1621" t="n">
        <v>9.167</v>
      </c>
      <c r="N1621" t="inlineStr">
        <is>
          <t>Explore_F2</t>
        </is>
      </c>
      <c r="O1621" t="inlineStr">
        <is>
          <t>Second familiar</t>
        </is>
      </c>
      <c r="P1621" t="inlineStr">
        <is>
          <t>STATE</t>
        </is>
      </c>
      <c r="Q1621" t="n">
        <v>424.833</v>
      </c>
      <c r="R1621" t="n">
        <v>425.233</v>
      </c>
      <c r="S1621" t="n">
        <v>0.4</v>
      </c>
      <c r="T1621" t="inlineStr">
        <is>
          <t>WT\training\c53f1.mp4</t>
        </is>
      </c>
      <c r="U1621" t="n">
        <v>12724</v>
      </c>
      <c r="V1621" t="n">
        <v>12736</v>
      </c>
      <c r="W1621" t="n">
        <v/>
      </c>
      <c r="X1621" t="n">
        <v/>
      </c>
      <c r="Y1621" t="n">
        <v/>
      </c>
      <c r="Z1621" t="n">
        <v/>
      </c>
      <c r="AA1621">
        <f>SUMIFS($S$2:S1621,$A$2:A1621,A1621,$N$2:N1621,"Explore*")</f>
        <v/>
      </c>
      <c r="AB1621">
        <f>IF(AND(LEFT(N1621,7)="Explore",(AA1621-IF(LEFT(N1621,7)="Explore",S1621,0))&lt;10),"SI","NO")</f>
        <v/>
      </c>
    </row>
    <row r="1622">
      <c r="A1622" t="inlineStr">
        <is>
          <t>c53f1_training</t>
        </is>
      </c>
      <c r="B1622" t="inlineStr">
        <is>
          <t>2026-03-03 17:06:14.326</t>
        </is>
      </c>
      <c r="C1622" t="n">
        <v/>
      </c>
      <c r="D1622" t="inlineStr">
        <is>
          <t>Media file</t>
        </is>
      </c>
      <c r="E1622" t="inlineStr">
        <is>
          <t>player #1:WT\training\c53f1.mp4</t>
        </is>
      </c>
      <c r="F1622" t="n">
        <v>-17.667</v>
      </c>
      <c r="G1622" t="n">
        <v>437.432</v>
      </c>
      <c r="H1622" t="n">
        <v>630.133</v>
      </c>
      <c r="I1622" t="n">
        <v>30</v>
      </c>
      <c r="J1622" t="inlineStr">
        <is>
          <t xml:space="preserve"> WT</t>
        </is>
      </c>
      <c r="K1622" t="inlineStr">
        <is>
          <t xml:space="preserve"> Female</t>
        </is>
      </c>
      <c r="L1622" t="inlineStr">
        <is>
          <t>No focal subject</t>
        </is>
      </c>
      <c r="M1622" t="n">
        <v>9.167</v>
      </c>
      <c r="N1622" t="inlineStr">
        <is>
          <t>Explore_F</t>
        </is>
      </c>
      <c r="O1622" t="inlineStr">
        <is>
          <t>Familiar</t>
        </is>
      </c>
      <c r="P1622" t="inlineStr">
        <is>
          <t>STATE</t>
        </is>
      </c>
      <c r="Q1622" t="n">
        <v>481.799</v>
      </c>
      <c r="R1622" t="n">
        <v>482.432</v>
      </c>
      <c r="S1622" t="n">
        <v>0.633</v>
      </c>
      <c r="T1622" t="inlineStr">
        <is>
          <t>WT\training\c53f1.mp4</t>
        </is>
      </c>
      <c r="U1622" t="n">
        <v>14430</v>
      </c>
      <c r="V1622" t="n">
        <v>14449</v>
      </c>
      <c r="W1622" t="n">
        <v/>
      </c>
      <c r="X1622" t="n">
        <v/>
      </c>
      <c r="Y1622" t="n">
        <v/>
      </c>
      <c r="Z1622" t="n">
        <v/>
      </c>
      <c r="AA1622">
        <f>SUMIFS($S$2:S1622,$A$2:A1622,A1622,$N$2:N1622,"Explore*")</f>
        <v/>
      </c>
      <c r="AB1622">
        <f>IF(AND(LEFT(N1622,7)="Explore",(AA1622-IF(LEFT(N1622,7)="Explore",S1622,0))&lt;10),"SI","NO")</f>
        <v/>
      </c>
    </row>
    <row r="1623">
      <c r="A1623" t="inlineStr">
        <is>
          <t>c53f2_training</t>
        </is>
      </c>
      <c r="B1623" t="inlineStr">
        <is>
          <t>2026-03-03 17:18:45.463</t>
        </is>
      </c>
      <c r="C1623" t="n">
        <v/>
      </c>
      <c r="D1623" t="inlineStr">
        <is>
          <t>Media file</t>
        </is>
      </c>
      <c r="E1623" t="inlineStr">
        <is>
          <t>player #1:WT\training\c53f2.mp4</t>
        </is>
      </c>
      <c r="F1623" t="n">
        <v>-12.833</v>
      </c>
      <c r="G1623" t="n">
        <v>514.966</v>
      </c>
      <c r="H1623" t="n">
        <v>633.199</v>
      </c>
      <c r="I1623" t="n">
        <v>30</v>
      </c>
      <c r="J1623" t="inlineStr">
        <is>
          <t xml:space="preserve"> WT</t>
        </is>
      </c>
      <c r="K1623" t="inlineStr">
        <is>
          <t xml:space="preserve"> Female</t>
        </is>
      </c>
      <c r="L1623" t="inlineStr">
        <is>
          <t>No focal subject</t>
        </is>
      </c>
      <c r="M1623" t="n">
        <v>15.968</v>
      </c>
      <c r="N1623" t="inlineStr">
        <is>
          <t>Explore_F</t>
        </is>
      </c>
      <c r="O1623" t="inlineStr">
        <is>
          <t>Familiar</t>
        </is>
      </c>
      <c r="P1623" t="inlineStr">
        <is>
          <t>STATE</t>
        </is>
      </c>
      <c r="Q1623" t="n">
        <v>58.334</v>
      </c>
      <c r="R1623" t="n">
        <v>58.8</v>
      </c>
      <c r="S1623" t="n">
        <v>0.466</v>
      </c>
      <c r="T1623" t="inlineStr">
        <is>
          <t>WT\training\c53f2.mp4</t>
        </is>
      </c>
      <c r="U1623" t="n">
        <v>1748</v>
      </c>
      <c r="V1623" t="n">
        <v>1762</v>
      </c>
      <c r="W1623" t="n">
        <v/>
      </c>
      <c r="X1623" t="n">
        <v/>
      </c>
      <c r="Y1623" t="n">
        <v/>
      </c>
      <c r="Z1623" t="n">
        <v/>
      </c>
      <c r="AA1623">
        <f>SUMIFS($S$2:S1623,$A$2:A1623,A1623,$N$2:N1623,"Explore*")</f>
        <v/>
      </c>
      <c r="AB1623">
        <f>IF(AND(LEFT(N1623,7)="Explore",(AA1623-IF(LEFT(N1623,7)="Explore",S1623,0))&lt;10),"SI","NO")</f>
        <v/>
      </c>
    </row>
    <row r="1624">
      <c r="A1624" t="inlineStr">
        <is>
          <t>c53f2_training</t>
        </is>
      </c>
      <c r="B1624" t="inlineStr">
        <is>
          <t>2026-03-03 17:18:45.463</t>
        </is>
      </c>
      <c r="C1624" t="n">
        <v/>
      </c>
      <c r="D1624" t="inlineStr">
        <is>
          <t>Media file</t>
        </is>
      </c>
      <c r="E1624" t="inlineStr">
        <is>
          <t>player #1:WT\training\c53f2.mp4</t>
        </is>
      </c>
      <c r="F1624" t="n">
        <v>-12.833</v>
      </c>
      <c r="G1624" t="n">
        <v>514.966</v>
      </c>
      <c r="H1624" t="n">
        <v>633.199</v>
      </c>
      <c r="I1624" t="n">
        <v>30</v>
      </c>
      <c r="J1624" t="inlineStr">
        <is>
          <t xml:space="preserve"> WT</t>
        </is>
      </c>
      <c r="K1624" t="inlineStr">
        <is>
          <t xml:space="preserve"> Female</t>
        </is>
      </c>
      <c r="L1624" t="inlineStr">
        <is>
          <t>No focal subject</t>
        </is>
      </c>
      <c r="M1624" t="n">
        <v>15.968</v>
      </c>
      <c r="N1624" t="inlineStr">
        <is>
          <t>Explore_F</t>
        </is>
      </c>
      <c r="O1624" t="inlineStr">
        <is>
          <t>Familiar</t>
        </is>
      </c>
      <c r="P1624" t="inlineStr">
        <is>
          <t>STATE</t>
        </is>
      </c>
      <c r="Q1624" t="n">
        <v>62.734</v>
      </c>
      <c r="R1624" t="n">
        <v>63.367</v>
      </c>
      <c r="S1624" t="n">
        <v>0.633</v>
      </c>
      <c r="T1624" t="inlineStr">
        <is>
          <t>WT\training\c53f2.mp4</t>
        </is>
      </c>
      <c r="U1624" t="n">
        <v>1879</v>
      </c>
      <c r="V1624" t="n">
        <v>1898</v>
      </c>
      <c r="W1624" t="n">
        <v/>
      </c>
      <c r="X1624" t="n">
        <v/>
      </c>
      <c r="Y1624" t="n">
        <v/>
      </c>
      <c r="Z1624" t="n">
        <v/>
      </c>
      <c r="AA1624">
        <f>SUMIFS($S$2:S1624,$A$2:A1624,A1624,$N$2:N1624,"Explore*")</f>
        <v/>
      </c>
      <c r="AB1624">
        <f>IF(AND(LEFT(N1624,7)="Explore",(AA1624-IF(LEFT(N1624,7)="Explore",S1624,0))&lt;10),"SI","NO")</f>
        <v/>
      </c>
    </row>
    <row r="1625">
      <c r="A1625" t="inlineStr">
        <is>
          <t>c53f2_training</t>
        </is>
      </c>
      <c r="B1625" t="inlineStr">
        <is>
          <t>2026-03-03 17:18:45.463</t>
        </is>
      </c>
      <c r="C1625" t="n">
        <v/>
      </c>
      <c r="D1625" t="inlineStr">
        <is>
          <t>Media file</t>
        </is>
      </c>
      <c r="E1625" t="inlineStr">
        <is>
          <t>player #1:WT\training\c53f2.mp4</t>
        </is>
      </c>
      <c r="F1625" t="n">
        <v>-12.833</v>
      </c>
      <c r="G1625" t="n">
        <v>514.966</v>
      </c>
      <c r="H1625" t="n">
        <v>633.199</v>
      </c>
      <c r="I1625" t="n">
        <v>30</v>
      </c>
      <c r="J1625" t="inlineStr">
        <is>
          <t xml:space="preserve"> WT</t>
        </is>
      </c>
      <c r="K1625" t="inlineStr">
        <is>
          <t xml:space="preserve"> Female</t>
        </is>
      </c>
      <c r="L1625" t="inlineStr">
        <is>
          <t>No focal subject</t>
        </is>
      </c>
      <c r="M1625" t="n">
        <v>15.968</v>
      </c>
      <c r="N1625" t="inlineStr">
        <is>
          <t>Explore_F2</t>
        </is>
      </c>
      <c r="O1625" t="inlineStr">
        <is>
          <t>Second familiar</t>
        </is>
      </c>
      <c r="P1625" t="inlineStr">
        <is>
          <t>STATE</t>
        </is>
      </c>
      <c r="Q1625" t="n">
        <v>71.3</v>
      </c>
      <c r="R1625" t="n">
        <v>71.56699999999999</v>
      </c>
      <c r="S1625" t="n">
        <v>0.267</v>
      </c>
      <c r="T1625" t="inlineStr">
        <is>
          <t>WT\training\c53f2.mp4</t>
        </is>
      </c>
      <c r="U1625" t="n">
        <v>2136</v>
      </c>
      <c r="V1625" t="n">
        <v>2144</v>
      </c>
      <c r="W1625" t="n">
        <v/>
      </c>
      <c r="X1625" t="n">
        <v/>
      </c>
      <c r="Y1625" t="n">
        <v/>
      </c>
      <c r="Z1625" t="n">
        <v/>
      </c>
      <c r="AA1625">
        <f>SUMIFS($S$2:S1625,$A$2:A1625,A1625,$N$2:N1625,"Explore*")</f>
        <v/>
      </c>
      <c r="AB1625">
        <f>IF(AND(LEFT(N1625,7)="Explore",(AA1625-IF(LEFT(N1625,7)="Explore",S1625,0))&lt;10),"SI","NO")</f>
        <v/>
      </c>
    </row>
    <row r="1626">
      <c r="A1626" t="inlineStr">
        <is>
          <t>c53f2_training</t>
        </is>
      </c>
      <c r="B1626" t="inlineStr">
        <is>
          <t>2026-03-03 17:18:45.463</t>
        </is>
      </c>
      <c r="C1626" t="n">
        <v/>
      </c>
      <c r="D1626" t="inlineStr">
        <is>
          <t>Media file</t>
        </is>
      </c>
      <c r="E1626" t="inlineStr">
        <is>
          <t>player #1:WT\training\c53f2.mp4</t>
        </is>
      </c>
      <c r="F1626" t="n">
        <v>-12.833</v>
      </c>
      <c r="G1626" t="n">
        <v>514.966</v>
      </c>
      <c r="H1626" t="n">
        <v>633.199</v>
      </c>
      <c r="I1626" t="n">
        <v>30</v>
      </c>
      <c r="J1626" t="inlineStr">
        <is>
          <t xml:space="preserve"> WT</t>
        </is>
      </c>
      <c r="K1626" t="inlineStr">
        <is>
          <t xml:space="preserve"> Female</t>
        </is>
      </c>
      <c r="L1626" t="inlineStr">
        <is>
          <t>No focal subject</t>
        </is>
      </c>
      <c r="M1626" t="n">
        <v>15.968</v>
      </c>
      <c r="N1626" t="inlineStr">
        <is>
          <t>Explore_F</t>
        </is>
      </c>
      <c r="O1626" t="inlineStr">
        <is>
          <t>Familiar</t>
        </is>
      </c>
      <c r="P1626" t="inlineStr">
        <is>
          <t>STATE</t>
        </is>
      </c>
      <c r="Q1626" t="n">
        <v>164.167</v>
      </c>
      <c r="R1626" t="n">
        <v>164.933</v>
      </c>
      <c r="S1626" t="n">
        <v>0.766</v>
      </c>
      <c r="T1626" t="inlineStr">
        <is>
          <t>WT\training\c53f2.mp4</t>
        </is>
      </c>
      <c r="U1626" t="n">
        <v>4918</v>
      </c>
      <c r="V1626" t="n">
        <v>4941</v>
      </c>
      <c r="W1626" t="n">
        <v/>
      </c>
      <c r="X1626" t="n">
        <v/>
      </c>
      <c r="Y1626" t="n">
        <v/>
      </c>
      <c r="Z1626" t="n">
        <v/>
      </c>
      <c r="AA1626">
        <f>SUMIFS($S$2:S1626,$A$2:A1626,A1626,$N$2:N1626,"Explore*")</f>
        <v/>
      </c>
      <c r="AB1626">
        <f>IF(AND(LEFT(N1626,7)="Explore",(AA1626-IF(LEFT(N1626,7)="Explore",S1626,0))&lt;10),"SI","NO")</f>
        <v/>
      </c>
    </row>
    <row r="1627">
      <c r="A1627" t="inlineStr">
        <is>
          <t>c53f2_training</t>
        </is>
      </c>
      <c r="B1627" t="inlineStr">
        <is>
          <t>2026-03-03 17:18:45.463</t>
        </is>
      </c>
      <c r="C1627" t="n">
        <v/>
      </c>
      <c r="D1627" t="inlineStr">
        <is>
          <t>Media file</t>
        </is>
      </c>
      <c r="E1627" t="inlineStr">
        <is>
          <t>player #1:WT\training\c53f2.mp4</t>
        </is>
      </c>
      <c r="F1627" t="n">
        <v>-12.833</v>
      </c>
      <c r="G1627" t="n">
        <v>514.966</v>
      </c>
      <c r="H1627" t="n">
        <v>633.199</v>
      </c>
      <c r="I1627" t="n">
        <v>30</v>
      </c>
      <c r="J1627" t="inlineStr">
        <is>
          <t xml:space="preserve"> WT</t>
        </is>
      </c>
      <c r="K1627" t="inlineStr">
        <is>
          <t xml:space="preserve"> Female</t>
        </is>
      </c>
      <c r="L1627" t="inlineStr">
        <is>
          <t>No focal subject</t>
        </is>
      </c>
      <c r="M1627" t="n">
        <v>15.968</v>
      </c>
      <c r="N1627" t="inlineStr">
        <is>
          <t>Explore_F2</t>
        </is>
      </c>
      <c r="O1627" t="inlineStr">
        <is>
          <t>Second familiar</t>
        </is>
      </c>
      <c r="P1627" t="inlineStr">
        <is>
          <t>STATE</t>
        </is>
      </c>
      <c r="Q1627" t="n">
        <v>173.533</v>
      </c>
      <c r="R1627" t="n">
        <v>173.967</v>
      </c>
      <c r="S1627" t="n">
        <v>0.434</v>
      </c>
      <c r="T1627" t="inlineStr">
        <is>
          <t>WT\training\c53f2.mp4</t>
        </is>
      </c>
      <c r="U1627" t="n">
        <v>5200</v>
      </c>
      <c r="V1627" t="n">
        <v>5212</v>
      </c>
      <c r="W1627" t="n">
        <v/>
      </c>
      <c r="X1627" t="n">
        <v/>
      </c>
      <c r="Y1627" t="n">
        <v/>
      </c>
      <c r="Z1627" t="n">
        <v/>
      </c>
      <c r="AA1627">
        <f>SUMIFS($S$2:S1627,$A$2:A1627,A1627,$N$2:N1627,"Explore*")</f>
        <v/>
      </c>
      <c r="AB1627">
        <f>IF(AND(LEFT(N1627,7)="Explore",(AA1627-IF(LEFT(N1627,7)="Explore",S1627,0))&lt;10),"SI","NO")</f>
        <v/>
      </c>
    </row>
    <row r="1628">
      <c r="A1628" t="inlineStr">
        <is>
          <t>c53f2_training</t>
        </is>
      </c>
      <c r="B1628" t="inlineStr">
        <is>
          <t>2026-03-03 17:18:45.463</t>
        </is>
      </c>
      <c r="C1628" t="n">
        <v/>
      </c>
      <c r="D1628" t="inlineStr">
        <is>
          <t>Media file</t>
        </is>
      </c>
      <c r="E1628" t="inlineStr">
        <is>
          <t>player #1:WT\training\c53f2.mp4</t>
        </is>
      </c>
      <c r="F1628" t="n">
        <v>-12.833</v>
      </c>
      <c r="G1628" t="n">
        <v>514.966</v>
      </c>
      <c r="H1628" t="n">
        <v>633.199</v>
      </c>
      <c r="I1628" t="n">
        <v>30</v>
      </c>
      <c r="J1628" t="inlineStr">
        <is>
          <t xml:space="preserve"> WT</t>
        </is>
      </c>
      <c r="K1628" t="inlineStr">
        <is>
          <t xml:space="preserve"> Female</t>
        </is>
      </c>
      <c r="L1628" t="inlineStr">
        <is>
          <t>No focal subject</t>
        </is>
      </c>
      <c r="M1628" t="n">
        <v>15.968</v>
      </c>
      <c r="N1628" t="inlineStr">
        <is>
          <t>Explore_F2</t>
        </is>
      </c>
      <c r="O1628" t="inlineStr">
        <is>
          <t>Second familiar</t>
        </is>
      </c>
      <c r="P1628" t="inlineStr">
        <is>
          <t>STATE</t>
        </is>
      </c>
      <c r="Q1628" t="n">
        <v>175.4</v>
      </c>
      <c r="R1628" t="n">
        <v>176.4</v>
      </c>
      <c r="S1628" t="n">
        <v>1</v>
      </c>
      <c r="T1628" t="inlineStr">
        <is>
          <t>WT\training\c53f2.mp4</t>
        </is>
      </c>
      <c r="U1628" t="n">
        <v>5255</v>
      </c>
      <c r="V1628" t="n">
        <v>5285</v>
      </c>
      <c r="W1628" t="n">
        <v/>
      </c>
      <c r="X1628" t="n">
        <v/>
      </c>
      <c r="Y1628" t="n">
        <v/>
      </c>
      <c r="Z1628" t="n">
        <v/>
      </c>
      <c r="AA1628">
        <f>SUMIFS($S$2:S1628,$A$2:A1628,A1628,$N$2:N1628,"Explore*")</f>
        <v/>
      </c>
      <c r="AB1628">
        <f>IF(AND(LEFT(N1628,7)="Explore",(AA1628-IF(LEFT(N1628,7)="Explore",S1628,0))&lt;10),"SI","NO")</f>
        <v/>
      </c>
    </row>
    <row r="1629">
      <c r="A1629" t="inlineStr">
        <is>
          <t>c53f2_training</t>
        </is>
      </c>
      <c r="B1629" t="inlineStr">
        <is>
          <t>2026-03-03 17:18:45.463</t>
        </is>
      </c>
      <c r="C1629" t="n">
        <v/>
      </c>
      <c r="D1629" t="inlineStr">
        <is>
          <t>Media file</t>
        </is>
      </c>
      <c r="E1629" t="inlineStr">
        <is>
          <t>player #1:WT\training\c53f2.mp4</t>
        </is>
      </c>
      <c r="F1629" t="n">
        <v>-12.833</v>
      </c>
      <c r="G1629" t="n">
        <v>514.966</v>
      </c>
      <c r="H1629" t="n">
        <v>633.199</v>
      </c>
      <c r="I1629" t="n">
        <v>30</v>
      </c>
      <c r="J1629" t="inlineStr">
        <is>
          <t xml:space="preserve"> WT</t>
        </is>
      </c>
      <c r="K1629" t="inlineStr">
        <is>
          <t xml:space="preserve"> Female</t>
        </is>
      </c>
      <c r="L1629" t="inlineStr">
        <is>
          <t>No focal subject</t>
        </is>
      </c>
      <c r="M1629" t="n">
        <v>15.968</v>
      </c>
      <c r="N1629" t="inlineStr">
        <is>
          <t>Explore_F2</t>
        </is>
      </c>
      <c r="O1629" t="inlineStr">
        <is>
          <t>Second familiar</t>
        </is>
      </c>
      <c r="P1629" t="inlineStr">
        <is>
          <t>STATE</t>
        </is>
      </c>
      <c r="Q1629" t="n">
        <v>205.033</v>
      </c>
      <c r="R1629" t="n">
        <v>205.6</v>
      </c>
      <c r="S1629" t="n">
        <v>0.5669999999999999</v>
      </c>
      <c r="T1629" t="inlineStr">
        <is>
          <t>WT\training\c53f2.mp4</t>
        </is>
      </c>
      <c r="U1629" t="n">
        <v>6144</v>
      </c>
      <c r="V1629" t="n">
        <v>6160</v>
      </c>
      <c r="W1629" t="n">
        <v/>
      </c>
      <c r="X1629" t="n">
        <v/>
      </c>
      <c r="Y1629" t="n">
        <v/>
      </c>
      <c r="Z1629" t="n">
        <v/>
      </c>
      <c r="AA1629">
        <f>SUMIFS($S$2:S1629,$A$2:A1629,A1629,$N$2:N1629,"Explore*")</f>
        <v/>
      </c>
      <c r="AB1629">
        <f>IF(AND(LEFT(N1629,7)="Explore",(AA1629-IF(LEFT(N1629,7)="Explore",S1629,0))&lt;10),"SI","NO")</f>
        <v/>
      </c>
    </row>
    <row r="1630">
      <c r="A1630" t="inlineStr">
        <is>
          <t>c53f2_training</t>
        </is>
      </c>
      <c r="B1630" t="inlineStr">
        <is>
          <t>2026-03-03 17:18:45.463</t>
        </is>
      </c>
      <c r="C1630" t="n">
        <v/>
      </c>
      <c r="D1630" t="inlineStr">
        <is>
          <t>Media file</t>
        </is>
      </c>
      <c r="E1630" t="inlineStr">
        <is>
          <t>player #1:WT\training\c53f2.mp4</t>
        </is>
      </c>
      <c r="F1630" t="n">
        <v>-12.833</v>
      </c>
      <c r="G1630" t="n">
        <v>514.966</v>
      </c>
      <c r="H1630" t="n">
        <v>633.199</v>
      </c>
      <c r="I1630" t="n">
        <v>30</v>
      </c>
      <c r="J1630" t="inlineStr">
        <is>
          <t xml:space="preserve"> WT</t>
        </is>
      </c>
      <c r="K1630" t="inlineStr">
        <is>
          <t xml:space="preserve"> Female</t>
        </is>
      </c>
      <c r="L1630" t="inlineStr">
        <is>
          <t>No focal subject</t>
        </is>
      </c>
      <c r="M1630" t="n">
        <v>15.968</v>
      </c>
      <c r="N1630" t="inlineStr">
        <is>
          <t>Explore_F2</t>
        </is>
      </c>
      <c r="O1630" t="inlineStr">
        <is>
          <t>Second familiar</t>
        </is>
      </c>
      <c r="P1630" t="inlineStr">
        <is>
          <t>STATE</t>
        </is>
      </c>
      <c r="Q1630" t="n">
        <v>214.9</v>
      </c>
      <c r="R1630" t="n">
        <v>215.4</v>
      </c>
      <c r="S1630" t="n">
        <v>0.5</v>
      </c>
      <c r="T1630" t="inlineStr">
        <is>
          <t>WT\training\c53f2.mp4</t>
        </is>
      </c>
      <c r="U1630" t="n">
        <v>6438</v>
      </c>
      <c r="V1630" t="n">
        <v>6453</v>
      </c>
      <c r="W1630" t="n">
        <v/>
      </c>
      <c r="X1630" t="n">
        <v/>
      </c>
      <c r="Y1630" t="n">
        <v/>
      </c>
      <c r="Z1630" t="n">
        <v/>
      </c>
      <c r="AA1630">
        <f>SUMIFS($S$2:S1630,$A$2:A1630,A1630,$N$2:N1630,"Explore*")</f>
        <v/>
      </c>
      <c r="AB1630">
        <f>IF(AND(LEFT(N1630,7)="Explore",(AA1630-IF(LEFT(N1630,7)="Explore",S1630,0))&lt;10),"SI","NO")</f>
        <v/>
      </c>
    </row>
    <row r="1631">
      <c r="A1631" t="inlineStr">
        <is>
          <t>c53f2_training</t>
        </is>
      </c>
      <c r="B1631" t="inlineStr">
        <is>
          <t>2026-03-03 17:18:45.463</t>
        </is>
      </c>
      <c r="C1631" t="n">
        <v/>
      </c>
      <c r="D1631" t="inlineStr">
        <is>
          <t>Media file</t>
        </is>
      </c>
      <c r="E1631" t="inlineStr">
        <is>
          <t>player #1:WT\training\c53f2.mp4</t>
        </is>
      </c>
      <c r="F1631" t="n">
        <v>-12.833</v>
      </c>
      <c r="G1631" t="n">
        <v>514.966</v>
      </c>
      <c r="H1631" t="n">
        <v>633.199</v>
      </c>
      <c r="I1631" t="n">
        <v>30</v>
      </c>
      <c r="J1631" t="inlineStr">
        <is>
          <t xml:space="preserve"> WT</t>
        </is>
      </c>
      <c r="K1631" t="inlineStr">
        <is>
          <t xml:space="preserve"> Female</t>
        </is>
      </c>
      <c r="L1631" t="inlineStr">
        <is>
          <t>No focal subject</t>
        </is>
      </c>
      <c r="M1631" t="n">
        <v>15.968</v>
      </c>
      <c r="N1631" t="inlineStr">
        <is>
          <t>Explore_F</t>
        </is>
      </c>
      <c r="O1631" t="inlineStr">
        <is>
          <t>Familiar</t>
        </is>
      </c>
      <c r="P1631" t="inlineStr">
        <is>
          <t>STATE</t>
        </is>
      </c>
      <c r="Q1631" t="n">
        <v>237.9</v>
      </c>
      <c r="R1631" t="n">
        <v>238.533</v>
      </c>
      <c r="S1631" t="n">
        <v>0.633</v>
      </c>
      <c r="T1631" t="inlineStr">
        <is>
          <t>WT\training\c53f2.mp4</t>
        </is>
      </c>
      <c r="U1631" t="n">
        <v>7127</v>
      </c>
      <c r="V1631" t="n">
        <v>7147</v>
      </c>
      <c r="W1631" t="n">
        <v/>
      </c>
      <c r="X1631" t="n">
        <v/>
      </c>
      <c r="Y1631" t="n">
        <v/>
      </c>
      <c r="Z1631" t="n">
        <v/>
      </c>
      <c r="AA1631">
        <f>SUMIFS($S$2:S1631,$A$2:A1631,A1631,$N$2:N1631,"Explore*")</f>
        <v/>
      </c>
      <c r="AB1631">
        <f>IF(AND(LEFT(N1631,7)="Explore",(AA1631-IF(LEFT(N1631,7)="Explore",S1631,0))&lt;10),"SI","NO")</f>
        <v/>
      </c>
    </row>
    <row r="1632">
      <c r="A1632" t="inlineStr">
        <is>
          <t>c53f2_training</t>
        </is>
      </c>
      <c r="B1632" t="inlineStr">
        <is>
          <t>2026-03-03 17:18:45.463</t>
        </is>
      </c>
      <c r="C1632" t="n">
        <v/>
      </c>
      <c r="D1632" t="inlineStr">
        <is>
          <t>Media file</t>
        </is>
      </c>
      <c r="E1632" t="inlineStr">
        <is>
          <t>player #1:WT\training\c53f2.mp4</t>
        </is>
      </c>
      <c r="F1632" t="n">
        <v>-12.833</v>
      </c>
      <c r="G1632" t="n">
        <v>514.966</v>
      </c>
      <c r="H1632" t="n">
        <v>633.199</v>
      </c>
      <c r="I1632" t="n">
        <v>30</v>
      </c>
      <c r="J1632" t="inlineStr">
        <is>
          <t xml:space="preserve"> WT</t>
        </is>
      </c>
      <c r="K1632" t="inlineStr">
        <is>
          <t xml:space="preserve"> Female</t>
        </is>
      </c>
      <c r="L1632" t="inlineStr">
        <is>
          <t>No focal subject</t>
        </is>
      </c>
      <c r="M1632" t="n">
        <v>15.968</v>
      </c>
      <c r="N1632" t="inlineStr">
        <is>
          <t>Explore_F</t>
        </is>
      </c>
      <c r="O1632" t="inlineStr">
        <is>
          <t>Familiar</t>
        </is>
      </c>
      <c r="P1632" t="inlineStr">
        <is>
          <t>STATE</t>
        </is>
      </c>
      <c r="Q1632" t="n">
        <v>243.333</v>
      </c>
      <c r="R1632" t="n">
        <v>243.533</v>
      </c>
      <c r="S1632" t="n">
        <v>0.2</v>
      </c>
      <c r="T1632" t="inlineStr">
        <is>
          <t>WT\training\c53f2.mp4</t>
        </is>
      </c>
      <c r="U1632" t="n">
        <v>7290</v>
      </c>
      <c r="V1632" t="n">
        <v>7297</v>
      </c>
      <c r="W1632" t="n">
        <v/>
      </c>
      <c r="X1632" t="n">
        <v/>
      </c>
      <c r="Y1632" t="n">
        <v/>
      </c>
      <c r="Z1632" t="n">
        <v/>
      </c>
      <c r="AA1632">
        <f>SUMIFS($S$2:S1632,$A$2:A1632,A1632,$N$2:N1632,"Explore*")</f>
        <v/>
      </c>
      <c r="AB1632">
        <f>IF(AND(LEFT(N1632,7)="Explore",(AA1632-IF(LEFT(N1632,7)="Explore",S1632,0))&lt;10),"SI","NO")</f>
        <v/>
      </c>
    </row>
    <row r="1633">
      <c r="A1633" t="inlineStr">
        <is>
          <t>c53f2_training</t>
        </is>
      </c>
      <c r="B1633" t="inlineStr">
        <is>
          <t>2026-03-03 17:18:45.463</t>
        </is>
      </c>
      <c r="C1633" t="n">
        <v/>
      </c>
      <c r="D1633" t="inlineStr">
        <is>
          <t>Media file</t>
        </is>
      </c>
      <c r="E1633" t="inlineStr">
        <is>
          <t>player #1:WT\training\c53f2.mp4</t>
        </is>
      </c>
      <c r="F1633" t="n">
        <v>-12.833</v>
      </c>
      <c r="G1633" t="n">
        <v>514.966</v>
      </c>
      <c r="H1633" t="n">
        <v>633.199</v>
      </c>
      <c r="I1633" t="n">
        <v>30</v>
      </c>
      <c r="J1633" t="inlineStr">
        <is>
          <t xml:space="preserve"> WT</t>
        </is>
      </c>
      <c r="K1633" t="inlineStr">
        <is>
          <t xml:space="preserve"> Female</t>
        </is>
      </c>
      <c r="L1633" t="inlineStr">
        <is>
          <t>No focal subject</t>
        </is>
      </c>
      <c r="M1633" t="n">
        <v>15.968</v>
      </c>
      <c r="N1633" t="inlineStr">
        <is>
          <t>Explore_F2</t>
        </is>
      </c>
      <c r="O1633" t="inlineStr">
        <is>
          <t>Second familiar</t>
        </is>
      </c>
      <c r="P1633" t="inlineStr">
        <is>
          <t>STATE</t>
        </is>
      </c>
      <c r="Q1633" t="n">
        <v>272.5</v>
      </c>
      <c r="R1633" t="n">
        <v>273.2</v>
      </c>
      <c r="S1633" t="n">
        <v>0.7</v>
      </c>
      <c r="T1633" t="inlineStr">
        <is>
          <t>WT\training\c53f2.mp4</t>
        </is>
      </c>
      <c r="U1633" t="n">
        <v>8166</v>
      </c>
      <c r="V1633" t="n">
        <v>8185</v>
      </c>
      <c r="W1633" t="n">
        <v/>
      </c>
      <c r="X1633" t="n">
        <v/>
      </c>
      <c r="Y1633" t="n">
        <v/>
      </c>
      <c r="Z1633" t="n">
        <v/>
      </c>
      <c r="AA1633">
        <f>SUMIFS($S$2:S1633,$A$2:A1633,A1633,$N$2:N1633,"Explore*")</f>
        <v/>
      </c>
      <c r="AB1633">
        <f>IF(AND(LEFT(N1633,7)="Explore",(AA1633-IF(LEFT(N1633,7)="Explore",S1633,0))&lt;10),"SI","NO")</f>
        <v/>
      </c>
    </row>
    <row r="1634">
      <c r="A1634" t="inlineStr">
        <is>
          <t>c53f2_training</t>
        </is>
      </c>
      <c r="B1634" t="inlineStr">
        <is>
          <t>2026-03-03 17:18:45.463</t>
        </is>
      </c>
      <c r="C1634" t="n">
        <v/>
      </c>
      <c r="D1634" t="inlineStr">
        <is>
          <t>Media file</t>
        </is>
      </c>
      <c r="E1634" t="inlineStr">
        <is>
          <t>player #1:WT\training\c53f2.mp4</t>
        </is>
      </c>
      <c r="F1634" t="n">
        <v>-12.833</v>
      </c>
      <c r="G1634" t="n">
        <v>514.966</v>
      </c>
      <c r="H1634" t="n">
        <v>633.199</v>
      </c>
      <c r="I1634" t="n">
        <v>30</v>
      </c>
      <c r="J1634" t="inlineStr">
        <is>
          <t xml:space="preserve"> WT</t>
        </is>
      </c>
      <c r="K1634" t="inlineStr">
        <is>
          <t xml:space="preserve"> Female</t>
        </is>
      </c>
      <c r="L1634" t="inlineStr">
        <is>
          <t>No focal subject</t>
        </is>
      </c>
      <c r="M1634" t="n">
        <v>15.968</v>
      </c>
      <c r="N1634" t="inlineStr">
        <is>
          <t>Explore_F</t>
        </is>
      </c>
      <c r="O1634" t="inlineStr">
        <is>
          <t>Familiar</t>
        </is>
      </c>
      <c r="P1634" t="inlineStr">
        <is>
          <t>STATE</t>
        </is>
      </c>
      <c r="Q1634" t="n">
        <v>291.733</v>
      </c>
      <c r="R1634" t="n">
        <v>292.3</v>
      </c>
      <c r="S1634" t="n">
        <v>0.5669999999999999</v>
      </c>
      <c r="T1634" t="inlineStr">
        <is>
          <t>WT\training\c53f2.mp4</t>
        </is>
      </c>
      <c r="U1634" t="n">
        <v>8740</v>
      </c>
      <c r="V1634" t="n">
        <v>8757</v>
      </c>
      <c r="W1634" t="n">
        <v/>
      </c>
      <c r="X1634" t="n">
        <v/>
      </c>
      <c r="Y1634" t="n">
        <v/>
      </c>
      <c r="Z1634" t="n">
        <v/>
      </c>
      <c r="AA1634">
        <f>SUMIFS($S$2:S1634,$A$2:A1634,A1634,$N$2:N1634,"Explore*")</f>
        <v/>
      </c>
      <c r="AB1634">
        <f>IF(AND(LEFT(N1634,7)="Explore",(AA1634-IF(LEFT(N1634,7)="Explore",S1634,0))&lt;10),"SI","NO")</f>
        <v/>
      </c>
    </row>
    <row r="1635">
      <c r="A1635" t="inlineStr">
        <is>
          <t>c53f2_training</t>
        </is>
      </c>
      <c r="B1635" t="inlineStr">
        <is>
          <t>2026-03-03 17:18:45.463</t>
        </is>
      </c>
      <c r="C1635" t="n">
        <v/>
      </c>
      <c r="D1635" t="inlineStr">
        <is>
          <t>Media file</t>
        </is>
      </c>
      <c r="E1635" t="inlineStr">
        <is>
          <t>player #1:WT\training\c53f2.mp4</t>
        </is>
      </c>
      <c r="F1635" t="n">
        <v>-12.833</v>
      </c>
      <c r="G1635" t="n">
        <v>514.966</v>
      </c>
      <c r="H1635" t="n">
        <v>633.199</v>
      </c>
      <c r="I1635" t="n">
        <v>30</v>
      </c>
      <c r="J1635" t="inlineStr">
        <is>
          <t xml:space="preserve"> WT</t>
        </is>
      </c>
      <c r="K1635" t="inlineStr">
        <is>
          <t xml:space="preserve"> Female</t>
        </is>
      </c>
      <c r="L1635" t="inlineStr">
        <is>
          <t>No focal subject</t>
        </is>
      </c>
      <c r="M1635" t="n">
        <v>15.968</v>
      </c>
      <c r="N1635" t="inlineStr">
        <is>
          <t>Explore_F</t>
        </is>
      </c>
      <c r="O1635" t="inlineStr">
        <is>
          <t>Familiar</t>
        </is>
      </c>
      <c r="P1635" t="inlineStr">
        <is>
          <t>STATE</t>
        </is>
      </c>
      <c r="Q1635" t="n">
        <v>306.3</v>
      </c>
      <c r="R1635" t="n">
        <v>307.167</v>
      </c>
      <c r="S1635" t="n">
        <v>0.867</v>
      </c>
      <c r="T1635" t="inlineStr">
        <is>
          <t>WT\training\c53f2.mp4</t>
        </is>
      </c>
      <c r="U1635" t="n">
        <v>9176</v>
      </c>
      <c r="V1635" t="n">
        <v>9202</v>
      </c>
      <c r="W1635" t="n">
        <v/>
      </c>
      <c r="X1635" t="n">
        <v/>
      </c>
      <c r="Y1635" t="n">
        <v/>
      </c>
      <c r="Z1635" t="n">
        <v/>
      </c>
      <c r="AA1635">
        <f>SUMIFS($S$2:S1635,$A$2:A1635,A1635,$N$2:N1635,"Explore*")</f>
        <v/>
      </c>
      <c r="AB1635">
        <f>IF(AND(LEFT(N1635,7)="Explore",(AA1635-IF(LEFT(N1635,7)="Explore",S1635,0))&lt;10),"SI","NO")</f>
        <v/>
      </c>
    </row>
    <row r="1636">
      <c r="A1636" t="inlineStr">
        <is>
          <t>c53f2_training</t>
        </is>
      </c>
      <c r="B1636" t="inlineStr">
        <is>
          <t>2026-03-03 17:18:45.463</t>
        </is>
      </c>
      <c r="C1636" t="n">
        <v/>
      </c>
      <c r="D1636" t="inlineStr">
        <is>
          <t>Media file</t>
        </is>
      </c>
      <c r="E1636" t="inlineStr">
        <is>
          <t>player #1:WT\training\c53f2.mp4</t>
        </is>
      </c>
      <c r="F1636" t="n">
        <v>-12.833</v>
      </c>
      <c r="G1636" t="n">
        <v>514.966</v>
      </c>
      <c r="H1636" t="n">
        <v>633.199</v>
      </c>
      <c r="I1636" t="n">
        <v>30</v>
      </c>
      <c r="J1636" t="inlineStr">
        <is>
          <t xml:space="preserve"> WT</t>
        </is>
      </c>
      <c r="K1636" t="inlineStr">
        <is>
          <t xml:space="preserve"> Female</t>
        </is>
      </c>
      <c r="L1636" t="inlineStr">
        <is>
          <t>No focal subject</t>
        </is>
      </c>
      <c r="M1636" t="n">
        <v>15.968</v>
      </c>
      <c r="N1636" t="inlineStr">
        <is>
          <t>Explore_F2</t>
        </is>
      </c>
      <c r="O1636" t="inlineStr">
        <is>
          <t>Second familiar</t>
        </is>
      </c>
      <c r="P1636" t="inlineStr">
        <is>
          <t>STATE</t>
        </is>
      </c>
      <c r="Q1636" t="n">
        <v>321.7</v>
      </c>
      <c r="R1636" t="n">
        <v>322.033</v>
      </c>
      <c r="S1636" t="n">
        <v>0.333</v>
      </c>
      <c r="T1636" t="inlineStr">
        <is>
          <t>WT\training\c53f2.mp4</t>
        </is>
      </c>
      <c r="U1636" t="n">
        <v>9638</v>
      </c>
      <c r="V1636" t="n">
        <v>9649</v>
      </c>
      <c r="W1636" t="n">
        <v/>
      </c>
      <c r="X1636" t="n">
        <v/>
      </c>
      <c r="Y1636" t="n">
        <v/>
      </c>
      <c r="Z1636" t="n">
        <v/>
      </c>
      <c r="AA1636">
        <f>SUMIFS($S$2:S1636,$A$2:A1636,A1636,$N$2:N1636,"Explore*")</f>
        <v/>
      </c>
      <c r="AB1636">
        <f>IF(AND(LEFT(N1636,7)="Explore",(AA1636-IF(LEFT(N1636,7)="Explore",S1636,0))&lt;10),"SI","NO")</f>
        <v/>
      </c>
    </row>
    <row r="1637">
      <c r="A1637" t="inlineStr">
        <is>
          <t>c53f2_training</t>
        </is>
      </c>
      <c r="B1637" t="inlineStr">
        <is>
          <t>2026-03-03 17:18:45.463</t>
        </is>
      </c>
      <c r="C1637" t="n">
        <v/>
      </c>
      <c r="D1637" t="inlineStr">
        <is>
          <t>Media file</t>
        </is>
      </c>
      <c r="E1637" t="inlineStr">
        <is>
          <t>player #1:WT\training\c53f2.mp4</t>
        </is>
      </c>
      <c r="F1637" t="n">
        <v>-12.833</v>
      </c>
      <c r="G1637" t="n">
        <v>514.966</v>
      </c>
      <c r="H1637" t="n">
        <v>633.199</v>
      </c>
      <c r="I1637" t="n">
        <v>30</v>
      </c>
      <c r="J1637" t="inlineStr">
        <is>
          <t xml:space="preserve"> WT</t>
        </is>
      </c>
      <c r="K1637" t="inlineStr">
        <is>
          <t xml:space="preserve"> Female</t>
        </is>
      </c>
      <c r="L1637" t="inlineStr">
        <is>
          <t>No focal subject</t>
        </is>
      </c>
      <c r="M1637" t="n">
        <v>15.968</v>
      </c>
      <c r="N1637" t="inlineStr">
        <is>
          <t>Explore_F</t>
        </is>
      </c>
      <c r="O1637" t="inlineStr">
        <is>
          <t>Familiar</t>
        </is>
      </c>
      <c r="P1637" t="inlineStr">
        <is>
          <t>STATE</t>
        </is>
      </c>
      <c r="Q1637" t="n">
        <v>368.233</v>
      </c>
      <c r="R1637" t="n">
        <v>368.833</v>
      </c>
      <c r="S1637" t="n">
        <v>0.6</v>
      </c>
      <c r="T1637" t="inlineStr">
        <is>
          <t>WT\training\c53f2.mp4</t>
        </is>
      </c>
      <c r="U1637" t="n">
        <v>11032</v>
      </c>
      <c r="V1637" t="n">
        <v>11050</v>
      </c>
      <c r="W1637" t="n">
        <v/>
      </c>
      <c r="X1637" t="n">
        <v/>
      </c>
      <c r="Y1637" t="n">
        <v/>
      </c>
      <c r="Z1637" t="n">
        <v/>
      </c>
      <c r="AA1637">
        <f>SUMIFS($S$2:S1637,$A$2:A1637,A1637,$N$2:N1637,"Explore*")</f>
        <v/>
      </c>
      <c r="AB1637">
        <f>IF(AND(LEFT(N1637,7)="Explore",(AA1637-IF(LEFT(N1637,7)="Explore",S1637,0))&lt;10),"SI","NO")</f>
        <v/>
      </c>
    </row>
    <row r="1638">
      <c r="A1638" t="inlineStr">
        <is>
          <t>c53f2_training</t>
        </is>
      </c>
      <c r="B1638" t="inlineStr">
        <is>
          <t>2026-03-03 17:18:45.463</t>
        </is>
      </c>
      <c r="C1638" t="n">
        <v/>
      </c>
      <c r="D1638" t="inlineStr">
        <is>
          <t>Media file</t>
        </is>
      </c>
      <c r="E1638" t="inlineStr">
        <is>
          <t>player #1:WT\training\c53f2.mp4</t>
        </is>
      </c>
      <c r="F1638" t="n">
        <v>-12.833</v>
      </c>
      <c r="G1638" t="n">
        <v>514.966</v>
      </c>
      <c r="H1638" t="n">
        <v>633.199</v>
      </c>
      <c r="I1638" t="n">
        <v>30</v>
      </c>
      <c r="J1638" t="inlineStr">
        <is>
          <t xml:space="preserve"> WT</t>
        </is>
      </c>
      <c r="K1638" t="inlineStr">
        <is>
          <t xml:space="preserve"> Female</t>
        </is>
      </c>
      <c r="L1638" t="inlineStr">
        <is>
          <t>No focal subject</t>
        </is>
      </c>
      <c r="M1638" t="n">
        <v>15.968</v>
      </c>
      <c r="N1638" t="inlineStr">
        <is>
          <t>Explore_F2</t>
        </is>
      </c>
      <c r="O1638" t="inlineStr">
        <is>
          <t>Second familiar</t>
        </is>
      </c>
      <c r="P1638" t="inlineStr">
        <is>
          <t>STATE</t>
        </is>
      </c>
      <c r="Q1638" t="n">
        <v>370.933</v>
      </c>
      <c r="R1638" t="n">
        <v>371.4</v>
      </c>
      <c r="S1638" t="n">
        <v>0.467</v>
      </c>
      <c r="T1638" t="inlineStr">
        <is>
          <t>WT\training\c53f2.mp4</t>
        </is>
      </c>
      <c r="U1638" t="n">
        <v>11113</v>
      </c>
      <c r="V1638" t="n">
        <v>11127</v>
      </c>
      <c r="W1638" t="n">
        <v/>
      </c>
      <c r="X1638" t="n">
        <v/>
      </c>
      <c r="Y1638" t="n">
        <v/>
      </c>
      <c r="Z1638" t="n">
        <v/>
      </c>
      <c r="AA1638">
        <f>SUMIFS($S$2:S1638,$A$2:A1638,A1638,$N$2:N1638,"Explore*")</f>
        <v/>
      </c>
      <c r="AB1638">
        <f>IF(AND(LEFT(N1638,7)="Explore",(AA1638-IF(LEFT(N1638,7)="Explore",S1638,0))&lt;10),"SI","NO")</f>
        <v/>
      </c>
    </row>
    <row r="1639">
      <c r="A1639" t="inlineStr">
        <is>
          <t>c53f2_training</t>
        </is>
      </c>
      <c r="B1639" t="inlineStr">
        <is>
          <t>2026-03-03 17:18:45.463</t>
        </is>
      </c>
      <c r="C1639" t="n">
        <v/>
      </c>
      <c r="D1639" t="inlineStr">
        <is>
          <t>Media file</t>
        </is>
      </c>
      <c r="E1639" t="inlineStr">
        <is>
          <t>player #1:WT\training\c53f2.mp4</t>
        </is>
      </c>
      <c r="F1639" t="n">
        <v>-12.833</v>
      </c>
      <c r="G1639" t="n">
        <v>514.966</v>
      </c>
      <c r="H1639" t="n">
        <v>633.199</v>
      </c>
      <c r="I1639" t="n">
        <v>30</v>
      </c>
      <c r="J1639" t="inlineStr">
        <is>
          <t xml:space="preserve"> WT</t>
        </is>
      </c>
      <c r="K1639" t="inlineStr">
        <is>
          <t xml:space="preserve"> Female</t>
        </is>
      </c>
      <c r="L1639" t="inlineStr">
        <is>
          <t>No focal subject</t>
        </is>
      </c>
      <c r="M1639" t="n">
        <v>15.968</v>
      </c>
      <c r="N1639" t="inlineStr">
        <is>
          <t>Explore_F2</t>
        </is>
      </c>
      <c r="O1639" t="inlineStr">
        <is>
          <t>Second familiar</t>
        </is>
      </c>
      <c r="P1639" t="inlineStr">
        <is>
          <t>STATE</t>
        </is>
      </c>
      <c r="Q1639" t="n">
        <v>371.933</v>
      </c>
      <c r="R1639" t="n">
        <v>372.233</v>
      </c>
      <c r="S1639" t="n">
        <v>0.3</v>
      </c>
      <c r="T1639" t="inlineStr">
        <is>
          <t>WT\training\c53f2.mp4</t>
        </is>
      </c>
      <c r="U1639" t="n">
        <v>11143</v>
      </c>
      <c r="V1639" t="n">
        <v>11152</v>
      </c>
      <c r="W1639" t="n">
        <v/>
      </c>
      <c r="X1639" t="n">
        <v/>
      </c>
      <c r="Y1639" t="n">
        <v/>
      </c>
      <c r="Z1639" t="n">
        <v/>
      </c>
      <c r="AA1639">
        <f>SUMIFS($S$2:S1639,$A$2:A1639,A1639,$N$2:N1639,"Explore*")</f>
        <v/>
      </c>
      <c r="AB1639">
        <f>IF(AND(LEFT(N1639,7)="Explore",(AA1639-IF(LEFT(N1639,7)="Explore",S1639,0))&lt;10),"SI","NO")</f>
        <v/>
      </c>
    </row>
    <row r="1640">
      <c r="A1640" t="inlineStr">
        <is>
          <t>c53f2_training</t>
        </is>
      </c>
      <c r="B1640" t="inlineStr">
        <is>
          <t>2026-03-03 17:18:45.463</t>
        </is>
      </c>
      <c r="C1640" t="n">
        <v/>
      </c>
      <c r="D1640" t="inlineStr">
        <is>
          <t>Media file</t>
        </is>
      </c>
      <c r="E1640" t="inlineStr">
        <is>
          <t>player #1:WT\training\c53f2.mp4</t>
        </is>
      </c>
      <c r="F1640" t="n">
        <v>-12.833</v>
      </c>
      <c r="G1640" t="n">
        <v>514.966</v>
      </c>
      <c r="H1640" t="n">
        <v>633.199</v>
      </c>
      <c r="I1640" t="n">
        <v>30</v>
      </c>
      <c r="J1640" t="inlineStr">
        <is>
          <t xml:space="preserve"> WT</t>
        </is>
      </c>
      <c r="K1640" t="inlineStr">
        <is>
          <t xml:space="preserve"> Female</t>
        </is>
      </c>
      <c r="L1640" t="inlineStr">
        <is>
          <t>No focal subject</t>
        </is>
      </c>
      <c r="M1640" t="n">
        <v>15.968</v>
      </c>
      <c r="N1640" t="inlineStr">
        <is>
          <t>Explore_F2</t>
        </is>
      </c>
      <c r="O1640" t="inlineStr">
        <is>
          <t>Second familiar</t>
        </is>
      </c>
      <c r="P1640" t="inlineStr">
        <is>
          <t>STATE</t>
        </is>
      </c>
      <c r="Q1640" t="n">
        <v>374.833</v>
      </c>
      <c r="R1640" t="n">
        <v>375.367</v>
      </c>
      <c r="S1640" t="n">
        <v>0.534</v>
      </c>
      <c r="T1640" t="inlineStr">
        <is>
          <t>WT\training\c53f2.mp4</t>
        </is>
      </c>
      <c r="U1640" t="n">
        <v>11230</v>
      </c>
      <c r="V1640" t="n">
        <v>11246</v>
      </c>
      <c r="W1640" t="n">
        <v/>
      </c>
      <c r="X1640" t="n">
        <v/>
      </c>
      <c r="Y1640" t="n">
        <v/>
      </c>
      <c r="Z1640" t="n">
        <v/>
      </c>
      <c r="AA1640">
        <f>SUMIFS($S$2:S1640,$A$2:A1640,A1640,$N$2:N1640,"Explore*")</f>
        <v/>
      </c>
      <c r="AB1640">
        <f>IF(AND(LEFT(N1640,7)="Explore",(AA1640-IF(LEFT(N1640,7)="Explore",S1640,0))&lt;10),"SI","NO")</f>
        <v/>
      </c>
    </row>
    <row r="1641">
      <c r="A1641" t="inlineStr">
        <is>
          <t>c53f2_training</t>
        </is>
      </c>
      <c r="B1641" t="inlineStr">
        <is>
          <t>2026-03-03 17:18:45.463</t>
        </is>
      </c>
      <c r="C1641" t="n">
        <v/>
      </c>
      <c r="D1641" t="inlineStr">
        <is>
          <t>Media file</t>
        </is>
      </c>
      <c r="E1641" t="inlineStr">
        <is>
          <t>player #1:WT\training\c53f2.mp4</t>
        </is>
      </c>
      <c r="F1641" t="n">
        <v>-12.833</v>
      </c>
      <c r="G1641" t="n">
        <v>514.966</v>
      </c>
      <c r="H1641" t="n">
        <v>633.199</v>
      </c>
      <c r="I1641" t="n">
        <v>30</v>
      </c>
      <c r="J1641" t="inlineStr">
        <is>
          <t xml:space="preserve"> WT</t>
        </is>
      </c>
      <c r="K1641" t="inlineStr">
        <is>
          <t xml:space="preserve"> Female</t>
        </is>
      </c>
      <c r="L1641" t="inlineStr">
        <is>
          <t>No focal subject</t>
        </is>
      </c>
      <c r="M1641" t="n">
        <v>15.968</v>
      </c>
      <c r="N1641" t="inlineStr">
        <is>
          <t>Explore_F</t>
        </is>
      </c>
      <c r="O1641" t="inlineStr">
        <is>
          <t>Familiar</t>
        </is>
      </c>
      <c r="P1641" t="inlineStr">
        <is>
          <t>STATE</t>
        </is>
      </c>
      <c r="Q1641" t="n">
        <v>379.167</v>
      </c>
      <c r="R1641" t="n">
        <v>379.833</v>
      </c>
      <c r="S1641" t="n">
        <v>0.666</v>
      </c>
      <c r="T1641" t="inlineStr">
        <is>
          <t>WT\training\c53f2.mp4</t>
        </is>
      </c>
      <c r="U1641" t="n">
        <v>11359</v>
      </c>
      <c r="V1641" t="n">
        <v>11379</v>
      </c>
      <c r="W1641" t="n">
        <v/>
      </c>
      <c r="X1641" t="n">
        <v/>
      </c>
      <c r="Y1641" t="n">
        <v/>
      </c>
      <c r="Z1641" t="n">
        <v/>
      </c>
      <c r="AA1641">
        <f>SUMIFS($S$2:S1641,$A$2:A1641,A1641,$N$2:N1641,"Explore*")</f>
        <v/>
      </c>
      <c r="AB1641">
        <f>IF(AND(LEFT(N1641,7)="Explore",(AA1641-IF(LEFT(N1641,7)="Explore",S1641,0))&lt;10),"SI","NO")</f>
        <v/>
      </c>
    </row>
    <row r="1642">
      <c r="A1642" t="inlineStr">
        <is>
          <t>c53f2_training</t>
        </is>
      </c>
      <c r="B1642" t="inlineStr">
        <is>
          <t>2026-03-03 17:18:45.463</t>
        </is>
      </c>
      <c r="C1642" t="n">
        <v/>
      </c>
      <c r="D1642" t="inlineStr">
        <is>
          <t>Media file</t>
        </is>
      </c>
      <c r="E1642" t="inlineStr">
        <is>
          <t>player #1:WT\training\c53f2.mp4</t>
        </is>
      </c>
      <c r="F1642" t="n">
        <v>-12.833</v>
      </c>
      <c r="G1642" t="n">
        <v>514.966</v>
      </c>
      <c r="H1642" t="n">
        <v>633.199</v>
      </c>
      <c r="I1642" t="n">
        <v>30</v>
      </c>
      <c r="J1642" t="inlineStr">
        <is>
          <t xml:space="preserve"> WT</t>
        </is>
      </c>
      <c r="K1642" t="inlineStr">
        <is>
          <t xml:space="preserve"> Female</t>
        </is>
      </c>
      <c r="L1642" t="inlineStr">
        <is>
          <t>No focal subject</t>
        </is>
      </c>
      <c r="M1642" t="n">
        <v>15.968</v>
      </c>
      <c r="N1642" t="inlineStr">
        <is>
          <t>Explore_F</t>
        </is>
      </c>
      <c r="O1642" t="inlineStr">
        <is>
          <t>Familiar</t>
        </is>
      </c>
      <c r="P1642" t="inlineStr">
        <is>
          <t>STATE</t>
        </is>
      </c>
      <c r="Q1642" t="n">
        <v>402.733</v>
      </c>
      <c r="R1642" t="n">
        <v>403.433</v>
      </c>
      <c r="S1642" t="n">
        <v>0.7</v>
      </c>
      <c r="T1642" t="inlineStr">
        <is>
          <t>WT\training\c53f2.mp4</t>
        </is>
      </c>
      <c r="U1642" t="n">
        <v>12065</v>
      </c>
      <c r="V1642" t="n">
        <v>12086</v>
      </c>
      <c r="W1642" t="n">
        <v/>
      </c>
      <c r="X1642" t="n">
        <v/>
      </c>
      <c r="Y1642" t="n">
        <v/>
      </c>
      <c r="Z1642" t="n">
        <v/>
      </c>
      <c r="AA1642">
        <f>SUMIFS($S$2:S1642,$A$2:A1642,A1642,$N$2:N1642,"Explore*")</f>
        <v/>
      </c>
      <c r="AB1642">
        <f>IF(AND(LEFT(N1642,7)="Explore",(AA1642-IF(LEFT(N1642,7)="Explore",S1642,0))&lt;10),"SI","NO")</f>
        <v/>
      </c>
    </row>
    <row r="1643">
      <c r="A1643" t="inlineStr">
        <is>
          <t>c53f2_training</t>
        </is>
      </c>
      <c r="B1643" t="inlineStr">
        <is>
          <t>2026-03-03 17:18:45.463</t>
        </is>
      </c>
      <c r="C1643" t="n">
        <v/>
      </c>
      <c r="D1643" t="inlineStr">
        <is>
          <t>Media file</t>
        </is>
      </c>
      <c r="E1643" t="inlineStr">
        <is>
          <t>player #1:WT\training\c53f2.mp4</t>
        </is>
      </c>
      <c r="F1643" t="n">
        <v>-12.833</v>
      </c>
      <c r="G1643" t="n">
        <v>514.966</v>
      </c>
      <c r="H1643" t="n">
        <v>633.199</v>
      </c>
      <c r="I1643" t="n">
        <v>30</v>
      </c>
      <c r="J1643" t="inlineStr">
        <is>
          <t xml:space="preserve"> WT</t>
        </is>
      </c>
      <c r="K1643" t="inlineStr">
        <is>
          <t xml:space="preserve"> Female</t>
        </is>
      </c>
      <c r="L1643" t="inlineStr">
        <is>
          <t>No focal subject</t>
        </is>
      </c>
      <c r="M1643" t="n">
        <v>15.968</v>
      </c>
      <c r="N1643" t="inlineStr">
        <is>
          <t>Explore_F</t>
        </is>
      </c>
      <c r="O1643" t="inlineStr">
        <is>
          <t>Familiar</t>
        </is>
      </c>
      <c r="P1643" t="inlineStr">
        <is>
          <t>STATE</t>
        </is>
      </c>
      <c r="Q1643" t="n">
        <v>412.567</v>
      </c>
      <c r="R1643" t="n">
        <v>413.167</v>
      </c>
      <c r="S1643" t="n">
        <v>0.6</v>
      </c>
      <c r="T1643" t="inlineStr">
        <is>
          <t>WT\training\c53f2.mp4</t>
        </is>
      </c>
      <c r="U1643" t="n">
        <v>12360</v>
      </c>
      <c r="V1643" t="n">
        <v>12378</v>
      </c>
      <c r="W1643" t="n">
        <v/>
      </c>
      <c r="X1643" t="n">
        <v/>
      </c>
      <c r="Y1643" t="n">
        <v/>
      </c>
      <c r="Z1643" t="n">
        <v/>
      </c>
      <c r="AA1643">
        <f>SUMIFS($S$2:S1643,$A$2:A1643,A1643,$N$2:N1643,"Explore*")</f>
        <v/>
      </c>
      <c r="AB1643">
        <f>IF(AND(LEFT(N1643,7)="Explore",(AA1643-IF(LEFT(N1643,7)="Explore",S1643,0))&lt;10),"SI","NO")</f>
        <v/>
      </c>
    </row>
    <row r="1644">
      <c r="A1644" t="inlineStr">
        <is>
          <t>c53f2_training</t>
        </is>
      </c>
      <c r="B1644" t="inlineStr">
        <is>
          <t>2026-03-03 17:18:45.463</t>
        </is>
      </c>
      <c r="C1644" t="n">
        <v/>
      </c>
      <c r="D1644" t="inlineStr">
        <is>
          <t>Media file</t>
        </is>
      </c>
      <c r="E1644" t="inlineStr">
        <is>
          <t>player #1:WT\training\c53f2.mp4</t>
        </is>
      </c>
      <c r="F1644" t="n">
        <v>-12.833</v>
      </c>
      <c r="G1644" t="n">
        <v>514.966</v>
      </c>
      <c r="H1644" t="n">
        <v>633.199</v>
      </c>
      <c r="I1644" t="n">
        <v>30</v>
      </c>
      <c r="J1644" t="inlineStr">
        <is>
          <t xml:space="preserve"> WT</t>
        </is>
      </c>
      <c r="K1644" t="inlineStr">
        <is>
          <t xml:space="preserve"> Female</t>
        </is>
      </c>
      <c r="L1644" t="inlineStr">
        <is>
          <t>No focal subject</t>
        </is>
      </c>
      <c r="M1644" t="n">
        <v>15.968</v>
      </c>
      <c r="N1644" t="inlineStr">
        <is>
          <t>Explore_F2</t>
        </is>
      </c>
      <c r="O1644" t="inlineStr">
        <is>
          <t>Second familiar</t>
        </is>
      </c>
      <c r="P1644" t="inlineStr">
        <is>
          <t>STATE</t>
        </is>
      </c>
      <c r="Q1644" t="n">
        <v>428.867</v>
      </c>
      <c r="R1644" t="n">
        <v>429.367</v>
      </c>
      <c r="S1644" t="n">
        <v>0.5</v>
      </c>
      <c r="T1644" t="inlineStr">
        <is>
          <t>WT\training\c53f2.mp4</t>
        </is>
      </c>
      <c r="U1644" t="n">
        <v>12848</v>
      </c>
      <c r="V1644" t="n">
        <v>12863</v>
      </c>
      <c r="W1644" t="n">
        <v/>
      </c>
      <c r="X1644" t="n">
        <v/>
      </c>
      <c r="Y1644" t="n">
        <v/>
      </c>
      <c r="Z1644" t="n">
        <v/>
      </c>
      <c r="AA1644">
        <f>SUMIFS($S$2:S1644,$A$2:A1644,A1644,$N$2:N1644,"Explore*")</f>
        <v/>
      </c>
      <c r="AB1644">
        <f>IF(AND(LEFT(N1644,7)="Explore",(AA1644-IF(LEFT(N1644,7)="Explore",S1644,0))&lt;10),"SI","NO")</f>
        <v/>
      </c>
    </row>
    <row r="1645">
      <c r="A1645" t="inlineStr">
        <is>
          <t>c53f2_training</t>
        </is>
      </c>
      <c r="B1645" t="inlineStr">
        <is>
          <t>2026-03-03 17:18:45.463</t>
        </is>
      </c>
      <c r="C1645" t="n">
        <v/>
      </c>
      <c r="D1645" t="inlineStr">
        <is>
          <t>Media file</t>
        </is>
      </c>
      <c r="E1645" t="inlineStr">
        <is>
          <t>player #1:WT\training\c53f2.mp4</t>
        </is>
      </c>
      <c r="F1645" t="n">
        <v>-12.833</v>
      </c>
      <c r="G1645" t="n">
        <v>514.966</v>
      </c>
      <c r="H1645" t="n">
        <v>633.199</v>
      </c>
      <c r="I1645" t="n">
        <v>30</v>
      </c>
      <c r="J1645" t="inlineStr">
        <is>
          <t xml:space="preserve"> WT</t>
        </is>
      </c>
      <c r="K1645" t="inlineStr">
        <is>
          <t xml:space="preserve"> Female</t>
        </is>
      </c>
      <c r="L1645" t="inlineStr">
        <is>
          <t>No focal subject</t>
        </is>
      </c>
      <c r="M1645" t="n">
        <v>15.968</v>
      </c>
      <c r="N1645" t="inlineStr">
        <is>
          <t>Explore_F</t>
        </is>
      </c>
      <c r="O1645" t="inlineStr">
        <is>
          <t>Familiar</t>
        </is>
      </c>
      <c r="P1645" t="inlineStr">
        <is>
          <t>STATE</t>
        </is>
      </c>
      <c r="Q1645" t="n">
        <v>456.933</v>
      </c>
      <c r="R1645" t="n">
        <v>457.567</v>
      </c>
      <c r="S1645" t="n">
        <v>0.634</v>
      </c>
      <c r="T1645" t="inlineStr">
        <is>
          <t>WT\training\c53f2.mp4</t>
        </is>
      </c>
      <c r="U1645" t="n">
        <v>13689</v>
      </c>
      <c r="V1645" t="n">
        <v>13708</v>
      </c>
      <c r="W1645" t="n">
        <v/>
      </c>
      <c r="X1645" t="n">
        <v/>
      </c>
      <c r="Y1645" t="n">
        <v/>
      </c>
      <c r="Z1645" t="n">
        <v/>
      </c>
      <c r="AA1645">
        <f>SUMIFS($S$2:S1645,$A$2:A1645,A1645,$N$2:N1645,"Explore*")</f>
        <v/>
      </c>
      <c r="AB1645">
        <f>IF(AND(LEFT(N1645,7)="Explore",(AA1645-IF(LEFT(N1645,7)="Explore",S1645,0))&lt;10),"SI","NO")</f>
        <v/>
      </c>
    </row>
    <row r="1646">
      <c r="A1646" t="inlineStr">
        <is>
          <t>c53f2_training</t>
        </is>
      </c>
      <c r="B1646" t="inlineStr">
        <is>
          <t>2026-03-03 17:18:45.463</t>
        </is>
      </c>
      <c r="C1646" t="n">
        <v/>
      </c>
      <c r="D1646" t="inlineStr">
        <is>
          <t>Media file</t>
        </is>
      </c>
      <c r="E1646" t="inlineStr">
        <is>
          <t>player #1:WT\training\c53f2.mp4</t>
        </is>
      </c>
      <c r="F1646" t="n">
        <v>-12.833</v>
      </c>
      <c r="G1646" t="n">
        <v>514.966</v>
      </c>
      <c r="H1646" t="n">
        <v>633.199</v>
      </c>
      <c r="I1646" t="n">
        <v>30</v>
      </c>
      <c r="J1646" t="inlineStr">
        <is>
          <t xml:space="preserve"> WT</t>
        </is>
      </c>
      <c r="K1646" t="inlineStr">
        <is>
          <t xml:space="preserve"> Female</t>
        </is>
      </c>
      <c r="L1646" t="inlineStr">
        <is>
          <t>No focal subject</t>
        </is>
      </c>
      <c r="M1646" t="n">
        <v>15.968</v>
      </c>
      <c r="N1646" t="inlineStr">
        <is>
          <t>Explore_F</t>
        </is>
      </c>
      <c r="O1646" t="inlineStr">
        <is>
          <t>Familiar</t>
        </is>
      </c>
      <c r="P1646" t="inlineStr">
        <is>
          <t>STATE</t>
        </is>
      </c>
      <c r="Q1646" t="n">
        <v>475.8</v>
      </c>
      <c r="R1646" t="n">
        <v>476.433</v>
      </c>
      <c r="S1646" t="n">
        <v>0.633</v>
      </c>
      <c r="T1646" t="inlineStr">
        <is>
          <t>WT\training\c53f2.mp4</t>
        </is>
      </c>
      <c r="U1646" t="n">
        <v>14254</v>
      </c>
      <c r="V1646" t="n">
        <v>14273</v>
      </c>
      <c r="W1646" t="n">
        <v/>
      </c>
      <c r="X1646" t="n">
        <v/>
      </c>
      <c r="Y1646" t="n">
        <v/>
      </c>
      <c r="Z1646" t="n">
        <v/>
      </c>
      <c r="AA1646">
        <f>SUMIFS($S$2:S1646,$A$2:A1646,A1646,$N$2:N1646,"Explore*")</f>
        <v/>
      </c>
      <c r="AB1646">
        <f>IF(AND(LEFT(N1646,7)="Explore",(AA1646-IF(LEFT(N1646,7)="Explore",S1646,0))&lt;10),"SI","NO")</f>
        <v/>
      </c>
    </row>
    <row r="1647">
      <c r="A1647" t="inlineStr">
        <is>
          <t>c53f2_training</t>
        </is>
      </c>
      <c r="B1647" t="inlineStr">
        <is>
          <t>2026-03-03 17:18:45.463</t>
        </is>
      </c>
      <c r="C1647" t="n">
        <v/>
      </c>
      <c r="D1647" t="inlineStr">
        <is>
          <t>Media file</t>
        </is>
      </c>
      <c r="E1647" t="inlineStr">
        <is>
          <t>player #1:WT\training\c53f2.mp4</t>
        </is>
      </c>
      <c r="F1647" t="n">
        <v>-12.833</v>
      </c>
      <c r="G1647" t="n">
        <v>514.966</v>
      </c>
      <c r="H1647" t="n">
        <v>633.199</v>
      </c>
      <c r="I1647" t="n">
        <v>30</v>
      </c>
      <c r="J1647" t="inlineStr">
        <is>
          <t xml:space="preserve"> WT</t>
        </is>
      </c>
      <c r="K1647" t="inlineStr">
        <is>
          <t xml:space="preserve"> Female</t>
        </is>
      </c>
      <c r="L1647" t="inlineStr">
        <is>
          <t>No focal subject</t>
        </is>
      </c>
      <c r="M1647" t="n">
        <v>15.968</v>
      </c>
      <c r="N1647" t="inlineStr">
        <is>
          <t>Explore_F2</t>
        </is>
      </c>
      <c r="O1647" t="inlineStr">
        <is>
          <t>Second familiar</t>
        </is>
      </c>
      <c r="P1647" t="inlineStr">
        <is>
          <t>STATE</t>
        </is>
      </c>
      <c r="Q1647" t="n">
        <v>483.633</v>
      </c>
      <c r="R1647" t="n">
        <v>484.3</v>
      </c>
      <c r="S1647" t="n">
        <v>0.667</v>
      </c>
      <c r="T1647" t="inlineStr">
        <is>
          <t>WT\training\c53f2.mp4</t>
        </is>
      </c>
      <c r="U1647" t="n">
        <v>14489</v>
      </c>
      <c r="V1647" t="n">
        <v>14509</v>
      </c>
      <c r="W1647" t="n">
        <v/>
      </c>
      <c r="X1647" t="n">
        <v/>
      </c>
      <c r="Y1647" t="n">
        <v/>
      </c>
      <c r="Z1647" t="n">
        <v/>
      </c>
      <c r="AA1647">
        <f>SUMIFS($S$2:S1647,$A$2:A1647,A1647,$N$2:N1647,"Explore*")</f>
        <v/>
      </c>
      <c r="AB1647">
        <f>IF(AND(LEFT(N1647,7)="Explore",(AA1647-IF(LEFT(N1647,7)="Explore",S1647,0))&lt;10),"SI","NO")</f>
        <v/>
      </c>
    </row>
    <row r="1648">
      <c r="A1648" t="inlineStr">
        <is>
          <t>c53f2_training</t>
        </is>
      </c>
      <c r="B1648" t="inlineStr">
        <is>
          <t>2026-03-03 17:18:45.463</t>
        </is>
      </c>
      <c r="C1648" t="n">
        <v/>
      </c>
      <c r="D1648" t="inlineStr">
        <is>
          <t>Media file</t>
        </is>
      </c>
      <c r="E1648" t="inlineStr">
        <is>
          <t>player #1:WT\training\c53f2.mp4</t>
        </is>
      </c>
      <c r="F1648" t="n">
        <v>-12.833</v>
      </c>
      <c r="G1648" t="n">
        <v>514.966</v>
      </c>
      <c r="H1648" t="n">
        <v>633.199</v>
      </c>
      <c r="I1648" t="n">
        <v>30</v>
      </c>
      <c r="J1648" t="inlineStr">
        <is>
          <t xml:space="preserve"> WT</t>
        </is>
      </c>
      <c r="K1648" t="inlineStr">
        <is>
          <t xml:space="preserve"> Female</t>
        </is>
      </c>
      <c r="L1648" t="inlineStr">
        <is>
          <t>No focal subject</t>
        </is>
      </c>
      <c r="M1648" t="n">
        <v>15.968</v>
      </c>
      <c r="N1648" t="inlineStr">
        <is>
          <t>Explore_F</t>
        </is>
      </c>
      <c r="O1648" t="inlineStr">
        <is>
          <t>Familiar</t>
        </is>
      </c>
      <c r="P1648" t="inlineStr">
        <is>
          <t>STATE</t>
        </is>
      </c>
      <c r="Q1648" t="n">
        <v>523.066</v>
      </c>
      <c r="R1648" t="n">
        <v>523.633</v>
      </c>
      <c r="S1648" t="n">
        <v>0.5669999999999999</v>
      </c>
      <c r="T1648" t="inlineStr">
        <is>
          <t>WT\training\c53f2.mp4</t>
        </is>
      </c>
      <c r="U1648" t="n">
        <v>15671</v>
      </c>
      <c r="V1648" t="n">
        <v>15687</v>
      </c>
      <c r="W1648" t="n">
        <v/>
      </c>
      <c r="X1648" t="n">
        <v/>
      </c>
      <c r="Y1648" t="n">
        <v/>
      </c>
      <c r="Z1648" t="n">
        <v/>
      </c>
      <c r="AA1648">
        <f>SUMIFS($S$2:S1648,$A$2:A1648,A1648,$N$2:N1648,"Explore*")</f>
        <v/>
      </c>
      <c r="AB1648">
        <f>IF(AND(LEFT(N1648,7)="Explore",(AA1648-IF(LEFT(N1648,7)="Explore",S1648,0))&lt;10),"SI","NO")</f>
        <v/>
      </c>
    </row>
    <row r="1649">
      <c r="A1649" t="inlineStr">
        <is>
          <t>c53f2_training</t>
        </is>
      </c>
      <c r="B1649" t="inlineStr">
        <is>
          <t>2026-03-03 17:18:45.463</t>
        </is>
      </c>
      <c r="C1649" t="n">
        <v/>
      </c>
      <c r="D1649" t="inlineStr">
        <is>
          <t>Media file</t>
        </is>
      </c>
      <c r="E1649" t="inlineStr">
        <is>
          <t>player #1:WT\training\c53f2.mp4</t>
        </is>
      </c>
      <c r="F1649" t="n">
        <v>-12.833</v>
      </c>
      <c r="G1649" t="n">
        <v>514.966</v>
      </c>
      <c r="H1649" t="n">
        <v>633.199</v>
      </c>
      <c r="I1649" t="n">
        <v>30</v>
      </c>
      <c r="J1649" t="inlineStr">
        <is>
          <t xml:space="preserve"> WT</t>
        </is>
      </c>
      <c r="K1649" t="inlineStr">
        <is>
          <t xml:space="preserve"> Female</t>
        </is>
      </c>
      <c r="L1649" t="inlineStr">
        <is>
          <t>No focal subject</t>
        </is>
      </c>
      <c r="M1649" t="n">
        <v>15.968</v>
      </c>
      <c r="N1649" t="inlineStr">
        <is>
          <t>Explore_F</t>
        </is>
      </c>
      <c r="O1649" t="inlineStr">
        <is>
          <t>Familiar</t>
        </is>
      </c>
      <c r="P1649" t="inlineStr">
        <is>
          <t>STATE</t>
        </is>
      </c>
      <c r="Q1649" t="n">
        <v>533.3</v>
      </c>
      <c r="R1649" t="n">
        <v>533.7329999999999</v>
      </c>
      <c r="S1649" t="n">
        <v>0.433</v>
      </c>
      <c r="T1649" t="inlineStr">
        <is>
          <t>WT\training\c53f2.mp4</t>
        </is>
      </c>
      <c r="U1649" t="n">
        <v>15977</v>
      </c>
      <c r="V1649" t="n">
        <v>15990</v>
      </c>
      <c r="W1649" t="n">
        <v/>
      </c>
      <c r="X1649" t="n">
        <v/>
      </c>
      <c r="Y1649" t="n">
        <v/>
      </c>
      <c r="Z1649" t="n">
        <v/>
      </c>
      <c r="AA1649">
        <f>SUMIFS($S$2:S1649,$A$2:A1649,A1649,$N$2:N1649,"Explore*")</f>
        <v/>
      </c>
      <c r="AB1649">
        <f>IF(AND(LEFT(N1649,7)="Explore",(AA1649-IF(LEFT(N1649,7)="Explore",S1649,0))&lt;10),"SI","NO")</f>
        <v/>
      </c>
    </row>
    <row r="1650">
      <c r="A1650" t="inlineStr">
        <is>
          <t>c53f2_training</t>
        </is>
      </c>
      <c r="B1650" t="inlineStr">
        <is>
          <t>2026-03-03 17:18:45.463</t>
        </is>
      </c>
      <c r="C1650" t="n">
        <v/>
      </c>
      <c r="D1650" t="inlineStr">
        <is>
          <t>Media file</t>
        </is>
      </c>
      <c r="E1650" t="inlineStr">
        <is>
          <t>player #1:WT\training\c53f2.mp4</t>
        </is>
      </c>
      <c r="F1650" t="n">
        <v>-12.833</v>
      </c>
      <c r="G1650" t="n">
        <v>514.966</v>
      </c>
      <c r="H1650" t="n">
        <v>633.199</v>
      </c>
      <c r="I1650" t="n">
        <v>30</v>
      </c>
      <c r="J1650" t="inlineStr">
        <is>
          <t xml:space="preserve"> WT</t>
        </is>
      </c>
      <c r="K1650" t="inlineStr">
        <is>
          <t xml:space="preserve"> Female</t>
        </is>
      </c>
      <c r="L1650" t="inlineStr">
        <is>
          <t>No focal subject</t>
        </is>
      </c>
      <c r="M1650" t="n">
        <v>15.968</v>
      </c>
      <c r="N1650" t="inlineStr">
        <is>
          <t>Explore_F</t>
        </is>
      </c>
      <c r="O1650" t="inlineStr">
        <is>
          <t>Familiar</t>
        </is>
      </c>
      <c r="P1650" t="inlineStr">
        <is>
          <t>STATE</t>
        </is>
      </c>
      <c r="Q1650" t="n">
        <v>572.566</v>
      </c>
      <c r="R1650" t="n">
        <v>573.3</v>
      </c>
      <c r="S1650" t="n">
        <v>0.734</v>
      </c>
      <c r="T1650" t="inlineStr">
        <is>
          <t>WT\training\c53f2.mp4</t>
        </is>
      </c>
      <c r="U1650" t="n">
        <v>17153</v>
      </c>
      <c r="V1650" t="n">
        <v>17175</v>
      </c>
      <c r="W1650" t="n">
        <v/>
      </c>
      <c r="X1650" t="n">
        <v/>
      </c>
      <c r="Y1650" t="n">
        <v/>
      </c>
      <c r="Z1650" t="n">
        <v/>
      </c>
      <c r="AA1650">
        <f>SUMIFS($S$2:S1650,$A$2:A1650,A1650,$N$2:N1650,"Explore*")</f>
        <v/>
      </c>
      <c r="AB1650">
        <f>IF(AND(LEFT(N1650,7)="Explore",(AA1650-IF(LEFT(N1650,7)="Explore",S1650,0))&lt;10),"SI","NO")</f>
        <v/>
      </c>
    </row>
    <row r="1651">
      <c r="A1651" t="inlineStr">
        <is>
          <t>c53f3_training</t>
        </is>
      </c>
      <c r="B1651" t="inlineStr">
        <is>
          <t>2026-03-04 09:52:00.732</t>
        </is>
      </c>
      <c r="C1651" t="n">
        <v/>
      </c>
      <c r="D1651" t="inlineStr">
        <is>
          <t>Media file</t>
        </is>
      </c>
      <c r="E1651" t="inlineStr">
        <is>
          <t>player #1:WT\training\c53f3.mp4</t>
        </is>
      </c>
      <c r="F1651" t="n">
        <v>-22.467</v>
      </c>
      <c r="G1651" t="n">
        <v>578.6319999999999</v>
      </c>
      <c r="H1651" t="n">
        <v>649.099</v>
      </c>
      <c r="I1651" t="n">
        <v>30</v>
      </c>
      <c r="J1651" t="inlineStr">
        <is>
          <t xml:space="preserve"> WT</t>
        </is>
      </c>
      <c r="K1651" t="inlineStr">
        <is>
          <t xml:space="preserve"> Female</t>
        </is>
      </c>
      <c r="L1651" t="inlineStr">
        <is>
          <t>No focal subject</t>
        </is>
      </c>
      <c r="M1651" t="n">
        <v>8.067</v>
      </c>
      <c r="N1651" t="inlineStr">
        <is>
          <t>Explore_F2</t>
        </is>
      </c>
      <c r="O1651" t="inlineStr">
        <is>
          <t>Second familiar</t>
        </is>
      </c>
      <c r="P1651" t="inlineStr">
        <is>
          <t>STATE</t>
        </is>
      </c>
      <c r="Q1651" t="n">
        <v>4.9</v>
      </c>
      <c r="R1651" t="n">
        <v>5.5</v>
      </c>
      <c r="S1651" t="n">
        <v>0.6</v>
      </c>
      <c r="T1651" t="inlineStr">
        <is>
          <t>WT\training\c53f3.mp4</t>
        </is>
      </c>
      <c r="U1651" t="n">
        <v>147</v>
      </c>
      <c r="V1651" t="n">
        <v>167</v>
      </c>
      <c r="W1651" t="n">
        <v/>
      </c>
      <c r="X1651" t="n">
        <v/>
      </c>
      <c r="Y1651" t="n">
        <v/>
      </c>
      <c r="Z1651" t="n">
        <v/>
      </c>
      <c r="AA1651">
        <f>SUMIFS($S$2:S1651,$A$2:A1651,A1651,$N$2:N1651,"Explore*")</f>
        <v/>
      </c>
      <c r="AB1651">
        <f>IF(AND(LEFT(N1651,7)="Explore",(AA1651-IF(LEFT(N1651,7)="Explore",S1651,0))&lt;10),"SI","NO")</f>
        <v/>
      </c>
    </row>
    <row r="1652">
      <c r="A1652" t="inlineStr">
        <is>
          <t>c53f3_training</t>
        </is>
      </c>
      <c r="B1652" t="inlineStr">
        <is>
          <t>2026-03-04 09:52:00.732</t>
        </is>
      </c>
      <c r="C1652" t="n">
        <v/>
      </c>
      <c r="D1652" t="inlineStr">
        <is>
          <t>Media file</t>
        </is>
      </c>
      <c r="E1652" t="inlineStr">
        <is>
          <t>player #1:WT\training\c53f3.mp4</t>
        </is>
      </c>
      <c r="F1652" t="n">
        <v>-22.467</v>
      </c>
      <c r="G1652" t="n">
        <v>578.6319999999999</v>
      </c>
      <c r="H1652" t="n">
        <v>649.099</v>
      </c>
      <c r="I1652" t="n">
        <v>30</v>
      </c>
      <c r="J1652" t="inlineStr">
        <is>
          <t xml:space="preserve"> WT</t>
        </is>
      </c>
      <c r="K1652" t="inlineStr">
        <is>
          <t xml:space="preserve"> Female</t>
        </is>
      </c>
      <c r="L1652" t="inlineStr">
        <is>
          <t>No focal subject</t>
        </is>
      </c>
      <c r="M1652" t="n">
        <v>8.067</v>
      </c>
      <c r="N1652" t="inlineStr">
        <is>
          <t>Explore_F</t>
        </is>
      </c>
      <c r="O1652" t="inlineStr">
        <is>
          <t>Familiar</t>
        </is>
      </c>
      <c r="P1652" t="inlineStr">
        <is>
          <t>STATE</t>
        </is>
      </c>
      <c r="Q1652" t="n">
        <v>21.166</v>
      </c>
      <c r="R1652" t="n">
        <v>22</v>
      </c>
      <c r="S1652" t="n">
        <v>0.834</v>
      </c>
      <c r="T1652" t="inlineStr">
        <is>
          <t>WT\training\c53f3.mp4</t>
        </is>
      </c>
      <c r="U1652" t="n">
        <v>635</v>
      </c>
      <c r="V1652" t="n">
        <v>662</v>
      </c>
      <c r="W1652" t="n">
        <v/>
      </c>
      <c r="X1652" t="n">
        <v/>
      </c>
      <c r="Y1652" t="n">
        <v/>
      </c>
      <c r="Z1652" t="n">
        <v/>
      </c>
      <c r="AA1652">
        <f>SUMIFS($S$2:S1652,$A$2:A1652,A1652,$N$2:N1652,"Explore*")</f>
        <v/>
      </c>
      <c r="AB1652">
        <f>IF(AND(LEFT(N1652,7)="Explore",(AA1652-IF(LEFT(N1652,7)="Explore",S1652,0))&lt;10),"SI","NO")</f>
        <v/>
      </c>
    </row>
    <row r="1653">
      <c r="A1653" t="inlineStr">
        <is>
          <t>c53f3_training</t>
        </is>
      </c>
      <c r="B1653" t="inlineStr">
        <is>
          <t>2026-03-04 09:52:00.732</t>
        </is>
      </c>
      <c r="C1653" t="n">
        <v/>
      </c>
      <c r="D1653" t="inlineStr">
        <is>
          <t>Media file</t>
        </is>
      </c>
      <c r="E1653" t="inlineStr">
        <is>
          <t>player #1:WT\training\c53f3.mp4</t>
        </is>
      </c>
      <c r="F1653" t="n">
        <v>-22.467</v>
      </c>
      <c r="G1653" t="n">
        <v>578.6319999999999</v>
      </c>
      <c r="H1653" t="n">
        <v>649.099</v>
      </c>
      <c r="I1653" t="n">
        <v>30</v>
      </c>
      <c r="J1653" t="inlineStr">
        <is>
          <t xml:space="preserve"> WT</t>
        </is>
      </c>
      <c r="K1653" t="inlineStr">
        <is>
          <t xml:space="preserve"> Female</t>
        </is>
      </c>
      <c r="L1653" t="inlineStr">
        <is>
          <t>No focal subject</t>
        </is>
      </c>
      <c r="M1653" t="n">
        <v>8.067</v>
      </c>
      <c r="N1653" t="inlineStr">
        <is>
          <t>Explore_F2</t>
        </is>
      </c>
      <c r="O1653" t="inlineStr">
        <is>
          <t>Second familiar</t>
        </is>
      </c>
      <c r="P1653" t="inlineStr">
        <is>
          <t>STATE</t>
        </is>
      </c>
      <c r="Q1653" t="n">
        <v>104</v>
      </c>
      <c r="R1653" t="n">
        <v>104.433</v>
      </c>
      <c r="S1653" t="n">
        <v>0.433</v>
      </c>
      <c r="T1653" t="inlineStr">
        <is>
          <t>WT\training\c53f3.mp4</t>
        </is>
      </c>
      <c r="U1653" t="n">
        <v>3120</v>
      </c>
      <c r="V1653" t="n">
        <v>3131</v>
      </c>
      <c r="W1653" t="n">
        <v/>
      </c>
      <c r="X1653" t="n">
        <v/>
      </c>
      <c r="Y1653" t="n">
        <v/>
      </c>
      <c r="Z1653" t="n">
        <v/>
      </c>
      <c r="AA1653">
        <f>SUMIFS($S$2:S1653,$A$2:A1653,A1653,$N$2:N1653,"Explore*")</f>
        <v/>
      </c>
      <c r="AB1653">
        <f>IF(AND(LEFT(N1653,7)="Explore",(AA1653-IF(LEFT(N1653,7)="Explore",S1653,0))&lt;10),"SI","NO")</f>
        <v/>
      </c>
    </row>
    <row r="1654">
      <c r="A1654" t="inlineStr">
        <is>
          <t>c53f3_training</t>
        </is>
      </c>
      <c r="B1654" t="inlineStr">
        <is>
          <t>2026-03-04 09:52:00.732</t>
        </is>
      </c>
      <c r="C1654" t="n">
        <v/>
      </c>
      <c r="D1654" t="inlineStr">
        <is>
          <t>Media file</t>
        </is>
      </c>
      <c r="E1654" t="inlineStr">
        <is>
          <t>player #1:WT\training\c53f3.mp4</t>
        </is>
      </c>
      <c r="F1654" t="n">
        <v>-22.467</v>
      </c>
      <c r="G1654" t="n">
        <v>578.6319999999999</v>
      </c>
      <c r="H1654" t="n">
        <v>649.099</v>
      </c>
      <c r="I1654" t="n">
        <v>30</v>
      </c>
      <c r="J1654" t="inlineStr">
        <is>
          <t xml:space="preserve"> WT</t>
        </is>
      </c>
      <c r="K1654" t="inlineStr">
        <is>
          <t xml:space="preserve"> Female</t>
        </is>
      </c>
      <c r="L1654" t="inlineStr">
        <is>
          <t>No focal subject</t>
        </is>
      </c>
      <c r="M1654" t="n">
        <v>8.067</v>
      </c>
      <c r="N1654" t="inlineStr">
        <is>
          <t>Explore_F2</t>
        </is>
      </c>
      <c r="O1654" t="inlineStr">
        <is>
          <t>Second familiar</t>
        </is>
      </c>
      <c r="P1654" t="inlineStr">
        <is>
          <t>STATE</t>
        </is>
      </c>
      <c r="Q1654" t="n">
        <v>108.233</v>
      </c>
      <c r="R1654" t="n">
        <v>108.6</v>
      </c>
      <c r="S1654" t="n">
        <v>0.367</v>
      </c>
      <c r="T1654" t="inlineStr">
        <is>
          <t>WT\training\c53f3.mp4</t>
        </is>
      </c>
      <c r="U1654" t="n">
        <v>3245</v>
      </c>
      <c r="V1654" t="n">
        <v>3256</v>
      </c>
      <c r="W1654" t="n">
        <v/>
      </c>
      <c r="X1654" t="n">
        <v/>
      </c>
      <c r="Y1654" t="n">
        <v/>
      </c>
      <c r="Z1654" t="n">
        <v/>
      </c>
      <c r="AA1654">
        <f>SUMIFS($S$2:S1654,$A$2:A1654,A1654,$N$2:N1654,"Explore*")</f>
        <v/>
      </c>
      <c r="AB1654">
        <f>IF(AND(LEFT(N1654,7)="Explore",(AA1654-IF(LEFT(N1654,7)="Explore",S1654,0))&lt;10),"SI","NO")</f>
        <v/>
      </c>
    </row>
    <row r="1655">
      <c r="A1655" t="inlineStr">
        <is>
          <t>c53f3_training</t>
        </is>
      </c>
      <c r="B1655" t="inlineStr">
        <is>
          <t>2026-03-04 09:52:00.732</t>
        </is>
      </c>
      <c r="C1655" t="n">
        <v/>
      </c>
      <c r="D1655" t="inlineStr">
        <is>
          <t>Media file</t>
        </is>
      </c>
      <c r="E1655" t="inlineStr">
        <is>
          <t>player #1:WT\training\c53f3.mp4</t>
        </is>
      </c>
      <c r="F1655" t="n">
        <v>-22.467</v>
      </c>
      <c r="G1655" t="n">
        <v>578.6319999999999</v>
      </c>
      <c r="H1655" t="n">
        <v>649.099</v>
      </c>
      <c r="I1655" t="n">
        <v>30</v>
      </c>
      <c r="J1655" t="inlineStr">
        <is>
          <t xml:space="preserve"> WT</t>
        </is>
      </c>
      <c r="K1655" t="inlineStr">
        <is>
          <t xml:space="preserve"> Female</t>
        </is>
      </c>
      <c r="L1655" t="inlineStr">
        <is>
          <t>No focal subject</t>
        </is>
      </c>
      <c r="M1655" t="n">
        <v>8.067</v>
      </c>
      <c r="N1655" t="inlineStr">
        <is>
          <t>Explore_F2</t>
        </is>
      </c>
      <c r="O1655" t="inlineStr">
        <is>
          <t>Second familiar</t>
        </is>
      </c>
      <c r="P1655" t="inlineStr">
        <is>
          <t>STATE</t>
        </is>
      </c>
      <c r="Q1655" t="n">
        <v>184.499</v>
      </c>
      <c r="R1655" t="n">
        <v>185.199</v>
      </c>
      <c r="S1655" t="n">
        <v>0.7</v>
      </c>
      <c r="T1655" t="inlineStr">
        <is>
          <t>WT\training\c53f3.mp4</t>
        </is>
      </c>
      <c r="U1655" t="n">
        <v>5532</v>
      </c>
      <c r="V1655" t="n">
        <v>5553</v>
      </c>
      <c r="W1655" t="n">
        <v/>
      </c>
      <c r="X1655" t="n">
        <v/>
      </c>
      <c r="Y1655" t="n">
        <v/>
      </c>
      <c r="Z1655" t="n">
        <v/>
      </c>
      <c r="AA1655">
        <f>SUMIFS($S$2:S1655,$A$2:A1655,A1655,$N$2:N1655,"Explore*")</f>
        <v/>
      </c>
      <c r="AB1655">
        <f>IF(AND(LEFT(N1655,7)="Explore",(AA1655-IF(LEFT(N1655,7)="Explore",S1655,0))&lt;10),"SI","NO")</f>
        <v/>
      </c>
    </row>
    <row r="1656">
      <c r="A1656" t="inlineStr">
        <is>
          <t>c53f3_training</t>
        </is>
      </c>
      <c r="B1656" t="inlineStr">
        <is>
          <t>2026-03-04 09:52:00.732</t>
        </is>
      </c>
      <c r="C1656" t="n">
        <v/>
      </c>
      <c r="D1656" t="inlineStr">
        <is>
          <t>Media file</t>
        </is>
      </c>
      <c r="E1656" t="inlineStr">
        <is>
          <t>player #1:WT\training\c53f3.mp4</t>
        </is>
      </c>
      <c r="F1656" t="n">
        <v>-22.467</v>
      </c>
      <c r="G1656" t="n">
        <v>578.6319999999999</v>
      </c>
      <c r="H1656" t="n">
        <v>649.099</v>
      </c>
      <c r="I1656" t="n">
        <v>30</v>
      </c>
      <c r="J1656" t="inlineStr">
        <is>
          <t xml:space="preserve"> WT</t>
        </is>
      </c>
      <c r="K1656" t="inlineStr">
        <is>
          <t xml:space="preserve"> Female</t>
        </is>
      </c>
      <c r="L1656" t="inlineStr">
        <is>
          <t>No focal subject</t>
        </is>
      </c>
      <c r="M1656" t="n">
        <v>8.067</v>
      </c>
      <c r="N1656" t="inlineStr">
        <is>
          <t>Explore_F</t>
        </is>
      </c>
      <c r="O1656" t="inlineStr">
        <is>
          <t>Familiar</t>
        </is>
      </c>
      <c r="P1656" t="inlineStr">
        <is>
          <t>STATE</t>
        </is>
      </c>
      <c r="Q1656" t="n">
        <v>193.666</v>
      </c>
      <c r="R1656" t="n">
        <v>193.999</v>
      </c>
      <c r="S1656" t="n">
        <v>0.333</v>
      </c>
      <c r="T1656" t="inlineStr">
        <is>
          <t>WT\training\c53f3.mp4</t>
        </is>
      </c>
      <c r="U1656" t="n">
        <v>5807</v>
      </c>
      <c r="V1656" t="n">
        <v>5817</v>
      </c>
      <c r="W1656" t="n">
        <v/>
      </c>
      <c r="X1656" t="n">
        <v/>
      </c>
      <c r="Y1656" t="n">
        <v/>
      </c>
      <c r="Z1656" t="n">
        <v/>
      </c>
      <c r="AA1656">
        <f>SUMIFS($S$2:S1656,$A$2:A1656,A1656,$N$2:N1656,"Explore*")</f>
        <v/>
      </c>
      <c r="AB1656">
        <f>IF(AND(LEFT(N1656,7)="Explore",(AA1656-IF(LEFT(N1656,7)="Explore",S1656,0))&lt;10),"SI","NO")</f>
        <v/>
      </c>
    </row>
    <row r="1657">
      <c r="A1657" t="inlineStr">
        <is>
          <t>c53f3_training</t>
        </is>
      </c>
      <c r="B1657" t="inlineStr">
        <is>
          <t>2026-03-04 09:52:00.732</t>
        </is>
      </c>
      <c r="C1657" t="n">
        <v/>
      </c>
      <c r="D1657" t="inlineStr">
        <is>
          <t>Media file</t>
        </is>
      </c>
      <c r="E1657" t="inlineStr">
        <is>
          <t>player #1:WT\training\c53f3.mp4</t>
        </is>
      </c>
      <c r="F1657" t="n">
        <v>-22.467</v>
      </c>
      <c r="G1657" t="n">
        <v>578.6319999999999</v>
      </c>
      <c r="H1657" t="n">
        <v>649.099</v>
      </c>
      <c r="I1657" t="n">
        <v>30</v>
      </c>
      <c r="J1657" t="inlineStr">
        <is>
          <t xml:space="preserve"> WT</t>
        </is>
      </c>
      <c r="K1657" t="inlineStr">
        <is>
          <t xml:space="preserve"> Female</t>
        </is>
      </c>
      <c r="L1657" t="inlineStr">
        <is>
          <t>No focal subject</t>
        </is>
      </c>
      <c r="M1657" t="n">
        <v>8.067</v>
      </c>
      <c r="N1657" t="inlineStr">
        <is>
          <t>Explore_F2</t>
        </is>
      </c>
      <c r="O1657" t="inlineStr">
        <is>
          <t>Second familiar</t>
        </is>
      </c>
      <c r="P1657" t="inlineStr">
        <is>
          <t>STATE</t>
        </is>
      </c>
      <c r="Q1657" t="n">
        <v>254.799</v>
      </c>
      <c r="R1657" t="n">
        <v>255.033</v>
      </c>
      <c r="S1657" t="n">
        <v>0.234</v>
      </c>
      <c r="T1657" t="inlineStr">
        <is>
          <t>WT\training\c53f3.mp4</t>
        </is>
      </c>
      <c r="U1657" t="n">
        <v>7640</v>
      </c>
      <c r="V1657" t="n">
        <v>7648</v>
      </c>
      <c r="W1657" t="n">
        <v/>
      </c>
      <c r="X1657" t="n">
        <v/>
      </c>
      <c r="Y1657" t="n">
        <v/>
      </c>
      <c r="Z1657" t="n">
        <v/>
      </c>
      <c r="AA1657">
        <f>SUMIFS($S$2:S1657,$A$2:A1657,A1657,$N$2:N1657,"Explore*")</f>
        <v/>
      </c>
      <c r="AB1657">
        <f>IF(AND(LEFT(N1657,7)="Explore",(AA1657-IF(LEFT(N1657,7)="Explore",S1657,0))&lt;10),"SI","NO")</f>
        <v/>
      </c>
    </row>
    <row r="1658">
      <c r="A1658" t="inlineStr">
        <is>
          <t>c53f3_training</t>
        </is>
      </c>
      <c r="B1658" t="inlineStr">
        <is>
          <t>2026-03-04 09:52:00.732</t>
        </is>
      </c>
      <c r="C1658" t="n">
        <v/>
      </c>
      <c r="D1658" t="inlineStr">
        <is>
          <t>Media file</t>
        </is>
      </c>
      <c r="E1658" t="inlineStr">
        <is>
          <t>player #1:WT\training\c53f3.mp4</t>
        </is>
      </c>
      <c r="F1658" t="n">
        <v>-22.467</v>
      </c>
      <c r="G1658" t="n">
        <v>578.6319999999999</v>
      </c>
      <c r="H1658" t="n">
        <v>649.099</v>
      </c>
      <c r="I1658" t="n">
        <v>30</v>
      </c>
      <c r="J1658" t="inlineStr">
        <is>
          <t xml:space="preserve"> WT</t>
        </is>
      </c>
      <c r="K1658" t="inlineStr">
        <is>
          <t xml:space="preserve"> Female</t>
        </is>
      </c>
      <c r="L1658" t="inlineStr">
        <is>
          <t>No focal subject</t>
        </is>
      </c>
      <c r="M1658" t="n">
        <v>8.067</v>
      </c>
      <c r="N1658" t="inlineStr">
        <is>
          <t>Explore_F2</t>
        </is>
      </c>
      <c r="O1658" t="inlineStr">
        <is>
          <t>Second familiar</t>
        </is>
      </c>
      <c r="P1658" t="inlineStr">
        <is>
          <t>STATE</t>
        </is>
      </c>
      <c r="Q1658" t="n">
        <v>257.533</v>
      </c>
      <c r="R1658" t="n">
        <v>257.899</v>
      </c>
      <c r="S1658" t="n">
        <v>0.366</v>
      </c>
      <c r="T1658" t="inlineStr">
        <is>
          <t>WT\training\c53f3.mp4</t>
        </is>
      </c>
      <c r="U1658" t="n">
        <v>7723</v>
      </c>
      <c r="V1658" t="n">
        <v>7733</v>
      </c>
      <c r="W1658" t="n">
        <v/>
      </c>
      <c r="X1658" t="n">
        <v/>
      </c>
      <c r="Y1658" t="n">
        <v/>
      </c>
      <c r="Z1658" t="n">
        <v/>
      </c>
      <c r="AA1658">
        <f>SUMIFS($S$2:S1658,$A$2:A1658,A1658,$N$2:N1658,"Explore*")</f>
        <v/>
      </c>
      <c r="AB1658">
        <f>IF(AND(LEFT(N1658,7)="Explore",(AA1658-IF(LEFT(N1658,7)="Explore",S1658,0))&lt;10),"SI","NO")</f>
        <v/>
      </c>
    </row>
    <row r="1659">
      <c r="A1659" t="inlineStr">
        <is>
          <t>c53f3_training</t>
        </is>
      </c>
      <c r="B1659" t="inlineStr">
        <is>
          <t>2026-03-04 09:52:00.732</t>
        </is>
      </c>
      <c r="C1659" t="n">
        <v/>
      </c>
      <c r="D1659" t="inlineStr">
        <is>
          <t>Media file</t>
        </is>
      </c>
      <c r="E1659" t="inlineStr">
        <is>
          <t>player #1:WT\training\c53f3.mp4</t>
        </is>
      </c>
      <c r="F1659" t="n">
        <v>-22.467</v>
      </c>
      <c r="G1659" t="n">
        <v>578.6319999999999</v>
      </c>
      <c r="H1659" t="n">
        <v>649.099</v>
      </c>
      <c r="I1659" t="n">
        <v>30</v>
      </c>
      <c r="J1659" t="inlineStr">
        <is>
          <t xml:space="preserve"> WT</t>
        </is>
      </c>
      <c r="K1659" t="inlineStr">
        <is>
          <t xml:space="preserve"> Female</t>
        </is>
      </c>
      <c r="L1659" t="inlineStr">
        <is>
          <t>No focal subject</t>
        </is>
      </c>
      <c r="M1659" t="n">
        <v>8.067</v>
      </c>
      <c r="N1659" t="inlineStr">
        <is>
          <t>Explore_F</t>
        </is>
      </c>
      <c r="O1659" t="inlineStr">
        <is>
          <t>Familiar</t>
        </is>
      </c>
      <c r="P1659" t="inlineStr">
        <is>
          <t>STATE</t>
        </is>
      </c>
      <c r="Q1659" t="n">
        <v>267.299</v>
      </c>
      <c r="R1659" t="n">
        <v>267.799</v>
      </c>
      <c r="S1659" t="n">
        <v>0.5</v>
      </c>
      <c r="T1659" t="inlineStr">
        <is>
          <t>WT\training\c53f3.mp4</t>
        </is>
      </c>
      <c r="U1659" t="n">
        <v>8015</v>
      </c>
      <c r="V1659" t="n">
        <v>8030</v>
      </c>
      <c r="W1659" t="n">
        <v/>
      </c>
      <c r="X1659" t="n">
        <v/>
      </c>
      <c r="Y1659" t="n">
        <v/>
      </c>
      <c r="Z1659" t="n">
        <v/>
      </c>
      <c r="AA1659">
        <f>SUMIFS($S$2:S1659,$A$2:A1659,A1659,$N$2:N1659,"Explore*")</f>
        <v/>
      </c>
      <c r="AB1659">
        <f>IF(AND(LEFT(N1659,7)="Explore",(AA1659-IF(LEFT(N1659,7)="Explore",S1659,0))&lt;10),"SI","NO")</f>
        <v/>
      </c>
    </row>
    <row r="1660">
      <c r="A1660" t="inlineStr">
        <is>
          <t>c53f3_training</t>
        </is>
      </c>
      <c r="B1660" t="inlineStr">
        <is>
          <t>2026-03-04 09:52:00.732</t>
        </is>
      </c>
      <c r="C1660" t="n">
        <v/>
      </c>
      <c r="D1660" t="inlineStr">
        <is>
          <t>Media file</t>
        </is>
      </c>
      <c r="E1660" t="inlineStr">
        <is>
          <t>player #1:WT\training\c53f3.mp4</t>
        </is>
      </c>
      <c r="F1660" t="n">
        <v>-22.467</v>
      </c>
      <c r="G1660" t="n">
        <v>578.6319999999999</v>
      </c>
      <c r="H1660" t="n">
        <v>649.099</v>
      </c>
      <c r="I1660" t="n">
        <v>30</v>
      </c>
      <c r="J1660" t="inlineStr">
        <is>
          <t xml:space="preserve"> WT</t>
        </is>
      </c>
      <c r="K1660" t="inlineStr">
        <is>
          <t xml:space="preserve"> Female</t>
        </is>
      </c>
      <c r="L1660" t="inlineStr">
        <is>
          <t>No focal subject</t>
        </is>
      </c>
      <c r="M1660" t="n">
        <v>8.067</v>
      </c>
      <c r="N1660" t="inlineStr">
        <is>
          <t>Explore_F2</t>
        </is>
      </c>
      <c r="O1660" t="inlineStr">
        <is>
          <t>Second familiar</t>
        </is>
      </c>
      <c r="P1660" t="inlineStr">
        <is>
          <t>STATE</t>
        </is>
      </c>
      <c r="Q1660" t="n">
        <v>310.499</v>
      </c>
      <c r="R1660" t="n">
        <v>310.899</v>
      </c>
      <c r="S1660" t="n">
        <v>0.4</v>
      </c>
      <c r="T1660" t="inlineStr">
        <is>
          <t>WT\training\c53f3.mp4</t>
        </is>
      </c>
      <c r="U1660" t="n">
        <v>9310</v>
      </c>
      <c r="V1660" t="n">
        <v>9322</v>
      </c>
      <c r="W1660" t="n">
        <v/>
      </c>
      <c r="X1660" t="n">
        <v/>
      </c>
      <c r="Y1660" t="n">
        <v/>
      </c>
      <c r="Z1660" t="n">
        <v/>
      </c>
      <c r="AA1660">
        <f>SUMIFS($S$2:S1660,$A$2:A1660,A1660,$N$2:N1660,"Explore*")</f>
        <v/>
      </c>
      <c r="AB1660">
        <f>IF(AND(LEFT(N1660,7)="Explore",(AA1660-IF(LEFT(N1660,7)="Explore",S1660,0))&lt;10),"SI","NO")</f>
        <v/>
      </c>
    </row>
    <row r="1661">
      <c r="A1661" t="inlineStr">
        <is>
          <t>c53f3_training</t>
        </is>
      </c>
      <c r="B1661" t="inlineStr">
        <is>
          <t>2026-03-04 09:52:00.732</t>
        </is>
      </c>
      <c r="C1661" t="n">
        <v/>
      </c>
      <c r="D1661" t="inlineStr">
        <is>
          <t>Media file</t>
        </is>
      </c>
      <c r="E1661" t="inlineStr">
        <is>
          <t>player #1:WT\training\c53f3.mp4</t>
        </is>
      </c>
      <c r="F1661" t="n">
        <v>-22.467</v>
      </c>
      <c r="G1661" t="n">
        <v>578.6319999999999</v>
      </c>
      <c r="H1661" t="n">
        <v>649.099</v>
      </c>
      <c r="I1661" t="n">
        <v>30</v>
      </c>
      <c r="J1661" t="inlineStr">
        <is>
          <t xml:space="preserve"> WT</t>
        </is>
      </c>
      <c r="K1661" t="inlineStr">
        <is>
          <t xml:space="preserve"> Female</t>
        </is>
      </c>
      <c r="L1661" t="inlineStr">
        <is>
          <t>No focal subject</t>
        </is>
      </c>
      <c r="M1661" t="n">
        <v>8.067</v>
      </c>
      <c r="N1661" t="inlineStr">
        <is>
          <t>Explore_F</t>
        </is>
      </c>
      <c r="O1661" t="inlineStr">
        <is>
          <t>Familiar</t>
        </is>
      </c>
      <c r="P1661" t="inlineStr">
        <is>
          <t>STATE</t>
        </is>
      </c>
      <c r="Q1661" t="n">
        <v>317.433</v>
      </c>
      <c r="R1661" t="n">
        <v>318.233</v>
      </c>
      <c r="S1661" t="n">
        <v>0.8</v>
      </c>
      <c r="T1661" t="inlineStr">
        <is>
          <t>WT\training\c53f3.mp4</t>
        </is>
      </c>
      <c r="U1661" t="n">
        <v>9518</v>
      </c>
      <c r="V1661" t="n">
        <v>9542</v>
      </c>
      <c r="W1661" t="n">
        <v/>
      </c>
      <c r="X1661" t="n">
        <v/>
      </c>
      <c r="Y1661" t="n">
        <v/>
      </c>
      <c r="Z1661" t="n">
        <v/>
      </c>
      <c r="AA1661">
        <f>SUMIFS($S$2:S1661,$A$2:A1661,A1661,$N$2:N1661,"Explore*")</f>
        <v/>
      </c>
      <c r="AB1661">
        <f>IF(AND(LEFT(N1661,7)="Explore",(AA1661-IF(LEFT(N1661,7)="Explore",S1661,0))&lt;10),"SI","NO")</f>
        <v/>
      </c>
    </row>
    <row r="1662">
      <c r="A1662" t="inlineStr">
        <is>
          <t>c53f3_training</t>
        </is>
      </c>
      <c r="B1662" t="inlineStr">
        <is>
          <t>2026-03-04 09:52:00.732</t>
        </is>
      </c>
      <c r="C1662" t="n">
        <v/>
      </c>
      <c r="D1662" t="inlineStr">
        <is>
          <t>Media file</t>
        </is>
      </c>
      <c r="E1662" t="inlineStr">
        <is>
          <t>player #1:WT\training\c53f3.mp4</t>
        </is>
      </c>
      <c r="F1662" t="n">
        <v>-22.467</v>
      </c>
      <c r="G1662" t="n">
        <v>578.6319999999999</v>
      </c>
      <c r="H1662" t="n">
        <v>649.099</v>
      </c>
      <c r="I1662" t="n">
        <v>30</v>
      </c>
      <c r="J1662" t="inlineStr">
        <is>
          <t xml:space="preserve"> WT</t>
        </is>
      </c>
      <c r="K1662" t="inlineStr">
        <is>
          <t xml:space="preserve"> Female</t>
        </is>
      </c>
      <c r="L1662" t="inlineStr">
        <is>
          <t>No focal subject</t>
        </is>
      </c>
      <c r="M1662" t="n">
        <v>8.067</v>
      </c>
      <c r="N1662" t="inlineStr">
        <is>
          <t>Explore_F2</t>
        </is>
      </c>
      <c r="O1662" t="inlineStr">
        <is>
          <t>Second familiar</t>
        </is>
      </c>
      <c r="P1662" t="inlineStr">
        <is>
          <t>STATE</t>
        </is>
      </c>
      <c r="Q1662" t="n">
        <v>403.199</v>
      </c>
      <c r="R1662" t="n">
        <v>403.633</v>
      </c>
      <c r="S1662" t="n">
        <v>0.434</v>
      </c>
      <c r="T1662" t="inlineStr">
        <is>
          <t>WT\training\c53f3.mp4</t>
        </is>
      </c>
      <c r="U1662" t="n">
        <v>12090</v>
      </c>
      <c r="V1662" t="n">
        <v>12103</v>
      </c>
      <c r="W1662" t="n">
        <v/>
      </c>
      <c r="X1662" t="n">
        <v/>
      </c>
      <c r="Y1662" t="n">
        <v/>
      </c>
      <c r="Z1662" t="n">
        <v/>
      </c>
      <c r="AA1662">
        <f>SUMIFS($S$2:S1662,$A$2:A1662,A1662,$N$2:N1662,"Explore*")</f>
        <v/>
      </c>
      <c r="AB1662">
        <f>IF(AND(LEFT(N1662,7)="Explore",(AA1662-IF(LEFT(N1662,7)="Explore",S1662,0))&lt;10),"SI","NO")</f>
        <v/>
      </c>
    </row>
    <row r="1663">
      <c r="A1663" t="inlineStr">
        <is>
          <t>c53f3_training</t>
        </is>
      </c>
      <c r="B1663" t="inlineStr">
        <is>
          <t>2026-03-04 09:52:00.732</t>
        </is>
      </c>
      <c r="C1663" t="n">
        <v/>
      </c>
      <c r="D1663" t="inlineStr">
        <is>
          <t>Media file</t>
        </is>
      </c>
      <c r="E1663" t="inlineStr">
        <is>
          <t>player #1:WT\training\c53f3.mp4</t>
        </is>
      </c>
      <c r="F1663" t="n">
        <v>-22.467</v>
      </c>
      <c r="G1663" t="n">
        <v>578.6319999999999</v>
      </c>
      <c r="H1663" t="n">
        <v>649.099</v>
      </c>
      <c r="I1663" t="n">
        <v>30</v>
      </c>
      <c r="J1663" t="inlineStr">
        <is>
          <t xml:space="preserve"> WT</t>
        </is>
      </c>
      <c r="K1663" t="inlineStr">
        <is>
          <t xml:space="preserve"> Female</t>
        </is>
      </c>
      <c r="L1663" t="inlineStr">
        <is>
          <t>No focal subject</t>
        </is>
      </c>
      <c r="M1663" t="n">
        <v>8.067</v>
      </c>
      <c r="N1663" t="inlineStr">
        <is>
          <t>Explore_F</t>
        </is>
      </c>
      <c r="O1663" t="inlineStr">
        <is>
          <t>Familiar</t>
        </is>
      </c>
      <c r="P1663" t="inlineStr">
        <is>
          <t>STATE</t>
        </is>
      </c>
      <c r="Q1663" t="n">
        <v>501.266</v>
      </c>
      <c r="R1663" t="n">
        <v>501.599</v>
      </c>
      <c r="S1663" t="n">
        <v>0.333</v>
      </c>
      <c r="T1663" t="inlineStr">
        <is>
          <t>WT\training\c53f3.mp4</t>
        </is>
      </c>
      <c r="U1663" t="n">
        <v>15030</v>
      </c>
      <c r="V1663" t="n">
        <v>15040</v>
      </c>
      <c r="W1663" t="n">
        <v/>
      </c>
      <c r="X1663" t="n">
        <v/>
      </c>
      <c r="Y1663" t="n">
        <v/>
      </c>
      <c r="Z1663" t="n">
        <v/>
      </c>
      <c r="AA1663">
        <f>SUMIFS($S$2:S1663,$A$2:A1663,A1663,$N$2:N1663,"Explore*")</f>
        <v/>
      </c>
      <c r="AB1663">
        <f>IF(AND(LEFT(N1663,7)="Explore",(AA1663-IF(LEFT(N1663,7)="Explore",S1663,0))&lt;10),"SI","NO")</f>
        <v/>
      </c>
    </row>
    <row r="1664">
      <c r="A1664" t="inlineStr">
        <is>
          <t>c53f3_training</t>
        </is>
      </c>
      <c r="B1664" t="inlineStr">
        <is>
          <t>2026-03-04 09:52:00.732</t>
        </is>
      </c>
      <c r="C1664" t="n">
        <v/>
      </c>
      <c r="D1664" t="inlineStr">
        <is>
          <t>Media file</t>
        </is>
      </c>
      <c r="E1664" t="inlineStr">
        <is>
          <t>player #1:WT\training\c53f3.mp4</t>
        </is>
      </c>
      <c r="F1664" t="n">
        <v>-22.467</v>
      </c>
      <c r="G1664" t="n">
        <v>578.6319999999999</v>
      </c>
      <c r="H1664" t="n">
        <v>649.099</v>
      </c>
      <c r="I1664" t="n">
        <v>30</v>
      </c>
      <c r="J1664" t="inlineStr">
        <is>
          <t xml:space="preserve"> WT</t>
        </is>
      </c>
      <c r="K1664" t="inlineStr">
        <is>
          <t xml:space="preserve"> Female</t>
        </is>
      </c>
      <c r="L1664" t="inlineStr">
        <is>
          <t>No focal subject</t>
        </is>
      </c>
      <c r="M1664" t="n">
        <v>8.067</v>
      </c>
      <c r="N1664" t="inlineStr">
        <is>
          <t>Explore_F</t>
        </is>
      </c>
      <c r="O1664" t="inlineStr">
        <is>
          <t>Familiar</t>
        </is>
      </c>
      <c r="P1664" t="inlineStr">
        <is>
          <t>STATE</t>
        </is>
      </c>
      <c r="Q1664" t="n">
        <v>506.099</v>
      </c>
      <c r="R1664" t="n">
        <v>506.399</v>
      </c>
      <c r="S1664" t="n">
        <v>0.3</v>
      </c>
      <c r="T1664" t="inlineStr">
        <is>
          <t>WT\training\c53f3.mp4</t>
        </is>
      </c>
      <c r="U1664" t="n">
        <v>15175</v>
      </c>
      <c r="V1664" t="n">
        <v>15184</v>
      </c>
      <c r="W1664" t="n">
        <v/>
      </c>
      <c r="X1664" t="n">
        <v/>
      </c>
      <c r="Y1664" t="n">
        <v/>
      </c>
      <c r="Z1664" t="n">
        <v/>
      </c>
      <c r="AA1664">
        <f>SUMIFS($S$2:S1664,$A$2:A1664,A1664,$N$2:N1664,"Explore*")</f>
        <v/>
      </c>
      <c r="AB1664">
        <f>IF(AND(LEFT(N1664,7)="Explore",(AA1664-IF(LEFT(N1664,7)="Explore",S1664,0))&lt;10),"SI","NO")</f>
        <v/>
      </c>
    </row>
    <row r="1665">
      <c r="A1665" t="inlineStr">
        <is>
          <t>c53f3_training</t>
        </is>
      </c>
      <c r="B1665" t="inlineStr">
        <is>
          <t>2026-03-04 09:52:00.732</t>
        </is>
      </c>
      <c r="C1665" t="n">
        <v/>
      </c>
      <c r="D1665" t="inlineStr">
        <is>
          <t>Media file</t>
        </is>
      </c>
      <c r="E1665" t="inlineStr">
        <is>
          <t>player #1:WT\training\c53f3.mp4</t>
        </is>
      </c>
      <c r="F1665" t="n">
        <v>-22.467</v>
      </c>
      <c r="G1665" t="n">
        <v>578.6319999999999</v>
      </c>
      <c r="H1665" t="n">
        <v>649.099</v>
      </c>
      <c r="I1665" t="n">
        <v>30</v>
      </c>
      <c r="J1665" t="inlineStr">
        <is>
          <t xml:space="preserve"> WT</t>
        </is>
      </c>
      <c r="K1665" t="inlineStr">
        <is>
          <t xml:space="preserve"> Female</t>
        </is>
      </c>
      <c r="L1665" t="inlineStr">
        <is>
          <t>No focal subject</t>
        </is>
      </c>
      <c r="M1665" t="n">
        <v>8.067</v>
      </c>
      <c r="N1665" t="inlineStr">
        <is>
          <t>Explore_F</t>
        </is>
      </c>
      <c r="O1665" t="inlineStr">
        <is>
          <t>Familiar</t>
        </is>
      </c>
      <c r="P1665" t="inlineStr">
        <is>
          <t>STATE</t>
        </is>
      </c>
      <c r="Q1665" t="n">
        <v>542.6319999999999</v>
      </c>
      <c r="R1665" t="n">
        <v>543.6319999999999</v>
      </c>
      <c r="S1665" t="n">
        <v>1</v>
      </c>
      <c r="T1665" t="inlineStr">
        <is>
          <t>WT\training\c53f3.mp4</t>
        </is>
      </c>
      <c r="U1665" t="n">
        <v>16270</v>
      </c>
      <c r="V1665" t="n">
        <v>16300</v>
      </c>
      <c r="W1665" t="n">
        <v/>
      </c>
      <c r="X1665" t="n">
        <v/>
      </c>
      <c r="Y1665" t="n">
        <v/>
      </c>
      <c r="Z1665" t="n">
        <v/>
      </c>
      <c r="AA1665">
        <f>SUMIFS($S$2:S1665,$A$2:A1665,A1665,$N$2:N1665,"Explore*")</f>
        <v/>
      </c>
      <c r="AB1665">
        <f>IF(AND(LEFT(N1665,7)="Explore",(AA1665-IF(LEFT(N1665,7)="Explore",S1665,0))&lt;10),"SI","NO")</f>
        <v/>
      </c>
    </row>
    <row r="1666">
      <c r="A1666" t="inlineStr">
        <is>
          <t>c53f3_training</t>
        </is>
      </c>
      <c r="B1666" t="inlineStr">
        <is>
          <t>2026-03-04 09:52:00.732</t>
        </is>
      </c>
      <c r="C1666" t="n">
        <v/>
      </c>
      <c r="D1666" t="inlineStr">
        <is>
          <t>Media file</t>
        </is>
      </c>
      <c r="E1666" t="inlineStr">
        <is>
          <t>player #1:WT\training\c53f3.mp4</t>
        </is>
      </c>
      <c r="F1666" t="n">
        <v>-22.467</v>
      </c>
      <c r="G1666" t="n">
        <v>578.6319999999999</v>
      </c>
      <c r="H1666" t="n">
        <v>649.099</v>
      </c>
      <c r="I1666" t="n">
        <v>30</v>
      </c>
      <c r="J1666" t="inlineStr">
        <is>
          <t xml:space="preserve"> WT</t>
        </is>
      </c>
      <c r="K1666" t="inlineStr">
        <is>
          <t xml:space="preserve"> Female</t>
        </is>
      </c>
      <c r="L1666" t="inlineStr">
        <is>
          <t>No focal subject</t>
        </is>
      </c>
      <c r="M1666" t="n">
        <v>8.067</v>
      </c>
      <c r="N1666" t="inlineStr">
        <is>
          <t>Explore_F2</t>
        </is>
      </c>
      <c r="O1666" t="inlineStr">
        <is>
          <t>Second familiar</t>
        </is>
      </c>
      <c r="P1666" t="inlineStr">
        <is>
          <t>STATE</t>
        </is>
      </c>
      <c r="Q1666" t="n">
        <v>583.099</v>
      </c>
      <c r="R1666" t="n">
        <v>583.532</v>
      </c>
      <c r="S1666" t="n">
        <v>0.433</v>
      </c>
      <c r="T1666" t="inlineStr">
        <is>
          <t>WT\training\c53f3.mp4</t>
        </is>
      </c>
      <c r="U1666" t="n">
        <v>17484</v>
      </c>
      <c r="V1666" t="n">
        <v>17498</v>
      </c>
      <c r="W1666" t="n">
        <v/>
      </c>
      <c r="X1666" t="n">
        <v/>
      </c>
      <c r="Y1666" t="n">
        <v/>
      </c>
      <c r="Z1666" t="n">
        <v/>
      </c>
      <c r="AA1666">
        <f>SUMIFS($S$2:S1666,$A$2:A1666,A1666,$N$2:N1666,"Explore*")</f>
        <v/>
      </c>
      <c r="AB1666">
        <f>IF(AND(LEFT(N1666,7)="Explore",(AA1666-IF(LEFT(N1666,7)="Explore",S1666,0))&lt;10),"SI","NO")</f>
        <v/>
      </c>
    </row>
    <row r="1667">
      <c r="A1667" t="inlineStr">
        <is>
          <t>c53f4_training</t>
        </is>
      </c>
      <c r="B1667" t="inlineStr">
        <is>
          <t>2026-03-04 10:04:07.855</t>
        </is>
      </c>
      <c r="C1667" t="n">
        <v/>
      </c>
      <c r="D1667" t="inlineStr">
        <is>
          <t>Media file</t>
        </is>
      </c>
      <c r="E1667" t="inlineStr">
        <is>
          <t>player #1:WT\training\c53f4.mp4</t>
        </is>
      </c>
      <c r="F1667" t="n">
        <v>-8.800000000000001</v>
      </c>
      <c r="G1667" t="n">
        <v>561.932</v>
      </c>
      <c r="H1667" t="n">
        <v>642.1660000000001</v>
      </c>
      <c r="I1667" t="n">
        <v>30</v>
      </c>
      <c r="J1667" t="inlineStr">
        <is>
          <t xml:space="preserve"> WT</t>
        </is>
      </c>
      <c r="K1667" t="inlineStr">
        <is>
          <t xml:space="preserve"> Female</t>
        </is>
      </c>
      <c r="L1667" t="inlineStr">
        <is>
          <t>No focal subject</t>
        </is>
      </c>
      <c r="M1667" t="n">
        <v>11.731</v>
      </c>
      <c r="N1667" t="inlineStr">
        <is>
          <t>Explore_F</t>
        </is>
      </c>
      <c r="O1667" t="inlineStr">
        <is>
          <t>Familiar</t>
        </is>
      </c>
      <c r="P1667" t="inlineStr">
        <is>
          <t>STATE</t>
        </is>
      </c>
      <c r="Q1667" t="n">
        <v>7.467</v>
      </c>
      <c r="R1667" t="n">
        <v>7.867</v>
      </c>
      <c r="S1667" t="n">
        <v>0.4</v>
      </c>
      <c r="T1667" t="inlineStr">
        <is>
          <t>WT\training\c53f4.mp4</t>
        </is>
      </c>
      <c r="U1667" t="n">
        <v>224</v>
      </c>
      <c r="V1667" t="n">
        <v>236</v>
      </c>
      <c r="W1667" t="n">
        <v/>
      </c>
      <c r="X1667" t="n">
        <v/>
      </c>
      <c r="Y1667" t="n">
        <v/>
      </c>
      <c r="Z1667" t="n">
        <v/>
      </c>
      <c r="AA1667">
        <f>SUMIFS($S$2:S1667,$A$2:A1667,A1667,$N$2:N1667,"Explore*")</f>
        <v/>
      </c>
      <c r="AB1667">
        <f>IF(AND(LEFT(N1667,7)="Explore",(AA1667-IF(LEFT(N1667,7)="Explore",S1667,0))&lt;10),"SI","NO")</f>
        <v/>
      </c>
    </row>
    <row r="1668">
      <c r="A1668" t="inlineStr">
        <is>
          <t>c53f4_training</t>
        </is>
      </c>
      <c r="B1668" t="inlineStr">
        <is>
          <t>2026-03-04 10:04:07.855</t>
        </is>
      </c>
      <c r="C1668" t="n">
        <v/>
      </c>
      <c r="D1668" t="inlineStr">
        <is>
          <t>Media file</t>
        </is>
      </c>
      <c r="E1668" t="inlineStr">
        <is>
          <t>player #1:WT\training\c53f4.mp4</t>
        </is>
      </c>
      <c r="F1668" t="n">
        <v>-8.800000000000001</v>
      </c>
      <c r="G1668" t="n">
        <v>561.932</v>
      </c>
      <c r="H1668" t="n">
        <v>642.1660000000001</v>
      </c>
      <c r="I1668" t="n">
        <v>30</v>
      </c>
      <c r="J1668" t="inlineStr">
        <is>
          <t xml:space="preserve"> WT</t>
        </is>
      </c>
      <c r="K1668" t="inlineStr">
        <is>
          <t xml:space="preserve"> Female</t>
        </is>
      </c>
      <c r="L1668" t="inlineStr">
        <is>
          <t>No focal subject</t>
        </is>
      </c>
      <c r="M1668" t="n">
        <v>11.731</v>
      </c>
      <c r="N1668" t="inlineStr">
        <is>
          <t>Explore_F2</t>
        </is>
      </c>
      <c r="O1668" t="inlineStr">
        <is>
          <t>Second familiar</t>
        </is>
      </c>
      <c r="P1668" t="inlineStr">
        <is>
          <t>STATE</t>
        </is>
      </c>
      <c r="Q1668" t="n">
        <v>44.2</v>
      </c>
      <c r="R1668" t="n">
        <v>44.9</v>
      </c>
      <c r="S1668" t="n">
        <v>0.7</v>
      </c>
      <c r="T1668" t="inlineStr">
        <is>
          <t>WT\training\c53f4.mp4</t>
        </is>
      </c>
      <c r="U1668" t="n">
        <v>1326</v>
      </c>
      <c r="V1668" t="n">
        <v>1347</v>
      </c>
      <c r="W1668" t="n">
        <v/>
      </c>
      <c r="X1668" t="n">
        <v/>
      </c>
      <c r="Y1668" t="n">
        <v/>
      </c>
      <c r="Z1668" t="n">
        <v/>
      </c>
      <c r="AA1668">
        <f>SUMIFS($S$2:S1668,$A$2:A1668,A1668,$N$2:N1668,"Explore*")</f>
        <v/>
      </c>
      <c r="AB1668">
        <f>IF(AND(LEFT(N1668,7)="Explore",(AA1668-IF(LEFT(N1668,7)="Explore",S1668,0))&lt;10),"SI","NO")</f>
        <v/>
      </c>
    </row>
    <row r="1669">
      <c r="A1669" t="inlineStr">
        <is>
          <t>c53f4_training</t>
        </is>
      </c>
      <c r="B1669" t="inlineStr">
        <is>
          <t>2026-03-04 10:04:07.855</t>
        </is>
      </c>
      <c r="C1669" t="n">
        <v/>
      </c>
      <c r="D1669" t="inlineStr">
        <is>
          <t>Media file</t>
        </is>
      </c>
      <c r="E1669" t="inlineStr">
        <is>
          <t>player #1:WT\training\c53f4.mp4</t>
        </is>
      </c>
      <c r="F1669" t="n">
        <v>-8.800000000000001</v>
      </c>
      <c r="G1669" t="n">
        <v>561.932</v>
      </c>
      <c r="H1669" t="n">
        <v>642.1660000000001</v>
      </c>
      <c r="I1669" t="n">
        <v>30</v>
      </c>
      <c r="J1669" t="inlineStr">
        <is>
          <t xml:space="preserve"> WT</t>
        </is>
      </c>
      <c r="K1669" t="inlineStr">
        <is>
          <t xml:space="preserve"> Female</t>
        </is>
      </c>
      <c r="L1669" t="inlineStr">
        <is>
          <t>No focal subject</t>
        </is>
      </c>
      <c r="M1669" t="n">
        <v>11.731</v>
      </c>
      <c r="N1669" t="inlineStr">
        <is>
          <t>Explore_F2</t>
        </is>
      </c>
      <c r="O1669" t="inlineStr">
        <is>
          <t>Second familiar</t>
        </is>
      </c>
      <c r="P1669" t="inlineStr">
        <is>
          <t>STATE</t>
        </is>
      </c>
      <c r="Q1669" t="n">
        <v>105.5</v>
      </c>
      <c r="R1669" t="n">
        <v>106.3</v>
      </c>
      <c r="S1669" t="n">
        <v>0.8</v>
      </c>
      <c r="T1669" t="inlineStr">
        <is>
          <t>WT\training\c53f4.mp4</t>
        </is>
      </c>
      <c r="U1669" t="n">
        <v>3167</v>
      </c>
      <c r="V1669" t="n">
        <v>3189</v>
      </c>
      <c r="W1669" t="n">
        <v/>
      </c>
      <c r="X1669" t="n">
        <v/>
      </c>
      <c r="Y1669" t="n">
        <v/>
      </c>
      <c r="Z1669" t="n">
        <v/>
      </c>
      <c r="AA1669">
        <f>SUMIFS($S$2:S1669,$A$2:A1669,A1669,$N$2:N1669,"Explore*")</f>
        <v/>
      </c>
      <c r="AB1669">
        <f>IF(AND(LEFT(N1669,7)="Explore",(AA1669-IF(LEFT(N1669,7)="Explore",S1669,0))&lt;10),"SI","NO")</f>
        <v/>
      </c>
    </row>
    <row r="1670">
      <c r="A1670" t="inlineStr">
        <is>
          <t>c53f4_training</t>
        </is>
      </c>
      <c r="B1670" t="inlineStr">
        <is>
          <t>2026-03-04 10:04:07.855</t>
        </is>
      </c>
      <c r="C1670" t="n">
        <v/>
      </c>
      <c r="D1670" t="inlineStr">
        <is>
          <t>Media file</t>
        </is>
      </c>
      <c r="E1670" t="inlineStr">
        <is>
          <t>player #1:WT\training\c53f4.mp4</t>
        </is>
      </c>
      <c r="F1670" t="n">
        <v>-8.800000000000001</v>
      </c>
      <c r="G1670" t="n">
        <v>561.932</v>
      </c>
      <c r="H1670" t="n">
        <v>642.1660000000001</v>
      </c>
      <c r="I1670" t="n">
        <v>30</v>
      </c>
      <c r="J1670" t="inlineStr">
        <is>
          <t xml:space="preserve"> WT</t>
        </is>
      </c>
      <c r="K1670" t="inlineStr">
        <is>
          <t xml:space="preserve"> Female</t>
        </is>
      </c>
      <c r="L1670" t="inlineStr">
        <is>
          <t>No focal subject</t>
        </is>
      </c>
      <c r="M1670" t="n">
        <v>11.731</v>
      </c>
      <c r="N1670" t="inlineStr">
        <is>
          <t>Explore_F</t>
        </is>
      </c>
      <c r="O1670" t="inlineStr">
        <is>
          <t>Familiar</t>
        </is>
      </c>
      <c r="P1670" t="inlineStr">
        <is>
          <t>STATE</t>
        </is>
      </c>
      <c r="Q1670" t="n">
        <v>172.866</v>
      </c>
      <c r="R1670" t="n">
        <v>173.2</v>
      </c>
      <c r="S1670" t="n">
        <v>0.334</v>
      </c>
      <c r="T1670" t="inlineStr">
        <is>
          <t>WT\training\c53f4.mp4</t>
        </is>
      </c>
      <c r="U1670" t="n">
        <v>5186</v>
      </c>
      <c r="V1670" t="n">
        <v>5196</v>
      </c>
      <c r="W1670" t="n">
        <v/>
      </c>
      <c r="X1670" t="n">
        <v/>
      </c>
      <c r="Y1670" t="n">
        <v/>
      </c>
      <c r="Z1670" t="n">
        <v/>
      </c>
      <c r="AA1670">
        <f>SUMIFS($S$2:S1670,$A$2:A1670,A1670,$N$2:N1670,"Explore*")</f>
        <v/>
      </c>
      <c r="AB1670">
        <f>IF(AND(LEFT(N1670,7)="Explore",(AA1670-IF(LEFT(N1670,7)="Explore",S1670,0))&lt;10),"SI","NO")</f>
        <v/>
      </c>
    </row>
    <row r="1671">
      <c r="A1671" t="inlineStr">
        <is>
          <t>c53f4_training</t>
        </is>
      </c>
      <c r="B1671" t="inlineStr">
        <is>
          <t>2026-03-04 10:04:07.855</t>
        </is>
      </c>
      <c r="C1671" t="n">
        <v/>
      </c>
      <c r="D1671" t="inlineStr">
        <is>
          <t>Media file</t>
        </is>
      </c>
      <c r="E1671" t="inlineStr">
        <is>
          <t>player #1:WT\training\c53f4.mp4</t>
        </is>
      </c>
      <c r="F1671" t="n">
        <v>-8.800000000000001</v>
      </c>
      <c r="G1671" t="n">
        <v>561.932</v>
      </c>
      <c r="H1671" t="n">
        <v>642.1660000000001</v>
      </c>
      <c r="I1671" t="n">
        <v>30</v>
      </c>
      <c r="J1671" t="inlineStr">
        <is>
          <t xml:space="preserve"> WT</t>
        </is>
      </c>
      <c r="K1671" t="inlineStr">
        <is>
          <t xml:space="preserve"> Female</t>
        </is>
      </c>
      <c r="L1671" t="inlineStr">
        <is>
          <t>No focal subject</t>
        </is>
      </c>
      <c r="M1671" t="n">
        <v>11.731</v>
      </c>
      <c r="N1671" t="inlineStr">
        <is>
          <t>Explore_F</t>
        </is>
      </c>
      <c r="O1671" t="inlineStr">
        <is>
          <t>Familiar</t>
        </is>
      </c>
      <c r="P1671" t="inlineStr">
        <is>
          <t>STATE</t>
        </is>
      </c>
      <c r="Q1671" t="n">
        <v>196.8</v>
      </c>
      <c r="R1671" t="n">
        <v>197.2</v>
      </c>
      <c r="S1671" t="n">
        <v>0.4</v>
      </c>
      <c r="T1671" t="inlineStr">
        <is>
          <t>WT\training\c53f4.mp4</t>
        </is>
      </c>
      <c r="U1671" t="n">
        <v>5904</v>
      </c>
      <c r="V1671" t="n">
        <v>5916</v>
      </c>
      <c r="W1671" t="n">
        <v/>
      </c>
      <c r="X1671" t="n">
        <v/>
      </c>
      <c r="Y1671" t="n">
        <v/>
      </c>
      <c r="Z1671" t="n">
        <v/>
      </c>
      <c r="AA1671">
        <f>SUMIFS($S$2:S1671,$A$2:A1671,A1671,$N$2:N1671,"Explore*")</f>
        <v/>
      </c>
      <c r="AB1671">
        <f>IF(AND(LEFT(N1671,7)="Explore",(AA1671-IF(LEFT(N1671,7)="Explore",S1671,0))&lt;10),"SI","NO")</f>
        <v/>
      </c>
    </row>
    <row r="1672">
      <c r="A1672" t="inlineStr">
        <is>
          <t>c53f4_training</t>
        </is>
      </c>
      <c r="B1672" t="inlineStr">
        <is>
          <t>2026-03-04 10:04:07.855</t>
        </is>
      </c>
      <c r="C1672" t="n">
        <v/>
      </c>
      <c r="D1672" t="inlineStr">
        <is>
          <t>Media file</t>
        </is>
      </c>
      <c r="E1672" t="inlineStr">
        <is>
          <t>player #1:WT\training\c53f4.mp4</t>
        </is>
      </c>
      <c r="F1672" t="n">
        <v>-8.800000000000001</v>
      </c>
      <c r="G1672" t="n">
        <v>561.932</v>
      </c>
      <c r="H1672" t="n">
        <v>642.1660000000001</v>
      </c>
      <c r="I1672" t="n">
        <v>30</v>
      </c>
      <c r="J1672" t="inlineStr">
        <is>
          <t xml:space="preserve"> WT</t>
        </is>
      </c>
      <c r="K1672" t="inlineStr">
        <is>
          <t xml:space="preserve"> Female</t>
        </is>
      </c>
      <c r="L1672" t="inlineStr">
        <is>
          <t>No focal subject</t>
        </is>
      </c>
      <c r="M1672" t="n">
        <v>11.731</v>
      </c>
      <c r="N1672" t="inlineStr">
        <is>
          <t>Explore_F2</t>
        </is>
      </c>
      <c r="O1672" t="inlineStr">
        <is>
          <t>Second familiar</t>
        </is>
      </c>
      <c r="P1672" t="inlineStr">
        <is>
          <t>STATE</t>
        </is>
      </c>
      <c r="Q1672" t="n">
        <v>229.1</v>
      </c>
      <c r="R1672" t="n">
        <v>229.466</v>
      </c>
      <c r="S1672" t="n">
        <v>0.366</v>
      </c>
      <c r="T1672" t="inlineStr">
        <is>
          <t>WT\training\c53f4.mp4</t>
        </is>
      </c>
      <c r="U1672" t="n">
        <v>6873</v>
      </c>
      <c r="V1672" t="n">
        <v>6884</v>
      </c>
      <c r="W1672" t="n">
        <v/>
      </c>
      <c r="X1672" t="n">
        <v/>
      </c>
      <c r="Y1672" t="n">
        <v/>
      </c>
      <c r="Z1672" t="n">
        <v/>
      </c>
      <c r="AA1672">
        <f>SUMIFS($S$2:S1672,$A$2:A1672,A1672,$N$2:N1672,"Explore*")</f>
        <v/>
      </c>
      <c r="AB1672">
        <f>IF(AND(LEFT(N1672,7)="Explore",(AA1672-IF(LEFT(N1672,7)="Explore",S1672,0))&lt;10),"SI","NO")</f>
        <v/>
      </c>
    </row>
    <row r="1673">
      <c r="A1673" t="inlineStr">
        <is>
          <t>c53f4_training</t>
        </is>
      </c>
      <c r="B1673" t="inlineStr">
        <is>
          <t>2026-03-04 10:04:07.855</t>
        </is>
      </c>
      <c r="C1673" t="n">
        <v/>
      </c>
      <c r="D1673" t="inlineStr">
        <is>
          <t>Media file</t>
        </is>
      </c>
      <c r="E1673" t="inlineStr">
        <is>
          <t>player #1:WT\training\c53f4.mp4</t>
        </is>
      </c>
      <c r="F1673" t="n">
        <v>-8.800000000000001</v>
      </c>
      <c r="G1673" t="n">
        <v>561.932</v>
      </c>
      <c r="H1673" t="n">
        <v>642.1660000000001</v>
      </c>
      <c r="I1673" t="n">
        <v>30</v>
      </c>
      <c r="J1673" t="inlineStr">
        <is>
          <t xml:space="preserve"> WT</t>
        </is>
      </c>
      <c r="K1673" t="inlineStr">
        <is>
          <t xml:space="preserve"> Female</t>
        </is>
      </c>
      <c r="L1673" t="inlineStr">
        <is>
          <t>No focal subject</t>
        </is>
      </c>
      <c r="M1673" t="n">
        <v>11.731</v>
      </c>
      <c r="N1673" t="inlineStr">
        <is>
          <t>Explore_F2</t>
        </is>
      </c>
      <c r="O1673" t="inlineStr">
        <is>
          <t>Second familiar</t>
        </is>
      </c>
      <c r="P1673" t="inlineStr">
        <is>
          <t>STATE</t>
        </is>
      </c>
      <c r="Q1673" t="n">
        <v>277.766</v>
      </c>
      <c r="R1673" t="n">
        <v>278.066</v>
      </c>
      <c r="S1673" t="n">
        <v>0.3</v>
      </c>
      <c r="T1673" t="inlineStr">
        <is>
          <t>WT\training\c53f4.mp4</t>
        </is>
      </c>
      <c r="U1673" t="n">
        <v>8333</v>
      </c>
      <c r="V1673" t="n">
        <v>8342</v>
      </c>
      <c r="W1673" t="n">
        <v/>
      </c>
      <c r="X1673" t="n">
        <v/>
      </c>
      <c r="Y1673" t="n">
        <v/>
      </c>
      <c r="Z1673" t="n">
        <v/>
      </c>
      <c r="AA1673">
        <f>SUMIFS($S$2:S1673,$A$2:A1673,A1673,$N$2:N1673,"Explore*")</f>
        <v/>
      </c>
      <c r="AB1673">
        <f>IF(AND(LEFT(N1673,7)="Explore",(AA1673-IF(LEFT(N1673,7)="Explore",S1673,0))&lt;10),"SI","NO")</f>
        <v/>
      </c>
    </row>
    <row r="1674">
      <c r="A1674" t="inlineStr">
        <is>
          <t>c53f4_training</t>
        </is>
      </c>
      <c r="B1674" t="inlineStr">
        <is>
          <t>2026-03-04 10:04:07.855</t>
        </is>
      </c>
      <c r="C1674" t="n">
        <v/>
      </c>
      <c r="D1674" t="inlineStr">
        <is>
          <t>Media file</t>
        </is>
      </c>
      <c r="E1674" t="inlineStr">
        <is>
          <t>player #1:WT\training\c53f4.mp4</t>
        </is>
      </c>
      <c r="F1674" t="n">
        <v>-8.800000000000001</v>
      </c>
      <c r="G1674" t="n">
        <v>561.932</v>
      </c>
      <c r="H1674" t="n">
        <v>642.1660000000001</v>
      </c>
      <c r="I1674" t="n">
        <v>30</v>
      </c>
      <c r="J1674" t="inlineStr">
        <is>
          <t xml:space="preserve"> WT</t>
        </is>
      </c>
      <c r="K1674" t="inlineStr">
        <is>
          <t xml:space="preserve"> Female</t>
        </is>
      </c>
      <c r="L1674" t="inlineStr">
        <is>
          <t>No focal subject</t>
        </is>
      </c>
      <c r="M1674" t="n">
        <v>11.731</v>
      </c>
      <c r="N1674" t="inlineStr">
        <is>
          <t>Explore_F</t>
        </is>
      </c>
      <c r="O1674" t="inlineStr">
        <is>
          <t>Familiar</t>
        </is>
      </c>
      <c r="P1674" t="inlineStr">
        <is>
          <t>STATE</t>
        </is>
      </c>
      <c r="Q1674" t="n">
        <v>293.666</v>
      </c>
      <c r="R1674" t="n">
        <v>294</v>
      </c>
      <c r="S1674" t="n">
        <v>0.334</v>
      </c>
      <c r="T1674" t="inlineStr">
        <is>
          <t>WT\training\c53f4.mp4</t>
        </is>
      </c>
      <c r="U1674" t="n">
        <v>8810</v>
      </c>
      <c r="V1674" t="n">
        <v>8822</v>
      </c>
      <c r="W1674" t="n">
        <v/>
      </c>
      <c r="X1674" t="n">
        <v/>
      </c>
      <c r="Y1674" t="n">
        <v/>
      </c>
      <c r="Z1674" t="n">
        <v/>
      </c>
      <c r="AA1674">
        <f>SUMIFS($S$2:S1674,$A$2:A1674,A1674,$N$2:N1674,"Explore*")</f>
        <v/>
      </c>
      <c r="AB1674">
        <f>IF(AND(LEFT(N1674,7)="Explore",(AA1674-IF(LEFT(N1674,7)="Explore",S1674,0))&lt;10),"SI","NO")</f>
        <v/>
      </c>
    </row>
    <row r="1675">
      <c r="A1675" t="inlineStr">
        <is>
          <t>c53f4_training</t>
        </is>
      </c>
      <c r="B1675" t="inlineStr">
        <is>
          <t>2026-03-04 10:04:07.855</t>
        </is>
      </c>
      <c r="C1675" t="n">
        <v/>
      </c>
      <c r="D1675" t="inlineStr">
        <is>
          <t>Media file</t>
        </is>
      </c>
      <c r="E1675" t="inlineStr">
        <is>
          <t>player #1:WT\training\c53f4.mp4</t>
        </is>
      </c>
      <c r="F1675" t="n">
        <v>-8.800000000000001</v>
      </c>
      <c r="G1675" t="n">
        <v>561.932</v>
      </c>
      <c r="H1675" t="n">
        <v>642.1660000000001</v>
      </c>
      <c r="I1675" t="n">
        <v>30</v>
      </c>
      <c r="J1675" t="inlineStr">
        <is>
          <t xml:space="preserve"> WT</t>
        </is>
      </c>
      <c r="K1675" t="inlineStr">
        <is>
          <t xml:space="preserve"> Female</t>
        </is>
      </c>
      <c r="L1675" t="inlineStr">
        <is>
          <t>No focal subject</t>
        </is>
      </c>
      <c r="M1675" t="n">
        <v>11.731</v>
      </c>
      <c r="N1675" t="inlineStr">
        <is>
          <t>Explore_F2</t>
        </is>
      </c>
      <c r="O1675" t="inlineStr">
        <is>
          <t>Second familiar</t>
        </is>
      </c>
      <c r="P1675" t="inlineStr">
        <is>
          <t>STATE</t>
        </is>
      </c>
      <c r="Q1675" t="n">
        <v>326.8</v>
      </c>
      <c r="R1675" t="n">
        <v>327.366</v>
      </c>
      <c r="S1675" t="n">
        <v>0.5659999999999999</v>
      </c>
      <c r="T1675" t="inlineStr">
        <is>
          <t>WT\training\c53f4.mp4</t>
        </is>
      </c>
      <c r="U1675" t="n">
        <v>9804</v>
      </c>
      <c r="V1675" t="n">
        <v>9821</v>
      </c>
      <c r="W1675" t="n">
        <v/>
      </c>
      <c r="X1675" t="n">
        <v/>
      </c>
      <c r="Y1675" t="n">
        <v/>
      </c>
      <c r="Z1675" t="n">
        <v/>
      </c>
      <c r="AA1675">
        <f>SUMIFS($S$2:S1675,$A$2:A1675,A1675,$N$2:N1675,"Explore*")</f>
        <v/>
      </c>
      <c r="AB1675">
        <f>IF(AND(LEFT(N1675,7)="Explore",(AA1675-IF(LEFT(N1675,7)="Explore",S1675,0))&lt;10),"SI","NO")</f>
        <v/>
      </c>
    </row>
    <row r="1676">
      <c r="A1676" t="inlineStr">
        <is>
          <t>c53f4_training</t>
        </is>
      </c>
      <c r="B1676" t="inlineStr">
        <is>
          <t>2026-03-04 10:04:07.855</t>
        </is>
      </c>
      <c r="C1676" t="n">
        <v/>
      </c>
      <c r="D1676" t="inlineStr">
        <is>
          <t>Media file</t>
        </is>
      </c>
      <c r="E1676" t="inlineStr">
        <is>
          <t>player #1:WT\training\c53f4.mp4</t>
        </is>
      </c>
      <c r="F1676" t="n">
        <v>-8.800000000000001</v>
      </c>
      <c r="G1676" t="n">
        <v>561.932</v>
      </c>
      <c r="H1676" t="n">
        <v>642.1660000000001</v>
      </c>
      <c r="I1676" t="n">
        <v>30</v>
      </c>
      <c r="J1676" t="inlineStr">
        <is>
          <t xml:space="preserve"> WT</t>
        </is>
      </c>
      <c r="K1676" t="inlineStr">
        <is>
          <t xml:space="preserve"> Female</t>
        </is>
      </c>
      <c r="L1676" t="inlineStr">
        <is>
          <t>No focal subject</t>
        </is>
      </c>
      <c r="M1676" t="n">
        <v>11.731</v>
      </c>
      <c r="N1676" t="inlineStr">
        <is>
          <t>Explore_F2</t>
        </is>
      </c>
      <c r="O1676" t="inlineStr">
        <is>
          <t>Second familiar</t>
        </is>
      </c>
      <c r="P1676" t="inlineStr">
        <is>
          <t>STATE</t>
        </is>
      </c>
      <c r="Q1676" t="n">
        <v>333.733</v>
      </c>
      <c r="R1676" t="n">
        <v>334.233</v>
      </c>
      <c r="S1676" t="n">
        <v>0.5</v>
      </c>
      <c r="T1676" t="inlineStr">
        <is>
          <t>WT\training\c53f4.mp4</t>
        </is>
      </c>
      <c r="U1676" t="n">
        <v>10012</v>
      </c>
      <c r="V1676" t="n">
        <v>10027</v>
      </c>
      <c r="W1676" t="n">
        <v/>
      </c>
      <c r="X1676" t="n">
        <v/>
      </c>
      <c r="Y1676" t="n">
        <v/>
      </c>
      <c r="Z1676" t="n">
        <v/>
      </c>
      <c r="AA1676">
        <f>SUMIFS($S$2:S1676,$A$2:A1676,A1676,$N$2:N1676,"Explore*")</f>
        <v/>
      </c>
      <c r="AB1676">
        <f>IF(AND(LEFT(N1676,7)="Explore",(AA1676-IF(LEFT(N1676,7)="Explore",S1676,0))&lt;10),"SI","NO")</f>
        <v/>
      </c>
    </row>
    <row r="1677">
      <c r="A1677" t="inlineStr">
        <is>
          <t>c53f4_training</t>
        </is>
      </c>
      <c r="B1677" t="inlineStr">
        <is>
          <t>2026-03-04 10:04:07.855</t>
        </is>
      </c>
      <c r="C1677" t="n">
        <v/>
      </c>
      <c r="D1677" t="inlineStr">
        <is>
          <t>Media file</t>
        </is>
      </c>
      <c r="E1677" t="inlineStr">
        <is>
          <t>player #1:WT\training\c53f4.mp4</t>
        </is>
      </c>
      <c r="F1677" t="n">
        <v>-8.800000000000001</v>
      </c>
      <c r="G1677" t="n">
        <v>561.932</v>
      </c>
      <c r="H1677" t="n">
        <v>642.1660000000001</v>
      </c>
      <c r="I1677" t="n">
        <v>30</v>
      </c>
      <c r="J1677" t="inlineStr">
        <is>
          <t xml:space="preserve"> WT</t>
        </is>
      </c>
      <c r="K1677" t="inlineStr">
        <is>
          <t xml:space="preserve"> Female</t>
        </is>
      </c>
      <c r="L1677" t="inlineStr">
        <is>
          <t>No focal subject</t>
        </is>
      </c>
      <c r="M1677" t="n">
        <v>11.731</v>
      </c>
      <c r="N1677" t="inlineStr">
        <is>
          <t>Explore_F</t>
        </is>
      </c>
      <c r="O1677" t="inlineStr">
        <is>
          <t>Familiar</t>
        </is>
      </c>
      <c r="P1677" t="inlineStr">
        <is>
          <t>STATE</t>
        </is>
      </c>
      <c r="Q1677" t="n">
        <v>344.2</v>
      </c>
      <c r="R1677" t="n">
        <v>344.933</v>
      </c>
      <c r="S1677" t="n">
        <v>0.733</v>
      </c>
      <c r="T1677" t="inlineStr">
        <is>
          <t>WT\training\c53f4.mp4</t>
        </is>
      </c>
      <c r="U1677" t="n">
        <v>10326</v>
      </c>
      <c r="V1677" t="n">
        <v>10348</v>
      </c>
      <c r="W1677" t="n">
        <v/>
      </c>
      <c r="X1677" t="n">
        <v/>
      </c>
      <c r="Y1677" t="n">
        <v/>
      </c>
      <c r="Z1677" t="n">
        <v/>
      </c>
      <c r="AA1677">
        <f>SUMIFS($S$2:S1677,$A$2:A1677,A1677,$N$2:N1677,"Explore*")</f>
        <v/>
      </c>
      <c r="AB1677">
        <f>IF(AND(LEFT(N1677,7)="Explore",(AA1677-IF(LEFT(N1677,7)="Explore",S1677,0))&lt;10),"SI","NO")</f>
        <v/>
      </c>
    </row>
    <row r="1678">
      <c r="A1678" t="inlineStr">
        <is>
          <t>c53f4_training</t>
        </is>
      </c>
      <c r="B1678" t="inlineStr">
        <is>
          <t>2026-03-04 10:04:07.855</t>
        </is>
      </c>
      <c r="C1678" t="n">
        <v/>
      </c>
      <c r="D1678" t="inlineStr">
        <is>
          <t>Media file</t>
        </is>
      </c>
      <c r="E1678" t="inlineStr">
        <is>
          <t>player #1:WT\training\c53f4.mp4</t>
        </is>
      </c>
      <c r="F1678" t="n">
        <v>-8.800000000000001</v>
      </c>
      <c r="G1678" t="n">
        <v>561.932</v>
      </c>
      <c r="H1678" t="n">
        <v>642.1660000000001</v>
      </c>
      <c r="I1678" t="n">
        <v>30</v>
      </c>
      <c r="J1678" t="inlineStr">
        <is>
          <t xml:space="preserve"> WT</t>
        </is>
      </c>
      <c r="K1678" t="inlineStr">
        <is>
          <t xml:space="preserve"> Female</t>
        </is>
      </c>
      <c r="L1678" t="inlineStr">
        <is>
          <t>No focal subject</t>
        </is>
      </c>
      <c r="M1678" t="n">
        <v>11.731</v>
      </c>
      <c r="N1678" t="inlineStr">
        <is>
          <t>Explore_F</t>
        </is>
      </c>
      <c r="O1678" t="inlineStr">
        <is>
          <t>Familiar</t>
        </is>
      </c>
      <c r="P1678" t="inlineStr">
        <is>
          <t>STATE</t>
        </is>
      </c>
      <c r="Q1678" t="n">
        <v>438.466</v>
      </c>
      <c r="R1678" t="n">
        <v>439.766</v>
      </c>
      <c r="S1678" t="n">
        <v>1.3</v>
      </c>
      <c r="T1678" t="inlineStr">
        <is>
          <t>WT\training\c53f4.mp4</t>
        </is>
      </c>
      <c r="U1678" t="n">
        <v>13154</v>
      </c>
      <c r="V1678" t="n">
        <v>13193</v>
      </c>
      <c r="W1678" t="n">
        <v/>
      </c>
      <c r="X1678" t="n">
        <v/>
      </c>
      <c r="Y1678" t="n">
        <v/>
      </c>
      <c r="Z1678" t="n">
        <v/>
      </c>
      <c r="AA1678">
        <f>SUMIFS($S$2:S1678,$A$2:A1678,A1678,$N$2:N1678,"Explore*")</f>
        <v/>
      </c>
      <c r="AB1678">
        <f>IF(AND(LEFT(N1678,7)="Explore",(AA1678-IF(LEFT(N1678,7)="Explore",S1678,0))&lt;10),"SI","NO")</f>
        <v/>
      </c>
    </row>
    <row r="1679">
      <c r="A1679" t="inlineStr">
        <is>
          <t>c53f4_training</t>
        </is>
      </c>
      <c r="B1679" t="inlineStr">
        <is>
          <t>2026-03-04 10:04:07.855</t>
        </is>
      </c>
      <c r="C1679" t="n">
        <v/>
      </c>
      <c r="D1679" t="inlineStr">
        <is>
          <t>Media file</t>
        </is>
      </c>
      <c r="E1679" t="inlineStr">
        <is>
          <t>player #1:WT\training\c53f4.mp4</t>
        </is>
      </c>
      <c r="F1679" t="n">
        <v>-8.800000000000001</v>
      </c>
      <c r="G1679" t="n">
        <v>561.932</v>
      </c>
      <c r="H1679" t="n">
        <v>642.1660000000001</v>
      </c>
      <c r="I1679" t="n">
        <v>30</v>
      </c>
      <c r="J1679" t="inlineStr">
        <is>
          <t xml:space="preserve"> WT</t>
        </is>
      </c>
      <c r="K1679" t="inlineStr">
        <is>
          <t xml:space="preserve"> Female</t>
        </is>
      </c>
      <c r="L1679" t="inlineStr">
        <is>
          <t>No focal subject</t>
        </is>
      </c>
      <c r="M1679" t="n">
        <v>11.731</v>
      </c>
      <c r="N1679" t="inlineStr">
        <is>
          <t>Explore_F</t>
        </is>
      </c>
      <c r="O1679" t="inlineStr">
        <is>
          <t>Familiar</t>
        </is>
      </c>
      <c r="P1679" t="inlineStr">
        <is>
          <t>STATE</t>
        </is>
      </c>
      <c r="Q1679" t="n">
        <v>444.1</v>
      </c>
      <c r="R1679" t="n">
        <v>444.466</v>
      </c>
      <c r="S1679" t="n">
        <v>0.366</v>
      </c>
      <c r="T1679" t="inlineStr">
        <is>
          <t>WT\training\c53f4.mp4</t>
        </is>
      </c>
      <c r="U1679" t="n">
        <v>13323</v>
      </c>
      <c r="V1679" t="n">
        <v>13334</v>
      </c>
      <c r="W1679" t="n">
        <v/>
      </c>
      <c r="X1679" t="n">
        <v/>
      </c>
      <c r="Y1679" t="n">
        <v/>
      </c>
      <c r="Z1679" t="n">
        <v/>
      </c>
      <c r="AA1679">
        <f>SUMIFS($S$2:S1679,$A$2:A1679,A1679,$N$2:N1679,"Explore*")</f>
        <v/>
      </c>
      <c r="AB1679">
        <f>IF(AND(LEFT(N1679,7)="Explore",(AA1679-IF(LEFT(N1679,7)="Explore",S1679,0))&lt;10),"SI","NO")</f>
        <v/>
      </c>
    </row>
    <row r="1680">
      <c r="A1680" t="inlineStr">
        <is>
          <t>c53f4_training</t>
        </is>
      </c>
      <c r="B1680" t="inlineStr">
        <is>
          <t>2026-03-04 10:04:07.855</t>
        </is>
      </c>
      <c r="C1680" t="n">
        <v/>
      </c>
      <c r="D1680" t="inlineStr">
        <is>
          <t>Media file</t>
        </is>
      </c>
      <c r="E1680" t="inlineStr">
        <is>
          <t>player #1:WT\training\c53f4.mp4</t>
        </is>
      </c>
      <c r="F1680" t="n">
        <v>-8.800000000000001</v>
      </c>
      <c r="G1680" t="n">
        <v>561.932</v>
      </c>
      <c r="H1680" t="n">
        <v>642.1660000000001</v>
      </c>
      <c r="I1680" t="n">
        <v>30</v>
      </c>
      <c r="J1680" t="inlineStr">
        <is>
          <t xml:space="preserve"> WT</t>
        </is>
      </c>
      <c r="K1680" t="inlineStr">
        <is>
          <t xml:space="preserve"> Female</t>
        </is>
      </c>
      <c r="L1680" t="inlineStr">
        <is>
          <t>No focal subject</t>
        </is>
      </c>
      <c r="M1680" t="n">
        <v>11.731</v>
      </c>
      <c r="N1680" t="inlineStr">
        <is>
          <t>Explore_F2</t>
        </is>
      </c>
      <c r="O1680" t="inlineStr">
        <is>
          <t>Second familiar</t>
        </is>
      </c>
      <c r="P1680" t="inlineStr">
        <is>
          <t>STATE</t>
        </is>
      </c>
      <c r="Q1680" t="n">
        <v>455.4</v>
      </c>
      <c r="R1680" t="n">
        <v>455.666</v>
      </c>
      <c r="S1680" t="n">
        <v>0.266</v>
      </c>
      <c r="T1680" t="inlineStr">
        <is>
          <t>WT\training\c53f4.mp4</t>
        </is>
      </c>
      <c r="U1680" t="n">
        <v>13662</v>
      </c>
      <c r="V1680" t="n">
        <v>13670</v>
      </c>
      <c r="W1680" t="n">
        <v/>
      </c>
      <c r="X1680" t="n">
        <v/>
      </c>
      <c r="Y1680" t="n">
        <v/>
      </c>
      <c r="Z1680" t="n">
        <v/>
      </c>
      <c r="AA1680">
        <f>SUMIFS($S$2:S1680,$A$2:A1680,A1680,$N$2:N1680,"Explore*")</f>
        <v/>
      </c>
      <c r="AB1680">
        <f>IF(AND(LEFT(N1680,7)="Explore",(AA1680-IF(LEFT(N1680,7)="Explore",S1680,0))&lt;10),"SI","NO")</f>
        <v/>
      </c>
    </row>
    <row r="1681">
      <c r="A1681" t="inlineStr">
        <is>
          <t>c53f4_training</t>
        </is>
      </c>
      <c r="B1681" t="inlineStr">
        <is>
          <t>2026-03-04 10:04:07.855</t>
        </is>
      </c>
      <c r="C1681" t="n">
        <v/>
      </c>
      <c r="D1681" t="inlineStr">
        <is>
          <t>Media file</t>
        </is>
      </c>
      <c r="E1681" t="inlineStr">
        <is>
          <t>player #1:WT\training\c53f4.mp4</t>
        </is>
      </c>
      <c r="F1681" t="n">
        <v>-8.800000000000001</v>
      </c>
      <c r="G1681" t="n">
        <v>561.932</v>
      </c>
      <c r="H1681" t="n">
        <v>642.1660000000001</v>
      </c>
      <c r="I1681" t="n">
        <v>30</v>
      </c>
      <c r="J1681" t="inlineStr">
        <is>
          <t xml:space="preserve"> WT</t>
        </is>
      </c>
      <c r="K1681" t="inlineStr">
        <is>
          <t xml:space="preserve"> Female</t>
        </is>
      </c>
      <c r="L1681" t="inlineStr">
        <is>
          <t>No focal subject</t>
        </is>
      </c>
      <c r="M1681" t="n">
        <v>11.731</v>
      </c>
      <c r="N1681" t="inlineStr">
        <is>
          <t>Explore_F</t>
        </is>
      </c>
      <c r="O1681" t="inlineStr">
        <is>
          <t>Familiar</t>
        </is>
      </c>
      <c r="P1681" t="inlineStr">
        <is>
          <t>STATE</t>
        </is>
      </c>
      <c r="Q1681" t="n">
        <v>461.3</v>
      </c>
      <c r="R1681" t="n">
        <v>461.633</v>
      </c>
      <c r="S1681" t="n">
        <v>0.333</v>
      </c>
      <c r="T1681" t="inlineStr">
        <is>
          <t>WT\training\c53f4.mp4</t>
        </is>
      </c>
      <c r="U1681" t="n">
        <v>13839</v>
      </c>
      <c r="V1681" t="n">
        <v>13849</v>
      </c>
      <c r="W1681" t="n">
        <v/>
      </c>
      <c r="X1681" t="n">
        <v/>
      </c>
      <c r="Y1681" t="n">
        <v/>
      </c>
      <c r="Z1681" t="n">
        <v/>
      </c>
      <c r="AA1681">
        <f>SUMIFS($S$2:S1681,$A$2:A1681,A1681,$N$2:N1681,"Explore*")</f>
        <v/>
      </c>
      <c r="AB1681">
        <f>IF(AND(LEFT(N1681,7)="Explore",(AA1681-IF(LEFT(N1681,7)="Explore",S1681,0))&lt;10),"SI","NO")</f>
        <v/>
      </c>
    </row>
    <row r="1682">
      <c r="A1682" t="inlineStr">
        <is>
          <t>c53f4_training</t>
        </is>
      </c>
      <c r="B1682" t="inlineStr">
        <is>
          <t>2026-03-04 10:04:07.855</t>
        </is>
      </c>
      <c r="C1682" t="n">
        <v/>
      </c>
      <c r="D1682" t="inlineStr">
        <is>
          <t>Media file</t>
        </is>
      </c>
      <c r="E1682" t="inlineStr">
        <is>
          <t>player #1:WT\training\c53f4.mp4</t>
        </is>
      </c>
      <c r="F1682" t="n">
        <v>-8.800000000000001</v>
      </c>
      <c r="G1682" t="n">
        <v>561.932</v>
      </c>
      <c r="H1682" t="n">
        <v>642.1660000000001</v>
      </c>
      <c r="I1682" t="n">
        <v>30</v>
      </c>
      <c r="J1682" t="inlineStr">
        <is>
          <t xml:space="preserve"> WT</t>
        </is>
      </c>
      <c r="K1682" t="inlineStr">
        <is>
          <t xml:space="preserve"> Female</t>
        </is>
      </c>
      <c r="L1682" t="inlineStr">
        <is>
          <t>No focal subject</t>
        </is>
      </c>
      <c r="M1682" t="n">
        <v>11.731</v>
      </c>
      <c r="N1682" t="inlineStr">
        <is>
          <t>Explore_F</t>
        </is>
      </c>
      <c r="O1682" t="inlineStr">
        <is>
          <t>Familiar</t>
        </is>
      </c>
      <c r="P1682" t="inlineStr">
        <is>
          <t>STATE</t>
        </is>
      </c>
      <c r="Q1682" t="n">
        <v>467.033</v>
      </c>
      <c r="R1682" t="n">
        <v>467.566</v>
      </c>
      <c r="S1682" t="n">
        <v>0.533</v>
      </c>
      <c r="T1682" t="inlineStr">
        <is>
          <t>WT\training\c53f4.mp4</t>
        </is>
      </c>
      <c r="U1682" t="n">
        <v>14012</v>
      </c>
      <c r="V1682" t="n">
        <v>14027</v>
      </c>
      <c r="W1682" t="n">
        <v/>
      </c>
      <c r="X1682" t="n">
        <v/>
      </c>
      <c r="Y1682" t="n">
        <v/>
      </c>
      <c r="Z1682" t="n">
        <v/>
      </c>
      <c r="AA1682">
        <f>SUMIFS($S$2:S1682,$A$2:A1682,A1682,$N$2:N1682,"Explore*")</f>
        <v/>
      </c>
      <c r="AB1682">
        <f>IF(AND(LEFT(N1682,7)="Explore",(AA1682-IF(LEFT(N1682,7)="Explore",S1682,0))&lt;10),"SI","NO")</f>
        <v/>
      </c>
    </row>
    <row r="1683">
      <c r="A1683" t="inlineStr">
        <is>
          <t>c53f4_training</t>
        </is>
      </c>
      <c r="B1683" t="inlineStr">
        <is>
          <t>2026-03-04 10:04:07.855</t>
        </is>
      </c>
      <c r="C1683" t="n">
        <v/>
      </c>
      <c r="D1683" t="inlineStr">
        <is>
          <t>Media file</t>
        </is>
      </c>
      <c r="E1683" t="inlineStr">
        <is>
          <t>player #1:WT\training\c53f4.mp4</t>
        </is>
      </c>
      <c r="F1683" t="n">
        <v>-8.800000000000001</v>
      </c>
      <c r="G1683" t="n">
        <v>561.932</v>
      </c>
      <c r="H1683" t="n">
        <v>642.1660000000001</v>
      </c>
      <c r="I1683" t="n">
        <v>30</v>
      </c>
      <c r="J1683" t="inlineStr">
        <is>
          <t xml:space="preserve"> WT</t>
        </is>
      </c>
      <c r="K1683" t="inlineStr">
        <is>
          <t xml:space="preserve"> Female</t>
        </is>
      </c>
      <c r="L1683" t="inlineStr">
        <is>
          <t>No focal subject</t>
        </is>
      </c>
      <c r="M1683" t="n">
        <v>11.731</v>
      </c>
      <c r="N1683" t="inlineStr">
        <is>
          <t>Explore_F2</t>
        </is>
      </c>
      <c r="O1683" t="inlineStr">
        <is>
          <t>Second familiar</t>
        </is>
      </c>
      <c r="P1683" t="inlineStr">
        <is>
          <t>STATE</t>
        </is>
      </c>
      <c r="Q1683" t="n">
        <v>488.166</v>
      </c>
      <c r="R1683" t="n">
        <v>488.699</v>
      </c>
      <c r="S1683" t="n">
        <v>0.533</v>
      </c>
      <c r="T1683" t="inlineStr">
        <is>
          <t>WT\training\c53f4.mp4</t>
        </is>
      </c>
      <c r="U1683" t="n">
        <v>14645</v>
      </c>
      <c r="V1683" t="n">
        <v>14661</v>
      </c>
      <c r="W1683" t="n">
        <v/>
      </c>
      <c r="X1683" t="n">
        <v/>
      </c>
      <c r="Y1683" t="n">
        <v/>
      </c>
      <c r="Z1683" t="n">
        <v/>
      </c>
      <c r="AA1683">
        <f>SUMIFS($S$2:S1683,$A$2:A1683,A1683,$N$2:N1683,"Explore*")</f>
        <v/>
      </c>
      <c r="AB1683">
        <f>IF(AND(LEFT(N1683,7)="Explore",(AA1683-IF(LEFT(N1683,7)="Explore",S1683,0))&lt;10),"SI","NO")</f>
        <v/>
      </c>
    </row>
    <row r="1684">
      <c r="A1684" t="inlineStr">
        <is>
          <t>c53f4_training</t>
        </is>
      </c>
      <c r="B1684" t="inlineStr">
        <is>
          <t>2026-03-04 10:04:07.855</t>
        </is>
      </c>
      <c r="C1684" t="n">
        <v/>
      </c>
      <c r="D1684" t="inlineStr">
        <is>
          <t>Media file</t>
        </is>
      </c>
      <c r="E1684" t="inlineStr">
        <is>
          <t>player #1:WT\training\c53f4.mp4</t>
        </is>
      </c>
      <c r="F1684" t="n">
        <v>-8.800000000000001</v>
      </c>
      <c r="G1684" t="n">
        <v>561.932</v>
      </c>
      <c r="H1684" t="n">
        <v>642.1660000000001</v>
      </c>
      <c r="I1684" t="n">
        <v>30</v>
      </c>
      <c r="J1684" t="inlineStr">
        <is>
          <t xml:space="preserve"> WT</t>
        </is>
      </c>
      <c r="K1684" t="inlineStr">
        <is>
          <t xml:space="preserve"> Female</t>
        </is>
      </c>
      <c r="L1684" t="inlineStr">
        <is>
          <t>No focal subject</t>
        </is>
      </c>
      <c r="M1684" t="n">
        <v>11.731</v>
      </c>
      <c r="N1684" t="inlineStr">
        <is>
          <t>Explore_F</t>
        </is>
      </c>
      <c r="O1684" t="inlineStr">
        <is>
          <t>Familiar</t>
        </is>
      </c>
      <c r="P1684" t="inlineStr">
        <is>
          <t>STATE</t>
        </is>
      </c>
      <c r="Q1684" t="n">
        <v>495.266</v>
      </c>
      <c r="R1684" t="n">
        <v>495.799</v>
      </c>
      <c r="S1684" t="n">
        <v>0.533</v>
      </c>
      <c r="T1684" t="inlineStr">
        <is>
          <t>WT\training\c53f4.mp4</t>
        </is>
      </c>
      <c r="U1684" t="n">
        <v>14858</v>
      </c>
      <c r="V1684" t="n">
        <v>14874</v>
      </c>
      <c r="W1684" t="n">
        <v/>
      </c>
      <c r="X1684" t="n">
        <v/>
      </c>
      <c r="Y1684" t="n">
        <v/>
      </c>
      <c r="Z1684" t="n">
        <v/>
      </c>
      <c r="AA1684">
        <f>SUMIFS($S$2:S1684,$A$2:A1684,A1684,$N$2:N1684,"Explore*")</f>
        <v/>
      </c>
      <c r="AB1684">
        <f>IF(AND(LEFT(N1684,7)="Explore",(AA1684-IF(LEFT(N1684,7)="Explore",S1684,0))&lt;10),"SI","NO")</f>
        <v/>
      </c>
    </row>
    <row r="1685">
      <c r="A1685" t="inlineStr">
        <is>
          <t>c53f4_training</t>
        </is>
      </c>
      <c r="B1685" t="inlineStr">
        <is>
          <t>2026-03-04 10:04:07.855</t>
        </is>
      </c>
      <c r="C1685" t="n">
        <v/>
      </c>
      <c r="D1685" t="inlineStr">
        <is>
          <t>Media file</t>
        </is>
      </c>
      <c r="E1685" t="inlineStr">
        <is>
          <t>player #1:WT\training\c53f4.mp4</t>
        </is>
      </c>
      <c r="F1685" t="n">
        <v>-8.800000000000001</v>
      </c>
      <c r="G1685" t="n">
        <v>561.932</v>
      </c>
      <c r="H1685" t="n">
        <v>642.1660000000001</v>
      </c>
      <c r="I1685" t="n">
        <v>30</v>
      </c>
      <c r="J1685" t="inlineStr">
        <is>
          <t xml:space="preserve"> WT</t>
        </is>
      </c>
      <c r="K1685" t="inlineStr">
        <is>
          <t xml:space="preserve"> Female</t>
        </is>
      </c>
      <c r="L1685" t="inlineStr">
        <is>
          <t>No focal subject</t>
        </is>
      </c>
      <c r="M1685" t="n">
        <v>11.731</v>
      </c>
      <c r="N1685" t="inlineStr">
        <is>
          <t>Explore_F</t>
        </is>
      </c>
      <c r="O1685" t="inlineStr">
        <is>
          <t>Familiar</t>
        </is>
      </c>
      <c r="P1685" t="inlineStr">
        <is>
          <t>STATE</t>
        </is>
      </c>
      <c r="Q1685" t="n">
        <v>501.866</v>
      </c>
      <c r="R1685" t="n">
        <v>502.266</v>
      </c>
      <c r="S1685" t="n">
        <v>0.4</v>
      </c>
      <c r="T1685" t="inlineStr">
        <is>
          <t>WT\training\c53f4.mp4</t>
        </is>
      </c>
      <c r="U1685" t="n">
        <v>15056</v>
      </c>
      <c r="V1685" t="n">
        <v>15068</v>
      </c>
      <c r="W1685" t="n">
        <v/>
      </c>
      <c r="X1685" t="n">
        <v/>
      </c>
      <c r="Y1685" t="n">
        <v/>
      </c>
      <c r="Z1685" t="n">
        <v/>
      </c>
      <c r="AA1685">
        <f>SUMIFS($S$2:S1685,$A$2:A1685,A1685,$N$2:N1685,"Explore*")</f>
        <v/>
      </c>
      <c r="AB1685">
        <f>IF(AND(LEFT(N1685,7)="Explore",(AA1685-IF(LEFT(N1685,7)="Explore",S1685,0))&lt;10),"SI","NO")</f>
        <v/>
      </c>
    </row>
    <row r="1686">
      <c r="A1686" t="inlineStr">
        <is>
          <t>c53f4_training</t>
        </is>
      </c>
      <c r="B1686" t="inlineStr">
        <is>
          <t>2026-03-04 10:04:07.855</t>
        </is>
      </c>
      <c r="C1686" t="n">
        <v/>
      </c>
      <c r="D1686" t="inlineStr">
        <is>
          <t>Media file</t>
        </is>
      </c>
      <c r="E1686" t="inlineStr">
        <is>
          <t>player #1:WT\training\c53f4.mp4</t>
        </is>
      </c>
      <c r="F1686" t="n">
        <v>-8.800000000000001</v>
      </c>
      <c r="G1686" t="n">
        <v>561.932</v>
      </c>
      <c r="H1686" t="n">
        <v>642.1660000000001</v>
      </c>
      <c r="I1686" t="n">
        <v>30</v>
      </c>
      <c r="J1686" t="inlineStr">
        <is>
          <t xml:space="preserve"> WT</t>
        </is>
      </c>
      <c r="K1686" t="inlineStr">
        <is>
          <t xml:space="preserve"> Female</t>
        </is>
      </c>
      <c r="L1686" t="inlineStr">
        <is>
          <t>No focal subject</t>
        </is>
      </c>
      <c r="M1686" t="n">
        <v>11.731</v>
      </c>
      <c r="N1686" t="inlineStr">
        <is>
          <t>Explore_F</t>
        </is>
      </c>
      <c r="O1686" t="inlineStr">
        <is>
          <t>Familiar</t>
        </is>
      </c>
      <c r="P1686" t="inlineStr">
        <is>
          <t>STATE</t>
        </is>
      </c>
      <c r="Q1686" t="n">
        <v>502.566</v>
      </c>
      <c r="R1686" t="n">
        <v>502.899</v>
      </c>
      <c r="S1686" t="n">
        <v>0.333</v>
      </c>
      <c r="T1686" t="inlineStr">
        <is>
          <t>WT\training\c53f4.mp4</t>
        </is>
      </c>
      <c r="U1686" t="n">
        <v>15077</v>
      </c>
      <c r="V1686" t="n">
        <v>15087</v>
      </c>
      <c r="W1686" t="n">
        <v/>
      </c>
      <c r="X1686" t="n">
        <v/>
      </c>
      <c r="Y1686" t="n">
        <v/>
      </c>
      <c r="Z1686" t="n">
        <v/>
      </c>
      <c r="AA1686">
        <f>SUMIFS($S$2:S1686,$A$2:A1686,A1686,$N$2:N1686,"Explore*")</f>
        <v/>
      </c>
      <c r="AB1686">
        <f>IF(AND(LEFT(N1686,7)="Explore",(AA1686-IF(LEFT(N1686,7)="Explore",S1686,0))&lt;10),"SI","NO")</f>
        <v/>
      </c>
    </row>
    <row r="1687">
      <c r="A1687" t="inlineStr">
        <is>
          <t>c53f4_training</t>
        </is>
      </c>
      <c r="B1687" t="inlineStr">
        <is>
          <t>2026-03-04 10:04:07.855</t>
        </is>
      </c>
      <c r="C1687" t="n">
        <v/>
      </c>
      <c r="D1687" t="inlineStr">
        <is>
          <t>Media file</t>
        </is>
      </c>
      <c r="E1687" t="inlineStr">
        <is>
          <t>player #1:WT\training\c53f4.mp4</t>
        </is>
      </c>
      <c r="F1687" t="n">
        <v>-8.800000000000001</v>
      </c>
      <c r="G1687" t="n">
        <v>561.932</v>
      </c>
      <c r="H1687" t="n">
        <v>642.1660000000001</v>
      </c>
      <c r="I1687" t="n">
        <v>30</v>
      </c>
      <c r="J1687" t="inlineStr">
        <is>
          <t xml:space="preserve"> WT</t>
        </is>
      </c>
      <c r="K1687" t="inlineStr">
        <is>
          <t xml:space="preserve"> Female</t>
        </is>
      </c>
      <c r="L1687" t="inlineStr">
        <is>
          <t>No focal subject</t>
        </is>
      </c>
      <c r="M1687" t="n">
        <v>11.731</v>
      </c>
      <c r="N1687" t="inlineStr">
        <is>
          <t>Explore_F</t>
        </is>
      </c>
      <c r="O1687" t="inlineStr">
        <is>
          <t>Familiar</t>
        </is>
      </c>
      <c r="P1687" t="inlineStr">
        <is>
          <t>STATE</t>
        </is>
      </c>
      <c r="Q1687" t="n">
        <v>507.799</v>
      </c>
      <c r="R1687" t="n">
        <v>508.233</v>
      </c>
      <c r="S1687" t="n">
        <v>0.434</v>
      </c>
      <c r="T1687" t="inlineStr">
        <is>
          <t>WT\training\c53f4.mp4</t>
        </is>
      </c>
      <c r="U1687" t="n">
        <v>15234</v>
      </c>
      <c r="V1687" t="n">
        <v>15247</v>
      </c>
      <c r="W1687" t="n">
        <v/>
      </c>
      <c r="X1687" t="n">
        <v/>
      </c>
      <c r="Y1687" t="n">
        <v/>
      </c>
      <c r="Z1687" t="n">
        <v/>
      </c>
      <c r="AA1687">
        <f>SUMIFS($S$2:S1687,$A$2:A1687,A1687,$N$2:N1687,"Explore*")</f>
        <v/>
      </c>
      <c r="AB1687">
        <f>IF(AND(LEFT(N1687,7)="Explore",(AA1687-IF(LEFT(N1687,7)="Explore",S1687,0))&lt;10),"SI","NO")</f>
        <v/>
      </c>
    </row>
    <row r="1688">
      <c r="A1688" t="inlineStr">
        <is>
          <t>c53f4_training</t>
        </is>
      </c>
      <c r="B1688" t="inlineStr">
        <is>
          <t>2026-03-04 10:04:07.855</t>
        </is>
      </c>
      <c r="C1688" t="n">
        <v/>
      </c>
      <c r="D1688" t="inlineStr">
        <is>
          <t>Media file</t>
        </is>
      </c>
      <c r="E1688" t="inlineStr">
        <is>
          <t>player #1:WT\training\c53f4.mp4</t>
        </is>
      </c>
      <c r="F1688" t="n">
        <v>-8.800000000000001</v>
      </c>
      <c r="G1688" t="n">
        <v>561.932</v>
      </c>
      <c r="H1688" t="n">
        <v>642.1660000000001</v>
      </c>
      <c r="I1688" t="n">
        <v>30</v>
      </c>
      <c r="J1688" t="inlineStr">
        <is>
          <t xml:space="preserve"> WT</t>
        </is>
      </c>
      <c r="K1688" t="inlineStr">
        <is>
          <t xml:space="preserve"> Female</t>
        </is>
      </c>
      <c r="L1688" t="inlineStr">
        <is>
          <t>No focal subject</t>
        </is>
      </c>
      <c r="M1688" t="n">
        <v>11.731</v>
      </c>
      <c r="N1688" t="inlineStr">
        <is>
          <t>Explore_F2</t>
        </is>
      </c>
      <c r="O1688" t="inlineStr">
        <is>
          <t>Second familiar</t>
        </is>
      </c>
      <c r="P1688" t="inlineStr">
        <is>
          <t>STATE</t>
        </is>
      </c>
      <c r="Q1688" t="n">
        <v>535.966</v>
      </c>
      <c r="R1688" t="n">
        <v>536.433</v>
      </c>
      <c r="S1688" t="n">
        <v>0.467</v>
      </c>
      <c r="T1688" t="inlineStr">
        <is>
          <t>WT\training\c53f4.mp4</t>
        </is>
      </c>
      <c r="U1688" t="n">
        <v>16079</v>
      </c>
      <c r="V1688" t="n">
        <v>16093</v>
      </c>
      <c r="W1688" t="n">
        <v/>
      </c>
      <c r="X1688" t="n">
        <v/>
      </c>
      <c r="Y1688" t="n">
        <v/>
      </c>
      <c r="Z1688" t="n">
        <v/>
      </c>
      <c r="AA1688">
        <f>SUMIFS($S$2:S1688,$A$2:A1688,A1688,$N$2:N1688,"Explore*")</f>
        <v/>
      </c>
      <c r="AB1688">
        <f>IF(AND(LEFT(N1688,7)="Explore",(AA1688-IF(LEFT(N1688,7)="Explore",S1688,0))&lt;10),"SI","NO")</f>
        <v/>
      </c>
    </row>
    <row r="1689">
      <c r="A1689" t="inlineStr">
        <is>
          <t>c53f4_training</t>
        </is>
      </c>
      <c r="B1689" t="inlineStr">
        <is>
          <t>2026-03-04 10:04:07.855</t>
        </is>
      </c>
      <c r="C1689" t="n">
        <v/>
      </c>
      <c r="D1689" t="inlineStr">
        <is>
          <t>Media file</t>
        </is>
      </c>
      <c r="E1689" t="inlineStr">
        <is>
          <t>player #1:WT\training\c53f4.mp4</t>
        </is>
      </c>
      <c r="F1689" t="n">
        <v>-8.800000000000001</v>
      </c>
      <c r="G1689" t="n">
        <v>561.932</v>
      </c>
      <c r="H1689" t="n">
        <v>642.1660000000001</v>
      </c>
      <c r="I1689" t="n">
        <v>30</v>
      </c>
      <c r="J1689" t="inlineStr">
        <is>
          <t xml:space="preserve"> WT</t>
        </is>
      </c>
      <c r="K1689" t="inlineStr">
        <is>
          <t xml:space="preserve"> Female</t>
        </is>
      </c>
      <c r="L1689" t="inlineStr">
        <is>
          <t>No focal subject</t>
        </is>
      </c>
      <c r="M1689" t="n">
        <v>11.731</v>
      </c>
      <c r="N1689" t="inlineStr">
        <is>
          <t>Explore_F</t>
        </is>
      </c>
      <c r="O1689" t="inlineStr">
        <is>
          <t>Familiar</t>
        </is>
      </c>
      <c r="P1689" t="inlineStr">
        <is>
          <t>STATE</t>
        </is>
      </c>
      <c r="Q1689" t="n">
        <v>555.1660000000001</v>
      </c>
      <c r="R1689" t="n">
        <v>555.6660000000001</v>
      </c>
      <c r="S1689" t="n">
        <v>0.5</v>
      </c>
      <c r="T1689" t="inlineStr">
        <is>
          <t>WT\training\c53f4.mp4</t>
        </is>
      </c>
      <c r="U1689" t="n">
        <v>16655</v>
      </c>
      <c r="V1689" t="n">
        <v>16670</v>
      </c>
      <c r="W1689" t="n">
        <v/>
      </c>
      <c r="X1689" t="n">
        <v/>
      </c>
      <c r="Y1689" t="n">
        <v/>
      </c>
      <c r="Z1689" t="n">
        <v/>
      </c>
      <c r="AA1689">
        <f>SUMIFS($S$2:S1689,$A$2:A1689,A1689,$N$2:N1689,"Explore*")</f>
        <v/>
      </c>
      <c r="AB1689">
        <f>IF(AND(LEFT(N1689,7)="Explore",(AA1689-IF(LEFT(N1689,7)="Explore",S1689,0))&lt;10),"SI","NO")</f>
        <v/>
      </c>
    </row>
    <row r="1690">
      <c r="A1690" t="inlineStr">
        <is>
          <t>c53f4_training</t>
        </is>
      </c>
      <c r="B1690" t="inlineStr">
        <is>
          <t>2026-03-04 10:04:07.855</t>
        </is>
      </c>
      <c r="C1690" t="n">
        <v/>
      </c>
      <c r="D1690" t="inlineStr">
        <is>
          <t>Media file</t>
        </is>
      </c>
      <c r="E1690" t="inlineStr">
        <is>
          <t>player #1:WT\training\c53f4.mp4</t>
        </is>
      </c>
      <c r="F1690" t="n">
        <v>-8.800000000000001</v>
      </c>
      <c r="G1690" t="n">
        <v>561.932</v>
      </c>
      <c r="H1690" t="n">
        <v>642.1660000000001</v>
      </c>
      <c r="I1690" t="n">
        <v>30</v>
      </c>
      <c r="J1690" t="inlineStr">
        <is>
          <t xml:space="preserve"> WT</t>
        </is>
      </c>
      <c r="K1690" t="inlineStr">
        <is>
          <t xml:space="preserve"> Female</t>
        </is>
      </c>
      <c r="L1690" t="inlineStr">
        <is>
          <t>No focal subject</t>
        </is>
      </c>
      <c r="M1690" t="n">
        <v>11.731</v>
      </c>
      <c r="N1690" t="inlineStr">
        <is>
          <t>Explore_F2</t>
        </is>
      </c>
      <c r="O1690" t="inlineStr">
        <is>
          <t>Second familiar</t>
        </is>
      </c>
      <c r="P1690" t="inlineStr">
        <is>
          <t>STATE</t>
        </is>
      </c>
      <c r="Q1690" t="n">
        <v>569.099</v>
      </c>
      <c r="R1690" t="n">
        <v>569.399</v>
      </c>
      <c r="S1690" t="n">
        <v>0.3</v>
      </c>
      <c r="T1690" t="inlineStr">
        <is>
          <t>WT\training\c53f4.mp4</t>
        </is>
      </c>
      <c r="U1690" t="n">
        <v>17073</v>
      </c>
      <c r="V1690" t="n">
        <v>17082</v>
      </c>
      <c r="W1690" t="n">
        <v/>
      </c>
      <c r="X1690" t="n">
        <v/>
      </c>
      <c r="Y1690" t="n">
        <v/>
      </c>
      <c r="Z1690" t="n">
        <v/>
      </c>
      <c r="AA1690">
        <f>SUMIFS($S$2:S1690,$A$2:A1690,A1690,$N$2:N1690,"Explore*")</f>
        <v/>
      </c>
      <c r="AB1690">
        <f>IF(AND(LEFT(N1690,7)="Explore",(AA1690-IF(LEFT(N1690,7)="Explore",S1690,0))&lt;10),"SI","NO")</f>
        <v/>
      </c>
    </row>
    <row r="1691">
      <c r="A1691" t="inlineStr">
        <is>
          <t>c58m1_training</t>
        </is>
      </c>
      <c r="B1691" t="inlineStr">
        <is>
          <t>2026-07-01 10:43:44.094</t>
        </is>
      </c>
      <c r="C1691" t="n">
        <v/>
      </c>
      <c r="D1691" t="inlineStr">
        <is>
          <t>Media file</t>
        </is>
      </c>
      <c r="E1691" t="inlineStr">
        <is>
          <t>player #1:C:/Users/manuel.felline/Documents/BEHAVIOR BTBR/NOR second cohort/WT/training/c58_m1.mp4</t>
        </is>
      </c>
      <c r="F1691" t="n">
        <v>-10.1</v>
      </c>
      <c r="G1691" t="n">
        <v>423.199</v>
      </c>
      <c r="H1691" t="n">
        <v>633.566</v>
      </c>
      <c r="I1691" t="n">
        <v>30</v>
      </c>
      <c r="J1691" t="inlineStr">
        <is>
          <t xml:space="preserve"> WT</t>
        </is>
      </c>
      <c r="K1691" t="inlineStr">
        <is>
          <t>Male</t>
        </is>
      </c>
      <c r="L1691" t="inlineStr">
        <is>
          <t>No focal subject</t>
        </is>
      </c>
      <c r="M1691" t="n">
        <v>20.566</v>
      </c>
      <c r="N1691" t="inlineStr">
        <is>
          <t>Explore_F2</t>
        </is>
      </c>
      <c r="O1691" t="inlineStr">
        <is>
          <t>Second familiar</t>
        </is>
      </c>
      <c r="P1691" t="inlineStr">
        <is>
          <t>STATE</t>
        </is>
      </c>
      <c r="Q1691" t="n">
        <v>166.5</v>
      </c>
      <c r="R1691" t="n">
        <v>167</v>
      </c>
      <c r="S1691" t="n">
        <v>0.5</v>
      </c>
      <c r="T1691" t="inlineStr">
        <is>
          <t>C:/Users/manuel.felline/Documents/BEHAVIOR BTBR/NOR second cohort/WT/training/c58_m1.mp4</t>
        </is>
      </c>
      <c r="U1691" t="n">
        <v>5298</v>
      </c>
      <c r="V1691" t="n">
        <v>5313</v>
      </c>
      <c r="W1691" t="n">
        <v/>
      </c>
      <c r="X1691" t="n">
        <v/>
      </c>
      <c r="Y1691" t="n">
        <v/>
      </c>
      <c r="Z1691" t="n">
        <v/>
      </c>
      <c r="AA1691">
        <f>SUMIFS($S$2:S1691,$A$2:A1691,A1691,$N$2:N1691,"Explore*")</f>
        <v/>
      </c>
      <c r="AB1691">
        <f>IF(AND(LEFT(N1691,7)="Explore",(AA1691-IF(LEFT(N1691,7)="Explore",S1691,0))&lt;10),"SI","NO")</f>
        <v/>
      </c>
    </row>
    <row r="1692">
      <c r="A1692" t="inlineStr">
        <is>
          <t>c58m1_training</t>
        </is>
      </c>
      <c r="B1692" t="inlineStr">
        <is>
          <t>2026-07-01 10:43:44.094</t>
        </is>
      </c>
      <c r="C1692" t="n">
        <v/>
      </c>
      <c r="D1692" t="inlineStr">
        <is>
          <t>Media file</t>
        </is>
      </c>
      <c r="E1692" t="inlineStr">
        <is>
          <t>player #1:C:/Users/manuel.felline/Documents/BEHAVIOR BTBR/NOR second cohort/WT/training/c58_m1.mp4</t>
        </is>
      </c>
      <c r="F1692" t="n">
        <v>-10.1</v>
      </c>
      <c r="G1692" t="n">
        <v>423.199</v>
      </c>
      <c r="H1692" t="n">
        <v>633.566</v>
      </c>
      <c r="I1692" t="n">
        <v>30</v>
      </c>
      <c r="J1692" t="inlineStr">
        <is>
          <t xml:space="preserve"> WT</t>
        </is>
      </c>
      <c r="K1692" t="inlineStr">
        <is>
          <t>Male</t>
        </is>
      </c>
      <c r="L1692" t="inlineStr">
        <is>
          <t>No focal subject</t>
        </is>
      </c>
      <c r="M1692" t="n">
        <v>20.566</v>
      </c>
      <c r="N1692" t="inlineStr">
        <is>
          <t>Explore_F2</t>
        </is>
      </c>
      <c r="O1692" t="inlineStr">
        <is>
          <t>Second familiar</t>
        </is>
      </c>
      <c r="P1692" t="inlineStr">
        <is>
          <t>STATE</t>
        </is>
      </c>
      <c r="Q1692" t="n">
        <v>232.133</v>
      </c>
      <c r="R1692" t="n">
        <v>232.466</v>
      </c>
      <c r="S1692" t="n">
        <v>0.333</v>
      </c>
      <c r="T1692" t="inlineStr">
        <is>
          <t>C:/Users/manuel.felline/Documents/BEHAVIOR BTBR/NOR second cohort/WT/training/c58_m1.mp4</t>
        </is>
      </c>
      <c r="U1692" t="n">
        <v>7267</v>
      </c>
      <c r="V1692" t="n">
        <v>7277</v>
      </c>
      <c r="W1692" t="n">
        <v/>
      </c>
      <c r="X1692" t="n">
        <v/>
      </c>
      <c r="Y1692" t="n">
        <v/>
      </c>
      <c r="Z1692" t="n">
        <v/>
      </c>
      <c r="AA1692">
        <f>SUMIFS($S$2:S1692,$A$2:A1692,A1692,$N$2:N1692,"Explore*")</f>
        <v/>
      </c>
      <c r="AB1692">
        <f>IF(AND(LEFT(N1692,7)="Explore",(AA1692-IF(LEFT(N1692,7)="Explore",S1692,0))&lt;10),"SI","NO")</f>
        <v/>
      </c>
    </row>
    <row r="1693">
      <c r="A1693" t="inlineStr">
        <is>
          <t>c58m1_training</t>
        </is>
      </c>
      <c r="B1693" t="inlineStr">
        <is>
          <t>2026-07-01 10:43:44.094</t>
        </is>
      </c>
      <c r="C1693" t="n">
        <v/>
      </c>
      <c r="D1693" t="inlineStr">
        <is>
          <t>Media file</t>
        </is>
      </c>
      <c r="E1693" t="inlineStr">
        <is>
          <t>player #1:C:/Users/manuel.felline/Documents/BEHAVIOR BTBR/NOR second cohort/WT/training/c58_m1.mp4</t>
        </is>
      </c>
      <c r="F1693" t="n">
        <v>-10.1</v>
      </c>
      <c r="G1693" t="n">
        <v>423.199</v>
      </c>
      <c r="H1693" t="n">
        <v>633.566</v>
      </c>
      <c r="I1693" t="n">
        <v>30</v>
      </c>
      <c r="J1693" t="inlineStr">
        <is>
          <t xml:space="preserve"> WT</t>
        </is>
      </c>
      <c r="K1693" t="inlineStr">
        <is>
          <t>Male</t>
        </is>
      </c>
      <c r="L1693" t="inlineStr">
        <is>
          <t>No focal subject</t>
        </is>
      </c>
      <c r="M1693" t="n">
        <v>20.566</v>
      </c>
      <c r="N1693" t="inlineStr">
        <is>
          <t>Explore_F</t>
        </is>
      </c>
      <c r="O1693" t="inlineStr">
        <is>
          <t>Familiar</t>
        </is>
      </c>
      <c r="P1693" t="inlineStr">
        <is>
          <t>STATE</t>
        </is>
      </c>
      <c r="Q1693" t="n">
        <v>246.366</v>
      </c>
      <c r="R1693" t="n">
        <v>247.3</v>
      </c>
      <c r="S1693" t="n">
        <v>0.9340000000000001</v>
      </c>
      <c r="T1693" t="inlineStr">
        <is>
          <t>C:/Users/manuel.felline/Documents/BEHAVIOR BTBR/NOR second cohort/WT/training/c58_m1.mp4</t>
        </is>
      </c>
      <c r="U1693" t="n">
        <v>7694</v>
      </c>
      <c r="V1693" t="n">
        <v>7722</v>
      </c>
      <c r="W1693" t="n">
        <v/>
      </c>
      <c r="X1693" t="n">
        <v/>
      </c>
      <c r="Y1693" t="n">
        <v/>
      </c>
      <c r="Z1693" t="n">
        <v/>
      </c>
      <c r="AA1693">
        <f>SUMIFS($S$2:S1693,$A$2:A1693,A1693,$N$2:N1693,"Explore*")</f>
        <v/>
      </c>
      <c r="AB1693">
        <f>IF(AND(LEFT(N1693,7)="Explore",(AA1693-IF(LEFT(N1693,7)="Explore",S1693,0))&lt;10),"SI","NO")</f>
        <v/>
      </c>
    </row>
    <row r="1694">
      <c r="A1694" t="inlineStr">
        <is>
          <t>c58m1_training</t>
        </is>
      </c>
      <c r="B1694" t="inlineStr">
        <is>
          <t>2026-07-01 10:43:44.094</t>
        </is>
      </c>
      <c r="C1694" t="n">
        <v/>
      </c>
      <c r="D1694" t="inlineStr">
        <is>
          <t>Media file</t>
        </is>
      </c>
      <c r="E1694" t="inlineStr">
        <is>
          <t>player #1:C:/Users/manuel.felline/Documents/BEHAVIOR BTBR/NOR second cohort/WT/training/c58_m1.mp4</t>
        </is>
      </c>
      <c r="F1694" t="n">
        <v>-10.1</v>
      </c>
      <c r="G1694" t="n">
        <v>423.199</v>
      </c>
      <c r="H1694" t="n">
        <v>633.566</v>
      </c>
      <c r="I1694" t="n">
        <v>30</v>
      </c>
      <c r="J1694" t="inlineStr">
        <is>
          <t xml:space="preserve"> WT</t>
        </is>
      </c>
      <c r="K1694" t="inlineStr">
        <is>
          <t>Male</t>
        </is>
      </c>
      <c r="L1694" t="inlineStr">
        <is>
          <t>No focal subject</t>
        </is>
      </c>
      <c r="M1694" t="n">
        <v>20.566</v>
      </c>
      <c r="N1694" t="inlineStr">
        <is>
          <t>Explore_F</t>
        </is>
      </c>
      <c r="O1694" t="inlineStr">
        <is>
          <t>Familiar</t>
        </is>
      </c>
      <c r="P1694" t="inlineStr">
        <is>
          <t>STATE</t>
        </is>
      </c>
      <c r="Q1694" t="n">
        <v>255.766</v>
      </c>
      <c r="R1694" t="n">
        <v>256.7</v>
      </c>
      <c r="S1694" t="n">
        <v>0.9340000000000001</v>
      </c>
      <c r="T1694" t="inlineStr">
        <is>
          <t>C:/Users/manuel.felline/Documents/BEHAVIOR BTBR/NOR second cohort/WT/training/c58_m1.mp4</t>
        </is>
      </c>
      <c r="U1694" t="n">
        <v>7976</v>
      </c>
      <c r="V1694" t="n">
        <v>8004</v>
      </c>
      <c r="W1694" t="n">
        <v/>
      </c>
      <c r="X1694" t="n">
        <v/>
      </c>
      <c r="Y1694" t="n">
        <v/>
      </c>
      <c r="Z1694" t="n">
        <v/>
      </c>
      <c r="AA1694">
        <f>SUMIFS($S$2:S1694,$A$2:A1694,A1694,$N$2:N1694,"Explore*")</f>
        <v/>
      </c>
      <c r="AB1694">
        <f>IF(AND(LEFT(N1694,7)="Explore",(AA1694-IF(LEFT(N1694,7)="Explore",S1694,0))&lt;10),"SI","NO")</f>
        <v/>
      </c>
    </row>
    <row r="1695">
      <c r="A1695" t="inlineStr">
        <is>
          <t>c58m1_training</t>
        </is>
      </c>
      <c r="B1695" t="inlineStr">
        <is>
          <t>2026-07-01 10:43:44.094</t>
        </is>
      </c>
      <c r="C1695" t="n">
        <v/>
      </c>
      <c r="D1695" t="inlineStr">
        <is>
          <t>Media file</t>
        </is>
      </c>
      <c r="E1695" t="inlineStr">
        <is>
          <t>player #1:C:/Users/manuel.felline/Documents/BEHAVIOR BTBR/NOR second cohort/WT/training/c58_m1.mp4</t>
        </is>
      </c>
      <c r="F1695" t="n">
        <v>-10.1</v>
      </c>
      <c r="G1695" t="n">
        <v>423.199</v>
      </c>
      <c r="H1695" t="n">
        <v>633.566</v>
      </c>
      <c r="I1695" t="n">
        <v>30</v>
      </c>
      <c r="J1695" t="inlineStr">
        <is>
          <t xml:space="preserve"> WT</t>
        </is>
      </c>
      <c r="K1695" t="inlineStr">
        <is>
          <t>Male</t>
        </is>
      </c>
      <c r="L1695" t="inlineStr">
        <is>
          <t>No focal subject</t>
        </is>
      </c>
      <c r="M1695" t="n">
        <v>20.566</v>
      </c>
      <c r="N1695" t="inlineStr">
        <is>
          <t>Explore_F2</t>
        </is>
      </c>
      <c r="O1695" t="inlineStr">
        <is>
          <t>Second familiar</t>
        </is>
      </c>
      <c r="P1695" t="inlineStr">
        <is>
          <t>STATE</t>
        </is>
      </c>
      <c r="Q1695" t="n">
        <v>260.033</v>
      </c>
      <c r="R1695" t="n">
        <v>260.333</v>
      </c>
      <c r="S1695" t="n">
        <v>0.3</v>
      </c>
      <c r="T1695" t="inlineStr">
        <is>
          <t>C:/Users/manuel.felline/Documents/BEHAVIOR BTBR/NOR second cohort/WT/training/c58_m1.mp4</t>
        </is>
      </c>
      <c r="U1695" t="n">
        <v>8104</v>
      </c>
      <c r="V1695" t="n">
        <v>8113</v>
      </c>
      <c r="W1695" t="n">
        <v/>
      </c>
      <c r="X1695" t="n">
        <v/>
      </c>
      <c r="Y1695" t="n">
        <v/>
      </c>
      <c r="Z1695" t="n">
        <v/>
      </c>
      <c r="AA1695">
        <f>SUMIFS($S$2:S1695,$A$2:A1695,A1695,$N$2:N1695,"Explore*")</f>
        <v/>
      </c>
      <c r="AB1695">
        <f>IF(AND(LEFT(N1695,7)="Explore",(AA1695-IF(LEFT(N1695,7)="Explore",S1695,0))&lt;10),"SI","NO")</f>
        <v/>
      </c>
    </row>
    <row r="1696">
      <c r="A1696" t="inlineStr">
        <is>
          <t>c58m1_training</t>
        </is>
      </c>
      <c r="B1696" t="inlineStr">
        <is>
          <t>2026-07-01 10:43:44.094</t>
        </is>
      </c>
      <c r="C1696" t="n">
        <v/>
      </c>
      <c r="D1696" t="inlineStr">
        <is>
          <t>Media file</t>
        </is>
      </c>
      <c r="E1696" t="inlineStr">
        <is>
          <t>player #1:C:/Users/manuel.felline/Documents/BEHAVIOR BTBR/NOR second cohort/WT/training/c58_m1.mp4</t>
        </is>
      </c>
      <c r="F1696" t="n">
        <v>-10.1</v>
      </c>
      <c r="G1696" t="n">
        <v>423.199</v>
      </c>
      <c r="H1696" t="n">
        <v>633.566</v>
      </c>
      <c r="I1696" t="n">
        <v>30</v>
      </c>
      <c r="J1696" t="inlineStr">
        <is>
          <t xml:space="preserve"> WT</t>
        </is>
      </c>
      <c r="K1696" t="inlineStr">
        <is>
          <t>Male</t>
        </is>
      </c>
      <c r="L1696" t="inlineStr">
        <is>
          <t>No focal subject</t>
        </is>
      </c>
      <c r="M1696" t="n">
        <v>20.566</v>
      </c>
      <c r="N1696" t="inlineStr">
        <is>
          <t>Explore_F</t>
        </is>
      </c>
      <c r="O1696" t="inlineStr">
        <is>
          <t>Familiar</t>
        </is>
      </c>
      <c r="P1696" t="inlineStr">
        <is>
          <t>STATE</t>
        </is>
      </c>
      <c r="Q1696" t="n">
        <v>266.966</v>
      </c>
      <c r="R1696" t="n">
        <v>267.466</v>
      </c>
      <c r="S1696" t="n">
        <v>0.5</v>
      </c>
      <c r="T1696" t="inlineStr">
        <is>
          <t>C:/Users/manuel.felline/Documents/BEHAVIOR BTBR/NOR second cohort/WT/training/c58_m1.mp4</t>
        </is>
      </c>
      <c r="U1696" t="n">
        <v>8312</v>
      </c>
      <c r="V1696" t="n">
        <v>8327</v>
      </c>
      <c r="W1696" t="n">
        <v/>
      </c>
      <c r="X1696" t="n">
        <v/>
      </c>
      <c r="Y1696" t="n">
        <v/>
      </c>
      <c r="Z1696" t="n">
        <v/>
      </c>
      <c r="AA1696">
        <f>SUMIFS($S$2:S1696,$A$2:A1696,A1696,$N$2:N1696,"Explore*")</f>
        <v/>
      </c>
      <c r="AB1696">
        <f>IF(AND(LEFT(N1696,7)="Explore",(AA1696-IF(LEFT(N1696,7)="Explore",S1696,0))&lt;10),"SI","NO")</f>
        <v/>
      </c>
    </row>
    <row r="1697">
      <c r="A1697" t="inlineStr">
        <is>
          <t>c58m1_training</t>
        </is>
      </c>
      <c r="B1697" t="inlineStr">
        <is>
          <t>2026-07-01 10:43:44.094</t>
        </is>
      </c>
      <c r="C1697" t="n">
        <v/>
      </c>
      <c r="D1697" t="inlineStr">
        <is>
          <t>Media file</t>
        </is>
      </c>
      <c r="E1697" t="inlineStr">
        <is>
          <t>player #1:C:/Users/manuel.felline/Documents/BEHAVIOR BTBR/NOR second cohort/WT/training/c58_m1.mp4</t>
        </is>
      </c>
      <c r="F1697" t="n">
        <v>-10.1</v>
      </c>
      <c r="G1697" t="n">
        <v>423.199</v>
      </c>
      <c r="H1697" t="n">
        <v>633.566</v>
      </c>
      <c r="I1697" t="n">
        <v>30</v>
      </c>
      <c r="J1697" t="inlineStr">
        <is>
          <t xml:space="preserve"> WT</t>
        </is>
      </c>
      <c r="K1697" t="inlineStr">
        <is>
          <t>Male</t>
        </is>
      </c>
      <c r="L1697" t="inlineStr">
        <is>
          <t>No focal subject</t>
        </is>
      </c>
      <c r="M1697" t="n">
        <v>20.566</v>
      </c>
      <c r="N1697" t="inlineStr">
        <is>
          <t>Explore_F2</t>
        </is>
      </c>
      <c r="O1697" t="inlineStr">
        <is>
          <t>Second familiar</t>
        </is>
      </c>
      <c r="P1697" t="inlineStr">
        <is>
          <t>STATE</t>
        </is>
      </c>
      <c r="Q1697" t="n">
        <v>273.866</v>
      </c>
      <c r="R1697" t="n">
        <v>276.266</v>
      </c>
      <c r="S1697" t="n">
        <v>2.4</v>
      </c>
      <c r="T1697" t="inlineStr">
        <is>
          <t>C:/Users/manuel.felline/Documents/BEHAVIOR BTBR/NOR second cohort/WT/training/c58_m1.mp4</t>
        </is>
      </c>
      <c r="U1697" t="n">
        <v>8519</v>
      </c>
      <c r="V1697" t="n">
        <v>8591</v>
      </c>
      <c r="W1697" t="n">
        <v/>
      </c>
      <c r="X1697" t="n">
        <v/>
      </c>
      <c r="Y1697" t="n">
        <v/>
      </c>
      <c r="Z1697" t="n">
        <v/>
      </c>
      <c r="AA1697">
        <f>SUMIFS($S$2:S1697,$A$2:A1697,A1697,$N$2:N1697,"Explore*")</f>
        <v/>
      </c>
      <c r="AB1697">
        <f>IF(AND(LEFT(N1697,7)="Explore",(AA1697-IF(LEFT(N1697,7)="Explore",S1697,0))&lt;10),"SI","NO")</f>
        <v/>
      </c>
    </row>
    <row r="1698">
      <c r="A1698" t="inlineStr">
        <is>
          <t>c58m1_training</t>
        </is>
      </c>
      <c r="B1698" t="inlineStr">
        <is>
          <t>2026-07-01 10:43:44.094</t>
        </is>
      </c>
      <c r="C1698" t="n">
        <v/>
      </c>
      <c r="D1698" t="inlineStr">
        <is>
          <t>Media file</t>
        </is>
      </c>
      <c r="E1698" t="inlineStr">
        <is>
          <t>player #1:C:/Users/manuel.felline/Documents/BEHAVIOR BTBR/NOR second cohort/WT/training/c58_m1.mp4</t>
        </is>
      </c>
      <c r="F1698" t="n">
        <v>-10.1</v>
      </c>
      <c r="G1698" t="n">
        <v>423.199</v>
      </c>
      <c r="H1698" t="n">
        <v>633.566</v>
      </c>
      <c r="I1698" t="n">
        <v>30</v>
      </c>
      <c r="J1698" t="inlineStr">
        <is>
          <t xml:space="preserve"> WT</t>
        </is>
      </c>
      <c r="K1698" t="inlineStr">
        <is>
          <t>Male</t>
        </is>
      </c>
      <c r="L1698" t="inlineStr">
        <is>
          <t>No focal subject</t>
        </is>
      </c>
      <c r="M1698" t="n">
        <v>20.566</v>
      </c>
      <c r="N1698" t="inlineStr">
        <is>
          <t>Explore_F2</t>
        </is>
      </c>
      <c r="O1698" t="inlineStr">
        <is>
          <t>Second familiar</t>
        </is>
      </c>
      <c r="P1698" t="inlineStr">
        <is>
          <t>STATE</t>
        </is>
      </c>
      <c r="Q1698" t="n">
        <v>278.566</v>
      </c>
      <c r="R1698" t="n">
        <v>278.866</v>
      </c>
      <c r="S1698" t="n">
        <v>0.3</v>
      </c>
      <c r="T1698" t="inlineStr">
        <is>
          <t>C:/Users/manuel.felline/Documents/BEHAVIOR BTBR/NOR second cohort/WT/training/c58_m1.mp4</t>
        </is>
      </c>
      <c r="U1698" t="n">
        <v>8660</v>
      </c>
      <c r="V1698" t="n">
        <v>8669</v>
      </c>
      <c r="W1698" t="n">
        <v/>
      </c>
      <c r="X1698" t="n">
        <v/>
      </c>
      <c r="Y1698" t="n">
        <v/>
      </c>
      <c r="Z1698" t="n">
        <v/>
      </c>
      <c r="AA1698">
        <f>SUMIFS($S$2:S1698,$A$2:A1698,A1698,$N$2:N1698,"Explore*")</f>
        <v/>
      </c>
      <c r="AB1698">
        <f>IF(AND(LEFT(N1698,7)="Explore",(AA1698-IF(LEFT(N1698,7)="Explore",S1698,0))&lt;10),"SI","NO")</f>
        <v/>
      </c>
    </row>
    <row r="1699">
      <c r="A1699" t="inlineStr">
        <is>
          <t>c58m1_training</t>
        </is>
      </c>
      <c r="B1699" t="inlineStr">
        <is>
          <t>2026-07-01 10:43:44.094</t>
        </is>
      </c>
      <c r="C1699" t="n">
        <v/>
      </c>
      <c r="D1699" t="inlineStr">
        <is>
          <t>Media file</t>
        </is>
      </c>
      <c r="E1699" t="inlineStr">
        <is>
          <t>player #1:C:/Users/manuel.felline/Documents/BEHAVIOR BTBR/NOR second cohort/WT/training/c58_m1.mp4</t>
        </is>
      </c>
      <c r="F1699" t="n">
        <v>-10.1</v>
      </c>
      <c r="G1699" t="n">
        <v>423.199</v>
      </c>
      <c r="H1699" t="n">
        <v>633.566</v>
      </c>
      <c r="I1699" t="n">
        <v>30</v>
      </c>
      <c r="J1699" t="inlineStr">
        <is>
          <t xml:space="preserve"> WT</t>
        </is>
      </c>
      <c r="K1699" t="inlineStr">
        <is>
          <t>Male</t>
        </is>
      </c>
      <c r="L1699" t="inlineStr">
        <is>
          <t>No focal subject</t>
        </is>
      </c>
      <c r="M1699" t="n">
        <v>20.566</v>
      </c>
      <c r="N1699" t="inlineStr">
        <is>
          <t>Explore_F</t>
        </is>
      </c>
      <c r="O1699" t="inlineStr">
        <is>
          <t>Familiar</t>
        </is>
      </c>
      <c r="P1699" t="inlineStr">
        <is>
          <t>STATE</t>
        </is>
      </c>
      <c r="Q1699" t="n">
        <v>287.3</v>
      </c>
      <c r="R1699" t="n">
        <v>288.366</v>
      </c>
      <c r="S1699" t="n">
        <v>1.066</v>
      </c>
      <c r="T1699" t="inlineStr">
        <is>
          <t>C:/Users/manuel.felline/Documents/BEHAVIOR BTBR/NOR second cohort/WT/training/c58_m1.mp4</t>
        </is>
      </c>
      <c r="U1699" t="n">
        <v>8922</v>
      </c>
      <c r="V1699" t="n">
        <v>8954</v>
      </c>
      <c r="W1699" t="n">
        <v/>
      </c>
      <c r="X1699" t="n">
        <v/>
      </c>
      <c r="Y1699" t="n">
        <v/>
      </c>
      <c r="Z1699" t="n">
        <v/>
      </c>
      <c r="AA1699">
        <f>SUMIFS($S$2:S1699,$A$2:A1699,A1699,$N$2:N1699,"Explore*")</f>
        <v/>
      </c>
      <c r="AB1699">
        <f>IF(AND(LEFT(N1699,7)="Explore",(AA1699-IF(LEFT(N1699,7)="Explore",S1699,0))&lt;10),"SI","NO")</f>
        <v/>
      </c>
    </row>
    <row r="1700">
      <c r="A1700" t="inlineStr">
        <is>
          <t>c58m1_training</t>
        </is>
      </c>
      <c r="B1700" t="inlineStr">
        <is>
          <t>2026-07-01 10:43:44.094</t>
        </is>
      </c>
      <c r="C1700" t="n">
        <v/>
      </c>
      <c r="D1700" t="inlineStr">
        <is>
          <t>Media file</t>
        </is>
      </c>
      <c r="E1700" t="inlineStr">
        <is>
          <t>player #1:C:/Users/manuel.felline/Documents/BEHAVIOR BTBR/NOR second cohort/WT/training/c58_m1.mp4</t>
        </is>
      </c>
      <c r="F1700" t="n">
        <v>-10.1</v>
      </c>
      <c r="G1700" t="n">
        <v>423.199</v>
      </c>
      <c r="H1700" t="n">
        <v>633.566</v>
      </c>
      <c r="I1700" t="n">
        <v>30</v>
      </c>
      <c r="J1700" t="inlineStr">
        <is>
          <t xml:space="preserve"> WT</t>
        </is>
      </c>
      <c r="K1700" t="inlineStr">
        <is>
          <t>Male</t>
        </is>
      </c>
      <c r="L1700" t="inlineStr">
        <is>
          <t>No focal subject</t>
        </is>
      </c>
      <c r="M1700" t="n">
        <v>20.566</v>
      </c>
      <c r="N1700" t="inlineStr">
        <is>
          <t>Explore_F</t>
        </is>
      </c>
      <c r="O1700" t="inlineStr">
        <is>
          <t>Familiar</t>
        </is>
      </c>
      <c r="P1700" t="inlineStr">
        <is>
          <t>STATE</t>
        </is>
      </c>
      <c r="Q1700" t="n">
        <v>307.1</v>
      </c>
      <c r="R1700" t="n">
        <v>307.4</v>
      </c>
      <c r="S1700" t="n">
        <v>0.3</v>
      </c>
      <c r="T1700" t="inlineStr">
        <is>
          <t>C:/Users/manuel.felline/Documents/BEHAVIOR BTBR/NOR second cohort/WT/training/c58_m1.mp4</t>
        </is>
      </c>
      <c r="U1700" t="n">
        <v>9516</v>
      </c>
      <c r="V1700" t="n">
        <v>9525</v>
      </c>
      <c r="W1700" t="n">
        <v/>
      </c>
      <c r="X1700" t="n">
        <v/>
      </c>
      <c r="Y1700" t="n">
        <v/>
      </c>
      <c r="Z1700" t="n">
        <v/>
      </c>
      <c r="AA1700">
        <f>SUMIFS($S$2:S1700,$A$2:A1700,A1700,$N$2:N1700,"Explore*")</f>
        <v/>
      </c>
      <c r="AB1700">
        <f>IF(AND(LEFT(N1700,7)="Explore",(AA1700-IF(LEFT(N1700,7)="Explore",S1700,0))&lt;10),"SI","NO")</f>
        <v/>
      </c>
    </row>
    <row r="1701">
      <c r="A1701" t="inlineStr">
        <is>
          <t>c58m1_training</t>
        </is>
      </c>
      <c r="B1701" t="inlineStr">
        <is>
          <t>2026-07-01 10:43:44.094</t>
        </is>
      </c>
      <c r="C1701" t="n">
        <v/>
      </c>
      <c r="D1701" t="inlineStr">
        <is>
          <t>Media file</t>
        </is>
      </c>
      <c r="E1701" t="inlineStr">
        <is>
          <t>player #1:C:/Users/manuel.felline/Documents/BEHAVIOR BTBR/NOR second cohort/WT/training/c58_m1.mp4</t>
        </is>
      </c>
      <c r="F1701" t="n">
        <v>-10.1</v>
      </c>
      <c r="G1701" t="n">
        <v>423.199</v>
      </c>
      <c r="H1701" t="n">
        <v>633.566</v>
      </c>
      <c r="I1701" t="n">
        <v>30</v>
      </c>
      <c r="J1701" t="inlineStr">
        <is>
          <t xml:space="preserve"> WT</t>
        </is>
      </c>
      <c r="K1701" t="inlineStr">
        <is>
          <t>Male</t>
        </is>
      </c>
      <c r="L1701" t="inlineStr">
        <is>
          <t>No focal subject</t>
        </is>
      </c>
      <c r="M1701" t="n">
        <v>20.566</v>
      </c>
      <c r="N1701" t="inlineStr">
        <is>
          <t>Explore_F2</t>
        </is>
      </c>
      <c r="O1701" t="inlineStr">
        <is>
          <t>Second familiar</t>
        </is>
      </c>
      <c r="P1701" t="inlineStr">
        <is>
          <t>STATE</t>
        </is>
      </c>
      <c r="Q1701" t="n">
        <v>344.5</v>
      </c>
      <c r="R1701" t="n">
        <v>344.966</v>
      </c>
      <c r="S1701" t="n">
        <v>0.466</v>
      </c>
      <c r="T1701" t="inlineStr">
        <is>
          <t>C:/Users/manuel.felline/Documents/BEHAVIOR BTBR/NOR second cohort/WT/training/c58_m1.mp4</t>
        </is>
      </c>
      <c r="U1701" t="n">
        <v>10638</v>
      </c>
      <c r="V1701" t="n">
        <v>10652</v>
      </c>
      <c r="W1701" t="n">
        <v/>
      </c>
      <c r="X1701" t="n">
        <v/>
      </c>
      <c r="Y1701" t="n">
        <v/>
      </c>
      <c r="Z1701" t="n">
        <v/>
      </c>
      <c r="AA1701">
        <f>SUMIFS($S$2:S1701,$A$2:A1701,A1701,$N$2:N1701,"Explore*")</f>
        <v/>
      </c>
      <c r="AB1701">
        <f>IF(AND(LEFT(N1701,7)="Explore",(AA1701-IF(LEFT(N1701,7)="Explore",S1701,0))&lt;10),"SI","NO")</f>
        <v/>
      </c>
    </row>
    <row r="1702">
      <c r="A1702" t="inlineStr">
        <is>
          <t>c58m1_training</t>
        </is>
      </c>
      <c r="B1702" t="inlineStr">
        <is>
          <t>2026-07-01 10:43:44.094</t>
        </is>
      </c>
      <c r="C1702" t="n">
        <v/>
      </c>
      <c r="D1702" t="inlineStr">
        <is>
          <t>Media file</t>
        </is>
      </c>
      <c r="E1702" t="inlineStr">
        <is>
          <t>player #1:C:/Users/manuel.felline/Documents/BEHAVIOR BTBR/NOR second cohort/WT/training/c58_m1.mp4</t>
        </is>
      </c>
      <c r="F1702" t="n">
        <v>-10.1</v>
      </c>
      <c r="G1702" t="n">
        <v>423.199</v>
      </c>
      <c r="H1702" t="n">
        <v>633.566</v>
      </c>
      <c r="I1702" t="n">
        <v>30</v>
      </c>
      <c r="J1702" t="inlineStr">
        <is>
          <t xml:space="preserve"> WT</t>
        </is>
      </c>
      <c r="K1702" t="inlineStr">
        <is>
          <t>Male</t>
        </is>
      </c>
      <c r="L1702" t="inlineStr">
        <is>
          <t>No focal subject</t>
        </is>
      </c>
      <c r="M1702" t="n">
        <v>20.566</v>
      </c>
      <c r="N1702" t="inlineStr">
        <is>
          <t>Explore_F2</t>
        </is>
      </c>
      <c r="O1702" t="inlineStr">
        <is>
          <t>Second familiar</t>
        </is>
      </c>
      <c r="P1702" t="inlineStr">
        <is>
          <t>STATE</t>
        </is>
      </c>
      <c r="Q1702" t="n">
        <v>349.933</v>
      </c>
      <c r="R1702" t="n">
        <v>350.266</v>
      </c>
      <c r="S1702" t="n">
        <v>0.333</v>
      </c>
      <c r="T1702" t="inlineStr">
        <is>
          <t>C:/Users/manuel.felline/Documents/BEHAVIOR BTBR/NOR second cohort/WT/training/c58_m1.mp4</t>
        </is>
      </c>
      <c r="U1702" t="n">
        <v>10801</v>
      </c>
      <c r="V1702" t="n">
        <v>10811</v>
      </c>
      <c r="W1702" t="n">
        <v/>
      </c>
      <c r="X1702" t="n">
        <v/>
      </c>
      <c r="Y1702" t="n">
        <v/>
      </c>
      <c r="Z1702" t="n">
        <v/>
      </c>
      <c r="AA1702">
        <f>SUMIFS($S$2:S1702,$A$2:A1702,A1702,$N$2:N1702,"Explore*")</f>
        <v/>
      </c>
      <c r="AB1702">
        <f>IF(AND(LEFT(N1702,7)="Explore",(AA1702-IF(LEFT(N1702,7)="Explore",S1702,0))&lt;10),"SI","NO")</f>
        <v/>
      </c>
    </row>
    <row r="1703">
      <c r="A1703" t="inlineStr">
        <is>
          <t>c58m1_training</t>
        </is>
      </c>
      <c r="B1703" t="inlineStr">
        <is>
          <t>2026-07-01 10:43:44.094</t>
        </is>
      </c>
      <c r="C1703" t="n">
        <v/>
      </c>
      <c r="D1703" t="inlineStr">
        <is>
          <t>Media file</t>
        </is>
      </c>
      <c r="E1703" t="inlineStr">
        <is>
          <t>player #1:C:/Users/manuel.felline/Documents/BEHAVIOR BTBR/NOR second cohort/WT/training/c58_m1.mp4</t>
        </is>
      </c>
      <c r="F1703" t="n">
        <v>-10.1</v>
      </c>
      <c r="G1703" t="n">
        <v>423.199</v>
      </c>
      <c r="H1703" t="n">
        <v>633.566</v>
      </c>
      <c r="I1703" t="n">
        <v>30</v>
      </c>
      <c r="J1703" t="inlineStr">
        <is>
          <t xml:space="preserve"> WT</t>
        </is>
      </c>
      <c r="K1703" t="inlineStr">
        <is>
          <t>Male</t>
        </is>
      </c>
      <c r="L1703" t="inlineStr">
        <is>
          <t>No focal subject</t>
        </is>
      </c>
      <c r="M1703" t="n">
        <v>20.566</v>
      </c>
      <c r="N1703" t="inlineStr">
        <is>
          <t>Explore_F</t>
        </is>
      </c>
      <c r="O1703" t="inlineStr">
        <is>
          <t>Familiar</t>
        </is>
      </c>
      <c r="P1703" t="inlineStr">
        <is>
          <t>STATE</t>
        </is>
      </c>
      <c r="Q1703" t="n">
        <v>393.666</v>
      </c>
      <c r="R1703" t="n">
        <v>394.2</v>
      </c>
      <c r="S1703" t="n">
        <v>0.534</v>
      </c>
      <c r="T1703" t="inlineStr">
        <is>
          <t>C:/Users/manuel.felline/Documents/BEHAVIOR BTBR/NOR second cohort/WT/training/c58_m1.mp4</t>
        </is>
      </c>
      <c r="U1703" t="n">
        <v>12113</v>
      </c>
      <c r="V1703" t="n">
        <v>12129</v>
      </c>
      <c r="W1703" t="n">
        <v/>
      </c>
      <c r="X1703" t="n">
        <v/>
      </c>
      <c r="Y1703" t="n">
        <v/>
      </c>
      <c r="Z1703" t="n">
        <v/>
      </c>
      <c r="AA1703">
        <f>SUMIFS($S$2:S1703,$A$2:A1703,A1703,$N$2:N1703,"Explore*")</f>
        <v/>
      </c>
      <c r="AB1703">
        <f>IF(AND(LEFT(N1703,7)="Explore",(AA1703-IF(LEFT(N1703,7)="Explore",S1703,0))&lt;10),"SI","NO")</f>
        <v/>
      </c>
    </row>
    <row r="1704">
      <c r="A1704" t="inlineStr">
        <is>
          <t>c58m1_training</t>
        </is>
      </c>
      <c r="B1704" t="inlineStr">
        <is>
          <t>2026-07-01 10:43:44.094</t>
        </is>
      </c>
      <c r="C1704" t="n">
        <v/>
      </c>
      <c r="D1704" t="inlineStr">
        <is>
          <t>Media file</t>
        </is>
      </c>
      <c r="E1704" t="inlineStr">
        <is>
          <t>player #1:C:/Users/manuel.felline/Documents/BEHAVIOR BTBR/NOR second cohort/WT/training/c58_m1.mp4</t>
        </is>
      </c>
      <c r="F1704" t="n">
        <v>-10.1</v>
      </c>
      <c r="G1704" t="n">
        <v>423.199</v>
      </c>
      <c r="H1704" t="n">
        <v>633.566</v>
      </c>
      <c r="I1704" t="n">
        <v>30</v>
      </c>
      <c r="J1704" t="inlineStr">
        <is>
          <t xml:space="preserve"> WT</t>
        </is>
      </c>
      <c r="K1704" t="inlineStr">
        <is>
          <t>Male</t>
        </is>
      </c>
      <c r="L1704" t="inlineStr">
        <is>
          <t>No focal subject</t>
        </is>
      </c>
      <c r="M1704" t="n">
        <v>20.566</v>
      </c>
      <c r="N1704" t="inlineStr">
        <is>
          <t>Explore_F2</t>
        </is>
      </c>
      <c r="O1704" t="inlineStr">
        <is>
          <t>Second familiar</t>
        </is>
      </c>
      <c r="P1704" t="inlineStr">
        <is>
          <t>STATE</t>
        </is>
      </c>
      <c r="Q1704" t="n">
        <v>402.066</v>
      </c>
      <c r="R1704" t="n">
        <v>402.433</v>
      </c>
      <c r="S1704" t="n">
        <v>0.367</v>
      </c>
      <c r="T1704" t="inlineStr">
        <is>
          <t>C:/Users/manuel.felline/Documents/BEHAVIOR BTBR/NOR second cohort/WT/training/c58_m1.mp4</t>
        </is>
      </c>
      <c r="U1704" t="n">
        <v>12365</v>
      </c>
      <c r="V1704" t="n">
        <v>12376</v>
      </c>
      <c r="W1704" t="n">
        <v/>
      </c>
      <c r="X1704" t="n">
        <v/>
      </c>
      <c r="Y1704" t="n">
        <v/>
      </c>
      <c r="Z1704" t="n">
        <v/>
      </c>
      <c r="AA1704">
        <f>SUMIFS($S$2:S1704,$A$2:A1704,A1704,$N$2:N1704,"Explore*")</f>
        <v/>
      </c>
      <c r="AB1704">
        <f>IF(AND(LEFT(N1704,7)="Explore",(AA1704-IF(LEFT(N1704,7)="Explore",S1704,0))&lt;10),"SI","NO")</f>
        <v/>
      </c>
    </row>
    <row r="1705">
      <c r="A1705" t="inlineStr">
        <is>
          <t>c58m1_training</t>
        </is>
      </c>
      <c r="B1705" t="inlineStr">
        <is>
          <t>2026-07-01 10:43:44.094</t>
        </is>
      </c>
      <c r="C1705" t="n">
        <v/>
      </c>
      <c r="D1705" t="inlineStr">
        <is>
          <t>Media file</t>
        </is>
      </c>
      <c r="E1705" t="inlineStr">
        <is>
          <t>player #1:C:/Users/manuel.felline/Documents/BEHAVIOR BTBR/NOR second cohort/WT/training/c58_m1.mp4</t>
        </is>
      </c>
      <c r="F1705" t="n">
        <v>-10.1</v>
      </c>
      <c r="G1705" t="n">
        <v>423.199</v>
      </c>
      <c r="H1705" t="n">
        <v>633.566</v>
      </c>
      <c r="I1705" t="n">
        <v>30</v>
      </c>
      <c r="J1705" t="inlineStr">
        <is>
          <t xml:space="preserve"> WT</t>
        </is>
      </c>
      <c r="K1705" t="inlineStr">
        <is>
          <t>Male</t>
        </is>
      </c>
      <c r="L1705" t="inlineStr">
        <is>
          <t>No focal subject</t>
        </is>
      </c>
      <c r="M1705" t="n">
        <v>20.566</v>
      </c>
      <c r="N1705" t="inlineStr">
        <is>
          <t>Explore_F2</t>
        </is>
      </c>
      <c r="O1705" t="inlineStr">
        <is>
          <t>Second familiar</t>
        </is>
      </c>
      <c r="P1705" t="inlineStr">
        <is>
          <t>STATE</t>
        </is>
      </c>
      <c r="Q1705" t="n">
        <v>403.733</v>
      </c>
      <c r="R1705" t="n">
        <v>404.133</v>
      </c>
      <c r="S1705" t="n">
        <v>0.4</v>
      </c>
      <c r="T1705" t="inlineStr">
        <is>
          <t>C:/Users/manuel.felline/Documents/BEHAVIOR BTBR/NOR second cohort/WT/training/c58_m1.mp4</t>
        </is>
      </c>
      <c r="U1705" t="n">
        <v>12415</v>
      </c>
      <c r="V1705" t="n">
        <v>12427</v>
      </c>
      <c r="W1705" t="n">
        <v/>
      </c>
      <c r="X1705" t="n">
        <v/>
      </c>
      <c r="Y1705" t="n">
        <v/>
      </c>
      <c r="Z1705" t="n">
        <v/>
      </c>
      <c r="AA1705">
        <f>SUMIFS($S$2:S1705,$A$2:A1705,A1705,$N$2:N1705,"Explore*")</f>
        <v/>
      </c>
      <c r="AB1705">
        <f>IF(AND(LEFT(N1705,7)="Explore",(AA1705-IF(LEFT(N1705,7)="Explore",S1705,0))&lt;10),"SI","NO")</f>
        <v/>
      </c>
    </row>
    <row r="1706">
      <c r="A1706" t="inlineStr">
        <is>
          <t>c58m1_training</t>
        </is>
      </c>
      <c r="B1706" t="inlineStr">
        <is>
          <t>2026-07-01 10:43:44.094</t>
        </is>
      </c>
      <c r="C1706" t="n">
        <v/>
      </c>
      <c r="D1706" t="inlineStr">
        <is>
          <t>Media file</t>
        </is>
      </c>
      <c r="E1706" t="inlineStr">
        <is>
          <t>player #1:C:/Users/manuel.felline/Documents/BEHAVIOR BTBR/NOR second cohort/WT/training/c58_m1.mp4</t>
        </is>
      </c>
      <c r="F1706" t="n">
        <v>-10.1</v>
      </c>
      <c r="G1706" t="n">
        <v>423.199</v>
      </c>
      <c r="H1706" t="n">
        <v>633.566</v>
      </c>
      <c r="I1706" t="n">
        <v>30</v>
      </c>
      <c r="J1706" t="inlineStr">
        <is>
          <t xml:space="preserve"> WT</t>
        </is>
      </c>
      <c r="K1706" t="inlineStr">
        <is>
          <t>Male</t>
        </is>
      </c>
      <c r="L1706" t="inlineStr">
        <is>
          <t>No focal subject</t>
        </is>
      </c>
      <c r="M1706" t="n">
        <v>20.566</v>
      </c>
      <c r="N1706" t="inlineStr">
        <is>
          <t>Explore_F2</t>
        </is>
      </c>
      <c r="O1706" t="inlineStr">
        <is>
          <t>Second familiar</t>
        </is>
      </c>
      <c r="P1706" t="inlineStr">
        <is>
          <t>STATE</t>
        </is>
      </c>
      <c r="Q1706" t="n">
        <v>407.066</v>
      </c>
      <c r="R1706" t="n">
        <v>407.4</v>
      </c>
      <c r="S1706" t="n">
        <v>0.334</v>
      </c>
      <c r="T1706" t="inlineStr">
        <is>
          <t>C:/Users/manuel.felline/Documents/BEHAVIOR BTBR/NOR second cohort/WT/training/c58_m1.mp4</t>
        </is>
      </c>
      <c r="U1706" t="n">
        <v>12515</v>
      </c>
      <c r="V1706" t="n">
        <v>12525</v>
      </c>
      <c r="W1706" t="n">
        <v/>
      </c>
      <c r="X1706" t="n">
        <v/>
      </c>
      <c r="Y1706" t="n">
        <v/>
      </c>
      <c r="Z1706" t="n">
        <v/>
      </c>
      <c r="AA1706">
        <f>SUMIFS($S$2:S1706,$A$2:A1706,A1706,$N$2:N1706,"Explore*")</f>
        <v/>
      </c>
      <c r="AB1706">
        <f>IF(AND(LEFT(N1706,7)="Explore",(AA1706-IF(LEFT(N1706,7)="Explore",S1706,0))&lt;10),"SI","NO")</f>
        <v/>
      </c>
    </row>
    <row r="1707">
      <c r="A1707" t="inlineStr">
        <is>
          <t>c58m1_training</t>
        </is>
      </c>
      <c r="B1707" t="inlineStr">
        <is>
          <t>2026-07-01 10:43:44.094</t>
        </is>
      </c>
      <c r="C1707" t="n">
        <v/>
      </c>
      <c r="D1707" t="inlineStr">
        <is>
          <t>Media file</t>
        </is>
      </c>
      <c r="E1707" t="inlineStr">
        <is>
          <t>player #1:C:/Users/manuel.felline/Documents/BEHAVIOR BTBR/NOR second cohort/WT/training/c58_m1.mp4</t>
        </is>
      </c>
      <c r="F1707" t="n">
        <v>-10.1</v>
      </c>
      <c r="G1707" t="n">
        <v>423.199</v>
      </c>
      <c r="H1707" t="n">
        <v>633.566</v>
      </c>
      <c r="I1707" t="n">
        <v>30</v>
      </c>
      <c r="J1707" t="inlineStr">
        <is>
          <t xml:space="preserve"> WT</t>
        </is>
      </c>
      <c r="K1707" t="inlineStr">
        <is>
          <t>Male</t>
        </is>
      </c>
      <c r="L1707" t="inlineStr">
        <is>
          <t>No focal subject</t>
        </is>
      </c>
      <c r="M1707" t="n">
        <v>20.566</v>
      </c>
      <c r="N1707" t="inlineStr">
        <is>
          <t>Explore_F2</t>
        </is>
      </c>
      <c r="O1707" t="inlineStr">
        <is>
          <t>Second familiar</t>
        </is>
      </c>
      <c r="P1707" t="inlineStr">
        <is>
          <t>STATE</t>
        </is>
      </c>
      <c r="Q1707" t="n">
        <v>408</v>
      </c>
      <c r="R1707" t="n">
        <v>408.566</v>
      </c>
      <c r="S1707" t="n">
        <v>0.5659999999999999</v>
      </c>
      <c r="T1707" t="inlineStr">
        <is>
          <t>C:/Users/manuel.felline/Documents/BEHAVIOR BTBR/NOR second cohort/WT/training/c58_m1.mp4</t>
        </is>
      </c>
      <c r="U1707" t="n">
        <v>12543</v>
      </c>
      <c r="V1707" t="n">
        <v>12560</v>
      </c>
      <c r="W1707" t="n">
        <v/>
      </c>
      <c r="X1707" t="n">
        <v/>
      </c>
      <c r="Y1707" t="n">
        <v/>
      </c>
      <c r="Z1707" t="n">
        <v/>
      </c>
      <c r="AA1707">
        <f>SUMIFS($S$2:S1707,$A$2:A1707,A1707,$N$2:N1707,"Explore*")</f>
        <v/>
      </c>
      <c r="AB1707">
        <f>IF(AND(LEFT(N1707,7)="Explore",(AA1707-IF(LEFT(N1707,7)="Explore",S1707,0))&lt;10),"SI","NO")</f>
        <v/>
      </c>
    </row>
    <row r="1708">
      <c r="A1708" t="inlineStr">
        <is>
          <t>c58m1_training</t>
        </is>
      </c>
      <c r="B1708" t="inlineStr">
        <is>
          <t>2026-07-01 10:43:44.094</t>
        </is>
      </c>
      <c r="C1708" t="n">
        <v/>
      </c>
      <c r="D1708" t="inlineStr">
        <is>
          <t>Media file</t>
        </is>
      </c>
      <c r="E1708" t="inlineStr">
        <is>
          <t>player #1:C:/Users/manuel.felline/Documents/BEHAVIOR BTBR/NOR second cohort/WT/training/c58_m1.mp4</t>
        </is>
      </c>
      <c r="F1708" t="n">
        <v>-10.1</v>
      </c>
      <c r="G1708" t="n">
        <v>423.199</v>
      </c>
      <c r="H1708" t="n">
        <v>633.566</v>
      </c>
      <c r="I1708" t="n">
        <v>30</v>
      </c>
      <c r="J1708" t="inlineStr">
        <is>
          <t xml:space="preserve"> WT</t>
        </is>
      </c>
      <c r="K1708" t="inlineStr">
        <is>
          <t>Male</t>
        </is>
      </c>
      <c r="L1708" t="inlineStr">
        <is>
          <t>No focal subject</t>
        </is>
      </c>
      <c r="M1708" t="n">
        <v>20.566</v>
      </c>
      <c r="N1708" t="inlineStr">
        <is>
          <t>Explore_F</t>
        </is>
      </c>
      <c r="O1708" t="inlineStr">
        <is>
          <t>Familiar</t>
        </is>
      </c>
      <c r="P1708" t="inlineStr">
        <is>
          <t>STATE</t>
        </is>
      </c>
      <c r="Q1708" t="n">
        <v>426.633</v>
      </c>
      <c r="R1708" t="n">
        <v>426.933</v>
      </c>
      <c r="S1708" t="n">
        <v>0.3</v>
      </c>
      <c r="T1708" t="inlineStr">
        <is>
          <t>C:/Users/manuel.felline/Documents/BEHAVIOR BTBR/NOR second cohort/WT/training/c58_m1.mp4</t>
        </is>
      </c>
      <c r="U1708" t="n">
        <v>13102</v>
      </c>
      <c r="V1708" t="n">
        <v>13111</v>
      </c>
      <c r="W1708" t="n">
        <v/>
      </c>
      <c r="X1708" t="n">
        <v/>
      </c>
      <c r="Y1708" t="n">
        <v/>
      </c>
      <c r="Z1708" t="n">
        <v/>
      </c>
      <c r="AA1708">
        <f>SUMIFS($S$2:S1708,$A$2:A1708,A1708,$N$2:N1708,"Explore*")</f>
        <v/>
      </c>
      <c r="AB1708">
        <f>IF(AND(LEFT(N1708,7)="Explore",(AA1708-IF(LEFT(N1708,7)="Explore",S1708,0))&lt;10),"SI","NO")</f>
        <v/>
      </c>
    </row>
    <row r="1709">
      <c r="A1709" t="inlineStr">
        <is>
          <t>c58m1_training</t>
        </is>
      </c>
      <c r="B1709" t="inlineStr">
        <is>
          <t>2026-07-01 10:43:44.094</t>
        </is>
      </c>
      <c r="C1709" t="n">
        <v/>
      </c>
      <c r="D1709" t="inlineStr">
        <is>
          <t>Media file</t>
        </is>
      </c>
      <c r="E1709" t="inlineStr">
        <is>
          <t>player #1:C:/Users/manuel.felline/Documents/BEHAVIOR BTBR/NOR second cohort/WT/training/c58_m1.mp4</t>
        </is>
      </c>
      <c r="F1709" t="n">
        <v>-10.1</v>
      </c>
      <c r="G1709" t="n">
        <v>423.199</v>
      </c>
      <c r="H1709" t="n">
        <v>633.566</v>
      </c>
      <c r="I1709" t="n">
        <v>30</v>
      </c>
      <c r="J1709" t="inlineStr">
        <is>
          <t xml:space="preserve"> WT</t>
        </is>
      </c>
      <c r="K1709" t="inlineStr">
        <is>
          <t>Male</t>
        </is>
      </c>
      <c r="L1709" t="inlineStr">
        <is>
          <t>No focal subject</t>
        </is>
      </c>
      <c r="M1709" t="n">
        <v>20.566</v>
      </c>
      <c r="N1709" t="inlineStr">
        <is>
          <t>Explore_F</t>
        </is>
      </c>
      <c r="O1709" t="inlineStr">
        <is>
          <t>Familiar</t>
        </is>
      </c>
      <c r="P1709" t="inlineStr">
        <is>
          <t>STATE</t>
        </is>
      </c>
      <c r="Q1709" t="n">
        <v>428</v>
      </c>
      <c r="R1709" t="n">
        <v>428.366</v>
      </c>
      <c r="S1709" t="n">
        <v>0.366</v>
      </c>
      <c r="T1709" t="inlineStr">
        <is>
          <t>C:/Users/manuel.felline/Documents/BEHAVIOR BTBR/NOR second cohort/WT/training/c58_m1.mp4</t>
        </is>
      </c>
      <c r="U1709" t="n">
        <v>13143</v>
      </c>
      <c r="V1709" t="n">
        <v>13154</v>
      </c>
      <c r="W1709" t="n">
        <v/>
      </c>
      <c r="X1709" t="n">
        <v/>
      </c>
      <c r="Y1709" t="n">
        <v/>
      </c>
      <c r="Z1709" t="n">
        <v/>
      </c>
      <c r="AA1709">
        <f>SUMIFS($S$2:S1709,$A$2:A1709,A1709,$N$2:N1709,"Explore*")</f>
        <v/>
      </c>
      <c r="AB1709">
        <f>IF(AND(LEFT(N1709,7)="Explore",(AA1709-IF(LEFT(N1709,7)="Explore",S1709,0))&lt;10),"SI","NO")</f>
        <v/>
      </c>
    </row>
    <row r="1710">
      <c r="A1710" t="inlineStr">
        <is>
          <t>c58m1_training</t>
        </is>
      </c>
      <c r="B1710" t="inlineStr">
        <is>
          <t>2026-07-01 10:43:44.094</t>
        </is>
      </c>
      <c r="C1710" t="n">
        <v/>
      </c>
      <c r="D1710" t="inlineStr">
        <is>
          <t>Media file</t>
        </is>
      </c>
      <c r="E1710" t="inlineStr">
        <is>
          <t>player #1:C:/Users/manuel.felline/Documents/BEHAVIOR BTBR/NOR second cohort/WT/training/c58_m1.mp4</t>
        </is>
      </c>
      <c r="F1710" t="n">
        <v>-10.1</v>
      </c>
      <c r="G1710" t="n">
        <v>423.199</v>
      </c>
      <c r="H1710" t="n">
        <v>633.566</v>
      </c>
      <c r="I1710" t="n">
        <v>30</v>
      </c>
      <c r="J1710" t="inlineStr">
        <is>
          <t xml:space="preserve"> WT</t>
        </is>
      </c>
      <c r="K1710" t="inlineStr">
        <is>
          <t>Male</t>
        </is>
      </c>
      <c r="L1710" t="inlineStr">
        <is>
          <t>No focal subject</t>
        </is>
      </c>
      <c r="M1710" t="n">
        <v>20.566</v>
      </c>
      <c r="N1710" t="inlineStr">
        <is>
          <t>Explore_F</t>
        </is>
      </c>
      <c r="O1710" t="inlineStr">
        <is>
          <t>Familiar</t>
        </is>
      </c>
      <c r="P1710" t="inlineStr">
        <is>
          <t>STATE</t>
        </is>
      </c>
      <c r="Q1710" t="n">
        <v>435.866</v>
      </c>
      <c r="R1710" t="n">
        <v>436.2</v>
      </c>
      <c r="S1710" t="n">
        <v>0.334</v>
      </c>
      <c r="T1710" t="inlineStr">
        <is>
          <t>C:/Users/manuel.felline/Documents/BEHAVIOR BTBR/NOR second cohort/WT/training/c58_m1.mp4</t>
        </is>
      </c>
      <c r="U1710" t="n">
        <v>13379</v>
      </c>
      <c r="V1710" t="n">
        <v>13389</v>
      </c>
      <c r="W1710" t="n">
        <v/>
      </c>
      <c r="X1710" t="n">
        <v/>
      </c>
      <c r="Y1710" t="n">
        <v/>
      </c>
      <c r="Z1710" t="n">
        <v/>
      </c>
      <c r="AA1710">
        <f>SUMIFS($S$2:S1710,$A$2:A1710,A1710,$N$2:N1710,"Explore*")</f>
        <v/>
      </c>
      <c r="AB1710">
        <f>IF(AND(LEFT(N1710,7)="Explore",(AA1710-IF(LEFT(N1710,7)="Explore",S1710,0))&lt;10),"SI","NO")</f>
        <v/>
      </c>
    </row>
    <row r="1711">
      <c r="A1711" t="inlineStr">
        <is>
          <t>c58m1_training</t>
        </is>
      </c>
      <c r="B1711" t="inlineStr">
        <is>
          <t>2026-07-01 10:43:44.094</t>
        </is>
      </c>
      <c r="C1711" t="n">
        <v/>
      </c>
      <c r="D1711" t="inlineStr">
        <is>
          <t>Media file</t>
        </is>
      </c>
      <c r="E1711" t="inlineStr">
        <is>
          <t>player #1:C:/Users/manuel.felline/Documents/BEHAVIOR BTBR/NOR second cohort/WT/training/c58_m1.mp4</t>
        </is>
      </c>
      <c r="F1711" t="n">
        <v>-10.1</v>
      </c>
      <c r="G1711" t="n">
        <v>423.199</v>
      </c>
      <c r="H1711" t="n">
        <v>633.566</v>
      </c>
      <c r="I1711" t="n">
        <v>30</v>
      </c>
      <c r="J1711" t="inlineStr">
        <is>
          <t xml:space="preserve"> WT</t>
        </is>
      </c>
      <c r="K1711" t="inlineStr">
        <is>
          <t>Male</t>
        </is>
      </c>
      <c r="L1711" t="inlineStr">
        <is>
          <t>No focal subject</t>
        </is>
      </c>
      <c r="M1711" t="n">
        <v>20.566</v>
      </c>
      <c r="N1711" t="inlineStr">
        <is>
          <t>Explore_F2</t>
        </is>
      </c>
      <c r="O1711" t="inlineStr">
        <is>
          <t>Second familiar</t>
        </is>
      </c>
      <c r="P1711" t="inlineStr">
        <is>
          <t>STATE</t>
        </is>
      </c>
      <c r="Q1711" t="n">
        <v>482.999</v>
      </c>
      <c r="R1711" t="n">
        <v>484.333</v>
      </c>
      <c r="S1711" t="n">
        <v>1.334</v>
      </c>
      <c r="T1711" t="inlineStr">
        <is>
          <t>C:/Users/manuel.felline/Documents/BEHAVIOR BTBR/NOR second cohort/WT/training/c58_m1.mp4</t>
        </is>
      </c>
      <c r="U1711" t="n">
        <v>14793</v>
      </c>
      <c r="V1711" t="n">
        <v>14833</v>
      </c>
      <c r="W1711" t="n">
        <v/>
      </c>
      <c r="X1711" t="n">
        <v/>
      </c>
      <c r="Y1711" t="n">
        <v/>
      </c>
      <c r="Z1711" t="n">
        <v/>
      </c>
      <c r="AA1711">
        <f>SUMIFS($S$2:S1711,$A$2:A1711,A1711,$N$2:N1711,"Explore*")</f>
        <v/>
      </c>
      <c r="AB1711">
        <f>IF(AND(LEFT(N1711,7)="Explore",(AA1711-IF(LEFT(N1711,7)="Explore",S1711,0))&lt;10),"SI","NO")</f>
        <v/>
      </c>
    </row>
    <row r="1712">
      <c r="A1712" t="inlineStr">
        <is>
          <t>c58m1_training</t>
        </is>
      </c>
      <c r="B1712" t="inlineStr">
        <is>
          <t>2026-07-01 10:43:44.094</t>
        </is>
      </c>
      <c r="C1712" t="n">
        <v/>
      </c>
      <c r="D1712" t="inlineStr">
        <is>
          <t>Media file</t>
        </is>
      </c>
      <c r="E1712" t="inlineStr">
        <is>
          <t>player #1:C:/Users/manuel.felline/Documents/BEHAVIOR BTBR/NOR second cohort/WT/training/c58_m1.mp4</t>
        </is>
      </c>
      <c r="F1712" t="n">
        <v>-10.1</v>
      </c>
      <c r="G1712" t="n">
        <v>423.199</v>
      </c>
      <c r="H1712" t="n">
        <v>633.566</v>
      </c>
      <c r="I1712" t="n">
        <v>30</v>
      </c>
      <c r="J1712" t="inlineStr">
        <is>
          <t xml:space="preserve"> WT</t>
        </is>
      </c>
      <c r="K1712" t="inlineStr">
        <is>
          <t>Male</t>
        </is>
      </c>
      <c r="L1712" t="inlineStr">
        <is>
          <t>No focal subject</t>
        </is>
      </c>
      <c r="M1712" t="n">
        <v>20.566</v>
      </c>
      <c r="N1712" t="inlineStr">
        <is>
          <t>Explore_F2</t>
        </is>
      </c>
      <c r="O1712" t="inlineStr">
        <is>
          <t>Second familiar</t>
        </is>
      </c>
      <c r="P1712" t="inlineStr">
        <is>
          <t>STATE</t>
        </is>
      </c>
      <c r="Q1712" t="n">
        <v>484.799</v>
      </c>
      <c r="R1712" t="n">
        <v>485.399</v>
      </c>
      <c r="S1712" t="n">
        <v>0.6</v>
      </c>
      <c r="T1712" t="inlineStr">
        <is>
          <t>C:/Users/manuel.felline/Documents/BEHAVIOR BTBR/NOR second cohort/WT/training/c58_m1.mp4</t>
        </is>
      </c>
      <c r="U1712" t="n">
        <v>14847</v>
      </c>
      <c r="V1712" t="n">
        <v>14865</v>
      </c>
      <c r="W1712" t="n">
        <v/>
      </c>
      <c r="X1712" t="n">
        <v/>
      </c>
      <c r="Y1712" t="n">
        <v/>
      </c>
      <c r="Z1712" t="n">
        <v/>
      </c>
      <c r="AA1712">
        <f>SUMIFS($S$2:S1712,$A$2:A1712,A1712,$N$2:N1712,"Explore*")</f>
        <v/>
      </c>
      <c r="AB1712">
        <f>IF(AND(LEFT(N1712,7)="Explore",(AA1712-IF(LEFT(N1712,7)="Explore",S1712,0))&lt;10),"SI","NO")</f>
        <v/>
      </c>
    </row>
    <row r="1713">
      <c r="A1713" t="inlineStr">
        <is>
          <t>c58m1_training</t>
        </is>
      </c>
      <c r="B1713" t="inlineStr">
        <is>
          <t>2026-07-01 10:43:44.094</t>
        </is>
      </c>
      <c r="C1713" t="n">
        <v/>
      </c>
      <c r="D1713" t="inlineStr">
        <is>
          <t>Media file</t>
        </is>
      </c>
      <c r="E1713" t="inlineStr">
        <is>
          <t>player #1:C:/Users/manuel.felline/Documents/BEHAVIOR BTBR/NOR second cohort/WT/training/c58_m1.mp4</t>
        </is>
      </c>
      <c r="F1713" t="n">
        <v>-10.1</v>
      </c>
      <c r="G1713" t="n">
        <v>423.199</v>
      </c>
      <c r="H1713" t="n">
        <v>633.566</v>
      </c>
      <c r="I1713" t="n">
        <v>30</v>
      </c>
      <c r="J1713" t="inlineStr">
        <is>
          <t xml:space="preserve"> WT</t>
        </is>
      </c>
      <c r="K1713" t="inlineStr">
        <is>
          <t>Male</t>
        </is>
      </c>
      <c r="L1713" t="inlineStr">
        <is>
          <t>No focal subject</t>
        </is>
      </c>
      <c r="M1713" t="n">
        <v>20.566</v>
      </c>
      <c r="N1713" t="inlineStr">
        <is>
          <t>Explore_F</t>
        </is>
      </c>
      <c r="O1713" t="inlineStr">
        <is>
          <t>Familiar</t>
        </is>
      </c>
      <c r="P1713" t="inlineStr">
        <is>
          <t>STATE</t>
        </is>
      </c>
      <c r="Q1713" t="n">
        <v>496.466</v>
      </c>
      <c r="R1713" t="n">
        <v>496.899</v>
      </c>
      <c r="S1713" t="n">
        <v>0.433</v>
      </c>
      <c r="T1713" t="inlineStr">
        <is>
          <t>C:/Users/manuel.felline/Documents/BEHAVIOR BTBR/NOR second cohort/WT/training/c58_m1.mp4</t>
        </is>
      </c>
      <c r="U1713" t="n">
        <v>15197</v>
      </c>
      <c r="V1713" t="n">
        <v>15210</v>
      </c>
      <c r="W1713" t="n">
        <v/>
      </c>
      <c r="X1713" t="n">
        <v/>
      </c>
      <c r="Y1713" t="n">
        <v/>
      </c>
      <c r="Z1713" t="n">
        <v/>
      </c>
      <c r="AA1713">
        <f>SUMIFS($S$2:S1713,$A$2:A1713,A1713,$N$2:N1713,"Explore*")</f>
        <v/>
      </c>
      <c r="AB1713">
        <f>IF(AND(LEFT(N1713,7)="Explore",(AA1713-IF(LEFT(N1713,7)="Explore",S1713,0))&lt;10),"SI","NO")</f>
        <v/>
      </c>
    </row>
    <row r="1714">
      <c r="A1714" t="inlineStr">
        <is>
          <t>c58m1_training</t>
        </is>
      </c>
      <c r="B1714" t="inlineStr">
        <is>
          <t>2026-07-01 10:43:44.094</t>
        </is>
      </c>
      <c r="C1714" t="n">
        <v/>
      </c>
      <c r="D1714" t="inlineStr">
        <is>
          <t>Media file</t>
        </is>
      </c>
      <c r="E1714" t="inlineStr">
        <is>
          <t>player #1:C:/Users/manuel.felline/Documents/BEHAVIOR BTBR/NOR second cohort/WT/training/c58_m1.mp4</t>
        </is>
      </c>
      <c r="F1714" t="n">
        <v>-10.1</v>
      </c>
      <c r="G1714" t="n">
        <v>423.199</v>
      </c>
      <c r="H1714" t="n">
        <v>633.566</v>
      </c>
      <c r="I1714" t="n">
        <v>30</v>
      </c>
      <c r="J1714" t="inlineStr">
        <is>
          <t xml:space="preserve"> WT</t>
        </is>
      </c>
      <c r="K1714" t="inlineStr">
        <is>
          <t>Male</t>
        </is>
      </c>
      <c r="L1714" t="inlineStr">
        <is>
          <t>No focal subject</t>
        </is>
      </c>
      <c r="M1714" t="n">
        <v>20.566</v>
      </c>
      <c r="N1714" t="inlineStr">
        <is>
          <t>Explore_F</t>
        </is>
      </c>
      <c r="O1714" t="inlineStr">
        <is>
          <t>Familiar</t>
        </is>
      </c>
      <c r="P1714" t="inlineStr">
        <is>
          <t>STATE</t>
        </is>
      </c>
      <c r="Q1714" t="n">
        <v>504.899</v>
      </c>
      <c r="R1714" t="n">
        <v>505.699</v>
      </c>
      <c r="S1714" t="n">
        <v>0.8</v>
      </c>
      <c r="T1714" t="inlineStr">
        <is>
          <t>C:/Users/manuel.felline/Documents/BEHAVIOR BTBR/NOR second cohort/WT/training/c58_m1.mp4</t>
        </is>
      </c>
      <c r="U1714" t="n">
        <v>15450</v>
      </c>
      <c r="V1714" t="n">
        <v>15474</v>
      </c>
      <c r="W1714" t="n">
        <v/>
      </c>
      <c r="X1714" t="n">
        <v/>
      </c>
      <c r="Y1714" t="n">
        <v/>
      </c>
      <c r="Z1714" t="n">
        <v/>
      </c>
      <c r="AA1714">
        <f>SUMIFS($S$2:S1714,$A$2:A1714,A1714,$N$2:N1714,"Explore*")</f>
        <v/>
      </c>
      <c r="AB1714">
        <f>IF(AND(LEFT(N1714,7)="Explore",(AA1714-IF(LEFT(N1714,7)="Explore",S1714,0))&lt;10),"SI","NO")</f>
        <v/>
      </c>
    </row>
    <row r="1715">
      <c r="A1715" t="inlineStr">
        <is>
          <t>c58m1_training</t>
        </is>
      </c>
      <c r="B1715" t="inlineStr">
        <is>
          <t>2026-07-01 10:43:44.094</t>
        </is>
      </c>
      <c r="C1715" t="n">
        <v/>
      </c>
      <c r="D1715" t="inlineStr">
        <is>
          <t>Media file</t>
        </is>
      </c>
      <c r="E1715" t="inlineStr">
        <is>
          <t>player #1:C:/Users/manuel.felline/Documents/BEHAVIOR BTBR/NOR second cohort/WT/training/c58_m1.mp4</t>
        </is>
      </c>
      <c r="F1715" t="n">
        <v>-10.1</v>
      </c>
      <c r="G1715" t="n">
        <v>423.199</v>
      </c>
      <c r="H1715" t="n">
        <v>633.566</v>
      </c>
      <c r="I1715" t="n">
        <v>30</v>
      </c>
      <c r="J1715" t="inlineStr">
        <is>
          <t xml:space="preserve"> WT</t>
        </is>
      </c>
      <c r="K1715" t="inlineStr">
        <is>
          <t>Male</t>
        </is>
      </c>
      <c r="L1715" t="inlineStr">
        <is>
          <t>No focal subject</t>
        </is>
      </c>
      <c r="M1715" t="n">
        <v>20.566</v>
      </c>
      <c r="N1715" t="inlineStr">
        <is>
          <t>Explore_F</t>
        </is>
      </c>
      <c r="O1715" t="inlineStr">
        <is>
          <t>Familiar</t>
        </is>
      </c>
      <c r="P1715" t="inlineStr">
        <is>
          <t>STATE</t>
        </is>
      </c>
      <c r="Q1715" t="n">
        <v>508.533</v>
      </c>
      <c r="R1715" t="n">
        <v>509.566</v>
      </c>
      <c r="S1715" t="n">
        <v>1.033</v>
      </c>
      <c r="T1715" t="inlineStr">
        <is>
          <t>C:/Users/manuel.felline/Documents/BEHAVIOR BTBR/NOR second cohort/WT/training/c58_m1.mp4</t>
        </is>
      </c>
      <c r="U1715" t="n">
        <v>15559</v>
      </c>
      <c r="V1715" t="n">
        <v>15590</v>
      </c>
      <c r="W1715" t="n">
        <v/>
      </c>
      <c r="X1715" t="n">
        <v/>
      </c>
      <c r="Y1715" t="n">
        <v/>
      </c>
      <c r="Z1715" t="n">
        <v/>
      </c>
      <c r="AA1715">
        <f>SUMIFS($S$2:S1715,$A$2:A1715,A1715,$N$2:N1715,"Explore*")</f>
        <v/>
      </c>
      <c r="AB1715">
        <f>IF(AND(LEFT(N1715,7)="Explore",(AA1715-IF(LEFT(N1715,7)="Explore",S1715,0))&lt;10),"SI","NO")</f>
        <v/>
      </c>
    </row>
    <row r="1716">
      <c r="A1716" t="inlineStr">
        <is>
          <t>c58m1_training</t>
        </is>
      </c>
      <c r="B1716" t="inlineStr">
        <is>
          <t>2026-07-01 10:43:44.094</t>
        </is>
      </c>
      <c r="C1716" t="n">
        <v/>
      </c>
      <c r="D1716" t="inlineStr">
        <is>
          <t>Media file</t>
        </is>
      </c>
      <c r="E1716" t="inlineStr">
        <is>
          <t>player #1:C:/Users/manuel.felline/Documents/BEHAVIOR BTBR/NOR second cohort/WT/training/c58_m1.mp4</t>
        </is>
      </c>
      <c r="F1716" t="n">
        <v>-10.1</v>
      </c>
      <c r="G1716" t="n">
        <v>423.199</v>
      </c>
      <c r="H1716" t="n">
        <v>633.566</v>
      </c>
      <c r="I1716" t="n">
        <v>30</v>
      </c>
      <c r="J1716" t="inlineStr">
        <is>
          <t xml:space="preserve"> WT</t>
        </is>
      </c>
      <c r="K1716" t="inlineStr">
        <is>
          <t>Male</t>
        </is>
      </c>
      <c r="L1716" t="inlineStr">
        <is>
          <t>No focal subject</t>
        </is>
      </c>
      <c r="M1716" t="n">
        <v>20.566</v>
      </c>
      <c r="N1716" t="inlineStr">
        <is>
          <t>Explore_F2</t>
        </is>
      </c>
      <c r="O1716" t="inlineStr">
        <is>
          <t>Second familiar</t>
        </is>
      </c>
      <c r="P1716" t="inlineStr">
        <is>
          <t>STATE</t>
        </is>
      </c>
      <c r="Q1716" t="n">
        <v>527.199</v>
      </c>
      <c r="R1716" t="n">
        <v>527.6660000000001</v>
      </c>
      <c r="S1716" t="n">
        <v>0.467</v>
      </c>
      <c r="T1716" t="inlineStr">
        <is>
          <t>C:/Users/manuel.felline/Documents/BEHAVIOR BTBR/NOR second cohort/WT/training/c58_m1.mp4</t>
        </is>
      </c>
      <c r="U1716" t="n">
        <v>16119</v>
      </c>
      <c r="V1716" t="n">
        <v>16133</v>
      </c>
      <c r="W1716" t="n">
        <v/>
      </c>
      <c r="X1716" t="n">
        <v/>
      </c>
      <c r="Y1716" t="n">
        <v/>
      </c>
      <c r="Z1716" t="n">
        <v/>
      </c>
      <c r="AA1716">
        <f>SUMIFS($S$2:S1716,$A$2:A1716,A1716,$N$2:N1716,"Explore*")</f>
        <v/>
      </c>
      <c r="AB1716">
        <f>IF(AND(LEFT(N1716,7)="Explore",(AA1716-IF(LEFT(N1716,7)="Explore",S1716,0))&lt;10),"SI","NO")</f>
        <v/>
      </c>
    </row>
    <row r="1717">
      <c r="A1717" t="inlineStr">
        <is>
          <t>c58m1_training</t>
        </is>
      </c>
      <c r="B1717" t="inlineStr">
        <is>
          <t>2026-07-01 10:43:44.094</t>
        </is>
      </c>
      <c r="C1717" t="n">
        <v/>
      </c>
      <c r="D1717" t="inlineStr">
        <is>
          <t>Media file</t>
        </is>
      </c>
      <c r="E1717" t="inlineStr">
        <is>
          <t>player #1:C:/Users/manuel.felline/Documents/BEHAVIOR BTBR/NOR second cohort/WT/training/c58_m1.mp4</t>
        </is>
      </c>
      <c r="F1717" t="n">
        <v>-10.1</v>
      </c>
      <c r="G1717" t="n">
        <v>423.199</v>
      </c>
      <c r="H1717" t="n">
        <v>633.566</v>
      </c>
      <c r="I1717" t="n">
        <v>30</v>
      </c>
      <c r="J1717" t="inlineStr">
        <is>
          <t xml:space="preserve"> WT</t>
        </is>
      </c>
      <c r="K1717" t="inlineStr">
        <is>
          <t>Male</t>
        </is>
      </c>
      <c r="L1717" t="inlineStr">
        <is>
          <t>No focal subject</t>
        </is>
      </c>
      <c r="M1717" t="n">
        <v>20.566</v>
      </c>
      <c r="N1717" t="inlineStr">
        <is>
          <t>Explore_F2</t>
        </is>
      </c>
      <c r="O1717" t="inlineStr">
        <is>
          <t>Second familiar</t>
        </is>
      </c>
      <c r="P1717" t="inlineStr">
        <is>
          <t>STATE</t>
        </is>
      </c>
      <c r="Q1717" t="n">
        <v>528.133</v>
      </c>
      <c r="R1717" t="n">
        <v>529.033</v>
      </c>
      <c r="S1717" t="n">
        <v>0.9</v>
      </c>
      <c r="T1717" t="inlineStr">
        <is>
          <t>C:/Users/manuel.felline/Documents/BEHAVIOR BTBR/NOR second cohort/WT/training/c58_m1.mp4</t>
        </is>
      </c>
      <c r="U1717" t="n">
        <v>16147</v>
      </c>
      <c r="V1717" t="n">
        <v>16174</v>
      </c>
      <c r="W1717" t="n">
        <v/>
      </c>
      <c r="X1717" t="n">
        <v/>
      </c>
      <c r="Y1717" t="n">
        <v/>
      </c>
      <c r="Z1717" t="n">
        <v/>
      </c>
      <c r="AA1717">
        <f>SUMIFS($S$2:S1717,$A$2:A1717,A1717,$N$2:N1717,"Explore*")</f>
        <v/>
      </c>
      <c r="AB1717">
        <f>IF(AND(LEFT(N1717,7)="Explore",(AA1717-IF(LEFT(N1717,7)="Explore",S1717,0))&lt;10),"SI","NO")</f>
        <v/>
      </c>
    </row>
    <row r="1718">
      <c r="A1718" t="inlineStr">
        <is>
          <t>c58m1_training</t>
        </is>
      </c>
      <c r="B1718" t="inlineStr">
        <is>
          <t>2026-07-01 10:43:44.094</t>
        </is>
      </c>
      <c r="C1718" t="n">
        <v/>
      </c>
      <c r="D1718" t="inlineStr">
        <is>
          <t>Media file</t>
        </is>
      </c>
      <c r="E1718" t="inlineStr">
        <is>
          <t>player #1:C:/Users/manuel.felline/Documents/BEHAVIOR BTBR/NOR second cohort/WT/training/c58_m1.mp4</t>
        </is>
      </c>
      <c r="F1718" t="n">
        <v>-10.1</v>
      </c>
      <c r="G1718" t="n">
        <v>423.199</v>
      </c>
      <c r="H1718" t="n">
        <v>633.566</v>
      </c>
      <c r="I1718" t="n">
        <v>30</v>
      </c>
      <c r="J1718" t="inlineStr">
        <is>
          <t xml:space="preserve"> WT</t>
        </is>
      </c>
      <c r="K1718" t="inlineStr">
        <is>
          <t>Male</t>
        </is>
      </c>
      <c r="L1718" t="inlineStr">
        <is>
          <t>No focal subject</t>
        </is>
      </c>
      <c r="M1718" t="n">
        <v>20.566</v>
      </c>
      <c r="N1718" t="inlineStr">
        <is>
          <t>Explore_F2</t>
        </is>
      </c>
      <c r="O1718" t="inlineStr">
        <is>
          <t>Second familiar</t>
        </is>
      </c>
      <c r="P1718" t="inlineStr">
        <is>
          <t>STATE</t>
        </is>
      </c>
      <c r="Q1718" t="n">
        <v>535.633</v>
      </c>
      <c r="R1718" t="n">
        <v>535.899</v>
      </c>
      <c r="S1718" t="n">
        <v>0.266</v>
      </c>
      <c r="T1718" t="inlineStr">
        <is>
          <t>C:/Users/manuel.felline/Documents/BEHAVIOR BTBR/NOR second cohort/WT/training/c58_m1.mp4</t>
        </is>
      </c>
      <c r="U1718" t="n">
        <v>16372</v>
      </c>
      <c r="V1718" t="n">
        <v>16380</v>
      </c>
      <c r="W1718" t="n">
        <v/>
      </c>
      <c r="X1718" t="n">
        <v/>
      </c>
      <c r="Y1718" t="n">
        <v/>
      </c>
      <c r="Z1718" t="n">
        <v/>
      </c>
      <c r="AA1718">
        <f>SUMIFS($S$2:S1718,$A$2:A1718,A1718,$N$2:N1718,"Explore*")</f>
        <v/>
      </c>
      <c r="AB1718">
        <f>IF(AND(LEFT(N1718,7)="Explore",(AA1718-IF(LEFT(N1718,7)="Explore",S1718,0))&lt;10),"SI","NO")</f>
        <v/>
      </c>
    </row>
    <row r="1719">
      <c r="A1719" t="inlineStr">
        <is>
          <t>c58m1_training</t>
        </is>
      </c>
      <c r="B1719" t="inlineStr">
        <is>
          <t>2026-07-01 10:43:44.094</t>
        </is>
      </c>
      <c r="C1719" t="n">
        <v/>
      </c>
      <c r="D1719" t="inlineStr">
        <is>
          <t>Media file</t>
        </is>
      </c>
      <c r="E1719" t="inlineStr">
        <is>
          <t>player #1:C:/Users/manuel.felline/Documents/BEHAVIOR BTBR/NOR second cohort/WT/training/c58_m1.mp4</t>
        </is>
      </c>
      <c r="F1719" t="n">
        <v>-10.1</v>
      </c>
      <c r="G1719" t="n">
        <v>423.199</v>
      </c>
      <c r="H1719" t="n">
        <v>633.566</v>
      </c>
      <c r="I1719" t="n">
        <v>30</v>
      </c>
      <c r="J1719" t="inlineStr">
        <is>
          <t xml:space="preserve"> WT</t>
        </is>
      </c>
      <c r="K1719" t="inlineStr">
        <is>
          <t>Male</t>
        </is>
      </c>
      <c r="L1719" t="inlineStr">
        <is>
          <t>No focal subject</t>
        </is>
      </c>
      <c r="M1719" t="n">
        <v>20.566</v>
      </c>
      <c r="N1719" t="inlineStr">
        <is>
          <t>Explore_F</t>
        </is>
      </c>
      <c r="O1719" t="inlineStr">
        <is>
          <t>Familiar</t>
        </is>
      </c>
      <c r="P1719" t="inlineStr">
        <is>
          <t>STATE</t>
        </is>
      </c>
      <c r="Q1719" t="n">
        <v>574.599</v>
      </c>
      <c r="R1719" t="n">
        <v>576.199</v>
      </c>
      <c r="S1719" t="n">
        <v>1.6</v>
      </c>
      <c r="T1719" t="inlineStr">
        <is>
          <t>C:/Users/manuel.felline/Documents/BEHAVIOR BTBR/NOR second cohort/WT/training/c58_m1.mp4</t>
        </is>
      </c>
      <c r="U1719" t="n">
        <v>17541</v>
      </c>
      <c r="V1719" t="n">
        <v>17589</v>
      </c>
      <c r="W1719" t="n">
        <v/>
      </c>
      <c r="X1719" t="n">
        <v/>
      </c>
      <c r="Y1719" t="n">
        <v/>
      </c>
      <c r="Z1719" t="n">
        <v/>
      </c>
      <c r="AA1719">
        <f>SUMIFS($S$2:S1719,$A$2:A1719,A1719,$N$2:N1719,"Explore*")</f>
        <v/>
      </c>
      <c r="AB1719">
        <f>IF(AND(LEFT(N1719,7)="Explore",(AA1719-IF(LEFT(N1719,7)="Explore",S1719,0))&lt;10),"SI","NO")</f>
        <v/>
      </c>
    </row>
    <row r="1720">
      <c r="A1720" t="inlineStr">
        <is>
          <t>c58m1_training</t>
        </is>
      </c>
      <c r="B1720" t="inlineStr">
        <is>
          <t>2026-07-01 10:43:44.094</t>
        </is>
      </c>
      <c r="C1720" t="n">
        <v/>
      </c>
      <c r="D1720" t="inlineStr">
        <is>
          <t>Media file</t>
        </is>
      </c>
      <c r="E1720" t="inlineStr">
        <is>
          <t>player #1:C:/Users/manuel.felline/Documents/BEHAVIOR BTBR/NOR second cohort/WT/training/c58_m1.mp4</t>
        </is>
      </c>
      <c r="F1720" t="n">
        <v>-10.1</v>
      </c>
      <c r="G1720" t="n">
        <v>423.199</v>
      </c>
      <c r="H1720" t="n">
        <v>633.566</v>
      </c>
      <c r="I1720" t="n">
        <v>30</v>
      </c>
      <c r="J1720" t="inlineStr">
        <is>
          <t xml:space="preserve"> WT</t>
        </is>
      </c>
      <c r="K1720" t="inlineStr">
        <is>
          <t>Male</t>
        </is>
      </c>
      <c r="L1720" t="inlineStr">
        <is>
          <t>No focal subject</t>
        </is>
      </c>
      <c r="M1720" t="n">
        <v>20.566</v>
      </c>
      <c r="N1720" t="inlineStr">
        <is>
          <t>Explore_F</t>
        </is>
      </c>
      <c r="O1720" t="inlineStr">
        <is>
          <t>Familiar</t>
        </is>
      </c>
      <c r="P1720" t="inlineStr">
        <is>
          <t>STATE</t>
        </is>
      </c>
      <c r="Q1720" t="n">
        <v>585.7329999999999</v>
      </c>
      <c r="R1720" t="n">
        <v>587.066</v>
      </c>
      <c r="S1720" t="n">
        <v>1.333</v>
      </c>
      <c r="T1720" t="inlineStr">
        <is>
          <t>C:/Users/manuel.felline/Documents/BEHAVIOR BTBR/NOR second cohort/WT/training/c58_m1.mp4</t>
        </is>
      </c>
      <c r="U1720" t="n">
        <v>17875</v>
      </c>
      <c r="V1720" t="n">
        <v>17915</v>
      </c>
      <c r="W1720" t="n">
        <v/>
      </c>
      <c r="X1720" t="n">
        <v/>
      </c>
      <c r="Y1720" t="n">
        <v/>
      </c>
      <c r="Z1720" t="n">
        <v/>
      </c>
      <c r="AA1720">
        <f>SUMIFS($S$2:S1720,$A$2:A1720,A1720,$N$2:N1720,"Explore*")</f>
        <v/>
      </c>
      <c r="AB1720">
        <f>IF(AND(LEFT(N1720,7)="Explore",(AA1720-IF(LEFT(N1720,7)="Explore",S1720,0))&lt;10),"SI","NO")</f>
        <v/>
      </c>
    </row>
    <row r="1721">
      <c r="A1721" t="inlineStr">
        <is>
          <t>c58m1_training</t>
        </is>
      </c>
      <c r="B1721" t="inlineStr">
        <is>
          <t>2026-07-01 10:43:44.094</t>
        </is>
      </c>
      <c r="C1721" t="n">
        <v/>
      </c>
      <c r="D1721" t="inlineStr">
        <is>
          <t>Media file</t>
        </is>
      </c>
      <c r="E1721" t="inlineStr">
        <is>
          <t>player #1:C:/Users/manuel.felline/Documents/BEHAVIOR BTBR/NOR second cohort/WT/training/c58_m1.mp4</t>
        </is>
      </c>
      <c r="F1721" t="n">
        <v>-10.1</v>
      </c>
      <c r="G1721" t="n">
        <v>423.199</v>
      </c>
      <c r="H1721" t="n">
        <v>633.566</v>
      </c>
      <c r="I1721" t="n">
        <v>30</v>
      </c>
      <c r="J1721" t="inlineStr">
        <is>
          <t xml:space="preserve"> WT</t>
        </is>
      </c>
      <c r="K1721" t="inlineStr">
        <is>
          <t>Male</t>
        </is>
      </c>
      <c r="L1721" t="inlineStr">
        <is>
          <t>No focal subject</t>
        </is>
      </c>
      <c r="M1721" t="n">
        <v>20.566</v>
      </c>
      <c r="N1721" t="inlineStr">
        <is>
          <t>Explore_F</t>
        </is>
      </c>
      <c r="O1721" t="inlineStr">
        <is>
          <t>Familiar</t>
        </is>
      </c>
      <c r="P1721" t="inlineStr">
        <is>
          <t>STATE</t>
        </is>
      </c>
      <c r="Q1721" t="n">
        <v>589.466</v>
      </c>
      <c r="R1721" t="n">
        <v>589.699</v>
      </c>
      <c r="S1721" t="n">
        <v>0.233</v>
      </c>
      <c r="T1721" t="inlineStr">
        <is>
          <t>C:/Users/manuel.felline/Documents/BEHAVIOR BTBR/NOR second cohort/WT/training/c58_m1.mp4</t>
        </is>
      </c>
      <c r="U1721" t="n">
        <v>17987</v>
      </c>
      <c r="V1721" t="n">
        <v>17994</v>
      </c>
      <c r="W1721" t="n">
        <v/>
      </c>
      <c r="X1721" t="n">
        <v/>
      </c>
      <c r="Y1721" t="n">
        <v/>
      </c>
      <c r="Z1721" t="n">
        <v/>
      </c>
      <c r="AA1721">
        <f>SUMIFS($S$2:S1721,$A$2:A1721,A1721,$N$2:N1721,"Explore*")</f>
        <v/>
      </c>
      <c r="AB1721">
        <f>IF(AND(LEFT(N1721,7)="Explore",(AA1721-IF(LEFT(N1721,7)="Explore",S1721,0))&lt;10),"SI","NO")</f>
        <v/>
      </c>
    </row>
    <row r="1722">
      <c r="A1722" t="inlineStr">
        <is>
          <t>c58m2_training</t>
        </is>
      </c>
      <c r="B1722" t="inlineStr">
        <is>
          <t>2026-07-02 10:09:28.931</t>
        </is>
      </c>
      <c r="C1722" t="n">
        <v/>
      </c>
      <c r="D1722" t="inlineStr">
        <is>
          <t>Media file</t>
        </is>
      </c>
      <c r="E1722" t="inlineStr">
        <is>
          <t>player #1:C:/Users/manuel.felline/Documents/BEHAVIOR BTBR/NOR second cohort/WT/training/c58_m2.mp4</t>
        </is>
      </c>
      <c r="F1722" t="n">
        <v>-14.7</v>
      </c>
      <c r="G1722" t="n">
        <v>587.266</v>
      </c>
      <c r="H1722" t="n">
        <v>730.533</v>
      </c>
      <c r="I1722" t="n">
        <v>30</v>
      </c>
      <c r="J1722" t="inlineStr">
        <is>
          <t xml:space="preserve"> WT</t>
        </is>
      </c>
      <c r="K1722" t="inlineStr">
        <is>
          <t>Male</t>
        </is>
      </c>
      <c r="L1722" t="inlineStr">
        <is>
          <t>No focal subject</t>
        </is>
      </c>
      <c r="M1722" t="n">
        <v>23.067</v>
      </c>
      <c r="N1722" t="inlineStr">
        <is>
          <t>Explore_F2</t>
        </is>
      </c>
      <c r="O1722" t="inlineStr">
        <is>
          <t>Second familiar</t>
        </is>
      </c>
      <c r="P1722" t="inlineStr">
        <is>
          <t>STATE</t>
        </is>
      </c>
      <c r="Q1722" t="n">
        <v>5.667</v>
      </c>
      <c r="R1722" t="n">
        <v>6.133</v>
      </c>
      <c r="S1722" t="n">
        <v>0.466</v>
      </c>
      <c r="T1722" t="inlineStr">
        <is>
          <t>C:/Users/manuel.felline/Documents/BEHAVIOR BTBR/NOR second cohort/WT/training/c58_m2.mp4</t>
        </is>
      </c>
      <c r="U1722" t="n">
        <v>611</v>
      </c>
      <c r="V1722" t="n">
        <v>625</v>
      </c>
      <c r="W1722" t="n">
        <v/>
      </c>
      <c r="X1722" t="n">
        <v/>
      </c>
      <c r="Y1722" t="n">
        <v/>
      </c>
      <c r="Z1722" t="n">
        <v/>
      </c>
      <c r="AA1722">
        <f>SUMIFS($S$2:S1722,$A$2:A1722,A1722,$N$2:N1722,"Explore*")</f>
        <v/>
      </c>
      <c r="AB1722">
        <f>IF(AND(LEFT(N1722,7)="Explore",(AA1722-IF(LEFT(N1722,7)="Explore",S1722,0))&lt;10),"SI","NO")</f>
        <v/>
      </c>
    </row>
    <row r="1723">
      <c r="A1723" t="inlineStr">
        <is>
          <t>c58m2_training</t>
        </is>
      </c>
      <c r="B1723" t="inlineStr">
        <is>
          <t>2026-07-02 10:09:28.931</t>
        </is>
      </c>
      <c r="C1723" t="n">
        <v/>
      </c>
      <c r="D1723" t="inlineStr">
        <is>
          <t>Media file</t>
        </is>
      </c>
      <c r="E1723" t="inlineStr">
        <is>
          <t>player #1:C:/Users/manuel.felline/Documents/BEHAVIOR BTBR/NOR second cohort/WT/training/c58_m2.mp4</t>
        </is>
      </c>
      <c r="F1723" t="n">
        <v>-14.7</v>
      </c>
      <c r="G1723" t="n">
        <v>587.266</v>
      </c>
      <c r="H1723" t="n">
        <v>730.533</v>
      </c>
      <c r="I1723" t="n">
        <v>30</v>
      </c>
      <c r="J1723" t="inlineStr">
        <is>
          <t xml:space="preserve"> WT</t>
        </is>
      </c>
      <c r="K1723" t="inlineStr">
        <is>
          <t>Male</t>
        </is>
      </c>
      <c r="L1723" t="inlineStr">
        <is>
          <t>No focal subject</t>
        </is>
      </c>
      <c r="M1723" t="n">
        <v>23.067</v>
      </c>
      <c r="N1723" t="inlineStr">
        <is>
          <t>Explore_F</t>
        </is>
      </c>
      <c r="O1723" t="inlineStr">
        <is>
          <t>Familiar</t>
        </is>
      </c>
      <c r="P1723" t="inlineStr">
        <is>
          <t>STATE</t>
        </is>
      </c>
      <c r="Q1723" t="n">
        <v>20.167</v>
      </c>
      <c r="R1723" t="n">
        <v>20.533</v>
      </c>
      <c r="S1723" t="n">
        <v>0.366</v>
      </c>
      <c r="T1723" t="inlineStr">
        <is>
          <t>C:/Users/manuel.felline/Documents/BEHAVIOR BTBR/NOR second cohort/WT/training/c58_m2.mp4</t>
        </is>
      </c>
      <c r="U1723" t="n">
        <v>1046</v>
      </c>
      <c r="V1723" t="n">
        <v>1057</v>
      </c>
      <c r="W1723" t="n">
        <v/>
      </c>
      <c r="X1723" t="n">
        <v/>
      </c>
      <c r="Y1723" t="n">
        <v/>
      </c>
      <c r="Z1723" t="n">
        <v/>
      </c>
      <c r="AA1723">
        <f>SUMIFS($S$2:S1723,$A$2:A1723,A1723,$N$2:N1723,"Explore*")</f>
        <v/>
      </c>
      <c r="AB1723">
        <f>IF(AND(LEFT(N1723,7)="Explore",(AA1723-IF(LEFT(N1723,7)="Explore",S1723,0))&lt;10),"SI","NO")</f>
        <v/>
      </c>
    </row>
    <row r="1724">
      <c r="A1724" t="inlineStr">
        <is>
          <t>c58m2_training</t>
        </is>
      </c>
      <c r="B1724" t="inlineStr">
        <is>
          <t>2026-07-02 10:09:28.931</t>
        </is>
      </c>
      <c r="C1724" t="n">
        <v/>
      </c>
      <c r="D1724" t="inlineStr">
        <is>
          <t>Media file</t>
        </is>
      </c>
      <c r="E1724" t="inlineStr">
        <is>
          <t>player #1:C:/Users/manuel.felline/Documents/BEHAVIOR BTBR/NOR second cohort/WT/training/c58_m2.mp4</t>
        </is>
      </c>
      <c r="F1724" t="n">
        <v>-14.7</v>
      </c>
      <c r="G1724" t="n">
        <v>587.266</v>
      </c>
      <c r="H1724" t="n">
        <v>730.533</v>
      </c>
      <c r="I1724" t="n">
        <v>30</v>
      </c>
      <c r="J1724" t="inlineStr">
        <is>
          <t xml:space="preserve"> WT</t>
        </is>
      </c>
      <c r="K1724" t="inlineStr">
        <is>
          <t>Male</t>
        </is>
      </c>
      <c r="L1724" t="inlineStr">
        <is>
          <t>No focal subject</t>
        </is>
      </c>
      <c r="M1724" t="n">
        <v>23.067</v>
      </c>
      <c r="N1724" t="inlineStr">
        <is>
          <t>Explore_F2</t>
        </is>
      </c>
      <c r="O1724" t="inlineStr">
        <is>
          <t>Second familiar</t>
        </is>
      </c>
      <c r="P1724" t="inlineStr">
        <is>
          <t>STATE</t>
        </is>
      </c>
      <c r="Q1724" t="n">
        <v>38.667</v>
      </c>
      <c r="R1724" t="n">
        <v>39.067</v>
      </c>
      <c r="S1724" t="n">
        <v>0.4</v>
      </c>
      <c r="T1724" t="inlineStr">
        <is>
          <t>C:/Users/manuel.felline/Documents/BEHAVIOR BTBR/NOR second cohort/WT/training/c58_m2.mp4</t>
        </is>
      </c>
      <c r="U1724" t="n">
        <v>1601</v>
      </c>
      <c r="V1724" t="n">
        <v>1613</v>
      </c>
      <c r="W1724" t="n">
        <v/>
      </c>
      <c r="X1724" t="n">
        <v/>
      </c>
      <c r="Y1724" t="n">
        <v/>
      </c>
      <c r="Z1724" t="n">
        <v/>
      </c>
      <c r="AA1724">
        <f>SUMIFS($S$2:S1724,$A$2:A1724,A1724,$N$2:N1724,"Explore*")</f>
        <v/>
      </c>
      <c r="AB1724">
        <f>IF(AND(LEFT(N1724,7)="Explore",(AA1724-IF(LEFT(N1724,7)="Explore",S1724,0))&lt;10),"SI","NO")</f>
        <v/>
      </c>
    </row>
    <row r="1725">
      <c r="A1725" t="inlineStr">
        <is>
          <t>c58m2_training</t>
        </is>
      </c>
      <c r="B1725" t="inlineStr">
        <is>
          <t>2026-07-02 10:09:28.931</t>
        </is>
      </c>
      <c r="C1725" t="n">
        <v/>
      </c>
      <c r="D1725" t="inlineStr">
        <is>
          <t>Media file</t>
        </is>
      </c>
      <c r="E1725" t="inlineStr">
        <is>
          <t>player #1:C:/Users/manuel.felline/Documents/BEHAVIOR BTBR/NOR second cohort/WT/training/c58_m2.mp4</t>
        </is>
      </c>
      <c r="F1725" t="n">
        <v>-14.7</v>
      </c>
      <c r="G1725" t="n">
        <v>587.266</v>
      </c>
      <c r="H1725" t="n">
        <v>730.533</v>
      </c>
      <c r="I1725" t="n">
        <v>30</v>
      </c>
      <c r="J1725" t="inlineStr">
        <is>
          <t xml:space="preserve"> WT</t>
        </is>
      </c>
      <c r="K1725" t="inlineStr">
        <is>
          <t>Male</t>
        </is>
      </c>
      <c r="L1725" t="inlineStr">
        <is>
          <t>No focal subject</t>
        </is>
      </c>
      <c r="M1725" t="n">
        <v>23.067</v>
      </c>
      <c r="N1725" t="inlineStr">
        <is>
          <t>Explore_F</t>
        </is>
      </c>
      <c r="O1725" t="inlineStr">
        <is>
          <t>Familiar</t>
        </is>
      </c>
      <c r="P1725" t="inlineStr">
        <is>
          <t>STATE</t>
        </is>
      </c>
      <c r="Q1725" t="n">
        <v>45.467</v>
      </c>
      <c r="R1725" t="n">
        <v>45.833</v>
      </c>
      <c r="S1725" t="n">
        <v>0.366</v>
      </c>
      <c r="T1725" t="inlineStr">
        <is>
          <t>C:/Users/manuel.felline/Documents/BEHAVIOR BTBR/NOR second cohort/WT/training/c58_m2.mp4</t>
        </is>
      </c>
      <c r="U1725" t="n">
        <v>1805</v>
      </c>
      <c r="V1725" t="n">
        <v>1816</v>
      </c>
      <c r="W1725" t="n">
        <v/>
      </c>
      <c r="X1725" t="n">
        <v/>
      </c>
      <c r="Y1725" t="n">
        <v/>
      </c>
      <c r="Z1725" t="n">
        <v/>
      </c>
      <c r="AA1725">
        <f>SUMIFS($S$2:S1725,$A$2:A1725,A1725,$N$2:N1725,"Explore*")</f>
        <v/>
      </c>
      <c r="AB1725">
        <f>IF(AND(LEFT(N1725,7)="Explore",(AA1725-IF(LEFT(N1725,7)="Explore",S1725,0))&lt;10),"SI","NO")</f>
        <v/>
      </c>
    </row>
    <row r="1726">
      <c r="A1726" t="inlineStr">
        <is>
          <t>c58m2_training</t>
        </is>
      </c>
      <c r="B1726" t="inlineStr">
        <is>
          <t>2026-07-02 10:09:28.931</t>
        </is>
      </c>
      <c r="C1726" t="n">
        <v/>
      </c>
      <c r="D1726" t="inlineStr">
        <is>
          <t>Media file</t>
        </is>
      </c>
      <c r="E1726" t="inlineStr">
        <is>
          <t>player #1:C:/Users/manuel.felline/Documents/BEHAVIOR BTBR/NOR second cohort/WT/training/c58_m2.mp4</t>
        </is>
      </c>
      <c r="F1726" t="n">
        <v>-14.7</v>
      </c>
      <c r="G1726" t="n">
        <v>587.266</v>
      </c>
      <c r="H1726" t="n">
        <v>730.533</v>
      </c>
      <c r="I1726" t="n">
        <v>30</v>
      </c>
      <c r="J1726" t="inlineStr">
        <is>
          <t xml:space="preserve"> WT</t>
        </is>
      </c>
      <c r="K1726" t="inlineStr">
        <is>
          <t>Male</t>
        </is>
      </c>
      <c r="L1726" t="inlineStr">
        <is>
          <t>No focal subject</t>
        </is>
      </c>
      <c r="M1726" t="n">
        <v>23.067</v>
      </c>
      <c r="N1726" t="inlineStr">
        <is>
          <t>Explore_F2</t>
        </is>
      </c>
      <c r="O1726" t="inlineStr">
        <is>
          <t>Second familiar</t>
        </is>
      </c>
      <c r="P1726" t="inlineStr">
        <is>
          <t>STATE</t>
        </is>
      </c>
      <c r="Q1726" t="n">
        <v>52.433</v>
      </c>
      <c r="R1726" t="n">
        <v>53.233</v>
      </c>
      <c r="S1726" t="n">
        <v>0.8</v>
      </c>
      <c r="T1726" t="inlineStr">
        <is>
          <t>C:/Users/manuel.felline/Documents/BEHAVIOR BTBR/NOR second cohort/WT/training/c58_m2.mp4</t>
        </is>
      </c>
      <c r="U1726" t="n">
        <v>2014</v>
      </c>
      <c r="V1726" t="n">
        <v>2038</v>
      </c>
      <c r="W1726" t="n">
        <v/>
      </c>
      <c r="X1726" t="n">
        <v/>
      </c>
      <c r="Y1726" t="n">
        <v/>
      </c>
      <c r="Z1726" t="n">
        <v/>
      </c>
      <c r="AA1726">
        <f>SUMIFS($S$2:S1726,$A$2:A1726,A1726,$N$2:N1726,"Explore*")</f>
        <v/>
      </c>
      <c r="AB1726">
        <f>IF(AND(LEFT(N1726,7)="Explore",(AA1726-IF(LEFT(N1726,7)="Explore",S1726,0))&lt;10),"SI","NO")</f>
        <v/>
      </c>
    </row>
    <row r="1727">
      <c r="A1727" t="inlineStr">
        <is>
          <t>c58m2_training</t>
        </is>
      </c>
      <c r="B1727" t="inlineStr">
        <is>
          <t>2026-07-02 10:09:28.931</t>
        </is>
      </c>
      <c r="C1727" t="n">
        <v/>
      </c>
      <c r="D1727" t="inlineStr">
        <is>
          <t>Media file</t>
        </is>
      </c>
      <c r="E1727" t="inlineStr">
        <is>
          <t>player #1:C:/Users/manuel.felline/Documents/BEHAVIOR BTBR/NOR second cohort/WT/training/c58_m2.mp4</t>
        </is>
      </c>
      <c r="F1727" t="n">
        <v>-14.7</v>
      </c>
      <c r="G1727" t="n">
        <v>587.266</v>
      </c>
      <c r="H1727" t="n">
        <v>730.533</v>
      </c>
      <c r="I1727" t="n">
        <v>30</v>
      </c>
      <c r="J1727" t="inlineStr">
        <is>
          <t xml:space="preserve"> WT</t>
        </is>
      </c>
      <c r="K1727" t="inlineStr">
        <is>
          <t>Male</t>
        </is>
      </c>
      <c r="L1727" t="inlineStr">
        <is>
          <t>No focal subject</t>
        </is>
      </c>
      <c r="M1727" t="n">
        <v>23.067</v>
      </c>
      <c r="N1727" t="inlineStr">
        <is>
          <t>Explore_F</t>
        </is>
      </c>
      <c r="O1727" t="inlineStr">
        <is>
          <t>Familiar</t>
        </is>
      </c>
      <c r="P1727" t="inlineStr">
        <is>
          <t>STATE</t>
        </is>
      </c>
      <c r="Q1727" t="n">
        <v>102.867</v>
      </c>
      <c r="R1727" t="n">
        <v>103.5</v>
      </c>
      <c r="S1727" t="n">
        <v>0.633</v>
      </c>
      <c r="T1727" t="inlineStr">
        <is>
          <t>C:/Users/manuel.felline/Documents/BEHAVIOR BTBR/NOR second cohort/WT/training/c58_m2.mp4</t>
        </is>
      </c>
      <c r="U1727" t="n">
        <v>3527</v>
      </c>
      <c r="V1727" t="n">
        <v>3546</v>
      </c>
      <c r="W1727" t="n">
        <v/>
      </c>
      <c r="X1727" t="n">
        <v/>
      </c>
      <c r="Y1727" t="n">
        <v/>
      </c>
      <c r="Z1727" t="n">
        <v/>
      </c>
      <c r="AA1727">
        <f>SUMIFS($S$2:S1727,$A$2:A1727,A1727,$N$2:N1727,"Explore*")</f>
        <v/>
      </c>
      <c r="AB1727">
        <f>IF(AND(LEFT(N1727,7)="Explore",(AA1727-IF(LEFT(N1727,7)="Explore",S1727,0))&lt;10),"SI","NO")</f>
        <v/>
      </c>
    </row>
    <row r="1728">
      <c r="A1728" t="inlineStr">
        <is>
          <t>c58m2_training</t>
        </is>
      </c>
      <c r="B1728" t="inlineStr">
        <is>
          <t>2026-07-02 10:09:28.931</t>
        </is>
      </c>
      <c r="C1728" t="n">
        <v/>
      </c>
      <c r="D1728" t="inlineStr">
        <is>
          <t>Media file</t>
        </is>
      </c>
      <c r="E1728" t="inlineStr">
        <is>
          <t>player #1:C:/Users/manuel.felline/Documents/BEHAVIOR BTBR/NOR second cohort/WT/training/c58_m2.mp4</t>
        </is>
      </c>
      <c r="F1728" t="n">
        <v>-14.7</v>
      </c>
      <c r="G1728" t="n">
        <v>587.266</v>
      </c>
      <c r="H1728" t="n">
        <v>730.533</v>
      </c>
      <c r="I1728" t="n">
        <v>30</v>
      </c>
      <c r="J1728" t="inlineStr">
        <is>
          <t xml:space="preserve"> WT</t>
        </is>
      </c>
      <c r="K1728" t="inlineStr">
        <is>
          <t>Male</t>
        </is>
      </c>
      <c r="L1728" t="inlineStr">
        <is>
          <t>No focal subject</t>
        </is>
      </c>
      <c r="M1728" t="n">
        <v>23.067</v>
      </c>
      <c r="N1728" t="inlineStr">
        <is>
          <t>Explore_F</t>
        </is>
      </c>
      <c r="O1728" t="inlineStr">
        <is>
          <t>Familiar</t>
        </is>
      </c>
      <c r="P1728" t="inlineStr">
        <is>
          <t>STATE</t>
        </is>
      </c>
      <c r="Q1728" t="n">
        <v>110.567</v>
      </c>
      <c r="R1728" t="n">
        <v>111.133</v>
      </c>
      <c r="S1728" t="n">
        <v>0.5659999999999999</v>
      </c>
      <c r="T1728" t="inlineStr">
        <is>
          <t>C:/Users/manuel.felline/Documents/BEHAVIOR BTBR/NOR second cohort/WT/training/c58_m2.mp4</t>
        </is>
      </c>
      <c r="U1728" t="n">
        <v>3758</v>
      </c>
      <c r="V1728" t="n">
        <v>3775</v>
      </c>
      <c r="W1728" t="n">
        <v/>
      </c>
      <c r="X1728" t="n">
        <v/>
      </c>
      <c r="Y1728" t="n">
        <v/>
      </c>
      <c r="Z1728" t="n">
        <v/>
      </c>
      <c r="AA1728">
        <f>SUMIFS($S$2:S1728,$A$2:A1728,A1728,$N$2:N1728,"Explore*")</f>
        <v/>
      </c>
      <c r="AB1728">
        <f>IF(AND(LEFT(N1728,7)="Explore",(AA1728-IF(LEFT(N1728,7)="Explore",S1728,0))&lt;10),"SI","NO")</f>
        <v/>
      </c>
    </row>
    <row r="1729">
      <c r="A1729" t="inlineStr">
        <is>
          <t>c58m2_training</t>
        </is>
      </c>
      <c r="B1729" t="inlineStr">
        <is>
          <t>2026-07-02 10:09:28.931</t>
        </is>
      </c>
      <c r="C1729" t="n">
        <v/>
      </c>
      <c r="D1729" t="inlineStr">
        <is>
          <t>Media file</t>
        </is>
      </c>
      <c r="E1729" t="inlineStr">
        <is>
          <t>player #1:C:/Users/manuel.felline/Documents/BEHAVIOR BTBR/NOR second cohort/WT/training/c58_m2.mp4</t>
        </is>
      </c>
      <c r="F1729" t="n">
        <v>-14.7</v>
      </c>
      <c r="G1729" t="n">
        <v>587.266</v>
      </c>
      <c r="H1729" t="n">
        <v>730.533</v>
      </c>
      <c r="I1729" t="n">
        <v>30</v>
      </c>
      <c r="J1729" t="inlineStr">
        <is>
          <t xml:space="preserve"> WT</t>
        </is>
      </c>
      <c r="K1729" t="inlineStr">
        <is>
          <t>Male</t>
        </is>
      </c>
      <c r="L1729" t="inlineStr">
        <is>
          <t>No focal subject</t>
        </is>
      </c>
      <c r="M1729" t="n">
        <v>23.067</v>
      </c>
      <c r="N1729" t="inlineStr">
        <is>
          <t>Explore_F</t>
        </is>
      </c>
      <c r="O1729" t="inlineStr">
        <is>
          <t>Familiar</t>
        </is>
      </c>
      <c r="P1729" t="inlineStr">
        <is>
          <t>STATE</t>
        </is>
      </c>
      <c r="Q1729" t="n">
        <v>125.7</v>
      </c>
      <c r="R1729" t="n">
        <v>125.967</v>
      </c>
      <c r="S1729" t="n">
        <v>0.267</v>
      </c>
      <c r="T1729" t="inlineStr">
        <is>
          <t>C:/Users/manuel.felline/Documents/BEHAVIOR BTBR/NOR second cohort/WT/training/c58_m2.mp4</t>
        </is>
      </c>
      <c r="U1729" t="n">
        <v>4212</v>
      </c>
      <c r="V1729" t="n">
        <v>4220</v>
      </c>
      <c r="W1729" t="n">
        <v/>
      </c>
      <c r="X1729" t="n">
        <v/>
      </c>
      <c r="Y1729" t="n">
        <v/>
      </c>
      <c r="Z1729" t="n">
        <v/>
      </c>
      <c r="AA1729">
        <f>SUMIFS($S$2:S1729,$A$2:A1729,A1729,$N$2:N1729,"Explore*")</f>
        <v/>
      </c>
      <c r="AB1729">
        <f>IF(AND(LEFT(N1729,7)="Explore",(AA1729-IF(LEFT(N1729,7)="Explore",S1729,0))&lt;10),"SI","NO")</f>
        <v/>
      </c>
    </row>
    <row r="1730">
      <c r="A1730" t="inlineStr">
        <is>
          <t>c58m2_training</t>
        </is>
      </c>
      <c r="B1730" t="inlineStr">
        <is>
          <t>2026-07-02 10:09:28.931</t>
        </is>
      </c>
      <c r="C1730" t="n">
        <v/>
      </c>
      <c r="D1730" t="inlineStr">
        <is>
          <t>Media file</t>
        </is>
      </c>
      <c r="E1730" t="inlineStr">
        <is>
          <t>player #1:C:/Users/manuel.felline/Documents/BEHAVIOR BTBR/NOR second cohort/WT/training/c58_m2.mp4</t>
        </is>
      </c>
      <c r="F1730" t="n">
        <v>-14.7</v>
      </c>
      <c r="G1730" t="n">
        <v>587.266</v>
      </c>
      <c r="H1730" t="n">
        <v>730.533</v>
      </c>
      <c r="I1730" t="n">
        <v>30</v>
      </c>
      <c r="J1730" t="inlineStr">
        <is>
          <t xml:space="preserve"> WT</t>
        </is>
      </c>
      <c r="K1730" t="inlineStr">
        <is>
          <t>Male</t>
        </is>
      </c>
      <c r="L1730" t="inlineStr">
        <is>
          <t>No focal subject</t>
        </is>
      </c>
      <c r="M1730" t="n">
        <v>23.067</v>
      </c>
      <c r="N1730" t="inlineStr">
        <is>
          <t>Explore_F</t>
        </is>
      </c>
      <c r="O1730" t="inlineStr">
        <is>
          <t>Familiar</t>
        </is>
      </c>
      <c r="P1730" t="inlineStr">
        <is>
          <t>STATE</t>
        </is>
      </c>
      <c r="Q1730" t="n">
        <v>149.033</v>
      </c>
      <c r="R1730" t="n">
        <v>149.7</v>
      </c>
      <c r="S1730" t="n">
        <v>0.667</v>
      </c>
      <c r="T1730" t="inlineStr">
        <is>
          <t>C:/Users/manuel.felline/Documents/BEHAVIOR BTBR/NOR second cohort/WT/training/c58_m2.mp4</t>
        </is>
      </c>
      <c r="U1730" t="n">
        <v>4912</v>
      </c>
      <c r="V1730" t="n">
        <v>4932</v>
      </c>
      <c r="W1730" t="n">
        <v/>
      </c>
      <c r="X1730" t="n">
        <v/>
      </c>
      <c r="Y1730" t="n">
        <v/>
      </c>
      <c r="Z1730" t="n">
        <v/>
      </c>
      <c r="AA1730">
        <f>SUMIFS($S$2:S1730,$A$2:A1730,A1730,$N$2:N1730,"Explore*")</f>
        <v/>
      </c>
      <c r="AB1730">
        <f>IF(AND(LEFT(N1730,7)="Explore",(AA1730-IF(LEFT(N1730,7)="Explore",S1730,0))&lt;10),"SI","NO")</f>
        <v/>
      </c>
    </row>
    <row r="1731">
      <c r="A1731" t="inlineStr">
        <is>
          <t>c58m2_training</t>
        </is>
      </c>
      <c r="B1731" t="inlineStr">
        <is>
          <t>2026-07-02 10:09:28.931</t>
        </is>
      </c>
      <c r="C1731" t="n">
        <v/>
      </c>
      <c r="D1731" t="inlineStr">
        <is>
          <t>Media file</t>
        </is>
      </c>
      <c r="E1731" t="inlineStr">
        <is>
          <t>player #1:C:/Users/manuel.felline/Documents/BEHAVIOR BTBR/NOR second cohort/WT/training/c58_m2.mp4</t>
        </is>
      </c>
      <c r="F1731" t="n">
        <v>-14.7</v>
      </c>
      <c r="G1731" t="n">
        <v>587.266</v>
      </c>
      <c r="H1731" t="n">
        <v>730.533</v>
      </c>
      <c r="I1731" t="n">
        <v>30</v>
      </c>
      <c r="J1731" t="inlineStr">
        <is>
          <t xml:space="preserve"> WT</t>
        </is>
      </c>
      <c r="K1731" t="inlineStr">
        <is>
          <t>Male</t>
        </is>
      </c>
      <c r="L1731" t="inlineStr">
        <is>
          <t>No focal subject</t>
        </is>
      </c>
      <c r="M1731" t="n">
        <v>23.067</v>
      </c>
      <c r="N1731" t="inlineStr">
        <is>
          <t>Explore_F2</t>
        </is>
      </c>
      <c r="O1731" t="inlineStr">
        <is>
          <t>Second familiar</t>
        </is>
      </c>
      <c r="P1731" t="inlineStr">
        <is>
          <t>STATE</t>
        </is>
      </c>
      <c r="Q1731" t="n">
        <v>150.7</v>
      </c>
      <c r="R1731" t="n">
        <v>151.466</v>
      </c>
      <c r="S1731" t="n">
        <v>0.766</v>
      </c>
      <c r="T1731" t="inlineStr">
        <is>
          <t>C:/Users/manuel.felline/Documents/BEHAVIOR BTBR/NOR second cohort/WT/training/c58_m2.mp4</t>
        </is>
      </c>
      <c r="U1731" t="n">
        <v>4962</v>
      </c>
      <c r="V1731" t="n">
        <v>4985</v>
      </c>
      <c r="W1731" t="n">
        <v/>
      </c>
      <c r="X1731" t="n">
        <v/>
      </c>
      <c r="Y1731" t="n">
        <v/>
      </c>
      <c r="Z1731" t="n">
        <v/>
      </c>
      <c r="AA1731">
        <f>SUMIFS($S$2:S1731,$A$2:A1731,A1731,$N$2:N1731,"Explore*")</f>
        <v/>
      </c>
      <c r="AB1731">
        <f>IF(AND(LEFT(N1731,7)="Explore",(AA1731-IF(LEFT(N1731,7)="Explore",S1731,0))&lt;10),"SI","NO")</f>
        <v/>
      </c>
    </row>
    <row r="1732">
      <c r="A1732" t="inlineStr">
        <is>
          <t>c58m2_training</t>
        </is>
      </c>
      <c r="B1732" t="inlineStr">
        <is>
          <t>2026-07-02 10:09:28.931</t>
        </is>
      </c>
      <c r="C1732" t="n">
        <v/>
      </c>
      <c r="D1732" t="inlineStr">
        <is>
          <t>Media file</t>
        </is>
      </c>
      <c r="E1732" t="inlineStr">
        <is>
          <t>player #1:C:/Users/manuel.felline/Documents/BEHAVIOR BTBR/NOR second cohort/WT/training/c58_m2.mp4</t>
        </is>
      </c>
      <c r="F1732" t="n">
        <v>-14.7</v>
      </c>
      <c r="G1732" t="n">
        <v>587.266</v>
      </c>
      <c r="H1732" t="n">
        <v>730.533</v>
      </c>
      <c r="I1732" t="n">
        <v>30</v>
      </c>
      <c r="J1732" t="inlineStr">
        <is>
          <t xml:space="preserve"> WT</t>
        </is>
      </c>
      <c r="K1732" t="inlineStr">
        <is>
          <t>Male</t>
        </is>
      </c>
      <c r="L1732" t="inlineStr">
        <is>
          <t>No focal subject</t>
        </is>
      </c>
      <c r="M1732" t="n">
        <v>23.067</v>
      </c>
      <c r="N1732" t="inlineStr">
        <is>
          <t>Explore_F</t>
        </is>
      </c>
      <c r="O1732" t="inlineStr">
        <is>
          <t>Familiar</t>
        </is>
      </c>
      <c r="P1732" t="inlineStr">
        <is>
          <t>STATE</t>
        </is>
      </c>
      <c r="Q1732" t="n">
        <v>159.766</v>
      </c>
      <c r="R1732" t="n">
        <v>160.2</v>
      </c>
      <c r="S1732" t="n">
        <v>0.434</v>
      </c>
      <c r="T1732" t="inlineStr">
        <is>
          <t>C:/Users/manuel.felline/Documents/BEHAVIOR BTBR/NOR second cohort/WT/training/c58_m2.mp4</t>
        </is>
      </c>
      <c r="U1732" t="n">
        <v>5234</v>
      </c>
      <c r="V1732" t="n">
        <v>5247</v>
      </c>
      <c r="W1732" t="n">
        <v/>
      </c>
      <c r="X1732" t="n">
        <v/>
      </c>
      <c r="Y1732" t="n">
        <v/>
      </c>
      <c r="Z1732" t="n">
        <v/>
      </c>
      <c r="AA1732">
        <f>SUMIFS($S$2:S1732,$A$2:A1732,A1732,$N$2:N1732,"Explore*")</f>
        <v/>
      </c>
      <c r="AB1732">
        <f>IF(AND(LEFT(N1732,7)="Explore",(AA1732-IF(LEFT(N1732,7)="Explore",S1732,0))&lt;10),"SI","NO")</f>
        <v/>
      </c>
    </row>
    <row r="1733">
      <c r="A1733" t="inlineStr">
        <is>
          <t>c58m2_training</t>
        </is>
      </c>
      <c r="B1733" t="inlineStr">
        <is>
          <t>2026-07-02 10:09:28.931</t>
        </is>
      </c>
      <c r="C1733" t="n">
        <v/>
      </c>
      <c r="D1733" t="inlineStr">
        <is>
          <t>Media file</t>
        </is>
      </c>
      <c r="E1733" t="inlineStr">
        <is>
          <t>player #1:C:/Users/manuel.felline/Documents/BEHAVIOR BTBR/NOR second cohort/WT/training/c58_m2.mp4</t>
        </is>
      </c>
      <c r="F1733" t="n">
        <v>-14.7</v>
      </c>
      <c r="G1733" t="n">
        <v>587.266</v>
      </c>
      <c r="H1733" t="n">
        <v>730.533</v>
      </c>
      <c r="I1733" t="n">
        <v>30</v>
      </c>
      <c r="J1733" t="inlineStr">
        <is>
          <t xml:space="preserve"> WT</t>
        </is>
      </c>
      <c r="K1733" t="inlineStr">
        <is>
          <t>Male</t>
        </is>
      </c>
      <c r="L1733" t="inlineStr">
        <is>
          <t>No focal subject</t>
        </is>
      </c>
      <c r="M1733" t="n">
        <v>23.067</v>
      </c>
      <c r="N1733" t="inlineStr">
        <is>
          <t>Explore_F</t>
        </is>
      </c>
      <c r="O1733" t="inlineStr">
        <is>
          <t>Familiar</t>
        </is>
      </c>
      <c r="P1733" t="inlineStr">
        <is>
          <t>STATE</t>
        </is>
      </c>
      <c r="Q1733" t="n">
        <v>178.366</v>
      </c>
      <c r="R1733" t="n">
        <v>178.7</v>
      </c>
      <c r="S1733" t="n">
        <v>0.334</v>
      </c>
      <c r="T1733" t="inlineStr">
        <is>
          <t>C:/Users/manuel.felline/Documents/BEHAVIOR BTBR/NOR second cohort/WT/training/c58_m2.mp4</t>
        </is>
      </c>
      <c r="U1733" t="n">
        <v>5792</v>
      </c>
      <c r="V1733" t="n">
        <v>5802</v>
      </c>
      <c r="W1733" t="n">
        <v/>
      </c>
      <c r="X1733" t="n">
        <v/>
      </c>
      <c r="Y1733" t="n">
        <v/>
      </c>
      <c r="Z1733" t="n">
        <v/>
      </c>
      <c r="AA1733">
        <f>SUMIFS($S$2:S1733,$A$2:A1733,A1733,$N$2:N1733,"Explore*")</f>
        <v/>
      </c>
      <c r="AB1733">
        <f>IF(AND(LEFT(N1733,7)="Explore",(AA1733-IF(LEFT(N1733,7)="Explore",S1733,0))&lt;10),"SI","NO")</f>
        <v/>
      </c>
    </row>
    <row r="1734">
      <c r="A1734" t="inlineStr">
        <is>
          <t>c58m2_training</t>
        </is>
      </c>
      <c r="B1734" t="inlineStr">
        <is>
          <t>2026-07-02 10:09:28.931</t>
        </is>
      </c>
      <c r="C1734" t="n">
        <v/>
      </c>
      <c r="D1734" t="inlineStr">
        <is>
          <t>Media file</t>
        </is>
      </c>
      <c r="E1734" t="inlineStr">
        <is>
          <t>player #1:C:/Users/manuel.felline/Documents/BEHAVIOR BTBR/NOR second cohort/WT/training/c58_m2.mp4</t>
        </is>
      </c>
      <c r="F1734" t="n">
        <v>-14.7</v>
      </c>
      <c r="G1734" t="n">
        <v>587.266</v>
      </c>
      <c r="H1734" t="n">
        <v>730.533</v>
      </c>
      <c r="I1734" t="n">
        <v>30</v>
      </c>
      <c r="J1734" t="inlineStr">
        <is>
          <t xml:space="preserve"> WT</t>
        </is>
      </c>
      <c r="K1734" t="inlineStr">
        <is>
          <t>Male</t>
        </is>
      </c>
      <c r="L1734" t="inlineStr">
        <is>
          <t>No focal subject</t>
        </is>
      </c>
      <c r="M1734" t="n">
        <v>23.067</v>
      </c>
      <c r="N1734" t="inlineStr">
        <is>
          <t>Explore_F2</t>
        </is>
      </c>
      <c r="O1734" t="inlineStr">
        <is>
          <t>Second familiar</t>
        </is>
      </c>
      <c r="P1734" t="inlineStr">
        <is>
          <t>STATE</t>
        </is>
      </c>
      <c r="Q1734" t="n">
        <v>180.866</v>
      </c>
      <c r="R1734" t="n">
        <v>181.366</v>
      </c>
      <c r="S1734" t="n">
        <v>0.5</v>
      </c>
      <c r="T1734" t="inlineStr">
        <is>
          <t>C:/Users/manuel.felline/Documents/BEHAVIOR BTBR/NOR second cohort/WT/training/c58_m2.mp4</t>
        </is>
      </c>
      <c r="U1734" t="n">
        <v>5867</v>
      </c>
      <c r="V1734" t="n">
        <v>5882</v>
      </c>
      <c r="W1734" t="n">
        <v/>
      </c>
      <c r="X1734" t="n">
        <v/>
      </c>
      <c r="Y1734" t="n">
        <v/>
      </c>
      <c r="Z1734" t="n">
        <v/>
      </c>
      <c r="AA1734">
        <f>SUMIFS($S$2:S1734,$A$2:A1734,A1734,$N$2:N1734,"Explore*")</f>
        <v/>
      </c>
      <c r="AB1734">
        <f>IF(AND(LEFT(N1734,7)="Explore",(AA1734-IF(LEFT(N1734,7)="Explore",S1734,0))&lt;10),"SI","NO")</f>
        <v/>
      </c>
    </row>
    <row r="1735">
      <c r="A1735" t="inlineStr">
        <is>
          <t>c58m2_training</t>
        </is>
      </c>
      <c r="B1735" t="inlineStr">
        <is>
          <t>2026-07-02 10:09:28.931</t>
        </is>
      </c>
      <c r="C1735" t="n">
        <v/>
      </c>
      <c r="D1735" t="inlineStr">
        <is>
          <t>Media file</t>
        </is>
      </c>
      <c r="E1735" t="inlineStr">
        <is>
          <t>player #1:C:/Users/manuel.felline/Documents/BEHAVIOR BTBR/NOR second cohort/WT/training/c58_m2.mp4</t>
        </is>
      </c>
      <c r="F1735" t="n">
        <v>-14.7</v>
      </c>
      <c r="G1735" t="n">
        <v>587.266</v>
      </c>
      <c r="H1735" t="n">
        <v>730.533</v>
      </c>
      <c r="I1735" t="n">
        <v>30</v>
      </c>
      <c r="J1735" t="inlineStr">
        <is>
          <t xml:space="preserve"> WT</t>
        </is>
      </c>
      <c r="K1735" t="inlineStr">
        <is>
          <t>Male</t>
        </is>
      </c>
      <c r="L1735" t="inlineStr">
        <is>
          <t>No focal subject</t>
        </is>
      </c>
      <c r="M1735" t="n">
        <v>23.067</v>
      </c>
      <c r="N1735" t="inlineStr">
        <is>
          <t>Explore_F2</t>
        </is>
      </c>
      <c r="O1735" t="inlineStr">
        <is>
          <t>Second familiar</t>
        </is>
      </c>
      <c r="P1735" t="inlineStr">
        <is>
          <t>STATE</t>
        </is>
      </c>
      <c r="Q1735" t="n">
        <v>188.833</v>
      </c>
      <c r="R1735" t="n">
        <v>189.266</v>
      </c>
      <c r="S1735" t="n">
        <v>0.433</v>
      </c>
      <c r="T1735" t="inlineStr">
        <is>
          <t>C:/Users/manuel.felline/Documents/BEHAVIOR BTBR/NOR second cohort/WT/training/c58_m2.mp4</t>
        </is>
      </c>
      <c r="U1735" t="n">
        <v>6106</v>
      </c>
      <c r="V1735" t="n">
        <v>6119</v>
      </c>
      <c r="W1735" t="n">
        <v/>
      </c>
      <c r="X1735" t="n">
        <v/>
      </c>
      <c r="Y1735" t="n">
        <v/>
      </c>
      <c r="Z1735" t="n">
        <v/>
      </c>
      <c r="AA1735">
        <f>SUMIFS($S$2:S1735,$A$2:A1735,A1735,$N$2:N1735,"Explore*")</f>
        <v/>
      </c>
      <c r="AB1735">
        <f>IF(AND(LEFT(N1735,7)="Explore",(AA1735-IF(LEFT(N1735,7)="Explore",S1735,0))&lt;10),"SI","NO")</f>
        <v/>
      </c>
    </row>
    <row r="1736">
      <c r="A1736" t="inlineStr">
        <is>
          <t>c58m2_training</t>
        </is>
      </c>
      <c r="B1736" t="inlineStr">
        <is>
          <t>2026-07-02 10:09:28.931</t>
        </is>
      </c>
      <c r="C1736" t="n">
        <v/>
      </c>
      <c r="D1736" t="inlineStr">
        <is>
          <t>Media file</t>
        </is>
      </c>
      <c r="E1736" t="inlineStr">
        <is>
          <t>player #1:C:/Users/manuel.felline/Documents/BEHAVIOR BTBR/NOR second cohort/WT/training/c58_m2.mp4</t>
        </is>
      </c>
      <c r="F1736" t="n">
        <v>-14.7</v>
      </c>
      <c r="G1736" t="n">
        <v>587.266</v>
      </c>
      <c r="H1736" t="n">
        <v>730.533</v>
      </c>
      <c r="I1736" t="n">
        <v>30</v>
      </c>
      <c r="J1736" t="inlineStr">
        <is>
          <t xml:space="preserve"> WT</t>
        </is>
      </c>
      <c r="K1736" t="inlineStr">
        <is>
          <t>Male</t>
        </is>
      </c>
      <c r="L1736" t="inlineStr">
        <is>
          <t>No focal subject</t>
        </is>
      </c>
      <c r="M1736" t="n">
        <v>23.067</v>
      </c>
      <c r="N1736" t="inlineStr">
        <is>
          <t>Explore_F</t>
        </is>
      </c>
      <c r="O1736" t="inlineStr">
        <is>
          <t>Familiar</t>
        </is>
      </c>
      <c r="P1736" t="inlineStr">
        <is>
          <t>STATE</t>
        </is>
      </c>
      <c r="Q1736" t="n">
        <v>195.833</v>
      </c>
      <c r="R1736" t="n">
        <v>197.066</v>
      </c>
      <c r="S1736" t="n">
        <v>1.233</v>
      </c>
      <c r="T1736" t="inlineStr">
        <is>
          <t>C:/Users/manuel.felline/Documents/BEHAVIOR BTBR/NOR second cohort/WT/training/c58_m2.mp4</t>
        </is>
      </c>
      <c r="U1736" t="n">
        <v>6316</v>
      </c>
      <c r="V1736" t="n">
        <v>6353</v>
      </c>
      <c r="W1736" t="n">
        <v/>
      </c>
      <c r="X1736" t="n">
        <v/>
      </c>
      <c r="Y1736" t="n">
        <v/>
      </c>
      <c r="Z1736" t="n">
        <v/>
      </c>
      <c r="AA1736">
        <f>SUMIFS($S$2:S1736,$A$2:A1736,A1736,$N$2:N1736,"Explore*")</f>
        <v/>
      </c>
      <c r="AB1736">
        <f>IF(AND(LEFT(N1736,7)="Explore",(AA1736-IF(LEFT(N1736,7)="Explore",S1736,0))&lt;10),"SI","NO")</f>
        <v/>
      </c>
    </row>
    <row r="1737">
      <c r="A1737" t="inlineStr">
        <is>
          <t>c58m2_training</t>
        </is>
      </c>
      <c r="B1737" t="inlineStr">
        <is>
          <t>2026-07-02 10:09:28.931</t>
        </is>
      </c>
      <c r="C1737" t="n">
        <v/>
      </c>
      <c r="D1737" t="inlineStr">
        <is>
          <t>Media file</t>
        </is>
      </c>
      <c r="E1737" t="inlineStr">
        <is>
          <t>player #1:C:/Users/manuel.felline/Documents/BEHAVIOR BTBR/NOR second cohort/WT/training/c58_m2.mp4</t>
        </is>
      </c>
      <c r="F1737" t="n">
        <v>-14.7</v>
      </c>
      <c r="G1737" t="n">
        <v>587.266</v>
      </c>
      <c r="H1737" t="n">
        <v>730.533</v>
      </c>
      <c r="I1737" t="n">
        <v>30</v>
      </c>
      <c r="J1737" t="inlineStr">
        <is>
          <t xml:space="preserve"> WT</t>
        </is>
      </c>
      <c r="K1737" t="inlineStr">
        <is>
          <t>Male</t>
        </is>
      </c>
      <c r="L1737" t="inlineStr">
        <is>
          <t>No focal subject</t>
        </is>
      </c>
      <c r="M1737" t="n">
        <v>23.067</v>
      </c>
      <c r="N1737" t="inlineStr">
        <is>
          <t>Explore_F2</t>
        </is>
      </c>
      <c r="O1737" t="inlineStr">
        <is>
          <t>Second familiar</t>
        </is>
      </c>
      <c r="P1737" t="inlineStr">
        <is>
          <t>STATE</t>
        </is>
      </c>
      <c r="Q1737" t="n">
        <v>257.666</v>
      </c>
      <c r="R1737" t="n">
        <v>258.233</v>
      </c>
      <c r="S1737" t="n">
        <v>0.5669999999999999</v>
      </c>
      <c r="T1737" t="inlineStr">
        <is>
          <t>C:/Users/manuel.felline/Documents/BEHAVIOR BTBR/NOR second cohort/WT/training/c58_m2.mp4</t>
        </is>
      </c>
      <c r="U1737" t="n">
        <v>8171</v>
      </c>
      <c r="V1737" t="n">
        <v>8188</v>
      </c>
      <c r="W1737" t="n">
        <v/>
      </c>
      <c r="X1737" t="n">
        <v/>
      </c>
      <c r="Y1737" t="n">
        <v/>
      </c>
      <c r="Z1737" t="n">
        <v/>
      </c>
      <c r="AA1737">
        <f>SUMIFS($S$2:S1737,$A$2:A1737,A1737,$N$2:N1737,"Explore*")</f>
        <v/>
      </c>
      <c r="AB1737">
        <f>IF(AND(LEFT(N1737,7)="Explore",(AA1737-IF(LEFT(N1737,7)="Explore",S1737,0))&lt;10),"SI","NO")</f>
        <v/>
      </c>
    </row>
    <row r="1738">
      <c r="A1738" t="inlineStr">
        <is>
          <t>c58m2_training</t>
        </is>
      </c>
      <c r="B1738" t="inlineStr">
        <is>
          <t>2026-07-02 10:09:28.931</t>
        </is>
      </c>
      <c r="C1738" t="n">
        <v/>
      </c>
      <c r="D1738" t="inlineStr">
        <is>
          <t>Media file</t>
        </is>
      </c>
      <c r="E1738" t="inlineStr">
        <is>
          <t>player #1:C:/Users/manuel.felline/Documents/BEHAVIOR BTBR/NOR second cohort/WT/training/c58_m2.mp4</t>
        </is>
      </c>
      <c r="F1738" t="n">
        <v>-14.7</v>
      </c>
      <c r="G1738" t="n">
        <v>587.266</v>
      </c>
      <c r="H1738" t="n">
        <v>730.533</v>
      </c>
      <c r="I1738" t="n">
        <v>30</v>
      </c>
      <c r="J1738" t="inlineStr">
        <is>
          <t xml:space="preserve"> WT</t>
        </is>
      </c>
      <c r="K1738" t="inlineStr">
        <is>
          <t>Male</t>
        </is>
      </c>
      <c r="L1738" t="inlineStr">
        <is>
          <t>No focal subject</t>
        </is>
      </c>
      <c r="M1738" t="n">
        <v>23.067</v>
      </c>
      <c r="N1738" t="inlineStr">
        <is>
          <t>Explore_F</t>
        </is>
      </c>
      <c r="O1738" t="inlineStr">
        <is>
          <t>Familiar</t>
        </is>
      </c>
      <c r="P1738" t="inlineStr">
        <is>
          <t>STATE</t>
        </is>
      </c>
      <c r="Q1738" t="n">
        <v>260.1</v>
      </c>
      <c r="R1738" t="n">
        <v>260.4</v>
      </c>
      <c r="S1738" t="n">
        <v>0.3</v>
      </c>
      <c r="T1738" t="inlineStr">
        <is>
          <t>C:/Users/manuel.felline/Documents/BEHAVIOR BTBR/NOR second cohort/WT/training/c58_m2.mp4</t>
        </is>
      </c>
      <c r="U1738" t="n">
        <v>8244</v>
      </c>
      <c r="V1738" t="n">
        <v>8253</v>
      </c>
      <c r="W1738" t="n">
        <v/>
      </c>
      <c r="X1738" t="n">
        <v/>
      </c>
      <c r="Y1738" t="n">
        <v/>
      </c>
      <c r="Z1738" t="n">
        <v/>
      </c>
      <c r="AA1738">
        <f>SUMIFS($S$2:S1738,$A$2:A1738,A1738,$N$2:N1738,"Explore*")</f>
        <v/>
      </c>
      <c r="AB1738">
        <f>IF(AND(LEFT(N1738,7)="Explore",(AA1738-IF(LEFT(N1738,7)="Explore",S1738,0))&lt;10),"SI","NO")</f>
        <v/>
      </c>
    </row>
    <row r="1739">
      <c r="A1739" t="inlineStr">
        <is>
          <t>c58m2_training</t>
        </is>
      </c>
      <c r="B1739" t="inlineStr">
        <is>
          <t>2026-07-02 10:09:28.931</t>
        </is>
      </c>
      <c r="C1739" t="n">
        <v/>
      </c>
      <c r="D1739" t="inlineStr">
        <is>
          <t>Media file</t>
        </is>
      </c>
      <c r="E1739" t="inlineStr">
        <is>
          <t>player #1:C:/Users/manuel.felline/Documents/BEHAVIOR BTBR/NOR second cohort/WT/training/c58_m2.mp4</t>
        </is>
      </c>
      <c r="F1739" t="n">
        <v>-14.7</v>
      </c>
      <c r="G1739" t="n">
        <v>587.266</v>
      </c>
      <c r="H1739" t="n">
        <v>730.533</v>
      </c>
      <c r="I1739" t="n">
        <v>30</v>
      </c>
      <c r="J1739" t="inlineStr">
        <is>
          <t xml:space="preserve"> WT</t>
        </is>
      </c>
      <c r="K1739" t="inlineStr">
        <is>
          <t>Male</t>
        </is>
      </c>
      <c r="L1739" t="inlineStr">
        <is>
          <t>No focal subject</t>
        </is>
      </c>
      <c r="M1739" t="n">
        <v>23.067</v>
      </c>
      <c r="N1739" t="inlineStr">
        <is>
          <t>Explore_F</t>
        </is>
      </c>
      <c r="O1739" t="inlineStr">
        <is>
          <t>Familiar</t>
        </is>
      </c>
      <c r="P1739" t="inlineStr">
        <is>
          <t>STATE</t>
        </is>
      </c>
      <c r="Q1739" t="n">
        <v>281.266</v>
      </c>
      <c r="R1739" t="n">
        <v>282.166</v>
      </c>
      <c r="S1739" t="n">
        <v>0.9</v>
      </c>
      <c r="T1739" t="inlineStr">
        <is>
          <t>C:/Users/manuel.felline/Documents/BEHAVIOR BTBR/NOR second cohort/WT/training/c58_m2.mp4</t>
        </is>
      </c>
      <c r="U1739" t="n">
        <v>8879</v>
      </c>
      <c r="V1739" t="n">
        <v>8906</v>
      </c>
      <c r="W1739" t="n">
        <v/>
      </c>
      <c r="X1739" t="n">
        <v/>
      </c>
      <c r="Y1739" t="n">
        <v/>
      </c>
      <c r="Z1739" t="n">
        <v/>
      </c>
      <c r="AA1739">
        <f>SUMIFS($S$2:S1739,$A$2:A1739,A1739,$N$2:N1739,"Explore*")</f>
        <v/>
      </c>
      <c r="AB1739">
        <f>IF(AND(LEFT(N1739,7)="Explore",(AA1739-IF(LEFT(N1739,7)="Explore",S1739,0))&lt;10),"SI","NO")</f>
        <v/>
      </c>
    </row>
    <row r="1740">
      <c r="A1740" t="inlineStr">
        <is>
          <t>c58m2_training</t>
        </is>
      </c>
      <c r="B1740" t="inlineStr">
        <is>
          <t>2026-07-02 10:09:28.931</t>
        </is>
      </c>
      <c r="C1740" t="n">
        <v/>
      </c>
      <c r="D1740" t="inlineStr">
        <is>
          <t>Media file</t>
        </is>
      </c>
      <c r="E1740" t="inlineStr">
        <is>
          <t>player #1:C:/Users/manuel.felline/Documents/BEHAVIOR BTBR/NOR second cohort/WT/training/c58_m2.mp4</t>
        </is>
      </c>
      <c r="F1740" t="n">
        <v>-14.7</v>
      </c>
      <c r="G1740" t="n">
        <v>587.266</v>
      </c>
      <c r="H1740" t="n">
        <v>730.533</v>
      </c>
      <c r="I1740" t="n">
        <v>30</v>
      </c>
      <c r="J1740" t="inlineStr">
        <is>
          <t xml:space="preserve"> WT</t>
        </is>
      </c>
      <c r="K1740" t="inlineStr">
        <is>
          <t>Male</t>
        </is>
      </c>
      <c r="L1740" t="inlineStr">
        <is>
          <t>No focal subject</t>
        </is>
      </c>
      <c r="M1740" t="n">
        <v>23.067</v>
      </c>
      <c r="N1740" t="inlineStr">
        <is>
          <t>Explore_F</t>
        </is>
      </c>
      <c r="O1740" t="inlineStr">
        <is>
          <t>Familiar</t>
        </is>
      </c>
      <c r="P1740" t="inlineStr">
        <is>
          <t>STATE</t>
        </is>
      </c>
      <c r="Q1740" t="n">
        <v>289.266</v>
      </c>
      <c r="R1740" t="n">
        <v>289.833</v>
      </c>
      <c r="S1740" t="n">
        <v>0.5669999999999999</v>
      </c>
      <c r="T1740" t="inlineStr">
        <is>
          <t>C:/Users/manuel.felline/Documents/BEHAVIOR BTBR/NOR second cohort/WT/training/c58_m2.mp4</t>
        </is>
      </c>
      <c r="U1740" t="n">
        <v>9119</v>
      </c>
      <c r="V1740" t="n">
        <v>9137</v>
      </c>
      <c r="W1740" t="n">
        <v/>
      </c>
      <c r="X1740" t="n">
        <v/>
      </c>
      <c r="Y1740" t="n">
        <v/>
      </c>
      <c r="Z1740" t="n">
        <v/>
      </c>
      <c r="AA1740">
        <f>SUMIFS($S$2:S1740,$A$2:A1740,A1740,$N$2:N1740,"Explore*")</f>
        <v/>
      </c>
      <c r="AB1740">
        <f>IF(AND(LEFT(N1740,7)="Explore",(AA1740-IF(LEFT(N1740,7)="Explore",S1740,0))&lt;10),"SI","NO")</f>
        <v/>
      </c>
    </row>
    <row r="1741">
      <c r="A1741" t="inlineStr">
        <is>
          <t>c58m2_training</t>
        </is>
      </c>
      <c r="B1741" t="inlineStr">
        <is>
          <t>2026-07-02 10:09:28.931</t>
        </is>
      </c>
      <c r="C1741" t="n">
        <v/>
      </c>
      <c r="D1741" t="inlineStr">
        <is>
          <t>Media file</t>
        </is>
      </c>
      <c r="E1741" t="inlineStr">
        <is>
          <t>player #1:C:/Users/manuel.felline/Documents/BEHAVIOR BTBR/NOR second cohort/WT/training/c58_m2.mp4</t>
        </is>
      </c>
      <c r="F1741" t="n">
        <v>-14.7</v>
      </c>
      <c r="G1741" t="n">
        <v>587.266</v>
      </c>
      <c r="H1741" t="n">
        <v>730.533</v>
      </c>
      <c r="I1741" t="n">
        <v>30</v>
      </c>
      <c r="J1741" t="inlineStr">
        <is>
          <t xml:space="preserve"> WT</t>
        </is>
      </c>
      <c r="K1741" t="inlineStr">
        <is>
          <t>Male</t>
        </is>
      </c>
      <c r="L1741" t="inlineStr">
        <is>
          <t>No focal subject</t>
        </is>
      </c>
      <c r="M1741" t="n">
        <v>23.067</v>
      </c>
      <c r="N1741" t="inlineStr">
        <is>
          <t>Explore_F</t>
        </is>
      </c>
      <c r="O1741" t="inlineStr">
        <is>
          <t>Familiar</t>
        </is>
      </c>
      <c r="P1741" t="inlineStr">
        <is>
          <t>STATE</t>
        </is>
      </c>
      <c r="Q1741" t="n">
        <v>308.466</v>
      </c>
      <c r="R1741" t="n">
        <v>308.866</v>
      </c>
      <c r="S1741" t="n">
        <v>0.4</v>
      </c>
      <c r="T1741" t="inlineStr">
        <is>
          <t>C:/Users/manuel.felline/Documents/BEHAVIOR BTBR/NOR second cohort/WT/training/c58_m2.mp4</t>
        </is>
      </c>
      <c r="U1741" t="n">
        <v>9695</v>
      </c>
      <c r="V1741" t="n">
        <v>9707</v>
      </c>
      <c r="W1741" t="n">
        <v/>
      </c>
      <c r="X1741" t="n">
        <v/>
      </c>
      <c r="Y1741" t="n">
        <v/>
      </c>
      <c r="Z1741" t="n">
        <v/>
      </c>
      <c r="AA1741">
        <f>SUMIFS($S$2:S1741,$A$2:A1741,A1741,$N$2:N1741,"Explore*")</f>
        <v/>
      </c>
      <c r="AB1741">
        <f>IF(AND(LEFT(N1741,7)="Explore",(AA1741-IF(LEFT(N1741,7)="Explore",S1741,0))&lt;10),"SI","NO")</f>
        <v/>
      </c>
    </row>
    <row r="1742">
      <c r="A1742" t="inlineStr">
        <is>
          <t>c58m2_training</t>
        </is>
      </c>
      <c r="B1742" t="inlineStr">
        <is>
          <t>2026-07-02 10:09:28.931</t>
        </is>
      </c>
      <c r="C1742" t="n">
        <v/>
      </c>
      <c r="D1742" t="inlineStr">
        <is>
          <t>Media file</t>
        </is>
      </c>
      <c r="E1742" t="inlineStr">
        <is>
          <t>player #1:C:/Users/manuel.felline/Documents/BEHAVIOR BTBR/NOR second cohort/WT/training/c58_m2.mp4</t>
        </is>
      </c>
      <c r="F1742" t="n">
        <v>-14.7</v>
      </c>
      <c r="G1742" t="n">
        <v>587.266</v>
      </c>
      <c r="H1742" t="n">
        <v>730.533</v>
      </c>
      <c r="I1742" t="n">
        <v>30</v>
      </c>
      <c r="J1742" t="inlineStr">
        <is>
          <t xml:space="preserve"> WT</t>
        </is>
      </c>
      <c r="K1742" t="inlineStr">
        <is>
          <t>Male</t>
        </is>
      </c>
      <c r="L1742" t="inlineStr">
        <is>
          <t>No focal subject</t>
        </is>
      </c>
      <c r="M1742" t="n">
        <v>23.067</v>
      </c>
      <c r="N1742" t="inlineStr">
        <is>
          <t>Explore_F2</t>
        </is>
      </c>
      <c r="O1742" t="inlineStr">
        <is>
          <t>Second familiar</t>
        </is>
      </c>
      <c r="P1742" t="inlineStr">
        <is>
          <t>STATE</t>
        </is>
      </c>
      <c r="Q1742" t="n">
        <v>318.4</v>
      </c>
      <c r="R1742" t="n">
        <v>318.666</v>
      </c>
      <c r="S1742" t="n">
        <v>0.266</v>
      </c>
      <c r="T1742" t="inlineStr">
        <is>
          <t>C:/Users/manuel.felline/Documents/BEHAVIOR BTBR/NOR second cohort/WT/training/c58_m2.mp4</t>
        </is>
      </c>
      <c r="U1742" t="n">
        <v>9993</v>
      </c>
      <c r="V1742" t="n">
        <v>10001</v>
      </c>
      <c r="W1742" t="n">
        <v/>
      </c>
      <c r="X1742" t="n">
        <v/>
      </c>
      <c r="Y1742" t="n">
        <v/>
      </c>
      <c r="Z1742" t="n">
        <v/>
      </c>
      <c r="AA1742">
        <f>SUMIFS($S$2:S1742,$A$2:A1742,A1742,$N$2:N1742,"Explore*")</f>
        <v/>
      </c>
      <c r="AB1742">
        <f>IF(AND(LEFT(N1742,7)="Explore",(AA1742-IF(LEFT(N1742,7)="Explore",S1742,0))&lt;10),"SI","NO")</f>
        <v/>
      </c>
    </row>
    <row r="1743">
      <c r="A1743" t="inlineStr">
        <is>
          <t>c58m2_training</t>
        </is>
      </c>
      <c r="B1743" t="inlineStr">
        <is>
          <t>2026-07-02 10:09:28.931</t>
        </is>
      </c>
      <c r="C1743" t="n">
        <v/>
      </c>
      <c r="D1743" t="inlineStr">
        <is>
          <t>Media file</t>
        </is>
      </c>
      <c r="E1743" t="inlineStr">
        <is>
          <t>player #1:C:/Users/manuel.felline/Documents/BEHAVIOR BTBR/NOR second cohort/WT/training/c58_m2.mp4</t>
        </is>
      </c>
      <c r="F1743" t="n">
        <v>-14.7</v>
      </c>
      <c r="G1743" t="n">
        <v>587.266</v>
      </c>
      <c r="H1743" t="n">
        <v>730.533</v>
      </c>
      <c r="I1743" t="n">
        <v>30</v>
      </c>
      <c r="J1743" t="inlineStr">
        <is>
          <t xml:space="preserve"> WT</t>
        </is>
      </c>
      <c r="K1743" t="inlineStr">
        <is>
          <t>Male</t>
        </is>
      </c>
      <c r="L1743" t="inlineStr">
        <is>
          <t>No focal subject</t>
        </is>
      </c>
      <c r="M1743" t="n">
        <v>23.067</v>
      </c>
      <c r="N1743" t="inlineStr">
        <is>
          <t>Explore_F</t>
        </is>
      </c>
      <c r="O1743" t="inlineStr">
        <is>
          <t>Familiar</t>
        </is>
      </c>
      <c r="P1743" t="inlineStr">
        <is>
          <t>STATE</t>
        </is>
      </c>
      <c r="Q1743" t="n">
        <v>343.966</v>
      </c>
      <c r="R1743" t="n">
        <v>344.466</v>
      </c>
      <c r="S1743" t="n">
        <v>0.5</v>
      </c>
      <c r="T1743" t="inlineStr">
        <is>
          <t>C:/Users/manuel.felline/Documents/BEHAVIOR BTBR/NOR second cohort/WT/training/c58_m2.mp4</t>
        </is>
      </c>
      <c r="U1743" t="n">
        <v>10760</v>
      </c>
      <c r="V1743" t="n">
        <v>10775</v>
      </c>
      <c r="W1743" t="n">
        <v/>
      </c>
      <c r="X1743" t="n">
        <v/>
      </c>
      <c r="Y1743" t="n">
        <v/>
      </c>
      <c r="Z1743" t="n">
        <v/>
      </c>
      <c r="AA1743">
        <f>SUMIFS($S$2:S1743,$A$2:A1743,A1743,$N$2:N1743,"Explore*")</f>
        <v/>
      </c>
      <c r="AB1743">
        <f>IF(AND(LEFT(N1743,7)="Explore",(AA1743-IF(LEFT(N1743,7)="Explore",S1743,0))&lt;10),"SI","NO")</f>
        <v/>
      </c>
    </row>
    <row r="1744">
      <c r="A1744" t="inlineStr">
        <is>
          <t>c58m2_training</t>
        </is>
      </c>
      <c r="B1744" t="inlineStr">
        <is>
          <t>2026-07-02 10:09:28.931</t>
        </is>
      </c>
      <c r="C1744" t="n">
        <v/>
      </c>
      <c r="D1744" t="inlineStr">
        <is>
          <t>Media file</t>
        </is>
      </c>
      <c r="E1744" t="inlineStr">
        <is>
          <t>player #1:C:/Users/manuel.felline/Documents/BEHAVIOR BTBR/NOR second cohort/WT/training/c58_m2.mp4</t>
        </is>
      </c>
      <c r="F1744" t="n">
        <v>-14.7</v>
      </c>
      <c r="G1744" t="n">
        <v>587.266</v>
      </c>
      <c r="H1744" t="n">
        <v>730.533</v>
      </c>
      <c r="I1744" t="n">
        <v>30</v>
      </c>
      <c r="J1744" t="inlineStr">
        <is>
          <t xml:space="preserve"> WT</t>
        </is>
      </c>
      <c r="K1744" t="inlineStr">
        <is>
          <t>Male</t>
        </is>
      </c>
      <c r="L1744" t="inlineStr">
        <is>
          <t>No focal subject</t>
        </is>
      </c>
      <c r="M1744" t="n">
        <v>23.067</v>
      </c>
      <c r="N1744" t="inlineStr">
        <is>
          <t>Explore_F2</t>
        </is>
      </c>
      <c r="O1744" t="inlineStr">
        <is>
          <t>Second familiar</t>
        </is>
      </c>
      <c r="P1744" t="inlineStr">
        <is>
          <t>STATE</t>
        </is>
      </c>
      <c r="Q1744" t="n">
        <v>347.966</v>
      </c>
      <c r="R1744" t="n">
        <v>348.866</v>
      </c>
      <c r="S1744" t="n">
        <v>0.9</v>
      </c>
      <c r="T1744" t="inlineStr">
        <is>
          <t>C:/Users/manuel.felline/Documents/BEHAVIOR BTBR/NOR second cohort/WT/training/c58_m2.mp4</t>
        </is>
      </c>
      <c r="U1744" t="n">
        <v>10880</v>
      </c>
      <c r="V1744" t="n">
        <v>10907</v>
      </c>
      <c r="W1744" t="n">
        <v/>
      </c>
      <c r="X1744" t="n">
        <v/>
      </c>
      <c r="Y1744" t="n">
        <v/>
      </c>
      <c r="Z1744" t="n">
        <v/>
      </c>
      <c r="AA1744">
        <f>SUMIFS($S$2:S1744,$A$2:A1744,A1744,$N$2:N1744,"Explore*")</f>
        <v/>
      </c>
      <c r="AB1744">
        <f>IF(AND(LEFT(N1744,7)="Explore",(AA1744-IF(LEFT(N1744,7)="Explore",S1744,0))&lt;10),"SI","NO")</f>
        <v/>
      </c>
    </row>
    <row r="1745">
      <c r="A1745" t="inlineStr">
        <is>
          <t>c58m2_training</t>
        </is>
      </c>
      <c r="B1745" t="inlineStr">
        <is>
          <t>2026-07-02 10:09:28.931</t>
        </is>
      </c>
      <c r="C1745" t="n">
        <v/>
      </c>
      <c r="D1745" t="inlineStr">
        <is>
          <t>Media file</t>
        </is>
      </c>
      <c r="E1745" t="inlineStr">
        <is>
          <t>player #1:C:/Users/manuel.felline/Documents/BEHAVIOR BTBR/NOR second cohort/WT/training/c58_m2.mp4</t>
        </is>
      </c>
      <c r="F1745" t="n">
        <v>-14.7</v>
      </c>
      <c r="G1745" t="n">
        <v>587.266</v>
      </c>
      <c r="H1745" t="n">
        <v>730.533</v>
      </c>
      <c r="I1745" t="n">
        <v>30</v>
      </c>
      <c r="J1745" t="inlineStr">
        <is>
          <t xml:space="preserve"> WT</t>
        </is>
      </c>
      <c r="K1745" t="inlineStr">
        <is>
          <t>Male</t>
        </is>
      </c>
      <c r="L1745" t="inlineStr">
        <is>
          <t>No focal subject</t>
        </is>
      </c>
      <c r="M1745" t="n">
        <v>23.067</v>
      </c>
      <c r="N1745" t="inlineStr">
        <is>
          <t>Explore_F</t>
        </is>
      </c>
      <c r="O1745" t="inlineStr">
        <is>
          <t>Familiar</t>
        </is>
      </c>
      <c r="P1745" t="inlineStr">
        <is>
          <t>STATE</t>
        </is>
      </c>
      <c r="Q1745" t="n">
        <v>358.1</v>
      </c>
      <c r="R1745" t="n">
        <v>358.4</v>
      </c>
      <c r="S1745" t="n">
        <v>0.3</v>
      </c>
      <c r="T1745" t="inlineStr">
        <is>
          <t>C:/Users/manuel.felline/Documents/BEHAVIOR BTBR/NOR second cohort/WT/training/c58_m2.mp4</t>
        </is>
      </c>
      <c r="U1745" t="n">
        <v>11184</v>
      </c>
      <c r="V1745" t="n">
        <v>11193</v>
      </c>
      <c r="W1745" t="n">
        <v/>
      </c>
      <c r="X1745" t="n">
        <v/>
      </c>
      <c r="Y1745" t="n">
        <v/>
      </c>
      <c r="Z1745" t="n">
        <v/>
      </c>
      <c r="AA1745">
        <f>SUMIFS($S$2:S1745,$A$2:A1745,A1745,$N$2:N1745,"Explore*")</f>
        <v/>
      </c>
      <c r="AB1745">
        <f>IF(AND(LEFT(N1745,7)="Explore",(AA1745-IF(LEFT(N1745,7)="Explore",S1745,0))&lt;10),"SI","NO")</f>
        <v/>
      </c>
    </row>
    <row r="1746">
      <c r="A1746" t="inlineStr">
        <is>
          <t>c58m2_training</t>
        </is>
      </c>
      <c r="B1746" t="inlineStr">
        <is>
          <t>2026-07-02 10:09:28.931</t>
        </is>
      </c>
      <c r="C1746" t="n">
        <v/>
      </c>
      <c r="D1746" t="inlineStr">
        <is>
          <t>Media file</t>
        </is>
      </c>
      <c r="E1746" t="inlineStr">
        <is>
          <t>player #1:C:/Users/manuel.felline/Documents/BEHAVIOR BTBR/NOR second cohort/WT/training/c58_m2.mp4</t>
        </is>
      </c>
      <c r="F1746" t="n">
        <v>-14.7</v>
      </c>
      <c r="G1746" t="n">
        <v>587.266</v>
      </c>
      <c r="H1746" t="n">
        <v>730.533</v>
      </c>
      <c r="I1746" t="n">
        <v>30</v>
      </c>
      <c r="J1746" t="inlineStr">
        <is>
          <t xml:space="preserve"> WT</t>
        </is>
      </c>
      <c r="K1746" t="inlineStr">
        <is>
          <t>Male</t>
        </is>
      </c>
      <c r="L1746" t="inlineStr">
        <is>
          <t>No focal subject</t>
        </is>
      </c>
      <c r="M1746" t="n">
        <v>23.067</v>
      </c>
      <c r="N1746" t="inlineStr">
        <is>
          <t>Explore_F</t>
        </is>
      </c>
      <c r="O1746" t="inlineStr">
        <is>
          <t>Familiar</t>
        </is>
      </c>
      <c r="P1746" t="inlineStr">
        <is>
          <t>STATE</t>
        </is>
      </c>
      <c r="Q1746" t="n">
        <v>379.4</v>
      </c>
      <c r="R1746" t="n">
        <v>379.633</v>
      </c>
      <c r="S1746" t="n">
        <v>0.233</v>
      </c>
      <c r="T1746" t="inlineStr">
        <is>
          <t>C:/Users/manuel.felline/Documents/BEHAVIOR BTBR/NOR second cohort/WT/training/c58_m2.mp4</t>
        </is>
      </c>
      <c r="U1746" t="n">
        <v>11823</v>
      </c>
      <c r="V1746" t="n">
        <v>11830</v>
      </c>
      <c r="W1746" t="n">
        <v/>
      </c>
      <c r="X1746" t="n">
        <v/>
      </c>
      <c r="Y1746" t="n">
        <v/>
      </c>
      <c r="Z1746" t="n">
        <v/>
      </c>
      <c r="AA1746">
        <f>SUMIFS($S$2:S1746,$A$2:A1746,A1746,$N$2:N1746,"Explore*")</f>
        <v/>
      </c>
      <c r="AB1746">
        <f>IF(AND(LEFT(N1746,7)="Explore",(AA1746-IF(LEFT(N1746,7)="Explore",S1746,0))&lt;10),"SI","NO")</f>
        <v/>
      </c>
    </row>
    <row r="1747">
      <c r="A1747" t="inlineStr">
        <is>
          <t>c58m2_training</t>
        </is>
      </c>
      <c r="B1747" t="inlineStr">
        <is>
          <t>2026-07-02 10:09:28.931</t>
        </is>
      </c>
      <c r="C1747" t="n">
        <v/>
      </c>
      <c r="D1747" t="inlineStr">
        <is>
          <t>Media file</t>
        </is>
      </c>
      <c r="E1747" t="inlineStr">
        <is>
          <t>player #1:C:/Users/manuel.felline/Documents/BEHAVIOR BTBR/NOR second cohort/WT/training/c58_m2.mp4</t>
        </is>
      </c>
      <c r="F1747" t="n">
        <v>-14.7</v>
      </c>
      <c r="G1747" t="n">
        <v>587.266</v>
      </c>
      <c r="H1747" t="n">
        <v>730.533</v>
      </c>
      <c r="I1747" t="n">
        <v>30</v>
      </c>
      <c r="J1747" t="inlineStr">
        <is>
          <t xml:space="preserve"> WT</t>
        </is>
      </c>
      <c r="K1747" t="inlineStr">
        <is>
          <t>Male</t>
        </is>
      </c>
      <c r="L1747" t="inlineStr">
        <is>
          <t>No focal subject</t>
        </is>
      </c>
      <c r="M1747" t="n">
        <v>23.067</v>
      </c>
      <c r="N1747" t="inlineStr">
        <is>
          <t>Explore_F2</t>
        </is>
      </c>
      <c r="O1747" t="inlineStr">
        <is>
          <t>Second familiar</t>
        </is>
      </c>
      <c r="P1747" t="inlineStr">
        <is>
          <t>STATE</t>
        </is>
      </c>
      <c r="Q1747" t="n">
        <v>398.6</v>
      </c>
      <c r="R1747" t="n">
        <v>399.133</v>
      </c>
      <c r="S1747" t="n">
        <v>0.533</v>
      </c>
      <c r="T1747" t="inlineStr">
        <is>
          <t>C:/Users/manuel.felline/Documents/BEHAVIOR BTBR/NOR second cohort/WT/training/c58_m2.mp4</t>
        </is>
      </c>
      <c r="U1747" t="n">
        <v>12399</v>
      </c>
      <c r="V1747" t="n">
        <v>12415</v>
      </c>
      <c r="W1747" t="n">
        <v/>
      </c>
      <c r="X1747" t="n">
        <v/>
      </c>
      <c r="Y1747" t="n">
        <v/>
      </c>
      <c r="Z1747" t="n">
        <v/>
      </c>
      <c r="AA1747">
        <f>SUMIFS($S$2:S1747,$A$2:A1747,A1747,$N$2:N1747,"Explore*")</f>
        <v/>
      </c>
      <c r="AB1747">
        <f>IF(AND(LEFT(N1747,7)="Explore",(AA1747-IF(LEFT(N1747,7)="Explore",S1747,0))&lt;10),"SI","NO")</f>
        <v/>
      </c>
    </row>
    <row r="1748">
      <c r="A1748" t="inlineStr">
        <is>
          <t>c58m2_training</t>
        </is>
      </c>
      <c r="B1748" t="inlineStr">
        <is>
          <t>2026-07-02 10:09:28.931</t>
        </is>
      </c>
      <c r="C1748" t="n">
        <v/>
      </c>
      <c r="D1748" t="inlineStr">
        <is>
          <t>Media file</t>
        </is>
      </c>
      <c r="E1748" t="inlineStr">
        <is>
          <t>player #1:C:/Users/manuel.felline/Documents/BEHAVIOR BTBR/NOR second cohort/WT/training/c58_m2.mp4</t>
        </is>
      </c>
      <c r="F1748" t="n">
        <v>-14.7</v>
      </c>
      <c r="G1748" t="n">
        <v>587.266</v>
      </c>
      <c r="H1748" t="n">
        <v>730.533</v>
      </c>
      <c r="I1748" t="n">
        <v>30</v>
      </c>
      <c r="J1748" t="inlineStr">
        <is>
          <t xml:space="preserve"> WT</t>
        </is>
      </c>
      <c r="K1748" t="inlineStr">
        <is>
          <t>Male</t>
        </is>
      </c>
      <c r="L1748" t="inlineStr">
        <is>
          <t>No focal subject</t>
        </is>
      </c>
      <c r="M1748" t="n">
        <v>23.067</v>
      </c>
      <c r="N1748" t="inlineStr">
        <is>
          <t>Explore_F</t>
        </is>
      </c>
      <c r="O1748" t="inlineStr">
        <is>
          <t>Familiar</t>
        </is>
      </c>
      <c r="P1748" t="inlineStr">
        <is>
          <t>STATE</t>
        </is>
      </c>
      <c r="Q1748" t="n">
        <v>402.533</v>
      </c>
      <c r="R1748" t="n">
        <v>403.233</v>
      </c>
      <c r="S1748" t="n">
        <v>0.7</v>
      </c>
      <c r="T1748" t="inlineStr">
        <is>
          <t>C:/Users/manuel.felline/Documents/BEHAVIOR BTBR/NOR second cohort/WT/training/c58_m2.mp4</t>
        </is>
      </c>
      <c r="U1748" t="n">
        <v>12517</v>
      </c>
      <c r="V1748" t="n">
        <v>12538</v>
      </c>
      <c r="W1748" t="n">
        <v/>
      </c>
      <c r="X1748" t="n">
        <v/>
      </c>
      <c r="Y1748" t="n">
        <v/>
      </c>
      <c r="Z1748" t="n">
        <v/>
      </c>
      <c r="AA1748">
        <f>SUMIFS($S$2:S1748,$A$2:A1748,A1748,$N$2:N1748,"Explore*")</f>
        <v/>
      </c>
      <c r="AB1748">
        <f>IF(AND(LEFT(N1748,7)="Explore",(AA1748-IF(LEFT(N1748,7)="Explore",S1748,0))&lt;10),"SI","NO")</f>
        <v/>
      </c>
    </row>
    <row r="1749">
      <c r="A1749" t="inlineStr">
        <is>
          <t>c58m2_training</t>
        </is>
      </c>
      <c r="B1749" t="inlineStr">
        <is>
          <t>2026-07-02 10:09:28.931</t>
        </is>
      </c>
      <c r="C1749" t="n">
        <v/>
      </c>
      <c r="D1749" t="inlineStr">
        <is>
          <t>Media file</t>
        </is>
      </c>
      <c r="E1749" t="inlineStr">
        <is>
          <t>player #1:C:/Users/manuel.felline/Documents/BEHAVIOR BTBR/NOR second cohort/WT/training/c58_m2.mp4</t>
        </is>
      </c>
      <c r="F1749" t="n">
        <v>-14.7</v>
      </c>
      <c r="G1749" t="n">
        <v>587.266</v>
      </c>
      <c r="H1749" t="n">
        <v>730.533</v>
      </c>
      <c r="I1749" t="n">
        <v>30</v>
      </c>
      <c r="J1749" t="inlineStr">
        <is>
          <t xml:space="preserve"> WT</t>
        </is>
      </c>
      <c r="K1749" t="inlineStr">
        <is>
          <t>Male</t>
        </is>
      </c>
      <c r="L1749" t="inlineStr">
        <is>
          <t>No focal subject</t>
        </is>
      </c>
      <c r="M1749" t="n">
        <v>23.067</v>
      </c>
      <c r="N1749" t="inlineStr">
        <is>
          <t>Explore_F</t>
        </is>
      </c>
      <c r="O1749" t="inlineStr">
        <is>
          <t>Familiar</t>
        </is>
      </c>
      <c r="P1749" t="inlineStr">
        <is>
          <t>STATE</t>
        </is>
      </c>
      <c r="Q1749" t="n">
        <v>421.066</v>
      </c>
      <c r="R1749" t="n">
        <v>421.866</v>
      </c>
      <c r="S1749" t="n">
        <v>0.8</v>
      </c>
      <c r="T1749" t="inlineStr">
        <is>
          <t>C:/Users/manuel.felline/Documents/BEHAVIOR BTBR/NOR second cohort/WT/training/c58_m2.mp4</t>
        </is>
      </c>
      <c r="U1749" t="n">
        <v>13073</v>
      </c>
      <c r="V1749" t="n">
        <v>13097</v>
      </c>
      <c r="W1749" t="n">
        <v/>
      </c>
      <c r="X1749" t="n">
        <v/>
      </c>
      <c r="Y1749" t="n">
        <v/>
      </c>
      <c r="Z1749" t="n">
        <v/>
      </c>
      <c r="AA1749">
        <f>SUMIFS($S$2:S1749,$A$2:A1749,A1749,$N$2:N1749,"Explore*")</f>
        <v/>
      </c>
      <c r="AB1749">
        <f>IF(AND(LEFT(N1749,7)="Explore",(AA1749-IF(LEFT(N1749,7)="Explore",S1749,0))&lt;10),"SI","NO")</f>
        <v/>
      </c>
    </row>
    <row r="1750">
      <c r="A1750" t="inlineStr">
        <is>
          <t>c58m2_training</t>
        </is>
      </c>
      <c r="B1750" t="inlineStr">
        <is>
          <t>2026-07-02 10:09:28.931</t>
        </is>
      </c>
      <c r="C1750" t="n">
        <v/>
      </c>
      <c r="D1750" t="inlineStr">
        <is>
          <t>Media file</t>
        </is>
      </c>
      <c r="E1750" t="inlineStr">
        <is>
          <t>player #1:C:/Users/manuel.felline/Documents/BEHAVIOR BTBR/NOR second cohort/WT/training/c58_m2.mp4</t>
        </is>
      </c>
      <c r="F1750" t="n">
        <v>-14.7</v>
      </c>
      <c r="G1750" t="n">
        <v>587.266</v>
      </c>
      <c r="H1750" t="n">
        <v>730.533</v>
      </c>
      <c r="I1750" t="n">
        <v>30</v>
      </c>
      <c r="J1750" t="inlineStr">
        <is>
          <t xml:space="preserve"> WT</t>
        </is>
      </c>
      <c r="K1750" t="inlineStr">
        <is>
          <t>Male</t>
        </is>
      </c>
      <c r="L1750" t="inlineStr">
        <is>
          <t>No focal subject</t>
        </is>
      </c>
      <c r="M1750" t="n">
        <v>23.067</v>
      </c>
      <c r="N1750" t="inlineStr">
        <is>
          <t>Explore_F2</t>
        </is>
      </c>
      <c r="O1750" t="inlineStr">
        <is>
          <t>Second familiar</t>
        </is>
      </c>
      <c r="P1750" t="inlineStr">
        <is>
          <t>STATE</t>
        </is>
      </c>
      <c r="Q1750" t="n">
        <v>435.266</v>
      </c>
      <c r="R1750" t="n">
        <v>436.133</v>
      </c>
      <c r="S1750" t="n">
        <v>0.867</v>
      </c>
      <c r="T1750" t="inlineStr">
        <is>
          <t>C:/Users/manuel.felline/Documents/BEHAVIOR BTBR/NOR second cohort/WT/training/c58_m2.mp4</t>
        </is>
      </c>
      <c r="U1750" t="n">
        <v>13499</v>
      </c>
      <c r="V1750" t="n">
        <v>13525</v>
      </c>
      <c r="W1750" t="n">
        <v/>
      </c>
      <c r="X1750" t="n">
        <v/>
      </c>
      <c r="Y1750" t="n">
        <v/>
      </c>
      <c r="Z1750" t="n">
        <v/>
      </c>
      <c r="AA1750">
        <f>SUMIFS($S$2:S1750,$A$2:A1750,A1750,$N$2:N1750,"Explore*")</f>
        <v/>
      </c>
      <c r="AB1750">
        <f>IF(AND(LEFT(N1750,7)="Explore",(AA1750-IF(LEFT(N1750,7)="Explore",S1750,0))&lt;10),"SI","NO")</f>
        <v/>
      </c>
    </row>
    <row r="1751">
      <c r="A1751" t="inlineStr">
        <is>
          <t>c58m2_training</t>
        </is>
      </c>
      <c r="B1751" t="inlineStr">
        <is>
          <t>2026-07-02 10:09:28.931</t>
        </is>
      </c>
      <c r="C1751" t="n">
        <v/>
      </c>
      <c r="D1751" t="inlineStr">
        <is>
          <t>Media file</t>
        </is>
      </c>
      <c r="E1751" t="inlineStr">
        <is>
          <t>player #1:C:/Users/manuel.felline/Documents/BEHAVIOR BTBR/NOR second cohort/WT/training/c58_m2.mp4</t>
        </is>
      </c>
      <c r="F1751" t="n">
        <v>-14.7</v>
      </c>
      <c r="G1751" t="n">
        <v>587.266</v>
      </c>
      <c r="H1751" t="n">
        <v>730.533</v>
      </c>
      <c r="I1751" t="n">
        <v>30</v>
      </c>
      <c r="J1751" t="inlineStr">
        <is>
          <t xml:space="preserve"> WT</t>
        </is>
      </c>
      <c r="K1751" t="inlineStr">
        <is>
          <t>Male</t>
        </is>
      </c>
      <c r="L1751" t="inlineStr">
        <is>
          <t>No focal subject</t>
        </is>
      </c>
      <c r="M1751" t="n">
        <v>23.067</v>
      </c>
      <c r="N1751" t="inlineStr">
        <is>
          <t>Explore_F2</t>
        </is>
      </c>
      <c r="O1751" t="inlineStr">
        <is>
          <t>Second familiar</t>
        </is>
      </c>
      <c r="P1751" t="inlineStr">
        <is>
          <t>STATE</t>
        </is>
      </c>
      <c r="Q1751" t="n">
        <v>441.266</v>
      </c>
      <c r="R1751" t="n">
        <v>441.6</v>
      </c>
      <c r="S1751" t="n">
        <v>0.334</v>
      </c>
      <c r="T1751" t="inlineStr">
        <is>
          <t>C:/Users/manuel.felline/Documents/BEHAVIOR BTBR/NOR second cohort/WT/training/c58_m2.mp4</t>
        </is>
      </c>
      <c r="U1751" t="n">
        <v>13679</v>
      </c>
      <c r="V1751" t="n">
        <v>13689</v>
      </c>
      <c r="W1751" t="n">
        <v/>
      </c>
      <c r="X1751" t="n">
        <v/>
      </c>
      <c r="Y1751" t="n">
        <v/>
      </c>
      <c r="Z1751" t="n">
        <v/>
      </c>
      <c r="AA1751">
        <f>SUMIFS($S$2:S1751,$A$2:A1751,A1751,$N$2:N1751,"Explore*")</f>
        <v/>
      </c>
      <c r="AB1751">
        <f>IF(AND(LEFT(N1751,7)="Explore",(AA1751-IF(LEFT(N1751,7)="Explore",S1751,0))&lt;10),"SI","NO")</f>
        <v/>
      </c>
    </row>
    <row r="1752">
      <c r="A1752" t="inlineStr">
        <is>
          <t>c58m2_training</t>
        </is>
      </c>
      <c r="B1752" t="inlineStr">
        <is>
          <t>2026-07-02 10:09:28.931</t>
        </is>
      </c>
      <c r="C1752" t="n">
        <v/>
      </c>
      <c r="D1752" t="inlineStr">
        <is>
          <t>Media file</t>
        </is>
      </c>
      <c r="E1752" t="inlineStr">
        <is>
          <t>player #1:C:/Users/manuel.felline/Documents/BEHAVIOR BTBR/NOR second cohort/WT/training/c58_m2.mp4</t>
        </is>
      </c>
      <c r="F1752" t="n">
        <v>-14.7</v>
      </c>
      <c r="G1752" t="n">
        <v>587.266</v>
      </c>
      <c r="H1752" t="n">
        <v>730.533</v>
      </c>
      <c r="I1752" t="n">
        <v>30</v>
      </c>
      <c r="J1752" t="inlineStr">
        <is>
          <t xml:space="preserve"> WT</t>
        </is>
      </c>
      <c r="K1752" t="inlineStr">
        <is>
          <t>Male</t>
        </is>
      </c>
      <c r="L1752" t="inlineStr">
        <is>
          <t>No focal subject</t>
        </is>
      </c>
      <c r="M1752" t="n">
        <v>23.067</v>
      </c>
      <c r="N1752" t="inlineStr">
        <is>
          <t>Explore_F</t>
        </is>
      </c>
      <c r="O1752" t="inlineStr">
        <is>
          <t>Familiar</t>
        </is>
      </c>
      <c r="P1752" t="inlineStr">
        <is>
          <t>STATE</t>
        </is>
      </c>
      <c r="Q1752" t="n">
        <v>447.4</v>
      </c>
      <c r="R1752" t="n">
        <v>448.1</v>
      </c>
      <c r="S1752" t="n">
        <v>0.7</v>
      </c>
      <c r="T1752" t="inlineStr">
        <is>
          <t>C:/Users/manuel.felline/Documents/BEHAVIOR BTBR/NOR second cohort/WT/training/c58_m2.mp4</t>
        </is>
      </c>
      <c r="U1752" t="n">
        <v>13863</v>
      </c>
      <c r="V1752" t="n">
        <v>13884</v>
      </c>
      <c r="W1752" t="n">
        <v/>
      </c>
      <c r="X1752" t="n">
        <v/>
      </c>
      <c r="Y1752" t="n">
        <v/>
      </c>
      <c r="Z1752" t="n">
        <v/>
      </c>
      <c r="AA1752">
        <f>SUMIFS($S$2:S1752,$A$2:A1752,A1752,$N$2:N1752,"Explore*")</f>
        <v/>
      </c>
      <c r="AB1752">
        <f>IF(AND(LEFT(N1752,7)="Explore",(AA1752-IF(LEFT(N1752,7)="Explore",S1752,0))&lt;10),"SI","NO")</f>
        <v/>
      </c>
    </row>
    <row r="1753">
      <c r="A1753" t="inlineStr">
        <is>
          <t>c58m2_training</t>
        </is>
      </c>
      <c r="B1753" t="inlineStr">
        <is>
          <t>2026-07-02 10:09:28.931</t>
        </is>
      </c>
      <c r="C1753" t="n">
        <v/>
      </c>
      <c r="D1753" t="inlineStr">
        <is>
          <t>Media file</t>
        </is>
      </c>
      <c r="E1753" t="inlineStr">
        <is>
          <t>player #1:C:/Users/manuel.felline/Documents/BEHAVIOR BTBR/NOR second cohort/WT/training/c58_m2.mp4</t>
        </is>
      </c>
      <c r="F1753" t="n">
        <v>-14.7</v>
      </c>
      <c r="G1753" t="n">
        <v>587.266</v>
      </c>
      <c r="H1753" t="n">
        <v>730.533</v>
      </c>
      <c r="I1753" t="n">
        <v>30</v>
      </c>
      <c r="J1753" t="inlineStr">
        <is>
          <t xml:space="preserve"> WT</t>
        </is>
      </c>
      <c r="K1753" t="inlineStr">
        <is>
          <t>Male</t>
        </is>
      </c>
      <c r="L1753" t="inlineStr">
        <is>
          <t>No focal subject</t>
        </is>
      </c>
      <c r="M1753" t="n">
        <v>23.067</v>
      </c>
      <c r="N1753" t="inlineStr">
        <is>
          <t>Explore_F2</t>
        </is>
      </c>
      <c r="O1753" t="inlineStr">
        <is>
          <t>Second familiar</t>
        </is>
      </c>
      <c r="P1753" t="inlineStr">
        <is>
          <t>STATE</t>
        </is>
      </c>
      <c r="Q1753" t="n">
        <v>452.466</v>
      </c>
      <c r="R1753" t="n">
        <v>452.7</v>
      </c>
      <c r="S1753" t="n">
        <v>0.234</v>
      </c>
      <c r="T1753" t="inlineStr">
        <is>
          <t>C:/Users/manuel.felline/Documents/BEHAVIOR BTBR/NOR second cohort/WT/training/c58_m2.mp4</t>
        </is>
      </c>
      <c r="U1753" t="n">
        <v>14015</v>
      </c>
      <c r="V1753" t="n">
        <v>14022</v>
      </c>
      <c r="W1753" t="n">
        <v/>
      </c>
      <c r="X1753" t="n">
        <v/>
      </c>
      <c r="Y1753" t="n">
        <v/>
      </c>
      <c r="Z1753" t="n">
        <v/>
      </c>
      <c r="AA1753">
        <f>SUMIFS($S$2:S1753,$A$2:A1753,A1753,$N$2:N1753,"Explore*")</f>
        <v/>
      </c>
      <c r="AB1753">
        <f>IF(AND(LEFT(N1753,7)="Explore",(AA1753-IF(LEFT(N1753,7)="Explore",S1753,0))&lt;10),"SI","NO")</f>
        <v/>
      </c>
    </row>
    <row r="1754">
      <c r="A1754" t="inlineStr">
        <is>
          <t>c58m2_training</t>
        </is>
      </c>
      <c r="B1754" t="inlineStr">
        <is>
          <t>2026-07-02 10:09:28.931</t>
        </is>
      </c>
      <c r="C1754" t="n">
        <v/>
      </c>
      <c r="D1754" t="inlineStr">
        <is>
          <t>Media file</t>
        </is>
      </c>
      <c r="E1754" t="inlineStr">
        <is>
          <t>player #1:C:/Users/manuel.felline/Documents/BEHAVIOR BTBR/NOR second cohort/WT/training/c58_m2.mp4</t>
        </is>
      </c>
      <c r="F1754" t="n">
        <v>-14.7</v>
      </c>
      <c r="G1754" t="n">
        <v>587.266</v>
      </c>
      <c r="H1754" t="n">
        <v>730.533</v>
      </c>
      <c r="I1754" t="n">
        <v>30</v>
      </c>
      <c r="J1754" t="inlineStr">
        <is>
          <t xml:space="preserve"> WT</t>
        </is>
      </c>
      <c r="K1754" t="inlineStr">
        <is>
          <t>Male</t>
        </is>
      </c>
      <c r="L1754" t="inlineStr">
        <is>
          <t>No focal subject</t>
        </is>
      </c>
      <c r="M1754" t="n">
        <v>23.067</v>
      </c>
      <c r="N1754" t="inlineStr">
        <is>
          <t>Explore_F2</t>
        </is>
      </c>
      <c r="O1754" t="inlineStr">
        <is>
          <t>Second familiar</t>
        </is>
      </c>
      <c r="P1754" t="inlineStr">
        <is>
          <t>STATE</t>
        </is>
      </c>
      <c r="Q1754" t="n">
        <v>454.066</v>
      </c>
      <c r="R1754" t="n">
        <v>454.433</v>
      </c>
      <c r="S1754" t="n">
        <v>0.367</v>
      </c>
      <c r="T1754" t="inlineStr">
        <is>
          <t>C:/Users/manuel.felline/Documents/BEHAVIOR BTBR/NOR second cohort/WT/training/c58_m2.mp4</t>
        </is>
      </c>
      <c r="U1754" t="n">
        <v>14063</v>
      </c>
      <c r="V1754" t="n">
        <v>14074</v>
      </c>
      <c r="W1754" t="n">
        <v/>
      </c>
      <c r="X1754" t="n">
        <v/>
      </c>
      <c r="Y1754" t="n">
        <v/>
      </c>
      <c r="Z1754" t="n">
        <v/>
      </c>
      <c r="AA1754">
        <f>SUMIFS($S$2:S1754,$A$2:A1754,A1754,$N$2:N1754,"Explore*")</f>
        <v/>
      </c>
      <c r="AB1754">
        <f>IF(AND(LEFT(N1754,7)="Explore",(AA1754-IF(LEFT(N1754,7)="Explore",S1754,0))&lt;10),"SI","NO")</f>
        <v/>
      </c>
    </row>
    <row r="1755">
      <c r="A1755" t="inlineStr">
        <is>
          <t>c58m2_training</t>
        </is>
      </c>
      <c r="B1755" t="inlineStr">
        <is>
          <t>2026-07-02 10:09:28.931</t>
        </is>
      </c>
      <c r="C1755" t="n">
        <v/>
      </c>
      <c r="D1755" t="inlineStr">
        <is>
          <t>Media file</t>
        </is>
      </c>
      <c r="E1755" t="inlineStr">
        <is>
          <t>player #1:C:/Users/manuel.felline/Documents/BEHAVIOR BTBR/NOR second cohort/WT/training/c58_m2.mp4</t>
        </is>
      </c>
      <c r="F1755" t="n">
        <v>-14.7</v>
      </c>
      <c r="G1755" t="n">
        <v>587.266</v>
      </c>
      <c r="H1755" t="n">
        <v>730.533</v>
      </c>
      <c r="I1755" t="n">
        <v>30</v>
      </c>
      <c r="J1755" t="inlineStr">
        <is>
          <t xml:space="preserve"> WT</t>
        </is>
      </c>
      <c r="K1755" t="inlineStr">
        <is>
          <t>Male</t>
        </is>
      </c>
      <c r="L1755" t="inlineStr">
        <is>
          <t>No focal subject</t>
        </is>
      </c>
      <c r="M1755" t="n">
        <v>23.067</v>
      </c>
      <c r="N1755" t="inlineStr">
        <is>
          <t>Explore_F2</t>
        </is>
      </c>
      <c r="O1755" t="inlineStr">
        <is>
          <t>Second familiar</t>
        </is>
      </c>
      <c r="P1755" t="inlineStr">
        <is>
          <t>STATE</t>
        </is>
      </c>
      <c r="Q1755" t="n">
        <v>478.699</v>
      </c>
      <c r="R1755" t="n">
        <v>478.999</v>
      </c>
      <c r="S1755" t="n">
        <v>0.3</v>
      </c>
      <c r="T1755" t="inlineStr">
        <is>
          <t>C:/Users/manuel.felline/Documents/BEHAVIOR BTBR/NOR second cohort/WT/training/c58_m2.mp4</t>
        </is>
      </c>
      <c r="U1755" t="n">
        <v>14802</v>
      </c>
      <c r="V1755" t="n">
        <v>14811</v>
      </c>
      <c r="W1755" t="n">
        <v/>
      </c>
      <c r="X1755" t="n">
        <v/>
      </c>
      <c r="Y1755" t="n">
        <v/>
      </c>
      <c r="Z1755" t="n">
        <v/>
      </c>
      <c r="AA1755">
        <f>SUMIFS($S$2:S1755,$A$2:A1755,A1755,$N$2:N1755,"Explore*")</f>
        <v/>
      </c>
      <c r="AB1755">
        <f>IF(AND(LEFT(N1755,7)="Explore",(AA1755-IF(LEFT(N1755,7)="Explore",S1755,0))&lt;10),"SI","NO")</f>
        <v/>
      </c>
    </row>
    <row r="1756">
      <c r="A1756" t="inlineStr">
        <is>
          <t>c58m2_training</t>
        </is>
      </c>
      <c r="B1756" t="inlineStr">
        <is>
          <t>2026-07-02 10:09:28.931</t>
        </is>
      </c>
      <c r="C1756" t="n">
        <v/>
      </c>
      <c r="D1756" t="inlineStr">
        <is>
          <t>Media file</t>
        </is>
      </c>
      <c r="E1756" t="inlineStr">
        <is>
          <t>player #1:C:/Users/manuel.felline/Documents/BEHAVIOR BTBR/NOR second cohort/WT/training/c58_m2.mp4</t>
        </is>
      </c>
      <c r="F1756" t="n">
        <v>-14.7</v>
      </c>
      <c r="G1756" t="n">
        <v>587.266</v>
      </c>
      <c r="H1756" t="n">
        <v>730.533</v>
      </c>
      <c r="I1756" t="n">
        <v>30</v>
      </c>
      <c r="J1756" t="inlineStr">
        <is>
          <t xml:space="preserve"> WT</t>
        </is>
      </c>
      <c r="K1756" t="inlineStr">
        <is>
          <t>Male</t>
        </is>
      </c>
      <c r="L1756" t="inlineStr">
        <is>
          <t>No focal subject</t>
        </is>
      </c>
      <c r="M1756" t="n">
        <v>23.067</v>
      </c>
      <c r="N1756" t="inlineStr">
        <is>
          <t>Explore_F2</t>
        </is>
      </c>
      <c r="O1756" t="inlineStr">
        <is>
          <t>Second familiar</t>
        </is>
      </c>
      <c r="P1756" t="inlineStr">
        <is>
          <t>STATE</t>
        </is>
      </c>
      <c r="Q1756" t="n">
        <v>489.399</v>
      </c>
      <c r="R1756" t="n">
        <v>491.433</v>
      </c>
      <c r="S1756" t="n">
        <v>2.034</v>
      </c>
      <c r="T1756" t="inlineStr">
        <is>
          <t>C:/Users/manuel.felline/Documents/BEHAVIOR BTBR/NOR second cohort/WT/training/c58_m2.mp4</t>
        </is>
      </c>
      <c r="U1756" t="n">
        <v>15123</v>
      </c>
      <c r="V1756" t="n">
        <v>15184</v>
      </c>
      <c r="W1756" t="n">
        <v/>
      </c>
      <c r="X1756" t="n">
        <v/>
      </c>
      <c r="Y1756" t="n">
        <v/>
      </c>
      <c r="Z1756" t="n">
        <v/>
      </c>
      <c r="AA1756">
        <f>SUMIFS($S$2:S1756,$A$2:A1756,A1756,$N$2:N1756,"Explore*")</f>
        <v/>
      </c>
      <c r="AB1756">
        <f>IF(AND(LEFT(N1756,7)="Explore",(AA1756-IF(LEFT(N1756,7)="Explore",S1756,0))&lt;10),"SI","NO")</f>
        <v/>
      </c>
    </row>
    <row r="1757">
      <c r="A1757" t="inlineStr">
        <is>
          <t>c58m2_training</t>
        </is>
      </c>
      <c r="B1757" t="inlineStr">
        <is>
          <t>2026-07-02 10:09:28.931</t>
        </is>
      </c>
      <c r="C1757" t="n">
        <v/>
      </c>
      <c r="D1757" t="inlineStr">
        <is>
          <t>Media file</t>
        </is>
      </c>
      <c r="E1757" t="inlineStr">
        <is>
          <t>player #1:C:/Users/manuel.felline/Documents/BEHAVIOR BTBR/NOR second cohort/WT/training/c58_m2.mp4</t>
        </is>
      </c>
      <c r="F1757" t="n">
        <v>-14.7</v>
      </c>
      <c r="G1757" t="n">
        <v>587.266</v>
      </c>
      <c r="H1757" t="n">
        <v>730.533</v>
      </c>
      <c r="I1757" t="n">
        <v>30</v>
      </c>
      <c r="J1757" t="inlineStr">
        <is>
          <t xml:space="preserve"> WT</t>
        </is>
      </c>
      <c r="K1757" t="inlineStr">
        <is>
          <t>Male</t>
        </is>
      </c>
      <c r="L1757" t="inlineStr">
        <is>
          <t>No focal subject</t>
        </is>
      </c>
      <c r="M1757" t="n">
        <v>23.067</v>
      </c>
      <c r="N1757" t="inlineStr">
        <is>
          <t>Explore_F</t>
        </is>
      </c>
      <c r="O1757" t="inlineStr">
        <is>
          <t>Familiar</t>
        </is>
      </c>
      <c r="P1757" t="inlineStr">
        <is>
          <t>STATE</t>
        </is>
      </c>
      <c r="Q1757" t="n">
        <v>499.699</v>
      </c>
      <c r="R1757" t="n">
        <v>500.299</v>
      </c>
      <c r="S1757" t="n">
        <v>0.6</v>
      </c>
      <c r="T1757" t="inlineStr">
        <is>
          <t>C:/Users/manuel.felline/Documents/BEHAVIOR BTBR/NOR second cohort/WT/training/c58_m2.mp4</t>
        </is>
      </c>
      <c r="U1757" t="n">
        <v>15432</v>
      </c>
      <c r="V1757" t="n">
        <v>15450</v>
      </c>
      <c r="W1757" t="n">
        <v/>
      </c>
      <c r="X1757" t="n">
        <v/>
      </c>
      <c r="Y1757" t="n">
        <v/>
      </c>
      <c r="Z1757" t="n">
        <v/>
      </c>
      <c r="AA1757">
        <f>SUMIFS($S$2:S1757,$A$2:A1757,A1757,$N$2:N1757,"Explore*")</f>
        <v/>
      </c>
      <c r="AB1757">
        <f>IF(AND(LEFT(N1757,7)="Explore",(AA1757-IF(LEFT(N1757,7)="Explore",S1757,0))&lt;10),"SI","NO")</f>
        <v/>
      </c>
    </row>
    <row r="1758">
      <c r="A1758" t="inlineStr">
        <is>
          <t>c58m2_training</t>
        </is>
      </c>
      <c r="B1758" t="inlineStr">
        <is>
          <t>2026-07-02 10:09:28.931</t>
        </is>
      </c>
      <c r="C1758" t="n">
        <v/>
      </c>
      <c r="D1758" t="inlineStr">
        <is>
          <t>Media file</t>
        </is>
      </c>
      <c r="E1758" t="inlineStr">
        <is>
          <t>player #1:C:/Users/manuel.felline/Documents/BEHAVIOR BTBR/NOR second cohort/WT/training/c58_m2.mp4</t>
        </is>
      </c>
      <c r="F1758" t="n">
        <v>-14.7</v>
      </c>
      <c r="G1758" t="n">
        <v>587.266</v>
      </c>
      <c r="H1758" t="n">
        <v>730.533</v>
      </c>
      <c r="I1758" t="n">
        <v>30</v>
      </c>
      <c r="J1758" t="inlineStr">
        <is>
          <t xml:space="preserve"> WT</t>
        </is>
      </c>
      <c r="K1758" t="inlineStr">
        <is>
          <t>Male</t>
        </is>
      </c>
      <c r="L1758" t="inlineStr">
        <is>
          <t>No focal subject</t>
        </is>
      </c>
      <c r="M1758" t="n">
        <v>23.067</v>
      </c>
      <c r="N1758" t="inlineStr">
        <is>
          <t>Explore_F</t>
        </is>
      </c>
      <c r="O1758" t="inlineStr">
        <is>
          <t>Familiar</t>
        </is>
      </c>
      <c r="P1758" t="inlineStr">
        <is>
          <t>STATE</t>
        </is>
      </c>
      <c r="Q1758" t="n">
        <v>506.866</v>
      </c>
      <c r="R1758" t="n">
        <v>507.166</v>
      </c>
      <c r="S1758" t="n">
        <v>0.3</v>
      </c>
      <c r="T1758" t="inlineStr">
        <is>
          <t>C:/Users/manuel.felline/Documents/BEHAVIOR BTBR/NOR second cohort/WT/training/c58_m2.mp4</t>
        </is>
      </c>
      <c r="U1758" t="n">
        <v>15647</v>
      </c>
      <c r="V1758" t="n">
        <v>15656</v>
      </c>
      <c r="W1758" t="n">
        <v/>
      </c>
      <c r="X1758" t="n">
        <v/>
      </c>
      <c r="Y1758" t="n">
        <v/>
      </c>
      <c r="Z1758" t="n">
        <v/>
      </c>
      <c r="AA1758">
        <f>SUMIFS($S$2:S1758,$A$2:A1758,A1758,$N$2:N1758,"Explore*")</f>
        <v/>
      </c>
      <c r="AB1758">
        <f>IF(AND(LEFT(N1758,7)="Explore",(AA1758-IF(LEFT(N1758,7)="Explore",S1758,0))&lt;10),"SI","NO")</f>
        <v/>
      </c>
    </row>
    <row r="1759">
      <c r="A1759" t="inlineStr">
        <is>
          <t>c58m2_training</t>
        </is>
      </c>
      <c r="B1759" t="inlineStr">
        <is>
          <t>2026-07-02 10:09:28.931</t>
        </is>
      </c>
      <c r="C1759" t="n">
        <v/>
      </c>
      <c r="D1759" t="inlineStr">
        <is>
          <t>Media file</t>
        </is>
      </c>
      <c r="E1759" t="inlineStr">
        <is>
          <t>player #1:C:/Users/manuel.felline/Documents/BEHAVIOR BTBR/NOR second cohort/WT/training/c58_m2.mp4</t>
        </is>
      </c>
      <c r="F1759" t="n">
        <v>-14.7</v>
      </c>
      <c r="G1759" t="n">
        <v>587.266</v>
      </c>
      <c r="H1759" t="n">
        <v>730.533</v>
      </c>
      <c r="I1759" t="n">
        <v>30</v>
      </c>
      <c r="J1759" t="inlineStr">
        <is>
          <t xml:space="preserve"> WT</t>
        </is>
      </c>
      <c r="K1759" t="inlineStr">
        <is>
          <t>Male</t>
        </is>
      </c>
      <c r="L1759" t="inlineStr">
        <is>
          <t>No focal subject</t>
        </is>
      </c>
      <c r="M1759" t="n">
        <v>23.067</v>
      </c>
      <c r="N1759" t="inlineStr">
        <is>
          <t>Explore_F</t>
        </is>
      </c>
      <c r="O1759" t="inlineStr">
        <is>
          <t>Familiar</t>
        </is>
      </c>
      <c r="P1759" t="inlineStr">
        <is>
          <t>STATE</t>
        </is>
      </c>
      <c r="Q1759" t="n">
        <v>510.866</v>
      </c>
      <c r="R1759" t="n">
        <v>511.133</v>
      </c>
      <c r="S1759" t="n">
        <v>0.267</v>
      </c>
      <c r="T1759" t="inlineStr">
        <is>
          <t>C:/Users/manuel.felline/Documents/BEHAVIOR BTBR/NOR second cohort/WT/training/c58_m2.mp4</t>
        </is>
      </c>
      <c r="U1759" t="n">
        <v>15767</v>
      </c>
      <c r="V1759" t="n">
        <v>15775</v>
      </c>
      <c r="W1759" t="n">
        <v/>
      </c>
      <c r="X1759" t="n">
        <v/>
      </c>
      <c r="Y1759" t="n">
        <v/>
      </c>
      <c r="Z1759" t="n">
        <v/>
      </c>
      <c r="AA1759">
        <f>SUMIFS($S$2:S1759,$A$2:A1759,A1759,$N$2:N1759,"Explore*")</f>
        <v/>
      </c>
      <c r="AB1759">
        <f>IF(AND(LEFT(N1759,7)="Explore",(AA1759-IF(LEFT(N1759,7)="Explore",S1759,0))&lt;10),"SI","NO")</f>
        <v/>
      </c>
    </row>
    <row r="1760">
      <c r="A1760" t="inlineStr">
        <is>
          <t>c58m2_training</t>
        </is>
      </c>
      <c r="B1760" t="inlineStr">
        <is>
          <t>2026-07-02 10:09:28.931</t>
        </is>
      </c>
      <c r="C1760" t="n">
        <v/>
      </c>
      <c r="D1760" t="inlineStr">
        <is>
          <t>Media file</t>
        </is>
      </c>
      <c r="E1760" t="inlineStr">
        <is>
          <t>player #1:C:/Users/manuel.felline/Documents/BEHAVIOR BTBR/NOR second cohort/WT/training/c58_m2.mp4</t>
        </is>
      </c>
      <c r="F1760" t="n">
        <v>-14.7</v>
      </c>
      <c r="G1760" t="n">
        <v>587.266</v>
      </c>
      <c r="H1760" t="n">
        <v>730.533</v>
      </c>
      <c r="I1760" t="n">
        <v>30</v>
      </c>
      <c r="J1760" t="inlineStr">
        <is>
          <t xml:space="preserve"> WT</t>
        </is>
      </c>
      <c r="K1760" t="inlineStr">
        <is>
          <t>Male</t>
        </is>
      </c>
      <c r="L1760" t="inlineStr">
        <is>
          <t>No focal subject</t>
        </is>
      </c>
      <c r="M1760" t="n">
        <v>23.067</v>
      </c>
      <c r="N1760" t="inlineStr">
        <is>
          <t>Explore_F2</t>
        </is>
      </c>
      <c r="O1760" t="inlineStr">
        <is>
          <t>Second familiar</t>
        </is>
      </c>
      <c r="P1760" t="inlineStr">
        <is>
          <t>STATE</t>
        </is>
      </c>
      <c r="Q1760" t="n">
        <v>558.199</v>
      </c>
      <c r="R1760" t="n">
        <v>558.999</v>
      </c>
      <c r="S1760" t="n">
        <v>0.8</v>
      </c>
      <c r="T1760" t="inlineStr">
        <is>
          <t>C:/Users/manuel.felline/Documents/BEHAVIOR BTBR/NOR second cohort/WT/training/c58_m2.mp4</t>
        </is>
      </c>
      <c r="U1760" t="n">
        <v>17187</v>
      </c>
      <c r="V1760" t="n">
        <v>17211</v>
      </c>
      <c r="W1760" t="n">
        <v/>
      </c>
      <c r="X1760" t="n">
        <v/>
      </c>
      <c r="Y1760" t="n">
        <v/>
      </c>
      <c r="Z1760" t="n">
        <v/>
      </c>
      <c r="AA1760">
        <f>SUMIFS($S$2:S1760,$A$2:A1760,A1760,$N$2:N1760,"Explore*")</f>
        <v/>
      </c>
      <c r="AB1760">
        <f>IF(AND(LEFT(N1760,7)="Explore",(AA1760-IF(LEFT(N1760,7)="Explore",S1760,0))&lt;10),"SI","NO")</f>
        <v/>
      </c>
    </row>
    <row r="1761">
      <c r="A1761" t="inlineStr">
        <is>
          <t>c58m2_training</t>
        </is>
      </c>
      <c r="B1761" t="inlineStr">
        <is>
          <t>2026-07-02 10:09:28.931</t>
        </is>
      </c>
      <c r="C1761" t="n">
        <v/>
      </c>
      <c r="D1761" t="inlineStr">
        <is>
          <t>Media file</t>
        </is>
      </c>
      <c r="E1761" t="inlineStr">
        <is>
          <t>player #1:C:/Users/manuel.felline/Documents/BEHAVIOR BTBR/NOR second cohort/WT/training/c58_m2.mp4</t>
        </is>
      </c>
      <c r="F1761" t="n">
        <v>-14.7</v>
      </c>
      <c r="G1761" t="n">
        <v>587.266</v>
      </c>
      <c r="H1761" t="n">
        <v>730.533</v>
      </c>
      <c r="I1761" t="n">
        <v>30</v>
      </c>
      <c r="J1761" t="inlineStr">
        <is>
          <t xml:space="preserve"> WT</t>
        </is>
      </c>
      <c r="K1761" t="inlineStr">
        <is>
          <t>Male</t>
        </is>
      </c>
      <c r="L1761" t="inlineStr">
        <is>
          <t>No focal subject</t>
        </is>
      </c>
      <c r="M1761" t="n">
        <v>23.067</v>
      </c>
      <c r="N1761" t="inlineStr">
        <is>
          <t>Explore_F2</t>
        </is>
      </c>
      <c r="O1761" t="inlineStr">
        <is>
          <t>Second familiar</t>
        </is>
      </c>
      <c r="P1761" t="inlineStr">
        <is>
          <t>STATE</t>
        </is>
      </c>
      <c r="Q1761" t="n">
        <v>583.566</v>
      </c>
      <c r="R1761" t="n">
        <v>584.1660000000001</v>
      </c>
      <c r="S1761" t="n">
        <v>0.6</v>
      </c>
      <c r="T1761" t="inlineStr">
        <is>
          <t>C:/Users/manuel.felline/Documents/BEHAVIOR BTBR/NOR second cohort/WT/training/c58_m2.mp4</t>
        </is>
      </c>
      <c r="U1761" t="n">
        <v>17948</v>
      </c>
      <c r="V1761" t="n">
        <v>17966</v>
      </c>
      <c r="W1761" t="n">
        <v/>
      </c>
      <c r="X1761" t="n">
        <v/>
      </c>
      <c r="Y1761" t="n">
        <v/>
      </c>
      <c r="Z1761" t="n">
        <v/>
      </c>
      <c r="AA1761">
        <f>SUMIFS($S$2:S1761,$A$2:A1761,A1761,$N$2:N1761,"Explore*")</f>
        <v/>
      </c>
      <c r="AB1761">
        <f>IF(AND(LEFT(N1761,7)="Explore",(AA1761-IF(LEFT(N1761,7)="Explore",S1761,0))&lt;10),"SI","NO")</f>
        <v/>
      </c>
    </row>
    <row r="1762">
      <c r="A1762" t="inlineStr">
        <is>
          <t>c58m2_training</t>
        </is>
      </c>
      <c r="B1762" t="inlineStr">
        <is>
          <t>2026-07-02 10:09:28.931</t>
        </is>
      </c>
      <c r="C1762" t="n">
        <v/>
      </c>
      <c r="D1762" t="inlineStr">
        <is>
          <t>Media file</t>
        </is>
      </c>
      <c r="E1762" t="inlineStr">
        <is>
          <t>player #1:C:/Users/manuel.felline/Documents/BEHAVIOR BTBR/NOR second cohort/WT/training/c58_m2.mp4</t>
        </is>
      </c>
      <c r="F1762" t="n">
        <v>-14.7</v>
      </c>
      <c r="G1762" t="n">
        <v>587.266</v>
      </c>
      <c r="H1762" t="n">
        <v>730.533</v>
      </c>
      <c r="I1762" t="n">
        <v>30</v>
      </c>
      <c r="J1762" t="inlineStr">
        <is>
          <t xml:space="preserve"> WT</t>
        </is>
      </c>
      <c r="K1762" t="inlineStr">
        <is>
          <t>Male</t>
        </is>
      </c>
      <c r="L1762" t="inlineStr">
        <is>
          <t>No focal subject</t>
        </is>
      </c>
      <c r="M1762" t="n">
        <v>23.067</v>
      </c>
      <c r="N1762" t="inlineStr">
        <is>
          <t>Explore_F</t>
        </is>
      </c>
      <c r="O1762" t="inlineStr">
        <is>
          <t>Familiar</t>
        </is>
      </c>
      <c r="P1762" t="inlineStr">
        <is>
          <t>STATE</t>
        </is>
      </c>
      <c r="Q1762" t="n">
        <v>592.466</v>
      </c>
      <c r="R1762" t="n">
        <v>592.933</v>
      </c>
      <c r="S1762" t="n">
        <v>0.467</v>
      </c>
      <c r="T1762" t="inlineStr">
        <is>
          <t>C:/Users/manuel.felline/Documents/BEHAVIOR BTBR/NOR second cohort/WT/training/c58_m2.mp4</t>
        </is>
      </c>
      <c r="U1762" t="n">
        <v>18215</v>
      </c>
      <c r="V1762" t="n">
        <v>18229</v>
      </c>
      <c r="W1762" t="n">
        <v/>
      </c>
      <c r="X1762" t="n">
        <v/>
      </c>
      <c r="Y1762" t="n">
        <v/>
      </c>
      <c r="Z1762" t="n">
        <v/>
      </c>
      <c r="AA1762">
        <f>SUMIFS($S$2:S1762,$A$2:A1762,A1762,$N$2:N1762,"Explore*")</f>
        <v/>
      </c>
      <c r="AB1762">
        <f>IF(AND(LEFT(N1762,7)="Explore",(AA1762-IF(LEFT(N1762,7)="Explore",S1762,0))&lt;10),"SI","NO")</f>
        <v/>
      </c>
    </row>
    <row r="1763">
      <c r="A1763" t="inlineStr">
        <is>
          <t>c58m3_training</t>
        </is>
      </c>
      <c r="B1763" t="inlineStr">
        <is>
          <t>2026-07-02 10:45:33.495</t>
        </is>
      </c>
      <c r="C1763" t="n">
        <v/>
      </c>
      <c r="D1763" t="inlineStr">
        <is>
          <t>Media file</t>
        </is>
      </c>
      <c r="E1763" t="inlineStr">
        <is>
          <t>player #1:C:/Users/manuel.felline/Documents/BEHAVIOR BTBR/NOR second cohort/WT/training/c58_m3.mp4</t>
        </is>
      </c>
      <c r="F1763" t="n">
        <v>-10.167</v>
      </c>
      <c r="G1763" t="n">
        <v>590.999</v>
      </c>
      <c r="H1763" t="n">
        <v>628.399</v>
      </c>
      <c r="I1763" t="n">
        <v>30</v>
      </c>
      <c r="J1763" t="inlineStr">
        <is>
          <t xml:space="preserve"> WT</t>
        </is>
      </c>
      <c r="K1763" t="inlineStr">
        <is>
          <t>Male</t>
        </is>
      </c>
      <c r="L1763" t="inlineStr">
        <is>
          <t>No focal subject</t>
        </is>
      </c>
      <c r="M1763" t="n">
        <v>19.2</v>
      </c>
      <c r="N1763" t="inlineStr">
        <is>
          <t>Explore_F</t>
        </is>
      </c>
      <c r="O1763" t="inlineStr">
        <is>
          <t>Familiar</t>
        </is>
      </c>
      <c r="P1763" t="inlineStr">
        <is>
          <t>STATE</t>
        </is>
      </c>
      <c r="Q1763" t="n">
        <v>9.1</v>
      </c>
      <c r="R1763" t="n">
        <v>9.4</v>
      </c>
      <c r="S1763" t="n">
        <v>0.3</v>
      </c>
      <c r="T1763" t="inlineStr">
        <is>
          <t>C:/Users/manuel.felline/Documents/BEHAVIOR BTBR/NOR second cohort/WT/training/c58_m3.mp4</t>
        </is>
      </c>
      <c r="U1763" t="n">
        <v>578</v>
      </c>
      <c r="V1763" t="n">
        <v>587</v>
      </c>
      <c r="W1763" t="n">
        <v/>
      </c>
      <c r="X1763" t="n">
        <v/>
      </c>
      <c r="Y1763" t="n">
        <v/>
      </c>
      <c r="Z1763" t="n">
        <v/>
      </c>
      <c r="AA1763">
        <f>SUMIFS($S$2:S1763,$A$2:A1763,A1763,$N$2:N1763,"Explore*")</f>
        <v/>
      </c>
      <c r="AB1763">
        <f>IF(AND(LEFT(N1763,7)="Explore",(AA1763-IF(LEFT(N1763,7)="Explore",S1763,0))&lt;10),"SI","NO")</f>
        <v/>
      </c>
    </row>
    <row r="1764">
      <c r="A1764" t="inlineStr">
        <is>
          <t>c58m3_training</t>
        </is>
      </c>
      <c r="B1764" t="inlineStr">
        <is>
          <t>2026-07-02 10:45:33.495</t>
        </is>
      </c>
      <c r="C1764" t="n">
        <v/>
      </c>
      <c r="D1764" t="inlineStr">
        <is>
          <t>Media file</t>
        </is>
      </c>
      <c r="E1764" t="inlineStr">
        <is>
          <t>player #1:C:/Users/manuel.felline/Documents/BEHAVIOR BTBR/NOR second cohort/WT/training/c58_m3.mp4</t>
        </is>
      </c>
      <c r="F1764" t="n">
        <v>-10.167</v>
      </c>
      <c r="G1764" t="n">
        <v>590.999</v>
      </c>
      <c r="H1764" t="n">
        <v>628.399</v>
      </c>
      <c r="I1764" t="n">
        <v>30</v>
      </c>
      <c r="J1764" t="inlineStr">
        <is>
          <t xml:space="preserve"> WT</t>
        </is>
      </c>
      <c r="K1764" t="inlineStr">
        <is>
          <t>Male</t>
        </is>
      </c>
      <c r="L1764" t="inlineStr">
        <is>
          <t>No focal subject</t>
        </is>
      </c>
      <c r="M1764" t="n">
        <v>19.2</v>
      </c>
      <c r="N1764" t="inlineStr">
        <is>
          <t>Explore_F2</t>
        </is>
      </c>
      <c r="O1764" t="inlineStr">
        <is>
          <t>Second familiar</t>
        </is>
      </c>
      <c r="P1764" t="inlineStr">
        <is>
          <t>STATE</t>
        </is>
      </c>
      <c r="Q1764" t="n">
        <v>60.266</v>
      </c>
      <c r="R1764" t="n">
        <v>60.566</v>
      </c>
      <c r="S1764" t="n">
        <v>0.3</v>
      </c>
      <c r="T1764" t="inlineStr">
        <is>
          <t>C:/Users/manuel.felline/Documents/BEHAVIOR BTBR/NOR second cohort/WT/training/c58_m3.mp4</t>
        </is>
      </c>
      <c r="U1764" t="n">
        <v>2113</v>
      </c>
      <c r="V1764" t="n">
        <v>2122</v>
      </c>
      <c r="W1764" t="n">
        <v/>
      </c>
      <c r="X1764" t="n">
        <v/>
      </c>
      <c r="Y1764" t="n">
        <v/>
      </c>
      <c r="Z1764" t="n">
        <v/>
      </c>
      <c r="AA1764">
        <f>SUMIFS($S$2:S1764,$A$2:A1764,A1764,$N$2:N1764,"Explore*")</f>
        <v/>
      </c>
      <c r="AB1764">
        <f>IF(AND(LEFT(N1764,7)="Explore",(AA1764-IF(LEFT(N1764,7)="Explore",S1764,0))&lt;10),"SI","NO")</f>
        <v/>
      </c>
    </row>
    <row r="1765">
      <c r="A1765" t="inlineStr">
        <is>
          <t>c58m3_training</t>
        </is>
      </c>
      <c r="B1765" t="inlineStr">
        <is>
          <t>2026-07-02 10:45:33.495</t>
        </is>
      </c>
      <c r="C1765" t="n">
        <v/>
      </c>
      <c r="D1765" t="inlineStr">
        <is>
          <t>Media file</t>
        </is>
      </c>
      <c r="E1765" t="inlineStr">
        <is>
          <t>player #1:C:/Users/manuel.felline/Documents/BEHAVIOR BTBR/NOR second cohort/WT/training/c58_m3.mp4</t>
        </is>
      </c>
      <c r="F1765" t="n">
        <v>-10.167</v>
      </c>
      <c r="G1765" t="n">
        <v>590.999</v>
      </c>
      <c r="H1765" t="n">
        <v>628.399</v>
      </c>
      <c r="I1765" t="n">
        <v>30</v>
      </c>
      <c r="J1765" t="inlineStr">
        <is>
          <t xml:space="preserve"> WT</t>
        </is>
      </c>
      <c r="K1765" t="inlineStr">
        <is>
          <t>Male</t>
        </is>
      </c>
      <c r="L1765" t="inlineStr">
        <is>
          <t>No focal subject</t>
        </is>
      </c>
      <c r="M1765" t="n">
        <v>19.2</v>
      </c>
      <c r="N1765" t="inlineStr">
        <is>
          <t>Explore_F</t>
        </is>
      </c>
      <c r="O1765" t="inlineStr">
        <is>
          <t>Familiar</t>
        </is>
      </c>
      <c r="P1765" t="inlineStr">
        <is>
          <t>STATE</t>
        </is>
      </c>
      <c r="Q1765" t="n">
        <v>146.366</v>
      </c>
      <c r="R1765" t="n">
        <v>147.1</v>
      </c>
      <c r="S1765" t="n">
        <v>0.734</v>
      </c>
      <c r="T1765" t="inlineStr">
        <is>
          <t>C:/Users/manuel.felline/Documents/BEHAVIOR BTBR/NOR second cohort/WT/training/c58_m3.mp4</t>
        </is>
      </c>
      <c r="U1765" t="n">
        <v>4696</v>
      </c>
      <c r="V1765" t="n">
        <v>4718</v>
      </c>
      <c r="W1765" t="n">
        <v/>
      </c>
      <c r="X1765" t="n">
        <v/>
      </c>
      <c r="Y1765" t="n">
        <v/>
      </c>
      <c r="Z1765" t="n">
        <v/>
      </c>
      <c r="AA1765">
        <f>SUMIFS($S$2:S1765,$A$2:A1765,A1765,$N$2:N1765,"Explore*")</f>
        <v/>
      </c>
      <c r="AB1765">
        <f>IF(AND(LEFT(N1765,7)="Explore",(AA1765-IF(LEFT(N1765,7)="Explore",S1765,0))&lt;10),"SI","NO")</f>
        <v/>
      </c>
    </row>
    <row r="1766">
      <c r="A1766" t="inlineStr">
        <is>
          <t>c58m3_training</t>
        </is>
      </c>
      <c r="B1766" t="inlineStr">
        <is>
          <t>2026-07-02 10:45:33.495</t>
        </is>
      </c>
      <c r="C1766" t="n">
        <v/>
      </c>
      <c r="D1766" t="inlineStr">
        <is>
          <t>Media file</t>
        </is>
      </c>
      <c r="E1766" t="inlineStr">
        <is>
          <t>player #1:C:/Users/manuel.felline/Documents/BEHAVIOR BTBR/NOR second cohort/WT/training/c58_m3.mp4</t>
        </is>
      </c>
      <c r="F1766" t="n">
        <v>-10.167</v>
      </c>
      <c r="G1766" t="n">
        <v>590.999</v>
      </c>
      <c r="H1766" t="n">
        <v>628.399</v>
      </c>
      <c r="I1766" t="n">
        <v>30</v>
      </c>
      <c r="J1766" t="inlineStr">
        <is>
          <t xml:space="preserve"> WT</t>
        </is>
      </c>
      <c r="K1766" t="inlineStr">
        <is>
          <t>Male</t>
        </is>
      </c>
      <c r="L1766" t="inlineStr">
        <is>
          <t>No focal subject</t>
        </is>
      </c>
      <c r="M1766" t="n">
        <v>19.2</v>
      </c>
      <c r="N1766" t="inlineStr">
        <is>
          <t>Explore_F2</t>
        </is>
      </c>
      <c r="O1766" t="inlineStr">
        <is>
          <t>Second familiar</t>
        </is>
      </c>
      <c r="P1766" t="inlineStr">
        <is>
          <t>STATE</t>
        </is>
      </c>
      <c r="Q1766" t="n">
        <v>185.433</v>
      </c>
      <c r="R1766" t="n">
        <v>185.699</v>
      </c>
      <c r="S1766" t="n">
        <v>0.266</v>
      </c>
      <c r="T1766" t="inlineStr">
        <is>
          <t>C:/Users/manuel.felline/Documents/BEHAVIOR BTBR/NOR second cohort/WT/training/c58_m3.mp4</t>
        </is>
      </c>
      <c r="U1766" t="n">
        <v>5868</v>
      </c>
      <c r="V1766" t="n">
        <v>5876</v>
      </c>
      <c r="W1766" t="n">
        <v/>
      </c>
      <c r="X1766" t="n">
        <v/>
      </c>
      <c r="Y1766" t="n">
        <v/>
      </c>
      <c r="Z1766" t="n">
        <v/>
      </c>
      <c r="AA1766">
        <f>SUMIFS($S$2:S1766,$A$2:A1766,A1766,$N$2:N1766,"Explore*")</f>
        <v/>
      </c>
      <c r="AB1766">
        <f>IF(AND(LEFT(N1766,7)="Explore",(AA1766-IF(LEFT(N1766,7)="Explore",S1766,0))&lt;10),"SI","NO")</f>
        <v/>
      </c>
    </row>
    <row r="1767">
      <c r="A1767" t="inlineStr">
        <is>
          <t>c58m3_training</t>
        </is>
      </c>
      <c r="B1767" t="inlineStr">
        <is>
          <t>2026-07-02 10:45:33.495</t>
        </is>
      </c>
      <c r="C1767" t="n">
        <v/>
      </c>
      <c r="D1767" t="inlineStr">
        <is>
          <t>Media file</t>
        </is>
      </c>
      <c r="E1767" t="inlineStr">
        <is>
          <t>player #1:C:/Users/manuel.felline/Documents/BEHAVIOR BTBR/NOR second cohort/WT/training/c58_m3.mp4</t>
        </is>
      </c>
      <c r="F1767" t="n">
        <v>-10.167</v>
      </c>
      <c r="G1767" t="n">
        <v>590.999</v>
      </c>
      <c r="H1767" t="n">
        <v>628.399</v>
      </c>
      <c r="I1767" t="n">
        <v>30</v>
      </c>
      <c r="J1767" t="inlineStr">
        <is>
          <t xml:space="preserve"> WT</t>
        </is>
      </c>
      <c r="K1767" t="inlineStr">
        <is>
          <t>Male</t>
        </is>
      </c>
      <c r="L1767" t="inlineStr">
        <is>
          <t>No focal subject</t>
        </is>
      </c>
      <c r="M1767" t="n">
        <v>19.2</v>
      </c>
      <c r="N1767" t="inlineStr">
        <is>
          <t>Explore_F2</t>
        </is>
      </c>
      <c r="O1767" t="inlineStr">
        <is>
          <t>Second familiar</t>
        </is>
      </c>
      <c r="P1767" t="inlineStr">
        <is>
          <t>STATE</t>
        </is>
      </c>
      <c r="Q1767" t="n">
        <v>188.466</v>
      </c>
      <c r="R1767" t="n">
        <v>188.966</v>
      </c>
      <c r="S1767" t="n">
        <v>0.5</v>
      </c>
      <c r="T1767" t="inlineStr">
        <is>
          <t>C:/Users/manuel.felline/Documents/BEHAVIOR BTBR/NOR second cohort/WT/training/c58_m3.mp4</t>
        </is>
      </c>
      <c r="U1767" t="n">
        <v>5959</v>
      </c>
      <c r="V1767" t="n">
        <v>5974</v>
      </c>
      <c r="W1767" t="n">
        <v/>
      </c>
      <c r="X1767" t="n">
        <v/>
      </c>
      <c r="Y1767" t="n">
        <v/>
      </c>
      <c r="Z1767" t="n">
        <v/>
      </c>
      <c r="AA1767">
        <f>SUMIFS($S$2:S1767,$A$2:A1767,A1767,$N$2:N1767,"Explore*")</f>
        <v/>
      </c>
      <c r="AB1767">
        <f>IF(AND(LEFT(N1767,7)="Explore",(AA1767-IF(LEFT(N1767,7)="Explore",S1767,0))&lt;10),"SI","NO")</f>
        <v/>
      </c>
    </row>
    <row r="1768">
      <c r="A1768" t="inlineStr">
        <is>
          <t>c58m3_training</t>
        </is>
      </c>
      <c r="B1768" t="inlineStr">
        <is>
          <t>2026-07-02 10:45:33.495</t>
        </is>
      </c>
      <c r="C1768" t="n">
        <v/>
      </c>
      <c r="D1768" t="inlineStr">
        <is>
          <t>Media file</t>
        </is>
      </c>
      <c r="E1768" t="inlineStr">
        <is>
          <t>player #1:C:/Users/manuel.felline/Documents/BEHAVIOR BTBR/NOR second cohort/WT/training/c58_m3.mp4</t>
        </is>
      </c>
      <c r="F1768" t="n">
        <v>-10.167</v>
      </c>
      <c r="G1768" t="n">
        <v>590.999</v>
      </c>
      <c r="H1768" t="n">
        <v>628.399</v>
      </c>
      <c r="I1768" t="n">
        <v>30</v>
      </c>
      <c r="J1768" t="inlineStr">
        <is>
          <t xml:space="preserve"> WT</t>
        </is>
      </c>
      <c r="K1768" t="inlineStr">
        <is>
          <t>Male</t>
        </is>
      </c>
      <c r="L1768" t="inlineStr">
        <is>
          <t>No focal subject</t>
        </is>
      </c>
      <c r="M1768" t="n">
        <v>19.2</v>
      </c>
      <c r="N1768" t="inlineStr">
        <is>
          <t>Explore_F2</t>
        </is>
      </c>
      <c r="O1768" t="inlineStr">
        <is>
          <t>Second familiar</t>
        </is>
      </c>
      <c r="P1768" t="inlineStr">
        <is>
          <t>STATE</t>
        </is>
      </c>
      <c r="Q1768" t="n">
        <v>230.466</v>
      </c>
      <c r="R1768" t="n">
        <v>230.933</v>
      </c>
      <c r="S1768" t="n">
        <v>0.467</v>
      </c>
      <c r="T1768" t="inlineStr">
        <is>
          <t>C:/Users/manuel.felline/Documents/BEHAVIOR BTBR/NOR second cohort/WT/training/c58_m3.mp4</t>
        </is>
      </c>
      <c r="U1768" t="n">
        <v>7219</v>
      </c>
      <c r="V1768" t="n">
        <v>7233</v>
      </c>
      <c r="W1768" t="n">
        <v/>
      </c>
      <c r="X1768" t="n">
        <v/>
      </c>
      <c r="Y1768" t="n">
        <v/>
      </c>
      <c r="Z1768" t="n">
        <v/>
      </c>
      <c r="AA1768">
        <f>SUMIFS($S$2:S1768,$A$2:A1768,A1768,$N$2:N1768,"Explore*")</f>
        <v/>
      </c>
      <c r="AB1768">
        <f>IF(AND(LEFT(N1768,7)="Explore",(AA1768-IF(LEFT(N1768,7)="Explore",S1768,0))&lt;10),"SI","NO")</f>
        <v/>
      </c>
    </row>
    <row r="1769">
      <c r="A1769" t="inlineStr">
        <is>
          <t>c58m3_training</t>
        </is>
      </c>
      <c r="B1769" t="inlineStr">
        <is>
          <t>2026-07-02 10:45:33.495</t>
        </is>
      </c>
      <c r="C1769" t="n">
        <v/>
      </c>
      <c r="D1769" t="inlineStr">
        <is>
          <t>Media file</t>
        </is>
      </c>
      <c r="E1769" t="inlineStr">
        <is>
          <t>player #1:C:/Users/manuel.felline/Documents/BEHAVIOR BTBR/NOR second cohort/WT/training/c58_m3.mp4</t>
        </is>
      </c>
      <c r="F1769" t="n">
        <v>-10.167</v>
      </c>
      <c r="G1769" t="n">
        <v>590.999</v>
      </c>
      <c r="H1769" t="n">
        <v>628.399</v>
      </c>
      <c r="I1769" t="n">
        <v>30</v>
      </c>
      <c r="J1769" t="inlineStr">
        <is>
          <t xml:space="preserve"> WT</t>
        </is>
      </c>
      <c r="K1769" t="inlineStr">
        <is>
          <t>Male</t>
        </is>
      </c>
      <c r="L1769" t="inlineStr">
        <is>
          <t>No focal subject</t>
        </is>
      </c>
      <c r="M1769" t="n">
        <v>19.2</v>
      </c>
      <c r="N1769" t="inlineStr">
        <is>
          <t>Explore_F2</t>
        </is>
      </c>
      <c r="O1769" t="inlineStr">
        <is>
          <t>Second familiar</t>
        </is>
      </c>
      <c r="P1769" t="inlineStr">
        <is>
          <t>STATE</t>
        </is>
      </c>
      <c r="Q1769" t="n">
        <v>233.799</v>
      </c>
      <c r="R1769" t="n">
        <v>234.533</v>
      </c>
      <c r="S1769" t="n">
        <v>0.734</v>
      </c>
      <c r="T1769" t="inlineStr">
        <is>
          <t>C:/Users/manuel.felline/Documents/BEHAVIOR BTBR/NOR second cohort/WT/training/c58_m3.mp4</t>
        </is>
      </c>
      <c r="U1769" t="n">
        <v>7320</v>
      </c>
      <c r="V1769" t="n">
        <v>7341</v>
      </c>
      <c r="W1769" t="n">
        <v/>
      </c>
      <c r="X1769" t="n">
        <v/>
      </c>
      <c r="Y1769" t="n">
        <v/>
      </c>
      <c r="Z1769" t="n">
        <v/>
      </c>
      <c r="AA1769">
        <f>SUMIFS($S$2:S1769,$A$2:A1769,A1769,$N$2:N1769,"Explore*")</f>
        <v/>
      </c>
      <c r="AB1769">
        <f>IF(AND(LEFT(N1769,7)="Explore",(AA1769-IF(LEFT(N1769,7)="Explore",S1769,0))&lt;10),"SI","NO")</f>
        <v/>
      </c>
    </row>
    <row r="1770">
      <c r="A1770" t="inlineStr">
        <is>
          <t>c58m3_training</t>
        </is>
      </c>
      <c r="B1770" t="inlineStr">
        <is>
          <t>2026-07-02 10:45:33.495</t>
        </is>
      </c>
      <c r="C1770" t="n">
        <v/>
      </c>
      <c r="D1770" t="inlineStr">
        <is>
          <t>Media file</t>
        </is>
      </c>
      <c r="E1770" t="inlineStr">
        <is>
          <t>player #1:C:/Users/manuel.felline/Documents/BEHAVIOR BTBR/NOR second cohort/WT/training/c58_m3.mp4</t>
        </is>
      </c>
      <c r="F1770" t="n">
        <v>-10.167</v>
      </c>
      <c r="G1770" t="n">
        <v>590.999</v>
      </c>
      <c r="H1770" t="n">
        <v>628.399</v>
      </c>
      <c r="I1770" t="n">
        <v>30</v>
      </c>
      <c r="J1770" t="inlineStr">
        <is>
          <t xml:space="preserve"> WT</t>
        </is>
      </c>
      <c r="K1770" t="inlineStr">
        <is>
          <t>Male</t>
        </is>
      </c>
      <c r="L1770" t="inlineStr">
        <is>
          <t>No focal subject</t>
        </is>
      </c>
      <c r="M1770" t="n">
        <v>19.2</v>
      </c>
      <c r="N1770" t="inlineStr">
        <is>
          <t>Explore_F2</t>
        </is>
      </c>
      <c r="O1770" t="inlineStr">
        <is>
          <t>Second familiar</t>
        </is>
      </c>
      <c r="P1770" t="inlineStr">
        <is>
          <t>STATE</t>
        </is>
      </c>
      <c r="Q1770" t="n">
        <v>244.499</v>
      </c>
      <c r="R1770" t="n">
        <v>245.466</v>
      </c>
      <c r="S1770" t="n">
        <v>0.967</v>
      </c>
      <c r="T1770" t="inlineStr">
        <is>
          <t>C:/Users/manuel.felline/Documents/BEHAVIOR BTBR/NOR second cohort/WT/training/c58_m3.mp4</t>
        </is>
      </c>
      <c r="U1770" t="n">
        <v>7640</v>
      </c>
      <c r="V1770" t="n">
        <v>7669</v>
      </c>
      <c r="W1770" t="n">
        <v/>
      </c>
      <c r="X1770" t="n">
        <v/>
      </c>
      <c r="Y1770" t="n">
        <v/>
      </c>
      <c r="Z1770" t="n">
        <v/>
      </c>
      <c r="AA1770">
        <f>SUMIFS($S$2:S1770,$A$2:A1770,A1770,$N$2:N1770,"Explore*")</f>
        <v/>
      </c>
      <c r="AB1770">
        <f>IF(AND(LEFT(N1770,7)="Explore",(AA1770-IF(LEFT(N1770,7)="Explore",S1770,0))&lt;10),"SI","NO")</f>
        <v/>
      </c>
    </row>
    <row r="1771">
      <c r="A1771" t="inlineStr">
        <is>
          <t>c58m3_training</t>
        </is>
      </c>
      <c r="B1771" t="inlineStr">
        <is>
          <t>2026-07-02 10:45:33.495</t>
        </is>
      </c>
      <c r="C1771" t="n">
        <v/>
      </c>
      <c r="D1771" t="inlineStr">
        <is>
          <t>Media file</t>
        </is>
      </c>
      <c r="E1771" t="inlineStr">
        <is>
          <t>player #1:C:/Users/manuel.felline/Documents/BEHAVIOR BTBR/NOR second cohort/WT/training/c58_m3.mp4</t>
        </is>
      </c>
      <c r="F1771" t="n">
        <v>-10.167</v>
      </c>
      <c r="G1771" t="n">
        <v>590.999</v>
      </c>
      <c r="H1771" t="n">
        <v>628.399</v>
      </c>
      <c r="I1771" t="n">
        <v>30</v>
      </c>
      <c r="J1771" t="inlineStr">
        <is>
          <t xml:space="preserve"> WT</t>
        </is>
      </c>
      <c r="K1771" t="inlineStr">
        <is>
          <t>Male</t>
        </is>
      </c>
      <c r="L1771" t="inlineStr">
        <is>
          <t>No focal subject</t>
        </is>
      </c>
      <c r="M1771" t="n">
        <v>19.2</v>
      </c>
      <c r="N1771" t="inlineStr">
        <is>
          <t>Explore_F2</t>
        </is>
      </c>
      <c r="O1771" t="inlineStr">
        <is>
          <t>Second familiar</t>
        </is>
      </c>
      <c r="P1771" t="inlineStr">
        <is>
          <t>STATE</t>
        </is>
      </c>
      <c r="Q1771" t="n">
        <v>256.466</v>
      </c>
      <c r="R1771" t="n">
        <v>256.799</v>
      </c>
      <c r="S1771" t="n">
        <v>0.333</v>
      </c>
      <c r="T1771" t="inlineStr">
        <is>
          <t>C:/Users/manuel.felline/Documents/BEHAVIOR BTBR/NOR second cohort/WT/training/c58_m3.mp4</t>
        </is>
      </c>
      <c r="U1771" t="n">
        <v>7999</v>
      </c>
      <c r="V1771" t="n">
        <v>8009</v>
      </c>
      <c r="W1771" t="n">
        <v/>
      </c>
      <c r="X1771" t="n">
        <v/>
      </c>
      <c r="Y1771" t="n">
        <v/>
      </c>
      <c r="Z1771" t="n">
        <v/>
      </c>
      <c r="AA1771">
        <f>SUMIFS($S$2:S1771,$A$2:A1771,A1771,$N$2:N1771,"Explore*")</f>
        <v/>
      </c>
      <c r="AB1771">
        <f>IF(AND(LEFT(N1771,7)="Explore",(AA1771-IF(LEFT(N1771,7)="Explore",S1771,0))&lt;10),"SI","NO")</f>
        <v/>
      </c>
    </row>
    <row r="1772">
      <c r="A1772" t="inlineStr">
        <is>
          <t>c58m3_training</t>
        </is>
      </c>
      <c r="B1772" t="inlineStr">
        <is>
          <t>2026-07-02 10:45:33.495</t>
        </is>
      </c>
      <c r="C1772" t="n">
        <v/>
      </c>
      <c r="D1772" t="inlineStr">
        <is>
          <t>Media file</t>
        </is>
      </c>
      <c r="E1772" t="inlineStr">
        <is>
          <t>player #1:C:/Users/manuel.felline/Documents/BEHAVIOR BTBR/NOR second cohort/WT/training/c58_m3.mp4</t>
        </is>
      </c>
      <c r="F1772" t="n">
        <v>-10.167</v>
      </c>
      <c r="G1772" t="n">
        <v>590.999</v>
      </c>
      <c r="H1772" t="n">
        <v>628.399</v>
      </c>
      <c r="I1772" t="n">
        <v>30</v>
      </c>
      <c r="J1772" t="inlineStr">
        <is>
          <t xml:space="preserve"> WT</t>
        </is>
      </c>
      <c r="K1772" t="inlineStr">
        <is>
          <t>Male</t>
        </is>
      </c>
      <c r="L1772" t="inlineStr">
        <is>
          <t>No focal subject</t>
        </is>
      </c>
      <c r="M1772" t="n">
        <v>19.2</v>
      </c>
      <c r="N1772" t="inlineStr">
        <is>
          <t>Explore_F2</t>
        </is>
      </c>
      <c r="O1772" t="inlineStr">
        <is>
          <t>Second familiar</t>
        </is>
      </c>
      <c r="P1772" t="inlineStr">
        <is>
          <t>STATE</t>
        </is>
      </c>
      <c r="Q1772" t="n">
        <v>270.566</v>
      </c>
      <c r="R1772" t="n">
        <v>270.899</v>
      </c>
      <c r="S1772" t="n">
        <v>0.333</v>
      </c>
      <c r="T1772" t="inlineStr">
        <is>
          <t>C:/Users/manuel.felline/Documents/BEHAVIOR BTBR/NOR second cohort/WT/training/c58_m3.mp4</t>
        </is>
      </c>
      <c r="U1772" t="n">
        <v>8422</v>
      </c>
      <c r="V1772" t="n">
        <v>8432</v>
      </c>
      <c r="W1772" t="n">
        <v/>
      </c>
      <c r="X1772" t="n">
        <v/>
      </c>
      <c r="Y1772" t="n">
        <v/>
      </c>
      <c r="Z1772" t="n">
        <v/>
      </c>
      <c r="AA1772">
        <f>SUMIFS($S$2:S1772,$A$2:A1772,A1772,$N$2:N1772,"Explore*")</f>
        <v/>
      </c>
      <c r="AB1772">
        <f>IF(AND(LEFT(N1772,7)="Explore",(AA1772-IF(LEFT(N1772,7)="Explore",S1772,0))&lt;10),"SI","NO")</f>
        <v/>
      </c>
    </row>
    <row r="1773">
      <c r="A1773" t="inlineStr">
        <is>
          <t>c58m3_training</t>
        </is>
      </c>
      <c r="B1773" t="inlineStr">
        <is>
          <t>2026-07-02 10:45:33.495</t>
        </is>
      </c>
      <c r="C1773" t="n">
        <v/>
      </c>
      <c r="D1773" t="inlineStr">
        <is>
          <t>Media file</t>
        </is>
      </c>
      <c r="E1773" t="inlineStr">
        <is>
          <t>player #1:C:/Users/manuel.felline/Documents/BEHAVIOR BTBR/NOR second cohort/WT/training/c58_m3.mp4</t>
        </is>
      </c>
      <c r="F1773" t="n">
        <v>-10.167</v>
      </c>
      <c r="G1773" t="n">
        <v>590.999</v>
      </c>
      <c r="H1773" t="n">
        <v>628.399</v>
      </c>
      <c r="I1773" t="n">
        <v>30</v>
      </c>
      <c r="J1773" t="inlineStr">
        <is>
          <t xml:space="preserve"> WT</t>
        </is>
      </c>
      <c r="K1773" t="inlineStr">
        <is>
          <t>Male</t>
        </is>
      </c>
      <c r="L1773" t="inlineStr">
        <is>
          <t>No focal subject</t>
        </is>
      </c>
      <c r="M1773" t="n">
        <v>19.2</v>
      </c>
      <c r="N1773" t="inlineStr">
        <is>
          <t>Explore_F</t>
        </is>
      </c>
      <c r="O1773" t="inlineStr">
        <is>
          <t>Familiar</t>
        </is>
      </c>
      <c r="P1773" t="inlineStr">
        <is>
          <t>STATE</t>
        </is>
      </c>
      <c r="Q1773" t="n">
        <v>273.466</v>
      </c>
      <c r="R1773" t="n">
        <v>273.899</v>
      </c>
      <c r="S1773" t="n">
        <v>0.433</v>
      </c>
      <c r="T1773" t="inlineStr">
        <is>
          <t>C:/Users/manuel.felline/Documents/BEHAVIOR BTBR/NOR second cohort/WT/training/c58_m3.mp4</t>
        </is>
      </c>
      <c r="U1773" t="n">
        <v>8509</v>
      </c>
      <c r="V1773" t="n">
        <v>8522</v>
      </c>
      <c r="W1773" t="n">
        <v/>
      </c>
      <c r="X1773" t="n">
        <v/>
      </c>
      <c r="Y1773" t="n">
        <v/>
      </c>
      <c r="Z1773" t="n">
        <v/>
      </c>
      <c r="AA1773">
        <f>SUMIFS($S$2:S1773,$A$2:A1773,A1773,$N$2:N1773,"Explore*")</f>
        <v/>
      </c>
      <c r="AB1773">
        <f>IF(AND(LEFT(N1773,7)="Explore",(AA1773-IF(LEFT(N1773,7)="Explore",S1773,0))&lt;10),"SI","NO")</f>
        <v/>
      </c>
    </row>
    <row r="1774">
      <c r="A1774" t="inlineStr">
        <is>
          <t>c58m3_training</t>
        </is>
      </c>
      <c r="B1774" t="inlineStr">
        <is>
          <t>2026-07-02 10:45:33.495</t>
        </is>
      </c>
      <c r="C1774" t="n">
        <v/>
      </c>
      <c r="D1774" t="inlineStr">
        <is>
          <t>Media file</t>
        </is>
      </c>
      <c r="E1774" t="inlineStr">
        <is>
          <t>player #1:C:/Users/manuel.felline/Documents/BEHAVIOR BTBR/NOR second cohort/WT/training/c58_m3.mp4</t>
        </is>
      </c>
      <c r="F1774" t="n">
        <v>-10.167</v>
      </c>
      <c r="G1774" t="n">
        <v>590.999</v>
      </c>
      <c r="H1774" t="n">
        <v>628.399</v>
      </c>
      <c r="I1774" t="n">
        <v>30</v>
      </c>
      <c r="J1774" t="inlineStr">
        <is>
          <t xml:space="preserve"> WT</t>
        </is>
      </c>
      <c r="K1774" t="inlineStr">
        <is>
          <t>Male</t>
        </is>
      </c>
      <c r="L1774" t="inlineStr">
        <is>
          <t>No focal subject</t>
        </is>
      </c>
      <c r="M1774" t="n">
        <v>19.2</v>
      </c>
      <c r="N1774" t="inlineStr">
        <is>
          <t>Explore_F2</t>
        </is>
      </c>
      <c r="O1774" t="inlineStr">
        <is>
          <t>Second familiar</t>
        </is>
      </c>
      <c r="P1774" t="inlineStr">
        <is>
          <t>STATE</t>
        </is>
      </c>
      <c r="Q1774" t="n">
        <v>287.066</v>
      </c>
      <c r="R1774" t="n">
        <v>287.433</v>
      </c>
      <c r="S1774" t="n">
        <v>0.367</v>
      </c>
      <c r="T1774" t="inlineStr">
        <is>
          <t>C:/Users/manuel.felline/Documents/BEHAVIOR BTBR/NOR second cohort/WT/training/c58_m3.mp4</t>
        </is>
      </c>
      <c r="U1774" t="n">
        <v>8917</v>
      </c>
      <c r="V1774" t="n">
        <v>8928</v>
      </c>
      <c r="W1774" t="n">
        <v/>
      </c>
      <c r="X1774" t="n">
        <v/>
      </c>
      <c r="Y1774" t="n">
        <v/>
      </c>
      <c r="Z1774" t="n">
        <v/>
      </c>
      <c r="AA1774">
        <f>SUMIFS($S$2:S1774,$A$2:A1774,A1774,$N$2:N1774,"Explore*")</f>
        <v/>
      </c>
      <c r="AB1774">
        <f>IF(AND(LEFT(N1774,7)="Explore",(AA1774-IF(LEFT(N1774,7)="Explore",S1774,0))&lt;10),"SI","NO")</f>
        <v/>
      </c>
    </row>
    <row r="1775">
      <c r="A1775" t="inlineStr">
        <is>
          <t>c58m3_training</t>
        </is>
      </c>
      <c r="B1775" t="inlineStr">
        <is>
          <t>2026-07-02 10:45:33.495</t>
        </is>
      </c>
      <c r="C1775" t="n">
        <v/>
      </c>
      <c r="D1775" t="inlineStr">
        <is>
          <t>Media file</t>
        </is>
      </c>
      <c r="E1775" t="inlineStr">
        <is>
          <t>player #1:C:/Users/manuel.felline/Documents/BEHAVIOR BTBR/NOR second cohort/WT/training/c58_m3.mp4</t>
        </is>
      </c>
      <c r="F1775" t="n">
        <v>-10.167</v>
      </c>
      <c r="G1775" t="n">
        <v>590.999</v>
      </c>
      <c r="H1775" t="n">
        <v>628.399</v>
      </c>
      <c r="I1775" t="n">
        <v>30</v>
      </c>
      <c r="J1775" t="inlineStr">
        <is>
          <t xml:space="preserve"> WT</t>
        </is>
      </c>
      <c r="K1775" t="inlineStr">
        <is>
          <t>Male</t>
        </is>
      </c>
      <c r="L1775" t="inlineStr">
        <is>
          <t>No focal subject</t>
        </is>
      </c>
      <c r="M1775" t="n">
        <v>19.2</v>
      </c>
      <c r="N1775" t="inlineStr">
        <is>
          <t>Explore_F2</t>
        </is>
      </c>
      <c r="O1775" t="inlineStr">
        <is>
          <t>Second familiar</t>
        </is>
      </c>
      <c r="P1775" t="inlineStr">
        <is>
          <t>STATE</t>
        </is>
      </c>
      <c r="Q1775" t="n">
        <v>289.433</v>
      </c>
      <c r="R1775" t="n">
        <v>289.899</v>
      </c>
      <c r="S1775" t="n">
        <v>0.466</v>
      </c>
      <c r="T1775" t="inlineStr">
        <is>
          <t>C:/Users/manuel.felline/Documents/BEHAVIOR BTBR/NOR second cohort/WT/training/c58_m3.mp4</t>
        </is>
      </c>
      <c r="U1775" t="n">
        <v>8988</v>
      </c>
      <c r="V1775" t="n">
        <v>9002</v>
      </c>
      <c r="W1775" t="n">
        <v/>
      </c>
      <c r="X1775" t="n">
        <v/>
      </c>
      <c r="Y1775" t="n">
        <v/>
      </c>
      <c r="Z1775" t="n">
        <v/>
      </c>
      <c r="AA1775">
        <f>SUMIFS($S$2:S1775,$A$2:A1775,A1775,$N$2:N1775,"Explore*")</f>
        <v/>
      </c>
      <c r="AB1775">
        <f>IF(AND(LEFT(N1775,7)="Explore",(AA1775-IF(LEFT(N1775,7)="Explore",S1775,0))&lt;10),"SI","NO")</f>
        <v/>
      </c>
    </row>
    <row r="1776">
      <c r="A1776" t="inlineStr">
        <is>
          <t>c58m3_training</t>
        </is>
      </c>
      <c r="B1776" t="inlineStr">
        <is>
          <t>2026-07-02 10:45:33.495</t>
        </is>
      </c>
      <c r="C1776" t="n">
        <v/>
      </c>
      <c r="D1776" t="inlineStr">
        <is>
          <t>Media file</t>
        </is>
      </c>
      <c r="E1776" t="inlineStr">
        <is>
          <t>player #1:C:/Users/manuel.felline/Documents/BEHAVIOR BTBR/NOR second cohort/WT/training/c58_m3.mp4</t>
        </is>
      </c>
      <c r="F1776" t="n">
        <v>-10.167</v>
      </c>
      <c r="G1776" t="n">
        <v>590.999</v>
      </c>
      <c r="H1776" t="n">
        <v>628.399</v>
      </c>
      <c r="I1776" t="n">
        <v>30</v>
      </c>
      <c r="J1776" t="inlineStr">
        <is>
          <t xml:space="preserve"> WT</t>
        </is>
      </c>
      <c r="K1776" t="inlineStr">
        <is>
          <t>Male</t>
        </is>
      </c>
      <c r="L1776" t="inlineStr">
        <is>
          <t>No focal subject</t>
        </is>
      </c>
      <c r="M1776" t="n">
        <v>19.2</v>
      </c>
      <c r="N1776" t="inlineStr">
        <is>
          <t>Explore_F</t>
        </is>
      </c>
      <c r="O1776" t="inlineStr">
        <is>
          <t>Familiar</t>
        </is>
      </c>
      <c r="P1776" t="inlineStr">
        <is>
          <t>STATE</t>
        </is>
      </c>
      <c r="Q1776" t="n">
        <v>323.966</v>
      </c>
      <c r="R1776" t="n">
        <v>324.233</v>
      </c>
      <c r="S1776" t="n">
        <v>0.267</v>
      </c>
      <c r="T1776" t="inlineStr">
        <is>
          <t>C:/Users/manuel.felline/Documents/BEHAVIOR BTBR/NOR second cohort/WT/training/c58_m3.mp4</t>
        </is>
      </c>
      <c r="U1776" t="n">
        <v>10024</v>
      </c>
      <c r="V1776" t="n">
        <v>10032</v>
      </c>
      <c r="W1776" t="n">
        <v/>
      </c>
      <c r="X1776" t="n">
        <v/>
      </c>
      <c r="Y1776" t="n">
        <v/>
      </c>
      <c r="Z1776" t="n">
        <v/>
      </c>
      <c r="AA1776">
        <f>SUMIFS($S$2:S1776,$A$2:A1776,A1776,$N$2:N1776,"Explore*")</f>
        <v/>
      </c>
      <c r="AB1776">
        <f>IF(AND(LEFT(N1776,7)="Explore",(AA1776-IF(LEFT(N1776,7)="Explore",S1776,0))&lt;10),"SI","NO")</f>
        <v/>
      </c>
    </row>
    <row r="1777">
      <c r="A1777" t="inlineStr">
        <is>
          <t>c58m3_training</t>
        </is>
      </c>
      <c r="B1777" t="inlineStr">
        <is>
          <t>2026-07-02 10:45:33.495</t>
        </is>
      </c>
      <c r="C1777" t="n">
        <v/>
      </c>
      <c r="D1777" t="inlineStr">
        <is>
          <t>Media file</t>
        </is>
      </c>
      <c r="E1777" t="inlineStr">
        <is>
          <t>player #1:C:/Users/manuel.felline/Documents/BEHAVIOR BTBR/NOR second cohort/WT/training/c58_m3.mp4</t>
        </is>
      </c>
      <c r="F1777" t="n">
        <v>-10.167</v>
      </c>
      <c r="G1777" t="n">
        <v>590.999</v>
      </c>
      <c r="H1777" t="n">
        <v>628.399</v>
      </c>
      <c r="I1777" t="n">
        <v>30</v>
      </c>
      <c r="J1777" t="inlineStr">
        <is>
          <t xml:space="preserve"> WT</t>
        </is>
      </c>
      <c r="K1777" t="inlineStr">
        <is>
          <t>Male</t>
        </is>
      </c>
      <c r="L1777" t="inlineStr">
        <is>
          <t>No focal subject</t>
        </is>
      </c>
      <c r="M1777" t="n">
        <v>19.2</v>
      </c>
      <c r="N1777" t="inlineStr">
        <is>
          <t>Explore_F2</t>
        </is>
      </c>
      <c r="O1777" t="inlineStr">
        <is>
          <t>Second familiar</t>
        </is>
      </c>
      <c r="P1777" t="inlineStr">
        <is>
          <t>STATE</t>
        </is>
      </c>
      <c r="Q1777" t="n">
        <v>355.033</v>
      </c>
      <c r="R1777" t="n">
        <v>355.366</v>
      </c>
      <c r="S1777" t="n">
        <v>0.333</v>
      </c>
      <c r="T1777" t="inlineStr">
        <is>
          <t>C:/Users/manuel.felline/Documents/BEHAVIOR BTBR/NOR second cohort/WT/training/c58_m3.mp4</t>
        </is>
      </c>
      <c r="U1777" t="n">
        <v>10956</v>
      </c>
      <c r="V1777" t="n">
        <v>10966</v>
      </c>
      <c r="W1777" t="n">
        <v/>
      </c>
      <c r="X1777" t="n">
        <v/>
      </c>
      <c r="Y1777" t="n">
        <v/>
      </c>
      <c r="Z1777" t="n">
        <v/>
      </c>
      <c r="AA1777">
        <f>SUMIFS($S$2:S1777,$A$2:A1777,A1777,$N$2:N1777,"Explore*")</f>
        <v/>
      </c>
      <c r="AB1777">
        <f>IF(AND(LEFT(N1777,7)="Explore",(AA1777-IF(LEFT(N1777,7)="Explore",S1777,0))&lt;10),"SI","NO")</f>
        <v/>
      </c>
    </row>
    <row r="1778">
      <c r="A1778" t="inlineStr">
        <is>
          <t>c58m3_training</t>
        </is>
      </c>
      <c r="B1778" t="inlineStr">
        <is>
          <t>2026-07-02 10:45:33.495</t>
        </is>
      </c>
      <c r="C1778" t="n">
        <v/>
      </c>
      <c r="D1778" t="inlineStr">
        <is>
          <t>Media file</t>
        </is>
      </c>
      <c r="E1778" t="inlineStr">
        <is>
          <t>player #1:C:/Users/manuel.felline/Documents/BEHAVIOR BTBR/NOR second cohort/WT/training/c58_m3.mp4</t>
        </is>
      </c>
      <c r="F1778" t="n">
        <v>-10.167</v>
      </c>
      <c r="G1778" t="n">
        <v>590.999</v>
      </c>
      <c r="H1778" t="n">
        <v>628.399</v>
      </c>
      <c r="I1778" t="n">
        <v>30</v>
      </c>
      <c r="J1778" t="inlineStr">
        <is>
          <t xml:space="preserve"> WT</t>
        </is>
      </c>
      <c r="K1778" t="inlineStr">
        <is>
          <t>Male</t>
        </is>
      </c>
      <c r="L1778" t="inlineStr">
        <is>
          <t>No focal subject</t>
        </is>
      </c>
      <c r="M1778" t="n">
        <v>19.2</v>
      </c>
      <c r="N1778" t="inlineStr">
        <is>
          <t>Explore_F2</t>
        </is>
      </c>
      <c r="O1778" t="inlineStr">
        <is>
          <t>Second familiar</t>
        </is>
      </c>
      <c r="P1778" t="inlineStr">
        <is>
          <t>STATE</t>
        </is>
      </c>
      <c r="Q1778" t="n">
        <v>449.499</v>
      </c>
      <c r="R1778" t="n">
        <v>449.933</v>
      </c>
      <c r="S1778" t="n">
        <v>0.434</v>
      </c>
      <c r="T1778" t="inlineStr">
        <is>
          <t>C:/Users/manuel.felline/Documents/BEHAVIOR BTBR/NOR second cohort/WT/training/c58_m3.mp4</t>
        </is>
      </c>
      <c r="U1778" t="n">
        <v>13790</v>
      </c>
      <c r="V1778" t="n">
        <v>13803</v>
      </c>
      <c r="W1778" t="n">
        <v/>
      </c>
      <c r="X1778" t="n">
        <v/>
      </c>
      <c r="Y1778" t="n">
        <v/>
      </c>
      <c r="Z1778" t="n">
        <v/>
      </c>
      <c r="AA1778">
        <f>SUMIFS($S$2:S1778,$A$2:A1778,A1778,$N$2:N1778,"Explore*")</f>
        <v/>
      </c>
      <c r="AB1778">
        <f>IF(AND(LEFT(N1778,7)="Explore",(AA1778-IF(LEFT(N1778,7)="Explore",S1778,0))&lt;10),"SI","NO")</f>
        <v/>
      </c>
    </row>
    <row r="1779">
      <c r="A1779" t="inlineStr">
        <is>
          <t>c58m3_training</t>
        </is>
      </c>
      <c r="B1779" t="inlineStr">
        <is>
          <t>2026-07-02 10:45:33.495</t>
        </is>
      </c>
      <c r="C1779" t="n">
        <v/>
      </c>
      <c r="D1779" t="inlineStr">
        <is>
          <t>Media file</t>
        </is>
      </c>
      <c r="E1779" t="inlineStr">
        <is>
          <t>player #1:C:/Users/manuel.felline/Documents/BEHAVIOR BTBR/NOR second cohort/WT/training/c58_m3.mp4</t>
        </is>
      </c>
      <c r="F1779" t="n">
        <v>-10.167</v>
      </c>
      <c r="G1779" t="n">
        <v>590.999</v>
      </c>
      <c r="H1779" t="n">
        <v>628.399</v>
      </c>
      <c r="I1779" t="n">
        <v>30</v>
      </c>
      <c r="J1779" t="inlineStr">
        <is>
          <t xml:space="preserve"> WT</t>
        </is>
      </c>
      <c r="K1779" t="inlineStr">
        <is>
          <t>Male</t>
        </is>
      </c>
      <c r="L1779" t="inlineStr">
        <is>
          <t>No focal subject</t>
        </is>
      </c>
      <c r="M1779" t="n">
        <v>19.2</v>
      </c>
      <c r="N1779" t="inlineStr">
        <is>
          <t>Explore_F2</t>
        </is>
      </c>
      <c r="O1779" t="inlineStr">
        <is>
          <t>Second familiar</t>
        </is>
      </c>
      <c r="P1779" t="inlineStr">
        <is>
          <t>STATE</t>
        </is>
      </c>
      <c r="Q1779" t="n">
        <v>450.699</v>
      </c>
      <c r="R1779" t="n">
        <v>451.266</v>
      </c>
      <c r="S1779" t="n">
        <v>0.5669999999999999</v>
      </c>
      <c r="T1779" t="inlineStr">
        <is>
          <t>C:/Users/manuel.felline/Documents/BEHAVIOR BTBR/NOR second cohort/WT/training/c58_m3.mp4</t>
        </is>
      </c>
      <c r="U1779" t="n">
        <v>13826</v>
      </c>
      <c r="V1779" t="n">
        <v>13843</v>
      </c>
      <c r="W1779" t="n">
        <v/>
      </c>
      <c r="X1779" t="n">
        <v/>
      </c>
      <c r="Y1779" t="n">
        <v/>
      </c>
      <c r="Z1779" t="n">
        <v/>
      </c>
      <c r="AA1779">
        <f>SUMIFS($S$2:S1779,$A$2:A1779,A1779,$N$2:N1779,"Explore*")</f>
        <v/>
      </c>
      <c r="AB1779">
        <f>IF(AND(LEFT(N1779,7)="Explore",(AA1779-IF(LEFT(N1779,7)="Explore",S1779,0))&lt;10),"SI","NO")</f>
        <v/>
      </c>
    </row>
    <row r="1780">
      <c r="A1780" t="inlineStr">
        <is>
          <t>c58m3_training</t>
        </is>
      </c>
      <c r="B1780" t="inlineStr">
        <is>
          <t>2026-07-02 10:45:33.495</t>
        </is>
      </c>
      <c r="C1780" t="n">
        <v/>
      </c>
      <c r="D1780" t="inlineStr">
        <is>
          <t>Media file</t>
        </is>
      </c>
      <c r="E1780" t="inlineStr">
        <is>
          <t>player #1:C:/Users/manuel.felline/Documents/BEHAVIOR BTBR/NOR second cohort/WT/training/c58_m3.mp4</t>
        </is>
      </c>
      <c r="F1780" t="n">
        <v>-10.167</v>
      </c>
      <c r="G1780" t="n">
        <v>590.999</v>
      </c>
      <c r="H1780" t="n">
        <v>628.399</v>
      </c>
      <c r="I1780" t="n">
        <v>30</v>
      </c>
      <c r="J1780" t="inlineStr">
        <is>
          <t xml:space="preserve"> WT</t>
        </is>
      </c>
      <c r="K1780" t="inlineStr">
        <is>
          <t>Male</t>
        </is>
      </c>
      <c r="L1780" t="inlineStr">
        <is>
          <t>No focal subject</t>
        </is>
      </c>
      <c r="M1780" t="n">
        <v>19.2</v>
      </c>
      <c r="N1780" t="inlineStr">
        <is>
          <t>Explore_F2</t>
        </is>
      </c>
      <c r="O1780" t="inlineStr">
        <is>
          <t>Second familiar</t>
        </is>
      </c>
      <c r="P1780" t="inlineStr">
        <is>
          <t>STATE</t>
        </is>
      </c>
      <c r="Q1780" t="n">
        <v>456.666</v>
      </c>
      <c r="R1780" t="n">
        <v>457.066</v>
      </c>
      <c r="S1780" t="n">
        <v>0.4</v>
      </c>
      <c r="T1780" t="inlineStr">
        <is>
          <t>C:/Users/manuel.felline/Documents/BEHAVIOR BTBR/NOR second cohort/WT/training/c58_m3.mp4</t>
        </is>
      </c>
      <c r="U1780" t="n">
        <v>14005</v>
      </c>
      <c r="V1780" t="n">
        <v>14017</v>
      </c>
      <c r="W1780" t="n">
        <v/>
      </c>
      <c r="X1780" t="n">
        <v/>
      </c>
      <c r="Y1780" t="n">
        <v/>
      </c>
      <c r="Z1780" t="n">
        <v/>
      </c>
      <c r="AA1780">
        <f>SUMIFS($S$2:S1780,$A$2:A1780,A1780,$N$2:N1780,"Explore*")</f>
        <v/>
      </c>
      <c r="AB1780">
        <f>IF(AND(LEFT(N1780,7)="Explore",(AA1780-IF(LEFT(N1780,7)="Explore",S1780,0))&lt;10),"SI","NO")</f>
        <v/>
      </c>
    </row>
    <row r="1781">
      <c r="A1781" t="inlineStr">
        <is>
          <t>c58m3_training</t>
        </is>
      </c>
      <c r="B1781" t="inlineStr">
        <is>
          <t>2026-07-02 10:45:33.495</t>
        </is>
      </c>
      <c r="C1781" t="n">
        <v/>
      </c>
      <c r="D1781" t="inlineStr">
        <is>
          <t>Media file</t>
        </is>
      </c>
      <c r="E1781" t="inlineStr">
        <is>
          <t>player #1:C:/Users/manuel.felline/Documents/BEHAVIOR BTBR/NOR second cohort/WT/training/c58_m3.mp4</t>
        </is>
      </c>
      <c r="F1781" t="n">
        <v>-10.167</v>
      </c>
      <c r="G1781" t="n">
        <v>590.999</v>
      </c>
      <c r="H1781" t="n">
        <v>628.399</v>
      </c>
      <c r="I1781" t="n">
        <v>30</v>
      </c>
      <c r="J1781" t="inlineStr">
        <is>
          <t xml:space="preserve"> WT</t>
        </is>
      </c>
      <c r="K1781" t="inlineStr">
        <is>
          <t>Male</t>
        </is>
      </c>
      <c r="L1781" t="inlineStr">
        <is>
          <t>No focal subject</t>
        </is>
      </c>
      <c r="M1781" t="n">
        <v>19.2</v>
      </c>
      <c r="N1781" t="inlineStr">
        <is>
          <t>Explore_F</t>
        </is>
      </c>
      <c r="O1781" t="inlineStr">
        <is>
          <t>Familiar</t>
        </is>
      </c>
      <c r="P1781" t="inlineStr">
        <is>
          <t>STATE</t>
        </is>
      </c>
      <c r="Q1781" t="n">
        <v>483.732</v>
      </c>
      <c r="R1781" t="n">
        <v>485.732</v>
      </c>
      <c r="S1781" t="n">
        <v>2</v>
      </c>
      <c r="T1781" t="inlineStr">
        <is>
          <t>C:/Users/manuel.felline/Documents/BEHAVIOR BTBR/NOR second cohort/WT/training/c58_m3.mp4</t>
        </is>
      </c>
      <c r="U1781" t="n">
        <v>14817</v>
      </c>
      <c r="V1781" t="n">
        <v>14877</v>
      </c>
      <c r="W1781" t="n">
        <v/>
      </c>
      <c r="X1781" t="n">
        <v/>
      </c>
      <c r="Y1781" t="n">
        <v/>
      </c>
      <c r="Z1781" t="n">
        <v/>
      </c>
      <c r="AA1781">
        <f>SUMIFS($S$2:S1781,$A$2:A1781,A1781,$N$2:N1781,"Explore*")</f>
        <v/>
      </c>
      <c r="AB1781">
        <f>IF(AND(LEFT(N1781,7)="Explore",(AA1781-IF(LEFT(N1781,7)="Explore",S1781,0))&lt;10),"SI","NO")</f>
        <v/>
      </c>
    </row>
    <row r="1782">
      <c r="A1782" t="inlineStr">
        <is>
          <t>c58m3_training</t>
        </is>
      </c>
      <c r="B1782" t="inlineStr">
        <is>
          <t>2026-07-02 10:45:33.495</t>
        </is>
      </c>
      <c r="C1782" t="n">
        <v/>
      </c>
      <c r="D1782" t="inlineStr">
        <is>
          <t>Media file</t>
        </is>
      </c>
      <c r="E1782" t="inlineStr">
        <is>
          <t>player #1:C:/Users/manuel.felline/Documents/BEHAVIOR BTBR/NOR second cohort/WT/training/c58_m3.mp4</t>
        </is>
      </c>
      <c r="F1782" t="n">
        <v>-10.167</v>
      </c>
      <c r="G1782" t="n">
        <v>590.999</v>
      </c>
      <c r="H1782" t="n">
        <v>628.399</v>
      </c>
      <c r="I1782" t="n">
        <v>30</v>
      </c>
      <c r="J1782" t="inlineStr">
        <is>
          <t xml:space="preserve"> WT</t>
        </is>
      </c>
      <c r="K1782" t="inlineStr">
        <is>
          <t>Male</t>
        </is>
      </c>
      <c r="L1782" t="inlineStr">
        <is>
          <t>No focal subject</t>
        </is>
      </c>
      <c r="M1782" t="n">
        <v>19.2</v>
      </c>
      <c r="N1782" t="inlineStr">
        <is>
          <t>Explore_F</t>
        </is>
      </c>
      <c r="O1782" t="inlineStr">
        <is>
          <t>Familiar</t>
        </is>
      </c>
      <c r="P1782" t="inlineStr">
        <is>
          <t>STATE</t>
        </is>
      </c>
      <c r="Q1782" t="n">
        <v>493.266</v>
      </c>
      <c r="R1782" t="n">
        <v>493.699</v>
      </c>
      <c r="S1782" t="n">
        <v>0.433</v>
      </c>
      <c r="T1782" t="inlineStr">
        <is>
          <t>C:/Users/manuel.felline/Documents/BEHAVIOR BTBR/NOR second cohort/WT/training/c58_m3.mp4</t>
        </is>
      </c>
      <c r="U1782" t="n">
        <v>15103</v>
      </c>
      <c r="V1782" t="n">
        <v>15116</v>
      </c>
      <c r="W1782" t="n">
        <v/>
      </c>
      <c r="X1782" t="n">
        <v/>
      </c>
      <c r="Y1782" t="n">
        <v/>
      </c>
      <c r="Z1782" t="n">
        <v/>
      </c>
      <c r="AA1782">
        <f>SUMIFS($S$2:S1782,$A$2:A1782,A1782,$N$2:N1782,"Explore*")</f>
        <v/>
      </c>
      <c r="AB1782">
        <f>IF(AND(LEFT(N1782,7)="Explore",(AA1782-IF(LEFT(N1782,7)="Explore",S1782,0))&lt;10),"SI","NO")</f>
        <v/>
      </c>
    </row>
    <row r="1783">
      <c r="A1783" t="inlineStr">
        <is>
          <t>c58m3_training</t>
        </is>
      </c>
      <c r="B1783" t="inlineStr">
        <is>
          <t>2026-07-02 10:45:33.495</t>
        </is>
      </c>
      <c r="C1783" t="n">
        <v/>
      </c>
      <c r="D1783" t="inlineStr">
        <is>
          <t>Media file</t>
        </is>
      </c>
      <c r="E1783" t="inlineStr">
        <is>
          <t>player #1:C:/Users/manuel.felline/Documents/BEHAVIOR BTBR/NOR second cohort/WT/training/c58_m3.mp4</t>
        </is>
      </c>
      <c r="F1783" t="n">
        <v>-10.167</v>
      </c>
      <c r="G1783" t="n">
        <v>590.999</v>
      </c>
      <c r="H1783" t="n">
        <v>628.399</v>
      </c>
      <c r="I1783" t="n">
        <v>30</v>
      </c>
      <c r="J1783" t="inlineStr">
        <is>
          <t xml:space="preserve"> WT</t>
        </is>
      </c>
      <c r="K1783" t="inlineStr">
        <is>
          <t>Male</t>
        </is>
      </c>
      <c r="L1783" t="inlineStr">
        <is>
          <t>No focal subject</t>
        </is>
      </c>
      <c r="M1783" t="n">
        <v>19.2</v>
      </c>
      <c r="N1783" t="inlineStr">
        <is>
          <t>Explore_F</t>
        </is>
      </c>
      <c r="O1783" t="inlineStr">
        <is>
          <t>Familiar</t>
        </is>
      </c>
      <c r="P1783" t="inlineStr">
        <is>
          <t>STATE</t>
        </is>
      </c>
      <c r="Q1783" t="n">
        <v>500.266</v>
      </c>
      <c r="R1783" t="n">
        <v>501.732</v>
      </c>
      <c r="S1783" t="n">
        <v>1.466</v>
      </c>
      <c r="T1783" t="inlineStr">
        <is>
          <t>C:/Users/manuel.felline/Documents/BEHAVIOR BTBR/NOR second cohort/WT/training/c58_m3.mp4</t>
        </is>
      </c>
      <c r="U1783" t="n">
        <v>15313</v>
      </c>
      <c r="V1783" t="n">
        <v>15357</v>
      </c>
      <c r="W1783" t="n">
        <v/>
      </c>
      <c r="X1783" t="n">
        <v/>
      </c>
      <c r="Y1783" t="n">
        <v/>
      </c>
      <c r="Z1783" t="n">
        <v/>
      </c>
      <c r="AA1783">
        <f>SUMIFS($S$2:S1783,$A$2:A1783,A1783,$N$2:N1783,"Explore*")</f>
        <v/>
      </c>
      <c r="AB1783">
        <f>IF(AND(LEFT(N1783,7)="Explore",(AA1783-IF(LEFT(N1783,7)="Explore",S1783,0))&lt;10),"SI","NO")</f>
        <v/>
      </c>
    </row>
    <row r="1784">
      <c r="A1784" t="inlineStr">
        <is>
          <t>c58m3_training</t>
        </is>
      </c>
      <c r="B1784" t="inlineStr">
        <is>
          <t>2026-07-02 10:45:33.495</t>
        </is>
      </c>
      <c r="C1784" t="n">
        <v/>
      </c>
      <c r="D1784" t="inlineStr">
        <is>
          <t>Media file</t>
        </is>
      </c>
      <c r="E1784" t="inlineStr">
        <is>
          <t>player #1:C:/Users/manuel.felline/Documents/BEHAVIOR BTBR/NOR second cohort/WT/training/c58_m3.mp4</t>
        </is>
      </c>
      <c r="F1784" t="n">
        <v>-10.167</v>
      </c>
      <c r="G1784" t="n">
        <v>590.999</v>
      </c>
      <c r="H1784" t="n">
        <v>628.399</v>
      </c>
      <c r="I1784" t="n">
        <v>30</v>
      </c>
      <c r="J1784" t="inlineStr">
        <is>
          <t xml:space="preserve"> WT</t>
        </is>
      </c>
      <c r="K1784" t="inlineStr">
        <is>
          <t>Male</t>
        </is>
      </c>
      <c r="L1784" t="inlineStr">
        <is>
          <t>No focal subject</t>
        </is>
      </c>
      <c r="M1784" t="n">
        <v>19.2</v>
      </c>
      <c r="N1784" t="inlineStr">
        <is>
          <t>Explore_F2</t>
        </is>
      </c>
      <c r="O1784" t="inlineStr">
        <is>
          <t>Second familiar</t>
        </is>
      </c>
      <c r="P1784" t="inlineStr">
        <is>
          <t>STATE</t>
        </is>
      </c>
      <c r="Q1784" t="n">
        <v>519.799</v>
      </c>
      <c r="R1784" t="n">
        <v>521.6660000000001</v>
      </c>
      <c r="S1784" t="n">
        <v>1.867</v>
      </c>
      <c r="T1784" t="inlineStr">
        <is>
          <t>C:/Users/manuel.felline/Documents/BEHAVIOR BTBR/NOR second cohort/WT/training/c58_m3.mp4</t>
        </is>
      </c>
      <c r="U1784" t="n">
        <v>15899</v>
      </c>
      <c r="V1784" t="n">
        <v>15955</v>
      </c>
      <c r="W1784" t="n">
        <v/>
      </c>
      <c r="X1784" t="n">
        <v/>
      </c>
      <c r="Y1784" t="n">
        <v/>
      </c>
      <c r="Z1784" t="n">
        <v/>
      </c>
      <c r="AA1784">
        <f>SUMIFS($S$2:S1784,$A$2:A1784,A1784,$N$2:N1784,"Explore*")</f>
        <v/>
      </c>
      <c r="AB1784">
        <f>IF(AND(LEFT(N1784,7)="Explore",(AA1784-IF(LEFT(N1784,7)="Explore",S1784,0))&lt;10),"SI","NO")</f>
        <v/>
      </c>
    </row>
    <row r="1785">
      <c r="A1785" t="inlineStr">
        <is>
          <t>c58m3_training</t>
        </is>
      </c>
      <c r="B1785" t="inlineStr">
        <is>
          <t>2026-07-02 10:45:33.495</t>
        </is>
      </c>
      <c r="C1785" t="n">
        <v/>
      </c>
      <c r="D1785" t="inlineStr">
        <is>
          <t>Media file</t>
        </is>
      </c>
      <c r="E1785" t="inlineStr">
        <is>
          <t>player #1:C:/Users/manuel.felline/Documents/BEHAVIOR BTBR/NOR second cohort/WT/training/c58_m3.mp4</t>
        </is>
      </c>
      <c r="F1785" t="n">
        <v>-10.167</v>
      </c>
      <c r="G1785" t="n">
        <v>590.999</v>
      </c>
      <c r="H1785" t="n">
        <v>628.399</v>
      </c>
      <c r="I1785" t="n">
        <v>30</v>
      </c>
      <c r="J1785" t="inlineStr">
        <is>
          <t xml:space="preserve"> WT</t>
        </is>
      </c>
      <c r="K1785" t="inlineStr">
        <is>
          <t>Male</t>
        </is>
      </c>
      <c r="L1785" t="inlineStr">
        <is>
          <t>No focal subject</t>
        </is>
      </c>
      <c r="M1785" t="n">
        <v>19.2</v>
      </c>
      <c r="N1785" t="inlineStr">
        <is>
          <t>Explore_F2</t>
        </is>
      </c>
      <c r="O1785" t="inlineStr">
        <is>
          <t>Second familiar</t>
        </is>
      </c>
      <c r="P1785" t="inlineStr">
        <is>
          <t>STATE</t>
        </is>
      </c>
      <c r="Q1785" t="n">
        <v>545.299</v>
      </c>
      <c r="R1785" t="n">
        <v>546.832</v>
      </c>
      <c r="S1785" t="n">
        <v>1.533</v>
      </c>
      <c r="T1785" t="inlineStr">
        <is>
          <t>C:/Users/manuel.felline/Documents/BEHAVIOR BTBR/NOR second cohort/WT/training/c58_m3.mp4</t>
        </is>
      </c>
      <c r="U1785" t="n">
        <v>16664</v>
      </c>
      <c r="V1785" t="n">
        <v>16710</v>
      </c>
      <c r="W1785" t="n">
        <v/>
      </c>
      <c r="X1785" t="n">
        <v/>
      </c>
      <c r="Y1785" t="n">
        <v/>
      </c>
      <c r="Z1785" t="n">
        <v/>
      </c>
      <c r="AA1785">
        <f>SUMIFS($S$2:S1785,$A$2:A1785,A1785,$N$2:N1785,"Explore*")</f>
        <v/>
      </c>
      <c r="AB1785">
        <f>IF(AND(LEFT(N1785,7)="Explore",(AA1785-IF(LEFT(N1785,7)="Explore",S1785,0))&lt;10),"SI","NO")</f>
        <v/>
      </c>
    </row>
    <row r="1786">
      <c r="A1786" t="inlineStr">
        <is>
          <t>c58m3_training</t>
        </is>
      </c>
      <c r="B1786" t="inlineStr">
        <is>
          <t>2026-07-02 10:45:33.495</t>
        </is>
      </c>
      <c r="C1786" t="n">
        <v/>
      </c>
      <c r="D1786" t="inlineStr">
        <is>
          <t>Media file</t>
        </is>
      </c>
      <c r="E1786" t="inlineStr">
        <is>
          <t>player #1:C:/Users/manuel.felline/Documents/BEHAVIOR BTBR/NOR second cohort/WT/training/c58_m3.mp4</t>
        </is>
      </c>
      <c r="F1786" t="n">
        <v>-10.167</v>
      </c>
      <c r="G1786" t="n">
        <v>590.999</v>
      </c>
      <c r="H1786" t="n">
        <v>628.399</v>
      </c>
      <c r="I1786" t="n">
        <v>30</v>
      </c>
      <c r="J1786" t="inlineStr">
        <is>
          <t xml:space="preserve"> WT</t>
        </is>
      </c>
      <c r="K1786" t="inlineStr">
        <is>
          <t>Male</t>
        </is>
      </c>
      <c r="L1786" t="inlineStr">
        <is>
          <t>No focal subject</t>
        </is>
      </c>
      <c r="M1786" t="n">
        <v>19.2</v>
      </c>
      <c r="N1786" t="inlineStr">
        <is>
          <t>Explore_F</t>
        </is>
      </c>
      <c r="O1786" t="inlineStr">
        <is>
          <t>Familiar</t>
        </is>
      </c>
      <c r="P1786" t="inlineStr">
        <is>
          <t>STATE</t>
        </is>
      </c>
      <c r="Q1786" t="n">
        <v>585.832</v>
      </c>
      <c r="R1786" t="n">
        <v>587.732</v>
      </c>
      <c r="S1786" t="n">
        <v>1.9</v>
      </c>
      <c r="T1786" t="inlineStr">
        <is>
          <t>C:/Users/manuel.felline/Documents/BEHAVIOR BTBR/NOR second cohort/WT/training/c58_m3.mp4</t>
        </is>
      </c>
      <c r="U1786" t="n">
        <v>17880</v>
      </c>
      <c r="V1786" t="n">
        <v>17937</v>
      </c>
      <c r="W1786" t="n">
        <v/>
      </c>
      <c r="X1786" t="n">
        <v/>
      </c>
      <c r="Y1786" t="n">
        <v/>
      </c>
      <c r="Z1786" t="n">
        <v/>
      </c>
      <c r="AA1786">
        <f>SUMIFS($S$2:S1786,$A$2:A1786,A1786,$N$2:N1786,"Explore*")</f>
        <v/>
      </c>
      <c r="AB1786">
        <f>IF(AND(LEFT(N1786,7)="Explore",(AA1786-IF(LEFT(N1786,7)="Explore",S1786,0))&lt;10),"SI","NO")</f>
        <v/>
      </c>
    </row>
    <row r="1787">
      <c r="A1787" t="inlineStr">
        <is>
          <t>c58m3_training</t>
        </is>
      </c>
      <c r="B1787" t="inlineStr">
        <is>
          <t>2026-07-02 10:45:33.495</t>
        </is>
      </c>
      <c r="C1787" t="n">
        <v/>
      </c>
      <c r="D1787" t="inlineStr">
        <is>
          <t>Media file</t>
        </is>
      </c>
      <c r="E1787" t="inlineStr">
        <is>
          <t>player #1:C:/Users/manuel.felline/Documents/BEHAVIOR BTBR/NOR second cohort/WT/training/c58_m3.mp4</t>
        </is>
      </c>
      <c r="F1787" t="n">
        <v>-10.167</v>
      </c>
      <c r="G1787" t="n">
        <v>590.999</v>
      </c>
      <c r="H1787" t="n">
        <v>628.399</v>
      </c>
      <c r="I1787" t="n">
        <v>30</v>
      </c>
      <c r="J1787" t="inlineStr">
        <is>
          <t xml:space="preserve"> WT</t>
        </is>
      </c>
      <c r="K1787" t="inlineStr">
        <is>
          <t>Male</t>
        </is>
      </c>
      <c r="L1787" t="inlineStr">
        <is>
          <t>No focal subject</t>
        </is>
      </c>
      <c r="M1787" t="n">
        <v>19.2</v>
      </c>
      <c r="N1787" t="inlineStr">
        <is>
          <t>Explore_F2</t>
        </is>
      </c>
      <c r="O1787" t="inlineStr">
        <is>
          <t>Second familiar</t>
        </is>
      </c>
      <c r="P1787" t="inlineStr">
        <is>
          <t>STATE</t>
        </is>
      </c>
      <c r="Q1787" t="n">
        <v>598.299</v>
      </c>
      <c r="R1787" t="n">
        <v>600.099</v>
      </c>
      <c r="S1787" t="n">
        <v>1.8</v>
      </c>
      <c r="T1787" t="inlineStr">
        <is>
          <t>C:/Users/manuel.felline/Documents/BEHAVIOR BTBR/NOR second cohort/WT/training/c58_m3.mp4</t>
        </is>
      </c>
      <c r="U1787" t="n">
        <v>18254</v>
      </c>
      <c r="V1787" t="n">
        <v>18308</v>
      </c>
      <c r="W1787" t="n">
        <v/>
      </c>
      <c r="X1787" t="n">
        <v/>
      </c>
      <c r="Y1787" t="n">
        <v/>
      </c>
      <c r="Z1787" t="n">
        <v/>
      </c>
      <c r="AA1787">
        <f>SUMIFS($S$2:S1787,$A$2:A1787,A1787,$N$2:N1787,"Explore*")</f>
        <v/>
      </c>
      <c r="AB1787">
        <f>IF(AND(LEFT(N1787,7)="Explore",(AA1787-IF(LEFT(N1787,7)="Explore",S1787,0))&lt;10),"SI","NO")</f>
        <v/>
      </c>
    </row>
    <row r="1788">
      <c r="A1788" t="inlineStr">
        <is>
          <t>c58m4_training</t>
        </is>
      </c>
      <c r="B1788" t="inlineStr">
        <is>
          <t>2026-07-02 11:54:23.331</t>
        </is>
      </c>
      <c r="C1788" t="n">
        <v/>
      </c>
      <c r="D1788" t="inlineStr">
        <is>
          <t>Media file</t>
        </is>
      </c>
      <c r="E1788" t="inlineStr">
        <is>
          <t>player #1:C:/Users/manuel.felline/Documents/BEHAVIOR BTBR/NOR second cohort/WT/training/c58_m4.mp4</t>
        </is>
      </c>
      <c r="F1788" t="n">
        <v>-8.4</v>
      </c>
      <c r="G1788" t="n">
        <v>572.799</v>
      </c>
      <c r="H1788" t="n">
        <v>633.1660000000001</v>
      </c>
      <c r="I1788" t="n">
        <v>30</v>
      </c>
      <c r="J1788" t="inlineStr">
        <is>
          <t xml:space="preserve"> WT</t>
        </is>
      </c>
      <c r="K1788" t="inlineStr">
        <is>
          <t>Male</t>
        </is>
      </c>
      <c r="L1788" t="inlineStr">
        <is>
          <t>No focal subject</t>
        </is>
      </c>
      <c r="M1788" t="n">
        <v>18.001</v>
      </c>
      <c r="N1788" t="inlineStr">
        <is>
          <t>Explore_F2</t>
        </is>
      </c>
      <c r="O1788" t="inlineStr">
        <is>
          <t>Second familiar</t>
        </is>
      </c>
      <c r="P1788" t="inlineStr">
        <is>
          <t>STATE</t>
        </is>
      </c>
      <c r="Q1788" t="n">
        <v>7</v>
      </c>
      <c r="R1788" t="n">
        <v>7.9</v>
      </c>
      <c r="S1788" t="n">
        <v>0.9</v>
      </c>
      <c r="T1788" t="inlineStr">
        <is>
          <t>C:/Users/manuel.felline/Documents/BEHAVIOR BTBR/NOR second cohort/WT/training/c58_m4.mp4</t>
        </is>
      </c>
      <c r="U1788" t="n">
        <v>462</v>
      </c>
      <c r="V1788" t="n">
        <v>489</v>
      </c>
      <c r="W1788" t="n">
        <v/>
      </c>
      <c r="X1788" t="n">
        <v/>
      </c>
      <c r="Y1788" t="n">
        <v/>
      </c>
      <c r="Z1788" t="n">
        <v/>
      </c>
      <c r="AA1788">
        <f>SUMIFS($S$2:S1788,$A$2:A1788,A1788,$N$2:N1788,"Explore*")</f>
        <v/>
      </c>
      <c r="AB1788">
        <f>IF(AND(LEFT(N1788,7)="Explore",(AA1788-IF(LEFT(N1788,7)="Explore",S1788,0))&lt;10),"SI","NO")</f>
        <v/>
      </c>
    </row>
    <row r="1789">
      <c r="A1789" t="inlineStr">
        <is>
          <t>c58m4_training</t>
        </is>
      </c>
      <c r="B1789" t="inlineStr">
        <is>
          <t>2026-07-02 11:54:23.331</t>
        </is>
      </c>
      <c r="C1789" t="n">
        <v/>
      </c>
      <c r="D1789" t="inlineStr">
        <is>
          <t>Media file</t>
        </is>
      </c>
      <c r="E1789" t="inlineStr">
        <is>
          <t>player #1:C:/Users/manuel.felline/Documents/BEHAVIOR BTBR/NOR second cohort/WT/training/c58_m4.mp4</t>
        </is>
      </c>
      <c r="F1789" t="n">
        <v>-8.4</v>
      </c>
      <c r="G1789" t="n">
        <v>572.799</v>
      </c>
      <c r="H1789" t="n">
        <v>633.1660000000001</v>
      </c>
      <c r="I1789" t="n">
        <v>30</v>
      </c>
      <c r="J1789" t="inlineStr">
        <is>
          <t xml:space="preserve"> WT</t>
        </is>
      </c>
      <c r="K1789" t="inlineStr">
        <is>
          <t>Male</t>
        </is>
      </c>
      <c r="L1789" t="inlineStr">
        <is>
          <t>No focal subject</t>
        </is>
      </c>
      <c r="M1789" t="n">
        <v>18.001</v>
      </c>
      <c r="N1789" t="inlineStr">
        <is>
          <t>Explore_F2</t>
        </is>
      </c>
      <c r="O1789" t="inlineStr">
        <is>
          <t>Second familiar</t>
        </is>
      </c>
      <c r="P1789" t="inlineStr">
        <is>
          <t>STATE</t>
        </is>
      </c>
      <c r="Q1789" t="n">
        <v>13.467</v>
      </c>
      <c r="R1789" t="n">
        <v>13.867</v>
      </c>
      <c r="S1789" t="n">
        <v>0.4</v>
      </c>
      <c r="T1789" t="inlineStr">
        <is>
          <t>C:/Users/manuel.felline/Documents/BEHAVIOR BTBR/NOR second cohort/WT/training/c58_m4.mp4</t>
        </is>
      </c>
      <c r="U1789" t="n">
        <v>656</v>
      </c>
      <c r="V1789" t="n">
        <v>668</v>
      </c>
      <c r="W1789" t="n">
        <v/>
      </c>
      <c r="X1789" t="n">
        <v/>
      </c>
      <c r="Y1789" t="n">
        <v/>
      </c>
      <c r="Z1789" t="n">
        <v/>
      </c>
      <c r="AA1789">
        <f>SUMIFS($S$2:S1789,$A$2:A1789,A1789,$N$2:N1789,"Explore*")</f>
        <v/>
      </c>
      <c r="AB1789">
        <f>IF(AND(LEFT(N1789,7)="Explore",(AA1789-IF(LEFT(N1789,7)="Explore",S1789,0))&lt;10),"SI","NO")</f>
        <v/>
      </c>
    </row>
    <row r="1790">
      <c r="A1790" t="inlineStr">
        <is>
          <t>c58m4_training</t>
        </is>
      </c>
      <c r="B1790" t="inlineStr">
        <is>
          <t>2026-07-02 11:54:23.331</t>
        </is>
      </c>
      <c r="C1790" t="n">
        <v/>
      </c>
      <c r="D1790" t="inlineStr">
        <is>
          <t>Media file</t>
        </is>
      </c>
      <c r="E1790" t="inlineStr">
        <is>
          <t>player #1:C:/Users/manuel.felline/Documents/BEHAVIOR BTBR/NOR second cohort/WT/training/c58_m4.mp4</t>
        </is>
      </c>
      <c r="F1790" t="n">
        <v>-8.4</v>
      </c>
      <c r="G1790" t="n">
        <v>572.799</v>
      </c>
      <c r="H1790" t="n">
        <v>633.1660000000001</v>
      </c>
      <c r="I1790" t="n">
        <v>30</v>
      </c>
      <c r="J1790" t="inlineStr">
        <is>
          <t xml:space="preserve"> WT</t>
        </is>
      </c>
      <c r="K1790" t="inlineStr">
        <is>
          <t>Male</t>
        </is>
      </c>
      <c r="L1790" t="inlineStr">
        <is>
          <t>No focal subject</t>
        </is>
      </c>
      <c r="M1790" t="n">
        <v>18.001</v>
      </c>
      <c r="N1790" t="inlineStr">
        <is>
          <t>Explore_F2</t>
        </is>
      </c>
      <c r="O1790" t="inlineStr">
        <is>
          <t>Second familiar</t>
        </is>
      </c>
      <c r="P1790" t="inlineStr">
        <is>
          <t>STATE</t>
        </is>
      </c>
      <c r="Q1790" t="n">
        <v>16.3</v>
      </c>
      <c r="R1790" t="n">
        <v>16.867</v>
      </c>
      <c r="S1790" t="n">
        <v>0.5669999999999999</v>
      </c>
      <c r="T1790" t="inlineStr">
        <is>
          <t>C:/Users/manuel.felline/Documents/BEHAVIOR BTBR/NOR second cohort/WT/training/c58_m4.mp4</t>
        </is>
      </c>
      <c r="U1790" t="n">
        <v>741</v>
      </c>
      <c r="V1790" t="n">
        <v>758</v>
      </c>
      <c r="W1790" t="n">
        <v/>
      </c>
      <c r="X1790" t="n">
        <v/>
      </c>
      <c r="Y1790" t="n">
        <v/>
      </c>
      <c r="Z1790" t="n">
        <v/>
      </c>
      <c r="AA1790">
        <f>SUMIFS($S$2:S1790,$A$2:A1790,A1790,$N$2:N1790,"Explore*")</f>
        <v/>
      </c>
      <c r="AB1790">
        <f>IF(AND(LEFT(N1790,7)="Explore",(AA1790-IF(LEFT(N1790,7)="Explore",S1790,0))&lt;10),"SI","NO")</f>
        <v/>
      </c>
    </row>
    <row r="1791">
      <c r="A1791" t="inlineStr">
        <is>
          <t>c58m4_training</t>
        </is>
      </c>
      <c r="B1791" t="inlineStr">
        <is>
          <t>2026-07-02 11:54:23.331</t>
        </is>
      </c>
      <c r="C1791" t="n">
        <v/>
      </c>
      <c r="D1791" t="inlineStr">
        <is>
          <t>Media file</t>
        </is>
      </c>
      <c r="E1791" t="inlineStr">
        <is>
          <t>player #1:C:/Users/manuel.felline/Documents/BEHAVIOR BTBR/NOR second cohort/WT/training/c58_m4.mp4</t>
        </is>
      </c>
      <c r="F1791" t="n">
        <v>-8.4</v>
      </c>
      <c r="G1791" t="n">
        <v>572.799</v>
      </c>
      <c r="H1791" t="n">
        <v>633.1660000000001</v>
      </c>
      <c r="I1791" t="n">
        <v>30</v>
      </c>
      <c r="J1791" t="inlineStr">
        <is>
          <t xml:space="preserve"> WT</t>
        </is>
      </c>
      <c r="K1791" t="inlineStr">
        <is>
          <t>Male</t>
        </is>
      </c>
      <c r="L1791" t="inlineStr">
        <is>
          <t>No focal subject</t>
        </is>
      </c>
      <c r="M1791" t="n">
        <v>18.001</v>
      </c>
      <c r="N1791" t="inlineStr">
        <is>
          <t>Explore_F2</t>
        </is>
      </c>
      <c r="O1791" t="inlineStr">
        <is>
          <t>Second familiar</t>
        </is>
      </c>
      <c r="P1791" t="inlineStr">
        <is>
          <t>STATE</t>
        </is>
      </c>
      <c r="Q1791" t="n">
        <v>202.666</v>
      </c>
      <c r="R1791" t="n">
        <v>203</v>
      </c>
      <c r="S1791" t="n">
        <v>0.334</v>
      </c>
      <c r="T1791" t="inlineStr">
        <is>
          <t>C:/Users/manuel.felline/Documents/BEHAVIOR BTBR/NOR second cohort/WT/training/c58_m4.mp4</t>
        </is>
      </c>
      <c r="U1791" t="n">
        <v>6331</v>
      </c>
      <c r="V1791" t="n">
        <v>6341</v>
      </c>
      <c r="W1791" t="n">
        <v/>
      </c>
      <c r="X1791" t="n">
        <v/>
      </c>
      <c r="Y1791" t="n">
        <v/>
      </c>
      <c r="Z1791" t="n">
        <v/>
      </c>
      <c r="AA1791">
        <f>SUMIFS($S$2:S1791,$A$2:A1791,A1791,$N$2:N1791,"Explore*")</f>
        <v/>
      </c>
      <c r="AB1791">
        <f>IF(AND(LEFT(N1791,7)="Explore",(AA1791-IF(LEFT(N1791,7)="Explore",S1791,0))&lt;10),"SI","NO")</f>
        <v/>
      </c>
    </row>
    <row r="1792">
      <c r="A1792" t="inlineStr">
        <is>
          <t>c58m4_training</t>
        </is>
      </c>
      <c r="B1792" t="inlineStr">
        <is>
          <t>2026-07-02 11:54:23.331</t>
        </is>
      </c>
      <c r="C1792" t="n">
        <v/>
      </c>
      <c r="D1792" t="inlineStr">
        <is>
          <t>Media file</t>
        </is>
      </c>
      <c r="E1792" t="inlineStr">
        <is>
          <t>player #1:C:/Users/manuel.felline/Documents/BEHAVIOR BTBR/NOR second cohort/WT/training/c58_m4.mp4</t>
        </is>
      </c>
      <c r="F1792" t="n">
        <v>-8.4</v>
      </c>
      <c r="G1792" t="n">
        <v>572.799</v>
      </c>
      <c r="H1792" t="n">
        <v>633.1660000000001</v>
      </c>
      <c r="I1792" t="n">
        <v>30</v>
      </c>
      <c r="J1792" t="inlineStr">
        <is>
          <t xml:space="preserve"> WT</t>
        </is>
      </c>
      <c r="K1792" t="inlineStr">
        <is>
          <t>Male</t>
        </is>
      </c>
      <c r="L1792" t="inlineStr">
        <is>
          <t>No focal subject</t>
        </is>
      </c>
      <c r="M1792" t="n">
        <v>18.001</v>
      </c>
      <c r="N1792" t="inlineStr">
        <is>
          <t>Explore_F</t>
        </is>
      </c>
      <c r="O1792" t="inlineStr">
        <is>
          <t>Familiar</t>
        </is>
      </c>
      <c r="P1792" t="inlineStr">
        <is>
          <t>STATE</t>
        </is>
      </c>
      <c r="Q1792" t="n">
        <v>221.066</v>
      </c>
      <c r="R1792" t="n">
        <v>221.6</v>
      </c>
      <c r="S1792" t="n">
        <v>0.534</v>
      </c>
      <c r="T1792" t="inlineStr">
        <is>
          <t>C:/Users/manuel.felline/Documents/BEHAVIOR BTBR/NOR second cohort/WT/training/c58_m4.mp4</t>
        </is>
      </c>
      <c r="U1792" t="n">
        <v>6883</v>
      </c>
      <c r="V1792" t="n">
        <v>6899</v>
      </c>
      <c r="W1792" t="n">
        <v/>
      </c>
      <c r="X1792" t="n">
        <v/>
      </c>
      <c r="Y1792" t="n">
        <v/>
      </c>
      <c r="Z1792" t="n">
        <v/>
      </c>
      <c r="AA1792">
        <f>SUMIFS($S$2:S1792,$A$2:A1792,A1792,$N$2:N1792,"Explore*")</f>
        <v/>
      </c>
      <c r="AB1792">
        <f>IF(AND(LEFT(N1792,7)="Explore",(AA1792-IF(LEFT(N1792,7)="Explore",S1792,0))&lt;10),"SI","NO")</f>
        <v/>
      </c>
    </row>
    <row r="1793">
      <c r="A1793" t="inlineStr">
        <is>
          <t>c58m4_training</t>
        </is>
      </c>
      <c r="B1793" t="inlineStr">
        <is>
          <t>2026-07-02 11:54:23.331</t>
        </is>
      </c>
      <c r="C1793" t="n">
        <v/>
      </c>
      <c r="D1793" t="inlineStr">
        <is>
          <t>Media file</t>
        </is>
      </c>
      <c r="E1793" t="inlineStr">
        <is>
          <t>player #1:C:/Users/manuel.felline/Documents/BEHAVIOR BTBR/NOR second cohort/WT/training/c58_m4.mp4</t>
        </is>
      </c>
      <c r="F1793" t="n">
        <v>-8.4</v>
      </c>
      <c r="G1793" t="n">
        <v>572.799</v>
      </c>
      <c r="H1793" t="n">
        <v>633.1660000000001</v>
      </c>
      <c r="I1793" t="n">
        <v>30</v>
      </c>
      <c r="J1793" t="inlineStr">
        <is>
          <t xml:space="preserve"> WT</t>
        </is>
      </c>
      <c r="K1793" t="inlineStr">
        <is>
          <t>Male</t>
        </is>
      </c>
      <c r="L1793" t="inlineStr">
        <is>
          <t>No focal subject</t>
        </is>
      </c>
      <c r="M1793" t="n">
        <v>18.001</v>
      </c>
      <c r="N1793" t="inlineStr">
        <is>
          <t>Explore_F2</t>
        </is>
      </c>
      <c r="O1793" t="inlineStr">
        <is>
          <t>Second familiar</t>
        </is>
      </c>
      <c r="P1793" t="inlineStr">
        <is>
          <t>STATE</t>
        </is>
      </c>
      <c r="Q1793" t="n">
        <v>226.966</v>
      </c>
      <c r="R1793" t="n">
        <v>227.433</v>
      </c>
      <c r="S1793" t="n">
        <v>0.467</v>
      </c>
      <c r="T1793" t="inlineStr">
        <is>
          <t>C:/Users/manuel.felline/Documents/BEHAVIOR BTBR/NOR second cohort/WT/training/c58_m4.mp4</t>
        </is>
      </c>
      <c r="U1793" t="n">
        <v>7060</v>
      </c>
      <c r="V1793" t="n">
        <v>7074</v>
      </c>
      <c r="W1793" t="n">
        <v/>
      </c>
      <c r="X1793" t="n">
        <v/>
      </c>
      <c r="Y1793" t="n">
        <v/>
      </c>
      <c r="Z1793" t="n">
        <v/>
      </c>
      <c r="AA1793">
        <f>SUMIFS($S$2:S1793,$A$2:A1793,A1793,$N$2:N1793,"Explore*")</f>
        <v/>
      </c>
      <c r="AB1793">
        <f>IF(AND(LEFT(N1793,7)="Explore",(AA1793-IF(LEFT(N1793,7)="Explore",S1793,0))&lt;10),"SI","NO")</f>
        <v/>
      </c>
    </row>
    <row r="1794">
      <c r="A1794" t="inlineStr">
        <is>
          <t>c58m4_training</t>
        </is>
      </c>
      <c r="B1794" t="inlineStr">
        <is>
          <t>2026-07-02 11:54:23.331</t>
        </is>
      </c>
      <c r="C1794" t="n">
        <v/>
      </c>
      <c r="D1794" t="inlineStr">
        <is>
          <t>Media file</t>
        </is>
      </c>
      <c r="E1794" t="inlineStr">
        <is>
          <t>player #1:C:/Users/manuel.felline/Documents/BEHAVIOR BTBR/NOR second cohort/WT/training/c58_m4.mp4</t>
        </is>
      </c>
      <c r="F1794" t="n">
        <v>-8.4</v>
      </c>
      <c r="G1794" t="n">
        <v>572.799</v>
      </c>
      <c r="H1794" t="n">
        <v>633.1660000000001</v>
      </c>
      <c r="I1794" t="n">
        <v>30</v>
      </c>
      <c r="J1794" t="inlineStr">
        <is>
          <t xml:space="preserve"> WT</t>
        </is>
      </c>
      <c r="K1794" t="inlineStr">
        <is>
          <t>Male</t>
        </is>
      </c>
      <c r="L1794" t="inlineStr">
        <is>
          <t>No focal subject</t>
        </is>
      </c>
      <c r="M1794" t="n">
        <v>18.001</v>
      </c>
      <c r="N1794" t="inlineStr">
        <is>
          <t>Explore_F2</t>
        </is>
      </c>
      <c r="O1794" t="inlineStr">
        <is>
          <t>Second familiar</t>
        </is>
      </c>
      <c r="P1794" t="inlineStr">
        <is>
          <t>STATE</t>
        </is>
      </c>
      <c r="Q1794" t="n">
        <v>229.166</v>
      </c>
      <c r="R1794" t="n">
        <v>229.366</v>
      </c>
      <c r="S1794" t="n">
        <v>0.2</v>
      </c>
      <c r="T1794" t="inlineStr">
        <is>
          <t>C:/Users/manuel.felline/Documents/BEHAVIOR BTBR/NOR second cohort/WT/training/c58_m4.mp4</t>
        </is>
      </c>
      <c r="U1794" t="n">
        <v>7127</v>
      </c>
      <c r="V1794" t="n">
        <v>7132</v>
      </c>
      <c r="W1794" t="n">
        <v/>
      </c>
      <c r="X1794" t="n">
        <v/>
      </c>
      <c r="Y1794" t="n">
        <v/>
      </c>
      <c r="Z1794" t="n">
        <v/>
      </c>
      <c r="AA1794">
        <f>SUMIFS($S$2:S1794,$A$2:A1794,A1794,$N$2:N1794,"Explore*")</f>
        <v/>
      </c>
      <c r="AB1794">
        <f>IF(AND(LEFT(N1794,7)="Explore",(AA1794-IF(LEFT(N1794,7)="Explore",S1794,0))&lt;10),"SI","NO")</f>
        <v/>
      </c>
    </row>
    <row r="1795">
      <c r="A1795" t="inlineStr">
        <is>
          <t>c58m4_training</t>
        </is>
      </c>
      <c r="B1795" t="inlineStr">
        <is>
          <t>2026-07-02 11:54:23.331</t>
        </is>
      </c>
      <c r="C1795" t="n">
        <v/>
      </c>
      <c r="D1795" t="inlineStr">
        <is>
          <t>Media file</t>
        </is>
      </c>
      <c r="E1795" t="inlineStr">
        <is>
          <t>player #1:C:/Users/manuel.felline/Documents/BEHAVIOR BTBR/NOR second cohort/WT/training/c58_m4.mp4</t>
        </is>
      </c>
      <c r="F1795" t="n">
        <v>-8.4</v>
      </c>
      <c r="G1795" t="n">
        <v>572.799</v>
      </c>
      <c r="H1795" t="n">
        <v>633.1660000000001</v>
      </c>
      <c r="I1795" t="n">
        <v>30</v>
      </c>
      <c r="J1795" t="inlineStr">
        <is>
          <t xml:space="preserve"> WT</t>
        </is>
      </c>
      <c r="K1795" t="inlineStr">
        <is>
          <t>Male</t>
        </is>
      </c>
      <c r="L1795" t="inlineStr">
        <is>
          <t>No focal subject</t>
        </is>
      </c>
      <c r="M1795" t="n">
        <v>18.001</v>
      </c>
      <c r="N1795" t="inlineStr">
        <is>
          <t>Explore_F</t>
        </is>
      </c>
      <c r="O1795" t="inlineStr">
        <is>
          <t>Familiar</t>
        </is>
      </c>
      <c r="P1795" t="inlineStr">
        <is>
          <t>STATE</t>
        </is>
      </c>
      <c r="Q1795" t="n">
        <v>256.833</v>
      </c>
      <c r="R1795" t="n">
        <v>257.533</v>
      </c>
      <c r="S1795" t="n">
        <v>0.7</v>
      </c>
      <c r="T1795" t="inlineStr">
        <is>
          <t>C:/Users/manuel.felline/Documents/BEHAVIOR BTBR/NOR second cohort/WT/training/c58_m4.mp4</t>
        </is>
      </c>
      <c r="U1795" t="n">
        <v>7956</v>
      </c>
      <c r="V1795" t="n">
        <v>7977</v>
      </c>
      <c r="W1795" t="n">
        <v/>
      </c>
      <c r="X1795" t="n">
        <v/>
      </c>
      <c r="Y1795" t="n">
        <v/>
      </c>
      <c r="Z1795" t="n">
        <v/>
      </c>
      <c r="AA1795">
        <f>SUMIFS($S$2:S1795,$A$2:A1795,A1795,$N$2:N1795,"Explore*")</f>
        <v/>
      </c>
      <c r="AB1795">
        <f>IF(AND(LEFT(N1795,7)="Explore",(AA1795-IF(LEFT(N1795,7)="Explore",S1795,0))&lt;10),"SI","NO")</f>
        <v/>
      </c>
    </row>
    <row r="1796">
      <c r="A1796" t="inlineStr">
        <is>
          <t>c58m4_training</t>
        </is>
      </c>
      <c r="B1796" t="inlineStr">
        <is>
          <t>2026-07-02 11:54:23.331</t>
        </is>
      </c>
      <c r="C1796" t="n">
        <v/>
      </c>
      <c r="D1796" t="inlineStr">
        <is>
          <t>Media file</t>
        </is>
      </c>
      <c r="E1796" t="inlineStr">
        <is>
          <t>player #1:C:/Users/manuel.felline/Documents/BEHAVIOR BTBR/NOR second cohort/WT/training/c58_m4.mp4</t>
        </is>
      </c>
      <c r="F1796" t="n">
        <v>-8.4</v>
      </c>
      <c r="G1796" t="n">
        <v>572.799</v>
      </c>
      <c r="H1796" t="n">
        <v>633.1660000000001</v>
      </c>
      <c r="I1796" t="n">
        <v>30</v>
      </c>
      <c r="J1796" t="inlineStr">
        <is>
          <t xml:space="preserve"> WT</t>
        </is>
      </c>
      <c r="K1796" t="inlineStr">
        <is>
          <t>Male</t>
        </is>
      </c>
      <c r="L1796" t="inlineStr">
        <is>
          <t>No focal subject</t>
        </is>
      </c>
      <c r="M1796" t="n">
        <v>18.001</v>
      </c>
      <c r="N1796" t="inlineStr">
        <is>
          <t>Explore_F2</t>
        </is>
      </c>
      <c r="O1796" t="inlineStr">
        <is>
          <t>Second familiar</t>
        </is>
      </c>
      <c r="P1796" t="inlineStr">
        <is>
          <t>STATE</t>
        </is>
      </c>
      <c r="Q1796" t="n">
        <v>282.9</v>
      </c>
      <c r="R1796" t="n">
        <v>283.233</v>
      </c>
      <c r="S1796" t="n">
        <v>0.333</v>
      </c>
      <c r="T1796" t="inlineStr">
        <is>
          <t>C:/Users/manuel.felline/Documents/BEHAVIOR BTBR/NOR second cohort/WT/training/c58_m4.mp4</t>
        </is>
      </c>
      <c r="U1796" t="n">
        <v>8738</v>
      </c>
      <c r="V1796" t="n">
        <v>8748</v>
      </c>
      <c r="W1796" t="n">
        <v/>
      </c>
      <c r="X1796" t="n">
        <v/>
      </c>
      <c r="Y1796" t="n">
        <v/>
      </c>
      <c r="Z1796" t="n">
        <v/>
      </c>
      <c r="AA1796">
        <f>SUMIFS($S$2:S1796,$A$2:A1796,A1796,$N$2:N1796,"Explore*")</f>
        <v/>
      </c>
      <c r="AB1796">
        <f>IF(AND(LEFT(N1796,7)="Explore",(AA1796-IF(LEFT(N1796,7)="Explore",S1796,0))&lt;10),"SI","NO")</f>
        <v/>
      </c>
    </row>
    <row r="1797">
      <c r="A1797" t="inlineStr">
        <is>
          <t>c58m4_training</t>
        </is>
      </c>
      <c r="B1797" t="inlineStr">
        <is>
          <t>2026-07-02 11:54:23.331</t>
        </is>
      </c>
      <c r="C1797" t="n">
        <v/>
      </c>
      <c r="D1797" t="inlineStr">
        <is>
          <t>Media file</t>
        </is>
      </c>
      <c r="E1797" t="inlineStr">
        <is>
          <t>player #1:C:/Users/manuel.felline/Documents/BEHAVIOR BTBR/NOR second cohort/WT/training/c58_m4.mp4</t>
        </is>
      </c>
      <c r="F1797" t="n">
        <v>-8.4</v>
      </c>
      <c r="G1797" t="n">
        <v>572.799</v>
      </c>
      <c r="H1797" t="n">
        <v>633.1660000000001</v>
      </c>
      <c r="I1797" t="n">
        <v>30</v>
      </c>
      <c r="J1797" t="inlineStr">
        <is>
          <t xml:space="preserve"> WT</t>
        </is>
      </c>
      <c r="K1797" t="inlineStr">
        <is>
          <t>Male</t>
        </is>
      </c>
      <c r="L1797" t="inlineStr">
        <is>
          <t>No focal subject</t>
        </is>
      </c>
      <c r="M1797" t="n">
        <v>18.001</v>
      </c>
      <c r="N1797" t="inlineStr">
        <is>
          <t>Explore_F</t>
        </is>
      </c>
      <c r="O1797" t="inlineStr">
        <is>
          <t>Familiar</t>
        </is>
      </c>
      <c r="P1797" t="inlineStr">
        <is>
          <t>STATE</t>
        </is>
      </c>
      <c r="Q1797" t="n">
        <v>285.466</v>
      </c>
      <c r="R1797" t="n">
        <v>286.733</v>
      </c>
      <c r="S1797" t="n">
        <v>1.267</v>
      </c>
      <c r="T1797" t="inlineStr">
        <is>
          <t>C:/Users/manuel.felline/Documents/BEHAVIOR BTBR/NOR second cohort/WT/training/c58_m4.mp4</t>
        </is>
      </c>
      <c r="U1797" t="n">
        <v>8815</v>
      </c>
      <c r="V1797" t="n">
        <v>8853</v>
      </c>
      <c r="W1797" t="n">
        <v/>
      </c>
      <c r="X1797" t="n">
        <v/>
      </c>
      <c r="Y1797" t="n">
        <v/>
      </c>
      <c r="Z1797" t="n">
        <v/>
      </c>
      <c r="AA1797">
        <f>SUMIFS($S$2:S1797,$A$2:A1797,A1797,$N$2:N1797,"Explore*")</f>
        <v/>
      </c>
      <c r="AB1797">
        <f>IF(AND(LEFT(N1797,7)="Explore",(AA1797-IF(LEFT(N1797,7)="Explore",S1797,0))&lt;10),"SI","NO")</f>
        <v/>
      </c>
    </row>
    <row r="1798">
      <c r="A1798" t="inlineStr">
        <is>
          <t>c58m4_training</t>
        </is>
      </c>
      <c r="B1798" t="inlineStr">
        <is>
          <t>2026-07-02 11:54:23.331</t>
        </is>
      </c>
      <c r="C1798" t="n">
        <v/>
      </c>
      <c r="D1798" t="inlineStr">
        <is>
          <t>Media file</t>
        </is>
      </c>
      <c r="E1798" t="inlineStr">
        <is>
          <t>player #1:C:/Users/manuel.felline/Documents/BEHAVIOR BTBR/NOR second cohort/WT/training/c58_m4.mp4</t>
        </is>
      </c>
      <c r="F1798" t="n">
        <v>-8.4</v>
      </c>
      <c r="G1798" t="n">
        <v>572.799</v>
      </c>
      <c r="H1798" t="n">
        <v>633.1660000000001</v>
      </c>
      <c r="I1798" t="n">
        <v>30</v>
      </c>
      <c r="J1798" t="inlineStr">
        <is>
          <t xml:space="preserve"> WT</t>
        </is>
      </c>
      <c r="K1798" t="inlineStr">
        <is>
          <t>Male</t>
        </is>
      </c>
      <c r="L1798" t="inlineStr">
        <is>
          <t>No focal subject</t>
        </is>
      </c>
      <c r="M1798" t="n">
        <v>18.001</v>
      </c>
      <c r="N1798" t="inlineStr">
        <is>
          <t>Explore_F2</t>
        </is>
      </c>
      <c r="O1798" t="inlineStr">
        <is>
          <t>Second familiar</t>
        </is>
      </c>
      <c r="P1798" t="inlineStr">
        <is>
          <t>STATE</t>
        </is>
      </c>
      <c r="Q1798" t="n">
        <v>288.333</v>
      </c>
      <c r="R1798" t="n">
        <v>288.6</v>
      </c>
      <c r="S1798" t="n">
        <v>0.267</v>
      </c>
      <c r="T1798" t="inlineStr">
        <is>
          <t>C:/Users/manuel.felline/Documents/BEHAVIOR BTBR/NOR second cohort/WT/training/c58_m4.mp4</t>
        </is>
      </c>
      <c r="U1798" t="n">
        <v>8901</v>
      </c>
      <c r="V1798" t="n">
        <v>8909</v>
      </c>
      <c r="W1798" t="n">
        <v/>
      </c>
      <c r="X1798" t="n">
        <v/>
      </c>
      <c r="Y1798" t="n">
        <v/>
      </c>
      <c r="Z1798" t="n">
        <v/>
      </c>
      <c r="AA1798">
        <f>SUMIFS($S$2:S1798,$A$2:A1798,A1798,$N$2:N1798,"Explore*")</f>
        <v/>
      </c>
      <c r="AB1798">
        <f>IF(AND(LEFT(N1798,7)="Explore",(AA1798-IF(LEFT(N1798,7)="Explore",S1798,0))&lt;10),"SI","NO")</f>
        <v/>
      </c>
    </row>
    <row r="1799">
      <c r="A1799" t="inlineStr">
        <is>
          <t>c58m4_training</t>
        </is>
      </c>
      <c r="B1799" t="inlineStr">
        <is>
          <t>2026-07-02 11:54:23.331</t>
        </is>
      </c>
      <c r="C1799" t="n">
        <v/>
      </c>
      <c r="D1799" t="inlineStr">
        <is>
          <t>Media file</t>
        </is>
      </c>
      <c r="E1799" t="inlineStr">
        <is>
          <t>player #1:C:/Users/manuel.felline/Documents/BEHAVIOR BTBR/NOR second cohort/WT/training/c58_m4.mp4</t>
        </is>
      </c>
      <c r="F1799" t="n">
        <v>-8.4</v>
      </c>
      <c r="G1799" t="n">
        <v>572.799</v>
      </c>
      <c r="H1799" t="n">
        <v>633.1660000000001</v>
      </c>
      <c r="I1799" t="n">
        <v>30</v>
      </c>
      <c r="J1799" t="inlineStr">
        <is>
          <t xml:space="preserve"> WT</t>
        </is>
      </c>
      <c r="K1799" t="inlineStr">
        <is>
          <t>Male</t>
        </is>
      </c>
      <c r="L1799" t="inlineStr">
        <is>
          <t>No focal subject</t>
        </is>
      </c>
      <c r="M1799" t="n">
        <v>18.001</v>
      </c>
      <c r="N1799" t="inlineStr">
        <is>
          <t>Explore_F</t>
        </is>
      </c>
      <c r="O1799" t="inlineStr">
        <is>
          <t>Familiar</t>
        </is>
      </c>
      <c r="P1799" t="inlineStr">
        <is>
          <t>STATE</t>
        </is>
      </c>
      <c r="Q1799" t="n">
        <v>309.3</v>
      </c>
      <c r="R1799" t="n">
        <v>309.7</v>
      </c>
      <c r="S1799" t="n">
        <v>0.4</v>
      </c>
      <c r="T1799" t="inlineStr">
        <is>
          <t>C:/Users/manuel.felline/Documents/BEHAVIOR BTBR/NOR second cohort/WT/training/c58_m4.mp4</t>
        </is>
      </c>
      <c r="U1799" t="n">
        <v>9530</v>
      </c>
      <c r="V1799" t="n">
        <v>9542</v>
      </c>
      <c r="W1799" t="n">
        <v/>
      </c>
      <c r="X1799" t="n">
        <v/>
      </c>
      <c r="Y1799" t="n">
        <v/>
      </c>
      <c r="Z1799" t="n">
        <v/>
      </c>
      <c r="AA1799">
        <f>SUMIFS($S$2:S1799,$A$2:A1799,A1799,$N$2:N1799,"Explore*")</f>
        <v/>
      </c>
      <c r="AB1799">
        <f>IF(AND(LEFT(N1799,7)="Explore",(AA1799-IF(LEFT(N1799,7)="Explore",S1799,0))&lt;10),"SI","NO")</f>
        <v/>
      </c>
    </row>
    <row r="1800">
      <c r="A1800" t="inlineStr">
        <is>
          <t>c58m4_training</t>
        </is>
      </c>
      <c r="B1800" t="inlineStr">
        <is>
          <t>2026-07-02 11:54:23.331</t>
        </is>
      </c>
      <c r="C1800" t="n">
        <v/>
      </c>
      <c r="D1800" t="inlineStr">
        <is>
          <t>Media file</t>
        </is>
      </c>
      <c r="E1800" t="inlineStr">
        <is>
          <t>player #1:C:/Users/manuel.felline/Documents/BEHAVIOR BTBR/NOR second cohort/WT/training/c58_m4.mp4</t>
        </is>
      </c>
      <c r="F1800" t="n">
        <v>-8.4</v>
      </c>
      <c r="G1800" t="n">
        <v>572.799</v>
      </c>
      <c r="H1800" t="n">
        <v>633.1660000000001</v>
      </c>
      <c r="I1800" t="n">
        <v>30</v>
      </c>
      <c r="J1800" t="inlineStr">
        <is>
          <t xml:space="preserve"> WT</t>
        </is>
      </c>
      <c r="K1800" t="inlineStr">
        <is>
          <t>Male</t>
        </is>
      </c>
      <c r="L1800" t="inlineStr">
        <is>
          <t>No focal subject</t>
        </is>
      </c>
      <c r="M1800" t="n">
        <v>18.001</v>
      </c>
      <c r="N1800" t="inlineStr">
        <is>
          <t>Explore_F2</t>
        </is>
      </c>
      <c r="O1800" t="inlineStr">
        <is>
          <t>Second familiar</t>
        </is>
      </c>
      <c r="P1800" t="inlineStr">
        <is>
          <t>STATE</t>
        </is>
      </c>
      <c r="Q1800" t="n">
        <v>339.3</v>
      </c>
      <c r="R1800" t="n">
        <v>339.733</v>
      </c>
      <c r="S1800" t="n">
        <v>0.433</v>
      </c>
      <c r="T1800" t="inlineStr">
        <is>
          <t>C:/Users/manuel.felline/Documents/BEHAVIOR BTBR/NOR second cohort/WT/training/c58_m4.mp4</t>
        </is>
      </c>
      <c r="U1800" t="n">
        <v>10430</v>
      </c>
      <c r="V1800" t="n">
        <v>10443</v>
      </c>
      <c r="W1800" t="n">
        <v/>
      </c>
      <c r="X1800" t="n">
        <v/>
      </c>
      <c r="Y1800" t="n">
        <v/>
      </c>
      <c r="Z1800" t="n">
        <v/>
      </c>
      <c r="AA1800">
        <f>SUMIFS($S$2:S1800,$A$2:A1800,A1800,$N$2:N1800,"Explore*")</f>
        <v/>
      </c>
      <c r="AB1800">
        <f>IF(AND(LEFT(N1800,7)="Explore",(AA1800-IF(LEFT(N1800,7)="Explore",S1800,0))&lt;10),"SI","NO")</f>
        <v/>
      </c>
    </row>
    <row r="1801">
      <c r="A1801" t="inlineStr">
        <is>
          <t>c58m4_training</t>
        </is>
      </c>
      <c r="B1801" t="inlineStr">
        <is>
          <t>2026-07-02 11:54:23.331</t>
        </is>
      </c>
      <c r="C1801" t="n">
        <v/>
      </c>
      <c r="D1801" t="inlineStr">
        <is>
          <t>Media file</t>
        </is>
      </c>
      <c r="E1801" t="inlineStr">
        <is>
          <t>player #1:C:/Users/manuel.felline/Documents/BEHAVIOR BTBR/NOR second cohort/WT/training/c58_m4.mp4</t>
        </is>
      </c>
      <c r="F1801" t="n">
        <v>-8.4</v>
      </c>
      <c r="G1801" t="n">
        <v>572.799</v>
      </c>
      <c r="H1801" t="n">
        <v>633.1660000000001</v>
      </c>
      <c r="I1801" t="n">
        <v>30</v>
      </c>
      <c r="J1801" t="inlineStr">
        <is>
          <t xml:space="preserve"> WT</t>
        </is>
      </c>
      <c r="K1801" t="inlineStr">
        <is>
          <t>Male</t>
        </is>
      </c>
      <c r="L1801" t="inlineStr">
        <is>
          <t>No focal subject</t>
        </is>
      </c>
      <c r="M1801" t="n">
        <v>18.001</v>
      </c>
      <c r="N1801" t="inlineStr">
        <is>
          <t>Explore_F</t>
        </is>
      </c>
      <c r="O1801" t="inlineStr">
        <is>
          <t>Familiar</t>
        </is>
      </c>
      <c r="P1801" t="inlineStr">
        <is>
          <t>STATE</t>
        </is>
      </c>
      <c r="Q1801" t="n">
        <v>356.3</v>
      </c>
      <c r="R1801" t="n">
        <v>358.033</v>
      </c>
      <c r="S1801" t="n">
        <v>1.733</v>
      </c>
      <c r="T1801" t="inlineStr">
        <is>
          <t>C:/Users/manuel.felline/Documents/BEHAVIOR BTBR/NOR second cohort/WT/training/c58_m4.mp4</t>
        </is>
      </c>
      <c r="U1801" t="n">
        <v>10940</v>
      </c>
      <c r="V1801" t="n">
        <v>10992</v>
      </c>
      <c r="W1801" t="n">
        <v/>
      </c>
      <c r="X1801" t="n">
        <v/>
      </c>
      <c r="Y1801" t="n">
        <v/>
      </c>
      <c r="Z1801" t="n">
        <v/>
      </c>
      <c r="AA1801">
        <f>SUMIFS($S$2:S1801,$A$2:A1801,A1801,$N$2:N1801,"Explore*")</f>
        <v/>
      </c>
      <c r="AB1801">
        <f>IF(AND(LEFT(N1801,7)="Explore",(AA1801-IF(LEFT(N1801,7)="Explore",S1801,0))&lt;10),"SI","NO")</f>
        <v/>
      </c>
    </row>
    <row r="1802">
      <c r="A1802" t="inlineStr">
        <is>
          <t>c58m4_training</t>
        </is>
      </c>
      <c r="B1802" t="inlineStr">
        <is>
          <t>2026-07-02 11:54:23.331</t>
        </is>
      </c>
      <c r="C1802" t="n">
        <v/>
      </c>
      <c r="D1802" t="inlineStr">
        <is>
          <t>Media file</t>
        </is>
      </c>
      <c r="E1802" t="inlineStr">
        <is>
          <t>player #1:C:/Users/manuel.felline/Documents/BEHAVIOR BTBR/NOR second cohort/WT/training/c58_m4.mp4</t>
        </is>
      </c>
      <c r="F1802" t="n">
        <v>-8.4</v>
      </c>
      <c r="G1802" t="n">
        <v>572.799</v>
      </c>
      <c r="H1802" t="n">
        <v>633.1660000000001</v>
      </c>
      <c r="I1802" t="n">
        <v>30</v>
      </c>
      <c r="J1802" t="inlineStr">
        <is>
          <t xml:space="preserve"> WT</t>
        </is>
      </c>
      <c r="K1802" t="inlineStr">
        <is>
          <t>Male</t>
        </is>
      </c>
      <c r="L1802" t="inlineStr">
        <is>
          <t>No focal subject</t>
        </is>
      </c>
      <c r="M1802" t="n">
        <v>18.001</v>
      </c>
      <c r="N1802" t="inlineStr">
        <is>
          <t>Explore_F</t>
        </is>
      </c>
      <c r="O1802" t="inlineStr">
        <is>
          <t>Familiar</t>
        </is>
      </c>
      <c r="P1802" t="inlineStr">
        <is>
          <t>STATE</t>
        </is>
      </c>
      <c r="Q1802" t="n">
        <v>370.533</v>
      </c>
      <c r="R1802" t="n">
        <v>370.933</v>
      </c>
      <c r="S1802" t="n">
        <v>0.4</v>
      </c>
      <c r="T1802" t="inlineStr">
        <is>
          <t>C:/Users/manuel.felline/Documents/BEHAVIOR BTBR/NOR second cohort/WT/training/c58_m4.mp4</t>
        </is>
      </c>
      <c r="U1802" t="n">
        <v>11366</v>
      </c>
      <c r="V1802" t="n">
        <v>11378</v>
      </c>
      <c r="W1802" t="n">
        <v/>
      </c>
      <c r="X1802" t="n">
        <v/>
      </c>
      <c r="Y1802" t="n">
        <v/>
      </c>
      <c r="Z1802" t="n">
        <v/>
      </c>
      <c r="AA1802">
        <f>SUMIFS($S$2:S1802,$A$2:A1802,A1802,$N$2:N1802,"Explore*")</f>
        <v/>
      </c>
      <c r="AB1802">
        <f>IF(AND(LEFT(N1802,7)="Explore",(AA1802-IF(LEFT(N1802,7)="Explore",S1802,0))&lt;10),"SI","NO")</f>
        <v/>
      </c>
    </row>
    <row r="1803">
      <c r="A1803" t="inlineStr">
        <is>
          <t>c58m4_training</t>
        </is>
      </c>
      <c r="B1803" t="inlineStr">
        <is>
          <t>2026-07-02 11:54:23.331</t>
        </is>
      </c>
      <c r="C1803" t="n">
        <v/>
      </c>
      <c r="D1803" t="inlineStr">
        <is>
          <t>Media file</t>
        </is>
      </c>
      <c r="E1803" t="inlineStr">
        <is>
          <t>player #1:C:/Users/manuel.felline/Documents/BEHAVIOR BTBR/NOR second cohort/WT/training/c58_m4.mp4</t>
        </is>
      </c>
      <c r="F1803" t="n">
        <v>-8.4</v>
      </c>
      <c r="G1803" t="n">
        <v>572.799</v>
      </c>
      <c r="H1803" t="n">
        <v>633.1660000000001</v>
      </c>
      <c r="I1803" t="n">
        <v>30</v>
      </c>
      <c r="J1803" t="inlineStr">
        <is>
          <t xml:space="preserve"> WT</t>
        </is>
      </c>
      <c r="K1803" t="inlineStr">
        <is>
          <t>Male</t>
        </is>
      </c>
      <c r="L1803" t="inlineStr">
        <is>
          <t>No focal subject</t>
        </is>
      </c>
      <c r="M1803" t="n">
        <v>18.001</v>
      </c>
      <c r="N1803" t="inlineStr">
        <is>
          <t>Explore_F</t>
        </is>
      </c>
      <c r="O1803" t="inlineStr">
        <is>
          <t>Familiar</t>
        </is>
      </c>
      <c r="P1803" t="inlineStr">
        <is>
          <t>STATE</t>
        </is>
      </c>
      <c r="Q1803" t="n">
        <v>375.766</v>
      </c>
      <c r="R1803" t="n">
        <v>376.933</v>
      </c>
      <c r="S1803" t="n">
        <v>1.167</v>
      </c>
      <c r="T1803" t="inlineStr">
        <is>
          <t>C:/Users/manuel.felline/Documents/BEHAVIOR BTBR/NOR second cohort/WT/training/c58_m4.mp4</t>
        </is>
      </c>
      <c r="U1803" t="n">
        <v>11523</v>
      </c>
      <c r="V1803" t="n">
        <v>11558</v>
      </c>
      <c r="W1803" t="n">
        <v/>
      </c>
      <c r="X1803" t="n">
        <v/>
      </c>
      <c r="Y1803" t="n">
        <v/>
      </c>
      <c r="Z1803" t="n">
        <v/>
      </c>
      <c r="AA1803">
        <f>SUMIFS($S$2:S1803,$A$2:A1803,A1803,$N$2:N1803,"Explore*")</f>
        <v/>
      </c>
      <c r="AB1803">
        <f>IF(AND(LEFT(N1803,7)="Explore",(AA1803-IF(LEFT(N1803,7)="Explore",S1803,0))&lt;10),"SI","NO")</f>
        <v/>
      </c>
    </row>
    <row r="1804">
      <c r="A1804" t="inlineStr">
        <is>
          <t>c58m4_training</t>
        </is>
      </c>
      <c r="B1804" t="inlineStr">
        <is>
          <t>2026-07-02 11:54:23.331</t>
        </is>
      </c>
      <c r="C1804" t="n">
        <v/>
      </c>
      <c r="D1804" t="inlineStr">
        <is>
          <t>Media file</t>
        </is>
      </c>
      <c r="E1804" t="inlineStr">
        <is>
          <t>player #1:C:/Users/manuel.felline/Documents/BEHAVIOR BTBR/NOR second cohort/WT/training/c58_m4.mp4</t>
        </is>
      </c>
      <c r="F1804" t="n">
        <v>-8.4</v>
      </c>
      <c r="G1804" t="n">
        <v>572.799</v>
      </c>
      <c r="H1804" t="n">
        <v>633.1660000000001</v>
      </c>
      <c r="I1804" t="n">
        <v>30</v>
      </c>
      <c r="J1804" t="inlineStr">
        <is>
          <t xml:space="preserve"> WT</t>
        </is>
      </c>
      <c r="K1804" t="inlineStr">
        <is>
          <t>Male</t>
        </is>
      </c>
      <c r="L1804" t="inlineStr">
        <is>
          <t>No focal subject</t>
        </is>
      </c>
      <c r="M1804" t="n">
        <v>18.001</v>
      </c>
      <c r="N1804" t="inlineStr">
        <is>
          <t>Explore_F</t>
        </is>
      </c>
      <c r="O1804" t="inlineStr">
        <is>
          <t>Familiar</t>
        </is>
      </c>
      <c r="P1804" t="inlineStr">
        <is>
          <t>STATE</t>
        </is>
      </c>
      <c r="Q1804" t="n">
        <v>393.166</v>
      </c>
      <c r="R1804" t="n">
        <v>393.533</v>
      </c>
      <c r="S1804" t="n">
        <v>0.367</v>
      </c>
      <c r="T1804" t="inlineStr">
        <is>
          <t>C:/Users/manuel.felline/Documents/BEHAVIOR BTBR/NOR second cohort/WT/training/c58_m4.mp4</t>
        </is>
      </c>
      <c r="U1804" t="n">
        <v>12045</v>
      </c>
      <c r="V1804" t="n">
        <v>12056</v>
      </c>
      <c r="W1804" t="n">
        <v/>
      </c>
      <c r="X1804" t="n">
        <v/>
      </c>
      <c r="Y1804" t="n">
        <v/>
      </c>
      <c r="Z1804" t="n">
        <v/>
      </c>
      <c r="AA1804">
        <f>SUMIFS($S$2:S1804,$A$2:A1804,A1804,$N$2:N1804,"Explore*")</f>
        <v/>
      </c>
      <c r="AB1804">
        <f>IF(AND(LEFT(N1804,7)="Explore",(AA1804-IF(LEFT(N1804,7)="Explore",S1804,0))&lt;10),"SI","NO")</f>
        <v/>
      </c>
    </row>
    <row r="1805">
      <c r="A1805" t="inlineStr">
        <is>
          <t>c58m4_training</t>
        </is>
      </c>
      <c r="B1805" t="inlineStr">
        <is>
          <t>2026-07-02 11:54:23.331</t>
        </is>
      </c>
      <c r="C1805" t="n">
        <v/>
      </c>
      <c r="D1805" t="inlineStr">
        <is>
          <t>Media file</t>
        </is>
      </c>
      <c r="E1805" t="inlineStr">
        <is>
          <t>player #1:C:/Users/manuel.felline/Documents/BEHAVIOR BTBR/NOR second cohort/WT/training/c58_m4.mp4</t>
        </is>
      </c>
      <c r="F1805" t="n">
        <v>-8.4</v>
      </c>
      <c r="G1805" t="n">
        <v>572.799</v>
      </c>
      <c r="H1805" t="n">
        <v>633.1660000000001</v>
      </c>
      <c r="I1805" t="n">
        <v>30</v>
      </c>
      <c r="J1805" t="inlineStr">
        <is>
          <t xml:space="preserve"> WT</t>
        </is>
      </c>
      <c r="K1805" t="inlineStr">
        <is>
          <t>Male</t>
        </is>
      </c>
      <c r="L1805" t="inlineStr">
        <is>
          <t>No focal subject</t>
        </is>
      </c>
      <c r="M1805" t="n">
        <v>18.001</v>
      </c>
      <c r="N1805" t="inlineStr">
        <is>
          <t>Explore_F</t>
        </is>
      </c>
      <c r="O1805" t="inlineStr">
        <is>
          <t>Familiar</t>
        </is>
      </c>
      <c r="P1805" t="inlineStr">
        <is>
          <t>STATE</t>
        </is>
      </c>
      <c r="Q1805" t="n">
        <v>449.133</v>
      </c>
      <c r="R1805" t="n">
        <v>449.466</v>
      </c>
      <c r="S1805" t="n">
        <v>0.333</v>
      </c>
      <c r="T1805" t="inlineStr">
        <is>
          <t>C:/Users/manuel.felline/Documents/BEHAVIOR BTBR/NOR second cohort/WT/training/c58_m4.mp4</t>
        </is>
      </c>
      <c r="U1805" t="n">
        <v>13724</v>
      </c>
      <c r="V1805" t="n">
        <v>13734</v>
      </c>
      <c r="W1805" t="n">
        <v/>
      </c>
      <c r="X1805" t="n">
        <v/>
      </c>
      <c r="Y1805" t="n">
        <v/>
      </c>
      <c r="Z1805" t="n">
        <v/>
      </c>
      <c r="AA1805">
        <f>SUMIFS($S$2:S1805,$A$2:A1805,A1805,$N$2:N1805,"Explore*")</f>
        <v/>
      </c>
      <c r="AB1805">
        <f>IF(AND(LEFT(N1805,7)="Explore",(AA1805-IF(LEFT(N1805,7)="Explore",S1805,0))&lt;10),"SI","NO")</f>
        <v/>
      </c>
    </row>
    <row r="1806">
      <c r="A1806" t="inlineStr">
        <is>
          <t>c58m4_training</t>
        </is>
      </c>
      <c r="B1806" t="inlineStr">
        <is>
          <t>2026-07-02 11:54:23.331</t>
        </is>
      </c>
      <c r="C1806" t="n">
        <v/>
      </c>
      <c r="D1806" t="inlineStr">
        <is>
          <t>Media file</t>
        </is>
      </c>
      <c r="E1806" t="inlineStr">
        <is>
          <t>player #1:C:/Users/manuel.felline/Documents/BEHAVIOR BTBR/NOR second cohort/WT/training/c58_m4.mp4</t>
        </is>
      </c>
      <c r="F1806" t="n">
        <v>-8.4</v>
      </c>
      <c r="G1806" t="n">
        <v>572.799</v>
      </c>
      <c r="H1806" t="n">
        <v>633.1660000000001</v>
      </c>
      <c r="I1806" t="n">
        <v>30</v>
      </c>
      <c r="J1806" t="inlineStr">
        <is>
          <t xml:space="preserve"> WT</t>
        </is>
      </c>
      <c r="K1806" t="inlineStr">
        <is>
          <t>Male</t>
        </is>
      </c>
      <c r="L1806" t="inlineStr">
        <is>
          <t>No focal subject</t>
        </is>
      </c>
      <c r="M1806" t="n">
        <v>18.001</v>
      </c>
      <c r="N1806" t="inlineStr">
        <is>
          <t>Explore_F</t>
        </is>
      </c>
      <c r="O1806" t="inlineStr">
        <is>
          <t>Familiar</t>
        </is>
      </c>
      <c r="P1806" t="inlineStr">
        <is>
          <t>STATE</t>
        </is>
      </c>
      <c r="Q1806" t="n">
        <v>455.166</v>
      </c>
      <c r="R1806" t="n">
        <v>457.033</v>
      </c>
      <c r="S1806" t="n">
        <v>1.867</v>
      </c>
      <c r="T1806" t="inlineStr">
        <is>
          <t>C:/Users/manuel.felline/Documents/BEHAVIOR BTBR/NOR second cohort/WT/training/c58_m4.mp4</t>
        </is>
      </c>
      <c r="U1806" t="n">
        <v>13905</v>
      </c>
      <c r="V1806" t="n">
        <v>13961</v>
      </c>
      <c r="W1806" t="n">
        <v/>
      </c>
      <c r="X1806" t="n">
        <v/>
      </c>
      <c r="Y1806" t="n">
        <v/>
      </c>
      <c r="Z1806" t="n">
        <v/>
      </c>
      <c r="AA1806">
        <f>SUMIFS($S$2:S1806,$A$2:A1806,A1806,$N$2:N1806,"Explore*")</f>
        <v/>
      </c>
      <c r="AB1806">
        <f>IF(AND(LEFT(N1806,7)="Explore",(AA1806-IF(LEFT(N1806,7)="Explore",S1806,0))&lt;10),"SI","NO")</f>
        <v/>
      </c>
    </row>
    <row r="1807">
      <c r="A1807" t="inlineStr">
        <is>
          <t>c58m4_training</t>
        </is>
      </c>
      <c r="B1807" t="inlineStr">
        <is>
          <t>2026-07-02 11:54:23.331</t>
        </is>
      </c>
      <c r="C1807" t="n">
        <v/>
      </c>
      <c r="D1807" t="inlineStr">
        <is>
          <t>Media file</t>
        </is>
      </c>
      <c r="E1807" t="inlineStr">
        <is>
          <t>player #1:C:/Users/manuel.felline/Documents/BEHAVIOR BTBR/NOR second cohort/WT/training/c58_m4.mp4</t>
        </is>
      </c>
      <c r="F1807" t="n">
        <v>-8.4</v>
      </c>
      <c r="G1807" t="n">
        <v>572.799</v>
      </c>
      <c r="H1807" t="n">
        <v>633.1660000000001</v>
      </c>
      <c r="I1807" t="n">
        <v>30</v>
      </c>
      <c r="J1807" t="inlineStr">
        <is>
          <t xml:space="preserve"> WT</t>
        </is>
      </c>
      <c r="K1807" t="inlineStr">
        <is>
          <t>Male</t>
        </is>
      </c>
      <c r="L1807" t="inlineStr">
        <is>
          <t>No focal subject</t>
        </is>
      </c>
      <c r="M1807" t="n">
        <v>18.001</v>
      </c>
      <c r="N1807" t="inlineStr">
        <is>
          <t>Explore_F</t>
        </is>
      </c>
      <c r="O1807" t="inlineStr">
        <is>
          <t>Familiar</t>
        </is>
      </c>
      <c r="P1807" t="inlineStr">
        <is>
          <t>STATE</t>
        </is>
      </c>
      <c r="Q1807" t="n">
        <v>472.7</v>
      </c>
      <c r="R1807" t="n">
        <v>473.066</v>
      </c>
      <c r="S1807" t="n">
        <v>0.366</v>
      </c>
      <c r="T1807" t="inlineStr">
        <is>
          <t>C:/Users/manuel.felline/Documents/BEHAVIOR BTBR/NOR second cohort/WT/training/c58_m4.mp4</t>
        </is>
      </c>
      <c r="U1807" t="n">
        <v>14431</v>
      </c>
      <c r="V1807" t="n">
        <v>14442</v>
      </c>
      <c r="W1807" t="n">
        <v/>
      </c>
      <c r="X1807" t="n">
        <v/>
      </c>
      <c r="Y1807" t="n">
        <v/>
      </c>
      <c r="Z1807" t="n">
        <v/>
      </c>
      <c r="AA1807">
        <f>SUMIFS($S$2:S1807,$A$2:A1807,A1807,$N$2:N1807,"Explore*")</f>
        <v/>
      </c>
      <c r="AB1807">
        <f>IF(AND(LEFT(N1807,7)="Explore",(AA1807-IF(LEFT(N1807,7)="Explore",S1807,0))&lt;10),"SI","NO")</f>
        <v/>
      </c>
    </row>
    <row r="1808">
      <c r="A1808" t="inlineStr">
        <is>
          <t>c58m4_training</t>
        </is>
      </c>
      <c r="B1808" t="inlineStr">
        <is>
          <t>2026-07-02 11:54:23.331</t>
        </is>
      </c>
      <c r="C1808" t="n">
        <v/>
      </c>
      <c r="D1808" t="inlineStr">
        <is>
          <t>Media file</t>
        </is>
      </c>
      <c r="E1808" t="inlineStr">
        <is>
          <t>player #1:C:/Users/manuel.felline/Documents/BEHAVIOR BTBR/NOR second cohort/WT/training/c58_m4.mp4</t>
        </is>
      </c>
      <c r="F1808" t="n">
        <v>-8.4</v>
      </c>
      <c r="G1808" t="n">
        <v>572.799</v>
      </c>
      <c r="H1808" t="n">
        <v>633.1660000000001</v>
      </c>
      <c r="I1808" t="n">
        <v>30</v>
      </c>
      <c r="J1808" t="inlineStr">
        <is>
          <t xml:space="preserve"> WT</t>
        </is>
      </c>
      <c r="K1808" t="inlineStr">
        <is>
          <t>Male</t>
        </is>
      </c>
      <c r="L1808" t="inlineStr">
        <is>
          <t>No focal subject</t>
        </is>
      </c>
      <c r="M1808" t="n">
        <v>18.001</v>
      </c>
      <c r="N1808" t="inlineStr">
        <is>
          <t>Explore_F</t>
        </is>
      </c>
      <c r="O1808" t="inlineStr">
        <is>
          <t>Familiar</t>
        </is>
      </c>
      <c r="P1808" t="inlineStr">
        <is>
          <t>STATE</t>
        </is>
      </c>
      <c r="Q1808" t="n">
        <v>489.666</v>
      </c>
      <c r="R1808" t="n">
        <v>490.699</v>
      </c>
      <c r="S1808" t="n">
        <v>1.033</v>
      </c>
      <c r="T1808" t="inlineStr">
        <is>
          <t>C:/Users/manuel.felline/Documents/BEHAVIOR BTBR/NOR second cohort/WT/training/c58_m4.mp4</t>
        </is>
      </c>
      <c r="U1808" t="n">
        <v>14940</v>
      </c>
      <c r="V1808" t="n">
        <v>14971</v>
      </c>
      <c r="W1808" t="n">
        <v/>
      </c>
      <c r="X1808" t="n">
        <v/>
      </c>
      <c r="Y1808" t="n">
        <v/>
      </c>
      <c r="Z1808" t="n">
        <v/>
      </c>
      <c r="AA1808">
        <f>SUMIFS($S$2:S1808,$A$2:A1808,A1808,$N$2:N1808,"Explore*")</f>
        <v/>
      </c>
      <c r="AB1808">
        <f>IF(AND(LEFT(N1808,7)="Explore",(AA1808-IF(LEFT(N1808,7)="Explore",S1808,0))&lt;10),"SI","NO")</f>
        <v/>
      </c>
    </row>
    <row r="1809">
      <c r="A1809" t="inlineStr">
        <is>
          <t>c58m4_training</t>
        </is>
      </c>
      <c r="B1809" t="inlineStr">
        <is>
          <t>2026-07-02 11:54:23.331</t>
        </is>
      </c>
      <c r="C1809" t="n">
        <v/>
      </c>
      <c r="D1809" t="inlineStr">
        <is>
          <t>Media file</t>
        </is>
      </c>
      <c r="E1809" t="inlineStr">
        <is>
          <t>player #1:C:/Users/manuel.felline/Documents/BEHAVIOR BTBR/NOR second cohort/WT/training/c58_m4.mp4</t>
        </is>
      </c>
      <c r="F1809" t="n">
        <v>-8.4</v>
      </c>
      <c r="G1809" t="n">
        <v>572.799</v>
      </c>
      <c r="H1809" t="n">
        <v>633.1660000000001</v>
      </c>
      <c r="I1809" t="n">
        <v>30</v>
      </c>
      <c r="J1809" t="inlineStr">
        <is>
          <t xml:space="preserve"> WT</t>
        </is>
      </c>
      <c r="K1809" t="inlineStr">
        <is>
          <t>Male</t>
        </is>
      </c>
      <c r="L1809" t="inlineStr">
        <is>
          <t>No focal subject</t>
        </is>
      </c>
      <c r="M1809" t="n">
        <v>18.001</v>
      </c>
      <c r="N1809" t="inlineStr">
        <is>
          <t>Explore_F2</t>
        </is>
      </c>
      <c r="O1809" t="inlineStr">
        <is>
          <t>Second familiar</t>
        </is>
      </c>
      <c r="P1809" t="inlineStr">
        <is>
          <t>STATE</t>
        </is>
      </c>
      <c r="Q1809" t="n">
        <v>497.633</v>
      </c>
      <c r="R1809" t="n">
        <v>498.433</v>
      </c>
      <c r="S1809" t="n">
        <v>0.8</v>
      </c>
      <c r="T1809" t="inlineStr">
        <is>
          <t>C:/Users/manuel.felline/Documents/BEHAVIOR BTBR/NOR second cohort/WT/training/c58_m4.mp4</t>
        </is>
      </c>
      <c r="U1809" t="n">
        <v>15179</v>
      </c>
      <c r="V1809" t="n">
        <v>15203</v>
      </c>
      <c r="W1809" t="n">
        <v/>
      </c>
      <c r="X1809" t="n">
        <v/>
      </c>
      <c r="Y1809" t="n">
        <v/>
      </c>
      <c r="Z1809" t="n">
        <v/>
      </c>
      <c r="AA1809">
        <f>SUMIFS($S$2:S1809,$A$2:A1809,A1809,$N$2:N1809,"Explore*")</f>
        <v/>
      </c>
      <c r="AB1809">
        <f>IF(AND(LEFT(N1809,7)="Explore",(AA1809-IF(LEFT(N1809,7)="Explore",S1809,0))&lt;10),"SI","NO")</f>
        <v/>
      </c>
    </row>
    <row r="1810">
      <c r="A1810" t="inlineStr">
        <is>
          <t>c58m4_training</t>
        </is>
      </c>
      <c r="B1810" t="inlineStr">
        <is>
          <t>2026-07-02 11:54:23.331</t>
        </is>
      </c>
      <c r="C1810" t="n">
        <v/>
      </c>
      <c r="D1810" t="inlineStr">
        <is>
          <t>Media file</t>
        </is>
      </c>
      <c r="E1810" t="inlineStr">
        <is>
          <t>player #1:C:/Users/manuel.felline/Documents/BEHAVIOR BTBR/NOR second cohort/WT/training/c58_m4.mp4</t>
        </is>
      </c>
      <c r="F1810" t="n">
        <v>-8.4</v>
      </c>
      <c r="G1810" t="n">
        <v>572.799</v>
      </c>
      <c r="H1810" t="n">
        <v>633.1660000000001</v>
      </c>
      <c r="I1810" t="n">
        <v>30</v>
      </c>
      <c r="J1810" t="inlineStr">
        <is>
          <t xml:space="preserve"> WT</t>
        </is>
      </c>
      <c r="K1810" t="inlineStr">
        <is>
          <t>Male</t>
        </is>
      </c>
      <c r="L1810" t="inlineStr">
        <is>
          <t>No focal subject</t>
        </is>
      </c>
      <c r="M1810" t="n">
        <v>18.001</v>
      </c>
      <c r="N1810" t="inlineStr">
        <is>
          <t>Explore_F2</t>
        </is>
      </c>
      <c r="O1810" t="inlineStr">
        <is>
          <t>Second familiar</t>
        </is>
      </c>
      <c r="P1810" t="inlineStr">
        <is>
          <t>STATE</t>
        </is>
      </c>
      <c r="Q1810" t="n">
        <v>544.833</v>
      </c>
      <c r="R1810" t="n">
        <v>545.999</v>
      </c>
      <c r="S1810" t="n">
        <v>1.166</v>
      </c>
      <c r="T1810" t="inlineStr">
        <is>
          <t>C:/Users/manuel.felline/Documents/BEHAVIOR BTBR/NOR second cohort/WT/training/c58_m4.mp4</t>
        </is>
      </c>
      <c r="U1810" t="n">
        <v>16595</v>
      </c>
      <c r="V1810" t="n">
        <v>16630</v>
      </c>
      <c r="W1810" t="n">
        <v/>
      </c>
      <c r="X1810" t="n">
        <v/>
      </c>
      <c r="Y1810" t="n">
        <v/>
      </c>
      <c r="Z1810" t="n">
        <v/>
      </c>
      <c r="AA1810">
        <f>SUMIFS($S$2:S1810,$A$2:A1810,A1810,$N$2:N1810,"Explore*")</f>
        <v/>
      </c>
      <c r="AB1810">
        <f>IF(AND(LEFT(N1810,7)="Explore",(AA1810-IF(LEFT(N1810,7)="Explore",S1810,0))&lt;10),"SI","NO")</f>
        <v/>
      </c>
    </row>
    <row r="1811">
      <c r="A1811" t="inlineStr">
        <is>
          <t>c58m4_training</t>
        </is>
      </c>
      <c r="B1811" t="inlineStr">
        <is>
          <t>2026-07-02 11:54:23.331</t>
        </is>
      </c>
      <c r="C1811" t="n">
        <v/>
      </c>
      <c r="D1811" t="inlineStr">
        <is>
          <t>Media file</t>
        </is>
      </c>
      <c r="E1811" t="inlineStr">
        <is>
          <t>player #1:C:/Users/manuel.felline/Documents/BEHAVIOR BTBR/NOR second cohort/WT/training/c58_m4.mp4</t>
        </is>
      </c>
      <c r="F1811" t="n">
        <v>-8.4</v>
      </c>
      <c r="G1811" t="n">
        <v>572.799</v>
      </c>
      <c r="H1811" t="n">
        <v>633.1660000000001</v>
      </c>
      <c r="I1811" t="n">
        <v>30</v>
      </c>
      <c r="J1811" t="inlineStr">
        <is>
          <t xml:space="preserve"> WT</t>
        </is>
      </c>
      <c r="K1811" t="inlineStr">
        <is>
          <t>Male</t>
        </is>
      </c>
      <c r="L1811" t="inlineStr">
        <is>
          <t>No focal subject</t>
        </is>
      </c>
      <c r="M1811" t="n">
        <v>18.001</v>
      </c>
      <c r="N1811" t="inlineStr">
        <is>
          <t>Explore_F</t>
        </is>
      </c>
      <c r="O1811" t="inlineStr">
        <is>
          <t>Familiar</t>
        </is>
      </c>
      <c r="P1811" t="inlineStr">
        <is>
          <t>STATE</t>
        </is>
      </c>
      <c r="Q1811" t="n">
        <v>564.266</v>
      </c>
      <c r="R1811" t="n">
        <v>564.933</v>
      </c>
      <c r="S1811" t="n">
        <v>0.667</v>
      </c>
      <c r="T1811" t="inlineStr">
        <is>
          <t>C:/Users/manuel.felline/Documents/BEHAVIOR BTBR/NOR second cohort/WT/training/c58_m4.mp4</t>
        </is>
      </c>
      <c r="U1811" t="n">
        <v>17178</v>
      </c>
      <c r="V1811" t="n">
        <v>17198</v>
      </c>
      <c r="W1811" t="n">
        <v/>
      </c>
      <c r="X1811" t="n">
        <v/>
      </c>
      <c r="Y1811" t="n">
        <v/>
      </c>
      <c r="Z1811" t="n">
        <v/>
      </c>
      <c r="AA1811">
        <f>SUMIFS($S$2:S1811,$A$2:A1811,A1811,$N$2:N1811,"Explore*")</f>
        <v/>
      </c>
      <c r="AB1811">
        <f>IF(AND(LEFT(N1811,7)="Explore",(AA1811-IF(LEFT(N1811,7)="Explore",S1811,0))&lt;10),"SI","NO")</f>
        <v/>
      </c>
    </row>
    <row r="1812">
      <c r="A1812" t="inlineStr">
        <is>
          <t>c58m4_training</t>
        </is>
      </c>
      <c r="B1812" t="inlineStr">
        <is>
          <t>2026-07-02 11:54:23.331</t>
        </is>
      </c>
      <c r="C1812" t="n">
        <v/>
      </c>
      <c r="D1812" t="inlineStr">
        <is>
          <t>Media file</t>
        </is>
      </c>
      <c r="E1812" t="inlineStr">
        <is>
          <t>player #1:C:/Users/manuel.felline/Documents/BEHAVIOR BTBR/NOR second cohort/WT/training/c58_m4.mp4</t>
        </is>
      </c>
      <c r="F1812" t="n">
        <v>-8.4</v>
      </c>
      <c r="G1812" t="n">
        <v>572.799</v>
      </c>
      <c r="H1812" t="n">
        <v>633.1660000000001</v>
      </c>
      <c r="I1812" t="n">
        <v>30</v>
      </c>
      <c r="J1812" t="inlineStr">
        <is>
          <t xml:space="preserve"> WT</t>
        </is>
      </c>
      <c r="K1812" t="inlineStr">
        <is>
          <t>Male</t>
        </is>
      </c>
      <c r="L1812" t="inlineStr">
        <is>
          <t>No focal subject</t>
        </is>
      </c>
      <c r="M1812" t="n">
        <v>18.001</v>
      </c>
      <c r="N1812" t="inlineStr">
        <is>
          <t>Explore_F2</t>
        </is>
      </c>
      <c r="O1812" t="inlineStr">
        <is>
          <t>Second familiar</t>
        </is>
      </c>
      <c r="P1812" t="inlineStr">
        <is>
          <t>STATE</t>
        </is>
      </c>
      <c r="Q1812" t="n">
        <v>578.499</v>
      </c>
      <c r="R1812" t="n">
        <v>579.799</v>
      </c>
      <c r="S1812" t="n">
        <v>1.3</v>
      </c>
      <c r="T1812" t="inlineStr">
        <is>
          <t>C:/Users/manuel.felline/Documents/BEHAVIOR BTBR/NOR second cohort/WT/training/c58_m4.mp4</t>
        </is>
      </c>
      <c r="U1812" t="n">
        <v>17605</v>
      </c>
      <c r="V1812" t="n">
        <v>17644</v>
      </c>
      <c r="W1812" t="n">
        <v/>
      </c>
      <c r="X1812" t="n">
        <v/>
      </c>
      <c r="Y1812" t="n">
        <v/>
      </c>
      <c r="Z1812" t="n">
        <v/>
      </c>
      <c r="AA1812">
        <f>SUMIFS($S$2:S1812,$A$2:A1812,A1812,$N$2:N1812,"Explore*")</f>
        <v/>
      </c>
      <c r="AB1812">
        <f>IF(AND(LEFT(N1812,7)="Explore",(AA1812-IF(LEFT(N1812,7)="Explore",S1812,0))&lt;10),"SI","NO")</f>
        <v/>
      </c>
    </row>
    <row r="1813">
      <c r="A1813" t="inlineStr">
        <is>
          <t>c58m5_training</t>
        </is>
      </c>
      <c r="B1813" t="inlineStr">
        <is>
          <t>2026-07-02 15:14:55.199</t>
        </is>
      </c>
      <c r="C1813" t="n">
        <v/>
      </c>
      <c r="D1813" t="inlineStr">
        <is>
          <t>Media file</t>
        </is>
      </c>
      <c r="E1813" t="inlineStr">
        <is>
          <t>player #1:C:/Users/manuel.felline/Documents/BEHAVIOR BTBR/NOR second cohort/WT/training/c58_m5.mp4</t>
        </is>
      </c>
      <c r="F1813" t="n">
        <v>-13.567</v>
      </c>
      <c r="G1813" t="n">
        <v>508.066</v>
      </c>
      <c r="H1813" t="n">
        <v>625.7329999999999</v>
      </c>
      <c r="I1813" t="n">
        <v>30</v>
      </c>
      <c r="J1813" t="inlineStr">
        <is>
          <t xml:space="preserve"> WT</t>
        </is>
      </c>
      <c r="K1813" t="inlineStr">
        <is>
          <t>Male</t>
        </is>
      </c>
      <c r="L1813" t="inlineStr">
        <is>
          <t>No focal subject</t>
        </is>
      </c>
      <c r="M1813" t="n">
        <v>19.2</v>
      </c>
      <c r="N1813" t="inlineStr">
        <is>
          <t>Explore_F</t>
        </is>
      </c>
      <c r="O1813" t="inlineStr">
        <is>
          <t>Familiar</t>
        </is>
      </c>
      <c r="P1813" t="inlineStr">
        <is>
          <t>STATE</t>
        </is>
      </c>
      <c r="Q1813" t="n">
        <v>89.7</v>
      </c>
      <c r="R1813" t="n">
        <v>90.09999999999999</v>
      </c>
      <c r="S1813" t="n">
        <v>0.4</v>
      </c>
      <c r="T1813" t="inlineStr">
        <is>
          <t>C:/Users/manuel.felline/Documents/BEHAVIOR BTBR/NOR second cohort/WT/training/c58_m5.mp4</t>
        </is>
      </c>
      <c r="U1813" t="n">
        <v>3097</v>
      </c>
      <c r="V1813" t="n">
        <v>3109</v>
      </c>
      <c r="W1813" t="n">
        <v/>
      </c>
      <c r="X1813" t="n">
        <v/>
      </c>
      <c r="Y1813" t="n">
        <v/>
      </c>
      <c r="Z1813" t="n">
        <v/>
      </c>
      <c r="AA1813">
        <f>SUMIFS($S$2:S1813,$A$2:A1813,A1813,$N$2:N1813,"Explore*")</f>
        <v/>
      </c>
      <c r="AB1813">
        <f>IF(AND(LEFT(N1813,7)="Explore",(AA1813-IF(LEFT(N1813,7)="Explore",S1813,0))&lt;10),"SI","NO")</f>
        <v/>
      </c>
    </row>
    <row r="1814">
      <c r="A1814" t="inlineStr">
        <is>
          <t>c58m5_training</t>
        </is>
      </c>
      <c r="B1814" t="inlineStr">
        <is>
          <t>2026-07-02 15:14:55.199</t>
        </is>
      </c>
      <c r="C1814" t="n">
        <v/>
      </c>
      <c r="D1814" t="inlineStr">
        <is>
          <t>Media file</t>
        </is>
      </c>
      <c r="E1814" t="inlineStr">
        <is>
          <t>player #1:C:/Users/manuel.felline/Documents/BEHAVIOR BTBR/NOR second cohort/WT/training/c58_m5.mp4</t>
        </is>
      </c>
      <c r="F1814" t="n">
        <v>-13.567</v>
      </c>
      <c r="G1814" t="n">
        <v>508.066</v>
      </c>
      <c r="H1814" t="n">
        <v>625.7329999999999</v>
      </c>
      <c r="I1814" t="n">
        <v>30</v>
      </c>
      <c r="J1814" t="inlineStr">
        <is>
          <t xml:space="preserve"> WT</t>
        </is>
      </c>
      <c r="K1814" t="inlineStr">
        <is>
          <t>Male</t>
        </is>
      </c>
      <c r="L1814" t="inlineStr">
        <is>
          <t>No focal subject</t>
        </is>
      </c>
      <c r="M1814" t="n">
        <v>19.2</v>
      </c>
      <c r="N1814" t="inlineStr">
        <is>
          <t>Explore_F2</t>
        </is>
      </c>
      <c r="O1814" t="inlineStr">
        <is>
          <t>Second familiar</t>
        </is>
      </c>
      <c r="P1814" t="inlineStr">
        <is>
          <t>STATE</t>
        </is>
      </c>
      <c r="Q1814" t="n">
        <v>156.066</v>
      </c>
      <c r="R1814" t="n">
        <v>157.299</v>
      </c>
      <c r="S1814" t="n">
        <v>1.233</v>
      </c>
      <c r="T1814" t="inlineStr">
        <is>
          <t>C:/Users/manuel.felline/Documents/BEHAVIOR BTBR/NOR second cohort/WT/training/c58_m5.mp4</t>
        </is>
      </c>
      <c r="U1814" t="n">
        <v>5087</v>
      </c>
      <c r="V1814" t="n">
        <v>5124</v>
      </c>
      <c r="W1814" t="n">
        <v/>
      </c>
      <c r="X1814" t="n">
        <v/>
      </c>
      <c r="Y1814" t="n">
        <v/>
      </c>
      <c r="Z1814" t="n">
        <v/>
      </c>
      <c r="AA1814">
        <f>SUMIFS($S$2:S1814,$A$2:A1814,A1814,$N$2:N1814,"Explore*")</f>
        <v/>
      </c>
      <c r="AB1814">
        <f>IF(AND(LEFT(N1814,7)="Explore",(AA1814-IF(LEFT(N1814,7)="Explore",S1814,0))&lt;10),"SI","NO")</f>
        <v/>
      </c>
    </row>
    <row r="1815">
      <c r="A1815" t="inlineStr">
        <is>
          <t>c58m5_training</t>
        </is>
      </c>
      <c r="B1815" t="inlineStr">
        <is>
          <t>2026-07-02 15:14:55.199</t>
        </is>
      </c>
      <c r="C1815" t="n">
        <v/>
      </c>
      <c r="D1815" t="inlineStr">
        <is>
          <t>Media file</t>
        </is>
      </c>
      <c r="E1815" t="inlineStr">
        <is>
          <t>player #1:C:/Users/manuel.felline/Documents/BEHAVIOR BTBR/NOR second cohort/WT/training/c58_m5.mp4</t>
        </is>
      </c>
      <c r="F1815" t="n">
        <v>-13.567</v>
      </c>
      <c r="G1815" t="n">
        <v>508.066</v>
      </c>
      <c r="H1815" t="n">
        <v>625.7329999999999</v>
      </c>
      <c r="I1815" t="n">
        <v>30</v>
      </c>
      <c r="J1815" t="inlineStr">
        <is>
          <t xml:space="preserve"> WT</t>
        </is>
      </c>
      <c r="K1815" t="inlineStr">
        <is>
          <t>Male</t>
        </is>
      </c>
      <c r="L1815" t="inlineStr">
        <is>
          <t>No focal subject</t>
        </is>
      </c>
      <c r="M1815" t="n">
        <v>19.2</v>
      </c>
      <c r="N1815" t="inlineStr">
        <is>
          <t>Explore_F</t>
        </is>
      </c>
      <c r="O1815" t="inlineStr">
        <is>
          <t>Familiar</t>
        </is>
      </c>
      <c r="P1815" t="inlineStr">
        <is>
          <t>STATE</t>
        </is>
      </c>
      <c r="Q1815" t="n">
        <v>159.299</v>
      </c>
      <c r="R1815" t="n">
        <v>160.266</v>
      </c>
      <c r="S1815" t="n">
        <v>0.967</v>
      </c>
      <c r="T1815" t="inlineStr">
        <is>
          <t>C:/Users/manuel.felline/Documents/BEHAVIOR BTBR/NOR second cohort/WT/training/c58_m5.mp4</t>
        </is>
      </c>
      <c r="U1815" t="n">
        <v>5184</v>
      </c>
      <c r="V1815" t="n">
        <v>5213</v>
      </c>
      <c r="W1815" t="n">
        <v/>
      </c>
      <c r="X1815" t="n">
        <v/>
      </c>
      <c r="Y1815" t="n">
        <v/>
      </c>
      <c r="Z1815" t="n">
        <v/>
      </c>
      <c r="AA1815">
        <f>SUMIFS($S$2:S1815,$A$2:A1815,A1815,$N$2:N1815,"Explore*")</f>
        <v/>
      </c>
      <c r="AB1815">
        <f>IF(AND(LEFT(N1815,7)="Explore",(AA1815-IF(LEFT(N1815,7)="Explore",S1815,0))&lt;10),"SI","NO")</f>
        <v/>
      </c>
    </row>
    <row r="1816">
      <c r="A1816" t="inlineStr">
        <is>
          <t>c58m5_training</t>
        </is>
      </c>
      <c r="B1816" t="inlineStr">
        <is>
          <t>2026-07-02 15:14:55.199</t>
        </is>
      </c>
      <c r="C1816" t="n">
        <v/>
      </c>
      <c r="D1816" t="inlineStr">
        <is>
          <t>Media file</t>
        </is>
      </c>
      <c r="E1816" t="inlineStr">
        <is>
          <t>player #1:C:/Users/manuel.felline/Documents/BEHAVIOR BTBR/NOR second cohort/WT/training/c58_m5.mp4</t>
        </is>
      </c>
      <c r="F1816" t="n">
        <v>-13.567</v>
      </c>
      <c r="G1816" t="n">
        <v>508.066</v>
      </c>
      <c r="H1816" t="n">
        <v>625.7329999999999</v>
      </c>
      <c r="I1816" t="n">
        <v>30</v>
      </c>
      <c r="J1816" t="inlineStr">
        <is>
          <t xml:space="preserve"> WT</t>
        </is>
      </c>
      <c r="K1816" t="inlineStr">
        <is>
          <t>Male</t>
        </is>
      </c>
      <c r="L1816" t="inlineStr">
        <is>
          <t>No focal subject</t>
        </is>
      </c>
      <c r="M1816" t="n">
        <v>19.2</v>
      </c>
      <c r="N1816" t="inlineStr">
        <is>
          <t>Explore_F2</t>
        </is>
      </c>
      <c r="O1816" t="inlineStr">
        <is>
          <t>Second familiar</t>
        </is>
      </c>
      <c r="P1816" t="inlineStr">
        <is>
          <t>STATE</t>
        </is>
      </c>
      <c r="Q1816" t="n">
        <v>175.866</v>
      </c>
      <c r="R1816" t="n">
        <v>176.099</v>
      </c>
      <c r="S1816" t="n">
        <v>0.233</v>
      </c>
      <c r="T1816" t="inlineStr">
        <is>
          <t>C:/Users/manuel.felline/Documents/BEHAVIOR BTBR/NOR second cohort/WT/training/c58_m5.mp4</t>
        </is>
      </c>
      <c r="U1816" t="n">
        <v>5681</v>
      </c>
      <c r="V1816" t="n">
        <v>5688</v>
      </c>
      <c r="W1816" t="n">
        <v/>
      </c>
      <c r="X1816" t="n">
        <v/>
      </c>
      <c r="Y1816" t="n">
        <v/>
      </c>
      <c r="Z1816" t="n">
        <v/>
      </c>
      <c r="AA1816">
        <f>SUMIFS($S$2:S1816,$A$2:A1816,A1816,$N$2:N1816,"Explore*")</f>
        <v/>
      </c>
      <c r="AB1816">
        <f>IF(AND(LEFT(N1816,7)="Explore",(AA1816-IF(LEFT(N1816,7)="Explore",S1816,0))&lt;10),"SI","NO")</f>
        <v/>
      </c>
    </row>
    <row r="1817">
      <c r="A1817" t="inlineStr">
        <is>
          <t>c58m5_training</t>
        </is>
      </c>
      <c r="B1817" t="inlineStr">
        <is>
          <t>2026-07-02 15:14:55.199</t>
        </is>
      </c>
      <c r="C1817" t="n">
        <v/>
      </c>
      <c r="D1817" t="inlineStr">
        <is>
          <t>Media file</t>
        </is>
      </c>
      <c r="E1817" t="inlineStr">
        <is>
          <t>player #1:C:/Users/manuel.felline/Documents/BEHAVIOR BTBR/NOR second cohort/WT/training/c58_m5.mp4</t>
        </is>
      </c>
      <c r="F1817" t="n">
        <v>-13.567</v>
      </c>
      <c r="G1817" t="n">
        <v>508.066</v>
      </c>
      <c r="H1817" t="n">
        <v>625.7329999999999</v>
      </c>
      <c r="I1817" t="n">
        <v>30</v>
      </c>
      <c r="J1817" t="inlineStr">
        <is>
          <t xml:space="preserve"> WT</t>
        </is>
      </c>
      <c r="K1817" t="inlineStr">
        <is>
          <t>Male</t>
        </is>
      </c>
      <c r="L1817" t="inlineStr">
        <is>
          <t>No focal subject</t>
        </is>
      </c>
      <c r="M1817" t="n">
        <v>19.2</v>
      </c>
      <c r="N1817" t="inlineStr">
        <is>
          <t>Explore_F</t>
        </is>
      </c>
      <c r="O1817" t="inlineStr">
        <is>
          <t>Familiar</t>
        </is>
      </c>
      <c r="P1817" t="inlineStr">
        <is>
          <t>STATE</t>
        </is>
      </c>
      <c r="Q1817" t="n">
        <v>177.333</v>
      </c>
      <c r="R1817" t="n">
        <v>177.966</v>
      </c>
      <c r="S1817" t="n">
        <v>0.633</v>
      </c>
      <c r="T1817" t="inlineStr">
        <is>
          <t>C:/Users/manuel.felline/Documents/BEHAVIOR BTBR/NOR second cohort/WT/training/c58_m5.mp4</t>
        </is>
      </c>
      <c r="U1817" t="n">
        <v>5725</v>
      </c>
      <c r="V1817" t="n">
        <v>5744</v>
      </c>
      <c r="W1817" t="n">
        <v/>
      </c>
      <c r="X1817" t="n">
        <v/>
      </c>
      <c r="Y1817" t="n">
        <v/>
      </c>
      <c r="Z1817" t="n">
        <v/>
      </c>
      <c r="AA1817">
        <f>SUMIFS($S$2:S1817,$A$2:A1817,A1817,$N$2:N1817,"Explore*")</f>
        <v/>
      </c>
      <c r="AB1817">
        <f>IF(AND(LEFT(N1817,7)="Explore",(AA1817-IF(LEFT(N1817,7)="Explore",S1817,0))&lt;10),"SI","NO")</f>
        <v/>
      </c>
    </row>
    <row r="1818">
      <c r="A1818" t="inlineStr">
        <is>
          <t>c58m5_training</t>
        </is>
      </c>
      <c r="B1818" t="inlineStr">
        <is>
          <t>2026-07-02 15:14:55.199</t>
        </is>
      </c>
      <c r="C1818" t="n">
        <v/>
      </c>
      <c r="D1818" t="inlineStr">
        <is>
          <t>Media file</t>
        </is>
      </c>
      <c r="E1818" t="inlineStr">
        <is>
          <t>player #1:C:/Users/manuel.felline/Documents/BEHAVIOR BTBR/NOR second cohort/WT/training/c58_m5.mp4</t>
        </is>
      </c>
      <c r="F1818" t="n">
        <v>-13.567</v>
      </c>
      <c r="G1818" t="n">
        <v>508.066</v>
      </c>
      <c r="H1818" t="n">
        <v>625.7329999999999</v>
      </c>
      <c r="I1818" t="n">
        <v>30</v>
      </c>
      <c r="J1818" t="inlineStr">
        <is>
          <t xml:space="preserve"> WT</t>
        </is>
      </c>
      <c r="K1818" t="inlineStr">
        <is>
          <t>Male</t>
        </is>
      </c>
      <c r="L1818" t="inlineStr">
        <is>
          <t>No focal subject</t>
        </is>
      </c>
      <c r="M1818" t="n">
        <v>19.2</v>
      </c>
      <c r="N1818" t="inlineStr">
        <is>
          <t>Explore_F</t>
        </is>
      </c>
      <c r="O1818" t="inlineStr">
        <is>
          <t>Familiar</t>
        </is>
      </c>
      <c r="P1818" t="inlineStr">
        <is>
          <t>STATE</t>
        </is>
      </c>
      <c r="Q1818" t="n">
        <v>180.899</v>
      </c>
      <c r="R1818" t="n">
        <v>181.199</v>
      </c>
      <c r="S1818" t="n">
        <v>0.3</v>
      </c>
      <c r="T1818" t="inlineStr">
        <is>
          <t>C:/Users/manuel.felline/Documents/BEHAVIOR BTBR/NOR second cohort/WT/training/c58_m5.mp4</t>
        </is>
      </c>
      <c r="U1818" t="n">
        <v>5832</v>
      </c>
      <c r="V1818" t="n">
        <v>5841</v>
      </c>
      <c r="W1818" t="n">
        <v/>
      </c>
      <c r="X1818" t="n">
        <v/>
      </c>
      <c r="Y1818" t="n">
        <v/>
      </c>
      <c r="Z1818" t="n">
        <v/>
      </c>
      <c r="AA1818">
        <f>SUMIFS($S$2:S1818,$A$2:A1818,A1818,$N$2:N1818,"Explore*")</f>
        <v/>
      </c>
      <c r="AB1818">
        <f>IF(AND(LEFT(N1818,7)="Explore",(AA1818-IF(LEFT(N1818,7)="Explore",S1818,0))&lt;10),"SI","NO")</f>
        <v/>
      </c>
    </row>
    <row r="1819">
      <c r="A1819" t="inlineStr">
        <is>
          <t>c58m5_training</t>
        </is>
      </c>
      <c r="B1819" t="inlineStr">
        <is>
          <t>2026-07-02 15:14:55.199</t>
        </is>
      </c>
      <c r="C1819" t="n">
        <v/>
      </c>
      <c r="D1819" t="inlineStr">
        <is>
          <t>Media file</t>
        </is>
      </c>
      <c r="E1819" t="inlineStr">
        <is>
          <t>player #1:C:/Users/manuel.felline/Documents/BEHAVIOR BTBR/NOR second cohort/WT/training/c58_m5.mp4</t>
        </is>
      </c>
      <c r="F1819" t="n">
        <v>-13.567</v>
      </c>
      <c r="G1819" t="n">
        <v>508.066</v>
      </c>
      <c r="H1819" t="n">
        <v>625.7329999999999</v>
      </c>
      <c r="I1819" t="n">
        <v>30</v>
      </c>
      <c r="J1819" t="inlineStr">
        <is>
          <t xml:space="preserve"> WT</t>
        </is>
      </c>
      <c r="K1819" t="inlineStr">
        <is>
          <t>Male</t>
        </is>
      </c>
      <c r="L1819" t="inlineStr">
        <is>
          <t>No focal subject</t>
        </is>
      </c>
      <c r="M1819" t="n">
        <v>19.2</v>
      </c>
      <c r="N1819" t="inlineStr">
        <is>
          <t>Explore_F</t>
        </is>
      </c>
      <c r="O1819" t="inlineStr">
        <is>
          <t>Familiar</t>
        </is>
      </c>
      <c r="P1819" t="inlineStr">
        <is>
          <t>STATE</t>
        </is>
      </c>
      <c r="Q1819" t="n">
        <v>183.099</v>
      </c>
      <c r="R1819" t="n">
        <v>184.199</v>
      </c>
      <c r="S1819" t="n">
        <v>1.1</v>
      </c>
      <c r="T1819" t="inlineStr">
        <is>
          <t>C:/Users/manuel.felline/Documents/BEHAVIOR BTBR/NOR second cohort/WT/training/c58_m5.mp4</t>
        </is>
      </c>
      <c r="U1819" t="n">
        <v>5898</v>
      </c>
      <c r="V1819" t="n">
        <v>5931</v>
      </c>
      <c r="W1819" t="n">
        <v/>
      </c>
      <c r="X1819" t="n">
        <v/>
      </c>
      <c r="Y1819" t="n">
        <v/>
      </c>
      <c r="Z1819" t="n">
        <v/>
      </c>
      <c r="AA1819">
        <f>SUMIFS($S$2:S1819,$A$2:A1819,A1819,$N$2:N1819,"Explore*")</f>
        <v/>
      </c>
      <c r="AB1819">
        <f>IF(AND(LEFT(N1819,7)="Explore",(AA1819-IF(LEFT(N1819,7)="Explore",S1819,0))&lt;10),"SI","NO")</f>
        <v/>
      </c>
    </row>
    <row r="1820">
      <c r="A1820" t="inlineStr">
        <is>
          <t>c58m5_training</t>
        </is>
      </c>
      <c r="B1820" t="inlineStr">
        <is>
          <t>2026-07-02 15:14:55.199</t>
        </is>
      </c>
      <c r="C1820" t="n">
        <v/>
      </c>
      <c r="D1820" t="inlineStr">
        <is>
          <t>Media file</t>
        </is>
      </c>
      <c r="E1820" t="inlineStr">
        <is>
          <t>player #1:C:/Users/manuel.felline/Documents/BEHAVIOR BTBR/NOR second cohort/WT/training/c58_m5.mp4</t>
        </is>
      </c>
      <c r="F1820" t="n">
        <v>-13.567</v>
      </c>
      <c r="G1820" t="n">
        <v>508.066</v>
      </c>
      <c r="H1820" t="n">
        <v>625.7329999999999</v>
      </c>
      <c r="I1820" t="n">
        <v>30</v>
      </c>
      <c r="J1820" t="inlineStr">
        <is>
          <t xml:space="preserve"> WT</t>
        </is>
      </c>
      <c r="K1820" t="inlineStr">
        <is>
          <t>Male</t>
        </is>
      </c>
      <c r="L1820" t="inlineStr">
        <is>
          <t>No focal subject</t>
        </is>
      </c>
      <c r="M1820" t="n">
        <v>19.2</v>
      </c>
      <c r="N1820" t="inlineStr">
        <is>
          <t>Explore_F</t>
        </is>
      </c>
      <c r="O1820" t="inlineStr">
        <is>
          <t>Familiar</t>
        </is>
      </c>
      <c r="P1820" t="inlineStr">
        <is>
          <t>STATE</t>
        </is>
      </c>
      <c r="Q1820" t="n">
        <v>209.899</v>
      </c>
      <c r="R1820" t="n">
        <v>210.333</v>
      </c>
      <c r="S1820" t="n">
        <v>0.434</v>
      </c>
      <c r="T1820" t="inlineStr">
        <is>
          <t>C:/Users/manuel.felline/Documents/BEHAVIOR BTBR/NOR second cohort/WT/training/c58_m5.mp4</t>
        </is>
      </c>
      <c r="U1820" t="n">
        <v>6701</v>
      </c>
      <c r="V1820" t="n">
        <v>6714</v>
      </c>
      <c r="W1820" t="n">
        <v/>
      </c>
      <c r="X1820" t="n">
        <v/>
      </c>
      <c r="Y1820" t="n">
        <v/>
      </c>
      <c r="Z1820" t="n">
        <v/>
      </c>
      <c r="AA1820">
        <f>SUMIFS($S$2:S1820,$A$2:A1820,A1820,$N$2:N1820,"Explore*")</f>
        <v/>
      </c>
      <c r="AB1820">
        <f>IF(AND(LEFT(N1820,7)="Explore",(AA1820-IF(LEFT(N1820,7)="Explore",S1820,0))&lt;10),"SI","NO")</f>
        <v/>
      </c>
    </row>
    <row r="1821">
      <c r="A1821" t="inlineStr">
        <is>
          <t>c58m5_training</t>
        </is>
      </c>
      <c r="B1821" t="inlineStr">
        <is>
          <t>2026-07-02 15:14:55.199</t>
        </is>
      </c>
      <c r="C1821" t="n">
        <v/>
      </c>
      <c r="D1821" t="inlineStr">
        <is>
          <t>Media file</t>
        </is>
      </c>
      <c r="E1821" t="inlineStr">
        <is>
          <t>player #1:C:/Users/manuel.felline/Documents/BEHAVIOR BTBR/NOR second cohort/WT/training/c58_m5.mp4</t>
        </is>
      </c>
      <c r="F1821" t="n">
        <v>-13.567</v>
      </c>
      <c r="G1821" t="n">
        <v>508.066</v>
      </c>
      <c r="H1821" t="n">
        <v>625.7329999999999</v>
      </c>
      <c r="I1821" t="n">
        <v>30</v>
      </c>
      <c r="J1821" t="inlineStr">
        <is>
          <t xml:space="preserve"> WT</t>
        </is>
      </c>
      <c r="K1821" t="inlineStr">
        <is>
          <t>Male</t>
        </is>
      </c>
      <c r="L1821" t="inlineStr">
        <is>
          <t>No focal subject</t>
        </is>
      </c>
      <c r="M1821" t="n">
        <v>19.2</v>
      </c>
      <c r="N1821" t="inlineStr">
        <is>
          <t>Explore_F</t>
        </is>
      </c>
      <c r="O1821" t="inlineStr">
        <is>
          <t>Familiar</t>
        </is>
      </c>
      <c r="P1821" t="inlineStr">
        <is>
          <t>STATE</t>
        </is>
      </c>
      <c r="Q1821" t="n">
        <v>232.066</v>
      </c>
      <c r="R1821" t="n">
        <v>232.499</v>
      </c>
      <c r="S1821" t="n">
        <v>0.433</v>
      </c>
      <c r="T1821" t="inlineStr">
        <is>
          <t>C:/Users/manuel.felline/Documents/BEHAVIOR BTBR/NOR second cohort/WT/training/c58_m5.mp4</t>
        </is>
      </c>
      <c r="U1821" t="n">
        <v>7366</v>
      </c>
      <c r="V1821" t="n">
        <v>7379</v>
      </c>
      <c r="W1821" t="n">
        <v/>
      </c>
      <c r="X1821" t="n">
        <v/>
      </c>
      <c r="Y1821" t="n">
        <v/>
      </c>
      <c r="Z1821" t="n">
        <v/>
      </c>
      <c r="AA1821">
        <f>SUMIFS($S$2:S1821,$A$2:A1821,A1821,$N$2:N1821,"Explore*")</f>
        <v/>
      </c>
      <c r="AB1821">
        <f>IF(AND(LEFT(N1821,7)="Explore",(AA1821-IF(LEFT(N1821,7)="Explore",S1821,0))&lt;10),"SI","NO")</f>
        <v/>
      </c>
    </row>
    <row r="1822">
      <c r="A1822" t="inlineStr">
        <is>
          <t>c58m5_training</t>
        </is>
      </c>
      <c r="B1822" t="inlineStr">
        <is>
          <t>2026-07-02 15:14:55.199</t>
        </is>
      </c>
      <c r="C1822" t="n">
        <v/>
      </c>
      <c r="D1822" t="inlineStr">
        <is>
          <t>Media file</t>
        </is>
      </c>
      <c r="E1822" t="inlineStr">
        <is>
          <t>player #1:C:/Users/manuel.felline/Documents/BEHAVIOR BTBR/NOR second cohort/WT/training/c58_m5.mp4</t>
        </is>
      </c>
      <c r="F1822" t="n">
        <v>-13.567</v>
      </c>
      <c r="G1822" t="n">
        <v>508.066</v>
      </c>
      <c r="H1822" t="n">
        <v>625.7329999999999</v>
      </c>
      <c r="I1822" t="n">
        <v>30</v>
      </c>
      <c r="J1822" t="inlineStr">
        <is>
          <t xml:space="preserve"> WT</t>
        </is>
      </c>
      <c r="K1822" t="inlineStr">
        <is>
          <t>Male</t>
        </is>
      </c>
      <c r="L1822" t="inlineStr">
        <is>
          <t>No focal subject</t>
        </is>
      </c>
      <c r="M1822" t="n">
        <v>19.2</v>
      </c>
      <c r="N1822" t="inlineStr">
        <is>
          <t>Explore_F2</t>
        </is>
      </c>
      <c r="O1822" t="inlineStr">
        <is>
          <t>Second familiar</t>
        </is>
      </c>
      <c r="P1822" t="inlineStr">
        <is>
          <t>STATE</t>
        </is>
      </c>
      <c r="Q1822" t="n">
        <v>240.499</v>
      </c>
      <c r="R1822" t="n">
        <v>241.499</v>
      </c>
      <c r="S1822" t="n">
        <v>1</v>
      </c>
      <c r="T1822" t="inlineStr">
        <is>
          <t>C:/Users/manuel.felline/Documents/BEHAVIOR BTBR/NOR second cohort/WT/training/c58_m5.mp4</t>
        </is>
      </c>
      <c r="U1822" t="n">
        <v>7619</v>
      </c>
      <c r="V1822" t="n">
        <v>7649</v>
      </c>
      <c r="W1822" t="n">
        <v/>
      </c>
      <c r="X1822" t="n">
        <v/>
      </c>
      <c r="Y1822" t="n">
        <v/>
      </c>
      <c r="Z1822" t="n">
        <v/>
      </c>
      <c r="AA1822">
        <f>SUMIFS($S$2:S1822,$A$2:A1822,A1822,$N$2:N1822,"Explore*")</f>
        <v/>
      </c>
      <c r="AB1822">
        <f>IF(AND(LEFT(N1822,7)="Explore",(AA1822-IF(LEFT(N1822,7)="Explore",S1822,0))&lt;10),"SI","NO")</f>
        <v/>
      </c>
    </row>
    <row r="1823">
      <c r="A1823" t="inlineStr">
        <is>
          <t>c58m5_training</t>
        </is>
      </c>
      <c r="B1823" t="inlineStr">
        <is>
          <t>2026-07-02 15:14:55.199</t>
        </is>
      </c>
      <c r="C1823" t="n">
        <v/>
      </c>
      <c r="D1823" t="inlineStr">
        <is>
          <t>Media file</t>
        </is>
      </c>
      <c r="E1823" t="inlineStr">
        <is>
          <t>player #1:C:/Users/manuel.felline/Documents/BEHAVIOR BTBR/NOR second cohort/WT/training/c58_m5.mp4</t>
        </is>
      </c>
      <c r="F1823" t="n">
        <v>-13.567</v>
      </c>
      <c r="G1823" t="n">
        <v>508.066</v>
      </c>
      <c r="H1823" t="n">
        <v>625.7329999999999</v>
      </c>
      <c r="I1823" t="n">
        <v>30</v>
      </c>
      <c r="J1823" t="inlineStr">
        <is>
          <t xml:space="preserve"> WT</t>
        </is>
      </c>
      <c r="K1823" t="inlineStr">
        <is>
          <t>Male</t>
        </is>
      </c>
      <c r="L1823" t="inlineStr">
        <is>
          <t>No focal subject</t>
        </is>
      </c>
      <c r="M1823" t="n">
        <v>19.2</v>
      </c>
      <c r="N1823" t="inlineStr">
        <is>
          <t>Explore_F2</t>
        </is>
      </c>
      <c r="O1823" t="inlineStr">
        <is>
          <t>Second familiar</t>
        </is>
      </c>
      <c r="P1823" t="inlineStr">
        <is>
          <t>STATE</t>
        </is>
      </c>
      <c r="Q1823" t="n">
        <v>245.266</v>
      </c>
      <c r="R1823" t="n">
        <v>245.533</v>
      </c>
      <c r="S1823" t="n">
        <v>0.267</v>
      </c>
      <c r="T1823" t="inlineStr">
        <is>
          <t>C:/Users/manuel.felline/Documents/BEHAVIOR BTBR/NOR second cohort/WT/training/c58_m5.mp4</t>
        </is>
      </c>
      <c r="U1823" t="n">
        <v>7762</v>
      </c>
      <c r="V1823" t="n">
        <v>7770</v>
      </c>
      <c r="W1823" t="n">
        <v/>
      </c>
      <c r="X1823" t="n">
        <v/>
      </c>
      <c r="Y1823" t="n">
        <v/>
      </c>
      <c r="Z1823" t="n">
        <v/>
      </c>
      <c r="AA1823">
        <f>SUMIFS($S$2:S1823,$A$2:A1823,A1823,$N$2:N1823,"Explore*")</f>
        <v/>
      </c>
      <c r="AB1823">
        <f>IF(AND(LEFT(N1823,7)="Explore",(AA1823-IF(LEFT(N1823,7)="Explore",S1823,0))&lt;10),"SI","NO")</f>
        <v/>
      </c>
    </row>
    <row r="1824">
      <c r="A1824" t="inlineStr">
        <is>
          <t>c58m5_training</t>
        </is>
      </c>
      <c r="B1824" t="inlineStr">
        <is>
          <t>2026-07-02 15:14:55.199</t>
        </is>
      </c>
      <c r="C1824" t="n">
        <v/>
      </c>
      <c r="D1824" t="inlineStr">
        <is>
          <t>Media file</t>
        </is>
      </c>
      <c r="E1824" t="inlineStr">
        <is>
          <t>player #1:C:/Users/manuel.felline/Documents/BEHAVIOR BTBR/NOR second cohort/WT/training/c58_m5.mp4</t>
        </is>
      </c>
      <c r="F1824" t="n">
        <v>-13.567</v>
      </c>
      <c r="G1824" t="n">
        <v>508.066</v>
      </c>
      <c r="H1824" t="n">
        <v>625.7329999999999</v>
      </c>
      <c r="I1824" t="n">
        <v>30</v>
      </c>
      <c r="J1824" t="inlineStr">
        <is>
          <t xml:space="preserve"> WT</t>
        </is>
      </c>
      <c r="K1824" t="inlineStr">
        <is>
          <t>Male</t>
        </is>
      </c>
      <c r="L1824" t="inlineStr">
        <is>
          <t>No focal subject</t>
        </is>
      </c>
      <c r="M1824" t="n">
        <v>19.2</v>
      </c>
      <c r="N1824" t="inlineStr">
        <is>
          <t>Explore_F2</t>
        </is>
      </c>
      <c r="O1824" t="inlineStr">
        <is>
          <t>Second familiar</t>
        </is>
      </c>
      <c r="P1824" t="inlineStr">
        <is>
          <t>STATE</t>
        </is>
      </c>
      <c r="Q1824" t="n">
        <v>297.066</v>
      </c>
      <c r="R1824" t="n">
        <v>298.633</v>
      </c>
      <c r="S1824" t="n">
        <v>1.567</v>
      </c>
      <c r="T1824" t="inlineStr">
        <is>
          <t>C:/Users/manuel.felline/Documents/BEHAVIOR BTBR/NOR second cohort/WT/training/c58_m5.mp4</t>
        </is>
      </c>
      <c r="U1824" t="n">
        <v>9315</v>
      </c>
      <c r="V1824" t="n">
        <v>9362</v>
      </c>
      <c r="W1824" t="n">
        <v/>
      </c>
      <c r="X1824" t="n">
        <v/>
      </c>
      <c r="Y1824" t="n">
        <v/>
      </c>
      <c r="Z1824" t="n">
        <v/>
      </c>
      <c r="AA1824">
        <f>SUMIFS($S$2:S1824,$A$2:A1824,A1824,$N$2:N1824,"Explore*")</f>
        <v/>
      </c>
      <c r="AB1824">
        <f>IF(AND(LEFT(N1824,7)="Explore",(AA1824-IF(LEFT(N1824,7)="Explore",S1824,0))&lt;10),"SI","NO")</f>
        <v/>
      </c>
    </row>
    <row r="1825">
      <c r="A1825" t="inlineStr">
        <is>
          <t>c58m5_training</t>
        </is>
      </c>
      <c r="B1825" t="inlineStr">
        <is>
          <t>2026-07-02 15:14:55.199</t>
        </is>
      </c>
      <c r="C1825" t="n">
        <v/>
      </c>
      <c r="D1825" t="inlineStr">
        <is>
          <t>Media file</t>
        </is>
      </c>
      <c r="E1825" t="inlineStr">
        <is>
          <t>player #1:C:/Users/manuel.felline/Documents/BEHAVIOR BTBR/NOR second cohort/WT/training/c58_m5.mp4</t>
        </is>
      </c>
      <c r="F1825" t="n">
        <v>-13.567</v>
      </c>
      <c r="G1825" t="n">
        <v>508.066</v>
      </c>
      <c r="H1825" t="n">
        <v>625.7329999999999</v>
      </c>
      <c r="I1825" t="n">
        <v>30</v>
      </c>
      <c r="J1825" t="inlineStr">
        <is>
          <t xml:space="preserve"> WT</t>
        </is>
      </c>
      <c r="K1825" t="inlineStr">
        <is>
          <t>Male</t>
        </is>
      </c>
      <c r="L1825" t="inlineStr">
        <is>
          <t>No focal subject</t>
        </is>
      </c>
      <c r="M1825" t="n">
        <v>19.2</v>
      </c>
      <c r="N1825" t="inlineStr">
        <is>
          <t>Explore_F2</t>
        </is>
      </c>
      <c r="O1825" t="inlineStr">
        <is>
          <t>Second familiar</t>
        </is>
      </c>
      <c r="P1825" t="inlineStr">
        <is>
          <t>STATE</t>
        </is>
      </c>
      <c r="Q1825" t="n">
        <v>301.899</v>
      </c>
      <c r="R1825" t="n">
        <v>302.166</v>
      </c>
      <c r="S1825" t="n">
        <v>0.267</v>
      </c>
      <c r="T1825" t="inlineStr">
        <is>
          <t>C:/Users/manuel.felline/Documents/BEHAVIOR BTBR/NOR second cohort/WT/training/c58_m5.mp4</t>
        </is>
      </c>
      <c r="U1825" t="n">
        <v>9460</v>
      </c>
      <c r="V1825" t="n">
        <v>9468</v>
      </c>
      <c r="W1825" t="n">
        <v/>
      </c>
      <c r="X1825" t="n">
        <v/>
      </c>
      <c r="Y1825" t="n">
        <v/>
      </c>
      <c r="Z1825" t="n">
        <v/>
      </c>
      <c r="AA1825">
        <f>SUMIFS($S$2:S1825,$A$2:A1825,A1825,$N$2:N1825,"Explore*")</f>
        <v/>
      </c>
      <c r="AB1825">
        <f>IF(AND(LEFT(N1825,7)="Explore",(AA1825-IF(LEFT(N1825,7)="Explore",S1825,0))&lt;10),"SI","NO")</f>
        <v/>
      </c>
    </row>
    <row r="1826">
      <c r="A1826" t="inlineStr">
        <is>
          <t>c58m5_training</t>
        </is>
      </c>
      <c r="B1826" t="inlineStr">
        <is>
          <t>2026-07-02 15:14:55.199</t>
        </is>
      </c>
      <c r="C1826" t="n">
        <v/>
      </c>
      <c r="D1826" t="inlineStr">
        <is>
          <t>Media file</t>
        </is>
      </c>
      <c r="E1826" t="inlineStr">
        <is>
          <t>player #1:C:/Users/manuel.felline/Documents/BEHAVIOR BTBR/NOR second cohort/WT/training/c58_m5.mp4</t>
        </is>
      </c>
      <c r="F1826" t="n">
        <v>-13.567</v>
      </c>
      <c r="G1826" t="n">
        <v>508.066</v>
      </c>
      <c r="H1826" t="n">
        <v>625.7329999999999</v>
      </c>
      <c r="I1826" t="n">
        <v>30</v>
      </c>
      <c r="J1826" t="inlineStr">
        <is>
          <t xml:space="preserve"> WT</t>
        </is>
      </c>
      <c r="K1826" t="inlineStr">
        <is>
          <t>Male</t>
        </is>
      </c>
      <c r="L1826" t="inlineStr">
        <is>
          <t>No focal subject</t>
        </is>
      </c>
      <c r="M1826" t="n">
        <v>19.2</v>
      </c>
      <c r="N1826" t="inlineStr">
        <is>
          <t>Explore_F</t>
        </is>
      </c>
      <c r="O1826" t="inlineStr">
        <is>
          <t>Familiar</t>
        </is>
      </c>
      <c r="P1826" t="inlineStr">
        <is>
          <t>STATE</t>
        </is>
      </c>
      <c r="Q1826" t="n">
        <v>309.466</v>
      </c>
      <c r="R1826" t="n">
        <v>311.133</v>
      </c>
      <c r="S1826" t="n">
        <v>1.667</v>
      </c>
      <c r="T1826" t="inlineStr">
        <is>
          <t>C:/Users/manuel.felline/Documents/BEHAVIOR BTBR/NOR second cohort/WT/training/c58_m5.mp4</t>
        </is>
      </c>
      <c r="U1826" t="n">
        <v>9687</v>
      </c>
      <c r="V1826" t="n">
        <v>9737</v>
      </c>
      <c r="W1826" t="n">
        <v/>
      </c>
      <c r="X1826" t="n">
        <v/>
      </c>
      <c r="Y1826" t="n">
        <v/>
      </c>
      <c r="Z1826" t="n">
        <v/>
      </c>
      <c r="AA1826">
        <f>SUMIFS($S$2:S1826,$A$2:A1826,A1826,$N$2:N1826,"Explore*")</f>
        <v/>
      </c>
      <c r="AB1826">
        <f>IF(AND(LEFT(N1826,7)="Explore",(AA1826-IF(LEFT(N1826,7)="Explore",S1826,0))&lt;10),"SI","NO")</f>
        <v/>
      </c>
    </row>
    <row r="1827">
      <c r="A1827" t="inlineStr">
        <is>
          <t>c58m5_training</t>
        </is>
      </c>
      <c r="B1827" t="inlineStr">
        <is>
          <t>2026-07-02 15:14:55.199</t>
        </is>
      </c>
      <c r="C1827" t="n">
        <v/>
      </c>
      <c r="D1827" t="inlineStr">
        <is>
          <t>Media file</t>
        </is>
      </c>
      <c r="E1827" t="inlineStr">
        <is>
          <t>player #1:C:/Users/manuel.felline/Documents/BEHAVIOR BTBR/NOR second cohort/WT/training/c58_m5.mp4</t>
        </is>
      </c>
      <c r="F1827" t="n">
        <v>-13.567</v>
      </c>
      <c r="G1827" t="n">
        <v>508.066</v>
      </c>
      <c r="H1827" t="n">
        <v>625.7329999999999</v>
      </c>
      <c r="I1827" t="n">
        <v>30</v>
      </c>
      <c r="J1827" t="inlineStr">
        <is>
          <t xml:space="preserve"> WT</t>
        </is>
      </c>
      <c r="K1827" t="inlineStr">
        <is>
          <t>Male</t>
        </is>
      </c>
      <c r="L1827" t="inlineStr">
        <is>
          <t>No focal subject</t>
        </is>
      </c>
      <c r="M1827" t="n">
        <v>19.2</v>
      </c>
      <c r="N1827" t="inlineStr">
        <is>
          <t>Explore_F</t>
        </is>
      </c>
      <c r="O1827" t="inlineStr">
        <is>
          <t>Familiar</t>
        </is>
      </c>
      <c r="P1827" t="inlineStr">
        <is>
          <t>STATE</t>
        </is>
      </c>
      <c r="Q1827" t="n">
        <v>321.233</v>
      </c>
      <c r="R1827" t="n">
        <v>321.799</v>
      </c>
      <c r="S1827" t="n">
        <v>0.5659999999999999</v>
      </c>
      <c r="T1827" t="inlineStr">
        <is>
          <t>C:/Users/manuel.felline/Documents/BEHAVIOR BTBR/NOR second cohort/WT/training/c58_m5.mp4</t>
        </is>
      </c>
      <c r="U1827" t="n">
        <v>10040</v>
      </c>
      <c r="V1827" t="n">
        <v>10057</v>
      </c>
      <c r="W1827" t="n">
        <v/>
      </c>
      <c r="X1827" t="n">
        <v/>
      </c>
      <c r="Y1827" t="n">
        <v/>
      </c>
      <c r="Z1827" t="n">
        <v/>
      </c>
      <c r="AA1827">
        <f>SUMIFS($S$2:S1827,$A$2:A1827,A1827,$N$2:N1827,"Explore*")</f>
        <v/>
      </c>
      <c r="AB1827">
        <f>IF(AND(LEFT(N1827,7)="Explore",(AA1827-IF(LEFT(N1827,7)="Explore",S1827,0))&lt;10),"SI","NO")</f>
        <v/>
      </c>
    </row>
    <row r="1828">
      <c r="A1828" t="inlineStr">
        <is>
          <t>c58m5_training</t>
        </is>
      </c>
      <c r="B1828" t="inlineStr">
        <is>
          <t>2026-07-02 15:14:55.199</t>
        </is>
      </c>
      <c r="C1828" t="n">
        <v/>
      </c>
      <c r="D1828" t="inlineStr">
        <is>
          <t>Media file</t>
        </is>
      </c>
      <c r="E1828" t="inlineStr">
        <is>
          <t>player #1:C:/Users/manuel.felline/Documents/BEHAVIOR BTBR/NOR second cohort/WT/training/c58_m5.mp4</t>
        </is>
      </c>
      <c r="F1828" t="n">
        <v>-13.567</v>
      </c>
      <c r="G1828" t="n">
        <v>508.066</v>
      </c>
      <c r="H1828" t="n">
        <v>625.7329999999999</v>
      </c>
      <c r="I1828" t="n">
        <v>30</v>
      </c>
      <c r="J1828" t="inlineStr">
        <is>
          <t xml:space="preserve"> WT</t>
        </is>
      </c>
      <c r="K1828" t="inlineStr">
        <is>
          <t>Male</t>
        </is>
      </c>
      <c r="L1828" t="inlineStr">
        <is>
          <t>No focal subject</t>
        </is>
      </c>
      <c r="M1828" t="n">
        <v>19.2</v>
      </c>
      <c r="N1828" t="inlineStr">
        <is>
          <t>Explore_F2</t>
        </is>
      </c>
      <c r="O1828" t="inlineStr">
        <is>
          <t>Second familiar</t>
        </is>
      </c>
      <c r="P1828" t="inlineStr">
        <is>
          <t>STATE</t>
        </is>
      </c>
      <c r="Q1828" t="n">
        <v>332.299</v>
      </c>
      <c r="R1828" t="n">
        <v>333.066</v>
      </c>
      <c r="S1828" t="n">
        <v>0.767</v>
      </c>
      <c r="T1828" t="inlineStr">
        <is>
          <t>C:/Users/manuel.felline/Documents/BEHAVIOR BTBR/NOR second cohort/WT/training/c58_m5.mp4</t>
        </is>
      </c>
      <c r="U1828" t="n">
        <v>10372</v>
      </c>
      <c r="V1828" t="n">
        <v>10395</v>
      </c>
      <c r="W1828" t="n">
        <v/>
      </c>
      <c r="X1828" t="n">
        <v/>
      </c>
      <c r="Y1828" t="n">
        <v/>
      </c>
      <c r="Z1828" t="n">
        <v/>
      </c>
      <c r="AA1828">
        <f>SUMIFS($S$2:S1828,$A$2:A1828,A1828,$N$2:N1828,"Explore*")</f>
        <v/>
      </c>
      <c r="AB1828">
        <f>IF(AND(LEFT(N1828,7)="Explore",(AA1828-IF(LEFT(N1828,7)="Explore",S1828,0))&lt;10),"SI","NO")</f>
        <v/>
      </c>
    </row>
    <row r="1829">
      <c r="A1829" t="inlineStr">
        <is>
          <t>c58m5_training</t>
        </is>
      </c>
      <c r="B1829" t="inlineStr">
        <is>
          <t>2026-07-02 15:14:55.199</t>
        </is>
      </c>
      <c r="C1829" t="n">
        <v/>
      </c>
      <c r="D1829" t="inlineStr">
        <is>
          <t>Media file</t>
        </is>
      </c>
      <c r="E1829" t="inlineStr">
        <is>
          <t>player #1:C:/Users/manuel.felline/Documents/BEHAVIOR BTBR/NOR second cohort/WT/training/c58_m5.mp4</t>
        </is>
      </c>
      <c r="F1829" t="n">
        <v>-13.567</v>
      </c>
      <c r="G1829" t="n">
        <v>508.066</v>
      </c>
      <c r="H1829" t="n">
        <v>625.7329999999999</v>
      </c>
      <c r="I1829" t="n">
        <v>30</v>
      </c>
      <c r="J1829" t="inlineStr">
        <is>
          <t xml:space="preserve"> WT</t>
        </is>
      </c>
      <c r="K1829" t="inlineStr">
        <is>
          <t>Male</t>
        </is>
      </c>
      <c r="L1829" t="inlineStr">
        <is>
          <t>No focal subject</t>
        </is>
      </c>
      <c r="M1829" t="n">
        <v>19.2</v>
      </c>
      <c r="N1829" t="inlineStr">
        <is>
          <t>Explore_F2</t>
        </is>
      </c>
      <c r="O1829" t="inlineStr">
        <is>
          <t>Second familiar</t>
        </is>
      </c>
      <c r="P1829" t="inlineStr">
        <is>
          <t>STATE</t>
        </is>
      </c>
      <c r="Q1829" t="n">
        <v>338.533</v>
      </c>
      <c r="R1829" t="n">
        <v>339.133</v>
      </c>
      <c r="S1829" t="n">
        <v>0.6</v>
      </c>
      <c r="T1829" t="inlineStr">
        <is>
          <t>C:/Users/manuel.felline/Documents/BEHAVIOR BTBR/NOR second cohort/WT/training/c58_m5.mp4</t>
        </is>
      </c>
      <c r="U1829" t="n">
        <v>10559</v>
      </c>
      <c r="V1829" t="n">
        <v>10577</v>
      </c>
      <c r="W1829" t="n">
        <v/>
      </c>
      <c r="X1829" t="n">
        <v/>
      </c>
      <c r="Y1829" t="n">
        <v/>
      </c>
      <c r="Z1829" t="n">
        <v/>
      </c>
      <c r="AA1829">
        <f>SUMIFS($S$2:S1829,$A$2:A1829,A1829,$N$2:N1829,"Explore*")</f>
        <v/>
      </c>
      <c r="AB1829">
        <f>IF(AND(LEFT(N1829,7)="Explore",(AA1829-IF(LEFT(N1829,7)="Explore",S1829,0))&lt;10),"SI","NO")</f>
        <v/>
      </c>
    </row>
    <row r="1830">
      <c r="A1830" t="inlineStr">
        <is>
          <t>c58m5_training</t>
        </is>
      </c>
      <c r="B1830" t="inlineStr">
        <is>
          <t>2026-07-02 15:14:55.199</t>
        </is>
      </c>
      <c r="C1830" t="n">
        <v/>
      </c>
      <c r="D1830" t="inlineStr">
        <is>
          <t>Media file</t>
        </is>
      </c>
      <c r="E1830" t="inlineStr">
        <is>
          <t>player #1:C:/Users/manuel.felline/Documents/BEHAVIOR BTBR/NOR second cohort/WT/training/c58_m5.mp4</t>
        </is>
      </c>
      <c r="F1830" t="n">
        <v>-13.567</v>
      </c>
      <c r="G1830" t="n">
        <v>508.066</v>
      </c>
      <c r="H1830" t="n">
        <v>625.7329999999999</v>
      </c>
      <c r="I1830" t="n">
        <v>30</v>
      </c>
      <c r="J1830" t="inlineStr">
        <is>
          <t xml:space="preserve"> WT</t>
        </is>
      </c>
      <c r="K1830" t="inlineStr">
        <is>
          <t>Male</t>
        </is>
      </c>
      <c r="L1830" t="inlineStr">
        <is>
          <t>No focal subject</t>
        </is>
      </c>
      <c r="M1830" t="n">
        <v>19.2</v>
      </c>
      <c r="N1830" t="inlineStr">
        <is>
          <t>Explore_F</t>
        </is>
      </c>
      <c r="O1830" t="inlineStr">
        <is>
          <t>Familiar</t>
        </is>
      </c>
      <c r="P1830" t="inlineStr">
        <is>
          <t>STATE</t>
        </is>
      </c>
      <c r="Q1830" t="n">
        <v>348.066</v>
      </c>
      <c r="R1830" t="n">
        <v>348.366</v>
      </c>
      <c r="S1830" t="n">
        <v>0.3</v>
      </c>
      <c r="T1830" t="inlineStr">
        <is>
          <t>C:/Users/manuel.felline/Documents/BEHAVIOR BTBR/NOR second cohort/WT/training/c58_m5.mp4</t>
        </is>
      </c>
      <c r="U1830" t="n">
        <v>10845</v>
      </c>
      <c r="V1830" t="n">
        <v>10854</v>
      </c>
      <c r="W1830" t="n">
        <v/>
      </c>
      <c r="X1830" t="n">
        <v/>
      </c>
      <c r="Y1830" t="n">
        <v/>
      </c>
      <c r="Z1830" t="n">
        <v/>
      </c>
      <c r="AA1830">
        <f>SUMIFS($S$2:S1830,$A$2:A1830,A1830,$N$2:N1830,"Explore*")</f>
        <v/>
      </c>
      <c r="AB1830">
        <f>IF(AND(LEFT(N1830,7)="Explore",(AA1830-IF(LEFT(N1830,7)="Explore",S1830,0))&lt;10),"SI","NO")</f>
        <v/>
      </c>
    </row>
    <row r="1831">
      <c r="A1831" t="inlineStr">
        <is>
          <t>c58m5_training</t>
        </is>
      </c>
      <c r="B1831" t="inlineStr">
        <is>
          <t>2026-07-02 15:14:55.199</t>
        </is>
      </c>
      <c r="C1831" t="n">
        <v/>
      </c>
      <c r="D1831" t="inlineStr">
        <is>
          <t>Media file</t>
        </is>
      </c>
      <c r="E1831" t="inlineStr">
        <is>
          <t>player #1:C:/Users/manuel.felline/Documents/BEHAVIOR BTBR/NOR second cohort/WT/training/c58_m5.mp4</t>
        </is>
      </c>
      <c r="F1831" t="n">
        <v>-13.567</v>
      </c>
      <c r="G1831" t="n">
        <v>508.066</v>
      </c>
      <c r="H1831" t="n">
        <v>625.7329999999999</v>
      </c>
      <c r="I1831" t="n">
        <v>30</v>
      </c>
      <c r="J1831" t="inlineStr">
        <is>
          <t xml:space="preserve"> WT</t>
        </is>
      </c>
      <c r="K1831" t="inlineStr">
        <is>
          <t>Male</t>
        </is>
      </c>
      <c r="L1831" t="inlineStr">
        <is>
          <t>No focal subject</t>
        </is>
      </c>
      <c r="M1831" t="n">
        <v>19.2</v>
      </c>
      <c r="N1831" t="inlineStr">
        <is>
          <t>Explore_F</t>
        </is>
      </c>
      <c r="O1831" t="inlineStr">
        <is>
          <t>Familiar</t>
        </is>
      </c>
      <c r="P1831" t="inlineStr">
        <is>
          <t>STATE</t>
        </is>
      </c>
      <c r="Q1831" t="n">
        <v>357.233</v>
      </c>
      <c r="R1831" t="n">
        <v>357.733</v>
      </c>
      <c r="S1831" t="n">
        <v>0.5</v>
      </c>
      <c r="T1831" t="inlineStr">
        <is>
          <t>C:/Users/manuel.felline/Documents/BEHAVIOR BTBR/NOR second cohort/WT/training/c58_m5.mp4</t>
        </is>
      </c>
      <c r="U1831" t="n">
        <v>11120</v>
      </c>
      <c r="V1831" t="n">
        <v>11135</v>
      </c>
      <c r="W1831" t="n">
        <v/>
      </c>
      <c r="X1831" t="n">
        <v/>
      </c>
      <c r="Y1831" t="n">
        <v/>
      </c>
      <c r="Z1831" t="n">
        <v/>
      </c>
      <c r="AA1831">
        <f>SUMIFS($S$2:S1831,$A$2:A1831,A1831,$N$2:N1831,"Explore*")</f>
        <v/>
      </c>
      <c r="AB1831">
        <f>IF(AND(LEFT(N1831,7)="Explore",(AA1831-IF(LEFT(N1831,7)="Explore",S1831,0))&lt;10),"SI","NO")</f>
        <v/>
      </c>
    </row>
    <row r="1832">
      <c r="A1832" t="inlineStr">
        <is>
          <t>c58m5_training</t>
        </is>
      </c>
      <c r="B1832" t="inlineStr">
        <is>
          <t>2026-07-02 15:14:55.199</t>
        </is>
      </c>
      <c r="C1832" t="n">
        <v/>
      </c>
      <c r="D1832" t="inlineStr">
        <is>
          <t>Media file</t>
        </is>
      </c>
      <c r="E1832" t="inlineStr">
        <is>
          <t>player #1:C:/Users/manuel.felline/Documents/BEHAVIOR BTBR/NOR second cohort/WT/training/c58_m5.mp4</t>
        </is>
      </c>
      <c r="F1832" t="n">
        <v>-13.567</v>
      </c>
      <c r="G1832" t="n">
        <v>508.066</v>
      </c>
      <c r="H1832" t="n">
        <v>625.7329999999999</v>
      </c>
      <c r="I1832" t="n">
        <v>30</v>
      </c>
      <c r="J1832" t="inlineStr">
        <is>
          <t xml:space="preserve"> WT</t>
        </is>
      </c>
      <c r="K1832" t="inlineStr">
        <is>
          <t>Male</t>
        </is>
      </c>
      <c r="L1832" t="inlineStr">
        <is>
          <t>No focal subject</t>
        </is>
      </c>
      <c r="M1832" t="n">
        <v>19.2</v>
      </c>
      <c r="N1832" t="inlineStr">
        <is>
          <t>Explore_F2</t>
        </is>
      </c>
      <c r="O1832" t="inlineStr">
        <is>
          <t>Second familiar</t>
        </is>
      </c>
      <c r="P1832" t="inlineStr">
        <is>
          <t>STATE</t>
        </is>
      </c>
      <c r="Q1832" t="n">
        <v>365.133</v>
      </c>
      <c r="R1832" t="n">
        <v>365.566</v>
      </c>
      <c r="S1832" t="n">
        <v>0.433</v>
      </c>
      <c r="T1832" t="inlineStr">
        <is>
          <t>C:/Users/manuel.felline/Documents/BEHAVIOR BTBR/NOR second cohort/WT/training/c58_m5.mp4</t>
        </is>
      </c>
      <c r="U1832" t="n">
        <v>11357</v>
      </c>
      <c r="V1832" t="n">
        <v>11370</v>
      </c>
      <c r="W1832" t="n">
        <v/>
      </c>
      <c r="X1832" t="n">
        <v/>
      </c>
      <c r="Y1832" t="n">
        <v/>
      </c>
      <c r="Z1832" t="n">
        <v/>
      </c>
      <c r="AA1832">
        <f>SUMIFS($S$2:S1832,$A$2:A1832,A1832,$N$2:N1832,"Explore*")</f>
        <v/>
      </c>
      <c r="AB1832">
        <f>IF(AND(LEFT(N1832,7)="Explore",(AA1832-IF(LEFT(N1832,7)="Explore",S1832,0))&lt;10),"SI","NO")</f>
        <v/>
      </c>
    </row>
    <row r="1833">
      <c r="A1833" t="inlineStr">
        <is>
          <t>c58m5_training</t>
        </is>
      </c>
      <c r="B1833" t="inlineStr">
        <is>
          <t>2026-07-02 15:14:55.199</t>
        </is>
      </c>
      <c r="C1833" t="n">
        <v/>
      </c>
      <c r="D1833" t="inlineStr">
        <is>
          <t>Media file</t>
        </is>
      </c>
      <c r="E1833" t="inlineStr">
        <is>
          <t>player #1:C:/Users/manuel.felline/Documents/BEHAVIOR BTBR/NOR second cohort/WT/training/c58_m5.mp4</t>
        </is>
      </c>
      <c r="F1833" t="n">
        <v>-13.567</v>
      </c>
      <c r="G1833" t="n">
        <v>508.066</v>
      </c>
      <c r="H1833" t="n">
        <v>625.7329999999999</v>
      </c>
      <c r="I1833" t="n">
        <v>30</v>
      </c>
      <c r="J1833" t="inlineStr">
        <is>
          <t xml:space="preserve"> WT</t>
        </is>
      </c>
      <c r="K1833" t="inlineStr">
        <is>
          <t>Male</t>
        </is>
      </c>
      <c r="L1833" t="inlineStr">
        <is>
          <t>No focal subject</t>
        </is>
      </c>
      <c r="M1833" t="n">
        <v>19.2</v>
      </c>
      <c r="N1833" t="inlineStr">
        <is>
          <t>Explore_F</t>
        </is>
      </c>
      <c r="O1833" t="inlineStr">
        <is>
          <t>Familiar</t>
        </is>
      </c>
      <c r="P1833" t="inlineStr">
        <is>
          <t>STATE</t>
        </is>
      </c>
      <c r="Q1833" t="n">
        <v>431.466</v>
      </c>
      <c r="R1833" t="n">
        <v>432.099</v>
      </c>
      <c r="S1833" t="n">
        <v>0.633</v>
      </c>
      <c r="T1833" t="inlineStr">
        <is>
          <t>C:/Users/manuel.felline/Documents/BEHAVIOR BTBR/NOR second cohort/WT/training/c58_m5.mp4</t>
        </is>
      </c>
      <c r="U1833" t="n">
        <v>13346</v>
      </c>
      <c r="V1833" t="n">
        <v>13365</v>
      </c>
      <c r="W1833" t="n">
        <v/>
      </c>
      <c r="X1833" t="n">
        <v/>
      </c>
      <c r="Y1833" t="n">
        <v/>
      </c>
      <c r="Z1833" t="n">
        <v/>
      </c>
      <c r="AA1833">
        <f>SUMIFS($S$2:S1833,$A$2:A1833,A1833,$N$2:N1833,"Explore*")</f>
        <v/>
      </c>
      <c r="AB1833">
        <f>IF(AND(LEFT(N1833,7)="Explore",(AA1833-IF(LEFT(N1833,7)="Explore",S1833,0))&lt;10),"SI","NO")</f>
        <v/>
      </c>
    </row>
    <row r="1834">
      <c r="A1834" t="inlineStr">
        <is>
          <t>c58m5_training</t>
        </is>
      </c>
      <c r="B1834" t="inlineStr">
        <is>
          <t>2026-07-02 15:14:55.199</t>
        </is>
      </c>
      <c r="C1834" t="n">
        <v/>
      </c>
      <c r="D1834" t="inlineStr">
        <is>
          <t>Media file</t>
        </is>
      </c>
      <c r="E1834" t="inlineStr">
        <is>
          <t>player #1:C:/Users/manuel.felline/Documents/BEHAVIOR BTBR/NOR second cohort/WT/training/c58_m5.mp4</t>
        </is>
      </c>
      <c r="F1834" t="n">
        <v>-13.567</v>
      </c>
      <c r="G1834" t="n">
        <v>508.066</v>
      </c>
      <c r="H1834" t="n">
        <v>625.7329999999999</v>
      </c>
      <c r="I1834" t="n">
        <v>30</v>
      </c>
      <c r="J1834" t="inlineStr">
        <is>
          <t xml:space="preserve"> WT</t>
        </is>
      </c>
      <c r="K1834" t="inlineStr">
        <is>
          <t>Male</t>
        </is>
      </c>
      <c r="L1834" t="inlineStr">
        <is>
          <t>No focal subject</t>
        </is>
      </c>
      <c r="M1834" t="n">
        <v>19.2</v>
      </c>
      <c r="N1834" t="inlineStr">
        <is>
          <t>Explore_F2</t>
        </is>
      </c>
      <c r="O1834" t="inlineStr">
        <is>
          <t>Second familiar</t>
        </is>
      </c>
      <c r="P1834" t="inlineStr">
        <is>
          <t>STATE</t>
        </is>
      </c>
      <c r="Q1834" t="n">
        <v>443.599</v>
      </c>
      <c r="R1834" t="n">
        <v>445.233</v>
      </c>
      <c r="S1834" t="n">
        <v>1.634</v>
      </c>
      <c r="T1834" t="inlineStr">
        <is>
          <t>C:/Users/manuel.felline/Documents/BEHAVIOR BTBR/NOR second cohort/WT/training/c58_m5.mp4</t>
        </is>
      </c>
      <c r="U1834" t="n">
        <v>13710</v>
      </c>
      <c r="V1834" t="n">
        <v>13759</v>
      </c>
      <c r="W1834" t="n">
        <v/>
      </c>
      <c r="X1834" t="n">
        <v/>
      </c>
      <c r="Y1834" t="n">
        <v/>
      </c>
      <c r="Z1834" t="n">
        <v/>
      </c>
      <c r="AA1834">
        <f>SUMIFS($S$2:S1834,$A$2:A1834,A1834,$N$2:N1834,"Explore*")</f>
        <v/>
      </c>
      <c r="AB1834">
        <f>IF(AND(LEFT(N1834,7)="Explore",(AA1834-IF(LEFT(N1834,7)="Explore",S1834,0))&lt;10),"SI","NO")</f>
        <v/>
      </c>
    </row>
    <row r="1835">
      <c r="A1835" t="inlineStr">
        <is>
          <t>c58m5_training</t>
        </is>
      </c>
      <c r="B1835" t="inlineStr">
        <is>
          <t>2026-07-02 15:14:55.199</t>
        </is>
      </c>
      <c r="C1835" t="n">
        <v/>
      </c>
      <c r="D1835" t="inlineStr">
        <is>
          <t>Media file</t>
        </is>
      </c>
      <c r="E1835" t="inlineStr">
        <is>
          <t>player #1:C:/Users/manuel.felline/Documents/BEHAVIOR BTBR/NOR second cohort/WT/training/c58_m5.mp4</t>
        </is>
      </c>
      <c r="F1835" t="n">
        <v>-13.567</v>
      </c>
      <c r="G1835" t="n">
        <v>508.066</v>
      </c>
      <c r="H1835" t="n">
        <v>625.7329999999999</v>
      </c>
      <c r="I1835" t="n">
        <v>30</v>
      </c>
      <c r="J1835" t="inlineStr">
        <is>
          <t xml:space="preserve"> WT</t>
        </is>
      </c>
      <c r="K1835" t="inlineStr">
        <is>
          <t>Male</t>
        </is>
      </c>
      <c r="L1835" t="inlineStr">
        <is>
          <t>No focal subject</t>
        </is>
      </c>
      <c r="M1835" t="n">
        <v>19.2</v>
      </c>
      <c r="N1835" t="inlineStr">
        <is>
          <t>Explore_F</t>
        </is>
      </c>
      <c r="O1835" t="inlineStr">
        <is>
          <t>Familiar</t>
        </is>
      </c>
      <c r="P1835" t="inlineStr">
        <is>
          <t>STATE</t>
        </is>
      </c>
      <c r="Q1835" t="n">
        <v>498.066</v>
      </c>
      <c r="R1835" t="n">
        <v>498.332</v>
      </c>
      <c r="S1835" t="n">
        <v>0.266</v>
      </c>
      <c r="T1835" t="inlineStr">
        <is>
          <t>C:/Users/manuel.felline/Documents/BEHAVIOR BTBR/NOR second cohort/WT/training/c58_m5.mp4</t>
        </is>
      </c>
      <c r="U1835" t="n">
        <v>15343</v>
      </c>
      <c r="V1835" t="n">
        <v>15351</v>
      </c>
      <c r="W1835" t="n">
        <v/>
      </c>
      <c r="X1835" t="n">
        <v/>
      </c>
      <c r="Y1835" t="n">
        <v/>
      </c>
      <c r="Z1835" t="n">
        <v/>
      </c>
      <c r="AA1835">
        <f>SUMIFS($S$2:S1835,$A$2:A1835,A1835,$N$2:N1835,"Explore*")</f>
        <v/>
      </c>
      <c r="AB1835">
        <f>IF(AND(LEFT(N1835,7)="Explore",(AA1835-IF(LEFT(N1835,7)="Explore",S1835,0))&lt;10),"SI","NO")</f>
        <v/>
      </c>
    </row>
    <row r="1836">
      <c r="A1836" t="inlineStr">
        <is>
          <t>c58m5_training</t>
        </is>
      </c>
      <c r="B1836" t="inlineStr">
        <is>
          <t>2026-07-02 15:14:55.199</t>
        </is>
      </c>
      <c r="C1836" t="n">
        <v/>
      </c>
      <c r="D1836" t="inlineStr">
        <is>
          <t>Media file</t>
        </is>
      </c>
      <c r="E1836" t="inlineStr">
        <is>
          <t>player #1:C:/Users/manuel.felline/Documents/BEHAVIOR BTBR/NOR second cohort/WT/training/c58_m5.mp4</t>
        </is>
      </c>
      <c r="F1836" t="n">
        <v>-13.567</v>
      </c>
      <c r="G1836" t="n">
        <v>508.066</v>
      </c>
      <c r="H1836" t="n">
        <v>625.7329999999999</v>
      </c>
      <c r="I1836" t="n">
        <v>30</v>
      </c>
      <c r="J1836" t="inlineStr">
        <is>
          <t xml:space="preserve"> WT</t>
        </is>
      </c>
      <c r="K1836" t="inlineStr">
        <is>
          <t>Male</t>
        </is>
      </c>
      <c r="L1836" t="inlineStr">
        <is>
          <t>No focal subject</t>
        </is>
      </c>
      <c r="M1836" t="n">
        <v>19.2</v>
      </c>
      <c r="N1836" t="inlineStr">
        <is>
          <t>Explore_F</t>
        </is>
      </c>
      <c r="O1836" t="inlineStr">
        <is>
          <t>Familiar</t>
        </is>
      </c>
      <c r="P1836" t="inlineStr">
        <is>
          <t>STATE</t>
        </is>
      </c>
      <c r="Q1836" t="n">
        <v>521.899</v>
      </c>
      <c r="R1836" t="n">
        <v>522.232</v>
      </c>
      <c r="S1836" t="n">
        <v>0.333</v>
      </c>
      <c r="T1836" t="inlineStr">
        <is>
          <t>C:/Users/manuel.felline/Documents/BEHAVIOR BTBR/NOR second cohort/WT/training/c58_m5.mp4</t>
        </is>
      </c>
      <c r="U1836" t="n">
        <v>16058</v>
      </c>
      <c r="V1836" t="n">
        <v>16068</v>
      </c>
      <c r="W1836" t="n">
        <v/>
      </c>
      <c r="X1836" t="n">
        <v/>
      </c>
      <c r="Y1836" t="n">
        <v/>
      </c>
      <c r="Z1836" t="n">
        <v/>
      </c>
      <c r="AA1836">
        <f>SUMIFS($S$2:S1836,$A$2:A1836,A1836,$N$2:N1836,"Explore*")</f>
        <v/>
      </c>
      <c r="AB1836">
        <f>IF(AND(LEFT(N1836,7)="Explore",(AA1836-IF(LEFT(N1836,7)="Explore",S1836,0))&lt;10),"SI","NO")</f>
        <v/>
      </c>
    </row>
    <row r="1837">
      <c r="A1837" t="inlineStr">
        <is>
          <t>c58m5_training</t>
        </is>
      </c>
      <c r="B1837" t="inlineStr">
        <is>
          <t>2026-07-02 15:14:55.199</t>
        </is>
      </c>
      <c r="C1837" t="n">
        <v/>
      </c>
      <c r="D1837" t="inlineStr">
        <is>
          <t>Media file</t>
        </is>
      </c>
      <c r="E1837" t="inlineStr">
        <is>
          <t>player #1:C:/Users/manuel.felline/Documents/BEHAVIOR BTBR/NOR second cohort/WT/training/c58_m5.mp4</t>
        </is>
      </c>
      <c r="F1837" t="n">
        <v>-13.567</v>
      </c>
      <c r="G1837" t="n">
        <v>508.066</v>
      </c>
      <c r="H1837" t="n">
        <v>625.7329999999999</v>
      </c>
      <c r="I1837" t="n">
        <v>30</v>
      </c>
      <c r="J1837" t="inlineStr">
        <is>
          <t xml:space="preserve"> WT</t>
        </is>
      </c>
      <c r="K1837" t="inlineStr">
        <is>
          <t>Male</t>
        </is>
      </c>
      <c r="L1837" t="inlineStr">
        <is>
          <t>No focal subject</t>
        </is>
      </c>
      <c r="M1837" t="n">
        <v>19.2</v>
      </c>
      <c r="N1837" t="inlineStr">
        <is>
          <t>Explore_F</t>
        </is>
      </c>
      <c r="O1837" t="inlineStr">
        <is>
          <t>Familiar</t>
        </is>
      </c>
      <c r="P1837" t="inlineStr">
        <is>
          <t>STATE</t>
        </is>
      </c>
      <c r="Q1837" t="n">
        <v>526.466</v>
      </c>
      <c r="R1837" t="n">
        <v>526.866</v>
      </c>
      <c r="S1837" t="n">
        <v>0.4</v>
      </c>
      <c r="T1837" t="inlineStr">
        <is>
          <t>C:/Users/manuel.felline/Documents/BEHAVIOR BTBR/NOR second cohort/WT/training/c58_m5.mp4</t>
        </is>
      </c>
      <c r="U1837" t="n">
        <v>16195</v>
      </c>
      <c r="V1837" t="n">
        <v>16207</v>
      </c>
      <c r="W1837" t="n">
        <v/>
      </c>
      <c r="X1837" t="n">
        <v/>
      </c>
      <c r="Y1837" t="n">
        <v/>
      </c>
      <c r="Z1837" t="n">
        <v/>
      </c>
      <c r="AA1837">
        <f>SUMIFS($S$2:S1837,$A$2:A1837,A1837,$N$2:N1837,"Explore*")</f>
        <v/>
      </c>
      <c r="AB1837">
        <f>IF(AND(LEFT(N1837,7)="Explore",(AA1837-IF(LEFT(N1837,7)="Explore",S1837,0))&lt;10),"SI","NO")</f>
        <v/>
      </c>
    </row>
    <row r="1838">
      <c r="A1838" t="inlineStr">
        <is>
          <t>c58m5_training</t>
        </is>
      </c>
      <c r="B1838" t="inlineStr">
        <is>
          <t>2026-07-02 15:14:55.199</t>
        </is>
      </c>
      <c r="C1838" t="n">
        <v/>
      </c>
      <c r="D1838" t="inlineStr">
        <is>
          <t>Media file</t>
        </is>
      </c>
      <c r="E1838" t="inlineStr">
        <is>
          <t>player #1:C:/Users/manuel.felline/Documents/BEHAVIOR BTBR/NOR second cohort/WT/training/c58_m5.mp4</t>
        </is>
      </c>
      <c r="F1838" t="n">
        <v>-13.567</v>
      </c>
      <c r="G1838" t="n">
        <v>508.066</v>
      </c>
      <c r="H1838" t="n">
        <v>625.7329999999999</v>
      </c>
      <c r="I1838" t="n">
        <v>30</v>
      </c>
      <c r="J1838" t="inlineStr">
        <is>
          <t xml:space="preserve"> WT</t>
        </is>
      </c>
      <c r="K1838" t="inlineStr">
        <is>
          <t>Male</t>
        </is>
      </c>
      <c r="L1838" t="inlineStr">
        <is>
          <t>No focal subject</t>
        </is>
      </c>
      <c r="M1838" t="n">
        <v>19.2</v>
      </c>
      <c r="N1838" t="inlineStr">
        <is>
          <t>Explore_F</t>
        </is>
      </c>
      <c r="O1838" t="inlineStr">
        <is>
          <t>Familiar</t>
        </is>
      </c>
      <c r="P1838" t="inlineStr">
        <is>
          <t>STATE</t>
        </is>
      </c>
      <c r="Q1838" t="n">
        <v>552.066</v>
      </c>
      <c r="R1838" t="n">
        <v>552.499</v>
      </c>
      <c r="S1838" t="n">
        <v>0.433</v>
      </c>
      <c r="T1838" t="inlineStr">
        <is>
          <t>C:/Users/manuel.felline/Documents/BEHAVIOR BTBR/NOR second cohort/WT/training/c58_m5.mp4</t>
        </is>
      </c>
      <c r="U1838" t="n">
        <v>16963</v>
      </c>
      <c r="V1838" t="n">
        <v>16976</v>
      </c>
      <c r="W1838" t="n">
        <v/>
      </c>
      <c r="X1838" t="n">
        <v/>
      </c>
      <c r="Y1838" t="n">
        <v/>
      </c>
      <c r="Z1838" t="n">
        <v/>
      </c>
      <c r="AA1838">
        <f>SUMIFS($S$2:S1838,$A$2:A1838,A1838,$N$2:N1838,"Explore*")</f>
        <v/>
      </c>
      <c r="AB1838">
        <f>IF(AND(LEFT(N1838,7)="Explore",(AA1838-IF(LEFT(N1838,7)="Explore",S1838,0))&lt;10),"SI","NO")</f>
        <v/>
      </c>
    </row>
    <row r="1839">
      <c r="A1839" t="inlineStr">
        <is>
          <t>c58m5_training</t>
        </is>
      </c>
      <c r="B1839" t="inlineStr">
        <is>
          <t>2026-07-02 15:14:55.199</t>
        </is>
      </c>
      <c r="C1839" t="n">
        <v/>
      </c>
      <c r="D1839" t="inlineStr">
        <is>
          <t>Media file</t>
        </is>
      </c>
      <c r="E1839" t="inlineStr">
        <is>
          <t>player #1:C:/Users/manuel.felline/Documents/BEHAVIOR BTBR/NOR second cohort/WT/training/c58_m5.mp4</t>
        </is>
      </c>
      <c r="F1839" t="n">
        <v>-13.567</v>
      </c>
      <c r="G1839" t="n">
        <v>508.066</v>
      </c>
      <c r="H1839" t="n">
        <v>625.7329999999999</v>
      </c>
      <c r="I1839" t="n">
        <v>30</v>
      </c>
      <c r="J1839" t="inlineStr">
        <is>
          <t xml:space="preserve"> WT</t>
        </is>
      </c>
      <c r="K1839" t="inlineStr">
        <is>
          <t>Male</t>
        </is>
      </c>
      <c r="L1839" t="inlineStr">
        <is>
          <t>No focal subject</t>
        </is>
      </c>
      <c r="M1839" t="n">
        <v>19.2</v>
      </c>
      <c r="N1839" t="inlineStr">
        <is>
          <t>Explore_F2</t>
        </is>
      </c>
      <c r="O1839" t="inlineStr">
        <is>
          <t>Second familiar</t>
        </is>
      </c>
      <c r="P1839" t="inlineStr">
        <is>
          <t>STATE</t>
        </is>
      </c>
      <c r="Q1839" t="n">
        <v>584.799</v>
      </c>
      <c r="R1839" t="n">
        <v>585.599</v>
      </c>
      <c r="S1839" t="n">
        <v>0.8</v>
      </c>
      <c r="T1839" t="inlineStr">
        <is>
          <t>C:/Users/manuel.felline/Documents/BEHAVIOR BTBR/NOR second cohort/WT/training/c58_m5.mp4</t>
        </is>
      </c>
      <c r="U1839" t="n">
        <v>17944</v>
      </c>
      <c r="V1839" t="n">
        <v>17968</v>
      </c>
      <c r="W1839" t="n">
        <v/>
      </c>
      <c r="X1839" t="n">
        <v/>
      </c>
      <c r="Y1839" t="n">
        <v/>
      </c>
      <c r="Z1839" t="n">
        <v/>
      </c>
      <c r="AA1839">
        <f>SUMIFS($S$2:S1839,$A$2:A1839,A1839,$N$2:N1839,"Explore*")</f>
        <v/>
      </c>
      <c r="AB1839">
        <f>IF(AND(LEFT(N1839,7)="Explore",(AA1839-IF(LEFT(N1839,7)="Explore",S1839,0))&lt;10),"SI","NO")</f>
        <v/>
      </c>
    </row>
    <row r="1840">
      <c r="A1840" t="inlineStr">
        <is>
          <t>c58m5_training</t>
        </is>
      </c>
      <c r="B1840" t="inlineStr">
        <is>
          <t>2026-07-02 15:14:55.199</t>
        </is>
      </c>
      <c r="C1840" t="n">
        <v/>
      </c>
      <c r="D1840" t="inlineStr">
        <is>
          <t>Media file</t>
        </is>
      </c>
      <c r="E1840" t="inlineStr">
        <is>
          <t>player #1:C:/Users/manuel.felline/Documents/BEHAVIOR BTBR/NOR second cohort/WT/training/c58_m5.mp4</t>
        </is>
      </c>
      <c r="F1840" t="n">
        <v>-13.567</v>
      </c>
      <c r="G1840" t="n">
        <v>508.066</v>
      </c>
      <c r="H1840" t="n">
        <v>625.7329999999999</v>
      </c>
      <c r="I1840" t="n">
        <v>30</v>
      </c>
      <c r="J1840" t="inlineStr">
        <is>
          <t xml:space="preserve"> WT</t>
        </is>
      </c>
      <c r="K1840" t="inlineStr">
        <is>
          <t>Male</t>
        </is>
      </c>
      <c r="L1840" t="inlineStr">
        <is>
          <t>No focal subject</t>
        </is>
      </c>
      <c r="M1840" t="n">
        <v>19.2</v>
      </c>
      <c r="N1840" t="inlineStr">
        <is>
          <t>Explore_F2</t>
        </is>
      </c>
      <c r="O1840" t="inlineStr">
        <is>
          <t>Second familiar</t>
        </is>
      </c>
      <c r="P1840" t="inlineStr">
        <is>
          <t>STATE</t>
        </is>
      </c>
      <c r="Q1840" t="n">
        <v>587.832</v>
      </c>
      <c r="R1840" t="n">
        <v>588.6660000000001</v>
      </c>
      <c r="S1840" t="n">
        <v>0.834</v>
      </c>
      <c r="T1840" t="inlineStr">
        <is>
          <t>C:/Users/manuel.felline/Documents/BEHAVIOR BTBR/NOR second cohort/WT/training/c58_m5.mp4</t>
        </is>
      </c>
      <c r="U1840" t="n">
        <v>18035</v>
      </c>
      <c r="V1840" t="n">
        <v>18060</v>
      </c>
      <c r="W1840" t="n">
        <v/>
      </c>
      <c r="X1840" t="n">
        <v/>
      </c>
      <c r="Y1840" t="n">
        <v/>
      </c>
      <c r="Z1840" t="n">
        <v/>
      </c>
      <c r="AA1840">
        <f>SUMIFS($S$2:S1840,$A$2:A1840,A1840,$N$2:N1840,"Explore*")</f>
        <v/>
      </c>
      <c r="AB1840">
        <f>IF(AND(LEFT(N1840,7)="Explore",(AA1840-IF(LEFT(N1840,7)="Explore",S1840,0))&lt;10),"SI","NO")</f>
        <v/>
      </c>
    </row>
    <row r="1841">
      <c r="A1841" t="inlineStr">
        <is>
          <t>c58m5_training</t>
        </is>
      </c>
      <c r="B1841" t="inlineStr">
        <is>
          <t>2026-07-02 15:14:55.199</t>
        </is>
      </c>
      <c r="C1841" t="n">
        <v/>
      </c>
      <c r="D1841" t="inlineStr">
        <is>
          <t>Media file</t>
        </is>
      </c>
      <c r="E1841" t="inlineStr">
        <is>
          <t>player #1:C:/Users/manuel.felline/Documents/BEHAVIOR BTBR/NOR second cohort/WT/training/c58_m5.mp4</t>
        </is>
      </c>
      <c r="F1841" t="n">
        <v>-13.567</v>
      </c>
      <c r="G1841" t="n">
        <v>508.066</v>
      </c>
      <c r="H1841" t="n">
        <v>625.7329999999999</v>
      </c>
      <c r="I1841" t="n">
        <v>30</v>
      </c>
      <c r="J1841" t="inlineStr">
        <is>
          <t xml:space="preserve"> WT</t>
        </is>
      </c>
      <c r="K1841" t="inlineStr">
        <is>
          <t>Male</t>
        </is>
      </c>
      <c r="L1841" t="inlineStr">
        <is>
          <t>No focal subject</t>
        </is>
      </c>
      <c r="M1841" t="n">
        <v>19.2</v>
      </c>
      <c r="N1841" t="inlineStr">
        <is>
          <t>Explore_F2</t>
        </is>
      </c>
      <c r="O1841" t="inlineStr">
        <is>
          <t>Second familiar</t>
        </is>
      </c>
      <c r="P1841" t="inlineStr">
        <is>
          <t>STATE</t>
        </is>
      </c>
      <c r="Q1841" t="n">
        <v>597.566</v>
      </c>
      <c r="R1841" t="n">
        <v>597.766</v>
      </c>
      <c r="S1841" t="n">
        <v>0.2</v>
      </c>
      <c r="T1841" t="inlineStr">
        <is>
          <t>C:/Users/manuel.felline/Documents/BEHAVIOR BTBR/NOR second cohort/WT/training/c58_m5.mp4</t>
        </is>
      </c>
      <c r="U1841" t="n">
        <v>18327</v>
      </c>
      <c r="V1841" t="n">
        <v>18333</v>
      </c>
      <c r="W1841" t="n">
        <v/>
      </c>
      <c r="X1841" t="n">
        <v/>
      </c>
      <c r="Y1841" t="n">
        <v/>
      </c>
      <c r="Z1841" t="n">
        <v/>
      </c>
      <c r="AA1841">
        <f>SUMIFS($S$2:S1841,$A$2:A1841,A1841,$N$2:N1841,"Explore*")</f>
        <v/>
      </c>
      <c r="AB1841">
        <f>IF(AND(LEFT(N1841,7)="Explore",(AA1841-IF(LEFT(N1841,7)="Explore",S1841,0))&lt;10),"SI","NO")</f>
        <v/>
      </c>
    </row>
    <row r="1842">
      <c r="A1842" t="inlineStr">
        <is>
          <t>c59f1_training</t>
        </is>
      </c>
      <c r="B1842" t="inlineStr">
        <is>
          <t>2026-07-03 12:08:30.929</t>
        </is>
      </c>
      <c r="C1842" t="n">
        <v/>
      </c>
      <c r="D1842" t="inlineStr">
        <is>
          <t>Media file</t>
        </is>
      </c>
      <c r="E1842" t="inlineStr">
        <is>
          <t>player #1:C:/Users/manuel.felline/Documents/BEHAVIOR BTBR/NOR second cohort/WT/training/c59_f1.mp4</t>
        </is>
      </c>
      <c r="F1842" t="n">
        <v>-5.467</v>
      </c>
      <c r="G1842" t="n">
        <v>521.532</v>
      </c>
      <c r="H1842" t="n">
        <v>636.299</v>
      </c>
      <c r="I1842" t="n">
        <v>30</v>
      </c>
      <c r="J1842" t="inlineStr">
        <is>
          <t xml:space="preserve"> WT</t>
        </is>
      </c>
      <c r="K1842" t="inlineStr">
        <is>
          <t xml:space="preserve"> Female</t>
        </is>
      </c>
      <c r="L1842" t="inlineStr">
        <is>
          <t>No focal subject</t>
        </is>
      </c>
      <c r="M1842" t="n">
        <v>12.7</v>
      </c>
      <c r="N1842" t="inlineStr">
        <is>
          <t>Explore_F2</t>
        </is>
      </c>
      <c r="O1842" t="inlineStr">
        <is>
          <t>Second familiar</t>
        </is>
      </c>
      <c r="P1842" t="inlineStr">
        <is>
          <t>STATE</t>
        </is>
      </c>
      <c r="Q1842" t="n">
        <v>2.7</v>
      </c>
      <c r="R1842" t="n">
        <v>3.1</v>
      </c>
      <c r="S1842" t="n">
        <v>0.4</v>
      </c>
      <c r="T1842" t="inlineStr">
        <is>
          <t>C:/Users/manuel.felline/Documents/BEHAVIOR BTBR/NOR second cohort/WT/training/c59_f1.mp4</t>
        </is>
      </c>
      <c r="U1842" t="n">
        <v>81</v>
      </c>
      <c r="V1842" t="n">
        <v>93</v>
      </c>
      <c r="W1842" t="n">
        <v/>
      </c>
      <c r="X1842" t="n">
        <v/>
      </c>
      <c r="Y1842" t="n">
        <v/>
      </c>
      <c r="Z1842" t="n">
        <v/>
      </c>
      <c r="AA1842">
        <f>SUMIFS($S$2:S1842,$A$2:A1842,A1842,$N$2:N1842,"Explore*")</f>
        <v/>
      </c>
      <c r="AB1842">
        <f>IF(AND(LEFT(N1842,7)="Explore",(AA1842-IF(LEFT(N1842,7)="Explore",S1842,0))&lt;10),"SI","NO")</f>
        <v/>
      </c>
    </row>
    <row r="1843">
      <c r="A1843" t="inlineStr">
        <is>
          <t>c59f1_training</t>
        </is>
      </c>
      <c r="B1843" t="inlineStr">
        <is>
          <t>2026-07-03 12:08:30.929</t>
        </is>
      </c>
      <c r="C1843" t="n">
        <v/>
      </c>
      <c r="D1843" t="inlineStr">
        <is>
          <t>Media file</t>
        </is>
      </c>
      <c r="E1843" t="inlineStr">
        <is>
          <t>player #1:C:/Users/manuel.felline/Documents/BEHAVIOR BTBR/NOR second cohort/WT/training/c59_f1.mp4</t>
        </is>
      </c>
      <c r="F1843" t="n">
        <v>-5.467</v>
      </c>
      <c r="G1843" t="n">
        <v>521.532</v>
      </c>
      <c r="H1843" t="n">
        <v>636.299</v>
      </c>
      <c r="I1843" t="n">
        <v>30</v>
      </c>
      <c r="J1843" t="inlineStr">
        <is>
          <t xml:space="preserve"> WT</t>
        </is>
      </c>
      <c r="K1843" t="inlineStr">
        <is>
          <t xml:space="preserve"> Female</t>
        </is>
      </c>
      <c r="L1843" t="inlineStr">
        <is>
          <t>No focal subject</t>
        </is>
      </c>
      <c r="M1843" t="n">
        <v>12.7</v>
      </c>
      <c r="N1843" t="inlineStr">
        <is>
          <t>Explore_F</t>
        </is>
      </c>
      <c r="O1843" t="inlineStr">
        <is>
          <t>Familiar</t>
        </is>
      </c>
      <c r="P1843" t="inlineStr">
        <is>
          <t>STATE</t>
        </is>
      </c>
      <c r="Q1843" t="n">
        <v>12.3</v>
      </c>
      <c r="R1843" t="n">
        <v>12.933</v>
      </c>
      <c r="S1843" t="n">
        <v>0.633</v>
      </c>
      <c r="T1843" t="inlineStr">
        <is>
          <t>C:/Users/manuel.felline/Documents/BEHAVIOR BTBR/NOR second cohort/WT/training/c59_f1.mp4</t>
        </is>
      </c>
      <c r="U1843" t="n">
        <v>369</v>
      </c>
      <c r="V1843" t="n">
        <v>388</v>
      </c>
      <c r="W1843" t="n">
        <v/>
      </c>
      <c r="X1843" t="n">
        <v/>
      </c>
      <c r="Y1843" t="n">
        <v/>
      </c>
      <c r="Z1843" t="n">
        <v/>
      </c>
      <c r="AA1843">
        <f>SUMIFS($S$2:S1843,$A$2:A1843,A1843,$N$2:N1843,"Explore*")</f>
        <v/>
      </c>
      <c r="AB1843">
        <f>IF(AND(LEFT(N1843,7)="Explore",(AA1843-IF(LEFT(N1843,7)="Explore",S1843,0))&lt;10),"SI","NO")</f>
        <v/>
      </c>
    </row>
    <row r="1844">
      <c r="A1844" t="inlineStr">
        <is>
          <t>c59f1_training</t>
        </is>
      </c>
      <c r="B1844" t="inlineStr">
        <is>
          <t>2026-07-03 12:08:30.929</t>
        </is>
      </c>
      <c r="C1844" t="n">
        <v/>
      </c>
      <c r="D1844" t="inlineStr">
        <is>
          <t>Media file</t>
        </is>
      </c>
      <c r="E1844" t="inlineStr">
        <is>
          <t>player #1:C:/Users/manuel.felline/Documents/BEHAVIOR BTBR/NOR second cohort/WT/training/c59_f1.mp4</t>
        </is>
      </c>
      <c r="F1844" t="n">
        <v>-5.467</v>
      </c>
      <c r="G1844" t="n">
        <v>521.532</v>
      </c>
      <c r="H1844" t="n">
        <v>636.299</v>
      </c>
      <c r="I1844" t="n">
        <v>30</v>
      </c>
      <c r="J1844" t="inlineStr">
        <is>
          <t xml:space="preserve"> WT</t>
        </is>
      </c>
      <c r="K1844" t="inlineStr">
        <is>
          <t xml:space="preserve"> Female</t>
        </is>
      </c>
      <c r="L1844" t="inlineStr">
        <is>
          <t>No focal subject</t>
        </is>
      </c>
      <c r="M1844" t="n">
        <v>12.7</v>
      </c>
      <c r="N1844" t="inlineStr">
        <is>
          <t>Explore_F</t>
        </is>
      </c>
      <c r="O1844" t="inlineStr">
        <is>
          <t>Familiar</t>
        </is>
      </c>
      <c r="P1844" t="inlineStr">
        <is>
          <t>STATE</t>
        </is>
      </c>
      <c r="Q1844" t="n">
        <v>69.59999999999999</v>
      </c>
      <c r="R1844" t="n">
        <v>69.93300000000001</v>
      </c>
      <c r="S1844" t="n">
        <v>0.333</v>
      </c>
      <c r="T1844" t="inlineStr">
        <is>
          <t>C:/Users/manuel.felline/Documents/BEHAVIOR BTBR/NOR second cohort/WT/training/c59_f1.mp4</t>
        </is>
      </c>
      <c r="U1844" t="n">
        <v>2086</v>
      </c>
      <c r="V1844" t="n">
        <v>2096</v>
      </c>
      <c r="W1844" t="n">
        <v/>
      </c>
      <c r="X1844" t="n">
        <v/>
      </c>
      <c r="Y1844" t="n">
        <v/>
      </c>
      <c r="Z1844" t="n">
        <v/>
      </c>
      <c r="AA1844">
        <f>SUMIFS($S$2:S1844,$A$2:A1844,A1844,$N$2:N1844,"Explore*")</f>
        <v/>
      </c>
      <c r="AB1844">
        <f>IF(AND(LEFT(N1844,7)="Explore",(AA1844-IF(LEFT(N1844,7)="Explore",S1844,0))&lt;10),"SI","NO")</f>
        <v/>
      </c>
    </row>
    <row r="1845">
      <c r="A1845" t="inlineStr">
        <is>
          <t>c59f1_training</t>
        </is>
      </c>
      <c r="B1845" t="inlineStr">
        <is>
          <t>2026-07-03 12:08:30.929</t>
        </is>
      </c>
      <c r="C1845" t="n">
        <v/>
      </c>
      <c r="D1845" t="inlineStr">
        <is>
          <t>Media file</t>
        </is>
      </c>
      <c r="E1845" t="inlineStr">
        <is>
          <t>player #1:C:/Users/manuel.felline/Documents/BEHAVIOR BTBR/NOR second cohort/WT/training/c59_f1.mp4</t>
        </is>
      </c>
      <c r="F1845" t="n">
        <v>-5.467</v>
      </c>
      <c r="G1845" t="n">
        <v>521.532</v>
      </c>
      <c r="H1845" t="n">
        <v>636.299</v>
      </c>
      <c r="I1845" t="n">
        <v>30</v>
      </c>
      <c r="J1845" t="inlineStr">
        <is>
          <t xml:space="preserve"> WT</t>
        </is>
      </c>
      <c r="K1845" t="inlineStr">
        <is>
          <t xml:space="preserve"> Female</t>
        </is>
      </c>
      <c r="L1845" t="inlineStr">
        <is>
          <t>No focal subject</t>
        </is>
      </c>
      <c r="M1845" t="n">
        <v>12.7</v>
      </c>
      <c r="N1845" t="inlineStr">
        <is>
          <t>Explore_F</t>
        </is>
      </c>
      <c r="O1845" t="inlineStr">
        <is>
          <t>Familiar</t>
        </is>
      </c>
      <c r="P1845" t="inlineStr">
        <is>
          <t>STATE</t>
        </is>
      </c>
      <c r="Q1845" t="n">
        <v>92.533</v>
      </c>
      <c r="R1845" t="n">
        <v>93.40000000000001</v>
      </c>
      <c r="S1845" t="n">
        <v>0.867</v>
      </c>
      <c r="T1845" t="inlineStr">
        <is>
          <t>C:/Users/manuel.felline/Documents/BEHAVIOR BTBR/NOR second cohort/WT/training/c59_f1.mp4</t>
        </is>
      </c>
      <c r="U1845" t="n">
        <v>2774</v>
      </c>
      <c r="V1845" t="n">
        <v>2799</v>
      </c>
      <c r="W1845" t="n">
        <v/>
      </c>
      <c r="X1845" t="n">
        <v/>
      </c>
      <c r="Y1845" t="n">
        <v/>
      </c>
      <c r="Z1845" t="n">
        <v/>
      </c>
      <c r="AA1845">
        <f>SUMIFS($S$2:S1845,$A$2:A1845,A1845,$N$2:N1845,"Explore*")</f>
        <v/>
      </c>
      <c r="AB1845">
        <f>IF(AND(LEFT(N1845,7)="Explore",(AA1845-IF(LEFT(N1845,7)="Explore",S1845,0))&lt;10),"SI","NO")</f>
        <v/>
      </c>
    </row>
    <row r="1846">
      <c r="A1846" t="inlineStr">
        <is>
          <t>c59f1_training</t>
        </is>
      </c>
      <c r="B1846" t="inlineStr">
        <is>
          <t>2026-07-03 12:08:30.929</t>
        </is>
      </c>
      <c r="C1846" t="n">
        <v/>
      </c>
      <c r="D1846" t="inlineStr">
        <is>
          <t>Media file</t>
        </is>
      </c>
      <c r="E1846" t="inlineStr">
        <is>
          <t>player #1:C:/Users/manuel.felline/Documents/BEHAVIOR BTBR/NOR second cohort/WT/training/c59_f1.mp4</t>
        </is>
      </c>
      <c r="F1846" t="n">
        <v>-5.467</v>
      </c>
      <c r="G1846" t="n">
        <v>521.532</v>
      </c>
      <c r="H1846" t="n">
        <v>636.299</v>
      </c>
      <c r="I1846" t="n">
        <v>30</v>
      </c>
      <c r="J1846" t="inlineStr">
        <is>
          <t xml:space="preserve"> WT</t>
        </is>
      </c>
      <c r="K1846" t="inlineStr">
        <is>
          <t xml:space="preserve"> Female</t>
        </is>
      </c>
      <c r="L1846" t="inlineStr">
        <is>
          <t>No focal subject</t>
        </is>
      </c>
      <c r="M1846" t="n">
        <v>12.7</v>
      </c>
      <c r="N1846" t="inlineStr">
        <is>
          <t>Explore_F2</t>
        </is>
      </c>
      <c r="O1846" t="inlineStr">
        <is>
          <t>Second familiar</t>
        </is>
      </c>
      <c r="P1846" t="inlineStr">
        <is>
          <t>STATE</t>
        </is>
      </c>
      <c r="Q1846" t="n">
        <v>223.966</v>
      </c>
      <c r="R1846" t="n">
        <v>225.099</v>
      </c>
      <c r="S1846" t="n">
        <v>1.133</v>
      </c>
      <c r="T1846" t="inlineStr">
        <is>
          <t>C:/Users/manuel.felline/Documents/BEHAVIOR BTBR/NOR second cohort/WT/training/c59_f1.mp4</t>
        </is>
      </c>
      <c r="U1846" t="n">
        <v>6713</v>
      </c>
      <c r="V1846" t="n">
        <v>6747</v>
      </c>
      <c r="W1846" t="n">
        <v/>
      </c>
      <c r="X1846" t="n">
        <v/>
      </c>
      <c r="Y1846" t="n">
        <v/>
      </c>
      <c r="Z1846" t="n">
        <v/>
      </c>
      <c r="AA1846">
        <f>SUMIFS($S$2:S1846,$A$2:A1846,A1846,$N$2:N1846,"Explore*")</f>
        <v/>
      </c>
      <c r="AB1846">
        <f>IF(AND(LEFT(N1846,7)="Explore",(AA1846-IF(LEFT(N1846,7)="Explore",S1846,0))&lt;10),"SI","NO")</f>
        <v/>
      </c>
    </row>
    <row r="1847">
      <c r="A1847" t="inlineStr">
        <is>
          <t>c59f1_training</t>
        </is>
      </c>
      <c r="B1847" t="inlineStr">
        <is>
          <t>2026-07-03 12:08:30.929</t>
        </is>
      </c>
      <c r="C1847" t="n">
        <v/>
      </c>
      <c r="D1847" t="inlineStr">
        <is>
          <t>Media file</t>
        </is>
      </c>
      <c r="E1847" t="inlineStr">
        <is>
          <t>player #1:C:/Users/manuel.felline/Documents/BEHAVIOR BTBR/NOR second cohort/WT/training/c59_f1.mp4</t>
        </is>
      </c>
      <c r="F1847" t="n">
        <v>-5.467</v>
      </c>
      <c r="G1847" t="n">
        <v>521.532</v>
      </c>
      <c r="H1847" t="n">
        <v>636.299</v>
      </c>
      <c r="I1847" t="n">
        <v>30</v>
      </c>
      <c r="J1847" t="inlineStr">
        <is>
          <t xml:space="preserve"> WT</t>
        </is>
      </c>
      <c r="K1847" t="inlineStr">
        <is>
          <t xml:space="preserve"> Female</t>
        </is>
      </c>
      <c r="L1847" t="inlineStr">
        <is>
          <t>No focal subject</t>
        </is>
      </c>
      <c r="M1847" t="n">
        <v>12.7</v>
      </c>
      <c r="N1847" t="inlineStr">
        <is>
          <t>Explore_F</t>
        </is>
      </c>
      <c r="O1847" t="inlineStr">
        <is>
          <t>Familiar</t>
        </is>
      </c>
      <c r="P1847" t="inlineStr">
        <is>
          <t>STATE</t>
        </is>
      </c>
      <c r="Q1847" t="n">
        <v>227.166</v>
      </c>
      <c r="R1847" t="n">
        <v>227.433</v>
      </c>
      <c r="S1847" t="n">
        <v>0.267</v>
      </c>
      <c r="T1847" t="inlineStr">
        <is>
          <t>C:/Users/manuel.felline/Documents/BEHAVIOR BTBR/NOR second cohort/WT/training/c59_f1.mp4</t>
        </is>
      </c>
      <c r="U1847" t="n">
        <v>6808</v>
      </c>
      <c r="V1847" t="n">
        <v>6816</v>
      </c>
      <c r="W1847" t="n">
        <v/>
      </c>
      <c r="X1847" t="n">
        <v/>
      </c>
      <c r="Y1847" t="n">
        <v/>
      </c>
      <c r="Z1847" t="n">
        <v/>
      </c>
      <c r="AA1847">
        <f>SUMIFS($S$2:S1847,$A$2:A1847,A1847,$N$2:N1847,"Explore*")</f>
        <v/>
      </c>
      <c r="AB1847">
        <f>IF(AND(LEFT(N1847,7)="Explore",(AA1847-IF(LEFT(N1847,7)="Explore",S1847,0))&lt;10),"SI","NO")</f>
        <v/>
      </c>
    </row>
    <row r="1848">
      <c r="A1848" t="inlineStr">
        <is>
          <t>c59f1_training</t>
        </is>
      </c>
      <c r="B1848" t="inlineStr">
        <is>
          <t>2026-07-03 12:08:30.929</t>
        </is>
      </c>
      <c r="C1848" t="n">
        <v/>
      </c>
      <c r="D1848" t="inlineStr">
        <is>
          <t>Media file</t>
        </is>
      </c>
      <c r="E1848" t="inlineStr">
        <is>
          <t>player #1:C:/Users/manuel.felline/Documents/BEHAVIOR BTBR/NOR second cohort/WT/training/c59_f1.mp4</t>
        </is>
      </c>
      <c r="F1848" t="n">
        <v>-5.467</v>
      </c>
      <c r="G1848" t="n">
        <v>521.532</v>
      </c>
      <c r="H1848" t="n">
        <v>636.299</v>
      </c>
      <c r="I1848" t="n">
        <v>30</v>
      </c>
      <c r="J1848" t="inlineStr">
        <is>
          <t xml:space="preserve"> WT</t>
        </is>
      </c>
      <c r="K1848" t="inlineStr">
        <is>
          <t xml:space="preserve"> Female</t>
        </is>
      </c>
      <c r="L1848" t="inlineStr">
        <is>
          <t>No focal subject</t>
        </is>
      </c>
      <c r="M1848" t="n">
        <v>12.7</v>
      </c>
      <c r="N1848" t="inlineStr">
        <is>
          <t>Explore_F</t>
        </is>
      </c>
      <c r="O1848" t="inlineStr">
        <is>
          <t>Familiar</t>
        </is>
      </c>
      <c r="P1848" t="inlineStr">
        <is>
          <t>STATE</t>
        </is>
      </c>
      <c r="Q1848" t="n">
        <v>233.199</v>
      </c>
      <c r="R1848" t="n">
        <v>234.433</v>
      </c>
      <c r="S1848" t="n">
        <v>1.234</v>
      </c>
      <c r="T1848" t="inlineStr">
        <is>
          <t>C:/Users/manuel.felline/Documents/BEHAVIOR BTBR/NOR second cohort/WT/training/c59_f1.mp4</t>
        </is>
      </c>
      <c r="U1848" t="n">
        <v>6989</v>
      </c>
      <c r="V1848" t="n">
        <v>7026</v>
      </c>
      <c r="W1848" t="n">
        <v/>
      </c>
      <c r="X1848" t="n">
        <v/>
      </c>
      <c r="Y1848" t="n">
        <v/>
      </c>
      <c r="Z1848" t="n">
        <v/>
      </c>
      <c r="AA1848">
        <f>SUMIFS($S$2:S1848,$A$2:A1848,A1848,$N$2:N1848,"Explore*")</f>
        <v/>
      </c>
      <c r="AB1848">
        <f>IF(AND(LEFT(N1848,7)="Explore",(AA1848-IF(LEFT(N1848,7)="Explore",S1848,0))&lt;10),"SI","NO")</f>
        <v/>
      </c>
    </row>
    <row r="1849">
      <c r="A1849" t="inlineStr">
        <is>
          <t>c59f1_training</t>
        </is>
      </c>
      <c r="B1849" t="inlineStr">
        <is>
          <t>2026-07-03 12:08:30.929</t>
        </is>
      </c>
      <c r="C1849" t="n">
        <v/>
      </c>
      <c r="D1849" t="inlineStr">
        <is>
          <t>Media file</t>
        </is>
      </c>
      <c r="E1849" t="inlineStr">
        <is>
          <t>player #1:C:/Users/manuel.felline/Documents/BEHAVIOR BTBR/NOR second cohort/WT/training/c59_f1.mp4</t>
        </is>
      </c>
      <c r="F1849" t="n">
        <v>-5.467</v>
      </c>
      <c r="G1849" t="n">
        <v>521.532</v>
      </c>
      <c r="H1849" t="n">
        <v>636.299</v>
      </c>
      <c r="I1849" t="n">
        <v>30</v>
      </c>
      <c r="J1849" t="inlineStr">
        <is>
          <t xml:space="preserve"> WT</t>
        </is>
      </c>
      <c r="K1849" t="inlineStr">
        <is>
          <t xml:space="preserve"> Female</t>
        </is>
      </c>
      <c r="L1849" t="inlineStr">
        <is>
          <t>No focal subject</t>
        </is>
      </c>
      <c r="M1849" t="n">
        <v>12.7</v>
      </c>
      <c r="N1849" t="inlineStr">
        <is>
          <t>Explore_F</t>
        </is>
      </c>
      <c r="O1849" t="inlineStr">
        <is>
          <t>Familiar</t>
        </is>
      </c>
      <c r="P1849" t="inlineStr">
        <is>
          <t>STATE</t>
        </is>
      </c>
      <c r="Q1849" t="n">
        <v>238.499</v>
      </c>
      <c r="R1849" t="n">
        <v>239.066</v>
      </c>
      <c r="S1849" t="n">
        <v>0.5669999999999999</v>
      </c>
      <c r="T1849" t="inlineStr">
        <is>
          <t>C:/Users/manuel.felline/Documents/BEHAVIOR BTBR/NOR second cohort/WT/training/c59_f1.mp4</t>
        </is>
      </c>
      <c r="U1849" t="n">
        <v>7148</v>
      </c>
      <c r="V1849" t="n">
        <v>7165</v>
      </c>
      <c r="W1849" t="n">
        <v/>
      </c>
      <c r="X1849" t="n">
        <v/>
      </c>
      <c r="Y1849" t="n">
        <v/>
      </c>
      <c r="Z1849" t="n">
        <v/>
      </c>
      <c r="AA1849">
        <f>SUMIFS($S$2:S1849,$A$2:A1849,A1849,$N$2:N1849,"Explore*")</f>
        <v/>
      </c>
      <c r="AB1849">
        <f>IF(AND(LEFT(N1849,7)="Explore",(AA1849-IF(LEFT(N1849,7)="Explore",S1849,0))&lt;10),"SI","NO")</f>
        <v/>
      </c>
    </row>
    <row r="1850">
      <c r="A1850" t="inlineStr">
        <is>
          <t>c59f1_training</t>
        </is>
      </c>
      <c r="B1850" t="inlineStr">
        <is>
          <t>2026-07-03 12:08:30.929</t>
        </is>
      </c>
      <c r="C1850" t="n">
        <v/>
      </c>
      <c r="D1850" t="inlineStr">
        <is>
          <t>Media file</t>
        </is>
      </c>
      <c r="E1850" t="inlineStr">
        <is>
          <t>player #1:C:/Users/manuel.felline/Documents/BEHAVIOR BTBR/NOR second cohort/WT/training/c59_f1.mp4</t>
        </is>
      </c>
      <c r="F1850" t="n">
        <v>-5.467</v>
      </c>
      <c r="G1850" t="n">
        <v>521.532</v>
      </c>
      <c r="H1850" t="n">
        <v>636.299</v>
      </c>
      <c r="I1850" t="n">
        <v>30</v>
      </c>
      <c r="J1850" t="inlineStr">
        <is>
          <t xml:space="preserve"> WT</t>
        </is>
      </c>
      <c r="K1850" t="inlineStr">
        <is>
          <t xml:space="preserve"> Female</t>
        </is>
      </c>
      <c r="L1850" t="inlineStr">
        <is>
          <t>No focal subject</t>
        </is>
      </c>
      <c r="M1850" t="n">
        <v>12.7</v>
      </c>
      <c r="N1850" t="inlineStr">
        <is>
          <t>Explore_F</t>
        </is>
      </c>
      <c r="O1850" t="inlineStr">
        <is>
          <t>Familiar</t>
        </is>
      </c>
      <c r="P1850" t="inlineStr">
        <is>
          <t>STATE</t>
        </is>
      </c>
      <c r="Q1850" t="n">
        <v>239.899</v>
      </c>
      <c r="R1850" t="n">
        <v>240.599</v>
      </c>
      <c r="S1850" t="n">
        <v>0.7</v>
      </c>
      <c r="T1850" t="inlineStr">
        <is>
          <t>C:/Users/manuel.felline/Documents/BEHAVIOR BTBR/NOR second cohort/WT/training/c59_f1.mp4</t>
        </is>
      </c>
      <c r="U1850" t="n">
        <v>7190</v>
      </c>
      <c r="V1850" t="n">
        <v>7211</v>
      </c>
      <c r="W1850" t="n">
        <v/>
      </c>
      <c r="X1850" t="n">
        <v/>
      </c>
      <c r="Y1850" t="n">
        <v/>
      </c>
      <c r="Z1850" t="n">
        <v/>
      </c>
      <c r="AA1850">
        <f>SUMIFS($S$2:S1850,$A$2:A1850,A1850,$N$2:N1850,"Explore*")</f>
        <v/>
      </c>
      <c r="AB1850">
        <f>IF(AND(LEFT(N1850,7)="Explore",(AA1850-IF(LEFT(N1850,7)="Explore",S1850,0))&lt;10),"SI","NO")</f>
        <v/>
      </c>
    </row>
    <row r="1851">
      <c r="A1851" t="inlineStr">
        <is>
          <t>c59f1_training</t>
        </is>
      </c>
      <c r="B1851" t="inlineStr">
        <is>
          <t>2026-07-03 12:08:30.929</t>
        </is>
      </c>
      <c r="C1851" t="n">
        <v/>
      </c>
      <c r="D1851" t="inlineStr">
        <is>
          <t>Media file</t>
        </is>
      </c>
      <c r="E1851" t="inlineStr">
        <is>
          <t>player #1:C:/Users/manuel.felline/Documents/BEHAVIOR BTBR/NOR second cohort/WT/training/c59_f1.mp4</t>
        </is>
      </c>
      <c r="F1851" t="n">
        <v>-5.467</v>
      </c>
      <c r="G1851" t="n">
        <v>521.532</v>
      </c>
      <c r="H1851" t="n">
        <v>636.299</v>
      </c>
      <c r="I1851" t="n">
        <v>30</v>
      </c>
      <c r="J1851" t="inlineStr">
        <is>
          <t xml:space="preserve"> WT</t>
        </is>
      </c>
      <c r="K1851" t="inlineStr">
        <is>
          <t xml:space="preserve"> Female</t>
        </is>
      </c>
      <c r="L1851" t="inlineStr">
        <is>
          <t>No focal subject</t>
        </is>
      </c>
      <c r="M1851" t="n">
        <v>12.7</v>
      </c>
      <c r="N1851" t="inlineStr">
        <is>
          <t>Explore_F2</t>
        </is>
      </c>
      <c r="O1851" t="inlineStr">
        <is>
          <t>Second familiar</t>
        </is>
      </c>
      <c r="P1851" t="inlineStr">
        <is>
          <t>STATE</t>
        </is>
      </c>
      <c r="Q1851" t="n">
        <v>242.199</v>
      </c>
      <c r="R1851" t="n">
        <v>242.833</v>
      </c>
      <c r="S1851" t="n">
        <v>0.634</v>
      </c>
      <c r="T1851" t="inlineStr">
        <is>
          <t>C:/Users/manuel.felline/Documents/BEHAVIOR BTBR/NOR second cohort/WT/training/c59_f1.mp4</t>
        </is>
      </c>
      <c r="U1851" t="n">
        <v>7259</v>
      </c>
      <c r="V1851" t="n">
        <v>7278</v>
      </c>
      <c r="W1851" t="n">
        <v/>
      </c>
      <c r="X1851" t="n">
        <v/>
      </c>
      <c r="Y1851" t="n">
        <v/>
      </c>
      <c r="Z1851" t="n">
        <v/>
      </c>
      <c r="AA1851">
        <f>SUMIFS($S$2:S1851,$A$2:A1851,A1851,$N$2:N1851,"Explore*")</f>
        <v/>
      </c>
      <c r="AB1851">
        <f>IF(AND(LEFT(N1851,7)="Explore",(AA1851-IF(LEFT(N1851,7)="Explore",S1851,0))&lt;10),"SI","NO")</f>
        <v/>
      </c>
    </row>
    <row r="1852">
      <c r="A1852" t="inlineStr">
        <is>
          <t>c59f1_training</t>
        </is>
      </c>
      <c r="B1852" t="inlineStr">
        <is>
          <t>2026-07-03 12:08:30.929</t>
        </is>
      </c>
      <c r="C1852" t="n">
        <v/>
      </c>
      <c r="D1852" t="inlineStr">
        <is>
          <t>Media file</t>
        </is>
      </c>
      <c r="E1852" t="inlineStr">
        <is>
          <t>player #1:C:/Users/manuel.felline/Documents/BEHAVIOR BTBR/NOR second cohort/WT/training/c59_f1.mp4</t>
        </is>
      </c>
      <c r="F1852" t="n">
        <v>-5.467</v>
      </c>
      <c r="G1852" t="n">
        <v>521.532</v>
      </c>
      <c r="H1852" t="n">
        <v>636.299</v>
      </c>
      <c r="I1852" t="n">
        <v>30</v>
      </c>
      <c r="J1852" t="inlineStr">
        <is>
          <t xml:space="preserve"> WT</t>
        </is>
      </c>
      <c r="K1852" t="inlineStr">
        <is>
          <t xml:space="preserve"> Female</t>
        </is>
      </c>
      <c r="L1852" t="inlineStr">
        <is>
          <t>No focal subject</t>
        </is>
      </c>
      <c r="M1852" t="n">
        <v>12.7</v>
      </c>
      <c r="N1852" t="inlineStr">
        <is>
          <t>Explore_F</t>
        </is>
      </c>
      <c r="O1852" t="inlineStr">
        <is>
          <t>Familiar</t>
        </is>
      </c>
      <c r="P1852" t="inlineStr">
        <is>
          <t>STATE</t>
        </is>
      </c>
      <c r="Q1852" t="n">
        <v>475.033</v>
      </c>
      <c r="R1852" t="n">
        <v>476.366</v>
      </c>
      <c r="S1852" t="n">
        <v>1.333</v>
      </c>
      <c r="T1852" t="inlineStr">
        <is>
          <t>C:/Users/manuel.felline/Documents/BEHAVIOR BTBR/NOR second cohort/WT/training/c59_f1.mp4</t>
        </is>
      </c>
      <c r="U1852" t="n">
        <v>14237</v>
      </c>
      <c r="V1852" t="n">
        <v>14277</v>
      </c>
      <c r="W1852" t="n">
        <v/>
      </c>
      <c r="X1852" t="n">
        <v/>
      </c>
      <c r="Y1852" t="n">
        <v/>
      </c>
      <c r="Z1852" t="n">
        <v/>
      </c>
      <c r="AA1852">
        <f>SUMIFS($S$2:S1852,$A$2:A1852,A1852,$N$2:N1852,"Explore*")</f>
        <v/>
      </c>
      <c r="AB1852">
        <f>IF(AND(LEFT(N1852,7)="Explore",(AA1852-IF(LEFT(N1852,7)="Explore",S1852,0))&lt;10),"SI","NO")</f>
        <v/>
      </c>
    </row>
    <row r="1853">
      <c r="A1853" t="inlineStr">
        <is>
          <t>c59f1_training</t>
        </is>
      </c>
      <c r="B1853" t="inlineStr">
        <is>
          <t>2026-07-03 12:08:30.929</t>
        </is>
      </c>
      <c r="C1853" t="n">
        <v/>
      </c>
      <c r="D1853" t="inlineStr">
        <is>
          <t>Media file</t>
        </is>
      </c>
      <c r="E1853" t="inlineStr">
        <is>
          <t>player #1:C:/Users/manuel.felline/Documents/BEHAVIOR BTBR/NOR second cohort/WT/training/c59_f1.mp4</t>
        </is>
      </c>
      <c r="F1853" t="n">
        <v>-5.467</v>
      </c>
      <c r="G1853" t="n">
        <v>521.532</v>
      </c>
      <c r="H1853" t="n">
        <v>636.299</v>
      </c>
      <c r="I1853" t="n">
        <v>30</v>
      </c>
      <c r="J1853" t="inlineStr">
        <is>
          <t xml:space="preserve"> WT</t>
        </is>
      </c>
      <c r="K1853" t="inlineStr">
        <is>
          <t xml:space="preserve"> Female</t>
        </is>
      </c>
      <c r="L1853" t="inlineStr">
        <is>
          <t>No focal subject</t>
        </is>
      </c>
      <c r="M1853" t="n">
        <v>12.7</v>
      </c>
      <c r="N1853" t="inlineStr">
        <is>
          <t>Explore_F2</t>
        </is>
      </c>
      <c r="O1853" t="inlineStr">
        <is>
          <t>Second familiar</t>
        </is>
      </c>
      <c r="P1853" t="inlineStr">
        <is>
          <t>STATE</t>
        </is>
      </c>
      <c r="Q1853" t="n">
        <v>482.233</v>
      </c>
      <c r="R1853" t="n">
        <v>482.733</v>
      </c>
      <c r="S1853" t="n">
        <v>0.5</v>
      </c>
      <c r="T1853" t="inlineStr">
        <is>
          <t>C:/Users/manuel.felline/Documents/BEHAVIOR BTBR/NOR second cohort/WT/training/c59_f1.mp4</t>
        </is>
      </c>
      <c r="U1853" t="n">
        <v>14455</v>
      </c>
      <c r="V1853" t="n">
        <v>14470</v>
      </c>
      <c r="W1853" t="n">
        <v/>
      </c>
      <c r="X1853" t="n">
        <v/>
      </c>
      <c r="Y1853" t="n">
        <v/>
      </c>
      <c r="Z1853" t="n">
        <v/>
      </c>
      <c r="AA1853">
        <f>SUMIFS($S$2:S1853,$A$2:A1853,A1853,$N$2:N1853,"Explore*")</f>
        <v/>
      </c>
      <c r="AB1853">
        <f>IF(AND(LEFT(N1853,7)="Explore",(AA1853-IF(LEFT(N1853,7)="Explore",S1853,0))&lt;10),"SI","NO")</f>
        <v/>
      </c>
    </row>
    <row r="1854">
      <c r="A1854" t="inlineStr">
        <is>
          <t>c59f1_training</t>
        </is>
      </c>
      <c r="B1854" t="inlineStr">
        <is>
          <t>2026-07-03 12:08:30.929</t>
        </is>
      </c>
      <c r="C1854" t="n">
        <v/>
      </c>
      <c r="D1854" t="inlineStr">
        <is>
          <t>Media file</t>
        </is>
      </c>
      <c r="E1854" t="inlineStr">
        <is>
          <t>player #1:C:/Users/manuel.felline/Documents/BEHAVIOR BTBR/NOR second cohort/WT/training/c59_f1.mp4</t>
        </is>
      </c>
      <c r="F1854" t="n">
        <v>-5.467</v>
      </c>
      <c r="G1854" t="n">
        <v>521.532</v>
      </c>
      <c r="H1854" t="n">
        <v>636.299</v>
      </c>
      <c r="I1854" t="n">
        <v>30</v>
      </c>
      <c r="J1854" t="inlineStr">
        <is>
          <t xml:space="preserve"> WT</t>
        </is>
      </c>
      <c r="K1854" t="inlineStr">
        <is>
          <t xml:space="preserve"> Female</t>
        </is>
      </c>
      <c r="L1854" t="inlineStr">
        <is>
          <t>No focal subject</t>
        </is>
      </c>
      <c r="M1854" t="n">
        <v>12.7</v>
      </c>
      <c r="N1854" t="inlineStr">
        <is>
          <t>Explore_F</t>
        </is>
      </c>
      <c r="O1854" t="inlineStr">
        <is>
          <t>Familiar</t>
        </is>
      </c>
      <c r="P1854" t="inlineStr">
        <is>
          <t>STATE</t>
        </is>
      </c>
      <c r="Q1854" t="n">
        <v>483.932</v>
      </c>
      <c r="R1854" t="n">
        <v>485.032</v>
      </c>
      <c r="S1854" t="n">
        <v>1.1</v>
      </c>
      <c r="T1854" t="inlineStr">
        <is>
          <t>C:/Users/manuel.felline/Documents/BEHAVIOR BTBR/NOR second cohort/WT/training/c59_f1.mp4</t>
        </is>
      </c>
      <c r="U1854" t="n">
        <v>14504</v>
      </c>
      <c r="V1854" t="n">
        <v>14537</v>
      </c>
      <c r="W1854" t="n">
        <v/>
      </c>
      <c r="X1854" t="n">
        <v/>
      </c>
      <c r="Y1854" t="n">
        <v/>
      </c>
      <c r="Z1854" t="n">
        <v/>
      </c>
      <c r="AA1854">
        <f>SUMIFS($S$2:S1854,$A$2:A1854,A1854,$N$2:N1854,"Explore*")</f>
        <v/>
      </c>
      <c r="AB1854">
        <f>IF(AND(LEFT(N1854,7)="Explore",(AA1854-IF(LEFT(N1854,7)="Explore",S1854,0))&lt;10),"SI","NO")</f>
        <v/>
      </c>
    </row>
    <row r="1855">
      <c r="A1855" t="inlineStr">
        <is>
          <t>c59f1_training</t>
        </is>
      </c>
      <c r="B1855" t="inlineStr">
        <is>
          <t>2026-07-03 12:08:30.929</t>
        </is>
      </c>
      <c r="C1855" t="n">
        <v/>
      </c>
      <c r="D1855" t="inlineStr">
        <is>
          <t>Media file</t>
        </is>
      </c>
      <c r="E1855" t="inlineStr">
        <is>
          <t>player #1:C:/Users/manuel.felline/Documents/BEHAVIOR BTBR/NOR second cohort/WT/training/c59_f1.mp4</t>
        </is>
      </c>
      <c r="F1855" t="n">
        <v>-5.467</v>
      </c>
      <c r="G1855" t="n">
        <v>521.532</v>
      </c>
      <c r="H1855" t="n">
        <v>636.299</v>
      </c>
      <c r="I1855" t="n">
        <v>30</v>
      </c>
      <c r="J1855" t="inlineStr">
        <is>
          <t xml:space="preserve"> WT</t>
        </is>
      </c>
      <c r="K1855" t="inlineStr">
        <is>
          <t xml:space="preserve"> Female</t>
        </is>
      </c>
      <c r="L1855" t="inlineStr">
        <is>
          <t>No focal subject</t>
        </is>
      </c>
      <c r="M1855" t="n">
        <v>12.7</v>
      </c>
      <c r="N1855" t="inlineStr">
        <is>
          <t>Explore_F</t>
        </is>
      </c>
      <c r="O1855" t="inlineStr">
        <is>
          <t>Familiar</t>
        </is>
      </c>
      <c r="P1855" t="inlineStr">
        <is>
          <t>STATE</t>
        </is>
      </c>
      <c r="Q1855" t="n">
        <v>490.632</v>
      </c>
      <c r="R1855" t="n">
        <v>491.799</v>
      </c>
      <c r="S1855" t="n">
        <v>1.167</v>
      </c>
      <c r="T1855" t="inlineStr">
        <is>
          <t>C:/Users/manuel.felline/Documents/BEHAVIOR BTBR/NOR second cohort/WT/training/c59_f1.mp4</t>
        </is>
      </c>
      <c r="U1855" t="n">
        <v>14705</v>
      </c>
      <c r="V1855" t="n">
        <v>14740</v>
      </c>
      <c r="W1855" t="n">
        <v/>
      </c>
      <c r="X1855" t="n">
        <v/>
      </c>
      <c r="Y1855" t="n">
        <v/>
      </c>
      <c r="Z1855" t="n">
        <v/>
      </c>
      <c r="AA1855">
        <f>SUMIFS($S$2:S1855,$A$2:A1855,A1855,$N$2:N1855,"Explore*")</f>
        <v/>
      </c>
      <c r="AB1855">
        <f>IF(AND(LEFT(N1855,7)="Explore",(AA1855-IF(LEFT(N1855,7)="Explore",S1855,0))&lt;10),"SI","NO")</f>
        <v/>
      </c>
    </row>
    <row r="1856">
      <c r="A1856" t="inlineStr">
        <is>
          <t>c59f1_training</t>
        </is>
      </c>
      <c r="B1856" t="inlineStr">
        <is>
          <t>2026-07-03 12:08:30.929</t>
        </is>
      </c>
      <c r="C1856" t="n">
        <v/>
      </c>
      <c r="D1856" t="inlineStr">
        <is>
          <t>Media file</t>
        </is>
      </c>
      <c r="E1856" t="inlineStr">
        <is>
          <t>player #1:C:/Users/manuel.felline/Documents/BEHAVIOR BTBR/NOR second cohort/WT/training/c59_f1.mp4</t>
        </is>
      </c>
      <c r="F1856" t="n">
        <v>-5.467</v>
      </c>
      <c r="G1856" t="n">
        <v>521.532</v>
      </c>
      <c r="H1856" t="n">
        <v>636.299</v>
      </c>
      <c r="I1856" t="n">
        <v>30</v>
      </c>
      <c r="J1856" t="inlineStr">
        <is>
          <t xml:space="preserve"> WT</t>
        </is>
      </c>
      <c r="K1856" t="inlineStr">
        <is>
          <t xml:space="preserve"> Female</t>
        </is>
      </c>
      <c r="L1856" t="inlineStr">
        <is>
          <t>No focal subject</t>
        </is>
      </c>
      <c r="M1856" t="n">
        <v>12.7</v>
      </c>
      <c r="N1856" t="inlineStr">
        <is>
          <t>Explore_F</t>
        </is>
      </c>
      <c r="O1856" t="inlineStr">
        <is>
          <t>Familiar</t>
        </is>
      </c>
      <c r="P1856" t="inlineStr">
        <is>
          <t>STATE</t>
        </is>
      </c>
      <c r="Q1856" t="n">
        <v>495.199</v>
      </c>
      <c r="R1856" t="n">
        <v>495.599</v>
      </c>
      <c r="S1856" t="n">
        <v>0.4</v>
      </c>
      <c r="T1856" t="inlineStr">
        <is>
          <t>C:/Users/manuel.felline/Documents/BEHAVIOR BTBR/NOR second cohort/WT/training/c59_f1.mp4</t>
        </is>
      </c>
      <c r="U1856" t="n">
        <v>14842</v>
      </c>
      <c r="V1856" t="n">
        <v>14854</v>
      </c>
      <c r="W1856" t="n">
        <v/>
      </c>
      <c r="X1856" t="n">
        <v/>
      </c>
      <c r="Y1856" t="n">
        <v/>
      </c>
      <c r="Z1856" t="n">
        <v/>
      </c>
      <c r="AA1856">
        <f>SUMIFS($S$2:S1856,$A$2:A1856,A1856,$N$2:N1856,"Explore*")</f>
        <v/>
      </c>
      <c r="AB1856">
        <f>IF(AND(LEFT(N1856,7)="Explore",(AA1856-IF(LEFT(N1856,7)="Explore",S1856,0))&lt;10),"SI","NO")</f>
        <v/>
      </c>
    </row>
    <row r="1857">
      <c r="A1857" t="inlineStr">
        <is>
          <t>c59f1_training</t>
        </is>
      </c>
      <c r="B1857" t="inlineStr">
        <is>
          <t>2026-07-03 12:08:30.929</t>
        </is>
      </c>
      <c r="C1857" t="n">
        <v/>
      </c>
      <c r="D1857" t="inlineStr">
        <is>
          <t>Media file</t>
        </is>
      </c>
      <c r="E1857" t="inlineStr">
        <is>
          <t>player #1:C:/Users/manuel.felline/Documents/BEHAVIOR BTBR/NOR second cohort/WT/training/c59_f1.mp4</t>
        </is>
      </c>
      <c r="F1857" t="n">
        <v>-5.467</v>
      </c>
      <c r="G1857" t="n">
        <v>521.532</v>
      </c>
      <c r="H1857" t="n">
        <v>636.299</v>
      </c>
      <c r="I1857" t="n">
        <v>30</v>
      </c>
      <c r="J1857" t="inlineStr">
        <is>
          <t xml:space="preserve"> WT</t>
        </is>
      </c>
      <c r="K1857" t="inlineStr">
        <is>
          <t xml:space="preserve"> Female</t>
        </is>
      </c>
      <c r="L1857" t="inlineStr">
        <is>
          <t>No focal subject</t>
        </is>
      </c>
      <c r="M1857" t="n">
        <v>12.7</v>
      </c>
      <c r="N1857" t="inlineStr">
        <is>
          <t>Explore_F2</t>
        </is>
      </c>
      <c r="O1857" t="inlineStr">
        <is>
          <t>Second familiar</t>
        </is>
      </c>
      <c r="P1857" t="inlineStr">
        <is>
          <t>STATE</t>
        </is>
      </c>
      <c r="Q1857" t="n">
        <v>500.566</v>
      </c>
      <c r="R1857" t="n">
        <v>501.032</v>
      </c>
      <c r="S1857" t="n">
        <v>0.466</v>
      </c>
      <c r="T1857" t="inlineStr">
        <is>
          <t>C:/Users/manuel.felline/Documents/BEHAVIOR BTBR/NOR second cohort/WT/training/c59_f1.mp4</t>
        </is>
      </c>
      <c r="U1857" t="n">
        <v>15003</v>
      </c>
      <c r="V1857" t="n">
        <v>15017</v>
      </c>
      <c r="W1857" t="n">
        <v/>
      </c>
      <c r="X1857" t="n">
        <v/>
      </c>
      <c r="Y1857" t="n">
        <v/>
      </c>
      <c r="Z1857" t="n">
        <v/>
      </c>
      <c r="AA1857">
        <f>SUMIFS($S$2:S1857,$A$2:A1857,A1857,$N$2:N1857,"Explore*")</f>
        <v/>
      </c>
      <c r="AB1857">
        <f>IF(AND(LEFT(N1857,7)="Explore",(AA1857-IF(LEFT(N1857,7)="Explore",S1857,0))&lt;10),"SI","NO")</f>
        <v/>
      </c>
    </row>
    <row r="1858">
      <c r="A1858" t="inlineStr">
        <is>
          <t>c59f1_training</t>
        </is>
      </c>
      <c r="B1858" t="inlineStr">
        <is>
          <t>2026-07-03 12:08:30.929</t>
        </is>
      </c>
      <c r="C1858" t="n">
        <v/>
      </c>
      <c r="D1858" t="inlineStr">
        <is>
          <t>Media file</t>
        </is>
      </c>
      <c r="E1858" t="inlineStr">
        <is>
          <t>player #1:C:/Users/manuel.felline/Documents/BEHAVIOR BTBR/NOR second cohort/WT/training/c59_f1.mp4</t>
        </is>
      </c>
      <c r="F1858" t="n">
        <v>-5.467</v>
      </c>
      <c r="G1858" t="n">
        <v>521.532</v>
      </c>
      <c r="H1858" t="n">
        <v>636.299</v>
      </c>
      <c r="I1858" t="n">
        <v>30</v>
      </c>
      <c r="J1858" t="inlineStr">
        <is>
          <t xml:space="preserve"> WT</t>
        </is>
      </c>
      <c r="K1858" t="inlineStr">
        <is>
          <t xml:space="preserve"> Female</t>
        </is>
      </c>
      <c r="L1858" t="inlineStr">
        <is>
          <t>No focal subject</t>
        </is>
      </c>
      <c r="M1858" t="n">
        <v>12.7</v>
      </c>
      <c r="N1858" t="inlineStr">
        <is>
          <t>Explore_F2</t>
        </is>
      </c>
      <c r="O1858" t="inlineStr">
        <is>
          <t>Second familiar</t>
        </is>
      </c>
      <c r="P1858" t="inlineStr">
        <is>
          <t>STATE</t>
        </is>
      </c>
      <c r="Q1858" t="n">
        <v>512.6660000000001</v>
      </c>
      <c r="R1858" t="n">
        <v>513.232</v>
      </c>
      <c r="S1858" t="n">
        <v>0.5659999999999999</v>
      </c>
      <c r="T1858" t="inlineStr">
        <is>
          <t>C:/Users/manuel.felline/Documents/BEHAVIOR BTBR/NOR second cohort/WT/training/c59_f1.mp4</t>
        </is>
      </c>
      <c r="U1858" t="n">
        <v>15365</v>
      </c>
      <c r="V1858" t="n">
        <v>15382</v>
      </c>
      <c r="W1858" t="n">
        <v/>
      </c>
      <c r="X1858" t="n">
        <v/>
      </c>
      <c r="Y1858" t="n">
        <v/>
      </c>
      <c r="Z1858" t="n">
        <v/>
      </c>
      <c r="AA1858">
        <f>SUMIFS($S$2:S1858,$A$2:A1858,A1858,$N$2:N1858,"Explore*")</f>
        <v/>
      </c>
      <c r="AB1858">
        <f>IF(AND(LEFT(N1858,7)="Explore",(AA1858-IF(LEFT(N1858,7)="Explore",S1858,0))&lt;10),"SI","NO")</f>
        <v/>
      </c>
    </row>
    <row r="1859">
      <c r="A1859" t="inlineStr">
        <is>
          <t>c59f1_training</t>
        </is>
      </c>
      <c r="B1859" t="inlineStr">
        <is>
          <t>2026-07-03 12:08:30.929</t>
        </is>
      </c>
      <c r="C1859" t="n">
        <v/>
      </c>
      <c r="D1859" t="inlineStr">
        <is>
          <t>Media file</t>
        </is>
      </c>
      <c r="E1859" t="inlineStr">
        <is>
          <t>player #1:C:/Users/manuel.felline/Documents/BEHAVIOR BTBR/NOR second cohort/WT/training/c59_f1.mp4</t>
        </is>
      </c>
      <c r="F1859" t="n">
        <v>-5.467</v>
      </c>
      <c r="G1859" t="n">
        <v>521.532</v>
      </c>
      <c r="H1859" t="n">
        <v>636.299</v>
      </c>
      <c r="I1859" t="n">
        <v>30</v>
      </c>
      <c r="J1859" t="inlineStr">
        <is>
          <t xml:space="preserve"> WT</t>
        </is>
      </c>
      <c r="K1859" t="inlineStr">
        <is>
          <t xml:space="preserve"> Female</t>
        </is>
      </c>
      <c r="L1859" t="inlineStr">
        <is>
          <t>No focal subject</t>
        </is>
      </c>
      <c r="M1859" t="n">
        <v>12.7</v>
      </c>
      <c r="N1859" t="inlineStr">
        <is>
          <t>Explore_F2</t>
        </is>
      </c>
      <c r="O1859" t="inlineStr">
        <is>
          <t>Second familiar</t>
        </is>
      </c>
      <c r="P1859" t="inlineStr">
        <is>
          <t>STATE</t>
        </is>
      </c>
      <c r="Q1859" t="n">
        <v>523.832</v>
      </c>
      <c r="R1859" t="n">
        <v>524.232</v>
      </c>
      <c r="S1859" t="n">
        <v>0.4</v>
      </c>
      <c r="T1859" t="inlineStr">
        <is>
          <t>C:/Users/manuel.felline/Documents/BEHAVIOR BTBR/NOR second cohort/WT/training/c59_f1.mp4</t>
        </is>
      </c>
      <c r="U1859" t="n">
        <v>15700</v>
      </c>
      <c r="V1859" t="n">
        <v>15712</v>
      </c>
      <c r="W1859" t="n">
        <v/>
      </c>
      <c r="X1859" t="n">
        <v/>
      </c>
      <c r="Y1859" t="n">
        <v/>
      </c>
      <c r="Z1859" t="n">
        <v/>
      </c>
      <c r="AA1859">
        <f>SUMIFS($S$2:S1859,$A$2:A1859,A1859,$N$2:N1859,"Explore*")</f>
        <v/>
      </c>
      <c r="AB1859">
        <f>IF(AND(LEFT(N1859,7)="Explore",(AA1859-IF(LEFT(N1859,7)="Explore",S1859,0))&lt;10),"SI","NO")</f>
        <v/>
      </c>
    </row>
    <row r="1860">
      <c r="A1860" t="inlineStr">
        <is>
          <t>c59f2_training</t>
        </is>
      </c>
      <c r="B1860" t="inlineStr">
        <is>
          <t>2026-07-03 15:17:38.321</t>
        </is>
      </c>
      <c r="C1860" t="n">
        <v/>
      </c>
      <c r="D1860" t="inlineStr">
        <is>
          <t>Media file</t>
        </is>
      </c>
      <c r="E1860" t="inlineStr">
        <is>
          <t>player #1:C:/Users/manuel.felline/Documents/BEHAVIOR BTBR/NOR second cohort/WT/training/c59_f2.mp4</t>
        </is>
      </c>
      <c r="F1860" t="n">
        <v>-9.933</v>
      </c>
      <c r="G1860" t="n">
        <v>457.066</v>
      </c>
      <c r="H1860" t="n">
        <v>636.933</v>
      </c>
      <c r="I1860" t="n">
        <v>30</v>
      </c>
      <c r="J1860" t="inlineStr">
        <is>
          <t xml:space="preserve"> WT</t>
        </is>
      </c>
      <c r="K1860" t="inlineStr">
        <is>
          <t xml:space="preserve"> Female</t>
        </is>
      </c>
      <c r="L1860" t="inlineStr">
        <is>
          <t>No focal subject</t>
        </is>
      </c>
      <c r="M1860" t="n">
        <v>19.199</v>
      </c>
      <c r="N1860" t="inlineStr">
        <is>
          <t>Explore_F2</t>
        </is>
      </c>
      <c r="O1860" t="inlineStr">
        <is>
          <t>Second familiar</t>
        </is>
      </c>
      <c r="P1860" t="inlineStr">
        <is>
          <t>STATE</t>
        </is>
      </c>
      <c r="Q1860" t="n">
        <v>136.934</v>
      </c>
      <c r="R1860" t="n">
        <v>137.3</v>
      </c>
      <c r="S1860" t="n">
        <v>0.366</v>
      </c>
      <c r="T1860" t="inlineStr">
        <is>
          <t>C:/Users/manuel.felline/Documents/BEHAVIOR BTBR/NOR second cohort/WT/training/c59_f2.mp4</t>
        </is>
      </c>
      <c r="U1860" t="n">
        <v>4397</v>
      </c>
      <c r="V1860" t="n">
        <v>4408</v>
      </c>
      <c r="W1860" t="n">
        <v/>
      </c>
      <c r="X1860" t="n">
        <v/>
      </c>
      <c r="Y1860" t="n">
        <v/>
      </c>
      <c r="Z1860" t="n">
        <v/>
      </c>
      <c r="AA1860">
        <f>SUMIFS($S$2:S1860,$A$2:A1860,A1860,$N$2:N1860,"Explore*")</f>
        <v/>
      </c>
      <c r="AB1860">
        <f>IF(AND(LEFT(N1860,7)="Explore",(AA1860-IF(LEFT(N1860,7)="Explore",S1860,0))&lt;10),"SI","NO")</f>
        <v/>
      </c>
    </row>
    <row r="1861">
      <c r="A1861" t="inlineStr">
        <is>
          <t>c59f2_training</t>
        </is>
      </c>
      <c r="B1861" t="inlineStr">
        <is>
          <t>2026-07-03 15:17:38.321</t>
        </is>
      </c>
      <c r="C1861" t="n">
        <v/>
      </c>
      <c r="D1861" t="inlineStr">
        <is>
          <t>Media file</t>
        </is>
      </c>
      <c r="E1861" t="inlineStr">
        <is>
          <t>player #1:C:/Users/manuel.felline/Documents/BEHAVIOR BTBR/NOR second cohort/WT/training/c59_f2.mp4</t>
        </is>
      </c>
      <c r="F1861" t="n">
        <v>-9.933</v>
      </c>
      <c r="G1861" t="n">
        <v>457.066</v>
      </c>
      <c r="H1861" t="n">
        <v>636.933</v>
      </c>
      <c r="I1861" t="n">
        <v>30</v>
      </c>
      <c r="J1861" t="inlineStr">
        <is>
          <t xml:space="preserve"> WT</t>
        </is>
      </c>
      <c r="K1861" t="inlineStr">
        <is>
          <t xml:space="preserve"> Female</t>
        </is>
      </c>
      <c r="L1861" t="inlineStr">
        <is>
          <t>No focal subject</t>
        </is>
      </c>
      <c r="M1861" t="n">
        <v>19.199</v>
      </c>
      <c r="N1861" t="inlineStr">
        <is>
          <t>Explore_F2</t>
        </is>
      </c>
      <c r="O1861" t="inlineStr">
        <is>
          <t>Second familiar</t>
        </is>
      </c>
      <c r="P1861" t="inlineStr">
        <is>
          <t>STATE</t>
        </is>
      </c>
      <c r="Q1861" t="n">
        <v>140.667</v>
      </c>
      <c r="R1861" t="n">
        <v>140.967</v>
      </c>
      <c r="S1861" t="n">
        <v>0.3</v>
      </c>
      <c r="T1861" t="inlineStr">
        <is>
          <t>C:/Users/manuel.felline/Documents/BEHAVIOR BTBR/NOR second cohort/WT/training/c59_f2.mp4</t>
        </is>
      </c>
      <c r="U1861" t="n">
        <v>4509</v>
      </c>
      <c r="V1861" t="n">
        <v>4518</v>
      </c>
      <c r="W1861" t="n">
        <v/>
      </c>
      <c r="X1861" t="n">
        <v/>
      </c>
      <c r="Y1861" t="n">
        <v/>
      </c>
      <c r="Z1861" t="n">
        <v/>
      </c>
      <c r="AA1861">
        <f>SUMIFS($S$2:S1861,$A$2:A1861,A1861,$N$2:N1861,"Explore*")</f>
        <v/>
      </c>
      <c r="AB1861">
        <f>IF(AND(LEFT(N1861,7)="Explore",(AA1861-IF(LEFT(N1861,7)="Explore",S1861,0))&lt;10),"SI","NO")</f>
        <v/>
      </c>
    </row>
    <row r="1862">
      <c r="A1862" t="inlineStr">
        <is>
          <t>c59f2_training</t>
        </is>
      </c>
      <c r="B1862" t="inlineStr">
        <is>
          <t>2026-07-03 15:17:38.321</t>
        </is>
      </c>
      <c r="C1862" t="n">
        <v/>
      </c>
      <c r="D1862" t="inlineStr">
        <is>
          <t>Media file</t>
        </is>
      </c>
      <c r="E1862" t="inlineStr">
        <is>
          <t>player #1:C:/Users/manuel.felline/Documents/BEHAVIOR BTBR/NOR second cohort/WT/training/c59_f2.mp4</t>
        </is>
      </c>
      <c r="F1862" t="n">
        <v>-9.933</v>
      </c>
      <c r="G1862" t="n">
        <v>457.066</v>
      </c>
      <c r="H1862" t="n">
        <v>636.933</v>
      </c>
      <c r="I1862" t="n">
        <v>30</v>
      </c>
      <c r="J1862" t="inlineStr">
        <is>
          <t xml:space="preserve"> WT</t>
        </is>
      </c>
      <c r="K1862" t="inlineStr">
        <is>
          <t xml:space="preserve"> Female</t>
        </is>
      </c>
      <c r="L1862" t="inlineStr">
        <is>
          <t>No focal subject</t>
        </is>
      </c>
      <c r="M1862" t="n">
        <v>19.199</v>
      </c>
      <c r="N1862" t="inlineStr">
        <is>
          <t>Explore_F</t>
        </is>
      </c>
      <c r="O1862" t="inlineStr">
        <is>
          <t>Familiar</t>
        </is>
      </c>
      <c r="P1862" t="inlineStr">
        <is>
          <t>STATE</t>
        </is>
      </c>
      <c r="Q1862" t="n">
        <v>149.034</v>
      </c>
      <c r="R1862" t="n">
        <v>149.934</v>
      </c>
      <c r="S1862" t="n">
        <v>0.9</v>
      </c>
      <c r="T1862" t="inlineStr">
        <is>
          <t>C:/Users/manuel.felline/Documents/BEHAVIOR BTBR/NOR second cohort/WT/training/c59_f2.mp4</t>
        </is>
      </c>
      <c r="U1862" t="n">
        <v>4759</v>
      </c>
      <c r="V1862" t="n">
        <v>4786</v>
      </c>
      <c r="W1862" t="n">
        <v/>
      </c>
      <c r="X1862" t="n">
        <v/>
      </c>
      <c r="Y1862" t="n">
        <v/>
      </c>
      <c r="Z1862" t="n">
        <v/>
      </c>
      <c r="AA1862">
        <f>SUMIFS($S$2:S1862,$A$2:A1862,A1862,$N$2:N1862,"Explore*")</f>
        <v/>
      </c>
      <c r="AB1862">
        <f>IF(AND(LEFT(N1862,7)="Explore",(AA1862-IF(LEFT(N1862,7)="Explore",S1862,0))&lt;10),"SI","NO")</f>
        <v/>
      </c>
    </row>
    <row r="1863">
      <c r="A1863" t="inlineStr">
        <is>
          <t>c59f2_training</t>
        </is>
      </c>
      <c r="B1863" t="inlineStr">
        <is>
          <t>2026-07-03 15:17:38.321</t>
        </is>
      </c>
      <c r="C1863" t="n">
        <v/>
      </c>
      <c r="D1863" t="inlineStr">
        <is>
          <t>Media file</t>
        </is>
      </c>
      <c r="E1863" t="inlineStr">
        <is>
          <t>player #1:C:/Users/manuel.felline/Documents/BEHAVIOR BTBR/NOR second cohort/WT/training/c59_f2.mp4</t>
        </is>
      </c>
      <c r="F1863" t="n">
        <v>-9.933</v>
      </c>
      <c r="G1863" t="n">
        <v>457.066</v>
      </c>
      <c r="H1863" t="n">
        <v>636.933</v>
      </c>
      <c r="I1863" t="n">
        <v>30</v>
      </c>
      <c r="J1863" t="inlineStr">
        <is>
          <t xml:space="preserve"> WT</t>
        </is>
      </c>
      <c r="K1863" t="inlineStr">
        <is>
          <t xml:space="preserve"> Female</t>
        </is>
      </c>
      <c r="L1863" t="inlineStr">
        <is>
          <t>No focal subject</t>
        </is>
      </c>
      <c r="M1863" t="n">
        <v>19.199</v>
      </c>
      <c r="N1863" t="inlineStr">
        <is>
          <t>Explore_F</t>
        </is>
      </c>
      <c r="O1863" t="inlineStr">
        <is>
          <t>Familiar</t>
        </is>
      </c>
      <c r="P1863" t="inlineStr">
        <is>
          <t>STATE</t>
        </is>
      </c>
      <c r="Q1863" t="n">
        <v>162.2</v>
      </c>
      <c r="R1863" t="n">
        <v>162.6</v>
      </c>
      <c r="S1863" t="n">
        <v>0.4</v>
      </c>
      <c r="T1863" t="inlineStr">
        <is>
          <t>C:/Users/manuel.felline/Documents/BEHAVIOR BTBR/NOR second cohort/WT/training/c59_f2.mp4</t>
        </is>
      </c>
      <c r="U1863" t="n">
        <v>5153</v>
      </c>
      <c r="V1863" t="n">
        <v>5165</v>
      </c>
      <c r="W1863" t="n">
        <v/>
      </c>
      <c r="X1863" t="n">
        <v/>
      </c>
      <c r="Y1863" t="n">
        <v/>
      </c>
      <c r="Z1863" t="n">
        <v/>
      </c>
      <c r="AA1863">
        <f>SUMIFS($S$2:S1863,$A$2:A1863,A1863,$N$2:N1863,"Explore*")</f>
        <v/>
      </c>
      <c r="AB1863">
        <f>IF(AND(LEFT(N1863,7)="Explore",(AA1863-IF(LEFT(N1863,7)="Explore",S1863,0))&lt;10),"SI","NO")</f>
        <v/>
      </c>
    </row>
    <row r="1864">
      <c r="A1864" t="inlineStr">
        <is>
          <t>c59f2_training</t>
        </is>
      </c>
      <c r="B1864" t="inlineStr">
        <is>
          <t>2026-07-03 15:17:38.321</t>
        </is>
      </c>
      <c r="C1864" t="n">
        <v/>
      </c>
      <c r="D1864" t="inlineStr">
        <is>
          <t>Media file</t>
        </is>
      </c>
      <c r="E1864" t="inlineStr">
        <is>
          <t>player #1:C:/Users/manuel.felline/Documents/BEHAVIOR BTBR/NOR second cohort/WT/training/c59_f2.mp4</t>
        </is>
      </c>
      <c r="F1864" t="n">
        <v>-9.933</v>
      </c>
      <c r="G1864" t="n">
        <v>457.066</v>
      </c>
      <c r="H1864" t="n">
        <v>636.933</v>
      </c>
      <c r="I1864" t="n">
        <v>30</v>
      </c>
      <c r="J1864" t="inlineStr">
        <is>
          <t xml:space="preserve"> WT</t>
        </is>
      </c>
      <c r="K1864" t="inlineStr">
        <is>
          <t xml:space="preserve"> Female</t>
        </is>
      </c>
      <c r="L1864" t="inlineStr">
        <is>
          <t>No focal subject</t>
        </is>
      </c>
      <c r="M1864" t="n">
        <v>19.199</v>
      </c>
      <c r="N1864" t="inlineStr">
        <is>
          <t>Explore_F2</t>
        </is>
      </c>
      <c r="O1864" t="inlineStr">
        <is>
          <t>Second familiar</t>
        </is>
      </c>
      <c r="P1864" t="inlineStr">
        <is>
          <t>STATE</t>
        </is>
      </c>
      <c r="Q1864" t="n">
        <v>272.767</v>
      </c>
      <c r="R1864" t="n">
        <v>273.6</v>
      </c>
      <c r="S1864" t="n">
        <v>0.833</v>
      </c>
      <c r="T1864" t="inlineStr">
        <is>
          <t>C:/Users/manuel.felline/Documents/BEHAVIOR BTBR/NOR second cohort/WT/training/c59_f2.mp4</t>
        </is>
      </c>
      <c r="U1864" t="n">
        <v>8464</v>
      </c>
      <c r="V1864" t="n">
        <v>8490</v>
      </c>
      <c r="W1864" t="n">
        <v/>
      </c>
      <c r="X1864" t="n">
        <v/>
      </c>
      <c r="Y1864" t="n">
        <v/>
      </c>
      <c r="Z1864" t="n">
        <v/>
      </c>
      <c r="AA1864">
        <f>SUMIFS($S$2:S1864,$A$2:A1864,A1864,$N$2:N1864,"Explore*")</f>
        <v/>
      </c>
      <c r="AB1864">
        <f>IF(AND(LEFT(N1864,7)="Explore",(AA1864-IF(LEFT(N1864,7)="Explore",S1864,0))&lt;10),"SI","NO")</f>
        <v/>
      </c>
    </row>
    <row r="1865">
      <c r="A1865" t="inlineStr">
        <is>
          <t>c59f2_training</t>
        </is>
      </c>
      <c r="B1865" t="inlineStr">
        <is>
          <t>2026-07-03 15:17:38.321</t>
        </is>
      </c>
      <c r="C1865" t="n">
        <v/>
      </c>
      <c r="D1865" t="inlineStr">
        <is>
          <t>Media file</t>
        </is>
      </c>
      <c r="E1865" t="inlineStr">
        <is>
          <t>player #1:C:/Users/manuel.felline/Documents/BEHAVIOR BTBR/NOR second cohort/WT/training/c59_f2.mp4</t>
        </is>
      </c>
      <c r="F1865" t="n">
        <v>-9.933</v>
      </c>
      <c r="G1865" t="n">
        <v>457.066</v>
      </c>
      <c r="H1865" t="n">
        <v>636.933</v>
      </c>
      <c r="I1865" t="n">
        <v>30</v>
      </c>
      <c r="J1865" t="inlineStr">
        <is>
          <t xml:space="preserve"> WT</t>
        </is>
      </c>
      <c r="K1865" t="inlineStr">
        <is>
          <t xml:space="preserve"> Female</t>
        </is>
      </c>
      <c r="L1865" t="inlineStr">
        <is>
          <t>No focal subject</t>
        </is>
      </c>
      <c r="M1865" t="n">
        <v>19.199</v>
      </c>
      <c r="N1865" t="inlineStr">
        <is>
          <t>Explore_F2</t>
        </is>
      </c>
      <c r="O1865" t="inlineStr">
        <is>
          <t>Second familiar</t>
        </is>
      </c>
      <c r="P1865" t="inlineStr">
        <is>
          <t>STATE</t>
        </is>
      </c>
      <c r="Q1865" t="n">
        <v>290.2</v>
      </c>
      <c r="R1865" t="n">
        <v>290.533</v>
      </c>
      <c r="S1865" t="n">
        <v>0.333</v>
      </c>
      <c r="T1865" t="inlineStr">
        <is>
          <t>C:/Users/manuel.felline/Documents/BEHAVIOR BTBR/NOR second cohort/WT/training/c59_f2.mp4</t>
        </is>
      </c>
      <c r="U1865" t="n">
        <v>8986</v>
      </c>
      <c r="V1865" t="n">
        <v>8996</v>
      </c>
      <c r="W1865" t="n">
        <v/>
      </c>
      <c r="X1865" t="n">
        <v/>
      </c>
      <c r="Y1865" t="n">
        <v/>
      </c>
      <c r="Z1865" t="n">
        <v/>
      </c>
      <c r="AA1865">
        <f>SUMIFS($S$2:S1865,$A$2:A1865,A1865,$N$2:N1865,"Explore*")</f>
        <v/>
      </c>
      <c r="AB1865">
        <f>IF(AND(LEFT(N1865,7)="Explore",(AA1865-IF(LEFT(N1865,7)="Explore",S1865,0))&lt;10),"SI","NO")</f>
        <v/>
      </c>
    </row>
    <row r="1866">
      <c r="A1866" t="inlineStr">
        <is>
          <t>c59f2_training</t>
        </is>
      </c>
      <c r="B1866" t="inlineStr">
        <is>
          <t>2026-07-03 15:17:38.321</t>
        </is>
      </c>
      <c r="C1866" t="n">
        <v/>
      </c>
      <c r="D1866" t="inlineStr">
        <is>
          <t>Media file</t>
        </is>
      </c>
      <c r="E1866" t="inlineStr">
        <is>
          <t>player #1:C:/Users/manuel.felline/Documents/BEHAVIOR BTBR/NOR second cohort/WT/training/c59_f2.mp4</t>
        </is>
      </c>
      <c r="F1866" t="n">
        <v>-9.933</v>
      </c>
      <c r="G1866" t="n">
        <v>457.066</v>
      </c>
      <c r="H1866" t="n">
        <v>636.933</v>
      </c>
      <c r="I1866" t="n">
        <v>30</v>
      </c>
      <c r="J1866" t="inlineStr">
        <is>
          <t xml:space="preserve"> WT</t>
        </is>
      </c>
      <c r="K1866" t="inlineStr">
        <is>
          <t xml:space="preserve"> Female</t>
        </is>
      </c>
      <c r="L1866" t="inlineStr">
        <is>
          <t>No focal subject</t>
        </is>
      </c>
      <c r="M1866" t="n">
        <v>19.199</v>
      </c>
      <c r="N1866" t="inlineStr">
        <is>
          <t>Explore_F2</t>
        </is>
      </c>
      <c r="O1866" t="inlineStr">
        <is>
          <t>Second familiar</t>
        </is>
      </c>
      <c r="P1866" t="inlineStr">
        <is>
          <t>STATE</t>
        </is>
      </c>
      <c r="Q1866" t="n">
        <v>292.467</v>
      </c>
      <c r="R1866" t="n">
        <v>292.967</v>
      </c>
      <c r="S1866" t="n">
        <v>0.5</v>
      </c>
      <c r="T1866" t="inlineStr">
        <is>
          <t>C:/Users/manuel.felline/Documents/BEHAVIOR BTBR/NOR second cohort/WT/training/c59_f2.mp4</t>
        </is>
      </c>
      <c r="U1866" t="n">
        <v>9053</v>
      </c>
      <c r="V1866" t="n">
        <v>9068</v>
      </c>
      <c r="W1866" t="n">
        <v/>
      </c>
      <c r="X1866" t="n">
        <v/>
      </c>
      <c r="Y1866" t="n">
        <v/>
      </c>
      <c r="Z1866" t="n">
        <v/>
      </c>
      <c r="AA1866">
        <f>SUMIFS($S$2:S1866,$A$2:A1866,A1866,$N$2:N1866,"Explore*")</f>
        <v/>
      </c>
      <c r="AB1866">
        <f>IF(AND(LEFT(N1866,7)="Explore",(AA1866-IF(LEFT(N1866,7)="Explore",S1866,0))&lt;10),"SI","NO")</f>
        <v/>
      </c>
    </row>
    <row r="1867">
      <c r="A1867" t="inlineStr">
        <is>
          <t>c59f2_training</t>
        </is>
      </c>
      <c r="B1867" t="inlineStr">
        <is>
          <t>2026-07-03 15:17:38.321</t>
        </is>
      </c>
      <c r="C1867" t="n">
        <v/>
      </c>
      <c r="D1867" t="inlineStr">
        <is>
          <t>Media file</t>
        </is>
      </c>
      <c r="E1867" t="inlineStr">
        <is>
          <t>player #1:C:/Users/manuel.felline/Documents/BEHAVIOR BTBR/NOR second cohort/WT/training/c59_f2.mp4</t>
        </is>
      </c>
      <c r="F1867" t="n">
        <v>-9.933</v>
      </c>
      <c r="G1867" t="n">
        <v>457.066</v>
      </c>
      <c r="H1867" t="n">
        <v>636.933</v>
      </c>
      <c r="I1867" t="n">
        <v>30</v>
      </c>
      <c r="J1867" t="inlineStr">
        <is>
          <t xml:space="preserve"> WT</t>
        </is>
      </c>
      <c r="K1867" t="inlineStr">
        <is>
          <t xml:space="preserve"> Female</t>
        </is>
      </c>
      <c r="L1867" t="inlineStr">
        <is>
          <t>No focal subject</t>
        </is>
      </c>
      <c r="M1867" t="n">
        <v>19.199</v>
      </c>
      <c r="N1867" t="inlineStr">
        <is>
          <t>Explore_F</t>
        </is>
      </c>
      <c r="O1867" t="inlineStr">
        <is>
          <t>Familiar</t>
        </is>
      </c>
      <c r="P1867" t="inlineStr">
        <is>
          <t>STATE</t>
        </is>
      </c>
      <c r="Q1867" t="n">
        <v>313.3</v>
      </c>
      <c r="R1867" t="n">
        <v>314.233</v>
      </c>
      <c r="S1867" t="n">
        <v>0.9330000000000001</v>
      </c>
      <c r="T1867" t="inlineStr">
        <is>
          <t>C:/Users/manuel.felline/Documents/BEHAVIOR BTBR/NOR second cohort/WT/training/c59_f2.mp4</t>
        </is>
      </c>
      <c r="U1867" t="n">
        <v>9677</v>
      </c>
      <c r="V1867" t="n">
        <v>9705</v>
      </c>
      <c r="W1867" t="n">
        <v/>
      </c>
      <c r="X1867" t="n">
        <v/>
      </c>
      <c r="Y1867" t="n">
        <v/>
      </c>
      <c r="Z1867" t="n">
        <v/>
      </c>
      <c r="AA1867">
        <f>SUMIFS($S$2:S1867,$A$2:A1867,A1867,$N$2:N1867,"Explore*")</f>
        <v/>
      </c>
      <c r="AB1867">
        <f>IF(AND(LEFT(N1867,7)="Explore",(AA1867-IF(LEFT(N1867,7)="Explore",S1867,0))&lt;10),"SI","NO")</f>
        <v/>
      </c>
    </row>
    <row r="1868">
      <c r="A1868" t="inlineStr">
        <is>
          <t>c59f2_training</t>
        </is>
      </c>
      <c r="B1868" t="inlineStr">
        <is>
          <t>2026-07-03 15:17:38.321</t>
        </is>
      </c>
      <c r="C1868" t="n">
        <v/>
      </c>
      <c r="D1868" t="inlineStr">
        <is>
          <t>Media file</t>
        </is>
      </c>
      <c r="E1868" t="inlineStr">
        <is>
          <t>player #1:C:/Users/manuel.felline/Documents/BEHAVIOR BTBR/NOR second cohort/WT/training/c59_f2.mp4</t>
        </is>
      </c>
      <c r="F1868" t="n">
        <v>-9.933</v>
      </c>
      <c r="G1868" t="n">
        <v>457.066</v>
      </c>
      <c r="H1868" t="n">
        <v>636.933</v>
      </c>
      <c r="I1868" t="n">
        <v>30</v>
      </c>
      <c r="J1868" t="inlineStr">
        <is>
          <t xml:space="preserve"> WT</t>
        </is>
      </c>
      <c r="K1868" t="inlineStr">
        <is>
          <t xml:space="preserve"> Female</t>
        </is>
      </c>
      <c r="L1868" t="inlineStr">
        <is>
          <t>No focal subject</t>
        </is>
      </c>
      <c r="M1868" t="n">
        <v>19.199</v>
      </c>
      <c r="N1868" t="inlineStr">
        <is>
          <t>Explore_F</t>
        </is>
      </c>
      <c r="O1868" t="inlineStr">
        <is>
          <t>Familiar</t>
        </is>
      </c>
      <c r="P1868" t="inlineStr">
        <is>
          <t>STATE</t>
        </is>
      </c>
      <c r="Q1868" t="n">
        <v>320.167</v>
      </c>
      <c r="R1868" t="n">
        <v>320.633</v>
      </c>
      <c r="S1868" t="n">
        <v>0.466</v>
      </c>
      <c r="T1868" t="inlineStr">
        <is>
          <t>C:/Users/manuel.felline/Documents/BEHAVIOR BTBR/NOR second cohort/WT/training/c59_f2.mp4</t>
        </is>
      </c>
      <c r="U1868" t="n">
        <v>9883</v>
      </c>
      <c r="V1868" t="n">
        <v>9897</v>
      </c>
      <c r="W1868" t="n">
        <v/>
      </c>
      <c r="X1868" t="n">
        <v/>
      </c>
      <c r="Y1868" t="n">
        <v/>
      </c>
      <c r="Z1868" t="n">
        <v/>
      </c>
      <c r="AA1868">
        <f>SUMIFS($S$2:S1868,$A$2:A1868,A1868,$N$2:N1868,"Explore*")</f>
        <v/>
      </c>
      <c r="AB1868">
        <f>IF(AND(LEFT(N1868,7)="Explore",(AA1868-IF(LEFT(N1868,7)="Explore",S1868,0))&lt;10),"SI","NO")</f>
        <v/>
      </c>
    </row>
    <row r="1869">
      <c r="A1869" t="inlineStr">
        <is>
          <t>c59f2_training</t>
        </is>
      </c>
      <c r="B1869" t="inlineStr">
        <is>
          <t>2026-07-03 15:17:38.321</t>
        </is>
      </c>
      <c r="C1869" t="n">
        <v/>
      </c>
      <c r="D1869" t="inlineStr">
        <is>
          <t>Media file</t>
        </is>
      </c>
      <c r="E1869" t="inlineStr">
        <is>
          <t>player #1:C:/Users/manuel.felline/Documents/BEHAVIOR BTBR/NOR second cohort/WT/training/c59_f2.mp4</t>
        </is>
      </c>
      <c r="F1869" t="n">
        <v>-9.933</v>
      </c>
      <c r="G1869" t="n">
        <v>457.066</v>
      </c>
      <c r="H1869" t="n">
        <v>636.933</v>
      </c>
      <c r="I1869" t="n">
        <v>30</v>
      </c>
      <c r="J1869" t="inlineStr">
        <is>
          <t xml:space="preserve"> WT</t>
        </is>
      </c>
      <c r="K1869" t="inlineStr">
        <is>
          <t xml:space="preserve"> Female</t>
        </is>
      </c>
      <c r="L1869" t="inlineStr">
        <is>
          <t>No focal subject</t>
        </is>
      </c>
      <c r="M1869" t="n">
        <v>19.199</v>
      </c>
      <c r="N1869" t="inlineStr">
        <is>
          <t>Explore_F2</t>
        </is>
      </c>
      <c r="O1869" t="inlineStr">
        <is>
          <t>Second familiar</t>
        </is>
      </c>
      <c r="P1869" t="inlineStr">
        <is>
          <t>STATE</t>
        </is>
      </c>
      <c r="Q1869" t="n">
        <v>324.767</v>
      </c>
      <c r="R1869" t="n">
        <v>325.033</v>
      </c>
      <c r="S1869" t="n">
        <v>0.266</v>
      </c>
      <c r="T1869" t="inlineStr">
        <is>
          <t>C:/Users/manuel.felline/Documents/BEHAVIOR BTBR/NOR second cohort/WT/training/c59_f2.mp4</t>
        </is>
      </c>
      <c r="U1869" t="n">
        <v>10020</v>
      </c>
      <c r="V1869" t="n">
        <v>10028</v>
      </c>
      <c r="W1869" t="n">
        <v/>
      </c>
      <c r="X1869" t="n">
        <v/>
      </c>
      <c r="Y1869" t="n">
        <v/>
      </c>
      <c r="Z1869" t="n">
        <v/>
      </c>
      <c r="AA1869">
        <f>SUMIFS($S$2:S1869,$A$2:A1869,A1869,$N$2:N1869,"Explore*")</f>
        <v/>
      </c>
      <c r="AB1869">
        <f>IF(AND(LEFT(N1869,7)="Explore",(AA1869-IF(LEFT(N1869,7)="Explore",S1869,0))&lt;10),"SI","NO")</f>
        <v/>
      </c>
    </row>
    <row r="1870">
      <c r="A1870" t="inlineStr">
        <is>
          <t>c59f2_training</t>
        </is>
      </c>
      <c r="B1870" t="inlineStr">
        <is>
          <t>2026-07-03 15:17:38.321</t>
        </is>
      </c>
      <c r="C1870" t="n">
        <v/>
      </c>
      <c r="D1870" t="inlineStr">
        <is>
          <t>Media file</t>
        </is>
      </c>
      <c r="E1870" t="inlineStr">
        <is>
          <t>player #1:C:/Users/manuel.felline/Documents/BEHAVIOR BTBR/NOR second cohort/WT/training/c59_f2.mp4</t>
        </is>
      </c>
      <c r="F1870" t="n">
        <v>-9.933</v>
      </c>
      <c r="G1870" t="n">
        <v>457.066</v>
      </c>
      <c r="H1870" t="n">
        <v>636.933</v>
      </c>
      <c r="I1870" t="n">
        <v>30</v>
      </c>
      <c r="J1870" t="inlineStr">
        <is>
          <t xml:space="preserve"> WT</t>
        </is>
      </c>
      <c r="K1870" t="inlineStr">
        <is>
          <t xml:space="preserve"> Female</t>
        </is>
      </c>
      <c r="L1870" t="inlineStr">
        <is>
          <t>No focal subject</t>
        </is>
      </c>
      <c r="M1870" t="n">
        <v>19.199</v>
      </c>
      <c r="N1870" t="inlineStr">
        <is>
          <t>Explore_F</t>
        </is>
      </c>
      <c r="O1870" t="inlineStr">
        <is>
          <t>Familiar</t>
        </is>
      </c>
      <c r="P1870" t="inlineStr">
        <is>
          <t>STATE</t>
        </is>
      </c>
      <c r="Q1870" t="n">
        <v>325.633</v>
      </c>
      <c r="R1870" t="n">
        <v>325.933</v>
      </c>
      <c r="S1870" t="n">
        <v>0.3</v>
      </c>
      <c r="T1870" t="inlineStr">
        <is>
          <t>C:/Users/manuel.felline/Documents/BEHAVIOR BTBR/NOR second cohort/WT/training/c59_f2.mp4</t>
        </is>
      </c>
      <c r="U1870" t="n">
        <v>10046</v>
      </c>
      <c r="V1870" t="n">
        <v>10055</v>
      </c>
      <c r="W1870" t="n">
        <v/>
      </c>
      <c r="X1870" t="n">
        <v/>
      </c>
      <c r="Y1870" t="n">
        <v/>
      </c>
      <c r="Z1870" t="n">
        <v/>
      </c>
      <c r="AA1870">
        <f>SUMIFS($S$2:S1870,$A$2:A1870,A1870,$N$2:N1870,"Explore*")</f>
        <v/>
      </c>
      <c r="AB1870">
        <f>IF(AND(LEFT(N1870,7)="Explore",(AA1870-IF(LEFT(N1870,7)="Explore",S1870,0))&lt;10),"SI","NO")</f>
        <v/>
      </c>
    </row>
    <row r="1871">
      <c r="A1871" t="inlineStr">
        <is>
          <t>c59f2_training</t>
        </is>
      </c>
      <c r="B1871" t="inlineStr">
        <is>
          <t>2026-07-03 15:17:38.321</t>
        </is>
      </c>
      <c r="C1871" t="n">
        <v/>
      </c>
      <c r="D1871" t="inlineStr">
        <is>
          <t>Media file</t>
        </is>
      </c>
      <c r="E1871" t="inlineStr">
        <is>
          <t>player #1:C:/Users/manuel.felline/Documents/BEHAVIOR BTBR/NOR second cohort/WT/training/c59_f2.mp4</t>
        </is>
      </c>
      <c r="F1871" t="n">
        <v>-9.933</v>
      </c>
      <c r="G1871" t="n">
        <v>457.066</v>
      </c>
      <c r="H1871" t="n">
        <v>636.933</v>
      </c>
      <c r="I1871" t="n">
        <v>30</v>
      </c>
      <c r="J1871" t="inlineStr">
        <is>
          <t xml:space="preserve"> WT</t>
        </is>
      </c>
      <c r="K1871" t="inlineStr">
        <is>
          <t xml:space="preserve"> Female</t>
        </is>
      </c>
      <c r="L1871" t="inlineStr">
        <is>
          <t>No focal subject</t>
        </is>
      </c>
      <c r="M1871" t="n">
        <v>19.199</v>
      </c>
      <c r="N1871" t="inlineStr">
        <is>
          <t>Explore_F2</t>
        </is>
      </c>
      <c r="O1871" t="inlineStr">
        <is>
          <t>Second familiar</t>
        </is>
      </c>
      <c r="P1871" t="inlineStr">
        <is>
          <t>STATE</t>
        </is>
      </c>
      <c r="Q1871" t="n">
        <v>339.633</v>
      </c>
      <c r="R1871" t="n">
        <v>340.1</v>
      </c>
      <c r="S1871" t="n">
        <v>0.467</v>
      </c>
      <c r="T1871" t="inlineStr">
        <is>
          <t>C:/Users/manuel.felline/Documents/BEHAVIOR BTBR/NOR second cohort/WT/training/c59_f2.mp4</t>
        </is>
      </c>
      <c r="U1871" t="n">
        <v>10466</v>
      </c>
      <c r="V1871" t="n">
        <v>10479</v>
      </c>
      <c r="W1871" t="n">
        <v/>
      </c>
      <c r="X1871" t="n">
        <v/>
      </c>
      <c r="Y1871" t="n">
        <v/>
      </c>
      <c r="Z1871" t="n">
        <v/>
      </c>
      <c r="AA1871">
        <f>SUMIFS($S$2:S1871,$A$2:A1871,A1871,$N$2:N1871,"Explore*")</f>
        <v/>
      </c>
      <c r="AB1871">
        <f>IF(AND(LEFT(N1871,7)="Explore",(AA1871-IF(LEFT(N1871,7)="Explore",S1871,0))&lt;10),"SI","NO")</f>
        <v/>
      </c>
    </row>
    <row r="1872">
      <c r="A1872" t="inlineStr">
        <is>
          <t>c59f2_training</t>
        </is>
      </c>
      <c r="B1872" t="inlineStr">
        <is>
          <t>2026-07-03 15:17:38.321</t>
        </is>
      </c>
      <c r="C1872" t="n">
        <v/>
      </c>
      <c r="D1872" t="inlineStr">
        <is>
          <t>Media file</t>
        </is>
      </c>
      <c r="E1872" t="inlineStr">
        <is>
          <t>player #1:C:/Users/manuel.felline/Documents/BEHAVIOR BTBR/NOR second cohort/WT/training/c59_f2.mp4</t>
        </is>
      </c>
      <c r="F1872" t="n">
        <v>-9.933</v>
      </c>
      <c r="G1872" t="n">
        <v>457.066</v>
      </c>
      <c r="H1872" t="n">
        <v>636.933</v>
      </c>
      <c r="I1872" t="n">
        <v>30</v>
      </c>
      <c r="J1872" t="inlineStr">
        <is>
          <t xml:space="preserve"> WT</t>
        </is>
      </c>
      <c r="K1872" t="inlineStr">
        <is>
          <t xml:space="preserve"> Female</t>
        </is>
      </c>
      <c r="L1872" t="inlineStr">
        <is>
          <t>No focal subject</t>
        </is>
      </c>
      <c r="M1872" t="n">
        <v>19.199</v>
      </c>
      <c r="N1872" t="inlineStr">
        <is>
          <t>Explore_F2</t>
        </is>
      </c>
      <c r="O1872" t="inlineStr">
        <is>
          <t>Second familiar</t>
        </is>
      </c>
      <c r="P1872" t="inlineStr">
        <is>
          <t>STATE</t>
        </is>
      </c>
      <c r="Q1872" t="n">
        <v>350.533</v>
      </c>
      <c r="R1872" t="n">
        <v>350.8</v>
      </c>
      <c r="S1872" t="n">
        <v>0.267</v>
      </c>
      <c r="T1872" t="inlineStr">
        <is>
          <t>C:/Users/manuel.felline/Documents/BEHAVIOR BTBR/NOR second cohort/WT/training/c59_f2.mp4</t>
        </is>
      </c>
      <c r="U1872" t="n">
        <v>10792</v>
      </c>
      <c r="V1872" t="n">
        <v>10800</v>
      </c>
      <c r="W1872" t="n">
        <v/>
      </c>
      <c r="X1872" t="n">
        <v/>
      </c>
      <c r="Y1872" t="n">
        <v/>
      </c>
      <c r="Z1872" t="n">
        <v/>
      </c>
      <c r="AA1872">
        <f>SUMIFS($S$2:S1872,$A$2:A1872,A1872,$N$2:N1872,"Explore*")</f>
        <v/>
      </c>
      <c r="AB1872">
        <f>IF(AND(LEFT(N1872,7)="Explore",(AA1872-IF(LEFT(N1872,7)="Explore",S1872,0))&lt;10),"SI","NO")</f>
        <v/>
      </c>
    </row>
    <row r="1873">
      <c r="A1873" t="inlineStr">
        <is>
          <t>c59f2_training</t>
        </is>
      </c>
      <c r="B1873" t="inlineStr">
        <is>
          <t>2026-07-03 15:17:38.321</t>
        </is>
      </c>
      <c r="C1873" t="n">
        <v/>
      </c>
      <c r="D1873" t="inlineStr">
        <is>
          <t>Media file</t>
        </is>
      </c>
      <c r="E1873" t="inlineStr">
        <is>
          <t>player #1:C:/Users/manuel.felline/Documents/BEHAVIOR BTBR/NOR second cohort/WT/training/c59_f2.mp4</t>
        </is>
      </c>
      <c r="F1873" t="n">
        <v>-9.933</v>
      </c>
      <c r="G1873" t="n">
        <v>457.066</v>
      </c>
      <c r="H1873" t="n">
        <v>636.933</v>
      </c>
      <c r="I1873" t="n">
        <v>30</v>
      </c>
      <c r="J1873" t="inlineStr">
        <is>
          <t xml:space="preserve"> WT</t>
        </is>
      </c>
      <c r="K1873" t="inlineStr">
        <is>
          <t xml:space="preserve"> Female</t>
        </is>
      </c>
      <c r="L1873" t="inlineStr">
        <is>
          <t>No focal subject</t>
        </is>
      </c>
      <c r="M1873" t="n">
        <v>19.199</v>
      </c>
      <c r="N1873" t="inlineStr">
        <is>
          <t>Explore_F</t>
        </is>
      </c>
      <c r="O1873" t="inlineStr">
        <is>
          <t>Familiar</t>
        </is>
      </c>
      <c r="P1873" t="inlineStr">
        <is>
          <t>STATE</t>
        </is>
      </c>
      <c r="Q1873" t="n">
        <v>373.667</v>
      </c>
      <c r="R1873" t="n">
        <v>375</v>
      </c>
      <c r="S1873" t="n">
        <v>1.333</v>
      </c>
      <c r="T1873" t="inlineStr">
        <is>
          <t>C:/Users/manuel.felline/Documents/BEHAVIOR BTBR/NOR second cohort/WT/training/c59_f2.mp4</t>
        </is>
      </c>
      <c r="U1873" t="n">
        <v>11484</v>
      </c>
      <c r="V1873" t="n">
        <v>11524</v>
      </c>
      <c r="W1873" t="n">
        <v/>
      </c>
      <c r="X1873" t="n">
        <v/>
      </c>
      <c r="Y1873" t="n">
        <v/>
      </c>
      <c r="Z1873" t="n">
        <v/>
      </c>
      <c r="AA1873">
        <f>SUMIFS($S$2:S1873,$A$2:A1873,A1873,$N$2:N1873,"Explore*")</f>
        <v/>
      </c>
      <c r="AB1873">
        <f>IF(AND(LEFT(N1873,7)="Explore",(AA1873-IF(LEFT(N1873,7)="Explore",S1873,0))&lt;10),"SI","NO")</f>
        <v/>
      </c>
    </row>
    <row r="1874">
      <c r="A1874" t="inlineStr">
        <is>
          <t>c59f2_training</t>
        </is>
      </c>
      <c r="B1874" t="inlineStr">
        <is>
          <t>2026-07-03 15:17:38.321</t>
        </is>
      </c>
      <c r="C1874" t="n">
        <v/>
      </c>
      <c r="D1874" t="inlineStr">
        <is>
          <t>Media file</t>
        </is>
      </c>
      <c r="E1874" t="inlineStr">
        <is>
          <t>player #1:C:/Users/manuel.felline/Documents/BEHAVIOR BTBR/NOR second cohort/WT/training/c59_f2.mp4</t>
        </is>
      </c>
      <c r="F1874" t="n">
        <v>-9.933</v>
      </c>
      <c r="G1874" t="n">
        <v>457.066</v>
      </c>
      <c r="H1874" t="n">
        <v>636.933</v>
      </c>
      <c r="I1874" t="n">
        <v>30</v>
      </c>
      <c r="J1874" t="inlineStr">
        <is>
          <t xml:space="preserve"> WT</t>
        </is>
      </c>
      <c r="K1874" t="inlineStr">
        <is>
          <t xml:space="preserve"> Female</t>
        </is>
      </c>
      <c r="L1874" t="inlineStr">
        <is>
          <t>No focal subject</t>
        </is>
      </c>
      <c r="M1874" t="n">
        <v>19.199</v>
      </c>
      <c r="N1874" t="inlineStr">
        <is>
          <t>Explore_F2</t>
        </is>
      </c>
      <c r="O1874" t="inlineStr">
        <is>
          <t>Second familiar</t>
        </is>
      </c>
      <c r="P1874" t="inlineStr">
        <is>
          <t>STATE</t>
        </is>
      </c>
      <c r="Q1874" t="n">
        <v>383.7</v>
      </c>
      <c r="R1874" t="n">
        <v>384.5</v>
      </c>
      <c r="S1874" t="n">
        <v>0.8</v>
      </c>
      <c r="T1874" t="inlineStr">
        <is>
          <t>C:/Users/manuel.felline/Documents/BEHAVIOR BTBR/NOR second cohort/WT/training/c59_f2.mp4</t>
        </is>
      </c>
      <c r="U1874" t="n">
        <v>11785</v>
      </c>
      <c r="V1874" t="n">
        <v>11810</v>
      </c>
      <c r="W1874" t="n">
        <v/>
      </c>
      <c r="X1874" t="n">
        <v/>
      </c>
      <c r="Y1874" t="n">
        <v/>
      </c>
      <c r="Z1874" t="n">
        <v/>
      </c>
      <c r="AA1874">
        <f>SUMIFS($S$2:S1874,$A$2:A1874,A1874,$N$2:N1874,"Explore*")</f>
        <v/>
      </c>
      <c r="AB1874">
        <f>IF(AND(LEFT(N1874,7)="Explore",(AA1874-IF(LEFT(N1874,7)="Explore",S1874,0))&lt;10),"SI","NO")</f>
        <v/>
      </c>
    </row>
    <row r="1875">
      <c r="A1875" t="inlineStr">
        <is>
          <t>c59f2_training</t>
        </is>
      </c>
      <c r="B1875" t="inlineStr">
        <is>
          <t>2026-07-03 15:17:38.321</t>
        </is>
      </c>
      <c r="C1875" t="n">
        <v/>
      </c>
      <c r="D1875" t="inlineStr">
        <is>
          <t>Media file</t>
        </is>
      </c>
      <c r="E1875" t="inlineStr">
        <is>
          <t>player #1:C:/Users/manuel.felline/Documents/BEHAVIOR BTBR/NOR second cohort/WT/training/c59_f2.mp4</t>
        </is>
      </c>
      <c r="F1875" t="n">
        <v>-9.933</v>
      </c>
      <c r="G1875" t="n">
        <v>457.066</v>
      </c>
      <c r="H1875" t="n">
        <v>636.933</v>
      </c>
      <c r="I1875" t="n">
        <v>30</v>
      </c>
      <c r="J1875" t="inlineStr">
        <is>
          <t xml:space="preserve"> WT</t>
        </is>
      </c>
      <c r="K1875" t="inlineStr">
        <is>
          <t xml:space="preserve"> Female</t>
        </is>
      </c>
      <c r="L1875" t="inlineStr">
        <is>
          <t>No focal subject</t>
        </is>
      </c>
      <c r="M1875" t="n">
        <v>19.199</v>
      </c>
      <c r="N1875" t="inlineStr">
        <is>
          <t>Explore_F2</t>
        </is>
      </c>
      <c r="O1875" t="inlineStr">
        <is>
          <t>Second familiar</t>
        </is>
      </c>
      <c r="P1875" t="inlineStr">
        <is>
          <t>STATE</t>
        </is>
      </c>
      <c r="Q1875" t="n">
        <v>391.633</v>
      </c>
      <c r="R1875" t="n">
        <v>391.9</v>
      </c>
      <c r="S1875" t="n">
        <v>0.267</v>
      </c>
      <c r="T1875" t="inlineStr">
        <is>
          <t>C:/Users/manuel.felline/Documents/BEHAVIOR BTBR/NOR second cohort/WT/training/c59_f2.mp4</t>
        </is>
      </c>
      <c r="U1875" t="n">
        <v>12022</v>
      </c>
      <c r="V1875" t="n">
        <v>12030</v>
      </c>
      <c r="W1875" t="n">
        <v/>
      </c>
      <c r="X1875" t="n">
        <v/>
      </c>
      <c r="Y1875" t="n">
        <v/>
      </c>
      <c r="Z1875" t="n">
        <v/>
      </c>
      <c r="AA1875">
        <f>SUMIFS($S$2:S1875,$A$2:A1875,A1875,$N$2:N1875,"Explore*")</f>
        <v/>
      </c>
      <c r="AB1875">
        <f>IF(AND(LEFT(N1875,7)="Explore",(AA1875-IF(LEFT(N1875,7)="Explore",S1875,0))&lt;10),"SI","NO")</f>
        <v/>
      </c>
    </row>
    <row r="1876">
      <c r="A1876" t="inlineStr">
        <is>
          <t>c59f2_training</t>
        </is>
      </c>
      <c r="B1876" t="inlineStr">
        <is>
          <t>2026-07-03 15:17:38.321</t>
        </is>
      </c>
      <c r="C1876" t="n">
        <v/>
      </c>
      <c r="D1876" t="inlineStr">
        <is>
          <t>Media file</t>
        </is>
      </c>
      <c r="E1876" t="inlineStr">
        <is>
          <t>player #1:C:/Users/manuel.felline/Documents/BEHAVIOR BTBR/NOR second cohort/WT/training/c59_f2.mp4</t>
        </is>
      </c>
      <c r="F1876" t="n">
        <v>-9.933</v>
      </c>
      <c r="G1876" t="n">
        <v>457.066</v>
      </c>
      <c r="H1876" t="n">
        <v>636.933</v>
      </c>
      <c r="I1876" t="n">
        <v>30</v>
      </c>
      <c r="J1876" t="inlineStr">
        <is>
          <t xml:space="preserve"> WT</t>
        </is>
      </c>
      <c r="K1876" t="inlineStr">
        <is>
          <t xml:space="preserve"> Female</t>
        </is>
      </c>
      <c r="L1876" t="inlineStr">
        <is>
          <t>No focal subject</t>
        </is>
      </c>
      <c r="M1876" t="n">
        <v>19.199</v>
      </c>
      <c r="N1876" t="inlineStr">
        <is>
          <t>Explore_F</t>
        </is>
      </c>
      <c r="O1876" t="inlineStr">
        <is>
          <t>Familiar</t>
        </is>
      </c>
      <c r="P1876" t="inlineStr">
        <is>
          <t>STATE</t>
        </is>
      </c>
      <c r="Q1876" t="n">
        <v>457.633</v>
      </c>
      <c r="R1876" t="n">
        <v>459.833</v>
      </c>
      <c r="S1876" t="n">
        <v>2.2</v>
      </c>
      <c r="T1876" t="inlineStr">
        <is>
          <t>C:/Users/manuel.felline/Documents/BEHAVIOR BTBR/NOR second cohort/WT/training/c59_f2.mp4</t>
        </is>
      </c>
      <c r="U1876" t="n">
        <v>13998</v>
      </c>
      <c r="V1876" t="n">
        <v>14064</v>
      </c>
      <c r="W1876" t="n">
        <v/>
      </c>
      <c r="X1876" t="n">
        <v/>
      </c>
      <c r="Y1876" t="n">
        <v/>
      </c>
      <c r="Z1876" t="n">
        <v/>
      </c>
      <c r="AA1876">
        <f>SUMIFS($S$2:S1876,$A$2:A1876,A1876,$N$2:N1876,"Explore*")</f>
        <v/>
      </c>
      <c r="AB1876">
        <f>IF(AND(LEFT(N1876,7)="Explore",(AA1876-IF(LEFT(N1876,7)="Explore",S1876,0))&lt;10),"SI","NO")</f>
        <v/>
      </c>
    </row>
    <row r="1877">
      <c r="A1877" t="inlineStr">
        <is>
          <t>c59f2_training</t>
        </is>
      </c>
      <c r="B1877" t="inlineStr">
        <is>
          <t>2026-07-03 15:17:38.321</t>
        </is>
      </c>
      <c r="C1877" t="n">
        <v/>
      </c>
      <c r="D1877" t="inlineStr">
        <is>
          <t>Media file</t>
        </is>
      </c>
      <c r="E1877" t="inlineStr">
        <is>
          <t>player #1:C:/Users/manuel.felline/Documents/BEHAVIOR BTBR/NOR second cohort/WT/training/c59_f2.mp4</t>
        </is>
      </c>
      <c r="F1877" t="n">
        <v>-9.933</v>
      </c>
      <c r="G1877" t="n">
        <v>457.066</v>
      </c>
      <c r="H1877" t="n">
        <v>636.933</v>
      </c>
      <c r="I1877" t="n">
        <v>30</v>
      </c>
      <c r="J1877" t="inlineStr">
        <is>
          <t xml:space="preserve"> WT</t>
        </is>
      </c>
      <c r="K1877" t="inlineStr">
        <is>
          <t xml:space="preserve"> Female</t>
        </is>
      </c>
      <c r="L1877" t="inlineStr">
        <is>
          <t>No focal subject</t>
        </is>
      </c>
      <c r="M1877" t="n">
        <v>19.199</v>
      </c>
      <c r="N1877" t="inlineStr">
        <is>
          <t>Explore_F2</t>
        </is>
      </c>
      <c r="O1877" t="inlineStr">
        <is>
          <t>Second familiar</t>
        </is>
      </c>
      <c r="P1877" t="inlineStr">
        <is>
          <t>STATE</t>
        </is>
      </c>
      <c r="Q1877" t="n">
        <v>462.667</v>
      </c>
      <c r="R1877" t="n">
        <v>463.2</v>
      </c>
      <c r="S1877" t="n">
        <v>0.533</v>
      </c>
      <c r="T1877" t="inlineStr">
        <is>
          <t>C:/Users/manuel.felline/Documents/BEHAVIOR BTBR/NOR second cohort/WT/training/c59_f2.mp4</t>
        </is>
      </c>
      <c r="U1877" t="n">
        <v>14149</v>
      </c>
      <c r="V1877" t="n">
        <v>14165</v>
      </c>
      <c r="W1877" t="n">
        <v/>
      </c>
      <c r="X1877" t="n">
        <v/>
      </c>
      <c r="Y1877" t="n">
        <v/>
      </c>
      <c r="Z1877" t="n">
        <v/>
      </c>
      <c r="AA1877">
        <f>SUMIFS($S$2:S1877,$A$2:A1877,A1877,$N$2:N1877,"Explore*")</f>
        <v/>
      </c>
      <c r="AB1877">
        <f>IF(AND(LEFT(N1877,7)="Explore",(AA1877-IF(LEFT(N1877,7)="Explore",S1877,0))&lt;10),"SI","NO")</f>
        <v/>
      </c>
    </row>
    <row r="1878">
      <c r="A1878" t="inlineStr">
        <is>
          <t>c59f2_training</t>
        </is>
      </c>
      <c r="B1878" t="inlineStr">
        <is>
          <t>2026-07-03 15:17:38.321</t>
        </is>
      </c>
      <c r="C1878" t="n">
        <v/>
      </c>
      <c r="D1878" t="inlineStr">
        <is>
          <t>Media file</t>
        </is>
      </c>
      <c r="E1878" t="inlineStr">
        <is>
          <t>player #1:C:/Users/manuel.felline/Documents/BEHAVIOR BTBR/NOR second cohort/WT/training/c59_f2.mp4</t>
        </is>
      </c>
      <c r="F1878" t="n">
        <v>-9.933</v>
      </c>
      <c r="G1878" t="n">
        <v>457.066</v>
      </c>
      <c r="H1878" t="n">
        <v>636.933</v>
      </c>
      <c r="I1878" t="n">
        <v>30</v>
      </c>
      <c r="J1878" t="inlineStr">
        <is>
          <t xml:space="preserve"> WT</t>
        </is>
      </c>
      <c r="K1878" t="inlineStr">
        <is>
          <t xml:space="preserve"> Female</t>
        </is>
      </c>
      <c r="L1878" t="inlineStr">
        <is>
          <t>No focal subject</t>
        </is>
      </c>
      <c r="M1878" t="n">
        <v>19.199</v>
      </c>
      <c r="N1878" t="inlineStr">
        <is>
          <t>Explore_F</t>
        </is>
      </c>
      <c r="O1878" t="inlineStr">
        <is>
          <t>Familiar</t>
        </is>
      </c>
      <c r="P1878" t="inlineStr">
        <is>
          <t>STATE</t>
        </is>
      </c>
      <c r="Q1878" t="n">
        <v>466.133</v>
      </c>
      <c r="R1878" t="n">
        <v>467.033</v>
      </c>
      <c r="S1878" t="n">
        <v>0.9</v>
      </c>
      <c r="T1878" t="inlineStr">
        <is>
          <t>C:/Users/manuel.felline/Documents/BEHAVIOR BTBR/NOR second cohort/WT/training/c59_f2.mp4</t>
        </is>
      </c>
      <c r="U1878" t="n">
        <v>14253</v>
      </c>
      <c r="V1878" t="n">
        <v>14280</v>
      </c>
      <c r="W1878" t="n">
        <v/>
      </c>
      <c r="X1878" t="n">
        <v/>
      </c>
      <c r="Y1878" t="n">
        <v/>
      </c>
      <c r="Z1878" t="n">
        <v/>
      </c>
      <c r="AA1878">
        <f>SUMIFS($S$2:S1878,$A$2:A1878,A1878,$N$2:N1878,"Explore*")</f>
        <v/>
      </c>
      <c r="AB1878">
        <f>IF(AND(LEFT(N1878,7)="Explore",(AA1878-IF(LEFT(N1878,7)="Explore",S1878,0))&lt;10),"SI","NO")</f>
        <v/>
      </c>
    </row>
    <row r="1879">
      <c r="A1879" t="inlineStr">
        <is>
          <t>c59f2_training</t>
        </is>
      </c>
      <c r="B1879" t="inlineStr">
        <is>
          <t>2026-07-03 15:17:38.321</t>
        </is>
      </c>
      <c r="C1879" t="n">
        <v/>
      </c>
      <c r="D1879" t="inlineStr">
        <is>
          <t>Media file</t>
        </is>
      </c>
      <c r="E1879" t="inlineStr">
        <is>
          <t>player #1:C:/Users/manuel.felline/Documents/BEHAVIOR BTBR/NOR second cohort/WT/training/c59_f2.mp4</t>
        </is>
      </c>
      <c r="F1879" t="n">
        <v>-9.933</v>
      </c>
      <c r="G1879" t="n">
        <v>457.066</v>
      </c>
      <c r="H1879" t="n">
        <v>636.933</v>
      </c>
      <c r="I1879" t="n">
        <v>30</v>
      </c>
      <c r="J1879" t="inlineStr">
        <is>
          <t xml:space="preserve"> WT</t>
        </is>
      </c>
      <c r="K1879" t="inlineStr">
        <is>
          <t xml:space="preserve"> Female</t>
        </is>
      </c>
      <c r="L1879" t="inlineStr">
        <is>
          <t>No focal subject</t>
        </is>
      </c>
      <c r="M1879" t="n">
        <v>19.199</v>
      </c>
      <c r="N1879" t="inlineStr">
        <is>
          <t>Explore_F</t>
        </is>
      </c>
      <c r="O1879" t="inlineStr">
        <is>
          <t>Familiar</t>
        </is>
      </c>
      <c r="P1879" t="inlineStr">
        <is>
          <t>STATE</t>
        </is>
      </c>
      <c r="Q1879" t="n">
        <v>474.467</v>
      </c>
      <c r="R1879" t="n">
        <v>474.833</v>
      </c>
      <c r="S1879" t="n">
        <v>0.366</v>
      </c>
      <c r="T1879" t="inlineStr">
        <is>
          <t>C:/Users/manuel.felline/Documents/BEHAVIOR BTBR/NOR second cohort/WT/training/c59_f2.mp4</t>
        </is>
      </c>
      <c r="U1879" t="n">
        <v>14502</v>
      </c>
      <c r="V1879" t="n">
        <v>14513</v>
      </c>
      <c r="W1879" t="n">
        <v/>
      </c>
      <c r="X1879" t="n">
        <v/>
      </c>
      <c r="Y1879" t="n">
        <v/>
      </c>
      <c r="Z1879" t="n">
        <v/>
      </c>
      <c r="AA1879">
        <f>SUMIFS($S$2:S1879,$A$2:A1879,A1879,$N$2:N1879,"Explore*")</f>
        <v/>
      </c>
      <c r="AB1879">
        <f>IF(AND(LEFT(N1879,7)="Explore",(AA1879-IF(LEFT(N1879,7)="Explore",S1879,0))&lt;10),"SI","NO")</f>
        <v/>
      </c>
    </row>
    <row r="1880">
      <c r="A1880" t="inlineStr">
        <is>
          <t>c59f2_training</t>
        </is>
      </c>
      <c r="B1880" t="inlineStr">
        <is>
          <t>2026-07-03 15:17:38.321</t>
        </is>
      </c>
      <c r="C1880" t="n">
        <v/>
      </c>
      <c r="D1880" t="inlineStr">
        <is>
          <t>Media file</t>
        </is>
      </c>
      <c r="E1880" t="inlineStr">
        <is>
          <t>player #1:C:/Users/manuel.felline/Documents/BEHAVIOR BTBR/NOR second cohort/WT/training/c59_f2.mp4</t>
        </is>
      </c>
      <c r="F1880" t="n">
        <v>-9.933</v>
      </c>
      <c r="G1880" t="n">
        <v>457.066</v>
      </c>
      <c r="H1880" t="n">
        <v>636.933</v>
      </c>
      <c r="I1880" t="n">
        <v>30</v>
      </c>
      <c r="J1880" t="inlineStr">
        <is>
          <t xml:space="preserve"> WT</t>
        </is>
      </c>
      <c r="K1880" t="inlineStr">
        <is>
          <t xml:space="preserve"> Female</t>
        </is>
      </c>
      <c r="L1880" t="inlineStr">
        <is>
          <t>No focal subject</t>
        </is>
      </c>
      <c r="M1880" t="n">
        <v>19.199</v>
      </c>
      <c r="N1880" t="inlineStr">
        <is>
          <t>Explore_F</t>
        </is>
      </c>
      <c r="O1880" t="inlineStr">
        <is>
          <t>Familiar</t>
        </is>
      </c>
      <c r="P1880" t="inlineStr">
        <is>
          <t>STATE</t>
        </is>
      </c>
      <c r="Q1880" t="n">
        <v>477.2</v>
      </c>
      <c r="R1880" t="n">
        <v>477.5</v>
      </c>
      <c r="S1880" t="n">
        <v>0.3</v>
      </c>
      <c r="T1880" t="inlineStr">
        <is>
          <t>C:/Users/manuel.felline/Documents/BEHAVIOR BTBR/NOR second cohort/WT/training/c59_f2.mp4</t>
        </is>
      </c>
      <c r="U1880" t="n">
        <v>14584</v>
      </c>
      <c r="V1880" t="n">
        <v>14593</v>
      </c>
      <c r="W1880" t="n">
        <v/>
      </c>
      <c r="X1880" t="n">
        <v/>
      </c>
      <c r="Y1880" t="n">
        <v/>
      </c>
      <c r="Z1880" t="n">
        <v/>
      </c>
      <c r="AA1880">
        <f>SUMIFS($S$2:S1880,$A$2:A1880,A1880,$N$2:N1880,"Explore*")</f>
        <v/>
      </c>
      <c r="AB1880">
        <f>IF(AND(LEFT(N1880,7)="Explore",(AA1880-IF(LEFT(N1880,7)="Explore",S1880,0))&lt;10),"SI","NO")</f>
        <v/>
      </c>
    </row>
    <row r="1881">
      <c r="A1881" t="inlineStr">
        <is>
          <t>c59f2_training</t>
        </is>
      </c>
      <c r="B1881" t="inlineStr">
        <is>
          <t>2026-07-03 15:17:38.321</t>
        </is>
      </c>
      <c r="C1881" t="n">
        <v/>
      </c>
      <c r="D1881" t="inlineStr">
        <is>
          <t>Media file</t>
        </is>
      </c>
      <c r="E1881" t="inlineStr">
        <is>
          <t>player #1:C:/Users/manuel.felline/Documents/BEHAVIOR BTBR/NOR second cohort/WT/training/c59_f2.mp4</t>
        </is>
      </c>
      <c r="F1881" t="n">
        <v>-9.933</v>
      </c>
      <c r="G1881" t="n">
        <v>457.066</v>
      </c>
      <c r="H1881" t="n">
        <v>636.933</v>
      </c>
      <c r="I1881" t="n">
        <v>30</v>
      </c>
      <c r="J1881" t="inlineStr">
        <is>
          <t xml:space="preserve"> WT</t>
        </is>
      </c>
      <c r="K1881" t="inlineStr">
        <is>
          <t xml:space="preserve"> Female</t>
        </is>
      </c>
      <c r="L1881" t="inlineStr">
        <is>
          <t>No focal subject</t>
        </is>
      </c>
      <c r="M1881" t="n">
        <v>19.199</v>
      </c>
      <c r="N1881" t="inlineStr">
        <is>
          <t>Explore_F2</t>
        </is>
      </c>
      <c r="O1881" t="inlineStr">
        <is>
          <t>Second familiar</t>
        </is>
      </c>
      <c r="P1881" t="inlineStr">
        <is>
          <t>STATE</t>
        </is>
      </c>
      <c r="Q1881" t="n">
        <v>486.033</v>
      </c>
      <c r="R1881" t="n">
        <v>486.666</v>
      </c>
      <c r="S1881" t="n">
        <v>0.633</v>
      </c>
      <c r="T1881" t="inlineStr">
        <is>
          <t>C:/Users/manuel.felline/Documents/BEHAVIOR BTBR/NOR second cohort/WT/training/c59_f2.mp4</t>
        </is>
      </c>
      <c r="U1881" t="n">
        <v>14849</v>
      </c>
      <c r="V1881" t="n">
        <v>14867</v>
      </c>
      <c r="W1881" t="n">
        <v/>
      </c>
      <c r="X1881" t="n">
        <v/>
      </c>
      <c r="Y1881" t="n">
        <v/>
      </c>
      <c r="Z1881" t="n">
        <v/>
      </c>
      <c r="AA1881">
        <f>SUMIFS($S$2:S1881,$A$2:A1881,A1881,$N$2:N1881,"Explore*")</f>
        <v/>
      </c>
      <c r="AB1881">
        <f>IF(AND(LEFT(N1881,7)="Explore",(AA1881-IF(LEFT(N1881,7)="Explore",S1881,0))&lt;10),"SI","NO")</f>
        <v/>
      </c>
    </row>
    <row r="1882">
      <c r="A1882" t="inlineStr">
        <is>
          <t>c59f2_training</t>
        </is>
      </c>
      <c r="B1882" t="inlineStr">
        <is>
          <t>2026-07-03 15:17:38.321</t>
        </is>
      </c>
      <c r="C1882" t="n">
        <v/>
      </c>
      <c r="D1882" t="inlineStr">
        <is>
          <t>Media file</t>
        </is>
      </c>
      <c r="E1882" t="inlineStr">
        <is>
          <t>player #1:C:/Users/manuel.felline/Documents/BEHAVIOR BTBR/NOR second cohort/WT/training/c59_f2.mp4</t>
        </is>
      </c>
      <c r="F1882" t="n">
        <v>-9.933</v>
      </c>
      <c r="G1882" t="n">
        <v>457.066</v>
      </c>
      <c r="H1882" t="n">
        <v>636.933</v>
      </c>
      <c r="I1882" t="n">
        <v>30</v>
      </c>
      <c r="J1882" t="inlineStr">
        <is>
          <t xml:space="preserve"> WT</t>
        </is>
      </c>
      <c r="K1882" t="inlineStr">
        <is>
          <t xml:space="preserve"> Female</t>
        </is>
      </c>
      <c r="L1882" t="inlineStr">
        <is>
          <t>No focal subject</t>
        </is>
      </c>
      <c r="M1882" t="n">
        <v>19.199</v>
      </c>
      <c r="N1882" t="inlineStr">
        <is>
          <t>Explore_F2</t>
        </is>
      </c>
      <c r="O1882" t="inlineStr">
        <is>
          <t>Second familiar</t>
        </is>
      </c>
      <c r="P1882" t="inlineStr">
        <is>
          <t>STATE</t>
        </is>
      </c>
      <c r="Q1882" t="n">
        <v>540.366</v>
      </c>
      <c r="R1882" t="n">
        <v>541.4</v>
      </c>
      <c r="S1882" t="n">
        <v>1.034</v>
      </c>
      <c r="T1882" t="inlineStr">
        <is>
          <t>C:/Users/manuel.felline/Documents/BEHAVIOR BTBR/NOR second cohort/WT/training/c59_f2.mp4</t>
        </is>
      </c>
      <c r="U1882" t="n">
        <v>16475</v>
      </c>
      <c r="V1882" t="n">
        <v>16506</v>
      </c>
      <c r="W1882" t="n">
        <v/>
      </c>
      <c r="X1882" t="n">
        <v/>
      </c>
      <c r="Y1882" t="n">
        <v/>
      </c>
      <c r="Z1882" t="n">
        <v/>
      </c>
      <c r="AA1882">
        <f>SUMIFS($S$2:S1882,$A$2:A1882,A1882,$N$2:N1882,"Explore*")</f>
        <v/>
      </c>
      <c r="AB1882">
        <f>IF(AND(LEFT(N1882,7)="Explore",(AA1882-IF(LEFT(N1882,7)="Explore",S1882,0))&lt;10),"SI","NO")</f>
        <v/>
      </c>
    </row>
    <row r="1883">
      <c r="A1883" t="inlineStr">
        <is>
          <t>c59f2_training</t>
        </is>
      </c>
      <c r="B1883" t="inlineStr">
        <is>
          <t>2026-07-03 15:17:38.321</t>
        </is>
      </c>
      <c r="C1883" t="n">
        <v/>
      </c>
      <c r="D1883" t="inlineStr">
        <is>
          <t>Media file</t>
        </is>
      </c>
      <c r="E1883" t="inlineStr">
        <is>
          <t>player #1:C:/Users/manuel.felline/Documents/BEHAVIOR BTBR/NOR second cohort/WT/training/c59_f2.mp4</t>
        </is>
      </c>
      <c r="F1883" t="n">
        <v>-9.933</v>
      </c>
      <c r="G1883" t="n">
        <v>457.066</v>
      </c>
      <c r="H1883" t="n">
        <v>636.933</v>
      </c>
      <c r="I1883" t="n">
        <v>30</v>
      </c>
      <c r="J1883" t="inlineStr">
        <is>
          <t xml:space="preserve"> WT</t>
        </is>
      </c>
      <c r="K1883" t="inlineStr">
        <is>
          <t xml:space="preserve"> Female</t>
        </is>
      </c>
      <c r="L1883" t="inlineStr">
        <is>
          <t>No focal subject</t>
        </is>
      </c>
      <c r="M1883" t="n">
        <v>19.199</v>
      </c>
      <c r="N1883" t="inlineStr">
        <is>
          <t>Explore_F2</t>
        </is>
      </c>
      <c r="O1883" t="inlineStr">
        <is>
          <t>Second familiar</t>
        </is>
      </c>
      <c r="P1883" t="inlineStr">
        <is>
          <t>STATE</t>
        </is>
      </c>
      <c r="Q1883" t="n">
        <v>542.566</v>
      </c>
      <c r="R1883" t="n">
        <v>543.7</v>
      </c>
      <c r="S1883" t="n">
        <v>1.134</v>
      </c>
      <c r="T1883" t="inlineStr">
        <is>
          <t>C:/Users/manuel.felline/Documents/BEHAVIOR BTBR/NOR second cohort/WT/training/c59_f2.mp4</t>
        </is>
      </c>
      <c r="U1883" t="n">
        <v>16541</v>
      </c>
      <c r="V1883" t="n">
        <v>16575</v>
      </c>
      <c r="W1883" t="n">
        <v/>
      </c>
      <c r="X1883" t="n">
        <v/>
      </c>
      <c r="Y1883" t="n">
        <v/>
      </c>
      <c r="Z1883" t="n">
        <v/>
      </c>
      <c r="AA1883">
        <f>SUMIFS($S$2:S1883,$A$2:A1883,A1883,$N$2:N1883,"Explore*")</f>
        <v/>
      </c>
      <c r="AB1883">
        <f>IF(AND(LEFT(N1883,7)="Explore",(AA1883-IF(LEFT(N1883,7)="Explore",S1883,0))&lt;10),"SI","NO")</f>
        <v/>
      </c>
    </row>
    <row r="1884">
      <c r="A1884" t="inlineStr">
        <is>
          <t>c59f2_training</t>
        </is>
      </c>
      <c r="B1884" t="inlineStr">
        <is>
          <t>2026-07-03 15:17:38.321</t>
        </is>
      </c>
      <c r="C1884" t="n">
        <v/>
      </c>
      <c r="D1884" t="inlineStr">
        <is>
          <t>Media file</t>
        </is>
      </c>
      <c r="E1884" t="inlineStr">
        <is>
          <t>player #1:C:/Users/manuel.felline/Documents/BEHAVIOR BTBR/NOR second cohort/WT/training/c59_f2.mp4</t>
        </is>
      </c>
      <c r="F1884" t="n">
        <v>-9.933</v>
      </c>
      <c r="G1884" t="n">
        <v>457.066</v>
      </c>
      <c r="H1884" t="n">
        <v>636.933</v>
      </c>
      <c r="I1884" t="n">
        <v>30</v>
      </c>
      <c r="J1884" t="inlineStr">
        <is>
          <t xml:space="preserve"> WT</t>
        </is>
      </c>
      <c r="K1884" t="inlineStr">
        <is>
          <t xml:space="preserve"> Female</t>
        </is>
      </c>
      <c r="L1884" t="inlineStr">
        <is>
          <t>No focal subject</t>
        </is>
      </c>
      <c r="M1884" t="n">
        <v>19.199</v>
      </c>
      <c r="N1884" t="inlineStr">
        <is>
          <t>Explore_F</t>
        </is>
      </c>
      <c r="O1884" t="inlineStr">
        <is>
          <t>Familiar</t>
        </is>
      </c>
      <c r="P1884" t="inlineStr">
        <is>
          <t>STATE</t>
        </is>
      </c>
      <c r="Q1884" t="n">
        <v>563.466</v>
      </c>
      <c r="R1884" t="n">
        <v>563.9</v>
      </c>
      <c r="S1884" t="n">
        <v>0.434</v>
      </c>
      <c r="T1884" t="inlineStr">
        <is>
          <t>C:/Users/manuel.felline/Documents/BEHAVIOR BTBR/NOR second cohort/WT/training/c59_f2.mp4</t>
        </is>
      </c>
      <c r="U1884" t="n">
        <v>17167</v>
      </c>
      <c r="V1884" t="n">
        <v>17180</v>
      </c>
      <c r="W1884" t="n">
        <v/>
      </c>
      <c r="X1884" t="n">
        <v/>
      </c>
      <c r="Y1884" t="n">
        <v/>
      </c>
      <c r="Z1884" t="n">
        <v/>
      </c>
      <c r="AA1884">
        <f>SUMIFS($S$2:S1884,$A$2:A1884,A1884,$N$2:N1884,"Explore*")</f>
        <v/>
      </c>
      <c r="AB1884">
        <f>IF(AND(LEFT(N1884,7)="Explore",(AA1884-IF(LEFT(N1884,7)="Explore",S1884,0))&lt;10),"SI","NO")</f>
        <v/>
      </c>
    </row>
    <row r="1885">
      <c r="A1885" t="inlineStr">
        <is>
          <t>c59f2_training</t>
        </is>
      </c>
      <c r="B1885" t="inlineStr">
        <is>
          <t>2026-07-03 15:17:38.321</t>
        </is>
      </c>
      <c r="C1885" t="n">
        <v/>
      </c>
      <c r="D1885" t="inlineStr">
        <is>
          <t>Media file</t>
        </is>
      </c>
      <c r="E1885" t="inlineStr">
        <is>
          <t>player #1:C:/Users/manuel.felline/Documents/BEHAVIOR BTBR/NOR second cohort/WT/training/c59_f2.mp4</t>
        </is>
      </c>
      <c r="F1885" t="n">
        <v>-9.933</v>
      </c>
      <c r="G1885" t="n">
        <v>457.066</v>
      </c>
      <c r="H1885" t="n">
        <v>636.933</v>
      </c>
      <c r="I1885" t="n">
        <v>30</v>
      </c>
      <c r="J1885" t="inlineStr">
        <is>
          <t xml:space="preserve"> WT</t>
        </is>
      </c>
      <c r="K1885" t="inlineStr">
        <is>
          <t xml:space="preserve"> Female</t>
        </is>
      </c>
      <c r="L1885" t="inlineStr">
        <is>
          <t>No focal subject</t>
        </is>
      </c>
      <c r="M1885" t="n">
        <v>19.199</v>
      </c>
      <c r="N1885" t="inlineStr">
        <is>
          <t>Explore_F2</t>
        </is>
      </c>
      <c r="O1885" t="inlineStr">
        <is>
          <t>Second familiar</t>
        </is>
      </c>
      <c r="P1885" t="inlineStr">
        <is>
          <t>STATE</t>
        </is>
      </c>
      <c r="Q1885" t="n">
        <v>564.6660000000001</v>
      </c>
      <c r="R1885" t="n">
        <v>566.033</v>
      </c>
      <c r="S1885" t="n">
        <v>1.367</v>
      </c>
      <c r="T1885" t="inlineStr">
        <is>
          <t>C:/Users/manuel.felline/Documents/BEHAVIOR BTBR/NOR second cohort/WT/training/c59_f2.mp4</t>
        </is>
      </c>
      <c r="U1885" t="n">
        <v>17203</v>
      </c>
      <c r="V1885" t="n">
        <v>17244</v>
      </c>
      <c r="W1885" t="n">
        <v/>
      </c>
      <c r="X1885" t="n">
        <v/>
      </c>
      <c r="Y1885" t="n">
        <v/>
      </c>
      <c r="Z1885" t="n">
        <v/>
      </c>
      <c r="AA1885">
        <f>SUMIFS($S$2:S1885,$A$2:A1885,A1885,$N$2:N1885,"Explore*")</f>
        <v/>
      </c>
      <c r="AB1885">
        <f>IF(AND(LEFT(N1885,7)="Explore",(AA1885-IF(LEFT(N1885,7)="Explore",S1885,0))&lt;10),"SI","NO")</f>
        <v/>
      </c>
    </row>
    <row r="1886">
      <c r="A1886" t="inlineStr">
        <is>
          <t>c59f2_training</t>
        </is>
      </c>
      <c r="B1886" t="inlineStr">
        <is>
          <t>2026-07-03 15:17:38.321</t>
        </is>
      </c>
      <c r="C1886" t="n">
        <v/>
      </c>
      <c r="D1886" t="inlineStr">
        <is>
          <t>Media file</t>
        </is>
      </c>
      <c r="E1886" t="inlineStr">
        <is>
          <t>player #1:C:/Users/manuel.felline/Documents/BEHAVIOR BTBR/NOR second cohort/WT/training/c59_f2.mp4</t>
        </is>
      </c>
      <c r="F1886" t="n">
        <v>-9.933</v>
      </c>
      <c r="G1886" t="n">
        <v>457.066</v>
      </c>
      <c r="H1886" t="n">
        <v>636.933</v>
      </c>
      <c r="I1886" t="n">
        <v>30</v>
      </c>
      <c r="J1886" t="inlineStr">
        <is>
          <t xml:space="preserve"> WT</t>
        </is>
      </c>
      <c r="K1886" t="inlineStr">
        <is>
          <t xml:space="preserve"> Female</t>
        </is>
      </c>
      <c r="L1886" t="inlineStr">
        <is>
          <t>No focal subject</t>
        </is>
      </c>
      <c r="M1886" t="n">
        <v>19.199</v>
      </c>
      <c r="N1886" t="inlineStr">
        <is>
          <t>Explore_F2</t>
        </is>
      </c>
      <c r="O1886" t="inlineStr">
        <is>
          <t>Second familiar</t>
        </is>
      </c>
      <c r="P1886" t="inlineStr">
        <is>
          <t>STATE</t>
        </is>
      </c>
      <c r="Q1886" t="n">
        <v>578</v>
      </c>
      <c r="R1886" t="n">
        <v>578.3</v>
      </c>
      <c r="S1886" t="n">
        <v>0.3</v>
      </c>
      <c r="T1886" t="inlineStr">
        <is>
          <t>C:/Users/manuel.felline/Documents/BEHAVIOR BTBR/NOR second cohort/WT/training/c59_f2.mp4</t>
        </is>
      </c>
      <c r="U1886" t="n">
        <v>17602</v>
      </c>
      <c r="V1886" t="n">
        <v>17611</v>
      </c>
      <c r="W1886" t="n">
        <v/>
      </c>
      <c r="X1886" t="n">
        <v/>
      </c>
      <c r="Y1886" t="n">
        <v/>
      </c>
      <c r="Z1886" t="n">
        <v/>
      </c>
      <c r="AA1886">
        <f>SUMIFS($S$2:S1886,$A$2:A1886,A1886,$N$2:N1886,"Explore*")</f>
        <v/>
      </c>
      <c r="AB1886">
        <f>IF(AND(LEFT(N1886,7)="Explore",(AA1886-IF(LEFT(N1886,7)="Explore",S1886,0))&lt;10),"SI","NO")</f>
        <v/>
      </c>
    </row>
    <row r="1887">
      <c r="A1887" t="inlineStr">
        <is>
          <t>c59f2_training</t>
        </is>
      </c>
      <c r="B1887" t="inlineStr">
        <is>
          <t>2026-07-03 15:17:38.321</t>
        </is>
      </c>
      <c r="C1887" t="n">
        <v/>
      </c>
      <c r="D1887" t="inlineStr">
        <is>
          <t>Media file</t>
        </is>
      </c>
      <c r="E1887" t="inlineStr">
        <is>
          <t>player #1:C:/Users/manuel.felline/Documents/BEHAVIOR BTBR/NOR second cohort/WT/training/c59_f2.mp4</t>
        </is>
      </c>
      <c r="F1887" t="n">
        <v>-9.933</v>
      </c>
      <c r="G1887" t="n">
        <v>457.066</v>
      </c>
      <c r="H1887" t="n">
        <v>636.933</v>
      </c>
      <c r="I1887" t="n">
        <v>30</v>
      </c>
      <c r="J1887" t="inlineStr">
        <is>
          <t xml:space="preserve"> WT</t>
        </is>
      </c>
      <c r="K1887" t="inlineStr">
        <is>
          <t xml:space="preserve"> Female</t>
        </is>
      </c>
      <c r="L1887" t="inlineStr">
        <is>
          <t>No focal subject</t>
        </is>
      </c>
      <c r="M1887" t="n">
        <v>19.199</v>
      </c>
      <c r="N1887" t="inlineStr">
        <is>
          <t>Explore_F2</t>
        </is>
      </c>
      <c r="O1887" t="inlineStr">
        <is>
          <t>Second familiar</t>
        </is>
      </c>
      <c r="P1887" t="inlineStr">
        <is>
          <t>STATE</t>
        </is>
      </c>
      <c r="Q1887" t="n">
        <v>592.7329999999999</v>
      </c>
      <c r="R1887" t="n">
        <v>594</v>
      </c>
      <c r="S1887" t="n">
        <v>1.267</v>
      </c>
      <c r="T1887" t="inlineStr">
        <is>
          <t>C:/Users/manuel.felline/Documents/BEHAVIOR BTBR/NOR second cohort/WT/training/c59_f2.mp4</t>
        </is>
      </c>
      <c r="U1887" t="n">
        <v>18043</v>
      </c>
      <c r="V1887" t="n">
        <v>18081</v>
      </c>
      <c r="W1887" t="n">
        <v/>
      </c>
      <c r="X1887" t="n">
        <v/>
      </c>
      <c r="Y1887" t="n">
        <v/>
      </c>
      <c r="Z1887" t="n">
        <v/>
      </c>
      <c r="AA1887">
        <f>SUMIFS($S$2:S1887,$A$2:A1887,A1887,$N$2:N1887,"Explore*")</f>
        <v/>
      </c>
      <c r="AB1887">
        <f>IF(AND(LEFT(N1887,7)="Explore",(AA1887-IF(LEFT(N1887,7)="Explore",S1887,0))&lt;10),"SI","NO")</f>
        <v/>
      </c>
    </row>
    <row r="1888">
      <c r="A1888" t="inlineStr">
        <is>
          <t>c59f3_training</t>
        </is>
      </c>
      <c r="B1888" t="inlineStr">
        <is>
          <t>2026-07-03 15:52:34.518</t>
        </is>
      </c>
      <c r="C1888" t="n">
        <v/>
      </c>
      <c r="D1888" t="inlineStr">
        <is>
          <t>Media file</t>
        </is>
      </c>
      <c r="E1888" t="inlineStr">
        <is>
          <t>player #1:C:/Users/manuel.felline/Documents/BEHAVIOR BTBR/NOR second cohort/WT/training/c59_f3.mp4</t>
        </is>
      </c>
      <c r="F1888" t="n">
        <v>-14.667</v>
      </c>
      <c r="G1888" t="n">
        <v>525.4</v>
      </c>
      <c r="H1888" t="n">
        <v>637.1660000000001</v>
      </c>
      <c r="I1888" t="n">
        <v>30</v>
      </c>
      <c r="J1888" t="inlineStr">
        <is>
          <t xml:space="preserve"> WT</t>
        </is>
      </c>
      <c r="K1888" t="inlineStr">
        <is>
          <t xml:space="preserve"> Female</t>
        </is>
      </c>
      <c r="L1888" t="inlineStr">
        <is>
          <t>No focal subject</t>
        </is>
      </c>
      <c r="M1888" t="n">
        <v>38.232</v>
      </c>
      <c r="N1888" t="inlineStr">
        <is>
          <t>Explore_F</t>
        </is>
      </c>
      <c r="O1888" t="inlineStr">
        <is>
          <t>Familiar</t>
        </is>
      </c>
      <c r="P1888" t="inlineStr">
        <is>
          <t>STATE</t>
        </is>
      </c>
      <c r="Q1888" t="n">
        <v>28.666</v>
      </c>
      <c r="R1888" t="n">
        <v>29.266</v>
      </c>
      <c r="S1888" t="n">
        <v>0.6</v>
      </c>
      <c r="T1888" t="inlineStr">
        <is>
          <t>C:/Users/manuel.felline/Documents/BEHAVIOR BTBR/NOR second cohort/WT/training/c59_f3.mp4</t>
        </is>
      </c>
      <c r="U1888" t="n">
        <v>1300</v>
      </c>
      <c r="V1888" t="n">
        <v>1318</v>
      </c>
      <c r="W1888" t="n">
        <v/>
      </c>
      <c r="X1888" t="n">
        <v/>
      </c>
      <c r="Y1888" t="n">
        <v/>
      </c>
      <c r="Z1888" t="n">
        <v/>
      </c>
      <c r="AA1888">
        <f>SUMIFS($S$2:S1888,$A$2:A1888,A1888,$N$2:N1888,"Explore*")</f>
        <v/>
      </c>
      <c r="AB1888">
        <f>IF(AND(LEFT(N1888,7)="Explore",(AA1888-IF(LEFT(N1888,7)="Explore",S1888,0))&lt;10),"SI","NO")</f>
        <v/>
      </c>
    </row>
    <row r="1889">
      <c r="A1889" t="inlineStr">
        <is>
          <t>c59f3_training</t>
        </is>
      </c>
      <c r="B1889" t="inlineStr">
        <is>
          <t>2026-07-03 15:52:34.518</t>
        </is>
      </c>
      <c r="C1889" t="n">
        <v/>
      </c>
      <c r="D1889" t="inlineStr">
        <is>
          <t>Media file</t>
        </is>
      </c>
      <c r="E1889" t="inlineStr">
        <is>
          <t>player #1:C:/Users/manuel.felline/Documents/BEHAVIOR BTBR/NOR second cohort/WT/training/c59_f3.mp4</t>
        </is>
      </c>
      <c r="F1889" t="n">
        <v>-14.667</v>
      </c>
      <c r="G1889" t="n">
        <v>525.4</v>
      </c>
      <c r="H1889" t="n">
        <v>637.1660000000001</v>
      </c>
      <c r="I1889" t="n">
        <v>30</v>
      </c>
      <c r="J1889" t="inlineStr">
        <is>
          <t xml:space="preserve"> WT</t>
        </is>
      </c>
      <c r="K1889" t="inlineStr">
        <is>
          <t xml:space="preserve"> Female</t>
        </is>
      </c>
      <c r="L1889" t="inlineStr">
        <is>
          <t>No focal subject</t>
        </is>
      </c>
      <c r="M1889" t="n">
        <v>38.232</v>
      </c>
      <c r="N1889" t="inlineStr">
        <is>
          <t>Explore_F2</t>
        </is>
      </c>
      <c r="O1889" t="inlineStr">
        <is>
          <t>Second familiar</t>
        </is>
      </c>
      <c r="P1889" t="inlineStr">
        <is>
          <t>STATE</t>
        </is>
      </c>
      <c r="Q1889" t="n">
        <v>173.733</v>
      </c>
      <c r="R1889" t="n">
        <v>174.466</v>
      </c>
      <c r="S1889" t="n">
        <v>0.733</v>
      </c>
      <c r="T1889" t="inlineStr">
        <is>
          <t>C:/Users/manuel.felline/Documents/BEHAVIOR BTBR/NOR second cohort/WT/training/c59_f3.mp4</t>
        </is>
      </c>
      <c r="U1889" t="n">
        <v>5651</v>
      </c>
      <c r="V1889" t="n">
        <v>5673</v>
      </c>
      <c r="W1889" t="n">
        <v/>
      </c>
      <c r="X1889" t="n">
        <v/>
      </c>
      <c r="Y1889" t="n">
        <v/>
      </c>
      <c r="Z1889" t="n">
        <v/>
      </c>
      <c r="AA1889">
        <f>SUMIFS($S$2:S1889,$A$2:A1889,A1889,$N$2:N1889,"Explore*")</f>
        <v/>
      </c>
      <c r="AB1889">
        <f>IF(AND(LEFT(N1889,7)="Explore",(AA1889-IF(LEFT(N1889,7)="Explore",S1889,0))&lt;10),"SI","NO")</f>
        <v/>
      </c>
    </row>
    <row r="1890">
      <c r="A1890" t="inlineStr">
        <is>
          <t>c59f3_training</t>
        </is>
      </c>
      <c r="B1890" t="inlineStr">
        <is>
          <t>2026-07-03 15:52:34.518</t>
        </is>
      </c>
      <c r="C1890" t="n">
        <v/>
      </c>
      <c r="D1890" t="inlineStr">
        <is>
          <t>Media file</t>
        </is>
      </c>
      <c r="E1890" t="inlineStr">
        <is>
          <t>player #1:C:/Users/manuel.felline/Documents/BEHAVIOR BTBR/NOR second cohort/WT/training/c59_f3.mp4</t>
        </is>
      </c>
      <c r="F1890" t="n">
        <v>-14.667</v>
      </c>
      <c r="G1890" t="n">
        <v>525.4</v>
      </c>
      <c r="H1890" t="n">
        <v>637.1660000000001</v>
      </c>
      <c r="I1890" t="n">
        <v>30</v>
      </c>
      <c r="J1890" t="inlineStr">
        <is>
          <t xml:space="preserve"> WT</t>
        </is>
      </c>
      <c r="K1890" t="inlineStr">
        <is>
          <t xml:space="preserve"> Female</t>
        </is>
      </c>
      <c r="L1890" t="inlineStr">
        <is>
          <t>No focal subject</t>
        </is>
      </c>
      <c r="M1890" t="n">
        <v>38.232</v>
      </c>
      <c r="N1890" t="inlineStr">
        <is>
          <t>Explore_F2</t>
        </is>
      </c>
      <c r="O1890" t="inlineStr">
        <is>
          <t>Second familiar</t>
        </is>
      </c>
      <c r="P1890" t="inlineStr">
        <is>
          <t>STATE</t>
        </is>
      </c>
      <c r="Q1890" t="n">
        <v>186.099</v>
      </c>
      <c r="R1890" t="n">
        <v>187.133</v>
      </c>
      <c r="S1890" t="n">
        <v>1.034</v>
      </c>
      <c r="T1890" t="inlineStr">
        <is>
          <t>C:/Users/manuel.felline/Documents/BEHAVIOR BTBR/NOR second cohort/WT/training/c59_f3.mp4</t>
        </is>
      </c>
      <c r="U1890" t="n">
        <v>6023</v>
      </c>
      <c r="V1890" t="n">
        <v>6053</v>
      </c>
      <c r="W1890" t="n">
        <v/>
      </c>
      <c r="X1890" t="n">
        <v/>
      </c>
      <c r="Y1890" t="n">
        <v/>
      </c>
      <c r="Z1890" t="n">
        <v/>
      </c>
      <c r="AA1890">
        <f>SUMIFS($S$2:S1890,$A$2:A1890,A1890,$N$2:N1890,"Explore*")</f>
        <v/>
      </c>
      <c r="AB1890">
        <f>IF(AND(LEFT(N1890,7)="Explore",(AA1890-IF(LEFT(N1890,7)="Explore",S1890,0))&lt;10),"SI","NO")</f>
        <v/>
      </c>
    </row>
    <row r="1891">
      <c r="A1891" t="inlineStr">
        <is>
          <t>c59f3_training</t>
        </is>
      </c>
      <c r="B1891" t="inlineStr">
        <is>
          <t>2026-07-03 15:52:34.518</t>
        </is>
      </c>
      <c r="C1891" t="n">
        <v/>
      </c>
      <c r="D1891" t="inlineStr">
        <is>
          <t>Media file</t>
        </is>
      </c>
      <c r="E1891" t="inlineStr">
        <is>
          <t>player #1:C:/Users/manuel.felline/Documents/BEHAVIOR BTBR/NOR second cohort/WT/training/c59_f3.mp4</t>
        </is>
      </c>
      <c r="F1891" t="n">
        <v>-14.667</v>
      </c>
      <c r="G1891" t="n">
        <v>525.4</v>
      </c>
      <c r="H1891" t="n">
        <v>637.1660000000001</v>
      </c>
      <c r="I1891" t="n">
        <v>30</v>
      </c>
      <c r="J1891" t="inlineStr">
        <is>
          <t xml:space="preserve"> WT</t>
        </is>
      </c>
      <c r="K1891" t="inlineStr">
        <is>
          <t xml:space="preserve"> Female</t>
        </is>
      </c>
      <c r="L1891" t="inlineStr">
        <is>
          <t>No focal subject</t>
        </is>
      </c>
      <c r="M1891" t="n">
        <v>38.232</v>
      </c>
      <c r="N1891" t="inlineStr">
        <is>
          <t>Explore_F</t>
        </is>
      </c>
      <c r="O1891" t="inlineStr">
        <is>
          <t>Familiar</t>
        </is>
      </c>
      <c r="P1891" t="inlineStr">
        <is>
          <t>STATE</t>
        </is>
      </c>
      <c r="Q1891" t="n">
        <v>188.033</v>
      </c>
      <c r="R1891" t="n">
        <v>188.599</v>
      </c>
      <c r="S1891" t="n">
        <v>0.5659999999999999</v>
      </c>
      <c r="T1891" t="inlineStr">
        <is>
          <t>C:/Users/manuel.felline/Documents/BEHAVIOR BTBR/NOR second cohort/WT/training/c59_f3.mp4</t>
        </is>
      </c>
      <c r="U1891" t="n">
        <v>6080</v>
      </c>
      <c r="V1891" t="n">
        <v>6097</v>
      </c>
      <c r="W1891" t="n">
        <v/>
      </c>
      <c r="X1891" t="n">
        <v/>
      </c>
      <c r="Y1891" t="n">
        <v/>
      </c>
      <c r="Z1891" t="n">
        <v/>
      </c>
      <c r="AA1891">
        <f>SUMIFS($S$2:S1891,$A$2:A1891,A1891,$N$2:N1891,"Explore*")</f>
        <v/>
      </c>
      <c r="AB1891">
        <f>IF(AND(LEFT(N1891,7)="Explore",(AA1891-IF(LEFT(N1891,7)="Explore",S1891,0))&lt;10),"SI","NO")</f>
        <v/>
      </c>
    </row>
    <row r="1892">
      <c r="A1892" t="inlineStr">
        <is>
          <t>c59f3_training</t>
        </is>
      </c>
      <c r="B1892" t="inlineStr">
        <is>
          <t>2026-07-03 15:52:34.518</t>
        </is>
      </c>
      <c r="C1892" t="n">
        <v/>
      </c>
      <c r="D1892" t="inlineStr">
        <is>
          <t>Media file</t>
        </is>
      </c>
      <c r="E1892" t="inlineStr">
        <is>
          <t>player #1:C:/Users/manuel.felline/Documents/BEHAVIOR BTBR/NOR second cohort/WT/training/c59_f3.mp4</t>
        </is>
      </c>
      <c r="F1892" t="n">
        <v>-14.667</v>
      </c>
      <c r="G1892" t="n">
        <v>525.4</v>
      </c>
      <c r="H1892" t="n">
        <v>637.1660000000001</v>
      </c>
      <c r="I1892" t="n">
        <v>30</v>
      </c>
      <c r="J1892" t="inlineStr">
        <is>
          <t xml:space="preserve"> WT</t>
        </is>
      </c>
      <c r="K1892" t="inlineStr">
        <is>
          <t xml:space="preserve"> Female</t>
        </is>
      </c>
      <c r="L1892" t="inlineStr">
        <is>
          <t>No focal subject</t>
        </is>
      </c>
      <c r="M1892" t="n">
        <v>38.232</v>
      </c>
      <c r="N1892" t="inlineStr">
        <is>
          <t>Explore_F</t>
        </is>
      </c>
      <c r="O1892" t="inlineStr">
        <is>
          <t>Familiar</t>
        </is>
      </c>
      <c r="P1892" t="inlineStr">
        <is>
          <t>STATE</t>
        </is>
      </c>
      <c r="Q1892" t="n">
        <v>190.333</v>
      </c>
      <c r="R1892" t="n">
        <v>191.866</v>
      </c>
      <c r="S1892" t="n">
        <v>1.533</v>
      </c>
      <c r="T1892" t="inlineStr">
        <is>
          <t>C:/Users/manuel.felline/Documents/BEHAVIOR BTBR/NOR second cohort/WT/training/c59_f3.mp4</t>
        </is>
      </c>
      <c r="U1892" t="n">
        <v>6149</v>
      </c>
      <c r="V1892" t="n">
        <v>6195</v>
      </c>
      <c r="W1892" t="n">
        <v/>
      </c>
      <c r="X1892" t="n">
        <v/>
      </c>
      <c r="Y1892" t="n">
        <v/>
      </c>
      <c r="Z1892" t="n">
        <v/>
      </c>
      <c r="AA1892">
        <f>SUMIFS($S$2:S1892,$A$2:A1892,A1892,$N$2:N1892,"Explore*")</f>
        <v/>
      </c>
      <c r="AB1892">
        <f>IF(AND(LEFT(N1892,7)="Explore",(AA1892-IF(LEFT(N1892,7)="Explore",S1892,0))&lt;10),"SI","NO")</f>
        <v/>
      </c>
    </row>
    <row r="1893">
      <c r="A1893" t="inlineStr">
        <is>
          <t>c59f3_training</t>
        </is>
      </c>
      <c r="B1893" t="inlineStr">
        <is>
          <t>2026-07-03 15:52:34.518</t>
        </is>
      </c>
      <c r="C1893" t="n">
        <v/>
      </c>
      <c r="D1893" t="inlineStr">
        <is>
          <t>Media file</t>
        </is>
      </c>
      <c r="E1893" t="inlineStr">
        <is>
          <t>player #1:C:/Users/manuel.felline/Documents/BEHAVIOR BTBR/NOR second cohort/WT/training/c59_f3.mp4</t>
        </is>
      </c>
      <c r="F1893" t="n">
        <v>-14.667</v>
      </c>
      <c r="G1893" t="n">
        <v>525.4</v>
      </c>
      <c r="H1893" t="n">
        <v>637.1660000000001</v>
      </c>
      <c r="I1893" t="n">
        <v>30</v>
      </c>
      <c r="J1893" t="inlineStr">
        <is>
          <t xml:space="preserve"> WT</t>
        </is>
      </c>
      <c r="K1893" t="inlineStr">
        <is>
          <t xml:space="preserve"> Female</t>
        </is>
      </c>
      <c r="L1893" t="inlineStr">
        <is>
          <t>No focal subject</t>
        </is>
      </c>
      <c r="M1893" t="n">
        <v>38.232</v>
      </c>
      <c r="N1893" t="inlineStr">
        <is>
          <t>Explore_F2</t>
        </is>
      </c>
      <c r="O1893" t="inlineStr">
        <is>
          <t>Second familiar</t>
        </is>
      </c>
      <c r="P1893" t="inlineStr">
        <is>
          <t>STATE</t>
        </is>
      </c>
      <c r="Q1893" t="n">
        <v>204.599</v>
      </c>
      <c r="R1893" t="n">
        <v>205.633</v>
      </c>
      <c r="S1893" t="n">
        <v>1.034</v>
      </c>
      <c r="T1893" t="inlineStr">
        <is>
          <t>C:/Users/manuel.felline/Documents/BEHAVIOR BTBR/NOR second cohort/WT/training/c59_f3.mp4</t>
        </is>
      </c>
      <c r="U1893" t="n">
        <v>6577</v>
      </c>
      <c r="V1893" t="n">
        <v>6608</v>
      </c>
      <c r="W1893" t="n">
        <v/>
      </c>
      <c r="X1893" t="n">
        <v/>
      </c>
      <c r="Y1893" t="n">
        <v/>
      </c>
      <c r="Z1893" t="n">
        <v/>
      </c>
      <c r="AA1893">
        <f>SUMIFS($S$2:S1893,$A$2:A1893,A1893,$N$2:N1893,"Explore*")</f>
        <v/>
      </c>
      <c r="AB1893">
        <f>IF(AND(LEFT(N1893,7)="Explore",(AA1893-IF(LEFT(N1893,7)="Explore",S1893,0))&lt;10),"SI","NO")</f>
        <v/>
      </c>
    </row>
    <row r="1894">
      <c r="A1894" t="inlineStr">
        <is>
          <t>c59f3_training</t>
        </is>
      </c>
      <c r="B1894" t="inlineStr">
        <is>
          <t>2026-07-03 15:52:34.518</t>
        </is>
      </c>
      <c r="C1894" t="n">
        <v/>
      </c>
      <c r="D1894" t="inlineStr">
        <is>
          <t>Media file</t>
        </is>
      </c>
      <c r="E1894" t="inlineStr">
        <is>
          <t>player #1:C:/Users/manuel.felline/Documents/BEHAVIOR BTBR/NOR second cohort/WT/training/c59_f3.mp4</t>
        </is>
      </c>
      <c r="F1894" t="n">
        <v>-14.667</v>
      </c>
      <c r="G1894" t="n">
        <v>525.4</v>
      </c>
      <c r="H1894" t="n">
        <v>637.1660000000001</v>
      </c>
      <c r="I1894" t="n">
        <v>30</v>
      </c>
      <c r="J1894" t="inlineStr">
        <is>
          <t xml:space="preserve"> WT</t>
        </is>
      </c>
      <c r="K1894" t="inlineStr">
        <is>
          <t xml:space="preserve"> Female</t>
        </is>
      </c>
      <c r="L1894" t="inlineStr">
        <is>
          <t>No focal subject</t>
        </is>
      </c>
      <c r="M1894" t="n">
        <v>38.232</v>
      </c>
      <c r="N1894" t="inlineStr">
        <is>
          <t>Explore_F2</t>
        </is>
      </c>
      <c r="O1894" t="inlineStr">
        <is>
          <t>Second familiar</t>
        </is>
      </c>
      <c r="P1894" t="inlineStr">
        <is>
          <t>STATE</t>
        </is>
      </c>
      <c r="Q1894" t="n">
        <v>207.699</v>
      </c>
      <c r="R1894" t="n">
        <v>207.999</v>
      </c>
      <c r="S1894" t="n">
        <v>0.3</v>
      </c>
      <c r="T1894" t="inlineStr">
        <is>
          <t>C:/Users/manuel.felline/Documents/BEHAVIOR BTBR/NOR second cohort/WT/training/c59_f3.mp4</t>
        </is>
      </c>
      <c r="U1894" t="n">
        <v>6670</v>
      </c>
      <c r="V1894" t="n">
        <v>6679</v>
      </c>
      <c r="W1894" t="n">
        <v/>
      </c>
      <c r="X1894" t="n">
        <v/>
      </c>
      <c r="Y1894" t="n">
        <v/>
      </c>
      <c r="Z1894" t="n">
        <v/>
      </c>
      <c r="AA1894">
        <f>SUMIFS($S$2:S1894,$A$2:A1894,A1894,$N$2:N1894,"Explore*")</f>
        <v/>
      </c>
      <c r="AB1894">
        <f>IF(AND(LEFT(N1894,7)="Explore",(AA1894-IF(LEFT(N1894,7)="Explore",S1894,0))&lt;10),"SI","NO")</f>
        <v/>
      </c>
    </row>
    <row r="1895">
      <c r="A1895" t="inlineStr">
        <is>
          <t>c59f3_training</t>
        </is>
      </c>
      <c r="B1895" t="inlineStr">
        <is>
          <t>2026-07-03 15:52:34.518</t>
        </is>
      </c>
      <c r="C1895" t="n">
        <v/>
      </c>
      <c r="D1895" t="inlineStr">
        <is>
          <t>Media file</t>
        </is>
      </c>
      <c r="E1895" t="inlineStr">
        <is>
          <t>player #1:C:/Users/manuel.felline/Documents/BEHAVIOR BTBR/NOR second cohort/WT/training/c59_f3.mp4</t>
        </is>
      </c>
      <c r="F1895" t="n">
        <v>-14.667</v>
      </c>
      <c r="G1895" t="n">
        <v>525.4</v>
      </c>
      <c r="H1895" t="n">
        <v>637.1660000000001</v>
      </c>
      <c r="I1895" t="n">
        <v>30</v>
      </c>
      <c r="J1895" t="inlineStr">
        <is>
          <t xml:space="preserve"> WT</t>
        </is>
      </c>
      <c r="K1895" t="inlineStr">
        <is>
          <t xml:space="preserve"> Female</t>
        </is>
      </c>
      <c r="L1895" t="inlineStr">
        <is>
          <t>No focal subject</t>
        </is>
      </c>
      <c r="M1895" t="n">
        <v>38.232</v>
      </c>
      <c r="N1895" t="inlineStr">
        <is>
          <t>Explore_F</t>
        </is>
      </c>
      <c r="O1895" t="inlineStr">
        <is>
          <t>Familiar</t>
        </is>
      </c>
      <c r="P1895" t="inlineStr">
        <is>
          <t>STATE</t>
        </is>
      </c>
      <c r="Q1895" t="n">
        <v>215.233</v>
      </c>
      <c r="R1895" t="n">
        <v>215.899</v>
      </c>
      <c r="S1895" t="n">
        <v>0.666</v>
      </c>
      <c r="T1895" t="inlineStr">
        <is>
          <t>C:/Users/manuel.felline/Documents/BEHAVIOR BTBR/NOR second cohort/WT/training/c59_f3.mp4</t>
        </is>
      </c>
      <c r="U1895" t="n">
        <v>6896</v>
      </c>
      <c r="V1895" t="n">
        <v>6916</v>
      </c>
      <c r="W1895" t="n">
        <v/>
      </c>
      <c r="X1895" t="n">
        <v/>
      </c>
      <c r="Y1895" t="n">
        <v/>
      </c>
      <c r="Z1895" t="n">
        <v/>
      </c>
      <c r="AA1895">
        <f>SUMIFS($S$2:S1895,$A$2:A1895,A1895,$N$2:N1895,"Explore*")</f>
        <v/>
      </c>
      <c r="AB1895">
        <f>IF(AND(LEFT(N1895,7)="Explore",(AA1895-IF(LEFT(N1895,7)="Explore",S1895,0))&lt;10),"SI","NO")</f>
        <v/>
      </c>
    </row>
    <row r="1896">
      <c r="A1896" t="inlineStr">
        <is>
          <t>c59f3_training</t>
        </is>
      </c>
      <c r="B1896" t="inlineStr">
        <is>
          <t>2026-07-03 15:52:34.518</t>
        </is>
      </c>
      <c r="C1896" t="n">
        <v/>
      </c>
      <c r="D1896" t="inlineStr">
        <is>
          <t>Media file</t>
        </is>
      </c>
      <c r="E1896" t="inlineStr">
        <is>
          <t>player #1:C:/Users/manuel.felline/Documents/BEHAVIOR BTBR/NOR second cohort/WT/training/c59_f3.mp4</t>
        </is>
      </c>
      <c r="F1896" t="n">
        <v>-14.667</v>
      </c>
      <c r="G1896" t="n">
        <v>525.4</v>
      </c>
      <c r="H1896" t="n">
        <v>637.1660000000001</v>
      </c>
      <c r="I1896" t="n">
        <v>30</v>
      </c>
      <c r="J1896" t="inlineStr">
        <is>
          <t xml:space="preserve"> WT</t>
        </is>
      </c>
      <c r="K1896" t="inlineStr">
        <is>
          <t xml:space="preserve"> Female</t>
        </is>
      </c>
      <c r="L1896" t="inlineStr">
        <is>
          <t>No focal subject</t>
        </is>
      </c>
      <c r="M1896" t="n">
        <v>38.232</v>
      </c>
      <c r="N1896" t="inlineStr">
        <is>
          <t>Explore_F2</t>
        </is>
      </c>
      <c r="O1896" t="inlineStr">
        <is>
          <t>Second familiar</t>
        </is>
      </c>
      <c r="P1896" t="inlineStr">
        <is>
          <t>STATE</t>
        </is>
      </c>
      <c r="Q1896" t="n">
        <v>267.999</v>
      </c>
      <c r="R1896" t="n">
        <v>269.766</v>
      </c>
      <c r="S1896" t="n">
        <v>1.767</v>
      </c>
      <c r="T1896" t="inlineStr">
        <is>
          <t>C:/Users/manuel.felline/Documents/BEHAVIOR BTBR/NOR second cohort/WT/training/c59_f3.mp4</t>
        </is>
      </c>
      <c r="U1896" t="n">
        <v>8479</v>
      </c>
      <c r="V1896" t="n">
        <v>8532</v>
      </c>
      <c r="W1896" t="n">
        <v/>
      </c>
      <c r="X1896" t="n">
        <v/>
      </c>
      <c r="Y1896" t="n">
        <v/>
      </c>
      <c r="Z1896" t="n">
        <v/>
      </c>
      <c r="AA1896">
        <f>SUMIFS($S$2:S1896,$A$2:A1896,A1896,$N$2:N1896,"Explore*")</f>
        <v/>
      </c>
      <c r="AB1896">
        <f>IF(AND(LEFT(N1896,7)="Explore",(AA1896-IF(LEFT(N1896,7)="Explore",S1896,0))&lt;10),"SI","NO")</f>
        <v/>
      </c>
    </row>
    <row r="1897">
      <c r="A1897" t="inlineStr">
        <is>
          <t>c59f3_training</t>
        </is>
      </c>
      <c r="B1897" t="inlineStr">
        <is>
          <t>2026-07-03 15:52:34.518</t>
        </is>
      </c>
      <c r="C1897" t="n">
        <v/>
      </c>
      <c r="D1897" t="inlineStr">
        <is>
          <t>Media file</t>
        </is>
      </c>
      <c r="E1897" t="inlineStr">
        <is>
          <t>player #1:C:/Users/manuel.felline/Documents/BEHAVIOR BTBR/NOR second cohort/WT/training/c59_f3.mp4</t>
        </is>
      </c>
      <c r="F1897" t="n">
        <v>-14.667</v>
      </c>
      <c r="G1897" t="n">
        <v>525.4</v>
      </c>
      <c r="H1897" t="n">
        <v>637.1660000000001</v>
      </c>
      <c r="I1897" t="n">
        <v>30</v>
      </c>
      <c r="J1897" t="inlineStr">
        <is>
          <t xml:space="preserve"> WT</t>
        </is>
      </c>
      <c r="K1897" t="inlineStr">
        <is>
          <t xml:space="preserve"> Female</t>
        </is>
      </c>
      <c r="L1897" t="inlineStr">
        <is>
          <t>No focal subject</t>
        </is>
      </c>
      <c r="M1897" t="n">
        <v>38.232</v>
      </c>
      <c r="N1897" t="inlineStr">
        <is>
          <t>Explore_F</t>
        </is>
      </c>
      <c r="O1897" t="inlineStr">
        <is>
          <t>Familiar</t>
        </is>
      </c>
      <c r="P1897" t="inlineStr">
        <is>
          <t>STATE</t>
        </is>
      </c>
      <c r="Q1897" t="n">
        <v>271.633</v>
      </c>
      <c r="R1897" t="n">
        <v>271.999</v>
      </c>
      <c r="S1897" t="n">
        <v>0.366</v>
      </c>
      <c r="T1897" t="inlineStr">
        <is>
          <t>C:/Users/manuel.felline/Documents/BEHAVIOR BTBR/NOR second cohort/WT/training/c59_f3.mp4</t>
        </is>
      </c>
      <c r="U1897" t="n">
        <v>8588</v>
      </c>
      <c r="V1897" t="n">
        <v>8599</v>
      </c>
      <c r="W1897" t="n">
        <v/>
      </c>
      <c r="X1897" t="n">
        <v/>
      </c>
      <c r="Y1897" t="n">
        <v/>
      </c>
      <c r="Z1897" t="n">
        <v/>
      </c>
      <c r="AA1897">
        <f>SUMIFS($S$2:S1897,$A$2:A1897,A1897,$N$2:N1897,"Explore*")</f>
        <v/>
      </c>
      <c r="AB1897">
        <f>IF(AND(LEFT(N1897,7)="Explore",(AA1897-IF(LEFT(N1897,7)="Explore",S1897,0))&lt;10),"SI","NO")</f>
        <v/>
      </c>
    </row>
    <row r="1898">
      <c r="A1898" t="inlineStr">
        <is>
          <t>c59f3_training</t>
        </is>
      </c>
      <c r="B1898" t="inlineStr">
        <is>
          <t>2026-07-03 15:52:34.518</t>
        </is>
      </c>
      <c r="C1898" t="n">
        <v/>
      </c>
      <c r="D1898" t="inlineStr">
        <is>
          <t>Media file</t>
        </is>
      </c>
      <c r="E1898" t="inlineStr">
        <is>
          <t>player #1:C:/Users/manuel.felline/Documents/BEHAVIOR BTBR/NOR second cohort/WT/training/c59_f3.mp4</t>
        </is>
      </c>
      <c r="F1898" t="n">
        <v>-14.667</v>
      </c>
      <c r="G1898" t="n">
        <v>525.4</v>
      </c>
      <c r="H1898" t="n">
        <v>637.1660000000001</v>
      </c>
      <c r="I1898" t="n">
        <v>30</v>
      </c>
      <c r="J1898" t="inlineStr">
        <is>
          <t xml:space="preserve"> WT</t>
        </is>
      </c>
      <c r="K1898" t="inlineStr">
        <is>
          <t xml:space="preserve"> Female</t>
        </is>
      </c>
      <c r="L1898" t="inlineStr">
        <is>
          <t>No focal subject</t>
        </is>
      </c>
      <c r="M1898" t="n">
        <v>38.232</v>
      </c>
      <c r="N1898" t="inlineStr">
        <is>
          <t>Explore_F</t>
        </is>
      </c>
      <c r="O1898" t="inlineStr">
        <is>
          <t>Familiar</t>
        </is>
      </c>
      <c r="P1898" t="inlineStr">
        <is>
          <t>STATE</t>
        </is>
      </c>
      <c r="Q1898" t="n">
        <v>281.633</v>
      </c>
      <c r="R1898" t="n">
        <v>283.499</v>
      </c>
      <c r="S1898" t="n">
        <v>1.866</v>
      </c>
      <c r="T1898" t="inlineStr">
        <is>
          <t>C:/Users/manuel.felline/Documents/BEHAVIOR BTBR/NOR second cohort/WT/training/c59_f3.mp4</t>
        </is>
      </c>
      <c r="U1898" t="n">
        <v>8888</v>
      </c>
      <c r="V1898" t="n">
        <v>8944</v>
      </c>
      <c r="W1898" t="n">
        <v/>
      </c>
      <c r="X1898" t="n">
        <v/>
      </c>
      <c r="Y1898" t="n">
        <v/>
      </c>
      <c r="Z1898" t="n">
        <v/>
      </c>
      <c r="AA1898">
        <f>SUMIFS($S$2:S1898,$A$2:A1898,A1898,$N$2:N1898,"Explore*")</f>
        <v/>
      </c>
      <c r="AB1898">
        <f>IF(AND(LEFT(N1898,7)="Explore",(AA1898-IF(LEFT(N1898,7)="Explore",S1898,0))&lt;10),"SI","NO")</f>
        <v/>
      </c>
    </row>
    <row r="1899">
      <c r="A1899" t="inlineStr">
        <is>
          <t>c59f3_training</t>
        </is>
      </c>
      <c r="B1899" t="inlineStr">
        <is>
          <t>2026-07-03 15:52:34.518</t>
        </is>
      </c>
      <c r="C1899" t="n">
        <v/>
      </c>
      <c r="D1899" t="inlineStr">
        <is>
          <t>Media file</t>
        </is>
      </c>
      <c r="E1899" t="inlineStr">
        <is>
          <t>player #1:C:/Users/manuel.felline/Documents/BEHAVIOR BTBR/NOR second cohort/WT/training/c59_f3.mp4</t>
        </is>
      </c>
      <c r="F1899" t="n">
        <v>-14.667</v>
      </c>
      <c r="G1899" t="n">
        <v>525.4</v>
      </c>
      <c r="H1899" t="n">
        <v>637.1660000000001</v>
      </c>
      <c r="I1899" t="n">
        <v>30</v>
      </c>
      <c r="J1899" t="inlineStr">
        <is>
          <t xml:space="preserve"> WT</t>
        </is>
      </c>
      <c r="K1899" t="inlineStr">
        <is>
          <t xml:space="preserve"> Female</t>
        </is>
      </c>
      <c r="L1899" t="inlineStr">
        <is>
          <t>No focal subject</t>
        </is>
      </c>
      <c r="M1899" t="n">
        <v>38.232</v>
      </c>
      <c r="N1899" t="inlineStr">
        <is>
          <t>Explore_F</t>
        </is>
      </c>
      <c r="O1899" t="inlineStr">
        <is>
          <t>Familiar</t>
        </is>
      </c>
      <c r="P1899" t="inlineStr">
        <is>
          <t>STATE</t>
        </is>
      </c>
      <c r="Q1899" t="n">
        <v>290.833</v>
      </c>
      <c r="R1899" t="n">
        <v>292.566</v>
      </c>
      <c r="S1899" t="n">
        <v>1.733</v>
      </c>
      <c r="T1899" t="inlineStr">
        <is>
          <t>C:/Users/manuel.felline/Documents/BEHAVIOR BTBR/NOR second cohort/WT/training/c59_f3.mp4</t>
        </is>
      </c>
      <c r="U1899" t="n">
        <v>9164</v>
      </c>
      <c r="V1899" t="n">
        <v>9216</v>
      </c>
      <c r="W1899" t="n">
        <v/>
      </c>
      <c r="X1899" t="n">
        <v/>
      </c>
      <c r="Y1899" t="n">
        <v/>
      </c>
      <c r="Z1899" t="n">
        <v/>
      </c>
      <c r="AA1899">
        <f>SUMIFS($S$2:S1899,$A$2:A1899,A1899,$N$2:N1899,"Explore*")</f>
        <v/>
      </c>
      <c r="AB1899">
        <f>IF(AND(LEFT(N1899,7)="Explore",(AA1899-IF(LEFT(N1899,7)="Explore",S1899,0))&lt;10),"SI","NO")</f>
        <v/>
      </c>
    </row>
    <row r="1900">
      <c r="A1900" t="inlineStr">
        <is>
          <t>c59f3_training</t>
        </is>
      </c>
      <c r="B1900" t="inlineStr">
        <is>
          <t>2026-07-03 15:52:34.518</t>
        </is>
      </c>
      <c r="C1900" t="n">
        <v/>
      </c>
      <c r="D1900" t="inlineStr">
        <is>
          <t>Media file</t>
        </is>
      </c>
      <c r="E1900" t="inlineStr">
        <is>
          <t>player #1:C:/Users/manuel.felline/Documents/BEHAVIOR BTBR/NOR second cohort/WT/training/c59_f3.mp4</t>
        </is>
      </c>
      <c r="F1900" t="n">
        <v>-14.667</v>
      </c>
      <c r="G1900" t="n">
        <v>525.4</v>
      </c>
      <c r="H1900" t="n">
        <v>637.1660000000001</v>
      </c>
      <c r="I1900" t="n">
        <v>30</v>
      </c>
      <c r="J1900" t="inlineStr">
        <is>
          <t xml:space="preserve"> WT</t>
        </is>
      </c>
      <c r="K1900" t="inlineStr">
        <is>
          <t xml:space="preserve"> Female</t>
        </is>
      </c>
      <c r="L1900" t="inlineStr">
        <is>
          <t>No focal subject</t>
        </is>
      </c>
      <c r="M1900" t="n">
        <v>38.232</v>
      </c>
      <c r="N1900" t="inlineStr">
        <is>
          <t>Explore_F</t>
        </is>
      </c>
      <c r="O1900" t="inlineStr">
        <is>
          <t>Familiar</t>
        </is>
      </c>
      <c r="P1900" t="inlineStr">
        <is>
          <t>STATE</t>
        </is>
      </c>
      <c r="Q1900" t="n">
        <v>336.833</v>
      </c>
      <c r="R1900" t="n">
        <v>338.999</v>
      </c>
      <c r="S1900" t="n">
        <v>2.166</v>
      </c>
      <c r="T1900" t="inlineStr">
        <is>
          <t>C:/Users/manuel.felline/Documents/BEHAVIOR BTBR/NOR second cohort/WT/training/c59_f3.mp4</t>
        </is>
      </c>
      <c r="U1900" t="n">
        <v>10543</v>
      </c>
      <c r="V1900" t="n">
        <v>10608</v>
      </c>
      <c r="W1900" t="n">
        <v/>
      </c>
      <c r="X1900" t="n">
        <v/>
      </c>
      <c r="Y1900" t="n">
        <v/>
      </c>
      <c r="Z1900" t="n">
        <v/>
      </c>
      <c r="AA1900">
        <f>SUMIFS($S$2:S1900,$A$2:A1900,A1900,$N$2:N1900,"Explore*")</f>
        <v/>
      </c>
      <c r="AB1900">
        <f>IF(AND(LEFT(N1900,7)="Explore",(AA1900-IF(LEFT(N1900,7)="Explore",S1900,0))&lt;10),"SI","NO")</f>
        <v/>
      </c>
    </row>
    <row r="1901">
      <c r="A1901" t="inlineStr">
        <is>
          <t>c59f3_training</t>
        </is>
      </c>
      <c r="B1901" t="inlineStr">
        <is>
          <t>2026-07-03 15:52:34.518</t>
        </is>
      </c>
      <c r="C1901" t="n">
        <v/>
      </c>
      <c r="D1901" t="inlineStr">
        <is>
          <t>Media file</t>
        </is>
      </c>
      <c r="E1901" t="inlineStr">
        <is>
          <t>player #1:C:/Users/manuel.felline/Documents/BEHAVIOR BTBR/NOR second cohort/WT/training/c59_f3.mp4</t>
        </is>
      </c>
      <c r="F1901" t="n">
        <v>-14.667</v>
      </c>
      <c r="G1901" t="n">
        <v>525.4</v>
      </c>
      <c r="H1901" t="n">
        <v>637.1660000000001</v>
      </c>
      <c r="I1901" t="n">
        <v>30</v>
      </c>
      <c r="J1901" t="inlineStr">
        <is>
          <t xml:space="preserve"> WT</t>
        </is>
      </c>
      <c r="K1901" t="inlineStr">
        <is>
          <t xml:space="preserve"> Female</t>
        </is>
      </c>
      <c r="L1901" t="inlineStr">
        <is>
          <t>No focal subject</t>
        </is>
      </c>
      <c r="M1901" t="n">
        <v>38.232</v>
      </c>
      <c r="N1901" t="inlineStr">
        <is>
          <t>Explore_F</t>
        </is>
      </c>
      <c r="O1901" t="inlineStr">
        <is>
          <t>Familiar</t>
        </is>
      </c>
      <c r="P1901" t="inlineStr">
        <is>
          <t>STATE</t>
        </is>
      </c>
      <c r="Q1901" t="n">
        <v>340.866</v>
      </c>
      <c r="R1901" t="n">
        <v>344.166</v>
      </c>
      <c r="S1901" t="n">
        <v>3.3</v>
      </c>
      <c r="T1901" t="inlineStr">
        <is>
          <t>C:/Users/manuel.felline/Documents/BEHAVIOR BTBR/NOR second cohort/WT/training/c59_f3.mp4</t>
        </is>
      </c>
      <c r="U1901" t="n">
        <v>10664</v>
      </c>
      <c r="V1901" t="n">
        <v>10763</v>
      </c>
      <c r="W1901" t="n">
        <v/>
      </c>
      <c r="X1901" t="n">
        <v/>
      </c>
      <c r="Y1901" t="n">
        <v/>
      </c>
      <c r="Z1901" t="n">
        <v/>
      </c>
      <c r="AA1901">
        <f>SUMIFS($S$2:S1901,$A$2:A1901,A1901,$N$2:N1901,"Explore*")</f>
        <v/>
      </c>
      <c r="AB1901">
        <f>IF(AND(LEFT(N1901,7)="Explore",(AA1901-IF(LEFT(N1901,7)="Explore",S1901,0))&lt;10),"SI","NO")</f>
        <v/>
      </c>
    </row>
    <row r="1902">
      <c r="A1902" t="inlineStr">
        <is>
          <t>c59f3_training</t>
        </is>
      </c>
      <c r="B1902" t="inlineStr">
        <is>
          <t>2026-07-03 15:52:34.518</t>
        </is>
      </c>
      <c r="C1902" t="n">
        <v/>
      </c>
      <c r="D1902" t="inlineStr">
        <is>
          <t>Media file</t>
        </is>
      </c>
      <c r="E1902" t="inlineStr">
        <is>
          <t>player #1:C:/Users/manuel.felline/Documents/BEHAVIOR BTBR/NOR second cohort/WT/training/c59_f3.mp4</t>
        </is>
      </c>
      <c r="F1902" t="n">
        <v>-14.667</v>
      </c>
      <c r="G1902" t="n">
        <v>525.4</v>
      </c>
      <c r="H1902" t="n">
        <v>637.1660000000001</v>
      </c>
      <c r="I1902" t="n">
        <v>30</v>
      </c>
      <c r="J1902" t="inlineStr">
        <is>
          <t xml:space="preserve"> WT</t>
        </is>
      </c>
      <c r="K1902" t="inlineStr">
        <is>
          <t xml:space="preserve"> Female</t>
        </is>
      </c>
      <c r="L1902" t="inlineStr">
        <is>
          <t>No focal subject</t>
        </is>
      </c>
      <c r="M1902" t="n">
        <v>38.232</v>
      </c>
      <c r="N1902" t="inlineStr">
        <is>
          <t>Explore_F2</t>
        </is>
      </c>
      <c r="O1902" t="inlineStr">
        <is>
          <t>Second familiar</t>
        </is>
      </c>
      <c r="P1902" t="inlineStr">
        <is>
          <t>STATE</t>
        </is>
      </c>
      <c r="Q1902" t="n">
        <v>360.699</v>
      </c>
      <c r="R1902" t="n">
        <v>360.999</v>
      </c>
      <c r="S1902" t="n">
        <v>0.3</v>
      </c>
      <c r="T1902" t="inlineStr">
        <is>
          <t>C:/Users/manuel.felline/Documents/BEHAVIOR BTBR/NOR second cohort/WT/training/c59_f3.mp4</t>
        </is>
      </c>
      <c r="U1902" t="n">
        <v>11259</v>
      </c>
      <c r="V1902" t="n">
        <v>11268</v>
      </c>
      <c r="W1902" t="n">
        <v/>
      </c>
      <c r="X1902" t="n">
        <v/>
      </c>
      <c r="Y1902" t="n">
        <v/>
      </c>
      <c r="Z1902" t="n">
        <v/>
      </c>
      <c r="AA1902">
        <f>SUMIFS($S$2:S1902,$A$2:A1902,A1902,$N$2:N1902,"Explore*")</f>
        <v/>
      </c>
      <c r="AB1902">
        <f>IF(AND(LEFT(N1902,7)="Explore",(AA1902-IF(LEFT(N1902,7)="Explore",S1902,0))&lt;10),"SI","NO")</f>
        <v/>
      </c>
    </row>
    <row r="1903">
      <c r="A1903" t="inlineStr">
        <is>
          <t>c59f3_training</t>
        </is>
      </c>
      <c r="B1903" t="inlineStr">
        <is>
          <t>2026-07-03 15:52:34.518</t>
        </is>
      </c>
      <c r="C1903" t="n">
        <v/>
      </c>
      <c r="D1903" t="inlineStr">
        <is>
          <t>Media file</t>
        </is>
      </c>
      <c r="E1903" t="inlineStr">
        <is>
          <t>player #1:C:/Users/manuel.felline/Documents/BEHAVIOR BTBR/NOR second cohort/WT/training/c59_f3.mp4</t>
        </is>
      </c>
      <c r="F1903" t="n">
        <v>-14.667</v>
      </c>
      <c r="G1903" t="n">
        <v>525.4</v>
      </c>
      <c r="H1903" t="n">
        <v>637.1660000000001</v>
      </c>
      <c r="I1903" t="n">
        <v>30</v>
      </c>
      <c r="J1903" t="inlineStr">
        <is>
          <t xml:space="preserve"> WT</t>
        </is>
      </c>
      <c r="K1903" t="inlineStr">
        <is>
          <t xml:space="preserve"> Female</t>
        </is>
      </c>
      <c r="L1903" t="inlineStr">
        <is>
          <t>No focal subject</t>
        </is>
      </c>
      <c r="M1903" t="n">
        <v>38.232</v>
      </c>
      <c r="N1903" t="inlineStr">
        <is>
          <t>Explore_F2</t>
        </is>
      </c>
      <c r="O1903" t="inlineStr">
        <is>
          <t>Second familiar</t>
        </is>
      </c>
      <c r="P1903" t="inlineStr">
        <is>
          <t>STATE</t>
        </is>
      </c>
      <c r="Q1903" t="n">
        <v>366.299</v>
      </c>
      <c r="R1903" t="n">
        <v>368.099</v>
      </c>
      <c r="S1903" t="n">
        <v>1.8</v>
      </c>
      <c r="T1903" t="inlineStr">
        <is>
          <t>C:/Users/manuel.felline/Documents/BEHAVIOR BTBR/NOR second cohort/WT/training/c59_f3.mp4</t>
        </is>
      </c>
      <c r="U1903" t="n">
        <v>11427</v>
      </c>
      <c r="V1903" t="n">
        <v>11481</v>
      </c>
      <c r="W1903" t="n">
        <v/>
      </c>
      <c r="X1903" t="n">
        <v/>
      </c>
      <c r="Y1903" t="n">
        <v/>
      </c>
      <c r="Z1903" t="n">
        <v/>
      </c>
      <c r="AA1903">
        <f>SUMIFS($S$2:S1903,$A$2:A1903,A1903,$N$2:N1903,"Explore*")</f>
        <v/>
      </c>
      <c r="AB1903">
        <f>IF(AND(LEFT(N1903,7)="Explore",(AA1903-IF(LEFT(N1903,7)="Explore",S1903,0))&lt;10),"SI","NO")</f>
        <v/>
      </c>
    </row>
    <row r="1904">
      <c r="A1904" t="inlineStr">
        <is>
          <t>c59f3_training</t>
        </is>
      </c>
      <c r="B1904" t="inlineStr">
        <is>
          <t>2026-07-03 15:52:34.518</t>
        </is>
      </c>
      <c r="C1904" t="n">
        <v/>
      </c>
      <c r="D1904" t="inlineStr">
        <is>
          <t>Media file</t>
        </is>
      </c>
      <c r="E1904" t="inlineStr">
        <is>
          <t>player #1:C:/Users/manuel.felline/Documents/BEHAVIOR BTBR/NOR second cohort/WT/training/c59_f3.mp4</t>
        </is>
      </c>
      <c r="F1904" t="n">
        <v>-14.667</v>
      </c>
      <c r="G1904" t="n">
        <v>525.4</v>
      </c>
      <c r="H1904" t="n">
        <v>637.1660000000001</v>
      </c>
      <c r="I1904" t="n">
        <v>30</v>
      </c>
      <c r="J1904" t="inlineStr">
        <is>
          <t xml:space="preserve"> WT</t>
        </is>
      </c>
      <c r="K1904" t="inlineStr">
        <is>
          <t xml:space="preserve"> Female</t>
        </is>
      </c>
      <c r="L1904" t="inlineStr">
        <is>
          <t>No focal subject</t>
        </is>
      </c>
      <c r="M1904" t="n">
        <v>38.232</v>
      </c>
      <c r="N1904" t="inlineStr">
        <is>
          <t>Explore_F</t>
        </is>
      </c>
      <c r="O1904" t="inlineStr">
        <is>
          <t>Familiar</t>
        </is>
      </c>
      <c r="P1904" t="inlineStr">
        <is>
          <t>STATE</t>
        </is>
      </c>
      <c r="Q1904" t="n">
        <v>369.766</v>
      </c>
      <c r="R1904" t="n">
        <v>370.299</v>
      </c>
      <c r="S1904" t="n">
        <v>0.533</v>
      </c>
      <c r="T1904" t="inlineStr">
        <is>
          <t>C:/Users/manuel.felline/Documents/BEHAVIOR BTBR/NOR second cohort/WT/training/c59_f3.mp4</t>
        </is>
      </c>
      <c r="U1904" t="n">
        <v>11531</v>
      </c>
      <c r="V1904" t="n">
        <v>11547</v>
      </c>
      <c r="W1904" t="n">
        <v/>
      </c>
      <c r="X1904" t="n">
        <v/>
      </c>
      <c r="Y1904" t="n">
        <v/>
      </c>
      <c r="Z1904" t="n">
        <v/>
      </c>
      <c r="AA1904">
        <f>SUMIFS($S$2:S1904,$A$2:A1904,A1904,$N$2:N1904,"Explore*")</f>
        <v/>
      </c>
      <c r="AB1904">
        <f>IF(AND(LEFT(N1904,7)="Explore",(AA1904-IF(LEFT(N1904,7)="Explore",S1904,0))&lt;10),"SI","NO")</f>
        <v/>
      </c>
    </row>
    <row r="1905">
      <c r="A1905" t="inlineStr">
        <is>
          <t>c59f3_training</t>
        </is>
      </c>
      <c r="B1905" t="inlineStr">
        <is>
          <t>2026-07-03 15:52:34.518</t>
        </is>
      </c>
      <c r="C1905" t="n">
        <v/>
      </c>
      <c r="D1905" t="inlineStr">
        <is>
          <t>Media file</t>
        </is>
      </c>
      <c r="E1905" t="inlineStr">
        <is>
          <t>player #1:C:/Users/manuel.felline/Documents/BEHAVIOR BTBR/NOR second cohort/WT/training/c59_f3.mp4</t>
        </is>
      </c>
      <c r="F1905" t="n">
        <v>-14.667</v>
      </c>
      <c r="G1905" t="n">
        <v>525.4</v>
      </c>
      <c r="H1905" t="n">
        <v>637.1660000000001</v>
      </c>
      <c r="I1905" t="n">
        <v>30</v>
      </c>
      <c r="J1905" t="inlineStr">
        <is>
          <t xml:space="preserve"> WT</t>
        </is>
      </c>
      <c r="K1905" t="inlineStr">
        <is>
          <t xml:space="preserve"> Female</t>
        </is>
      </c>
      <c r="L1905" t="inlineStr">
        <is>
          <t>No focal subject</t>
        </is>
      </c>
      <c r="M1905" t="n">
        <v>38.232</v>
      </c>
      <c r="N1905" t="inlineStr">
        <is>
          <t>Explore_F2</t>
        </is>
      </c>
      <c r="O1905" t="inlineStr">
        <is>
          <t>Second familiar</t>
        </is>
      </c>
      <c r="P1905" t="inlineStr">
        <is>
          <t>STATE</t>
        </is>
      </c>
      <c r="Q1905" t="n">
        <v>373.133</v>
      </c>
      <c r="R1905" t="n">
        <v>374.466</v>
      </c>
      <c r="S1905" t="n">
        <v>1.333</v>
      </c>
      <c r="T1905" t="inlineStr">
        <is>
          <t>C:/Users/manuel.felline/Documents/BEHAVIOR BTBR/NOR second cohort/WT/training/c59_f3.mp4</t>
        </is>
      </c>
      <c r="U1905" t="n">
        <v>11632</v>
      </c>
      <c r="V1905" t="n">
        <v>11672</v>
      </c>
      <c r="W1905" t="n">
        <v/>
      </c>
      <c r="X1905" t="n">
        <v/>
      </c>
      <c r="Y1905" t="n">
        <v/>
      </c>
      <c r="Z1905" t="n">
        <v/>
      </c>
      <c r="AA1905">
        <f>SUMIFS($S$2:S1905,$A$2:A1905,A1905,$N$2:N1905,"Explore*")</f>
        <v/>
      </c>
      <c r="AB1905">
        <f>IF(AND(LEFT(N1905,7)="Explore",(AA1905-IF(LEFT(N1905,7)="Explore",S1905,0))&lt;10),"SI","NO")</f>
        <v/>
      </c>
    </row>
    <row r="1906">
      <c r="A1906" t="inlineStr">
        <is>
          <t>c59f3_training</t>
        </is>
      </c>
      <c r="B1906" t="inlineStr">
        <is>
          <t>2026-07-03 15:52:34.518</t>
        </is>
      </c>
      <c r="C1906" t="n">
        <v/>
      </c>
      <c r="D1906" t="inlineStr">
        <is>
          <t>Media file</t>
        </is>
      </c>
      <c r="E1906" t="inlineStr">
        <is>
          <t>player #1:C:/Users/manuel.felline/Documents/BEHAVIOR BTBR/NOR second cohort/WT/training/c59_f3.mp4</t>
        </is>
      </c>
      <c r="F1906" t="n">
        <v>-14.667</v>
      </c>
      <c r="G1906" t="n">
        <v>525.4</v>
      </c>
      <c r="H1906" t="n">
        <v>637.1660000000001</v>
      </c>
      <c r="I1906" t="n">
        <v>30</v>
      </c>
      <c r="J1906" t="inlineStr">
        <is>
          <t xml:space="preserve"> WT</t>
        </is>
      </c>
      <c r="K1906" t="inlineStr">
        <is>
          <t xml:space="preserve"> Female</t>
        </is>
      </c>
      <c r="L1906" t="inlineStr">
        <is>
          <t>No focal subject</t>
        </is>
      </c>
      <c r="M1906" t="n">
        <v>38.232</v>
      </c>
      <c r="N1906" t="inlineStr">
        <is>
          <t>Explore_F</t>
        </is>
      </c>
      <c r="O1906" t="inlineStr">
        <is>
          <t>Familiar</t>
        </is>
      </c>
      <c r="P1906" t="inlineStr">
        <is>
          <t>STATE</t>
        </is>
      </c>
      <c r="Q1906" t="n">
        <v>378.666</v>
      </c>
      <c r="R1906" t="n">
        <v>379.899</v>
      </c>
      <c r="S1906" t="n">
        <v>1.233</v>
      </c>
      <c r="T1906" t="inlineStr">
        <is>
          <t>C:/Users/manuel.felline/Documents/BEHAVIOR BTBR/NOR second cohort/WT/training/c59_f3.mp4</t>
        </is>
      </c>
      <c r="U1906" t="n">
        <v>11798</v>
      </c>
      <c r="V1906" t="n">
        <v>11835</v>
      </c>
      <c r="W1906" t="n">
        <v/>
      </c>
      <c r="X1906" t="n">
        <v/>
      </c>
      <c r="Y1906" t="n">
        <v/>
      </c>
      <c r="Z1906" t="n">
        <v/>
      </c>
      <c r="AA1906">
        <f>SUMIFS($S$2:S1906,$A$2:A1906,A1906,$N$2:N1906,"Explore*")</f>
        <v/>
      </c>
      <c r="AB1906">
        <f>IF(AND(LEFT(N1906,7)="Explore",(AA1906-IF(LEFT(N1906,7)="Explore",S1906,0))&lt;10),"SI","NO")</f>
        <v/>
      </c>
    </row>
    <row r="1907">
      <c r="A1907" t="inlineStr">
        <is>
          <t>c59f3_training</t>
        </is>
      </c>
      <c r="B1907" t="inlineStr">
        <is>
          <t>2026-07-03 15:52:34.518</t>
        </is>
      </c>
      <c r="C1907" t="n">
        <v/>
      </c>
      <c r="D1907" t="inlineStr">
        <is>
          <t>Media file</t>
        </is>
      </c>
      <c r="E1907" t="inlineStr">
        <is>
          <t>player #1:C:/Users/manuel.felline/Documents/BEHAVIOR BTBR/NOR second cohort/WT/training/c59_f3.mp4</t>
        </is>
      </c>
      <c r="F1907" t="n">
        <v>-14.667</v>
      </c>
      <c r="G1907" t="n">
        <v>525.4</v>
      </c>
      <c r="H1907" t="n">
        <v>637.1660000000001</v>
      </c>
      <c r="I1907" t="n">
        <v>30</v>
      </c>
      <c r="J1907" t="inlineStr">
        <is>
          <t xml:space="preserve"> WT</t>
        </is>
      </c>
      <c r="K1907" t="inlineStr">
        <is>
          <t xml:space="preserve"> Female</t>
        </is>
      </c>
      <c r="L1907" t="inlineStr">
        <is>
          <t>No focal subject</t>
        </is>
      </c>
      <c r="M1907" t="n">
        <v>38.232</v>
      </c>
      <c r="N1907" t="inlineStr">
        <is>
          <t>Explore_F2</t>
        </is>
      </c>
      <c r="O1907" t="inlineStr">
        <is>
          <t>Second familiar</t>
        </is>
      </c>
      <c r="P1907" t="inlineStr">
        <is>
          <t>STATE</t>
        </is>
      </c>
      <c r="Q1907" t="n">
        <v>389.199</v>
      </c>
      <c r="R1907" t="n">
        <v>390.399</v>
      </c>
      <c r="S1907" t="n">
        <v>1.2</v>
      </c>
      <c r="T1907" t="inlineStr">
        <is>
          <t>C:/Users/manuel.felline/Documents/BEHAVIOR BTBR/NOR second cohort/WT/training/c59_f3.mp4</t>
        </is>
      </c>
      <c r="U1907" t="n">
        <v>12114</v>
      </c>
      <c r="V1907" t="n">
        <v>12150</v>
      </c>
      <c r="W1907" t="n">
        <v/>
      </c>
      <c r="X1907" t="n">
        <v/>
      </c>
      <c r="Y1907" t="n">
        <v/>
      </c>
      <c r="Z1907" t="n">
        <v/>
      </c>
      <c r="AA1907">
        <f>SUMIFS($S$2:S1907,$A$2:A1907,A1907,$N$2:N1907,"Explore*")</f>
        <v/>
      </c>
      <c r="AB1907">
        <f>IF(AND(LEFT(N1907,7)="Explore",(AA1907-IF(LEFT(N1907,7)="Explore",S1907,0))&lt;10),"SI","NO")</f>
        <v/>
      </c>
    </row>
    <row r="1908">
      <c r="A1908" t="inlineStr">
        <is>
          <t>c59f3_training</t>
        </is>
      </c>
      <c r="B1908" t="inlineStr">
        <is>
          <t>2026-07-03 15:52:34.518</t>
        </is>
      </c>
      <c r="C1908" t="n">
        <v/>
      </c>
      <c r="D1908" t="inlineStr">
        <is>
          <t>Media file</t>
        </is>
      </c>
      <c r="E1908" t="inlineStr">
        <is>
          <t>player #1:C:/Users/manuel.felline/Documents/BEHAVIOR BTBR/NOR second cohort/WT/training/c59_f3.mp4</t>
        </is>
      </c>
      <c r="F1908" t="n">
        <v>-14.667</v>
      </c>
      <c r="G1908" t="n">
        <v>525.4</v>
      </c>
      <c r="H1908" t="n">
        <v>637.1660000000001</v>
      </c>
      <c r="I1908" t="n">
        <v>30</v>
      </c>
      <c r="J1908" t="inlineStr">
        <is>
          <t xml:space="preserve"> WT</t>
        </is>
      </c>
      <c r="K1908" t="inlineStr">
        <is>
          <t xml:space="preserve"> Female</t>
        </is>
      </c>
      <c r="L1908" t="inlineStr">
        <is>
          <t>No focal subject</t>
        </is>
      </c>
      <c r="M1908" t="n">
        <v>38.232</v>
      </c>
      <c r="N1908" t="inlineStr">
        <is>
          <t>Explore_F2</t>
        </is>
      </c>
      <c r="O1908" t="inlineStr">
        <is>
          <t>Second familiar</t>
        </is>
      </c>
      <c r="P1908" t="inlineStr">
        <is>
          <t>STATE</t>
        </is>
      </c>
      <c r="Q1908" t="n">
        <v>397.699</v>
      </c>
      <c r="R1908" t="n">
        <v>398.166</v>
      </c>
      <c r="S1908" t="n">
        <v>0.467</v>
      </c>
      <c r="T1908" t="inlineStr">
        <is>
          <t>C:/Users/manuel.felline/Documents/BEHAVIOR BTBR/NOR second cohort/WT/training/c59_f3.mp4</t>
        </is>
      </c>
      <c r="U1908" t="n">
        <v>12369</v>
      </c>
      <c r="V1908" t="n">
        <v>12383</v>
      </c>
      <c r="W1908" t="n">
        <v/>
      </c>
      <c r="X1908" t="n">
        <v/>
      </c>
      <c r="Y1908" t="n">
        <v/>
      </c>
      <c r="Z1908" t="n">
        <v/>
      </c>
      <c r="AA1908">
        <f>SUMIFS($S$2:S1908,$A$2:A1908,A1908,$N$2:N1908,"Explore*")</f>
        <v/>
      </c>
      <c r="AB1908">
        <f>IF(AND(LEFT(N1908,7)="Explore",(AA1908-IF(LEFT(N1908,7)="Explore",S1908,0))&lt;10),"SI","NO")</f>
        <v/>
      </c>
    </row>
    <row r="1909">
      <c r="A1909" t="inlineStr">
        <is>
          <t>c59f3_training</t>
        </is>
      </c>
      <c r="B1909" t="inlineStr">
        <is>
          <t>2026-07-03 15:52:34.518</t>
        </is>
      </c>
      <c r="C1909" t="n">
        <v/>
      </c>
      <c r="D1909" t="inlineStr">
        <is>
          <t>Media file</t>
        </is>
      </c>
      <c r="E1909" t="inlineStr">
        <is>
          <t>player #1:C:/Users/manuel.felline/Documents/BEHAVIOR BTBR/NOR second cohort/WT/training/c59_f3.mp4</t>
        </is>
      </c>
      <c r="F1909" t="n">
        <v>-14.667</v>
      </c>
      <c r="G1909" t="n">
        <v>525.4</v>
      </c>
      <c r="H1909" t="n">
        <v>637.1660000000001</v>
      </c>
      <c r="I1909" t="n">
        <v>30</v>
      </c>
      <c r="J1909" t="inlineStr">
        <is>
          <t xml:space="preserve"> WT</t>
        </is>
      </c>
      <c r="K1909" t="inlineStr">
        <is>
          <t xml:space="preserve"> Female</t>
        </is>
      </c>
      <c r="L1909" t="inlineStr">
        <is>
          <t>No focal subject</t>
        </is>
      </c>
      <c r="M1909" t="n">
        <v>38.232</v>
      </c>
      <c r="N1909" t="inlineStr">
        <is>
          <t>Explore_F</t>
        </is>
      </c>
      <c r="O1909" t="inlineStr">
        <is>
          <t>Familiar</t>
        </is>
      </c>
      <c r="P1909" t="inlineStr">
        <is>
          <t>STATE</t>
        </is>
      </c>
      <c r="Q1909" t="n">
        <v>413.166</v>
      </c>
      <c r="R1909" t="n">
        <v>413.466</v>
      </c>
      <c r="S1909" t="n">
        <v>0.3</v>
      </c>
      <c r="T1909" t="inlineStr">
        <is>
          <t>C:/Users/manuel.felline/Documents/BEHAVIOR BTBR/NOR second cohort/WT/training/c59_f3.mp4</t>
        </is>
      </c>
      <c r="U1909" t="n">
        <v>12833</v>
      </c>
      <c r="V1909" t="n">
        <v>12842</v>
      </c>
      <c r="W1909" t="n">
        <v/>
      </c>
      <c r="X1909" t="n">
        <v/>
      </c>
      <c r="Y1909" t="n">
        <v/>
      </c>
      <c r="Z1909" t="n">
        <v/>
      </c>
      <c r="AA1909">
        <f>SUMIFS($S$2:S1909,$A$2:A1909,A1909,$N$2:N1909,"Explore*")</f>
        <v/>
      </c>
      <c r="AB1909">
        <f>IF(AND(LEFT(N1909,7)="Explore",(AA1909-IF(LEFT(N1909,7)="Explore",S1909,0))&lt;10),"SI","NO")</f>
        <v/>
      </c>
    </row>
    <row r="1910">
      <c r="A1910" t="inlineStr">
        <is>
          <t>c59f3_training</t>
        </is>
      </c>
      <c r="B1910" t="inlineStr">
        <is>
          <t>2026-07-03 15:52:34.518</t>
        </is>
      </c>
      <c r="C1910" t="n">
        <v/>
      </c>
      <c r="D1910" t="inlineStr">
        <is>
          <t>Media file</t>
        </is>
      </c>
      <c r="E1910" t="inlineStr">
        <is>
          <t>player #1:C:/Users/manuel.felline/Documents/BEHAVIOR BTBR/NOR second cohort/WT/training/c59_f3.mp4</t>
        </is>
      </c>
      <c r="F1910" t="n">
        <v>-14.667</v>
      </c>
      <c r="G1910" t="n">
        <v>525.4</v>
      </c>
      <c r="H1910" t="n">
        <v>637.1660000000001</v>
      </c>
      <c r="I1910" t="n">
        <v>30</v>
      </c>
      <c r="J1910" t="inlineStr">
        <is>
          <t xml:space="preserve"> WT</t>
        </is>
      </c>
      <c r="K1910" t="inlineStr">
        <is>
          <t xml:space="preserve"> Female</t>
        </is>
      </c>
      <c r="L1910" t="inlineStr">
        <is>
          <t>No focal subject</t>
        </is>
      </c>
      <c r="M1910" t="n">
        <v>38.232</v>
      </c>
      <c r="N1910" t="inlineStr">
        <is>
          <t>Explore_F2</t>
        </is>
      </c>
      <c r="O1910" t="inlineStr">
        <is>
          <t>Second familiar</t>
        </is>
      </c>
      <c r="P1910" t="inlineStr">
        <is>
          <t>STATE</t>
        </is>
      </c>
      <c r="Q1910" t="n">
        <v>433.833</v>
      </c>
      <c r="R1910" t="n">
        <v>436.266</v>
      </c>
      <c r="S1910" t="n">
        <v>2.433</v>
      </c>
      <c r="T1910" t="inlineStr">
        <is>
          <t>C:/Users/manuel.felline/Documents/BEHAVIOR BTBR/NOR second cohort/WT/training/c59_f3.mp4</t>
        </is>
      </c>
      <c r="U1910" t="n">
        <v>13453</v>
      </c>
      <c r="V1910" t="n">
        <v>13526</v>
      </c>
      <c r="W1910" t="n">
        <v/>
      </c>
      <c r="X1910" t="n">
        <v/>
      </c>
      <c r="Y1910" t="n">
        <v/>
      </c>
      <c r="Z1910" t="n">
        <v/>
      </c>
      <c r="AA1910">
        <f>SUMIFS($S$2:S1910,$A$2:A1910,A1910,$N$2:N1910,"Explore*")</f>
        <v/>
      </c>
      <c r="AB1910">
        <f>IF(AND(LEFT(N1910,7)="Explore",(AA1910-IF(LEFT(N1910,7)="Explore",S1910,0))&lt;10),"SI","NO")</f>
        <v/>
      </c>
    </row>
    <row r="1911">
      <c r="A1911" t="inlineStr">
        <is>
          <t>c59f3_training</t>
        </is>
      </c>
      <c r="B1911" t="inlineStr">
        <is>
          <t>2026-07-03 15:52:34.518</t>
        </is>
      </c>
      <c r="C1911" t="n">
        <v/>
      </c>
      <c r="D1911" t="inlineStr">
        <is>
          <t>Media file</t>
        </is>
      </c>
      <c r="E1911" t="inlineStr">
        <is>
          <t>player #1:C:/Users/manuel.felline/Documents/BEHAVIOR BTBR/NOR second cohort/WT/training/c59_f3.mp4</t>
        </is>
      </c>
      <c r="F1911" t="n">
        <v>-14.667</v>
      </c>
      <c r="G1911" t="n">
        <v>525.4</v>
      </c>
      <c r="H1911" t="n">
        <v>637.1660000000001</v>
      </c>
      <c r="I1911" t="n">
        <v>30</v>
      </c>
      <c r="J1911" t="inlineStr">
        <is>
          <t xml:space="preserve"> WT</t>
        </is>
      </c>
      <c r="K1911" t="inlineStr">
        <is>
          <t xml:space="preserve"> Female</t>
        </is>
      </c>
      <c r="L1911" t="inlineStr">
        <is>
          <t>No focal subject</t>
        </is>
      </c>
      <c r="M1911" t="n">
        <v>38.232</v>
      </c>
      <c r="N1911" t="inlineStr">
        <is>
          <t>Explore_F2</t>
        </is>
      </c>
      <c r="O1911" t="inlineStr">
        <is>
          <t>Second familiar</t>
        </is>
      </c>
      <c r="P1911" t="inlineStr">
        <is>
          <t>STATE</t>
        </is>
      </c>
      <c r="Q1911" t="n">
        <v>439.199</v>
      </c>
      <c r="R1911" t="n">
        <v>440.233</v>
      </c>
      <c r="S1911" t="n">
        <v>1.034</v>
      </c>
      <c r="T1911" t="inlineStr">
        <is>
          <t>C:/Users/manuel.felline/Documents/BEHAVIOR BTBR/NOR second cohort/WT/training/c59_f3.mp4</t>
        </is>
      </c>
      <c r="U1911" t="n">
        <v>13614</v>
      </c>
      <c r="V1911" t="n">
        <v>13645</v>
      </c>
      <c r="W1911" t="n">
        <v/>
      </c>
      <c r="X1911" t="n">
        <v/>
      </c>
      <c r="Y1911" t="n">
        <v/>
      </c>
      <c r="Z1911" t="n">
        <v/>
      </c>
      <c r="AA1911">
        <f>SUMIFS($S$2:S1911,$A$2:A1911,A1911,$N$2:N1911,"Explore*")</f>
        <v/>
      </c>
      <c r="AB1911">
        <f>IF(AND(LEFT(N1911,7)="Explore",(AA1911-IF(LEFT(N1911,7)="Explore",S1911,0))&lt;10),"SI","NO")</f>
        <v/>
      </c>
    </row>
    <row r="1912">
      <c r="A1912" t="inlineStr">
        <is>
          <t>c59f3_training</t>
        </is>
      </c>
      <c r="B1912" t="inlineStr">
        <is>
          <t>2026-07-03 15:52:34.518</t>
        </is>
      </c>
      <c r="C1912" t="n">
        <v/>
      </c>
      <c r="D1912" t="inlineStr">
        <is>
          <t>Media file</t>
        </is>
      </c>
      <c r="E1912" t="inlineStr">
        <is>
          <t>player #1:C:/Users/manuel.felline/Documents/BEHAVIOR BTBR/NOR second cohort/WT/training/c59_f3.mp4</t>
        </is>
      </c>
      <c r="F1912" t="n">
        <v>-14.667</v>
      </c>
      <c r="G1912" t="n">
        <v>525.4</v>
      </c>
      <c r="H1912" t="n">
        <v>637.1660000000001</v>
      </c>
      <c r="I1912" t="n">
        <v>30</v>
      </c>
      <c r="J1912" t="inlineStr">
        <is>
          <t xml:space="preserve"> WT</t>
        </is>
      </c>
      <c r="K1912" t="inlineStr">
        <is>
          <t xml:space="preserve"> Female</t>
        </is>
      </c>
      <c r="L1912" t="inlineStr">
        <is>
          <t>No focal subject</t>
        </is>
      </c>
      <c r="M1912" t="n">
        <v>38.232</v>
      </c>
      <c r="N1912" t="inlineStr">
        <is>
          <t>Explore_F2</t>
        </is>
      </c>
      <c r="O1912" t="inlineStr">
        <is>
          <t>Second familiar</t>
        </is>
      </c>
      <c r="P1912" t="inlineStr">
        <is>
          <t>STATE</t>
        </is>
      </c>
      <c r="Q1912" t="n">
        <v>443.899</v>
      </c>
      <c r="R1912" t="n">
        <v>444.866</v>
      </c>
      <c r="S1912" t="n">
        <v>0.967</v>
      </c>
      <c r="T1912" t="inlineStr">
        <is>
          <t>C:/Users/manuel.felline/Documents/BEHAVIOR BTBR/NOR second cohort/WT/training/c59_f3.mp4</t>
        </is>
      </c>
      <c r="U1912" t="n">
        <v>13755</v>
      </c>
      <c r="V1912" t="n">
        <v>13784</v>
      </c>
      <c r="W1912" t="n">
        <v/>
      </c>
      <c r="X1912" t="n">
        <v/>
      </c>
      <c r="Y1912" t="n">
        <v/>
      </c>
      <c r="Z1912" t="n">
        <v/>
      </c>
      <c r="AA1912">
        <f>SUMIFS($S$2:S1912,$A$2:A1912,A1912,$N$2:N1912,"Explore*")</f>
        <v/>
      </c>
      <c r="AB1912">
        <f>IF(AND(LEFT(N1912,7)="Explore",(AA1912-IF(LEFT(N1912,7)="Explore",S1912,0))&lt;10),"SI","NO")</f>
        <v/>
      </c>
    </row>
    <row r="1913">
      <c r="A1913" t="inlineStr">
        <is>
          <t>c59f3_training</t>
        </is>
      </c>
      <c r="B1913" t="inlineStr">
        <is>
          <t>2026-07-03 15:52:34.518</t>
        </is>
      </c>
      <c r="C1913" t="n">
        <v/>
      </c>
      <c r="D1913" t="inlineStr">
        <is>
          <t>Media file</t>
        </is>
      </c>
      <c r="E1913" t="inlineStr">
        <is>
          <t>player #1:C:/Users/manuel.felline/Documents/BEHAVIOR BTBR/NOR second cohort/WT/training/c59_f3.mp4</t>
        </is>
      </c>
      <c r="F1913" t="n">
        <v>-14.667</v>
      </c>
      <c r="G1913" t="n">
        <v>525.4</v>
      </c>
      <c r="H1913" t="n">
        <v>637.1660000000001</v>
      </c>
      <c r="I1913" t="n">
        <v>30</v>
      </c>
      <c r="J1913" t="inlineStr">
        <is>
          <t xml:space="preserve"> WT</t>
        </is>
      </c>
      <c r="K1913" t="inlineStr">
        <is>
          <t xml:space="preserve"> Female</t>
        </is>
      </c>
      <c r="L1913" t="inlineStr">
        <is>
          <t>No focal subject</t>
        </is>
      </c>
      <c r="M1913" t="n">
        <v>38.232</v>
      </c>
      <c r="N1913" t="inlineStr">
        <is>
          <t>Explore_F</t>
        </is>
      </c>
      <c r="O1913" t="inlineStr">
        <is>
          <t>Familiar</t>
        </is>
      </c>
      <c r="P1913" t="inlineStr">
        <is>
          <t>STATE</t>
        </is>
      </c>
      <c r="Q1913" t="n">
        <v>455.633</v>
      </c>
      <c r="R1913" t="n">
        <v>457.666</v>
      </c>
      <c r="S1913" t="n">
        <v>2.033</v>
      </c>
      <c r="T1913" t="inlineStr">
        <is>
          <t>C:/Users/manuel.felline/Documents/BEHAVIOR BTBR/NOR second cohort/WT/training/c59_f3.mp4</t>
        </is>
      </c>
      <c r="U1913" t="n">
        <v>14107</v>
      </c>
      <c r="V1913" t="n">
        <v>14168</v>
      </c>
      <c r="W1913" t="n">
        <v/>
      </c>
      <c r="X1913" t="n">
        <v/>
      </c>
      <c r="Y1913" t="n">
        <v/>
      </c>
      <c r="Z1913" t="n">
        <v/>
      </c>
      <c r="AA1913">
        <f>SUMIFS($S$2:S1913,$A$2:A1913,A1913,$N$2:N1913,"Explore*")</f>
        <v/>
      </c>
      <c r="AB1913">
        <f>IF(AND(LEFT(N1913,7)="Explore",(AA1913-IF(LEFT(N1913,7)="Explore",S1913,0))&lt;10),"SI","NO")</f>
        <v/>
      </c>
    </row>
    <row r="1914">
      <c r="A1914" t="inlineStr">
        <is>
          <t>c59f3_training</t>
        </is>
      </c>
      <c r="B1914" t="inlineStr">
        <is>
          <t>2026-07-03 15:52:34.518</t>
        </is>
      </c>
      <c r="C1914" t="n">
        <v/>
      </c>
      <c r="D1914" t="inlineStr">
        <is>
          <t>Media file</t>
        </is>
      </c>
      <c r="E1914" t="inlineStr">
        <is>
          <t>player #1:C:/Users/manuel.felline/Documents/BEHAVIOR BTBR/NOR second cohort/WT/training/c59_f3.mp4</t>
        </is>
      </c>
      <c r="F1914" t="n">
        <v>-14.667</v>
      </c>
      <c r="G1914" t="n">
        <v>525.4</v>
      </c>
      <c r="H1914" t="n">
        <v>637.1660000000001</v>
      </c>
      <c r="I1914" t="n">
        <v>30</v>
      </c>
      <c r="J1914" t="inlineStr">
        <is>
          <t xml:space="preserve"> WT</t>
        </is>
      </c>
      <c r="K1914" t="inlineStr">
        <is>
          <t xml:space="preserve"> Female</t>
        </is>
      </c>
      <c r="L1914" t="inlineStr">
        <is>
          <t>No focal subject</t>
        </is>
      </c>
      <c r="M1914" t="n">
        <v>38.232</v>
      </c>
      <c r="N1914" t="inlineStr">
        <is>
          <t>Explore_F</t>
        </is>
      </c>
      <c r="O1914" t="inlineStr">
        <is>
          <t>Familiar</t>
        </is>
      </c>
      <c r="P1914" t="inlineStr">
        <is>
          <t>STATE</t>
        </is>
      </c>
      <c r="Q1914" t="n">
        <v>460.766</v>
      </c>
      <c r="R1914" t="n">
        <v>461.266</v>
      </c>
      <c r="S1914" t="n">
        <v>0.5</v>
      </c>
      <c r="T1914" t="inlineStr">
        <is>
          <t>C:/Users/manuel.felline/Documents/BEHAVIOR BTBR/NOR second cohort/WT/training/c59_f3.mp4</t>
        </is>
      </c>
      <c r="U1914" t="n">
        <v>14261</v>
      </c>
      <c r="V1914" t="n">
        <v>14276</v>
      </c>
      <c r="W1914" t="n">
        <v/>
      </c>
      <c r="X1914" t="n">
        <v/>
      </c>
      <c r="Y1914" t="n">
        <v/>
      </c>
      <c r="Z1914" t="n">
        <v/>
      </c>
      <c r="AA1914">
        <f>SUMIFS($S$2:S1914,$A$2:A1914,A1914,$N$2:N1914,"Explore*")</f>
        <v/>
      </c>
      <c r="AB1914">
        <f>IF(AND(LEFT(N1914,7)="Explore",(AA1914-IF(LEFT(N1914,7)="Explore",S1914,0))&lt;10),"SI","NO")</f>
        <v/>
      </c>
    </row>
    <row r="1915">
      <c r="A1915" t="inlineStr">
        <is>
          <t>c59f3_training</t>
        </is>
      </c>
      <c r="B1915" t="inlineStr">
        <is>
          <t>2026-07-03 15:52:34.518</t>
        </is>
      </c>
      <c r="C1915" t="n">
        <v/>
      </c>
      <c r="D1915" t="inlineStr">
        <is>
          <t>Media file</t>
        </is>
      </c>
      <c r="E1915" t="inlineStr">
        <is>
          <t>player #1:C:/Users/manuel.felline/Documents/BEHAVIOR BTBR/NOR second cohort/WT/training/c59_f3.mp4</t>
        </is>
      </c>
      <c r="F1915" t="n">
        <v>-14.667</v>
      </c>
      <c r="G1915" t="n">
        <v>525.4</v>
      </c>
      <c r="H1915" t="n">
        <v>637.1660000000001</v>
      </c>
      <c r="I1915" t="n">
        <v>30</v>
      </c>
      <c r="J1915" t="inlineStr">
        <is>
          <t xml:space="preserve"> WT</t>
        </is>
      </c>
      <c r="K1915" t="inlineStr">
        <is>
          <t xml:space="preserve"> Female</t>
        </is>
      </c>
      <c r="L1915" t="inlineStr">
        <is>
          <t>No focal subject</t>
        </is>
      </c>
      <c r="M1915" t="n">
        <v>38.232</v>
      </c>
      <c r="N1915" t="inlineStr">
        <is>
          <t>Explore_F</t>
        </is>
      </c>
      <c r="O1915" t="inlineStr">
        <is>
          <t>Familiar</t>
        </is>
      </c>
      <c r="P1915" t="inlineStr">
        <is>
          <t>STATE</t>
        </is>
      </c>
      <c r="Q1915" t="n">
        <v>467.899</v>
      </c>
      <c r="R1915" t="n">
        <v>470.133</v>
      </c>
      <c r="S1915" t="n">
        <v>2.234</v>
      </c>
      <c r="T1915" t="inlineStr">
        <is>
          <t>C:/Users/manuel.felline/Documents/BEHAVIOR BTBR/NOR second cohort/WT/training/c59_f3.mp4</t>
        </is>
      </c>
      <c r="U1915" t="n">
        <v>14475</v>
      </c>
      <c r="V1915" t="n">
        <v>14542</v>
      </c>
      <c r="W1915" t="n">
        <v/>
      </c>
      <c r="X1915" t="n">
        <v/>
      </c>
      <c r="Y1915" t="n">
        <v/>
      </c>
      <c r="Z1915" t="n">
        <v/>
      </c>
      <c r="AA1915">
        <f>SUMIFS($S$2:S1915,$A$2:A1915,A1915,$N$2:N1915,"Explore*")</f>
        <v/>
      </c>
      <c r="AB1915">
        <f>IF(AND(LEFT(N1915,7)="Explore",(AA1915-IF(LEFT(N1915,7)="Explore",S1915,0))&lt;10),"SI","NO")</f>
        <v/>
      </c>
    </row>
    <row r="1916">
      <c r="A1916" t="inlineStr">
        <is>
          <t>c59f3_training</t>
        </is>
      </c>
      <c r="B1916" t="inlineStr">
        <is>
          <t>2026-07-03 15:52:34.518</t>
        </is>
      </c>
      <c r="C1916" t="n">
        <v/>
      </c>
      <c r="D1916" t="inlineStr">
        <is>
          <t>Media file</t>
        </is>
      </c>
      <c r="E1916" t="inlineStr">
        <is>
          <t>player #1:C:/Users/manuel.felline/Documents/BEHAVIOR BTBR/NOR second cohort/WT/training/c59_f3.mp4</t>
        </is>
      </c>
      <c r="F1916" t="n">
        <v>-14.667</v>
      </c>
      <c r="G1916" t="n">
        <v>525.4</v>
      </c>
      <c r="H1916" t="n">
        <v>637.1660000000001</v>
      </c>
      <c r="I1916" t="n">
        <v>30</v>
      </c>
      <c r="J1916" t="inlineStr">
        <is>
          <t xml:space="preserve"> WT</t>
        </is>
      </c>
      <c r="K1916" t="inlineStr">
        <is>
          <t xml:space="preserve"> Female</t>
        </is>
      </c>
      <c r="L1916" t="inlineStr">
        <is>
          <t>No focal subject</t>
        </is>
      </c>
      <c r="M1916" t="n">
        <v>38.232</v>
      </c>
      <c r="N1916" t="inlineStr">
        <is>
          <t>Explore_F2</t>
        </is>
      </c>
      <c r="O1916" t="inlineStr">
        <is>
          <t>Second familiar</t>
        </is>
      </c>
      <c r="P1916" t="inlineStr">
        <is>
          <t>STATE</t>
        </is>
      </c>
      <c r="Q1916" t="n">
        <v>471.566</v>
      </c>
      <c r="R1916" t="n">
        <v>473.066</v>
      </c>
      <c r="S1916" t="n">
        <v>1.5</v>
      </c>
      <c r="T1916" t="inlineStr">
        <is>
          <t>C:/Users/manuel.felline/Documents/BEHAVIOR BTBR/NOR second cohort/WT/training/c59_f3.mp4</t>
        </is>
      </c>
      <c r="U1916" t="n">
        <v>14585</v>
      </c>
      <c r="V1916" t="n">
        <v>14630</v>
      </c>
      <c r="W1916" t="n">
        <v/>
      </c>
      <c r="X1916" t="n">
        <v/>
      </c>
      <c r="Y1916" t="n">
        <v/>
      </c>
      <c r="Z1916" t="n">
        <v/>
      </c>
      <c r="AA1916">
        <f>SUMIFS($S$2:S1916,$A$2:A1916,A1916,$N$2:N1916,"Explore*")</f>
        <v/>
      </c>
      <c r="AB1916">
        <f>IF(AND(LEFT(N1916,7)="Explore",(AA1916-IF(LEFT(N1916,7)="Explore",S1916,0))&lt;10),"SI","NO")</f>
        <v/>
      </c>
    </row>
    <row r="1917">
      <c r="A1917" t="inlineStr">
        <is>
          <t>c59f3_training</t>
        </is>
      </c>
      <c r="B1917" t="inlineStr">
        <is>
          <t>2026-07-03 15:52:34.518</t>
        </is>
      </c>
      <c r="C1917" t="n">
        <v/>
      </c>
      <c r="D1917" t="inlineStr">
        <is>
          <t>Media file</t>
        </is>
      </c>
      <c r="E1917" t="inlineStr">
        <is>
          <t>player #1:C:/Users/manuel.felline/Documents/BEHAVIOR BTBR/NOR second cohort/WT/training/c59_f3.mp4</t>
        </is>
      </c>
      <c r="F1917" t="n">
        <v>-14.667</v>
      </c>
      <c r="G1917" t="n">
        <v>525.4</v>
      </c>
      <c r="H1917" t="n">
        <v>637.1660000000001</v>
      </c>
      <c r="I1917" t="n">
        <v>30</v>
      </c>
      <c r="J1917" t="inlineStr">
        <is>
          <t xml:space="preserve"> WT</t>
        </is>
      </c>
      <c r="K1917" t="inlineStr">
        <is>
          <t xml:space="preserve"> Female</t>
        </is>
      </c>
      <c r="L1917" t="inlineStr">
        <is>
          <t>No focal subject</t>
        </is>
      </c>
      <c r="M1917" t="n">
        <v>38.232</v>
      </c>
      <c r="N1917" t="inlineStr">
        <is>
          <t>Explore_F</t>
        </is>
      </c>
      <c r="O1917" t="inlineStr">
        <is>
          <t>Familiar</t>
        </is>
      </c>
      <c r="P1917" t="inlineStr">
        <is>
          <t>STATE</t>
        </is>
      </c>
      <c r="Q1917" t="n">
        <v>481.666</v>
      </c>
      <c r="R1917" t="n">
        <v>481.966</v>
      </c>
      <c r="S1917" t="n">
        <v>0.3</v>
      </c>
      <c r="T1917" t="inlineStr">
        <is>
          <t>C:/Users/manuel.felline/Documents/BEHAVIOR BTBR/NOR second cohort/WT/training/c59_f3.mp4</t>
        </is>
      </c>
      <c r="U1917" t="n">
        <v>14888</v>
      </c>
      <c r="V1917" t="n">
        <v>14897</v>
      </c>
      <c r="W1917" t="n">
        <v/>
      </c>
      <c r="X1917" t="n">
        <v/>
      </c>
      <c r="Y1917" t="n">
        <v/>
      </c>
      <c r="Z1917" t="n">
        <v/>
      </c>
      <c r="AA1917">
        <f>SUMIFS($S$2:S1917,$A$2:A1917,A1917,$N$2:N1917,"Explore*")</f>
        <v/>
      </c>
      <c r="AB1917">
        <f>IF(AND(LEFT(N1917,7)="Explore",(AA1917-IF(LEFT(N1917,7)="Explore",S1917,0))&lt;10),"SI","NO")</f>
        <v/>
      </c>
    </row>
    <row r="1918">
      <c r="A1918" t="inlineStr">
        <is>
          <t>c59f3_training</t>
        </is>
      </c>
      <c r="B1918" t="inlineStr">
        <is>
          <t>2026-07-03 15:52:34.518</t>
        </is>
      </c>
      <c r="C1918" t="n">
        <v/>
      </c>
      <c r="D1918" t="inlineStr">
        <is>
          <t>Media file</t>
        </is>
      </c>
      <c r="E1918" t="inlineStr">
        <is>
          <t>player #1:C:/Users/manuel.felline/Documents/BEHAVIOR BTBR/NOR second cohort/WT/training/c59_f3.mp4</t>
        </is>
      </c>
      <c r="F1918" t="n">
        <v>-14.667</v>
      </c>
      <c r="G1918" t="n">
        <v>525.4</v>
      </c>
      <c r="H1918" t="n">
        <v>637.1660000000001</v>
      </c>
      <c r="I1918" t="n">
        <v>30</v>
      </c>
      <c r="J1918" t="inlineStr">
        <is>
          <t xml:space="preserve"> WT</t>
        </is>
      </c>
      <c r="K1918" t="inlineStr">
        <is>
          <t xml:space="preserve"> Female</t>
        </is>
      </c>
      <c r="L1918" t="inlineStr">
        <is>
          <t>No focal subject</t>
        </is>
      </c>
      <c r="M1918" t="n">
        <v>38.232</v>
      </c>
      <c r="N1918" t="inlineStr">
        <is>
          <t>Explore_F2</t>
        </is>
      </c>
      <c r="O1918" t="inlineStr">
        <is>
          <t>Second familiar</t>
        </is>
      </c>
      <c r="P1918" t="inlineStr">
        <is>
          <t>STATE</t>
        </is>
      </c>
      <c r="Q1918" t="n">
        <v>487.999</v>
      </c>
      <c r="R1918" t="n">
        <v>488.299</v>
      </c>
      <c r="S1918" t="n">
        <v>0.3</v>
      </c>
      <c r="T1918" t="inlineStr">
        <is>
          <t>C:/Users/manuel.felline/Documents/BEHAVIOR BTBR/NOR second cohort/WT/training/c59_f3.mp4</t>
        </is>
      </c>
      <c r="U1918" t="n">
        <v>15078</v>
      </c>
      <c r="V1918" t="n">
        <v>15088</v>
      </c>
      <c r="W1918" t="n">
        <v/>
      </c>
      <c r="X1918" t="n">
        <v/>
      </c>
      <c r="Y1918" t="n">
        <v/>
      </c>
      <c r="Z1918" t="n">
        <v/>
      </c>
      <c r="AA1918">
        <f>SUMIFS($S$2:S1918,$A$2:A1918,A1918,$N$2:N1918,"Explore*")</f>
        <v/>
      </c>
      <c r="AB1918">
        <f>IF(AND(LEFT(N1918,7)="Explore",(AA1918-IF(LEFT(N1918,7)="Explore",S1918,0))&lt;10),"SI","NO")</f>
        <v/>
      </c>
    </row>
    <row r="1919">
      <c r="A1919" t="inlineStr">
        <is>
          <t>c59f3_training</t>
        </is>
      </c>
      <c r="B1919" t="inlineStr">
        <is>
          <t>2026-07-03 15:52:34.518</t>
        </is>
      </c>
      <c r="C1919" t="n">
        <v/>
      </c>
      <c r="D1919" t="inlineStr">
        <is>
          <t>Media file</t>
        </is>
      </c>
      <c r="E1919" t="inlineStr">
        <is>
          <t>player #1:C:/Users/manuel.felline/Documents/BEHAVIOR BTBR/NOR second cohort/WT/training/c59_f3.mp4</t>
        </is>
      </c>
      <c r="F1919" t="n">
        <v>-14.667</v>
      </c>
      <c r="G1919" t="n">
        <v>525.4</v>
      </c>
      <c r="H1919" t="n">
        <v>637.1660000000001</v>
      </c>
      <c r="I1919" t="n">
        <v>30</v>
      </c>
      <c r="J1919" t="inlineStr">
        <is>
          <t xml:space="preserve"> WT</t>
        </is>
      </c>
      <c r="K1919" t="inlineStr">
        <is>
          <t xml:space="preserve"> Female</t>
        </is>
      </c>
      <c r="L1919" t="inlineStr">
        <is>
          <t>No focal subject</t>
        </is>
      </c>
      <c r="M1919" t="n">
        <v>38.232</v>
      </c>
      <c r="N1919" t="inlineStr">
        <is>
          <t>Explore_F2</t>
        </is>
      </c>
      <c r="O1919" t="inlineStr">
        <is>
          <t>Second familiar</t>
        </is>
      </c>
      <c r="P1919" t="inlineStr">
        <is>
          <t>STATE</t>
        </is>
      </c>
      <c r="Q1919" t="n">
        <v>492.632</v>
      </c>
      <c r="R1919" t="n">
        <v>493.566</v>
      </c>
      <c r="S1919" t="n">
        <v>0.9340000000000001</v>
      </c>
      <c r="T1919" t="inlineStr">
        <is>
          <t>C:/Users/manuel.felline/Documents/BEHAVIOR BTBR/NOR second cohort/WT/training/c59_f3.mp4</t>
        </is>
      </c>
      <c r="U1919" t="n">
        <v>15217</v>
      </c>
      <c r="V1919" t="n">
        <v>15245</v>
      </c>
      <c r="W1919" t="n">
        <v/>
      </c>
      <c r="X1919" t="n">
        <v/>
      </c>
      <c r="Y1919" t="n">
        <v/>
      </c>
      <c r="Z1919" t="n">
        <v/>
      </c>
      <c r="AA1919">
        <f>SUMIFS($S$2:S1919,$A$2:A1919,A1919,$N$2:N1919,"Explore*")</f>
        <v/>
      </c>
      <c r="AB1919">
        <f>IF(AND(LEFT(N1919,7)="Explore",(AA1919-IF(LEFT(N1919,7)="Explore",S1919,0))&lt;10),"SI","NO")</f>
        <v/>
      </c>
    </row>
    <row r="1920">
      <c r="A1920" t="inlineStr">
        <is>
          <t>c59f3_training</t>
        </is>
      </c>
      <c r="B1920" t="inlineStr">
        <is>
          <t>2026-07-03 15:52:34.518</t>
        </is>
      </c>
      <c r="C1920" t="n">
        <v/>
      </c>
      <c r="D1920" t="inlineStr">
        <is>
          <t>Media file</t>
        </is>
      </c>
      <c r="E1920" t="inlineStr">
        <is>
          <t>player #1:C:/Users/manuel.felline/Documents/BEHAVIOR BTBR/NOR second cohort/WT/training/c59_f3.mp4</t>
        </is>
      </c>
      <c r="F1920" t="n">
        <v>-14.667</v>
      </c>
      <c r="G1920" t="n">
        <v>525.4</v>
      </c>
      <c r="H1920" t="n">
        <v>637.1660000000001</v>
      </c>
      <c r="I1920" t="n">
        <v>30</v>
      </c>
      <c r="J1920" t="inlineStr">
        <is>
          <t xml:space="preserve"> WT</t>
        </is>
      </c>
      <c r="K1920" t="inlineStr">
        <is>
          <t xml:space="preserve"> Female</t>
        </is>
      </c>
      <c r="L1920" t="inlineStr">
        <is>
          <t>No focal subject</t>
        </is>
      </c>
      <c r="M1920" t="n">
        <v>38.232</v>
      </c>
      <c r="N1920" t="inlineStr">
        <is>
          <t>Explore_F2</t>
        </is>
      </c>
      <c r="O1920" t="inlineStr">
        <is>
          <t>Second familiar</t>
        </is>
      </c>
      <c r="P1920" t="inlineStr">
        <is>
          <t>STATE</t>
        </is>
      </c>
      <c r="Q1920" t="n">
        <v>540.199</v>
      </c>
      <c r="R1920" t="n">
        <v>540.499</v>
      </c>
      <c r="S1920" t="n">
        <v>0.3</v>
      </c>
      <c r="T1920" t="inlineStr">
        <is>
          <t>C:/Users/manuel.felline/Documents/BEHAVIOR BTBR/NOR second cohort/WT/training/c59_f3.mp4</t>
        </is>
      </c>
      <c r="U1920" t="n">
        <v>16643</v>
      </c>
      <c r="V1920" t="n">
        <v>16652</v>
      </c>
      <c r="W1920" t="n">
        <v/>
      </c>
      <c r="X1920" t="n">
        <v/>
      </c>
      <c r="Y1920" t="n">
        <v/>
      </c>
      <c r="Z1920" t="n">
        <v/>
      </c>
      <c r="AA1920">
        <f>SUMIFS($S$2:S1920,$A$2:A1920,A1920,$N$2:N1920,"Explore*")</f>
        <v/>
      </c>
      <c r="AB1920">
        <f>IF(AND(LEFT(N1920,7)="Explore",(AA1920-IF(LEFT(N1920,7)="Explore",S1920,0))&lt;10),"SI","NO")</f>
        <v/>
      </c>
    </row>
    <row r="1921">
      <c r="A1921" t="inlineStr">
        <is>
          <t>c59f3_training</t>
        </is>
      </c>
      <c r="B1921" t="inlineStr">
        <is>
          <t>2026-07-03 15:52:34.518</t>
        </is>
      </c>
      <c r="C1921" t="n">
        <v/>
      </c>
      <c r="D1921" t="inlineStr">
        <is>
          <t>Media file</t>
        </is>
      </c>
      <c r="E1921" t="inlineStr">
        <is>
          <t>player #1:C:/Users/manuel.felline/Documents/BEHAVIOR BTBR/NOR second cohort/WT/training/c59_f3.mp4</t>
        </is>
      </c>
      <c r="F1921" t="n">
        <v>-14.667</v>
      </c>
      <c r="G1921" t="n">
        <v>525.4</v>
      </c>
      <c r="H1921" t="n">
        <v>637.1660000000001</v>
      </c>
      <c r="I1921" t="n">
        <v>30</v>
      </c>
      <c r="J1921" t="inlineStr">
        <is>
          <t xml:space="preserve"> WT</t>
        </is>
      </c>
      <c r="K1921" t="inlineStr">
        <is>
          <t xml:space="preserve"> Female</t>
        </is>
      </c>
      <c r="L1921" t="inlineStr">
        <is>
          <t>No focal subject</t>
        </is>
      </c>
      <c r="M1921" t="n">
        <v>38.232</v>
      </c>
      <c r="N1921" t="inlineStr">
        <is>
          <t>Explore_F</t>
        </is>
      </c>
      <c r="O1921" t="inlineStr">
        <is>
          <t>Familiar</t>
        </is>
      </c>
      <c r="P1921" t="inlineStr">
        <is>
          <t>STATE</t>
        </is>
      </c>
      <c r="Q1921" t="n">
        <v>543.332</v>
      </c>
      <c r="R1921" t="n">
        <v>543.799</v>
      </c>
      <c r="S1921" t="n">
        <v>0.467</v>
      </c>
      <c r="T1921" t="inlineStr">
        <is>
          <t>C:/Users/manuel.felline/Documents/BEHAVIOR BTBR/NOR second cohort/WT/training/c59_f3.mp4</t>
        </is>
      </c>
      <c r="U1921" t="n">
        <v>16737</v>
      </c>
      <c r="V1921" t="n">
        <v>16751</v>
      </c>
      <c r="W1921" t="n">
        <v/>
      </c>
      <c r="X1921" t="n">
        <v/>
      </c>
      <c r="Y1921" t="n">
        <v/>
      </c>
      <c r="Z1921" t="n">
        <v/>
      </c>
      <c r="AA1921">
        <f>SUMIFS($S$2:S1921,$A$2:A1921,A1921,$N$2:N1921,"Explore*")</f>
        <v/>
      </c>
      <c r="AB1921">
        <f>IF(AND(LEFT(N1921,7)="Explore",(AA1921-IF(LEFT(N1921,7)="Explore",S1921,0))&lt;10),"SI","NO")</f>
        <v/>
      </c>
    </row>
    <row r="1922">
      <c r="A1922" t="inlineStr">
        <is>
          <t>c59f3_training</t>
        </is>
      </c>
      <c r="B1922" t="inlineStr">
        <is>
          <t>2026-07-03 15:52:34.518</t>
        </is>
      </c>
      <c r="C1922" t="n">
        <v/>
      </c>
      <c r="D1922" t="inlineStr">
        <is>
          <t>Media file</t>
        </is>
      </c>
      <c r="E1922" t="inlineStr">
        <is>
          <t>player #1:C:/Users/manuel.felline/Documents/BEHAVIOR BTBR/NOR second cohort/WT/training/c59_f3.mp4</t>
        </is>
      </c>
      <c r="F1922" t="n">
        <v>-14.667</v>
      </c>
      <c r="G1922" t="n">
        <v>525.4</v>
      </c>
      <c r="H1922" t="n">
        <v>637.1660000000001</v>
      </c>
      <c r="I1922" t="n">
        <v>30</v>
      </c>
      <c r="J1922" t="inlineStr">
        <is>
          <t xml:space="preserve"> WT</t>
        </is>
      </c>
      <c r="K1922" t="inlineStr">
        <is>
          <t xml:space="preserve"> Female</t>
        </is>
      </c>
      <c r="L1922" t="inlineStr">
        <is>
          <t>No focal subject</t>
        </is>
      </c>
      <c r="M1922" t="n">
        <v>38.232</v>
      </c>
      <c r="N1922" t="inlineStr">
        <is>
          <t>Explore_F</t>
        </is>
      </c>
      <c r="O1922" t="inlineStr">
        <is>
          <t>Familiar</t>
        </is>
      </c>
      <c r="P1922" t="inlineStr">
        <is>
          <t>STATE</t>
        </is>
      </c>
      <c r="Q1922" t="n">
        <v>553.6660000000001</v>
      </c>
      <c r="R1922" t="n">
        <v>554.066</v>
      </c>
      <c r="S1922" t="n">
        <v>0.4</v>
      </c>
      <c r="T1922" t="inlineStr">
        <is>
          <t>C:/Users/manuel.felline/Documents/BEHAVIOR BTBR/NOR second cohort/WT/training/c59_f3.mp4</t>
        </is>
      </c>
      <c r="U1922" t="n">
        <v>17047</v>
      </c>
      <c r="V1922" t="n">
        <v>17060</v>
      </c>
      <c r="W1922" t="n">
        <v/>
      </c>
      <c r="X1922" t="n">
        <v/>
      </c>
      <c r="Y1922" t="n">
        <v/>
      </c>
      <c r="Z1922" t="n">
        <v/>
      </c>
      <c r="AA1922">
        <f>SUMIFS($S$2:S1922,$A$2:A1922,A1922,$N$2:N1922,"Explore*")</f>
        <v/>
      </c>
      <c r="AB1922">
        <f>IF(AND(LEFT(N1922,7)="Explore",(AA1922-IF(LEFT(N1922,7)="Explore",S1922,0))&lt;10),"SI","NO")</f>
        <v/>
      </c>
    </row>
    <row r="1923">
      <c r="A1923" t="inlineStr">
        <is>
          <t>c59f4_training</t>
        </is>
      </c>
      <c r="B1923" t="inlineStr">
        <is>
          <t>2026-07-07 10:27:26.868</t>
        </is>
      </c>
      <c r="C1923" t="n">
        <v/>
      </c>
      <c r="D1923" t="inlineStr">
        <is>
          <t>Media file</t>
        </is>
      </c>
      <c r="E1923" t="inlineStr">
        <is>
          <t>player #1:C:/Users/manuel.felline/Documents/BEHAVIOR BTBR/NOR second cohort/WT/training/c59_f4.mp4</t>
        </is>
      </c>
      <c r="F1923" t="n">
        <v>-14.9</v>
      </c>
      <c r="G1923" t="n">
        <v>461.9</v>
      </c>
      <c r="H1923" t="n">
        <v>632.199</v>
      </c>
      <c r="I1923" t="n">
        <v>30</v>
      </c>
      <c r="J1923" t="inlineStr">
        <is>
          <t xml:space="preserve"> WT</t>
        </is>
      </c>
      <c r="K1923" t="inlineStr">
        <is>
          <t xml:space="preserve"> Female</t>
        </is>
      </c>
      <c r="L1923" t="inlineStr">
        <is>
          <t>No focal subject</t>
        </is>
      </c>
      <c r="M1923" t="n">
        <v>9.834</v>
      </c>
      <c r="N1923" t="inlineStr">
        <is>
          <t>Explore_F2</t>
        </is>
      </c>
      <c r="O1923" t="inlineStr">
        <is>
          <t>Second familiar</t>
        </is>
      </c>
      <c r="P1923" t="inlineStr">
        <is>
          <t>STATE</t>
        </is>
      </c>
      <c r="Q1923" t="n">
        <v>1.433</v>
      </c>
      <c r="R1923" t="n">
        <v>2.167</v>
      </c>
      <c r="S1923" t="n">
        <v>0.734</v>
      </c>
      <c r="T1923" t="inlineStr">
        <is>
          <t>C:/Users/manuel.felline/Documents/BEHAVIOR BTBR/NOR second cohort/WT/training/c59_f4.mp4</t>
        </is>
      </c>
      <c r="U1923" t="n">
        <v>490</v>
      </c>
      <c r="V1923" t="n">
        <v>512</v>
      </c>
      <c r="W1923" t="n">
        <v/>
      </c>
      <c r="X1923" t="n">
        <v/>
      </c>
      <c r="Y1923" t="n">
        <v/>
      </c>
      <c r="Z1923" t="n">
        <v/>
      </c>
      <c r="AA1923">
        <f>SUMIFS($S$2:S1923,$A$2:A1923,A1923,$N$2:N1923,"Explore*")</f>
        <v/>
      </c>
      <c r="AB1923">
        <f>IF(AND(LEFT(N1923,7)="Explore",(AA1923-IF(LEFT(N1923,7)="Explore",S1923,0))&lt;10),"SI","NO")</f>
        <v/>
      </c>
    </row>
    <row r="1924">
      <c r="A1924" t="inlineStr">
        <is>
          <t>c59f4_training</t>
        </is>
      </c>
      <c r="B1924" t="inlineStr">
        <is>
          <t>2026-07-07 10:27:26.868</t>
        </is>
      </c>
      <c r="C1924" t="n">
        <v/>
      </c>
      <c r="D1924" t="inlineStr">
        <is>
          <t>Media file</t>
        </is>
      </c>
      <c r="E1924" t="inlineStr">
        <is>
          <t>player #1:C:/Users/manuel.felline/Documents/BEHAVIOR BTBR/NOR second cohort/WT/training/c59_f4.mp4</t>
        </is>
      </c>
      <c r="F1924" t="n">
        <v>-14.9</v>
      </c>
      <c r="G1924" t="n">
        <v>461.9</v>
      </c>
      <c r="H1924" t="n">
        <v>632.199</v>
      </c>
      <c r="I1924" t="n">
        <v>30</v>
      </c>
      <c r="J1924" t="inlineStr">
        <is>
          <t xml:space="preserve"> WT</t>
        </is>
      </c>
      <c r="K1924" t="inlineStr">
        <is>
          <t xml:space="preserve"> Female</t>
        </is>
      </c>
      <c r="L1924" t="inlineStr">
        <is>
          <t>No focal subject</t>
        </is>
      </c>
      <c r="M1924" t="n">
        <v>9.834</v>
      </c>
      <c r="N1924" t="inlineStr">
        <is>
          <t>Explore_F2</t>
        </is>
      </c>
      <c r="O1924" t="inlineStr">
        <is>
          <t>Second familiar</t>
        </is>
      </c>
      <c r="P1924" t="inlineStr">
        <is>
          <t>STATE</t>
        </is>
      </c>
      <c r="Q1924" t="n">
        <v>83.667</v>
      </c>
      <c r="R1924" t="n">
        <v>84.233</v>
      </c>
      <c r="S1924" t="n">
        <v>0.5659999999999999</v>
      </c>
      <c r="T1924" t="inlineStr">
        <is>
          <t>C:/Users/manuel.felline/Documents/BEHAVIOR BTBR/NOR second cohort/WT/training/c59_f4.mp4</t>
        </is>
      </c>
      <c r="U1924" t="n">
        <v>2957</v>
      </c>
      <c r="V1924" t="n">
        <v>2974</v>
      </c>
      <c r="W1924" t="n">
        <v/>
      </c>
      <c r="X1924" t="n">
        <v/>
      </c>
      <c r="Y1924" t="n">
        <v/>
      </c>
      <c r="Z1924" t="n">
        <v/>
      </c>
      <c r="AA1924">
        <f>SUMIFS($S$2:S1924,$A$2:A1924,A1924,$N$2:N1924,"Explore*")</f>
        <v/>
      </c>
      <c r="AB1924">
        <f>IF(AND(LEFT(N1924,7)="Explore",(AA1924-IF(LEFT(N1924,7)="Explore",S1924,0))&lt;10),"SI","NO")</f>
        <v/>
      </c>
    </row>
    <row r="1925">
      <c r="A1925" t="inlineStr">
        <is>
          <t>c59f4_training</t>
        </is>
      </c>
      <c r="B1925" t="inlineStr">
        <is>
          <t>2026-07-07 10:27:26.868</t>
        </is>
      </c>
      <c r="C1925" t="n">
        <v/>
      </c>
      <c r="D1925" t="inlineStr">
        <is>
          <t>Media file</t>
        </is>
      </c>
      <c r="E1925" t="inlineStr">
        <is>
          <t>player #1:C:/Users/manuel.felline/Documents/BEHAVIOR BTBR/NOR second cohort/WT/training/c59_f4.mp4</t>
        </is>
      </c>
      <c r="F1925" t="n">
        <v>-14.9</v>
      </c>
      <c r="G1925" t="n">
        <v>461.9</v>
      </c>
      <c r="H1925" t="n">
        <v>632.199</v>
      </c>
      <c r="I1925" t="n">
        <v>30</v>
      </c>
      <c r="J1925" t="inlineStr">
        <is>
          <t xml:space="preserve"> WT</t>
        </is>
      </c>
      <c r="K1925" t="inlineStr">
        <is>
          <t xml:space="preserve"> Female</t>
        </is>
      </c>
      <c r="L1925" t="inlineStr">
        <is>
          <t>No focal subject</t>
        </is>
      </c>
      <c r="M1925" t="n">
        <v>9.834</v>
      </c>
      <c r="N1925" t="inlineStr">
        <is>
          <t>Explore_F2</t>
        </is>
      </c>
      <c r="O1925" t="inlineStr">
        <is>
          <t>Second familiar</t>
        </is>
      </c>
      <c r="P1925" t="inlineStr">
        <is>
          <t>STATE</t>
        </is>
      </c>
      <c r="Q1925" t="n">
        <v>86.267</v>
      </c>
      <c r="R1925" t="n">
        <v>86.867</v>
      </c>
      <c r="S1925" t="n">
        <v>0.6</v>
      </c>
      <c r="T1925" t="inlineStr">
        <is>
          <t>C:/Users/manuel.felline/Documents/BEHAVIOR BTBR/NOR second cohort/WT/training/c59_f4.mp4</t>
        </is>
      </c>
      <c r="U1925" t="n">
        <v>3035</v>
      </c>
      <c r="V1925" t="n">
        <v>3053</v>
      </c>
      <c r="W1925" t="n">
        <v/>
      </c>
      <c r="X1925" t="n">
        <v/>
      </c>
      <c r="Y1925" t="n">
        <v/>
      </c>
      <c r="Z1925" t="n">
        <v/>
      </c>
      <c r="AA1925">
        <f>SUMIFS($S$2:S1925,$A$2:A1925,A1925,$N$2:N1925,"Explore*")</f>
        <v/>
      </c>
      <c r="AB1925">
        <f>IF(AND(LEFT(N1925,7)="Explore",(AA1925-IF(LEFT(N1925,7)="Explore",S1925,0))&lt;10),"SI","NO")</f>
        <v/>
      </c>
    </row>
    <row r="1926">
      <c r="A1926" t="inlineStr">
        <is>
          <t>c59f4_training</t>
        </is>
      </c>
      <c r="B1926" t="inlineStr">
        <is>
          <t>2026-07-07 10:27:26.868</t>
        </is>
      </c>
      <c r="C1926" t="n">
        <v/>
      </c>
      <c r="D1926" t="inlineStr">
        <is>
          <t>Media file</t>
        </is>
      </c>
      <c r="E1926" t="inlineStr">
        <is>
          <t>player #1:C:/Users/manuel.felline/Documents/BEHAVIOR BTBR/NOR second cohort/WT/training/c59_f4.mp4</t>
        </is>
      </c>
      <c r="F1926" t="n">
        <v>-14.9</v>
      </c>
      <c r="G1926" t="n">
        <v>461.9</v>
      </c>
      <c r="H1926" t="n">
        <v>632.199</v>
      </c>
      <c r="I1926" t="n">
        <v>30</v>
      </c>
      <c r="J1926" t="inlineStr">
        <is>
          <t xml:space="preserve"> WT</t>
        </is>
      </c>
      <c r="K1926" t="inlineStr">
        <is>
          <t xml:space="preserve"> Female</t>
        </is>
      </c>
      <c r="L1926" t="inlineStr">
        <is>
          <t>No focal subject</t>
        </is>
      </c>
      <c r="M1926" t="n">
        <v>9.834</v>
      </c>
      <c r="N1926" t="inlineStr">
        <is>
          <t>Explore_F2</t>
        </is>
      </c>
      <c r="O1926" t="inlineStr">
        <is>
          <t>Second familiar</t>
        </is>
      </c>
      <c r="P1926" t="inlineStr">
        <is>
          <t>STATE</t>
        </is>
      </c>
      <c r="Q1926" t="n">
        <v>143.4</v>
      </c>
      <c r="R1926" t="n">
        <v>143.767</v>
      </c>
      <c r="S1926" t="n">
        <v>0.367</v>
      </c>
      <c r="T1926" t="inlineStr">
        <is>
          <t>C:/Users/manuel.felline/Documents/BEHAVIOR BTBR/NOR second cohort/WT/training/c59_f4.mp4</t>
        </is>
      </c>
      <c r="U1926" t="n">
        <v>4749</v>
      </c>
      <c r="V1926" t="n">
        <v>4760</v>
      </c>
      <c r="W1926" t="n">
        <v/>
      </c>
      <c r="X1926" t="n">
        <v/>
      </c>
      <c r="Y1926" t="n">
        <v/>
      </c>
      <c r="Z1926" t="n">
        <v/>
      </c>
      <c r="AA1926">
        <f>SUMIFS($S$2:S1926,$A$2:A1926,A1926,$N$2:N1926,"Explore*")</f>
        <v/>
      </c>
      <c r="AB1926">
        <f>IF(AND(LEFT(N1926,7)="Explore",(AA1926-IF(LEFT(N1926,7)="Explore",S1926,0))&lt;10),"SI","NO")</f>
        <v/>
      </c>
    </row>
    <row r="1927">
      <c r="A1927" t="inlineStr">
        <is>
          <t>c59f4_training</t>
        </is>
      </c>
      <c r="B1927" t="inlineStr">
        <is>
          <t>2026-07-07 10:27:26.868</t>
        </is>
      </c>
      <c r="C1927" t="n">
        <v/>
      </c>
      <c r="D1927" t="inlineStr">
        <is>
          <t>Media file</t>
        </is>
      </c>
      <c r="E1927" t="inlineStr">
        <is>
          <t>player #1:C:/Users/manuel.felline/Documents/BEHAVIOR BTBR/NOR second cohort/WT/training/c59_f4.mp4</t>
        </is>
      </c>
      <c r="F1927" t="n">
        <v>-14.9</v>
      </c>
      <c r="G1927" t="n">
        <v>461.9</v>
      </c>
      <c r="H1927" t="n">
        <v>632.199</v>
      </c>
      <c r="I1927" t="n">
        <v>30</v>
      </c>
      <c r="J1927" t="inlineStr">
        <is>
          <t xml:space="preserve"> WT</t>
        </is>
      </c>
      <c r="K1927" t="inlineStr">
        <is>
          <t xml:space="preserve"> Female</t>
        </is>
      </c>
      <c r="L1927" t="inlineStr">
        <is>
          <t>No focal subject</t>
        </is>
      </c>
      <c r="M1927" t="n">
        <v>9.834</v>
      </c>
      <c r="N1927" t="inlineStr">
        <is>
          <t>Explore_F</t>
        </is>
      </c>
      <c r="O1927" t="inlineStr">
        <is>
          <t>Familiar</t>
        </is>
      </c>
      <c r="P1927" t="inlineStr">
        <is>
          <t>STATE</t>
        </is>
      </c>
      <c r="Q1927" t="n">
        <v>155.566</v>
      </c>
      <c r="R1927" t="n">
        <v>156.233</v>
      </c>
      <c r="S1927" t="n">
        <v>0.667</v>
      </c>
      <c r="T1927" t="inlineStr">
        <is>
          <t>C:/Users/manuel.felline/Documents/BEHAVIOR BTBR/NOR second cohort/WT/training/c59_f4.mp4</t>
        </is>
      </c>
      <c r="U1927" t="n">
        <v>5114</v>
      </c>
      <c r="V1927" t="n">
        <v>5134</v>
      </c>
      <c r="W1927" t="n">
        <v/>
      </c>
      <c r="X1927" t="n">
        <v/>
      </c>
      <c r="Y1927" t="n">
        <v/>
      </c>
      <c r="Z1927" t="n">
        <v/>
      </c>
      <c r="AA1927">
        <f>SUMIFS($S$2:S1927,$A$2:A1927,A1927,$N$2:N1927,"Explore*")</f>
        <v/>
      </c>
      <c r="AB1927">
        <f>IF(AND(LEFT(N1927,7)="Explore",(AA1927-IF(LEFT(N1927,7)="Explore",S1927,0))&lt;10),"SI","NO")</f>
        <v/>
      </c>
    </row>
    <row r="1928">
      <c r="A1928" t="inlineStr">
        <is>
          <t>c59f4_training</t>
        </is>
      </c>
      <c r="B1928" t="inlineStr">
        <is>
          <t>2026-07-07 10:27:26.868</t>
        </is>
      </c>
      <c r="C1928" t="n">
        <v/>
      </c>
      <c r="D1928" t="inlineStr">
        <is>
          <t>Media file</t>
        </is>
      </c>
      <c r="E1928" t="inlineStr">
        <is>
          <t>player #1:C:/Users/manuel.felline/Documents/BEHAVIOR BTBR/NOR second cohort/WT/training/c59_f4.mp4</t>
        </is>
      </c>
      <c r="F1928" t="n">
        <v>-14.9</v>
      </c>
      <c r="G1928" t="n">
        <v>461.9</v>
      </c>
      <c r="H1928" t="n">
        <v>632.199</v>
      </c>
      <c r="I1928" t="n">
        <v>30</v>
      </c>
      <c r="J1928" t="inlineStr">
        <is>
          <t xml:space="preserve"> WT</t>
        </is>
      </c>
      <c r="K1928" t="inlineStr">
        <is>
          <t xml:space="preserve"> Female</t>
        </is>
      </c>
      <c r="L1928" t="inlineStr">
        <is>
          <t>No focal subject</t>
        </is>
      </c>
      <c r="M1928" t="n">
        <v>9.834</v>
      </c>
      <c r="N1928" t="inlineStr">
        <is>
          <t>Explore_F2</t>
        </is>
      </c>
      <c r="O1928" t="inlineStr">
        <is>
          <t>Second familiar</t>
        </is>
      </c>
      <c r="P1928" t="inlineStr">
        <is>
          <t>STATE</t>
        </is>
      </c>
      <c r="Q1928" t="n">
        <v>157.466</v>
      </c>
      <c r="R1928" t="n">
        <v>158.066</v>
      </c>
      <c r="S1928" t="n">
        <v>0.6</v>
      </c>
      <c r="T1928" t="inlineStr">
        <is>
          <t>C:/Users/manuel.felline/Documents/BEHAVIOR BTBR/NOR second cohort/WT/training/c59_f4.mp4</t>
        </is>
      </c>
      <c r="U1928" t="n">
        <v>5171</v>
      </c>
      <c r="V1928" t="n">
        <v>5189</v>
      </c>
      <c r="W1928" t="n">
        <v/>
      </c>
      <c r="X1928" t="n">
        <v/>
      </c>
      <c r="Y1928" t="n">
        <v/>
      </c>
      <c r="Z1928" t="n">
        <v/>
      </c>
      <c r="AA1928">
        <f>SUMIFS($S$2:S1928,$A$2:A1928,A1928,$N$2:N1928,"Explore*")</f>
        <v/>
      </c>
      <c r="AB1928">
        <f>IF(AND(LEFT(N1928,7)="Explore",(AA1928-IF(LEFT(N1928,7)="Explore",S1928,0))&lt;10),"SI","NO")</f>
        <v/>
      </c>
    </row>
    <row r="1929">
      <c r="A1929" t="inlineStr">
        <is>
          <t>c59f4_training</t>
        </is>
      </c>
      <c r="B1929" t="inlineStr">
        <is>
          <t>2026-07-07 10:27:26.868</t>
        </is>
      </c>
      <c r="C1929" t="n">
        <v/>
      </c>
      <c r="D1929" t="inlineStr">
        <is>
          <t>Media file</t>
        </is>
      </c>
      <c r="E1929" t="inlineStr">
        <is>
          <t>player #1:C:/Users/manuel.felline/Documents/BEHAVIOR BTBR/NOR second cohort/WT/training/c59_f4.mp4</t>
        </is>
      </c>
      <c r="F1929" t="n">
        <v>-14.9</v>
      </c>
      <c r="G1929" t="n">
        <v>461.9</v>
      </c>
      <c r="H1929" t="n">
        <v>632.199</v>
      </c>
      <c r="I1929" t="n">
        <v>30</v>
      </c>
      <c r="J1929" t="inlineStr">
        <is>
          <t xml:space="preserve"> WT</t>
        </is>
      </c>
      <c r="K1929" t="inlineStr">
        <is>
          <t xml:space="preserve"> Female</t>
        </is>
      </c>
      <c r="L1929" t="inlineStr">
        <is>
          <t>No focal subject</t>
        </is>
      </c>
      <c r="M1929" t="n">
        <v>9.834</v>
      </c>
      <c r="N1929" t="inlineStr">
        <is>
          <t>Explore_F2</t>
        </is>
      </c>
      <c r="O1929" t="inlineStr">
        <is>
          <t>Second familiar</t>
        </is>
      </c>
      <c r="P1929" t="inlineStr">
        <is>
          <t>STATE</t>
        </is>
      </c>
      <c r="Q1929" t="n">
        <v>259.6</v>
      </c>
      <c r="R1929" t="n">
        <v>260.333</v>
      </c>
      <c r="S1929" t="n">
        <v>0.733</v>
      </c>
      <c r="T1929" t="inlineStr">
        <is>
          <t>C:/Users/manuel.felline/Documents/BEHAVIOR BTBR/NOR second cohort/WT/training/c59_f4.mp4</t>
        </is>
      </c>
      <c r="U1929" t="n">
        <v>8235</v>
      </c>
      <c r="V1929" t="n">
        <v>8257</v>
      </c>
      <c r="W1929" t="n">
        <v/>
      </c>
      <c r="X1929" t="n">
        <v/>
      </c>
      <c r="Y1929" t="n">
        <v/>
      </c>
      <c r="Z1929" t="n">
        <v/>
      </c>
      <c r="AA1929">
        <f>SUMIFS($S$2:S1929,$A$2:A1929,A1929,$N$2:N1929,"Explore*")</f>
        <v/>
      </c>
      <c r="AB1929">
        <f>IF(AND(LEFT(N1929,7)="Explore",(AA1929-IF(LEFT(N1929,7)="Explore",S1929,0))&lt;10),"SI","NO")</f>
        <v/>
      </c>
    </row>
    <row r="1930">
      <c r="A1930" t="inlineStr">
        <is>
          <t>c59f4_training</t>
        </is>
      </c>
      <c r="B1930" t="inlineStr">
        <is>
          <t>2026-07-07 10:27:26.868</t>
        </is>
      </c>
      <c r="C1930" t="n">
        <v/>
      </c>
      <c r="D1930" t="inlineStr">
        <is>
          <t>Media file</t>
        </is>
      </c>
      <c r="E1930" t="inlineStr">
        <is>
          <t>player #1:C:/Users/manuel.felline/Documents/BEHAVIOR BTBR/NOR second cohort/WT/training/c59_f4.mp4</t>
        </is>
      </c>
      <c r="F1930" t="n">
        <v>-14.9</v>
      </c>
      <c r="G1930" t="n">
        <v>461.9</v>
      </c>
      <c r="H1930" t="n">
        <v>632.199</v>
      </c>
      <c r="I1930" t="n">
        <v>30</v>
      </c>
      <c r="J1930" t="inlineStr">
        <is>
          <t xml:space="preserve"> WT</t>
        </is>
      </c>
      <c r="K1930" t="inlineStr">
        <is>
          <t xml:space="preserve"> Female</t>
        </is>
      </c>
      <c r="L1930" t="inlineStr">
        <is>
          <t>No focal subject</t>
        </is>
      </c>
      <c r="M1930" t="n">
        <v>9.834</v>
      </c>
      <c r="N1930" t="inlineStr">
        <is>
          <t>Explore_F2</t>
        </is>
      </c>
      <c r="O1930" t="inlineStr">
        <is>
          <t>Second familiar</t>
        </is>
      </c>
      <c r="P1930" t="inlineStr">
        <is>
          <t>STATE</t>
        </is>
      </c>
      <c r="Q1930" t="n">
        <v>264.7</v>
      </c>
      <c r="R1930" t="n">
        <v>265.3</v>
      </c>
      <c r="S1930" t="n">
        <v>0.6</v>
      </c>
      <c r="T1930" t="inlineStr">
        <is>
          <t>C:/Users/manuel.felline/Documents/BEHAVIOR BTBR/NOR second cohort/WT/training/c59_f4.mp4</t>
        </is>
      </c>
      <c r="U1930" t="n">
        <v>8388</v>
      </c>
      <c r="V1930" t="n">
        <v>8406</v>
      </c>
      <c r="W1930" t="n">
        <v/>
      </c>
      <c r="X1930" t="n">
        <v/>
      </c>
      <c r="Y1930" t="n">
        <v/>
      </c>
      <c r="Z1930" t="n">
        <v/>
      </c>
      <c r="AA1930">
        <f>SUMIFS($S$2:S1930,$A$2:A1930,A1930,$N$2:N1930,"Explore*")</f>
        <v/>
      </c>
      <c r="AB1930">
        <f>IF(AND(LEFT(N1930,7)="Explore",(AA1930-IF(LEFT(N1930,7)="Explore",S1930,0))&lt;10),"SI","NO")</f>
        <v/>
      </c>
    </row>
    <row r="1931">
      <c r="A1931" t="inlineStr">
        <is>
          <t>c59f4_training</t>
        </is>
      </c>
      <c r="B1931" t="inlineStr">
        <is>
          <t>2026-07-07 10:27:26.868</t>
        </is>
      </c>
      <c r="C1931" t="n">
        <v/>
      </c>
      <c r="D1931" t="inlineStr">
        <is>
          <t>Media file</t>
        </is>
      </c>
      <c r="E1931" t="inlineStr">
        <is>
          <t>player #1:C:/Users/manuel.felline/Documents/BEHAVIOR BTBR/NOR second cohort/WT/training/c59_f4.mp4</t>
        </is>
      </c>
      <c r="F1931" t="n">
        <v>-14.9</v>
      </c>
      <c r="G1931" t="n">
        <v>461.9</v>
      </c>
      <c r="H1931" t="n">
        <v>632.199</v>
      </c>
      <c r="I1931" t="n">
        <v>30</v>
      </c>
      <c r="J1931" t="inlineStr">
        <is>
          <t xml:space="preserve"> WT</t>
        </is>
      </c>
      <c r="K1931" t="inlineStr">
        <is>
          <t xml:space="preserve"> Female</t>
        </is>
      </c>
      <c r="L1931" t="inlineStr">
        <is>
          <t>No focal subject</t>
        </is>
      </c>
      <c r="M1931" t="n">
        <v>9.834</v>
      </c>
      <c r="N1931" t="inlineStr">
        <is>
          <t>Explore_F</t>
        </is>
      </c>
      <c r="O1931" t="inlineStr">
        <is>
          <t>Familiar</t>
        </is>
      </c>
      <c r="P1931" t="inlineStr">
        <is>
          <t>STATE</t>
        </is>
      </c>
      <c r="Q1931" t="n">
        <v>272.766</v>
      </c>
      <c r="R1931" t="n">
        <v>273.233</v>
      </c>
      <c r="S1931" t="n">
        <v>0.467</v>
      </c>
      <c r="T1931" t="inlineStr">
        <is>
          <t>C:/Users/manuel.felline/Documents/BEHAVIOR BTBR/NOR second cohort/WT/training/c59_f4.mp4</t>
        </is>
      </c>
      <c r="U1931" t="n">
        <v>8630</v>
      </c>
      <c r="V1931" t="n">
        <v>8644</v>
      </c>
      <c r="W1931" t="n">
        <v/>
      </c>
      <c r="X1931" t="n">
        <v/>
      </c>
      <c r="Y1931" t="n">
        <v/>
      </c>
      <c r="Z1931" t="n">
        <v/>
      </c>
      <c r="AA1931">
        <f>SUMIFS($S$2:S1931,$A$2:A1931,A1931,$N$2:N1931,"Explore*")</f>
        <v/>
      </c>
      <c r="AB1931">
        <f>IF(AND(LEFT(N1931,7)="Explore",(AA1931-IF(LEFT(N1931,7)="Explore",S1931,0))&lt;10),"SI","NO")</f>
        <v/>
      </c>
    </row>
    <row r="1932">
      <c r="A1932" t="inlineStr">
        <is>
          <t>c59f4_training</t>
        </is>
      </c>
      <c r="B1932" t="inlineStr">
        <is>
          <t>2026-07-07 10:27:26.868</t>
        </is>
      </c>
      <c r="C1932" t="n">
        <v/>
      </c>
      <c r="D1932" t="inlineStr">
        <is>
          <t>Media file</t>
        </is>
      </c>
      <c r="E1932" t="inlineStr">
        <is>
          <t>player #1:C:/Users/manuel.felline/Documents/BEHAVIOR BTBR/NOR second cohort/WT/training/c59_f4.mp4</t>
        </is>
      </c>
      <c r="F1932" t="n">
        <v>-14.9</v>
      </c>
      <c r="G1932" t="n">
        <v>461.9</v>
      </c>
      <c r="H1932" t="n">
        <v>632.199</v>
      </c>
      <c r="I1932" t="n">
        <v>30</v>
      </c>
      <c r="J1932" t="inlineStr">
        <is>
          <t xml:space="preserve"> WT</t>
        </is>
      </c>
      <c r="K1932" t="inlineStr">
        <is>
          <t xml:space="preserve"> Female</t>
        </is>
      </c>
      <c r="L1932" t="inlineStr">
        <is>
          <t>No focal subject</t>
        </is>
      </c>
      <c r="M1932" t="n">
        <v>9.834</v>
      </c>
      <c r="N1932" t="inlineStr">
        <is>
          <t>Explore_F2</t>
        </is>
      </c>
      <c r="O1932" t="inlineStr">
        <is>
          <t>Second familiar</t>
        </is>
      </c>
      <c r="P1932" t="inlineStr">
        <is>
          <t>STATE</t>
        </is>
      </c>
      <c r="Q1932" t="n">
        <v>323.666</v>
      </c>
      <c r="R1932" t="n">
        <v>324.833</v>
      </c>
      <c r="S1932" t="n">
        <v>1.167</v>
      </c>
      <c r="T1932" t="inlineStr">
        <is>
          <t>C:/Users/manuel.felline/Documents/BEHAVIOR BTBR/NOR second cohort/WT/training/c59_f4.mp4</t>
        </is>
      </c>
      <c r="U1932" t="n">
        <v>10157</v>
      </c>
      <c r="V1932" t="n">
        <v>10192</v>
      </c>
      <c r="W1932" t="n">
        <v/>
      </c>
      <c r="X1932" t="n">
        <v/>
      </c>
      <c r="Y1932" t="n">
        <v/>
      </c>
      <c r="Z1932" t="n">
        <v/>
      </c>
      <c r="AA1932">
        <f>SUMIFS($S$2:S1932,$A$2:A1932,A1932,$N$2:N1932,"Explore*")</f>
        <v/>
      </c>
      <c r="AB1932">
        <f>IF(AND(LEFT(N1932,7)="Explore",(AA1932-IF(LEFT(N1932,7)="Explore",S1932,0))&lt;10),"SI","NO")</f>
        <v/>
      </c>
    </row>
    <row r="1933">
      <c r="A1933" t="inlineStr">
        <is>
          <t>c59f4_training</t>
        </is>
      </c>
      <c r="B1933" t="inlineStr">
        <is>
          <t>2026-07-07 10:27:26.868</t>
        </is>
      </c>
      <c r="C1933" t="n">
        <v/>
      </c>
      <c r="D1933" t="inlineStr">
        <is>
          <t>Media file</t>
        </is>
      </c>
      <c r="E1933" t="inlineStr">
        <is>
          <t>player #1:C:/Users/manuel.felline/Documents/BEHAVIOR BTBR/NOR second cohort/WT/training/c59_f4.mp4</t>
        </is>
      </c>
      <c r="F1933" t="n">
        <v>-14.9</v>
      </c>
      <c r="G1933" t="n">
        <v>461.9</v>
      </c>
      <c r="H1933" t="n">
        <v>632.199</v>
      </c>
      <c r="I1933" t="n">
        <v>30</v>
      </c>
      <c r="J1933" t="inlineStr">
        <is>
          <t xml:space="preserve"> WT</t>
        </is>
      </c>
      <c r="K1933" t="inlineStr">
        <is>
          <t xml:space="preserve"> Female</t>
        </is>
      </c>
      <c r="L1933" t="inlineStr">
        <is>
          <t>No focal subject</t>
        </is>
      </c>
      <c r="M1933" t="n">
        <v>9.834</v>
      </c>
      <c r="N1933" t="inlineStr">
        <is>
          <t>Explore_F</t>
        </is>
      </c>
      <c r="O1933" t="inlineStr">
        <is>
          <t>Familiar</t>
        </is>
      </c>
      <c r="P1933" t="inlineStr">
        <is>
          <t>STATE</t>
        </is>
      </c>
      <c r="Q1933" t="n">
        <v>413.6</v>
      </c>
      <c r="R1933" t="n">
        <v>414.433</v>
      </c>
      <c r="S1933" t="n">
        <v>0.833</v>
      </c>
      <c r="T1933" t="inlineStr">
        <is>
          <t>C:/Users/manuel.felline/Documents/BEHAVIOR BTBR/NOR second cohort/WT/training/c59_f4.mp4</t>
        </is>
      </c>
      <c r="U1933" t="n">
        <v>12855</v>
      </c>
      <c r="V1933" t="n">
        <v>12880</v>
      </c>
      <c r="W1933" t="n">
        <v/>
      </c>
      <c r="X1933" t="n">
        <v/>
      </c>
      <c r="Y1933" t="n">
        <v/>
      </c>
      <c r="Z1933" t="n">
        <v/>
      </c>
      <c r="AA1933">
        <f>SUMIFS($S$2:S1933,$A$2:A1933,A1933,$N$2:N1933,"Explore*")</f>
        <v/>
      </c>
      <c r="AB1933">
        <f>IF(AND(LEFT(N1933,7)="Explore",(AA1933-IF(LEFT(N1933,7)="Explore",S1933,0))&lt;10),"SI","NO")</f>
        <v/>
      </c>
    </row>
    <row r="1934">
      <c r="A1934" t="inlineStr">
        <is>
          <t>c59f4_training</t>
        </is>
      </c>
      <c r="B1934" t="inlineStr">
        <is>
          <t>2026-07-07 10:27:26.868</t>
        </is>
      </c>
      <c r="C1934" t="n">
        <v/>
      </c>
      <c r="D1934" t="inlineStr">
        <is>
          <t>Media file</t>
        </is>
      </c>
      <c r="E1934" t="inlineStr">
        <is>
          <t>player #1:C:/Users/manuel.felline/Documents/BEHAVIOR BTBR/NOR second cohort/WT/training/c59_f4.mp4</t>
        </is>
      </c>
      <c r="F1934" t="n">
        <v>-14.9</v>
      </c>
      <c r="G1934" t="n">
        <v>461.9</v>
      </c>
      <c r="H1934" t="n">
        <v>632.199</v>
      </c>
      <c r="I1934" t="n">
        <v>30</v>
      </c>
      <c r="J1934" t="inlineStr">
        <is>
          <t xml:space="preserve"> WT</t>
        </is>
      </c>
      <c r="K1934" t="inlineStr">
        <is>
          <t xml:space="preserve"> Female</t>
        </is>
      </c>
      <c r="L1934" t="inlineStr">
        <is>
          <t>No focal subject</t>
        </is>
      </c>
      <c r="M1934" t="n">
        <v>9.834</v>
      </c>
      <c r="N1934" t="inlineStr">
        <is>
          <t>Explore_F</t>
        </is>
      </c>
      <c r="O1934" t="inlineStr">
        <is>
          <t>Familiar</t>
        </is>
      </c>
      <c r="P1934" t="inlineStr">
        <is>
          <t>STATE</t>
        </is>
      </c>
      <c r="Q1934" t="n">
        <v>433.966</v>
      </c>
      <c r="R1934" t="n">
        <v>434.966</v>
      </c>
      <c r="S1934" t="n">
        <v>1</v>
      </c>
      <c r="T1934" t="inlineStr">
        <is>
          <t>C:/Users/manuel.felline/Documents/BEHAVIOR BTBR/NOR second cohort/WT/training/c59_f4.mp4</t>
        </is>
      </c>
      <c r="U1934" t="n">
        <v>13466</v>
      </c>
      <c r="V1934" t="n">
        <v>13496</v>
      </c>
      <c r="W1934" t="n">
        <v/>
      </c>
      <c r="X1934" t="n">
        <v/>
      </c>
      <c r="Y1934" t="n">
        <v/>
      </c>
      <c r="Z1934" t="n">
        <v/>
      </c>
      <c r="AA1934">
        <f>SUMIFS($S$2:S1934,$A$2:A1934,A1934,$N$2:N1934,"Explore*")</f>
        <v/>
      </c>
      <c r="AB1934">
        <f>IF(AND(LEFT(N1934,7)="Explore",(AA1934-IF(LEFT(N1934,7)="Explore",S1934,0))&lt;10),"SI","NO")</f>
        <v/>
      </c>
    </row>
    <row r="1935">
      <c r="A1935" t="inlineStr">
        <is>
          <t>c59f4_training</t>
        </is>
      </c>
      <c r="B1935" t="inlineStr">
        <is>
          <t>2026-07-07 10:27:26.868</t>
        </is>
      </c>
      <c r="C1935" t="n">
        <v/>
      </c>
      <c r="D1935" t="inlineStr">
        <is>
          <t>Media file</t>
        </is>
      </c>
      <c r="E1935" t="inlineStr">
        <is>
          <t>player #1:C:/Users/manuel.felline/Documents/BEHAVIOR BTBR/NOR second cohort/WT/training/c59_f4.mp4</t>
        </is>
      </c>
      <c r="F1935" t="n">
        <v>-14.9</v>
      </c>
      <c r="G1935" t="n">
        <v>461.9</v>
      </c>
      <c r="H1935" t="n">
        <v>632.199</v>
      </c>
      <c r="I1935" t="n">
        <v>30</v>
      </c>
      <c r="J1935" t="inlineStr">
        <is>
          <t xml:space="preserve"> WT</t>
        </is>
      </c>
      <c r="K1935" t="inlineStr">
        <is>
          <t xml:space="preserve"> Female</t>
        </is>
      </c>
      <c r="L1935" t="inlineStr">
        <is>
          <t>No focal subject</t>
        </is>
      </c>
      <c r="M1935" t="n">
        <v>9.834</v>
      </c>
      <c r="N1935" t="inlineStr">
        <is>
          <t>Explore_F2</t>
        </is>
      </c>
      <c r="O1935" t="inlineStr">
        <is>
          <t>Second familiar</t>
        </is>
      </c>
      <c r="P1935" t="inlineStr">
        <is>
          <t>STATE</t>
        </is>
      </c>
      <c r="Q1935" t="n">
        <v>450.2</v>
      </c>
      <c r="R1935" t="n">
        <v>451.033</v>
      </c>
      <c r="S1935" t="n">
        <v>0.833</v>
      </c>
      <c r="T1935" t="inlineStr">
        <is>
          <t>C:/Users/manuel.felline/Documents/BEHAVIOR BTBR/NOR second cohort/WT/training/c59_f4.mp4</t>
        </is>
      </c>
      <c r="U1935" t="n">
        <v>13953</v>
      </c>
      <c r="V1935" t="n">
        <v>13978</v>
      </c>
      <c r="W1935" t="n">
        <v/>
      </c>
      <c r="X1935" t="n">
        <v/>
      </c>
      <c r="Y1935" t="n">
        <v/>
      </c>
      <c r="Z1935" t="n">
        <v/>
      </c>
      <c r="AA1935">
        <f>SUMIFS($S$2:S1935,$A$2:A1935,A1935,$N$2:N1935,"Explore*")</f>
        <v/>
      </c>
      <c r="AB1935">
        <f>IF(AND(LEFT(N1935,7)="Explore",(AA1935-IF(LEFT(N1935,7)="Explore",S1935,0))&lt;10),"SI","NO")</f>
        <v/>
      </c>
    </row>
    <row r="1936">
      <c r="A1936" t="inlineStr">
        <is>
          <t>c59f4_training</t>
        </is>
      </c>
      <c r="B1936" t="inlineStr">
        <is>
          <t>2026-07-07 10:27:26.868</t>
        </is>
      </c>
      <c r="C1936" t="n">
        <v/>
      </c>
      <c r="D1936" t="inlineStr">
        <is>
          <t>Media file</t>
        </is>
      </c>
      <c r="E1936" t="inlineStr">
        <is>
          <t>player #1:C:/Users/manuel.felline/Documents/BEHAVIOR BTBR/NOR second cohort/WT/training/c59_f4.mp4</t>
        </is>
      </c>
      <c r="F1936" t="n">
        <v>-14.9</v>
      </c>
      <c r="G1936" t="n">
        <v>461.9</v>
      </c>
      <c r="H1936" t="n">
        <v>632.199</v>
      </c>
      <c r="I1936" t="n">
        <v>30</v>
      </c>
      <c r="J1936" t="inlineStr">
        <is>
          <t xml:space="preserve"> WT</t>
        </is>
      </c>
      <c r="K1936" t="inlineStr">
        <is>
          <t xml:space="preserve"> Female</t>
        </is>
      </c>
      <c r="L1936" t="inlineStr">
        <is>
          <t>No focal subject</t>
        </is>
      </c>
      <c r="M1936" t="n">
        <v>9.834</v>
      </c>
      <c r="N1936" t="inlineStr">
        <is>
          <t>Explore_F2</t>
        </is>
      </c>
      <c r="O1936" t="inlineStr">
        <is>
          <t>Second familiar</t>
        </is>
      </c>
      <c r="P1936" t="inlineStr">
        <is>
          <t>STATE</t>
        </is>
      </c>
      <c r="Q1936" t="n">
        <v>462.666</v>
      </c>
      <c r="R1936" t="n">
        <v>463.333</v>
      </c>
      <c r="S1936" t="n">
        <v>0.667</v>
      </c>
      <c r="T1936" t="inlineStr">
        <is>
          <t>C:/Users/manuel.felline/Documents/BEHAVIOR BTBR/NOR second cohort/WT/training/c59_f4.mp4</t>
        </is>
      </c>
      <c r="U1936" t="n">
        <v>14327</v>
      </c>
      <c r="V1936" t="n">
        <v>14347</v>
      </c>
      <c r="W1936" t="n">
        <v/>
      </c>
      <c r="X1936" t="n">
        <v/>
      </c>
      <c r="Y1936" t="n">
        <v/>
      </c>
      <c r="Z1936" t="n">
        <v/>
      </c>
      <c r="AA1936">
        <f>SUMIFS($S$2:S1936,$A$2:A1936,A1936,$N$2:N1936,"Explore*")</f>
        <v/>
      </c>
      <c r="AB1936">
        <f>IF(AND(LEFT(N1936,7)="Explore",(AA1936-IF(LEFT(N1936,7)="Explore",S1936,0))&lt;10),"SI","NO")</f>
        <v/>
      </c>
    </row>
    <row r="1937">
      <c r="A1937" t="inlineStr">
        <is>
          <t>c59f5_training</t>
        </is>
      </c>
      <c r="B1937" t="inlineStr">
        <is>
          <t>2026-07-07 15:08:49.950</t>
        </is>
      </c>
      <c r="C1937" t="n">
        <v/>
      </c>
      <c r="D1937" t="inlineStr">
        <is>
          <t>Media file</t>
        </is>
      </c>
      <c r="E1937" t="inlineStr">
        <is>
          <t>player #1:C:/Users/manuel.felline/Documents/BEHAVIOR BTBR/NOR second cohort/WT/training/c59_f5.mp4</t>
        </is>
      </c>
      <c r="F1937" t="n">
        <v>-7.567</v>
      </c>
      <c r="G1937" t="n">
        <v>554.7329999999999</v>
      </c>
      <c r="H1937" t="n">
        <v>649.199</v>
      </c>
      <c r="I1937" t="n">
        <v>30</v>
      </c>
      <c r="J1937" t="inlineStr">
        <is>
          <t xml:space="preserve"> WT</t>
        </is>
      </c>
      <c r="K1937" t="inlineStr">
        <is>
          <t xml:space="preserve"> Female</t>
        </is>
      </c>
      <c r="L1937" t="inlineStr">
        <is>
          <t>No focal subject</t>
        </is>
      </c>
      <c r="M1937" t="n">
        <v>38.001</v>
      </c>
      <c r="N1937" t="inlineStr">
        <is>
          <t>Explore_F2</t>
        </is>
      </c>
      <c r="O1937" t="inlineStr">
        <is>
          <t>Second familiar</t>
        </is>
      </c>
      <c r="P1937" t="inlineStr">
        <is>
          <t>STATE</t>
        </is>
      </c>
      <c r="Q1937" t="n">
        <v>2.266</v>
      </c>
      <c r="R1937" t="n">
        <v>2.866</v>
      </c>
      <c r="S1937" t="n">
        <v>0.6</v>
      </c>
      <c r="T1937" t="inlineStr">
        <is>
          <t>C:/Users/manuel.felline/Documents/BEHAVIOR BTBR/NOR second cohort/WT/training/c59_f5.mp4</t>
        </is>
      </c>
      <c r="U1937" t="n">
        <v>295</v>
      </c>
      <c r="V1937" t="n">
        <v>313</v>
      </c>
      <c r="W1937" t="n">
        <v/>
      </c>
      <c r="X1937" t="n">
        <v/>
      </c>
      <c r="Y1937" t="n">
        <v/>
      </c>
      <c r="Z1937" t="n">
        <v/>
      </c>
      <c r="AA1937">
        <f>SUMIFS($S$2:S1937,$A$2:A1937,A1937,$N$2:N1937,"Explore*")</f>
        <v/>
      </c>
      <c r="AB1937">
        <f>IF(AND(LEFT(N1937,7)="Explore",(AA1937-IF(LEFT(N1937,7)="Explore",S1937,0))&lt;10),"SI","NO")</f>
        <v/>
      </c>
    </row>
    <row r="1938">
      <c r="A1938" t="inlineStr">
        <is>
          <t>c59f5_training</t>
        </is>
      </c>
      <c r="B1938" t="inlineStr">
        <is>
          <t>2026-07-07 15:08:49.950</t>
        </is>
      </c>
      <c r="C1938" t="n">
        <v/>
      </c>
      <c r="D1938" t="inlineStr">
        <is>
          <t>Media file</t>
        </is>
      </c>
      <c r="E1938" t="inlineStr">
        <is>
          <t>player #1:C:/Users/manuel.felline/Documents/BEHAVIOR BTBR/NOR second cohort/WT/training/c59_f5.mp4</t>
        </is>
      </c>
      <c r="F1938" t="n">
        <v>-7.567</v>
      </c>
      <c r="G1938" t="n">
        <v>554.7329999999999</v>
      </c>
      <c r="H1938" t="n">
        <v>649.199</v>
      </c>
      <c r="I1938" t="n">
        <v>30</v>
      </c>
      <c r="J1938" t="inlineStr">
        <is>
          <t xml:space="preserve"> WT</t>
        </is>
      </c>
      <c r="K1938" t="inlineStr">
        <is>
          <t xml:space="preserve"> Female</t>
        </is>
      </c>
      <c r="L1938" t="inlineStr">
        <is>
          <t>No focal subject</t>
        </is>
      </c>
      <c r="M1938" t="n">
        <v>38.001</v>
      </c>
      <c r="N1938" t="inlineStr">
        <is>
          <t>Explore_F</t>
        </is>
      </c>
      <c r="O1938" t="inlineStr">
        <is>
          <t>Familiar</t>
        </is>
      </c>
      <c r="P1938" t="inlineStr">
        <is>
          <t>STATE</t>
        </is>
      </c>
      <c r="Q1938" t="n">
        <v>14.566</v>
      </c>
      <c r="R1938" t="n">
        <v>15.1</v>
      </c>
      <c r="S1938" t="n">
        <v>0.534</v>
      </c>
      <c r="T1938" t="inlineStr">
        <is>
          <t>C:/Users/manuel.felline/Documents/BEHAVIOR BTBR/NOR second cohort/WT/training/c59_f5.mp4</t>
        </is>
      </c>
      <c r="U1938" t="n">
        <v>664</v>
      </c>
      <c r="V1938" t="n">
        <v>680</v>
      </c>
      <c r="W1938" t="n">
        <v/>
      </c>
      <c r="X1938" t="n">
        <v/>
      </c>
      <c r="Y1938" t="n">
        <v/>
      </c>
      <c r="Z1938" t="n">
        <v/>
      </c>
      <c r="AA1938">
        <f>SUMIFS($S$2:S1938,$A$2:A1938,A1938,$N$2:N1938,"Explore*")</f>
        <v/>
      </c>
      <c r="AB1938">
        <f>IF(AND(LEFT(N1938,7)="Explore",(AA1938-IF(LEFT(N1938,7)="Explore",S1938,0))&lt;10),"SI","NO")</f>
        <v/>
      </c>
    </row>
    <row r="1939">
      <c r="A1939" t="inlineStr">
        <is>
          <t>c59f5_training</t>
        </is>
      </c>
      <c r="B1939" t="inlineStr">
        <is>
          <t>2026-07-07 15:08:49.950</t>
        </is>
      </c>
      <c r="C1939" t="n">
        <v/>
      </c>
      <c r="D1939" t="inlineStr">
        <is>
          <t>Media file</t>
        </is>
      </c>
      <c r="E1939" t="inlineStr">
        <is>
          <t>player #1:C:/Users/manuel.felline/Documents/BEHAVIOR BTBR/NOR second cohort/WT/training/c59_f5.mp4</t>
        </is>
      </c>
      <c r="F1939" t="n">
        <v>-7.567</v>
      </c>
      <c r="G1939" t="n">
        <v>554.7329999999999</v>
      </c>
      <c r="H1939" t="n">
        <v>649.199</v>
      </c>
      <c r="I1939" t="n">
        <v>30</v>
      </c>
      <c r="J1939" t="inlineStr">
        <is>
          <t xml:space="preserve"> WT</t>
        </is>
      </c>
      <c r="K1939" t="inlineStr">
        <is>
          <t xml:space="preserve"> Female</t>
        </is>
      </c>
      <c r="L1939" t="inlineStr">
        <is>
          <t>No focal subject</t>
        </is>
      </c>
      <c r="M1939" t="n">
        <v>38.001</v>
      </c>
      <c r="N1939" t="inlineStr">
        <is>
          <t>Explore_F2</t>
        </is>
      </c>
      <c r="O1939" t="inlineStr">
        <is>
          <t>Second familiar</t>
        </is>
      </c>
      <c r="P1939" t="inlineStr">
        <is>
          <t>STATE</t>
        </is>
      </c>
      <c r="Q1939" t="n">
        <v>34.066</v>
      </c>
      <c r="R1939" t="n">
        <v>34.366</v>
      </c>
      <c r="S1939" t="n">
        <v>0.3</v>
      </c>
      <c r="T1939" t="inlineStr">
        <is>
          <t>C:/Users/manuel.felline/Documents/BEHAVIOR BTBR/NOR second cohort/WT/training/c59_f5.mp4</t>
        </is>
      </c>
      <c r="U1939" t="n">
        <v>1249</v>
      </c>
      <c r="V1939" t="n">
        <v>1258</v>
      </c>
      <c r="W1939" t="n">
        <v/>
      </c>
      <c r="X1939" t="n">
        <v/>
      </c>
      <c r="Y1939" t="n">
        <v/>
      </c>
      <c r="Z1939" t="n">
        <v/>
      </c>
      <c r="AA1939">
        <f>SUMIFS($S$2:S1939,$A$2:A1939,A1939,$N$2:N1939,"Explore*")</f>
        <v/>
      </c>
      <c r="AB1939">
        <f>IF(AND(LEFT(N1939,7)="Explore",(AA1939-IF(LEFT(N1939,7)="Explore",S1939,0))&lt;10),"SI","NO")</f>
        <v/>
      </c>
    </row>
    <row r="1940">
      <c r="A1940" t="inlineStr">
        <is>
          <t>c59f5_training</t>
        </is>
      </c>
      <c r="B1940" t="inlineStr">
        <is>
          <t>2026-07-07 15:08:49.950</t>
        </is>
      </c>
      <c r="C1940" t="n">
        <v/>
      </c>
      <c r="D1940" t="inlineStr">
        <is>
          <t>Media file</t>
        </is>
      </c>
      <c r="E1940" t="inlineStr">
        <is>
          <t>player #1:C:/Users/manuel.felline/Documents/BEHAVIOR BTBR/NOR second cohort/WT/training/c59_f5.mp4</t>
        </is>
      </c>
      <c r="F1940" t="n">
        <v>-7.567</v>
      </c>
      <c r="G1940" t="n">
        <v>554.7329999999999</v>
      </c>
      <c r="H1940" t="n">
        <v>649.199</v>
      </c>
      <c r="I1940" t="n">
        <v>30</v>
      </c>
      <c r="J1940" t="inlineStr">
        <is>
          <t xml:space="preserve"> WT</t>
        </is>
      </c>
      <c r="K1940" t="inlineStr">
        <is>
          <t xml:space="preserve"> Female</t>
        </is>
      </c>
      <c r="L1940" t="inlineStr">
        <is>
          <t>No focal subject</t>
        </is>
      </c>
      <c r="M1940" t="n">
        <v>38.001</v>
      </c>
      <c r="N1940" t="inlineStr">
        <is>
          <t>Explore_F2</t>
        </is>
      </c>
      <c r="O1940" t="inlineStr">
        <is>
          <t>Second familiar</t>
        </is>
      </c>
      <c r="P1940" t="inlineStr">
        <is>
          <t>STATE</t>
        </is>
      </c>
      <c r="Q1940" t="n">
        <v>131.2</v>
      </c>
      <c r="R1940" t="n">
        <v>132.966</v>
      </c>
      <c r="S1940" t="n">
        <v>1.766</v>
      </c>
      <c r="T1940" t="inlineStr">
        <is>
          <t>C:/Users/manuel.felline/Documents/BEHAVIOR BTBR/NOR second cohort/WT/training/c59_f5.mp4</t>
        </is>
      </c>
      <c r="U1940" t="n">
        <v>4163</v>
      </c>
      <c r="V1940" t="n">
        <v>4216</v>
      </c>
      <c r="W1940" t="n">
        <v/>
      </c>
      <c r="X1940" t="n">
        <v/>
      </c>
      <c r="Y1940" t="n">
        <v/>
      </c>
      <c r="Z1940" t="n">
        <v/>
      </c>
      <c r="AA1940">
        <f>SUMIFS($S$2:S1940,$A$2:A1940,A1940,$N$2:N1940,"Explore*")</f>
        <v/>
      </c>
      <c r="AB1940">
        <f>IF(AND(LEFT(N1940,7)="Explore",(AA1940-IF(LEFT(N1940,7)="Explore",S1940,0))&lt;10),"SI","NO")</f>
        <v/>
      </c>
    </row>
    <row r="1941">
      <c r="A1941" t="inlineStr">
        <is>
          <t>c59f5_training</t>
        </is>
      </c>
      <c r="B1941" t="inlineStr">
        <is>
          <t>2026-07-07 15:08:49.950</t>
        </is>
      </c>
      <c r="C1941" t="n">
        <v/>
      </c>
      <c r="D1941" t="inlineStr">
        <is>
          <t>Media file</t>
        </is>
      </c>
      <c r="E1941" t="inlineStr">
        <is>
          <t>player #1:C:/Users/manuel.felline/Documents/BEHAVIOR BTBR/NOR second cohort/WT/training/c59_f5.mp4</t>
        </is>
      </c>
      <c r="F1941" t="n">
        <v>-7.567</v>
      </c>
      <c r="G1941" t="n">
        <v>554.7329999999999</v>
      </c>
      <c r="H1941" t="n">
        <v>649.199</v>
      </c>
      <c r="I1941" t="n">
        <v>30</v>
      </c>
      <c r="J1941" t="inlineStr">
        <is>
          <t xml:space="preserve"> WT</t>
        </is>
      </c>
      <c r="K1941" t="inlineStr">
        <is>
          <t xml:space="preserve"> Female</t>
        </is>
      </c>
      <c r="L1941" t="inlineStr">
        <is>
          <t>No focal subject</t>
        </is>
      </c>
      <c r="M1941" t="n">
        <v>38.001</v>
      </c>
      <c r="N1941" t="inlineStr">
        <is>
          <t>Explore_F</t>
        </is>
      </c>
      <c r="O1941" t="inlineStr">
        <is>
          <t>Familiar</t>
        </is>
      </c>
      <c r="P1941" t="inlineStr">
        <is>
          <t>STATE</t>
        </is>
      </c>
      <c r="Q1941" t="n">
        <v>133.8</v>
      </c>
      <c r="R1941" t="n">
        <v>134.166</v>
      </c>
      <c r="S1941" t="n">
        <v>0.366</v>
      </c>
      <c r="T1941" t="inlineStr">
        <is>
          <t>C:/Users/manuel.felline/Documents/BEHAVIOR BTBR/NOR second cohort/WT/training/c59_f5.mp4</t>
        </is>
      </c>
      <c r="U1941" t="n">
        <v>4241</v>
      </c>
      <c r="V1941" t="n">
        <v>4252</v>
      </c>
      <c r="W1941" t="n">
        <v/>
      </c>
      <c r="X1941" t="n">
        <v/>
      </c>
      <c r="Y1941" t="n">
        <v/>
      </c>
      <c r="Z1941" t="n">
        <v/>
      </c>
      <c r="AA1941">
        <f>SUMIFS($S$2:S1941,$A$2:A1941,A1941,$N$2:N1941,"Explore*")</f>
        <v/>
      </c>
      <c r="AB1941">
        <f>IF(AND(LEFT(N1941,7)="Explore",(AA1941-IF(LEFT(N1941,7)="Explore",S1941,0))&lt;10),"SI","NO")</f>
        <v/>
      </c>
    </row>
    <row r="1942">
      <c r="A1942" t="inlineStr">
        <is>
          <t>c59f5_training</t>
        </is>
      </c>
      <c r="B1942" t="inlineStr">
        <is>
          <t>2026-07-07 15:08:49.950</t>
        </is>
      </c>
      <c r="C1942" t="n">
        <v/>
      </c>
      <c r="D1942" t="inlineStr">
        <is>
          <t>Media file</t>
        </is>
      </c>
      <c r="E1942" t="inlineStr">
        <is>
          <t>player #1:C:/Users/manuel.felline/Documents/BEHAVIOR BTBR/NOR second cohort/WT/training/c59_f5.mp4</t>
        </is>
      </c>
      <c r="F1942" t="n">
        <v>-7.567</v>
      </c>
      <c r="G1942" t="n">
        <v>554.7329999999999</v>
      </c>
      <c r="H1942" t="n">
        <v>649.199</v>
      </c>
      <c r="I1942" t="n">
        <v>30</v>
      </c>
      <c r="J1942" t="inlineStr">
        <is>
          <t xml:space="preserve"> WT</t>
        </is>
      </c>
      <c r="K1942" t="inlineStr">
        <is>
          <t xml:space="preserve"> Female</t>
        </is>
      </c>
      <c r="L1942" t="inlineStr">
        <is>
          <t>No focal subject</t>
        </is>
      </c>
      <c r="M1942" t="n">
        <v>38.001</v>
      </c>
      <c r="N1942" t="inlineStr">
        <is>
          <t>Explore_F</t>
        </is>
      </c>
      <c r="O1942" t="inlineStr">
        <is>
          <t>Familiar</t>
        </is>
      </c>
      <c r="P1942" t="inlineStr">
        <is>
          <t>STATE</t>
        </is>
      </c>
      <c r="Q1942" t="n">
        <v>137.166</v>
      </c>
      <c r="R1942" t="n">
        <v>137.466</v>
      </c>
      <c r="S1942" t="n">
        <v>0.3</v>
      </c>
      <c r="T1942" t="inlineStr">
        <is>
          <t>C:/Users/manuel.felline/Documents/BEHAVIOR BTBR/NOR second cohort/WT/training/c59_f5.mp4</t>
        </is>
      </c>
      <c r="U1942" t="n">
        <v>4342</v>
      </c>
      <c r="V1942" t="n">
        <v>4351</v>
      </c>
      <c r="W1942" t="n">
        <v/>
      </c>
      <c r="X1942" t="n">
        <v/>
      </c>
      <c r="Y1942" t="n">
        <v/>
      </c>
      <c r="Z1942" t="n">
        <v/>
      </c>
      <c r="AA1942">
        <f>SUMIFS($S$2:S1942,$A$2:A1942,A1942,$N$2:N1942,"Explore*")</f>
        <v/>
      </c>
      <c r="AB1942">
        <f>IF(AND(LEFT(N1942,7)="Explore",(AA1942-IF(LEFT(N1942,7)="Explore",S1942,0))&lt;10),"SI","NO")</f>
        <v/>
      </c>
    </row>
    <row r="1943">
      <c r="A1943" t="inlineStr">
        <is>
          <t>c59f5_training</t>
        </is>
      </c>
      <c r="B1943" t="inlineStr">
        <is>
          <t>2026-07-07 15:08:49.950</t>
        </is>
      </c>
      <c r="C1943" t="n">
        <v/>
      </c>
      <c r="D1943" t="inlineStr">
        <is>
          <t>Media file</t>
        </is>
      </c>
      <c r="E1943" t="inlineStr">
        <is>
          <t>player #1:C:/Users/manuel.felline/Documents/BEHAVIOR BTBR/NOR second cohort/WT/training/c59_f5.mp4</t>
        </is>
      </c>
      <c r="F1943" t="n">
        <v>-7.567</v>
      </c>
      <c r="G1943" t="n">
        <v>554.7329999999999</v>
      </c>
      <c r="H1943" t="n">
        <v>649.199</v>
      </c>
      <c r="I1943" t="n">
        <v>30</v>
      </c>
      <c r="J1943" t="inlineStr">
        <is>
          <t xml:space="preserve"> WT</t>
        </is>
      </c>
      <c r="K1943" t="inlineStr">
        <is>
          <t xml:space="preserve"> Female</t>
        </is>
      </c>
      <c r="L1943" t="inlineStr">
        <is>
          <t>No focal subject</t>
        </is>
      </c>
      <c r="M1943" t="n">
        <v>38.001</v>
      </c>
      <c r="N1943" t="inlineStr">
        <is>
          <t>Explore_F2</t>
        </is>
      </c>
      <c r="O1943" t="inlineStr">
        <is>
          <t>Second familiar</t>
        </is>
      </c>
      <c r="P1943" t="inlineStr">
        <is>
          <t>STATE</t>
        </is>
      </c>
      <c r="Q1943" t="n">
        <v>139.8</v>
      </c>
      <c r="R1943" t="n">
        <v>140.9</v>
      </c>
      <c r="S1943" t="n">
        <v>1.1</v>
      </c>
      <c r="T1943" t="inlineStr">
        <is>
          <t>C:/Users/manuel.felline/Documents/BEHAVIOR BTBR/NOR second cohort/WT/training/c59_f5.mp4</t>
        </is>
      </c>
      <c r="U1943" t="n">
        <v>4421</v>
      </c>
      <c r="V1943" t="n">
        <v>4454</v>
      </c>
      <c r="W1943" t="n">
        <v/>
      </c>
      <c r="X1943" t="n">
        <v/>
      </c>
      <c r="Y1943" t="n">
        <v/>
      </c>
      <c r="Z1943" t="n">
        <v/>
      </c>
      <c r="AA1943">
        <f>SUMIFS($S$2:S1943,$A$2:A1943,A1943,$N$2:N1943,"Explore*")</f>
        <v/>
      </c>
      <c r="AB1943">
        <f>IF(AND(LEFT(N1943,7)="Explore",(AA1943-IF(LEFT(N1943,7)="Explore",S1943,0))&lt;10),"SI","NO")</f>
        <v/>
      </c>
    </row>
    <row r="1944">
      <c r="A1944" t="inlineStr">
        <is>
          <t>c59f5_training</t>
        </is>
      </c>
      <c r="B1944" t="inlineStr">
        <is>
          <t>2026-07-07 15:08:49.950</t>
        </is>
      </c>
      <c r="C1944" t="n">
        <v/>
      </c>
      <c r="D1944" t="inlineStr">
        <is>
          <t>Media file</t>
        </is>
      </c>
      <c r="E1944" t="inlineStr">
        <is>
          <t>player #1:C:/Users/manuel.felline/Documents/BEHAVIOR BTBR/NOR second cohort/WT/training/c59_f5.mp4</t>
        </is>
      </c>
      <c r="F1944" t="n">
        <v>-7.567</v>
      </c>
      <c r="G1944" t="n">
        <v>554.7329999999999</v>
      </c>
      <c r="H1944" t="n">
        <v>649.199</v>
      </c>
      <c r="I1944" t="n">
        <v>30</v>
      </c>
      <c r="J1944" t="inlineStr">
        <is>
          <t xml:space="preserve"> WT</t>
        </is>
      </c>
      <c r="K1944" t="inlineStr">
        <is>
          <t xml:space="preserve"> Female</t>
        </is>
      </c>
      <c r="L1944" t="inlineStr">
        <is>
          <t>No focal subject</t>
        </is>
      </c>
      <c r="M1944" t="n">
        <v>38.001</v>
      </c>
      <c r="N1944" t="inlineStr">
        <is>
          <t>Explore_F2</t>
        </is>
      </c>
      <c r="O1944" t="inlineStr">
        <is>
          <t>Second familiar</t>
        </is>
      </c>
      <c r="P1944" t="inlineStr">
        <is>
          <t>STATE</t>
        </is>
      </c>
      <c r="Q1944" t="n">
        <v>144.3</v>
      </c>
      <c r="R1944" t="n">
        <v>145</v>
      </c>
      <c r="S1944" t="n">
        <v>0.7</v>
      </c>
      <c r="T1944" t="inlineStr">
        <is>
          <t>C:/Users/manuel.felline/Documents/BEHAVIOR BTBR/NOR second cohort/WT/training/c59_f5.mp4</t>
        </is>
      </c>
      <c r="U1944" t="n">
        <v>4556</v>
      </c>
      <c r="V1944" t="n">
        <v>4577</v>
      </c>
      <c r="W1944" t="n">
        <v/>
      </c>
      <c r="X1944" t="n">
        <v/>
      </c>
      <c r="Y1944" t="n">
        <v/>
      </c>
      <c r="Z1944" t="n">
        <v/>
      </c>
      <c r="AA1944">
        <f>SUMIFS($S$2:S1944,$A$2:A1944,A1944,$N$2:N1944,"Explore*")</f>
        <v/>
      </c>
      <c r="AB1944">
        <f>IF(AND(LEFT(N1944,7)="Explore",(AA1944-IF(LEFT(N1944,7)="Explore",S1944,0))&lt;10),"SI","NO")</f>
        <v/>
      </c>
    </row>
    <row r="1945">
      <c r="A1945" t="inlineStr">
        <is>
          <t>c59f5_training</t>
        </is>
      </c>
      <c r="B1945" t="inlineStr">
        <is>
          <t>2026-07-07 15:08:49.950</t>
        </is>
      </c>
      <c r="C1945" t="n">
        <v/>
      </c>
      <c r="D1945" t="inlineStr">
        <is>
          <t>Media file</t>
        </is>
      </c>
      <c r="E1945" t="inlineStr">
        <is>
          <t>player #1:C:/Users/manuel.felline/Documents/BEHAVIOR BTBR/NOR second cohort/WT/training/c59_f5.mp4</t>
        </is>
      </c>
      <c r="F1945" t="n">
        <v>-7.567</v>
      </c>
      <c r="G1945" t="n">
        <v>554.7329999999999</v>
      </c>
      <c r="H1945" t="n">
        <v>649.199</v>
      </c>
      <c r="I1945" t="n">
        <v>30</v>
      </c>
      <c r="J1945" t="inlineStr">
        <is>
          <t xml:space="preserve"> WT</t>
        </is>
      </c>
      <c r="K1945" t="inlineStr">
        <is>
          <t xml:space="preserve"> Female</t>
        </is>
      </c>
      <c r="L1945" t="inlineStr">
        <is>
          <t>No focal subject</t>
        </is>
      </c>
      <c r="M1945" t="n">
        <v>38.001</v>
      </c>
      <c r="N1945" t="inlineStr">
        <is>
          <t>Explore_F2</t>
        </is>
      </c>
      <c r="O1945" t="inlineStr">
        <is>
          <t>Second familiar</t>
        </is>
      </c>
      <c r="P1945" t="inlineStr">
        <is>
          <t>STATE</t>
        </is>
      </c>
      <c r="Q1945" t="n">
        <v>161.899</v>
      </c>
      <c r="R1945" t="n">
        <v>162.733</v>
      </c>
      <c r="S1945" t="n">
        <v>0.834</v>
      </c>
      <c r="T1945" t="inlineStr">
        <is>
          <t>C:/Users/manuel.felline/Documents/BEHAVIOR BTBR/NOR second cohort/WT/training/c59_f5.mp4</t>
        </is>
      </c>
      <c r="U1945" t="n">
        <v>5084</v>
      </c>
      <c r="V1945" t="n">
        <v>5109</v>
      </c>
      <c r="W1945" t="n">
        <v/>
      </c>
      <c r="X1945" t="n">
        <v/>
      </c>
      <c r="Y1945" t="n">
        <v/>
      </c>
      <c r="Z1945" t="n">
        <v/>
      </c>
      <c r="AA1945">
        <f>SUMIFS($S$2:S1945,$A$2:A1945,A1945,$N$2:N1945,"Explore*")</f>
        <v/>
      </c>
      <c r="AB1945">
        <f>IF(AND(LEFT(N1945,7)="Explore",(AA1945-IF(LEFT(N1945,7)="Explore",S1945,0))&lt;10),"SI","NO")</f>
        <v/>
      </c>
    </row>
    <row r="1946">
      <c r="A1946" t="inlineStr">
        <is>
          <t>c59f5_training</t>
        </is>
      </c>
      <c r="B1946" t="inlineStr">
        <is>
          <t>2026-07-07 15:08:49.950</t>
        </is>
      </c>
      <c r="C1946" t="n">
        <v/>
      </c>
      <c r="D1946" t="inlineStr">
        <is>
          <t>Media file</t>
        </is>
      </c>
      <c r="E1946" t="inlineStr">
        <is>
          <t>player #1:C:/Users/manuel.felline/Documents/BEHAVIOR BTBR/NOR second cohort/WT/training/c59_f5.mp4</t>
        </is>
      </c>
      <c r="F1946" t="n">
        <v>-7.567</v>
      </c>
      <c r="G1946" t="n">
        <v>554.7329999999999</v>
      </c>
      <c r="H1946" t="n">
        <v>649.199</v>
      </c>
      <c r="I1946" t="n">
        <v>30</v>
      </c>
      <c r="J1946" t="inlineStr">
        <is>
          <t xml:space="preserve"> WT</t>
        </is>
      </c>
      <c r="K1946" t="inlineStr">
        <is>
          <t xml:space="preserve"> Female</t>
        </is>
      </c>
      <c r="L1946" t="inlineStr">
        <is>
          <t>No focal subject</t>
        </is>
      </c>
      <c r="M1946" t="n">
        <v>38.001</v>
      </c>
      <c r="N1946" t="inlineStr">
        <is>
          <t>Explore_F2</t>
        </is>
      </c>
      <c r="O1946" t="inlineStr">
        <is>
          <t>Second familiar</t>
        </is>
      </c>
      <c r="P1946" t="inlineStr">
        <is>
          <t>STATE</t>
        </is>
      </c>
      <c r="Q1946" t="n">
        <v>165.866</v>
      </c>
      <c r="R1946" t="n">
        <v>166.566</v>
      </c>
      <c r="S1946" t="n">
        <v>0.7</v>
      </c>
      <c r="T1946" t="inlineStr">
        <is>
          <t>C:/Users/manuel.felline/Documents/BEHAVIOR BTBR/NOR second cohort/WT/training/c59_f5.mp4</t>
        </is>
      </c>
      <c r="U1946" t="n">
        <v>5203</v>
      </c>
      <c r="V1946" t="n">
        <v>5224</v>
      </c>
      <c r="W1946" t="n">
        <v/>
      </c>
      <c r="X1946" t="n">
        <v/>
      </c>
      <c r="Y1946" t="n">
        <v/>
      </c>
      <c r="Z1946" t="n">
        <v/>
      </c>
      <c r="AA1946">
        <f>SUMIFS($S$2:S1946,$A$2:A1946,A1946,$N$2:N1946,"Explore*")</f>
        <v/>
      </c>
      <c r="AB1946">
        <f>IF(AND(LEFT(N1946,7)="Explore",(AA1946-IF(LEFT(N1946,7)="Explore",S1946,0))&lt;10),"SI","NO")</f>
        <v/>
      </c>
    </row>
    <row r="1947">
      <c r="A1947" t="inlineStr">
        <is>
          <t>c59f5_training</t>
        </is>
      </c>
      <c r="B1947" t="inlineStr">
        <is>
          <t>2026-07-07 15:08:49.950</t>
        </is>
      </c>
      <c r="C1947" t="n">
        <v/>
      </c>
      <c r="D1947" t="inlineStr">
        <is>
          <t>Media file</t>
        </is>
      </c>
      <c r="E1947" t="inlineStr">
        <is>
          <t>player #1:C:/Users/manuel.felline/Documents/BEHAVIOR BTBR/NOR second cohort/WT/training/c59_f5.mp4</t>
        </is>
      </c>
      <c r="F1947" t="n">
        <v>-7.567</v>
      </c>
      <c r="G1947" t="n">
        <v>554.7329999999999</v>
      </c>
      <c r="H1947" t="n">
        <v>649.199</v>
      </c>
      <c r="I1947" t="n">
        <v>30</v>
      </c>
      <c r="J1947" t="inlineStr">
        <is>
          <t xml:space="preserve"> WT</t>
        </is>
      </c>
      <c r="K1947" t="inlineStr">
        <is>
          <t xml:space="preserve"> Female</t>
        </is>
      </c>
      <c r="L1947" t="inlineStr">
        <is>
          <t>No focal subject</t>
        </is>
      </c>
      <c r="M1947" t="n">
        <v>38.001</v>
      </c>
      <c r="N1947" t="inlineStr">
        <is>
          <t>Explore_F2</t>
        </is>
      </c>
      <c r="O1947" t="inlineStr">
        <is>
          <t>Second familiar</t>
        </is>
      </c>
      <c r="P1947" t="inlineStr">
        <is>
          <t>STATE</t>
        </is>
      </c>
      <c r="Q1947" t="n">
        <v>168.599</v>
      </c>
      <c r="R1947" t="n">
        <v>170.233</v>
      </c>
      <c r="S1947" t="n">
        <v>1.634</v>
      </c>
      <c r="T1947" t="inlineStr">
        <is>
          <t>C:/Users/manuel.felline/Documents/BEHAVIOR BTBR/NOR second cohort/WT/training/c59_f5.mp4</t>
        </is>
      </c>
      <c r="U1947" t="n">
        <v>5285</v>
      </c>
      <c r="V1947" t="n">
        <v>5334</v>
      </c>
      <c r="W1947" t="n">
        <v/>
      </c>
      <c r="X1947" t="n">
        <v/>
      </c>
      <c r="Y1947" t="n">
        <v/>
      </c>
      <c r="Z1947" t="n">
        <v/>
      </c>
      <c r="AA1947">
        <f>SUMIFS($S$2:S1947,$A$2:A1947,A1947,$N$2:N1947,"Explore*")</f>
        <v/>
      </c>
      <c r="AB1947">
        <f>IF(AND(LEFT(N1947,7)="Explore",(AA1947-IF(LEFT(N1947,7)="Explore",S1947,0))&lt;10),"SI","NO")</f>
        <v/>
      </c>
    </row>
    <row r="1948">
      <c r="A1948" t="inlineStr">
        <is>
          <t>c59f5_training</t>
        </is>
      </c>
      <c r="B1948" t="inlineStr">
        <is>
          <t>2026-07-07 15:08:49.950</t>
        </is>
      </c>
      <c r="C1948" t="n">
        <v/>
      </c>
      <c r="D1948" t="inlineStr">
        <is>
          <t>Media file</t>
        </is>
      </c>
      <c r="E1948" t="inlineStr">
        <is>
          <t>player #1:C:/Users/manuel.felline/Documents/BEHAVIOR BTBR/NOR second cohort/WT/training/c59_f5.mp4</t>
        </is>
      </c>
      <c r="F1948" t="n">
        <v>-7.567</v>
      </c>
      <c r="G1948" t="n">
        <v>554.7329999999999</v>
      </c>
      <c r="H1948" t="n">
        <v>649.199</v>
      </c>
      <c r="I1948" t="n">
        <v>30</v>
      </c>
      <c r="J1948" t="inlineStr">
        <is>
          <t xml:space="preserve"> WT</t>
        </is>
      </c>
      <c r="K1948" t="inlineStr">
        <is>
          <t xml:space="preserve"> Female</t>
        </is>
      </c>
      <c r="L1948" t="inlineStr">
        <is>
          <t>No focal subject</t>
        </is>
      </c>
      <c r="M1948" t="n">
        <v>38.001</v>
      </c>
      <c r="N1948" t="inlineStr">
        <is>
          <t>Explore_F</t>
        </is>
      </c>
      <c r="O1948" t="inlineStr">
        <is>
          <t>Familiar</t>
        </is>
      </c>
      <c r="P1948" t="inlineStr">
        <is>
          <t>STATE</t>
        </is>
      </c>
      <c r="Q1948" t="n">
        <v>175.866</v>
      </c>
      <c r="R1948" t="n">
        <v>176.333</v>
      </c>
      <c r="S1948" t="n">
        <v>0.467</v>
      </c>
      <c r="T1948" t="inlineStr">
        <is>
          <t>C:/Users/manuel.felline/Documents/BEHAVIOR BTBR/NOR second cohort/WT/training/c59_f5.mp4</t>
        </is>
      </c>
      <c r="U1948" t="n">
        <v>5503</v>
      </c>
      <c r="V1948" t="n">
        <v>5517</v>
      </c>
      <c r="W1948" t="n">
        <v/>
      </c>
      <c r="X1948" t="n">
        <v/>
      </c>
      <c r="Y1948" t="n">
        <v/>
      </c>
      <c r="Z1948" t="n">
        <v/>
      </c>
      <c r="AA1948">
        <f>SUMIFS($S$2:S1948,$A$2:A1948,A1948,$N$2:N1948,"Explore*")</f>
        <v/>
      </c>
      <c r="AB1948">
        <f>IF(AND(LEFT(N1948,7)="Explore",(AA1948-IF(LEFT(N1948,7)="Explore",S1948,0))&lt;10),"SI","NO")</f>
        <v/>
      </c>
    </row>
    <row r="1949">
      <c r="A1949" t="inlineStr">
        <is>
          <t>c59f5_training</t>
        </is>
      </c>
      <c r="B1949" t="inlineStr">
        <is>
          <t>2026-07-07 15:08:49.950</t>
        </is>
      </c>
      <c r="C1949" t="n">
        <v/>
      </c>
      <c r="D1949" t="inlineStr">
        <is>
          <t>Media file</t>
        </is>
      </c>
      <c r="E1949" t="inlineStr">
        <is>
          <t>player #1:C:/Users/manuel.felline/Documents/BEHAVIOR BTBR/NOR second cohort/WT/training/c59_f5.mp4</t>
        </is>
      </c>
      <c r="F1949" t="n">
        <v>-7.567</v>
      </c>
      <c r="G1949" t="n">
        <v>554.7329999999999</v>
      </c>
      <c r="H1949" t="n">
        <v>649.199</v>
      </c>
      <c r="I1949" t="n">
        <v>30</v>
      </c>
      <c r="J1949" t="inlineStr">
        <is>
          <t xml:space="preserve"> WT</t>
        </is>
      </c>
      <c r="K1949" t="inlineStr">
        <is>
          <t xml:space="preserve"> Female</t>
        </is>
      </c>
      <c r="L1949" t="inlineStr">
        <is>
          <t>No focal subject</t>
        </is>
      </c>
      <c r="M1949" t="n">
        <v>38.001</v>
      </c>
      <c r="N1949" t="inlineStr">
        <is>
          <t>Explore_F2</t>
        </is>
      </c>
      <c r="O1949" t="inlineStr">
        <is>
          <t>Second familiar</t>
        </is>
      </c>
      <c r="P1949" t="inlineStr">
        <is>
          <t>STATE</t>
        </is>
      </c>
      <c r="Q1949" t="n">
        <v>177.399</v>
      </c>
      <c r="R1949" t="n">
        <v>178.666</v>
      </c>
      <c r="S1949" t="n">
        <v>1.267</v>
      </c>
      <c r="T1949" t="inlineStr">
        <is>
          <t>C:/Users/manuel.felline/Documents/BEHAVIOR BTBR/NOR second cohort/WT/training/c59_f5.mp4</t>
        </is>
      </c>
      <c r="U1949" t="n">
        <v>5549</v>
      </c>
      <c r="V1949" t="n">
        <v>5587</v>
      </c>
      <c r="W1949" t="n">
        <v/>
      </c>
      <c r="X1949" t="n">
        <v/>
      </c>
      <c r="Y1949" t="n">
        <v/>
      </c>
      <c r="Z1949" t="n">
        <v/>
      </c>
      <c r="AA1949">
        <f>SUMIFS($S$2:S1949,$A$2:A1949,A1949,$N$2:N1949,"Explore*")</f>
        <v/>
      </c>
      <c r="AB1949">
        <f>IF(AND(LEFT(N1949,7)="Explore",(AA1949-IF(LEFT(N1949,7)="Explore",S1949,0))&lt;10),"SI","NO")</f>
        <v/>
      </c>
    </row>
    <row r="1950">
      <c r="A1950" t="inlineStr">
        <is>
          <t>c59f5_training</t>
        </is>
      </c>
      <c r="B1950" t="inlineStr">
        <is>
          <t>2026-07-07 15:08:49.950</t>
        </is>
      </c>
      <c r="C1950" t="n">
        <v/>
      </c>
      <c r="D1950" t="inlineStr">
        <is>
          <t>Media file</t>
        </is>
      </c>
      <c r="E1950" t="inlineStr">
        <is>
          <t>player #1:C:/Users/manuel.felline/Documents/BEHAVIOR BTBR/NOR second cohort/WT/training/c59_f5.mp4</t>
        </is>
      </c>
      <c r="F1950" t="n">
        <v>-7.567</v>
      </c>
      <c r="G1950" t="n">
        <v>554.7329999999999</v>
      </c>
      <c r="H1950" t="n">
        <v>649.199</v>
      </c>
      <c r="I1950" t="n">
        <v>30</v>
      </c>
      <c r="J1950" t="inlineStr">
        <is>
          <t xml:space="preserve"> WT</t>
        </is>
      </c>
      <c r="K1950" t="inlineStr">
        <is>
          <t xml:space="preserve"> Female</t>
        </is>
      </c>
      <c r="L1950" t="inlineStr">
        <is>
          <t>No focal subject</t>
        </is>
      </c>
      <c r="M1950" t="n">
        <v>38.001</v>
      </c>
      <c r="N1950" t="inlineStr">
        <is>
          <t>Explore_F2</t>
        </is>
      </c>
      <c r="O1950" t="inlineStr">
        <is>
          <t>Second familiar</t>
        </is>
      </c>
      <c r="P1950" t="inlineStr">
        <is>
          <t>STATE</t>
        </is>
      </c>
      <c r="Q1950" t="n">
        <v>179.299</v>
      </c>
      <c r="R1950" t="n">
        <v>179.866</v>
      </c>
      <c r="S1950" t="n">
        <v>0.5669999999999999</v>
      </c>
      <c r="T1950" t="inlineStr">
        <is>
          <t>C:/Users/manuel.felline/Documents/BEHAVIOR BTBR/NOR second cohort/WT/training/c59_f5.mp4</t>
        </is>
      </c>
      <c r="U1950" t="n">
        <v>5606</v>
      </c>
      <c r="V1950" t="n">
        <v>5623</v>
      </c>
      <c r="W1950" t="n">
        <v/>
      </c>
      <c r="X1950" t="n">
        <v/>
      </c>
      <c r="Y1950" t="n">
        <v/>
      </c>
      <c r="Z1950" t="n">
        <v/>
      </c>
      <c r="AA1950">
        <f>SUMIFS($S$2:S1950,$A$2:A1950,A1950,$N$2:N1950,"Explore*")</f>
        <v/>
      </c>
      <c r="AB1950">
        <f>IF(AND(LEFT(N1950,7)="Explore",(AA1950-IF(LEFT(N1950,7)="Explore",S1950,0))&lt;10),"SI","NO")</f>
        <v/>
      </c>
    </row>
    <row r="1951">
      <c r="A1951" t="inlineStr">
        <is>
          <t>c59f5_training</t>
        </is>
      </c>
      <c r="B1951" t="inlineStr">
        <is>
          <t>2026-07-07 15:08:49.950</t>
        </is>
      </c>
      <c r="C1951" t="n">
        <v/>
      </c>
      <c r="D1951" t="inlineStr">
        <is>
          <t>Media file</t>
        </is>
      </c>
      <c r="E1951" t="inlineStr">
        <is>
          <t>player #1:C:/Users/manuel.felline/Documents/BEHAVIOR BTBR/NOR second cohort/WT/training/c59_f5.mp4</t>
        </is>
      </c>
      <c r="F1951" t="n">
        <v>-7.567</v>
      </c>
      <c r="G1951" t="n">
        <v>554.7329999999999</v>
      </c>
      <c r="H1951" t="n">
        <v>649.199</v>
      </c>
      <c r="I1951" t="n">
        <v>30</v>
      </c>
      <c r="J1951" t="inlineStr">
        <is>
          <t xml:space="preserve"> WT</t>
        </is>
      </c>
      <c r="K1951" t="inlineStr">
        <is>
          <t xml:space="preserve"> Female</t>
        </is>
      </c>
      <c r="L1951" t="inlineStr">
        <is>
          <t>No focal subject</t>
        </is>
      </c>
      <c r="M1951" t="n">
        <v>38.001</v>
      </c>
      <c r="N1951" t="inlineStr">
        <is>
          <t>Explore_F</t>
        </is>
      </c>
      <c r="O1951" t="inlineStr">
        <is>
          <t>Familiar</t>
        </is>
      </c>
      <c r="P1951" t="inlineStr">
        <is>
          <t>STATE</t>
        </is>
      </c>
      <c r="Q1951" t="n">
        <v>192.466</v>
      </c>
      <c r="R1951" t="n">
        <v>194.433</v>
      </c>
      <c r="S1951" t="n">
        <v>1.967</v>
      </c>
      <c r="T1951" t="inlineStr">
        <is>
          <t>C:/Users/manuel.felline/Documents/BEHAVIOR BTBR/NOR second cohort/WT/training/c59_f5.mp4</t>
        </is>
      </c>
      <c r="U1951" t="n">
        <v>6001</v>
      </c>
      <c r="V1951" t="n">
        <v>6060</v>
      </c>
      <c r="W1951" t="n">
        <v/>
      </c>
      <c r="X1951" t="n">
        <v/>
      </c>
      <c r="Y1951" t="n">
        <v/>
      </c>
      <c r="Z1951" t="n">
        <v/>
      </c>
      <c r="AA1951">
        <f>SUMIFS($S$2:S1951,$A$2:A1951,A1951,$N$2:N1951,"Explore*")</f>
        <v/>
      </c>
      <c r="AB1951">
        <f>IF(AND(LEFT(N1951,7)="Explore",(AA1951-IF(LEFT(N1951,7)="Explore",S1951,0))&lt;10),"SI","NO")</f>
        <v/>
      </c>
    </row>
    <row r="1952">
      <c r="A1952" t="inlineStr">
        <is>
          <t>c59f5_training</t>
        </is>
      </c>
      <c r="B1952" t="inlineStr">
        <is>
          <t>2026-07-07 15:08:49.950</t>
        </is>
      </c>
      <c r="C1952" t="n">
        <v/>
      </c>
      <c r="D1952" t="inlineStr">
        <is>
          <t>Media file</t>
        </is>
      </c>
      <c r="E1952" t="inlineStr">
        <is>
          <t>player #1:C:/Users/manuel.felline/Documents/BEHAVIOR BTBR/NOR second cohort/WT/training/c59_f5.mp4</t>
        </is>
      </c>
      <c r="F1952" t="n">
        <v>-7.567</v>
      </c>
      <c r="G1952" t="n">
        <v>554.7329999999999</v>
      </c>
      <c r="H1952" t="n">
        <v>649.199</v>
      </c>
      <c r="I1952" t="n">
        <v>30</v>
      </c>
      <c r="J1952" t="inlineStr">
        <is>
          <t xml:space="preserve"> WT</t>
        </is>
      </c>
      <c r="K1952" t="inlineStr">
        <is>
          <t xml:space="preserve"> Female</t>
        </is>
      </c>
      <c r="L1952" t="inlineStr">
        <is>
          <t>No focal subject</t>
        </is>
      </c>
      <c r="M1952" t="n">
        <v>38.001</v>
      </c>
      <c r="N1952" t="inlineStr">
        <is>
          <t>Explore_F</t>
        </is>
      </c>
      <c r="O1952" t="inlineStr">
        <is>
          <t>Familiar</t>
        </is>
      </c>
      <c r="P1952" t="inlineStr">
        <is>
          <t>STATE</t>
        </is>
      </c>
      <c r="Q1952" t="n">
        <v>272.333</v>
      </c>
      <c r="R1952" t="n">
        <v>273.066</v>
      </c>
      <c r="S1952" t="n">
        <v>0.733</v>
      </c>
      <c r="T1952" t="inlineStr">
        <is>
          <t>C:/Users/manuel.felline/Documents/BEHAVIOR BTBR/NOR second cohort/WT/training/c59_f5.mp4</t>
        </is>
      </c>
      <c r="U1952" t="n">
        <v>8397</v>
      </c>
      <c r="V1952" t="n">
        <v>8419</v>
      </c>
      <c r="W1952" t="n">
        <v/>
      </c>
      <c r="X1952" t="n">
        <v/>
      </c>
      <c r="Y1952" t="n">
        <v/>
      </c>
      <c r="Z1952" t="n">
        <v/>
      </c>
      <c r="AA1952">
        <f>SUMIFS($S$2:S1952,$A$2:A1952,A1952,$N$2:N1952,"Explore*")</f>
        <v/>
      </c>
      <c r="AB1952">
        <f>IF(AND(LEFT(N1952,7)="Explore",(AA1952-IF(LEFT(N1952,7)="Explore",S1952,0))&lt;10),"SI","NO")</f>
        <v/>
      </c>
    </row>
    <row r="1953">
      <c r="A1953" t="inlineStr">
        <is>
          <t>c59f5_training</t>
        </is>
      </c>
      <c r="B1953" t="inlineStr">
        <is>
          <t>2026-07-07 15:08:49.950</t>
        </is>
      </c>
      <c r="C1953" t="n">
        <v/>
      </c>
      <c r="D1953" t="inlineStr">
        <is>
          <t>Media file</t>
        </is>
      </c>
      <c r="E1953" t="inlineStr">
        <is>
          <t>player #1:C:/Users/manuel.felline/Documents/BEHAVIOR BTBR/NOR second cohort/WT/training/c59_f5.mp4</t>
        </is>
      </c>
      <c r="F1953" t="n">
        <v>-7.567</v>
      </c>
      <c r="G1953" t="n">
        <v>554.7329999999999</v>
      </c>
      <c r="H1953" t="n">
        <v>649.199</v>
      </c>
      <c r="I1953" t="n">
        <v>30</v>
      </c>
      <c r="J1953" t="inlineStr">
        <is>
          <t xml:space="preserve"> WT</t>
        </is>
      </c>
      <c r="K1953" t="inlineStr">
        <is>
          <t xml:space="preserve"> Female</t>
        </is>
      </c>
      <c r="L1953" t="inlineStr">
        <is>
          <t>No focal subject</t>
        </is>
      </c>
      <c r="M1953" t="n">
        <v>38.001</v>
      </c>
      <c r="N1953" t="inlineStr">
        <is>
          <t>Explore_F</t>
        </is>
      </c>
      <c r="O1953" t="inlineStr">
        <is>
          <t>Familiar</t>
        </is>
      </c>
      <c r="P1953" t="inlineStr">
        <is>
          <t>STATE</t>
        </is>
      </c>
      <c r="Q1953" t="n">
        <v>274.999</v>
      </c>
      <c r="R1953" t="n">
        <v>277.033</v>
      </c>
      <c r="S1953" t="n">
        <v>2.034</v>
      </c>
      <c r="T1953" t="inlineStr">
        <is>
          <t>C:/Users/manuel.felline/Documents/BEHAVIOR BTBR/NOR second cohort/WT/training/c59_f5.mp4</t>
        </is>
      </c>
      <c r="U1953" t="n">
        <v>8477</v>
      </c>
      <c r="V1953" t="n">
        <v>8538</v>
      </c>
      <c r="W1953" t="n">
        <v/>
      </c>
      <c r="X1953" t="n">
        <v/>
      </c>
      <c r="Y1953" t="n">
        <v/>
      </c>
      <c r="Z1953" t="n">
        <v/>
      </c>
      <c r="AA1953">
        <f>SUMIFS($S$2:S1953,$A$2:A1953,A1953,$N$2:N1953,"Explore*")</f>
        <v/>
      </c>
      <c r="AB1953">
        <f>IF(AND(LEFT(N1953,7)="Explore",(AA1953-IF(LEFT(N1953,7)="Explore",S1953,0))&lt;10),"SI","NO")</f>
        <v/>
      </c>
    </row>
    <row r="1954">
      <c r="A1954" t="inlineStr">
        <is>
          <t>c59f5_training</t>
        </is>
      </c>
      <c r="B1954" t="inlineStr">
        <is>
          <t>2026-07-07 15:08:49.950</t>
        </is>
      </c>
      <c r="C1954" t="n">
        <v/>
      </c>
      <c r="D1954" t="inlineStr">
        <is>
          <t>Media file</t>
        </is>
      </c>
      <c r="E1954" t="inlineStr">
        <is>
          <t>player #1:C:/Users/manuel.felline/Documents/BEHAVIOR BTBR/NOR second cohort/WT/training/c59_f5.mp4</t>
        </is>
      </c>
      <c r="F1954" t="n">
        <v>-7.567</v>
      </c>
      <c r="G1954" t="n">
        <v>554.7329999999999</v>
      </c>
      <c r="H1954" t="n">
        <v>649.199</v>
      </c>
      <c r="I1954" t="n">
        <v>30</v>
      </c>
      <c r="J1954" t="inlineStr">
        <is>
          <t xml:space="preserve"> WT</t>
        </is>
      </c>
      <c r="K1954" t="inlineStr">
        <is>
          <t xml:space="preserve"> Female</t>
        </is>
      </c>
      <c r="L1954" t="inlineStr">
        <is>
          <t>No focal subject</t>
        </is>
      </c>
      <c r="M1954" t="n">
        <v>38.001</v>
      </c>
      <c r="N1954" t="inlineStr">
        <is>
          <t>Explore_F</t>
        </is>
      </c>
      <c r="O1954" t="inlineStr">
        <is>
          <t>Familiar</t>
        </is>
      </c>
      <c r="P1954" t="inlineStr">
        <is>
          <t>STATE</t>
        </is>
      </c>
      <c r="Q1954" t="n">
        <v>280.233</v>
      </c>
      <c r="R1954" t="n">
        <v>281.766</v>
      </c>
      <c r="S1954" t="n">
        <v>1.533</v>
      </c>
      <c r="T1954" t="inlineStr">
        <is>
          <t>C:/Users/manuel.felline/Documents/BEHAVIOR BTBR/NOR second cohort/WT/training/c59_f5.mp4</t>
        </is>
      </c>
      <c r="U1954" t="n">
        <v>8634</v>
      </c>
      <c r="V1954" t="n">
        <v>8680</v>
      </c>
      <c r="W1954" t="n">
        <v/>
      </c>
      <c r="X1954" t="n">
        <v/>
      </c>
      <c r="Y1954" t="n">
        <v/>
      </c>
      <c r="Z1954" t="n">
        <v/>
      </c>
      <c r="AA1954">
        <f>SUMIFS($S$2:S1954,$A$2:A1954,A1954,$N$2:N1954,"Explore*")</f>
        <v/>
      </c>
      <c r="AB1954">
        <f>IF(AND(LEFT(N1954,7)="Explore",(AA1954-IF(LEFT(N1954,7)="Explore",S1954,0))&lt;10),"SI","NO")</f>
        <v/>
      </c>
    </row>
    <row r="1955">
      <c r="A1955" t="inlineStr">
        <is>
          <t>c59f5_training</t>
        </is>
      </c>
      <c r="B1955" t="inlineStr">
        <is>
          <t>2026-07-07 15:08:49.950</t>
        </is>
      </c>
      <c r="C1955" t="n">
        <v/>
      </c>
      <c r="D1955" t="inlineStr">
        <is>
          <t>Media file</t>
        </is>
      </c>
      <c r="E1955" t="inlineStr">
        <is>
          <t>player #1:C:/Users/manuel.felline/Documents/BEHAVIOR BTBR/NOR second cohort/WT/training/c59_f5.mp4</t>
        </is>
      </c>
      <c r="F1955" t="n">
        <v>-7.567</v>
      </c>
      <c r="G1955" t="n">
        <v>554.7329999999999</v>
      </c>
      <c r="H1955" t="n">
        <v>649.199</v>
      </c>
      <c r="I1955" t="n">
        <v>30</v>
      </c>
      <c r="J1955" t="inlineStr">
        <is>
          <t xml:space="preserve"> WT</t>
        </is>
      </c>
      <c r="K1955" t="inlineStr">
        <is>
          <t xml:space="preserve"> Female</t>
        </is>
      </c>
      <c r="L1955" t="inlineStr">
        <is>
          <t>No focal subject</t>
        </is>
      </c>
      <c r="M1955" t="n">
        <v>38.001</v>
      </c>
      <c r="N1955" t="inlineStr">
        <is>
          <t>Explore_F2</t>
        </is>
      </c>
      <c r="O1955" t="inlineStr">
        <is>
          <t>Second familiar</t>
        </is>
      </c>
      <c r="P1955" t="inlineStr">
        <is>
          <t>STATE</t>
        </is>
      </c>
      <c r="Q1955" t="n">
        <v>306.066</v>
      </c>
      <c r="R1955" t="n">
        <v>306.666</v>
      </c>
      <c r="S1955" t="n">
        <v>0.6</v>
      </c>
      <c r="T1955" t="inlineStr">
        <is>
          <t>C:/Users/manuel.felline/Documents/BEHAVIOR BTBR/NOR second cohort/WT/training/c59_f5.mp4</t>
        </is>
      </c>
      <c r="U1955" t="n">
        <v>9409</v>
      </c>
      <c r="V1955" t="n">
        <v>9427</v>
      </c>
      <c r="W1955" t="n">
        <v/>
      </c>
      <c r="X1955" t="n">
        <v/>
      </c>
      <c r="Y1955" t="n">
        <v/>
      </c>
      <c r="Z1955" t="n">
        <v/>
      </c>
      <c r="AA1955">
        <f>SUMIFS($S$2:S1955,$A$2:A1955,A1955,$N$2:N1955,"Explore*")</f>
        <v/>
      </c>
      <c r="AB1955">
        <f>IF(AND(LEFT(N1955,7)="Explore",(AA1955-IF(LEFT(N1955,7)="Explore",S1955,0))&lt;10),"SI","NO")</f>
        <v/>
      </c>
    </row>
    <row r="1956">
      <c r="A1956" t="inlineStr">
        <is>
          <t>c59f5_training</t>
        </is>
      </c>
      <c r="B1956" t="inlineStr">
        <is>
          <t>2026-07-07 15:08:49.950</t>
        </is>
      </c>
      <c r="C1956" t="n">
        <v/>
      </c>
      <c r="D1956" t="inlineStr">
        <is>
          <t>Media file</t>
        </is>
      </c>
      <c r="E1956" t="inlineStr">
        <is>
          <t>player #1:C:/Users/manuel.felline/Documents/BEHAVIOR BTBR/NOR second cohort/WT/training/c59_f5.mp4</t>
        </is>
      </c>
      <c r="F1956" t="n">
        <v>-7.567</v>
      </c>
      <c r="G1956" t="n">
        <v>554.7329999999999</v>
      </c>
      <c r="H1956" t="n">
        <v>649.199</v>
      </c>
      <c r="I1956" t="n">
        <v>30</v>
      </c>
      <c r="J1956" t="inlineStr">
        <is>
          <t xml:space="preserve"> WT</t>
        </is>
      </c>
      <c r="K1956" t="inlineStr">
        <is>
          <t xml:space="preserve"> Female</t>
        </is>
      </c>
      <c r="L1956" t="inlineStr">
        <is>
          <t>No focal subject</t>
        </is>
      </c>
      <c r="M1956" t="n">
        <v>38.001</v>
      </c>
      <c r="N1956" t="inlineStr">
        <is>
          <t>Explore_F</t>
        </is>
      </c>
      <c r="O1956" t="inlineStr">
        <is>
          <t>Familiar</t>
        </is>
      </c>
      <c r="P1956" t="inlineStr">
        <is>
          <t>STATE</t>
        </is>
      </c>
      <c r="Q1956" t="n">
        <v>321.333</v>
      </c>
      <c r="R1956" t="n">
        <v>322.966</v>
      </c>
      <c r="S1956" t="n">
        <v>1.633</v>
      </c>
      <c r="T1956" t="inlineStr">
        <is>
          <t>C:/Users/manuel.felline/Documents/BEHAVIOR BTBR/NOR second cohort/WT/training/c59_f5.mp4</t>
        </is>
      </c>
      <c r="U1956" t="n">
        <v>9867</v>
      </c>
      <c r="V1956" t="n">
        <v>9915</v>
      </c>
      <c r="W1956" t="n">
        <v/>
      </c>
      <c r="X1956" t="n">
        <v/>
      </c>
      <c r="Y1956" t="n">
        <v/>
      </c>
      <c r="Z1956" t="n">
        <v/>
      </c>
      <c r="AA1956">
        <f>SUMIFS($S$2:S1956,$A$2:A1956,A1956,$N$2:N1956,"Explore*")</f>
        <v/>
      </c>
      <c r="AB1956">
        <f>IF(AND(LEFT(N1956,7)="Explore",(AA1956-IF(LEFT(N1956,7)="Explore",S1956,0))&lt;10),"SI","NO")</f>
        <v/>
      </c>
    </row>
    <row r="1957">
      <c r="A1957" t="inlineStr">
        <is>
          <t>c59f5_training</t>
        </is>
      </c>
      <c r="B1957" t="inlineStr">
        <is>
          <t>2026-07-07 15:08:49.950</t>
        </is>
      </c>
      <c r="C1957" t="n">
        <v/>
      </c>
      <c r="D1957" t="inlineStr">
        <is>
          <t>Media file</t>
        </is>
      </c>
      <c r="E1957" t="inlineStr">
        <is>
          <t>player #1:C:/Users/manuel.felline/Documents/BEHAVIOR BTBR/NOR second cohort/WT/training/c59_f5.mp4</t>
        </is>
      </c>
      <c r="F1957" t="n">
        <v>-7.567</v>
      </c>
      <c r="G1957" t="n">
        <v>554.7329999999999</v>
      </c>
      <c r="H1957" t="n">
        <v>649.199</v>
      </c>
      <c r="I1957" t="n">
        <v>30</v>
      </c>
      <c r="J1957" t="inlineStr">
        <is>
          <t xml:space="preserve"> WT</t>
        </is>
      </c>
      <c r="K1957" t="inlineStr">
        <is>
          <t xml:space="preserve"> Female</t>
        </is>
      </c>
      <c r="L1957" t="inlineStr">
        <is>
          <t>No focal subject</t>
        </is>
      </c>
      <c r="M1957" t="n">
        <v>38.001</v>
      </c>
      <c r="N1957" t="inlineStr">
        <is>
          <t>Explore_F</t>
        </is>
      </c>
      <c r="O1957" t="inlineStr">
        <is>
          <t>Familiar</t>
        </is>
      </c>
      <c r="P1957" t="inlineStr">
        <is>
          <t>STATE</t>
        </is>
      </c>
      <c r="Q1957" t="n">
        <v>332.433</v>
      </c>
      <c r="R1957" t="n">
        <v>334.266</v>
      </c>
      <c r="S1957" t="n">
        <v>1.833</v>
      </c>
      <c r="T1957" t="inlineStr">
        <is>
          <t>C:/Users/manuel.felline/Documents/BEHAVIOR BTBR/NOR second cohort/WT/training/c59_f5.mp4</t>
        </is>
      </c>
      <c r="U1957" t="n">
        <v>10199</v>
      </c>
      <c r="V1957" t="n">
        <v>10254</v>
      </c>
      <c r="W1957" t="n">
        <v/>
      </c>
      <c r="X1957" t="n">
        <v/>
      </c>
      <c r="Y1957" t="n">
        <v/>
      </c>
      <c r="Z1957" t="n">
        <v/>
      </c>
      <c r="AA1957">
        <f>SUMIFS($S$2:S1957,$A$2:A1957,A1957,$N$2:N1957,"Explore*")</f>
        <v/>
      </c>
      <c r="AB1957">
        <f>IF(AND(LEFT(N1957,7)="Explore",(AA1957-IF(LEFT(N1957,7)="Explore",S1957,0))&lt;10),"SI","NO")</f>
        <v/>
      </c>
    </row>
    <row r="1958">
      <c r="A1958" t="inlineStr">
        <is>
          <t>c59f5_training</t>
        </is>
      </c>
      <c r="B1958" t="inlineStr">
        <is>
          <t>2026-07-07 15:08:49.950</t>
        </is>
      </c>
      <c r="C1958" t="n">
        <v/>
      </c>
      <c r="D1958" t="inlineStr">
        <is>
          <t>Media file</t>
        </is>
      </c>
      <c r="E1958" t="inlineStr">
        <is>
          <t>player #1:C:/Users/manuel.felline/Documents/BEHAVIOR BTBR/NOR second cohort/WT/training/c59_f5.mp4</t>
        </is>
      </c>
      <c r="F1958" t="n">
        <v>-7.567</v>
      </c>
      <c r="G1958" t="n">
        <v>554.7329999999999</v>
      </c>
      <c r="H1958" t="n">
        <v>649.199</v>
      </c>
      <c r="I1958" t="n">
        <v>30</v>
      </c>
      <c r="J1958" t="inlineStr">
        <is>
          <t xml:space="preserve"> WT</t>
        </is>
      </c>
      <c r="K1958" t="inlineStr">
        <is>
          <t xml:space="preserve"> Female</t>
        </is>
      </c>
      <c r="L1958" t="inlineStr">
        <is>
          <t>No focal subject</t>
        </is>
      </c>
      <c r="M1958" t="n">
        <v>38.001</v>
      </c>
      <c r="N1958" t="inlineStr">
        <is>
          <t>Explore_F</t>
        </is>
      </c>
      <c r="O1958" t="inlineStr">
        <is>
          <t>Familiar</t>
        </is>
      </c>
      <c r="P1958" t="inlineStr">
        <is>
          <t>STATE</t>
        </is>
      </c>
      <c r="Q1958" t="n">
        <v>339.933</v>
      </c>
      <c r="R1958" t="n">
        <v>340.666</v>
      </c>
      <c r="S1958" t="n">
        <v>0.733</v>
      </c>
      <c r="T1958" t="inlineStr">
        <is>
          <t>C:/Users/manuel.felline/Documents/BEHAVIOR BTBR/NOR second cohort/WT/training/c59_f5.mp4</t>
        </is>
      </c>
      <c r="U1958" t="n">
        <v>10424</v>
      </c>
      <c r="V1958" t="n">
        <v>10446</v>
      </c>
      <c r="W1958" t="n">
        <v/>
      </c>
      <c r="X1958" t="n">
        <v/>
      </c>
      <c r="Y1958" t="n">
        <v/>
      </c>
      <c r="Z1958" t="n">
        <v/>
      </c>
      <c r="AA1958">
        <f>SUMIFS($S$2:S1958,$A$2:A1958,A1958,$N$2:N1958,"Explore*")</f>
        <v/>
      </c>
      <c r="AB1958">
        <f>IF(AND(LEFT(N1958,7)="Explore",(AA1958-IF(LEFT(N1958,7)="Explore",S1958,0))&lt;10),"SI","NO")</f>
        <v/>
      </c>
    </row>
    <row r="1959">
      <c r="A1959" t="inlineStr">
        <is>
          <t>c59f5_training</t>
        </is>
      </c>
      <c r="B1959" t="inlineStr">
        <is>
          <t>2026-07-07 15:08:49.950</t>
        </is>
      </c>
      <c r="C1959" t="n">
        <v/>
      </c>
      <c r="D1959" t="inlineStr">
        <is>
          <t>Media file</t>
        </is>
      </c>
      <c r="E1959" t="inlineStr">
        <is>
          <t>player #1:C:/Users/manuel.felline/Documents/BEHAVIOR BTBR/NOR second cohort/WT/training/c59_f5.mp4</t>
        </is>
      </c>
      <c r="F1959" t="n">
        <v>-7.567</v>
      </c>
      <c r="G1959" t="n">
        <v>554.7329999999999</v>
      </c>
      <c r="H1959" t="n">
        <v>649.199</v>
      </c>
      <c r="I1959" t="n">
        <v>30</v>
      </c>
      <c r="J1959" t="inlineStr">
        <is>
          <t xml:space="preserve"> WT</t>
        </is>
      </c>
      <c r="K1959" t="inlineStr">
        <is>
          <t xml:space="preserve"> Female</t>
        </is>
      </c>
      <c r="L1959" t="inlineStr">
        <is>
          <t>No focal subject</t>
        </is>
      </c>
      <c r="M1959" t="n">
        <v>38.001</v>
      </c>
      <c r="N1959" t="inlineStr">
        <is>
          <t>Explore_F</t>
        </is>
      </c>
      <c r="O1959" t="inlineStr">
        <is>
          <t>Familiar</t>
        </is>
      </c>
      <c r="P1959" t="inlineStr">
        <is>
          <t>STATE</t>
        </is>
      </c>
      <c r="Q1959" t="n">
        <v>432.533</v>
      </c>
      <c r="R1959" t="n">
        <v>432.999</v>
      </c>
      <c r="S1959" t="n">
        <v>0.466</v>
      </c>
      <c r="T1959" t="inlineStr">
        <is>
          <t>C:/Users/manuel.felline/Documents/BEHAVIOR BTBR/NOR second cohort/WT/training/c59_f5.mp4</t>
        </is>
      </c>
      <c r="U1959" t="n">
        <v>13202</v>
      </c>
      <c r="V1959" t="n">
        <v>13216</v>
      </c>
      <c r="W1959" t="n">
        <v/>
      </c>
      <c r="X1959" t="n">
        <v/>
      </c>
      <c r="Y1959" t="n">
        <v/>
      </c>
      <c r="Z1959" t="n">
        <v/>
      </c>
      <c r="AA1959">
        <f>SUMIFS($S$2:S1959,$A$2:A1959,A1959,$N$2:N1959,"Explore*")</f>
        <v/>
      </c>
      <c r="AB1959">
        <f>IF(AND(LEFT(N1959,7)="Explore",(AA1959-IF(LEFT(N1959,7)="Explore",S1959,0))&lt;10),"SI","NO")</f>
        <v/>
      </c>
    </row>
    <row r="1960">
      <c r="A1960" t="inlineStr">
        <is>
          <t>c59f5_training</t>
        </is>
      </c>
      <c r="B1960" t="inlineStr">
        <is>
          <t>2026-07-07 15:08:49.950</t>
        </is>
      </c>
      <c r="C1960" t="n">
        <v/>
      </c>
      <c r="D1960" t="inlineStr">
        <is>
          <t>Media file</t>
        </is>
      </c>
      <c r="E1960" t="inlineStr">
        <is>
          <t>player #1:C:/Users/manuel.felline/Documents/BEHAVIOR BTBR/NOR second cohort/WT/training/c59_f5.mp4</t>
        </is>
      </c>
      <c r="F1960" t="n">
        <v>-7.567</v>
      </c>
      <c r="G1960" t="n">
        <v>554.7329999999999</v>
      </c>
      <c r="H1960" t="n">
        <v>649.199</v>
      </c>
      <c r="I1960" t="n">
        <v>30</v>
      </c>
      <c r="J1960" t="inlineStr">
        <is>
          <t xml:space="preserve"> WT</t>
        </is>
      </c>
      <c r="K1960" t="inlineStr">
        <is>
          <t xml:space="preserve"> Female</t>
        </is>
      </c>
      <c r="L1960" t="inlineStr">
        <is>
          <t>No focal subject</t>
        </is>
      </c>
      <c r="M1960" t="n">
        <v>38.001</v>
      </c>
      <c r="N1960" t="inlineStr">
        <is>
          <t>Explore_F</t>
        </is>
      </c>
      <c r="O1960" t="inlineStr">
        <is>
          <t>Familiar</t>
        </is>
      </c>
      <c r="P1960" t="inlineStr">
        <is>
          <t>STATE</t>
        </is>
      </c>
      <c r="Q1960" t="n">
        <v>436.533</v>
      </c>
      <c r="R1960" t="n">
        <v>439.766</v>
      </c>
      <c r="S1960" t="n">
        <v>3.233</v>
      </c>
      <c r="T1960" t="inlineStr">
        <is>
          <t>C:/Users/manuel.felline/Documents/BEHAVIOR BTBR/NOR second cohort/WT/training/c59_f5.mp4</t>
        </is>
      </c>
      <c r="U1960" t="n">
        <v>13322</v>
      </c>
      <c r="V1960" t="n">
        <v>13419</v>
      </c>
      <c r="W1960" t="n">
        <v/>
      </c>
      <c r="X1960" t="n">
        <v/>
      </c>
      <c r="Y1960" t="n">
        <v/>
      </c>
      <c r="Z1960" t="n">
        <v/>
      </c>
      <c r="AA1960">
        <f>SUMIFS($S$2:S1960,$A$2:A1960,A1960,$N$2:N1960,"Explore*")</f>
        <v/>
      </c>
      <c r="AB1960">
        <f>IF(AND(LEFT(N1960,7)="Explore",(AA1960-IF(LEFT(N1960,7)="Explore",S1960,0))&lt;10),"SI","NO")</f>
        <v/>
      </c>
    </row>
    <row r="1961">
      <c r="A1961" t="inlineStr">
        <is>
          <t>c59f5_training</t>
        </is>
      </c>
      <c r="B1961" t="inlineStr">
        <is>
          <t>2026-07-07 15:08:49.950</t>
        </is>
      </c>
      <c r="C1961" t="n">
        <v/>
      </c>
      <c r="D1961" t="inlineStr">
        <is>
          <t>Media file</t>
        </is>
      </c>
      <c r="E1961" t="inlineStr">
        <is>
          <t>player #1:C:/Users/manuel.felline/Documents/BEHAVIOR BTBR/NOR second cohort/WT/training/c59_f5.mp4</t>
        </is>
      </c>
      <c r="F1961" t="n">
        <v>-7.567</v>
      </c>
      <c r="G1961" t="n">
        <v>554.7329999999999</v>
      </c>
      <c r="H1961" t="n">
        <v>649.199</v>
      </c>
      <c r="I1961" t="n">
        <v>30</v>
      </c>
      <c r="J1961" t="inlineStr">
        <is>
          <t xml:space="preserve"> WT</t>
        </is>
      </c>
      <c r="K1961" t="inlineStr">
        <is>
          <t xml:space="preserve"> Female</t>
        </is>
      </c>
      <c r="L1961" t="inlineStr">
        <is>
          <t>No focal subject</t>
        </is>
      </c>
      <c r="M1961" t="n">
        <v>38.001</v>
      </c>
      <c r="N1961" t="inlineStr">
        <is>
          <t>Explore_F</t>
        </is>
      </c>
      <c r="O1961" t="inlineStr">
        <is>
          <t>Familiar</t>
        </is>
      </c>
      <c r="P1961" t="inlineStr">
        <is>
          <t>STATE</t>
        </is>
      </c>
      <c r="Q1961" t="n">
        <v>441.999</v>
      </c>
      <c r="R1961" t="n">
        <v>443.199</v>
      </c>
      <c r="S1961" t="n">
        <v>1.2</v>
      </c>
      <c r="T1961" t="inlineStr">
        <is>
          <t>C:/Users/manuel.felline/Documents/BEHAVIOR BTBR/NOR second cohort/WT/training/c59_f5.mp4</t>
        </is>
      </c>
      <c r="U1961" t="n">
        <v>13486</v>
      </c>
      <c r="V1961" t="n">
        <v>13522</v>
      </c>
      <c r="W1961" t="n">
        <v/>
      </c>
      <c r="X1961" t="n">
        <v/>
      </c>
      <c r="Y1961" t="n">
        <v/>
      </c>
      <c r="Z1961" t="n">
        <v/>
      </c>
      <c r="AA1961">
        <f>SUMIFS($S$2:S1961,$A$2:A1961,A1961,$N$2:N1961,"Explore*")</f>
        <v/>
      </c>
      <c r="AB1961">
        <f>IF(AND(LEFT(N1961,7)="Explore",(AA1961-IF(LEFT(N1961,7)="Explore",S1961,0))&lt;10),"SI","NO")</f>
        <v/>
      </c>
    </row>
    <row r="1962">
      <c r="A1962" t="inlineStr">
        <is>
          <t>c59f5_training</t>
        </is>
      </c>
      <c r="B1962" t="inlineStr">
        <is>
          <t>2026-07-07 15:08:49.950</t>
        </is>
      </c>
      <c r="C1962" t="n">
        <v/>
      </c>
      <c r="D1962" t="inlineStr">
        <is>
          <t>Media file</t>
        </is>
      </c>
      <c r="E1962" t="inlineStr">
        <is>
          <t>player #1:C:/Users/manuel.felline/Documents/BEHAVIOR BTBR/NOR second cohort/WT/training/c59_f5.mp4</t>
        </is>
      </c>
      <c r="F1962" t="n">
        <v>-7.567</v>
      </c>
      <c r="G1962" t="n">
        <v>554.7329999999999</v>
      </c>
      <c r="H1962" t="n">
        <v>649.199</v>
      </c>
      <c r="I1962" t="n">
        <v>30</v>
      </c>
      <c r="J1962" t="inlineStr">
        <is>
          <t xml:space="preserve"> WT</t>
        </is>
      </c>
      <c r="K1962" t="inlineStr">
        <is>
          <t xml:space="preserve"> Female</t>
        </is>
      </c>
      <c r="L1962" t="inlineStr">
        <is>
          <t>No focal subject</t>
        </is>
      </c>
      <c r="M1962" t="n">
        <v>38.001</v>
      </c>
      <c r="N1962" t="inlineStr">
        <is>
          <t>Explore_F2</t>
        </is>
      </c>
      <c r="O1962" t="inlineStr">
        <is>
          <t>Second familiar</t>
        </is>
      </c>
      <c r="P1962" t="inlineStr">
        <is>
          <t>STATE</t>
        </is>
      </c>
      <c r="Q1962" t="n">
        <v>466.699</v>
      </c>
      <c r="R1962" t="n">
        <v>467.366</v>
      </c>
      <c r="S1962" t="n">
        <v>0.667</v>
      </c>
      <c r="T1962" t="inlineStr">
        <is>
          <t>C:/Users/manuel.felline/Documents/BEHAVIOR BTBR/NOR second cohort/WT/training/c59_f5.mp4</t>
        </is>
      </c>
      <c r="U1962" t="n">
        <v>14227</v>
      </c>
      <c r="V1962" t="n">
        <v>14247</v>
      </c>
      <c r="W1962" t="n">
        <v/>
      </c>
      <c r="X1962" t="n">
        <v/>
      </c>
      <c r="Y1962" t="n">
        <v/>
      </c>
      <c r="Z1962" t="n">
        <v/>
      </c>
      <c r="AA1962">
        <f>SUMIFS($S$2:S1962,$A$2:A1962,A1962,$N$2:N1962,"Explore*")</f>
        <v/>
      </c>
      <c r="AB1962">
        <f>IF(AND(LEFT(N1962,7)="Explore",(AA1962-IF(LEFT(N1962,7)="Explore",S1962,0))&lt;10),"SI","NO")</f>
        <v/>
      </c>
    </row>
    <row r="1963">
      <c r="A1963" t="inlineStr">
        <is>
          <t>c59f5_training</t>
        </is>
      </c>
      <c r="B1963" t="inlineStr">
        <is>
          <t>2026-07-07 15:08:49.950</t>
        </is>
      </c>
      <c r="C1963" t="n">
        <v/>
      </c>
      <c r="D1963" t="inlineStr">
        <is>
          <t>Media file</t>
        </is>
      </c>
      <c r="E1963" t="inlineStr">
        <is>
          <t>player #1:C:/Users/manuel.felline/Documents/BEHAVIOR BTBR/NOR second cohort/WT/training/c59_f5.mp4</t>
        </is>
      </c>
      <c r="F1963" t="n">
        <v>-7.567</v>
      </c>
      <c r="G1963" t="n">
        <v>554.7329999999999</v>
      </c>
      <c r="H1963" t="n">
        <v>649.199</v>
      </c>
      <c r="I1963" t="n">
        <v>30</v>
      </c>
      <c r="J1963" t="inlineStr">
        <is>
          <t xml:space="preserve"> WT</t>
        </is>
      </c>
      <c r="K1963" t="inlineStr">
        <is>
          <t xml:space="preserve"> Female</t>
        </is>
      </c>
      <c r="L1963" t="inlineStr">
        <is>
          <t>No focal subject</t>
        </is>
      </c>
      <c r="M1963" t="n">
        <v>38.001</v>
      </c>
      <c r="N1963" t="inlineStr">
        <is>
          <t>Explore_F</t>
        </is>
      </c>
      <c r="O1963" t="inlineStr">
        <is>
          <t>Familiar</t>
        </is>
      </c>
      <c r="P1963" t="inlineStr">
        <is>
          <t>STATE</t>
        </is>
      </c>
      <c r="Q1963" t="n">
        <v>496.599</v>
      </c>
      <c r="R1963" t="n">
        <v>497.466</v>
      </c>
      <c r="S1963" t="n">
        <v>0.867</v>
      </c>
      <c r="T1963" t="inlineStr">
        <is>
          <t>C:/Users/manuel.felline/Documents/BEHAVIOR BTBR/NOR second cohort/WT/training/c59_f5.mp4</t>
        </is>
      </c>
      <c r="U1963" t="n">
        <v>15124</v>
      </c>
      <c r="V1963" t="n">
        <v>15150</v>
      </c>
      <c r="W1963" t="n">
        <v/>
      </c>
      <c r="X1963" t="n">
        <v/>
      </c>
      <c r="Y1963" t="n">
        <v/>
      </c>
      <c r="Z1963" t="n">
        <v/>
      </c>
      <c r="AA1963">
        <f>SUMIFS($S$2:S1963,$A$2:A1963,A1963,$N$2:N1963,"Explore*")</f>
        <v/>
      </c>
      <c r="AB1963">
        <f>IF(AND(LEFT(N1963,7)="Explore",(AA1963-IF(LEFT(N1963,7)="Explore",S1963,0))&lt;10),"SI","NO")</f>
        <v/>
      </c>
    </row>
    <row r="1964">
      <c r="A1964" t="inlineStr">
        <is>
          <t>c59f5_training</t>
        </is>
      </c>
      <c r="B1964" t="inlineStr">
        <is>
          <t>2026-07-07 15:08:49.950</t>
        </is>
      </c>
      <c r="C1964" t="n">
        <v/>
      </c>
      <c r="D1964" t="inlineStr">
        <is>
          <t>Media file</t>
        </is>
      </c>
      <c r="E1964" t="inlineStr">
        <is>
          <t>player #1:C:/Users/manuel.felline/Documents/BEHAVIOR BTBR/NOR second cohort/WT/training/c59_f5.mp4</t>
        </is>
      </c>
      <c r="F1964" t="n">
        <v>-7.567</v>
      </c>
      <c r="G1964" t="n">
        <v>554.7329999999999</v>
      </c>
      <c r="H1964" t="n">
        <v>649.199</v>
      </c>
      <c r="I1964" t="n">
        <v>30</v>
      </c>
      <c r="J1964" t="inlineStr">
        <is>
          <t xml:space="preserve"> WT</t>
        </is>
      </c>
      <c r="K1964" t="inlineStr">
        <is>
          <t xml:space="preserve"> Female</t>
        </is>
      </c>
      <c r="L1964" t="inlineStr">
        <is>
          <t>No focal subject</t>
        </is>
      </c>
      <c r="M1964" t="n">
        <v>38.001</v>
      </c>
      <c r="N1964" t="inlineStr">
        <is>
          <t>Explore_F</t>
        </is>
      </c>
      <c r="O1964" t="inlineStr">
        <is>
          <t>Familiar</t>
        </is>
      </c>
      <c r="P1964" t="inlineStr">
        <is>
          <t>STATE</t>
        </is>
      </c>
      <c r="Q1964" t="n">
        <v>498.499</v>
      </c>
      <c r="R1964" t="n">
        <v>500.899</v>
      </c>
      <c r="S1964" t="n">
        <v>2.4</v>
      </c>
      <c r="T1964" t="inlineStr">
        <is>
          <t>C:/Users/manuel.felline/Documents/BEHAVIOR BTBR/NOR second cohort/WT/training/c59_f5.mp4</t>
        </is>
      </c>
      <c r="U1964" t="n">
        <v>15181</v>
      </c>
      <c r="V1964" t="n">
        <v>15253</v>
      </c>
      <c r="W1964" t="n">
        <v/>
      </c>
      <c r="X1964" t="n">
        <v/>
      </c>
      <c r="Y1964" t="n">
        <v/>
      </c>
      <c r="Z1964" t="n">
        <v/>
      </c>
      <c r="AA1964">
        <f>SUMIFS($S$2:S1964,$A$2:A1964,A1964,$N$2:N1964,"Explore*")</f>
        <v/>
      </c>
      <c r="AB1964">
        <f>IF(AND(LEFT(N1964,7)="Explore",(AA1964-IF(LEFT(N1964,7)="Explore",S1964,0))&lt;10),"SI","NO")</f>
        <v/>
      </c>
    </row>
    <row r="1965">
      <c r="A1965" t="inlineStr">
        <is>
          <t>c59f5_training</t>
        </is>
      </c>
      <c r="B1965" t="inlineStr">
        <is>
          <t>2026-07-07 15:08:49.950</t>
        </is>
      </c>
      <c r="C1965" t="n">
        <v/>
      </c>
      <c r="D1965" t="inlineStr">
        <is>
          <t>Media file</t>
        </is>
      </c>
      <c r="E1965" t="inlineStr">
        <is>
          <t>player #1:C:/Users/manuel.felline/Documents/BEHAVIOR BTBR/NOR second cohort/WT/training/c59_f5.mp4</t>
        </is>
      </c>
      <c r="F1965" t="n">
        <v>-7.567</v>
      </c>
      <c r="G1965" t="n">
        <v>554.7329999999999</v>
      </c>
      <c r="H1965" t="n">
        <v>649.199</v>
      </c>
      <c r="I1965" t="n">
        <v>30</v>
      </c>
      <c r="J1965" t="inlineStr">
        <is>
          <t xml:space="preserve"> WT</t>
        </is>
      </c>
      <c r="K1965" t="inlineStr">
        <is>
          <t xml:space="preserve"> Female</t>
        </is>
      </c>
      <c r="L1965" t="inlineStr">
        <is>
          <t>No focal subject</t>
        </is>
      </c>
      <c r="M1965" t="n">
        <v>38.001</v>
      </c>
      <c r="N1965" t="inlineStr">
        <is>
          <t>Explore_F</t>
        </is>
      </c>
      <c r="O1965" t="inlineStr">
        <is>
          <t>Familiar</t>
        </is>
      </c>
      <c r="P1965" t="inlineStr">
        <is>
          <t>STATE</t>
        </is>
      </c>
      <c r="Q1965" t="n">
        <v>504.432</v>
      </c>
      <c r="R1965" t="n">
        <v>504.699</v>
      </c>
      <c r="S1965" t="n">
        <v>0.267</v>
      </c>
      <c r="T1965" t="inlineStr">
        <is>
          <t>C:/Users/manuel.felline/Documents/BEHAVIOR BTBR/NOR second cohort/WT/training/c59_f5.mp4</t>
        </is>
      </c>
      <c r="U1965" t="n">
        <v>15359</v>
      </c>
      <c r="V1965" t="n">
        <v>15367</v>
      </c>
      <c r="W1965" t="n">
        <v/>
      </c>
      <c r="X1965" t="n">
        <v/>
      </c>
      <c r="Y1965" t="n">
        <v/>
      </c>
      <c r="Z1965" t="n">
        <v/>
      </c>
      <c r="AA1965">
        <f>SUMIFS($S$2:S1965,$A$2:A1965,A1965,$N$2:N1965,"Explore*")</f>
        <v/>
      </c>
      <c r="AB1965">
        <f>IF(AND(LEFT(N1965,7)="Explore",(AA1965-IF(LEFT(N1965,7)="Explore",S1965,0))&lt;10),"SI","NO")</f>
        <v/>
      </c>
    </row>
    <row r="1966">
      <c r="A1966" t="inlineStr">
        <is>
          <t>c59f5_training</t>
        </is>
      </c>
      <c r="B1966" t="inlineStr">
        <is>
          <t>2026-07-07 15:08:49.950</t>
        </is>
      </c>
      <c r="C1966" t="n">
        <v/>
      </c>
      <c r="D1966" t="inlineStr">
        <is>
          <t>Media file</t>
        </is>
      </c>
      <c r="E1966" t="inlineStr">
        <is>
          <t>player #1:C:/Users/manuel.felline/Documents/BEHAVIOR BTBR/NOR second cohort/WT/training/c59_f5.mp4</t>
        </is>
      </c>
      <c r="F1966" t="n">
        <v>-7.567</v>
      </c>
      <c r="G1966" t="n">
        <v>554.7329999999999</v>
      </c>
      <c r="H1966" t="n">
        <v>649.199</v>
      </c>
      <c r="I1966" t="n">
        <v>30</v>
      </c>
      <c r="J1966" t="inlineStr">
        <is>
          <t xml:space="preserve"> WT</t>
        </is>
      </c>
      <c r="K1966" t="inlineStr">
        <is>
          <t xml:space="preserve"> Female</t>
        </is>
      </c>
      <c r="L1966" t="inlineStr">
        <is>
          <t>No focal subject</t>
        </is>
      </c>
      <c r="M1966" t="n">
        <v>38.001</v>
      </c>
      <c r="N1966" t="inlineStr">
        <is>
          <t>Explore_F2</t>
        </is>
      </c>
      <c r="O1966" t="inlineStr">
        <is>
          <t>Second familiar</t>
        </is>
      </c>
      <c r="P1966" t="inlineStr">
        <is>
          <t>STATE</t>
        </is>
      </c>
      <c r="Q1966" t="n">
        <v>518.266</v>
      </c>
      <c r="R1966" t="n">
        <v>520.1660000000001</v>
      </c>
      <c r="S1966" t="n">
        <v>1.9</v>
      </c>
      <c r="T1966" t="inlineStr">
        <is>
          <t>C:/Users/manuel.felline/Documents/BEHAVIOR BTBR/NOR second cohort/WT/training/c59_f5.mp4</t>
        </is>
      </c>
      <c r="U1966" t="n">
        <v>15774</v>
      </c>
      <c r="V1966" t="n">
        <v>15831</v>
      </c>
      <c r="W1966" t="n">
        <v/>
      </c>
      <c r="X1966" t="n">
        <v/>
      </c>
      <c r="Y1966" t="n">
        <v/>
      </c>
      <c r="Z1966" t="n">
        <v/>
      </c>
      <c r="AA1966">
        <f>SUMIFS($S$2:S1966,$A$2:A1966,A1966,$N$2:N1966,"Explore*")</f>
        <v/>
      </c>
      <c r="AB1966">
        <f>IF(AND(LEFT(N1966,7)="Explore",(AA1966-IF(LEFT(N1966,7)="Explore",S1966,0))&lt;10),"SI","NO")</f>
        <v/>
      </c>
    </row>
    <row r="1967">
      <c r="A1967" t="inlineStr">
        <is>
          <t>c59f5_training</t>
        </is>
      </c>
      <c r="B1967" t="inlineStr">
        <is>
          <t>2026-07-07 15:08:49.950</t>
        </is>
      </c>
      <c r="C1967" t="n">
        <v/>
      </c>
      <c r="D1967" t="inlineStr">
        <is>
          <t>Media file</t>
        </is>
      </c>
      <c r="E1967" t="inlineStr">
        <is>
          <t>player #1:C:/Users/manuel.felline/Documents/BEHAVIOR BTBR/NOR second cohort/WT/training/c59_f5.mp4</t>
        </is>
      </c>
      <c r="F1967" t="n">
        <v>-7.567</v>
      </c>
      <c r="G1967" t="n">
        <v>554.7329999999999</v>
      </c>
      <c r="H1967" t="n">
        <v>649.199</v>
      </c>
      <c r="I1967" t="n">
        <v>30</v>
      </c>
      <c r="J1967" t="inlineStr">
        <is>
          <t xml:space="preserve"> WT</t>
        </is>
      </c>
      <c r="K1967" t="inlineStr">
        <is>
          <t xml:space="preserve"> Female</t>
        </is>
      </c>
      <c r="L1967" t="inlineStr">
        <is>
          <t>No focal subject</t>
        </is>
      </c>
      <c r="M1967" t="n">
        <v>38.001</v>
      </c>
      <c r="N1967" t="inlineStr">
        <is>
          <t>Explore_F</t>
        </is>
      </c>
      <c r="O1967" t="inlineStr">
        <is>
          <t>Familiar</t>
        </is>
      </c>
      <c r="P1967" t="inlineStr">
        <is>
          <t>STATE</t>
        </is>
      </c>
      <c r="Q1967" t="n">
        <v>530.599</v>
      </c>
      <c r="R1967" t="n">
        <v>533.532</v>
      </c>
      <c r="S1967" t="n">
        <v>2.933</v>
      </c>
      <c r="T1967" t="inlineStr">
        <is>
          <t>C:/Users/manuel.felline/Documents/BEHAVIOR BTBR/NOR second cohort/WT/training/c59_f5.mp4</t>
        </is>
      </c>
      <c r="U1967" t="n">
        <v>16144</v>
      </c>
      <c r="V1967" t="n">
        <v>16232</v>
      </c>
      <c r="W1967" t="n">
        <v/>
      </c>
      <c r="X1967" t="n">
        <v/>
      </c>
      <c r="Y1967" t="n">
        <v/>
      </c>
      <c r="Z1967" t="n">
        <v/>
      </c>
      <c r="AA1967">
        <f>SUMIFS($S$2:S1967,$A$2:A1967,A1967,$N$2:N1967,"Explore*")</f>
        <v/>
      </c>
      <c r="AB1967">
        <f>IF(AND(LEFT(N1967,7)="Explore",(AA1967-IF(LEFT(N1967,7)="Explore",S1967,0))&lt;10),"SI","NO")</f>
        <v/>
      </c>
    </row>
    <row r="1968">
      <c r="A1968" t="inlineStr">
        <is>
          <t>c59f5_training</t>
        </is>
      </c>
      <c r="B1968" t="inlineStr">
        <is>
          <t>2026-07-07 15:08:49.950</t>
        </is>
      </c>
      <c r="C1968" t="n">
        <v/>
      </c>
      <c r="D1968" t="inlineStr">
        <is>
          <t>Media file</t>
        </is>
      </c>
      <c r="E1968" t="inlineStr">
        <is>
          <t>player #1:C:/Users/manuel.felline/Documents/BEHAVIOR BTBR/NOR second cohort/WT/training/c59_f5.mp4</t>
        </is>
      </c>
      <c r="F1968" t="n">
        <v>-7.567</v>
      </c>
      <c r="G1968" t="n">
        <v>554.7329999999999</v>
      </c>
      <c r="H1968" t="n">
        <v>649.199</v>
      </c>
      <c r="I1968" t="n">
        <v>30</v>
      </c>
      <c r="J1968" t="inlineStr">
        <is>
          <t xml:space="preserve"> WT</t>
        </is>
      </c>
      <c r="K1968" t="inlineStr">
        <is>
          <t xml:space="preserve"> Female</t>
        </is>
      </c>
      <c r="L1968" t="inlineStr">
        <is>
          <t>No focal subject</t>
        </is>
      </c>
      <c r="M1968" t="n">
        <v>38.001</v>
      </c>
      <c r="N1968" t="inlineStr">
        <is>
          <t>Explore_F</t>
        </is>
      </c>
      <c r="O1968" t="inlineStr">
        <is>
          <t>Familiar</t>
        </is>
      </c>
      <c r="P1968" t="inlineStr">
        <is>
          <t>STATE</t>
        </is>
      </c>
      <c r="Q1968" t="n">
        <v>555.1319999999999</v>
      </c>
      <c r="R1968" t="n">
        <v>556.999</v>
      </c>
      <c r="S1968" t="n">
        <v>1.867</v>
      </c>
      <c r="T1968" t="inlineStr">
        <is>
          <t>C:/Users/manuel.felline/Documents/BEHAVIOR BTBR/NOR second cohort/WT/training/c59_f5.mp4</t>
        </is>
      </c>
      <c r="U1968" t="n">
        <v>16880</v>
      </c>
      <c r="V1968" t="n">
        <v>16936</v>
      </c>
      <c r="W1968" t="n">
        <v/>
      </c>
      <c r="X1968" t="n">
        <v/>
      </c>
      <c r="Y1968" t="n">
        <v/>
      </c>
      <c r="Z1968" t="n">
        <v/>
      </c>
      <c r="AA1968">
        <f>SUMIFS($S$2:S1968,$A$2:A1968,A1968,$N$2:N1968,"Explore*")</f>
        <v/>
      </c>
      <c r="AB1968">
        <f>IF(AND(LEFT(N1968,7)="Explore",(AA1968-IF(LEFT(N1968,7)="Explore",S1968,0))&lt;10),"SI","NO")</f>
        <v/>
      </c>
    </row>
    <row r="1969">
      <c r="A1969" t="inlineStr">
        <is>
          <t>c59f6_training</t>
        </is>
      </c>
      <c r="B1969" t="inlineStr">
        <is>
          <t>2026-07-07 15:47:40.026</t>
        </is>
      </c>
      <c r="C1969" t="n">
        <v/>
      </c>
      <c r="D1969" t="inlineStr">
        <is>
          <t>Media file</t>
        </is>
      </c>
      <c r="E1969" t="inlineStr">
        <is>
          <t>player #1:C:/Users/manuel.felline/Documents/BEHAVIOR BTBR/NOR second cohort/WT/training/c59_f6.mp4</t>
        </is>
      </c>
      <c r="F1969" t="n">
        <v>-15.867</v>
      </c>
      <c r="G1969" t="n">
        <v>582.199</v>
      </c>
      <c r="H1969" t="n">
        <v>762.799</v>
      </c>
      <c r="I1969" t="n">
        <v>30</v>
      </c>
      <c r="J1969" t="inlineStr">
        <is>
          <t xml:space="preserve"> WT</t>
        </is>
      </c>
      <c r="K1969" t="inlineStr">
        <is>
          <t xml:space="preserve"> Female</t>
        </is>
      </c>
      <c r="L1969" t="inlineStr">
        <is>
          <t>No focal subject</t>
        </is>
      </c>
      <c r="M1969" t="n">
        <v>14.564</v>
      </c>
      <c r="N1969" t="inlineStr">
        <is>
          <t>Explore_F</t>
        </is>
      </c>
      <c r="O1969" t="inlineStr">
        <is>
          <t>Familiar</t>
        </is>
      </c>
      <c r="P1969" t="inlineStr">
        <is>
          <t>STATE</t>
        </is>
      </c>
      <c r="Q1969" t="n">
        <v>1.633</v>
      </c>
      <c r="R1969" t="n">
        <v>2.233</v>
      </c>
      <c r="S1969" t="n">
        <v>0.6</v>
      </c>
      <c r="T1969" t="inlineStr">
        <is>
          <t>C:/Users/manuel.felline/Documents/BEHAVIOR BTBR/NOR second cohort/WT/training/c59_f6.mp4</t>
        </is>
      </c>
      <c r="U1969" t="n">
        <v>524</v>
      </c>
      <c r="V1969" t="n">
        <v>542</v>
      </c>
      <c r="W1969" t="n">
        <v/>
      </c>
      <c r="X1969" t="n">
        <v/>
      </c>
      <c r="Y1969" t="n">
        <v/>
      </c>
      <c r="Z1969" t="n">
        <v/>
      </c>
      <c r="AA1969">
        <f>SUMIFS($S$2:S1969,$A$2:A1969,A1969,$N$2:N1969,"Explore*")</f>
        <v/>
      </c>
      <c r="AB1969">
        <f>IF(AND(LEFT(N1969,7)="Explore",(AA1969-IF(LEFT(N1969,7)="Explore",S1969,0))&lt;10),"SI","NO")</f>
        <v/>
      </c>
    </row>
    <row r="1970">
      <c r="A1970" t="inlineStr">
        <is>
          <t>c59f6_training</t>
        </is>
      </c>
      <c r="B1970" t="inlineStr">
        <is>
          <t>2026-07-07 15:47:40.026</t>
        </is>
      </c>
      <c r="C1970" t="n">
        <v/>
      </c>
      <c r="D1970" t="inlineStr">
        <is>
          <t>Media file</t>
        </is>
      </c>
      <c r="E1970" t="inlineStr">
        <is>
          <t>player #1:C:/Users/manuel.felline/Documents/BEHAVIOR BTBR/NOR second cohort/WT/training/c59_f6.mp4</t>
        </is>
      </c>
      <c r="F1970" t="n">
        <v>-15.867</v>
      </c>
      <c r="G1970" t="n">
        <v>582.199</v>
      </c>
      <c r="H1970" t="n">
        <v>762.799</v>
      </c>
      <c r="I1970" t="n">
        <v>30</v>
      </c>
      <c r="J1970" t="inlineStr">
        <is>
          <t xml:space="preserve"> WT</t>
        </is>
      </c>
      <c r="K1970" t="inlineStr">
        <is>
          <t xml:space="preserve"> Female</t>
        </is>
      </c>
      <c r="L1970" t="inlineStr">
        <is>
          <t>No focal subject</t>
        </is>
      </c>
      <c r="M1970" t="n">
        <v>14.564</v>
      </c>
      <c r="N1970" t="inlineStr">
        <is>
          <t>Explore_F2</t>
        </is>
      </c>
      <c r="O1970" t="inlineStr">
        <is>
          <t>Second familiar</t>
        </is>
      </c>
      <c r="P1970" t="inlineStr">
        <is>
          <t>STATE</t>
        </is>
      </c>
      <c r="Q1970" t="n">
        <v>4.133</v>
      </c>
      <c r="R1970" t="n">
        <v>4.5</v>
      </c>
      <c r="S1970" t="n">
        <v>0.367</v>
      </c>
      <c r="T1970" t="inlineStr">
        <is>
          <t>C:/Users/manuel.felline/Documents/BEHAVIOR BTBR/NOR second cohort/WT/training/c59_f6.mp4</t>
        </is>
      </c>
      <c r="U1970" t="n">
        <v>599</v>
      </c>
      <c r="V1970" t="n">
        <v>610</v>
      </c>
      <c r="W1970" t="n">
        <v/>
      </c>
      <c r="X1970" t="n">
        <v/>
      </c>
      <c r="Y1970" t="n">
        <v/>
      </c>
      <c r="Z1970" t="n">
        <v/>
      </c>
      <c r="AA1970">
        <f>SUMIFS($S$2:S1970,$A$2:A1970,A1970,$N$2:N1970,"Explore*")</f>
        <v/>
      </c>
      <c r="AB1970">
        <f>IF(AND(LEFT(N1970,7)="Explore",(AA1970-IF(LEFT(N1970,7)="Explore",S1970,0))&lt;10),"SI","NO")</f>
        <v/>
      </c>
    </row>
    <row r="1971">
      <c r="A1971" t="inlineStr">
        <is>
          <t>c59f6_training</t>
        </is>
      </c>
      <c r="B1971" t="inlineStr">
        <is>
          <t>2026-07-07 15:47:40.026</t>
        </is>
      </c>
      <c r="C1971" t="n">
        <v/>
      </c>
      <c r="D1971" t="inlineStr">
        <is>
          <t>Media file</t>
        </is>
      </c>
      <c r="E1971" t="inlineStr">
        <is>
          <t>player #1:C:/Users/manuel.felline/Documents/BEHAVIOR BTBR/NOR second cohort/WT/training/c59_f6.mp4</t>
        </is>
      </c>
      <c r="F1971" t="n">
        <v>-15.867</v>
      </c>
      <c r="G1971" t="n">
        <v>582.199</v>
      </c>
      <c r="H1971" t="n">
        <v>762.799</v>
      </c>
      <c r="I1971" t="n">
        <v>30</v>
      </c>
      <c r="J1971" t="inlineStr">
        <is>
          <t xml:space="preserve"> WT</t>
        </is>
      </c>
      <c r="K1971" t="inlineStr">
        <is>
          <t xml:space="preserve"> Female</t>
        </is>
      </c>
      <c r="L1971" t="inlineStr">
        <is>
          <t>No focal subject</t>
        </is>
      </c>
      <c r="M1971" t="n">
        <v>14.564</v>
      </c>
      <c r="N1971" t="inlineStr">
        <is>
          <t>Explore_F2</t>
        </is>
      </c>
      <c r="O1971" t="inlineStr">
        <is>
          <t>Second familiar</t>
        </is>
      </c>
      <c r="P1971" t="inlineStr">
        <is>
          <t>STATE</t>
        </is>
      </c>
      <c r="Q1971" t="n">
        <v>10</v>
      </c>
      <c r="R1971" t="n">
        <v>11</v>
      </c>
      <c r="S1971" t="n">
        <v>1</v>
      </c>
      <c r="T1971" t="inlineStr">
        <is>
          <t>C:/Users/manuel.felline/Documents/BEHAVIOR BTBR/NOR second cohort/WT/training/c59_f6.mp4</t>
        </is>
      </c>
      <c r="U1971" t="n">
        <v>774</v>
      </c>
      <c r="V1971" t="n">
        <v>804</v>
      </c>
      <c r="W1971" t="n">
        <v/>
      </c>
      <c r="X1971" t="n">
        <v/>
      </c>
      <c r="Y1971" t="n">
        <v/>
      </c>
      <c r="Z1971" t="n">
        <v/>
      </c>
      <c r="AA1971">
        <f>SUMIFS($S$2:S1971,$A$2:A1971,A1971,$N$2:N1971,"Explore*")</f>
        <v/>
      </c>
      <c r="AB1971">
        <f>IF(AND(LEFT(N1971,7)="Explore",(AA1971-IF(LEFT(N1971,7)="Explore",S1971,0))&lt;10),"SI","NO")</f>
        <v/>
      </c>
    </row>
    <row r="1972">
      <c r="A1972" t="inlineStr">
        <is>
          <t>c59f6_training</t>
        </is>
      </c>
      <c r="B1972" t="inlineStr">
        <is>
          <t>2026-07-07 15:47:40.026</t>
        </is>
      </c>
      <c r="C1972" t="n">
        <v/>
      </c>
      <c r="D1972" t="inlineStr">
        <is>
          <t>Media file</t>
        </is>
      </c>
      <c r="E1972" t="inlineStr">
        <is>
          <t>player #1:C:/Users/manuel.felline/Documents/BEHAVIOR BTBR/NOR second cohort/WT/training/c59_f6.mp4</t>
        </is>
      </c>
      <c r="F1972" t="n">
        <v>-15.867</v>
      </c>
      <c r="G1972" t="n">
        <v>582.199</v>
      </c>
      <c r="H1972" t="n">
        <v>762.799</v>
      </c>
      <c r="I1972" t="n">
        <v>30</v>
      </c>
      <c r="J1972" t="inlineStr">
        <is>
          <t xml:space="preserve"> WT</t>
        </is>
      </c>
      <c r="K1972" t="inlineStr">
        <is>
          <t xml:space="preserve"> Female</t>
        </is>
      </c>
      <c r="L1972" t="inlineStr">
        <is>
          <t>No focal subject</t>
        </is>
      </c>
      <c r="M1972" t="n">
        <v>14.564</v>
      </c>
      <c r="N1972" t="inlineStr">
        <is>
          <t>Explore_F2</t>
        </is>
      </c>
      <c r="O1972" t="inlineStr">
        <is>
          <t>Second familiar</t>
        </is>
      </c>
      <c r="P1972" t="inlineStr">
        <is>
          <t>STATE</t>
        </is>
      </c>
      <c r="Q1972" t="n">
        <v>14.6</v>
      </c>
      <c r="R1972" t="n">
        <v>15.033</v>
      </c>
      <c r="S1972" t="n">
        <v>0.433</v>
      </c>
      <c r="T1972" t="inlineStr">
        <is>
          <t>C:/Users/manuel.felline/Documents/BEHAVIOR BTBR/NOR second cohort/WT/training/c59_f6.mp4</t>
        </is>
      </c>
      <c r="U1972" t="n">
        <v>912</v>
      </c>
      <c r="V1972" t="n">
        <v>925</v>
      </c>
      <c r="W1972" t="n">
        <v/>
      </c>
      <c r="X1972" t="n">
        <v/>
      </c>
      <c r="Y1972" t="n">
        <v/>
      </c>
      <c r="Z1972" t="n">
        <v/>
      </c>
      <c r="AA1972">
        <f>SUMIFS($S$2:S1972,$A$2:A1972,A1972,$N$2:N1972,"Explore*")</f>
        <v/>
      </c>
      <c r="AB1972">
        <f>IF(AND(LEFT(N1972,7)="Explore",(AA1972-IF(LEFT(N1972,7)="Explore",S1972,0))&lt;10),"SI","NO")</f>
        <v/>
      </c>
    </row>
    <row r="1973">
      <c r="A1973" t="inlineStr">
        <is>
          <t>c59f6_training</t>
        </is>
      </c>
      <c r="B1973" t="inlineStr">
        <is>
          <t>2026-07-07 15:47:40.026</t>
        </is>
      </c>
      <c r="C1973" t="n">
        <v/>
      </c>
      <c r="D1973" t="inlineStr">
        <is>
          <t>Media file</t>
        </is>
      </c>
      <c r="E1973" t="inlineStr">
        <is>
          <t>player #1:C:/Users/manuel.felline/Documents/BEHAVIOR BTBR/NOR second cohort/WT/training/c59_f6.mp4</t>
        </is>
      </c>
      <c r="F1973" t="n">
        <v>-15.867</v>
      </c>
      <c r="G1973" t="n">
        <v>582.199</v>
      </c>
      <c r="H1973" t="n">
        <v>762.799</v>
      </c>
      <c r="I1973" t="n">
        <v>30</v>
      </c>
      <c r="J1973" t="inlineStr">
        <is>
          <t xml:space="preserve"> WT</t>
        </is>
      </c>
      <c r="K1973" t="inlineStr">
        <is>
          <t xml:space="preserve"> Female</t>
        </is>
      </c>
      <c r="L1973" t="inlineStr">
        <is>
          <t>No focal subject</t>
        </is>
      </c>
      <c r="M1973" t="n">
        <v>14.564</v>
      </c>
      <c r="N1973" t="inlineStr">
        <is>
          <t>Explore_F2</t>
        </is>
      </c>
      <c r="O1973" t="inlineStr">
        <is>
          <t>Second familiar</t>
        </is>
      </c>
      <c r="P1973" t="inlineStr">
        <is>
          <t>STATE</t>
        </is>
      </c>
      <c r="Q1973" t="n">
        <v>41.466</v>
      </c>
      <c r="R1973" t="n">
        <v>42.133</v>
      </c>
      <c r="S1973" t="n">
        <v>0.667</v>
      </c>
      <c r="T1973" t="inlineStr">
        <is>
          <t>C:/Users/manuel.felline/Documents/BEHAVIOR BTBR/NOR second cohort/WT/training/c59_f6.mp4</t>
        </is>
      </c>
      <c r="U1973" t="n">
        <v>1716</v>
      </c>
      <c r="V1973" t="n">
        <v>1736</v>
      </c>
      <c r="W1973" t="n">
        <v/>
      </c>
      <c r="X1973" t="n">
        <v/>
      </c>
      <c r="Y1973" t="n">
        <v/>
      </c>
      <c r="Z1973" t="n">
        <v/>
      </c>
      <c r="AA1973">
        <f>SUMIFS($S$2:S1973,$A$2:A1973,A1973,$N$2:N1973,"Explore*")</f>
        <v/>
      </c>
      <c r="AB1973">
        <f>IF(AND(LEFT(N1973,7)="Explore",(AA1973-IF(LEFT(N1973,7)="Explore",S1973,0))&lt;10),"SI","NO")</f>
        <v/>
      </c>
    </row>
    <row r="1974">
      <c r="A1974" t="inlineStr">
        <is>
          <t>c59f6_training</t>
        </is>
      </c>
      <c r="B1974" t="inlineStr">
        <is>
          <t>2026-07-07 15:47:40.026</t>
        </is>
      </c>
      <c r="C1974" t="n">
        <v/>
      </c>
      <c r="D1974" t="inlineStr">
        <is>
          <t>Media file</t>
        </is>
      </c>
      <c r="E1974" t="inlineStr">
        <is>
          <t>player #1:C:/Users/manuel.felline/Documents/BEHAVIOR BTBR/NOR second cohort/WT/training/c59_f6.mp4</t>
        </is>
      </c>
      <c r="F1974" t="n">
        <v>-15.867</v>
      </c>
      <c r="G1974" t="n">
        <v>582.199</v>
      </c>
      <c r="H1974" t="n">
        <v>762.799</v>
      </c>
      <c r="I1974" t="n">
        <v>30</v>
      </c>
      <c r="J1974" t="inlineStr">
        <is>
          <t xml:space="preserve"> WT</t>
        </is>
      </c>
      <c r="K1974" t="inlineStr">
        <is>
          <t xml:space="preserve"> Female</t>
        </is>
      </c>
      <c r="L1974" t="inlineStr">
        <is>
          <t>No focal subject</t>
        </is>
      </c>
      <c r="M1974" t="n">
        <v>14.564</v>
      </c>
      <c r="N1974" t="inlineStr">
        <is>
          <t>Explore_F</t>
        </is>
      </c>
      <c r="O1974" t="inlineStr">
        <is>
          <t>Familiar</t>
        </is>
      </c>
      <c r="P1974" t="inlineStr">
        <is>
          <t>STATE</t>
        </is>
      </c>
      <c r="Q1974" t="n">
        <v>47.333</v>
      </c>
      <c r="R1974" t="n">
        <v>47.633</v>
      </c>
      <c r="S1974" t="n">
        <v>0.3</v>
      </c>
      <c r="T1974" t="inlineStr">
        <is>
          <t>C:/Users/manuel.felline/Documents/BEHAVIOR BTBR/NOR second cohort/WT/training/c59_f6.mp4</t>
        </is>
      </c>
      <c r="U1974" t="n">
        <v>1892</v>
      </c>
      <c r="V1974" t="n">
        <v>1901</v>
      </c>
      <c r="W1974" t="n">
        <v/>
      </c>
      <c r="X1974" t="n">
        <v/>
      </c>
      <c r="Y1974" t="n">
        <v/>
      </c>
      <c r="Z1974" t="n">
        <v/>
      </c>
      <c r="AA1974">
        <f>SUMIFS($S$2:S1974,$A$2:A1974,A1974,$N$2:N1974,"Explore*")</f>
        <v/>
      </c>
      <c r="AB1974">
        <f>IF(AND(LEFT(N1974,7)="Explore",(AA1974-IF(LEFT(N1974,7)="Explore",S1974,0))&lt;10),"SI","NO")</f>
        <v/>
      </c>
    </row>
    <row r="1975">
      <c r="A1975" t="inlineStr">
        <is>
          <t>c59f6_training</t>
        </is>
      </c>
      <c r="B1975" t="inlineStr">
        <is>
          <t>2026-07-07 15:47:40.026</t>
        </is>
      </c>
      <c r="C1975" t="n">
        <v/>
      </c>
      <c r="D1975" t="inlineStr">
        <is>
          <t>Media file</t>
        </is>
      </c>
      <c r="E1975" t="inlineStr">
        <is>
          <t>player #1:C:/Users/manuel.felline/Documents/BEHAVIOR BTBR/NOR second cohort/WT/training/c59_f6.mp4</t>
        </is>
      </c>
      <c r="F1975" t="n">
        <v>-15.867</v>
      </c>
      <c r="G1975" t="n">
        <v>582.199</v>
      </c>
      <c r="H1975" t="n">
        <v>762.799</v>
      </c>
      <c r="I1975" t="n">
        <v>30</v>
      </c>
      <c r="J1975" t="inlineStr">
        <is>
          <t xml:space="preserve"> WT</t>
        </is>
      </c>
      <c r="K1975" t="inlineStr">
        <is>
          <t xml:space="preserve"> Female</t>
        </is>
      </c>
      <c r="L1975" t="inlineStr">
        <is>
          <t>No focal subject</t>
        </is>
      </c>
      <c r="M1975" t="n">
        <v>14.564</v>
      </c>
      <c r="N1975" t="inlineStr">
        <is>
          <t>Explore_F</t>
        </is>
      </c>
      <c r="O1975" t="inlineStr">
        <is>
          <t>Familiar</t>
        </is>
      </c>
      <c r="P1975" t="inlineStr">
        <is>
          <t>STATE</t>
        </is>
      </c>
      <c r="Q1975" t="n">
        <v>50.666</v>
      </c>
      <c r="R1975" t="n">
        <v>51.1</v>
      </c>
      <c r="S1975" t="n">
        <v>0.434</v>
      </c>
      <c r="T1975" t="inlineStr">
        <is>
          <t>C:/Users/manuel.felline/Documents/BEHAVIOR BTBR/NOR second cohort/WT/training/c59_f6.mp4</t>
        </is>
      </c>
      <c r="U1975" t="n">
        <v>1992</v>
      </c>
      <c r="V1975" t="n">
        <v>2005</v>
      </c>
      <c r="W1975" t="n">
        <v/>
      </c>
      <c r="X1975" t="n">
        <v/>
      </c>
      <c r="Y1975" t="n">
        <v/>
      </c>
      <c r="Z1975" t="n">
        <v/>
      </c>
      <c r="AA1975">
        <f>SUMIFS($S$2:S1975,$A$2:A1975,A1975,$N$2:N1975,"Explore*")</f>
        <v/>
      </c>
      <c r="AB1975">
        <f>IF(AND(LEFT(N1975,7)="Explore",(AA1975-IF(LEFT(N1975,7)="Explore",S1975,0))&lt;10),"SI","NO")</f>
        <v/>
      </c>
    </row>
    <row r="1976">
      <c r="A1976" t="inlineStr">
        <is>
          <t>c59f6_training</t>
        </is>
      </c>
      <c r="B1976" t="inlineStr">
        <is>
          <t>2026-07-07 15:47:40.026</t>
        </is>
      </c>
      <c r="C1976" t="n">
        <v/>
      </c>
      <c r="D1976" t="inlineStr">
        <is>
          <t>Media file</t>
        </is>
      </c>
      <c r="E1976" t="inlineStr">
        <is>
          <t>player #1:C:/Users/manuel.felline/Documents/BEHAVIOR BTBR/NOR second cohort/WT/training/c59_f6.mp4</t>
        </is>
      </c>
      <c r="F1976" t="n">
        <v>-15.867</v>
      </c>
      <c r="G1976" t="n">
        <v>582.199</v>
      </c>
      <c r="H1976" t="n">
        <v>762.799</v>
      </c>
      <c r="I1976" t="n">
        <v>30</v>
      </c>
      <c r="J1976" t="inlineStr">
        <is>
          <t xml:space="preserve"> WT</t>
        </is>
      </c>
      <c r="K1976" t="inlineStr">
        <is>
          <t xml:space="preserve"> Female</t>
        </is>
      </c>
      <c r="L1976" t="inlineStr">
        <is>
          <t>No focal subject</t>
        </is>
      </c>
      <c r="M1976" t="n">
        <v>14.564</v>
      </c>
      <c r="N1976" t="inlineStr">
        <is>
          <t>Explore_F</t>
        </is>
      </c>
      <c r="O1976" t="inlineStr">
        <is>
          <t>Familiar</t>
        </is>
      </c>
      <c r="P1976" t="inlineStr">
        <is>
          <t>STATE</t>
        </is>
      </c>
      <c r="Q1976" t="n">
        <v>51.6</v>
      </c>
      <c r="R1976" t="n">
        <v>52.566</v>
      </c>
      <c r="S1976" t="n">
        <v>0.966</v>
      </c>
      <c r="T1976" t="inlineStr">
        <is>
          <t>C:/Users/manuel.felline/Documents/BEHAVIOR BTBR/NOR second cohort/WT/training/c59_f6.mp4</t>
        </is>
      </c>
      <c r="U1976" t="n">
        <v>2020</v>
      </c>
      <c r="V1976" t="n">
        <v>2049</v>
      </c>
      <c r="W1976" t="n">
        <v/>
      </c>
      <c r="X1976" t="n">
        <v/>
      </c>
      <c r="Y1976" t="n">
        <v/>
      </c>
      <c r="Z1976" t="n">
        <v/>
      </c>
      <c r="AA1976">
        <f>SUMIFS($S$2:S1976,$A$2:A1976,A1976,$N$2:N1976,"Explore*")</f>
        <v/>
      </c>
      <c r="AB1976">
        <f>IF(AND(LEFT(N1976,7)="Explore",(AA1976-IF(LEFT(N1976,7)="Explore",S1976,0))&lt;10),"SI","NO")</f>
        <v/>
      </c>
    </row>
    <row r="1977">
      <c r="A1977" t="inlineStr">
        <is>
          <t>c59f6_training</t>
        </is>
      </c>
      <c r="B1977" t="inlineStr">
        <is>
          <t>2026-07-07 15:47:40.026</t>
        </is>
      </c>
      <c r="C1977" t="n">
        <v/>
      </c>
      <c r="D1977" t="inlineStr">
        <is>
          <t>Media file</t>
        </is>
      </c>
      <c r="E1977" t="inlineStr">
        <is>
          <t>player #1:C:/Users/manuel.felline/Documents/BEHAVIOR BTBR/NOR second cohort/WT/training/c59_f6.mp4</t>
        </is>
      </c>
      <c r="F1977" t="n">
        <v>-15.867</v>
      </c>
      <c r="G1977" t="n">
        <v>582.199</v>
      </c>
      <c r="H1977" t="n">
        <v>762.799</v>
      </c>
      <c r="I1977" t="n">
        <v>30</v>
      </c>
      <c r="J1977" t="inlineStr">
        <is>
          <t xml:space="preserve"> WT</t>
        </is>
      </c>
      <c r="K1977" t="inlineStr">
        <is>
          <t xml:space="preserve"> Female</t>
        </is>
      </c>
      <c r="L1977" t="inlineStr">
        <is>
          <t>No focal subject</t>
        </is>
      </c>
      <c r="M1977" t="n">
        <v>14.564</v>
      </c>
      <c r="N1977" t="inlineStr">
        <is>
          <t>Explore_F2</t>
        </is>
      </c>
      <c r="O1977" t="inlineStr">
        <is>
          <t>Second familiar</t>
        </is>
      </c>
      <c r="P1977" t="inlineStr">
        <is>
          <t>STATE</t>
        </is>
      </c>
      <c r="Q1977" t="n">
        <v>131.433</v>
      </c>
      <c r="R1977" t="n">
        <v>131.966</v>
      </c>
      <c r="S1977" t="n">
        <v>0.533</v>
      </c>
      <c r="T1977" t="inlineStr">
        <is>
          <t>C:/Users/manuel.felline/Documents/BEHAVIOR BTBR/NOR second cohort/WT/training/c59_f6.mp4</t>
        </is>
      </c>
      <c r="U1977" t="n">
        <v>4410</v>
      </c>
      <c r="V1977" t="n">
        <v>4426</v>
      </c>
      <c r="W1977" t="n">
        <v/>
      </c>
      <c r="X1977" t="n">
        <v/>
      </c>
      <c r="Y1977" t="n">
        <v/>
      </c>
      <c r="Z1977" t="n">
        <v/>
      </c>
      <c r="AA1977">
        <f>SUMIFS($S$2:S1977,$A$2:A1977,A1977,$N$2:N1977,"Explore*")</f>
        <v/>
      </c>
      <c r="AB1977">
        <f>IF(AND(LEFT(N1977,7)="Explore",(AA1977-IF(LEFT(N1977,7)="Explore",S1977,0))&lt;10),"SI","NO")</f>
        <v/>
      </c>
    </row>
    <row r="1978">
      <c r="A1978" t="inlineStr">
        <is>
          <t>c59f6_training</t>
        </is>
      </c>
      <c r="B1978" t="inlineStr">
        <is>
          <t>2026-07-07 15:47:40.026</t>
        </is>
      </c>
      <c r="C1978" t="n">
        <v/>
      </c>
      <c r="D1978" t="inlineStr">
        <is>
          <t>Media file</t>
        </is>
      </c>
      <c r="E1978" t="inlineStr">
        <is>
          <t>player #1:C:/Users/manuel.felline/Documents/BEHAVIOR BTBR/NOR second cohort/WT/training/c59_f6.mp4</t>
        </is>
      </c>
      <c r="F1978" t="n">
        <v>-15.867</v>
      </c>
      <c r="G1978" t="n">
        <v>582.199</v>
      </c>
      <c r="H1978" t="n">
        <v>762.799</v>
      </c>
      <c r="I1978" t="n">
        <v>30</v>
      </c>
      <c r="J1978" t="inlineStr">
        <is>
          <t xml:space="preserve"> WT</t>
        </is>
      </c>
      <c r="K1978" t="inlineStr">
        <is>
          <t xml:space="preserve"> Female</t>
        </is>
      </c>
      <c r="L1978" t="inlineStr">
        <is>
          <t>No focal subject</t>
        </is>
      </c>
      <c r="M1978" t="n">
        <v>14.564</v>
      </c>
      <c r="N1978" t="inlineStr">
        <is>
          <t>Explore_F2</t>
        </is>
      </c>
      <c r="O1978" t="inlineStr">
        <is>
          <t>Second familiar</t>
        </is>
      </c>
      <c r="P1978" t="inlineStr">
        <is>
          <t>STATE</t>
        </is>
      </c>
      <c r="Q1978" t="n">
        <v>166.266</v>
      </c>
      <c r="R1978" t="n">
        <v>166.733</v>
      </c>
      <c r="S1978" t="n">
        <v>0.467</v>
      </c>
      <c r="T1978" t="inlineStr">
        <is>
          <t>C:/Users/manuel.felline/Documents/BEHAVIOR BTBR/NOR second cohort/WT/training/c59_f6.mp4</t>
        </is>
      </c>
      <c r="U1978" t="n">
        <v>5452</v>
      </c>
      <c r="V1978" t="n">
        <v>5466</v>
      </c>
      <c r="W1978" t="n">
        <v/>
      </c>
      <c r="X1978" t="n">
        <v/>
      </c>
      <c r="Y1978" t="n">
        <v/>
      </c>
      <c r="Z1978" t="n">
        <v/>
      </c>
      <c r="AA1978">
        <f>SUMIFS($S$2:S1978,$A$2:A1978,A1978,$N$2:N1978,"Explore*")</f>
        <v/>
      </c>
      <c r="AB1978">
        <f>IF(AND(LEFT(N1978,7)="Explore",(AA1978-IF(LEFT(N1978,7)="Explore",S1978,0))&lt;10),"SI","NO")</f>
        <v/>
      </c>
    </row>
    <row r="1979">
      <c r="A1979" t="inlineStr">
        <is>
          <t>c59f6_training</t>
        </is>
      </c>
      <c r="B1979" t="inlineStr">
        <is>
          <t>2026-07-07 15:47:40.026</t>
        </is>
      </c>
      <c r="C1979" t="n">
        <v/>
      </c>
      <c r="D1979" t="inlineStr">
        <is>
          <t>Media file</t>
        </is>
      </c>
      <c r="E1979" t="inlineStr">
        <is>
          <t>player #1:C:/Users/manuel.felline/Documents/BEHAVIOR BTBR/NOR second cohort/WT/training/c59_f6.mp4</t>
        </is>
      </c>
      <c r="F1979" t="n">
        <v>-15.867</v>
      </c>
      <c r="G1979" t="n">
        <v>582.199</v>
      </c>
      <c r="H1979" t="n">
        <v>762.799</v>
      </c>
      <c r="I1979" t="n">
        <v>30</v>
      </c>
      <c r="J1979" t="inlineStr">
        <is>
          <t xml:space="preserve"> WT</t>
        </is>
      </c>
      <c r="K1979" t="inlineStr">
        <is>
          <t xml:space="preserve"> Female</t>
        </is>
      </c>
      <c r="L1979" t="inlineStr">
        <is>
          <t>No focal subject</t>
        </is>
      </c>
      <c r="M1979" t="n">
        <v>14.564</v>
      </c>
      <c r="N1979" t="inlineStr">
        <is>
          <t>Explore_F</t>
        </is>
      </c>
      <c r="O1979" t="inlineStr">
        <is>
          <t>Familiar</t>
        </is>
      </c>
      <c r="P1979" t="inlineStr">
        <is>
          <t>STATE</t>
        </is>
      </c>
      <c r="Q1979" t="n">
        <v>206.033</v>
      </c>
      <c r="R1979" t="n">
        <v>206.966</v>
      </c>
      <c r="S1979" t="n">
        <v>0.9330000000000001</v>
      </c>
      <c r="T1979" t="inlineStr">
        <is>
          <t>C:/Users/manuel.felline/Documents/BEHAVIOR BTBR/NOR second cohort/WT/training/c59_f6.mp4</t>
        </is>
      </c>
      <c r="U1979" t="n">
        <v>6643</v>
      </c>
      <c r="V1979" t="n">
        <v>6671</v>
      </c>
      <c r="W1979" t="n">
        <v/>
      </c>
      <c r="X1979" t="n">
        <v/>
      </c>
      <c r="Y1979" t="n">
        <v/>
      </c>
      <c r="Z1979" t="n">
        <v/>
      </c>
      <c r="AA1979">
        <f>SUMIFS($S$2:S1979,$A$2:A1979,A1979,$N$2:N1979,"Explore*")</f>
        <v/>
      </c>
      <c r="AB1979">
        <f>IF(AND(LEFT(N1979,7)="Explore",(AA1979-IF(LEFT(N1979,7)="Explore",S1979,0))&lt;10),"SI","NO")</f>
        <v/>
      </c>
    </row>
    <row r="1980">
      <c r="A1980" t="inlineStr">
        <is>
          <t>c59f6_training</t>
        </is>
      </c>
      <c r="B1980" t="inlineStr">
        <is>
          <t>2026-07-07 15:47:40.026</t>
        </is>
      </c>
      <c r="C1980" t="n">
        <v/>
      </c>
      <c r="D1980" t="inlineStr">
        <is>
          <t>Media file</t>
        </is>
      </c>
      <c r="E1980" t="inlineStr">
        <is>
          <t>player #1:C:/Users/manuel.felline/Documents/BEHAVIOR BTBR/NOR second cohort/WT/training/c59_f6.mp4</t>
        </is>
      </c>
      <c r="F1980" t="n">
        <v>-15.867</v>
      </c>
      <c r="G1980" t="n">
        <v>582.199</v>
      </c>
      <c r="H1980" t="n">
        <v>762.799</v>
      </c>
      <c r="I1980" t="n">
        <v>30</v>
      </c>
      <c r="J1980" t="inlineStr">
        <is>
          <t xml:space="preserve"> WT</t>
        </is>
      </c>
      <c r="K1980" t="inlineStr">
        <is>
          <t xml:space="preserve"> Female</t>
        </is>
      </c>
      <c r="L1980" t="inlineStr">
        <is>
          <t>No focal subject</t>
        </is>
      </c>
      <c r="M1980" t="n">
        <v>14.564</v>
      </c>
      <c r="N1980" t="inlineStr">
        <is>
          <t>Explore_F</t>
        </is>
      </c>
      <c r="O1980" t="inlineStr">
        <is>
          <t>Familiar</t>
        </is>
      </c>
      <c r="P1980" t="inlineStr">
        <is>
          <t>STATE</t>
        </is>
      </c>
      <c r="Q1980" t="n">
        <v>233.699</v>
      </c>
      <c r="R1980" t="n">
        <v>234.399</v>
      </c>
      <c r="S1980" t="n">
        <v>0.7</v>
      </c>
      <c r="T1980" t="inlineStr">
        <is>
          <t>C:/Users/manuel.felline/Documents/BEHAVIOR BTBR/NOR second cohort/WT/training/c59_f6.mp4</t>
        </is>
      </c>
      <c r="U1980" t="n">
        <v>7471</v>
      </c>
      <c r="V1980" t="n">
        <v>7492</v>
      </c>
      <c r="W1980" t="n">
        <v/>
      </c>
      <c r="X1980" t="n">
        <v/>
      </c>
      <c r="Y1980" t="n">
        <v/>
      </c>
      <c r="Z1980" t="n">
        <v/>
      </c>
      <c r="AA1980">
        <f>SUMIFS($S$2:S1980,$A$2:A1980,A1980,$N$2:N1980,"Explore*")</f>
        <v/>
      </c>
      <c r="AB1980">
        <f>IF(AND(LEFT(N1980,7)="Explore",(AA1980-IF(LEFT(N1980,7)="Explore",S1980,0))&lt;10),"SI","NO")</f>
        <v/>
      </c>
    </row>
    <row r="1981">
      <c r="A1981" t="inlineStr">
        <is>
          <t>c59f6_training</t>
        </is>
      </c>
      <c r="B1981" t="inlineStr">
        <is>
          <t>2026-07-07 15:47:40.026</t>
        </is>
      </c>
      <c r="C1981" t="n">
        <v/>
      </c>
      <c r="D1981" t="inlineStr">
        <is>
          <t>Media file</t>
        </is>
      </c>
      <c r="E1981" t="inlineStr">
        <is>
          <t>player #1:C:/Users/manuel.felline/Documents/BEHAVIOR BTBR/NOR second cohort/WT/training/c59_f6.mp4</t>
        </is>
      </c>
      <c r="F1981" t="n">
        <v>-15.867</v>
      </c>
      <c r="G1981" t="n">
        <v>582.199</v>
      </c>
      <c r="H1981" t="n">
        <v>762.799</v>
      </c>
      <c r="I1981" t="n">
        <v>30</v>
      </c>
      <c r="J1981" t="inlineStr">
        <is>
          <t xml:space="preserve"> WT</t>
        </is>
      </c>
      <c r="K1981" t="inlineStr">
        <is>
          <t xml:space="preserve"> Female</t>
        </is>
      </c>
      <c r="L1981" t="inlineStr">
        <is>
          <t>No focal subject</t>
        </is>
      </c>
      <c r="M1981" t="n">
        <v>14.564</v>
      </c>
      <c r="N1981" t="inlineStr">
        <is>
          <t>Explore_F2</t>
        </is>
      </c>
      <c r="O1981" t="inlineStr">
        <is>
          <t>Second familiar</t>
        </is>
      </c>
      <c r="P1981" t="inlineStr">
        <is>
          <t>STATE</t>
        </is>
      </c>
      <c r="Q1981" t="n">
        <v>272.066</v>
      </c>
      <c r="R1981" t="n">
        <v>273.166</v>
      </c>
      <c r="S1981" t="n">
        <v>1.1</v>
      </c>
      <c r="T1981" t="inlineStr">
        <is>
          <t>C:/Users/manuel.felline/Documents/BEHAVIOR BTBR/NOR second cohort/WT/training/c59_f6.mp4</t>
        </is>
      </c>
      <c r="U1981" t="n">
        <v>8621</v>
      </c>
      <c r="V1981" t="n">
        <v>8653</v>
      </c>
      <c r="W1981" t="n">
        <v/>
      </c>
      <c r="X1981" t="n">
        <v/>
      </c>
      <c r="Y1981" t="n">
        <v/>
      </c>
      <c r="Z1981" t="n">
        <v/>
      </c>
      <c r="AA1981">
        <f>SUMIFS($S$2:S1981,$A$2:A1981,A1981,$N$2:N1981,"Explore*")</f>
        <v/>
      </c>
      <c r="AB1981">
        <f>IF(AND(LEFT(N1981,7)="Explore",(AA1981-IF(LEFT(N1981,7)="Explore",S1981,0))&lt;10),"SI","NO")</f>
        <v/>
      </c>
    </row>
    <row r="1982">
      <c r="A1982" t="inlineStr">
        <is>
          <t>c59f6_training</t>
        </is>
      </c>
      <c r="B1982" t="inlineStr">
        <is>
          <t>2026-07-07 15:47:40.026</t>
        </is>
      </c>
      <c r="C1982" t="n">
        <v/>
      </c>
      <c r="D1982" t="inlineStr">
        <is>
          <t>Media file</t>
        </is>
      </c>
      <c r="E1982" t="inlineStr">
        <is>
          <t>player #1:C:/Users/manuel.felline/Documents/BEHAVIOR BTBR/NOR second cohort/WT/training/c59_f6.mp4</t>
        </is>
      </c>
      <c r="F1982" t="n">
        <v>-15.867</v>
      </c>
      <c r="G1982" t="n">
        <v>582.199</v>
      </c>
      <c r="H1982" t="n">
        <v>762.799</v>
      </c>
      <c r="I1982" t="n">
        <v>30</v>
      </c>
      <c r="J1982" t="inlineStr">
        <is>
          <t xml:space="preserve"> WT</t>
        </is>
      </c>
      <c r="K1982" t="inlineStr">
        <is>
          <t xml:space="preserve"> Female</t>
        </is>
      </c>
      <c r="L1982" t="inlineStr">
        <is>
          <t>No focal subject</t>
        </is>
      </c>
      <c r="M1982" t="n">
        <v>14.564</v>
      </c>
      <c r="N1982" t="inlineStr">
        <is>
          <t>Explore_F2</t>
        </is>
      </c>
      <c r="O1982" t="inlineStr">
        <is>
          <t>Second familiar</t>
        </is>
      </c>
      <c r="P1982" t="inlineStr">
        <is>
          <t>STATE</t>
        </is>
      </c>
      <c r="Q1982" t="n">
        <v>286.433</v>
      </c>
      <c r="R1982" t="n">
        <v>286.999</v>
      </c>
      <c r="S1982" t="n">
        <v>0.5659999999999999</v>
      </c>
      <c r="T1982" t="inlineStr">
        <is>
          <t>C:/Users/manuel.felline/Documents/BEHAVIOR BTBR/NOR second cohort/WT/training/c59_f6.mp4</t>
        </is>
      </c>
      <c r="U1982" t="n">
        <v>9050</v>
      </c>
      <c r="V1982" t="n">
        <v>9067</v>
      </c>
      <c r="W1982" t="n">
        <v/>
      </c>
      <c r="X1982" t="n">
        <v/>
      </c>
      <c r="Y1982" t="n">
        <v/>
      </c>
      <c r="Z1982" t="n">
        <v/>
      </c>
      <c r="AA1982">
        <f>SUMIFS($S$2:S1982,$A$2:A1982,A1982,$N$2:N1982,"Explore*")</f>
        <v/>
      </c>
      <c r="AB1982">
        <f>IF(AND(LEFT(N1982,7)="Explore",(AA1982-IF(LEFT(N1982,7)="Explore",S1982,0))&lt;10),"SI","NO")</f>
        <v/>
      </c>
    </row>
    <row r="1983">
      <c r="A1983" t="inlineStr">
        <is>
          <t>c59f6_training</t>
        </is>
      </c>
      <c r="B1983" t="inlineStr">
        <is>
          <t>2026-07-07 15:47:40.026</t>
        </is>
      </c>
      <c r="C1983" t="n">
        <v/>
      </c>
      <c r="D1983" t="inlineStr">
        <is>
          <t>Media file</t>
        </is>
      </c>
      <c r="E1983" t="inlineStr">
        <is>
          <t>player #1:C:/Users/manuel.felline/Documents/BEHAVIOR BTBR/NOR second cohort/WT/training/c59_f6.mp4</t>
        </is>
      </c>
      <c r="F1983" t="n">
        <v>-15.867</v>
      </c>
      <c r="G1983" t="n">
        <v>582.199</v>
      </c>
      <c r="H1983" t="n">
        <v>762.799</v>
      </c>
      <c r="I1983" t="n">
        <v>30</v>
      </c>
      <c r="J1983" t="inlineStr">
        <is>
          <t xml:space="preserve"> WT</t>
        </is>
      </c>
      <c r="K1983" t="inlineStr">
        <is>
          <t xml:space="preserve"> Female</t>
        </is>
      </c>
      <c r="L1983" t="inlineStr">
        <is>
          <t>No focal subject</t>
        </is>
      </c>
      <c r="M1983" t="n">
        <v>14.564</v>
      </c>
      <c r="N1983" t="inlineStr">
        <is>
          <t>Explore_F</t>
        </is>
      </c>
      <c r="O1983" t="inlineStr">
        <is>
          <t>Familiar</t>
        </is>
      </c>
      <c r="P1983" t="inlineStr">
        <is>
          <t>STATE</t>
        </is>
      </c>
      <c r="Q1983" t="n">
        <v>304.366</v>
      </c>
      <c r="R1983" t="n">
        <v>305.099</v>
      </c>
      <c r="S1983" t="n">
        <v>0.733</v>
      </c>
      <c r="T1983" t="inlineStr">
        <is>
          <t>C:/Users/manuel.felline/Documents/BEHAVIOR BTBR/NOR second cohort/WT/training/c59_f6.mp4</t>
        </is>
      </c>
      <c r="U1983" t="n">
        <v>9587</v>
      </c>
      <c r="V1983" t="n">
        <v>9609</v>
      </c>
      <c r="W1983" t="n">
        <v/>
      </c>
      <c r="X1983" t="n">
        <v/>
      </c>
      <c r="Y1983" t="n">
        <v/>
      </c>
      <c r="Z1983" t="n">
        <v/>
      </c>
      <c r="AA1983">
        <f>SUMIFS($S$2:S1983,$A$2:A1983,A1983,$N$2:N1983,"Explore*")</f>
        <v/>
      </c>
      <c r="AB1983">
        <f>IF(AND(LEFT(N1983,7)="Explore",(AA1983-IF(LEFT(N1983,7)="Explore",S1983,0))&lt;10),"SI","NO")</f>
        <v/>
      </c>
    </row>
    <row r="1984">
      <c r="A1984" t="inlineStr">
        <is>
          <t>c59f6_training</t>
        </is>
      </c>
      <c r="B1984" t="inlineStr">
        <is>
          <t>2026-07-07 15:47:40.026</t>
        </is>
      </c>
      <c r="C1984" t="n">
        <v/>
      </c>
      <c r="D1984" t="inlineStr">
        <is>
          <t>Media file</t>
        </is>
      </c>
      <c r="E1984" t="inlineStr">
        <is>
          <t>player #1:C:/Users/manuel.felline/Documents/BEHAVIOR BTBR/NOR second cohort/WT/training/c59_f6.mp4</t>
        </is>
      </c>
      <c r="F1984" t="n">
        <v>-15.867</v>
      </c>
      <c r="G1984" t="n">
        <v>582.199</v>
      </c>
      <c r="H1984" t="n">
        <v>762.799</v>
      </c>
      <c r="I1984" t="n">
        <v>30</v>
      </c>
      <c r="J1984" t="inlineStr">
        <is>
          <t xml:space="preserve"> WT</t>
        </is>
      </c>
      <c r="K1984" t="inlineStr">
        <is>
          <t xml:space="preserve"> Female</t>
        </is>
      </c>
      <c r="L1984" t="inlineStr">
        <is>
          <t>No focal subject</t>
        </is>
      </c>
      <c r="M1984" t="n">
        <v>14.564</v>
      </c>
      <c r="N1984" t="inlineStr">
        <is>
          <t>Explore_F2</t>
        </is>
      </c>
      <c r="O1984" t="inlineStr">
        <is>
          <t>Second familiar</t>
        </is>
      </c>
      <c r="P1984" t="inlineStr">
        <is>
          <t>STATE</t>
        </is>
      </c>
      <c r="Q1984" t="n">
        <v>351.566</v>
      </c>
      <c r="R1984" t="n">
        <v>351.999</v>
      </c>
      <c r="S1984" t="n">
        <v>0.433</v>
      </c>
      <c r="T1984" t="inlineStr">
        <is>
          <t>C:/Users/manuel.felline/Documents/BEHAVIOR BTBR/NOR second cohort/WT/training/c59_f6.mp4</t>
        </is>
      </c>
      <c r="U1984" t="n">
        <v>11000</v>
      </c>
      <c r="V1984" t="n">
        <v>11013</v>
      </c>
      <c r="W1984" t="n">
        <v/>
      </c>
      <c r="X1984" t="n">
        <v/>
      </c>
      <c r="Y1984" t="n">
        <v/>
      </c>
      <c r="Z1984" t="n">
        <v/>
      </c>
      <c r="AA1984">
        <f>SUMIFS($S$2:S1984,$A$2:A1984,A1984,$N$2:N1984,"Explore*")</f>
        <v/>
      </c>
      <c r="AB1984">
        <f>IF(AND(LEFT(N1984,7)="Explore",(AA1984-IF(LEFT(N1984,7)="Explore",S1984,0))&lt;10),"SI","NO")</f>
        <v/>
      </c>
    </row>
    <row r="1985">
      <c r="A1985" t="inlineStr">
        <is>
          <t>c59f6_training</t>
        </is>
      </c>
      <c r="B1985" t="inlineStr">
        <is>
          <t>2026-07-07 15:47:40.026</t>
        </is>
      </c>
      <c r="C1985" t="n">
        <v/>
      </c>
      <c r="D1985" t="inlineStr">
        <is>
          <t>Media file</t>
        </is>
      </c>
      <c r="E1985" t="inlineStr">
        <is>
          <t>player #1:C:/Users/manuel.felline/Documents/BEHAVIOR BTBR/NOR second cohort/WT/training/c59_f6.mp4</t>
        </is>
      </c>
      <c r="F1985" t="n">
        <v>-15.867</v>
      </c>
      <c r="G1985" t="n">
        <v>582.199</v>
      </c>
      <c r="H1985" t="n">
        <v>762.799</v>
      </c>
      <c r="I1985" t="n">
        <v>30</v>
      </c>
      <c r="J1985" t="inlineStr">
        <is>
          <t xml:space="preserve"> WT</t>
        </is>
      </c>
      <c r="K1985" t="inlineStr">
        <is>
          <t xml:space="preserve"> Female</t>
        </is>
      </c>
      <c r="L1985" t="inlineStr">
        <is>
          <t>No focal subject</t>
        </is>
      </c>
      <c r="M1985" t="n">
        <v>14.564</v>
      </c>
      <c r="N1985" t="inlineStr">
        <is>
          <t>Explore_F2</t>
        </is>
      </c>
      <c r="O1985" t="inlineStr">
        <is>
          <t>Second familiar</t>
        </is>
      </c>
      <c r="P1985" t="inlineStr">
        <is>
          <t>STATE</t>
        </is>
      </c>
      <c r="Q1985" t="n">
        <v>361.566</v>
      </c>
      <c r="R1985" t="n">
        <v>362.766</v>
      </c>
      <c r="S1985" t="n">
        <v>1.2</v>
      </c>
      <c r="T1985" t="inlineStr">
        <is>
          <t>C:/Users/manuel.felline/Documents/BEHAVIOR BTBR/NOR second cohort/WT/training/c59_f6.mp4</t>
        </is>
      </c>
      <c r="U1985" t="n">
        <v>11299</v>
      </c>
      <c r="V1985" t="n">
        <v>11335</v>
      </c>
      <c r="W1985" t="n">
        <v/>
      </c>
      <c r="X1985" t="n">
        <v/>
      </c>
      <c r="Y1985" t="n">
        <v/>
      </c>
      <c r="Z1985" t="n">
        <v/>
      </c>
      <c r="AA1985">
        <f>SUMIFS($S$2:S1985,$A$2:A1985,A1985,$N$2:N1985,"Explore*")</f>
        <v/>
      </c>
      <c r="AB1985">
        <f>IF(AND(LEFT(N1985,7)="Explore",(AA1985-IF(LEFT(N1985,7)="Explore",S1985,0))&lt;10),"SI","NO")</f>
        <v/>
      </c>
    </row>
    <row r="1986">
      <c r="A1986" t="inlineStr">
        <is>
          <t>c59f6_training</t>
        </is>
      </c>
      <c r="B1986" t="inlineStr">
        <is>
          <t>2026-07-07 15:47:40.026</t>
        </is>
      </c>
      <c r="C1986" t="n">
        <v/>
      </c>
      <c r="D1986" t="inlineStr">
        <is>
          <t>Media file</t>
        </is>
      </c>
      <c r="E1986" t="inlineStr">
        <is>
          <t>player #1:C:/Users/manuel.felline/Documents/BEHAVIOR BTBR/NOR second cohort/WT/training/c59_f6.mp4</t>
        </is>
      </c>
      <c r="F1986" t="n">
        <v>-15.867</v>
      </c>
      <c r="G1986" t="n">
        <v>582.199</v>
      </c>
      <c r="H1986" t="n">
        <v>762.799</v>
      </c>
      <c r="I1986" t="n">
        <v>30</v>
      </c>
      <c r="J1986" t="inlineStr">
        <is>
          <t xml:space="preserve"> WT</t>
        </is>
      </c>
      <c r="K1986" t="inlineStr">
        <is>
          <t xml:space="preserve"> Female</t>
        </is>
      </c>
      <c r="L1986" t="inlineStr">
        <is>
          <t>No focal subject</t>
        </is>
      </c>
      <c r="M1986" t="n">
        <v>14.564</v>
      </c>
      <c r="N1986" t="inlineStr">
        <is>
          <t>Explore_F</t>
        </is>
      </c>
      <c r="O1986" t="inlineStr">
        <is>
          <t>Familiar</t>
        </is>
      </c>
      <c r="P1986" t="inlineStr">
        <is>
          <t>STATE</t>
        </is>
      </c>
      <c r="Q1986" t="n">
        <v>389.399</v>
      </c>
      <c r="R1986" t="n">
        <v>390.266</v>
      </c>
      <c r="S1986" t="n">
        <v>0.867</v>
      </c>
      <c r="T1986" t="inlineStr">
        <is>
          <t>C:/Users/manuel.felline/Documents/BEHAVIOR BTBR/NOR second cohort/WT/training/c59_f6.mp4</t>
        </is>
      </c>
      <c r="U1986" t="n">
        <v>12133</v>
      </c>
      <c r="V1986" t="n">
        <v>12158</v>
      </c>
      <c r="W1986" t="n">
        <v/>
      </c>
      <c r="X1986" t="n">
        <v/>
      </c>
      <c r="Y1986" t="n">
        <v/>
      </c>
      <c r="Z1986" t="n">
        <v/>
      </c>
      <c r="AA1986">
        <f>SUMIFS($S$2:S1986,$A$2:A1986,A1986,$N$2:N1986,"Explore*")</f>
        <v/>
      </c>
      <c r="AB1986">
        <f>IF(AND(LEFT(N1986,7)="Explore",(AA1986-IF(LEFT(N1986,7)="Explore",S1986,0))&lt;10),"SI","NO")</f>
        <v/>
      </c>
    </row>
    <row r="1987">
      <c r="A1987" t="inlineStr">
        <is>
          <t>c59f6_training</t>
        </is>
      </c>
      <c r="B1987" t="inlineStr">
        <is>
          <t>2026-07-07 15:47:40.026</t>
        </is>
      </c>
      <c r="C1987" t="n">
        <v/>
      </c>
      <c r="D1987" t="inlineStr">
        <is>
          <t>Media file</t>
        </is>
      </c>
      <c r="E1987" t="inlineStr">
        <is>
          <t>player #1:C:/Users/manuel.felline/Documents/BEHAVIOR BTBR/NOR second cohort/WT/training/c59_f6.mp4</t>
        </is>
      </c>
      <c r="F1987" t="n">
        <v>-15.867</v>
      </c>
      <c r="G1987" t="n">
        <v>582.199</v>
      </c>
      <c r="H1987" t="n">
        <v>762.799</v>
      </c>
      <c r="I1987" t="n">
        <v>30</v>
      </c>
      <c r="J1987" t="inlineStr">
        <is>
          <t xml:space="preserve"> WT</t>
        </is>
      </c>
      <c r="K1987" t="inlineStr">
        <is>
          <t xml:space="preserve"> Female</t>
        </is>
      </c>
      <c r="L1987" t="inlineStr">
        <is>
          <t>No focal subject</t>
        </is>
      </c>
      <c r="M1987" t="n">
        <v>14.564</v>
      </c>
      <c r="N1987" t="inlineStr">
        <is>
          <t>Explore_F2</t>
        </is>
      </c>
      <c r="O1987" t="inlineStr">
        <is>
          <t>Second familiar</t>
        </is>
      </c>
      <c r="P1987" t="inlineStr">
        <is>
          <t>STATE</t>
        </is>
      </c>
      <c r="Q1987" t="n">
        <v>418.766</v>
      </c>
      <c r="R1987" t="n">
        <v>419.299</v>
      </c>
      <c r="S1987" t="n">
        <v>0.533</v>
      </c>
      <c r="T1987" t="inlineStr">
        <is>
          <t>C:/Users/manuel.felline/Documents/BEHAVIOR BTBR/NOR second cohort/WT/training/c59_f6.mp4</t>
        </is>
      </c>
      <c r="U1987" t="n">
        <v>13011</v>
      </c>
      <c r="V1987" t="n">
        <v>13027</v>
      </c>
      <c r="W1987" t="n">
        <v/>
      </c>
      <c r="X1987" t="n">
        <v/>
      </c>
      <c r="Y1987" t="n">
        <v/>
      </c>
      <c r="Z1987" t="n">
        <v/>
      </c>
      <c r="AA1987">
        <f>SUMIFS($S$2:S1987,$A$2:A1987,A1987,$N$2:N1987,"Explore*")</f>
        <v/>
      </c>
      <c r="AB1987">
        <f>IF(AND(LEFT(N1987,7)="Explore",(AA1987-IF(LEFT(N1987,7)="Explore",S1987,0))&lt;10),"SI","NO")</f>
        <v/>
      </c>
    </row>
    <row r="1988">
      <c r="A1988" t="inlineStr">
        <is>
          <t>c59f6_training</t>
        </is>
      </c>
      <c r="B1988" t="inlineStr">
        <is>
          <t>2026-07-07 15:47:40.026</t>
        </is>
      </c>
      <c r="C1988" t="n">
        <v/>
      </c>
      <c r="D1988" t="inlineStr">
        <is>
          <t>Media file</t>
        </is>
      </c>
      <c r="E1988" t="inlineStr">
        <is>
          <t>player #1:C:/Users/manuel.felline/Documents/BEHAVIOR BTBR/NOR second cohort/WT/training/c59_f6.mp4</t>
        </is>
      </c>
      <c r="F1988" t="n">
        <v>-15.867</v>
      </c>
      <c r="G1988" t="n">
        <v>582.199</v>
      </c>
      <c r="H1988" t="n">
        <v>762.799</v>
      </c>
      <c r="I1988" t="n">
        <v>30</v>
      </c>
      <c r="J1988" t="inlineStr">
        <is>
          <t xml:space="preserve"> WT</t>
        </is>
      </c>
      <c r="K1988" t="inlineStr">
        <is>
          <t xml:space="preserve"> Female</t>
        </is>
      </c>
      <c r="L1988" t="inlineStr">
        <is>
          <t>No focal subject</t>
        </is>
      </c>
      <c r="M1988" t="n">
        <v>14.564</v>
      </c>
      <c r="N1988" t="inlineStr">
        <is>
          <t>Explore_F2</t>
        </is>
      </c>
      <c r="O1988" t="inlineStr">
        <is>
          <t>Second familiar</t>
        </is>
      </c>
      <c r="P1988" t="inlineStr">
        <is>
          <t>STATE</t>
        </is>
      </c>
      <c r="Q1988" t="n">
        <v>555.566</v>
      </c>
      <c r="R1988" t="n">
        <v>556.499</v>
      </c>
      <c r="S1988" t="n">
        <v>0.9330000000000001</v>
      </c>
      <c r="T1988" t="inlineStr">
        <is>
          <t>C:/Users/manuel.felline/Documents/BEHAVIOR BTBR/NOR second cohort/WT/training/c59_f6.mp4</t>
        </is>
      </c>
      <c r="U1988" t="n">
        <v>17107</v>
      </c>
      <c r="V1988" t="n">
        <v>17135</v>
      </c>
      <c r="W1988" t="n">
        <v/>
      </c>
      <c r="X1988" t="n">
        <v/>
      </c>
      <c r="Y1988" t="n">
        <v/>
      </c>
      <c r="Z1988" t="n">
        <v/>
      </c>
      <c r="AA1988">
        <f>SUMIFS($S$2:S1988,$A$2:A1988,A1988,$N$2:N1988,"Explore*")</f>
        <v/>
      </c>
      <c r="AB1988">
        <f>IF(AND(LEFT(N1988,7)="Explore",(AA1988-IF(LEFT(N1988,7)="Explore",S1988,0))&lt;10),"SI","NO")</f>
        <v/>
      </c>
    </row>
    <row r="1989">
      <c r="A1989" t="inlineStr">
        <is>
          <t>c59f6_training</t>
        </is>
      </c>
      <c r="B1989" t="inlineStr">
        <is>
          <t>2026-07-07 15:47:40.026</t>
        </is>
      </c>
      <c r="C1989" t="n">
        <v/>
      </c>
      <c r="D1989" t="inlineStr">
        <is>
          <t>Media file</t>
        </is>
      </c>
      <c r="E1989" t="inlineStr">
        <is>
          <t>player #1:C:/Users/manuel.felline/Documents/BEHAVIOR BTBR/NOR second cohort/WT/training/c59_f6.mp4</t>
        </is>
      </c>
      <c r="F1989" t="n">
        <v>-15.867</v>
      </c>
      <c r="G1989" t="n">
        <v>582.199</v>
      </c>
      <c r="H1989" t="n">
        <v>762.799</v>
      </c>
      <c r="I1989" t="n">
        <v>30</v>
      </c>
      <c r="J1989" t="inlineStr">
        <is>
          <t xml:space="preserve"> WT</t>
        </is>
      </c>
      <c r="K1989" t="inlineStr">
        <is>
          <t xml:space="preserve"> Female</t>
        </is>
      </c>
      <c r="L1989" t="inlineStr">
        <is>
          <t>No focal subject</t>
        </is>
      </c>
      <c r="M1989" t="n">
        <v>14.564</v>
      </c>
      <c r="N1989" t="inlineStr">
        <is>
          <t>Explore_F</t>
        </is>
      </c>
      <c r="O1989" t="inlineStr">
        <is>
          <t>Familiar</t>
        </is>
      </c>
      <c r="P1989" t="inlineStr">
        <is>
          <t>STATE</t>
        </is>
      </c>
      <c r="Q1989" t="n">
        <v>580.6660000000001</v>
      </c>
      <c r="R1989" t="n">
        <v>581.099</v>
      </c>
      <c r="S1989" t="n">
        <v>0.433</v>
      </c>
      <c r="T1989" t="inlineStr">
        <is>
          <t>C:/Users/manuel.felline/Documents/BEHAVIOR BTBR/NOR second cohort/WT/training/c59_f6.mp4</t>
        </is>
      </c>
      <c r="U1989" t="n">
        <v>17858</v>
      </c>
      <c r="V1989" t="n">
        <v>17871</v>
      </c>
      <c r="W1989" t="n">
        <v/>
      </c>
      <c r="X1989" t="n">
        <v/>
      </c>
      <c r="Y1989" t="n">
        <v/>
      </c>
      <c r="Z1989" t="n">
        <v/>
      </c>
      <c r="AA1989">
        <f>SUMIFS($S$2:S1989,$A$2:A1989,A1989,$N$2:N1989,"Explore*")</f>
        <v/>
      </c>
      <c r="AB1989">
        <f>IF(AND(LEFT(N1989,7)="Explore",(AA1989-IF(LEFT(N1989,7)="Explore",S1989,0))&lt;10),"SI","NO")</f>
        <v/>
      </c>
    </row>
    <row r="1990">
      <c r="A1990" t="inlineStr">
        <is>
          <t>c59f6_training</t>
        </is>
      </c>
      <c r="B1990" t="inlineStr">
        <is>
          <t>2026-07-07 15:47:40.026</t>
        </is>
      </c>
      <c r="C1990" t="n">
        <v/>
      </c>
      <c r="D1990" t="inlineStr">
        <is>
          <t>Media file</t>
        </is>
      </c>
      <c r="E1990" t="inlineStr">
        <is>
          <t>player #1:C:/Users/manuel.felline/Documents/BEHAVIOR BTBR/NOR second cohort/WT/training/c59_f6.mp4</t>
        </is>
      </c>
      <c r="F1990" t="n">
        <v>-15.867</v>
      </c>
      <c r="G1990" t="n">
        <v>582.199</v>
      </c>
      <c r="H1990" t="n">
        <v>762.799</v>
      </c>
      <c r="I1990" t="n">
        <v>30</v>
      </c>
      <c r="J1990" t="inlineStr">
        <is>
          <t xml:space="preserve"> WT</t>
        </is>
      </c>
      <c r="K1990" t="inlineStr">
        <is>
          <t xml:space="preserve"> Female</t>
        </is>
      </c>
      <c r="L1990" t="inlineStr">
        <is>
          <t>No focal subject</t>
        </is>
      </c>
      <c r="M1990" t="n">
        <v>14.564</v>
      </c>
      <c r="N1990" t="inlineStr">
        <is>
          <t>Explore_F</t>
        </is>
      </c>
      <c r="O1990" t="inlineStr">
        <is>
          <t>Familiar</t>
        </is>
      </c>
      <c r="P1990" t="inlineStr">
        <is>
          <t>STATE</t>
        </is>
      </c>
      <c r="Q1990" t="n">
        <v>583.466</v>
      </c>
      <c r="R1990" t="n">
        <v>583.832</v>
      </c>
      <c r="S1990" t="n">
        <v>0.366</v>
      </c>
      <c r="T1990" t="inlineStr">
        <is>
          <t>C:/Users/manuel.felline/Documents/BEHAVIOR BTBR/NOR second cohort/WT/training/c59_f6.mp4</t>
        </is>
      </c>
      <c r="U1990" t="n">
        <v>17942</v>
      </c>
      <c r="V1990" t="n">
        <v>17953</v>
      </c>
      <c r="W1990" t="n">
        <v/>
      </c>
      <c r="X1990" t="n">
        <v/>
      </c>
      <c r="Y1990" t="n">
        <v/>
      </c>
      <c r="Z1990" t="n">
        <v/>
      </c>
      <c r="AA1990">
        <f>SUMIFS($S$2:S1990,$A$2:A1990,A1990,$N$2:N1990,"Explore*")</f>
        <v/>
      </c>
      <c r="AB1990">
        <f>IF(AND(LEFT(N1990,7)="Explore",(AA1990-IF(LEFT(N1990,7)="Explore",S1990,0))&lt;10),"SI","NO")</f>
        <v/>
      </c>
    </row>
    <row r="1991">
      <c r="A1991" t="inlineStr">
        <is>
          <t>c3m1_test</t>
        </is>
      </c>
      <c r="B1991" t="inlineStr">
        <is>
          <t>2026-01-28 10:51:14.482</t>
        </is>
      </c>
      <c r="C1991" t="n">
        <v/>
      </c>
      <c r="D1991" t="inlineStr">
        <is>
          <t>Media file</t>
        </is>
      </c>
      <c r="E1991" t="inlineStr">
        <is>
          <t>player #1:BTBR\test\c3m1.mp4</t>
        </is>
      </c>
      <c r="F1991" t="n">
        <v>-9.199999999999999</v>
      </c>
      <c r="G1991" t="n">
        <v>588.566</v>
      </c>
      <c r="H1991" t="n">
        <v>647.266</v>
      </c>
      <c r="I1991" t="n">
        <v>30</v>
      </c>
      <c r="J1991" t="inlineStr">
        <is>
          <t>BTBR</t>
        </is>
      </c>
      <c r="K1991" t="inlineStr">
        <is>
          <t>Male</t>
        </is>
      </c>
      <c r="L1991" t="inlineStr">
        <is>
          <t>No focal subject</t>
        </is>
      </c>
      <c r="M1991" t="n">
        <v>53.865</v>
      </c>
      <c r="N1991" t="inlineStr">
        <is>
          <t>Explore_F</t>
        </is>
      </c>
      <c r="O1991" t="inlineStr">
        <is>
          <t>Familiar</t>
        </is>
      </c>
      <c r="P1991" t="inlineStr">
        <is>
          <t>STATE</t>
        </is>
      </c>
      <c r="Q1991" t="n">
        <v>6.9</v>
      </c>
      <c r="R1991" t="n">
        <v>7.2</v>
      </c>
      <c r="S1991" t="n">
        <v>0.3</v>
      </c>
      <c r="T1991" t="inlineStr">
        <is>
          <t>BTBR\test\c3m1.mp4</t>
        </is>
      </c>
      <c r="U1991" t="n">
        <v>207</v>
      </c>
      <c r="V1991" t="n">
        <v>216</v>
      </c>
      <c r="W1991" t="n">
        <v/>
      </c>
      <c r="X1991" t="n">
        <v/>
      </c>
      <c r="Y1991" t="n">
        <v/>
      </c>
      <c r="Z1991" t="n">
        <v/>
      </c>
      <c r="AA1991">
        <f>SUMIFS($S$2:S1991,$A$2:A1991,A1991,$N$2:N1991,"Explore*")</f>
        <v/>
      </c>
      <c r="AB1991">
        <f>IF(AND(LEFT(N1991,7)="Explore",(AA1991-IF(LEFT(N1991,7)="Explore",S1991,0))&lt;10),"SI","NO")</f>
        <v/>
      </c>
    </row>
    <row r="1992">
      <c r="A1992" t="inlineStr">
        <is>
          <t>c3m1_test</t>
        </is>
      </c>
      <c r="B1992" t="inlineStr">
        <is>
          <t>2026-01-28 10:51:14.482</t>
        </is>
      </c>
      <c r="C1992" t="n">
        <v/>
      </c>
      <c r="D1992" t="inlineStr">
        <is>
          <t>Media file</t>
        </is>
      </c>
      <c r="E1992" t="inlineStr">
        <is>
          <t>player #1:BTBR\test\c3m1.mp4</t>
        </is>
      </c>
      <c r="F1992" t="n">
        <v>-9.199999999999999</v>
      </c>
      <c r="G1992" t="n">
        <v>588.566</v>
      </c>
      <c r="H1992" t="n">
        <v>647.266</v>
      </c>
      <c r="I1992" t="n">
        <v>30</v>
      </c>
      <c r="J1992" t="inlineStr">
        <is>
          <t>BTBR</t>
        </is>
      </c>
      <c r="K1992" t="inlineStr">
        <is>
          <t>Male</t>
        </is>
      </c>
      <c r="L1992" t="inlineStr">
        <is>
          <t>No focal subject</t>
        </is>
      </c>
      <c r="M1992" t="n">
        <v>53.865</v>
      </c>
      <c r="N1992" t="inlineStr">
        <is>
          <t>Explore_F</t>
        </is>
      </c>
      <c r="O1992" t="inlineStr">
        <is>
          <t>Familiar</t>
        </is>
      </c>
      <c r="P1992" t="inlineStr">
        <is>
          <t>STATE</t>
        </is>
      </c>
      <c r="Q1992" t="n">
        <v>18.533</v>
      </c>
      <c r="R1992" t="n">
        <v>18.8</v>
      </c>
      <c r="S1992" t="n">
        <v>0.267</v>
      </c>
      <c r="T1992" t="inlineStr">
        <is>
          <t>BTBR\test\c3m1.mp4</t>
        </is>
      </c>
      <c r="U1992" t="n">
        <v>557</v>
      </c>
      <c r="V1992" t="n">
        <v>564</v>
      </c>
      <c r="W1992" t="n">
        <v/>
      </c>
      <c r="X1992" t="n">
        <v/>
      </c>
      <c r="Y1992" t="n">
        <v/>
      </c>
      <c r="Z1992" t="n">
        <v/>
      </c>
      <c r="AA1992">
        <f>SUMIFS($S$2:S1992,$A$2:A1992,A1992,$N$2:N1992,"Explore*")</f>
        <v/>
      </c>
      <c r="AB1992">
        <f>IF(AND(LEFT(N1992,7)="Explore",(AA1992-IF(LEFT(N1992,7)="Explore",S1992,0))&lt;10),"SI","NO")</f>
        <v/>
      </c>
    </row>
    <row r="1993">
      <c r="A1993" t="inlineStr">
        <is>
          <t>c3m1_test</t>
        </is>
      </c>
      <c r="B1993" t="inlineStr">
        <is>
          <t>2026-01-28 10:51:14.482</t>
        </is>
      </c>
      <c r="C1993" t="n">
        <v/>
      </c>
      <c r="D1993" t="inlineStr">
        <is>
          <t>Media file</t>
        </is>
      </c>
      <c r="E1993" t="inlineStr">
        <is>
          <t>player #1:BTBR\test\c3m1.mp4</t>
        </is>
      </c>
      <c r="F1993" t="n">
        <v>-9.199999999999999</v>
      </c>
      <c r="G1993" t="n">
        <v>588.566</v>
      </c>
      <c r="H1993" t="n">
        <v>647.266</v>
      </c>
      <c r="I1993" t="n">
        <v>30</v>
      </c>
      <c r="J1993" t="inlineStr">
        <is>
          <t>BTBR</t>
        </is>
      </c>
      <c r="K1993" t="inlineStr">
        <is>
          <t>Male</t>
        </is>
      </c>
      <c r="L1993" t="inlineStr">
        <is>
          <t>No focal subject</t>
        </is>
      </c>
      <c r="M1993" t="n">
        <v>53.865</v>
      </c>
      <c r="N1993" t="inlineStr">
        <is>
          <t>Explore_F</t>
        </is>
      </c>
      <c r="O1993" t="inlineStr">
        <is>
          <t>Familiar</t>
        </is>
      </c>
      <c r="P1993" t="inlineStr">
        <is>
          <t>STATE</t>
        </is>
      </c>
      <c r="Q1993" t="n">
        <v>30.033</v>
      </c>
      <c r="R1993" t="n">
        <v>30.7</v>
      </c>
      <c r="S1993" t="n">
        <v>0.667</v>
      </c>
      <c r="T1993" t="inlineStr">
        <is>
          <t>BTBR\test\c3m1.mp4</t>
        </is>
      </c>
      <c r="U1993" t="n">
        <v>902</v>
      </c>
      <c r="V1993" t="n">
        <v>921</v>
      </c>
      <c r="W1993" t="n">
        <v/>
      </c>
      <c r="X1993" t="n">
        <v/>
      </c>
      <c r="Y1993" t="n">
        <v/>
      </c>
      <c r="Z1993" t="n">
        <v/>
      </c>
      <c r="AA1993">
        <f>SUMIFS($S$2:S1993,$A$2:A1993,A1993,$N$2:N1993,"Explore*")</f>
        <v/>
      </c>
      <c r="AB1993">
        <f>IF(AND(LEFT(N1993,7)="Explore",(AA1993-IF(LEFT(N1993,7)="Explore",S1993,0))&lt;10),"SI","NO")</f>
        <v/>
      </c>
    </row>
    <row r="1994">
      <c r="A1994" t="inlineStr">
        <is>
          <t>c3m1_test</t>
        </is>
      </c>
      <c r="B1994" t="inlineStr">
        <is>
          <t>2026-01-28 10:51:14.482</t>
        </is>
      </c>
      <c r="C1994" t="n">
        <v/>
      </c>
      <c r="D1994" t="inlineStr">
        <is>
          <t>Media file</t>
        </is>
      </c>
      <c r="E1994" t="inlineStr">
        <is>
          <t>player #1:BTBR\test\c3m1.mp4</t>
        </is>
      </c>
      <c r="F1994" t="n">
        <v>-9.199999999999999</v>
      </c>
      <c r="G1994" t="n">
        <v>588.566</v>
      </c>
      <c r="H1994" t="n">
        <v>647.266</v>
      </c>
      <c r="I1994" t="n">
        <v>30</v>
      </c>
      <c r="J1994" t="inlineStr">
        <is>
          <t>BTBR</t>
        </is>
      </c>
      <c r="K1994" t="inlineStr">
        <is>
          <t>Male</t>
        </is>
      </c>
      <c r="L1994" t="inlineStr">
        <is>
          <t>No focal subject</t>
        </is>
      </c>
      <c r="M1994" t="n">
        <v>53.865</v>
      </c>
      <c r="N1994" t="inlineStr">
        <is>
          <t>Explore_F</t>
        </is>
      </c>
      <c r="O1994" t="inlineStr">
        <is>
          <t>Familiar</t>
        </is>
      </c>
      <c r="P1994" t="inlineStr">
        <is>
          <t>STATE</t>
        </is>
      </c>
      <c r="Q1994" t="n">
        <v>32.933</v>
      </c>
      <c r="R1994" t="n">
        <v>33.4</v>
      </c>
      <c r="S1994" t="n">
        <v>0.467</v>
      </c>
      <c r="T1994" t="inlineStr">
        <is>
          <t>BTBR\test\c3m1.mp4</t>
        </is>
      </c>
      <c r="U1994" t="n">
        <v>988</v>
      </c>
      <c r="V1994" t="n">
        <v>1002</v>
      </c>
      <c r="W1994" t="n">
        <v/>
      </c>
      <c r="X1994" t="n">
        <v/>
      </c>
      <c r="Y1994" t="n">
        <v/>
      </c>
      <c r="Z1994" t="n">
        <v/>
      </c>
      <c r="AA1994">
        <f>SUMIFS($S$2:S1994,$A$2:A1994,A1994,$N$2:N1994,"Explore*")</f>
        <v/>
      </c>
      <c r="AB1994">
        <f>IF(AND(LEFT(N1994,7)="Explore",(AA1994-IF(LEFT(N1994,7)="Explore",S1994,0))&lt;10),"SI","NO")</f>
        <v/>
      </c>
    </row>
    <row r="1995">
      <c r="A1995" t="inlineStr">
        <is>
          <t>c3m1_test</t>
        </is>
      </c>
      <c r="B1995" t="inlineStr">
        <is>
          <t>2026-01-28 10:51:14.482</t>
        </is>
      </c>
      <c r="C1995" t="n">
        <v/>
      </c>
      <c r="D1995" t="inlineStr">
        <is>
          <t>Media file</t>
        </is>
      </c>
      <c r="E1995" t="inlineStr">
        <is>
          <t>player #1:BTBR\test\c3m1.mp4</t>
        </is>
      </c>
      <c r="F1995" t="n">
        <v>-9.199999999999999</v>
      </c>
      <c r="G1995" t="n">
        <v>588.566</v>
      </c>
      <c r="H1995" t="n">
        <v>647.266</v>
      </c>
      <c r="I1995" t="n">
        <v>30</v>
      </c>
      <c r="J1995" t="inlineStr">
        <is>
          <t>BTBR</t>
        </is>
      </c>
      <c r="K1995" t="inlineStr">
        <is>
          <t>Male</t>
        </is>
      </c>
      <c r="L1995" t="inlineStr">
        <is>
          <t>No focal subject</t>
        </is>
      </c>
      <c r="M1995" t="n">
        <v>53.865</v>
      </c>
      <c r="N1995" t="inlineStr">
        <is>
          <t>Explore_N</t>
        </is>
      </c>
      <c r="O1995" t="inlineStr">
        <is>
          <t>Novelty</t>
        </is>
      </c>
      <c r="P1995" t="inlineStr">
        <is>
          <t>STATE</t>
        </is>
      </c>
      <c r="Q1995" t="n">
        <v>38.3</v>
      </c>
      <c r="R1995" t="n">
        <v>40.067</v>
      </c>
      <c r="S1995" t="n">
        <v>1.767</v>
      </c>
      <c r="T1995" t="inlineStr">
        <is>
          <t>BTBR\test\c3m1.mp4</t>
        </is>
      </c>
      <c r="U1995" t="n">
        <v>1149</v>
      </c>
      <c r="V1995" t="n">
        <v>1202</v>
      </c>
      <c r="W1995" t="n">
        <v/>
      </c>
      <c r="X1995" t="n">
        <v/>
      </c>
      <c r="Y1995" t="n">
        <v/>
      </c>
      <c r="Z1995" t="n">
        <v/>
      </c>
      <c r="AA1995">
        <f>SUMIFS($S$2:S1995,$A$2:A1995,A1995,$N$2:N1995,"Explore*")</f>
        <v/>
      </c>
      <c r="AB1995">
        <f>IF(AND(LEFT(N1995,7)="Explore",(AA1995-IF(LEFT(N1995,7)="Explore",S1995,0))&lt;10),"SI","NO")</f>
        <v/>
      </c>
    </row>
    <row r="1996">
      <c r="A1996" t="inlineStr">
        <is>
          <t>c3m1_test</t>
        </is>
      </c>
      <c r="B1996" t="inlineStr">
        <is>
          <t>2026-01-28 10:51:14.482</t>
        </is>
      </c>
      <c r="C1996" t="n">
        <v/>
      </c>
      <c r="D1996" t="inlineStr">
        <is>
          <t>Media file</t>
        </is>
      </c>
      <c r="E1996" t="inlineStr">
        <is>
          <t>player #1:BTBR\test\c3m1.mp4</t>
        </is>
      </c>
      <c r="F1996" t="n">
        <v>-9.199999999999999</v>
      </c>
      <c r="G1996" t="n">
        <v>588.566</v>
      </c>
      <c r="H1996" t="n">
        <v>647.266</v>
      </c>
      <c r="I1996" t="n">
        <v>30</v>
      </c>
      <c r="J1996" t="inlineStr">
        <is>
          <t>BTBR</t>
        </is>
      </c>
      <c r="K1996" t="inlineStr">
        <is>
          <t>Male</t>
        </is>
      </c>
      <c r="L1996" t="inlineStr">
        <is>
          <t>No focal subject</t>
        </is>
      </c>
      <c r="M1996" t="n">
        <v>53.865</v>
      </c>
      <c r="N1996" t="inlineStr">
        <is>
          <t>Explore_F</t>
        </is>
      </c>
      <c r="O1996" t="inlineStr">
        <is>
          <t>Familiar</t>
        </is>
      </c>
      <c r="P1996" t="inlineStr">
        <is>
          <t>STATE</t>
        </is>
      </c>
      <c r="Q1996" t="n">
        <v>41.3</v>
      </c>
      <c r="R1996" t="n">
        <v>41.967</v>
      </c>
      <c r="S1996" t="n">
        <v>0.667</v>
      </c>
      <c r="T1996" t="inlineStr">
        <is>
          <t>BTBR\test\c3m1.mp4</t>
        </is>
      </c>
      <c r="U1996" t="n">
        <v>1239</v>
      </c>
      <c r="V1996" t="n">
        <v>1259</v>
      </c>
      <c r="W1996" t="n">
        <v/>
      </c>
      <c r="X1996" t="n">
        <v/>
      </c>
      <c r="Y1996" t="n">
        <v/>
      </c>
      <c r="Z1996" t="n">
        <v/>
      </c>
      <c r="AA1996">
        <f>SUMIFS($S$2:S1996,$A$2:A1996,A1996,$N$2:N1996,"Explore*")</f>
        <v/>
      </c>
      <c r="AB1996">
        <f>IF(AND(LEFT(N1996,7)="Explore",(AA1996-IF(LEFT(N1996,7)="Explore",S1996,0))&lt;10),"SI","NO")</f>
        <v/>
      </c>
    </row>
    <row r="1997">
      <c r="A1997" t="inlineStr">
        <is>
          <t>c3m1_test</t>
        </is>
      </c>
      <c r="B1997" t="inlineStr">
        <is>
          <t>2026-01-28 10:51:14.482</t>
        </is>
      </c>
      <c r="C1997" t="n">
        <v/>
      </c>
      <c r="D1997" t="inlineStr">
        <is>
          <t>Media file</t>
        </is>
      </c>
      <c r="E1997" t="inlineStr">
        <is>
          <t>player #1:BTBR\test\c3m1.mp4</t>
        </is>
      </c>
      <c r="F1997" t="n">
        <v>-9.199999999999999</v>
      </c>
      <c r="G1997" t="n">
        <v>588.566</v>
      </c>
      <c r="H1997" t="n">
        <v>647.266</v>
      </c>
      <c r="I1997" t="n">
        <v>30</v>
      </c>
      <c r="J1997" t="inlineStr">
        <is>
          <t>BTBR</t>
        </is>
      </c>
      <c r="K1997" t="inlineStr">
        <is>
          <t>Male</t>
        </is>
      </c>
      <c r="L1997" t="inlineStr">
        <is>
          <t>No focal subject</t>
        </is>
      </c>
      <c r="M1997" t="n">
        <v>53.865</v>
      </c>
      <c r="N1997" t="inlineStr">
        <is>
          <t>Explore_N</t>
        </is>
      </c>
      <c r="O1997" t="inlineStr">
        <is>
          <t>Novelty</t>
        </is>
      </c>
      <c r="P1997" t="inlineStr">
        <is>
          <t>STATE</t>
        </is>
      </c>
      <c r="Q1997" t="n">
        <v>47.033</v>
      </c>
      <c r="R1997" t="n">
        <v>47.333</v>
      </c>
      <c r="S1997" t="n">
        <v>0.3</v>
      </c>
      <c r="T1997" t="inlineStr">
        <is>
          <t>BTBR\test\c3m1.mp4</t>
        </is>
      </c>
      <c r="U1997" t="n">
        <v>1412</v>
      </c>
      <c r="V1997" t="n">
        <v>1420</v>
      </c>
      <c r="W1997" t="n">
        <v/>
      </c>
      <c r="X1997" t="n">
        <v/>
      </c>
      <c r="Y1997" t="n">
        <v/>
      </c>
      <c r="Z1997" t="n">
        <v/>
      </c>
      <c r="AA1997">
        <f>SUMIFS($S$2:S1997,$A$2:A1997,A1997,$N$2:N1997,"Explore*")</f>
        <v/>
      </c>
      <c r="AB1997">
        <f>IF(AND(LEFT(N1997,7)="Explore",(AA1997-IF(LEFT(N1997,7)="Explore",S1997,0))&lt;10),"SI","NO")</f>
        <v/>
      </c>
    </row>
    <row r="1998">
      <c r="A1998" t="inlineStr">
        <is>
          <t>c3m1_test</t>
        </is>
      </c>
      <c r="B1998" t="inlineStr">
        <is>
          <t>2026-01-28 10:51:14.482</t>
        </is>
      </c>
      <c r="C1998" t="n">
        <v/>
      </c>
      <c r="D1998" t="inlineStr">
        <is>
          <t>Media file</t>
        </is>
      </c>
      <c r="E1998" t="inlineStr">
        <is>
          <t>player #1:BTBR\test\c3m1.mp4</t>
        </is>
      </c>
      <c r="F1998" t="n">
        <v>-9.199999999999999</v>
      </c>
      <c r="G1998" t="n">
        <v>588.566</v>
      </c>
      <c r="H1998" t="n">
        <v>647.266</v>
      </c>
      <c r="I1998" t="n">
        <v>30</v>
      </c>
      <c r="J1998" t="inlineStr">
        <is>
          <t>BTBR</t>
        </is>
      </c>
      <c r="K1998" t="inlineStr">
        <is>
          <t>Male</t>
        </is>
      </c>
      <c r="L1998" t="inlineStr">
        <is>
          <t>No focal subject</t>
        </is>
      </c>
      <c r="M1998" t="n">
        <v>53.865</v>
      </c>
      <c r="N1998" t="inlineStr">
        <is>
          <t>Explore_N</t>
        </is>
      </c>
      <c r="O1998" t="inlineStr">
        <is>
          <t>Novelty</t>
        </is>
      </c>
      <c r="P1998" t="inlineStr">
        <is>
          <t>STATE</t>
        </is>
      </c>
      <c r="Q1998" t="n">
        <v>48.1</v>
      </c>
      <c r="R1998" t="n">
        <v>49.367</v>
      </c>
      <c r="S1998" t="n">
        <v>1.267</v>
      </c>
      <c r="T1998" t="inlineStr">
        <is>
          <t>BTBR\test\c3m1.mp4</t>
        </is>
      </c>
      <c r="U1998" t="n">
        <v>1443</v>
      </c>
      <c r="V1998" t="n">
        <v>1481</v>
      </c>
      <c r="W1998" t="n">
        <v/>
      </c>
      <c r="X1998" t="n">
        <v/>
      </c>
      <c r="Y1998" t="n">
        <v/>
      </c>
      <c r="Z1998" t="n">
        <v/>
      </c>
      <c r="AA1998">
        <f>SUMIFS($S$2:S1998,$A$2:A1998,A1998,$N$2:N1998,"Explore*")</f>
        <v/>
      </c>
      <c r="AB1998">
        <f>IF(AND(LEFT(N1998,7)="Explore",(AA1998-IF(LEFT(N1998,7)="Explore",S1998,0))&lt;10),"SI","NO")</f>
        <v/>
      </c>
    </row>
    <row r="1999">
      <c r="A1999" t="inlineStr">
        <is>
          <t>c3m1_test</t>
        </is>
      </c>
      <c r="B1999" t="inlineStr">
        <is>
          <t>2026-01-28 10:51:14.482</t>
        </is>
      </c>
      <c r="C1999" t="n">
        <v/>
      </c>
      <c r="D1999" t="inlineStr">
        <is>
          <t>Media file</t>
        </is>
      </c>
      <c r="E1999" t="inlineStr">
        <is>
          <t>player #1:BTBR\test\c3m1.mp4</t>
        </is>
      </c>
      <c r="F1999" t="n">
        <v>-9.199999999999999</v>
      </c>
      <c r="G1999" t="n">
        <v>588.566</v>
      </c>
      <c r="H1999" t="n">
        <v>647.266</v>
      </c>
      <c r="I1999" t="n">
        <v>30</v>
      </c>
      <c r="J1999" t="inlineStr">
        <is>
          <t>BTBR</t>
        </is>
      </c>
      <c r="K1999" t="inlineStr">
        <is>
          <t>Male</t>
        </is>
      </c>
      <c r="L1999" t="inlineStr">
        <is>
          <t>No focal subject</t>
        </is>
      </c>
      <c r="M1999" t="n">
        <v>53.865</v>
      </c>
      <c r="N1999" t="inlineStr">
        <is>
          <t>Explore_F</t>
        </is>
      </c>
      <c r="O1999" t="inlineStr">
        <is>
          <t>Familiar</t>
        </is>
      </c>
      <c r="P1999" t="inlineStr">
        <is>
          <t>STATE</t>
        </is>
      </c>
      <c r="Q1999" t="n">
        <v>55.333</v>
      </c>
      <c r="R1999" t="n">
        <v>55.667</v>
      </c>
      <c r="S1999" t="n">
        <v>0.334</v>
      </c>
      <c r="T1999" t="inlineStr">
        <is>
          <t>BTBR\test\c3m1.mp4</t>
        </is>
      </c>
      <c r="U1999" t="n">
        <v>1660</v>
      </c>
      <c r="V1999" t="n">
        <v>1670</v>
      </c>
      <c r="W1999" t="n">
        <v/>
      </c>
      <c r="X1999" t="n">
        <v/>
      </c>
      <c r="Y1999" t="n">
        <v/>
      </c>
      <c r="Z1999" t="n">
        <v/>
      </c>
      <c r="AA1999">
        <f>SUMIFS($S$2:S1999,$A$2:A1999,A1999,$N$2:N1999,"Explore*")</f>
        <v/>
      </c>
      <c r="AB1999">
        <f>IF(AND(LEFT(N1999,7)="Explore",(AA1999-IF(LEFT(N1999,7)="Explore",S1999,0))&lt;10),"SI","NO")</f>
        <v/>
      </c>
    </row>
    <row r="2000">
      <c r="A2000" t="inlineStr">
        <is>
          <t>c3m1_test</t>
        </is>
      </c>
      <c r="B2000" t="inlineStr">
        <is>
          <t>2026-01-28 10:51:14.482</t>
        </is>
      </c>
      <c r="C2000" t="n">
        <v/>
      </c>
      <c r="D2000" t="inlineStr">
        <is>
          <t>Media file</t>
        </is>
      </c>
      <c r="E2000" t="inlineStr">
        <is>
          <t>player #1:BTBR\test\c3m1.mp4</t>
        </is>
      </c>
      <c r="F2000" t="n">
        <v>-9.199999999999999</v>
      </c>
      <c r="G2000" t="n">
        <v>588.566</v>
      </c>
      <c r="H2000" t="n">
        <v>647.266</v>
      </c>
      <c r="I2000" t="n">
        <v>30</v>
      </c>
      <c r="J2000" t="inlineStr">
        <is>
          <t>BTBR</t>
        </is>
      </c>
      <c r="K2000" t="inlineStr">
        <is>
          <t>Male</t>
        </is>
      </c>
      <c r="L2000" t="inlineStr">
        <is>
          <t>No focal subject</t>
        </is>
      </c>
      <c r="M2000" t="n">
        <v>53.865</v>
      </c>
      <c r="N2000" t="inlineStr">
        <is>
          <t>Explore_N</t>
        </is>
      </c>
      <c r="O2000" t="inlineStr">
        <is>
          <t>Novelty</t>
        </is>
      </c>
      <c r="P2000" t="inlineStr">
        <is>
          <t>STATE</t>
        </is>
      </c>
      <c r="Q2000" t="n">
        <v>71.40000000000001</v>
      </c>
      <c r="R2000" t="n">
        <v>71.633</v>
      </c>
      <c r="S2000" t="n">
        <v>0.233</v>
      </c>
      <c r="T2000" t="inlineStr">
        <is>
          <t>BTBR\test\c3m1.mp4</t>
        </is>
      </c>
      <c r="U2000" t="n">
        <v>2142</v>
      </c>
      <c r="V2000" t="n">
        <v>2149</v>
      </c>
      <c r="W2000" t="n">
        <v/>
      </c>
      <c r="X2000" t="n">
        <v/>
      </c>
      <c r="Y2000" t="n">
        <v/>
      </c>
      <c r="Z2000" t="n">
        <v/>
      </c>
      <c r="AA2000">
        <f>SUMIFS($S$2:S2000,$A$2:A2000,A2000,$N$2:N2000,"Explore*")</f>
        <v/>
      </c>
      <c r="AB2000">
        <f>IF(AND(LEFT(N2000,7)="Explore",(AA2000-IF(LEFT(N2000,7)="Explore",S2000,0))&lt;10),"SI","NO")</f>
        <v/>
      </c>
    </row>
    <row r="2001">
      <c r="A2001" t="inlineStr">
        <is>
          <t>c3m1_test</t>
        </is>
      </c>
      <c r="B2001" t="inlineStr">
        <is>
          <t>2026-01-28 10:51:14.482</t>
        </is>
      </c>
      <c r="C2001" t="n">
        <v/>
      </c>
      <c r="D2001" t="inlineStr">
        <is>
          <t>Media file</t>
        </is>
      </c>
      <c r="E2001" t="inlineStr">
        <is>
          <t>player #1:BTBR\test\c3m1.mp4</t>
        </is>
      </c>
      <c r="F2001" t="n">
        <v>-9.199999999999999</v>
      </c>
      <c r="G2001" t="n">
        <v>588.566</v>
      </c>
      <c r="H2001" t="n">
        <v>647.266</v>
      </c>
      <c r="I2001" t="n">
        <v>30</v>
      </c>
      <c r="J2001" t="inlineStr">
        <is>
          <t>BTBR</t>
        </is>
      </c>
      <c r="K2001" t="inlineStr">
        <is>
          <t>Male</t>
        </is>
      </c>
      <c r="L2001" t="inlineStr">
        <is>
          <t>No focal subject</t>
        </is>
      </c>
      <c r="M2001" t="n">
        <v>53.865</v>
      </c>
      <c r="N2001" t="inlineStr">
        <is>
          <t>Explore_N</t>
        </is>
      </c>
      <c r="O2001" t="inlineStr">
        <is>
          <t>Novelty</t>
        </is>
      </c>
      <c r="P2001" t="inlineStr">
        <is>
          <t>STATE</t>
        </is>
      </c>
      <c r="Q2001" t="n">
        <v>72.2</v>
      </c>
      <c r="R2001" t="n">
        <v>73.633</v>
      </c>
      <c r="S2001" t="n">
        <v>1.433</v>
      </c>
      <c r="T2001" t="inlineStr">
        <is>
          <t>BTBR\test\c3m1.mp4</t>
        </is>
      </c>
      <c r="U2001" t="n">
        <v>2166</v>
      </c>
      <c r="V2001" t="n">
        <v>2209</v>
      </c>
      <c r="W2001" t="n">
        <v/>
      </c>
      <c r="X2001" t="n">
        <v/>
      </c>
      <c r="Y2001" t="n">
        <v/>
      </c>
      <c r="Z2001" t="n">
        <v/>
      </c>
      <c r="AA2001">
        <f>SUMIFS($S$2:S2001,$A$2:A2001,A2001,$N$2:N2001,"Explore*")</f>
        <v/>
      </c>
      <c r="AB2001">
        <f>IF(AND(LEFT(N2001,7)="Explore",(AA2001-IF(LEFT(N2001,7)="Explore",S2001,0))&lt;10),"SI","NO")</f>
        <v/>
      </c>
    </row>
    <row r="2002">
      <c r="A2002" t="inlineStr">
        <is>
          <t>c3m1_test</t>
        </is>
      </c>
      <c r="B2002" t="inlineStr">
        <is>
          <t>2026-01-28 10:51:14.482</t>
        </is>
      </c>
      <c r="C2002" t="n">
        <v/>
      </c>
      <c r="D2002" t="inlineStr">
        <is>
          <t>Media file</t>
        </is>
      </c>
      <c r="E2002" t="inlineStr">
        <is>
          <t>player #1:BTBR\test\c3m1.mp4</t>
        </is>
      </c>
      <c r="F2002" t="n">
        <v>-9.199999999999999</v>
      </c>
      <c r="G2002" t="n">
        <v>588.566</v>
      </c>
      <c r="H2002" t="n">
        <v>647.266</v>
      </c>
      <c r="I2002" t="n">
        <v>30</v>
      </c>
      <c r="J2002" t="inlineStr">
        <is>
          <t>BTBR</t>
        </is>
      </c>
      <c r="K2002" t="inlineStr">
        <is>
          <t>Male</t>
        </is>
      </c>
      <c r="L2002" t="inlineStr">
        <is>
          <t>No focal subject</t>
        </is>
      </c>
      <c r="M2002" t="n">
        <v>53.865</v>
      </c>
      <c r="N2002" t="inlineStr">
        <is>
          <t>Explore_F</t>
        </is>
      </c>
      <c r="O2002" t="inlineStr">
        <is>
          <t>Familiar</t>
        </is>
      </c>
      <c r="P2002" t="inlineStr">
        <is>
          <t>STATE</t>
        </is>
      </c>
      <c r="Q2002" t="n">
        <v>74.40000000000001</v>
      </c>
      <c r="R2002" t="n">
        <v>75.56699999999999</v>
      </c>
      <c r="S2002" t="n">
        <v>1.167</v>
      </c>
      <c r="T2002" t="inlineStr">
        <is>
          <t>BTBR\test\c3m1.mp4</t>
        </is>
      </c>
      <c r="U2002" t="n">
        <v>2232</v>
      </c>
      <c r="V2002" t="n">
        <v>2267</v>
      </c>
      <c r="W2002" t="n">
        <v/>
      </c>
      <c r="X2002" t="n">
        <v/>
      </c>
      <c r="Y2002" t="n">
        <v/>
      </c>
      <c r="Z2002" t="n">
        <v/>
      </c>
      <c r="AA2002">
        <f>SUMIFS($S$2:S2002,$A$2:A2002,A2002,$N$2:N2002,"Explore*")</f>
        <v/>
      </c>
      <c r="AB2002">
        <f>IF(AND(LEFT(N2002,7)="Explore",(AA2002-IF(LEFT(N2002,7)="Explore",S2002,0))&lt;10),"SI","NO")</f>
        <v/>
      </c>
    </row>
    <row r="2003">
      <c r="A2003" t="inlineStr">
        <is>
          <t>c3m1_test</t>
        </is>
      </c>
      <c r="B2003" t="inlineStr">
        <is>
          <t>2026-01-28 10:51:14.482</t>
        </is>
      </c>
      <c r="C2003" t="n">
        <v/>
      </c>
      <c r="D2003" t="inlineStr">
        <is>
          <t>Media file</t>
        </is>
      </c>
      <c r="E2003" t="inlineStr">
        <is>
          <t>player #1:BTBR\test\c3m1.mp4</t>
        </is>
      </c>
      <c r="F2003" t="n">
        <v>-9.199999999999999</v>
      </c>
      <c r="G2003" t="n">
        <v>588.566</v>
      </c>
      <c r="H2003" t="n">
        <v>647.266</v>
      </c>
      <c r="I2003" t="n">
        <v>30</v>
      </c>
      <c r="J2003" t="inlineStr">
        <is>
          <t>BTBR</t>
        </is>
      </c>
      <c r="K2003" t="inlineStr">
        <is>
          <t>Male</t>
        </is>
      </c>
      <c r="L2003" t="inlineStr">
        <is>
          <t>No focal subject</t>
        </is>
      </c>
      <c r="M2003" t="n">
        <v>53.865</v>
      </c>
      <c r="N2003" t="inlineStr">
        <is>
          <t>Explore_N</t>
        </is>
      </c>
      <c r="O2003" t="inlineStr">
        <is>
          <t>Novelty</t>
        </is>
      </c>
      <c r="P2003" t="inlineStr">
        <is>
          <t>STATE</t>
        </is>
      </c>
      <c r="Q2003" t="n">
        <v>76.967</v>
      </c>
      <c r="R2003" t="n">
        <v>78.09999999999999</v>
      </c>
      <c r="S2003" t="n">
        <v>1.133</v>
      </c>
      <c r="T2003" t="inlineStr">
        <is>
          <t>BTBR\test\c3m1.mp4</t>
        </is>
      </c>
      <c r="U2003" t="n">
        <v>2309</v>
      </c>
      <c r="V2003" t="n">
        <v>2345</v>
      </c>
      <c r="W2003" t="n">
        <v/>
      </c>
      <c r="X2003" t="n">
        <v/>
      </c>
      <c r="Y2003" t="n">
        <v/>
      </c>
      <c r="Z2003" t="n">
        <v/>
      </c>
      <c r="AA2003">
        <f>SUMIFS($S$2:S2003,$A$2:A2003,A2003,$N$2:N2003,"Explore*")</f>
        <v/>
      </c>
      <c r="AB2003">
        <f>IF(AND(LEFT(N2003,7)="Explore",(AA2003-IF(LEFT(N2003,7)="Explore",S2003,0))&lt;10),"SI","NO")</f>
        <v/>
      </c>
    </row>
    <row r="2004">
      <c r="A2004" t="inlineStr">
        <is>
          <t>c3m1_test</t>
        </is>
      </c>
      <c r="B2004" t="inlineStr">
        <is>
          <t>2026-01-28 10:51:14.482</t>
        </is>
      </c>
      <c r="C2004" t="n">
        <v/>
      </c>
      <c r="D2004" t="inlineStr">
        <is>
          <t>Media file</t>
        </is>
      </c>
      <c r="E2004" t="inlineStr">
        <is>
          <t>player #1:BTBR\test\c3m1.mp4</t>
        </is>
      </c>
      <c r="F2004" t="n">
        <v>-9.199999999999999</v>
      </c>
      <c r="G2004" t="n">
        <v>588.566</v>
      </c>
      <c r="H2004" t="n">
        <v>647.266</v>
      </c>
      <c r="I2004" t="n">
        <v>30</v>
      </c>
      <c r="J2004" t="inlineStr">
        <is>
          <t>BTBR</t>
        </is>
      </c>
      <c r="K2004" t="inlineStr">
        <is>
          <t>Male</t>
        </is>
      </c>
      <c r="L2004" t="inlineStr">
        <is>
          <t>No focal subject</t>
        </is>
      </c>
      <c r="M2004" t="n">
        <v>53.865</v>
      </c>
      <c r="N2004" t="inlineStr">
        <is>
          <t>Explore_F</t>
        </is>
      </c>
      <c r="O2004" t="inlineStr">
        <is>
          <t>Familiar</t>
        </is>
      </c>
      <c r="P2004" t="inlineStr">
        <is>
          <t>STATE</t>
        </is>
      </c>
      <c r="Q2004" t="n">
        <v>79.3</v>
      </c>
      <c r="R2004" t="n">
        <v>80.467</v>
      </c>
      <c r="S2004" t="n">
        <v>1.167</v>
      </c>
      <c r="T2004" t="inlineStr">
        <is>
          <t>BTBR\test\c3m1.mp4</t>
        </is>
      </c>
      <c r="U2004" t="n">
        <v>2379</v>
      </c>
      <c r="V2004" t="n">
        <v>2414</v>
      </c>
      <c r="W2004" t="n">
        <v/>
      </c>
      <c r="X2004" t="n">
        <v/>
      </c>
      <c r="Y2004" t="n">
        <v/>
      </c>
      <c r="Z2004" t="n">
        <v/>
      </c>
      <c r="AA2004">
        <f>SUMIFS($S$2:S2004,$A$2:A2004,A2004,$N$2:N2004,"Explore*")</f>
        <v/>
      </c>
      <c r="AB2004">
        <f>IF(AND(LEFT(N2004,7)="Explore",(AA2004-IF(LEFT(N2004,7)="Explore",S2004,0))&lt;10),"SI","NO")</f>
        <v/>
      </c>
    </row>
    <row r="2005">
      <c r="A2005" t="inlineStr">
        <is>
          <t>c3m1_test</t>
        </is>
      </c>
      <c r="B2005" t="inlineStr">
        <is>
          <t>2026-01-28 10:51:14.482</t>
        </is>
      </c>
      <c r="C2005" t="n">
        <v/>
      </c>
      <c r="D2005" t="inlineStr">
        <is>
          <t>Media file</t>
        </is>
      </c>
      <c r="E2005" t="inlineStr">
        <is>
          <t>player #1:BTBR\test\c3m1.mp4</t>
        </is>
      </c>
      <c r="F2005" t="n">
        <v>-9.199999999999999</v>
      </c>
      <c r="G2005" t="n">
        <v>588.566</v>
      </c>
      <c r="H2005" t="n">
        <v>647.266</v>
      </c>
      <c r="I2005" t="n">
        <v>30</v>
      </c>
      <c r="J2005" t="inlineStr">
        <is>
          <t>BTBR</t>
        </is>
      </c>
      <c r="K2005" t="inlineStr">
        <is>
          <t>Male</t>
        </is>
      </c>
      <c r="L2005" t="inlineStr">
        <is>
          <t>No focal subject</t>
        </is>
      </c>
      <c r="M2005" t="n">
        <v>53.865</v>
      </c>
      <c r="N2005" t="inlineStr">
        <is>
          <t>Explore_N</t>
        </is>
      </c>
      <c r="O2005" t="inlineStr">
        <is>
          <t>Novelty</t>
        </is>
      </c>
      <c r="P2005" t="inlineStr">
        <is>
          <t>STATE</t>
        </is>
      </c>
      <c r="Q2005" t="n">
        <v>83.06699999999999</v>
      </c>
      <c r="R2005" t="n">
        <v>83.43300000000001</v>
      </c>
      <c r="S2005" t="n">
        <v>0.366</v>
      </c>
      <c r="T2005" t="inlineStr">
        <is>
          <t>BTBR\test\c3m1.mp4</t>
        </is>
      </c>
      <c r="U2005" t="n">
        <v>2492</v>
      </c>
      <c r="V2005" t="n">
        <v>2502</v>
      </c>
      <c r="W2005" t="n">
        <v/>
      </c>
      <c r="X2005" t="n">
        <v/>
      </c>
      <c r="Y2005" t="n">
        <v/>
      </c>
      <c r="Z2005" t="n">
        <v/>
      </c>
      <c r="AA2005">
        <f>SUMIFS($S$2:S2005,$A$2:A2005,A2005,$N$2:N2005,"Explore*")</f>
        <v/>
      </c>
      <c r="AB2005">
        <f>IF(AND(LEFT(N2005,7)="Explore",(AA2005-IF(LEFT(N2005,7)="Explore",S2005,0))&lt;10),"SI","NO")</f>
        <v/>
      </c>
    </row>
    <row r="2006">
      <c r="A2006" t="inlineStr">
        <is>
          <t>c3m1_test</t>
        </is>
      </c>
      <c r="B2006" t="inlineStr">
        <is>
          <t>2026-01-28 10:51:14.482</t>
        </is>
      </c>
      <c r="C2006" t="n">
        <v/>
      </c>
      <c r="D2006" t="inlineStr">
        <is>
          <t>Media file</t>
        </is>
      </c>
      <c r="E2006" t="inlineStr">
        <is>
          <t>player #1:BTBR\test\c3m1.mp4</t>
        </is>
      </c>
      <c r="F2006" t="n">
        <v>-9.199999999999999</v>
      </c>
      <c r="G2006" t="n">
        <v>588.566</v>
      </c>
      <c r="H2006" t="n">
        <v>647.266</v>
      </c>
      <c r="I2006" t="n">
        <v>30</v>
      </c>
      <c r="J2006" t="inlineStr">
        <is>
          <t>BTBR</t>
        </is>
      </c>
      <c r="K2006" t="inlineStr">
        <is>
          <t>Male</t>
        </is>
      </c>
      <c r="L2006" t="inlineStr">
        <is>
          <t>No focal subject</t>
        </is>
      </c>
      <c r="M2006" t="n">
        <v>53.865</v>
      </c>
      <c r="N2006" t="inlineStr">
        <is>
          <t>Explore_N</t>
        </is>
      </c>
      <c r="O2006" t="inlineStr">
        <is>
          <t>Novelty</t>
        </is>
      </c>
      <c r="P2006" t="inlineStr">
        <is>
          <t>STATE</t>
        </is>
      </c>
      <c r="Q2006" t="n">
        <v>83.833</v>
      </c>
      <c r="R2006" t="n">
        <v>84.5</v>
      </c>
      <c r="S2006" t="n">
        <v>0.667</v>
      </c>
      <c r="T2006" t="inlineStr">
        <is>
          <t>BTBR\test\c3m1.mp4</t>
        </is>
      </c>
      <c r="U2006" t="n">
        <v>2514</v>
      </c>
      <c r="V2006" t="n">
        <v>2534</v>
      </c>
      <c r="W2006" t="n">
        <v/>
      </c>
      <c r="X2006" t="n">
        <v/>
      </c>
      <c r="Y2006" t="n">
        <v/>
      </c>
      <c r="Z2006" t="n">
        <v/>
      </c>
      <c r="AA2006">
        <f>SUMIFS($S$2:S2006,$A$2:A2006,A2006,$N$2:N2006,"Explore*")</f>
        <v/>
      </c>
      <c r="AB2006">
        <f>IF(AND(LEFT(N2006,7)="Explore",(AA2006-IF(LEFT(N2006,7)="Explore",S2006,0))&lt;10),"SI","NO")</f>
        <v/>
      </c>
    </row>
    <row r="2007">
      <c r="A2007" t="inlineStr">
        <is>
          <t>c3m1_test</t>
        </is>
      </c>
      <c r="B2007" t="inlineStr">
        <is>
          <t>2026-01-28 10:51:14.482</t>
        </is>
      </c>
      <c r="C2007" t="n">
        <v/>
      </c>
      <c r="D2007" t="inlineStr">
        <is>
          <t>Media file</t>
        </is>
      </c>
      <c r="E2007" t="inlineStr">
        <is>
          <t>player #1:BTBR\test\c3m1.mp4</t>
        </is>
      </c>
      <c r="F2007" t="n">
        <v>-9.199999999999999</v>
      </c>
      <c r="G2007" t="n">
        <v>588.566</v>
      </c>
      <c r="H2007" t="n">
        <v>647.266</v>
      </c>
      <c r="I2007" t="n">
        <v>30</v>
      </c>
      <c r="J2007" t="inlineStr">
        <is>
          <t>BTBR</t>
        </is>
      </c>
      <c r="K2007" t="inlineStr">
        <is>
          <t>Male</t>
        </is>
      </c>
      <c r="L2007" t="inlineStr">
        <is>
          <t>No focal subject</t>
        </is>
      </c>
      <c r="M2007" t="n">
        <v>53.865</v>
      </c>
      <c r="N2007" t="inlineStr">
        <is>
          <t>Explore_N</t>
        </is>
      </c>
      <c r="O2007" t="inlineStr">
        <is>
          <t>Novelty</t>
        </is>
      </c>
      <c r="P2007" t="inlineStr">
        <is>
          <t>STATE</t>
        </is>
      </c>
      <c r="Q2007" t="n">
        <v>85.033</v>
      </c>
      <c r="R2007" t="n">
        <v>86.233</v>
      </c>
      <c r="S2007" t="n">
        <v>1.2</v>
      </c>
      <c r="T2007" t="inlineStr">
        <is>
          <t>BTBR\test\c3m1.mp4</t>
        </is>
      </c>
      <c r="U2007" t="n">
        <v>2550</v>
      </c>
      <c r="V2007" t="n">
        <v>2586</v>
      </c>
      <c r="W2007" t="n">
        <v/>
      </c>
      <c r="X2007" t="n">
        <v/>
      </c>
      <c r="Y2007" t="n">
        <v/>
      </c>
      <c r="Z2007" t="n">
        <v/>
      </c>
      <c r="AA2007">
        <f>SUMIFS($S$2:S2007,$A$2:A2007,A2007,$N$2:N2007,"Explore*")</f>
        <v/>
      </c>
      <c r="AB2007">
        <f>IF(AND(LEFT(N2007,7)="Explore",(AA2007-IF(LEFT(N2007,7)="Explore",S2007,0))&lt;10),"SI","NO")</f>
        <v/>
      </c>
    </row>
    <row r="2008">
      <c r="A2008" t="inlineStr">
        <is>
          <t>c3m1_test</t>
        </is>
      </c>
      <c r="B2008" t="inlineStr">
        <is>
          <t>2026-01-28 10:51:14.482</t>
        </is>
      </c>
      <c r="C2008" t="n">
        <v/>
      </c>
      <c r="D2008" t="inlineStr">
        <is>
          <t>Media file</t>
        </is>
      </c>
      <c r="E2008" t="inlineStr">
        <is>
          <t>player #1:BTBR\test\c3m1.mp4</t>
        </is>
      </c>
      <c r="F2008" t="n">
        <v>-9.199999999999999</v>
      </c>
      <c r="G2008" t="n">
        <v>588.566</v>
      </c>
      <c r="H2008" t="n">
        <v>647.266</v>
      </c>
      <c r="I2008" t="n">
        <v>30</v>
      </c>
      <c r="J2008" t="inlineStr">
        <is>
          <t>BTBR</t>
        </is>
      </c>
      <c r="K2008" t="inlineStr">
        <is>
          <t>Male</t>
        </is>
      </c>
      <c r="L2008" t="inlineStr">
        <is>
          <t>No focal subject</t>
        </is>
      </c>
      <c r="M2008" t="n">
        <v>53.865</v>
      </c>
      <c r="N2008" t="inlineStr">
        <is>
          <t>Explore_F</t>
        </is>
      </c>
      <c r="O2008" t="inlineStr">
        <is>
          <t>Familiar</t>
        </is>
      </c>
      <c r="P2008" t="inlineStr">
        <is>
          <t>STATE</t>
        </is>
      </c>
      <c r="Q2008" t="n">
        <v>87.267</v>
      </c>
      <c r="R2008" t="n">
        <v>88.43300000000001</v>
      </c>
      <c r="S2008" t="n">
        <v>1.166</v>
      </c>
      <c r="T2008" t="inlineStr">
        <is>
          <t>BTBR\test\c3m1.mp4</t>
        </is>
      </c>
      <c r="U2008" t="n">
        <v>2617</v>
      </c>
      <c r="V2008" t="n">
        <v>2652</v>
      </c>
      <c r="W2008" t="n">
        <v/>
      </c>
      <c r="X2008" t="n">
        <v/>
      </c>
      <c r="Y2008" t="n">
        <v/>
      </c>
      <c r="Z2008" t="n">
        <v/>
      </c>
      <c r="AA2008">
        <f>SUMIFS($S$2:S2008,$A$2:A2008,A2008,$N$2:N2008,"Explore*")</f>
        <v/>
      </c>
      <c r="AB2008">
        <f>IF(AND(LEFT(N2008,7)="Explore",(AA2008-IF(LEFT(N2008,7)="Explore",S2008,0))&lt;10),"SI","NO")</f>
        <v/>
      </c>
    </row>
    <row r="2009">
      <c r="A2009" t="inlineStr">
        <is>
          <t>c3m1_test</t>
        </is>
      </c>
      <c r="B2009" t="inlineStr">
        <is>
          <t>2026-01-28 10:51:14.482</t>
        </is>
      </c>
      <c r="C2009" t="n">
        <v/>
      </c>
      <c r="D2009" t="inlineStr">
        <is>
          <t>Media file</t>
        </is>
      </c>
      <c r="E2009" t="inlineStr">
        <is>
          <t>player #1:BTBR\test\c3m1.mp4</t>
        </is>
      </c>
      <c r="F2009" t="n">
        <v>-9.199999999999999</v>
      </c>
      <c r="G2009" t="n">
        <v>588.566</v>
      </c>
      <c r="H2009" t="n">
        <v>647.266</v>
      </c>
      <c r="I2009" t="n">
        <v>30</v>
      </c>
      <c r="J2009" t="inlineStr">
        <is>
          <t>BTBR</t>
        </is>
      </c>
      <c r="K2009" t="inlineStr">
        <is>
          <t>Male</t>
        </is>
      </c>
      <c r="L2009" t="inlineStr">
        <is>
          <t>No focal subject</t>
        </is>
      </c>
      <c r="M2009" t="n">
        <v>53.865</v>
      </c>
      <c r="N2009" t="inlineStr">
        <is>
          <t>Explore_N</t>
        </is>
      </c>
      <c r="O2009" t="inlineStr">
        <is>
          <t>Novelty</t>
        </is>
      </c>
      <c r="P2009" t="inlineStr">
        <is>
          <t>STATE</t>
        </is>
      </c>
      <c r="Q2009" t="n">
        <v>91.633</v>
      </c>
      <c r="R2009" t="n">
        <v>93.06699999999999</v>
      </c>
      <c r="S2009" t="n">
        <v>1.434</v>
      </c>
      <c r="T2009" t="inlineStr">
        <is>
          <t>BTBR\test\c3m1.mp4</t>
        </is>
      </c>
      <c r="U2009" t="n">
        <v>2749</v>
      </c>
      <c r="V2009" t="n">
        <v>2791</v>
      </c>
      <c r="W2009" t="n">
        <v/>
      </c>
      <c r="X2009" t="n">
        <v/>
      </c>
      <c r="Y2009" t="n">
        <v/>
      </c>
      <c r="Z2009" t="n">
        <v/>
      </c>
      <c r="AA2009">
        <f>SUMIFS($S$2:S2009,$A$2:A2009,A2009,$N$2:N2009,"Explore*")</f>
        <v/>
      </c>
      <c r="AB2009">
        <f>IF(AND(LEFT(N2009,7)="Explore",(AA2009-IF(LEFT(N2009,7)="Explore",S2009,0))&lt;10),"SI","NO")</f>
        <v/>
      </c>
    </row>
    <row r="2010">
      <c r="A2010" t="inlineStr">
        <is>
          <t>c3m1_test</t>
        </is>
      </c>
      <c r="B2010" t="inlineStr">
        <is>
          <t>2026-01-28 10:51:14.482</t>
        </is>
      </c>
      <c r="C2010" t="n">
        <v/>
      </c>
      <c r="D2010" t="inlineStr">
        <is>
          <t>Media file</t>
        </is>
      </c>
      <c r="E2010" t="inlineStr">
        <is>
          <t>player #1:BTBR\test\c3m1.mp4</t>
        </is>
      </c>
      <c r="F2010" t="n">
        <v>-9.199999999999999</v>
      </c>
      <c r="G2010" t="n">
        <v>588.566</v>
      </c>
      <c r="H2010" t="n">
        <v>647.266</v>
      </c>
      <c r="I2010" t="n">
        <v>30</v>
      </c>
      <c r="J2010" t="inlineStr">
        <is>
          <t>BTBR</t>
        </is>
      </c>
      <c r="K2010" t="inlineStr">
        <is>
          <t>Male</t>
        </is>
      </c>
      <c r="L2010" t="inlineStr">
        <is>
          <t>No focal subject</t>
        </is>
      </c>
      <c r="M2010" t="n">
        <v>53.865</v>
      </c>
      <c r="N2010" t="inlineStr">
        <is>
          <t>Explore_F</t>
        </is>
      </c>
      <c r="O2010" t="inlineStr">
        <is>
          <t>Familiar</t>
        </is>
      </c>
      <c r="P2010" t="inlineStr">
        <is>
          <t>STATE</t>
        </is>
      </c>
      <c r="Q2010" t="n">
        <v>105.233</v>
      </c>
      <c r="R2010" t="n">
        <v>105.9</v>
      </c>
      <c r="S2010" t="n">
        <v>0.667</v>
      </c>
      <c r="T2010" t="inlineStr">
        <is>
          <t>BTBR\test\c3m1.mp4</t>
        </is>
      </c>
      <c r="U2010" t="n">
        <v>3156</v>
      </c>
      <c r="V2010" t="n">
        <v>3176</v>
      </c>
      <c r="W2010" t="n">
        <v/>
      </c>
      <c r="X2010" t="n">
        <v/>
      </c>
      <c r="Y2010" t="n">
        <v/>
      </c>
      <c r="Z2010" t="n">
        <v/>
      </c>
      <c r="AA2010">
        <f>SUMIFS($S$2:S2010,$A$2:A2010,A2010,$N$2:N2010,"Explore*")</f>
        <v/>
      </c>
      <c r="AB2010">
        <f>IF(AND(LEFT(N2010,7)="Explore",(AA2010-IF(LEFT(N2010,7)="Explore",S2010,0))&lt;10),"SI","NO")</f>
        <v/>
      </c>
    </row>
    <row r="2011">
      <c r="A2011" t="inlineStr">
        <is>
          <t>c3m1_test</t>
        </is>
      </c>
      <c r="B2011" t="inlineStr">
        <is>
          <t>2026-01-28 10:51:14.482</t>
        </is>
      </c>
      <c r="C2011" t="n">
        <v/>
      </c>
      <c r="D2011" t="inlineStr">
        <is>
          <t>Media file</t>
        </is>
      </c>
      <c r="E2011" t="inlineStr">
        <is>
          <t>player #1:BTBR\test\c3m1.mp4</t>
        </is>
      </c>
      <c r="F2011" t="n">
        <v>-9.199999999999999</v>
      </c>
      <c r="G2011" t="n">
        <v>588.566</v>
      </c>
      <c r="H2011" t="n">
        <v>647.266</v>
      </c>
      <c r="I2011" t="n">
        <v>30</v>
      </c>
      <c r="J2011" t="inlineStr">
        <is>
          <t>BTBR</t>
        </is>
      </c>
      <c r="K2011" t="inlineStr">
        <is>
          <t>Male</t>
        </is>
      </c>
      <c r="L2011" t="inlineStr">
        <is>
          <t>No focal subject</t>
        </is>
      </c>
      <c r="M2011" t="n">
        <v>53.865</v>
      </c>
      <c r="N2011" t="inlineStr">
        <is>
          <t>Explore_N</t>
        </is>
      </c>
      <c r="O2011" t="inlineStr">
        <is>
          <t>Novelty</t>
        </is>
      </c>
      <c r="P2011" t="inlineStr">
        <is>
          <t>STATE</t>
        </is>
      </c>
      <c r="Q2011" t="n">
        <v>122.5</v>
      </c>
      <c r="R2011" t="n">
        <v>123.6</v>
      </c>
      <c r="S2011" t="n">
        <v>1.1</v>
      </c>
      <c r="T2011" t="inlineStr">
        <is>
          <t>BTBR\test\c3m1.mp4</t>
        </is>
      </c>
      <c r="U2011" t="n">
        <v>3674</v>
      </c>
      <c r="V2011" t="n">
        <v>3709</v>
      </c>
      <c r="W2011" t="n">
        <v/>
      </c>
      <c r="X2011" t="n">
        <v/>
      </c>
      <c r="Y2011" t="n">
        <v/>
      </c>
      <c r="Z2011" t="n">
        <v/>
      </c>
      <c r="AA2011">
        <f>SUMIFS($S$2:S2011,$A$2:A2011,A2011,$N$2:N2011,"Explore*")</f>
        <v/>
      </c>
      <c r="AB2011">
        <f>IF(AND(LEFT(N2011,7)="Explore",(AA2011-IF(LEFT(N2011,7)="Explore",S2011,0))&lt;10),"SI","NO")</f>
        <v/>
      </c>
    </row>
    <row r="2012">
      <c r="A2012" t="inlineStr">
        <is>
          <t>c3m1_test</t>
        </is>
      </c>
      <c r="B2012" t="inlineStr">
        <is>
          <t>2026-01-28 10:51:14.482</t>
        </is>
      </c>
      <c r="C2012" t="n">
        <v/>
      </c>
      <c r="D2012" t="inlineStr">
        <is>
          <t>Media file</t>
        </is>
      </c>
      <c r="E2012" t="inlineStr">
        <is>
          <t>player #1:BTBR\test\c3m1.mp4</t>
        </is>
      </c>
      <c r="F2012" t="n">
        <v>-9.199999999999999</v>
      </c>
      <c r="G2012" t="n">
        <v>588.566</v>
      </c>
      <c r="H2012" t="n">
        <v>647.266</v>
      </c>
      <c r="I2012" t="n">
        <v>30</v>
      </c>
      <c r="J2012" t="inlineStr">
        <is>
          <t>BTBR</t>
        </is>
      </c>
      <c r="K2012" t="inlineStr">
        <is>
          <t>Male</t>
        </is>
      </c>
      <c r="L2012" t="inlineStr">
        <is>
          <t>No focal subject</t>
        </is>
      </c>
      <c r="M2012" t="n">
        <v>53.865</v>
      </c>
      <c r="N2012" t="inlineStr">
        <is>
          <t>Explore_F</t>
        </is>
      </c>
      <c r="O2012" t="inlineStr">
        <is>
          <t>Familiar</t>
        </is>
      </c>
      <c r="P2012" t="inlineStr">
        <is>
          <t>STATE</t>
        </is>
      </c>
      <c r="Q2012" t="n">
        <v>124.2</v>
      </c>
      <c r="R2012" t="n">
        <v>124.567</v>
      </c>
      <c r="S2012" t="n">
        <v>0.367</v>
      </c>
      <c r="T2012" t="inlineStr">
        <is>
          <t>BTBR\test\c3m1.mp4</t>
        </is>
      </c>
      <c r="U2012" t="n">
        <v>3725</v>
      </c>
      <c r="V2012" t="n">
        <v>3736</v>
      </c>
      <c r="W2012" t="n">
        <v/>
      </c>
      <c r="X2012" t="n">
        <v/>
      </c>
      <c r="Y2012" t="n">
        <v/>
      </c>
      <c r="Z2012" t="n">
        <v/>
      </c>
      <c r="AA2012">
        <f>SUMIFS($S$2:S2012,$A$2:A2012,A2012,$N$2:N2012,"Explore*")</f>
        <v/>
      </c>
      <c r="AB2012">
        <f>IF(AND(LEFT(N2012,7)="Explore",(AA2012-IF(LEFT(N2012,7)="Explore",S2012,0))&lt;10),"SI","NO")</f>
        <v/>
      </c>
    </row>
    <row r="2013">
      <c r="A2013" t="inlineStr">
        <is>
          <t>c3m1_test</t>
        </is>
      </c>
      <c r="B2013" t="inlineStr">
        <is>
          <t>2026-01-28 10:51:14.482</t>
        </is>
      </c>
      <c r="C2013" t="n">
        <v/>
      </c>
      <c r="D2013" t="inlineStr">
        <is>
          <t>Media file</t>
        </is>
      </c>
      <c r="E2013" t="inlineStr">
        <is>
          <t>player #1:BTBR\test\c3m1.mp4</t>
        </is>
      </c>
      <c r="F2013" t="n">
        <v>-9.199999999999999</v>
      </c>
      <c r="G2013" t="n">
        <v>588.566</v>
      </c>
      <c r="H2013" t="n">
        <v>647.266</v>
      </c>
      <c r="I2013" t="n">
        <v>30</v>
      </c>
      <c r="J2013" t="inlineStr">
        <is>
          <t>BTBR</t>
        </is>
      </c>
      <c r="K2013" t="inlineStr">
        <is>
          <t>Male</t>
        </is>
      </c>
      <c r="L2013" t="inlineStr">
        <is>
          <t>No focal subject</t>
        </is>
      </c>
      <c r="M2013" t="n">
        <v>53.865</v>
      </c>
      <c r="N2013" t="inlineStr">
        <is>
          <t>Explore_N</t>
        </is>
      </c>
      <c r="O2013" t="inlineStr">
        <is>
          <t>Novelty</t>
        </is>
      </c>
      <c r="P2013" t="inlineStr">
        <is>
          <t>STATE</t>
        </is>
      </c>
      <c r="Q2013" t="n">
        <v>140</v>
      </c>
      <c r="R2013" t="n">
        <v>141.633</v>
      </c>
      <c r="S2013" t="n">
        <v>1.633</v>
      </c>
      <c r="T2013" t="inlineStr">
        <is>
          <t>BTBR\test\c3m1.mp4</t>
        </is>
      </c>
      <c r="U2013" t="n">
        <v>4199</v>
      </c>
      <c r="V2013" t="n">
        <v>4249</v>
      </c>
      <c r="W2013" t="n">
        <v/>
      </c>
      <c r="X2013" t="n">
        <v/>
      </c>
      <c r="Y2013" t="n">
        <v/>
      </c>
      <c r="Z2013" t="n">
        <v/>
      </c>
      <c r="AA2013">
        <f>SUMIFS($S$2:S2013,$A$2:A2013,A2013,$N$2:N2013,"Explore*")</f>
        <v/>
      </c>
      <c r="AB2013">
        <f>IF(AND(LEFT(N2013,7)="Explore",(AA2013-IF(LEFT(N2013,7)="Explore",S2013,0))&lt;10),"SI","NO")</f>
        <v/>
      </c>
    </row>
    <row r="2014">
      <c r="A2014" t="inlineStr">
        <is>
          <t>c3m1_test</t>
        </is>
      </c>
      <c r="B2014" t="inlineStr">
        <is>
          <t>2026-01-28 10:51:14.482</t>
        </is>
      </c>
      <c r="C2014" t="n">
        <v/>
      </c>
      <c r="D2014" t="inlineStr">
        <is>
          <t>Media file</t>
        </is>
      </c>
      <c r="E2014" t="inlineStr">
        <is>
          <t>player #1:BTBR\test\c3m1.mp4</t>
        </is>
      </c>
      <c r="F2014" t="n">
        <v>-9.199999999999999</v>
      </c>
      <c r="G2014" t="n">
        <v>588.566</v>
      </c>
      <c r="H2014" t="n">
        <v>647.266</v>
      </c>
      <c r="I2014" t="n">
        <v>30</v>
      </c>
      <c r="J2014" t="inlineStr">
        <is>
          <t>BTBR</t>
        </is>
      </c>
      <c r="K2014" t="inlineStr">
        <is>
          <t>Male</t>
        </is>
      </c>
      <c r="L2014" t="inlineStr">
        <is>
          <t>No focal subject</t>
        </is>
      </c>
      <c r="M2014" t="n">
        <v>53.865</v>
      </c>
      <c r="N2014" t="inlineStr">
        <is>
          <t>Explore_N</t>
        </is>
      </c>
      <c r="O2014" t="inlineStr">
        <is>
          <t>Novelty</t>
        </is>
      </c>
      <c r="P2014" t="inlineStr">
        <is>
          <t>STATE</t>
        </is>
      </c>
      <c r="Q2014" t="n">
        <v>143.7</v>
      </c>
      <c r="R2014" t="n">
        <v>144.567</v>
      </c>
      <c r="S2014" t="n">
        <v>0.867</v>
      </c>
      <c r="T2014" t="inlineStr">
        <is>
          <t>BTBR\test\c3m1.mp4</t>
        </is>
      </c>
      <c r="U2014" t="n">
        <v>4310</v>
      </c>
      <c r="V2014" t="n">
        <v>4336</v>
      </c>
      <c r="W2014" t="n">
        <v/>
      </c>
      <c r="X2014" t="n">
        <v/>
      </c>
      <c r="Y2014" t="n">
        <v/>
      </c>
      <c r="Z2014" t="n">
        <v/>
      </c>
      <c r="AA2014">
        <f>SUMIFS($S$2:S2014,$A$2:A2014,A2014,$N$2:N2014,"Explore*")</f>
        <v/>
      </c>
      <c r="AB2014">
        <f>IF(AND(LEFT(N2014,7)="Explore",(AA2014-IF(LEFT(N2014,7)="Explore",S2014,0))&lt;10),"SI","NO")</f>
        <v/>
      </c>
    </row>
    <row r="2015">
      <c r="A2015" t="inlineStr">
        <is>
          <t>c3m1_test</t>
        </is>
      </c>
      <c r="B2015" t="inlineStr">
        <is>
          <t>2026-01-28 10:51:14.482</t>
        </is>
      </c>
      <c r="C2015" t="n">
        <v/>
      </c>
      <c r="D2015" t="inlineStr">
        <is>
          <t>Media file</t>
        </is>
      </c>
      <c r="E2015" t="inlineStr">
        <is>
          <t>player #1:BTBR\test\c3m1.mp4</t>
        </is>
      </c>
      <c r="F2015" t="n">
        <v>-9.199999999999999</v>
      </c>
      <c r="G2015" t="n">
        <v>588.566</v>
      </c>
      <c r="H2015" t="n">
        <v>647.266</v>
      </c>
      <c r="I2015" t="n">
        <v>30</v>
      </c>
      <c r="J2015" t="inlineStr">
        <is>
          <t>BTBR</t>
        </is>
      </c>
      <c r="K2015" t="inlineStr">
        <is>
          <t>Male</t>
        </is>
      </c>
      <c r="L2015" t="inlineStr">
        <is>
          <t>No focal subject</t>
        </is>
      </c>
      <c r="M2015" t="n">
        <v>53.865</v>
      </c>
      <c r="N2015" t="inlineStr">
        <is>
          <t>Explore_F</t>
        </is>
      </c>
      <c r="O2015" t="inlineStr">
        <is>
          <t>Familiar</t>
        </is>
      </c>
      <c r="P2015" t="inlineStr">
        <is>
          <t>STATE</t>
        </is>
      </c>
      <c r="Q2015" t="n">
        <v>145.7</v>
      </c>
      <c r="R2015" t="n">
        <v>146.967</v>
      </c>
      <c r="S2015" t="n">
        <v>1.267</v>
      </c>
      <c r="T2015" t="inlineStr">
        <is>
          <t>BTBR\test\c3m1.mp4</t>
        </is>
      </c>
      <c r="U2015" t="n">
        <v>4370</v>
      </c>
      <c r="V2015" t="n">
        <v>4408</v>
      </c>
      <c r="W2015" t="n">
        <v/>
      </c>
      <c r="X2015" t="n">
        <v/>
      </c>
      <c r="Y2015" t="n">
        <v/>
      </c>
      <c r="Z2015" t="n">
        <v/>
      </c>
      <c r="AA2015">
        <f>SUMIFS($S$2:S2015,$A$2:A2015,A2015,$N$2:N2015,"Explore*")</f>
        <v/>
      </c>
      <c r="AB2015">
        <f>IF(AND(LEFT(N2015,7)="Explore",(AA2015-IF(LEFT(N2015,7)="Explore",S2015,0))&lt;10),"SI","NO")</f>
        <v/>
      </c>
    </row>
    <row r="2016">
      <c r="A2016" t="inlineStr">
        <is>
          <t>c3m1_test</t>
        </is>
      </c>
      <c r="B2016" t="inlineStr">
        <is>
          <t>2026-01-28 10:51:14.482</t>
        </is>
      </c>
      <c r="C2016" t="n">
        <v/>
      </c>
      <c r="D2016" t="inlineStr">
        <is>
          <t>Media file</t>
        </is>
      </c>
      <c r="E2016" t="inlineStr">
        <is>
          <t>player #1:BTBR\test\c3m1.mp4</t>
        </is>
      </c>
      <c r="F2016" t="n">
        <v>-9.199999999999999</v>
      </c>
      <c r="G2016" t="n">
        <v>588.566</v>
      </c>
      <c r="H2016" t="n">
        <v>647.266</v>
      </c>
      <c r="I2016" t="n">
        <v>30</v>
      </c>
      <c r="J2016" t="inlineStr">
        <is>
          <t>BTBR</t>
        </is>
      </c>
      <c r="K2016" t="inlineStr">
        <is>
          <t>Male</t>
        </is>
      </c>
      <c r="L2016" t="inlineStr">
        <is>
          <t>No focal subject</t>
        </is>
      </c>
      <c r="M2016" t="n">
        <v>53.865</v>
      </c>
      <c r="N2016" t="inlineStr">
        <is>
          <t>Explore_N</t>
        </is>
      </c>
      <c r="O2016" t="inlineStr">
        <is>
          <t>Novelty</t>
        </is>
      </c>
      <c r="P2016" t="inlineStr">
        <is>
          <t>STATE</t>
        </is>
      </c>
      <c r="Q2016" t="n">
        <v>154</v>
      </c>
      <c r="R2016" t="n">
        <v>155.066</v>
      </c>
      <c r="S2016" t="n">
        <v>1.066</v>
      </c>
      <c r="T2016" t="inlineStr">
        <is>
          <t>BTBR\test\c3m1.mp4</t>
        </is>
      </c>
      <c r="U2016" t="n">
        <v>4619</v>
      </c>
      <c r="V2016" t="n">
        <v>4651</v>
      </c>
      <c r="W2016" t="n">
        <v/>
      </c>
      <c r="X2016" t="n">
        <v/>
      </c>
      <c r="Y2016" t="n">
        <v/>
      </c>
      <c r="Z2016" t="n">
        <v/>
      </c>
      <c r="AA2016">
        <f>SUMIFS($S$2:S2016,$A$2:A2016,A2016,$N$2:N2016,"Explore*")</f>
        <v/>
      </c>
      <c r="AB2016">
        <f>IF(AND(LEFT(N2016,7)="Explore",(AA2016-IF(LEFT(N2016,7)="Explore",S2016,0))&lt;10),"SI","NO")</f>
        <v/>
      </c>
    </row>
    <row r="2017">
      <c r="A2017" t="inlineStr">
        <is>
          <t>c3m1_test</t>
        </is>
      </c>
      <c r="B2017" t="inlineStr">
        <is>
          <t>2026-01-28 10:51:14.482</t>
        </is>
      </c>
      <c r="C2017" t="n">
        <v/>
      </c>
      <c r="D2017" t="inlineStr">
        <is>
          <t>Media file</t>
        </is>
      </c>
      <c r="E2017" t="inlineStr">
        <is>
          <t>player #1:BTBR\test\c3m1.mp4</t>
        </is>
      </c>
      <c r="F2017" t="n">
        <v>-9.199999999999999</v>
      </c>
      <c r="G2017" t="n">
        <v>588.566</v>
      </c>
      <c r="H2017" t="n">
        <v>647.266</v>
      </c>
      <c r="I2017" t="n">
        <v>30</v>
      </c>
      <c r="J2017" t="inlineStr">
        <is>
          <t>BTBR</t>
        </is>
      </c>
      <c r="K2017" t="inlineStr">
        <is>
          <t>Male</t>
        </is>
      </c>
      <c r="L2017" t="inlineStr">
        <is>
          <t>No focal subject</t>
        </is>
      </c>
      <c r="M2017" t="n">
        <v>53.865</v>
      </c>
      <c r="N2017" t="inlineStr">
        <is>
          <t>Explore_F</t>
        </is>
      </c>
      <c r="O2017" t="inlineStr">
        <is>
          <t>Familiar</t>
        </is>
      </c>
      <c r="P2017" t="inlineStr">
        <is>
          <t>STATE</t>
        </is>
      </c>
      <c r="Q2017" t="n">
        <v>156.2</v>
      </c>
      <c r="R2017" t="n">
        <v>157.333</v>
      </c>
      <c r="S2017" t="n">
        <v>1.133</v>
      </c>
      <c r="T2017" t="inlineStr">
        <is>
          <t>BTBR\test\c3m1.mp4</t>
        </is>
      </c>
      <c r="U2017" t="n">
        <v>4685</v>
      </c>
      <c r="V2017" t="n">
        <v>4719</v>
      </c>
      <c r="W2017" t="n">
        <v/>
      </c>
      <c r="X2017" t="n">
        <v/>
      </c>
      <c r="Y2017" t="n">
        <v/>
      </c>
      <c r="Z2017" t="n">
        <v/>
      </c>
      <c r="AA2017">
        <f>SUMIFS($S$2:S2017,$A$2:A2017,A2017,$N$2:N2017,"Explore*")</f>
        <v/>
      </c>
      <c r="AB2017">
        <f>IF(AND(LEFT(N2017,7)="Explore",(AA2017-IF(LEFT(N2017,7)="Explore",S2017,0))&lt;10),"SI","NO")</f>
        <v/>
      </c>
    </row>
    <row r="2018">
      <c r="A2018" t="inlineStr">
        <is>
          <t>c3m1_test</t>
        </is>
      </c>
      <c r="B2018" t="inlineStr">
        <is>
          <t>2026-01-28 10:51:14.482</t>
        </is>
      </c>
      <c r="C2018" t="n">
        <v/>
      </c>
      <c r="D2018" t="inlineStr">
        <is>
          <t>Media file</t>
        </is>
      </c>
      <c r="E2018" t="inlineStr">
        <is>
          <t>player #1:BTBR\test\c3m1.mp4</t>
        </is>
      </c>
      <c r="F2018" t="n">
        <v>-9.199999999999999</v>
      </c>
      <c r="G2018" t="n">
        <v>588.566</v>
      </c>
      <c r="H2018" t="n">
        <v>647.266</v>
      </c>
      <c r="I2018" t="n">
        <v>30</v>
      </c>
      <c r="J2018" t="inlineStr">
        <is>
          <t>BTBR</t>
        </is>
      </c>
      <c r="K2018" t="inlineStr">
        <is>
          <t>Male</t>
        </is>
      </c>
      <c r="L2018" t="inlineStr">
        <is>
          <t>No focal subject</t>
        </is>
      </c>
      <c r="M2018" t="n">
        <v>53.865</v>
      </c>
      <c r="N2018" t="inlineStr">
        <is>
          <t>Explore_F</t>
        </is>
      </c>
      <c r="O2018" t="inlineStr">
        <is>
          <t>Familiar</t>
        </is>
      </c>
      <c r="P2018" t="inlineStr">
        <is>
          <t>STATE</t>
        </is>
      </c>
      <c r="Q2018" t="n">
        <v>157.9</v>
      </c>
      <c r="R2018" t="n">
        <v>158.866</v>
      </c>
      <c r="S2018" t="n">
        <v>0.966</v>
      </c>
      <c r="T2018" t="inlineStr">
        <is>
          <t>BTBR\test\c3m1.mp4</t>
        </is>
      </c>
      <c r="U2018" t="n">
        <v>4736</v>
      </c>
      <c r="V2018" t="n">
        <v>4765</v>
      </c>
      <c r="W2018" t="n">
        <v/>
      </c>
      <c r="X2018" t="n">
        <v/>
      </c>
      <c r="Y2018" t="n">
        <v/>
      </c>
      <c r="Z2018" t="n">
        <v/>
      </c>
      <c r="AA2018">
        <f>SUMIFS($S$2:S2018,$A$2:A2018,A2018,$N$2:N2018,"Explore*")</f>
        <v/>
      </c>
      <c r="AB2018">
        <f>IF(AND(LEFT(N2018,7)="Explore",(AA2018-IF(LEFT(N2018,7)="Explore",S2018,0))&lt;10),"SI","NO")</f>
        <v/>
      </c>
    </row>
    <row r="2019">
      <c r="A2019" t="inlineStr">
        <is>
          <t>c3m1_test</t>
        </is>
      </c>
      <c r="B2019" t="inlineStr">
        <is>
          <t>2026-01-28 10:51:14.482</t>
        </is>
      </c>
      <c r="C2019" t="n">
        <v/>
      </c>
      <c r="D2019" t="inlineStr">
        <is>
          <t>Media file</t>
        </is>
      </c>
      <c r="E2019" t="inlineStr">
        <is>
          <t>player #1:BTBR\test\c3m1.mp4</t>
        </is>
      </c>
      <c r="F2019" t="n">
        <v>-9.199999999999999</v>
      </c>
      <c r="G2019" t="n">
        <v>588.566</v>
      </c>
      <c r="H2019" t="n">
        <v>647.266</v>
      </c>
      <c r="I2019" t="n">
        <v>30</v>
      </c>
      <c r="J2019" t="inlineStr">
        <is>
          <t>BTBR</t>
        </is>
      </c>
      <c r="K2019" t="inlineStr">
        <is>
          <t>Male</t>
        </is>
      </c>
      <c r="L2019" t="inlineStr">
        <is>
          <t>No focal subject</t>
        </is>
      </c>
      <c r="M2019" t="n">
        <v>53.865</v>
      </c>
      <c r="N2019" t="inlineStr">
        <is>
          <t>Explore_N</t>
        </is>
      </c>
      <c r="O2019" t="inlineStr">
        <is>
          <t>Novelty</t>
        </is>
      </c>
      <c r="P2019" t="inlineStr">
        <is>
          <t>STATE</t>
        </is>
      </c>
      <c r="Q2019" t="n">
        <v>161.033</v>
      </c>
      <c r="R2019" t="n">
        <v>162.166</v>
      </c>
      <c r="S2019" t="n">
        <v>1.133</v>
      </c>
      <c r="T2019" t="inlineStr">
        <is>
          <t>BTBR\test\c3m1.mp4</t>
        </is>
      </c>
      <c r="U2019" t="n">
        <v>4830</v>
      </c>
      <c r="V2019" t="n">
        <v>4864</v>
      </c>
      <c r="W2019" t="n">
        <v/>
      </c>
      <c r="X2019" t="n">
        <v/>
      </c>
      <c r="Y2019" t="n">
        <v/>
      </c>
      <c r="Z2019" t="n">
        <v/>
      </c>
      <c r="AA2019">
        <f>SUMIFS($S$2:S2019,$A$2:A2019,A2019,$N$2:N2019,"Explore*")</f>
        <v/>
      </c>
      <c r="AB2019">
        <f>IF(AND(LEFT(N2019,7)="Explore",(AA2019-IF(LEFT(N2019,7)="Explore",S2019,0))&lt;10),"SI","NO")</f>
        <v/>
      </c>
    </row>
    <row r="2020">
      <c r="A2020" t="inlineStr">
        <is>
          <t>c3m1_test</t>
        </is>
      </c>
      <c r="B2020" t="inlineStr">
        <is>
          <t>2026-01-28 10:51:14.482</t>
        </is>
      </c>
      <c r="C2020" t="n">
        <v/>
      </c>
      <c r="D2020" t="inlineStr">
        <is>
          <t>Media file</t>
        </is>
      </c>
      <c r="E2020" t="inlineStr">
        <is>
          <t>player #1:BTBR\test\c3m1.mp4</t>
        </is>
      </c>
      <c r="F2020" t="n">
        <v>-9.199999999999999</v>
      </c>
      <c r="G2020" t="n">
        <v>588.566</v>
      </c>
      <c r="H2020" t="n">
        <v>647.266</v>
      </c>
      <c r="I2020" t="n">
        <v>30</v>
      </c>
      <c r="J2020" t="inlineStr">
        <is>
          <t>BTBR</t>
        </is>
      </c>
      <c r="K2020" t="inlineStr">
        <is>
          <t>Male</t>
        </is>
      </c>
      <c r="L2020" t="inlineStr">
        <is>
          <t>No focal subject</t>
        </is>
      </c>
      <c r="M2020" t="n">
        <v>53.865</v>
      </c>
      <c r="N2020" t="inlineStr">
        <is>
          <t>Explore_F</t>
        </is>
      </c>
      <c r="O2020" t="inlineStr">
        <is>
          <t>Familiar</t>
        </is>
      </c>
      <c r="P2020" t="inlineStr">
        <is>
          <t>STATE</t>
        </is>
      </c>
      <c r="Q2020" t="n">
        <v>164.033</v>
      </c>
      <c r="R2020" t="n">
        <v>166.1</v>
      </c>
      <c r="S2020" t="n">
        <v>2.067</v>
      </c>
      <c r="T2020" t="inlineStr">
        <is>
          <t>BTBR\test\c3m1.mp4</t>
        </is>
      </c>
      <c r="U2020" t="n">
        <v>4920</v>
      </c>
      <c r="V2020" t="n">
        <v>4984</v>
      </c>
      <c r="W2020" t="n">
        <v/>
      </c>
      <c r="X2020" t="n">
        <v/>
      </c>
      <c r="Y2020" t="n">
        <v/>
      </c>
      <c r="Z2020" t="n">
        <v/>
      </c>
      <c r="AA2020">
        <f>SUMIFS($S$2:S2020,$A$2:A2020,A2020,$N$2:N2020,"Explore*")</f>
        <v/>
      </c>
      <c r="AB2020">
        <f>IF(AND(LEFT(N2020,7)="Explore",(AA2020-IF(LEFT(N2020,7)="Explore",S2020,0))&lt;10),"SI","NO")</f>
        <v/>
      </c>
    </row>
    <row r="2021">
      <c r="A2021" t="inlineStr">
        <is>
          <t>c3m1_test</t>
        </is>
      </c>
      <c r="B2021" t="inlineStr">
        <is>
          <t>2026-01-28 10:51:14.482</t>
        </is>
      </c>
      <c r="C2021" t="n">
        <v/>
      </c>
      <c r="D2021" t="inlineStr">
        <is>
          <t>Media file</t>
        </is>
      </c>
      <c r="E2021" t="inlineStr">
        <is>
          <t>player #1:BTBR\test\c3m1.mp4</t>
        </is>
      </c>
      <c r="F2021" t="n">
        <v>-9.199999999999999</v>
      </c>
      <c r="G2021" t="n">
        <v>588.566</v>
      </c>
      <c r="H2021" t="n">
        <v>647.266</v>
      </c>
      <c r="I2021" t="n">
        <v>30</v>
      </c>
      <c r="J2021" t="inlineStr">
        <is>
          <t>BTBR</t>
        </is>
      </c>
      <c r="K2021" t="inlineStr">
        <is>
          <t>Male</t>
        </is>
      </c>
      <c r="L2021" t="inlineStr">
        <is>
          <t>No focal subject</t>
        </is>
      </c>
      <c r="M2021" t="n">
        <v>53.865</v>
      </c>
      <c r="N2021" t="inlineStr">
        <is>
          <t>Explore_N</t>
        </is>
      </c>
      <c r="O2021" t="inlineStr">
        <is>
          <t>Novelty</t>
        </is>
      </c>
      <c r="P2021" t="inlineStr">
        <is>
          <t>STATE</t>
        </is>
      </c>
      <c r="Q2021" t="n">
        <v>168.166</v>
      </c>
      <c r="R2021" t="n">
        <v>169.9</v>
      </c>
      <c r="S2021" t="n">
        <v>1.734</v>
      </c>
      <c r="T2021" t="inlineStr">
        <is>
          <t>BTBR\test\c3m1.mp4</t>
        </is>
      </c>
      <c r="U2021" t="n">
        <v>5044</v>
      </c>
      <c r="V2021" t="n">
        <v>5096</v>
      </c>
      <c r="W2021" t="n">
        <v/>
      </c>
      <c r="X2021" t="n">
        <v/>
      </c>
      <c r="Y2021" t="n">
        <v/>
      </c>
      <c r="Z2021" t="n">
        <v/>
      </c>
      <c r="AA2021">
        <f>SUMIFS($S$2:S2021,$A$2:A2021,A2021,$N$2:N2021,"Explore*")</f>
        <v/>
      </c>
      <c r="AB2021">
        <f>IF(AND(LEFT(N2021,7)="Explore",(AA2021-IF(LEFT(N2021,7)="Explore",S2021,0))&lt;10),"SI","NO")</f>
        <v/>
      </c>
    </row>
    <row r="2022">
      <c r="A2022" t="inlineStr">
        <is>
          <t>c3m1_test</t>
        </is>
      </c>
      <c r="B2022" t="inlineStr">
        <is>
          <t>2026-01-28 10:51:14.482</t>
        </is>
      </c>
      <c r="C2022" t="n">
        <v/>
      </c>
      <c r="D2022" t="inlineStr">
        <is>
          <t>Media file</t>
        </is>
      </c>
      <c r="E2022" t="inlineStr">
        <is>
          <t>player #1:BTBR\test\c3m1.mp4</t>
        </is>
      </c>
      <c r="F2022" t="n">
        <v>-9.199999999999999</v>
      </c>
      <c r="G2022" t="n">
        <v>588.566</v>
      </c>
      <c r="H2022" t="n">
        <v>647.266</v>
      </c>
      <c r="I2022" t="n">
        <v>30</v>
      </c>
      <c r="J2022" t="inlineStr">
        <is>
          <t>BTBR</t>
        </is>
      </c>
      <c r="K2022" t="inlineStr">
        <is>
          <t>Male</t>
        </is>
      </c>
      <c r="L2022" t="inlineStr">
        <is>
          <t>No focal subject</t>
        </is>
      </c>
      <c r="M2022" t="n">
        <v>53.865</v>
      </c>
      <c r="N2022" t="inlineStr">
        <is>
          <t>Explore_N</t>
        </is>
      </c>
      <c r="O2022" t="inlineStr">
        <is>
          <t>Novelty</t>
        </is>
      </c>
      <c r="P2022" t="inlineStr">
        <is>
          <t>STATE</t>
        </is>
      </c>
      <c r="Q2022" t="n">
        <v>177.3</v>
      </c>
      <c r="R2022" t="n">
        <v>178.233</v>
      </c>
      <c r="S2022" t="n">
        <v>0.9330000000000001</v>
      </c>
      <c r="T2022" t="inlineStr">
        <is>
          <t>BTBR\test\c3m1.mp4</t>
        </is>
      </c>
      <c r="U2022" t="n">
        <v>5318</v>
      </c>
      <c r="V2022" t="n">
        <v>5346</v>
      </c>
      <c r="W2022" t="n">
        <v/>
      </c>
      <c r="X2022" t="n">
        <v/>
      </c>
      <c r="Y2022" t="n">
        <v/>
      </c>
      <c r="Z2022" t="n">
        <v/>
      </c>
      <c r="AA2022">
        <f>SUMIFS($S$2:S2022,$A$2:A2022,A2022,$N$2:N2022,"Explore*")</f>
        <v/>
      </c>
      <c r="AB2022">
        <f>IF(AND(LEFT(N2022,7)="Explore",(AA2022-IF(LEFT(N2022,7)="Explore",S2022,0))&lt;10),"SI","NO")</f>
        <v/>
      </c>
    </row>
    <row r="2023">
      <c r="A2023" t="inlineStr">
        <is>
          <t>c3m1_test</t>
        </is>
      </c>
      <c r="B2023" t="inlineStr">
        <is>
          <t>2026-01-28 10:51:14.482</t>
        </is>
      </c>
      <c r="C2023" t="n">
        <v/>
      </c>
      <c r="D2023" t="inlineStr">
        <is>
          <t>Media file</t>
        </is>
      </c>
      <c r="E2023" t="inlineStr">
        <is>
          <t>player #1:BTBR\test\c3m1.mp4</t>
        </is>
      </c>
      <c r="F2023" t="n">
        <v>-9.199999999999999</v>
      </c>
      <c r="G2023" t="n">
        <v>588.566</v>
      </c>
      <c r="H2023" t="n">
        <v>647.266</v>
      </c>
      <c r="I2023" t="n">
        <v>30</v>
      </c>
      <c r="J2023" t="inlineStr">
        <is>
          <t>BTBR</t>
        </is>
      </c>
      <c r="K2023" t="inlineStr">
        <is>
          <t>Male</t>
        </is>
      </c>
      <c r="L2023" t="inlineStr">
        <is>
          <t>No focal subject</t>
        </is>
      </c>
      <c r="M2023" t="n">
        <v>53.865</v>
      </c>
      <c r="N2023" t="inlineStr">
        <is>
          <t>Explore_F</t>
        </is>
      </c>
      <c r="O2023" t="inlineStr">
        <is>
          <t>Familiar</t>
        </is>
      </c>
      <c r="P2023" t="inlineStr">
        <is>
          <t>STATE</t>
        </is>
      </c>
      <c r="Q2023" t="n">
        <v>180</v>
      </c>
      <c r="R2023" t="n">
        <v>180.733</v>
      </c>
      <c r="S2023" t="n">
        <v>0.733</v>
      </c>
      <c r="T2023" t="inlineStr">
        <is>
          <t>BTBR\test\c3m1.mp4</t>
        </is>
      </c>
      <c r="U2023" t="n">
        <v>5399</v>
      </c>
      <c r="V2023" t="n">
        <v>5421</v>
      </c>
      <c r="W2023" t="n">
        <v/>
      </c>
      <c r="X2023" t="n">
        <v/>
      </c>
      <c r="Y2023" t="n">
        <v/>
      </c>
      <c r="Z2023" t="n">
        <v/>
      </c>
      <c r="AA2023">
        <f>SUMIFS($S$2:S2023,$A$2:A2023,A2023,$N$2:N2023,"Explore*")</f>
        <v/>
      </c>
      <c r="AB2023">
        <f>IF(AND(LEFT(N2023,7)="Explore",(AA2023-IF(LEFT(N2023,7)="Explore",S2023,0))&lt;10),"SI","NO")</f>
        <v/>
      </c>
    </row>
    <row r="2024">
      <c r="A2024" t="inlineStr">
        <is>
          <t>c3m1_test</t>
        </is>
      </c>
      <c r="B2024" t="inlineStr">
        <is>
          <t>2026-01-28 10:51:14.482</t>
        </is>
      </c>
      <c r="C2024" t="n">
        <v/>
      </c>
      <c r="D2024" t="inlineStr">
        <is>
          <t>Media file</t>
        </is>
      </c>
      <c r="E2024" t="inlineStr">
        <is>
          <t>player #1:BTBR\test\c3m1.mp4</t>
        </is>
      </c>
      <c r="F2024" t="n">
        <v>-9.199999999999999</v>
      </c>
      <c r="G2024" t="n">
        <v>588.566</v>
      </c>
      <c r="H2024" t="n">
        <v>647.266</v>
      </c>
      <c r="I2024" t="n">
        <v>30</v>
      </c>
      <c r="J2024" t="inlineStr">
        <is>
          <t>BTBR</t>
        </is>
      </c>
      <c r="K2024" t="inlineStr">
        <is>
          <t>Male</t>
        </is>
      </c>
      <c r="L2024" t="inlineStr">
        <is>
          <t>No focal subject</t>
        </is>
      </c>
      <c r="M2024" t="n">
        <v>53.865</v>
      </c>
      <c r="N2024" t="inlineStr">
        <is>
          <t>Explore_N</t>
        </is>
      </c>
      <c r="O2024" t="inlineStr">
        <is>
          <t>Novelty</t>
        </is>
      </c>
      <c r="P2024" t="inlineStr">
        <is>
          <t>STATE</t>
        </is>
      </c>
      <c r="Q2024" t="n">
        <v>184.033</v>
      </c>
      <c r="R2024" t="n">
        <v>185.066</v>
      </c>
      <c r="S2024" t="n">
        <v>1.033</v>
      </c>
      <c r="T2024" t="inlineStr">
        <is>
          <t>BTBR\test\c3m1.mp4</t>
        </is>
      </c>
      <c r="U2024" t="n">
        <v>5520</v>
      </c>
      <c r="V2024" t="n">
        <v>5551</v>
      </c>
      <c r="W2024" t="n">
        <v/>
      </c>
      <c r="X2024" t="n">
        <v/>
      </c>
      <c r="Y2024" t="n">
        <v/>
      </c>
      <c r="Z2024" t="n">
        <v/>
      </c>
      <c r="AA2024">
        <f>SUMIFS($S$2:S2024,$A$2:A2024,A2024,$N$2:N2024,"Explore*")</f>
        <v/>
      </c>
      <c r="AB2024">
        <f>IF(AND(LEFT(N2024,7)="Explore",(AA2024-IF(LEFT(N2024,7)="Explore",S2024,0))&lt;10),"SI","NO")</f>
        <v/>
      </c>
    </row>
    <row r="2025">
      <c r="A2025" t="inlineStr">
        <is>
          <t>c3m1_test</t>
        </is>
      </c>
      <c r="B2025" t="inlineStr">
        <is>
          <t>2026-01-28 10:51:14.482</t>
        </is>
      </c>
      <c r="C2025" t="n">
        <v/>
      </c>
      <c r="D2025" t="inlineStr">
        <is>
          <t>Media file</t>
        </is>
      </c>
      <c r="E2025" t="inlineStr">
        <is>
          <t>player #1:BTBR\test\c3m1.mp4</t>
        </is>
      </c>
      <c r="F2025" t="n">
        <v>-9.199999999999999</v>
      </c>
      <c r="G2025" t="n">
        <v>588.566</v>
      </c>
      <c r="H2025" t="n">
        <v>647.266</v>
      </c>
      <c r="I2025" t="n">
        <v>30</v>
      </c>
      <c r="J2025" t="inlineStr">
        <is>
          <t>BTBR</t>
        </is>
      </c>
      <c r="K2025" t="inlineStr">
        <is>
          <t>Male</t>
        </is>
      </c>
      <c r="L2025" t="inlineStr">
        <is>
          <t>No focal subject</t>
        </is>
      </c>
      <c r="M2025" t="n">
        <v>53.865</v>
      </c>
      <c r="N2025" t="inlineStr">
        <is>
          <t>Explore_F</t>
        </is>
      </c>
      <c r="O2025" t="inlineStr">
        <is>
          <t>Familiar</t>
        </is>
      </c>
      <c r="P2025" t="inlineStr">
        <is>
          <t>STATE</t>
        </is>
      </c>
      <c r="Q2025" t="n">
        <v>199.866</v>
      </c>
      <c r="R2025" t="n">
        <v>200.466</v>
      </c>
      <c r="S2025" t="n">
        <v>0.6</v>
      </c>
      <c r="T2025" t="inlineStr">
        <is>
          <t>BTBR\test\c3m1.mp4</t>
        </is>
      </c>
      <c r="U2025" t="n">
        <v>5995</v>
      </c>
      <c r="V2025" t="n">
        <v>6013</v>
      </c>
      <c r="W2025" t="n">
        <v/>
      </c>
      <c r="X2025" t="n">
        <v/>
      </c>
      <c r="Y2025" t="n">
        <v/>
      </c>
      <c r="Z2025" t="n">
        <v/>
      </c>
      <c r="AA2025">
        <f>SUMIFS($S$2:S2025,$A$2:A2025,A2025,$N$2:N2025,"Explore*")</f>
        <v/>
      </c>
      <c r="AB2025">
        <f>IF(AND(LEFT(N2025,7)="Explore",(AA2025-IF(LEFT(N2025,7)="Explore",S2025,0))&lt;10),"SI","NO")</f>
        <v/>
      </c>
    </row>
    <row r="2026">
      <c r="A2026" t="inlineStr">
        <is>
          <t>c3m1_test</t>
        </is>
      </c>
      <c r="B2026" t="inlineStr">
        <is>
          <t>2026-01-28 10:51:14.482</t>
        </is>
      </c>
      <c r="C2026" t="n">
        <v/>
      </c>
      <c r="D2026" t="inlineStr">
        <is>
          <t>Media file</t>
        </is>
      </c>
      <c r="E2026" t="inlineStr">
        <is>
          <t>player #1:BTBR\test\c3m1.mp4</t>
        </is>
      </c>
      <c r="F2026" t="n">
        <v>-9.199999999999999</v>
      </c>
      <c r="G2026" t="n">
        <v>588.566</v>
      </c>
      <c r="H2026" t="n">
        <v>647.266</v>
      </c>
      <c r="I2026" t="n">
        <v>30</v>
      </c>
      <c r="J2026" t="inlineStr">
        <is>
          <t>BTBR</t>
        </is>
      </c>
      <c r="K2026" t="inlineStr">
        <is>
          <t>Male</t>
        </is>
      </c>
      <c r="L2026" t="inlineStr">
        <is>
          <t>No focal subject</t>
        </is>
      </c>
      <c r="M2026" t="n">
        <v>53.865</v>
      </c>
      <c r="N2026" t="inlineStr">
        <is>
          <t>Explore_F</t>
        </is>
      </c>
      <c r="O2026" t="inlineStr">
        <is>
          <t>Familiar</t>
        </is>
      </c>
      <c r="P2026" t="inlineStr">
        <is>
          <t>STATE</t>
        </is>
      </c>
      <c r="Q2026" t="n">
        <v>240.1</v>
      </c>
      <c r="R2026" t="n">
        <v>240.466</v>
      </c>
      <c r="S2026" t="n">
        <v>0.366</v>
      </c>
      <c r="T2026" t="inlineStr">
        <is>
          <t>BTBR\test\c3m1.mp4</t>
        </is>
      </c>
      <c r="U2026" t="n">
        <v>7204</v>
      </c>
      <c r="V2026" t="n">
        <v>7213</v>
      </c>
      <c r="W2026" t="n">
        <v/>
      </c>
      <c r="X2026" t="n">
        <v/>
      </c>
      <c r="Y2026" t="n">
        <v/>
      </c>
      <c r="Z2026" t="n">
        <v/>
      </c>
      <c r="AA2026">
        <f>SUMIFS($S$2:S2026,$A$2:A2026,A2026,$N$2:N2026,"Explore*")</f>
        <v/>
      </c>
      <c r="AB2026">
        <f>IF(AND(LEFT(N2026,7)="Explore",(AA2026-IF(LEFT(N2026,7)="Explore",S2026,0))&lt;10),"SI","NO")</f>
        <v/>
      </c>
    </row>
    <row r="2027">
      <c r="A2027" t="inlineStr">
        <is>
          <t>c3m1_test</t>
        </is>
      </c>
      <c r="B2027" t="inlineStr">
        <is>
          <t>2026-01-28 10:51:14.482</t>
        </is>
      </c>
      <c r="C2027" t="n">
        <v/>
      </c>
      <c r="D2027" t="inlineStr">
        <is>
          <t>Media file</t>
        </is>
      </c>
      <c r="E2027" t="inlineStr">
        <is>
          <t>player #1:BTBR\test\c3m1.mp4</t>
        </is>
      </c>
      <c r="F2027" t="n">
        <v>-9.199999999999999</v>
      </c>
      <c r="G2027" t="n">
        <v>588.566</v>
      </c>
      <c r="H2027" t="n">
        <v>647.266</v>
      </c>
      <c r="I2027" t="n">
        <v>30</v>
      </c>
      <c r="J2027" t="inlineStr">
        <is>
          <t>BTBR</t>
        </is>
      </c>
      <c r="K2027" t="inlineStr">
        <is>
          <t>Male</t>
        </is>
      </c>
      <c r="L2027" t="inlineStr">
        <is>
          <t>No focal subject</t>
        </is>
      </c>
      <c r="M2027" t="n">
        <v>53.865</v>
      </c>
      <c r="N2027" t="inlineStr">
        <is>
          <t>Explore_F</t>
        </is>
      </c>
      <c r="O2027" t="inlineStr">
        <is>
          <t>Familiar</t>
        </is>
      </c>
      <c r="P2027" t="inlineStr">
        <is>
          <t>STATE</t>
        </is>
      </c>
      <c r="Q2027" t="n">
        <v>241.1</v>
      </c>
      <c r="R2027" t="n">
        <v>241.533</v>
      </c>
      <c r="S2027" t="n">
        <v>0.433</v>
      </c>
      <c r="T2027" t="inlineStr">
        <is>
          <t>BTBR\test\c3m1.mp4</t>
        </is>
      </c>
      <c r="U2027" t="n">
        <v>7234</v>
      </c>
      <c r="V2027" t="n">
        <v>7245</v>
      </c>
      <c r="W2027" t="n">
        <v/>
      </c>
      <c r="X2027" t="n">
        <v/>
      </c>
      <c r="Y2027" t="n">
        <v/>
      </c>
      <c r="Z2027" t="n">
        <v/>
      </c>
      <c r="AA2027">
        <f>SUMIFS($S$2:S2027,$A$2:A2027,A2027,$N$2:N2027,"Explore*")</f>
        <v/>
      </c>
      <c r="AB2027">
        <f>IF(AND(LEFT(N2027,7)="Explore",(AA2027-IF(LEFT(N2027,7)="Explore",S2027,0))&lt;10),"SI","NO")</f>
        <v/>
      </c>
    </row>
    <row r="2028">
      <c r="A2028" t="inlineStr">
        <is>
          <t>c3m1_test</t>
        </is>
      </c>
      <c r="B2028" t="inlineStr">
        <is>
          <t>2026-01-28 10:51:14.482</t>
        </is>
      </c>
      <c r="C2028" t="n">
        <v/>
      </c>
      <c r="D2028" t="inlineStr">
        <is>
          <t>Media file</t>
        </is>
      </c>
      <c r="E2028" t="inlineStr">
        <is>
          <t>player #1:BTBR\test\c3m1.mp4</t>
        </is>
      </c>
      <c r="F2028" t="n">
        <v>-9.199999999999999</v>
      </c>
      <c r="G2028" t="n">
        <v>588.566</v>
      </c>
      <c r="H2028" t="n">
        <v>647.266</v>
      </c>
      <c r="I2028" t="n">
        <v>30</v>
      </c>
      <c r="J2028" t="inlineStr">
        <is>
          <t>BTBR</t>
        </is>
      </c>
      <c r="K2028" t="inlineStr">
        <is>
          <t>Male</t>
        </is>
      </c>
      <c r="L2028" t="inlineStr">
        <is>
          <t>No focal subject</t>
        </is>
      </c>
      <c r="M2028" t="n">
        <v>53.865</v>
      </c>
      <c r="N2028" t="inlineStr">
        <is>
          <t>Explore_F</t>
        </is>
      </c>
      <c r="O2028" t="inlineStr">
        <is>
          <t>Familiar</t>
        </is>
      </c>
      <c r="P2028" t="inlineStr">
        <is>
          <t>STATE</t>
        </is>
      </c>
      <c r="Q2028" t="n">
        <v>258.133</v>
      </c>
      <c r="R2028" t="n">
        <v>258.733</v>
      </c>
      <c r="S2028" t="n">
        <v>0.6</v>
      </c>
      <c r="T2028" t="inlineStr">
        <is>
          <t>BTBR\test\c3m1.mp4</t>
        </is>
      </c>
      <c r="U2028" t="n">
        <v>7743</v>
      </c>
      <c r="V2028" t="n">
        <v>7760</v>
      </c>
      <c r="W2028" t="n">
        <v/>
      </c>
      <c r="X2028" t="n">
        <v/>
      </c>
      <c r="Y2028" t="n">
        <v/>
      </c>
      <c r="Z2028" t="n">
        <v/>
      </c>
      <c r="AA2028">
        <f>SUMIFS($S$2:S2028,$A$2:A2028,A2028,$N$2:N2028,"Explore*")</f>
        <v/>
      </c>
      <c r="AB2028">
        <f>IF(AND(LEFT(N2028,7)="Explore",(AA2028-IF(LEFT(N2028,7)="Explore",S2028,0))&lt;10),"SI","NO")</f>
        <v/>
      </c>
    </row>
    <row r="2029">
      <c r="A2029" t="inlineStr">
        <is>
          <t>c3m1_test</t>
        </is>
      </c>
      <c r="B2029" t="inlineStr">
        <is>
          <t>2026-01-28 10:51:14.482</t>
        </is>
      </c>
      <c r="C2029" t="n">
        <v/>
      </c>
      <c r="D2029" t="inlineStr">
        <is>
          <t>Media file</t>
        </is>
      </c>
      <c r="E2029" t="inlineStr">
        <is>
          <t>player #1:BTBR\test\c3m1.mp4</t>
        </is>
      </c>
      <c r="F2029" t="n">
        <v>-9.199999999999999</v>
      </c>
      <c r="G2029" t="n">
        <v>588.566</v>
      </c>
      <c r="H2029" t="n">
        <v>647.266</v>
      </c>
      <c r="I2029" t="n">
        <v>30</v>
      </c>
      <c r="J2029" t="inlineStr">
        <is>
          <t>BTBR</t>
        </is>
      </c>
      <c r="K2029" t="inlineStr">
        <is>
          <t>Male</t>
        </is>
      </c>
      <c r="L2029" t="inlineStr">
        <is>
          <t>No focal subject</t>
        </is>
      </c>
      <c r="M2029" t="n">
        <v>53.865</v>
      </c>
      <c r="N2029" t="inlineStr">
        <is>
          <t>Explore_N</t>
        </is>
      </c>
      <c r="O2029" t="inlineStr">
        <is>
          <t>Novelty</t>
        </is>
      </c>
      <c r="P2029" t="inlineStr">
        <is>
          <t>STATE</t>
        </is>
      </c>
      <c r="Q2029" t="n">
        <v>260</v>
      </c>
      <c r="R2029" t="n">
        <v>261.433</v>
      </c>
      <c r="S2029" t="n">
        <v>1.433</v>
      </c>
      <c r="T2029" t="inlineStr">
        <is>
          <t>BTBR\test\c3m1.mp4</t>
        </is>
      </c>
      <c r="U2029" t="n">
        <v>7798</v>
      </c>
      <c r="V2029" t="n">
        <v>7841</v>
      </c>
      <c r="W2029" t="n">
        <v/>
      </c>
      <c r="X2029" t="n">
        <v/>
      </c>
      <c r="Y2029" t="n">
        <v/>
      </c>
      <c r="Z2029" t="n">
        <v/>
      </c>
      <c r="AA2029">
        <f>SUMIFS($S$2:S2029,$A$2:A2029,A2029,$N$2:N2029,"Explore*")</f>
        <v/>
      </c>
      <c r="AB2029">
        <f>IF(AND(LEFT(N2029,7)="Explore",(AA2029-IF(LEFT(N2029,7)="Explore",S2029,0))&lt;10),"SI","NO")</f>
        <v/>
      </c>
    </row>
    <row r="2030">
      <c r="A2030" t="inlineStr">
        <is>
          <t>c3m1_test</t>
        </is>
      </c>
      <c r="B2030" t="inlineStr">
        <is>
          <t>2026-01-28 10:51:14.482</t>
        </is>
      </c>
      <c r="C2030" t="n">
        <v/>
      </c>
      <c r="D2030" t="inlineStr">
        <is>
          <t>Media file</t>
        </is>
      </c>
      <c r="E2030" t="inlineStr">
        <is>
          <t>player #1:BTBR\test\c3m1.mp4</t>
        </is>
      </c>
      <c r="F2030" t="n">
        <v>-9.199999999999999</v>
      </c>
      <c r="G2030" t="n">
        <v>588.566</v>
      </c>
      <c r="H2030" t="n">
        <v>647.266</v>
      </c>
      <c r="I2030" t="n">
        <v>30</v>
      </c>
      <c r="J2030" t="inlineStr">
        <is>
          <t>BTBR</t>
        </is>
      </c>
      <c r="K2030" t="inlineStr">
        <is>
          <t>Male</t>
        </is>
      </c>
      <c r="L2030" t="inlineStr">
        <is>
          <t>No focal subject</t>
        </is>
      </c>
      <c r="M2030" t="n">
        <v>53.865</v>
      </c>
      <c r="N2030" t="inlineStr">
        <is>
          <t>Explore_N</t>
        </is>
      </c>
      <c r="O2030" t="inlineStr">
        <is>
          <t>Novelty</t>
        </is>
      </c>
      <c r="P2030" t="inlineStr">
        <is>
          <t>STATE</t>
        </is>
      </c>
      <c r="Q2030" t="n">
        <v>263.1</v>
      </c>
      <c r="R2030" t="n">
        <v>264.433</v>
      </c>
      <c r="S2030" t="n">
        <v>1.333</v>
      </c>
      <c r="T2030" t="inlineStr">
        <is>
          <t>BTBR\test\c3m1.mp4</t>
        </is>
      </c>
      <c r="U2030" t="n">
        <v>7893</v>
      </c>
      <c r="V2030" t="n">
        <v>7931</v>
      </c>
      <c r="W2030" t="n">
        <v/>
      </c>
      <c r="X2030" t="n">
        <v/>
      </c>
      <c r="Y2030" t="n">
        <v/>
      </c>
      <c r="Z2030" t="n">
        <v/>
      </c>
      <c r="AA2030">
        <f>SUMIFS($S$2:S2030,$A$2:A2030,A2030,$N$2:N2030,"Explore*")</f>
        <v/>
      </c>
      <c r="AB2030">
        <f>IF(AND(LEFT(N2030,7)="Explore",(AA2030-IF(LEFT(N2030,7)="Explore",S2030,0))&lt;10),"SI","NO")</f>
        <v/>
      </c>
    </row>
    <row r="2031">
      <c r="A2031" t="inlineStr">
        <is>
          <t>c3m1_test</t>
        </is>
      </c>
      <c r="B2031" t="inlineStr">
        <is>
          <t>2026-01-28 10:51:14.482</t>
        </is>
      </c>
      <c r="C2031" t="n">
        <v/>
      </c>
      <c r="D2031" t="inlineStr">
        <is>
          <t>Media file</t>
        </is>
      </c>
      <c r="E2031" t="inlineStr">
        <is>
          <t>player #1:BTBR\test\c3m1.mp4</t>
        </is>
      </c>
      <c r="F2031" t="n">
        <v>-9.199999999999999</v>
      </c>
      <c r="G2031" t="n">
        <v>588.566</v>
      </c>
      <c r="H2031" t="n">
        <v>647.266</v>
      </c>
      <c r="I2031" t="n">
        <v>30</v>
      </c>
      <c r="J2031" t="inlineStr">
        <is>
          <t>BTBR</t>
        </is>
      </c>
      <c r="K2031" t="inlineStr">
        <is>
          <t>Male</t>
        </is>
      </c>
      <c r="L2031" t="inlineStr">
        <is>
          <t>No focal subject</t>
        </is>
      </c>
      <c r="M2031" t="n">
        <v>53.865</v>
      </c>
      <c r="N2031" t="inlineStr">
        <is>
          <t>Explore_N</t>
        </is>
      </c>
      <c r="O2031" t="inlineStr">
        <is>
          <t>Novelty</t>
        </is>
      </c>
      <c r="P2031" t="inlineStr">
        <is>
          <t>STATE</t>
        </is>
      </c>
      <c r="Q2031" t="n">
        <v>279.5</v>
      </c>
      <c r="R2031" t="n">
        <v>280.566</v>
      </c>
      <c r="S2031" t="n">
        <v>1.066</v>
      </c>
      <c r="T2031" t="inlineStr">
        <is>
          <t>BTBR\test\c3m1.mp4</t>
        </is>
      </c>
      <c r="U2031" t="n">
        <v>8383</v>
      </c>
      <c r="V2031" t="n">
        <v>8415</v>
      </c>
      <c r="W2031" t="n">
        <v/>
      </c>
      <c r="X2031" t="n">
        <v/>
      </c>
      <c r="Y2031" t="n">
        <v/>
      </c>
      <c r="Z2031" t="n">
        <v/>
      </c>
      <c r="AA2031">
        <f>SUMIFS($S$2:S2031,$A$2:A2031,A2031,$N$2:N2031,"Explore*")</f>
        <v/>
      </c>
      <c r="AB2031">
        <f>IF(AND(LEFT(N2031,7)="Explore",(AA2031-IF(LEFT(N2031,7)="Explore",S2031,0))&lt;10),"SI","NO")</f>
        <v/>
      </c>
    </row>
    <row r="2032">
      <c r="A2032" t="inlineStr">
        <is>
          <t>c3m1_test</t>
        </is>
      </c>
      <c r="B2032" t="inlineStr">
        <is>
          <t>2026-01-28 10:51:14.482</t>
        </is>
      </c>
      <c r="C2032" t="n">
        <v/>
      </c>
      <c r="D2032" t="inlineStr">
        <is>
          <t>Media file</t>
        </is>
      </c>
      <c r="E2032" t="inlineStr">
        <is>
          <t>player #1:BTBR\test\c3m1.mp4</t>
        </is>
      </c>
      <c r="F2032" t="n">
        <v>-9.199999999999999</v>
      </c>
      <c r="G2032" t="n">
        <v>588.566</v>
      </c>
      <c r="H2032" t="n">
        <v>647.266</v>
      </c>
      <c r="I2032" t="n">
        <v>30</v>
      </c>
      <c r="J2032" t="inlineStr">
        <is>
          <t>BTBR</t>
        </is>
      </c>
      <c r="K2032" t="inlineStr">
        <is>
          <t>Male</t>
        </is>
      </c>
      <c r="L2032" t="inlineStr">
        <is>
          <t>No focal subject</t>
        </is>
      </c>
      <c r="M2032" t="n">
        <v>53.865</v>
      </c>
      <c r="N2032" t="inlineStr">
        <is>
          <t>Explore_N</t>
        </is>
      </c>
      <c r="O2032" t="inlineStr">
        <is>
          <t>Novelty</t>
        </is>
      </c>
      <c r="P2032" t="inlineStr">
        <is>
          <t>STATE</t>
        </is>
      </c>
      <c r="Q2032" t="n">
        <v>285.266</v>
      </c>
      <c r="R2032" t="n">
        <v>286.633</v>
      </c>
      <c r="S2032" t="n">
        <v>1.367</v>
      </c>
      <c r="T2032" t="inlineStr">
        <is>
          <t>BTBR\test\c3m1.mp4</t>
        </is>
      </c>
      <c r="U2032" t="n">
        <v>8556</v>
      </c>
      <c r="V2032" t="n">
        <v>8598</v>
      </c>
      <c r="W2032" t="n">
        <v/>
      </c>
      <c r="X2032" t="n">
        <v/>
      </c>
      <c r="Y2032" t="n">
        <v/>
      </c>
      <c r="Z2032" t="n">
        <v/>
      </c>
      <c r="AA2032">
        <f>SUMIFS($S$2:S2032,$A$2:A2032,A2032,$N$2:N2032,"Explore*")</f>
        <v/>
      </c>
      <c r="AB2032">
        <f>IF(AND(LEFT(N2032,7)="Explore",(AA2032-IF(LEFT(N2032,7)="Explore",S2032,0))&lt;10),"SI","NO")</f>
        <v/>
      </c>
    </row>
    <row r="2033">
      <c r="A2033" t="inlineStr">
        <is>
          <t>c3m1_test</t>
        </is>
      </c>
      <c r="B2033" t="inlineStr">
        <is>
          <t>2026-01-28 10:51:14.482</t>
        </is>
      </c>
      <c r="C2033" t="n">
        <v/>
      </c>
      <c r="D2033" t="inlineStr">
        <is>
          <t>Media file</t>
        </is>
      </c>
      <c r="E2033" t="inlineStr">
        <is>
          <t>player #1:BTBR\test\c3m1.mp4</t>
        </is>
      </c>
      <c r="F2033" t="n">
        <v>-9.199999999999999</v>
      </c>
      <c r="G2033" t="n">
        <v>588.566</v>
      </c>
      <c r="H2033" t="n">
        <v>647.266</v>
      </c>
      <c r="I2033" t="n">
        <v>30</v>
      </c>
      <c r="J2033" t="inlineStr">
        <is>
          <t>BTBR</t>
        </is>
      </c>
      <c r="K2033" t="inlineStr">
        <is>
          <t>Male</t>
        </is>
      </c>
      <c r="L2033" t="inlineStr">
        <is>
          <t>No focal subject</t>
        </is>
      </c>
      <c r="M2033" t="n">
        <v>53.865</v>
      </c>
      <c r="N2033" t="inlineStr">
        <is>
          <t>Explore_N</t>
        </is>
      </c>
      <c r="O2033" t="inlineStr">
        <is>
          <t>Novelty</t>
        </is>
      </c>
      <c r="P2033" t="inlineStr">
        <is>
          <t>STATE</t>
        </is>
      </c>
      <c r="Q2033" t="n">
        <v>288.866</v>
      </c>
      <c r="R2033" t="n">
        <v>289.866</v>
      </c>
      <c r="S2033" t="n">
        <v>1</v>
      </c>
      <c r="T2033" t="inlineStr">
        <is>
          <t>BTBR\test\c3m1.mp4</t>
        </is>
      </c>
      <c r="U2033" t="n">
        <v>8664</v>
      </c>
      <c r="V2033" t="n">
        <v>8694</v>
      </c>
      <c r="W2033" t="n">
        <v/>
      </c>
      <c r="X2033" t="n">
        <v/>
      </c>
      <c r="Y2033" t="n">
        <v/>
      </c>
      <c r="Z2033" t="n">
        <v/>
      </c>
      <c r="AA2033">
        <f>SUMIFS($S$2:S2033,$A$2:A2033,A2033,$N$2:N2033,"Explore*")</f>
        <v/>
      </c>
      <c r="AB2033">
        <f>IF(AND(LEFT(N2033,7)="Explore",(AA2033-IF(LEFT(N2033,7)="Explore",S2033,0))&lt;10),"SI","NO")</f>
        <v/>
      </c>
    </row>
    <row r="2034">
      <c r="A2034" t="inlineStr">
        <is>
          <t>c3m1_test</t>
        </is>
      </c>
      <c r="B2034" t="inlineStr">
        <is>
          <t>2026-01-28 10:51:14.482</t>
        </is>
      </c>
      <c r="C2034" t="n">
        <v/>
      </c>
      <c r="D2034" t="inlineStr">
        <is>
          <t>Media file</t>
        </is>
      </c>
      <c r="E2034" t="inlineStr">
        <is>
          <t>player #1:BTBR\test\c3m1.mp4</t>
        </is>
      </c>
      <c r="F2034" t="n">
        <v>-9.199999999999999</v>
      </c>
      <c r="G2034" t="n">
        <v>588.566</v>
      </c>
      <c r="H2034" t="n">
        <v>647.266</v>
      </c>
      <c r="I2034" t="n">
        <v>30</v>
      </c>
      <c r="J2034" t="inlineStr">
        <is>
          <t>BTBR</t>
        </is>
      </c>
      <c r="K2034" t="inlineStr">
        <is>
          <t>Male</t>
        </is>
      </c>
      <c r="L2034" t="inlineStr">
        <is>
          <t>No focal subject</t>
        </is>
      </c>
      <c r="M2034" t="n">
        <v>53.865</v>
      </c>
      <c r="N2034" t="inlineStr">
        <is>
          <t>Explore_N</t>
        </is>
      </c>
      <c r="O2034" t="inlineStr">
        <is>
          <t>Novelty</t>
        </is>
      </c>
      <c r="P2034" t="inlineStr">
        <is>
          <t>STATE</t>
        </is>
      </c>
      <c r="Q2034" t="n">
        <v>300.933</v>
      </c>
      <c r="R2034" t="n">
        <v>301.733</v>
      </c>
      <c r="S2034" t="n">
        <v>0.8</v>
      </c>
      <c r="T2034" t="inlineStr">
        <is>
          <t>BTBR\test\c3m1.mp4</t>
        </is>
      </c>
      <c r="U2034" t="n">
        <v>9026</v>
      </c>
      <c r="V2034" t="n">
        <v>9050</v>
      </c>
      <c r="W2034" t="n">
        <v/>
      </c>
      <c r="X2034" t="n">
        <v/>
      </c>
      <c r="Y2034" t="n">
        <v/>
      </c>
      <c r="Z2034" t="n">
        <v/>
      </c>
      <c r="AA2034">
        <f>SUMIFS($S$2:S2034,$A$2:A2034,A2034,$N$2:N2034,"Explore*")</f>
        <v/>
      </c>
      <c r="AB2034">
        <f>IF(AND(LEFT(N2034,7)="Explore",(AA2034-IF(LEFT(N2034,7)="Explore",S2034,0))&lt;10),"SI","NO")</f>
        <v/>
      </c>
    </row>
    <row r="2035">
      <c r="A2035" t="inlineStr">
        <is>
          <t>c3m1_test</t>
        </is>
      </c>
      <c r="B2035" t="inlineStr">
        <is>
          <t>2026-01-28 10:51:14.482</t>
        </is>
      </c>
      <c r="C2035" t="n">
        <v/>
      </c>
      <c r="D2035" t="inlineStr">
        <is>
          <t>Media file</t>
        </is>
      </c>
      <c r="E2035" t="inlineStr">
        <is>
          <t>player #1:BTBR\test\c3m1.mp4</t>
        </is>
      </c>
      <c r="F2035" t="n">
        <v>-9.199999999999999</v>
      </c>
      <c r="G2035" t="n">
        <v>588.566</v>
      </c>
      <c r="H2035" t="n">
        <v>647.266</v>
      </c>
      <c r="I2035" t="n">
        <v>30</v>
      </c>
      <c r="J2035" t="inlineStr">
        <is>
          <t>BTBR</t>
        </is>
      </c>
      <c r="K2035" t="inlineStr">
        <is>
          <t>Male</t>
        </is>
      </c>
      <c r="L2035" t="inlineStr">
        <is>
          <t>No focal subject</t>
        </is>
      </c>
      <c r="M2035" t="n">
        <v>53.865</v>
      </c>
      <c r="N2035" t="inlineStr">
        <is>
          <t>Explore_F</t>
        </is>
      </c>
      <c r="O2035" t="inlineStr">
        <is>
          <t>Familiar</t>
        </is>
      </c>
      <c r="P2035" t="inlineStr">
        <is>
          <t>STATE</t>
        </is>
      </c>
      <c r="Q2035" t="n">
        <v>302.866</v>
      </c>
      <c r="R2035" t="n">
        <v>303.4</v>
      </c>
      <c r="S2035" t="n">
        <v>0.534</v>
      </c>
      <c r="T2035" t="inlineStr">
        <is>
          <t>BTBR\test\c3m1.mp4</t>
        </is>
      </c>
      <c r="U2035" t="n">
        <v>9084</v>
      </c>
      <c r="V2035" t="n">
        <v>9100</v>
      </c>
      <c r="W2035" t="n">
        <v/>
      </c>
      <c r="X2035" t="n">
        <v/>
      </c>
      <c r="Y2035" t="n">
        <v/>
      </c>
      <c r="Z2035" t="n">
        <v/>
      </c>
      <c r="AA2035">
        <f>SUMIFS($S$2:S2035,$A$2:A2035,A2035,$N$2:N2035,"Explore*")</f>
        <v/>
      </c>
      <c r="AB2035">
        <f>IF(AND(LEFT(N2035,7)="Explore",(AA2035-IF(LEFT(N2035,7)="Explore",S2035,0))&lt;10),"SI","NO")</f>
        <v/>
      </c>
    </row>
    <row r="2036">
      <c r="A2036" t="inlineStr">
        <is>
          <t>c3m1_test</t>
        </is>
      </c>
      <c r="B2036" t="inlineStr">
        <is>
          <t>2026-01-28 10:51:14.482</t>
        </is>
      </c>
      <c r="C2036" t="n">
        <v/>
      </c>
      <c r="D2036" t="inlineStr">
        <is>
          <t>Media file</t>
        </is>
      </c>
      <c r="E2036" t="inlineStr">
        <is>
          <t>player #1:BTBR\test\c3m1.mp4</t>
        </is>
      </c>
      <c r="F2036" t="n">
        <v>-9.199999999999999</v>
      </c>
      <c r="G2036" t="n">
        <v>588.566</v>
      </c>
      <c r="H2036" t="n">
        <v>647.266</v>
      </c>
      <c r="I2036" t="n">
        <v>30</v>
      </c>
      <c r="J2036" t="inlineStr">
        <is>
          <t>BTBR</t>
        </is>
      </c>
      <c r="K2036" t="inlineStr">
        <is>
          <t>Male</t>
        </is>
      </c>
      <c r="L2036" t="inlineStr">
        <is>
          <t>No focal subject</t>
        </is>
      </c>
      <c r="M2036" t="n">
        <v>53.865</v>
      </c>
      <c r="N2036" t="inlineStr">
        <is>
          <t>Explore_N</t>
        </is>
      </c>
      <c r="O2036" t="inlineStr">
        <is>
          <t>Novelty</t>
        </is>
      </c>
      <c r="P2036" t="inlineStr">
        <is>
          <t>STATE</t>
        </is>
      </c>
      <c r="Q2036" t="n">
        <v>313.766</v>
      </c>
      <c r="R2036" t="n">
        <v>314.166</v>
      </c>
      <c r="S2036" t="n">
        <v>0.4</v>
      </c>
      <c r="T2036" t="inlineStr">
        <is>
          <t>BTBR\test\c3m1.mp4</t>
        </is>
      </c>
      <c r="U2036" t="n">
        <v>9411</v>
      </c>
      <c r="V2036" t="n">
        <v>9423</v>
      </c>
      <c r="W2036" t="n">
        <v/>
      </c>
      <c r="X2036" t="n">
        <v/>
      </c>
      <c r="Y2036" t="n">
        <v/>
      </c>
      <c r="Z2036" t="n">
        <v/>
      </c>
      <c r="AA2036">
        <f>SUMIFS($S$2:S2036,$A$2:A2036,A2036,$N$2:N2036,"Explore*")</f>
        <v/>
      </c>
      <c r="AB2036">
        <f>IF(AND(LEFT(N2036,7)="Explore",(AA2036-IF(LEFT(N2036,7)="Explore",S2036,0))&lt;10),"SI","NO")</f>
        <v/>
      </c>
    </row>
    <row r="2037">
      <c r="A2037" t="inlineStr">
        <is>
          <t>c3m1_test</t>
        </is>
      </c>
      <c r="B2037" t="inlineStr">
        <is>
          <t>2026-01-28 10:51:14.482</t>
        </is>
      </c>
      <c r="C2037" t="n">
        <v/>
      </c>
      <c r="D2037" t="inlineStr">
        <is>
          <t>Media file</t>
        </is>
      </c>
      <c r="E2037" t="inlineStr">
        <is>
          <t>player #1:BTBR\test\c3m1.mp4</t>
        </is>
      </c>
      <c r="F2037" t="n">
        <v>-9.199999999999999</v>
      </c>
      <c r="G2037" t="n">
        <v>588.566</v>
      </c>
      <c r="H2037" t="n">
        <v>647.266</v>
      </c>
      <c r="I2037" t="n">
        <v>30</v>
      </c>
      <c r="J2037" t="inlineStr">
        <is>
          <t>BTBR</t>
        </is>
      </c>
      <c r="K2037" t="inlineStr">
        <is>
          <t>Male</t>
        </is>
      </c>
      <c r="L2037" t="inlineStr">
        <is>
          <t>No focal subject</t>
        </is>
      </c>
      <c r="M2037" t="n">
        <v>53.865</v>
      </c>
      <c r="N2037" t="inlineStr">
        <is>
          <t>Explore_N</t>
        </is>
      </c>
      <c r="O2037" t="inlineStr">
        <is>
          <t>Novelty</t>
        </is>
      </c>
      <c r="P2037" t="inlineStr">
        <is>
          <t>STATE</t>
        </is>
      </c>
      <c r="Q2037" t="n">
        <v>317.9</v>
      </c>
      <c r="R2037" t="n">
        <v>318.566</v>
      </c>
      <c r="S2037" t="n">
        <v>0.666</v>
      </c>
      <c r="T2037" t="inlineStr">
        <is>
          <t>BTBR\test\c3m1.mp4</t>
        </is>
      </c>
      <c r="U2037" t="n">
        <v>9535</v>
      </c>
      <c r="V2037" t="n">
        <v>9555</v>
      </c>
      <c r="W2037" t="n">
        <v/>
      </c>
      <c r="X2037" t="n">
        <v/>
      </c>
      <c r="Y2037" t="n">
        <v/>
      </c>
      <c r="Z2037" t="n">
        <v/>
      </c>
      <c r="AA2037">
        <f>SUMIFS($S$2:S2037,$A$2:A2037,A2037,$N$2:N2037,"Explore*")</f>
        <v/>
      </c>
      <c r="AB2037">
        <f>IF(AND(LEFT(N2037,7)="Explore",(AA2037-IF(LEFT(N2037,7)="Explore",S2037,0))&lt;10),"SI","NO")</f>
        <v/>
      </c>
    </row>
    <row r="2038">
      <c r="A2038" t="inlineStr">
        <is>
          <t>c3m1_test</t>
        </is>
      </c>
      <c r="B2038" t="inlineStr">
        <is>
          <t>2026-01-28 10:51:14.482</t>
        </is>
      </c>
      <c r="C2038" t="n">
        <v/>
      </c>
      <c r="D2038" t="inlineStr">
        <is>
          <t>Media file</t>
        </is>
      </c>
      <c r="E2038" t="inlineStr">
        <is>
          <t>player #1:BTBR\test\c3m1.mp4</t>
        </is>
      </c>
      <c r="F2038" t="n">
        <v>-9.199999999999999</v>
      </c>
      <c r="G2038" t="n">
        <v>588.566</v>
      </c>
      <c r="H2038" t="n">
        <v>647.266</v>
      </c>
      <c r="I2038" t="n">
        <v>30</v>
      </c>
      <c r="J2038" t="inlineStr">
        <is>
          <t>BTBR</t>
        </is>
      </c>
      <c r="K2038" t="inlineStr">
        <is>
          <t>Male</t>
        </is>
      </c>
      <c r="L2038" t="inlineStr">
        <is>
          <t>No focal subject</t>
        </is>
      </c>
      <c r="M2038" t="n">
        <v>53.865</v>
      </c>
      <c r="N2038" t="inlineStr">
        <is>
          <t>Explore_F</t>
        </is>
      </c>
      <c r="O2038" t="inlineStr">
        <is>
          <t>Familiar</t>
        </is>
      </c>
      <c r="P2038" t="inlineStr">
        <is>
          <t>STATE</t>
        </is>
      </c>
      <c r="Q2038" t="n">
        <v>323.933</v>
      </c>
      <c r="R2038" t="n">
        <v>324.666</v>
      </c>
      <c r="S2038" t="n">
        <v>0.733</v>
      </c>
      <c r="T2038" t="inlineStr">
        <is>
          <t>BTBR\test\c3m1.mp4</t>
        </is>
      </c>
      <c r="U2038" t="n">
        <v>9716</v>
      </c>
      <c r="V2038" t="n">
        <v>9738</v>
      </c>
      <c r="W2038" t="n">
        <v/>
      </c>
      <c r="X2038" t="n">
        <v/>
      </c>
      <c r="Y2038" t="n">
        <v/>
      </c>
      <c r="Z2038" t="n">
        <v/>
      </c>
      <c r="AA2038">
        <f>SUMIFS($S$2:S2038,$A$2:A2038,A2038,$N$2:N2038,"Explore*")</f>
        <v/>
      </c>
      <c r="AB2038">
        <f>IF(AND(LEFT(N2038,7)="Explore",(AA2038-IF(LEFT(N2038,7)="Explore",S2038,0))&lt;10),"SI","NO")</f>
        <v/>
      </c>
    </row>
    <row r="2039">
      <c r="A2039" t="inlineStr">
        <is>
          <t>c3m1_test</t>
        </is>
      </c>
      <c r="B2039" t="inlineStr">
        <is>
          <t>2026-01-28 10:51:14.482</t>
        </is>
      </c>
      <c r="C2039" t="n">
        <v/>
      </c>
      <c r="D2039" t="inlineStr">
        <is>
          <t>Media file</t>
        </is>
      </c>
      <c r="E2039" t="inlineStr">
        <is>
          <t>player #1:BTBR\test\c3m1.mp4</t>
        </is>
      </c>
      <c r="F2039" t="n">
        <v>-9.199999999999999</v>
      </c>
      <c r="G2039" t="n">
        <v>588.566</v>
      </c>
      <c r="H2039" t="n">
        <v>647.266</v>
      </c>
      <c r="I2039" t="n">
        <v>30</v>
      </c>
      <c r="J2039" t="inlineStr">
        <is>
          <t>BTBR</t>
        </is>
      </c>
      <c r="K2039" t="inlineStr">
        <is>
          <t>Male</t>
        </is>
      </c>
      <c r="L2039" t="inlineStr">
        <is>
          <t>No focal subject</t>
        </is>
      </c>
      <c r="M2039" t="n">
        <v>53.865</v>
      </c>
      <c r="N2039" t="inlineStr">
        <is>
          <t>Explore_F</t>
        </is>
      </c>
      <c r="O2039" t="inlineStr">
        <is>
          <t>Familiar</t>
        </is>
      </c>
      <c r="P2039" t="inlineStr">
        <is>
          <t>STATE</t>
        </is>
      </c>
      <c r="Q2039" t="n">
        <v>325.3</v>
      </c>
      <c r="R2039" t="n">
        <v>325.7</v>
      </c>
      <c r="S2039" t="n">
        <v>0.4</v>
      </c>
      <c r="T2039" t="inlineStr">
        <is>
          <t>BTBR\test\c3m1.mp4</t>
        </is>
      </c>
      <c r="U2039" t="n">
        <v>9757</v>
      </c>
      <c r="V2039" t="n">
        <v>9769</v>
      </c>
      <c r="W2039" t="n">
        <v/>
      </c>
      <c r="X2039" t="n">
        <v/>
      </c>
      <c r="Y2039" t="n">
        <v/>
      </c>
      <c r="Z2039" t="n">
        <v/>
      </c>
      <c r="AA2039">
        <f>SUMIFS($S$2:S2039,$A$2:A2039,A2039,$N$2:N2039,"Explore*")</f>
        <v/>
      </c>
      <c r="AB2039">
        <f>IF(AND(LEFT(N2039,7)="Explore",(AA2039-IF(LEFT(N2039,7)="Explore",S2039,0))&lt;10),"SI","NO")</f>
        <v/>
      </c>
    </row>
    <row r="2040">
      <c r="A2040" t="inlineStr">
        <is>
          <t>c3m1_test</t>
        </is>
      </c>
      <c r="B2040" t="inlineStr">
        <is>
          <t>2026-01-28 10:51:14.482</t>
        </is>
      </c>
      <c r="C2040" t="n">
        <v/>
      </c>
      <c r="D2040" t="inlineStr">
        <is>
          <t>Media file</t>
        </is>
      </c>
      <c r="E2040" t="inlineStr">
        <is>
          <t>player #1:BTBR\test\c3m1.mp4</t>
        </is>
      </c>
      <c r="F2040" t="n">
        <v>-9.199999999999999</v>
      </c>
      <c r="G2040" t="n">
        <v>588.566</v>
      </c>
      <c r="H2040" t="n">
        <v>647.266</v>
      </c>
      <c r="I2040" t="n">
        <v>30</v>
      </c>
      <c r="J2040" t="inlineStr">
        <is>
          <t>BTBR</t>
        </is>
      </c>
      <c r="K2040" t="inlineStr">
        <is>
          <t>Male</t>
        </is>
      </c>
      <c r="L2040" t="inlineStr">
        <is>
          <t>No focal subject</t>
        </is>
      </c>
      <c r="M2040" t="n">
        <v>53.865</v>
      </c>
      <c r="N2040" t="inlineStr">
        <is>
          <t>Explore_F</t>
        </is>
      </c>
      <c r="O2040" t="inlineStr">
        <is>
          <t>Familiar</t>
        </is>
      </c>
      <c r="P2040" t="inlineStr">
        <is>
          <t>STATE</t>
        </is>
      </c>
      <c r="Q2040" t="n">
        <v>336.5</v>
      </c>
      <c r="R2040" t="n">
        <v>336.933</v>
      </c>
      <c r="S2040" t="n">
        <v>0.433</v>
      </c>
      <c r="T2040" t="inlineStr">
        <is>
          <t>BTBR\test\c3m1.mp4</t>
        </is>
      </c>
      <c r="U2040" t="n">
        <v>10093</v>
      </c>
      <c r="V2040" t="n">
        <v>10106</v>
      </c>
      <c r="W2040" t="n">
        <v/>
      </c>
      <c r="X2040" t="n">
        <v/>
      </c>
      <c r="Y2040" t="n">
        <v/>
      </c>
      <c r="Z2040" t="n">
        <v/>
      </c>
      <c r="AA2040">
        <f>SUMIFS($S$2:S2040,$A$2:A2040,A2040,$N$2:N2040,"Explore*")</f>
        <v/>
      </c>
      <c r="AB2040">
        <f>IF(AND(LEFT(N2040,7)="Explore",(AA2040-IF(LEFT(N2040,7)="Explore",S2040,0))&lt;10),"SI","NO")</f>
        <v/>
      </c>
    </row>
    <row r="2041">
      <c r="A2041" t="inlineStr">
        <is>
          <t>c3m1_test</t>
        </is>
      </c>
      <c r="B2041" t="inlineStr">
        <is>
          <t>2026-01-28 10:51:14.482</t>
        </is>
      </c>
      <c r="C2041" t="n">
        <v/>
      </c>
      <c r="D2041" t="inlineStr">
        <is>
          <t>Media file</t>
        </is>
      </c>
      <c r="E2041" t="inlineStr">
        <is>
          <t>player #1:BTBR\test\c3m1.mp4</t>
        </is>
      </c>
      <c r="F2041" t="n">
        <v>-9.199999999999999</v>
      </c>
      <c r="G2041" t="n">
        <v>588.566</v>
      </c>
      <c r="H2041" t="n">
        <v>647.266</v>
      </c>
      <c r="I2041" t="n">
        <v>30</v>
      </c>
      <c r="J2041" t="inlineStr">
        <is>
          <t>BTBR</t>
        </is>
      </c>
      <c r="K2041" t="inlineStr">
        <is>
          <t>Male</t>
        </is>
      </c>
      <c r="L2041" t="inlineStr">
        <is>
          <t>No focal subject</t>
        </is>
      </c>
      <c r="M2041" t="n">
        <v>53.865</v>
      </c>
      <c r="N2041" t="inlineStr">
        <is>
          <t>Explore_F</t>
        </is>
      </c>
      <c r="O2041" t="inlineStr">
        <is>
          <t>Familiar</t>
        </is>
      </c>
      <c r="P2041" t="inlineStr">
        <is>
          <t>STATE</t>
        </is>
      </c>
      <c r="Q2041" t="n">
        <v>337.666</v>
      </c>
      <c r="R2041" t="n">
        <v>338.433</v>
      </c>
      <c r="S2041" t="n">
        <v>0.767</v>
      </c>
      <c r="T2041" t="inlineStr">
        <is>
          <t>BTBR\test\c3m1.mp4</t>
        </is>
      </c>
      <c r="U2041" t="n">
        <v>10128</v>
      </c>
      <c r="V2041" t="n">
        <v>10151</v>
      </c>
      <c r="W2041" t="n">
        <v/>
      </c>
      <c r="X2041" t="n">
        <v/>
      </c>
      <c r="Y2041" t="n">
        <v/>
      </c>
      <c r="Z2041" t="n">
        <v/>
      </c>
      <c r="AA2041">
        <f>SUMIFS($S$2:S2041,$A$2:A2041,A2041,$N$2:N2041,"Explore*")</f>
        <v/>
      </c>
      <c r="AB2041">
        <f>IF(AND(LEFT(N2041,7)="Explore",(AA2041-IF(LEFT(N2041,7)="Explore",S2041,0))&lt;10),"SI","NO")</f>
        <v/>
      </c>
    </row>
    <row r="2042">
      <c r="A2042" t="inlineStr">
        <is>
          <t>c3m1_test</t>
        </is>
      </c>
      <c r="B2042" t="inlineStr">
        <is>
          <t>2026-01-28 10:51:14.482</t>
        </is>
      </c>
      <c r="C2042" t="n">
        <v/>
      </c>
      <c r="D2042" t="inlineStr">
        <is>
          <t>Media file</t>
        </is>
      </c>
      <c r="E2042" t="inlineStr">
        <is>
          <t>player #1:BTBR\test\c3m1.mp4</t>
        </is>
      </c>
      <c r="F2042" t="n">
        <v>-9.199999999999999</v>
      </c>
      <c r="G2042" t="n">
        <v>588.566</v>
      </c>
      <c r="H2042" t="n">
        <v>647.266</v>
      </c>
      <c r="I2042" t="n">
        <v>30</v>
      </c>
      <c r="J2042" t="inlineStr">
        <is>
          <t>BTBR</t>
        </is>
      </c>
      <c r="K2042" t="inlineStr">
        <is>
          <t>Male</t>
        </is>
      </c>
      <c r="L2042" t="inlineStr">
        <is>
          <t>No focal subject</t>
        </is>
      </c>
      <c r="M2042" t="n">
        <v>53.865</v>
      </c>
      <c r="N2042" t="inlineStr">
        <is>
          <t>Explore_F</t>
        </is>
      </c>
      <c r="O2042" t="inlineStr">
        <is>
          <t>Familiar</t>
        </is>
      </c>
      <c r="P2042" t="inlineStr">
        <is>
          <t>STATE</t>
        </is>
      </c>
      <c r="Q2042" t="n">
        <v>340.533</v>
      </c>
      <c r="R2042" t="n">
        <v>341.333</v>
      </c>
      <c r="S2042" t="n">
        <v>0.8</v>
      </c>
      <c r="T2042" t="inlineStr">
        <is>
          <t>BTBR\test\c3m1.mp4</t>
        </is>
      </c>
      <c r="U2042" t="n">
        <v>10214</v>
      </c>
      <c r="V2042" t="n">
        <v>10238</v>
      </c>
      <c r="W2042" t="n">
        <v/>
      </c>
      <c r="X2042" t="n">
        <v/>
      </c>
      <c r="Y2042" t="n">
        <v/>
      </c>
      <c r="Z2042" t="n">
        <v/>
      </c>
      <c r="AA2042">
        <f>SUMIFS($S$2:S2042,$A$2:A2042,A2042,$N$2:N2042,"Explore*")</f>
        <v/>
      </c>
      <c r="AB2042">
        <f>IF(AND(LEFT(N2042,7)="Explore",(AA2042-IF(LEFT(N2042,7)="Explore",S2042,0))&lt;10),"SI","NO")</f>
        <v/>
      </c>
    </row>
    <row r="2043">
      <c r="A2043" t="inlineStr">
        <is>
          <t>c3m1_test</t>
        </is>
      </c>
      <c r="B2043" t="inlineStr">
        <is>
          <t>2026-01-28 10:51:14.482</t>
        </is>
      </c>
      <c r="C2043" t="n">
        <v/>
      </c>
      <c r="D2043" t="inlineStr">
        <is>
          <t>Media file</t>
        </is>
      </c>
      <c r="E2043" t="inlineStr">
        <is>
          <t>player #1:BTBR\test\c3m1.mp4</t>
        </is>
      </c>
      <c r="F2043" t="n">
        <v>-9.199999999999999</v>
      </c>
      <c r="G2043" t="n">
        <v>588.566</v>
      </c>
      <c r="H2043" t="n">
        <v>647.266</v>
      </c>
      <c r="I2043" t="n">
        <v>30</v>
      </c>
      <c r="J2043" t="inlineStr">
        <is>
          <t>BTBR</t>
        </is>
      </c>
      <c r="K2043" t="inlineStr">
        <is>
          <t>Male</t>
        </is>
      </c>
      <c r="L2043" t="inlineStr">
        <is>
          <t>No focal subject</t>
        </is>
      </c>
      <c r="M2043" t="n">
        <v>53.865</v>
      </c>
      <c r="N2043" t="inlineStr">
        <is>
          <t>Explore_N</t>
        </is>
      </c>
      <c r="O2043" t="inlineStr">
        <is>
          <t>Novelty</t>
        </is>
      </c>
      <c r="P2043" t="inlineStr">
        <is>
          <t>STATE</t>
        </is>
      </c>
      <c r="Q2043" t="n">
        <v>352.566</v>
      </c>
      <c r="R2043" t="n">
        <v>353.466</v>
      </c>
      <c r="S2043" t="n">
        <v>0.9</v>
      </c>
      <c r="T2043" t="inlineStr">
        <is>
          <t>BTBR\test\c3m1.mp4</t>
        </is>
      </c>
      <c r="U2043" t="n">
        <v>10575</v>
      </c>
      <c r="V2043" t="n">
        <v>10602</v>
      </c>
      <c r="W2043" t="n">
        <v/>
      </c>
      <c r="X2043" t="n">
        <v/>
      </c>
      <c r="Y2043" t="n">
        <v/>
      </c>
      <c r="Z2043" t="n">
        <v/>
      </c>
      <c r="AA2043">
        <f>SUMIFS($S$2:S2043,$A$2:A2043,A2043,$N$2:N2043,"Explore*")</f>
        <v/>
      </c>
      <c r="AB2043">
        <f>IF(AND(LEFT(N2043,7)="Explore",(AA2043-IF(LEFT(N2043,7)="Explore",S2043,0))&lt;10),"SI","NO")</f>
        <v/>
      </c>
    </row>
    <row r="2044">
      <c r="A2044" t="inlineStr">
        <is>
          <t>c3m1_test</t>
        </is>
      </c>
      <c r="B2044" t="inlineStr">
        <is>
          <t>2026-01-28 10:51:14.482</t>
        </is>
      </c>
      <c r="C2044" t="n">
        <v/>
      </c>
      <c r="D2044" t="inlineStr">
        <is>
          <t>Media file</t>
        </is>
      </c>
      <c r="E2044" t="inlineStr">
        <is>
          <t>player #1:BTBR\test\c3m1.mp4</t>
        </is>
      </c>
      <c r="F2044" t="n">
        <v>-9.199999999999999</v>
      </c>
      <c r="G2044" t="n">
        <v>588.566</v>
      </c>
      <c r="H2044" t="n">
        <v>647.266</v>
      </c>
      <c r="I2044" t="n">
        <v>30</v>
      </c>
      <c r="J2044" t="inlineStr">
        <is>
          <t>BTBR</t>
        </is>
      </c>
      <c r="K2044" t="inlineStr">
        <is>
          <t>Male</t>
        </is>
      </c>
      <c r="L2044" t="inlineStr">
        <is>
          <t>No focal subject</t>
        </is>
      </c>
      <c r="M2044" t="n">
        <v>53.865</v>
      </c>
      <c r="N2044" t="inlineStr">
        <is>
          <t>Explore_F</t>
        </is>
      </c>
      <c r="O2044" t="inlineStr">
        <is>
          <t>Familiar</t>
        </is>
      </c>
      <c r="P2044" t="inlineStr">
        <is>
          <t>STATE</t>
        </is>
      </c>
      <c r="Q2044" t="n">
        <v>357.2</v>
      </c>
      <c r="R2044" t="n">
        <v>357.6</v>
      </c>
      <c r="S2044" t="n">
        <v>0.4</v>
      </c>
      <c r="T2044" t="inlineStr">
        <is>
          <t>BTBR\test\c3m1.mp4</t>
        </is>
      </c>
      <c r="U2044" t="n">
        <v>10714</v>
      </c>
      <c r="V2044" t="n">
        <v>10728</v>
      </c>
      <c r="W2044" t="n">
        <v/>
      </c>
      <c r="X2044" t="n">
        <v/>
      </c>
      <c r="Y2044" t="n">
        <v/>
      </c>
      <c r="Z2044" t="n">
        <v/>
      </c>
      <c r="AA2044">
        <f>SUMIFS($S$2:S2044,$A$2:A2044,A2044,$N$2:N2044,"Explore*")</f>
        <v/>
      </c>
      <c r="AB2044">
        <f>IF(AND(LEFT(N2044,7)="Explore",(AA2044-IF(LEFT(N2044,7)="Explore",S2044,0))&lt;10),"SI","NO")</f>
        <v/>
      </c>
    </row>
    <row r="2045">
      <c r="A2045" t="inlineStr">
        <is>
          <t>c3m1_test</t>
        </is>
      </c>
      <c r="B2045" t="inlineStr">
        <is>
          <t>2026-01-28 10:51:14.482</t>
        </is>
      </c>
      <c r="C2045" t="n">
        <v/>
      </c>
      <c r="D2045" t="inlineStr">
        <is>
          <t>Media file</t>
        </is>
      </c>
      <c r="E2045" t="inlineStr">
        <is>
          <t>player #1:BTBR\test\c3m1.mp4</t>
        </is>
      </c>
      <c r="F2045" t="n">
        <v>-9.199999999999999</v>
      </c>
      <c r="G2045" t="n">
        <v>588.566</v>
      </c>
      <c r="H2045" t="n">
        <v>647.266</v>
      </c>
      <c r="I2045" t="n">
        <v>30</v>
      </c>
      <c r="J2045" t="inlineStr">
        <is>
          <t>BTBR</t>
        </is>
      </c>
      <c r="K2045" t="inlineStr">
        <is>
          <t>Male</t>
        </is>
      </c>
      <c r="L2045" t="inlineStr">
        <is>
          <t>No focal subject</t>
        </is>
      </c>
      <c r="M2045" t="n">
        <v>53.865</v>
      </c>
      <c r="N2045" t="inlineStr">
        <is>
          <t>Explore_F</t>
        </is>
      </c>
      <c r="O2045" t="inlineStr">
        <is>
          <t>Familiar</t>
        </is>
      </c>
      <c r="P2045" t="inlineStr">
        <is>
          <t>STATE</t>
        </is>
      </c>
      <c r="Q2045" t="n">
        <v>361.6</v>
      </c>
      <c r="R2045" t="n">
        <v>362.1</v>
      </c>
      <c r="S2045" t="n">
        <v>0.5</v>
      </c>
      <c r="T2045" t="inlineStr">
        <is>
          <t>BTBR\test\c3m1.mp4</t>
        </is>
      </c>
      <c r="U2045" t="n">
        <v>10848</v>
      </c>
      <c r="V2045" t="n">
        <v>10863</v>
      </c>
      <c r="W2045" t="n">
        <v/>
      </c>
      <c r="X2045" t="n">
        <v/>
      </c>
      <c r="Y2045" t="n">
        <v/>
      </c>
      <c r="Z2045" t="n">
        <v/>
      </c>
      <c r="AA2045">
        <f>SUMIFS($S$2:S2045,$A$2:A2045,A2045,$N$2:N2045,"Explore*")</f>
        <v/>
      </c>
      <c r="AB2045">
        <f>IF(AND(LEFT(N2045,7)="Explore",(AA2045-IF(LEFT(N2045,7)="Explore",S2045,0))&lt;10),"SI","NO")</f>
        <v/>
      </c>
    </row>
    <row r="2046">
      <c r="A2046" t="inlineStr">
        <is>
          <t>c3m1_test</t>
        </is>
      </c>
      <c r="B2046" t="inlineStr">
        <is>
          <t>2026-01-28 10:51:14.482</t>
        </is>
      </c>
      <c r="C2046" t="n">
        <v/>
      </c>
      <c r="D2046" t="inlineStr">
        <is>
          <t>Media file</t>
        </is>
      </c>
      <c r="E2046" t="inlineStr">
        <is>
          <t>player #1:BTBR\test\c3m1.mp4</t>
        </is>
      </c>
      <c r="F2046" t="n">
        <v>-9.199999999999999</v>
      </c>
      <c r="G2046" t="n">
        <v>588.566</v>
      </c>
      <c r="H2046" t="n">
        <v>647.266</v>
      </c>
      <c r="I2046" t="n">
        <v>30</v>
      </c>
      <c r="J2046" t="inlineStr">
        <is>
          <t>BTBR</t>
        </is>
      </c>
      <c r="K2046" t="inlineStr">
        <is>
          <t>Male</t>
        </is>
      </c>
      <c r="L2046" t="inlineStr">
        <is>
          <t>No focal subject</t>
        </is>
      </c>
      <c r="M2046" t="n">
        <v>53.865</v>
      </c>
      <c r="N2046" t="inlineStr">
        <is>
          <t>Explore_N</t>
        </is>
      </c>
      <c r="O2046" t="inlineStr">
        <is>
          <t>Novelty</t>
        </is>
      </c>
      <c r="P2046" t="inlineStr">
        <is>
          <t>STATE</t>
        </is>
      </c>
      <c r="Q2046" t="n">
        <v>366.466</v>
      </c>
      <c r="R2046" t="n">
        <v>367.566</v>
      </c>
      <c r="S2046" t="n">
        <v>1.1</v>
      </c>
      <c r="T2046" t="inlineStr">
        <is>
          <t>BTBR\test\c3m1.mp4</t>
        </is>
      </c>
      <c r="U2046" t="n">
        <v>10992</v>
      </c>
      <c r="V2046" t="n">
        <v>11025</v>
      </c>
      <c r="W2046" t="n">
        <v/>
      </c>
      <c r="X2046" t="n">
        <v/>
      </c>
      <c r="Y2046" t="n">
        <v/>
      </c>
      <c r="Z2046" t="n">
        <v/>
      </c>
      <c r="AA2046">
        <f>SUMIFS($S$2:S2046,$A$2:A2046,A2046,$N$2:N2046,"Explore*")</f>
        <v/>
      </c>
      <c r="AB2046">
        <f>IF(AND(LEFT(N2046,7)="Explore",(AA2046-IF(LEFT(N2046,7)="Explore",S2046,0))&lt;10),"SI","NO")</f>
        <v/>
      </c>
    </row>
    <row r="2047">
      <c r="A2047" t="inlineStr">
        <is>
          <t>c3m1_test</t>
        </is>
      </c>
      <c r="B2047" t="inlineStr">
        <is>
          <t>2026-01-28 10:51:14.482</t>
        </is>
      </c>
      <c r="C2047" t="n">
        <v/>
      </c>
      <c r="D2047" t="inlineStr">
        <is>
          <t>Media file</t>
        </is>
      </c>
      <c r="E2047" t="inlineStr">
        <is>
          <t>player #1:BTBR\test\c3m1.mp4</t>
        </is>
      </c>
      <c r="F2047" t="n">
        <v>-9.199999999999999</v>
      </c>
      <c r="G2047" t="n">
        <v>588.566</v>
      </c>
      <c r="H2047" t="n">
        <v>647.266</v>
      </c>
      <c r="I2047" t="n">
        <v>30</v>
      </c>
      <c r="J2047" t="inlineStr">
        <is>
          <t>BTBR</t>
        </is>
      </c>
      <c r="K2047" t="inlineStr">
        <is>
          <t>Male</t>
        </is>
      </c>
      <c r="L2047" t="inlineStr">
        <is>
          <t>No focal subject</t>
        </is>
      </c>
      <c r="M2047" t="n">
        <v>53.865</v>
      </c>
      <c r="N2047" t="inlineStr">
        <is>
          <t>Explore_F</t>
        </is>
      </c>
      <c r="O2047" t="inlineStr">
        <is>
          <t>Familiar</t>
        </is>
      </c>
      <c r="P2047" t="inlineStr">
        <is>
          <t>STATE</t>
        </is>
      </c>
      <c r="Q2047" t="n">
        <v>372.666</v>
      </c>
      <c r="R2047" t="n">
        <v>373.1</v>
      </c>
      <c r="S2047" t="n">
        <v>0.434</v>
      </c>
      <c r="T2047" t="inlineStr">
        <is>
          <t>BTBR\test\c3m1.mp4</t>
        </is>
      </c>
      <c r="U2047" t="n">
        <v>11178</v>
      </c>
      <c r="V2047" t="n">
        <v>11193</v>
      </c>
      <c r="W2047" t="n">
        <v/>
      </c>
      <c r="X2047" t="n">
        <v/>
      </c>
      <c r="Y2047" t="n">
        <v/>
      </c>
      <c r="Z2047" t="n">
        <v/>
      </c>
      <c r="AA2047">
        <f>SUMIFS($S$2:S2047,$A$2:A2047,A2047,$N$2:N2047,"Explore*")</f>
        <v/>
      </c>
      <c r="AB2047">
        <f>IF(AND(LEFT(N2047,7)="Explore",(AA2047-IF(LEFT(N2047,7)="Explore",S2047,0))&lt;10),"SI","NO")</f>
        <v/>
      </c>
    </row>
    <row r="2048">
      <c r="A2048" t="inlineStr">
        <is>
          <t>c3m1_test</t>
        </is>
      </c>
      <c r="B2048" t="inlineStr">
        <is>
          <t>2026-01-28 10:51:14.482</t>
        </is>
      </c>
      <c r="C2048" t="n">
        <v/>
      </c>
      <c r="D2048" t="inlineStr">
        <is>
          <t>Media file</t>
        </is>
      </c>
      <c r="E2048" t="inlineStr">
        <is>
          <t>player #1:BTBR\test\c3m1.mp4</t>
        </is>
      </c>
      <c r="F2048" t="n">
        <v>-9.199999999999999</v>
      </c>
      <c r="G2048" t="n">
        <v>588.566</v>
      </c>
      <c r="H2048" t="n">
        <v>647.266</v>
      </c>
      <c r="I2048" t="n">
        <v>30</v>
      </c>
      <c r="J2048" t="inlineStr">
        <is>
          <t>BTBR</t>
        </is>
      </c>
      <c r="K2048" t="inlineStr">
        <is>
          <t>Male</t>
        </is>
      </c>
      <c r="L2048" t="inlineStr">
        <is>
          <t>No focal subject</t>
        </is>
      </c>
      <c r="M2048" t="n">
        <v>53.865</v>
      </c>
      <c r="N2048" t="inlineStr">
        <is>
          <t>Explore_N</t>
        </is>
      </c>
      <c r="O2048" t="inlineStr">
        <is>
          <t>Novelty</t>
        </is>
      </c>
      <c r="P2048" t="inlineStr">
        <is>
          <t>STATE</t>
        </is>
      </c>
      <c r="Q2048" t="n">
        <v>377.7</v>
      </c>
      <c r="R2048" t="n">
        <v>378.2</v>
      </c>
      <c r="S2048" t="n">
        <v>0.5</v>
      </c>
      <c r="T2048" t="inlineStr">
        <is>
          <t>BTBR\test\c3m1.mp4</t>
        </is>
      </c>
      <c r="U2048" t="n">
        <v>11329</v>
      </c>
      <c r="V2048" t="n">
        <v>11344</v>
      </c>
      <c r="W2048" t="n">
        <v/>
      </c>
      <c r="X2048" t="n">
        <v/>
      </c>
      <c r="Y2048" t="n">
        <v/>
      </c>
      <c r="Z2048" t="n">
        <v/>
      </c>
      <c r="AA2048">
        <f>SUMIFS($S$2:S2048,$A$2:A2048,A2048,$N$2:N2048,"Explore*")</f>
        <v/>
      </c>
      <c r="AB2048">
        <f>IF(AND(LEFT(N2048,7)="Explore",(AA2048-IF(LEFT(N2048,7)="Explore",S2048,0))&lt;10),"SI","NO")</f>
        <v/>
      </c>
    </row>
    <row r="2049">
      <c r="A2049" t="inlineStr">
        <is>
          <t>c3m1_test</t>
        </is>
      </c>
      <c r="B2049" t="inlineStr">
        <is>
          <t>2026-01-28 10:51:14.482</t>
        </is>
      </c>
      <c r="C2049" t="n">
        <v/>
      </c>
      <c r="D2049" t="inlineStr">
        <is>
          <t>Media file</t>
        </is>
      </c>
      <c r="E2049" t="inlineStr">
        <is>
          <t>player #1:BTBR\test\c3m1.mp4</t>
        </is>
      </c>
      <c r="F2049" t="n">
        <v>-9.199999999999999</v>
      </c>
      <c r="G2049" t="n">
        <v>588.566</v>
      </c>
      <c r="H2049" t="n">
        <v>647.266</v>
      </c>
      <c r="I2049" t="n">
        <v>30</v>
      </c>
      <c r="J2049" t="inlineStr">
        <is>
          <t>BTBR</t>
        </is>
      </c>
      <c r="K2049" t="inlineStr">
        <is>
          <t>Male</t>
        </is>
      </c>
      <c r="L2049" t="inlineStr">
        <is>
          <t>No focal subject</t>
        </is>
      </c>
      <c r="M2049" t="n">
        <v>53.865</v>
      </c>
      <c r="N2049" t="inlineStr">
        <is>
          <t>Explore_F</t>
        </is>
      </c>
      <c r="O2049" t="inlineStr">
        <is>
          <t>Familiar</t>
        </is>
      </c>
      <c r="P2049" t="inlineStr">
        <is>
          <t>STATE</t>
        </is>
      </c>
      <c r="Q2049" t="n">
        <v>402.433</v>
      </c>
      <c r="R2049" t="n">
        <v>403.1</v>
      </c>
      <c r="S2049" t="n">
        <v>0.667</v>
      </c>
      <c r="T2049" t="inlineStr">
        <is>
          <t>BTBR\test\c3m1.mp4</t>
        </is>
      </c>
      <c r="U2049" t="n">
        <v>12071</v>
      </c>
      <c r="V2049" t="n">
        <v>12091</v>
      </c>
      <c r="W2049" t="n">
        <v/>
      </c>
      <c r="X2049" t="n">
        <v/>
      </c>
      <c r="Y2049" t="n">
        <v/>
      </c>
      <c r="Z2049" t="n">
        <v/>
      </c>
      <c r="AA2049">
        <f>SUMIFS($S$2:S2049,$A$2:A2049,A2049,$N$2:N2049,"Explore*")</f>
        <v/>
      </c>
      <c r="AB2049">
        <f>IF(AND(LEFT(N2049,7)="Explore",(AA2049-IF(LEFT(N2049,7)="Explore",S2049,0))&lt;10),"SI","NO")</f>
        <v/>
      </c>
    </row>
    <row r="2050">
      <c r="A2050" t="inlineStr">
        <is>
          <t>c3m1_test</t>
        </is>
      </c>
      <c r="B2050" t="inlineStr">
        <is>
          <t>2026-01-28 10:51:14.482</t>
        </is>
      </c>
      <c r="C2050" t="n">
        <v/>
      </c>
      <c r="D2050" t="inlineStr">
        <is>
          <t>Media file</t>
        </is>
      </c>
      <c r="E2050" t="inlineStr">
        <is>
          <t>player #1:BTBR\test\c3m1.mp4</t>
        </is>
      </c>
      <c r="F2050" t="n">
        <v>-9.199999999999999</v>
      </c>
      <c r="G2050" t="n">
        <v>588.566</v>
      </c>
      <c r="H2050" t="n">
        <v>647.266</v>
      </c>
      <c r="I2050" t="n">
        <v>30</v>
      </c>
      <c r="J2050" t="inlineStr">
        <is>
          <t>BTBR</t>
        </is>
      </c>
      <c r="K2050" t="inlineStr">
        <is>
          <t>Male</t>
        </is>
      </c>
      <c r="L2050" t="inlineStr">
        <is>
          <t>No focal subject</t>
        </is>
      </c>
      <c r="M2050" t="n">
        <v>53.865</v>
      </c>
      <c r="N2050" t="inlineStr">
        <is>
          <t>Explore_N</t>
        </is>
      </c>
      <c r="O2050" t="inlineStr">
        <is>
          <t>Novelty</t>
        </is>
      </c>
      <c r="P2050" t="inlineStr">
        <is>
          <t>STATE</t>
        </is>
      </c>
      <c r="Q2050" t="n">
        <v>406.733</v>
      </c>
      <c r="R2050" t="n">
        <v>407.566</v>
      </c>
      <c r="S2050" t="n">
        <v>0.833</v>
      </c>
      <c r="T2050" t="inlineStr">
        <is>
          <t>BTBR\test\c3m1.mp4</t>
        </is>
      </c>
      <c r="U2050" t="n">
        <v>12200</v>
      </c>
      <c r="V2050" t="n">
        <v>12225</v>
      </c>
      <c r="W2050" t="n">
        <v/>
      </c>
      <c r="X2050" t="n">
        <v/>
      </c>
      <c r="Y2050" t="n">
        <v/>
      </c>
      <c r="Z2050" t="n">
        <v/>
      </c>
      <c r="AA2050">
        <f>SUMIFS($S$2:S2050,$A$2:A2050,A2050,$N$2:N2050,"Explore*")</f>
        <v/>
      </c>
      <c r="AB2050">
        <f>IF(AND(LEFT(N2050,7)="Explore",(AA2050-IF(LEFT(N2050,7)="Explore",S2050,0))&lt;10),"SI","NO")</f>
        <v/>
      </c>
    </row>
    <row r="2051">
      <c r="A2051" t="inlineStr">
        <is>
          <t>c3m1_test</t>
        </is>
      </c>
      <c r="B2051" t="inlineStr">
        <is>
          <t>2026-01-28 10:51:14.482</t>
        </is>
      </c>
      <c r="C2051" t="n">
        <v/>
      </c>
      <c r="D2051" t="inlineStr">
        <is>
          <t>Media file</t>
        </is>
      </c>
      <c r="E2051" t="inlineStr">
        <is>
          <t>player #1:BTBR\test\c3m1.mp4</t>
        </is>
      </c>
      <c r="F2051" t="n">
        <v>-9.199999999999999</v>
      </c>
      <c r="G2051" t="n">
        <v>588.566</v>
      </c>
      <c r="H2051" t="n">
        <v>647.266</v>
      </c>
      <c r="I2051" t="n">
        <v>30</v>
      </c>
      <c r="J2051" t="inlineStr">
        <is>
          <t>BTBR</t>
        </is>
      </c>
      <c r="K2051" t="inlineStr">
        <is>
          <t>Male</t>
        </is>
      </c>
      <c r="L2051" t="inlineStr">
        <is>
          <t>No focal subject</t>
        </is>
      </c>
      <c r="M2051" t="n">
        <v>53.865</v>
      </c>
      <c r="N2051" t="inlineStr">
        <is>
          <t>Explore_F</t>
        </is>
      </c>
      <c r="O2051" t="inlineStr">
        <is>
          <t>Familiar</t>
        </is>
      </c>
      <c r="P2051" t="inlineStr">
        <is>
          <t>STATE</t>
        </is>
      </c>
      <c r="Q2051" t="n">
        <v>517.066</v>
      </c>
      <c r="R2051" t="n">
        <v>517.499</v>
      </c>
      <c r="S2051" t="n">
        <v>0.433</v>
      </c>
      <c r="T2051" t="inlineStr">
        <is>
          <t>BTBR\test\c3m1.mp4</t>
        </is>
      </c>
      <c r="U2051" t="n">
        <v>15509</v>
      </c>
      <c r="V2051" t="n">
        <v>15522</v>
      </c>
      <c r="W2051" t="n">
        <v/>
      </c>
      <c r="X2051" t="n">
        <v/>
      </c>
      <c r="Y2051" t="n">
        <v/>
      </c>
      <c r="Z2051" t="n">
        <v/>
      </c>
      <c r="AA2051">
        <f>SUMIFS($S$2:S2051,$A$2:A2051,A2051,$N$2:N2051,"Explore*")</f>
        <v/>
      </c>
      <c r="AB2051">
        <f>IF(AND(LEFT(N2051,7)="Explore",(AA2051-IF(LEFT(N2051,7)="Explore",S2051,0))&lt;10),"SI","NO")</f>
        <v/>
      </c>
    </row>
    <row r="2052">
      <c r="A2052" t="inlineStr">
        <is>
          <t>c3m1_test</t>
        </is>
      </c>
      <c r="B2052" t="inlineStr">
        <is>
          <t>2026-01-28 10:51:14.482</t>
        </is>
      </c>
      <c r="C2052" t="n">
        <v/>
      </c>
      <c r="D2052" t="inlineStr">
        <is>
          <t>Media file</t>
        </is>
      </c>
      <c r="E2052" t="inlineStr">
        <is>
          <t>player #1:BTBR\test\c3m1.mp4</t>
        </is>
      </c>
      <c r="F2052" t="n">
        <v>-9.199999999999999</v>
      </c>
      <c r="G2052" t="n">
        <v>588.566</v>
      </c>
      <c r="H2052" t="n">
        <v>647.266</v>
      </c>
      <c r="I2052" t="n">
        <v>30</v>
      </c>
      <c r="J2052" t="inlineStr">
        <is>
          <t>BTBR</t>
        </is>
      </c>
      <c r="K2052" t="inlineStr">
        <is>
          <t>Male</t>
        </is>
      </c>
      <c r="L2052" t="inlineStr">
        <is>
          <t>No focal subject</t>
        </is>
      </c>
      <c r="M2052" t="n">
        <v>53.865</v>
      </c>
      <c r="N2052" t="inlineStr">
        <is>
          <t>Explore_F</t>
        </is>
      </c>
      <c r="O2052" t="inlineStr">
        <is>
          <t>Familiar</t>
        </is>
      </c>
      <c r="P2052" t="inlineStr">
        <is>
          <t>STATE</t>
        </is>
      </c>
      <c r="Q2052" t="n">
        <v>568.633</v>
      </c>
      <c r="R2052" t="n">
        <v>568.999</v>
      </c>
      <c r="S2052" t="n">
        <v>0.366</v>
      </c>
      <c r="T2052" t="inlineStr">
        <is>
          <t>BTBR\test\c3m1.mp4</t>
        </is>
      </c>
      <c r="U2052" t="n">
        <v>17057</v>
      </c>
      <c r="V2052" t="n">
        <v>17067</v>
      </c>
      <c r="W2052" t="n">
        <v/>
      </c>
      <c r="X2052" t="n">
        <v/>
      </c>
      <c r="Y2052" t="n">
        <v/>
      </c>
      <c r="Z2052" t="n">
        <v/>
      </c>
      <c r="AA2052">
        <f>SUMIFS($S$2:S2052,$A$2:A2052,A2052,$N$2:N2052,"Explore*")</f>
        <v/>
      </c>
      <c r="AB2052">
        <f>IF(AND(LEFT(N2052,7)="Explore",(AA2052-IF(LEFT(N2052,7)="Explore",S2052,0))&lt;10),"SI","NO")</f>
        <v/>
      </c>
    </row>
    <row r="2053">
      <c r="A2053" t="inlineStr">
        <is>
          <t>c3m1_test</t>
        </is>
      </c>
      <c r="B2053" t="inlineStr">
        <is>
          <t>2026-01-28 10:51:14.482</t>
        </is>
      </c>
      <c r="C2053" t="n">
        <v/>
      </c>
      <c r="D2053" t="inlineStr">
        <is>
          <t>Media file</t>
        </is>
      </c>
      <c r="E2053" t="inlineStr">
        <is>
          <t>player #1:BTBR\test\c3m1.mp4</t>
        </is>
      </c>
      <c r="F2053" t="n">
        <v>-9.199999999999999</v>
      </c>
      <c r="G2053" t="n">
        <v>588.566</v>
      </c>
      <c r="H2053" t="n">
        <v>647.266</v>
      </c>
      <c r="I2053" t="n">
        <v>30</v>
      </c>
      <c r="J2053" t="inlineStr">
        <is>
          <t>BTBR</t>
        </is>
      </c>
      <c r="K2053" t="inlineStr">
        <is>
          <t>Male</t>
        </is>
      </c>
      <c r="L2053" t="inlineStr">
        <is>
          <t>No focal subject</t>
        </is>
      </c>
      <c r="M2053" t="n">
        <v>53.865</v>
      </c>
      <c r="N2053" t="inlineStr">
        <is>
          <t>Explore_F</t>
        </is>
      </c>
      <c r="O2053" t="inlineStr">
        <is>
          <t>Familiar</t>
        </is>
      </c>
      <c r="P2053" t="inlineStr">
        <is>
          <t>STATE</t>
        </is>
      </c>
      <c r="Q2053" t="n">
        <v>576.899</v>
      </c>
      <c r="R2053" t="n">
        <v>577.366</v>
      </c>
      <c r="S2053" t="n">
        <v>0.467</v>
      </c>
      <c r="T2053" t="inlineStr">
        <is>
          <t>BTBR\test\c3m1.mp4</t>
        </is>
      </c>
      <c r="U2053" t="n">
        <v>17304</v>
      </c>
      <c r="V2053" t="n">
        <v>17318</v>
      </c>
      <c r="W2053" t="n">
        <v/>
      </c>
      <c r="X2053" t="n">
        <v/>
      </c>
      <c r="Y2053" t="n">
        <v/>
      </c>
      <c r="Z2053" t="n">
        <v/>
      </c>
      <c r="AA2053">
        <f>SUMIFS($S$2:S2053,$A$2:A2053,A2053,$N$2:N2053,"Explore*")</f>
        <v/>
      </c>
      <c r="AB2053">
        <f>IF(AND(LEFT(N2053,7)="Explore",(AA2053-IF(LEFT(N2053,7)="Explore",S2053,0))&lt;10),"SI","NO")</f>
        <v/>
      </c>
    </row>
    <row r="2054">
      <c r="A2054" t="inlineStr">
        <is>
          <t>c3m1_test</t>
        </is>
      </c>
      <c r="B2054" t="inlineStr">
        <is>
          <t>2026-01-28 10:51:14.482</t>
        </is>
      </c>
      <c r="C2054" t="n">
        <v/>
      </c>
      <c r="D2054" t="inlineStr">
        <is>
          <t>Media file</t>
        </is>
      </c>
      <c r="E2054" t="inlineStr">
        <is>
          <t>player #1:BTBR\test\c3m1.mp4</t>
        </is>
      </c>
      <c r="F2054" t="n">
        <v>-9.199999999999999</v>
      </c>
      <c r="G2054" t="n">
        <v>588.566</v>
      </c>
      <c r="H2054" t="n">
        <v>647.266</v>
      </c>
      <c r="I2054" t="n">
        <v>30</v>
      </c>
      <c r="J2054" t="inlineStr">
        <is>
          <t>BTBR</t>
        </is>
      </c>
      <c r="K2054" t="inlineStr">
        <is>
          <t>Male</t>
        </is>
      </c>
      <c r="L2054" t="inlineStr">
        <is>
          <t>No focal subject</t>
        </is>
      </c>
      <c r="M2054" t="n">
        <v>53.865</v>
      </c>
      <c r="N2054" t="inlineStr">
        <is>
          <t>Explore_N</t>
        </is>
      </c>
      <c r="O2054" t="inlineStr">
        <is>
          <t>Novelty</t>
        </is>
      </c>
      <c r="P2054" t="inlineStr">
        <is>
          <t>STATE</t>
        </is>
      </c>
      <c r="Q2054" t="n">
        <v>594.633</v>
      </c>
      <c r="R2054" t="n">
        <v>595.466</v>
      </c>
      <c r="S2054" t="n">
        <v>0.833</v>
      </c>
      <c r="T2054" t="inlineStr">
        <is>
          <t>BTBR\test\c3m1.mp4</t>
        </is>
      </c>
      <c r="U2054" t="n">
        <v>17836</v>
      </c>
      <c r="V2054" t="n">
        <v>17860</v>
      </c>
      <c r="W2054" t="n">
        <v/>
      </c>
      <c r="X2054" t="n">
        <v/>
      </c>
      <c r="Y2054" t="n">
        <v/>
      </c>
      <c r="Z2054" t="n">
        <v/>
      </c>
      <c r="AA2054">
        <f>SUMIFS($S$2:S2054,$A$2:A2054,A2054,$N$2:N2054,"Explore*")</f>
        <v/>
      </c>
      <c r="AB2054">
        <f>IF(AND(LEFT(N2054,7)="Explore",(AA2054-IF(LEFT(N2054,7)="Explore",S2054,0))&lt;10),"SI","NO")</f>
        <v/>
      </c>
    </row>
    <row r="2055">
      <c r="A2055" t="inlineStr">
        <is>
          <t>c3m2_test</t>
        </is>
      </c>
      <c r="B2055" t="inlineStr">
        <is>
          <t>2026-01-28 11:54:45.347</t>
        </is>
      </c>
      <c r="C2055" t="n">
        <v/>
      </c>
      <c r="D2055" t="inlineStr">
        <is>
          <t>Media file</t>
        </is>
      </c>
      <c r="E2055" t="inlineStr">
        <is>
          <t>player #1:BTBR\test\c3m2.mp4</t>
        </is>
      </c>
      <c r="F2055" t="n">
        <v>-5.5</v>
      </c>
      <c r="G2055" t="n">
        <v>555.266</v>
      </c>
      <c r="H2055" t="n">
        <v>615.333</v>
      </c>
      <c r="I2055" t="n">
        <v>30</v>
      </c>
      <c r="J2055" t="inlineStr">
        <is>
          <t>BTBR</t>
        </is>
      </c>
      <c r="K2055" t="inlineStr">
        <is>
          <t>Male</t>
        </is>
      </c>
      <c r="L2055" t="inlineStr">
        <is>
          <t>No focal subject</t>
        </is>
      </c>
      <c r="M2055" t="n">
        <v>40.631</v>
      </c>
      <c r="N2055" t="inlineStr">
        <is>
          <t>Explore_N</t>
        </is>
      </c>
      <c r="O2055" t="inlineStr">
        <is>
          <t>Novelty</t>
        </is>
      </c>
      <c r="P2055" t="inlineStr">
        <is>
          <t>STATE</t>
        </is>
      </c>
      <c r="Q2055" t="n">
        <v>13.067</v>
      </c>
      <c r="R2055" t="n">
        <v>13.4</v>
      </c>
      <c r="S2055" t="n">
        <v>0.333</v>
      </c>
      <c r="T2055" t="inlineStr">
        <is>
          <t>BTBR\test\c3m2.mp4</t>
        </is>
      </c>
      <c r="U2055" t="n">
        <v>557</v>
      </c>
      <c r="V2055" t="n">
        <v>567</v>
      </c>
      <c r="W2055" t="n">
        <v/>
      </c>
      <c r="X2055" t="n">
        <v/>
      </c>
      <c r="Y2055" t="n">
        <v/>
      </c>
      <c r="Z2055" t="n">
        <v/>
      </c>
      <c r="AA2055">
        <f>SUMIFS($S$2:S2055,$A$2:A2055,A2055,$N$2:N2055,"Explore*")</f>
        <v/>
      </c>
      <c r="AB2055">
        <f>IF(AND(LEFT(N2055,7)="Explore",(AA2055-IF(LEFT(N2055,7)="Explore",S2055,0))&lt;10),"SI","NO")</f>
        <v/>
      </c>
    </row>
    <row r="2056">
      <c r="A2056" t="inlineStr">
        <is>
          <t>c3m2_test</t>
        </is>
      </c>
      <c r="B2056" t="inlineStr">
        <is>
          <t>2026-01-28 11:54:45.347</t>
        </is>
      </c>
      <c r="C2056" t="n">
        <v/>
      </c>
      <c r="D2056" t="inlineStr">
        <is>
          <t>Media file</t>
        </is>
      </c>
      <c r="E2056" t="inlineStr">
        <is>
          <t>player #1:BTBR\test\c3m2.mp4</t>
        </is>
      </c>
      <c r="F2056" t="n">
        <v>-5.5</v>
      </c>
      <c r="G2056" t="n">
        <v>555.266</v>
      </c>
      <c r="H2056" t="n">
        <v>615.333</v>
      </c>
      <c r="I2056" t="n">
        <v>30</v>
      </c>
      <c r="J2056" t="inlineStr">
        <is>
          <t>BTBR</t>
        </is>
      </c>
      <c r="K2056" t="inlineStr">
        <is>
          <t>Male</t>
        </is>
      </c>
      <c r="L2056" t="inlineStr">
        <is>
          <t>No focal subject</t>
        </is>
      </c>
      <c r="M2056" t="n">
        <v>40.631</v>
      </c>
      <c r="N2056" t="inlineStr">
        <is>
          <t>Explore_F</t>
        </is>
      </c>
      <c r="O2056" t="inlineStr">
        <is>
          <t>Familiar</t>
        </is>
      </c>
      <c r="P2056" t="inlineStr">
        <is>
          <t>STATE</t>
        </is>
      </c>
      <c r="Q2056" t="n">
        <v>20.467</v>
      </c>
      <c r="R2056" t="n">
        <v>20.833</v>
      </c>
      <c r="S2056" t="n">
        <v>0.366</v>
      </c>
      <c r="T2056" t="inlineStr">
        <is>
          <t>BTBR\test\c3m2.mp4</t>
        </is>
      </c>
      <c r="U2056" t="n">
        <v>779</v>
      </c>
      <c r="V2056" t="n">
        <v>790</v>
      </c>
      <c r="W2056" t="n">
        <v/>
      </c>
      <c r="X2056" t="n">
        <v/>
      </c>
      <c r="Y2056" t="n">
        <v/>
      </c>
      <c r="Z2056" t="n">
        <v/>
      </c>
      <c r="AA2056">
        <f>SUMIFS($S$2:S2056,$A$2:A2056,A2056,$N$2:N2056,"Explore*")</f>
        <v/>
      </c>
      <c r="AB2056">
        <f>IF(AND(LEFT(N2056,7)="Explore",(AA2056-IF(LEFT(N2056,7)="Explore",S2056,0))&lt;10),"SI","NO")</f>
        <v/>
      </c>
    </row>
    <row r="2057">
      <c r="A2057" t="inlineStr">
        <is>
          <t>c3m2_test</t>
        </is>
      </c>
      <c r="B2057" t="inlineStr">
        <is>
          <t>2026-01-28 11:54:45.347</t>
        </is>
      </c>
      <c r="C2057" t="n">
        <v/>
      </c>
      <c r="D2057" t="inlineStr">
        <is>
          <t>Media file</t>
        </is>
      </c>
      <c r="E2057" t="inlineStr">
        <is>
          <t>player #1:BTBR\test\c3m2.mp4</t>
        </is>
      </c>
      <c r="F2057" t="n">
        <v>-5.5</v>
      </c>
      <c r="G2057" t="n">
        <v>555.266</v>
      </c>
      <c r="H2057" t="n">
        <v>615.333</v>
      </c>
      <c r="I2057" t="n">
        <v>30</v>
      </c>
      <c r="J2057" t="inlineStr">
        <is>
          <t>BTBR</t>
        </is>
      </c>
      <c r="K2057" t="inlineStr">
        <is>
          <t>Male</t>
        </is>
      </c>
      <c r="L2057" t="inlineStr">
        <is>
          <t>No focal subject</t>
        </is>
      </c>
      <c r="M2057" t="n">
        <v>40.631</v>
      </c>
      <c r="N2057" t="inlineStr">
        <is>
          <t>Explore_N</t>
        </is>
      </c>
      <c r="O2057" t="inlineStr">
        <is>
          <t>Novelty</t>
        </is>
      </c>
      <c r="P2057" t="inlineStr">
        <is>
          <t>STATE</t>
        </is>
      </c>
      <c r="Q2057" t="n">
        <v>21.4</v>
      </c>
      <c r="R2057" t="n">
        <v>22.4</v>
      </c>
      <c r="S2057" t="n">
        <v>1</v>
      </c>
      <c r="T2057" t="inlineStr">
        <is>
          <t>BTBR\test\c3m2.mp4</t>
        </is>
      </c>
      <c r="U2057" t="n">
        <v>807</v>
      </c>
      <c r="V2057" t="n">
        <v>837</v>
      </c>
      <c r="W2057" t="n">
        <v/>
      </c>
      <c r="X2057" t="n">
        <v/>
      </c>
      <c r="Y2057" t="n">
        <v/>
      </c>
      <c r="Z2057" t="n">
        <v/>
      </c>
      <c r="AA2057">
        <f>SUMIFS($S$2:S2057,$A$2:A2057,A2057,$N$2:N2057,"Explore*")</f>
        <v/>
      </c>
      <c r="AB2057">
        <f>IF(AND(LEFT(N2057,7)="Explore",(AA2057-IF(LEFT(N2057,7)="Explore",S2057,0))&lt;10),"SI","NO")</f>
        <v/>
      </c>
    </row>
    <row r="2058">
      <c r="A2058" t="inlineStr">
        <is>
          <t>c3m2_test</t>
        </is>
      </c>
      <c r="B2058" t="inlineStr">
        <is>
          <t>2026-01-28 11:54:45.347</t>
        </is>
      </c>
      <c r="C2058" t="n">
        <v/>
      </c>
      <c r="D2058" t="inlineStr">
        <is>
          <t>Media file</t>
        </is>
      </c>
      <c r="E2058" t="inlineStr">
        <is>
          <t>player #1:BTBR\test\c3m2.mp4</t>
        </is>
      </c>
      <c r="F2058" t="n">
        <v>-5.5</v>
      </c>
      <c r="G2058" t="n">
        <v>555.266</v>
      </c>
      <c r="H2058" t="n">
        <v>615.333</v>
      </c>
      <c r="I2058" t="n">
        <v>30</v>
      </c>
      <c r="J2058" t="inlineStr">
        <is>
          <t>BTBR</t>
        </is>
      </c>
      <c r="K2058" t="inlineStr">
        <is>
          <t>Male</t>
        </is>
      </c>
      <c r="L2058" t="inlineStr">
        <is>
          <t>No focal subject</t>
        </is>
      </c>
      <c r="M2058" t="n">
        <v>40.631</v>
      </c>
      <c r="N2058" t="inlineStr">
        <is>
          <t>Explore_F</t>
        </is>
      </c>
      <c r="O2058" t="inlineStr">
        <is>
          <t>Familiar</t>
        </is>
      </c>
      <c r="P2058" t="inlineStr">
        <is>
          <t>STATE</t>
        </is>
      </c>
      <c r="Q2058" t="n">
        <v>25.567</v>
      </c>
      <c r="R2058" t="n">
        <v>25.967</v>
      </c>
      <c r="S2058" t="n">
        <v>0.4</v>
      </c>
      <c r="T2058" t="inlineStr">
        <is>
          <t>BTBR\test\c3m2.mp4</t>
        </is>
      </c>
      <c r="U2058" t="n">
        <v>932</v>
      </c>
      <c r="V2058" t="n">
        <v>944</v>
      </c>
      <c r="W2058" t="n">
        <v/>
      </c>
      <c r="X2058" t="n">
        <v/>
      </c>
      <c r="Y2058" t="n">
        <v/>
      </c>
      <c r="Z2058" t="n">
        <v/>
      </c>
      <c r="AA2058">
        <f>SUMIFS($S$2:S2058,$A$2:A2058,A2058,$N$2:N2058,"Explore*")</f>
        <v/>
      </c>
      <c r="AB2058">
        <f>IF(AND(LEFT(N2058,7)="Explore",(AA2058-IF(LEFT(N2058,7)="Explore",S2058,0))&lt;10),"SI","NO")</f>
        <v/>
      </c>
    </row>
    <row r="2059">
      <c r="A2059" t="inlineStr">
        <is>
          <t>c3m2_test</t>
        </is>
      </c>
      <c r="B2059" t="inlineStr">
        <is>
          <t>2026-01-28 11:54:45.347</t>
        </is>
      </c>
      <c r="C2059" t="n">
        <v/>
      </c>
      <c r="D2059" t="inlineStr">
        <is>
          <t>Media file</t>
        </is>
      </c>
      <c r="E2059" t="inlineStr">
        <is>
          <t>player #1:BTBR\test\c3m2.mp4</t>
        </is>
      </c>
      <c r="F2059" t="n">
        <v>-5.5</v>
      </c>
      <c r="G2059" t="n">
        <v>555.266</v>
      </c>
      <c r="H2059" t="n">
        <v>615.333</v>
      </c>
      <c r="I2059" t="n">
        <v>30</v>
      </c>
      <c r="J2059" t="inlineStr">
        <is>
          <t>BTBR</t>
        </is>
      </c>
      <c r="K2059" t="inlineStr">
        <is>
          <t>Male</t>
        </is>
      </c>
      <c r="L2059" t="inlineStr">
        <is>
          <t>No focal subject</t>
        </is>
      </c>
      <c r="M2059" t="n">
        <v>40.631</v>
      </c>
      <c r="N2059" t="inlineStr">
        <is>
          <t>Explore_N</t>
        </is>
      </c>
      <c r="O2059" t="inlineStr">
        <is>
          <t>Novelty</t>
        </is>
      </c>
      <c r="P2059" t="inlineStr">
        <is>
          <t>STATE</t>
        </is>
      </c>
      <c r="Q2059" t="n">
        <v>26.567</v>
      </c>
      <c r="R2059" t="n">
        <v>27.233</v>
      </c>
      <c r="S2059" t="n">
        <v>0.666</v>
      </c>
      <c r="T2059" t="inlineStr">
        <is>
          <t>BTBR\test\c3m2.mp4</t>
        </is>
      </c>
      <c r="U2059" t="n">
        <v>962</v>
      </c>
      <c r="V2059" t="n">
        <v>982</v>
      </c>
      <c r="W2059" t="n">
        <v/>
      </c>
      <c r="X2059" t="n">
        <v/>
      </c>
      <c r="Y2059" t="n">
        <v/>
      </c>
      <c r="Z2059" t="n">
        <v/>
      </c>
      <c r="AA2059">
        <f>SUMIFS($S$2:S2059,$A$2:A2059,A2059,$N$2:N2059,"Explore*")</f>
        <v/>
      </c>
      <c r="AB2059">
        <f>IF(AND(LEFT(N2059,7)="Explore",(AA2059-IF(LEFT(N2059,7)="Explore",S2059,0))&lt;10),"SI","NO")</f>
        <v/>
      </c>
    </row>
    <row r="2060">
      <c r="A2060" t="inlineStr">
        <is>
          <t>c3m2_test</t>
        </is>
      </c>
      <c r="B2060" t="inlineStr">
        <is>
          <t>2026-01-28 11:54:45.347</t>
        </is>
      </c>
      <c r="C2060" t="n">
        <v/>
      </c>
      <c r="D2060" t="inlineStr">
        <is>
          <t>Media file</t>
        </is>
      </c>
      <c r="E2060" t="inlineStr">
        <is>
          <t>player #1:BTBR\test\c3m2.mp4</t>
        </is>
      </c>
      <c r="F2060" t="n">
        <v>-5.5</v>
      </c>
      <c r="G2060" t="n">
        <v>555.266</v>
      </c>
      <c r="H2060" t="n">
        <v>615.333</v>
      </c>
      <c r="I2060" t="n">
        <v>30</v>
      </c>
      <c r="J2060" t="inlineStr">
        <is>
          <t>BTBR</t>
        </is>
      </c>
      <c r="K2060" t="inlineStr">
        <is>
          <t>Male</t>
        </is>
      </c>
      <c r="L2060" t="inlineStr">
        <is>
          <t>No focal subject</t>
        </is>
      </c>
      <c r="M2060" t="n">
        <v>40.631</v>
      </c>
      <c r="N2060" t="inlineStr">
        <is>
          <t>Explore_F</t>
        </is>
      </c>
      <c r="O2060" t="inlineStr">
        <is>
          <t>Familiar</t>
        </is>
      </c>
      <c r="P2060" t="inlineStr">
        <is>
          <t>STATE</t>
        </is>
      </c>
      <c r="Q2060" t="n">
        <v>36.167</v>
      </c>
      <c r="R2060" t="n">
        <v>37.433</v>
      </c>
      <c r="S2060" t="n">
        <v>1.266</v>
      </c>
      <c r="T2060" t="inlineStr">
        <is>
          <t>BTBR\test\c3m2.mp4</t>
        </is>
      </c>
      <c r="U2060" t="n">
        <v>1250</v>
      </c>
      <c r="V2060" t="n">
        <v>1288</v>
      </c>
      <c r="W2060" t="n">
        <v/>
      </c>
      <c r="X2060" t="n">
        <v/>
      </c>
      <c r="Y2060" t="n">
        <v/>
      </c>
      <c r="Z2060" t="n">
        <v/>
      </c>
      <c r="AA2060">
        <f>SUMIFS($S$2:S2060,$A$2:A2060,A2060,$N$2:N2060,"Explore*")</f>
        <v/>
      </c>
      <c r="AB2060">
        <f>IF(AND(LEFT(N2060,7)="Explore",(AA2060-IF(LEFT(N2060,7)="Explore",S2060,0))&lt;10),"SI","NO")</f>
        <v/>
      </c>
    </row>
    <row r="2061">
      <c r="A2061" t="inlineStr">
        <is>
          <t>c3m2_test</t>
        </is>
      </c>
      <c r="B2061" t="inlineStr">
        <is>
          <t>2026-01-28 11:54:45.347</t>
        </is>
      </c>
      <c r="C2061" t="n">
        <v/>
      </c>
      <c r="D2061" t="inlineStr">
        <is>
          <t>Media file</t>
        </is>
      </c>
      <c r="E2061" t="inlineStr">
        <is>
          <t>player #1:BTBR\test\c3m2.mp4</t>
        </is>
      </c>
      <c r="F2061" t="n">
        <v>-5.5</v>
      </c>
      <c r="G2061" t="n">
        <v>555.266</v>
      </c>
      <c r="H2061" t="n">
        <v>615.333</v>
      </c>
      <c r="I2061" t="n">
        <v>30</v>
      </c>
      <c r="J2061" t="inlineStr">
        <is>
          <t>BTBR</t>
        </is>
      </c>
      <c r="K2061" t="inlineStr">
        <is>
          <t>Male</t>
        </is>
      </c>
      <c r="L2061" t="inlineStr">
        <is>
          <t>No focal subject</t>
        </is>
      </c>
      <c r="M2061" t="n">
        <v>40.631</v>
      </c>
      <c r="N2061" t="inlineStr">
        <is>
          <t>Explore_F</t>
        </is>
      </c>
      <c r="O2061" t="inlineStr">
        <is>
          <t>Familiar</t>
        </is>
      </c>
      <c r="P2061" t="inlineStr">
        <is>
          <t>STATE</t>
        </is>
      </c>
      <c r="Q2061" t="n">
        <v>45</v>
      </c>
      <c r="R2061" t="n">
        <v>45.267</v>
      </c>
      <c r="S2061" t="n">
        <v>0.267</v>
      </c>
      <c r="T2061" t="inlineStr">
        <is>
          <t>BTBR\test\c3m2.mp4</t>
        </is>
      </c>
      <c r="U2061" t="n">
        <v>1515</v>
      </c>
      <c r="V2061" t="n">
        <v>1523</v>
      </c>
      <c r="W2061" t="n">
        <v/>
      </c>
      <c r="X2061" t="n">
        <v/>
      </c>
      <c r="Y2061" t="n">
        <v/>
      </c>
      <c r="Z2061" t="n">
        <v/>
      </c>
      <c r="AA2061">
        <f>SUMIFS($S$2:S2061,$A$2:A2061,A2061,$N$2:N2061,"Explore*")</f>
        <v/>
      </c>
      <c r="AB2061">
        <f>IF(AND(LEFT(N2061,7)="Explore",(AA2061-IF(LEFT(N2061,7)="Explore",S2061,0))&lt;10),"SI","NO")</f>
        <v/>
      </c>
    </row>
    <row r="2062">
      <c r="A2062" t="inlineStr">
        <is>
          <t>c3m2_test</t>
        </is>
      </c>
      <c r="B2062" t="inlineStr">
        <is>
          <t>2026-01-28 11:54:45.347</t>
        </is>
      </c>
      <c r="C2062" t="n">
        <v/>
      </c>
      <c r="D2062" t="inlineStr">
        <is>
          <t>Media file</t>
        </is>
      </c>
      <c r="E2062" t="inlineStr">
        <is>
          <t>player #1:BTBR\test\c3m2.mp4</t>
        </is>
      </c>
      <c r="F2062" t="n">
        <v>-5.5</v>
      </c>
      <c r="G2062" t="n">
        <v>555.266</v>
      </c>
      <c r="H2062" t="n">
        <v>615.333</v>
      </c>
      <c r="I2062" t="n">
        <v>30</v>
      </c>
      <c r="J2062" t="inlineStr">
        <is>
          <t>BTBR</t>
        </is>
      </c>
      <c r="K2062" t="inlineStr">
        <is>
          <t>Male</t>
        </is>
      </c>
      <c r="L2062" t="inlineStr">
        <is>
          <t>No focal subject</t>
        </is>
      </c>
      <c r="M2062" t="n">
        <v>40.631</v>
      </c>
      <c r="N2062" t="inlineStr">
        <is>
          <t>Explore_N</t>
        </is>
      </c>
      <c r="O2062" t="inlineStr">
        <is>
          <t>Novelty</t>
        </is>
      </c>
      <c r="P2062" t="inlineStr">
        <is>
          <t>STATE</t>
        </is>
      </c>
      <c r="Q2062" t="n">
        <v>45.7</v>
      </c>
      <c r="R2062" t="n">
        <v>46.7</v>
      </c>
      <c r="S2062" t="n">
        <v>1</v>
      </c>
      <c r="T2062" t="inlineStr">
        <is>
          <t>BTBR\test\c3m2.mp4</t>
        </is>
      </c>
      <c r="U2062" t="n">
        <v>1536</v>
      </c>
      <c r="V2062" t="n">
        <v>1566</v>
      </c>
      <c r="W2062" t="n">
        <v/>
      </c>
      <c r="X2062" t="n">
        <v/>
      </c>
      <c r="Y2062" t="n">
        <v/>
      </c>
      <c r="Z2062" t="n">
        <v/>
      </c>
      <c r="AA2062">
        <f>SUMIFS($S$2:S2062,$A$2:A2062,A2062,$N$2:N2062,"Explore*")</f>
        <v/>
      </c>
      <c r="AB2062">
        <f>IF(AND(LEFT(N2062,7)="Explore",(AA2062-IF(LEFT(N2062,7)="Explore",S2062,0))&lt;10),"SI","NO")</f>
        <v/>
      </c>
    </row>
    <row r="2063">
      <c r="A2063" t="inlineStr">
        <is>
          <t>c3m2_test</t>
        </is>
      </c>
      <c r="B2063" t="inlineStr">
        <is>
          <t>2026-01-28 11:54:45.347</t>
        </is>
      </c>
      <c r="C2063" t="n">
        <v/>
      </c>
      <c r="D2063" t="inlineStr">
        <is>
          <t>Media file</t>
        </is>
      </c>
      <c r="E2063" t="inlineStr">
        <is>
          <t>player #1:BTBR\test\c3m2.mp4</t>
        </is>
      </c>
      <c r="F2063" t="n">
        <v>-5.5</v>
      </c>
      <c r="G2063" t="n">
        <v>555.266</v>
      </c>
      <c r="H2063" t="n">
        <v>615.333</v>
      </c>
      <c r="I2063" t="n">
        <v>30</v>
      </c>
      <c r="J2063" t="inlineStr">
        <is>
          <t>BTBR</t>
        </is>
      </c>
      <c r="K2063" t="inlineStr">
        <is>
          <t>Male</t>
        </is>
      </c>
      <c r="L2063" t="inlineStr">
        <is>
          <t>No focal subject</t>
        </is>
      </c>
      <c r="M2063" t="n">
        <v>40.631</v>
      </c>
      <c r="N2063" t="inlineStr">
        <is>
          <t>Explore_N</t>
        </is>
      </c>
      <c r="O2063" t="inlineStr">
        <is>
          <t>Novelty</t>
        </is>
      </c>
      <c r="P2063" t="inlineStr">
        <is>
          <t>STATE</t>
        </is>
      </c>
      <c r="Q2063" t="n">
        <v>48.7</v>
      </c>
      <c r="R2063" t="n">
        <v>50.3</v>
      </c>
      <c r="S2063" t="n">
        <v>1.6</v>
      </c>
      <c r="T2063" t="inlineStr">
        <is>
          <t>BTBR\test\c3m2.mp4</t>
        </is>
      </c>
      <c r="U2063" t="n">
        <v>1626</v>
      </c>
      <c r="V2063" t="n">
        <v>1674</v>
      </c>
      <c r="W2063" t="n">
        <v/>
      </c>
      <c r="X2063" t="n">
        <v/>
      </c>
      <c r="Y2063" t="n">
        <v/>
      </c>
      <c r="Z2063" t="n">
        <v/>
      </c>
      <c r="AA2063">
        <f>SUMIFS($S$2:S2063,$A$2:A2063,A2063,$N$2:N2063,"Explore*")</f>
        <v/>
      </c>
      <c r="AB2063">
        <f>IF(AND(LEFT(N2063,7)="Explore",(AA2063-IF(LEFT(N2063,7)="Explore",S2063,0))&lt;10),"SI","NO")</f>
        <v/>
      </c>
    </row>
    <row r="2064">
      <c r="A2064" t="inlineStr">
        <is>
          <t>c3m2_test</t>
        </is>
      </c>
      <c r="B2064" t="inlineStr">
        <is>
          <t>2026-01-28 11:54:45.347</t>
        </is>
      </c>
      <c r="C2064" t="n">
        <v/>
      </c>
      <c r="D2064" t="inlineStr">
        <is>
          <t>Media file</t>
        </is>
      </c>
      <c r="E2064" t="inlineStr">
        <is>
          <t>player #1:BTBR\test\c3m2.mp4</t>
        </is>
      </c>
      <c r="F2064" t="n">
        <v>-5.5</v>
      </c>
      <c r="G2064" t="n">
        <v>555.266</v>
      </c>
      <c r="H2064" t="n">
        <v>615.333</v>
      </c>
      <c r="I2064" t="n">
        <v>30</v>
      </c>
      <c r="J2064" t="inlineStr">
        <is>
          <t>BTBR</t>
        </is>
      </c>
      <c r="K2064" t="inlineStr">
        <is>
          <t>Male</t>
        </is>
      </c>
      <c r="L2064" t="inlineStr">
        <is>
          <t>No focal subject</t>
        </is>
      </c>
      <c r="M2064" t="n">
        <v>40.631</v>
      </c>
      <c r="N2064" t="inlineStr">
        <is>
          <t>Explore_N</t>
        </is>
      </c>
      <c r="O2064" t="inlineStr">
        <is>
          <t>Novelty</t>
        </is>
      </c>
      <c r="P2064" t="inlineStr">
        <is>
          <t>STATE</t>
        </is>
      </c>
      <c r="Q2064" t="n">
        <v>53.967</v>
      </c>
      <c r="R2064" t="n">
        <v>55.167</v>
      </c>
      <c r="S2064" t="n">
        <v>1.2</v>
      </c>
      <c r="T2064" t="inlineStr">
        <is>
          <t>BTBR\test\c3m2.mp4</t>
        </is>
      </c>
      <c r="U2064" t="n">
        <v>1784</v>
      </c>
      <c r="V2064" t="n">
        <v>1820</v>
      </c>
      <c r="W2064" t="n">
        <v/>
      </c>
      <c r="X2064" t="n">
        <v/>
      </c>
      <c r="Y2064" t="n">
        <v/>
      </c>
      <c r="Z2064" t="n">
        <v/>
      </c>
      <c r="AA2064">
        <f>SUMIFS($S$2:S2064,$A$2:A2064,A2064,$N$2:N2064,"Explore*")</f>
        <v/>
      </c>
      <c r="AB2064">
        <f>IF(AND(LEFT(N2064,7)="Explore",(AA2064-IF(LEFT(N2064,7)="Explore",S2064,0))&lt;10),"SI","NO")</f>
        <v/>
      </c>
    </row>
    <row r="2065">
      <c r="A2065" t="inlineStr">
        <is>
          <t>c3m2_test</t>
        </is>
      </c>
      <c r="B2065" t="inlineStr">
        <is>
          <t>2026-01-28 11:54:45.347</t>
        </is>
      </c>
      <c r="C2065" t="n">
        <v/>
      </c>
      <c r="D2065" t="inlineStr">
        <is>
          <t>Media file</t>
        </is>
      </c>
      <c r="E2065" t="inlineStr">
        <is>
          <t>player #1:BTBR\test\c3m2.mp4</t>
        </is>
      </c>
      <c r="F2065" t="n">
        <v>-5.5</v>
      </c>
      <c r="G2065" t="n">
        <v>555.266</v>
      </c>
      <c r="H2065" t="n">
        <v>615.333</v>
      </c>
      <c r="I2065" t="n">
        <v>30</v>
      </c>
      <c r="J2065" t="inlineStr">
        <is>
          <t>BTBR</t>
        </is>
      </c>
      <c r="K2065" t="inlineStr">
        <is>
          <t>Male</t>
        </is>
      </c>
      <c r="L2065" t="inlineStr">
        <is>
          <t>No focal subject</t>
        </is>
      </c>
      <c r="M2065" t="n">
        <v>40.631</v>
      </c>
      <c r="N2065" t="inlineStr">
        <is>
          <t>Explore_N</t>
        </is>
      </c>
      <c r="O2065" t="inlineStr">
        <is>
          <t>Novelty</t>
        </is>
      </c>
      <c r="P2065" t="inlineStr">
        <is>
          <t>STATE</t>
        </is>
      </c>
      <c r="Q2065" t="n">
        <v>59.2</v>
      </c>
      <c r="R2065" t="n">
        <v>60.1</v>
      </c>
      <c r="S2065" t="n">
        <v>0.9</v>
      </c>
      <c r="T2065" t="inlineStr">
        <is>
          <t>BTBR\test\c3m2.mp4</t>
        </is>
      </c>
      <c r="U2065" t="n">
        <v>1941</v>
      </c>
      <c r="V2065" t="n">
        <v>1968</v>
      </c>
      <c r="W2065" t="n">
        <v/>
      </c>
      <c r="X2065" t="n">
        <v/>
      </c>
      <c r="Y2065" t="n">
        <v/>
      </c>
      <c r="Z2065" t="n">
        <v/>
      </c>
      <c r="AA2065">
        <f>SUMIFS($S$2:S2065,$A$2:A2065,A2065,$N$2:N2065,"Explore*")</f>
        <v/>
      </c>
      <c r="AB2065">
        <f>IF(AND(LEFT(N2065,7)="Explore",(AA2065-IF(LEFT(N2065,7)="Explore",S2065,0))&lt;10),"SI","NO")</f>
        <v/>
      </c>
    </row>
    <row r="2066">
      <c r="A2066" t="inlineStr">
        <is>
          <t>c3m2_test</t>
        </is>
      </c>
      <c r="B2066" t="inlineStr">
        <is>
          <t>2026-01-28 11:54:45.347</t>
        </is>
      </c>
      <c r="C2066" t="n">
        <v/>
      </c>
      <c r="D2066" t="inlineStr">
        <is>
          <t>Media file</t>
        </is>
      </c>
      <c r="E2066" t="inlineStr">
        <is>
          <t>player #1:BTBR\test\c3m2.mp4</t>
        </is>
      </c>
      <c r="F2066" t="n">
        <v>-5.5</v>
      </c>
      <c r="G2066" t="n">
        <v>555.266</v>
      </c>
      <c r="H2066" t="n">
        <v>615.333</v>
      </c>
      <c r="I2066" t="n">
        <v>30</v>
      </c>
      <c r="J2066" t="inlineStr">
        <is>
          <t>BTBR</t>
        </is>
      </c>
      <c r="K2066" t="inlineStr">
        <is>
          <t>Male</t>
        </is>
      </c>
      <c r="L2066" t="inlineStr">
        <is>
          <t>No focal subject</t>
        </is>
      </c>
      <c r="M2066" t="n">
        <v>40.631</v>
      </c>
      <c r="N2066" t="inlineStr">
        <is>
          <t>Explore_F</t>
        </is>
      </c>
      <c r="O2066" t="inlineStr">
        <is>
          <t>Familiar</t>
        </is>
      </c>
      <c r="P2066" t="inlineStr">
        <is>
          <t>STATE</t>
        </is>
      </c>
      <c r="Q2066" t="n">
        <v>60.933</v>
      </c>
      <c r="R2066" t="n">
        <v>61.867</v>
      </c>
      <c r="S2066" t="n">
        <v>0.9340000000000001</v>
      </c>
      <c r="T2066" t="inlineStr">
        <is>
          <t>BTBR\test\c3m2.mp4</t>
        </is>
      </c>
      <c r="U2066" t="n">
        <v>1993</v>
      </c>
      <c r="V2066" t="n">
        <v>2021</v>
      </c>
      <c r="W2066" t="n">
        <v/>
      </c>
      <c r="X2066" t="n">
        <v/>
      </c>
      <c r="Y2066" t="n">
        <v/>
      </c>
      <c r="Z2066" t="n">
        <v/>
      </c>
      <c r="AA2066">
        <f>SUMIFS($S$2:S2066,$A$2:A2066,A2066,$N$2:N2066,"Explore*")</f>
        <v/>
      </c>
      <c r="AB2066">
        <f>IF(AND(LEFT(N2066,7)="Explore",(AA2066-IF(LEFT(N2066,7)="Explore",S2066,0))&lt;10),"SI","NO")</f>
        <v/>
      </c>
    </row>
    <row r="2067">
      <c r="A2067" t="inlineStr">
        <is>
          <t>c3m2_test</t>
        </is>
      </c>
      <c r="B2067" t="inlineStr">
        <is>
          <t>2026-01-28 11:54:45.347</t>
        </is>
      </c>
      <c r="C2067" t="n">
        <v/>
      </c>
      <c r="D2067" t="inlineStr">
        <is>
          <t>Media file</t>
        </is>
      </c>
      <c r="E2067" t="inlineStr">
        <is>
          <t>player #1:BTBR\test\c3m2.mp4</t>
        </is>
      </c>
      <c r="F2067" t="n">
        <v>-5.5</v>
      </c>
      <c r="G2067" t="n">
        <v>555.266</v>
      </c>
      <c r="H2067" t="n">
        <v>615.333</v>
      </c>
      <c r="I2067" t="n">
        <v>30</v>
      </c>
      <c r="J2067" t="inlineStr">
        <is>
          <t>BTBR</t>
        </is>
      </c>
      <c r="K2067" t="inlineStr">
        <is>
          <t>Male</t>
        </is>
      </c>
      <c r="L2067" t="inlineStr">
        <is>
          <t>No focal subject</t>
        </is>
      </c>
      <c r="M2067" t="n">
        <v>40.631</v>
      </c>
      <c r="N2067" t="inlineStr">
        <is>
          <t>Explore_N</t>
        </is>
      </c>
      <c r="O2067" t="inlineStr">
        <is>
          <t>Novelty</t>
        </is>
      </c>
      <c r="P2067" t="inlineStr">
        <is>
          <t>STATE</t>
        </is>
      </c>
      <c r="Q2067" t="n">
        <v>64.867</v>
      </c>
      <c r="R2067" t="n">
        <v>65.8</v>
      </c>
      <c r="S2067" t="n">
        <v>0.9330000000000001</v>
      </c>
      <c r="T2067" t="inlineStr">
        <is>
          <t>BTBR\test\c3m2.mp4</t>
        </is>
      </c>
      <c r="U2067" t="n">
        <v>2111</v>
      </c>
      <c r="V2067" t="n">
        <v>2139</v>
      </c>
      <c r="W2067" t="n">
        <v/>
      </c>
      <c r="X2067" t="n">
        <v/>
      </c>
      <c r="Y2067" t="n">
        <v/>
      </c>
      <c r="Z2067" t="n">
        <v/>
      </c>
      <c r="AA2067">
        <f>SUMIFS($S$2:S2067,$A$2:A2067,A2067,$N$2:N2067,"Explore*")</f>
        <v/>
      </c>
      <c r="AB2067">
        <f>IF(AND(LEFT(N2067,7)="Explore",(AA2067-IF(LEFT(N2067,7)="Explore",S2067,0))&lt;10),"SI","NO")</f>
        <v/>
      </c>
    </row>
    <row r="2068">
      <c r="A2068" t="inlineStr">
        <is>
          <t>c3m2_test</t>
        </is>
      </c>
      <c r="B2068" t="inlineStr">
        <is>
          <t>2026-01-28 11:54:45.347</t>
        </is>
      </c>
      <c r="C2068" t="n">
        <v/>
      </c>
      <c r="D2068" t="inlineStr">
        <is>
          <t>Media file</t>
        </is>
      </c>
      <c r="E2068" t="inlineStr">
        <is>
          <t>player #1:BTBR\test\c3m2.mp4</t>
        </is>
      </c>
      <c r="F2068" t="n">
        <v>-5.5</v>
      </c>
      <c r="G2068" t="n">
        <v>555.266</v>
      </c>
      <c r="H2068" t="n">
        <v>615.333</v>
      </c>
      <c r="I2068" t="n">
        <v>30</v>
      </c>
      <c r="J2068" t="inlineStr">
        <is>
          <t>BTBR</t>
        </is>
      </c>
      <c r="K2068" t="inlineStr">
        <is>
          <t>Male</t>
        </is>
      </c>
      <c r="L2068" t="inlineStr">
        <is>
          <t>No focal subject</t>
        </is>
      </c>
      <c r="M2068" t="n">
        <v>40.631</v>
      </c>
      <c r="N2068" t="inlineStr">
        <is>
          <t>Explore_F</t>
        </is>
      </c>
      <c r="O2068" t="inlineStr">
        <is>
          <t>Familiar</t>
        </is>
      </c>
      <c r="P2068" t="inlineStr">
        <is>
          <t>STATE</t>
        </is>
      </c>
      <c r="Q2068" t="n">
        <v>67.367</v>
      </c>
      <c r="R2068" t="n">
        <v>68.09999999999999</v>
      </c>
      <c r="S2068" t="n">
        <v>0.733</v>
      </c>
      <c r="T2068" t="inlineStr">
        <is>
          <t>BTBR\test\c3m2.mp4</t>
        </is>
      </c>
      <c r="U2068" t="n">
        <v>2186</v>
      </c>
      <c r="V2068" t="n">
        <v>2208</v>
      </c>
      <c r="W2068" t="n">
        <v/>
      </c>
      <c r="X2068" t="n">
        <v/>
      </c>
      <c r="Y2068" t="n">
        <v/>
      </c>
      <c r="Z2068" t="n">
        <v/>
      </c>
      <c r="AA2068">
        <f>SUMIFS($S$2:S2068,$A$2:A2068,A2068,$N$2:N2068,"Explore*")</f>
        <v/>
      </c>
      <c r="AB2068">
        <f>IF(AND(LEFT(N2068,7)="Explore",(AA2068-IF(LEFT(N2068,7)="Explore",S2068,0))&lt;10),"SI","NO")</f>
        <v/>
      </c>
    </row>
    <row r="2069">
      <c r="A2069" t="inlineStr">
        <is>
          <t>c3m2_test</t>
        </is>
      </c>
      <c r="B2069" t="inlineStr">
        <is>
          <t>2026-01-28 11:54:45.347</t>
        </is>
      </c>
      <c r="C2069" t="n">
        <v/>
      </c>
      <c r="D2069" t="inlineStr">
        <is>
          <t>Media file</t>
        </is>
      </c>
      <c r="E2069" t="inlineStr">
        <is>
          <t>player #1:BTBR\test\c3m2.mp4</t>
        </is>
      </c>
      <c r="F2069" t="n">
        <v>-5.5</v>
      </c>
      <c r="G2069" t="n">
        <v>555.266</v>
      </c>
      <c r="H2069" t="n">
        <v>615.333</v>
      </c>
      <c r="I2069" t="n">
        <v>30</v>
      </c>
      <c r="J2069" t="inlineStr">
        <is>
          <t>BTBR</t>
        </is>
      </c>
      <c r="K2069" t="inlineStr">
        <is>
          <t>Male</t>
        </is>
      </c>
      <c r="L2069" t="inlineStr">
        <is>
          <t>No focal subject</t>
        </is>
      </c>
      <c r="M2069" t="n">
        <v>40.631</v>
      </c>
      <c r="N2069" t="inlineStr">
        <is>
          <t>Explore_N</t>
        </is>
      </c>
      <c r="O2069" t="inlineStr">
        <is>
          <t>Novelty</t>
        </is>
      </c>
      <c r="P2069" t="inlineStr">
        <is>
          <t>STATE</t>
        </is>
      </c>
      <c r="Q2069" t="n">
        <v>68.633</v>
      </c>
      <c r="R2069" t="n">
        <v>69.90000000000001</v>
      </c>
      <c r="S2069" t="n">
        <v>1.267</v>
      </c>
      <c r="T2069" t="inlineStr">
        <is>
          <t>BTBR\test\c3m2.mp4</t>
        </is>
      </c>
      <c r="U2069" t="n">
        <v>2224</v>
      </c>
      <c r="V2069" t="n">
        <v>2262</v>
      </c>
      <c r="W2069" t="n">
        <v/>
      </c>
      <c r="X2069" t="n">
        <v/>
      </c>
      <c r="Y2069" t="n">
        <v/>
      </c>
      <c r="Z2069" t="n">
        <v/>
      </c>
      <c r="AA2069">
        <f>SUMIFS($S$2:S2069,$A$2:A2069,A2069,$N$2:N2069,"Explore*")</f>
        <v/>
      </c>
      <c r="AB2069">
        <f>IF(AND(LEFT(N2069,7)="Explore",(AA2069-IF(LEFT(N2069,7)="Explore",S2069,0))&lt;10),"SI","NO")</f>
        <v/>
      </c>
    </row>
    <row r="2070">
      <c r="A2070" t="inlineStr">
        <is>
          <t>c3m2_test</t>
        </is>
      </c>
      <c r="B2070" t="inlineStr">
        <is>
          <t>2026-01-28 11:54:45.347</t>
        </is>
      </c>
      <c r="C2070" t="n">
        <v/>
      </c>
      <c r="D2070" t="inlineStr">
        <is>
          <t>Media file</t>
        </is>
      </c>
      <c r="E2070" t="inlineStr">
        <is>
          <t>player #1:BTBR\test\c3m2.mp4</t>
        </is>
      </c>
      <c r="F2070" t="n">
        <v>-5.5</v>
      </c>
      <c r="G2070" t="n">
        <v>555.266</v>
      </c>
      <c r="H2070" t="n">
        <v>615.333</v>
      </c>
      <c r="I2070" t="n">
        <v>30</v>
      </c>
      <c r="J2070" t="inlineStr">
        <is>
          <t>BTBR</t>
        </is>
      </c>
      <c r="K2070" t="inlineStr">
        <is>
          <t>Male</t>
        </is>
      </c>
      <c r="L2070" t="inlineStr">
        <is>
          <t>No focal subject</t>
        </is>
      </c>
      <c r="M2070" t="n">
        <v>40.631</v>
      </c>
      <c r="N2070" t="inlineStr">
        <is>
          <t>Explore_N</t>
        </is>
      </c>
      <c r="O2070" t="inlineStr">
        <is>
          <t>Novelty</t>
        </is>
      </c>
      <c r="P2070" t="inlineStr">
        <is>
          <t>STATE</t>
        </is>
      </c>
      <c r="Q2070" t="n">
        <v>72.06699999999999</v>
      </c>
      <c r="R2070" t="n">
        <v>73.133</v>
      </c>
      <c r="S2070" t="n">
        <v>1.066</v>
      </c>
      <c r="T2070" t="inlineStr">
        <is>
          <t>BTBR\test\c3m2.mp4</t>
        </is>
      </c>
      <c r="U2070" t="n">
        <v>2327</v>
      </c>
      <c r="V2070" t="n">
        <v>2359</v>
      </c>
      <c r="W2070" t="n">
        <v/>
      </c>
      <c r="X2070" t="n">
        <v/>
      </c>
      <c r="Y2070" t="n">
        <v/>
      </c>
      <c r="Z2070" t="n">
        <v/>
      </c>
      <c r="AA2070">
        <f>SUMIFS($S$2:S2070,$A$2:A2070,A2070,$N$2:N2070,"Explore*")</f>
        <v/>
      </c>
      <c r="AB2070">
        <f>IF(AND(LEFT(N2070,7)="Explore",(AA2070-IF(LEFT(N2070,7)="Explore",S2070,0))&lt;10),"SI","NO")</f>
        <v/>
      </c>
    </row>
    <row r="2071">
      <c r="A2071" t="inlineStr">
        <is>
          <t>c3m2_test</t>
        </is>
      </c>
      <c r="B2071" t="inlineStr">
        <is>
          <t>2026-01-28 11:54:45.347</t>
        </is>
      </c>
      <c r="C2071" t="n">
        <v/>
      </c>
      <c r="D2071" t="inlineStr">
        <is>
          <t>Media file</t>
        </is>
      </c>
      <c r="E2071" t="inlineStr">
        <is>
          <t>player #1:BTBR\test\c3m2.mp4</t>
        </is>
      </c>
      <c r="F2071" t="n">
        <v>-5.5</v>
      </c>
      <c r="G2071" t="n">
        <v>555.266</v>
      </c>
      <c r="H2071" t="n">
        <v>615.333</v>
      </c>
      <c r="I2071" t="n">
        <v>30</v>
      </c>
      <c r="J2071" t="inlineStr">
        <is>
          <t>BTBR</t>
        </is>
      </c>
      <c r="K2071" t="inlineStr">
        <is>
          <t>Male</t>
        </is>
      </c>
      <c r="L2071" t="inlineStr">
        <is>
          <t>No focal subject</t>
        </is>
      </c>
      <c r="M2071" t="n">
        <v>40.631</v>
      </c>
      <c r="N2071" t="inlineStr">
        <is>
          <t>Explore_F</t>
        </is>
      </c>
      <c r="O2071" t="inlineStr">
        <is>
          <t>Familiar</t>
        </is>
      </c>
      <c r="P2071" t="inlineStr">
        <is>
          <t>STATE</t>
        </is>
      </c>
      <c r="Q2071" t="n">
        <v>77.06699999999999</v>
      </c>
      <c r="R2071" t="n">
        <v>77.5</v>
      </c>
      <c r="S2071" t="n">
        <v>0.433</v>
      </c>
      <c r="T2071" t="inlineStr">
        <is>
          <t>BTBR\test\c3m2.mp4</t>
        </is>
      </c>
      <c r="U2071" t="n">
        <v>2477</v>
      </c>
      <c r="V2071" t="n">
        <v>2490</v>
      </c>
      <c r="W2071" t="n">
        <v/>
      </c>
      <c r="X2071" t="n">
        <v/>
      </c>
      <c r="Y2071" t="n">
        <v/>
      </c>
      <c r="Z2071" t="n">
        <v/>
      </c>
      <c r="AA2071">
        <f>SUMIFS($S$2:S2071,$A$2:A2071,A2071,$N$2:N2071,"Explore*")</f>
        <v/>
      </c>
      <c r="AB2071">
        <f>IF(AND(LEFT(N2071,7)="Explore",(AA2071-IF(LEFT(N2071,7)="Explore",S2071,0))&lt;10),"SI","NO")</f>
        <v/>
      </c>
    </row>
    <row r="2072">
      <c r="A2072" t="inlineStr">
        <is>
          <t>c3m2_test</t>
        </is>
      </c>
      <c r="B2072" t="inlineStr">
        <is>
          <t>2026-01-28 11:54:45.347</t>
        </is>
      </c>
      <c r="C2072" t="n">
        <v/>
      </c>
      <c r="D2072" t="inlineStr">
        <is>
          <t>Media file</t>
        </is>
      </c>
      <c r="E2072" t="inlineStr">
        <is>
          <t>player #1:BTBR\test\c3m2.mp4</t>
        </is>
      </c>
      <c r="F2072" t="n">
        <v>-5.5</v>
      </c>
      <c r="G2072" t="n">
        <v>555.266</v>
      </c>
      <c r="H2072" t="n">
        <v>615.333</v>
      </c>
      <c r="I2072" t="n">
        <v>30</v>
      </c>
      <c r="J2072" t="inlineStr">
        <is>
          <t>BTBR</t>
        </is>
      </c>
      <c r="K2072" t="inlineStr">
        <is>
          <t>Male</t>
        </is>
      </c>
      <c r="L2072" t="inlineStr">
        <is>
          <t>No focal subject</t>
        </is>
      </c>
      <c r="M2072" t="n">
        <v>40.631</v>
      </c>
      <c r="N2072" t="inlineStr">
        <is>
          <t>Explore_N</t>
        </is>
      </c>
      <c r="O2072" t="inlineStr">
        <is>
          <t>Novelty</t>
        </is>
      </c>
      <c r="P2072" t="inlineStr">
        <is>
          <t>STATE</t>
        </is>
      </c>
      <c r="Q2072" t="n">
        <v>78.867</v>
      </c>
      <c r="R2072" t="n">
        <v>79.333</v>
      </c>
      <c r="S2072" t="n">
        <v>0.466</v>
      </c>
      <c r="T2072" t="inlineStr">
        <is>
          <t>BTBR\test\c3m2.mp4</t>
        </is>
      </c>
      <c r="U2072" t="n">
        <v>2531</v>
      </c>
      <c r="V2072" t="n">
        <v>2545</v>
      </c>
      <c r="W2072" t="n">
        <v/>
      </c>
      <c r="X2072" t="n">
        <v/>
      </c>
      <c r="Y2072" t="n">
        <v/>
      </c>
      <c r="Z2072" t="n">
        <v/>
      </c>
      <c r="AA2072">
        <f>SUMIFS($S$2:S2072,$A$2:A2072,A2072,$N$2:N2072,"Explore*")</f>
        <v/>
      </c>
      <c r="AB2072">
        <f>IF(AND(LEFT(N2072,7)="Explore",(AA2072-IF(LEFT(N2072,7)="Explore",S2072,0))&lt;10),"SI","NO")</f>
        <v/>
      </c>
    </row>
    <row r="2073">
      <c r="A2073" t="inlineStr">
        <is>
          <t>c3m2_test</t>
        </is>
      </c>
      <c r="B2073" t="inlineStr">
        <is>
          <t>2026-01-28 11:54:45.347</t>
        </is>
      </c>
      <c r="C2073" t="n">
        <v/>
      </c>
      <c r="D2073" t="inlineStr">
        <is>
          <t>Media file</t>
        </is>
      </c>
      <c r="E2073" t="inlineStr">
        <is>
          <t>player #1:BTBR\test\c3m2.mp4</t>
        </is>
      </c>
      <c r="F2073" t="n">
        <v>-5.5</v>
      </c>
      <c r="G2073" t="n">
        <v>555.266</v>
      </c>
      <c r="H2073" t="n">
        <v>615.333</v>
      </c>
      <c r="I2073" t="n">
        <v>30</v>
      </c>
      <c r="J2073" t="inlineStr">
        <is>
          <t>BTBR</t>
        </is>
      </c>
      <c r="K2073" t="inlineStr">
        <is>
          <t>Male</t>
        </is>
      </c>
      <c r="L2073" t="inlineStr">
        <is>
          <t>No focal subject</t>
        </is>
      </c>
      <c r="M2073" t="n">
        <v>40.631</v>
      </c>
      <c r="N2073" t="inlineStr">
        <is>
          <t>Explore_N</t>
        </is>
      </c>
      <c r="O2073" t="inlineStr">
        <is>
          <t>Novelty</t>
        </is>
      </c>
      <c r="P2073" t="inlineStr">
        <is>
          <t>STATE</t>
        </is>
      </c>
      <c r="Q2073" t="n">
        <v>89.7</v>
      </c>
      <c r="R2073" t="n">
        <v>90.267</v>
      </c>
      <c r="S2073" t="n">
        <v>0.5669999999999999</v>
      </c>
      <c r="T2073" t="inlineStr">
        <is>
          <t>BTBR\test\c3m2.mp4</t>
        </is>
      </c>
      <c r="U2073" t="n">
        <v>2856</v>
      </c>
      <c r="V2073" t="n">
        <v>2873</v>
      </c>
      <c r="W2073" t="n">
        <v/>
      </c>
      <c r="X2073" t="n">
        <v/>
      </c>
      <c r="Y2073" t="n">
        <v/>
      </c>
      <c r="Z2073" t="n">
        <v/>
      </c>
      <c r="AA2073">
        <f>SUMIFS($S$2:S2073,$A$2:A2073,A2073,$N$2:N2073,"Explore*")</f>
        <v/>
      </c>
      <c r="AB2073">
        <f>IF(AND(LEFT(N2073,7)="Explore",(AA2073-IF(LEFT(N2073,7)="Explore",S2073,0))&lt;10),"SI","NO")</f>
        <v/>
      </c>
    </row>
    <row r="2074">
      <c r="A2074" t="inlineStr">
        <is>
          <t>c3m2_test</t>
        </is>
      </c>
      <c r="B2074" t="inlineStr">
        <is>
          <t>2026-01-28 11:54:45.347</t>
        </is>
      </c>
      <c r="C2074" t="n">
        <v/>
      </c>
      <c r="D2074" t="inlineStr">
        <is>
          <t>Media file</t>
        </is>
      </c>
      <c r="E2074" t="inlineStr">
        <is>
          <t>player #1:BTBR\test\c3m2.mp4</t>
        </is>
      </c>
      <c r="F2074" t="n">
        <v>-5.5</v>
      </c>
      <c r="G2074" t="n">
        <v>555.266</v>
      </c>
      <c r="H2074" t="n">
        <v>615.333</v>
      </c>
      <c r="I2074" t="n">
        <v>30</v>
      </c>
      <c r="J2074" t="inlineStr">
        <is>
          <t>BTBR</t>
        </is>
      </c>
      <c r="K2074" t="inlineStr">
        <is>
          <t>Male</t>
        </is>
      </c>
      <c r="L2074" t="inlineStr">
        <is>
          <t>No focal subject</t>
        </is>
      </c>
      <c r="M2074" t="n">
        <v>40.631</v>
      </c>
      <c r="N2074" t="inlineStr">
        <is>
          <t>Explore_N</t>
        </is>
      </c>
      <c r="O2074" t="inlineStr">
        <is>
          <t>Novelty</t>
        </is>
      </c>
      <c r="P2074" t="inlineStr">
        <is>
          <t>STATE</t>
        </is>
      </c>
      <c r="Q2074" t="n">
        <v>91.167</v>
      </c>
      <c r="R2074" t="n">
        <v>92.367</v>
      </c>
      <c r="S2074" t="n">
        <v>1.2</v>
      </c>
      <c r="T2074" t="inlineStr">
        <is>
          <t>BTBR\test\c3m2.mp4</t>
        </is>
      </c>
      <c r="U2074" t="n">
        <v>2900</v>
      </c>
      <c r="V2074" t="n">
        <v>2936</v>
      </c>
      <c r="W2074" t="n">
        <v/>
      </c>
      <c r="X2074" t="n">
        <v/>
      </c>
      <c r="Y2074" t="n">
        <v/>
      </c>
      <c r="Z2074" t="n">
        <v/>
      </c>
      <c r="AA2074">
        <f>SUMIFS($S$2:S2074,$A$2:A2074,A2074,$N$2:N2074,"Explore*")</f>
        <v/>
      </c>
      <c r="AB2074">
        <f>IF(AND(LEFT(N2074,7)="Explore",(AA2074-IF(LEFT(N2074,7)="Explore",S2074,0))&lt;10),"SI","NO")</f>
        <v/>
      </c>
    </row>
    <row r="2075">
      <c r="A2075" t="inlineStr">
        <is>
          <t>c3m2_test</t>
        </is>
      </c>
      <c r="B2075" t="inlineStr">
        <is>
          <t>2026-01-28 11:54:45.347</t>
        </is>
      </c>
      <c r="C2075" t="n">
        <v/>
      </c>
      <c r="D2075" t="inlineStr">
        <is>
          <t>Media file</t>
        </is>
      </c>
      <c r="E2075" t="inlineStr">
        <is>
          <t>player #1:BTBR\test\c3m2.mp4</t>
        </is>
      </c>
      <c r="F2075" t="n">
        <v>-5.5</v>
      </c>
      <c r="G2075" t="n">
        <v>555.266</v>
      </c>
      <c r="H2075" t="n">
        <v>615.333</v>
      </c>
      <c r="I2075" t="n">
        <v>30</v>
      </c>
      <c r="J2075" t="inlineStr">
        <is>
          <t>BTBR</t>
        </is>
      </c>
      <c r="K2075" t="inlineStr">
        <is>
          <t>Male</t>
        </is>
      </c>
      <c r="L2075" t="inlineStr">
        <is>
          <t>No focal subject</t>
        </is>
      </c>
      <c r="M2075" t="n">
        <v>40.631</v>
      </c>
      <c r="N2075" t="inlineStr">
        <is>
          <t>Explore_F</t>
        </is>
      </c>
      <c r="O2075" t="inlineStr">
        <is>
          <t>Familiar</t>
        </is>
      </c>
      <c r="P2075" t="inlineStr">
        <is>
          <t>STATE</t>
        </is>
      </c>
      <c r="Q2075" t="n">
        <v>92.93300000000001</v>
      </c>
      <c r="R2075" t="n">
        <v>93.367</v>
      </c>
      <c r="S2075" t="n">
        <v>0.434</v>
      </c>
      <c r="T2075" t="inlineStr">
        <is>
          <t>BTBR\test\c3m2.mp4</t>
        </is>
      </c>
      <c r="U2075" t="n">
        <v>2953</v>
      </c>
      <c r="V2075" t="n">
        <v>2966</v>
      </c>
      <c r="W2075" t="n">
        <v/>
      </c>
      <c r="X2075" t="n">
        <v/>
      </c>
      <c r="Y2075" t="n">
        <v/>
      </c>
      <c r="Z2075" t="n">
        <v/>
      </c>
      <c r="AA2075">
        <f>SUMIFS($S$2:S2075,$A$2:A2075,A2075,$N$2:N2075,"Explore*")</f>
        <v/>
      </c>
      <c r="AB2075">
        <f>IF(AND(LEFT(N2075,7)="Explore",(AA2075-IF(LEFT(N2075,7)="Explore",S2075,0))&lt;10),"SI","NO")</f>
        <v/>
      </c>
    </row>
    <row r="2076">
      <c r="A2076" t="inlineStr">
        <is>
          <t>c3m2_test</t>
        </is>
      </c>
      <c r="B2076" t="inlineStr">
        <is>
          <t>2026-01-28 11:54:45.347</t>
        </is>
      </c>
      <c r="C2076" t="n">
        <v/>
      </c>
      <c r="D2076" t="inlineStr">
        <is>
          <t>Media file</t>
        </is>
      </c>
      <c r="E2076" t="inlineStr">
        <is>
          <t>player #1:BTBR\test\c3m2.mp4</t>
        </is>
      </c>
      <c r="F2076" t="n">
        <v>-5.5</v>
      </c>
      <c r="G2076" t="n">
        <v>555.266</v>
      </c>
      <c r="H2076" t="n">
        <v>615.333</v>
      </c>
      <c r="I2076" t="n">
        <v>30</v>
      </c>
      <c r="J2076" t="inlineStr">
        <is>
          <t>BTBR</t>
        </is>
      </c>
      <c r="K2076" t="inlineStr">
        <is>
          <t>Male</t>
        </is>
      </c>
      <c r="L2076" t="inlineStr">
        <is>
          <t>No focal subject</t>
        </is>
      </c>
      <c r="M2076" t="n">
        <v>40.631</v>
      </c>
      <c r="N2076" t="inlineStr">
        <is>
          <t>Explore_N</t>
        </is>
      </c>
      <c r="O2076" t="inlineStr">
        <is>
          <t>Novelty</t>
        </is>
      </c>
      <c r="P2076" t="inlineStr">
        <is>
          <t>STATE</t>
        </is>
      </c>
      <c r="Q2076" t="n">
        <v>95.833</v>
      </c>
      <c r="R2076" t="n">
        <v>96.7</v>
      </c>
      <c r="S2076" t="n">
        <v>0.867</v>
      </c>
      <c r="T2076" t="inlineStr">
        <is>
          <t>BTBR\test\c3m2.mp4</t>
        </is>
      </c>
      <c r="U2076" t="n">
        <v>3040</v>
      </c>
      <c r="V2076" t="n">
        <v>3066</v>
      </c>
      <c r="W2076" t="n">
        <v/>
      </c>
      <c r="X2076" t="n">
        <v/>
      </c>
      <c r="Y2076" t="n">
        <v/>
      </c>
      <c r="Z2076" t="n">
        <v/>
      </c>
      <c r="AA2076">
        <f>SUMIFS($S$2:S2076,$A$2:A2076,A2076,$N$2:N2076,"Explore*")</f>
        <v/>
      </c>
      <c r="AB2076">
        <f>IF(AND(LEFT(N2076,7)="Explore",(AA2076-IF(LEFT(N2076,7)="Explore",S2076,0))&lt;10),"SI","NO")</f>
        <v/>
      </c>
    </row>
    <row r="2077">
      <c r="A2077" t="inlineStr">
        <is>
          <t>c3m2_test</t>
        </is>
      </c>
      <c r="B2077" t="inlineStr">
        <is>
          <t>2026-01-28 11:54:45.347</t>
        </is>
      </c>
      <c r="C2077" t="n">
        <v/>
      </c>
      <c r="D2077" t="inlineStr">
        <is>
          <t>Media file</t>
        </is>
      </c>
      <c r="E2077" t="inlineStr">
        <is>
          <t>player #1:BTBR\test\c3m2.mp4</t>
        </is>
      </c>
      <c r="F2077" t="n">
        <v>-5.5</v>
      </c>
      <c r="G2077" t="n">
        <v>555.266</v>
      </c>
      <c r="H2077" t="n">
        <v>615.333</v>
      </c>
      <c r="I2077" t="n">
        <v>30</v>
      </c>
      <c r="J2077" t="inlineStr">
        <is>
          <t>BTBR</t>
        </is>
      </c>
      <c r="K2077" t="inlineStr">
        <is>
          <t>Male</t>
        </is>
      </c>
      <c r="L2077" t="inlineStr">
        <is>
          <t>No focal subject</t>
        </is>
      </c>
      <c r="M2077" t="n">
        <v>40.631</v>
      </c>
      <c r="N2077" t="inlineStr">
        <is>
          <t>Explore_F</t>
        </is>
      </c>
      <c r="O2077" t="inlineStr">
        <is>
          <t>Familiar</t>
        </is>
      </c>
      <c r="P2077" t="inlineStr">
        <is>
          <t>STATE</t>
        </is>
      </c>
      <c r="Q2077" t="n">
        <v>98.667</v>
      </c>
      <c r="R2077" t="n">
        <v>99.2</v>
      </c>
      <c r="S2077" t="n">
        <v>0.533</v>
      </c>
      <c r="T2077" t="inlineStr">
        <is>
          <t>BTBR\test\c3m2.mp4</t>
        </is>
      </c>
      <c r="U2077" t="n">
        <v>3125</v>
      </c>
      <c r="V2077" t="n">
        <v>3141</v>
      </c>
      <c r="W2077" t="n">
        <v/>
      </c>
      <c r="X2077" t="n">
        <v/>
      </c>
      <c r="Y2077" t="n">
        <v/>
      </c>
      <c r="Z2077" t="n">
        <v/>
      </c>
      <c r="AA2077">
        <f>SUMIFS($S$2:S2077,$A$2:A2077,A2077,$N$2:N2077,"Explore*")</f>
        <v/>
      </c>
      <c r="AB2077">
        <f>IF(AND(LEFT(N2077,7)="Explore",(AA2077-IF(LEFT(N2077,7)="Explore",S2077,0))&lt;10),"SI","NO")</f>
        <v/>
      </c>
    </row>
    <row r="2078">
      <c r="A2078" t="inlineStr">
        <is>
          <t>c3m2_test</t>
        </is>
      </c>
      <c r="B2078" t="inlineStr">
        <is>
          <t>2026-01-28 11:54:45.347</t>
        </is>
      </c>
      <c r="C2078" t="n">
        <v/>
      </c>
      <c r="D2078" t="inlineStr">
        <is>
          <t>Media file</t>
        </is>
      </c>
      <c r="E2078" t="inlineStr">
        <is>
          <t>player #1:BTBR\test\c3m2.mp4</t>
        </is>
      </c>
      <c r="F2078" t="n">
        <v>-5.5</v>
      </c>
      <c r="G2078" t="n">
        <v>555.266</v>
      </c>
      <c r="H2078" t="n">
        <v>615.333</v>
      </c>
      <c r="I2078" t="n">
        <v>30</v>
      </c>
      <c r="J2078" t="inlineStr">
        <is>
          <t>BTBR</t>
        </is>
      </c>
      <c r="K2078" t="inlineStr">
        <is>
          <t>Male</t>
        </is>
      </c>
      <c r="L2078" t="inlineStr">
        <is>
          <t>No focal subject</t>
        </is>
      </c>
      <c r="M2078" t="n">
        <v>40.631</v>
      </c>
      <c r="N2078" t="inlineStr">
        <is>
          <t>Explore_N</t>
        </is>
      </c>
      <c r="O2078" t="inlineStr">
        <is>
          <t>Novelty</t>
        </is>
      </c>
      <c r="P2078" t="inlineStr">
        <is>
          <t>STATE</t>
        </is>
      </c>
      <c r="Q2078" t="n">
        <v>107.9</v>
      </c>
      <c r="R2078" t="n">
        <v>108.333</v>
      </c>
      <c r="S2078" t="n">
        <v>0.433</v>
      </c>
      <c r="T2078" t="inlineStr">
        <is>
          <t>BTBR\test\c3m2.mp4</t>
        </is>
      </c>
      <c r="U2078" t="n">
        <v>3402</v>
      </c>
      <c r="V2078" t="n">
        <v>3415</v>
      </c>
      <c r="W2078" t="n">
        <v/>
      </c>
      <c r="X2078" t="n">
        <v/>
      </c>
      <c r="Y2078" t="n">
        <v/>
      </c>
      <c r="Z2078" t="n">
        <v/>
      </c>
      <c r="AA2078">
        <f>SUMIFS($S$2:S2078,$A$2:A2078,A2078,$N$2:N2078,"Explore*")</f>
        <v/>
      </c>
      <c r="AB2078">
        <f>IF(AND(LEFT(N2078,7)="Explore",(AA2078-IF(LEFT(N2078,7)="Explore",S2078,0))&lt;10),"SI","NO")</f>
        <v/>
      </c>
    </row>
    <row r="2079">
      <c r="A2079" t="inlineStr">
        <is>
          <t>c3m2_test</t>
        </is>
      </c>
      <c r="B2079" t="inlineStr">
        <is>
          <t>2026-01-28 11:54:45.347</t>
        </is>
      </c>
      <c r="C2079" t="n">
        <v/>
      </c>
      <c r="D2079" t="inlineStr">
        <is>
          <t>Media file</t>
        </is>
      </c>
      <c r="E2079" t="inlineStr">
        <is>
          <t>player #1:BTBR\test\c3m2.mp4</t>
        </is>
      </c>
      <c r="F2079" t="n">
        <v>-5.5</v>
      </c>
      <c r="G2079" t="n">
        <v>555.266</v>
      </c>
      <c r="H2079" t="n">
        <v>615.333</v>
      </c>
      <c r="I2079" t="n">
        <v>30</v>
      </c>
      <c r="J2079" t="inlineStr">
        <is>
          <t>BTBR</t>
        </is>
      </c>
      <c r="K2079" t="inlineStr">
        <is>
          <t>Male</t>
        </is>
      </c>
      <c r="L2079" t="inlineStr">
        <is>
          <t>No focal subject</t>
        </is>
      </c>
      <c r="M2079" t="n">
        <v>40.631</v>
      </c>
      <c r="N2079" t="inlineStr">
        <is>
          <t>Explore_N</t>
        </is>
      </c>
      <c r="O2079" t="inlineStr">
        <is>
          <t>Novelty</t>
        </is>
      </c>
      <c r="P2079" t="inlineStr">
        <is>
          <t>STATE</t>
        </is>
      </c>
      <c r="Q2079" t="n">
        <v>109.333</v>
      </c>
      <c r="R2079" t="n">
        <v>109.733</v>
      </c>
      <c r="S2079" t="n">
        <v>0.4</v>
      </c>
      <c r="T2079" t="inlineStr">
        <is>
          <t>BTBR\test\c3m2.mp4</t>
        </is>
      </c>
      <c r="U2079" t="n">
        <v>3445</v>
      </c>
      <c r="V2079" t="n">
        <v>3457</v>
      </c>
      <c r="W2079" t="n">
        <v/>
      </c>
      <c r="X2079" t="n">
        <v/>
      </c>
      <c r="Y2079" t="n">
        <v/>
      </c>
      <c r="Z2079" t="n">
        <v/>
      </c>
      <c r="AA2079">
        <f>SUMIFS($S$2:S2079,$A$2:A2079,A2079,$N$2:N2079,"Explore*")</f>
        <v/>
      </c>
      <c r="AB2079">
        <f>IF(AND(LEFT(N2079,7)="Explore",(AA2079-IF(LEFT(N2079,7)="Explore",S2079,0))&lt;10),"SI","NO")</f>
        <v/>
      </c>
    </row>
    <row r="2080">
      <c r="A2080" t="inlineStr">
        <is>
          <t>c3m2_test</t>
        </is>
      </c>
      <c r="B2080" t="inlineStr">
        <is>
          <t>2026-01-28 11:54:45.347</t>
        </is>
      </c>
      <c r="C2080" t="n">
        <v/>
      </c>
      <c r="D2080" t="inlineStr">
        <is>
          <t>Media file</t>
        </is>
      </c>
      <c r="E2080" t="inlineStr">
        <is>
          <t>player #1:BTBR\test\c3m2.mp4</t>
        </is>
      </c>
      <c r="F2080" t="n">
        <v>-5.5</v>
      </c>
      <c r="G2080" t="n">
        <v>555.266</v>
      </c>
      <c r="H2080" t="n">
        <v>615.333</v>
      </c>
      <c r="I2080" t="n">
        <v>30</v>
      </c>
      <c r="J2080" t="inlineStr">
        <is>
          <t>BTBR</t>
        </is>
      </c>
      <c r="K2080" t="inlineStr">
        <is>
          <t>Male</t>
        </is>
      </c>
      <c r="L2080" t="inlineStr">
        <is>
          <t>No focal subject</t>
        </is>
      </c>
      <c r="M2080" t="n">
        <v>40.631</v>
      </c>
      <c r="N2080" t="inlineStr">
        <is>
          <t>Explore_N</t>
        </is>
      </c>
      <c r="O2080" t="inlineStr">
        <is>
          <t>Novelty</t>
        </is>
      </c>
      <c r="P2080" t="inlineStr">
        <is>
          <t>STATE</t>
        </is>
      </c>
      <c r="Q2080" t="n">
        <v>110.4</v>
      </c>
      <c r="R2080" t="n">
        <v>111.467</v>
      </c>
      <c r="S2080" t="n">
        <v>1.067</v>
      </c>
      <c r="T2080" t="inlineStr">
        <is>
          <t>BTBR\test\c3m2.mp4</t>
        </is>
      </c>
      <c r="U2080" t="n">
        <v>3477</v>
      </c>
      <c r="V2080" t="n">
        <v>3509</v>
      </c>
      <c r="W2080" t="n">
        <v/>
      </c>
      <c r="X2080" t="n">
        <v/>
      </c>
      <c r="Y2080" t="n">
        <v/>
      </c>
      <c r="Z2080" t="n">
        <v/>
      </c>
      <c r="AA2080">
        <f>SUMIFS($S$2:S2080,$A$2:A2080,A2080,$N$2:N2080,"Explore*")</f>
        <v/>
      </c>
      <c r="AB2080">
        <f>IF(AND(LEFT(N2080,7)="Explore",(AA2080-IF(LEFT(N2080,7)="Explore",S2080,0))&lt;10),"SI","NO")</f>
        <v/>
      </c>
    </row>
    <row r="2081">
      <c r="A2081" t="inlineStr">
        <is>
          <t>c3m2_test</t>
        </is>
      </c>
      <c r="B2081" t="inlineStr">
        <is>
          <t>2026-01-28 11:54:45.347</t>
        </is>
      </c>
      <c r="C2081" t="n">
        <v/>
      </c>
      <c r="D2081" t="inlineStr">
        <is>
          <t>Media file</t>
        </is>
      </c>
      <c r="E2081" t="inlineStr">
        <is>
          <t>player #1:BTBR\test\c3m2.mp4</t>
        </is>
      </c>
      <c r="F2081" t="n">
        <v>-5.5</v>
      </c>
      <c r="G2081" t="n">
        <v>555.266</v>
      </c>
      <c r="H2081" t="n">
        <v>615.333</v>
      </c>
      <c r="I2081" t="n">
        <v>30</v>
      </c>
      <c r="J2081" t="inlineStr">
        <is>
          <t>BTBR</t>
        </is>
      </c>
      <c r="K2081" t="inlineStr">
        <is>
          <t>Male</t>
        </is>
      </c>
      <c r="L2081" t="inlineStr">
        <is>
          <t>No focal subject</t>
        </is>
      </c>
      <c r="M2081" t="n">
        <v>40.631</v>
      </c>
      <c r="N2081" t="inlineStr">
        <is>
          <t>Explore_N</t>
        </is>
      </c>
      <c r="O2081" t="inlineStr">
        <is>
          <t>Novelty</t>
        </is>
      </c>
      <c r="P2081" t="inlineStr">
        <is>
          <t>STATE</t>
        </is>
      </c>
      <c r="Q2081" t="n">
        <v>115.967</v>
      </c>
      <c r="R2081" t="n">
        <v>116.367</v>
      </c>
      <c r="S2081" t="n">
        <v>0.4</v>
      </c>
      <c r="T2081" t="inlineStr">
        <is>
          <t>BTBR\test\c3m2.mp4</t>
        </is>
      </c>
      <c r="U2081" t="n">
        <v>3644</v>
      </c>
      <c r="V2081" t="n">
        <v>3656</v>
      </c>
      <c r="W2081" t="n">
        <v/>
      </c>
      <c r="X2081" t="n">
        <v/>
      </c>
      <c r="Y2081" t="n">
        <v/>
      </c>
      <c r="Z2081" t="n">
        <v/>
      </c>
      <c r="AA2081">
        <f>SUMIFS($S$2:S2081,$A$2:A2081,A2081,$N$2:N2081,"Explore*")</f>
        <v/>
      </c>
      <c r="AB2081">
        <f>IF(AND(LEFT(N2081,7)="Explore",(AA2081-IF(LEFT(N2081,7)="Explore",S2081,0))&lt;10),"SI","NO")</f>
        <v/>
      </c>
    </row>
    <row r="2082">
      <c r="A2082" t="inlineStr">
        <is>
          <t>c3m2_test</t>
        </is>
      </c>
      <c r="B2082" t="inlineStr">
        <is>
          <t>2026-01-28 11:54:45.347</t>
        </is>
      </c>
      <c r="C2082" t="n">
        <v/>
      </c>
      <c r="D2082" t="inlineStr">
        <is>
          <t>Media file</t>
        </is>
      </c>
      <c r="E2082" t="inlineStr">
        <is>
          <t>player #1:BTBR\test\c3m2.mp4</t>
        </is>
      </c>
      <c r="F2082" t="n">
        <v>-5.5</v>
      </c>
      <c r="G2082" t="n">
        <v>555.266</v>
      </c>
      <c r="H2082" t="n">
        <v>615.333</v>
      </c>
      <c r="I2082" t="n">
        <v>30</v>
      </c>
      <c r="J2082" t="inlineStr">
        <is>
          <t>BTBR</t>
        </is>
      </c>
      <c r="K2082" t="inlineStr">
        <is>
          <t>Male</t>
        </is>
      </c>
      <c r="L2082" t="inlineStr">
        <is>
          <t>No focal subject</t>
        </is>
      </c>
      <c r="M2082" t="n">
        <v>40.631</v>
      </c>
      <c r="N2082" t="inlineStr">
        <is>
          <t>Explore_F</t>
        </is>
      </c>
      <c r="O2082" t="inlineStr">
        <is>
          <t>Familiar</t>
        </is>
      </c>
      <c r="P2082" t="inlineStr">
        <is>
          <t>STATE</t>
        </is>
      </c>
      <c r="Q2082" t="n">
        <v>119.367</v>
      </c>
      <c r="R2082" t="n">
        <v>119.667</v>
      </c>
      <c r="S2082" t="n">
        <v>0.3</v>
      </c>
      <c r="T2082" t="inlineStr">
        <is>
          <t>BTBR\test\c3m2.mp4</t>
        </is>
      </c>
      <c r="U2082" t="n">
        <v>3746</v>
      </c>
      <c r="V2082" t="n">
        <v>3755</v>
      </c>
      <c r="W2082" t="n">
        <v/>
      </c>
      <c r="X2082" t="n">
        <v/>
      </c>
      <c r="Y2082" t="n">
        <v/>
      </c>
      <c r="Z2082" t="n">
        <v/>
      </c>
      <c r="AA2082">
        <f>SUMIFS($S$2:S2082,$A$2:A2082,A2082,$N$2:N2082,"Explore*")</f>
        <v/>
      </c>
      <c r="AB2082">
        <f>IF(AND(LEFT(N2082,7)="Explore",(AA2082-IF(LEFT(N2082,7)="Explore",S2082,0))&lt;10),"SI","NO")</f>
        <v/>
      </c>
    </row>
    <row r="2083">
      <c r="A2083" t="inlineStr">
        <is>
          <t>c3m2_test</t>
        </is>
      </c>
      <c r="B2083" t="inlineStr">
        <is>
          <t>2026-01-28 11:54:45.347</t>
        </is>
      </c>
      <c r="C2083" t="n">
        <v/>
      </c>
      <c r="D2083" t="inlineStr">
        <is>
          <t>Media file</t>
        </is>
      </c>
      <c r="E2083" t="inlineStr">
        <is>
          <t>player #1:BTBR\test\c3m2.mp4</t>
        </is>
      </c>
      <c r="F2083" t="n">
        <v>-5.5</v>
      </c>
      <c r="G2083" t="n">
        <v>555.266</v>
      </c>
      <c r="H2083" t="n">
        <v>615.333</v>
      </c>
      <c r="I2083" t="n">
        <v>30</v>
      </c>
      <c r="J2083" t="inlineStr">
        <is>
          <t>BTBR</t>
        </is>
      </c>
      <c r="K2083" t="inlineStr">
        <is>
          <t>Male</t>
        </is>
      </c>
      <c r="L2083" t="inlineStr">
        <is>
          <t>No focal subject</t>
        </is>
      </c>
      <c r="M2083" t="n">
        <v>40.631</v>
      </c>
      <c r="N2083" t="inlineStr">
        <is>
          <t>Explore_N</t>
        </is>
      </c>
      <c r="O2083" t="inlineStr">
        <is>
          <t>Novelty</t>
        </is>
      </c>
      <c r="P2083" t="inlineStr">
        <is>
          <t>STATE</t>
        </is>
      </c>
      <c r="Q2083" t="n">
        <v>120.567</v>
      </c>
      <c r="R2083" t="n">
        <v>121.467</v>
      </c>
      <c r="S2083" t="n">
        <v>0.9</v>
      </c>
      <c r="T2083" t="inlineStr">
        <is>
          <t>BTBR\test\c3m2.mp4</t>
        </is>
      </c>
      <c r="U2083" t="n">
        <v>3782</v>
      </c>
      <c r="V2083" t="n">
        <v>3809</v>
      </c>
      <c r="W2083" t="n">
        <v/>
      </c>
      <c r="X2083" t="n">
        <v/>
      </c>
      <c r="Y2083" t="n">
        <v/>
      </c>
      <c r="Z2083" t="n">
        <v/>
      </c>
      <c r="AA2083">
        <f>SUMIFS($S$2:S2083,$A$2:A2083,A2083,$N$2:N2083,"Explore*")</f>
        <v/>
      </c>
      <c r="AB2083">
        <f>IF(AND(LEFT(N2083,7)="Explore",(AA2083-IF(LEFT(N2083,7)="Explore",S2083,0))&lt;10),"SI","NO")</f>
        <v/>
      </c>
    </row>
    <row r="2084">
      <c r="A2084" t="inlineStr">
        <is>
          <t>c3m2_test</t>
        </is>
      </c>
      <c r="B2084" t="inlineStr">
        <is>
          <t>2026-01-28 11:54:45.347</t>
        </is>
      </c>
      <c r="C2084" t="n">
        <v/>
      </c>
      <c r="D2084" t="inlineStr">
        <is>
          <t>Media file</t>
        </is>
      </c>
      <c r="E2084" t="inlineStr">
        <is>
          <t>player #1:BTBR\test\c3m2.mp4</t>
        </is>
      </c>
      <c r="F2084" t="n">
        <v>-5.5</v>
      </c>
      <c r="G2084" t="n">
        <v>555.266</v>
      </c>
      <c r="H2084" t="n">
        <v>615.333</v>
      </c>
      <c r="I2084" t="n">
        <v>30</v>
      </c>
      <c r="J2084" t="inlineStr">
        <is>
          <t>BTBR</t>
        </is>
      </c>
      <c r="K2084" t="inlineStr">
        <is>
          <t>Male</t>
        </is>
      </c>
      <c r="L2084" t="inlineStr">
        <is>
          <t>No focal subject</t>
        </is>
      </c>
      <c r="M2084" t="n">
        <v>40.631</v>
      </c>
      <c r="N2084" t="inlineStr">
        <is>
          <t>Explore_N</t>
        </is>
      </c>
      <c r="O2084" t="inlineStr">
        <is>
          <t>Novelty</t>
        </is>
      </c>
      <c r="P2084" t="inlineStr">
        <is>
          <t>STATE</t>
        </is>
      </c>
      <c r="Q2084" t="n">
        <v>125.133</v>
      </c>
      <c r="R2084" t="n">
        <v>125.6</v>
      </c>
      <c r="S2084" t="n">
        <v>0.467</v>
      </c>
      <c r="T2084" t="inlineStr">
        <is>
          <t>BTBR\test\c3m2.mp4</t>
        </is>
      </c>
      <c r="U2084" t="n">
        <v>3919</v>
      </c>
      <c r="V2084" t="n">
        <v>3934</v>
      </c>
      <c r="W2084" t="n">
        <v/>
      </c>
      <c r="X2084" t="n">
        <v/>
      </c>
      <c r="Y2084" t="n">
        <v/>
      </c>
      <c r="Z2084" t="n">
        <v/>
      </c>
      <c r="AA2084">
        <f>SUMIFS($S$2:S2084,$A$2:A2084,A2084,$N$2:N2084,"Explore*")</f>
        <v/>
      </c>
      <c r="AB2084">
        <f>IF(AND(LEFT(N2084,7)="Explore",(AA2084-IF(LEFT(N2084,7)="Explore",S2084,0))&lt;10),"SI","NO")</f>
        <v/>
      </c>
    </row>
    <row r="2085">
      <c r="A2085" t="inlineStr">
        <is>
          <t>c3m2_test</t>
        </is>
      </c>
      <c r="B2085" t="inlineStr">
        <is>
          <t>2026-01-28 11:54:45.347</t>
        </is>
      </c>
      <c r="C2085" t="n">
        <v/>
      </c>
      <c r="D2085" t="inlineStr">
        <is>
          <t>Media file</t>
        </is>
      </c>
      <c r="E2085" t="inlineStr">
        <is>
          <t>player #1:BTBR\test\c3m2.mp4</t>
        </is>
      </c>
      <c r="F2085" t="n">
        <v>-5.5</v>
      </c>
      <c r="G2085" t="n">
        <v>555.266</v>
      </c>
      <c r="H2085" t="n">
        <v>615.333</v>
      </c>
      <c r="I2085" t="n">
        <v>30</v>
      </c>
      <c r="J2085" t="inlineStr">
        <is>
          <t>BTBR</t>
        </is>
      </c>
      <c r="K2085" t="inlineStr">
        <is>
          <t>Male</t>
        </is>
      </c>
      <c r="L2085" t="inlineStr">
        <is>
          <t>No focal subject</t>
        </is>
      </c>
      <c r="M2085" t="n">
        <v>40.631</v>
      </c>
      <c r="N2085" t="inlineStr">
        <is>
          <t>Explore_N</t>
        </is>
      </c>
      <c r="O2085" t="inlineStr">
        <is>
          <t>Novelty</t>
        </is>
      </c>
      <c r="P2085" t="inlineStr">
        <is>
          <t>STATE</t>
        </is>
      </c>
      <c r="Q2085" t="n">
        <v>126.433</v>
      </c>
      <c r="R2085" t="n">
        <v>127.367</v>
      </c>
      <c r="S2085" t="n">
        <v>0.9340000000000001</v>
      </c>
      <c r="T2085" t="inlineStr">
        <is>
          <t>BTBR\test\c3m2.mp4</t>
        </is>
      </c>
      <c r="U2085" t="n">
        <v>3958</v>
      </c>
      <c r="V2085" t="n">
        <v>3986</v>
      </c>
      <c r="W2085" t="n">
        <v/>
      </c>
      <c r="X2085" t="n">
        <v/>
      </c>
      <c r="Y2085" t="n">
        <v/>
      </c>
      <c r="Z2085" t="n">
        <v/>
      </c>
      <c r="AA2085">
        <f>SUMIFS($S$2:S2085,$A$2:A2085,A2085,$N$2:N2085,"Explore*")</f>
        <v/>
      </c>
      <c r="AB2085">
        <f>IF(AND(LEFT(N2085,7)="Explore",(AA2085-IF(LEFT(N2085,7)="Explore",S2085,0))&lt;10),"SI","NO")</f>
        <v/>
      </c>
    </row>
    <row r="2086">
      <c r="A2086" t="inlineStr">
        <is>
          <t>c3m2_test</t>
        </is>
      </c>
      <c r="B2086" t="inlineStr">
        <is>
          <t>2026-01-28 11:54:45.347</t>
        </is>
      </c>
      <c r="C2086" t="n">
        <v/>
      </c>
      <c r="D2086" t="inlineStr">
        <is>
          <t>Media file</t>
        </is>
      </c>
      <c r="E2086" t="inlineStr">
        <is>
          <t>player #1:BTBR\test\c3m2.mp4</t>
        </is>
      </c>
      <c r="F2086" t="n">
        <v>-5.5</v>
      </c>
      <c r="G2086" t="n">
        <v>555.266</v>
      </c>
      <c r="H2086" t="n">
        <v>615.333</v>
      </c>
      <c r="I2086" t="n">
        <v>30</v>
      </c>
      <c r="J2086" t="inlineStr">
        <is>
          <t>BTBR</t>
        </is>
      </c>
      <c r="K2086" t="inlineStr">
        <is>
          <t>Male</t>
        </is>
      </c>
      <c r="L2086" t="inlineStr">
        <is>
          <t>No focal subject</t>
        </is>
      </c>
      <c r="M2086" t="n">
        <v>40.631</v>
      </c>
      <c r="N2086" t="inlineStr">
        <is>
          <t>Explore_F</t>
        </is>
      </c>
      <c r="O2086" t="inlineStr">
        <is>
          <t>Familiar</t>
        </is>
      </c>
      <c r="P2086" t="inlineStr">
        <is>
          <t>STATE</t>
        </is>
      </c>
      <c r="Q2086" t="n">
        <v>134.967</v>
      </c>
      <c r="R2086" t="n">
        <v>135.2</v>
      </c>
      <c r="S2086" t="n">
        <v>0.233</v>
      </c>
      <c r="T2086" t="inlineStr">
        <is>
          <t>BTBR\test\c3m2.mp4</t>
        </is>
      </c>
      <c r="U2086" t="n">
        <v>4214</v>
      </c>
      <c r="V2086" t="n">
        <v>4221</v>
      </c>
      <c r="W2086" t="n">
        <v/>
      </c>
      <c r="X2086" t="n">
        <v/>
      </c>
      <c r="Y2086" t="n">
        <v/>
      </c>
      <c r="Z2086" t="n">
        <v/>
      </c>
      <c r="AA2086">
        <f>SUMIFS($S$2:S2086,$A$2:A2086,A2086,$N$2:N2086,"Explore*")</f>
        <v/>
      </c>
      <c r="AB2086">
        <f>IF(AND(LEFT(N2086,7)="Explore",(AA2086-IF(LEFT(N2086,7)="Explore",S2086,0))&lt;10),"SI","NO")</f>
        <v/>
      </c>
    </row>
    <row r="2087">
      <c r="A2087" t="inlineStr">
        <is>
          <t>c3m2_test</t>
        </is>
      </c>
      <c r="B2087" t="inlineStr">
        <is>
          <t>2026-01-28 11:54:45.347</t>
        </is>
      </c>
      <c r="C2087" t="n">
        <v/>
      </c>
      <c r="D2087" t="inlineStr">
        <is>
          <t>Media file</t>
        </is>
      </c>
      <c r="E2087" t="inlineStr">
        <is>
          <t>player #1:BTBR\test\c3m2.mp4</t>
        </is>
      </c>
      <c r="F2087" t="n">
        <v>-5.5</v>
      </c>
      <c r="G2087" t="n">
        <v>555.266</v>
      </c>
      <c r="H2087" t="n">
        <v>615.333</v>
      </c>
      <c r="I2087" t="n">
        <v>30</v>
      </c>
      <c r="J2087" t="inlineStr">
        <is>
          <t>BTBR</t>
        </is>
      </c>
      <c r="K2087" t="inlineStr">
        <is>
          <t>Male</t>
        </is>
      </c>
      <c r="L2087" t="inlineStr">
        <is>
          <t>No focal subject</t>
        </is>
      </c>
      <c r="M2087" t="n">
        <v>40.631</v>
      </c>
      <c r="N2087" t="inlineStr">
        <is>
          <t>Explore_N</t>
        </is>
      </c>
      <c r="O2087" t="inlineStr">
        <is>
          <t>Novelty</t>
        </is>
      </c>
      <c r="P2087" t="inlineStr">
        <is>
          <t>STATE</t>
        </is>
      </c>
      <c r="Q2087" t="n">
        <v>138.933</v>
      </c>
      <c r="R2087" t="n">
        <v>139.567</v>
      </c>
      <c r="S2087" t="n">
        <v>0.634</v>
      </c>
      <c r="T2087" t="inlineStr">
        <is>
          <t>BTBR\test\c3m2.mp4</t>
        </is>
      </c>
      <c r="U2087" t="n">
        <v>4333</v>
      </c>
      <c r="V2087" t="n">
        <v>4352</v>
      </c>
      <c r="W2087" t="n">
        <v/>
      </c>
      <c r="X2087" t="n">
        <v/>
      </c>
      <c r="Y2087" t="n">
        <v/>
      </c>
      <c r="Z2087" t="n">
        <v/>
      </c>
      <c r="AA2087">
        <f>SUMIFS($S$2:S2087,$A$2:A2087,A2087,$N$2:N2087,"Explore*")</f>
        <v/>
      </c>
      <c r="AB2087">
        <f>IF(AND(LEFT(N2087,7)="Explore",(AA2087-IF(LEFT(N2087,7)="Explore",S2087,0))&lt;10),"SI","NO")</f>
        <v/>
      </c>
    </row>
    <row r="2088">
      <c r="A2088" t="inlineStr">
        <is>
          <t>c3m2_test</t>
        </is>
      </c>
      <c r="B2088" t="inlineStr">
        <is>
          <t>2026-01-28 11:54:45.347</t>
        </is>
      </c>
      <c r="C2088" t="n">
        <v/>
      </c>
      <c r="D2088" t="inlineStr">
        <is>
          <t>Media file</t>
        </is>
      </c>
      <c r="E2088" t="inlineStr">
        <is>
          <t>player #1:BTBR\test\c3m2.mp4</t>
        </is>
      </c>
      <c r="F2088" t="n">
        <v>-5.5</v>
      </c>
      <c r="G2088" t="n">
        <v>555.266</v>
      </c>
      <c r="H2088" t="n">
        <v>615.333</v>
      </c>
      <c r="I2088" t="n">
        <v>30</v>
      </c>
      <c r="J2088" t="inlineStr">
        <is>
          <t>BTBR</t>
        </is>
      </c>
      <c r="K2088" t="inlineStr">
        <is>
          <t>Male</t>
        </is>
      </c>
      <c r="L2088" t="inlineStr">
        <is>
          <t>No focal subject</t>
        </is>
      </c>
      <c r="M2088" t="n">
        <v>40.631</v>
      </c>
      <c r="N2088" t="inlineStr">
        <is>
          <t>Explore_F</t>
        </is>
      </c>
      <c r="O2088" t="inlineStr">
        <is>
          <t>Familiar</t>
        </is>
      </c>
      <c r="P2088" t="inlineStr">
        <is>
          <t>STATE</t>
        </is>
      </c>
      <c r="Q2088" t="n">
        <v>140.033</v>
      </c>
      <c r="R2088" t="n">
        <v>140.6</v>
      </c>
      <c r="S2088" t="n">
        <v>0.5669999999999999</v>
      </c>
      <c r="T2088" t="inlineStr">
        <is>
          <t>BTBR\test\c3m2.mp4</t>
        </is>
      </c>
      <c r="U2088" t="n">
        <v>4366</v>
      </c>
      <c r="V2088" t="n">
        <v>4383</v>
      </c>
      <c r="W2088" t="n">
        <v/>
      </c>
      <c r="X2088" t="n">
        <v/>
      </c>
      <c r="Y2088" t="n">
        <v/>
      </c>
      <c r="Z2088" t="n">
        <v/>
      </c>
      <c r="AA2088">
        <f>SUMIFS($S$2:S2088,$A$2:A2088,A2088,$N$2:N2088,"Explore*")</f>
        <v/>
      </c>
      <c r="AB2088">
        <f>IF(AND(LEFT(N2088,7)="Explore",(AA2088-IF(LEFT(N2088,7)="Explore",S2088,0))&lt;10),"SI","NO")</f>
        <v/>
      </c>
    </row>
    <row r="2089">
      <c r="A2089" t="inlineStr">
        <is>
          <t>c3m2_test</t>
        </is>
      </c>
      <c r="B2089" t="inlineStr">
        <is>
          <t>2026-01-28 11:54:45.347</t>
        </is>
      </c>
      <c r="C2089" t="n">
        <v/>
      </c>
      <c r="D2089" t="inlineStr">
        <is>
          <t>Media file</t>
        </is>
      </c>
      <c r="E2089" t="inlineStr">
        <is>
          <t>player #1:BTBR\test\c3m2.mp4</t>
        </is>
      </c>
      <c r="F2089" t="n">
        <v>-5.5</v>
      </c>
      <c r="G2089" t="n">
        <v>555.266</v>
      </c>
      <c r="H2089" t="n">
        <v>615.333</v>
      </c>
      <c r="I2089" t="n">
        <v>30</v>
      </c>
      <c r="J2089" t="inlineStr">
        <is>
          <t>BTBR</t>
        </is>
      </c>
      <c r="K2089" t="inlineStr">
        <is>
          <t>Male</t>
        </is>
      </c>
      <c r="L2089" t="inlineStr">
        <is>
          <t>No focal subject</t>
        </is>
      </c>
      <c r="M2089" t="n">
        <v>40.631</v>
      </c>
      <c r="N2089" t="inlineStr">
        <is>
          <t>Explore_N</t>
        </is>
      </c>
      <c r="O2089" t="inlineStr">
        <is>
          <t>Novelty</t>
        </is>
      </c>
      <c r="P2089" t="inlineStr">
        <is>
          <t>STATE</t>
        </is>
      </c>
      <c r="Q2089" t="n">
        <v>146.433</v>
      </c>
      <c r="R2089" t="n">
        <v>146.967</v>
      </c>
      <c r="S2089" t="n">
        <v>0.534</v>
      </c>
      <c r="T2089" t="inlineStr">
        <is>
          <t>BTBR\test\c3m2.mp4</t>
        </is>
      </c>
      <c r="U2089" t="n">
        <v>4558</v>
      </c>
      <c r="V2089" t="n">
        <v>4574</v>
      </c>
      <c r="W2089" t="n">
        <v/>
      </c>
      <c r="X2089" t="n">
        <v/>
      </c>
      <c r="Y2089" t="n">
        <v/>
      </c>
      <c r="Z2089" t="n">
        <v/>
      </c>
      <c r="AA2089">
        <f>SUMIFS($S$2:S2089,$A$2:A2089,A2089,$N$2:N2089,"Explore*")</f>
        <v/>
      </c>
      <c r="AB2089">
        <f>IF(AND(LEFT(N2089,7)="Explore",(AA2089-IF(LEFT(N2089,7)="Explore",S2089,0))&lt;10),"SI","NO")</f>
        <v/>
      </c>
    </row>
    <row r="2090">
      <c r="A2090" t="inlineStr">
        <is>
          <t>c3m2_test</t>
        </is>
      </c>
      <c r="B2090" t="inlineStr">
        <is>
          <t>2026-01-28 11:54:45.347</t>
        </is>
      </c>
      <c r="C2090" t="n">
        <v/>
      </c>
      <c r="D2090" t="inlineStr">
        <is>
          <t>Media file</t>
        </is>
      </c>
      <c r="E2090" t="inlineStr">
        <is>
          <t>player #1:BTBR\test\c3m2.mp4</t>
        </is>
      </c>
      <c r="F2090" t="n">
        <v>-5.5</v>
      </c>
      <c r="G2090" t="n">
        <v>555.266</v>
      </c>
      <c r="H2090" t="n">
        <v>615.333</v>
      </c>
      <c r="I2090" t="n">
        <v>30</v>
      </c>
      <c r="J2090" t="inlineStr">
        <is>
          <t>BTBR</t>
        </is>
      </c>
      <c r="K2090" t="inlineStr">
        <is>
          <t>Male</t>
        </is>
      </c>
      <c r="L2090" t="inlineStr">
        <is>
          <t>No focal subject</t>
        </is>
      </c>
      <c r="M2090" t="n">
        <v>40.631</v>
      </c>
      <c r="N2090" t="inlineStr">
        <is>
          <t>Explore_N</t>
        </is>
      </c>
      <c r="O2090" t="inlineStr">
        <is>
          <t>Novelty</t>
        </is>
      </c>
      <c r="P2090" t="inlineStr">
        <is>
          <t>STATE</t>
        </is>
      </c>
      <c r="Q2090" t="n">
        <v>161.733</v>
      </c>
      <c r="R2090" t="n">
        <v>162.033</v>
      </c>
      <c r="S2090" t="n">
        <v>0.3</v>
      </c>
      <c r="T2090" t="inlineStr">
        <is>
          <t>BTBR\test\c3m2.mp4</t>
        </is>
      </c>
      <c r="U2090" t="n">
        <v>5016</v>
      </c>
      <c r="V2090" t="n">
        <v>5025</v>
      </c>
      <c r="W2090" t="n">
        <v/>
      </c>
      <c r="X2090" t="n">
        <v/>
      </c>
      <c r="Y2090" t="n">
        <v/>
      </c>
      <c r="Z2090" t="n">
        <v/>
      </c>
      <c r="AA2090">
        <f>SUMIFS($S$2:S2090,$A$2:A2090,A2090,$N$2:N2090,"Explore*")</f>
        <v/>
      </c>
      <c r="AB2090">
        <f>IF(AND(LEFT(N2090,7)="Explore",(AA2090-IF(LEFT(N2090,7)="Explore",S2090,0))&lt;10),"SI","NO")</f>
        <v/>
      </c>
    </row>
    <row r="2091">
      <c r="A2091" t="inlineStr">
        <is>
          <t>c3m2_test</t>
        </is>
      </c>
      <c r="B2091" t="inlineStr">
        <is>
          <t>2026-01-28 11:54:45.347</t>
        </is>
      </c>
      <c r="C2091" t="n">
        <v/>
      </c>
      <c r="D2091" t="inlineStr">
        <is>
          <t>Media file</t>
        </is>
      </c>
      <c r="E2091" t="inlineStr">
        <is>
          <t>player #1:BTBR\test\c3m2.mp4</t>
        </is>
      </c>
      <c r="F2091" t="n">
        <v>-5.5</v>
      </c>
      <c r="G2091" t="n">
        <v>555.266</v>
      </c>
      <c r="H2091" t="n">
        <v>615.333</v>
      </c>
      <c r="I2091" t="n">
        <v>30</v>
      </c>
      <c r="J2091" t="inlineStr">
        <is>
          <t>BTBR</t>
        </is>
      </c>
      <c r="K2091" t="inlineStr">
        <is>
          <t>Male</t>
        </is>
      </c>
      <c r="L2091" t="inlineStr">
        <is>
          <t>No focal subject</t>
        </is>
      </c>
      <c r="M2091" t="n">
        <v>40.631</v>
      </c>
      <c r="N2091" t="inlineStr">
        <is>
          <t>Explore_F</t>
        </is>
      </c>
      <c r="O2091" t="inlineStr">
        <is>
          <t>Familiar</t>
        </is>
      </c>
      <c r="P2091" t="inlineStr">
        <is>
          <t>STATE</t>
        </is>
      </c>
      <c r="Q2091" t="n">
        <v>167.366</v>
      </c>
      <c r="R2091" t="n">
        <v>168.333</v>
      </c>
      <c r="S2091" t="n">
        <v>0.967</v>
      </c>
      <c r="T2091" t="inlineStr">
        <is>
          <t>BTBR\test\c3m2.mp4</t>
        </is>
      </c>
      <c r="U2091" t="n">
        <v>5185</v>
      </c>
      <c r="V2091" t="n">
        <v>5214</v>
      </c>
      <c r="W2091" t="n">
        <v/>
      </c>
      <c r="X2091" t="n">
        <v/>
      </c>
      <c r="Y2091" t="n">
        <v/>
      </c>
      <c r="Z2091" t="n">
        <v/>
      </c>
      <c r="AA2091">
        <f>SUMIFS($S$2:S2091,$A$2:A2091,A2091,$N$2:N2091,"Explore*")</f>
        <v/>
      </c>
      <c r="AB2091">
        <f>IF(AND(LEFT(N2091,7)="Explore",(AA2091-IF(LEFT(N2091,7)="Explore",S2091,0))&lt;10),"SI","NO")</f>
        <v/>
      </c>
    </row>
    <row r="2092">
      <c r="A2092" t="inlineStr">
        <is>
          <t>c3m2_test</t>
        </is>
      </c>
      <c r="B2092" t="inlineStr">
        <is>
          <t>2026-01-28 11:54:45.347</t>
        </is>
      </c>
      <c r="C2092" t="n">
        <v/>
      </c>
      <c r="D2092" t="inlineStr">
        <is>
          <t>Media file</t>
        </is>
      </c>
      <c r="E2092" t="inlineStr">
        <is>
          <t>player #1:BTBR\test\c3m2.mp4</t>
        </is>
      </c>
      <c r="F2092" t="n">
        <v>-5.5</v>
      </c>
      <c r="G2092" t="n">
        <v>555.266</v>
      </c>
      <c r="H2092" t="n">
        <v>615.333</v>
      </c>
      <c r="I2092" t="n">
        <v>30</v>
      </c>
      <c r="J2092" t="inlineStr">
        <is>
          <t>BTBR</t>
        </is>
      </c>
      <c r="K2092" t="inlineStr">
        <is>
          <t>Male</t>
        </is>
      </c>
      <c r="L2092" t="inlineStr">
        <is>
          <t>No focal subject</t>
        </is>
      </c>
      <c r="M2092" t="n">
        <v>40.631</v>
      </c>
      <c r="N2092" t="inlineStr">
        <is>
          <t>Explore_N</t>
        </is>
      </c>
      <c r="O2092" t="inlineStr">
        <is>
          <t>Novelty</t>
        </is>
      </c>
      <c r="P2092" t="inlineStr">
        <is>
          <t>STATE</t>
        </is>
      </c>
      <c r="Q2092" t="n">
        <v>171.2</v>
      </c>
      <c r="R2092" t="n">
        <v>172.033</v>
      </c>
      <c r="S2092" t="n">
        <v>0.833</v>
      </c>
      <c r="T2092" t="inlineStr">
        <is>
          <t>BTBR\test\c3m2.mp4</t>
        </is>
      </c>
      <c r="U2092" t="n">
        <v>5300</v>
      </c>
      <c r="V2092" t="n">
        <v>5325</v>
      </c>
      <c r="W2092" t="n">
        <v/>
      </c>
      <c r="X2092" t="n">
        <v/>
      </c>
      <c r="Y2092" t="n">
        <v/>
      </c>
      <c r="Z2092" t="n">
        <v/>
      </c>
      <c r="AA2092">
        <f>SUMIFS($S$2:S2092,$A$2:A2092,A2092,$N$2:N2092,"Explore*")</f>
        <v/>
      </c>
      <c r="AB2092">
        <f>IF(AND(LEFT(N2092,7)="Explore",(AA2092-IF(LEFT(N2092,7)="Explore",S2092,0))&lt;10),"SI","NO")</f>
        <v/>
      </c>
    </row>
    <row r="2093">
      <c r="A2093" t="inlineStr">
        <is>
          <t>c3m2_test</t>
        </is>
      </c>
      <c r="B2093" t="inlineStr">
        <is>
          <t>2026-01-28 11:54:45.347</t>
        </is>
      </c>
      <c r="C2093" t="n">
        <v/>
      </c>
      <c r="D2093" t="inlineStr">
        <is>
          <t>Media file</t>
        </is>
      </c>
      <c r="E2093" t="inlineStr">
        <is>
          <t>player #1:BTBR\test\c3m2.mp4</t>
        </is>
      </c>
      <c r="F2093" t="n">
        <v>-5.5</v>
      </c>
      <c r="G2093" t="n">
        <v>555.266</v>
      </c>
      <c r="H2093" t="n">
        <v>615.333</v>
      </c>
      <c r="I2093" t="n">
        <v>30</v>
      </c>
      <c r="J2093" t="inlineStr">
        <is>
          <t>BTBR</t>
        </is>
      </c>
      <c r="K2093" t="inlineStr">
        <is>
          <t>Male</t>
        </is>
      </c>
      <c r="L2093" t="inlineStr">
        <is>
          <t>No focal subject</t>
        </is>
      </c>
      <c r="M2093" t="n">
        <v>40.631</v>
      </c>
      <c r="N2093" t="inlineStr">
        <is>
          <t>Explore_F</t>
        </is>
      </c>
      <c r="O2093" t="inlineStr">
        <is>
          <t>Familiar</t>
        </is>
      </c>
      <c r="P2093" t="inlineStr">
        <is>
          <t>STATE</t>
        </is>
      </c>
      <c r="Q2093" t="n">
        <v>176.433</v>
      </c>
      <c r="R2093" t="n">
        <v>176.8</v>
      </c>
      <c r="S2093" t="n">
        <v>0.367</v>
      </c>
      <c r="T2093" t="inlineStr">
        <is>
          <t>BTBR\test\c3m2.mp4</t>
        </is>
      </c>
      <c r="U2093" t="n">
        <v>5457</v>
      </c>
      <c r="V2093" t="n">
        <v>5468</v>
      </c>
      <c r="W2093" t="n">
        <v/>
      </c>
      <c r="X2093" t="n">
        <v/>
      </c>
      <c r="Y2093" t="n">
        <v/>
      </c>
      <c r="Z2093" t="n">
        <v/>
      </c>
      <c r="AA2093">
        <f>SUMIFS($S$2:S2093,$A$2:A2093,A2093,$N$2:N2093,"Explore*")</f>
        <v/>
      </c>
      <c r="AB2093">
        <f>IF(AND(LEFT(N2093,7)="Explore",(AA2093-IF(LEFT(N2093,7)="Explore",S2093,0))&lt;10),"SI","NO")</f>
        <v/>
      </c>
    </row>
    <row r="2094">
      <c r="A2094" t="inlineStr">
        <is>
          <t>c3m2_test</t>
        </is>
      </c>
      <c r="B2094" t="inlineStr">
        <is>
          <t>2026-01-28 11:54:45.347</t>
        </is>
      </c>
      <c r="C2094" t="n">
        <v/>
      </c>
      <c r="D2094" t="inlineStr">
        <is>
          <t>Media file</t>
        </is>
      </c>
      <c r="E2094" t="inlineStr">
        <is>
          <t>player #1:BTBR\test\c3m2.mp4</t>
        </is>
      </c>
      <c r="F2094" t="n">
        <v>-5.5</v>
      </c>
      <c r="G2094" t="n">
        <v>555.266</v>
      </c>
      <c r="H2094" t="n">
        <v>615.333</v>
      </c>
      <c r="I2094" t="n">
        <v>30</v>
      </c>
      <c r="J2094" t="inlineStr">
        <is>
          <t>BTBR</t>
        </is>
      </c>
      <c r="K2094" t="inlineStr">
        <is>
          <t>Male</t>
        </is>
      </c>
      <c r="L2094" t="inlineStr">
        <is>
          <t>No focal subject</t>
        </is>
      </c>
      <c r="M2094" t="n">
        <v>40.631</v>
      </c>
      <c r="N2094" t="inlineStr">
        <is>
          <t>Explore_N</t>
        </is>
      </c>
      <c r="O2094" t="inlineStr">
        <is>
          <t>Novelty</t>
        </is>
      </c>
      <c r="P2094" t="inlineStr">
        <is>
          <t>STATE</t>
        </is>
      </c>
      <c r="Q2094" t="n">
        <v>182.566</v>
      </c>
      <c r="R2094" t="n">
        <v>183.166</v>
      </c>
      <c r="S2094" t="n">
        <v>0.6</v>
      </c>
      <c r="T2094" t="inlineStr">
        <is>
          <t>BTBR\test\c3m2.mp4</t>
        </is>
      </c>
      <c r="U2094" t="n">
        <v>5641</v>
      </c>
      <c r="V2094" t="n">
        <v>5659</v>
      </c>
      <c r="W2094" t="n">
        <v/>
      </c>
      <c r="X2094" t="n">
        <v/>
      </c>
      <c r="Y2094" t="n">
        <v/>
      </c>
      <c r="Z2094" t="n">
        <v/>
      </c>
      <c r="AA2094">
        <f>SUMIFS($S$2:S2094,$A$2:A2094,A2094,$N$2:N2094,"Explore*")</f>
        <v/>
      </c>
      <c r="AB2094">
        <f>IF(AND(LEFT(N2094,7)="Explore",(AA2094-IF(LEFT(N2094,7)="Explore",S2094,0))&lt;10),"SI","NO")</f>
        <v/>
      </c>
    </row>
    <row r="2095">
      <c r="A2095" t="inlineStr">
        <is>
          <t>c3m2_test</t>
        </is>
      </c>
      <c r="B2095" t="inlineStr">
        <is>
          <t>2026-01-28 11:54:45.347</t>
        </is>
      </c>
      <c r="C2095" t="n">
        <v/>
      </c>
      <c r="D2095" t="inlineStr">
        <is>
          <t>Media file</t>
        </is>
      </c>
      <c r="E2095" t="inlineStr">
        <is>
          <t>player #1:BTBR\test\c3m2.mp4</t>
        </is>
      </c>
      <c r="F2095" t="n">
        <v>-5.5</v>
      </c>
      <c r="G2095" t="n">
        <v>555.266</v>
      </c>
      <c r="H2095" t="n">
        <v>615.333</v>
      </c>
      <c r="I2095" t="n">
        <v>30</v>
      </c>
      <c r="J2095" t="inlineStr">
        <is>
          <t>BTBR</t>
        </is>
      </c>
      <c r="K2095" t="inlineStr">
        <is>
          <t>Male</t>
        </is>
      </c>
      <c r="L2095" t="inlineStr">
        <is>
          <t>No focal subject</t>
        </is>
      </c>
      <c r="M2095" t="n">
        <v>40.631</v>
      </c>
      <c r="N2095" t="inlineStr">
        <is>
          <t>Explore_N</t>
        </is>
      </c>
      <c r="O2095" t="inlineStr">
        <is>
          <t>Novelty</t>
        </is>
      </c>
      <c r="P2095" t="inlineStr">
        <is>
          <t>STATE</t>
        </is>
      </c>
      <c r="Q2095" t="n">
        <v>201.166</v>
      </c>
      <c r="R2095" t="n">
        <v>201.733</v>
      </c>
      <c r="S2095" t="n">
        <v>0.5669999999999999</v>
      </c>
      <c r="T2095" t="inlineStr">
        <is>
          <t>BTBR\test\c3m2.mp4</t>
        </is>
      </c>
      <c r="U2095" t="n">
        <v>6199</v>
      </c>
      <c r="V2095" t="n">
        <v>6216</v>
      </c>
      <c r="W2095" t="n">
        <v/>
      </c>
      <c r="X2095" t="n">
        <v/>
      </c>
      <c r="Y2095" t="n">
        <v/>
      </c>
      <c r="Z2095" t="n">
        <v/>
      </c>
      <c r="AA2095">
        <f>SUMIFS($S$2:S2095,$A$2:A2095,A2095,$N$2:N2095,"Explore*")</f>
        <v/>
      </c>
      <c r="AB2095">
        <f>IF(AND(LEFT(N2095,7)="Explore",(AA2095-IF(LEFT(N2095,7)="Explore",S2095,0))&lt;10),"SI","NO")</f>
        <v/>
      </c>
    </row>
    <row r="2096">
      <c r="A2096" t="inlineStr">
        <is>
          <t>c3m2_test</t>
        </is>
      </c>
      <c r="B2096" t="inlineStr">
        <is>
          <t>2026-01-28 11:54:45.347</t>
        </is>
      </c>
      <c r="C2096" t="n">
        <v/>
      </c>
      <c r="D2096" t="inlineStr">
        <is>
          <t>Media file</t>
        </is>
      </c>
      <c r="E2096" t="inlineStr">
        <is>
          <t>player #1:BTBR\test\c3m2.mp4</t>
        </is>
      </c>
      <c r="F2096" t="n">
        <v>-5.5</v>
      </c>
      <c r="G2096" t="n">
        <v>555.266</v>
      </c>
      <c r="H2096" t="n">
        <v>615.333</v>
      </c>
      <c r="I2096" t="n">
        <v>30</v>
      </c>
      <c r="J2096" t="inlineStr">
        <is>
          <t>BTBR</t>
        </is>
      </c>
      <c r="K2096" t="inlineStr">
        <is>
          <t>Male</t>
        </is>
      </c>
      <c r="L2096" t="inlineStr">
        <is>
          <t>No focal subject</t>
        </is>
      </c>
      <c r="M2096" t="n">
        <v>40.631</v>
      </c>
      <c r="N2096" t="inlineStr">
        <is>
          <t>Explore_N</t>
        </is>
      </c>
      <c r="O2096" t="inlineStr">
        <is>
          <t>Novelty</t>
        </is>
      </c>
      <c r="P2096" t="inlineStr">
        <is>
          <t>STATE</t>
        </is>
      </c>
      <c r="Q2096" t="n">
        <v>204.266</v>
      </c>
      <c r="R2096" t="n">
        <v>204.866</v>
      </c>
      <c r="S2096" t="n">
        <v>0.6</v>
      </c>
      <c r="T2096" t="inlineStr">
        <is>
          <t>BTBR\test\c3m2.mp4</t>
        </is>
      </c>
      <c r="U2096" t="n">
        <v>6292</v>
      </c>
      <c r="V2096" t="n">
        <v>6310</v>
      </c>
      <c r="W2096" t="n">
        <v/>
      </c>
      <c r="X2096" t="n">
        <v/>
      </c>
      <c r="Y2096" t="n">
        <v/>
      </c>
      <c r="Z2096" t="n">
        <v/>
      </c>
      <c r="AA2096">
        <f>SUMIFS($S$2:S2096,$A$2:A2096,A2096,$N$2:N2096,"Explore*")</f>
        <v/>
      </c>
      <c r="AB2096">
        <f>IF(AND(LEFT(N2096,7)="Explore",(AA2096-IF(LEFT(N2096,7)="Explore",S2096,0))&lt;10),"SI","NO")</f>
        <v/>
      </c>
    </row>
    <row r="2097">
      <c r="A2097" t="inlineStr">
        <is>
          <t>c3m2_test</t>
        </is>
      </c>
      <c r="B2097" t="inlineStr">
        <is>
          <t>2026-01-28 11:54:45.347</t>
        </is>
      </c>
      <c r="C2097" t="n">
        <v/>
      </c>
      <c r="D2097" t="inlineStr">
        <is>
          <t>Media file</t>
        </is>
      </c>
      <c r="E2097" t="inlineStr">
        <is>
          <t>player #1:BTBR\test\c3m2.mp4</t>
        </is>
      </c>
      <c r="F2097" t="n">
        <v>-5.5</v>
      </c>
      <c r="G2097" t="n">
        <v>555.266</v>
      </c>
      <c r="H2097" t="n">
        <v>615.333</v>
      </c>
      <c r="I2097" t="n">
        <v>30</v>
      </c>
      <c r="J2097" t="inlineStr">
        <is>
          <t>BTBR</t>
        </is>
      </c>
      <c r="K2097" t="inlineStr">
        <is>
          <t>Male</t>
        </is>
      </c>
      <c r="L2097" t="inlineStr">
        <is>
          <t>No focal subject</t>
        </is>
      </c>
      <c r="M2097" t="n">
        <v>40.631</v>
      </c>
      <c r="N2097" t="inlineStr">
        <is>
          <t>Explore_N</t>
        </is>
      </c>
      <c r="O2097" t="inlineStr">
        <is>
          <t>Novelty</t>
        </is>
      </c>
      <c r="P2097" t="inlineStr">
        <is>
          <t>STATE</t>
        </is>
      </c>
      <c r="Q2097" t="n">
        <v>213.4</v>
      </c>
      <c r="R2097" t="n">
        <v>213.866</v>
      </c>
      <c r="S2097" t="n">
        <v>0.466</v>
      </c>
      <c r="T2097" t="inlineStr">
        <is>
          <t>BTBR\test\c3m2.mp4</t>
        </is>
      </c>
      <c r="U2097" t="n">
        <v>6566</v>
      </c>
      <c r="V2097" t="n">
        <v>6580</v>
      </c>
      <c r="W2097" t="n">
        <v/>
      </c>
      <c r="X2097" t="n">
        <v/>
      </c>
      <c r="Y2097" t="n">
        <v/>
      </c>
      <c r="Z2097" t="n">
        <v/>
      </c>
      <c r="AA2097">
        <f>SUMIFS($S$2:S2097,$A$2:A2097,A2097,$N$2:N2097,"Explore*")</f>
        <v/>
      </c>
      <c r="AB2097">
        <f>IF(AND(LEFT(N2097,7)="Explore",(AA2097-IF(LEFT(N2097,7)="Explore",S2097,0))&lt;10),"SI","NO")</f>
        <v/>
      </c>
    </row>
    <row r="2098">
      <c r="A2098" t="inlineStr">
        <is>
          <t>c3m2_test</t>
        </is>
      </c>
      <c r="B2098" t="inlineStr">
        <is>
          <t>2026-01-28 11:54:45.347</t>
        </is>
      </c>
      <c r="C2098" t="n">
        <v/>
      </c>
      <c r="D2098" t="inlineStr">
        <is>
          <t>Media file</t>
        </is>
      </c>
      <c r="E2098" t="inlineStr">
        <is>
          <t>player #1:BTBR\test\c3m2.mp4</t>
        </is>
      </c>
      <c r="F2098" t="n">
        <v>-5.5</v>
      </c>
      <c r="G2098" t="n">
        <v>555.266</v>
      </c>
      <c r="H2098" t="n">
        <v>615.333</v>
      </c>
      <c r="I2098" t="n">
        <v>30</v>
      </c>
      <c r="J2098" t="inlineStr">
        <is>
          <t>BTBR</t>
        </is>
      </c>
      <c r="K2098" t="inlineStr">
        <is>
          <t>Male</t>
        </is>
      </c>
      <c r="L2098" t="inlineStr">
        <is>
          <t>No focal subject</t>
        </is>
      </c>
      <c r="M2098" t="n">
        <v>40.631</v>
      </c>
      <c r="N2098" t="inlineStr">
        <is>
          <t>Explore_N</t>
        </is>
      </c>
      <c r="O2098" t="inlineStr">
        <is>
          <t>Novelty</t>
        </is>
      </c>
      <c r="P2098" t="inlineStr">
        <is>
          <t>STATE</t>
        </is>
      </c>
      <c r="Q2098" t="n">
        <v>220.9</v>
      </c>
      <c r="R2098" t="n">
        <v>221.333</v>
      </c>
      <c r="S2098" t="n">
        <v>0.433</v>
      </c>
      <c r="T2098" t="inlineStr">
        <is>
          <t>BTBR\test\c3m2.mp4</t>
        </is>
      </c>
      <c r="U2098" t="n">
        <v>6791</v>
      </c>
      <c r="V2098" t="n">
        <v>6804</v>
      </c>
      <c r="W2098" t="n">
        <v/>
      </c>
      <c r="X2098" t="n">
        <v/>
      </c>
      <c r="Y2098" t="n">
        <v/>
      </c>
      <c r="Z2098" t="n">
        <v/>
      </c>
      <c r="AA2098">
        <f>SUMIFS($S$2:S2098,$A$2:A2098,A2098,$N$2:N2098,"Explore*")</f>
        <v/>
      </c>
      <c r="AB2098">
        <f>IF(AND(LEFT(N2098,7)="Explore",(AA2098-IF(LEFT(N2098,7)="Explore",S2098,0))&lt;10),"SI","NO")</f>
        <v/>
      </c>
    </row>
    <row r="2099">
      <c r="A2099" t="inlineStr">
        <is>
          <t>c3m2_test</t>
        </is>
      </c>
      <c r="B2099" t="inlineStr">
        <is>
          <t>2026-01-28 11:54:45.347</t>
        </is>
      </c>
      <c r="C2099" t="n">
        <v/>
      </c>
      <c r="D2099" t="inlineStr">
        <is>
          <t>Media file</t>
        </is>
      </c>
      <c r="E2099" t="inlineStr">
        <is>
          <t>player #1:BTBR\test\c3m2.mp4</t>
        </is>
      </c>
      <c r="F2099" t="n">
        <v>-5.5</v>
      </c>
      <c r="G2099" t="n">
        <v>555.266</v>
      </c>
      <c r="H2099" t="n">
        <v>615.333</v>
      </c>
      <c r="I2099" t="n">
        <v>30</v>
      </c>
      <c r="J2099" t="inlineStr">
        <is>
          <t>BTBR</t>
        </is>
      </c>
      <c r="K2099" t="inlineStr">
        <is>
          <t>Male</t>
        </is>
      </c>
      <c r="L2099" t="inlineStr">
        <is>
          <t>No focal subject</t>
        </is>
      </c>
      <c r="M2099" t="n">
        <v>40.631</v>
      </c>
      <c r="N2099" t="inlineStr">
        <is>
          <t>Explore_N</t>
        </is>
      </c>
      <c r="O2099" t="inlineStr">
        <is>
          <t>Novelty</t>
        </is>
      </c>
      <c r="P2099" t="inlineStr">
        <is>
          <t>STATE</t>
        </is>
      </c>
      <c r="Q2099" t="n">
        <v>240.466</v>
      </c>
      <c r="R2099" t="n">
        <v>241.066</v>
      </c>
      <c r="S2099" t="n">
        <v>0.6</v>
      </c>
      <c r="T2099" t="inlineStr">
        <is>
          <t>BTBR\test\c3m2.mp4</t>
        </is>
      </c>
      <c r="U2099" t="n">
        <v>7378</v>
      </c>
      <c r="V2099" t="n">
        <v>7396</v>
      </c>
      <c r="W2099" t="n">
        <v/>
      </c>
      <c r="X2099" t="n">
        <v/>
      </c>
      <c r="Y2099" t="n">
        <v/>
      </c>
      <c r="Z2099" t="n">
        <v/>
      </c>
      <c r="AA2099">
        <f>SUMIFS($S$2:S2099,$A$2:A2099,A2099,$N$2:N2099,"Explore*")</f>
        <v/>
      </c>
      <c r="AB2099">
        <f>IF(AND(LEFT(N2099,7)="Explore",(AA2099-IF(LEFT(N2099,7)="Explore",S2099,0))&lt;10),"SI","NO")</f>
        <v/>
      </c>
    </row>
    <row r="2100">
      <c r="A2100" t="inlineStr">
        <is>
          <t>c3m2_test</t>
        </is>
      </c>
      <c r="B2100" t="inlineStr">
        <is>
          <t>2026-01-28 11:54:45.347</t>
        </is>
      </c>
      <c r="C2100" t="n">
        <v/>
      </c>
      <c r="D2100" t="inlineStr">
        <is>
          <t>Media file</t>
        </is>
      </c>
      <c r="E2100" t="inlineStr">
        <is>
          <t>player #1:BTBR\test\c3m2.mp4</t>
        </is>
      </c>
      <c r="F2100" t="n">
        <v>-5.5</v>
      </c>
      <c r="G2100" t="n">
        <v>555.266</v>
      </c>
      <c r="H2100" t="n">
        <v>615.333</v>
      </c>
      <c r="I2100" t="n">
        <v>30</v>
      </c>
      <c r="J2100" t="inlineStr">
        <is>
          <t>BTBR</t>
        </is>
      </c>
      <c r="K2100" t="inlineStr">
        <is>
          <t>Male</t>
        </is>
      </c>
      <c r="L2100" t="inlineStr">
        <is>
          <t>No focal subject</t>
        </is>
      </c>
      <c r="M2100" t="n">
        <v>40.631</v>
      </c>
      <c r="N2100" t="inlineStr">
        <is>
          <t>Explore_F</t>
        </is>
      </c>
      <c r="O2100" t="inlineStr">
        <is>
          <t>Familiar</t>
        </is>
      </c>
      <c r="P2100" t="inlineStr">
        <is>
          <t>STATE</t>
        </is>
      </c>
      <c r="Q2100" t="n">
        <v>254.9</v>
      </c>
      <c r="R2100" t="n">
        <v>255.5</v>
      </c>
      <c r="S2100" t="n">
        <v>0.6</v>
      </c>
      <c r="T2100" t="inlineStr">
        <is>
          <t>BTBR\test\c3m2.mp4</t>
        </is>
      </c>
      <c r="U2100" t="n">
        <v>7811</v>
      </c>
      <c r="V2100" t="n">
        <v>7829</v>
      </c>
      <c r="W2100" t="n">
        <v/>
      </c>
      <c r="X2100" t="n">
        <v/>
      </c>
      <c r="Y2100" t="n">
        <v/>
      </c>
      <c r="Z2100" t="n">
        <v/>
      </c>
      <c r="AA2100">
        <f>SUMIFS($S$2:S2100,$A$2:A2100,A2100,$N$2:N2100,"Explore*")</f>
        <v/>
      </c>
      <c r="AB2100">
        <f>IF(AND(LEFT(N2100,7)="Explore",(AA2100-IF(LEFT(N2100,7)="Explore",S2100,0))&lt;10),"SI","NO")</f>
        <v/>
      </c>
    </row>
    <row r="2101">
      <c r="A2101" t="inlineStr">
        <is>
          <t>c3m2_test</t>
        </is>
      </c>
      <c r="B2101" t="inlineStr">
        <is>
          <t>2026-01-28 11:54:45.347</t>
        </is>
      </c>
      <c r="C2101" t="n">
        <v/>
      </c>
      <c r="D2101" t="inlineStr">
        <is>
          <t>Media file</t>
        </is>
      </c>
      <c r="E2101" t="inlineStr">
        <is>
          <t>player #1:BTBR\test\c3m2.mp4</t>
        </is>
      </c>
      <c r="F2101" t="n">
        <v>-5.5</v>
      </c>
      <c r="G2101" t="n">
        <v>555.266</v>
      </c>
      <c r="H2101" t="n">
        <v>615.333</v>
      </c>
      <c r="I2101" t="n">
        <v>30</v>
      </c>
      <c r="J2101" t="inlineStr">
        <is>
          <t>BTBR</t>
        </is>
      </c>
      <c r="K2101" t="inlineStr">
        <is>
          <t>Male</t>
        </is>
      </c>
      <c r="L2101" t="inlineStr">
        <is>
          <t>No focal subject</t>
        </is>
      </c>
      <c r="M2101" t="n">
        <v>40.631</v>
      </c>
      <c r="N2101" t="inlineStr">
        <is>
          <t>Explore_N</t>
        </is>
      </c>
      <c r="O2101" t="inlineStr">
        <is>
          <t>Novelty</t>
        </is>
      </c>
      <c r="P2101" t="inlineStr">
        <is>
          <t>STATE</t>
        </is>
      </c>
      <c r="Q2101" t="n">
        <v>261.933</v>
      </c>
      <c r="R2101" t="n">
        <v>262.233</v>
      </c>
      <c r="S2101" t="n">
        <v>0.3</v>
      </c>
      <c r="T2101" t="inlineStr">
        <is>
          <t>BTBR\test\c3m2.mp4</t>
        </is>
      </c>
      <c r="U2101" t="n">
        <v>8022</v>
      </c>
      <c r="V2101" t="n">
        <v>8031</v>
      </c>
      <c r="W2101" t="n">
        <v/>
      </c>
      <c r="X2101" t="n">
        <v/>
      </c>
      <c r="Y2101" t="n">
        <v/>
      </c>
      <c r="Z2101" t="n">
        <v/>
      </c>
      <c r="AA2101">
        <f>SUMIFS($S$2:S2101,$A$2:A2101,A2101,$N$2:N2101,"Explore*")</f>
        <v/>
      </c>
      <c r="AB2101">
        <f>IF(AND(LEFT(N2101,7)="Explore",(AA2101-IF(LEFT(N2101,7)="Explore",S2101,0))&lt;10),"SI","NO")</f>
        <v/>
      </c>
    </row>
    <row r="2102">
      <c r="A2102" t="inlineStr">
        <is>
          <t>c3m2_test</t>
        </is>
      </c>
      <c r="B2102" t="inlineStr">
        <is>
          <t>2026-01-28 11:54:45.347</t>
        </is>
      </c>
      <c r="C2102" t="n">
        <v/>
      </c>
      <c r="D2102" t="inlineStr">
        <is>
          <t>Media file</t>
        </is>
      </c>
      <c r="E2102" t="inlineStr">
        <is>
          <t>player #1:BTBR\test\c3m2.mp4</t>
        </is>
      </c>
      <c r="F2102" t="n">
        <v>-5.5</v>
      </c>
      <c r="G2102" t="n">
        <v>555.266</v>
      </c>
      <c r="H2102" t="n">
        <v>615.333</v>
      </c>
      <c r="I2102" t="n">
        <v>30</v>
      </c>
      <c r="J2102" t="inlineStr">
        <is>
          <t>BTBR</t>
        </is>
      </c>
      <c r="K2102" t="inlineStr">
        <is>
          <t>Male</t>
        </is>
      </c>
      <c r="L2102" t="inlineStr">
        <is>
          <t>No focal subject</t>
        </is>
      </c>
      <c r="M2102" t="n">
        <v>40.631</v>
      </c>
      <c r="N2102" t="inlineStr">
        <is>
          <t>Explore_F</t>
        </is>
      </c>
      <c r="O2102" t="inlineStr">
        <is>
          <t>Familiar</t>
        </is>
      </c>
      <c r="P2102" t="inlineStr">
        <is>
          <t>STATE</t>
        </is>
      </c>
      <c r="Q2102" t="n">
        <v>272</v>
      </c>
      <c r="R2102" t="n">
        <v>272.833</v>
      </c>
      <c r="S2102" t="n">
        <v>0.833</v>
      </c>
      <c r="T2102" t="inlineStr">
        <is>
          <t>BTBR\test\c3m2.mp4</t>
        </is>
      </c>
      <c r="U2102" t="n">
        <v>8324</v>
      </c>
      <c r="V2102" t="n">
        <v>8349</v>
      </c>
      <c r="W2102" t="n">
        <v/>
      </c>
      <c r="X2102" t="n">
        <v/>
      </c>
      <c r="Y2102" t="n">
        <v/>
      </c>
      <c r="Z2102" t="n">
        <v/>
      </c>
      <c r="AA2102">
        <f>SUMIFS($S$2:S2102,$A$2:A2102,A2102,$N$2:N2102,"Explore*")</f>
        <v/>
      </c>
      <c r="AB2102">
        <f>IF(AND(LEFT(N2102,7)="Explore",(AA2102-IF(LEFT(N2102,7)="Explore",S2102,0))&lt;10),"SI","NO")</f>
        <v/>
      </c>
    </row>
    <row r="2103">
      <c r="A2103" t="inlineStr">
        <is>
          <t>c3m2_test</t>
        </is>
      </c>
      <c r="B2103" t="inlineStr">
        <is>
          <t>2026-01-28 11:54:45.347</t>
        </is>
      </c>
      <c r="C2103" t="n">
        <v/>
      </c>
      <c r="D2103" t="inlineStr">
        <is>
          <t>Media file</t>
        </is>
      </c>
      <c r="E2103" t="inlineStr">
        <is>
          <t>player #1:BTBR\test\c3m2.mp4</t>
        </is>
      </c>
      <c r="F2103" t="n">
        <v>-5.5</v>
      </c>
      <c r="G2103" t="n">
        <v>555.266</v>
      </c>
      <c r="H2103" t="n">
        <v>615.333</v>
      </c>
      <c r="I2103" t="n">
        <v>30</v>
      </c>
      <c r="J2103" t="inlineStr">
        <is>
          <t>BTBR</t>
        </is>
      </c>
      <c r="K2103" t="inlineStr">
        <is>
          <t>Male</t>
        </is>
      </c>
      <c r="L2103" t="inlineStr">
        <is>
          <t>No focal subject</t>
        </is>
      </c>
      <c r="M2103" t="n">
        <v>40.631</v>
      </c>
      <c r="N2103" t="inlineStr">
        <is>
          <t>Explore_F</t>
        </is>
      </c>
      <c r="O2103" t="inlineStr">
        <is>
          <t>Familiar</t>
        </is>
      </c>
      <c r="P2103" t="inlineStr">
        <is>
          <t>STATE</t>
        </is>
      </c>
      <c r="Q2103" t="n">
        <v>291.233</v>
      </c>
      <c r="R2103" t="n">
        <v>291.833</v>
      </c>
      <c r="S2103" t="n">
        <v>0.6</v>
      </c>
      <c r="T2103" t="inlineStr">
        <is>
          <t>BTBR\test\c3m2.mp4</t>
        </is>
      </c>
      <c r="U2103" t="n">
        <v>8901</v>
      </c>
      <c r="V2103" t="n">
        <v>8919</v>
      </c>
      <c r="W2103" t="n">
        <v/>
      </c>
      <c r="X2103" t="n">
        <v/>
      </c>
      <c r="Y2103" t="n">
        <v/>
      </c>
      <c r="Z2103" t="n">
        <v/>
      </c>
      <c r="AA2103">
        <f>SUMIFS($S$2:S2103,$A$2:A2103,A2103,$N$2:N2103,"Explore*")</f>
        <v/>
      </c>
      <c r="AB2103">
        <f>IF(AND(LEFT(N2103,7)="Explore",(AA2103-IF(LEFT(N2103,7)="Explore",S2103,0))&lt;10),"SI","NO")</f>
        <v/>
      </c>
    </row>
    <row r="2104">
      <c r="A2104" t="inlineStr">
        <is>
          <t>c3m2_test</t>
        </is>
      </c>
      <c r="B2104" t="inlineStr">
        <is>
          <t>2026-01-28 11:54:45.347</t>
        </is>
      </c>
      <c r="C2104" t="n">
        <v/>
      </c>
      <c r="D2104" t="inlineStr">
        <is>
          <t>Media file</t>
        </is>
      </c>
      <c r="E2104" t="inlineStr">
        <is>
          <t>player #1:BTBR\test\c3m2.mp4</t>
        </is>
      </c>
      <c r="F2104" t="n">
        <v>-5.5</v>
      </c>
      <c r="G2104" t="n">
        <v>555.266</v>
      </c>
      <c r="H2104" t="n">
        <v>615.333</v>
      </c>
      <c r="I2104" t="n">
        <v>30</v>
      </c>
      <c r="J2104" t="inlineStr">
        <is>
          <t>BTBR</t>
        </is>
      </c>
      <c r="K2104" t="inlineStr">
        <is>
          <t>Male</t>
        </is>
      </c>
      <c r="L2104" t="inlineStr">
        <is>
          <t>No focal subject</t>
        </is>
      </c>
      <c r="M2104" t="n">
        <v>40.631</v>
      </c>
      <c r="N2104" t="inlineStr">
        <is>
          <t>Explore_N</t>
        </is>
      </c>
      <c r="O2104" t="inlineStr">
        <is>
          <t>Novelty</t>
        </is>
      </c>
      <c r="P2104" t="inlineStr">
        <is>
          <t>STATE</t>
        </is>
      </c>
      <c r="Q2104" t="n">
        <v>301.966</v>
      </c>
      <c r="R2104" t="n">
        <v>302.433</v>
      </c>
      <c r="S2104" t="n">
        <v>0.467</v>
      </c>
      <c r="T2104" t="inlineStr">
        <is>
          <t>BTBR\test\c3m2.mp4</t>
        </is>
      </c>
      <c r="U2104" t="n">
        <v>9223</v>
      </c>
      <c r="V2104" t="n">
        <v>9237</v>
      </c>
      <c r="W2104" t="n">
        <v/>
      </c>
      <c r="X2104" t="n">
        <v/>
      </c>
      <c r="Y2104" t="n">
        <v/>
      </c>
      <c r="Z2104" t="n">
        <v/>
      </c>
      <c r="AA2104">
        <f>SUMIFS($S$2:S2104,$A$2:A2104,A2104,$N$2:N2104,"Explore*")</f>
        <v/>
      </c>
      <c r="AB2104">
        <f>IF(AND(LEFT(N2104,7)="Explore",(AA2104-IF(LEFT(N2104,7)="Explore",S2104,0))&lt;10),"SI","NO")</f>
        <v/>
      </c>
    </row>
    <row r="2105">
      <c r="A2105" t="inlineStr">
        <is>
          <t>c3m2_test</t>
        </is>
      </c>
      <c r="B2105" t="inlineStr">
        <is>
          <t>2026-01-28 11:54:45.347</t>
        </is>
      </c>
      <c r="C2105" t="n">
        <v/>
      </c>
      <c r="D2105" t="inlineStr">
        <is>
          <t>Media file</t>
        </is>
      </c>
      <c r="E2105" t="inlineStr">
        <is>
          <t>player #1:BTBR\test\c3m2.mp4</t>
        </is>
      </c>
      <c r="F2105" t="n">
        <v>-5.5</v>
      </c>
      <c r="G2105" t="n">
        <v>555.266</v>
      </c>
      <c r="H2105" t="n">
        <v>615.333</v>
      </c>
      <c r="I2105" t="n">
        <v>30</v>
      </c>
      <c r="J2105" t="inlineStr">
        <is>
          <t>BTBR</t>
        </is>
      </c>
      <c r="K2105" t="inlineStr">
        <is>
          <t>Male</t>
        </is>
      </c>
      <c r="L2105" t="inlineStr">
        <is>
          <t>No focal subject</t>
        </is>
      </c>
      <c r="M2105" t="n">
        <v>40.631</v>
      </c>
      <c r="N2105" t="inlineStr">
        <is>
          <t>Explore_N</t>
        </is>
      </c>
      <c r="O2105" t="inlineStr">
        <is>
          <t>Novelty</t>
        </is>
      </c>
      <c r="P2105" t="inlineStr">
        <is>
          <t>STATE</t>
        </is>
      </c>
      <c r="Q2105" t="n">
        <v>310.2</v>
      </c>
      <c r="R2105" t="n">
        <v>310.6</v>
      </c>
      <c r="S2105" t="n">
        <v>0.4</v>
      </c>
      <c r="T2105" t="inlineStr">
        <is>
          <t>BTBR\test\c3m2.mp4</t>
        </is>
      </c>
      <c r="U2105" t="n">
        <v>9470</v>
      </c>
      <c r="V2105" t="n">
        <v>9482</v>
      </c>
      <c r="W2105" t="n">
        <v/>
      </c>
      <c r="X2105" t="n">
        <v/>
      </c>
      <c r="Y2105" t="n">
        <v/>
      </c>
      <c r="Z2105" t="n">
        <v/>
      </c>
      <c r="AA2105">
        <f>SUMIFS($S$2:S2105,$A$2:A2105,A2105,$N$2:N2105,"Explore*")</f>
        <v/>
      </c>
      <c r="AB2105">
        <f>IF(AND(LEFT(N2105,7)="Explore",(AA2105-IF(LEFT(N2105,7)="Explore",S2105,0))&lt;10),"SI","NO")</f>
        <v/>
      </c>
    </row>
    <row r="2106">
      <c r="A2106" t="inlineStr">
        <is>
          <t>c3m2_test</t>
        </is>
      </c>
      <c r="B2106" t="inlineStr">
        <is>
          <t>2026-01-28 11:54:45.347</t>
        </is>
      </c>
      <c r="C2106" t="n">
        <v/>
      </c>
      <c r="D2106" t="inlineStr">
        <is>
          <t>Media file</t>
        </is>
      </c>
      <c r="E2106" t="inlineStr">
        <is>
          <t>player #1:BTBR\test\c3m2.mp4</t>
        </is>
      </c>
      <c r="F2106" t="n">
        <v>-5.5</v>
      </c>
      <c r="G2106" t="n">
        <v>555.266</v>
      </c>
      <c r="H2106" t="n">
        <v>615.333</v>
      </c>
      <c r="I2106" t="n">
        <v>30</v>
      </c>
      <c r="J2106" t="inlineStr">
        <is>
          <t>BTBR</t>
        </is>
      </c>
      <c r="K2106" t="inlineStr">
        <is>
          <t>Male</t>
        </is>
      </c>
      <c r="L2106" t="inlineStr">
        <is>
          <t>No focal subject</t>
        </is>
      </c>
      <c r="M2106" t="n">
        <v>40.631</v>
      </c>
      <c r="N2106" t="inlineStr">
        <is>
          <t>Explore_F</t>
        </is>
      </c>
      <c r="O2106" t="inlineStr">
        <is>
          <t>Familiar</t>
        </is>
      </c>
      <c r="P2106" t="inlineStr">
        <is>
          <t>STATE</t>
        </is>
      </c>
      <c r="Q2106" t="n">
        <v>319.466</v>
      </c>
      <c r="R2106" t="n">
        <v>320.433</v>
      </c>
      <c r="S2106" t="n">
        <v>0.967</v>
      </c>
      <c r="T2106" t="inlineStr">
        <is>
          <t>BTBR\test\c3m2.mp4</t>
        </is>
      </c>
      <c r="U2106" t="n">
        <v>9748</v>
      </c>
      <c r="V2106" t="n">
        <v>9777</v>
      </c>
      <c r="W2106" t="n">
        <v/>
      </c>
      <c r="X2106" t="n">
        <v/>
      </c>
      <c r="Y2106" t="n">
        <v/>
      </c>
      <c r="Z2106" t="n">
        <v/>
      </c>
      <c r="AA2106">
        <f>SUMIFS($S$2:S2106,$A$2:A2106,A2106,$N$2:N2106,"Explore*")</f>
        <v/>
      </c>
      <c r="AB2106">
        <f>IF(AND(LEFT(N2106,7)="Explore",(AA2106-IF(LEFT(N2106,7)="Explore",S2106,0))&lt;10),"SI","NO")</f>
        <v/>
      </c>
    </row>
    <row r="2107">
      <c r="A2107" t="inlineStr">
        <is>
          <t>c3m2_test</t>
        </is>
      </c>
      <c r="B2107" t="inlineStr">
        <is>
          <t>2026-01-28 11:54:45.347</t>
        </is>
      </c>
      <c r="C2107" t="n">
        <v/>
      </c>
      <c r="D2107" t="inlineStr">
        <is>
          <t>Media file</t>
        </is>
      </c>
      <c r="E2107" t="inlineStr">
        <is>
          <t>player #1:BTBR\test\c3m2.mp4</t>
        </is>
      </c>
      <c r="F2107" t="n">
        <v>-5.5</v>
      </c>
      <c r="G2107" t="n">
        <v>555.266</v>
      </c>
      <c r="H2107" t="n">
        <v>615.333</v>
      </c>
      <c r="I2107" t="n">
        <v>30</v>
      </c>
      <c r="J2107" t="inlineStr">
        <is>
          <t>BTBR</t>
        </is>
      </c>
      <c r="K2107" t="inlineStr">
        <is>
          <t>Male</t>
        </is>
      </c>
      <c r="L2107" t="inlineStr">
        <is>
          <t>No focal subject</t>
        </is>
      </c>
      <c r="M2107" t="n">
        <v>40.631</v>
      </c>
      <c r="N2107" t="inlineStr">
        <is>
          <t>Explore_N</t>
        </is>
      </c>
      <c r="O2107" t="inlineStr">
        <is>
          <t>Novelty</t>
        </is>
      </c>
      <c r="P2107" t="inlineStr">
        <is>
          <t>STATE</t>
        </is>
      </c>
      <c r="Q2107" t="n">
        <v>322.1</v>
      </c>
      <c r="R2107" t="n">
        <v>322.666</v>
      </c>
      <c r="S2107" t="n">
        <v>0.5659999999999999</v>
      </c>
      <c r="T2107" t="inlineStr">
        <is>
          <t>BTBR\test\c3m2.mp4</t>
        </is>
      </c>
      <c r="U2107" t="n">
        <v>9827</v>
      </c>
      <c r="V2107" t="n">
        <v>9844</v>
      </c>
      <c r="W2107" t="n">
        <v/>
      </c>
      <c r="X2107" t="n">
        <v/>
      </c>
      <c r="Y2107" t="n">
        <v/>
      </c>
      <c r="Z2107" t="n">
        <v/>
      </c>
      <c r="AA2107">
        <f>SUMIFS($S$2:S2107,$A$2:A2107,A2107,$N$2:N2107,"Explore*")</f>
        <v/>
      </c>
      <c r="AB2107">
        <f>IF(AND(LEFT(N2107,7)="Explore",(AA2107-IF(LEFT(N2107,7)="Explore",S2107,0))&lt;10),"SI","NO")</f>
        <v/>
      </c>
    </row>
    <row r="2108">
      <c r="A2108" t="inlineStr">
        <is>
          <t>c3m2_test</t>
        </is>
      </c>
      <c r="B2108" t="inlineStr">
        <is>
          <t>2026-01-28 11:54:45.347</t>
        </is>
      </c>
      <c r="C2108" t="n">
        <v/>
      </c>
      <c r="D2108" t="inlineStr">
        <is>
          <t>Media file</t>
        </is>
      </c>
      <c r="E2108" t="inlineStr">
        <is>
          <t>player #1:BTBR\test\c3m2.mp4</t>
        </is>
      </c>
      <c r="F2108" t="n">
        <v>-5.5</v>
      </c>
      <c r="G2108" t="n">
        <v>555.266</v>
      </c>
      <c r="H2108" t="n">
        <v>615.333</v>
      </c>
      <c r="I2108" t="n">
        <v>30</v>
      </c>
      <c r="J2108" t="inlineStr">
        <is>
          <t>BTBR</t>
        </is>
      </c>
      <c r="K2108" t="inlineStr">
        <is>
          <t>Male</t>
        </is>
      </c>
      <c r="L2108" t="inlineStr">
        <is>
          <t>No focal subject</t>
        </is>
      </c>
      <c r="M2108" t="n">
        <v>40.631</v>
      </c>
      <c r="N2108" t="inlineStr">
        <is>
          <t>Explore_N</t>
        </is>
      </c>
      <c r="O2108" t="inlineStr">
        <is>
          <t>Novelty</t>
        </is>
      </c>
      <c r="P2108" t="inlineStr">
        <is>
          <t>STATE</t>
        </is>
      </c>
      <c r="Q2108" t="n">
        <v>391.233</v>
      </c>
      <c r="R2108" t="n">
        <v>391.866</v>
      </c>
      <c r="S2108" t="n">
        <v>0.633</v>
      </c>
      <c r="T2108" t="inlineStr">
        <is>
          <t>BTBR\test\c3m2.mp4</t>
        </is>
      </c>
      <c r="U2108" t="n">
        <v>11901</v>
      </c>
      <c r="V2108" t="n">
        <v>11920</v>
      </c>
      <c r="W2108" t="n">
        <v/>
      </c>
      <c r="X2108" t="n">
        <v/>
      </c>
      <c r="Y2108" t="n">
        <v/>
      </c>
      <c r="Z2108" t="n">
        <v/>
      </c>
      <c r="AA2108">
        <f>SUMIFS($S$2:S2108,$A$2:A2108,A2108,$N$2:N2108,"Explore*")</f>
        <v/>
      </c>
      <c r="AB2108">
        <f>IF(AND(LEFT(N2108,7)="Explore",(AA2108-IF(LEFT(N2108,7)="Explore",S2108,0))&lt;10),"SI","NO")</f>
        <v/>
      </c>
    </row>
    <row r="2109">
      <c r="A2109" t="inlineStr">
        <is>
          <t>c3m2_test</t>
        </is>
      </c>
      <c r="B2109" t="inlineStr">
        <is>
          <t>2026-01-28 11:54:45.347</t>
        </is>
      </c>
      <c r="C2109" t="n">
        <v/>
      </c>
      <c r="D2109" t="inlineStr">
        <is>
          <t>Media file</t>
        </is>
      </c>
      <c r="E2109" t="inlineStr">
        <is>
          <t>player #1:BTBR\test\c3m2.mp4</t>
        </is>
      </c>
      <c r="F2109" t="n">
        <v>-5.5</v>
      </c>
      <c r="G2109" t="n">
        <v>555.266</v>
      </c>
      <c r="H2109" t="n">
        <v>615.333</v>
      </c>
      <c r="I2109" t="n">
        <v>30</v>
      </c>
      <c r="J2109" t="inlineStr">
        <is>
          <t>BTBR</t>
        </is>
      </c>
      <c r="K2109" t="inlineStr">
        <is>
          <t>Male</t>
        </is>
      </c>
      <c r="L2109" t="inlineStr">
        <is>
          <t>No focal subject</t>
        </is>
      </c>
      <c r="M2109" t="n">
        <v>40.631</v>
      </c>
      <c r="N2109" t="inlineStr">
        <is>
          <t>Explore_F</t>
        </is>
      </c>
      <c r="O2109" t="inlineStr">
        <is>
          <t>Familiar</t>
        </is>
      </c>
      <c r="P2109" t="inlineStr">
        <is>
          <t>STATE</t>
        </is>
      </c>
      <c r="Q2109" t="n">
        <v>399.8</v>
      </c>
      <c r="R2109" t="n">
        <v>400.5</v>
      </c>
      <c r="S2109" t="n">
        <v>0.7</v>
      </c>
      <c r="T2109" t="inlineStr">
        <is>
          <t>BTBR\test\c3m2.mp4</t>
        </is>
      </c>
      <c r="U2109" t="n">
        <v>12158</v>
      </c>
      <c r="V2109" t="n">
        <v>12179</v>
      </c>
      <c r="W2109" t="n">
        <v/>
      </c>
      <c r="X2109" t="n">
        <v/>
      </c>
      <c r="Y2109" t="n">
        <v/>
      </c>
      <c r="Z2109" t="n">
        <v/>
      </c>
      <c r="AA2109">
        <f>SUMIFS($S$2:S2109,$A$2:A2109,A2109,$N$2:N2109,"Explore*")</f>
        <v/>
      </c>
      <c r="AB2109">
        <f>IF(AND(LEFT(N2109,7)="Explore",(AA2109-IF(LEFT(N2109,7)="Explore",S2109,0))&lt;10),"SI","NO")</f>
        <v/>
      </c>
    </row>
    <row r="2110">
      <c r="A2110" t="inlineStr">
        <is>
          <t>c3m2_test</t>
        </is>
      </c>
      <c r="B2110" t="inlineStr">
        <is>
          <t>2026-01-28 11:54:45.347</t>
        </is>
      </c>
      <c r="C2110" t="n">
        <v/>
      </c>
      <c r="D2110" t="inlineStr">
        <is>
          <t>Media file</t>
        </is>
      </c>
      <c r="E2110" t="inlineStr">
        <is>
          <t>player #1:BTBR\test\c3m2.mp4</t>
        </is>
      </c>
      <c r="F2110" t="n">
        <v>-5.5</v>
      </c>
      <c r="G2110" t="n">
        <v>555.266</v>
      </c>
      <c r="H2110" t="n">
        <v>615.333</v>
      </c>
      <c r="I2110" t="n">
        <v>30</v>
      </c>
      <c r="J2110" t="inlineStr">
        <is>
          <t>BTBR</t>
        </is>
      </c>
      <c r="K2110" t="inlineStr">
        <is>
          <t>Male</t>
        </is>
      </c>
      <c r="L2110" t="inlineStr">
        <is>
          <t>No focal subject</t>
        </is>
      </c>
      <c r="M2110" t="n">
        <v>40.631</v>
      </c>
      <c r="N2110" t="inlineStr">
        <is>
          <t>Explore_F</t>
        </is>
      </c>
      <c r="O2110" t="inlineStr">
        <is>
          <t>Familiar</t>
        </is>
      </c>
      <c r="P2110" t="inlineStr">
        <is>
          <t>STATE</t>
        </is>
      </c>
      <c r="Q2110" t="n">
        <v>415</v>
      </c>
      <c r="R2110" t="n">
        <v>415.933</v>
      </c>
      <c r="S2110" t="n">
        <v>0.9330000000000001</v>
      </c>
      <c r="T2110" t="inlineStr">
        <is>
          <t>BTBR\test\c3m2.mp4</t>
        </is>
      </c>
      <c r="U2110" t="n">
        <v>12614</v>
      </c>
      <c r="V2110" t="n">
        <v>12642</v>
      </c>
      <c r="W2110" t="n">
        <v/>
      </c>
      <c r="X2110" t="n">
        <v/>
      </c>
      <c r="Y2110" t="n">
        <v/>
      </c>
      <c r="Z2110" t="n">
        <v/>
      </c>
      <c r="AA2110">
        <f>SUMIFS($S$2:S2110,$A$2:A2110,A2110,$N$2:N2110,"Explore*")</f>
        <v/>
      </c>
      <c r="AB2110">
        <f>IF(AND(LEFT(N2110,7)="Explore",(AA2110-IF(LEFT(N2110,7)="Explore",S2110,0))&lt;10),"SI","NO")</f>
        <v/>
      </c>
    </row>
    <row r="2111">
      <c r="A2111" t="inlineStr">
        <is>
          <t>c3m2_test</t>
        </is>
      </c>
      <c r="B2111" t="inlineStr">
        <is>
          <t>2026-01-28 11:54:45.347</t>
        </is>
      </c>
      <c r="C2111" t="n">
        <v/>
      </c>
      <c r="D2111" t="inlineStr">
        <is>
          <t>Media file</t>
        </is>
      </c>
      <c r="E2111" t="inlineStr">
        <is>
          <t>player #1:BTBR\test\c3m2.mp4</t>
        </is>
      </c>
      <c r="F2111" t="n">
        <v>-5.5</v>
      </c>
      <c r="G2111" t="n">
        <v>555.266</v>
      </c>
      <c r="H2111" t="n">
        <v>615.333</v>
      </c>
      <c r="I2111" t="n">
        <v>30</v>
      </c>
      <c r="J2111" t="inlineStr">
        <is>
          <t>BTBR</t>
        </is>
      </c>
      <c r="K2111" t="inlineStr">
        <is>
          <t>Male</t>
        </is>
      </c>
      <c r="L2111" t="inlineStr">
        <is>
          <t>No focal subject</t>
        </is>
      </c>
      <c r="M2111" t="n">
        <v>40.631</v>
      </c>
      <c r="N2111" t="inlineStr">
        <is>
          <t>Explore_N</t>
        </is>
      </c>
      <c r="O2111" t="inlineStr">
        <is>
          <t>Novelty</t>
        </is>
      </c>
      <c r="P2111" t="inlineStr">
        <is>
          <t>STATE</t>
        </is>
      </c>
      <c r="Q2111" t="n">
        <v>433</v>
      </c>
      <c r="R2111" t="n">
        <v>433.533</v>
      </c>
      <c r="S2111" t="n">
        <v>0.533</v>
      </c>
      <c r="T2111" t="inlineStr">
        <is>
          <t>BTBR\test\c3m2.mp4</t>
        </is>
      </c>
      <c r="U2111" t="n">
        <v>13154</v>
      </c>
      <c r="V2111" t="n">
        <v>13170</v>
      </c>
      <c r="W2111" t="n">
        <v/>
      </c>
      <c r="X2111" t="n">
        <v/>
      </c>
      <c r="Y2111" t="n">
        <v/>
      </c>
      <c r="Z2111" t="n">
        <v/>
      </c>
      <c r="AA2111">
        <f>SUMIFS($S$2:S2111,$A$2:A2111,A2111,$N$2:N2111,"Explore*")</f>
        <v/>
      </c>
      <c r="AB2111">
        <f>IF(AND(LEFT(N2111,7)="Explore",(AA2111-IF(LEFT(N2111,7)="Explore",S2111,0))&lt;10),"SI","NO")</f>
        <v/>
      </c>
    </row>
    <row r="2112">
      <c r="A2112" t="inlineStr">
        <is>
          <t>c3m2_test</t>
        </is>
      </c>
      <c r="B2112" t="inlineStr">
        <is>
          <t>2026-01-28 11:54:45.347</t>
        </is>
      </c>
      <c r="C2112" t="n">
        <v/>
      </c>
      <c r="D2112" t="inlineStr">
        <is>
          <t>Media file</t>
        </is>
      </c>
      <c r="E2112" t="inlineStr">
        <is>
          <t>player #1:BTBR\test\c3m2.mp4</t>
        </is>
      </c>
      <c r="F2112" t="n">
        <v>-5.5</v>
      </c>
      <c r="G2112" t="n">
        <v>555.266</v>
      </c>
      <c r="H2112" t="n">
        <v>615.333</v>
      </c>
      <c r="I2112" t="n">
        <v>30</v>
      </c>
      <c r="J2112" t="inlineStr">
        <is>
          <t>BTBR</t>
        </is>
      </c>
      <c r="K2112" t="inlineStr">
        <is>
          <t>Male</t>
        </is>
      </c>
      <c r="L2112" t="inlineStr">
        <is>
          <t>No focal subject</t>
        </is>
      </c>
      <c r="M2112" t="n">
        <v>40.631</v>
      </c>
      <c r="N2112" t="inlineStr">
        <is>
          <t>Explore_F</t>
        </is>
      </c>
      <c r="O2112" t="inlineStr">
        <is>
          <t>Familiar</t>
        </is>
      </c>
      <c r="P2112" t="inlineStr">
        <is>
          <t>STATE</t>
        </is>
      </c>
      <c r="Q2112" t="n">
        <v>473.066</v>
      </c>
      <c r="R2112" t="n">
        <v>473.466</v>
      </c>
      <c r="S2112" t="n">
        <v>0.4</v>
      </c>
      <c r="T2112" t="inlineStr">
        <is>
          <t>BTBR\test\c3m2.mp4</t>
        </is>
      </c>
      <c r="U2112" t="n">
        <v>14355</v>
      </c>
      <c r="V2112" t="n">
        <v>14367</v>
      </c>
      <c r="W2112" t="n">
        <v/>
      </c>
      <c r="X2112" t="n">
        <v/>
      </c>
      <c r="Y2112" t="n">
        <v/>
      </c>
      <c r="Z2112" t="n">
        <v/>
      </c>
      <c r="AA2112">
        <f>SUMIFS($S$2:S2112,$A$2:A2112,A2112,$N$2:N2112,"Explore*")</f>
        <v/>
      </c>
      <c r="AB2112">
        <f>IF(AND(LEFT(N2112,7)="Explore",(AA2112-IF(LEFT(N2112,7)="Explore",S2112,0))&lt;10),"SI","NO")</f>
        <v/>
      </c>
    </row>
    <row r="2113">
      <c r="A2113" t="inlineStr">
        <is>
          <t>c3m2_test</t>
        </is>
      </c>
      <c r="B2113" t="inlineStr">
        <is>
          <t>2026-01-28 11:54:45.347</t>
        </is>
      </c>
      <c r="C2113" t="n">
        <v/>
      </c>
      <c r="D2113" t="inlineStr">
        <is>
          <t>Media file</t>
        </is>
      </c>
      <c r="E2113" t="inlineStr">
        <is>
          <t>player #1:BTBR\test\c3m2.mp4</t>
        </is>
      </c>
      <c r="F2113" t="n">
        <v>-5.5</v>
      </c>
      <c r="G2113" t="n">
        <v>555.266</v>
      </c>
      <c r="H2113" t="n">
        <v>615.333</v>
      </c>
      <c r="I2113" t="n">
        <v>30</v>
      </c>
      <c r="J2113" t="inlineStr">
        <is>
          <t>BTBR</t>
        </is>
      </c>
      <c r="K2113" t="inlineStr">
        <is>
          <t>Male</t>
        </is>
      </c>
      <c r="L2113" t="inlineStr">
        <is>
          <t>No focal subject</t>
        </is>
      </c>
      <c r="M2113" t="n">
        <v>40.631</v>
      </c>
      <c r="N2113" t="inlineStr">
        <is>
          <t>Explore_N</t>
        </is>
      </c>
      <c r="O2113" t="inlineStr">
        <is>
          <t>Novelty</t>
        </is>
      </c>
      <c r="P2113" t="inlineStr">
        <is>
          <t>STATE</t>
        </is>
      </c>
      <c r="Q2113" t="n">
        <v>481.9</v>
      </c>
      <c r="R2113" t="n">
        <v>482.333</v>
      </c>
      <c r="S2113" t="n">
        <v>0.433</v>
      </c>
      <c r="T2113" t="inlineStr">
        <is>
          <t>BTBR\test\c3m2.mp4</t>
        </is>
      </c>
      <c r="U2113" t="n">
        <v>14620</v>
      </c>
      <c r="V2113" t="n">
        <v>14633</v>
      </c>
      <c r="W2113" t="n">
        <v/>
      </c>
      <c r="X2113" t="n">
        <v/>
      </c>
      <c r="Y2113" t="n">
        <v/>
      </c>
      <c r="Z2113" t="n">
        <v/>
      </c>
      <c r="AA2113">
        <f>SUMIFS($S$2:S2113,$A$2:A2113,A2113,$N$2:N2113,"Explore*")</f>
        <v/>
      </c>
      <c r="AB2113">
        <f>IF(AND(LEFT(N2113,7)="Explore",(AA2113-IF(LEFT(N2113,7)="Explore",S2113,0))&lt;10),"SI","NO")</f>
        <v/>
      </c>
    </row>
    <row r="2114">
      <c r="A2114" t="inlineStr">
        <is>
          <t>c3m2_test</t>
        </is>
      </c>
      <c r="B2114" t="inlineStr">
        <is>
          <t>2026-01-28 11:54:45.347</t>
        </is>
      </c>
      <c r="C2114" t="n">
        <v/>
      </c>
      <c r="D2114" t="inlineStr">
        <is>
          <t>Media file</t>
        </is>
      </c>
      <c r="E2114" t="inlineStr">
        <is>
          <t>player #1:BTBR\test\c3m2.mp4</t>
        </is>
      </c>
      <c r="F2114" t="n">
        <v>-5.5</v>
      </c>
      <c r="G2114" t="n">
        <v>555.266</v>
      </c>
      <c r="H2114" t="n">
        <v>615.333</v>
      </c>
      <c r="I2114" t="n">
        <v>30</v>
      </c>
      <c r="J2114" t="inlineStr">
        <is>
          <t>BTBR</t>
        </is>
      </c>
      <c r="K2114" t="inlineStr">
        <is>
          <t>Male</t>
        </is>
      </c>
      <c r="L2114" t="inlineStr">
        <is>
          <t>No focal subject</t>
        </is>
      </c>
      <c r="M2114" t="n">
        <v>40.631</v>
      </c>
      <c r="N2114" t="inlineStr">
        <is>
          <t>Explore_F</t>
        </is>
      </c>
      <c r="O2114" t="inlineStr">
        <is>
          <t>Familiar</t>
        </is>
      </c>
      <c r="P2114" t="inlineStr">
        <is>
          <t>STATE</t>
        </is>
      </c>
      <c r="Q2114" t="n">
        <v>545.833</v>
      </c>
      <c r="R2114" t="n">
        <v>546.366</v>
      </c>
      <c r="S2114" t="n">
        <v>0.533</v>
      </c>
      <c r="T2114" t="inlineStr">
        <is>
          <t>BTBR\test\c3m2.mp4</t>
        </is>
      </c>
      <c r="U2114" t="n">
        <v>16538</v>
      </c>
      <c r="V2114" t="n">
        <v>16554</v>
      </c>
      <c r="W2114" t="n">
        <v/>
      </c>
      <c r="X2114" t="n">
        <v/>
      </c>
      <c r="Y2114" t="n">
        <v/>
      </c>
      <c r="Z2114" t="n">
        <v/>
      </c>
      <c r="AA2114">
        <f>SUMIFS($S$2:S2114,$A$2:A2114,A2114,$N$2:N2114,"Explore*")</f>
        <v/>
      </c>
      <c r="AB2114">
        <f>IF(AND(LEFT(N2114,7)="Explore",(AA2114-IF(LEFT(N2114,7)="Explore",S2114,0))&lt;10),"SI","NO")</f>
        <v/>
      </c>
    </row>
    <row r="2115">
      <c r="A2115" t="inlineStr">
        <is>
          <t>c3m2_test</t>
        </is>
      </c>
      <c r="B2115" t="inlineStr">
        <is>
          <t>2026-01-28 11:54:45.347</t>
        </is>
      </c>
      <c r="C2115" t="n">
        <v/>
      </c>
      <c r="D2115" t="inlineStr">
        <is>
          <t>Media file</t>
        </is>
      </c>
      <c r="E2115" t="inlineStr">
        <is>
          <t>player #1:BTBR\test\c3m2.mp4</t>
        </is>
      </c>
      <c r="F2115" t="n">
        <v>-5.5</v>
      </c>
      <c r="G2115" t="n">
        <v>555.266</v>
      </c>
      <c r="H2115" t="n">
        <v>615.333</v>
      </c>
      <c r="I2115" t="n">
        <v>30</v>
      </c>
      <c r="J2115" t="inlineStr">
        <is>
          <t>BTBR</t>
        </is>
      </c>
      <c r="K2115" t="inlineStr">
        <is>
          <t>Male</t>
        </is>
      </c>
      <c r="L2115" t="inlineStr">
        <is>
          <t>No focal subject</t>
        </is>
      </c>
      <c r="M2115" t="n">
        <v>40.631</v>
      </c>
      <c r="N2115" t="inlineStr">
        <is>
          <t>Explore_N</t>
        </is>
      </c>
      <c r="O2115" t="inlineStr">
        <is>
          <t>Novelty</t>
        </is>
      </c>
      <c r="P2115" t="inlineStr">
        <is>
          <t>STATE</t>
        </is>
      </c>
      <c r="Q2115" t="n">
        <v>567.633</v>
      </c>
      <c r="R2115" t="n">
        <v>568.333</v>
      </c>
      <c r="S2115" t="n">
        <v>0.7</v>
      </c>
      <c r="T2115" t="inlineStr">
        <is>
          <t>BTBR\test\c3m2.mp4</t>
        </is>
      </c>
      <c r="U2115" t="n">
        <v>17192</v>
      </c>
      <c r="V2115" t="n">
        <v>17213</v>
      </c>
      <c r="W2115" t="n">
        <v/>
      </c>
      <c r="X2115" t="n">
        <v/>
      </c>
      <c r="Y2115" t="n">
        <v/>
      </c>
      <c r="Z2115" t="n">
        <v/>
      </c>
      <c r="AA2115">
        <f>SUMIFS($S$2:S2115,$A$2:A2115,A2115,$N$2:N2115,"Explore*")</f>
        <v/>
      </c>
      <c r="AB2115">
        <f>IF(AND(LEFT(N2115,7)="Explore",(AA2115-IF(LEFT(N2115,7)="Explore",S2115,0))&lt;10),"SI","NO")</f>
        <v/>
      </c>
    </row>
    <row r="2116">
      <c r="A2116" t="inlineStr">
        <is>
          <t>c3m3_test</t>
        </is>
      </c>
      <c r="B2116" t="inlineStr">
        <is>
          <t>2026-01-28 12:13:59.724</t>
        </is>
      </c>
      <c r="C2116" t="n">
        <v/>
      </c>
      <c r="D2116" t="inlineStr">
        <is>
          <t>Media file</t>
        </is>
      </c>
      <c r="E2116" t="inlineStr">
        <is>
          <t>player #1:BTBR\test\c3m3.mp4</t>
        </is>
      </c>
      <c r="F2116" t="n">
        <v>-14.067</v>
      </c>
      <c r="G2116" t="n">
        <v>595.199</v>
      </c>
      <c r="H2116" t="n">
        <v>624.433</v>
      </c>
      <c r="I2116" t="n">
        <v>30</v>
      </c>
      <c r="J2116" t="inlineStr">
        <is>
          <t>BTBR</t>
        </is>
      </c>
      <c r="K2116" t="inlineStr">
        <is>
          <t>Male</t>
        </is>
      </c>
      <c r="L2116" t="inlineStr">
        <is>
          <t>No focal subject</t>
        </is>
      </c>
      <c r="M2116" t="n">
        <v>31.332</v>
      </c>
      <c r="N2116" t="inlineStr">
        <is>
          <t>Explore_F</t>
        </is>
      </c>
      <c r="O2116" t="inlineStr">
        <is>
          <t>Familiar</t>
        </is>
      </c>
      <c r="P2116" t="inlineStr">
        <is>
          <t>STATE</t>
        </is>
      </c>
      <c r="Q2116" t="n">
        <v>4.2</v>
      </c>
      <c r="R2116" t="n">
        <v>4.9</v>
      </c>
      <c r="S2116" t="n">
        <v>0.7</v>
      </c>
      <c r="T2116" t="inlineStr">
        <is>
          <t>BTBR\test\c3m3.mp4</t>
        </is>
      </c>
      <c r="U2116" t="n">
        <v>126</v>
      </c>
      <c r="V2116" t="n">
        <v>147</v>
      </c>
      <c r="W2116" t="n">
        <v/>
      </c>
      <c r="X2116" t="n">
        <v/>
      </c>
      <c r="Y2116" t="n">
        <v/>
      </c>
      <c r="Z2116" t="n">
        <v/>
      </c>
      <c r="AA2116">
        <f>SUMIFS($S$2:S2116,$A$2:A2116,A2116,$N$2:N2116,"Explore*")</f>
        <v/>
      </c>
      <c r="AB2116">
        <f>IF(AND(LEFT(N2116,7)="Explore",(AA2116-IF(LEFT(N2116,7)="Explore",S2116,0))&lt;10),"SI","NO")</f>
        <v/>
      </c>
    </row>
    <row r="2117">
      <c r="A2117" t="inlineStr">
        <is>
          <t>c3m3_test</t>
        </is>
      </c>
      <c r="B2117" t="inlineStr">
        <is>
          <t>2026-01-28 12:13:59.724</t>
        </is>
      </c>
      <c r="C2117" t="n">
        <v/>
      </c>
      <c r="D2117" t="inlineStr">
        <is>
          <t>Media file</t>
        </is>
      </c>
      <c r="E2117" t="inlineStr">
        <is>
          <t>player #1:BTBR\test\c3m3.mp4</t>
        </is>
      </c>
      <c r="F2117" t="n">
        <v>-14.067</v>
      </c>
      <c r="G2117" t="n">
        <v>595.199</v>
      </c>
      <c r="H2117" t="n">
        <v>624.433</v>
      </c>
      <c r="I2117" t="n">
        <v>30</v>
      </c>
      <c r="J2117" t="inlineStr">
        <is>
          <t>BTBR</t>
        </is>
      </c>
      <c r="K2117" t="inlineStr">
        <is>
          <t>Male</t>
        </is>
      </c>
      <c r="L2117" t="inlineStr">
        <is>
          <t>No focal subject</t>
        </is>
      </c>
      <c r="M2117" t="n">
        <v>31.332</v>
      </c>
      <c r="N2117" t="inlineStr">
        <is>
          <t>Explore_N</t>
        </is>
      </c>
      <c r="O2117" t="inlineStr">
        <is>
          <t>Novelty</t>
        </is>
      </c>
      <c r="P2117" t="inlineStr">
        <is>
          <t>STATE</t>
        </is>
      </c>
      <c r="Q2117" t="n">
        <v>6.2</v>
      </c>
      <c r="R2117" t="n">
        <v>7.3</v>
      </c>
      <c r="S2117" t="n">
        <v>1.1</v>
      </c>
      <c r="T2117" t="inlineStr">
        <is>
          <t>BTBR\test\c3m3.mp4</t>
        </is>
      </c>
      <c r="U2117" t="n">
        <v>186</v>
      </c>
      <c r="V2117" t="n">
        <v>219</v>
      </c>
      <c r="W2117" t="n">
        <v/>
      </c>
      <c r="X2117" t="n">
        <v/>
      </c>
      <c r="Y2117" t="n">
        <v/>
      </c>
      <c r="Z2117" t="n">
        <v/>
      </c>
      <c r="AA2117">
        <f>SUMIFS($S$2:S2117,$A$2:A2117,A2117,$N$2:N2117,"Explore*")</f>
        <v/>
      </c>
      <c r="AB2117">
        <f>IF(AND(LEFT(N2117,7)="Explore",(AA2117-IF(LEFT(N2117,7)="Explore",S2117,0))&lt;10),"SI","NO")</f>
        <v/>
      </c>
    </row>
    <row r="2118">
      <c r="A2118" t="inlineStr">
        <is>
          <t>c3m3_test</t>
        </is>
      </c>
      <c r="B2118" t="inlineStr">
        <is>
          <t>2026-01-28 12:13:59.724</t>
        </is>
      </c>
      <c r="C2118" t="n">
        <v/>
      </c>
      <c r="D2118" t="inlineStr">
        <is>
          <t>Media file</t>
        </is>
      </c>
      <c r="E2118" t="inlineStr">
        <is>
          <t>player #1:BTBR\test\c3m3.mp4</t>
        </is>
      </c>
      <c r="F2118" t="n">
        <v>-14.067</v>
      </c>
      <c r="G2118" t="n">
        <v>595.199</v>
      </c>
      <c r="H2118" t="n">
        <v>624.433</v>
      </c>
      <c r="I2118" t="n">
        <v>30</v>
      </c>
      <c r="J2118" t="inlineStr">
        <is>
          <t>BTBR</t>
        </is>
      </c>
      <c r="K2118" t="inlineStr">
        <is>
          <t>Male</t>
        </is>
      </c>
      <c r="L2118" t="inlineStr">
        <is>
          <t>No focal subject</t>
        </is>
      </c>
      <c r="M2118" t="n">
        <v>31.332</v>
      </c>
      <c r="N2118" t="inlineStr">
        <is>
          <t>Explore_N</t>
        </is>
      </c>
      <c r="O2118" t="inlineStr">
        <is>
          <t>Novelty</t>
        </is>
      </c>
      <c r="P2118" t="inlineStr">
        <is>
          <t>STATE</t>
        </is>
      </c>
      <c r="Q2118" t="n">
        <v>17.166</v>
      </c>
      <c r="R2118" t="n">
        <v>18.133</v>
      </c>
      <c r="S2118" t="n">
        <v>0.967</v>
      </c>
      <c r="T2118" t="inlineStr">
        <is>
          <t>BTBR\test\c3m3.mp4</t>
        </is>
      </c>
      <c r="U2118" t="n">
        <v>515</v>
      </c>
      <c r="V2118" t="n">
        <v>544</v>
      </c>
      <c r="W2118" t="n">
        <v/>
      </c>
      <c r="X2118" t="n">
        <v/>
      </c>
      <c r="Y2118" t="n">
        <v/>
      </c>
      <c r="Z2118" t="n">
        <v/>
      </c>
      <c r="AA2118">
        <f>SUMIFS($S$2:S2118,$A$2:A2118,A2118,$N$2:N2118,"Explore*")</f>
        <v/>
      </c>
      <c r="AB2118">
        <f>IF(AND(LEFT(N2118,7)="Explore",(AA2118-IF(LEFT(N2118,7)="Explore",S2118,0))&lt;10),"SI","NO")</f>
        <v/>
      </c>
    </row>
    <row r="2119">
      <c r="A2119" t="inlineStr">
        <is>
          <t>c3m3_test</t>
        </is>
      </c>
      <c r="B2119" t="inlineStr">
        <is>
          <t>2026-01-28 12:13:59.724</t>
        </is>
      </c>
      <c r="C2119" t="n">
        <v/>
      </c>
      <c r="D2119" t="inlineStr">
        <is>
          <t>Media file</t>
        </is>
      </c>
      <c r="E2119" t="inlineStr">
        <is>
          <t>player #1:BTBR\test\c3m3.mp4</t>
        </is>
      </c>
      <c r="F2119" t="n">
        <v>-14.067</v>
      </c>
      <c r="G2119" t="n">
        <v>595.199</v>
      </c>
      <c r="H2119" t="n">
        <v>624.433</v>
      </c>
      <c r="I2119" t="n">
        <v>30</v>
      </c>
      <c r="J2119" t="inlineStr">
        <is>
          <t>BTBR</t>
        </is>
      </c>
      <c r="K2119" t="inlineStr">
        <is>
          <t>Male</t>
        </is>
      </c>
      <c r="L2119" t="inlineStr">
        <is>
          <t>No focal subject</t>
        </is>
      </c>
      <c r="M2119" t="n">
        <v>31.332</v>
      </c>
      <c r="N2119" t="inlineStr">
        <is>
          <t>Explore_N</t>
        </is>
      </c>
      <c r="O2119" t="inlineStr">
        <is>
          <t>Novelty</t>
        </is>
      </c>
      <c r="P2119" t="inlineStr">
        <is>
          <t>STATE</t>
        </is>
      </c>
      <c r="Q2119" t="n">
        <v>22.9</v>
      </c>
      <c r="R2119" t="n">
        <v>23.166</v>
      </c>
      <c r="S2119" t="n">
        <v>0.266</v>
      </c>
      <c r="T2119" t="inlineStr">
        <is>
          <t>BTBR\test\c3m3.mp4</t>
        </is>
      </c>
      <c r="U2119" t="n">
        <v>687</v>
      </c>
      <c r="V2119" t="n">
        <v>695</v>
      </c>
      <c r="W2119" t="n">
        <v/>
      </c>
      <c r="X2119" t="n">
        <v/>
      </c>
      <c r="Y2119" t="n">
        <v/>
      </c>
      <c r="Z2119" t="n">
        <v/>
      </c>
      <c r="AA2119">
        <f>SUMIFS($S$2:S2119,$A$2:A2119,A2119,$N$2:N2119,"Explore*")</f>
        <v/>
      </c>
      <c r="AB2119">
        <f>IF(AND(LEFT(N2119,7)="Explore",(AA2119-IF(LEFT(N2119,7)="Explore",S2119,0))&lt;10),"SI","NO")</f>
        <v/>
      </c>
    </row>
    <row r="2120">
      <c r="A2120" t="inlineStr">
        <is>
          <t>c3m3_test</t>
        </is>
      </c>
      <c r="B2120" t="inlineStr">
        <is>
          <t>2026-01-28 12:13:59.724</t>
        </is>
      </c>
      <c r="C2120" t="n">
        <v/>
      </c>
      <c r="D2120" t="inlineStr">
        <is>
          <t>Media file</t>
        </is>
      </c>
      <c r="E2120" t="inlineStr">
        <is>
          <t>player #1:BTBR\test\c3m3.mp4</t>
        </is>
      </c>
      <c r="F2120" t="n">
        <v>-14.067</v>
      </c>
      <c r="G2120" t="n">
        <v>595.199</v>
      </c>
      <c r="H2120" t="n">
        <v>624.433</v>
      </c>
      <c r="I2120" t="n">
        <v>30</v>
      </c>
      <c r="J2120" t="inlineStr">
        <is>
          <t>BTBR</t>
        </is>
      </c>
      <c r="K2120" t="inlineStr">
        <is>
          <t>Male</t>
        </is>
      </c>
      <c r="L2120" t="inlineStr">
        <is>
          <t>No focal subject</t>
        </is>
      </c>
      <c r="M2120" t="n">
        <v>31.332</v>
      </c>
      <c r="N2120" t="inlineStr">
        <is>
          <t>Explore_N</t>
        </is>
      </c>
      <c r="O2120" t="inlineStr">
        <is>
          <t>Novelty</t>
        </is>
      </c>
      <c r="P2120" t="inlineStr">
        <is>
          <t>STATE</t>
        </is>
      </c>
      <c r="Q2120" t="n">
        <v>25.8</v>
      </c>
      <c r="R2120" t="n">
        <v>27.166</v>
      </c>
      <c r="S2120" t="n">
        <v>1.366</v>
      </c>
      <c r="T2120" t="inlineStr">
        <is>
          <t>BTBR\test\c3m3.mp4</t>
        </is>
      </c>
      <c r="U2120" t="n">
        <v>774</v>
      </c>
      <c r="V2120" t="n">
        <v>815</v>
      </c>
      <c r="W2120" t="n">
        <v/>
      </c>
      <c r="X2120" t="n">
        <v/>
      </c>
      <c r="Y2120" t="n">
        <v/>
      </c>
      <c r="Z2120" t="n">
        <v/>
      </c>
      <c r="AA2120">
        <f>SUMIFS($S$2:S2120,$A$2:A2120,A2120,$N$2:N2120,"Explore*")</f>
        <v/>
      </c>
      <c r="AB2120">
        <f>IF(AND(LEFT(N2120,7)="Explore",(AA2120-IF(LEFT(N2120,7)="Explore",S2120,0))&lt;10),"SI","NO")</f>
        <v/>
      </c>
    </row>
    <row r="2121">
      <c r="A2121" t="inlineStr">
        <is>
          <t>c3m3_test</t>
        </is>
      </c>
      <c r="B2121" t="inlineStr">
        <is>
          <t>2026-01-28 12:13:59.724</t>
        </is>
      </c>
      <c r="C2121" t="n">
        <v/>
      </c>
      <c r="D2121" t="inlineStr">
        <is>
          <t>Media file</t>
        </is>
      </c>
      <c r="E2121" t="inlineStr">
        <is>
          <t>player #1:BTBR\test\c3m3.mp4</t>
        </is>
      </c>
      <c r="F2121" t="n">
        <v>-14.067</v>
      </c>
      <c r="G2121" t="n">
        <v>595.199</v>
      </c>
      <c r="H2121" t="n">
        <v>624.433</v>
      </c>
      <c r="I2121" t="n">
        <v>30</v>
      </c>
      <c r="J2121" t="inlineStr">
        <is>
          <t>BTBR</t>
        </is>
      </c>
      <c r="K2121" t="inlineStr">
        <is>
          <t>Male</t>
        </is>
      </c>
      <c r="L2121" t="inlineStr">
        <is>
          <t>No focal subject</t>
        </is>
      </c>
      <c r="M2121" t="n">
        <v>31.332</v>
      </c>
      <c r="N2121" t="inlineStr">
        <is>
          <t>Explore_N</t>
        </is>
      </c>
      <c r="O2121" t="inlineStr">
        <is>
          <t>Novelty</t>
        </is>
      </c>
      <c r="P2121" t="inlineStr">
        <is>
          <t>STATE</t>
        </is>
      </c>
      <c r="Q2121" t="n">
        <v>29.866</v>
      </c>
      <c r="R2121" t="n">
        <v>30.533</v>
      </c>
      <c r="S2121" t="n">
        <v>0.667</v>
      </c>
      <c r="T2121" t="inlineStr">
        <is>
          <t>BTBR\test\c3m3.mp4</t>
        </is>
      </c>
      <c r="U2121" t="n">
        <v>896</v>
      </c>
      <c r="V2121" t="n">
        <v>917</v>
      </c>
      <c r="W2121" t="n">
        <v/>
      </c>
      <c r="X2121" t="n">
        <v/>
      </c>
      <c r="Y2121" t="n">
        <v/>
      </c>
      <c r="Z2121" t="n">
        <v/>
      </c>
      <c r="AA2121">
        <f>SUMIFS($S$2:S2121,$A$2:A2121,A2121,$N$2:N2121,"Explore*")</f>
        <v/>
      </c>
      <c r="AB2121">
        <f>IF(AND(LEFT(N2121,7)="Explore",(AA2121-IF(LEFT(N2121,7)="Explore",S2121,0))&lt;10),"SI","NO")</f>
        <v/>
      </c>
    </row>
    <row r="2122">
      <c r="A2122" t="inlineStr">
        <is>
          <t>c3m3_test</t>
        </is>
      </c>
      <c r="B2122" t="inlineStr">
        <is>
          <t>2026-01-28 12:13:59.724</t>
        </is>
      </c>
      <c r="C2122" t="n">
        <v/>
      </c>
      <c r="D2122" t="inlineStr">
        <is>
          <t>Media file</t>
        </is>
      </c>
      <c r="E2122" t="inlineStr">
        <is>
          <t>player #1:BTBR\test\c3m3.mp4</t>
        </is>
      </c>
      <c r="F2122" t="n">
        <v>-14.067</v>
      </c>
      <c r="G2122" t="n">
        <v>595.199</v>
      </c>
      <c r="H2122" t="n">
        <v>624.433</v>
      </c>
      <c r="I2122" t="n">
        <v>30</v>
      </c>
      <c r="J2122" t="inlineStr">
        <is>
          <t>BTBR</t>
        </is>
      </c>
      <c r="K2122" t="inlineStr">
        <is>
          <t>Male</t>
        </is>
      </c>
      <c r="L2122" t="inlineStr">
        <is>
          <t>No focal subject</t>
        </is>
      </c>
      <c r="M2122" t="n">
        <v>31.332</v>
      </c>
      <c r="N2122" t="inlineStr">
        <is>
          <t>Explore_F</t>
        </is>
      </c>
      <c r="O2122" t="inlineStr">
        <is>
          <t>Familiar</t>
        </is>
      </c>
      <c r="P2122" t="inlineStr">
        <is>
          <t>STATE</t>
        </is>
      </c>
      <c r="Q2122" t="n">
        <v>33.133</v>
      </c>
      <c r="R2122" t="n">
        <v>34.166</v>
      </c>
      <c r="S2122" t="n">
        <v>1.033</v>
      </c>
      <c r="T2122" t="inlineStr">
        <is>
          <t>BTBR\test\c3m3.mp4</t>
        </is>
      </c>
      <c r="U2122" t="n">
        <v>994</v>
      </c>
      <c r="V2122" t="n">
        <v>1025</v>
      </c>
      <c r="W2122" t="n">
        <v/>
      </c>
      <c r="X2122" t="n">
        <v/>
      </c>
      <c r="Y2122" t="n">
        <v/>
      </c>
      <c r="Z2122" t="n">
        <v/>
      </c>
      <c r="AA2122">
        <f>SUMIFS($S$2:S2122,$A$2:A2122,A2122,$N$2:N2122,"Explore*")</f>
        <v/>
      </c>
      <c r="AB2122">
        <f>IF(AND(LEFT(N2122,7)="Explore",(AA2122-IF(LEFT(N2122,7)="Explore",S2122,0))&lt;10),"SI","NO")</f>
        <v/>
      </c>
    </row>
    <row r="2123">
      <c r="A2123" t="inlineStr">
        <is>
          <t>c3m3_test</t>
        </is>
      </c>
      <c r="B2123" t="inlineStr">
        <is>
          <t>2026-01-28 12:13:59.724</t>
        </is>
      </c>
      <c r="C2123" t="n">
        <v/>
      </c>
      <c r="D2123" t="inlineStr">
        <is>
          <t>Media file</t>
        </is>
      </c>
      <c r="E2123" t="inlineStr">
        <is>
          <t>player #1:BTBR\test\c3m3.mp4</t>
        </is>
      </c>
      <c r="F2123" t="n">
        <v>-14.067</v>
      </c>
      <c r="G2123" t="n">
        <v>595.199</v>
      </c>
      <c r="H2123" t="n">
        <v>624.433</v>
      </c>
      <c r="I2123" t="n">
        <v>30</v>
      </c>
      <c r="J2123" t="inlineStr">
        <is>
          <t>BTBR</t>
        </is>
      </c>
      <c r="K2123" t="inlineStr">
        <is>
          <t>Male</t>
        </is>
      </c>
      <c r="L2123" t="inlineStr">
        <is>
          <t>No focal subject</t>
        </is>
      </c>
      <c r="M2123" t="n">
        <v>31.332</v>
      </c>
      <c r="N2123" t="inlineStr">
        <is>
          <t>Explore_F</t>
        </is>
      </c>
      <c r="O2123" t="inlineStr">
        <is>
          <t>Familiar</t>
        </is>
      </c>
      <c r="P2123" t="inlineStr">
        <is>
          <t>STATE</t>
        </is>
      </c>
      <c r="Q2123" t="n">
        <v>38.633</v>
      </c>
      <c r="R2123" t="n">
        <v>38.933</v>
      </c>
      <c r="S2123" t="n">
        <v>0.3</v>
      </c>
      <c r="T2123" t="inlineStr">
        <is>
          <t>BTBR\test\c3m3.mp4</t>
        </is>
      </c>
      <c r="U2123" t="n">
        <v>1159</v>
      </c>
      <c r="V2123" t="n">
        <v>1168</v>
      </c>
      <c r="W2123" t="n">
        <v/>
      </c>
      <c r="X2123" t="n">
        <v/>
      </c>
      <c r="Y2123" t="n">
        <v/>
      </c>
      <c r="Z2123" t="n">
        <v/>
      </c>
      <c r="AA2123">
        <f>SUMIFS($S$2:S2123,$A$2:A2123,A2123,$N$2:N2123,"Explore*")</f>
        <v/>
      </c>
      <c r="AB2123">
        <f>IF(AND(LEFT(N2123,7)="Explore",(AA2123-IF(LEFT(N2123,7)="Explore",S2123,0))&lt;10),"SI","NO")</f>
        <v/>
      </c>
    </row>
    <row r="2124">
      <c r="A2124" t="inlineStr">
        <is>
          <t>c3m3_test</t>
        </is>
      </c>
      <c r="B2124" t="inlineStr">
        <is>
          <t>2026-01-28 12:13:59.724</t>
        </is>
      </c>
      <c r="C2124" t="n">
        <v/>
      </c>
      <c r="D2124" t="inlineStr">
        <is>
          <t>Media file</t>
        </is>
      </c>
      <c r="E2124" t="inlineStr">
        <is>
          <t>player #1:BTBR\test\c3m3.mp4</t>
        </is>
      </c>
      <c r="F2124" t="n">
        <v>-14.067</v>
      </c>
      <c r="G2124" t="n">
        <v>595.199</v>
      </c>
      <c r="H2124" t="n">
        <v>624.433</v>
      </c>
      <c r="I2124" t="n">
        <v>30</v>
      </c>
      <c r="J2124" t="inlineStr">
        <is>
          <t>BTBR</t>
        </is>
      </c>
      <c r="K2124" t="inlineStr">
        <is>
          <t>Male</t>
        </is>
      </c>
      <c r="L2124" t="inlineStr">
        <is>
          <t>No focal subject</t>
        </is>
      </c>
      <c r="M2124" t="n">
        <v>31.332</v>
      </c>
      <c r="N2124" t="inlineStr">
        <is>
          <t>Explore_N</t>
        </is>
      </c>
      <c r="O2124" t="inlineStr">
        <is>
          <t>Novelty</t>
        </is>
      </c>
      <c r="P2124" t="inlineStr">
        <is>
          <t>STATE</t>
        </is>
      </c>
      <c r="Q2124" t="n">
        <v>42.266</v>
      </c>
      <c r="R2124" t="n">
        <v>42.7</v>
      </c>
      <c r="S2124" t="n">
        <v>0.434</v>
      </c>
      <c r="T2124" t="inlineStr">
        <is>
          <t>BTBR\test\c3m3.mp4</t>
        </is>
      </c>
      <c r="U2124" t="n">
        <v>1268</v>
      </c>
      <c r="V2124" t="n">
        <v>1281</v>
      </c>
      <c r="W2124" t="n">
        <v/>
      </c>
      <c r="X2124" t="n">
        <v/>
      </c>
      <c r="Y2124" t="n">
        <v/>
      </c>
      <c r="Z2124" t="n">
        <v/>
      </c>
      <c r="AA2124">
        <f>SUMIFS($S$2:S2124,$A$2:A2124,A2124,$N$2:N2124,"Explore*")</f>
        <v/>
      </c>
      <c r="AB2124">
        <f>IF(AND(LEFT(N2124,7)="Explore",(AA2124-IF(LEFT(N2124,7)="Explore",S2124,0))&lt;10),"SI","NO")</f>
        <v/>
      </c>
    </row>
    <row r="2125">
      <c r="A2125" t="inlineStr">
        <is>
          <t>c3m3_test</t>
        </is>
      </c>
      <c r="B2125" t="inlineStr">
        <is>
          <t>2026-01-28 12:13:59.724</t>
        </is>
      </c>
      <c r="C2125" t="n">
        <v/>
      </c>
      <c r="D2125" t="inlineStr">
        <is>
          <t>Media file</t>
        </is>
      </c>
      <c r="E2125" t="inlineStr">
        <is>
          <t>player #1:BTBR\test\c3m3.mp4</t>
        </is>
      </c>
      <c r="F2125" t="n">
        <v>-14.067</v>
      </c>
      <c r="G2125" t="n">
        <v>595.199</v>
      </c>
      <c r="H2125" t="n">
        <v>624.433</v>
      </c>
      <c r="I2125" t="n">
        <v>30</v>
      </c>
      <c r="J2125" t="inlineStr">
        <is>
          <t>BTBR</t>
        </is>
      </c>
      <c r="K2125" t="inlineStr">
        <is>
          <t>Male</t>
        </is>
      </c>
      <c r="L2125" t="inlineStr">
        <is>
          <t>No focal subject</t>
        </is>
      </c>
      <c r="M2125" t="n">
        <v>31.332</v>
      </c>
      <c r="N2125" t="inlineStr">
        <is>
          <t>Explore_N</t>
        </is>
      </c>
      <c r="O2125" t="inlineStr">
        <is>
          <t>Novelty</t>
        </is>
      </c>
      <c r="P2125" t="inlineStr">
        <is>
          <t>STATE</t>
        </is>
      </c>
      <c r="Q2125" t="n">
        <v>48.633</v>
      </c>
      <c r="R2125" t="n">
        <v>49.433</v>
      </c>
      <c r="S2125" t="n">
        <v>0.8</v>
      </c>
      <c r="T2125" t="inlineStr">
        <is>
          <t>BTBR\test\c3m3.mp4</t>
        </is>
      </c>
      <c r="U2125" t="n">
        <v>1459</v>
      </c>
      <c r="V2125" t="n">
        <v>1483</v>
      </c>
      <c r="W2125" t="n">
        <v/>
      </c>
      <c r="X2125" t="n">
        <v/>
      </c>
      <c r="Y2125" t="n">
        <v/>
      </c>
      <c r="Z2125" t="n">
        <v/>
      </c>
      <c r="AA2125">
        <f>SUMIFS($S$2:S2125,$A$2:A2125,A2125,$N$2:N2125,"Explore*")</f>
        <v/>
      </c>
      <c r="AB2125">
        <f>IF(AND(LEFT(N2125,7)="Explore",(AA2125-IF(LEFT(N2125,7)="Explore",S2125,0))&lt;10),"SI","NO")</f>
        <v/>
      </c>
    </row>
    <row r="2126">
      <c r="A2126" t="inlineStr">
        <is>
          <t>c3m3_test</t>
        </is>
      </c>
      <c r="B2126" t="inlineStr">
        <is>
          <t>2026-01-28 12:13:59.724</t>
        </is>
      </c>
      <c r="C2126" t="n">
        <v/>
      </c>
      <c r="D2126" t="inlineStr">
        <is>
          <t>Media file</t>
        </is>
      </c>
      <c r="E2126" t="inlineStr">
        <is>
          <t>player #1:BTBR\test\c3m3.mp4</t>
        </is>
      </c>
      <c r="F2126" t="n">
        <v>-14.067</v>
      </c>
      <c r="G2126" t="n">
        <v>595.199</v>
      </c>
      <c r="H2126" t="n">
        <v>624.433</v>
      </c>
      <c r="I2126" t="n">
        <v>30</v>
      </c>
      <c r="J2126" t="inlineStr">
        <is>
          <t>BTBR</t>
        </is>
      </c>
      <c r="K2126" t="inlineStr">
        <is>
          <t>Male</t>
        </is>
      </c>
      <c r="L2126" t="inlineStr">
        <is>
          <t>No focal subject</t>
        </is>
      </c>
      <c r="M2126" t="n">
        <v>31.332</v>
      </c>
      <c r="N2126" t="inlineStr">
        <is>
          <t>Explore_F</t>
        </is>
      </c>
      <c r="O2126" t="inlineStr">
        <is>
          <t>Familiar</t>
        </is>
      </c>
      <c r="P2126" t="inlineStr">
        <is>
          <t>STATE</t>
        </is>
      </c>
      <c r="Q2126" t="n">
        <v>53.1</v>
      </c>
      <c r="R2126" t="n">
        <v>53.966</v>
      </c>
      <c r="S2126" t="n">
        <v>0.866</v>
      </c>
      <c r="T2126" t="inlineStr">
        <is>
          <t>BTBR\test\c3m3.mp4</t>
        </is>
      </c>
      <c r="U2126" t="n">
        <v>1593</v>
      </c>
      <c r="V2126" t="n">
        <v>1619</v>
      </c>
      <c r="W2126" t="n">
        <v/>
      </c>
      <c r="X2126" t="n">
        <v/>
      </c>
      <c r="Y2126" t="n">
        <v/>
      </c>
      <c r="Z2126" t="n">
        <v/>
      </c>
      <c r="AA2126">
        <f>SUMIFS($S$2:S2126,$A$2:A2126,A2126,$N$2:N2126,"Explore*")</f>
        <v/>
      </c>
      <c r="AB2126">
        <f>IF(AND(LEFT(N2126,7)="Explore",(AA2126-IF(LEFT(N2126,7)="Explore",S2126,0))&lt;10),"SI","NO")</f>
        <v/>
      </c>
    </row>
    <row r="2127">
      <c r="A2127" t="inlineStr">
        <is>
          <t>c3m3_test</t>
        </is>
      </c>
      <c r="B2127" t="inlineStr">
        <is>
          <t>2026-01-28 12:13:59.724</t>
        </is>
      </c>
      <c r="C2127" t="n">
        <v/>
      </c>
      <c r="D2127" t="inlineStr">
        <is>
          <t>Media file</t>
        </is>
      </c>
      <c r="E2127" t="inlineStr">
        <is>
          <t>player #1:BTBR\test\c3m3.mp4</t>
        </is>
      </c>
      <c r="F2127" t="n">
        <v>-14.067</v>
      </c>
      <c r="G2127" t="n">
        <v>595.199</v>
      </c>
      <c r="H2127" t="n">
        <v>624.433</v>
      </c>
      <c r="I2127" t="n">
        <v>30</v>
      </c>
      <c r="J2127" t="inlineStr">
        <is>
          <t>BTBR</t>
        </is>
      </c>
      <c r="K2127" t="inlineStr">
        <is>
          <t>Male</t>
        </is>
      </c>
      <c r="L2127" t="inlineStr">
        <is>
          <t>No focal subject</t>
        </is>
      </c>
      <c r="M2127" t="n">
        <v>31.332</v>
      </c>
      <c r="N2127" t="inlineStr">
        <is>
          <t>Explore_N</t>
        </is>
      </c>
      <c r="O2127" t="inlineStr">
        <is>
          <t>Novelty</t>
        </is>
      </c>
      <c r="P2127" t="inlineStr">
        <is>
          <t>STATE</t>
        </is>
      </c>
      <c r="Q2127" t="n">
        <v>63.833</v>
      </c>
      <c r="R2127" t="n">
        <v>64.033</v>
      </c>
      <c r="S2127" t="n">
        <v>0.2</v>
      </c>
      <c r="T2127" t="inlineStr">
        <is>
          <t>BTBR\test\c3m3.mp4</t>
        </is>
      </c>
      <c r="U2127" t="n">
        <v>1915</v>
      </c>
      <c r="V2127" t="n">
        <v>1922</v>
      </c>
      <c r="W2127" t="n">
        <v/>
      </c>
      <c r="X2127" t="n">
        <v/>
      </c>
      <c r="Y2127" t="n">
        <v/>
      </c>
      <c r="Z2127" t="n">
        <v/>
      </c>
      <c r="AA2127">
        <f>SUMIFS($S$2:S2127,$A$2:A2127,A2127,$N$2:N2127,"Explore*")</f>
        <v/>
      </c>
      <c r="AB2127">
        <f>IF(AND(LEFT(N2127,7)="Explore",(AA2127-IF(LEFT(N2127,7)="Explore",S2127,0))&lt;10),"SI","NO")</f>
        <v/>
      </c>
    </row>
    <row r="2128">
      <c r="A2128" t="inlineStr">
        <is>
          <t>c3m3_test</t>
        </is>
      </c>
      <c r="B2128" t="inlineStr">
        <is>
          <t>2026-01-28 12:13:59.724</t>
        </is>
      </c>
      <c r="C2128" t="n">
        <v/>
      </c>
      <c r="D2128" t="inlineStr">
        <is>
          <t>Media file</t>
        </is>
      </c>
      <c r="E2128" t="inlineStr">
        <is>
          <t>player #1:BTBR\test\c3m3.mp4</t>
        </is>
      </c>
      <c r="F2128" t="n">
        <v>-14.067</v>
      </c>
      <c r="G2128" t="n">
        <v>595.199</v>
      </c>
      <c r="H2128" t="n">
        <v>624.433</v>
      </c>
      <c r="I2128" t="n">
        <v>30</v>
      </c>
      <c r="J2128" t="inlineStr">
        <is>
          <t>BTBR</t>
        </is>
      </c>
      <c r="K2128" t="inlineStr">
        <is>
          <t>Male</t>
        </is>
      </c>
      <c r="L2128" t="inlineStr">
        <is>
          <t>No focal subject</t>
        </is>
      </c>
      <c r="M2128" t="n">
        <v>31.332</v>
      </c>
      <c r="N2128" t="inlineStr">
        <is>
          <t>Explore_N</t>
        </is>
      </c>
      <c r="O2128" t="inlineStr">
        <is>
          <t>Novelty</t>
        </is>
      </c>
      <c r="P2128" t="inlineStr">
        <is>
          <t>STATE</t>
        </is>
      </c>
      <c r="Q2128" t="n">
        <v>65.3</v>
      </c>
      <c r="R2128" t="n">
        <v>65.633</v>
      </c>
      <c r="S2128" t="n">
        <v>0.333</v>
      </c>
      <c r="T2128" t="inlineStr">
        <is>
          <t>BTBR\test\c3m3.mp4</t>
        </is>
      </c>
      <c r="U2128" t="n">
        <v>1959</v>
      </c>
      <c r="V2128" t="n">
        <v>1969</v>
      </c>
      <c r="W2128" t="n">
        <v/>
      </c>
      <c r="X2128" t="n">
        <v/>
      </c>
      <c r="Y2128" t="n">
        <v/>
      </c>
      <c r="Z2128" t="n">
        <v/>
      </c>
      <c r="AA2128">
        <f>SUMIFS($S$2:S2128,$A$2:A2128,A2128,$N$2:N2128,"Explore*")</f>
        <v/>
      </c>
      <c r="AB2128">
        <f>IF(AND(LEFT(N2128,7)="Explore",(AA2128-IF(LEFT(N2128,7)="Explore",S2128,0))&lt;10),"SI","NO")</f>
        <v/>
      </c>
    </row>
    <row r="2129">
      <c r="A2129" t="inlineStr">
        <is>
          <t>c3m3_test</t>
        </is>
      </c>
      <c r="B2129" t="inlineStr">
        <is>
          <t>2026-01-28 12:13:59.724</t>
        </is>
      </c>
      <c r="C2129" t="n">
        <v/>
      </c>
      <c r="D2129" t="inlineStr">
        <is>
          <t>Media file</t>
        </is>
      </c>
      <c r="E2129" t="inlineStr">
        <is>
          <t>player #1:BTBR\test\c3m3.mp4</t>
        </is>
      </c>
      <c r="F2129" t="n">
        <v>-14.067</v>
      </c>
      <c r="G2129" t="n">
        <v>595.199</v>
      </c>
      <c r="H2129" t="n">
        <v>624.433</v>
      </c>
      <c r="I2129" t="n">
        <v>30</v>
      </c>
      <c r="J2129" t="inlineStr">
        <is>
          <t>BTBR</t>
        </is>
      </c>
      <c r="K2129" t="inlineStr">
        <is>
          <t>Male</t>
        </is>
      </c>
      <c r="L2129" t="inlineStr">
        <is>
          <t>No focal subject</t>
        </is>
      </c>
      <c r="M2129" t="n">
        <v>31.332</v>
      </c>
      <c r="N2129" t="inlineStr">
        <is>
          <t>Explore_F</t>
        </is>
      </c>
      <c r="O2129" t="inlineStr">
        <is>
          <t>Familiar</t>
        </is>
      </c>
      <c r="P2129" t="inlineStr">
        <is>
          <t>STATE</t>
        </is>
      </c>
      <c r="Q2129" t="n">
        <v>67.033</v>
      </c>
      <c r="R2129" t="n">
        <v>67.366</v>
      </c>
      <c r="S2129" t="n">
        <v>0.333</v>
      </c>
      <c r="T2129" t="inlineStr">
        <is>
          <t>BTBR\test\c3m3.mp4</t>
        </is>
      </c>
      <c r="U2129" t="n">
        <v>2012</v>
      </c>
      <c r="V2129" t="n">
        <v>2021</v>
      </c>
      <c r="W2129" t="n">
        <v/>
      </c>
      <c r="X2129" t="n">
        <v/>
      </c>
      <c r="Y2129" t="n">
        <v/>
      </c>
      <c r="Z2129" t="n">
        <v/>
      </c>
      <c r="AA2129">
        <f>SUMIFS($S$2:S2129,$A$2:A2129,A2129,$N$2:N2129,"Explore*")</f>
        <v/>
      </c>
      <c r="AB2129">
        <f>IF(AND(LEFT(N2129,7)="Explore",(AA2129-IF(LEFT(N2129,7)="Explore",S2129,0))&lt;10),"SI","NO")</f>
        <v/>
      </c>
    </row>
    <row r="2130">
      <c r="A2130" t="inlineStr">
        <is>
          <t>c3m3_test</t>
        </is>
      </c>
      <c r="B2130" t="inlineStr">
        <is>
          <t>2026-01-28 12:13:59.724</t>
        </is>
      </c>
      <c r="C2130" t="n">
        <v/>
      </c>
      <c r="D2130" t="inlineStr">
        <is>
          <t>Media file</t>
        </is>
      </c>
      <c r="E2130" t="inlineStr">
        <is>
          <t>player #1:BTBR\test\c3m3.mp4</t>
        </is>
      </c>
      <c r="F2130" t="n">
        <v>-14.067</v>
      </c>
      <c r="G2130" t="n">
        <v>595.199</v>
      </c>
      <c r="H2130" t="n">
        <v>624.433</v>
      </c>
      <c r="I2130" t="n">
        <v>30</v>
      </c>
      <c r="J2130" t="inlineStr">
        <is>
          <t>BTBR</t>
        </is>
      </c>
      <c r="K2130" t="inlineStr">
        <is>
          <t>Male</t>
        </is>
      </c>
      <c r="L2130" t="inlineStr">
        <is>
          <t>No focal subject</t>
        </is>
      </c>
      <c r="M2130" t="n">
        <v>31.332</v>
      </c>
      <c r="N2130" t="inlineStr">
        <is>
          <t>Explore_N</t>
        </is>
      </c>
      <c r="O2130" t="inlineStr">
        <is>
          <t>Novelty</t>
        </is>
      </c>
      <c r="P2130" t="inlineStr">
        <is>
          <t>STATE</t>
        </is>
      </c>
      <c r="Q2130" t="n">
        <v>69.333</v>
      </c>
      <c r="R2130" t="n">
        <v>70.96599999999999</v>
      </c>
      <c r="S2130" t="n">
        <v>1.633</v>
      </c>
      <c r="T2130" t="inlineStr">
        <is>
          <t>BTBR\test\c3m3.mp4</t>
        </is>
      </c>
      <c r="U2130" t="n">
        <v>2080</v>
      </c>
      <c r="V2130" t="n">
        <v>2129</v>
      </c>
      <c r="W2130" t="n">
        <v/>
      </c>
      <c r="X2130" t="n">
        <v/>
      </c>
      <c r="Y2130" t="n">
        <v/>
      </c>
      <c r="Z2130" t="n">
        <v/>
      </c>
      <c r="AA2130">
        <f>SUMIFS($S$2:S2130,$A$2:A2130,A2130,$N$2:N2130,"Explore*")</f>
        <v/>
      </c>
      <c r="AB2130">
        <f>IF(AND(LEFT(N2130,7)="Explore",(AA2130-IF(LEFT(N2130,7)="Explore",S2130,0))&lt;10),"SI","NO")</f>
        <v/>
      </c>
    </row>
    <row r="2131">
      <c r="A2131" t="inlineStr">
        <is>
          <t>c3m3_test</t>
        </is>
      </c>
      <c r="B2131" t="inlineStr">
        <is>
          <t>2026-01-28 12:13:59.724</t>
        </is>
      </c>
      <c r="C2131" t="n">
        <v/>
      </c>
      <c r="D2131" t="inlineStr">
        <is>
          <t>Media file</t>
        </is>
      </c>
      <c r="E2131" t="inlineStr">
        <is>
          <t>player #1:BTBR\test\c3m3.mp4</t>
        </is>
      </c>
      <c r="F2131" t="n">
        <v>-14.067</v>
      </c>
      <c r="G2131" t="n">
        <v>595.199</v>
      </c>
      <c r="H2131" t="n">
        <v>624.433</v>
      </c>
      <c r="I2131" t="n">
        <v>30</v>
      </c>
      <c r="J2131" t="inlineStr">
        <is>
          <t>BTBR</t>
        </is>
      </c>
      <c r="K2131" t="inlineStr">
        <is>
          <t>Male</t>
        </is>
      </c>
      <c r="L2131" t="inlineStr">
        <is>
          <t>No focal subject</t>
        </is>
      </c>
      <c r="M2131" t="n">
        <v>31.332</v>
      </c>
      <c r="N2131" t="inlineStr">
        <is>
          <t>Explore_F</t>
        </is>
      </c>
      <c r="O2131" t="inlineStr">
        <is>
          <t>Familiar</t>
        </is>
      </c>
      <c r="P2131" t="inlineStr">
        <is>
          <t>STATE</t>
        </is>
      </c>
      <c r="Q2131" t="n">
        <v>93.666</v>
      </c>
      <c r="R2131" t="n">
        <v>94.133</v>
      </c>
      <c r="S2131" t="n">
        <v>0.467</v>
      </c>
      <c r="T2131" t="inlineStr">
        <is>
          <t>BTBR\test\c3m3.mp4</t>
        </is>
      </c>
      <c r="U2131" t="n">
        <v>2810</v>
      </c>
      <c r="V2131" t="n">
        <v>2824</v>
      </c>
      <c r="W2131" t="n">
        <v/>
      </c>
      <c r="X2131" t="n">
        <v/>
      </c>
      <c r="Y2131" t="n">
        <v/>
      </c>
      <c r="Z2131" t="n">
        <v/>
      </c>
      <c r="AA2131">
        <f>SUMIFS($S$2:S2131,$A$2:A2131,A2131,$N$2:N2131,"Explore*")</f>
        <v/>
      </c>
      <c r="AB2131">
        <f>IF(AND(LEFT(N2131,7)="Explore",(AA2131-IF(LEFT(N2131,7)="Explore",S2131,0))&lt;10),"SI","NO")</f>
        <v/>
      </c>
    </row>
    <row r="2132">
      <c r="A2132" t="inlineStr">
        <is>
          <t>c3m3_test</t>
        </is>
      </c>
      <c r="B2132" t="inlineStr">
        <is>
          <t>2026-01-28 12:13:59.724</t>
        </is>
      </c>
      <c r="C2132" t="n">
        <v/>
      </c>
      <c r="D2132" t="inlineStr">
        <is>
          <t>Media file</t>
        </is>
      </c>
      <c r="E2132" t="inlineStr">
        <is>
          <t>player #1:BTBR\test\c3m3.mp4</t>
        </is>
      </c>
      <c r="F2132" t="n">
        <v>-14.067</v>
      </c>
      <c r="G2132" t="n">
        <v>595.199</v>
      </c>
      <c r="H2132" t="n">
        <v>624.433</v>
      </c>
      <c r="I2132" t="n">
        <v>30</v>
      </c>
      <c r="J2132" t="inlineStr">
        <is>
          <t>BTBR</t>
        </is>
      </c>
      <c r="K2132" t="inlineStr">
        <is>
          <t>Male</t>
        </is>
      </c>
      <c r="L2132" t="inlineStr">
        <is>
          <t>No focal subject</t>
        </is>
      </c>
      <c r="M2132" t="n">
        <v>31.332</v>
      </c>
      <c r="N2132" t="inlineStr">
        <is>
          <t>Explore_N</t>
        </is>
      </c>
      <c r="O2132" t="inlineStr">
        <is>
          <t>Novelty</t>
        </is>
      </c>
      <c r="P2132" t="inlineStr">
        <is>
          <t>STATE</t>
        </is>
      </c>
      <c r="Q2132" t="n">
        <v>103.366</v>
      </c>
      <c r="R2132" t="n">
        <v>103.633</v>
      </c>
      <c r="S2132" t="n">
        <v>0.267</v>
      </c>
      <c r="T2132" t="inlineStr">
        <is>
          <t>BTBR\test\c3m3.mp4</t>
        </is>
      </c>
      <c r="U2132" t="n">
        <v>3101</v>
      </c>
      <c r="V2132" t="n">
        <v>3109</v>
      </c>
      <c r="W2132" t="n">
        <v/>
      </c>
      <c r="X2132" t="n">
        <v/>
      </c>
      <c r="Y2132" t="n">
        <v/>
      </c>
      <c r="Z2132" t="n">
        <v/>
      </c>
      <c r="AA2132">
        <f>SUMIFS($S$2:S2132,$A$2:A2132,A2132,$N$2:N2132,"Explore*")</f>
        <v/>
      </c>
      <c r="AB2132">
        <f>IF(AND(LEFT(N2132,7)="Explore",(AA2132-IF(LEFT(N2132,7)="Explore",S2132,0))&lt;10),"SI","NO")</f>
        <v/>
      </c>
    </row>
    <row r="2133">
      <c r="A2133" t="inlineStr">
        <is>
          <t>c3m3_test</t>
        </is>
      </c>
      <c r="B2133" t="inlineStr">
        <is>
          <t>2026-01-28 12:13:59.724</t>
        </is>
      </c>
      <c r="C2133" t="n">
        <v/>
      </c>
      <c r="D2133" t="inlineStr">
        <is>
          <t>Media file</t>
        </is>
      </c>
      <c r="E2133" t="inlineStr">
        <is>
          <t>player #1:BTBR\test\c3m3.mp4</t>
        </is>
      </c>
      <c r="F2133" t="n">
        <v>-14.067</v>
      </c>
      <c r="G2133" t="n">
        <v>595.199</v>
      </c>
      <c r="H2133" t="n">
        <v>624.433</v>
      </c>
      <c r="I2133" t="n">
        <v>30</v>
      </c>
      <c r="J2133" t="inlineStr">
        <is>
          <t>BTBR</t>
        </is>
      </c>
      <c r="K2133" t="inlineStr">
        <is>
          <t>Male</t>
        </is>
      </c>
      <c r="L2133" t="inlineStr">
        <is>
          <t>No focal subject</t>
        </is>
      </c>
      <c r="M2133" t="n">
        <v>31.332</v>
      </c>
      <c r="N2133" t="inlineStr">
        <is>
          <t>Explore_F</t>
        </is>
      </c>
      <c r="O2133" t="inlineStr">
        <is>
          <t>Familiar</t>
        </is>
      </c>
      <c r="P2133" t="inlineStr">
        <is>
          <t>STATE</t>
        </is>
      </c>
      <c r="Q2133" t="n">
        <v>105.033</v>
      </c>
      <c r="R2133" t="n">
        <v>105.5</v>
      </c>
      <c r="S2133" t="n">
        <v>0.467</v>
      </c>
      <c r="T2133" t="inlineStr">
        <is>
          <t>BTBR\test\c3m3.mp4</t>
        </is>
      </c>
      <c r="U2133" t="n">
        <v>3152</v>
      </c>
      <c r="V2133" t="n">
        <v>3167</v>
      </c>
      <c r="W2133" t="n">
        <v/>
      </c>
      <c r="X2133" t="n">
        <v/>
      </c>
      <c r="Y2133" t="n">
        <v/>
      </c>
      <c r="Z2133" t="n">
        <v/>
      </c>
      <c r="AA2133">
        <f>SUMIFS($S$2:S2133,$A$2:A2133,A2133,$N$2:N2133,"Explore*")</f>
        <v/>
      </c>
      <c r="AB2133">
        <f>IF(AND(LEFT(N2133,7)="Explore",(AA2133-IF(LEFT(N2133,7)="Explore",S2133,0))&lt;10),"SI","NO")</f>
        <v/>
      </c>
    </row>
    <row r="2134">
      <c r="A2134" t="inlineStr">
        <is>
          <t>c3m3_test</t>
        </is>
      </c>
      <c r="B2134" t="inlineStr">
        <is>
          <t>2026-01-28 12:13:59.724</t>
        </is>
      </c>
      <c r="C2134" t="n">
        <v/>
      </c>
      <c r="D2134" t="inlineStr">
        <is>
          <t>Media file</t>
        </is>
      </c>
      <c r="E2134" t="inlineStr">
        <is>
          <t>player #1:BTBR\test\c3m3.mp4</t>
        </is>
      </c>
      <c r="F2134" t="n">
        <v>-14.067</v>
      </c>
      <c r="G2134" t="n">
        <v>595.199</v>
      </c>
      <c r="H2134" t="n">
        <v>624.433</v>
      </c>
      <c r="I2134" t="n">
        <v>30</v>
      </c>
      <c r="J2134" t="inlineStr">
        <is>
          <t>BTBR</t>
        </is>
      </c>
      <c r="K2134" t="inlineStr">
        <is>
          <t>Male</t>
        </is>
      </c>
      <c r="L2134" t="inlineStr">
        <is>
          <t>No focal subject</t>
        </is>
      </c>
      <c r="M2134" t="n">
        <v>31.332</v>
      </c>
      <c r="N2134" t="inlineStr">
        <is>
          <t>Explore_F</t>
        </is>
      </c>
      <c r="O2134" t="inlineStr">
        <is>
          <t>Familiar</t>
        </is>
      </c>
      <c r="P2134" t="inlineStr">
        <is>
          <t>STATE</t>
        </is>
      </c>
      <c r="Q2134" t="n">
        <v>112.866</v>
      </c>
      <c r="R2134" t="n">
        <v>113.133</v>
      </c>
      <c r="S2134" t="n">
        <v>0.267</v>
      </c>
      <c r="T2134" t="inlineStr">
        <is>
          <t>BTBR\test\c3m3.mp4</t>
        </is>
      </c>
      <c r="U2134" t="n">
        <v>3386</v>
      </c>
      <c r="V2134" t="n">
        <v>3394</v>
      </c>
      <c r="W2134" t="n">
        <v/>
      </c>
      <c r="X2134" t="n">
        <v/>
      </c>
      <c r="Y2134" t="n">
        <v/>
      </c>
      <c r="Z2134" t="n">
        <v/>
      </c>
      <c r="AA2134">
        <f>SUMIFS($S$2:S2134,$A$2:A2134,A2134,$N$2:N2134,"Explore*")</f>
        <v/>
      </c>
      <c r="AB2134">
        <f>IF(AND(LEFT(N2134,7)="Explore",(AA2134-IF(LEFT(N2134,7)="Explore",S2134,0))&lt;10),"SI","NO")</f>
        <v/>
      </c>
    </row>
    <row r="2135">
      <c r="A2135" t="inlineStr">
        <is>
          <t>c3m3_test</t>
        </is>
      </c>
      <c r="B2135" t="inlineStr">
        <is>
          <t>2026-01-28 12:13:59.724</t>
        </is>
      </c>
      <c r="C2135" t="n">
        <v/>
      </c>
      <c r="D2135" t="inlineStr">
        <is>
          <t>Media file</t>
        </is>
      </c>
      <c r="E2135" t="inlineStr">
        <is>
          <t>player #1:BTBR\test\c3m3.mp4</t>
        </is>
      </c>
      <c r="F2135" t="n">
        <v>-14.067</v>
      </c>
      <c r="G2135" t="n">
        <v>595.199</v>
      </c>
      <c r="H2135" t="n">
        <v>624.433</v>
      </c>
      <c r="I2135" t="n">
        <v>30</v>
      </c>
      <c r="J2135" t="inlineStr">
        <is>
          <t>BTBR</t>
        </is>
      </c>
      <c r="K2135" t="inlineStr">
        <is>
          <t>Male</t>
        </is>
      </c>
      <c r="L2135" t="inlineStr">
        <is>
          <t>No focal subject</t>
        </is>
      </c>
      <c r="M2135" t="n">
        <v>31.332</v>
      </c>
      <c r="N2135" t="inlineStr">
        <is>
          <t>Explore_N</t>
        </is>
      </c>
      <c r="O2135" t="inlineStr">
        <is>
          <t>Novelty</t>
        </is>
      </c>
      <c r="P2135" t="inlineStr">
        <is>
          <t>STATE</t>
        </is>
      </c>
      <c r="Q2135" t="n">
        <v>125.033</v>
      </c>
      <c r="R2135" t="n">
        <v>125.6</v>
      </c>
      <c r="S2135" t="n">
        <v>0.5669999999999999</v>
      </c>
      <c r="T2135" t="inlineStr">
        <is>
          <t>BTBR\test\c3m3.mp4</t>
        </is>
      </c>
      <c r="U2135" t="n">
        <v>3752</v>
      </c>
      <c r="V2135" t="n">
        <v>3768</v>
      </c>
      <c r="W2135" t="n">
        <v/>
      </c>
      <c r="X2135" t="n">
        <v/>
      </c>
      <c r="Y2135" t="n">
        <v/>
      </c>
      <c r="Z2135" t="n">
        <v/>
      </c>
      <c r="AA2135">
        <f>SUMIFS($S$2:S2135,$A$2:A2135,A2135,$N$2:N2135,"Explore*")</f>
        <v/>
      </c>
      <c r="AB2135">
        <f>IF(AND(LEFT(N2135,7)="Explore",(AA2135-IF(LEFT(N2135,7)="Explore",S2135,0))&lt;10),"SI","NO")</f>
        <v/>
      </c>
    </row>
    <row r="2136">
      <c r="A2136" t="inlineStr">
        <is>
          <t>c3m3_test</t>
        </is>
      </c>
      <c r="B2136" t="inlineStr">
        <is>
          <t>2026-01-28 12:13:59.724</t>
        </is>
      </c>
      <c r="C2136" t="n">
        <v/>
      </c>
      <c r="D2136" t="inlineStr">
        <is>
          <t>Media file</t>
        </is>
      </c>
      <c r="E2136" t="inlineStr">
        <is>
          <t>player #1:BTBR\test\c3m3.mp4</t>
        </is>
      </c>
      <c r="F2136" t="n">
        <v>-14.067</v>
      </c>
      <c r="G2136" t="n">
        <v>595.199</v>
      </c>
      <c r="H2136" t="n">
        <v>624.433</v>
      </c>
      <c r="I2136" t="n">
        <v>30</v>
      </c>
      <c r="J2136" t="inlineStr">
        <is>
          <t>BTBR</t>
        </is>
      </c>
      <c r="K2136" t="inlineStr">
        <is>
          <t>Male</t>
        </is>
      </c>
      <c r="L2136" t="inlineStr">
        <is>
          <t>No focal subject</t>
        </is>
      </c>
      <c r="M2136" t="n">
        <v>31.332</v>
      </c>
      <c r="N2136" t="inlineStr">
        <is>
          <t>Explore_F</t>
        </is>
      </c>
      <c r="O2136" t="inlineStr">
        <is>
          <t>Familiar</t>
        </is>
      </c>
      <c r="P2136" t="inlineStr">
        <is>
          <t>STATE</t>
        </is>
      </c>
      <c r="Q2136" t="n">
        <v>130.033</v>
      </c>
      <c r="R2136" t="n">
        <v>130.433</v>
      </c>
      <c r="S2136" t="n">
        <v>0.4</v>
      </c>
      <c r="T2136" t="inlineStr">
        <is>
          <t>BTBR\test\c3m3.mp4</t>
        </is>
      </c>
      <c r="U2136" t="n">
        <v>3902</v>
      </c>
      <c r="V2136" t="n">
        <v>3913</v>
      </c>
      <c r="W2136" t="n">
        <v/>
      </c>
      <c r="X2136" t="n">
        <v/>
      </c>
      <c r="Y2136" t="n">
        <v/>
      </c>
      <c r="Z2136" t="n">
        <v/>
      </c>
      <c r="AA2136">
        <f>SUMIFS($S$2:S2136,$A$2:A2136,A2136,$N$2:N2136,"Explore*")</f>
        <v/>
      </c>
      <c r="AB2136">
        <f>IF(AND(LEFT(N2136,7)="Explore",(AA2136-IF(LEFT(N2136,7)="Explore",S2136,0))&lt;10),"SI","NO")</f>
        <v/>
      </c>
    </row>
    <row r="2137">
      <c r="A2137" t="inlineStr">
        <is>
          <t>c3m3_test</t>
        </is>
      </c>
      <c r="B2137" t="inlineStr">
        <is>
          <t>2026-01-28 12:13:59.724</t>
        </is>
      </c>
      <c r="C2137" t="n">
        <v/>
      </c>
      <c r="D2137" t="inlineStr">
        <is>
          <t>Media file</t>
        </is>
      </c>
      <c r="E2137" t="inlineStr">
        <is>
          <t>player #1:BTBR\test\c3m3.mp4</t>
        </is>
      </c>
      <c r="F2137" t="n">
        <v>-14.067</v>
      </c>
      <c r="G2137" t="n">
        <v>595.199</v>
      </c>
      <c r="H2137" t="n">
        <v>624.433</v>
      </c>
      <c r="I2137" t="n">
        <v>30</v>
      </c>
      <c r="J2137" t="inlineStr">
        <is>
          <t>BTBR</t>
        </is>
      </c>
      <c r="K2137" t="inlineStr">
        <is>
          <t>Male</t>
        </is>
      </c>
      <c r="L2137" t="inlineStr">
        <is>
          <t>No focal subject</t>
        </is>
      </c>
      <c r="M2137" t="n">
        <v>31.332</v>
      </c>
      <c r="N2137" t="inlineStr">
        <is>
          <t>Explore_N</t>
        </is>
      </c>
      <c r="O2137" t="inlineStr">
        <is>
          <t>Novelty</t>
        </is>
      </c>
      <c r="P2137" t="inlineStr">
        <is>
          <t>STATE</t>
        </is>
      </c>
      <c r="Q2137" t="n">
        <v>136.6</v>
      </c>
      <c r="R2137" t="n">
        <v>136.933</v>
      </c>
      <c r="S2137" t="n">
        <v>0.333</v>
      </c>
      <c r="T2137" t="inlineStr">
        <is>
          <t>BTBR\test\c3m3.mp4</t>
        </is>
      </c>
      <c r="U2137" t="n">
        <v>4098</v>
      </c>
      <c r="V2137" t="n">
        <v>4108</v>
      </c>
      <c r="W2137" t="n">
        <v/>
      </c>
      <c r="X2137" t="n">
        <v/>
      </c>
      <c r="Y2137" t="n">
        <v/>
      </c>
      <c r="Z2137" t="n">
        <v/>
      </c>
      <c r="AA2137">
        <f>SUMIFS($S$2:S2137,$A$2:A2137,A2137,$N$2:N2137,"Explore*")</f>
        <v/>
      </c>
      <c r="AB2137">
        <f>IF(AND(LEFT(N2137,7)="Explore",(AA2137-IF(LEFT(N2137,7)="Explore",S2137,0))&lt;10),"SI","NO")</f>
        <v/>
      </c>
    </row>
    <row r="2138">
      <c r="A2138" t="inlineStr">
        <is>
          <t>c3m3_test</t>
        </is>
      </c>
      <c r="B2138" t="inlineStr">
        <is>
          <t>2026-01-28 12:13:59.724</t>
        </is>
      </c>
      <c r="C2138" t="n">
        <v/>
      </c>
      <c r="D2138" t="inlineStr">
        <is>
          <t>Media file</t>
        </is>
      </c>
      <c r="E2138" t="inlineStr">
        <is>
          <t>player #1:BTBR\test\c3m3.mp4</t>
        </is>
      </c>
      <c r="F2138" t="n">
        <v>-14.067</v>
      </c>
      <c r="G2138" t="n">
        <v>595.199</v>
      </c>
      <c r="H2138" t="n">
        <v>624.433</v>
      </c>
      <c r="I2138" t="n">
        <v>30</v>
      </c>
      <c r="J2138" t="inlineStr">
        <is>
          <t>BTBR</t>
        </is>
      </c>
      <c r="K2138" t="inlineStr">
        <is>
          <t>Male</t>
        </is>
      </c>
      <c r="L2138" t="inlineStr">
        <is>
          <t>No focal subject</t>
        </is>
      </c>
      <c r="M2138" t="n">
        <v>31.332</v>
      </c>
      <c r="N2138" t="inlineStr">
        <is>
          <t>Explore_N</t>
        </is>
      </c>
      <c r="O2138" t="inlineStr">
        <is>
          <t>Novelty</t>
        </is>
      </c>
      <c r="P2138" t="inlineStr">
        <is>
          <t>STATE</t>
        </is>
      </c>
      <c r="Q2138" t="n">
        <v>140.3</v>
      </c>
      <c r="R2138" t="n">
        <v>140.6</v>
      </c>
      <c r="S2138" t="n">
        <v>0.3</v>
      </c>
      <c r="T2138" t="inlineStr">
        <is>
          <t>BTBR\test\c3m3.mp4</t>
        </is>
      </c>
      <c r="U2138" t="n">
        <v>4209</v>
      </c>
      <c r="V2138" t="n">
        <v>4218</v>
      </c>
      <c r="W2138" t="n">
        <v/>
      </c>
      <c r="X2138" t="n">
        <v/>
      </c>
      <c r="Y2138" t="n">
        <v/>
      </c>
      <c r="Z2138" t="n">
        <v/>
      </c>
      <c r="AA2138">
        <f>SUMIFS($S$2:S2138,$A$2:A2138,A2138,$N$2:N2138,"Explore*")</f>
        <v/>
      </c>
      <c r="AB2138">
        <f>IF(AND(LEFT(N2138,7)="Explore",(AA2138-IF(LEFT(N2138,7)="Explore",S2138,0))&lt;10),"SI","NO")</f>
        <v/>
      </c>
    </row>
    <row r="2139">
      <c r="A2139" t="inlineStr">
        <is>
          <t>c3m3_test</t>
        </is>
      </c>
      <c r="B2139" t="inlineStr">
        <is>
          <t>2026-01-28 12:13:59.724</t>
        </is>
      </c>
      <c r="C2139" t="n">
        <v/>
      </c>
      <c r="D2139" t="inlineStr">
        <is>
          <t>Media file</t>
        </is>
      </c>
      <c r="E2139" t="inlineStr">
        <is>
          <t>player #1:BTBR\test\c3m3.mp4</t>
        </is>
      </c>
      <c r="F2139" t="n">
        <v>-14.067</v>
      </c>
      <c r="G2139" t="n">
        <v>595.199</v>
      </c>
      <c r="H2139" t="n">
        <v>624.433</v>
      </c>
      <c r="I2139" t="n">
        <v>30</v>
      </c>
      <c r="J2139" t="inlineStr">
        <is>
          <t>BTBR</t>
        </is>
      </c>
      <c r="K2139" t="inlineStr">
        <is>
          <t>Male</t>
        </is>
      </c>
      <c r="L2139" t="inlineStr">
        <is>
          <t>No focal subject</t>
        </is>
      </c>
      <c r="M2139" t="n">
        <v>31.332</v>
      </c>
      <c r="N2139" t="inlineStr">
        <is>
          <t>Explore_N</t>
        </is>
      </c>
      <c r="O2139" t="inlineStr">
        <is>
          <t>Novelty</t>
        </is>
      </c>
      <c r="P2139" t="inlineStr">
        <is>
          <t>STATE</t>
        </is>
      </c>
      <c r="Q2139" t="n">
        <v>168.099</v>
      </c>
      <c r="R2139" t="n">
        <v>168.533</v>
      </c>
      <c r="S2139" t="n">
        <v>0.434</v>
      </c>
      <c r="T2139" t="inlineStr">
        <is>
          <t>BTBR\test\c3m3.mp4</t>
        </is>
      </c>
      <c r="U2139" t="n">
        <v>5043</v>
      </c>
      <c r="V2139" t="n">
        <v>5057</v>
      </c>
      <c r="W2139" t="n">
        <v/>
      </c>
      <c r="X2139" t="n">
        <v/>
      </c>
      <c r="Y2139" t="n">
        <v/>
      </c>
      <c r="Z2139" t="n">
        <v/>
      </c>
      <c r="AA2139">
        <f>SUMIFS($S$2:S2139,$A$2:A2139,A2139,$N$2:N2139,"Explore*")</f>
        <v/>
      </c>
      <c r="AB2139">
        <f>IF(AND(LEFT(N2139,7)="Explore",(AA2139-IF(LEFT(N2139,7)="Explore",S2139,0))&lt;10),"SI","NO")</f>
        <v/>
      </c>
    </row>
    <row r="2140">
      <c r="A2140" t="inlineStr">
        <is>
          <t>c3m3_test</t>
        </is>
      </c>
      <c r="B2140" t="inlineStr">
        <is>
          <t>2026-01-28 12:13:59.724</t>
        </is>
      </c>
      <c r="C2140" t="n">
        <v/>
      </c>
      <c r="D2140" t="inlineStr">
        <is>
          <t>Media file</t>
        </is>
      </c>
      <c r="E2140" t="inlineStr">
        <is>
          <t>player #1:BTBR\test\c3m3.mp4</t>
        </is>
      </c>
      <c r="F2140" t="n">
        <v>-14.067</v>
      </c>
      <c r="G2140" t="n">
        <v>595.199</v>
      </c>
      <c r="H2140" t="n">
        <v>624.433</v>
      </c>
      <c r="I2140" t="n">
        <v>30</v>
      </c>
      <c r="J2140" t="inlineStr">
        <is>
          <t>BTBR</t>
        </is>
      </c>
      <c r="K2140" t="inlineStr">
        <is>
          <t>Male</t>
        </is>
      </c>
      <c r="L2140" t="inlineStr">
        <is>
          <t>No focal subject</t>
        </is>
      </c>
      <c r="M2140" t="n">
        <v>31.332</v>
      </c>
      <c r="N2140" t="inlineStr">
        <is>
          <t>Explore_N</t>
        </is>
      </c>
      <c r="O2140" t="inlineStr">
        <is>
          <t>Novelty</t>
        </is>
      </c>
      <c r="P2140" t="inlineStr">
        <is>
          <t>STATE</t>
        </is>
      </c>
      <c r="Q2140" t="n">
        <v>193.166</v>
      </c>
      <c r="R2140" t="n">
        <v>193.399</v>
      </c>
      <c r="S2140" t="n">
        <v>0.233</v>
      </c>
      <c r="T2140" t="inlineStr">
        <is>
          <t>BTBR\test\c3m3.mp4</t>
        </is>
      </c>
      <c r="U2140" t="n">
        <v>5795</v>
      </c>
      <c r="V2140" t="n">
        <v>5802</v>
      </c>
      <c r="W2140" t="n">
        <v/>
      </c>
      <c r="X2140" t="n">
        <v/>
      </c>
      <c r="Y2140" t="n">
        <v/>
      </c>
      <c r="Z2140" t="n">
        <v/>
      </c>
      <c r="AA2140">
        <f>SUMIFS($S$2:S2140,$A$2:A2140,A2140,$N$2:N2140,"Explore*")</f>
        <v/>
      </c>
      <c r="AB2140">
        <f>IF(AND(LEFT(N2140,7)="Explore",(AA2140-IF(LEFT(N2140,7)="Explore",S2140,0))&lt;10),"SI","NO")</f>
        <v/>
      </c>
    </row>
    <row r="2141">
      <c r="A2141" t="inlineStr">
        <is>
          <t>c3m3_test</t>
        </is>
      </c>
      <c r="B2141" t="inlineStr">
        <is>
          <t>2026-01-28 12:13:59.724</t>
        </is>
      </c>
      <c r="C2141" t="n">
        <v/>
      </c>
      <c r="D2141" t="inlineStr">
        <is>
          <t>Media file</t>
        </is>
      </c>
      <c r="E2141" t="inlineStr">
        <is>
          <t>player #1:BTBR\test\c3m3.mp4</t>
        </is>
      </c>
      <c r="F2141" t="n">
        <v>-14.067</v>
      </c>
      <c r="G2141" t="n">
        <v>595.199</v>
      </c>
      <c r="H2141" t="n">
        <v>624.433</v>
      </c>
      <c r="I2141" t="n">
        <v>30</v>
      </c>
      <c r="J2141" t="inlineStr">
        <is>
          <t>BTBR</t>
        </is>
      </c>
      <c r="K2141" t="inlineStr">
        <is>
          <t>Male</t>
        </is>
      </c>
      <c r="L2141" t="inlineStr">
        <is>
          <t>No focal subject</t>
        </is>
      </c>
      <c r="M2141" t="n">
        <v>31.332</v>
      </c>
      <c r="N2141" t="inlineStr">
        <is>
          <t>Explore_F</t>
        </is>
      </c>
      <c r="O2141" t="inlineStr">
        <is>
          <t>Familiar</t>
        </is>
      </c>
      <c r="P2141" t="inlineStr">
        <is>
          <t>STATE</t>
        </is>
      </c>
      <c r="Q2141" t="n">
        <v>198.266</v>
      </c>
      <c r="R2141" t="n">
        <v>198.766</v>
      </c>
      <c r="S2141" t="n">
        <v>0.5</v>
      </c>
      <c r="T2141" t="inlineStr">
        <is>
          <t>BTBR\test\c3m3.mp4</t>
        </is>
      </c>
      <c r="U2141" t="n">
        <v>5948</v>
      </c>
      <c r="V2141" t="n">
        <v>5963</v>
      </c>
      <c r="W2141" t="n">
        <v/>
      </c>
      <c r="X2141" t="n">
        <v/>
      </c>
      <c r="Y2141" t="n">
        <v/>
      </c>
      <c r="Z2141" t="n">
        <v/>
      </c>
      <c r="AA2141">
        <f>SUMIFS($S$2:S2141,$A$2:A2141,A2141,$N$2:N2141,"Explore*")</f>
        <v/>
      </c>
      <c r="AB2141">
        <f>IF(AND(LEFT(N2141,7)="Explore",(AA2141-IF(LEFT(N2141,7)="Explore",S2141,0))&lt;10),"SI","NO")</f>
        <v/>
      </c>
    </row>
    <row r="2142">
      <c r="A2142" t="inlineStr">
        <is>
          <t>c3m3_test</t>
        </is>
      </c>
      <c r="B2142" t="inlineStr">
        <is>
          <t>2026-01-28 12:13:59.724</t>
        </is>
      </c>
      <c r="C2142" t="n">
        <v/>
      </c>
      <c r="D2142" t="inlineStr">
        <is>
          <t>Media file</t>
        </is>
      </c>
      <c r="E2142" t="inlineStr">
        <is>
          <t>player #1:BTBR\test\c3m3.mp4</t>
        </is>
      </c>
      <c r="F2142" t="n">
        <v>-14.067</v>
      </c>
      <c r="G2142" t="n">
        <v>595.199</v>
      </c>
      <c r="H2142" t="n">
        <v>624.433</v>
      </c>
      <c r="I2142" t="n">
        <v>30</v>
      </c>
      <c r="J2142" t="inlineStr">
        <is>
          <t>BTBR</t>
        </is>
      </c>
      <c r="K2142" t="inlineStr">
        <is>
          <t>Male</t>
        </is>
      </c>
      <c r="L2142" t="inlineStr">
        <is>
          <t>No focal subject</t>
        </is>
      </c>
      <c r="M2142" t="n">
        <v>31.332</v>
      </c>
      <c r="N2142" t="inlineStr">
        <is>
          <t>Explore_N</t>
        </is>
      </c>
      <c r="O2142" t="inlineStr">
        <is>
          <t>Novelty</t>
        </is>
      </c>
      <c r="P2142" t="inlineStr">
        <is>
          <t>STATE</t>
        </is>
      </c>
      <c r="Q2142" t="n">
        <v>200.966</v>
      </c>
      <c r="R2142" t="n">
        <v>201.366</v>
      </c>
      <c r="S2142" t="n">
        <v>0.4</v>
      </c>
      <c r="T2142" t="inlineStr">
        <is>
          <t>BTBR\test\c3m3.mp4</t>
        </is>
      </c>
      <c r="U2142" t="n">
        <v>6029</v>
      </c>
      <c r="V2142" t="n">
        <v>6041</v>
      </c>
      <c r="W2142" t="n">
        <v/>
      </c>
      <c r="X2142" t="n">
        <v/>
      </c>
      <c r="Y2142" t="n">
        <v/>
      </c>
      <c r="Z2142" t="n">
        <v/>
      </c>
      <c r="AA2142">
        <f>SUMIFS($S$2:S2142,$A$2:A2142,A2142,$N$2:N2142,"Explore*")</f>
        <v/>
      </c>
      <c r="AB2142">
        <f>IF(AND(LEFT(N2142,7)="Explore",(AA2142-IF(LEFT(N2142,7)="Explore",S2142,0))&lt;10),"SI","NO")</f>
        <v/>
      </c>
    </row>
    <row r="2143">
      <c r="A2143" t="inlineStr">
        <is>
          <t>c3m3_test</t>
        </is>
      </c>
      <c r="B2143" t="inlineStr">
        <is>
          <t>2026-01-28 12:13:59.724</t>
        </is>
      </c>
      <c r="C2143" t="n">
        <v/>
      </c>
      <c r="D2143" t="inlineStr">
        <is>
          <t>Media file</t>
        </is>
      </c>
      <c r="E2143" t="inlineStr">
        <is>
          <t>player #1:BTBR\test\c3m3.mp4</t>
        </is>
      </c>
      <c r="F2143" t="n">
        <v>-14.067</v>
      </c>
      <c r="G2143" t="n">
        <v>595.199</v>
      </c>
      <c r="H2143" t="n">
        <v>624.433</v>
      </c>
      <c r="I2143" t="n">
        <v>30</v>
      </c>
      <c r="J2143" t="inlineStr">
        <is>
          <t>BTBR</t>
        </is>
      </c>
      <c r="K2143" t="inlineStr">
        <is>
          <t>Male</t>
        </is>
      </c>
      <c r="L2143" t="inlineStr">
        <is>
          <t>No focal subject</t>
        </is>
      </c>
      <c r="M2143" t="n">
        <v>31.332</v>
      </c>
      <c r="N2143" t="inlineStr">
        <is>
          <t>Explore_F</t>
        </is>
      </c>
      <c r="O2143" t="inlineStr">
        <is>
          <t>Familiar</t>
        </is>
      </c>
      <c r="P2143" t="inlineStr">
        <is>
          <t>STATE</t>
        </is>
      </c>
      <c r="Q2143" t="n">
        <v>233.433</v>
      </c>
      <c r="R2143" t="n">
        <v>233.699</v>
      </c>
      <c r="S2143" t="n">
        <v>0.266</v>
      </c>
      <c r="T2143" t="inlineStr">
        <is>
          <t>BTBR\test\c3m3.mp4</t>
        </is>
      </c>
      <c r="U2143" t="n">
        <v>7003</v>
      </c>
      <c r="V2143" t="n">
        <v>7011</v>
      </c>
      <c r="W2143" t="n">
        <v/>
      </c>
      <c r="X2143" t="n">
        <v/>
      </c>
      <c r="Y2143" t="n">
        <v/>
      </c>
      <c r="Z2143" t="n">
        <v/>
      </c>
      <c r="AA2143">
        <f>SUMIFS($S$2:S2143,$A$2:A2143,A2143,$N$2:N2143,"Explore*")</f>
        <v/>
      </c>
      <c r="AB2143">
        <f>IF(AND(LEFT(N2143,7)="Explore",(AA2143-IF(LEFT(N2143,7)="Explore",S2143,0))&lt;10),"SI","NO")</f>
        <v/>
      </c>
    </row>
    <row r="2144">
      <c r="A2144" t="inlineStr">
        <is>
          <t>c3m3_test</t>
        </is>
      </c>
      <c r="B2144" t="inlineStr">
        <is>
          <t>2026-01-28 12:13:59.724</t>
        </is>
      </c>
      <c r="C2144" t="n">
        <v/>
      </c>
      <c r="D2144" t="inlineStr">
        <is>
          <t>Media file</t>
        </is>
      </c>
      <c r="E2144" t="inlineStr">
        <is>
          <t>player #1:BTBR\test\c3m3.mp4</t>
        </is>
      </c>
      <c r="F2144" t="n">
        <v>-14.067</v>
      </c>
      <c r="G2144" t="n">
        <v>595.199</v>
      </c>
      <c r="H2144" t="n">
        <v>624.433</v>
      </c>
      <c r="I2144" t="n">
        <v>30</v>
      </c>
      <c r="J2144" t="inlineStr">
        <is>
          <t>BTBR</t>
        </is>
      </c>
      <c r="K2144" t="inlineStr">
        <is>
          <t>Male</t>
        </is>
      </c>
      <c r="L2144" t="inlineStr">
        <is>
          <t>No focal subject</t>
        </is>
      </c>
      <c r="M2144" t="n">
        <v>31.332</v>
      </c>
      <c r="N2144" t="inlineStr">
        <is>
          <t>Explore_N</t>
        </is>
      </c>
      <c r="O2144" t="inlineStr">
        <is>
          <t>Novelty</t>
        </is>
      </c>
      <c r="P2144" t="inlineStr">
        <is>
          <t>STATE</t>
        </is>
      </c>
      <c r="Q2144" t="n">
        <v>240.266</v>
      </c>
      <c r="R2144" t="n">
        <v>240.699</v>
      </c>
      <c r="S2144" t="n">
        <v>0.433</v>
      </c>
      <c r="T2144" t="inlineStr">
        <is>
          <t>BTBR\test\c3m3.mp4</t>
        </is>
      </c>
      <c r="U2144" t="n">
        <v>7208</v>
      </c>
      <c r="V2144" t="n">
        <v>7221</v>
      </c>
      <c r="W2144" t="n">
        <v/>
      </c>
      <c r="X2144" t="n">
        <v/>
      </c>
      <c r="Y2144" t="n">
        <v/>
      </c>
      <c r="Z2144" t="n">
        <v/>
      </c>
      <c r="AA2144">
        <f>SUMIFS($S$2:S2144,$A$2:A2144,A2144,$N$2:N2144,"Explore*")</f>
        <v/>
      </c>
      <c r="AB2144">
        <f>IF(AND(LEFT(N2144,7)="Explore",(AA2144-IF(LEFT(N2144,7)="Explore",S2144,0))&lt;10),"SI","NO")</f>
        <v/>
      </c>
    </row>
    <row r="2145">
      <c r="A2145" t="inlineStr">
        <is>
          <t>c3m3_test</t>
        </is>
      </c>
      <c r="B2145" t="inlineStr">
        <is>
          <t>2026-01-28 12:13:59.724</t>
        </is>
      </c>
      <c r="C2145" t="n">
        <v/>
      </c>
      <c r="D2145" t="inlineStr">
        <is>
          <t>Media file</t>
        </is>
      </c>
      <c r="E2145" t="inlineStr">
        <is>
          <t>player #1:BTBR\test\c3m3.mp4</t>
        </is>
      </c>
      <c r="F2145" t="n">
        <v>-14.067</v>
      </c>
      <c r="G2145" t="n">
        <v>595.199</v>
      </c>
      <c r="H2145" t="n">
        <v>624.433</v>
      </c>
      <c r="I2145" t="n">
        <v>30</v>
      </c>
      <c r="J2145" t="inlineStr">
        <is>
          <t>BTBR</t>
        </is>
      </c>
      <c r="K2145" t="inlineStr">
        <is>
          <t>Male</t>
        </is>
      </c>
      <c r="L2145" t="inlineStr">
        <is>
          <t>No focal subject</t>
        </is>
      </c>
      <c r="M2145" t="n">
        <v>31.332</v>
      </c>
      <c r="N2145" t="inlineStr">
        <is>
          <t>Explore_F</t>
        </is>
      </c>
      <c r="O2145" t="inlineStr">
        <is>
          <t>Familiar</t>
        </is>
      </c>
      <c r="P2145" t="inlineStr">
        <is>
          <t>STATE</t>
        </is>
      </c>
      <c r="Q2145" t="n">
        <v>244.233</v>
      </c>
      <c r="R2145" t="n">
        <v>245.133</v>
      </c>
      <c r="S2145" t="n">
        <v>0.9</v>
      </c>
      <c r="T2145" t="inlineStr">
        <is>
          <t>BTBR\test\c3m3.mp4</t>
        </is>
      </c>
      <c r="U2145" t="n">
        <v>7327</v>
      </c>
      <c r="V2145" t="n">
        <v>7354</v>
      </c>
      <c r="W2145" t="n">
        <v/>
      </c>
      <c r="X2145" t="n">
        <v/>
      </c>
      <c r="Y2145" t="n">
        <v/>
      </c>
      <c r="Z2145" t="n">
        <v/>
      </c>
      <c r="AA2145">
        <f>SUMIFS($S$2:S2145,$A$2:A2145,A2145,$N$2:N2145,"Explore*")</f>
        <v/>
      </c>
      <c r="AB2145">
        <f>IF(AND(LEFT(N2145,7)="Explore",(AA2145-IF(LEFT(N2145,7)="Explore",S2145,0))&lt;10),"SI","NO")</f>
        <v/>
      </c>
    </row>
    <row r="2146">
      <c r="A2146" t="inlineStr">
        <is>
          <t>c3m3_test</t>
        </is>
      </c>
      <c r="B2146" t="inlineStr">
        <is>
          <t>2026-01-28 12:13:59.724</t>
        </is>
      </c>
      <c r="C2146" t="n">
        <v/>
      </c>
      <c r="D2146" t="inlineStr">
        <is>
          <t>Media file</t>
        </is>
      </c>
      <c r="E2146" t="inlineStr">
        <is>
          <t>player #1:BTBR\test\c3m3.mp4</t>
        </is>
      </c>
      <c r="F2146" t="n">
        <v>-14.067</v>
      </c>
      <c r="G2146" t="n">
        <v>595.199</v>
      </c>
      <c r="H2146" t="n">
        <v>624.433</v>
      </c>
      <c r="I2146" t="n">
        <v>30</v>
      </c>
      <c r="J2146" t="inlineStr">
        <is>
          <t>BTBR</t>
        </is>
      </c>
      <c r="K2146" t="inlineStr">
        <is>
          <t>Male</t>
        </is>
      </c>
      <c r="L2146" t="inlineStr">
        <is>
          <t>No focal subject</t>
        </is>
      </c>
      <c r="M2146" t="n">
        <v>31.332</v>
      </c>
      <c r="N2146" t="inlineStr">
        <is>
          <t>Explore_N</t>
        </is>
      </c>
      <c r="O2146" t="inlineStr">
        <is>
          <t>Novelty</t>
        </is>
      </c>
      <c r="P2146" t="inlineStr">
        <is>
          <t>STATE</t>
        </is>
      </c>
      <c r="Q2146" t="n">
        <v>253.033</v>
      </c>
      <c r="R2146" t="n">
        <v>253.599</v>
      </c>
      <c r="S2146" t="n">
        <v>0.5659999999999999</v>
      </c>
      <c r="T2146" t="inlineStr">
        <is>
          <t>BTBR\test\c3m3.mp4</t>
        </is>
      </c>
      <c r="U2146" t="n">
        <v>7592</v>
      </c>
      <c r="V2146" t="n">
        <v>7608</v>
      </c>
      <c r="W2146" t="n">
        <v/>
      </c>
      <c r="X2146" t="n">
        <v/>
      </c>
      <c r="Y2146" t="n">
        <v/>
      </c>
      <c r="Z2146" t="n">
        <v/>
      </c>
      <c r="AA2146">
        <f>SUMIFS($S$2:S2146,$A$2:A2146,A2146,$N$2:N2146,"Explore*")</f>
        <v/>
      </c>
      <c r="AB2146">
        <f>IF(AND(LEFT(N2146,7)="Explore",(AA2146-IF(LEFT(N2146,7)="Explore",S2146,0))&lt;10),"SI","NO")</f>
        <v/>
      </c>
    </row>
    <row r="2147">
      <c r="A2147" t="inlineStr">
        <is>
          <t>c3m3_test</t>
        </is>
      </c>
      <c r="B2147" t="inlineStr">
        <is>
          <t>2026-01-28 12:13:59.724</t>
        </is>
      </c>
      <c r="C2147" t="n">
        <v/>
      </c>
      <c r="D2147" t="inlineStr">
        <is>
          <t>Media file</t>
        </is>
      </c>
      <c r="E2147" t="inlineStr">
        <is>
          <t>player #1:BTBR\test\c3m3.mp4</t>
        </is>
      </c>
      <c r="F2147" t="n">
        <v>-14.067</v>
      </c>
      <c r="G2147" t="n">
        <v>595.199</v>
      </c>
      <c r="H2147" t="n">
        <v>624.433</v>
      </c>
      <c r="I2147" t="n">
        <v>30</v>
      </c>
      <c r="J2147" t="inlineStr">
        <is>
          <t>BTBR</t>
        </is>
      </c>
      <c r="K2147" t="inlineStr">
        <is>
          <t>Male</t>
        </is>
      </c>
      <c r="L2147" t="inlineStr">
        <is>
          <t>No focal subject</t>
        </is>
      </c>
      <c r="M2147" t="n">
        <v>31.332</v>
      </c>
      <c r="N2147" t="inlineStr">
        <is>
          <t>Explore_N</t>
        </is>
      </c>
      <c r="O2147" t="inlineStr">
        <is>
          <t>Novelty</t>
        </is>
      </c>
      <c r="P2147" t="inlineStr">
        <is>
          <t>STATE</t>
        </is>
      </c>
      <c r="Q2147" t="n">
        <v>258.733</v>
      </c>
      <c r="R2147" t="n">
        <v>258.999</v>
      </c>
      <c r="S2147" t="n">
        <v>0.266</v>
      </c>
      <c r="T2147" t="inlineStr">
        <is>
          <t>BTBR\test\c3m3.mp4</t>
        </is>
      </c>
      <c r="U2147" t="n">
        <v>7762</v>
      </c>
      <c r="V2147" t="n">
        <v>7770</v>
      </c>
      <c r="W2147" t="n">
        <v/>
      </c>
      <c r="X2147" t="n">
        <v/>
      </c>
      <c r="Y2147" t="n">
        <v/>
      </c>
      <c r="Z2147" t="n">
        <v/>
      </c>
      <c r="AA2147">
        <f>SUMIFS($S$2:S2147,$A$2:A2147,A2147,$N$2:N2147,"Explore*")</f>
        <v/>
      </c>
      <c r="AB2147">
        <f>IF(AND(LEFT(N2147,7)="Explore",(AA2147-IF(LEFT(N2147,7)="Explore",S2147,0))&lt;10),"SI","NO")</f>
        <v/>
      </c>
    </row>
    <row r="2148">
      <c r="A2148" t="inlineStr">
        <is>
          <t>c3m3_test</t>
        </is>
      </c>
      <c r="B2148" t="inlineStr">
        <is>
          <t>2026-01-28 12:13:59.724</t>
        </is>
      </c>
      <c r="C2148" t="n">
        <v/>
      </c>
      <c r="D2148" t="inlineStr">
        <is>
          <t>Media file</t>
        </is>
      </c>
      <c r="E2148" t="inlineStr">
        <is>
          <t>player #1:BTBR\test\c3m3.mp4</t>
        </is>
      </c>
      <c r="F2148" t="n">
        <v>-14.067</v>
      </c>
      <c r="G2148" t="n">
        <v>595.199</v>
      </c>
      <c r="H2148" t="n">
        <v>624.433</v>
      </c>
      <c r="I2148" t="n">
        <v>30</v>
      </c>
      <c r="J2148" t="inlineStr">
        <is>
          <t>BTBR</t>
        </is>
      </c>
      <c r="K2148" t="inlineStr">
        <is>
          <t>Male</t>
        </is>
      </c>
      <c r="L2148" t="inlineStr">
        <is>
          <t>No focal subject</t>
        </is>
      </c>
      <c r="M2148" t="n">
        <v>31.332</v>
      </c>
      <c r="N2148" t="inlineStr">
        <is>
          <t>Explore_F</t>
        </is>
      </c>
      <c r="O2148" t="inlineStr">
        <is>
          <t>Familiar</t>
        </is>
      </c>
      <c r="P2148" t="inlineStr">
        <is>
          <t>STATE</t>
        </is>
      </c>
      <c r="Q2148" t="n">
        <v>261.399</v>
      </c>
      <c r="R2148" t="n">
        <v>262.533</v>
      </c>
      <c r="S2148" t="n">
        <v>1.134</v>
      </c>
      <c r="T2148" t="inlineStr">
        <is>
          <t>BTBR\test\c3m3.mp4</t>
        </is>
      </c>
      <c r="U2148" t="n">
        <v>7842</v>
      </c>
      <c r="V2148" t="n">
        <v>7877</v>
      </c>
      <c r="W2148" t="n">
        <v/>
      </c>
      <c r="X2148" t="n">
        <v/>
      </c>
      <c r="Y2148" t="n">
        <v/>
      </c>
      <c r="Z2148" t="n">
        <v/>
      </c>
      <c r="AA2148">
        <f>SUMIFS($S$2:S2148,$A$2:A2148,A2148,$N$2:N2148,"Explore*")</f>
        <v/>
      </c>
      <c r="AB2148">
        <f>IF(AND(LEFT(N2148,7)="Explore",(AA2148-IF(LEFT(N2148,7)="Explore",S2148,0))&lt;10),"SI","NO")</f>
        <v/>
      </c>
    </row>
    <row r="2149">
      <c r="A2149" t="inlineStr">
        <is>
          <t>c3m3_test</t>
        </is>
      </c>
      <c r="B2149" t="inlineStr">
        <is>
          <t>2026-01-28 12:13:59.724</t>
        </is>
      </c>
      <c r="C2149" t="n">
        <v/>
      </c>
      <c r="D2149" t="inlineStr">
        <is>
          <t>Media file</t>
        </is>
      </c>
      <c r="E2149" t="inlineStr">
        <is>
          <t>player #1:BTBR\test\c3m3.mp4</t>
        </is>
      </c>
      <c r="F2149" t="n">
        <v>-14.067</v>
      </c>
      <c r="G2149" t="n">
        <v>595.199</v>
      </c>
      <c r="H2149" t="n">
        <v>624.433</v>
      </c>
      <c r="I2149" t="n">
        <v>30</v>
      </c>
      <c r="J2149" t="inlineStr">
        <is>
          <t>BTBR</t>
        </is>
      </c>
      <c r="K2149" t="inlineStr">
        <is>
          <t>Male</t>
        </is>
      </c>
      <c r="L2149" t="inlineStr">
        <is>
          <t>No focal subject</t>
        </is>
      </c>
      <c r="M2149" t="n">
        <v>31.332</v>
      </c>
      <c r="N2149" t="inlineStr">
        <is>
          <t>Explore_N</t>
        </is>
      </c>
      <c r="O2149" t="inlineStr">
        <is>
          <t>Novelty</t>
        </is>
      </c>
      <c r="P2149" t="inlineStr">
        <is>
          <t>STATE</t>
        </is>
      </c>
      <c r="Q2149" t="n">
        <v>269.799</v>
      </c>
      <c r="R2149" t="n">
        <v>270.166</v>
      </c>
      <c r="S2149" t="n">
        <v>0.367</v>
      </c>
      <c r="T2149" t="inlineStr">
        <is>
          <t>BTBR\test\c3m3.mp4</t>
        </is>
      </c>
      <c r="U2149" t="n">
        <v>8094</v>
      </c>
      <c r="V2149" t="n">
        <v>8105</v>
      </c>
      <c r="W2149" t="n">
        <v/>
      </c>
      <c r="X2149" t="n">
        <v/>
      </c>
      <c r="Y2149" t="n">
        <v/>
      </c>
      <c r="Z2149" t="n">
        <v/>
      </c>
      <c r="AA2149">
        <f>SUMIFS($S$2:S2149,$A$2:A2149,A2149,$N$2:N2149,"Explore*")</f>
        <v/>
      </c>
      <c r="AB2149">
        <f>IF(AND(LEFT(N2149,7)="Explore",(AA2149-IF(LEFT(N2149,7)="Explore",S2149,0))&lt;10),"SI","NO")</f>
        <v/>
      </c>
    </row>
    <row r="2150">
      <c r="A2150" t="inlineStr">
        <is>
          <t>c3m3_test</t>
        </is>
      </c>
      <c r="B2150" t="inlineStr">
        <is>
          <t>2026-01-28 12:13:59.724</t>
        </is>
      </c>
      <c r="C2150" t="n">
        <v/>
      </c>
      <c r="D2150" t="inlineStr">
        <is>
          <t>Media file</t>
        </is>
      </c>
      <c r="E2150" t="inlineStr">
        <is>
          <t>player #1:BTBR\test\c3m3.mp4</t>
        </is>
      </c>
      <c r="F2150" t="n">
        <v>-14.067</v>
      </c>
      <c r="G2150" t="n">
        <v>595.199</v>
      </c>
      <c r="H2150" t="n">
        <v>624.433</v>
      </c>
      <c r="I2150" t="n">
        <v>30</v>
      </c>
      <c r="J2150" t="inlineStr">
        <is>
          <t>BTBR</t>
        </is>
      </c>
      <c r="K2150" t="inlineStr">
        <is>
          <t>Male</t>
        </is>
      </c>
      <c r="L2150" t="inlineStr">
        <is>
          <t>No focal subject</t>
        </is>
      </c>
      <c r="M2150" t="n">
        <v>31.332</v>
      </c>
      <c r="N2150" t="inlineStr">
        <is>
          <t>Explore_F</t>
        </is>
      </c>
      <c r="O2150" t="inlineStr">
        <is>
          <t>Familiar</t>
        </is>
      </c>
      <c r="P2150" t="inlineStr">
        <is>
          <t>STATE</t>
        </is>
      </c>
      <c r="Q2150" t="n">
        <v>271.833</v>
      </c>
      <c r="R2150" t="n">
        <v>272.099</v>
      </c>
      <c r="S2150" t="n">
        <v>0.266</v>
      </c>
      <c r="T2150" t="inlineStr">
        <is>
          <t>BTBR\test\c3m3.mp4</t>
        </is>
      </c>
      <c r="U2150" t="n">
        <v>8155</v>
      </c>
      <c r="V2150" t="n">
        <v>8163</v>
      </c>
      <c r="W2150" t="n">
        <v/>
      </c>
      <c r="X2150" t="n">
        <v/>
      </c>
      <c r="Y2150" t="n">
        <v/>
      </c>
      <c r="Z2150" t="n">
        <v/>
      </c>
      <c r="AA2150">
        <f>SUMIFS($S$2:S2150,$A$2:A2150,A2150,$N$2:N2150,"Explore*")</f>
        <v/>
      </c>
      <c r="AB2150">
        <f>IF(AND(LEFT(N2150,7)="Explore",(AA2150-IF(LEFT(N2150,7)="Explore",S2150,0))&lt;10),"SI","NO")</f>
        <v/>
      </c>
    </row>
    <row r="2151">
      <c r="A2151" t="inlineStr">
        <is>
          <t>c3m3_test</t>
        </is>
      </c>
      <c r="B2151" t="inlineStr">
        <is>
          <t>2026-01-28 12:13:59.724</t>
        </is>
      </c>
      <c r="C2151" t="n">
        <v/>
      </c>
      <c r="D2151" t="inlineStr">
        <is>
          <t>Media file</t>
        </is>
      </c>
      <c r="E2151" t="inlineStr">
        <is>
          <t>player #1:BTBR\test\c3m3.mp4</t>
        </is>
      </c>
      <c r="F2151" t="n">
        <v>-14.067</v>
      </c>
      <c r="G2151" t="n">
        <v>595.199</v>
      </c>
      <c r="H2151" t="n">
        <v>624.433</v>
      </c>
      <c r="I2151" t="n">
        <v>30</v>
      </c>
      <c r="J2151" t="inlineStr">
        <is>
          <t>BTBR</t>
        </is>
      </c>
      <c r="K2151" t="inlineStr">
        <is>
          <t>Male</t>
        </is>
      </c>
      <c r="L2151" t="inlineStr">
        <is>
          <t>No focal subject</t>
        </is>
      </c>
      <c r="M2151" t="n">
        <v>31.332</v>
      </c>
      <c r="N2151" t="inlineStr">
        <is>
          <t>Explore_N</t>
        </is>
      </c>
      <c r="O2151" t="inlineStr">
        <is>
          <t>Novelty</t>
        </is>
      </c>
      <c r="P2151" t="inlineStr">
        <is>
          <t>STATE</t>
        </is>
      </c>
      <c r="Q2151" t="n">
        <v>277.233</v>
      </c>
      <c r="R2151" t="n">
        <v>277.933</v>
      </c>
      <c r="S2151" t="n">
        <v>0.7</v>
      </c>
      <c r="T2151" t="inlineStr">
        <is>
          <t>BTBR\test\c3m3.mp4</t>
        </is>
      </c>
      <c r="U2151" t="n">
        <v>8317</v>
      </c>
      <c r="V2151" t="n">
        <v>8338</v>
      </c>
      <c r="W2151" t="n">
        <v/>
      </c>
      <c r="X2151" t="n">
        <v/>
      </c>
      <c r="Y2151" t="n">
        <v/>
      </c>
      <c r="Z2151" t="n">
        <v/>
      </c>
      <c r="AA2151">
        <f>SUMIFS($S$2:S2151,$A$2:A2151,A2151,$N$2:N2151,"Explore*")</f>
        <v/>
      </c>
      <c r="AB2151">
        <f>IF(AND(LEFT(N2151,7)="Explore",(AA2151-IF(LEFT(N2151,7)="Explore",S2151,0))&lt;10),"SI","NO")</f>
        <v/>
      </c>
    </row>
    <row r="2152">
      <c r="A2152" t="inlineStr">
        <is>
          <t>c3m3_test</t>
        </is>
      </c>
      <c r="B2152" t="inlineStr">
        <is>
          <t>2026-01-28 12:13:59.724</t>
        </is>
      </c>
      <c r="C2152" t="n">
        <v/>
      </c>
      <c r="D2152" t="inlineStr">
        <is>
          <t>Media file</t>
        </is>
      </c>
      <c r="E2152" t="inlineStr">
        <is>
          <t>player #1:BTBR\test\c3m3.mp4</t>
        </is>
      </c>
      <c r="F2152" t="n">
        <v>-14.067</v>
      </c>
      <c r="G2152" t="n">
        <v>595.199</v>
      </c>
      <c r="H2152" t="n">
        <v>624.433</v>
      </c>
      <c r="I2152" t="n">
        <v>30</v>
      </c>
      <c r="J2152" t="inlineStr">
        <is>
          <t>BTBR</t>
        </is>
      </c>
      <c r="K2152" t="inlineStr">
        <is>
          <t>Male</t>
        </is>
      </c>
      <c r="L2152" t="inlineStr">
        <is>
          <t>No focal subject</t>
        </is>
      </c>
      <c r="M2152" t="n">
        <v>31.332</v>
      </c>
      <c r="N2152" t="inlineStr">
        <is>
          <t>Explore_F</t>
        </is>
      </c>
      <c r="O2152" t="inlineStr">
        <is>
          <t>Familiar</t>
        </is>
      </c>
      <c r="P2152" t="inlineStr">
        <is>
          <t>STATE</t>
        </is>
      </c>
      <c r="Q2152" t="n">
        <v>303.899</v>
      </c>
      <c r="R2152" t="n">
        <v>305.399</v>
      </c>
      <c r="S2152" t="n">
        <v>1.5</v>
      </c>
      <c r="T2152" t="inlineStr">
        <is>
          <t>BTBR\test\c3m3.mp4</t>
        </is>
      </c>
      <c r="U2152" t="n">
        <v>9539</v>
      </c>
      <c r="V2152" t="n">
        <v>9584</v>
      </c>
      <c r="W2152" t="n">
        <v/>
      </c>
      <c r="X2152" t="n">
        <v/>
      </c>
      <c r="Y2152" t="n">
        <v/>
      </c>
      <c r="Z2152" t="n">
        <v/>
      </c>
      <c r="AA2152">
        <f>SUMIFS($S$2:S2152,$A$2:A2152,A2152,$N$2:N2152,"Explore*")</f>
        <v/>
      </c>
      <c r="AB2152">
        <f>IF(AND(LEFT(N2152,7)="Explore",(AA2152-IF(LEFT(N2152,7)="Explore",S2152,0))&lt;10),"SI","NO")</f>
        <v/>
      </c>
    </row>
    <row r="2153">
      <c r="A2153" t="inlineStr">
        <is>
          <t>c3m3_test</t>
        </is>
      </c>
      <c r="B2153" t="inlineStr">
        <is>
          <t>2026-01-28 12:13:59.724</t>
        </is>
      </c>
      <c r="C2153" t="n">
        <v/>
      </c>
      <c r="D2153" t="inlineStr">
        <is>
          <t>Media file</t>
        </is>
      </c>
      <c r="E2153" t="inlineStr">
        <is>
          <t>player #1:BTBR\test\c3m3.mp4</t>
        </is>
      </c>
      <c r="F2153" t="n">
        <v>-14.067</v>
      </c>
      <c r="G2153" t="n">
        <v>595.199</v>
      </c>
      <c r="H2153" t="n">
        <v>624.433</v>
      </c>
      <c r="I2153" t="n">
        <v>30</v>
      </c>
      <c r="J2153" t="inlineStr">
        <is>
          <t>BTBR</t>
        </is>
      </c>
      <c r="K2153" t="inlineStr">
        <is>
          <t>Male</t>
        </is>
      </c>
      <c r="L2153" t="inlineStr">
        <is>
          <t>No focal subject</t>
        </is>
      </c>
      <c r="M2153" t="n">
        <v>31.332</v>
      </c>
      <c r="N2153" t="inlineStr">
        <is>
          <t>Explore_F</t>
        </is>
      </c>
      <c r="O2153" t="inlineStr">
        <is>
          <t>Familiar</t>
        </is>
      </c>
      <c r="P2153" t="inlineStr">
        <is>
          <t>STATE</t>
        </is>
      </c>
      <c r="Q2153" t="n">
        <v>346.199</v>
      </c>
      <c r="R2153" t="n">
        <v>346.633</v>
      </c>
      <c r="S2153" t="n">
        <v>0.434</v>
      </c>
      <c r="T2153" t="inlineStr">
        <is>
          <t>BTBR\test\c3m3.mp4</t>
        </is>
      </c>
      <c r="U2153" t="n">
        <v>10808</v>
      </c>
      <c r="V2153" t="n">
        <v>10821</v>
      </c>
      <c r="W2153" t="n">
        <v/>
      </c>
      <c r="X2153" t="n">
        <v/>
      </c>
      <c r="Y2153" t="n">
        <v/>
      </c>
      <c r="Z2153" t="n">
        <v/>
      </c>
      <c r="AA2153">
        <f>SUMIFS($S$2:S2153,$A$2:A2153,A2153,$N$2:N2153,"Explore*")</f>
        <v/>
      </c>
      <c r="AB2153">
        <f>IF(AND(LEFT(N2153,7)="Explore",(AA2153-IF(LEFT(N2153,7)="Explore",S2153,0))&lt;10),"SI","NO")</f>
        <v/>
      </c>
    </row>
    <row r="2154">
      <c r="A2154" t="inlineStr">
        <is>
          <t>c3m3_test</t>
        </is>
      </c>
      <c r="B2154" t="inlineStr">
        <is>
          <t>2026-01-28 12:13:59.724</t>
        </is>
      </c>
      <c r="C2154" t="n">
        <v/>
      </c>
      <c r="D2154" t="inlineStr">
        <is>
          <t>Media file</t>
        </is>
      </c>
      <c r="E2154" t="inlineStr">
        <is>
          <t>player #1:BTBR\test\c3m3.mp4</t>
        </is>
      </c>
      <c r="F2154" t="n">
        <v>-14.067</v>
      </c>
      <c r="G2154" t="n">
        <v>595.199</v>
      </c>
      <c r="H2154" t="n">
        <v>624.433</v>
      </c>
      <c r="I2154" t="n">
        <v>30</v>
      </c>
      <c r="J2154" t="inlineStr">
        <is>
          <t>BTBR</t>
        </is>
      </c>
      <c r="K2154" t="inlineStr">
        <is>
          <t>Male</t>
        </is>
      </c>
      <c r="L2154" t="inlineStr">
        <is>
          <t>No focal subject</t>
        </is>
      </c>
      <c r="M2154" t="n">
        <v>31.332</v>
      </c>
      <c r="N2154" t="inlineStr">
        <is>
          <t>Explore_N</t>
        </is>
      </c>
      <c r="O2154" t="inlineStr">
        <is>
          <t>Novelty</t>
        </is>
      </c>
      <c r="P2154" t="inlineStr">
        <is>
          <t>STATE</t>
        </is>
      </c>
      <c r="Q2154" t="n">
        <v>349.466</v>
      </c>
      <c r="R2154" t="n">
        <v>350.199</v>
      </c>
      <c r="S2154" t="n">
        <v>0.733</v>
      </c>
      <c r="T2154" t="inlineStr">
        <is>
          <t>BTBR\test\c3m3.mp4</t>
        </is>
      </c>
      <c r="U2154" t="n">
        <v>10906</v>
      </c>
      <c r="V2154" t="n">
        <v>10928</v>
      </c>
      <c r="W2154" t="n">
        <v/>
      </c>
      <c r="X2154" t="n">
        <v/>
      </c>
      <c r="Y2154" t="n">
        <v/>
      </c>
      <c r="Z2154" t="n">
        <v/>
      </c>
      <c r="AA2154">
        <f>SUMIFS($S$2:S2154,$A$2:A2154,A2154,$N$2:N2154,"Explore*")</f>
        <v/>
      </c>
      <c r="AB2154">
        <f>IF(AND(LEFT(N2154,7)="Explore",(AA2154-IF(LEFT(N2154,7)="Explore",S2154,0))&lt;10),"SI","NO")</f>
        <v/>
      </c>
    </row>
    <row r="2155">
      <c r="A2155" t="inlineStr">
        <is>
          <t>c3m3_test</t>
        </is>
      </c>
      <c r="B2155" t="inlineStr">
        <is>
          <t>2026-01-28 12:13:59.724</t>
        </is>
      </c>
      <c r="C2155" t="n">
        <v/>
      </c>
      <c r="D2155" t="inlineStr">
        <is>
          <t>Media file</t>
        </is>
      </c>
      <c r="E2155" t="inlineStr">
        <is>
          <t>player #1:BTBR\test\c3m3.mp4</t>
        </is>
      </c>
      <c r="F2155" t="n">
        <v>-14.067</v>
      </c>
      <c r="G2155" t="n">
        <v>595.199</v>
      </c>
      <c r="H2155" t="n">
        <v>624.433</v>
      </c>
      <c r="I2155" t="n">
        <v>30</v>
      </c>
      <c r="J2155" t="inlineStr">
        <is>
          <t>BTBR</t>
        </is>
      </c>
      <c r="K2155" t="inlineStr">
        <is>
          <t>Male</t>
        </is>
      </c>
      <c r="L2155" t="inlineStr">
        <is>
          <t>No focal subject</t>
        </is>
      </c>
      <c r="M2155" t="n">
        <v>31.332</v>
      </c>
      <c r="N2155" t="inlineStr">
        <is>
          <t>Explore_N</t>
        </is>
      </c>
      <c r="O2155" t="inlineStr">
        <is>
          <t>Novelty</t>
        </is>
      </c>
      <c r="P2155" t="inlineStr">
        <is>
          <t>STATE</t>
        </is>
      </c>
      <c r="Q2155" t="n">
        <v>360.499</v>
      </c>
      <c r="R2155" t="n">
        <v>361.066</v>
      </c>
      <c r="S2155" t="n">
        <v>0.5669999999999999</v>
      </c>
      <c r="T2155" t="inlineStr">
        <is>
          <t>BTBR\test\c3m3.mp4</t>
        </is>
      </c>
      <c r="U2155" t="n">
        <v>11237</v>
      </c>
      <c r="V2155" t="n">
        <v>11254</v>
      </c>
      <c r="W2155" t="n">
        <v/>
      </c>
      <c r="X2155" t="n">
        <v/>
      </c>
      <c r="Y2155" t="n">
        <v/>
      </c>
      <c r="Z2155" t="n">
        <v/>
      </c>
      <c r="AA2155">
        <f>SUMIFS($S$2:S2155,$A$2:A2155,A2155,$N$2:N2155,"Explore*")</f>
        <v/>
      </c>
      <c r="AB2155">
        <f>IF(AND(LEFT(N2155,7)="Explore",(AA2155-IF(LEFT(N2155,7)="Explore",S2155,0))&lt;10),"SI","NO")</f>
        <v/>
      </c>
    </row>
    <row r="2156">
      <c r="A2156" t="inlineStr">
        <is>
          <t>c3m3_test</t>
        </is>
      </c>
      <c r="B2156" t="inlineStr">
        <is>
          <t>2026-01-28 12:13:59.724</t>
        </is>
      </c>
      <c r="C2156" t="n">
        <v/>
      </c>
      <c r="D2156" t="inlineStr">
        <is>
          <t>Media file</t>
        </is>
      </c>
      <c r="E2156" t="inlineStr">
        <is>
          <t>player #1:BTBR\test\c3m3.mp4</t>
        </is>
      </c>
      <c r="F2156" t="n">
        <v>-14.067</v>
      </c>
      <c r="G2156" t="n">
        <v>595.199</v>
      </c>
      <c r="H2156" t="n">
        <v>624.433</v>
      </c>
      <c r="I2156" t="n">
        <v>30</v>
      </c>
      <c r="J2156" t="inlineStr">
        <is>
          <t>BTBR</t>
        </is>
      </c>
      <c r="K2156" t="inlineStr">
        <is>
          <t>Male</t>
        </is>
      </c>
      <c r="L2156" t="inlineStr">
        <is>
          <t>No focal subject</t>
        </is>
      </c>
      <c r="M2156" t="n">
        <v>31.332</v>
      </c>
      <c r="N2156" t="inlineStr">
        <is>
          <t>Explore_F</t>
        </is>
      </c>
      <c r="O2156" t="inlineStr">
        <is>
          <t>Familiar</t>
        </is>
      </c>
      <c r="P2156" t="inlineStr">
        <is>
          <t>STATE</t>
        </is>
      </c>
      <c r="Q2156" t="n">
        <v>419.633</v>
      </c>
      <c r="R2156" t="n">
        <v>420.033</v>
      </c>
      <c r="S2156" t="n">
        <v>0.4</v>
      </c>
      <c r="T2156" t="inlineStr">
        <is>
          <t>BTBR\test\c3m3.mp4</t>
        </is>
      </c>
      <c r="U2156" t="n">
        <v>13011</v>
      </c>
      <c r="V2156" t="n">
        <v>13023</v>
      </c>
      <c r="W2156" t="n">
        <v/>
      </c>
      <c r="X2156" t="n">
        <v/>
      </c>
      <c r="Y2156" t="n">
        <v/>
      </c>
      <c r="Z2156" t="n">
        <v/>
      </c>
      <c r="AA2156">
        <f>SUMIFS($S$2:S2156,$A$2:A2156,A2156,$N$2:N2156,"Explore*")</f>
        <v/>
      </c>
      <c r="AB2156">
        <f>IF(AND(LEFT(N2156,7)="Explore",(AA2156-IF(LEFT(N2156,7)="Explore",S2156,0))&lt;10),"SI","NO")</f>
        <v/>
      </c>
    </row>
    <row r="2157">
      <c r="A2157" t="inlineStr">
        <is>
          <t>c3m3_test</t>
        </is>
      </c>
      <c r="B2157" t="inlineStr">
        <is>
          <t>2026-01-28 12:13:59.724</t>
        </is>
      </c>
      <c r="C2157" t="n">
        <v/>
      </c>
      <c r="D2157" t="inlineStr">
        <is>
          <t>Media file</t>
        </is>
      </c>
      <c r="E2157" t="inlineStr">
        <is>
          <t>player #1:BTBR\test\c3m3.mp4</t>
        </is>
      </c>
      <c r="F2157" t="n">
        <v>-14.067</v>
      </c>
      <c r="G2157" t="n">
        <v>595.199</v>
      </c>
      <c r="H2157" t="n">
        <v>624.433</v>
      </c>
      <c r="I2157" t="n">
        <v>30</v>
      </c>
      <c r="J2157" t="inlineStr">
        <is>
          <t>BTBR</t>
        </is>
      </c>
      <c r="K2157" t="inlineStr">
        <is>
          <t>Male</t>
        </is>
      </c>
      <c r="L2157" t="inlineStr">
        <is>
          <t>No focal subject</t>
        </is>
      </c>
      <c r="M2157" t="n">
        <v>31.332</v>
      </c>
      <c r="N2157" t="inlineStr">
        <is>
          <t>Explore_N</t>
        </is>
      </c>
      <c r="O2157" t="inlineStr">
        <is>
          <t>Novelty</t>
        </is>
      </c>
      <c r="P2157" t="inlineStr">
        <is>
          <t>STATE</t>
        </is>
      </c>
      <c r="Q2157" t="n">
        <v>425.599</v>
      </c>
      <c r="R2157" t="n">
        <v>426.033</v>
      </c>
      <c r="S2157" t="n">
        <v>0.434</v>
      </c>
      <c r="T2157" t="inlineStr">
        <is>
          <t>BTBR\test\c3m3.mp4</t>
        </is>
      </c>
      <c r="U2157" t="n">
        <v>13189</v>
      </c>
      <c r="V2157" t="n">
        <v>13202</v>
      </c>
      <c r="W2157" t="n">
        <v/>
      </c>
      <c r="X2157" t="n">
        <v/>
      </c>
      <c r="Y2157" t="n">
        <v/>
      </c>
      <c r="Z2157" t="n">
        <v/>
      </c>
      <c r="AA2157">
        <f>SUMIFS($S$2:S2157,$A$2:A2157,A2157,$N$2:N2157,"Explore*")</f>
        <v/>
      </c>
      <c r="AB2157">
        <f>IF(AND(LEFT(N2157,7)="Explore",(AA2157-IF(LEFT(N2157,7)="Explore",S2157,0))&lt;10),"SI","NO")</f>
        <v/>
      </c>
    </row>
    <row r="2158">
      <c r="A2158" t="inlineStr">
        <is>
          <t>c3m3_test</t>
        </is>
      </c>
      <c r="B2158" t="inlineStr">
        <is>
          <t>2026-01-28 12:13:59.724</t>
        </is>
      </c>
      <c r="C2158" t="n">
        <v/>
      </c>
      <c r="D2158" t="inlineStr">
        <is>
          <t>Media file</t>
        </is>
      </c>
      <c r="E2158" t="inlineStr">
        <is>
          <t>player #1:BTBR\test\c3m3.mp4</t>
        </is>
      </c>
      <c r="F2158" t="n">
        <v>-14.067</v>
      </c>
      <c r="G2158" t="n">
        <v>595.199</v>
      </c>
      <c r="H2158" t="n">
        <v>624.433</v>
      </c>
      <c r="I2158" t="n">
        <v>30</v>
      </c>
      <c r="J2158" t="inlineStr">
        <is>
          <t>BTBR</t>
        </is>
      </c>
      <c r="K2158" t="inlineStr">
        <is>
          <t>Male</t>
        </is>
      </c>
      <c r="L2158" t="inlineStr">
        <is>
          <t>No focal subject</t>
        </is>
      </c>
      <c r="M2158" t="n">
        <v>31.332</v>
      </c>
      <c r="N2158" t="inlineStr">
        <is>
          <t>Explore_F</t>
        </is>
      </c>
      <c r="O2158" t="inlineStr">
        <is>
          <t>Familiar</t>
        </is>
      </c>
      <c r="P2158" t="inlineStr">
        <is>
          <t>STATE</t>
        </is>
      </c>
      <c r="Q2158" t="n">
        <v>440.899</v>
      </c>
      <c r="R2158" t="n">
        <v>441.266</v>
      </c>
      <c r="S2158" t="n">
        <v>0.367</v>
      </c>
      <c r="T2158" t="inlineStr">
        <is>
          <t>BTBR\test\c3m3.mp4</t>
        </is>
      </c>
      <c r="U2158" t="n">
        <v>13648</v>
      </c>
      <c r="V2158" t="n">
        <v>13659</v>
      </c>
      <c r="W2158" t="n">
        <v/>
      </c>
      <c r="X2158" t="n">
        <v/>
      </c>
      <c r="Y2158" t="n">
        <v/>
      </c>
      <c r="Z2158" t="n">
        <v/>
      </c>
      <c r="AA2158">
        <f>SUMIFS($S$2:S2158,$A$2:A2158,A2158,$N$2:N2158,"Explore*")</f>
        <v/>
      </c>
      <c r="AB2158">
        <f>IF(AND(LEFT(N2158,7)="Explore",(AA2158-IF(LEFT(N2158,7)="Explore",S2158,0))&lt;10),"SI","NO")</f>
        <v/>
      </c>
    </row>
    <row r="2159">
      <c r="A2159" t="inlineStr">
        <is>
          <t>c3m3_test</t>
        </is>
      </c>
      <c r="B2159" t="inlineStr">
        <is>
          <t>2026-01-28 12:13:59.724</t>
        </is>
      </c>
      <c r="C2159" t="n">
        <v/>
      </c>
      <c r="D2159" t="inlineStr">
        <is>
          <t>Media file</t>
        </is>
      </c>
      <c r="E2159" t="inlineStr">
        <is>
          <t>player #1:BTBR\test\c3m3.mp4</t>
        </is>
      </c>
      <c r="F2159" t="n">
        <v>-14.067</v>
      </c>
      <c r="G2159" t="n">
        <v>595.199</v>
      </c>
      <c r="H2159" t="n">
        <v>624.433</v>
      </c>
      <c r="I2159" t="n">
        <v>30</v>
      </c>
      <c r="J2159" t="inlineStr">
        <is>
          <t>BTBR</t>
        </is>
      </c>
      <c r="K2159" t="inlineStr">
        <is>
          <t>Male</t>
        </is>
      </c>
      <c r="L2159" t="inlineStr">
        <is>
          <t>No focal subject</t>
        </is>
      </c>
      <c r="M2159" t="n">
        <v>31.332</v>
      </c>
      <c r="N2159" t="inlineStr">
        <is>
          <t>Explore_N</t>
        </is>
      </c>
      <c r="O2159" t="inlineStr">
        <is>
          <t>Novelty</t>
        </is>
      </c>
      <c r="P2159" t="inlineStr">
        <is>
          <t>STATE</t>
        </is>
      </c>
      <c r="Q2159" t="n">
        <v>449.099</v>
      </c>
      <c r="R2159" t="n">
        <v>449.799</v>
      </c>
      <c r="S2159" t="n">
        <v>0.7</v>
      </c>
      <c r="T2159" t="inlineStr">
        <is>
          <t>BTBR\test\c3m3.mp4</t>
        </is>
      </c>
      <c r="U2159" t="n">
        <v>13894</v>
      </c>
      <c r="V2159" t="n">
        <v>13915</v>
      </c>
      <c r="W2159" t="n">
        <v/>
      </c>
      <c r="X2159" t="n">
        <v/>
      </c>
      <c r="Y2159" t="n">
        <v/>
      </c>
      <c r="Z2159" t="n">
        <v/>
      </c>
      <c r="AA2159">
        <f>SUMIFS($S$2:S2159,$A$2:A2159,A2159,$N$2:N2159,"Explore*")</f>
        <v/>
      </c>
      <c r="AB2159">
        <f>IF(AND(LEFT(N2159,7)="Explore",(AA2159-IF(LEFT(N2159,7)="Explore",S2159,0))&lt;10),"SI","NO")</f>
        <v/>
      </c>
    </row>
    <row r="2160">
      <c r="A2160" t="inlineStr">
        <is>
          <t>c3m3_test</t>
        </is>
      </c>
      <c r="B2160" t="inlineStr">
        <is>
          <t>2026-01-28 12:13:59.724</t>
        </is>
      </c>
      <c r="C2160" t="n">
        <v/>
      </c>
      <c r="D2160" t="inlineStr">
        <is>
          <t>Media file</t>
        </is>
      </c>
      <c r="E2160" t="inlineStr">
        <is>
          <t>player #1:BTBR\test\c3m3.mp4</t>
        </is>
      </c>
      <c r="F2160" t="n">
        <v>-14.067</v>
      </c>
      <c r="G2160" t="n">
        <v>595.199</v>
      </c>
      <c r="H2160" t="n">
        <v>624.433</v>
      </c>
      <c r="I2160" t="n">
        <v>30</v>
      </c>
      <c r="J2160" t="inlineStr">
        <is>
          <t>BTBR</t>
        </is>
      </c>
      <c r="K2160" t="inlineStr">
        <is>
          <t>Male</t>
        </is>
      </c>
      <c r="L2160" t="inlineStr">
        <is>
          <t>No focal subject</t>
        </is>
      </c>
      <c r="M2160" t="n">
        <v>31.332</v>
      </c>
      <c r="N2160" t="inlineStr">
        <is>
          <t>Explore_N</t>
        </is>
      </c>
      <c r="O2160" t="inlineStr">
        <is>
          <t>Novelty</t>
        </is>
      </c>
      <c r="P2160" t="inlineStr">
        <is>
          <t>STATE</t>
        </is>
      </c>
      <c r="Q2160" t="n">
        <v>453.533</v>
      </c>
      <c r="R2160" t="n">
        <v>454.199</v>
      </c>
      <c r="S2160" t="n">
        <v>0.666</v>
      </c>
      <c r="T2160" t="inlineStr">
        <is>
          <t>BTBR\test\c3m3.mp4</t>
        </is>
      </c>
      <c r="U2160" t="n">
        <v>14027</v>
      </c>
      <c r="V2160" t="n">
        <v>14047</v>
      </c>
      <c r="W2160" t="n">
        <v/>
      </c>
      <c r="X2160" t="n">
        <v/>
      </c>
      <c r="Y2160" t="n">
        <v/>
      </c>
      <c r="Z2160" t="n">
        <v/>
      </c>
      <c r="AA2160">
        <f>SUMIFS($S$2:S2160,$A$2:A2160,A2160,$N$2:N2160,"Explore*")</f>
        <v/>
      </c>
      <c r="AB2160">
        <f>IF(AND(LEFT(N2160,7)="Explore",(AA2160-IF(LEFT(N2160,7)="Explore",S2160,0))&lt;10),"SI","NO")</f>
        <v/>
      </c>
    </row>
    <row r="2161">
      <c r="A2161" t="inlineStr">
        <is>
          <t>c3m3_test</t>
        </is>
      </c>
      <c r="B2161" t="inlineStr">
        <is>
          <t>2026-01-28 12:13:59.724</t>
        </is>
      </c>
      <c r="C2161" t="n">
        <v/>
      </c>
      <c r="D2161" t="inlineStr">
        <is>
          <t>Media file</t>
        </is>
      </c>
      <c r="E2161" t="inlineStr">
        <is>
          <t>player #1:BTBR\test\c3m3.mp4</t>
        </is>
      </c>
      <c r="F2161" t="n">
        <v>-14.067</v>
      </c>
      <c r="G2161" t="n">
        <v>595.199</v>
      </c>
      <c r="H2161" t="n">
        <v>624.433</v>
      </c>
      <c r="I2161" t="n">
        <v>30</v>
      </c>
      <c r="J2161" t="inlineStr">
        <is>
          <t>BTBR</t>
        </is>
      </c>
      <c r="K2161" t="inlineStr">
        <is>
          <t>Male</t>
        </is>
      </c>
      <c r="L2161" t="inlineStr">
        <is>
          <t>No focal subject</t>
        </is>
      </c>
      <c r="M2161" t="n">
        <v>31.332</v>
      </c>
      <c r="N2161" t="inlineStr">
        <is>
          <t>Explore_N</t>
        </is>
      </c>
      <c r="O2161" t="inlineStr">
        <is>
          <t>Novelty</t>
        </is>
      </c>
      <c r="P2161" t="inlineStr">
        <is>
          <t>STATE</t>
        </is>
      </c>
      <c r="Q2161" t="n">
        <v>476.099</v>
      </c>
      <c r="R2161" t="n">
        <v>476.799</v>
      </c>
      <c r="S2161" t="n">
        <v>0.7</v>
      </c>
      <c r="T2161" t="inlineStr">
        <is>
          <t>BTBR\test\c3m3.mp4</t>
        </is>
      </c>
      <c r="U2161" t="n">
        <v>14704</v>
      </c>
      <c r="V2161" t="n">
        <v>14725</v>
      </c>
      <c r="W2161" t="n">
        <v/>
      </c>
      <c r="X2161" t="n">
        <v/>
      </c>
      <c r="Y2161" t="n">
        <v/>
      </c>
      <c r="Z2161" t="n">
        <v/>
      </c>
      <c r="AA2161">
        <f>SUMIFS($S$2:S2161,$A$2:A2161,A2161,$N$2:N2161,"Explore*")</f>
        <v/>
      </c>
      <c r="AB2161">
        <f>IF(AND(LEFT(N2161,7)="Explore",(AA2161-IF(LEFT(N2161,7)="Explore",S2161,0))&lt;10),"SI","NO")</f>
        <v/>
      </c>
    </row>
    <row r="2162">
      <c r="A2162" t="inlineStr">
        <is>
          <t>c3m3_test</t>
        </is>
      </c>
      <c r="B2162" t="inlineStr">
        <is>
          <t>2026-01-28 12:13:59.724</t>
        </is>
      </c>
      <c r="C2162" t="n">
        <v/>
      </c>
      <c r="D2162" t="inlineStr">
        <is>
          <t>Media file</t>
        </is>
      </c>
      <c r="E2162" t="inlineStr">
        <is>
          <t>player #1:BTBR\test\c3m3.mp4</t>
        </is>
      </c>
      <c r="F2162" t="n">
        <v>-14.067</v>
      </c>
      <c r="G2162" t="n">
        <v>595.199</v>
      </c>
      <c r="H2162" t="n">
        <v>624.433</v>
      </c>
      <c r="I2162" t="n">
        <v>30</v>
      </c>
      <c r="J2162" t="inlineStr">
        <is>
          <t>BTBR</t>
        </is>
      </c>
      <c r="K2162" t="inlineStr">
        <is>
          <t>Male</t>
        </is>
      </c>
      <c r="L2162" t="inlineStr">
        <is>
          <t>No focal subject</t>
        </is>
      </c>
      <c r="M2162" t="n">
        <v>31.332</v>
      </c>
      <c r="N2162" t="inlineStr">
        <is>
          <t>Explore_N</t>
        </is>
      </c>
      <c r="O2162" t="inlineStr">
        <is>
          <t>Novelty</t>
        </is>
      </c>
      <c r="P2162" t="inlineStr">
        <is>
          <t>STATE</t>
        </is>
      </c>
      <c r="Q2162" t="n">
        <v>485.832</v>
      </c>
      <c r="R2162" t="n">
        <v>486.399</v>
      </c>
      <c r="S2162" t="n">
        <v>0.5669999999999999</v>
      </c>
      <c r="T2162" t="inlineStr">
        <is>
          <t>BTBR\test\c3m3.mp4</t>
        </is>
      </c>
      <c r="U2162" t="n">
        <v>14996</v>
      </c>
      <c r="V2162" t="n">
        <v>15013</v>
      </c>
      <c r="W2162" t="n">
        <v/>
      </c>
      <c r="X2162" t="n">
        <v/>
      </c>
      <c r="Y2162" t="n">
        <v/>
      </c>
      <c r="Z2162" t="n">
        <v/>
      </c>
      <c r="AA2162">
        <f>SUMIFS($S$2:S2162,$A$2:A2162,A2162,$N$2:N2162,"Explore*")</f>
        <v/>
      </c>
      <c r="AB2162">
        <f>IF(AND(LEFT(N2162,7)="Explore",(AA2162-IF(LEFT(N2162,7)="Explore",S2162,0))&lt;10),"SI","NO")</f>
        <v/>
      </c>
    </row>
    <row r="2163">
      <c r="A2163" t="inlineStr">
        <is>
          <t>c3m3_test</t>
        </is>
      </c>
      <c r="B2163" t="inlineStr">
        <is>
          <t>2026-01-28 12:13:59.724</t>
        </is>
      </c>
      <c r="C2163" t="n">
        <v/>
      </c>
      <c r="D2163" t="inlineStr">
        <is>
          <t>Media file</t>
        </is>
      </c>
      <c r="E2163" t="inlineStr">
        <is>
          <t>player #1:BTBR\test\c3m3.mp4</t>
        </is>
      </c>
      <c r="F2163" t="n">
        <v>-14.067</v>
      </c>
      <c r="G2163" t="n">
        <v>595.199</v>
      </c>
      <c r="H2163" t="n">
        <v>624.433</v>
      </c>
      <c r="I2163" t="n">
        <v>30</v>
      </c>
      <c r="J2163" t="inlineStr">
        <is>
          <t>BTBR</t>
        </is>
      </c>
      <c r="K2163" t="inlineStr">
        <is>
          <t>Male</t>
        </is>
      </c>
      <c r="L2163" t="inlineStr">
        <is>
          <t>No focal subject</t>
        </is>
      </c>
      <c r="M2163" t="n">
        <v>31.332</v>
      </c>
      <c r="N2163" t="inlineStr">
        <is>
          <t>Explore_F</t>
        </is>
      </c>
      <c r="O2163" t="inlineStr">
        <is>
          <t>Familiar</t>
        </is>
      </c>
      <c r="P2163" t="inlineStr">
        <is>
          <t>STATE</t>
        </is>
      </c>
      <c r="Q2163" t="n">
        <v>499.099</v>
      </c>
      <c r="R2163" t="n">
        <v>499.499</v>
      </c>
      <c r="S2163" t="n">
        <v>0.4</v>
      </c>
      <c r="T2163" t="inlineStr">
        <is>
          <t>BTBR\test\c3m3.mp4</t>
        </is>
      </c>
      <c r="U2163" t="n">
        <v>15394</v>
      </c>
      <c r="V2163" t="n">
        <v>15406</v>
      </c>
      <c r="W2163" t="n">
        <v/>
      </c>
      <c r="X2163" t="n">
        <v/>
      </c>
      <c r="Y2163" t="n">
        <v/>
      </c>
      <c r="Z2163" t="n">
        <v/>
      </c>
      <c r="AA2163">
        <f>SUMIFS($S$2:S2163,$A$2:A2163,A2163,$N$2:N2163,"Explore*")</f>
        <v/>
      </c>
      <c r="AB2163">
        <f>IF(AND(LEFT(N2163,7)="Explore",(AA2163-IF(LEFT(N2163,7)="Explore",S2163,0))&lt;10),"SI","NO")</f>
        <v/>
      </c>
    </row>
    <row r="2164">
      <c r="A2164" t="inlineStr">
        <is>
          <t>c3m3_test</t>
        </is>
      </c>
      <c r="B2164" t="inlineStr">
        <is>
          <t>2026-01-28 12:13:59.724</t>
        </is>
      </c>
      <c r="C2164" t="n">
        <v/>
      </c>
      <c r="D2164" t="inlineStr">
        <is>
          <t>Media file</t>
        </is>
      </c>
      <c r="E2164" t="inlineStr">
        <is>
          <t>player #1:BTBR\test\c3m3.mp4</t>
        </is>
      </c>
      <c r="F2164" t="n">
        <v>-14.067</v>
      </c>
      <c r="G2164" t="n">
        <v>595.199</v>
      </c>
      <c r="H2164" t="n">
        <v>624.433</v>
      </c>
      <c r="I2164" t="n">
        <v>30</v>
      </c>
      <c r="J2164" t="inlineStr">
        <is>
          <t>BTBR</t>
        </is>
      </c>
      <c r="K2164" t="inlineStr">
        <is>
          <t>Male</t>
        </is>
      </c>
      <c r="L2164" t="inlineStr">
        <is>
          <t>No focal subject</t>
        </is>
      </c>
      <c r="M2164" t="n">
        <v>31.332</v>
      </c>
      <c r="N2164" t="inlineStr">
        <is>
          <t>Explore_N</t>
        </is>
      </c>
      <c r="O2164" t="inlineStr">
        <is>
          <t>Novelty</t>
        </is>
      </c>
      <c r="P2164" t="inlineStr">
        <is>
          <t>STATE</t>
        </is>
      </c>
      <c r="Q2164" t="n">
        <v>505.499</v>
      </c>
      <c r="R2164" t="n">
        <v>506.399</v>
      </c>
      <c r="S2164" t="n">
        <v>0.9</v>
      </c>
      <c r="T2164" t="inlineStr">
        <is>
          <t>BTBR\test\c3m3.mp4</t>
        </is>
      </c>
      <c r="U2164" t="n">
        <v>15586</v>
      </c>
      <c r="V2164" t="n">
        <v>15613</v>
      </c>
      <c r="W2164" t="n">
        <v/>
      </c>
      <c r="X2164" t="n">
        <v/>
      </c>
      <c r="Y2164" t="n">
        <v/>
      </c>
      <c r="Z2164" t="n">
        <v/>
      </c>
      <c r="AA2164">
        <f>SUMIFS($S$2:S2164,$A$2:A2164,A2164,$N$2:N2164,"Explore*")</f>
        <v/>
      </c>
      <c r="AB2164">
        <f>IF(AND(LEFT(N2164,7)="Explore",(AA2164-IF(LEFT(N2164,7)="Explore",S2164,0))&lt;10),"SI","NO")</f>
        <v/>
      </c>
    </row>
    <row r="2165">
      <c r="A2165" t="inlineStr">
        <is>
          <t>c3m3_test</t>
        </is>
      </c>
      <c r="B2165" t="inlineStr">
        <is>
          <t>2026-01-28 12:13:59.724</t>
        </is>
      </c>
      <c r="C2165" t="n">
        <v/>
      </c>
      <c r="D2165" t="inlineStr">
        <is>
          <t>Media file</t>
        </is>
      </c>
      <c r="E2165" t="inlineStr">
        <is>
          <t>player #1:BTBR\test\c3m3.mp4</t>
        </is>
      </c>
      <c r="F2165" t="n">
        <v>-14.067</v>
      </c>
      <c r="G2165" t="n">
        <v>595.199</v>
      </c>
      <c r="H2165" t="n">
        <v>624.433</v>
      </c>
      <c r="I2165" t="n">
        <v>30</v>
      </c>
      <c r="J2165" t="inlineStr">
        <is>
          <t>BTBR</t>
        </is>
      </c>
      <c r="K2165" t="inlineStr">
        <is>
          <t>Male</t>
        </is>
      </c>
      <c r="L2165" t="inlineStr">
        <is>
          <t>No focal subject</t>
        </is>
      </c>
      <c r="M2165" t="n">
        <v>31.332</v>
      </c>
      <c r="N2165" t="inlineStr">
        <is>
          <t>Explore_N</t>
        </is>
      </c>
      <c r="O2165" t="inlineStr">
        <is>
          <t>Novelty</t>
        </is>
      </c>
      <c r="P2165" t="inlineStr">
        <is>
          <t>STATE</t>
        </is>
      </c>
      <c r="Q2165" t="n">
        <v>518.032</v>
      </c>
      <c r="R2165" t="n">
        <v>518.432</v>
      </c>
      <c r="S2165" t="n">
        <v>0.4</v>
      </c>
      <c r="T2165" t="inlineStr">
        <is>
          <t>BTBR\test\c3m3.mp4</t>
        </is>
      </c>
      <c r="U2165" t="n">
        <v>15962</v>
      </c>
      <c r="V2165" t="n">
        <v>15974</v>
      </c>
      <c r="W2165" t="n">
        <v/>
      </c>
      <c r="X2165" t="n">
        <v/>
      </c>
      <c r="Y2165" t="n">
        <v/>
      </c>
      <c r="Z2165" t="n">
        <v/>
      </c>
      <c r="AA2165">
        <f>SUMIFS($S$2:S2165,$A$2:A2165,A2165,$N$2:N2165,"Explore*")</f>
        <v/>
      </c>
      <c r="AB2165">
        <f>IF(AND(LEFT(N2165,7)="Explore",(AA2165-IF(LEFT(N2165,7)="Explore",S2165,0))&lt;10),"SI","NO")</f>
        <v/>
      </c>
    </row>
    <row r="2166">
      <c r="A2166" t="inlineStr">
        <is>
          <t>c3m3_test</t>
        </is>
      </c>
      <c r="B2166" t="inlineStr">
        <is>
          <t>2026-01-28 12:13:59.724</t>
        </is>
      </c>
      <c r="C2166" t="n">
        <v/>
      </c>
      <c r="D2166" t="inlineStr">
        <is>
          <t>Media file</t>
        </is>
      </c>
      <c r="E2166" t="inlineStr">
        <is>
          <t>player #1:BTBR\test\c3m3.mp4</t>
        </is>
      </c>
      <c r="F2166" t="n">
        <v>-14.067</v>
      </c>
      <c r="G2166" t="n">
        <v>595.199</v>
      </c>
      <c r="H2166" t="n">
        <v>624.433</v>
      </c>
      <c r="I2166" t="n">
        <v>30</v>
      </c>
      <c r="J2166" t="inlineStr">
        <is>
          <t>BTBR</t>
        </is>
      </c>
      <c r="K2166" t="inlineStr">
        <is>
          <t>Male</t>
        </is>
      </c>
      <c r="L2166" t="inlineStr">
        <is>
          <t>No focal subject</t>
        </is>
      </c>
      <c r="M2166" t="n">
        <v>31.332</v>
      </c>
      <c r="N2166" t="inlineStr">
        <is>
          <t>Explore_N</t>
        </is>
      </c>
      <c r="O2166" t="inlineStr">
        <is>
          <t>Novelty</t>
        </is>
      </c>
      <c r="P2166" t="inlineStr">
        <is>
          <t>STATE</t>
        </is>
      </c>
      <c r="Q2166" t="n">
        <v>542.999</v>
      </c>
      <c r="R2166" t="n">
        <v>543.366</v>
      </c>
      <c r="S2166" t="n">
        <v>0.367</v>
      </c>
      <c r="T2166" t="inlineStr">
        <is>
          <t>BTBR\test\c3m3.mp4</t>
        </is>
      </c>
      <c r="U2166" t="n">
        <v>16711</v>
      </c>
      <c r="V2166" t="n">
        <v>16722</v>
      </c>
      <c r="W2166" t="n">
        <v/>
      </c>
      <c r="X2166" t="n">
        <v/>
      </c>
      <c r="Y2166" t="n">
        <v/>
      </c>
      <c r="Z2166" t="n">
        <v/>
      </c>
      <c r="AA2166">
        <f>SUMIFS($S$2:S2166,$A$2:A2166,A2166,$N$2:N2166,"Explore*")</f>
        <v/>
      </c>
      <c r="AB2166">
        <f>IF(AND(LEFT(N2166,7)="Explore",(AA2166-IF(LEFT(N2166,7)="Explore",S2166,0))&lt;10),"SI","NO")</f>
        <v/>
      </c>
    </row>
    <row r="2167">
      <c r="A2167" t="inlineStr">
        <is>
          <t>c3m3_test</t>
        </is>
      </c>
      <c r="B2167" t="inlineStr">
        <is>
          <t>2026-01-28 12:13:59.724</t>
        </is>
      </c>
      <c r="C2167" t="n">
        <v/>
      </c>
      <c r="D2167" t="inlineStr">
        <is>
          <t>Media file</t>
        </is>
      </c>
      <c r="E2167" t="inlineStr">
        <is>
          <t>player #1:BTBR\test\c3m3.mp4</t>
        </is>
      </c>
      <c r="F2167" t="n">
        <v>-14.067</v>
      </c>
      <c r="G2167" t="n">
        <v>595.199</v>
      </c>
      <c r="H2167" t="n">
        <v>624.433</v>
      </c>
      <c r="I2167" t="n">
        <v>30</v>
      </c>
      <c r="J2167" t="inlineStr">
        <is>
          <t>BTBR</t>
        </is>
      </c>
      <c r="K2167" t="inlineStr">
        <is>
          <t>Male</t>
        </is>
      </c>
      <c r="L2167" t="inlineStr">
        <is>
          <t>No focal subject</t>
        </is>
      </c>
      <c r="M2167" t="n">
        <v>31.332</v>
      </c>
      <c r="N2167" t="inlineStr">
        <is>
          <t>Explore_F</t>
        </is>
      </c>
      <c r="O2167" t="inlineStr">
        <is>
          <t>Familiar</t>
        </is>
      </c>
      <c r="P2167" t="inlineStr">
        <is>
          <t>STATE</t>
        </is>
      </c>
      <c r="Q2167" t="n">
        <v>561.6660000000001</v>
      </c>
      <c r="R2167" t="n">
        <v>561.999</v>
      </c>
      <c r="S2167" t="n">
        <v>0.333</v>
      </c>
      <c r="T2167" t="inlineStr">
        <is>
          <t>BTBR\test\c3m3.mp4</t>
        </is>
      </c>
      <c r="U2167" t="n">
        <v>17271</v>
      </c>
      <c r="V2167" t="n">
        <v>17281</v>
      </c>
      <c r="W2167" t="n">
        <v/>
      </c>
      <c r="X2167" t="n">
        <v/>
      </c>
      <c r="Y2167" t="n">
        <v/>
      </c>
      <c r="Z2167" t="n">
        <v/>
      </c>
      <c r="AA2167">
        <f>SUMIFS($S$2:S2167,$A$2:A2167,A2167,$N$2:N2167,"Explore*")</f>
        <v/>
      </c>
      <c r="AB2167">
        <f>IF(AND(LEFT(N2167,7)="Explore",(AA2167-IF(LEFT(N2167,7)="Explore",S2167,0))&lt;10),"SI","NO")</f>
        <v/>
      </c>
    </row>
    <row r="2168">
      <c r="A2168" t="inlineStr">
        <is>
          <t>c3m3_test</t>
        </is>
      </c>
      <c r="B2168" t="inlineStr">
        <is>
          <t>2026-01-28 12:13:59.724</t>
        </is>
      </c>
      <c r="C2168" t="n">
        <v/>
      </c>
      <c r="D2168" t="inlineStr">
        <is>
          <t>Media file</t>
        </is>
      </c>
      <c r="E2168" t="inlineStr">
        <is>
          <t>player #1:BTBR\test\c3m3.mp4</t>
        </is>
      </c>
      <c r="F2168" t="n">
        <v>-14.067</v>
      </c>
      <c r="G2168" t="n">
        <v>595.199</v>
      </c>
      <c r="H2168" t="n">
        <v>624.433</v>
      </c>
      <c r="I2168" t="n">
        <v>30</v>
      </c>
      <c r="J2168" t="inlineStr">
        <is>
          <t>BTBR</t>
        </is>
      </c>
      <c r="K2168" t="inlineStr">
        <is>
          <t>Male</t>
        </is>
      </c>
      <c r="L2168" t="inlineStr">
        <is>
          <t>No focal subject</t>
        </is>
      </c>
      <c r="M2168" t="n">
        <v>31.332</v>
      </c>
      <c r="N2168" t="inlineStr">
        <is>
          <t>Explore_N</t>
        </is>
      </c>
      <c r="O2168" t="inlineStr">
        <is>
          <t>Novelty</t>
        </is>
      </c>
      <c r="P2168" t="inlineStr">
        <is>
          <t>STATE</t>
        </is>
      </c>
      <c r="Q2168" t="n">
        <v>570.6660000000001</v>
      </c>
      <c r="R2168" t="n">
        <v>571.1660000000001</v>
      </c>
      <c r="S2168" t="n">
        <v>0.5</v>
      </c>
      <c r="T2168" t="inlineStr">
        <is>
          <t>BTBR\test\c3m3.mp4</t>
        </is>
      </c>
      <c r="U2168" t="n">
        <v>17541</v>
      </c>
      <c r="V2168" t="n">
        <v>17556</v>
      </c>
      <c r="W2168" t="n">
        <v/>
      </c>
      <c r="X2168" t="n">
        <v/>
      </c>
      <c r="Y2168" t="n">
        <v/>
      </c>
      <c r="Z2168" t="n">
        <v/>
      </c>
      <c r="AA2168">
        <f>SUMIFS($S$2:S2168,$A$2:A2168,A2168,$N$2:N2168,"Explore*")</f>
        <v/>
      </c>
      <c r="AB2168">
        <f>IF(AND(LEFT(N2168,7)="Explore",(AA2168-IF(LEFT(N2168,7)="Explore",S2168,0))&lt;10),"SI","NO")</f>
        <v/>
      </c>
    </row>
    <row r="2169">
      <c r="A2169" t="inlineStr">
        <is>
          <t>c3m3_test</t>
        </is>
      </c>
      <c r="B2169" t="inlineStr">
        <is>
          <t>2026-01-28 12:13:59.724</t>
        </is>
      </c>
      <c r="C2169" t="n">
        <v/>
      </c>
      <c r="D2169" t="inlineStr">
        <is>
          <t>Media file</t>
        </is>
      </c>
      <c r="E2169" t="inlineStr">
        <is>
          <t>player #1:BTBR\test\c3m3.mp4</t>
        </is>
      </c>
      <c r="F2169" t="n">
        <v>-14.067</v>
      </c>
      <c r="G2169" t="n">
        <v>595.199</v>
      </c>
      <c r="H2169" t="n">
        <v>624.433</v>
      </c>
      <c r="I2169" t="n">
        <v>30</v>
      </c>
      <c r="J2169" t="inlineStr">
        <is>
          <t>BTBR</t>
        </is>
      </c>
      <c r="K2169" t="inlineStr">
        <is>
          <t>Male</t>
        </is>
      </c>
      <c r="L2169" t="inlineStr">
        <is>
          <t>No focal subject</t>
        </is>
      </c>
      <c r="M2169" t="n">
        <v>31.332</v>
      </c>
      <c r="N2169" t="inlineStr">
        <is>
          <t>Explore_F</t>
        </is>
      </c>
      <c r="O2169" t="inlineStr">
        <is>
          <t>Familiar</t>
        </is>
      </c>
      <c r="P2169" t="inlineStr">
        <is>
          <t>STATE</t>
        </is>
      </c>
      <c r="Q2169" t="n">
        <v>591.866</v>
      </c>
      <c r="R2169" t="n">
        <v>592.199</v>
      </c>
      <c r="S2169" t="n">
        <v>0.333</v>
      </c>
      <c r="T2169" t="inlineStr">
        <is>
          <t>BTBR\test\c3m3.mp4</t>
        </is>
      </c>
      <c r="U2169" t="n">
        <v>18177</v>
      </c>
      <c r="V2169" t="n">
        <v>18187</v>
      </c>
      <c r="W2169" t="n">
        <v/>
      </c>
      <c r="X2169" t="n">
        <v/>
      </c>
      <c r="Y2169" t="n">
        <v/>
      </c>
      <c r="Z2169" t="n">
        <v/>
      </c>
      <c r="AA2169">
        <f>SUMIFS($S$2:S2169,$A$2:A2169,A2169,$N$2:N2169,"Explore*")</f>
        <v/>
      </c>
      <c r="AB2169">
        <f>IF(AND(LEFT(N2169,7)="Explore",(AA2169-IF(LEFT(N2169,7)="Explore",S2169,0))&lt;10),"SI","NO")</f>
        <v/>
      </c>
    </row>
    <row r="2170">
      <c r="A2170" t="inlineStr">
        <is>
          <t>c3m3_test</t>
        </is>
      </c>
      <c r="B2170" t="inlineStr">
        <is>
          <t>2026-01-28 12:13:59.724</t>
        </is>
      </c>
      <c r="C2170" t="n">
        <v/>
      </c>
      <c r="D2170" t="inlineStr">
        <is>
          <t>Media file</t>
        </is>
      </c>
      <c r="E2170" t="inlineStr">
        <is>
          <t>player #1:BTBR\test\c3m3.mp4</t>
        </is>
      </c>
      <c r="F2170" t="n">
        <v>-14.067</v>
      </c>
      <c r="G2170" t="n">
        <v>595.199</v>
      </c>
      <c r="H2170" t="n">
        <v>624.433</v>
      </c>
      <c r="I2170" t="n">
        <v>30</v>
      </c>
      <c r="J2170" t="inlineStr">
        <is>
          <t>BTBR</t>
        </is>
      </c>
      <c r="K2170" t="inlineStr">
        <is>
          <t>Male</t>
        </is>
      </c>
      <c r="L2170" t="inlineStr">
        <is>
          <t>No focal subject</t>
        </is>
      </c>
      <c r="M2170" t="n">
        <v>31.332</v>
      </c>
      <c r="N2170" t="inlineStr">
        <is>
          <t>Explore_N</t>
        </is>
      </c>
      <c r="O2170" t="inlineStr">
        <is>
          <t>Novelty</t>
        </is>
      </c>
      <c r="P2170" t="inlineStr">
        <is>
          <t>STATE</t>
        </is>
      </c>
      <c r="Q2170" t="n">
        <v>598.899</v>
      </c>
      <c r="R2170" t="n">
        <v>599.399</v>
      </c>
      <c r="S2170" t="n">
        <v>0.5</v>
      </c>
      <c r="T2170" t="inlineStr">
        <is>
          <t>BTBR\test\c3m3.mp4</t>
        </is>
      </c>
      <c r="U2170" t="n">
        <v>18388</v>
      </c>
      <c r="V2170" t="n">
        <v>18403</v>
      </c>
      <c r="W2170" t="n">
        <v/>
      </c>
      <c r="X2170" t="n">
        <v/>
      </c>
      <c r="Y2170" t="n">
        <v/>
      </c>
      <c r="Z2170" t="n">
        <v/>
      </c>
      <c r="AA2170">
        <f>SUMIFS($S$2:S2170,$A$2:A2170,A2170,$N$2:N2170,"Explore*")</f>
        <v/>
      </c>
      <c r="AB2170">
        <f>IF(AND(LEFT(N2170,7)="Explore",(AA2170-IF(LEFT(N2170,7)="Explore",S2170,0))&lt;10),"SI","NO")</f>
        <v/>
      </c>
    </row>
    <row r="2171">
      <c r="A2171" t="inlineStr">
        <is>
          <t>c4f1_test</t>
        </is>
      </c>
      <c r="B2171" t="inlineStr">
        <is>
          <t>2026-01-28 12:29:46.125</t>
        </is>
      </c>
      <c r="C2171" t="n">
        <v/>
      </c>
      <c r="D2171" t="inlineStr">
        <is>
          <t>Media file</t>
        </is>
      </c>
      <c r="E2171" t="inlineStr">
        <is>
          <t>player #1:BTBR\test\c4f1.mp4</t>
        </is>
      </c>
      <c r="F2171" t="n">
        <v>-14.367</v>
      </c>
      <c r="G2171" t="n">
        <v>595.333</v>
      </c>
      <c r="H2171" t="n">
        <v>641.999</v>
      </c>
      <c r="I2171" t="n">
        <v>30</v>
      </c>
      <c r="J2171" t="inlineStr">
        <is>
          <t>BTBR</t>
        </is>
      </c>
      <c r="K2171" t="inlineStr">
        <is>
          <t xml:space="preserve"> Female</t>
        </is>
      </c>
      <c r="L2171" t="inlineStr">
        <is>
          <t>No focal subject</t>
        </is>
      </c>
      <c r="M2171" t="n">
        <v>34.671</v>
      </c>
      <c r="N2171" t="inlineStr">
        <is>
          <t>Explore_N</t>
        </is>
      </c>
      <c r="O2171" t="inlineStr">
        <is>
          <t>Novelty</t>
        </is>
      </c>
      <c r="P2171" t="inlineStr">
        <is>
          <t>STATE</t>
        </is>
      </c>
      <c r="Q2171" t="n">
        <v>3.933</v>
      </c>
      <c r="R2171" t="n">
        <v>4.4</v>
      </c>
      <c r="S2171" t="n">
        <v>0.467</v>
      </c>
      <c r="T2171" t="inlineStr">
        <is>
          <t>BTBR\test\c4f1.mp4</t>
        </is>
      </c>
      <c r="U2171" t="n">
        <v>118</v>
      </c>
      <c r="V2171" t="n">
        <v>132</v>
      </c>
      <c r="W2171" t="n">
        <v/>
      </c>
      <c r="X2171" t="n">
        <v/>
      </c>
      <c r="Y2171" t="n">
        <v/>
      </c>
      <c r="Z2171" t="n">
        <v/>
      </c>
      <c r="AA2171">
        <f>SUMIFS($S$2:S2171,$A$2:A2171,A2171,$N$2:N2171,"Explore*")</f>
        <v/>
      </c>
      <c r="AB2171">
        <f>IF(AND(LEFT(N2171,7)="Explore",(AA2171-IF(LEFT(N2171,7)="Explore",S2171,0))&lt;10),"SI","NO")</f>
        <v/>
      </c>
    </row>
    <row r="2172">
      <c r="A2172" t="inlineStr">
        <is>
          <t>c4f1_test</t>
        </is>
      </c>
      <c r="B2172" t="inlineStr">
        <is>
          <t>2026-01-28 12:29:46.125</t>
        </is>
      </c>
      <c r="C2172" t="n">
        <v/>
      </c>
      <c r="D2172" t="inlineStr">
        <is>
          <t>Media file</t>
        </is>
      </c>
      <c r="E2172" t="inlineStr">
        <is>
          <t>player #1:BTBR\test\c4f1.mp4</t>
        </is>
      </c>
      <c r="F2172" t="n">
        <v>-14.367</v>
      </c>
      <c r="G2172" t="n">
        <v>595.333</v>
      </c>
      <c r="H2172" t="n">
        <v>641.999</v>
      </c>
      <c r="I2172" t="n">
        <v>30</v>
      </c>
      <c r="J2172" t="inlineStr">
        <is>
          <t>BTBR</t>
        </is>
      </c>
      <c r="K2172" t="inlineStr">
        <is>
          <t xml:space="preserve"> Female</t>
        </is>
      </c>
      <c r="L2172" t="inlineStr">
        <is>
          <t>No focal subject</t>
        </is>
      </c>
      <c r="M2172" t="n">
        <v>34.671</v>
      </c>
      <c r="N2172" t="inlineStr">
        <is>
          <t>Explore_N</t>
        </is>
      </c>
      <c r="O2172" t="inlineStr">
        <is>
          <t>Novelty</t>
        </is>
      </c>
      <c r="P2172" t="inlineStr">
        <is>
          <t>STATE</t>
        </is>
      </c>
      <c r="Q2172" t="n">
        <v>5.566</v>
      </c>
      <c r="R2172" t="n">
        <v>6.3</v>
      </c>
      <c r="S2172" t="n">
        <v>0.734</v>
      </c>
      <c r="T2172" t="inlineStr">
        <is>
          <t>BTBR\test\c4f1.mp4</t>
        </is>
      </c>
      <c r="U2172" t="n">
        <v>167</v>
      </c>
      <c r="V2172" t="n">
        <v>189</v>
      </c>
      <c r="W2172" t="n">
        <v/>
      </c>
      <c r="X2172" t="n">
        <v/>
      </c>
      <c r="Y2172" t="n">
        <v/>
      </c>
      <c r="Z2172" t="n">
        <v/>
      </c>
      <c r="AA2172">
        <f>SUMIFS($S$2:S2172,$A$2:A2172,A2172,$N$2:N2172,"Explore*")</f>
        <v/>
      </c>
      <c r="AB2172">
        <f>IF(AND(LEFT(N2172,7)="Explore",(AA2172-IF(LEFT(N2172,7)="Explore",S2172,0))&lt;10),"SI","NO")</f>
        <v/>
      </c>
    </row>
    <row r="2173">
      <c r="A2173" t="inlineStr">
        <is>
          <t>c4f1_test</t>
        </is>
      </c>
      <c r="B2173" t="inlineStr">
        <is>
          <t>2026-01-28 12:29:46.125</t>
        </is>
      </c>
      <c r="C2173" t="n">
        <v/>
      </c>
      <c r="D2173" t="inlineStr">
        <is>
          <t>Media file</t>
        </is>
      </c>
      <c r="E2173" t="inlineStr">
        <is>
          <t>player #1:BTBR\test\c4f1.mp4</t>
        </is>
      </c>
      <c r="F2173" t="n">
        <v>-14.367</v>
      </c>
      <c r="G2173" t="n">
        <v>595.333</v>
      </c>
      <c r="H2173" t="n">
        <v>641.999</v>
      </c>
      <c r="I2173" t="n">
        <v>30</v>
      </c>
      <c r="J2173" t="inlineStr">
        <is>
          <t>BTBR</t>
        </is>
      </c>
      <c r="K2173" t="inlineStr">
        <is>
          <t xml:space="preserve"> Female</t>
        </is>
      </c>
      <c r="L2173" t="inlineStr">
        <is>
          <t>No focal subject</t>
        </is>
      </c>
      <c r="M2173" t="n">
        <v>34.671</v>
      </c>
      <c r="N2173" t="inlineStr">
        <is>
          <t>Explore_F</t>
        </is>
      </c>
      <c r="O2173" t="inlineStr">
        <is>
          <t>Familiar</t>
        </is>
      </c>
      <c r="P2173" t="inlineStr">
        <is>
          <t>STATE</t>
        </is>
      </c>
      <c r="Q2173" t="n">
        <v>24.233</v>
      </c>
      <c r="R2173" t="n">
        <v>24.933</v>
      </c>
      <c r="S2173" t="n">
        <v>0.7</v>
      </c>
      <c r="T2173" t="inlineStr">
        <is>
          <t>BTBR\test\c4f1.mp4</t>
        </is>
      </c>
      <c r="U2173" t="n">
        <v>726</v>
      </c>
      <c r="V2173" t="n">
        <v>747</v>
      </c>
      <c r="W2173" t="n">
        <v/>
      </c>
      <c r="X2173" t="n">
        <v/>
      </c>
      <c r="Y2173" t="n">
        <v/>
      </c>
      <c r="Z2173" t="n">
        <v/>
      </c>
      <c r="AA2173">
        <f>SUMIFS($S$2:S2173,$A$2:A2173,A2173,$N$2:N2173,"Explore*")</f>
        <v/>
      </c>
      <c r="AB2173">
        <f>IF(AND(LEFT(N2173,7)="Explore",(AA2173-IF(LEFT(N2173,7)="Explore",S2173,0))&lt;10),"SI","NO")</f>
        <v/>
      </c>
    </row>
    <row r="2174">
      <c r="A2174" t="inlineStr">
        <is>
          <t>c4f1_test</t>
        </is>
      </c>
      <c r="B2174" t="inlineStr">
        <is>
          <t>2026-01-28 12:29:46.125</t>
        </is>
      </c>
      <c r="C2174" t="n">
        <v/>
      </c>
      <c r="D2174" t="inlineStr">
        <is>
          <t>Media file</t>
        </is>
      </c>
      <c r="E2174" t="inlineStr">
        <is>
          <t>player #1:BTBR\test\c4f1.mp4</t>
        </is>
      </c>
      <c r="F2174" t="n">
        <v>-14.367</v>
      </c>
      <c r="G2174" t="n">
        <v>595.333</v>
      </c>
      <c r="H2174" t="n">
        <v>641.999</v>
      </c>
      <c r="I2174" t="n">
        <v>30</v>
      </c>
      <c r="J2174" t="inlineStr">
        <is>
          <t>BTBR</t>
        </is>
      </c>
      <c r="K2174" t="inlineStr">
        <is>
          <t xml:space="preserve"> Female</t>
        </is>
      </c>
      <c r="L2174" t="inlineStr">
        <is>
          <t>No focal subject</t>
        </is>
      </c>
      <c r="M2174" t="n">
        <v>34.671</v>
      </c>
      <c r="N2174" t="inlineStr">
        <is>
          <t>Explore_N</t>
        </is>
      </c>
      <c r="O2174" t="inlineStr">
        <is>
          <t>Novelty</t>
        </is>
      </c>
      <c r="P2174" t="inlineStr">
        <is>
          <t>STATE</t>
        </is>
      </c>
      <c r="Q2174" t="n">
        <v>25.933</v>
      </c>
      <c r="R2174" t="n">
        <v>28.066</v>
      </c>
      <c r="S2174" t="n">
        <v>2.133</v>
      </c>
      <c r="T2174" t="inlineStr">
        <is>
          <t>BTBR\test\c4f1.mp4</t>
        </is>
      </c>
      <c r="U2174" t="n">
        <v>777</v>
      </c>
      <c r="V2174" t="n">
        <v>841</v>
      </c>
      <c r="W2174" t="n">
        <v/>
      </c>
      <c r="X2174" t="n">
        <v/>
      </c>
      <c r="Y2174" t="n">
        <v/>
      </c>
      <c r="Z2174" t="n">
        <v/>
      </c>
      <c r="AA2174">
        <f>SUMIFS($S$2:S2174,$A$2:A2174,A2174,$N$2:N2174,"Explore*")</f>
        <v/>
      </c>
      <c r="AB2174">
        <f>IF(AND(LEFT(N2174,7)="Explore",(AA2174-IF(LEFT(N2174,7)="Explore",S2174,0))&lt;10),"SI","NO")</f>
        <v/>
      </c>
    </row>
    <row r="2175">
      <c r="A2175" t="inlineStr">
        <is>
          <t>c4f1_test</t>
        </is>
      </c>
      <c r="B2175" t="inlineStr">
        <is>
          <t>2026-01-28 12:29:46.125</t>
        </is>
      </c>
      <c r="C2175" t="n">
        <v/>
      </c>
      <c r="D2175" t="inlineStr">
        <is>
          <t>Media file</t>
        </is>
      </c>
      <c r="E2175" t="inlineStr">
        <is>
          <t>player #1:BTBR\test\c4f1.mp4</t>
        </is>
      </c>
      <c r="F2175" t="n">
        <v>-14.367</v>
      </c>
      <c r="G2175" t="n">
        <v>595.333</v>
      </c>
      <c r="H2175" t="n">
        <v>641.999</v>
      </c>
      <c r="I2175" t="n">
        <v>30</v>
      </c>
      <c r="J2175" t="inlineStr">
        <is>
          <t>BTBR</t>
        </is>
      </c>
      <c r="K2175" t="inlineStr">
        <is>
          <t xml:space="preserve"> Female</t>
        </is>
      </c>
      <c r="L2175" t="inlineStr">
        <is>
          <t>No focal subject</t>
        </is>
      </c>
      <c r="M2175" t="n">
        <v>34.671</v>
      </c>
      <c r="N2175" t="inlineStr">
        <is>
          <t>Explore_F</t>
        </is>
      </c>
      <c r="O2175" t="inlineStr">
        <is>
          <t>Familiar</t>
        </is>
      </c>
      <c r="P2175" t="inlineStr">
        <is>
          <t>STATE</t>
        </is>
      </c>
      <c r="Q2175" t="n">
        <v>30.066</v>
      </c>
      <c r="R2175" t="n">
        <v>30.433</v>
      </c>
      <c r="S2175" t="n">
        <v>0.367</v>
      </c>
      <c r="T2175" t="inlineStr">
        <is>
          <t>BTBR\test\c4f1.mp4</t>
        </is>
      </c>
      <c r="U2175" t="n">
        <v>901</v>
      </c>
      <c r="V2175" t="n">
        <v>912</v>
      </c>
      <c r="W2175" t="n">
        <v/>
      </c>
      <c r="X2175" t="n">
        <v/>
      </c>
      <c r="Y2175" t="n">
        <v/>
      </c>
      <c r="Z2175" t="n">
        <v/>
      </c>
      <c r="AA2175">
        <f>SUMIFS($S$2:S2175,$A$2:A2175,A2175,$N$2:N2175,"Explore*")</f>
        <v/>
      </c>
      <c r="AB2175">
        <f>IF(AND(LEFT(N2175,7)="Explore",(AA2175-IF(LEFT(N2175,7)="Explore",S2175,0))&lt;10),"SI","NO")</f>
        <v/>
      </c>
    </row>
    <row r="2176">
      <c r="A2176" t="inlineStr">
        <is>
          <t>c4f1_test</t>
        </is>
      </c>
      <c r="B2176" t="inlineStr">
        <is>
          <t>2026-01-28 12:29:46.125</t>
        </is>
      </c>
      <c r="C2176" t="n">
        <v/>
      </c>
      <c r="D2176" t="inlineStr">
        <is>
          <t>Media file</t>
        </is>
      </c>
      <c r="E2176" t="inlineStr">
        <is>
          <t>player #1:BTBR\test\c4f1.mp4</t>
        </is>
      </c>
      <c r="F2176" t="n">
        <v>-14.367</v>
      </c>
      <c r="G2176" t="n">
        <v>595.333</v>
      </c>
      <c r="H2176" t="n">
        <v>641.999</v>
      </c>
      <c r="I2176" t="n">
        <v>30</v>
      </c>
      <c r="J2176" t="inlineStr">
        <is>
          <t>BTBR</t>
        </is>
      </c>
      <c r="K2176" t="inlineStr">
        <is>
          <t xml:space="preserve"> Female</t>
        </is>
      </c>
      <c r="L2176" t="inlineStr">
        <is>
          <t>No focal subject</t>
        </is>
      </c>
      <c r="M2176" t="n">
        <v>34.671</v>
      </c>
      <c r="N2176" t="inlineStr">
        <is>
          <t>Explore_N</t>
        </is>
      </c>
      <c r="O2176" t="inlineStr">
        <is>
          <t>Novelty</t>
        </is>
      </c>
      <c r="P2176" t="inlineStr">
        <is>
          <t>STATE</t>
        </is>
      </c>
      <c r="Q2176" t="n">
        <v>30.9</v>
      </c>
      <c r="R2176" t="n">
        <v>31.8</v>
      </c>
      <c r="S2176" t="n">
        <v>0.9</v>
      </c>
      <c r="T2176" t="inlineStr">
        <is>
          <t>BTBR\test\c4f1.mp4</t>
        </is>
      </c>
      <c r="U2176" t="n">
        <v>926</v>
      </c>
      <c r="V2176" t="n">
        <v>953</v>
      </c>
      <c r="W2176" t="n">
        <v/>
      </c>
      <c r="X2176" t="n">
        <v/>
      </c>
      <c r="Y2176" t="n">
        <v/>
      </c>
      <c r="Z2176" t="n">
        <v/>
      </c>
      <c r="AA2176">
        <f>SUMIFS($S$2:S2176,$A$2:A2176,A2176,$N$2:N2176,"Explore*")</f>
        <v/>
      </c>
      <c r="AB2176">
        <f>IF(AND(LEFT(N2176,7)="Explore",(AA2176-IF(LEFT(N2176,7)="Explore",S2176,0))&lt;10),"SI","NO")</f>
        <v/>
      </c>
    </row>
    <row r="2177">
      <c r="A2177" t="inlineStr">
        <is>
          <t>c4f1_test</t>
        </is>
      </c>
      <c r="B2177" t="inlineStr">
        <is>
          <t>2026-01-28 12:29:46.125</t>
        </is>
      </c>
      <c r="C2177" t="n">
        <v/>
      </c>
      <c r="D2177" t="inlineStr">
        <is>
          <t>Media file</t>
        </is>
      </c>
      <c r="E2177" t="inlineStr">
        <is>
          <t>player #1:BTBR\test\c4f1.mp4</t>
        </is>
      </c>
      <c r="F2177" t="n">
        <v>-14.367</v>
      </c>
      <c r="G2177" t="n">
        <v>595.333</v>
      </c>
      <c r="H2177" t="n">
        <v>641.999</v>
      </c>
      <c r="I2177" t="n">
        <v>30</v>
      </c>
      <c r="J2177" t="inlineStr">
        <is>
          <t>BTBR</t>
        </is>
      </c>
      <c r="K2177" t="inlineStr">
        <is>
          <t xml:space="preserve"> Female</t>
        </is>
      </c>
      <c r="L2177" t="inlineStr">
        <is>
          <t>No focal subject</t>
        </is>
      </c>
      <c r="M2177" t="n">
        <v>34.671</v>
      </c>
      <c r="N2177" t="inlineStr">
        <is>
          <t>Explore_N</t>
        </is>
      </c>
      <c r="O2177" t="inlineStr">
        <is>
          <t>Novelty</t>
        </is>
      </c>
      <c r="P2177" t="inlineStr">
        <is>
          <t>STATE</t>
        </is>
      </c>
      <c r="Q2177" t="n">
        <v>45.166</v>
      </c>
      <c r="R2177" t="n">
        <v>45.633</v>
      </c>
      <c r="S2177" t="n">
        <v>0.467</v>
      </c>
      <c r="T2177" t="inlineStr">
        <is>
          <t>BTBR\test\c4f1.mp4</t>
        </is>
      </c>
      <c r="U2177" t="n">
        <v>1353</v>
      </c>
      <c r="V2177" t="n">
        <v>1367</v>
      </c>
      <c r="W2177" t="n">
        <v/>
      </c>
      <c r="X2177" t="n">
        <v/>
      </c>
      <c r="Y2177" t="n">
        <v/>
      </c>
      <c r="Z2177" t="n">
        <v/>
      </c>
      <c r="AA2177">
        <f>SUMIFS($S$2:S2177,$A$2:A2177,A2177,$N$2:N2177,"Explore*")</f>
        <v/>
      </c>
      <c r="AB2177">
        <f>IF(AND(LEFT(N2177,7)="Explore",(AA2177-IF(LEFT(N2177,7)="Explore",S2177,0))&lt;10),"SI","NO")</f>
        <v/>
      </c>
    </row>
    <row r="2178">
      <c r="A2178" t="inlineStr">
        <is>
          <t>c4f1_test</t>
        </is>
      </c>
      <c r="B2178" t="inlineStr">
        <is>
          <t>2026-01-28 12:29:46.125</t>
        </is>
      </c>
      <c r="C2178" t="n">
        <v/>
      </c>
      <c r="D2178" t="inlineStr">
        <is>
          <t>Media file</t>
        </is>
      </c>
      <c r="E2178" t="inlineStr">
        <is>
          <t>player #1:BTBR\test\c4f1.mp4</t>
        </is>
      </c>
      <c r="F2178" t="n">
        <v>-14.367</v>
      </c>
      <c r="G2178" t="n">
        <v>595.333</v>
      </c>
      <c r="H2178" t="n">
        <v>641.999</v>
      </c>
      <c r="I2178" t="n">
        <v>30</v>
      </c>
      <c r="J2178" t="inlineStr">
        <is>
          <t>BTBR</t>
        </is>
      </c>
      <c r="K2178" t="inlineStr">
        <is>
          <t xml:space="preserve"> Female</t>
        </is>
      </c>
      <c r="L2178" t="inlineStr">
        <is>
          <t>No focal subject</t>
        </is>
      </c>
      <c r="M2178" t="n">
        <v>34.671</v>
      </c>
      <c r="N2178" t="inlineStr">
        <is>
          <t>Explore_N</t>
        </is>
      </c>
      <c r="O2178" t="inlineStr">
        <is>
          <t>Novelty</t>
        </is>
      </c>
      <c r="P2178" t="inlineStr">
        <is>
          <t>STATE</t>
        </is>
      </c>
      <c r="Q2178" t="n">
        <v>49.6</v>
      </c>
      <c r="R2178" t="n">
        <v>50</v>
      </c>
      <c r="S2178" t="n">
        <v>0.4</v>
      </c>
      <c r="T2178" t="inlineStr">
        <is>
          <t>BTBR\test\c4f1.mp4</t>
        </is>
      </c>
      <c r="U2178" t="n">
        <v>1486</v>
      </c>
      <c r="V2178" t="n">
        <v>1500</v>
      </c>
      <c r="W2178" t="n">
        <v/>
      </c>
      <c r="X2178" t="n">
        <v/>
      </c>
      <c r="Y2178" t="n">
        <v/>
      </c>
      <c r="Z2178" t="n">
        <v/>
      </c>
      <c r="AA2178">
        <f>SUMIFS($S$2:S2178,$A$2:A2178,A2178,$N$2:N2178,"Explore*")</f>
        <v/>
      </c>
      <c r="AB2178">
        <f>IF(AND(LEFT(N2178,7)="Explore",(AA2178-IF(LEFT(N2178,7)="Explore",S2178,0))&lt;10),"SI","NO")</f>
        <v/>
      </c>
    </row>
    <row r="2179">
      <c r="A2179" t="inlineStr">
        <is>
          <t>c4f1_test</t>
        </is>
      </c>
      <c r="B2179" t="inlineStr">
        <is>
          <t>2026-01-28 12:29:46.125</t>
        </is>
      </c>
      <c r="C2179" t="n">
        <v/>
      </c>
      <c r="D2179" t="inlineStr">
        <is>
          <t>Media file</t>
        </is>
      </c>
      <c r="E2179" t="inlineStr">
        <is>
          <t>player #1:BTBR\test\c4f1.mp4</t>
        </is>
      </c>
      <c r="F2179" t="n">
        <v>-14.367</v>
      </c>
      <c r="G2179" t="n">
        <v>595.333</v>
      </c>
      <c r="H2179" t="n">
        <v>641.999</v>
      </c>
      <c r="I2179" t="n">
        <v>30</v>
      </c>
      <c r="J2179" t="inlineStr">
        <is>
          <t>BTBR</t>
        </is>
      </c>
      <c r="K2179" t="inlineStr">
        <is>
          <t xml:space="preserve"> Female</t>
        </is>
      </c>
      <c r="L2179" t="inlineStr">
        <is>
          <t>No focal subject</t>
        </is>
      </c>
      <c r="M2179" t="n">
        <v>34.671</v>
      </c>
      <c r="N2179" t="inlineStr">
        <is>
          <t>Explore_F</t>
        </is>
      </c>
      <c r="O2179" t="inlineStr">
        <is>
          <t>Familiar</t>
        </is>
      </c>
      <c r="P2179" t="inlineStr">
        <is>
          <t>STATE</t>
        </is>
      </c>
      <c r="Q2179" t="n">
        <v>51.666</v>
      </c>
      <c r="R2179" t="n">
        <v>51.866</v>
      </c>
      <c r="S2179" t="n">
        <v>0.2</v>
      </c>
      <c r="T2179" t="inlineStr">
        <is>
          <t>BTBR\test\c4f1.mp4</t>
        </is>
      </c>
      <c r="U2179" t="n">
        <v>1548</v>
      </c>
      <c r="V2179" t="n">
        <v>1554</v>
      </c>
      <c r="W2179" t="n">
        <v/>
      </c>
      <c r="X2179" t="n">
        <v/>
      </c>
      <c r="Y2179" t="n">
        <v/>
      </c>
      <c r="Z2179" t="n">
        <v/>
      </c>
      <c r="AA2179">
        <f>SUMIFS($S$2:S2179,$A$2:A2179,A2179,$N$2:N2179,"Explore*")</f>
        <v/>
      </c>
      <c r="AB2179">
        <f>IF(AND(LEFT(N2179,7)="Explore",(AA2179-IF(LEFT(N2179,7)="Explore",S2179,0))&lt;10),"SI","NO")</f>
        <v/>
      </c>
    </row>
    <row r="2180">
      <c r="A2180" t="inlineStr">
        <is>
          <t>c4f1_test</t>
        </is>
      </c>
      <c r="B2180" t="inlineStr">
        <is>
          <t>2026-01-28 12:29:46.125</t>
        </is>
      </c>
      <c r="C2180" t="n">
        <v/>
      </c>
      <c r="D2180" t="inlineStr">
        <is>
          <t>Media file</t>
        </is>
      </c>
      <c r="E2180" t="inlineStr">
        <is>
          <t>player #1:BTBR\test\c4f1.mp4</t>
        </is>
      </c>
      <c r="F2180" t="n">
        <v>-14.367</v>
      </c>
      <c r="G2180" t="n">
        <v>595.333</v>
      </c>
      <c r="H2180" t="n">
        <v>641.999</v>
      </c>
      <c r="I2180" t="n">
        <v>30</v>
      </c>
      <c r="J2180" t="inlineStr">
        <is>
          <t>BTBR</t>
        </is>
      </c>
      <c r="K2180" t="inlineStr">
        <is>
          <t xml:space="preserve"> Female</t>
        </is>
      </c>
      <c r="L2180" t="inlineStr">
        <is>
          <t>No focal subject</t>
        </is>
      </c>
      <c r="M2180" t="n">
        <v>34.671</v>
      </c>
      <c r="N2180" t="inlineStr">
        <is>
          <t>Explore_N</t>
        </is>
      </c>
      <c r="O2180" t="inlineStr">
        <is>
          <t>Novelty</t>
        </is>
      </c>
      <c r="P2180" t="inlineStr">
        <is>
          <t>STATE</t>
        </is>
      </c>
      <c r="Q2180" t="n">
        <v>56.8</v>
      </c>
      <c r="R2180" t="n">
        <v>57.066</v>
      </c>
      <c r="S2180" t="n">
        <v>0.266</v>
      </c>
      <c r="T2180" t="inlineStr">
        <is>
          <t>BTBR\test\c4f1.mp4</t>
        </is>
      </c>
      <c r="U2180" t="n">
        <v>1701</v>
      </c>
      <c r="V2180" t="n">
        <v>1709</v>
      </c>
      <c r="W2180" t="n">
        <v/>
      </c>
      <c r="X2180" t="n">
        <v/>
      </c>
      <c r="Y2180" t="n">
        <v/>
      </c>
      <c r="Z2180" t="n">
        <v/>
      </c>
      <c r="AA2180">
        <f>SUMIFS($S$2:S2180,$A$2:A2180,A2180,$N$2:N2180,"Explore*")</f>
        <v/>
      </c>
      <c r="AB2180">
        <f>IF(AND(LEFT(N2180,7)="Explore",(AA2180-IF(LEFT(N2180,7)="Explore",S2180,0))&lt;10),"SI","NO")</f>
        <v/>
      </c>
    </row>
    <row r="2181">
      <c r="A2181" t="inlineStr">
        <is>
          <t>c4f1_test</t>
        </is>
      </c>
      <c r="B2181" t="inlineStr">
        <is>
          <t>2026-01-28 12:29:46.125</t>
        </is>
      </c>
      <c r="C2181" t="n">
        <v/>
      </c>
      <c r="D2181" t="inlineStr">
        <is>
          <t>Media file</t>
        </is>
      </c>
      <c r="E2181" t="inlineStr">
        <is>
          <t>player #1:BTBR\test\c4f1.mp4</t>
        </is>
      </c>
      <c r="F2181" t="n">
        <v>-14.367</v>
      </c>
      <c r="G2181" t="n">
        <v>595.333</v>
      </c>
      <c r="H2181" t="n">
        <v>641.999</v>
      </c>
      <c r="I2181" t="n">
        <v>30</v>
      </c>
      <c r="J2181" t="inlineStr">
        <is>
          <t>BTBR</t>
        </is>
      </c>
      <c r="K2181" t="inlineStr">
        <is>
          <t xml:space="preserve"> Female</t>
        </is>
      </c>
      <c r="L2181" t="inlineStr">
        <is>
          <t>No focal subject</t>
        </is>
      </c>
      <c r="M2181" t="n">
        <v>34.671</v>
      </c>
      <c r="N2181" t="inlineStr">
        <is>
          <t>Explore_N</t>
        </is>
      </c>
      <c r="O2181" t="inlineStr">
        <is>
          <t>Novelty</t>
        </is>
      </c>
      <c r="P2181" t="inlineStr">
        <is>
          <t>STATE</t>
        </is>
      </c>
      <c r="Q2181" t="n">
        <v>63.966</v>
      </c>
      <c r="R2181" t="n">
        <v>64.7</v>
      </c>
      <c r="S2181" t="n">
        <v>0.734</v>
      </c>
      <c r="T2181" t="inlineStr">
        <is>
          <t>BTBR\test\c4f1.mp4</t>
        </is>
      </c>
      <c r="U2181" t="n">
        <v>1916</v>
      </c>
      <c r="V2181" t="n">
        <v>1938</v>
      </c>
      <c r="W2181" t="n">
        <v/>
      </c>
      <c r="X2181" t="n">
        <v/>
      </c>
      <c r="Y2181" t="n">
        <v/>
      </c>
      <c r="Z2181" t="n">
        <v/>
      </c>
      <c r="AA2181">
        <f>SUMIFS($S$2:S2181,$A$2:A2181,A2181,$N$2:N2181,"Explore*")</f>
        <v/>
      </c>
      <c r="AB2181">
        <f>IF(AND(LEFT(N2181,7)="Explore",(AA2181-IF(LEFT(N2181,7)="Explore",S2181,0))&lt;10),"SI","NO")</f>
        <v/>
      </c>
    </row>
    <row r="2182">
      <c r="A2182" t="inlineStr">
        <is>
          <t>c4f1_test</t>
        </is>
      </c>
      <c r="B2182" t="inlineStr">
        <is>
          <t>2026-01-28 12:29:46.125</t>
        </is>
      </c>
      <c r="C2182" t="n">
        <v/>
      </c>
      <c r="D2182" t="inlineStr">
        <is>
          <t>Media file</t>
        </is>
      </c>
      <c r="E2182" t="inlineStr">
        <is>
          <t>player #1:BTBR\test\c4f1.mp4</t>
        </is>
      </c>
      <c r="F2182" t="n">
        <v>-14.367</v>
      </c>
      <c r="G2182" t="n">
        <v>595.333</v>
      </c>
      <c r="H2182" t="n">
        <v>641.999</v>
      </c>
      <c r="I2182" t="n">
        <v>30</v>
      </c>
      <c r="J2182" t="inlineStr">
        <is>
          <t>BTBR</t>
        </is>
      </c>
      <c r="K2182" t="inlineStr">
        <is>
          <t xml:space="preserve"> Female</t>
        </is>
      </c>
      <c r="L2182" t="inlineStr">
        <is>
          <t>No focal subject</t>
        </is>
      </c>
      <c r="M2182" t="n">
        <v>34.671</v>
      </c>
      <c r="N2182" t="inlineStr">
        <is>
          <t>Explore_N</t>
        </is>
      </c>
      <c r="O2182" t="inlineStr">
        <is>
          <t>Novelty</t>
        </is>
      </c>
      <c r="P2182" t="inlineStr">
        <is>
          <t>STATE</t>
        </is>
      </c>
      <c r="Q2182" t="n">
        <v>65.59999999999999</v>
      </c>
      <c r="R2182" t="n">
        <v>67.2</v>
      </c>
      <c r="S2182" t="n">
        <v>1.6</v>
      </c>
      <c r="T2182" t="inlineStr">
        <is>
          <t>BTBR\test\c4f1.mp4</t>
        </is>
      </c>
      <c r="U2182" t="n">
        <v>1965</v>
      </c>
      <c r="V2182" t="n">
        <v>2013</v>
      </c>
      <c r="W2182" t="n">
        <v/>
      </c>
      <c r="X2182" t="n">
        <v/>
      </c>
      <c r="Y2182" t="n">
        <v/>
      </c>
      <c r="Z2182" t="n">
        <v/>
      </c>
      <c r="AA2182">
        <f>SUMIFS($S$2:S2182,$A$2:A2182,A2182,$N$2:N2182,"Explore*")</f>
        <v/>
      </c>
      <c r="AB2182">
        <f>IF(AND(LEFT(N2182,7)="Explore",(AA2182-IF(LEFT(N2182,7)="Explore",S2182,0))&lt;10),"SI","NO")</f>
        <v/>
      </c>
    </row>
    <row r="2183">
      <c r="A2183" t="inlineStr">
        <is>
          <t>c4f1_test</t>
        </is>
      </c>
      <c r="B2183" t="inlineStr">
        <is>
          <t>2026-01-28 12:29:46.125</t>
        </is>
      </c>
      <c r="C2183" t="n">
        <v/>
      </c>
      <c r="D2183" t="inlineStr">
        <is>
          <t>Media file</t>
        </is>
      </c>
      <c r="E2183" t="inlineStr">
        <is>
          <t>player #1:BTBR\test\c4f1.mp4</t>
        </is>
      </c>
      <c r="F2183" t="n">
        <v>-14.367</v>
      </c>
      <c r="G2183" t="n">
        <v>595.333</v>
      </c>
      <c r="H2183" t="n">
        <v>641.999</v>
      </c>
      <c r="I2183" t="n">
        <v>30</v>
      </c>
      <c r="J2183" t="inlineStr">
        <is>
          <t>BTBR</t>
        </is>
      </c>
      <c r="K2183" t="inlineStr">
        <is>
          <t xml:space="preserve"> Female</t>
        </is>
      </c>
      <c r="L2183" t="inlineStr">
        <is>
          <t>No focal subject</t>
        </is>
      </c>
      <c r="M2183" t="n">
        <v>34.671</v>
      </c>
      <c r="N2183" t="inlineStr">
        <is>
          <t>Explore_N</t>
        </is>
      </c>
      <c r="O2183" t="inlineStr">
        <is>
          <t>Novelty</t>
        </is>
      </c>
      <c r="P2183" t="inlineStr">
        <is>
          <t>STATE</t>
        </is>
      </c>
      <c r="Q2183" t="n">
        <v>75.633</v>
      </c>
      <c r="R2183" t="n">
        <v>76.2</v>
      </c>
      <c r="S2183" t="n">
        <v>0.5669999999999999</v>
      </c>
      <c r="T2183" t="inlineStr">
        <is>
          <t>BTBR\test\c4f1.mp4</t>
        </is>
      </c>
      <c r="U2183" t="n">
        <v>2266</v>
      </c>
      <c r="V2183" t="n">
        <v>2283</v>
      </c>
      <c r="W2183" t="n">
        <v/>
      </c>
      <c r="X2183" t="n">
        <v/>
      </c>
      <c r="Y2183" t="n">
        <v/>
      </c>
      <c r="Z2183" t="n">
        <v/>
      </c>
      <c r="AA2183">
        <f>SUMIFS($S$2:S2183,$A$2:A2183,A2183,$N$2:N2183,"Explore*")</f>
        <v/>
      </c>
      <c r="AB2183">
        <f>IF(AND(LEFT(N2183,7)="Explore",(AA2183-IF(LEFT(N2183,7)="Explore",S2183,0))&lt;10),"SI","NO")</f>
        <v/>
      </c>
    </row>
    <row r="2184">
      <c r="A2184" t="inlineStr">
        <is>
          <t>c4f1_test</t>
        </is>
      </c>
      <c r="B2184" t="inlineStr">
        <is>
          <t>2026-01-28 12:29:46.125</t>
        </is>
      </c>
      <c r="C2184" t="n">
        <v/>
      </c>
      <c r="D2184" t="inlineStr">
        <is>
          <t>Media file</t>
        </is>
      </c>
      <c r="E2184" t="inlineStr">
        <is>
          <t>player #1:BTBR\test\c4f1.mp4</t>
        </is>
      </c>
      <c r="F2184" t="n">
        <v>-14.367</v>
      </c>
      <c r="G2184" t="n">
        <v>595.333</v>
      </c>
      <c r="H2184" t="n">
        <v>641.999</v>
      </c>
      <c r="I2184" t="n">
        <v>30</v>
      </c>
      <c r="J2184" t="inlineStr">
        <is>
          <t>BTBR</t>
        </is>
      </c>
      <c r="K2184" t="inlineStr">
        <is>
          <t xml:space="preserve"> Female</t>
        </is>
      </c>
      <c r="L2184" t="inlineStr">
        <is>
          <t>No focal subject</t>
        </is>
      </c>
      <c r="M2184" t="n">
        <v>34.671</v>
      </c>
      <c r="N2184" t="inlineStr">
        <is>
          <t>Explore_N</t>
        </is>
      </c>
      <c r="O2184" t="inlineStr">
        <is>
          <t>Novelty</t>
        </is>
      </c>
      <c r="P2184" t="inlineStr">
        <is>
          <t>STATE</t>
        </is>
      </c>
      <c r="Q2184" t="n">
        <v>77.366</v>
      </c>
      <c r="R2184" t="n">
        <v>78.46599999999999</v>
      </c>
      <c r="S2184" t="n">
        <v>1.1</v>
      </c>
      <c r="T2184" t="inlineStr">
        <is>
          <t>BTBR\test\c4f1.mp4</t>
        </is>
      </c>
      <c r="U2184" t="n">
        <v>2318</v>
      </c>
      <c r="V2184" t="n">
        <v>2351</v>
      </c>
      <c r="W2184" t="n">
        <v/>
      </c>
      <c r="X2184" t="n">
        <v/>
      </c>
      <c r="Y2184" t="n">
        <v/>
      </c>
      <c r="Z2184" t="n">
        <v/>
      </c>
      <c r="AA2184">
        <f>SUMIFS($S$2:S2184,$A$2:A2184,A2184,$N$2:N2184,"Explore*")</f>
        <v/>
      </c>
      <c r="AB2184">
        <f>IF(AND(LEFT(N2184,7)="Explore",(AA2184-IF(LEFT(N2184,7)="Explore",S2184,0))&lt;10),"SI","NO")</f>
        <v/>
      </c>
    </row>
    <row r="2185">
      <c r="A2185" t="inlineStr">
        <is>
          <t>c4f1_test</t>
        </is>
      </c>
      <c r="B2185" t="inlineStr">
        <is>
          <t>2026-01-28 12:29:46.125</t>
        </is>
      </c>
      <c r="C2185" t="n">
        <v/>
      </c>
      <c r="D2185" t="inlineStr">
        <is>
          <t>Media file</t>
        </is>
      </c>
      <c r="E2185" t="inlineStr">
        <is>
          <t>player #1:BTBR\test\c4f1.mp4</t>
        </is>
      </c>
      <c r="F2185" t="n">
        <v>-14.367</v>
      </c>
      <c r="G2185" t="n">
        <v>595.333</v>
      </c>
      <c r="H2185" t="n">
        <v>641.999</v>
      </c>
      <c r="I2185" t="n">
        <v>30</v>
      </c>
      <c r="J2185" t="inlineStr">
        <is>
          <t>BTBR</t>
        </is>
      </c>
      <c r="K2185" t="inlineStr">
        <is>
          <t xml:space="preserve"> Female</t>
        </is>
      </c>
      <c r="L2185" t="inlineStr">
        <is>
          <t>No focal subject</t>
        </is>
      </c>
      <c r="M2185" t="n">
        <v>34.671</v>
      </c>
      <c r="N2185" t="inlineStr">
        <is>
          <t>Explore_F</t>
        </is>
      </c>
      <c r="O2185" t="inlineStr">
        <is>
          <t>Familiar</t>
        </is>
      </c>
      <c r="P2185" t="inlineStr">
        <is>
          <t>STATE</t>
        </is>
      </c>
      <c r="Q2185" t="n">
        <v>79.566</v>
      </c>
      <c r="R2185" t="n">
        <v>80.666</v>
      </c>
      <c r="S2185" t="n">
        <v>1.1</v>
      </c>
      <c r="T2185" t="inlineStr">
        <is>
          <t>BTBR\test\c4f1.mp4</t>
        </is>
      </c>
      <c r="U2185" t="n">
        <v>2383</v>
      </c>
      <c r="V2185" t="n">
        <v>2416</v>
      </c>
      <c r="W2185" t="n">
        <v/>
      </c>
      <c r="X2185" t="n">
        <v/>
      </c>
      <c r="Y2185" t="n">
        <v/>
      </c>
      <c r="Z2185" t="n">
        <v/>
      </c>
      <c r="AA2185">
        <f>SUMIFS($S$2:S2185,$A$2:A2185,A2185,$N$2:N2185,"Explore*")</f>
        <v/>
      </c>
      <c r="AB2185">
        <f>IF(AND(LEFT(N2185,7)="Explore",(AA2185-IF(LEFT(N2185,7)="Explore",S2185,0))&lt;10),"SI","NO")</f>
        <v/>
      </c>
    </row>
    <row r="2186">
      <c r="A2186" t="inlineStr">
        <is>
          <t>c4f1_test</t>
        </is>
      </c>
      <c r="B2186" t="inlineStr">
        <is>
          <t>2026-01-28 12:29:46.125</t>
        </is>
      </c>
      <c r="C2186" t="n">
        <v/>
      </c>
      <c r="D2186" t="inlineStr">
        <is>
          <t>Media file</t>
        </is>
      </c>
      <c r="E2186" t="inlineStr">
        <is>
          <t>player #1:BTBR\test\c4f1.mp4</t>
        </is>
      </c>
      <c r="F2186" t="n">
        <v>-14.367</v>
      </c>
      <c r="G2186" t="n">
        <v>595.333</v>
      </c>
      <c r="H2186" t="n">
        <v>641.999</v>
      </c>
      <c r="I2186" t="n">
        <v>30</v>
      </c>
      <c r="J2186" t="inlineStr">
        <is>
          <t>BTBR</t>
        </is>
      </c>
      <c r="K2186" t="inlineStr">
        <is>
          <t xml:space="preserve"> Female</t>
        </is>
      </c>
      <c r="L2186" t="inlineStr">
        <is>
          <t>No focal subject</t>
        </is>
      </c>
      <c r="M2186" t="n">
        <v>34.671</v>
      </c>
      <c r="N2186" t="inlineStr">
        <is>
          <t>Explore_F</t>
        </is>
      </c>
      <c r="O2186" t="inlineStr">
        <is>
          <t>Familiar</t>
        </is>
      </c>
      <c r="P2186" t="inlineStr">
        <is>
          <t>STATE</t>
        </is>
      </c>
      <c r="Q2186" t="n">
        <v>88.96599999999999</v>
      </c>
      <c r="R2186" t="n">
        <v>89.666</v>
      </c>
      <c r="S2186" t="n">
        <v>0.7</v>
      </c>
      <c r="T2186" t="inlineStr">
        <is>
          <t>BTBR\test\c4f1.mp4</t>
        </is>
      </c>
      <c r="U2186" t="n">
        <v>2665</v>
      </c>
      <c r="V2186" t="n">
        <v>2686</v>
      </c>
      <c r="W2186" t="n">
        <v/>
      </c>
      <c r="X2186" t="n">
        <v/>
      </c>
      <c r="Y2186" t="n">
        <v/>
      </c>
      <c r="Z2186" t="n">
        <v/>
      </c>
      <c r="AA2186">
        <f>SUMIFS($S$2:S2186,$A$2:A2186,A2186,$N$2:N2186,"Explore*")</f>
        <v/>
      </c>
      <c r="AB2186">
        <f>IF(AND(LEFT(N2186,7)="Explore",(AA2186-IF(LEFT(N2186,7)="Explore",S2186,0))&lt;10),"SI","NO")</f>
        <v/>
      </c>
    </row>
    <row r="2187">
      <c r="A2187" t="inlineStr">
        <is>
          <t>c4f1_test</t>
        </is>
      </c>
      <c r="B2187" t="inlineStr">
        <is>
          <t>2026-01-28 12:29:46.125</t>
        </is>
      </c>
      <c r="C2187" t="n">
        <v/>
      </c>
      <c r="D2187" t="inlineStr">
        <is>
          <t>Media file</t>
        </is>
      </c>
      <c r="E2187" t="inlineStr">
        <is>
          <t>player #1:BTBR\test\c4f1.mp4</t>
        </is>
      </c>
      <c r="F2187" t="n">
        <v>-14.367</v>
      </c>
      <c r="G2187" t="n">
        <v>595.333</v>
      </c>
      <c r="H2187" t="n">
        <v>641.999</v>
      </c>
      <c r="I2187" t="n">
        <v>30</v>
      </c>
      <c r="J2187" t="inlineStr">
        <is>
          <t>BTBR</t>
        </is>
      </c>
      <c r="K2187" t="inlineStr">
        <is>
          <t xml:space="preserve"> Female</t>
        </is>
      </c>
      <c r="L2187" t="inlineStr">
        <is>
          <t>No focal subject</t>
        </is>
      </c>
      <c r="M2187" t="n">
        <v>34.671</v>
      </c>
      <c r="N2187" t="inlineStr">
        <is>
          <t>Explore_N</t>
        </is>
      </c>
      <c r="O2187" t="inlineStr">
        <is>
          <t>Novelty</t>
        </is>
      </c>
      <c r="P2187" t="inlineStr">
        <is>
          <t>STATE</t>
        </is>
      </c>
      <c r="Q2187" t="n">
        <v>92.866</v>
      </c>
      <c r="R2187" t="n">
        <v>93.26600000000001</v>
      </c>
      <c r="S2187" t="n">
        <v>0.4</v>
      </c>
      <c r="T2187" t="inlineStr">
        <is>
          <t>BTBR\test\c4f1.mp4</t>
        </is>
      </c>
      <c r="U2187" t="n">
        <v>2782</v>
      </c>
      <c r="V2187" t="n">
        <v>2794</v>
      </c>
      <c r="W2187" t="n">
        <v/>
      </c>
      <c r="X2187" t="n">
        <v/>
      </c>
      <c r="Y2187" t="n">
        <v/>
      </c>
      <c r="Z2187" t="n">
        <v/>
      </c>
      <c r="AA2187">
        <f>SUMIFS($S$2:S2187,$A$2:A2187,A2187,$N$2:N2187,"Explore*")</f>
        <v/>
      </c>
      <c r="AB2187">
        <f>IF(AND(LEFT(N2187,7)="Explore",(AA2187-IF(LEFT(N2187,7)="Explore",S2187,0))&lt;10),"SI","NO")</f>
        <v/>
      </c>
    </row>
    <row r="2188">
      <c r="A2188" t="inlineStr">
        <is>
          <t>c4f1_test</t>
        </is>
      </c>
      <c r="B2188" t="inlineStr">
        <is>
          <t>2026-01-28 12:29:46.125</t>
        </is>
      </c>
      <c r="C2188" t="n">
        <v/>
      </c>
      <c r="D2188" t="inlineStr">
        <is>
          <t>Media file</t>
        </is>
      </c>
      <c r="E2188" t="inlineStr">
        <is>
          <t>player #1:BTBR\test\c4f1.mp4</t>
        </is>
      </c>
      <c r="F2188" t="n">
        <v>-14.367</v>
      </c>
      <c r="G2188" t="n">
        <v>595.333</v>
      </c>
      <c r="H2188" t="n">
        <v>641.999</v>
      </c>
      <c r="I2188" t="n">
        <v>30</v>
      </c>
      <c r="J2188" t="inlineStr">
        <is>
          <t>BTBR</t>
        </is>
      </c>
      <c r="K2188" t="inlineStr">
        <is>
          <t xml:space="preserve"> Female</t>
        </is>
      </c>
      <c r="L2188" t="inlineStr">
        <is>
          <t>No focal subject</t>
        </is>
      </c>
      <c r="M2188" t="n">
        <v>34.671</v>
      </c>
      <c r="N2188" t="inlineStr">
        <is>
          <t>Explore_F</t>
        </is>
      </c>
      <c r="O2188" t="inlineStr">
        <is>
          <t>Familiar</t>
        </is>
      </c>
      <c r="P2188" t="inlineStr">
        <is>
          <t>STATE</t>
        </is>
      </c>
      <c r="Q2188" t="n">
        <v>100.066</v>
      </c>
      <c r="R2188" t="n">
        <v>100.666</v>
      </c>
      <c r="S2188" t="n">
        <v>0.6</v>
      </c>
      <c r="T2188" t="inlineStr">
        <is>
          <t>BTBR\test\c4f1.mp4</t>
        </is>
      </c>
      <c r="U2188" t="n">
        <v>2998</v>
      </c>
      <c r="V2188" t="n">
        <v>3016</v>
      </c>
      <c r="W2188" t="n">
        <v/>
      </c>
      <c r="X2188" t="n">
        <v/>
      </c>
      <c r="Y2188" t="n">
        <v/>
      </c>
      <c r="Z2188" t="n">
        <v/>
      </c>
      <c r="AA2188">
        <f>SUMIFS($S$2:S2188,$A$2:A2188,A2188,$N$2:N2188,"Explore*")</f>
        <v/>
      </c>
      <c r="AB2188">
        <f>IF(AND(LEFT(N2188,7)="Explore",(AA2188-IF(LEFT(N2188,7)="Explore",S2188,0))&lt;10),"SI","NO")</f>
        <v/>
      </c>
    </row>
    <row r="2189">
      <c r="A2189" t="inlineStr">
        <is>
          <t>c4f1_test</t>
        </is>
      </c>
      <c r="B2189" t="inlineStr">
        <is>
          <t>2026-01-28 12:29:46.125</t>
        </is>
      </c>
      <c r="C2189" t="n">
        <v/>
      </c>
      <c r="D2189" t="inlineStr">
        <is>
          <t>Media file</t>
        </is>
      </c>
      <c r="E2189" t="inlineStr">
        <is>
          <t>player #1:BTBR\test\c4f1.mp4</t>
        </is>
      </c>
      <c r="F2189" t="n">
        <v>-14.367</v>
      </c>
      <c r="G2189" t="n">
        <v>595.333</v>
      </c>
      <c r="H2189" t="n">
        <v>641.999</v>
      </c>
      <c r="I2189" t="n">
        <v>30</v>
      </c>
      <c r="J2189" t="inlineStr">
        <is>
          <t>BTBR</t>
        </is>
      </c>
      <c r="K2189" t="inlineStr">
        <is>
          <t xml:space="preserve"> Female</t>
        </is>
      </c>
      <c r="L2189" t="inlineStr">
        <is>
          <t>No focal subject</t>
        </is>
      </c>
      <c r="M2189" t="n">
        <v>34.671</v>
      </c>
      <c r="N2189" t="inlineStr">
        <is>
          <t>Explore_N</t>
        </is>
      </c>
      <c r="O2189" t="inlineStr">
        <is>
          <t>Novelty</t>
        </is>
      </c>
      <c r="P2189" t="inlineStr">
        <is>
          <t>STATE</t>
        </is>
      </c>
      <c r="Q2189" t="n">
        <v>106.466</v>
      </c>
      <c r="R2189" t="n">
        <v>106.933</v>
      </c>
      <c r="S2189" t="n">
        <v>0.467</v>
      </c>
      <c r="T2189" t="inlineStr">
        <is>
          <t>BTBR\test\c4f1.mp4</t>
        </is>
      </c>
      <c r="U2189" t="n">
        <v>3189</v>
      </c>
      <c r="V2189" t="n">
        <v>3203</v>
      </c>
      <c r="W2189" t="n">
        <v/>
      </c>
      <c r="X2189" t="n">
        <v/>
      </c>
      <c r="Y2189" t="n">
        <v/>
      </c>
      <c r="Z2189" t="n">
        <v/>
      </c>
      <c r="AA2189">
        <f>SUMIFS($S$2:S2189,$A$2:A2189,A2189,$N$2:N2189,"Explore*")</f>
        <v/>
      </c>
      <c r="AB2189">
        <f>IF(AND(LEFT(N2189,7)="Explore",(AA2189-IF(LEFT(N2189,7)="Explore",S2189,0))&lt;10),"SI","NO")</f>
        <v/>
      </c>
    </row>
    <row r="2190">
      <c r="A2190" t="inlineStr">
        <is>
          <t>c4f1_test</t>
        </is>
      </c>
      <c r="B2190" t="inlineStr">
        <is>
          <t>2026-01-28 12:29:46.125</t>
        </is>
      </c>
      <c r="C2190" t="n">
        <v/>
      </c>
      <c r="D2190" t="inlineStr">
        <is>
          <t>Media file</t>
        </is>
      </c>
      <c r="E2190" t="inlineStr">
        <is>
          <t>player #1:BTBR\test\c4f1.mp4</t>
        </is>
      </c>
      <c r="F2190" t="n">
        <v>-14.367</v>
      </c>
      <c r="G2190" t="n">
        <v>595.333</v>
      </c>
      <c r="H2190" t="n">
        <v>641.999</v>
      </c>
      <c r="I2190" t="n">
        <v>30</v>
      </c>
      <c r="J2190" t="inlineStr">
        <is>
          <t>BTBR</t>
        </is>
      </c>
      <c r="K2190" t="inlineStr">
        <is>
          <t xml:space="preserve"> Female</t>
        </is>
      </c>
      <c r="L2190" t="inlineStr">
        <is>
          <t>No focal subject</t>
        </is>
      </c>
      <c r="M2190" t="n">
        <v>34.671</v>
      </c>
      <c r="N2190" t="inlineStr">
        <is>
          <t>Explore_N</t>
        </is>
      </c>
      <c r="O2190" t="inlineStr">
        <is>
          <t>Novelty</t>
        </is>
      </c>
      <c r="P2190" t="inlineStr">
        <is>
          <t>STATE</t>
        </is>
      </c>
      <c r="Q2190" t="n">
        <v>115.1</v>
      </c>
      <c r="R2190" t="n">
        <v>115.466</v>
      </c>
      <c r="S2190" t="n">
        <v>0.366</v>
      </c>
      <c r="T2190" t="inlineStr">
        <is>
          <t>BTBR\test\c4f1.mp4</t>
        </is>
      </c>
      <c r="U2190" t="n">
        <v>3448</v>
      </c>
      <c r="V2190" t="n">
        <v>3459</v>
      </c>
      <c r="W2190" t="n">
        <v/>
      </c>
      <c r="X2190" t="n">
        <v/>
      </c>
      <c r="Y2190" t="n">
        <v/>
      </c>
      <c r="Z2190" t="n">
        <v/>
      </c>
      <c r="AA2190">
        <f>SUMIFS($S$2:S2190,$A$2:A2190,A2190,$N$2:N2190,"Explore*")</f>
        <v/>
      </c>
      <c r="AB2190">
        <f>IF(AND(LEFT(N2190,7)="Explore",(AA2190-IF(LEFT(N2190,7)="Explore",S2190,0))&lt;10),"SI","NO")</f>
        <v/>
      </c>
    </row>
    <row r="2191">
      <c r="A2191" t="inlineStr">
        <is>
          <t>c4f1_test</t>
        </is>
      </c>
      <c r="B2191" t="inlineStr">
        <is>
          <t>2026-01-28 12:29:46.125</t>
        </is>
      </c>
      <c r="C2191" t="n">
        <v/>
      </c>
      <c r="D2191" t="inlineStr">
        <is>
          <t>Media file</t>
        </is>
      </c>
      <c r="E2191" t="inlineStr">
        <is>
          <t>player #1:BTBR\test\c4f1.mp4</t>
        </is>
      </c>
      <c r="F2191" t="n">
        <v>-14.367</v>
      </c>
      <c r="G2191" t="n">
        <v>595.333</v>
      </c>
      <c r="H2191" t="n">
        <v>641.999</v>
      </c>
      <c r="I2191" t="n">
        <v>30</v>
      </c>
      <c r="J2191" t="inlineStr">
        <is>
          <t>BTBR</t>
        </is>
      </c>
      <c r="K2191" t="inlineStr">
        <is>
          <t xml:space="preserve"> Female</t>
        </is>
      </c>
      <c r="L2191" t="inlineStr">
        <is>
          <t>No focal subject</t>
        </is>
      </c>
      <c r="M2191" t="n">
        <v>34.671</v>
      </c>
      <c r="N2191" t="inlineStr">
        <is>
          <t>Explore_N</t>
        </is>
      </c>
      <c r="O2191" t="inlineStr">
        <is>
          <t>Novelty</t>
        </is>
      </c>
      <c r="P2191" t="inlineStr">
        <is>
          <t>STATE</t>
        </is>
      </c>
      <c r="Q2191" t="n">
        <v>124.2</v>
      </c>
      <c r="R2191" t="n">
        <v>124.6</v>
      </c>
      <c r="S2191" t="n">
        <v>0.4</v>
      </c>
      <c r="T2191" t="inlineStr">
        <is>
          <t>BTBR\test\c4f1.mp4</t>
        </is>
      </c>
      <c r="U2191" t="n">
        <v>3720</v>
      </c>
      <c r="V2191" t="n">
        <v>3732</v>
      </c>
      <c r="W2191" t="n">
        <v/>
      </c>
      <c r="X2191" t="n">
        <v/>
      </c>
      <c r="Y2191" t="n">
        <v/>
      </c>
      <c r="Z2191" t="n">
        <v/>
      </c>
      <c r="AA2191">
        <f>SUMIFS($S$2:S2191,$A$2:A2191,A2191,$N$2:N2191,"Explore*")</f>
        <v/>
      </c>
      <c r="AB2191">
        <f>IF(AND(LEFT(N2191,7)="Explore",(AA2191-IF(LEFT(N2191,7)="Explore",S2191,0))&lt;10),"SI","NO")</f>
        <v/>
      </c>
    </row>
    <row r="2192">
      <c r="A2192" t="inlineStr">
        <is>
          <t>c4f1_test</t>
        </is>
      </c>
      <c r="B2192" t="inlineStr">
        <is>
          <t>2026-01-28 12:29:46.125</t>
        </is>
      </c>
      <c r="C2192" t="n">
        <v/>
      </c>
      <c r="D2192" t="inlineStr">
        <is>
          <t>Media file</t>
        </is>
      </c>
      <c r="E2192" t="inlineStr">
        <is>
          <t>player #1:BTBR\test\c4f1.mp4</t>
        </is>
      </c>
      <c r="F2192" t="n">
        <v>-14.367</v>
      </c>
      <c r="G2192" t="n">
        <v>595.333</v>
      </c>
      <c r="H2192" t="n">
        <v>641.999</v>
      </c>
      <c r="I2192" t="n">
        <v>30</v>
      </c>
      <c r="J2192" t="inlineStr">
        <is>
          <t>BTBR</t>
        </is>
      </c>
      <c r="K2192" t="inlineStr">
        <is>
          <t xml:space="preserve"> Female</t>
        </is>
      </c>
      <c r="L2192" t="inlineStr">
        <is>
          <t>No focal subject</t>
        </is>
      </c>
      <c r="M2192" t="n">
        <v>34.671</v>
      </c>
      <c r="N2192" t="inlineStr">
        <is>
          <t>Explore_N</t>
        </is>
      </c>
      <c r="O2192" t="inlineStr">
        <is>
          <t>Novelty</t>
        </is>
      </c>
      <c r="P2192" t="inlineStr">
        <is>
          <t>STATE</t>
        </is>
      </c>
      <c r="Q2192" t="n">
        <v>126.5</v>
      </c>
      <c r="R2192" t="n">
        <v>126.8</v>
      </c>
      <c r="S2192" t="n">
        <v>0.3</v>
      </c>
      <c r="T2192" t="inlineStr">
        <is>
          <t>BTBR\test\c4f1.mp4</t>
        </is>
      </c>
      <c r="U2192" t="n">
        <v>3791</v>
      </c>
      <c r="V2192" t="n">
        <v>3798</v>
      </c>
      <c r="W2192" t="n">
        <v/>
      </c>
      <c r="X2192" t="n">
        <v/>
      </c>
      <c r="Y2192" t="n">
        <v/>
      </c>
      <c r="Z2192" t="n">
        <v/>
      </c>
      <c r="AA2192">
        <f>SUMIFS($S$2:S2192,$A$2:A2192,A2192,$N$2:N2192,"Explore*")</f>
        <v/>
      </c>
      <c r="AB2192">
        <f>IF(AND(LEFT(N2192,7)="Explore",(AA2192-IF(LEFT(N2192,7)="Explore",S2192,0))&lt;10),"SI","NO")</f>
        <v/>
      </c>
    </row>
    <row r="2193">
      <c r="A2193" t="inlineStr">
        <is>
          <t>c4f1_test</t>
        </is>
      </c>
      <c r="B2193" t="inlineStr">
        <is>
          <t>2026-01-28 12:29:46.125</t>
        </is>
      </c>
      <c r="C2193" t="n">
        <v/>
      </c>
      <c r="D2193" t="inlineStr">
        <is>
          <t>Media file</t>
        </is>
      </c>
      <c r="E2193" t="inlineStr">
        <is>
          <t>player #1:BTBR\test\c4f1.mp4</t>
        </is>
      </c>
      <c r="F2193" t="n">
        <v>-14.367</v>
      </c>
      <c r="G2193" t="n">
        <v>595.333</v>
      </c>
      <c r="H2193" t="n">
        <v>641.999</v>
      </c>
      <c r="I2193" t="n">
        <v>30</v>
      </c>
      <c r="J2193" t="inlineStr">
        <is>
          <t>BTBR</t>
        </is>
      </c>
      <c r="K2193" t="inlineStr">
        <is>
          <t xml:space="preserve"> Female</t>
        </is>
      </c>
      <c r="L2193" t="inlineStr">
        <is>
          <t>No focal subject</t>
        </is>
      </c>
      <c r="M2193" t="n">
        <v>34.671</v>
      </c>
      <c r="N2193" t="inlineStr">
        <is>
          <t>Explore_F</t>
        </is>
      </c>
      <c r="O2193" t="inlineStr">
        <is>
          <t>Familiar</t>
        </is>
      </c>
      <c r="P2193" t="inlineStr">
        <is>
          <t>STATE</t>
        </is>
      </c>
      <c r="Q2193" t="n">
        <v>144.733</v>
      </c>
      <c r="R2193" t="n">
        <v>145.2</v>
      </c>
      <c r="S2193" t="n">
        <v>0.467</v>
      </c>
      <c r="T2193" t="inlineStr">
        <is>
          <t>BTBR\test\c4f1.mp4</t>
        </is>
      </c>
      <c r="U2193" t="n">
        <v>4336</v>
      </c>
      <c r="V2193" t="n">
        <v>4350</v>
      </c>
      <c r="W2193" t="n">
        <v/>
      </c>
      <c r="X2193" t="n">
        <v/>
      </c>
      <c r="Y2193" t="n">
        <v/>
      </c>
      <c r="Z2193" t="n">
        <v/>
      </c>
      <c r="AA2193">
        <f>SUMIFS($S$2:S2193,$A$2:A2193,A2193,$N$2:N2193,"Explore*")</f>
        <v/>
      </c>
      <c r="AB2193">
        <f>IF(AND(LEFT(N2193,7)="Explore",(AA2193-IF(LEFT(N2193,7)="Explore",S2193,0))&lt;10),"SI","NO")</f>
        <v/>
      </c>
    </row>
    <row r="2194">
      <c r="A2194" t="inlineStr">
        <is>
          <t>c4f1_test</t>
        </is>
      </c>
      <c r="B2194" t="inlineStr">
        <is>
          <t>2026-01-28 12:29:46.125</t>
        </is>
      </c>
      <c r="C2194" t="n">
        <v/>
      </c>
      <c r="D2194" t="inlineStr">
        <is>
          <t>Media file</t>
        </is>
      </c>
      <c r="E2194" t="inlineStr">
        <is>
          <t>player #1:BTBR\test\c4f1.mp4</t>
        </is>
      </c>
      <c r="F2194" t="n">
        <v>-14.367</v>
      </c>
      <c r="G2194" t="n">
        <v>595.333</v>
      </c>
      <c r="H2194" t="n">
        <v>641.999</v>
      </c>
      <c r="I2194" t="n">
        <v>30</v>
      </c>
      <c r="J2194" t="inlineStr">
        <is>
          <t>BTBR</t>
        </is>
      </c>
      <c r="K2194" t="inlineStr">
        <is>
          <t xml:space="preserve"> Female</t>
        </is>
      </c>
      <c r="L2194" t="inlineStr">
        <is>
          <t>No focal subject</t>
        </is>
      </c>
      <c r="M2194" t="n">
        <v>34.671</v>
      </c>
      <c r="N2194" t="inlineStr">
        <is>
          <t>Explore_F</t>
        </is>
      </c>
      <c r="O2194" t="inlineStr">
        <is>
          <t>Familiar</t>
        </is>
      </c>
      <c r="P2194" t="inlineStr">
        <is>
          <t>STATE</t>
        </is>
      </c>
      <c r="Q2194" t="n">
        <v>146.7</v>
      </c>
      <c r="R2194" t="n">
        <v>147.1</v>
      </c>
      <c r="S2194" t="n">
        <v>0.4</v>
      </c>
      <c r="T2194" t="inlineStr">
        <is>
          <t>BTBR\test\c4f1.mp4</t>
        </is>
      </c>
      <c r="U2194" t="n">
        <v>4394</v>
      </c>
      <c r="V2194" t="n">
        <v>4406</v>
      </c>
      <c r="W2194" t="n">
        <v/>
      </c>
      <c r="X2194" t="n">
        <v/>
      </c>
      <c r="Y2194" t="n">
        <v/>
      </c>
      <c r="Z2194" t="n">
        <v/>
      </c>
      <c r="AA2194">
        <f>SUMIFS($S$2:S2194,$A$2:A2194,A2194,$N$2:N2194,"Explore*")</f>
        <v/>
      </c>
      <c r="AB2194">
        <f>IF(AND(LEFT(N2194,7)="Explore",(AA2194-IF(LEFT(N2194,7)="Explore",S2194,0))&lt;10),"SI","NO")</f>
        <v/>
      </c>
    </row>
    <row r="2195">
      <c r="A2195" t="inlineStr">
        <is>
          <t>c4f1_test</t>
        </is>
      </c>
      <c r="B2195" t="inlineStr">
        <is>
          <t>2026-01-28 12:29:46.125</t>
        </is>
      </c>
      <c r="C2195" t="n">
        <v/>
      </c>
      <c r="D2195" t="inlineStr">
        <is>
          <t>Media file</t>
        </is>
      </c>
      <c r="E2195" t="inlineStr">
        <is>
          <t>player #1:BTBR\test\c4f1.mp4</t>
        </is>
      </c>
      <c r="F2195" t="n">
        <v>-14.367</v>
      </c>
      <c r="G2195" t="n">
        <v>595.333</v>
      </c>
      <c r="H2195" t="n">
        <v>641.999</v>
      </c>
      <c r="I2195" t="n">
        <v>30</v>
      </c>
      <c r="J2195" t="inlineStr">
        <is>
          <t>BTBR</t>
        </is>
      </c>
      <c r="K2195" t="inlineStr">
        <is>
          <t xml:space="preserve"> Female</t>
        </is>
      </c>
      <c r="L2195" t="inlineStr">
        <is>
          <t>No focal subject</t>
        </is>
      </c>
      <c r="M2195" t="n">
        <v>34.671</v>
      </c>
      <c r="N2195" t="inlineStr">
        <is>
          <t>Explore_N</t>
        </is>
      </c>
      <c r="O2195" t="inlineStr">
        <is>
          <t>Novelty</t>
        </is>
      </c>
      <c r="P2195" t="inlineStr">
        <is>
          <t>STATE</t>
        </is>
      </c>
      <c r="Q2195" t="n">
        <v>148.899</v>
      </c>
      <c r="R2195" t="n">
        <v>149.133</v>
      </c>
      <c r="S2195" t="n">
        <v>0.234</v>
      </c>
      <c r="T2195" t="inlineStr">
        <is>
          <t>BTBR\test\c4f1.mp4</t>
        </is>
      </c>
      <c r="U2195" t="n">
        <v>4460</v>
      </c>
      <c r="V2195" t="n">
        <v>4467</v>
      </c>
      <c r="W2195" t="n">
        <v/>
      </c>
      <c r="X2195" t="n">
        <v/>
      </c>
      <c r="Y2195" t="n">
        <v/>
      </c>
      <c r="Z2195" t="n">
        <v/>
      </c>
      <c r="AA2195">
        <f>SUMIFS($S$2:S2195,$A$2:A2195,A2195,$N$2:N2195,"Explore*")</f>
        <v/>
      </c>
      <c r="AB2195">
        <f>IF(AND(LEFT(N2195,7)="Explore",(AA2195-IF(LEFT(N2195,7)="Explore",S2195,0))&lt;10),"SI","NO")</f>
        <v/>
      </c>
    </row>
    <row r="2196">
      <c r="A2196" t="inlineStr">
        <is>
          <t>c4f1_test</t>
        </is>
      </c>
      <c r="B2196" t="inlineStr">
        <is>
          <t>2026-01-28 12:29:46.125</t>
        </is>
      </c>
      <c r="C2196" t="n">
        <v/>
      </c>
      <c r="D2196" t="inlineStr">
        <is>
          <t>Media file</t>
        </is>
      </c>
      <c r="E2196" t="inlineStr">
        <is>
          <t>player #1:BTBR\test\c4f1.mp4</t>
        </is>
      </c>
      <c r="F2196" t="n">
        <v>-14.367</v>
      </c>
      <c r="G2196" t="n">
        <v>595.333</v>
      </c>
      <c r="H2196" t="n">
        <v>641.999</v>
      </c>
      <c r="I2196" t="n">
        <v>30</v>
      </c>
      <c r="J2196" t="inlineStr">
        <is>
          <t>BTBR</t>
        </is>
      </c>
      <c r="K2196" t="inlineStr">
        <is>
          <t xml:space="preserve"> Female</t>
        </is>
      </c>
      <c r="L2196" t="inlineStr">
        <is>
          <t>No focal subject</t>
        </is>
      </c>
      <c r="M2196" t="n">
        <v>34.671</v>
      </c>
      <c r="N2196" t="inlineStr">
        <is>
          <t>Explore_F</t>
        </is>
      </c>
      <c r="O2196" t="inlineStr">
        <is>
          <t>Familiar</t>
        </is>
      </c>
      <c r="P2196" t="inlineStr">
        <is>
          <t>STATE</t>
        </is>
      </c>
      <c r="Q2196" t="n">
        <v>152.699</v>
      </c>
      <c r="R2196" t="n">
        <v>153.233</v>
      </c>
      <c r="S2196" t="n">
        <v>0.534</v>
      </c>
      <c r="T2196" t="inlineStr">
        <is>
          <t>BTBR\test\c4f1.mp4</t>
        </is>
      </c>
      <c r="U2196" t="n">
        <v>4574</v>
      </c>
      <c r="V2196" t="n">
        <v>4590</v>
      </c>
      <c r="W2196" t="n">
        <v/>
      </c>
      <c r="X2196" t="n">
        <v/>
      </c>
      <c r="Y2196" t="n">
        <v/>
      </c>
      <c r="Z2196" t="n">
        <v/>
      </c>
      <c r="AA2196">
        <f>SUMIFS($S$2:S2196,$A$2:A2196,A2196,$N$2:N2196,"Explore*")</f>
        <v/>
      </c>
      <c r="AB2196">
        <f>IF(AND(LEFT(N2196,7)="Explore",(AA2196-IF(LEFT(N2196,7)="Explore",S2196,0))&lt;10),"SI","NO")</f>
        <v/>
      </c>
    </row>
    <row r="2197">
      <c r="A2197" t="inlineStr">
        <is>
          <t>c4f1_test</t>
        </is>
      </c>
      <c r="B2197" t="inlineStr">
        <is>
          <t>2026-01-28 12:29:46.125</t>
        </is>
      </c>
      <c r="C2197" t="n">
        <v/>
      </c>
      <c r="D2197" t="inlineStr">
        <is>
          <t>Media file</t>
        </is>
      </c>
      <c r="E2197" t="inlineStr">
        <is>
          <t>player #1:BTBR\test\c4f1.mp4</t>
        </is>
      </c>
      <c r="F2197" t="n">
        <v>-14.367</v>
      </c>
      <c r="G2197" t="n">
        <v>595.333</v>
      </c>
      <c r="H2197" t="n">
        <v>641.999</v>
      </c>
      <c r="I2197" t="n">
        <v>30</v>
      </c>
      <c r="J2197" t="inlineStr">
        <is>
          <t>BTBR</t>
        </is>
      </c>
      <c r="K2197" t="inlineStr">
        <is>
          <t xml:space="preserve"> Female</t>
        </is>
      </c>
      <c r="L2197" t="inlineStr">
        <is>
          <t>No focal subject</t>
        </is>
      </c>
      <c r="M2197" t="n">
        <v>34.671</v>
      </c>
      <c r="N2197" t="inlineStr">
        <is>
          <t>Explore_N</t>
        </is>
      </c>
      <c r="O2197" t="inlineStr">
        <is>
          <t>Novelty</t>
        </is>
      </c>
      <c r="P2197" t="inlineStr">
        <is>
          <t>STATE</t>
        </is>
      </c>
      <c r="Q2197" t="n">
        <v>193.233</v>
      </c>
      <c r="R2197" t="n">
        <v>194.466</v>
      </c>
      <c r="S2197" t="n">
        <v>1.233</v>
      </c>
      <c r="T2197" t="inlineStr">
        <is>
          <t>BTBR\test\c4f1.mp4</t>
        </is>
      </c>
      <c r="U2197" t="n">
        <v>5788</v>
      </c>
      <c r="V2197" t="n">
        <v>5825</v>
      </c>
      <c r="W2197" t="n">
        <v/>
      </c>
      <c r="X2197" t="n">
        <v/>
      </c>
      <c r="Y2197" t="n">
        <v/>
      </c>
      <c r="Z2197" t="n">
        <v/>
      </c>
      <c r="AA2197">
        <f>SUMIFS($S$2:S2197,$A$2:A2197,A2197,$N$2:N2197,"Explore*")</f>
        <v/>
      </c>
      <c r="AB2197">
        <f>IF(AND(LEFT(N2197,7)="Explore",(AA2197-IF(LEFT(N2197,7)="Explore",S2197,0))&lt;10),"SI","NO")</f>
        <v/>
      </c>
    </row>
    <row r="2198">
      <c r="A2198" t="inlineStr">
        <is>
          <t>c4f1_test</t>
        </is>
      </c>
      <c r="B2198" t="inlineStr">
        <is>
          <t>2026-01-28 12:29:46.125</t>
        </is>
      </c>
      <c r="C2198" t="n">
        <v/>
      </c>
      <c r="D2198" t="inlineStr">
        <is>
          <t>Media file</t>
        </is>
      </c>
      <c r="E2198" t="inlineStr">
        <is>
          <t>player #1:BTBR\test\c4f1.mp4</t>
        </is>
      </c>
      <c r="F2198" t="n">
        <v>-14.367</v>
      </c>
      <c r="G2198" t="n">
        <v>595.333</v>
      </c>
      <c r="H2198" t="n">
        <v>641.999</v>
      </c>
      <c r="I2198" t="n">
        <v>30</v>
      </c>
      <c r="J2198" t="inlineStr">
        <is>
          <t>BTBR</t>
        </is>
      </c>
      <c r="K2198" t="inlineStr">
        <is>
          <t xml:space="preserve"> Female</t>
        </is>
      </c>
      <c r="L2198" t="inlineStr">
        <is>
          <t>No focal subject</t>
        </is>
      </c>
      <c r="M2198" t="n">
        <v>34.671</v>
      </c>
      <c r="N2198" t="inlineStr">
        <is>
          <t>Explore_F</t>
        </is>
      </c>
      <c r="O2198" t="inlineStr">
        <is>
          <t>Familiar</t>
        </is>
      </c>
      <c r="P2198" t="inlineStr">
        <is>
          <t>STATE</t>
        </is>
      </c>
      <c r="Q2198" t="n">
        <v>200.866</v>
      </c>
      <c r="R2198" t="n">
        <v>201.533</v>
      </c>
      <c r="S2198" t="n">
        <v>0.667</v>
      </c>
      <c r="T2198" t="inlineStr">
        <is>
          <t>BTBR\test\c4f1.mp4</t>
        </is>
      </c>
      <c r="U2198" t="n">
        <v>6017</v>
      </c>
      <c r="V2198" t="n">
        <v>6038</v>
      </c>
      <c r="W2198" t="n">
        <v/>
      </c>
      <c r="X2198" t="n">
        <v/>
      </c>
      <c r="Y2198" t="n">
        <v/>
      </c>
      <c r="Z2198" t="n">
        <v/>
      </c>
      <c r="AA2198">
        <f>SUMIFS($S$2:S2198,$A$2:A2198,A2198,$N$2:N2198,"Explore*")</f>
        <v/>
      </c>
      <c r="AB2198">
        <f>IF(AND(LEFT(N2198,7)="Explore",(AA2198-IF(LEFT(N2198,7)="Explore",S2198,0))&lt;10),"SI","NO")</f>
        <v/>
      </c>
    </row>
    <row r="2199">
      <c r="A2199" t="inlineStr">
        <is>
          <t>c4f1_test</t>
        </is>
      </c>
      <c r="B2199" t="inlineStr">
        <is>
          <t>2026-01-28 12:29:46.125</t>
        </is>
      </c>
      <c r="C2199" t="n">
        <v/>
      </c>
      <c r="D2199" t="inlineStr">
        <is>
          <t>Media file</t>
        </is>
      </c>
      <c r="E2199" t="inlineStr">
        <is>
          <t>player #1:BTBR\test\c4f1.mp4</t>
        </is>
      </c>
      <c r="F2199" t="n">
        <v>-14.367</v>
      </c>
      <c r="G2199" t="n">
        <v>595.333</v>
      </c>
      <c r="H2199" t="n">
        <v>641.999</v>
      </c>
      <c r="I2199" t="n">
        <v>30</v>
      </c>
      <c r="J2199" t="inlineStr">
        <is>
          <t>BTBR</t>
        </is>
      </c>
      <c r="K2199" t="inlineStr">
        <is>
          <t xml:space="preserve"> Female</t>
        </is>
      </c>
      <c r="L2199" t="inlineStr">
        <is>
          <t>No focal subject</t>
        </is>
      </c>
      <c r="M2199" t="n">
        <v>34.671</v>
      </c>
      <c r="N2199" t="inlineStr">
        <is>
          <t>Explore_F</t>
        </is>
      </c>
      <c r="O2199" t="inlineStr">
        <is>
          <t>Familiar</t>
        </is>
      </c>
      <c r="P2199" t="inlineStr">
        <is>
          <t>STATE</t>
        </is>
      </c>
      <c r="Q2199" t="n">
        <v>220.133</v>
      </c>
      <c r="R2199" t="n">
        <v>221.199</v>
      </c>
      <c r="S2199" t="n">
        <v>1.066</v>
      </c>
      <c r="T2199" t="inlineStr">
        <is>
          <t>BTBR\test\c4f1.mp4</t>
        </is>
      </c>
      <c r="U2199" t="n">
        <v>6594</v>
      </c>
      <c r="V2199" t="n">
        <v>6626</v>
      </c>
      <c r="W2199" t="n">
        <v/>
      </c>
      <c r="X2199" t="n">
        <v/>
      </c>
      <c r="Y2199" t="n">
        <v/>
      </c>
      <c r="Z2199" t="n">
        <v/>
      </c>
      <c r="AA2199">
        <f>SUMIFS($S$2:S2199,$A$2:A2199,A2199,$N$2:N2199,"Explore*")</f>
        <v/>
      </c>
      <c r="AB2199">
        <f>IF(AND(LEFT(N2199,7)="Explore",(AA2199-IF(LEFT(N2199,7)="Explore",S2199,0))&lt;10),"SI","NO")</f>
        <v/>
      </c>
    </row>
    <row r="2200">
      <c r="A2200" t="inlineStr">
        <is>
          <t>c4f1_test</t>
        </is>
      </c>
      <c r="B2200" t="inlineStr">
        <is>
          <t>2026-01-28 12:29:46.125</t>
        </is>
      </c>
      <c r="C2200" t="n">
        <v/>
      </c>
      <c r="D2200" t="inlineStr">
        <is>
          <t>Media file</t>
        </is>
      </c>
      <c r="E2200" t="inlineStr">
        <is>
          <t>player #1:BTBR\test\c4f1.mp4</t>
        </is>
      </c>
      <c r="F2200" t="n">
        <v>-14.367</v>
      </c>
      <c r="G2200" t="n">
        <v>595.333</v>
      </c>
      <c r="H2200" t="n">
        <v>641.999</v>
      </c>
      <c r="I2200" t="n">
        <v>30</v>
      </c>
      <c r="J2200" t="inlineStr">
        <is>
          <t>BTBR</t>
        </is>
      </c>
      <c r="K2200" t="inlineStr">
        <is>
          <t xml:space="preserve"> Female</t>
        </is>
      </c>
      <c r="L2200" t="inlineStr">
        <is>
          <t>No focal subject</t>
        </is>
      </c>
      <c r="M2200" t="n">
        <v>34.671</v>
      </c>
      <c r="N2200" t="inlineStr">
        <is>
          <t>Explore_N</t>
        </is>
      </c>
      <c r="O2200" t="inlineStr">
        <is>
          <t>Novelty</t>
        </is>
      </c>
      <c r="P2200" t="inlineStr">
        <is>
          <t>STATE</t>
        </is>
      </c>
      <c r="Q2200" t="n">
        <v>226.299</v>
      </c>
      <c r="R2200" t="n">
        <v>226.933</v>
      </c>
      <c r="S2200" t="n">
        <v>0.634</v>
      </c>
      <c r="T2200" t="inlineStr">
        <is>
          <t>BTBR\test\c4f1.mp4</t>
        </is>
      </c>
      <c r="U2200" t="n">
        <v>6779</v>
      </c>
      <c r="V2200" t="n">
        <v>6798</v>
      </c>
      <c r="W2200" t="n">
        <v/>
      </c>
      <c r="X2200" t="n">
        <v/>
      </c>
      <c r="Y2200" t="n">
        <v/>
      </c>
      <c r="Z2200" t="n">
        <v/>
      </c>
      <c r="AA2200">
        <f>SUMIFS($S$2:S2200,$A$2:A2200,A2200,$N$2:N2200,"Explore*")</f>
        <v/>
      </c>
      <c r="AB2200">
        <f>IF(AND(LEFT(N2200,7)="Explore",(AA2200-IF(LEFT(N2200,7)="Explore",S2200,0))&lt;10),"SI","NO")</f>
        <v/>
      </c>
    </row>
    <row r="2201">
      <c r="A2201" t="inlineStr">
        <is>
          <t>c4f1_test</t>
        </is>
      </c>
      <c r="B2201" t="inlineStr">
        <is>
          <t>2026-01-28 12:29:46.125</t>
        </is>
      </c>
      <c r="C2201" t="n">
        <v/>
      </c>
      <c r="D2201" t="inlineStr">
        <is>
          <t>Media file</t>
        </is>
      </c>
      <c r="E2201" t="inlineStr">
        <is>
          <t>player #1:BTBR\test\c4f1.mp4</t>
        </is>
      </c>
      <c r="F2201" t="n">
        <v>-14.367</v>
      </c>
      <c r="G2201" t="n">
        <v>595.333</v>
      </c>
      <c r="H2201" t="n">
        <v>641.999</v>
      </c>
      <c r="I2201" t="n">
        <v>30</v>
      </c>
      <c r="J2201" t="inlineStr">
        <is>
          <t>BTBR</t>
        </is>
      </c>
      <c r="K2201" t="inlineStr">
        <is>
          <t xml:space="preserve"> Female</t>
        </is>
      </c>
      <c r="L2201" t="inlineStr">
        <is>
          <t>No focal subject</t>
        </is>
      </c>
      <c r="M2201" t="n">
        <v>34.671</v>
      </c>
      <c r="N2201" t="inlineStr">
        <is>
          <t>Explore_F</t>
        </is>
      </c>
      <c r="O2201" t="inlineStr">
        <is>
          <t>Familiar</t>
        </is>
      </c>
      <c r="P2201" t="inlineStr">
        <is>
          <t>STATE</t>
        </is>
      </c>
      <c r="Q2201" t="n">
        <v>254.366</v>
      </c>
      <c r="R2201" t="n">
        <v>254.799</v>
      </c>
      <c r="S2201" t="n">
        <v>0.433</v>
      </c>
      <c r="T2201" t="inlineStr">
        <is>
          <t>BTBR\test\c4f1.mp4</t>
        </is>
      </c>
      <c r="U2201" t="n">
        <v>7620</v>
      </c>
      <c r="V2201" t="n">
        <v>7633</v>
      </c>
      <c r="W2201" t="n">
        <v/>
      </c>
      <c r="X2201" t="n">
        <v/>
      </c>
      <c r="Y2201" t="n">
        <v/>
      </c>
      <c r="Z2201" t="n">
        <v/>
      </c>
      <c r="AA2201">
        <f>SUMIFS($S$2:S2201,$A$2:A2201,A2201,$N$2:N2201,"Explore*")</f>
        <v/>
      </c>
      <c r="AB2201">
        <f>IF(AND(LEFT(N2201,7)="Explore",(AA2201-IF(LEFT(N2201,7)="Explore",S2201,0))&lt;10),"SI","NO")</f>
        <v/>
      </c>
    </row>
    <row r="2202">
      <c r="A2202" t="inlineStr">
        <is>
          <t>c4f1_test</t>
        </is>
      </c>
      <c r="B2202" t="inlineStr">
        <is>
          <t>2026-01-28 12:29:46.125</t>
        </is>
      </c>
      <c r="C2202" t="n">
        <v/>
      </c>
      <c r="D2202" t="inlineStr">
        <is>
          <t>Media file</t>
        </is>
      </c>
      <c r="E2202" t="inlineStr">
        <is>
          <t>player #1:BTBR\test\c4f1.mp4</t>
        </is>
      </c>
      <c r="F2202" t="n">
        <v>-14.367</v>
      </c>
      <c r="G2202" t="n">
        <v>595.333</v>
      </c>
      <c r="H2202" t="n">
        <v>641.999</v>
      </c>
      <c r="I2202" t="n">
        <v>30</v>
      </c>
      <c r="J2202" t="inlineStr">
        <is>
          <t>BTBR</t>
        </is>
      </c>
      <c r="K2202" t="inlineStr">
        <is>
          <t xml:space="preserve"> Female</t>
        </is>
      </c>
      <c r="L2202" t="inlineStr">
        <is>
          <t>No focal subject</t>
        </is>
      </c>
      <c r="M2202" t="n">
        <v>34.671</v>
      </c>
      <c r="N2202" t="inlineStr">
        <is>
          <t>Explore_F</t>
        </is>
      </c>
      <c r="O2202" t="inlineStr">
        <is>
          <t>Familiar</t>
        </is>
      </c>
      <c r="P2202" t="inlineStr">
        <is>
          <t>STATE</t>
        </is>
      </c>
      <c r="Q2202" t="n">
        <v>281.833</v>
      </c>
      <c r="R2202" t="n">
        <v>282.199</v>
      </c>
      <c r="S2202" t="n">
        <v>0.366</v>
      </c>
      <c r="T2202" t="inlineStr">
        <is>
          <t>BTBR\test\c4f1.mp4</t>
        </is>
      </c>
      <c r="U2202" t="n">
        <v>8443</v>
      </c>
      <c r="V2202" t="n">
        <v>8453</v>
      </c>
      <c r="W2202" t="n">
        <v/>
      </c>
      <c r="X2202" t="n">
        <v/>
      </c>
      <c r="Y2202" t="n">
        <v/>
      </c>
      <c r="Z2202" t="n">
        <v/>
      </c>
      <c r="AA2202">
        <f>SUMIFS($S$2:S2202,$A$2:A2202,A2202,$N$2:N2202,"Explore*")</f>
        <v/>
      </c>
      <c r="AB2202">
        <f>IF(AND(LEFT(N2202,7)="Explore",(AA2202-IF(LEFT(N2202,7)="Explore",S2202,0))&lt;10),"SI","NO")</f>
        <v/>
      </c>
    </row>
    <row r="2203">
      <c r="A2203" t="inlineStr">
        <is>
          <t>c4f1_test</t>
        </is>
      </c>
      <c r="B2203" t="inlineStr">
        <is>
          <t>2026-01-28 12:29:46.125</t>
        </is>
      </c>
      <c r="C2203" t="n">
        <v/>
      </c>
      <c r="D2203" t="inlineStr">
        <is>
          <t>Media file</t>
        </is>
      </c>
      <c r="E2203" t="inlineStr">
        <is>
          <t>player #1:BTBR\test\c4f1.mp4</t>
        </is>
      </c>
      <c r="F2203" t="n">
        <v>-14.367</v>
      </c>
      <c r="G2203" t="n">
        <v>595.333</v>
      </c>
      <c r="H2203" t="n">
        <v>641.999</v>
      </c>
      <c r="I2203" t="n">
        <v>30</v>
      </c>
      <c r="J2203" t="inlineStr">
        <is>
          <t>BTBR</t>
        </is>
      </c>
      <c r="K2203" t="inlineStr">
        <is>
          <t xml:space="preserve"> Female</t>
        </is>
      </c>
      <c r="L2203" t="inlineStr">
        <is>
          <t>No focal subject</t>
        </is>
      </c>
      <c r="M2203" t="n">
        <v>34.671</v>
      </c>
      <c r="N2203" t="inlineStr">
        <is>
          <t>Explore_N</t>
        </is>
      </c>
      <c r="O2203" t="inlineStr">
        <is>
          <t>Novelty</t>
        </is>
      </c>
      <c r="P2203" t="inlineStr">
        <is>
          <t>STATE</t>
        </is>
      </c>
      <c r="Q2203" t="n">
        <v>288.066</v>
      </c>
      <c r="R2203" t="n">
        <v>288.533</v>
      </c>
      <c r="S2203" t="n">
        <v>0.467</v>
      </c>
      <c r="T2203" t="inlineStr">
        <is>
          <t>BTBR\test\c4f1.mp4</t>
        </is>
      </c>
      <c r="U2203" t="n">
        <v>8629</v>
      </c>
      <c r="V2203" t="n">
        <v>8644</v>
      </c>
      <c r="W2203" t="n">
        <v/>
      </c>
      <c r="X2203" t="n">
        <v/>
      </c>
      <c r="Y2203" t="n">
        <v/>
      </c>
      <c r="Z2203" t="n">
        <v/>
      </c>
      <c r="AA2203">
        <f>SUMIFS($S$2:S2203,$A$2:A2203,A2203,$N$2:N2203,"Explore*")</f>
        <v/>
      </c>
      <c r="AB2203">
        <f>IF(AND(LEFT(N2203,7)="Explore",(AA2203-IF(LEFT(N2203,7)="Explore",S2203,0))&lt;10),"SI","NO")</f>
        <v/>
      </c>
    </row>
    <row r="2204">
      <c r="A2204" t="inlineStr">
        <is>
          <t>c4f1_test</t>
        </is>
      </c>
      <c r="B2204" t="inlineStr">
        <is>
          <t>2026-01-28 12:29:46.125</t>
        </is>
      </c>
      <c r="C2204" t="n">
        <v/>
      </c>
      <c r="D2204" t="inlineStr">
        <is>
          <t>Media file</t>
        </is>
      </c>
      <c r="E2204" t="inlineStr">
        <is>
          <t>player #1:BTBR\test\c4f1.mp4</t>
        </is>
      </c>
      <c r="F2204" t="n">
        <v>-14.367</v>
      </c>
      <c r="G2204" t="n">
        <v>595.333</v>
      </c>
      <c r="H2204" t="n">
        <v>641.999</v>
      </c>
      <c r="I2204" t="n">
        <v>30</v>
      </c>
      <c r="J2204" t="inlineStr">
        <is>
          <t>BTBR</t>
        </is>
      </c>
      <c r="K2204" t="inlineStr">
        <is>
          <t xml:space="preserve"> Female</t>
        </is>
      </c>
      <c r="L2204" t="inlineStr">
        <is>
          <t>No focal subject</t>
        </is>
      </c>
      <c r="M2204" t="n">
        <v>34.671</v>
      </c>
      <c r="N2204" t="inlineStr">
        <is>
          <t>Explore_F</t>
        </is>
      </c>
      <c r="O2204" t="inlineStr">
        <is>
          <t>Familiar</t>
        </is>
      </c>
      <c r="P2204" t="inlineStr">
        <is>
          <t>STATE</t>
        </is>
      </c>
      <c r="Q2204" t="n">
        <v>290.099</v>
      </c>
      <c r="R2204" t="n">
        <v>291.066</v>
      </c>
      <c r="S2204" t="n">
        <v>0.967</v>
      </c>
      <c r="T2204" t="inlineStr">
        <is>
          <t>BTBR\test\c4f1.mp4</t>
        </is>
      </c>
      <c r="U2204" t="n">
        <v>8690</v>
      </c>
      <c r="V2204" t="n">
        <v>8719</v>
      </c>
      <c r="W2204" t="n">
        <v/>
      </c>
      <c r="X2204" t="n">
        <v/>
      </c>
      <c r="Y2204" t="n">
        <v/>
      </c>
      <c r="Z2204" t="n">
        <v/>
      </c>
      <c r="AA2204">
        <f>SUMIFS($S$2:S2204,$A$2:A2204,A2204,$N$2:N2204,"Explore*")</f>
        <v/>
      </c>
      <c r="AB2204">
        <f>IF(AND(LEFT(N2204,7)="Explore",(AA2204-IF(LEFT(N2204,7)="Explore",S2204,0))&lt;10),"SI","NO")</f>
        <v/>
      </c>
    </row>
    <row r="2205">
      <c r="A2205" t="inlineStr">
        <is>
          <t>c4f1_test</t>
        </is>
      </c>
      <c r="B2205" t="inlineStr">
        <is>
          <t>2026-01-28 12:29:46.125</t>
        </is>
      </c>
      <c r="C2205" t="n">
        <v/>
      </c>
      <c r="D2205" t="inlineStr">
        <is>
          <t>Media file</t>
        </is>
      </c>
      <c r="E2205" t="inlineStr">
        <is>
          <t>player #1:BTBR\test\c4f1.mp4</t>
        </is>
      </c>
      <c r="F2205" t="n">
        <v>-14.367</v>
      </c>
      <c r="G2205" t="n">
        <v>595.333</v>
      </c>
      <c r="H2205" t="n">
        <v>641.999</v>
      </c>
      <c r="I2205" t="n">
        <v>30</v>
      </c>
      <c r="J2205" t="inlineStr">
        <is>
          <t>BTBR</t>
        </is>
      </c>
      <c r="K2205" t="inlineStr">
        <is>
          <t xml:space="preserve"> Female</t>
        </is>
      </c>
      <c r="L2205" t="inlineStr">
        <is>
          <t>No focal subject</t>
        </is>
      </c>
      <c r="M2205" t="n">
        <v>34.671</v>
      </c>
      <c r="N2205" t="inlineStr">
        <is>
          <t>Explore_N</t>
        </is>
      </c>
      <c r="O2205" t="inlineStr">
        <is>
          <t>Novelty</t>
        </is>
      </c>
      <c r="P2205" t="inlineStr">
        <is>
          <t>STATE</t>
        </is>
      </c>
      <c r="Q2205" t="n">
        <v>323.666</v>
      </c>
      <c r="R2205" t="n">
        <v>325.066</v>
      </c>
      <c r="S2205" t="n">
        <v>1.4</v>
      </c>
      <c r="T2205" t="inlineStr">
        <is>
          <t>BTBR\test\c4f1.mp4</t>
        </is>
      </c>
      <c r="U2205" t="n">
        <v>10126</v>
      </c>
      <c r="V2205" t="n">
        <v>10168</v>
      </c>
      <c r="W2205" t="n">
        <v/>
      </c>
      <c r="X2205" t="n">
        <v/>
      </c>
      <c r="Y2205" t="n">
        <v/>
      </c>
      <c r="Z2205" t="n">
        <v/>
      </c>
      <c r="AA2205">
        <f>SUMIFS($S$2:S2205,$A$2:A2205,A2205,$N$2:N2205,"Explore*")</f>
        <v/>
      </c>
      <c r="AB2205">
        <f>IF(AND(LEFT(N2205,7)="Explore",(AA2205-IF(LEFT(N2205,7)="Explore",S2205,0))&lt;10),"SI","NO")</f>
        <v/>
      </c>
    </row>
    <row r="2206">
      <c r="A2206" t="inlineStr">
        <is>
          <t>c4f1_test</t>
        </is>
      </c>
      <c r="B2206" t="inlineStr">
        <is>
          <t>2026-01-28 12:29:46.125</t>
        </is>
      </c>
      <c r="C2206" t="n">
        <v/>
      </c>
      <c r="D2206" t="inlineStr">
        <is>
          <t>Media file</t>
        </is>
      </c>
      <c r="E2206" t="inlineStr">
        <is>
          <t>player #1:BTBR\test\c4f1.mp4</t>
        </is>
      </c>
      <c r="F2206" t="n">
        <v>-14.367</v>
      </c>
      <c r="G2206" t="n">
        <v>595.333</v>
      </c>
      <c r="H2206" t="n">
        <v>641.999</v>
      </c>
      <c r="I2206" t="n">
        <v>30</v>
      </c>
      <c r="J2206" t="inlineStr">
        <is>
          <t>BTBR</t>
        </is>
      </c>
      <c r="K2206" t="inlineStr">
        <is>
          <t xml:space="preserve"> Female</t>
        </is>
      </c>
      <c r="L2206" t="inlineStr">
        <is>
          <t>No focal subject</t>
        </is>
      </c>
      <c r="M2206" t="n">
        <v>34.671</v>
      </c>
      <c r="N2206" t="inlineStr">
        <is>
          <t>Explore_F</t>
        </is>
      </c>
      <c r="O2206" t="inlineStr">
        <is>
          <t>Familiar</t>
        </is>
      </c>
      <c r="P2206" t="inlineStr">
        <is>
          <t>STATE</t>
        </is>
      </c>
      <c r="Q2206" t="n">
        <v>357.899</v>
      </c>
      <c r="R2206" t="n">
        <v>358.166</v>
      </c>
      <c r="S2206" t="n">
        <v>0.267</v>
      </c>
      <c r="T2206" t="inlineStr">
        <is>
          <t>BTBR\test\c4f1.mp4</t>
        </is>
      </c>
      <c r="U2206" t="n">
        <v>11152</v>
      </c>
      <c r="V2206" t="n">
        <v>11159</v>
      </c>
      <c r="W2206" t="n">
        <v/>
      </c>
      <c r="X2206" t="n">
        <v/>
      </c>
      <c r="Y2206" t="n">
        <v/>
      </c>
      <c r="Z2206" t="n">
        <v/>
      </c>
      <c r="AA2206">
        <f>SUMIFS($S$2:S2206,$A$2:A2206,A2206,$N$2:N2206,"Explore*")</f>
        <v/>
      </c>
      <c r="AB2206">
        <f>IF(AND(LEFT(N2206,7)="Explore",(AA2206-IF(LEFT(N2206,7)="Explore",S2206,0))&lt;10),"SI","NO")</f>
        <v/>
      </c>
    </row>
    <row r="2207">
      <c r="A2207" t="inlineStr">
        <is>
          <t>c4f1_test</t>
        </is>
      </c>
      <c r="B2207" t="inlineStr">
        <is>
          <t>2026-01-28 12:29:46.125</t>
        </is>
      </c>
      <c r="C2207" t="n">
        <v/>
      </c>
      <c r="D2207" t="inlineStr">
        <is>
          <t>Media file</t>
        </is>
      </c>
      <c r="E2207" t="inlineStr">
        <is>
          <t>player #1:BTBR\test\c4f1.mp4</t>
        </is>
      </c>
      <c r="F2207" t="n">
        <v>-14.367</v>
      </c>
      <c r="G2207" t="n">
        <v>595.333</v>
      </c>
      <c r="H2207" t="n">
        <v>641.999</v>
      </c>
      <c r="I2207" t="n">
        <v>30</v>
      </c>
      <c r="J2207" t="inlineStr">
        <is>
          <t>BTBR</t>
        </is>
      </c>
      <c r="K2207" t="inlineStr">
        <is>
          <t xml:space="preserve"> Female</t>
        </is>
      </c>
      <c r="L2207" t="inlineStr">
        <is>
          <t>No focal subject</t>
        </is>
      </c>
      <c r="M2207" t="n">
        <v>34.671</v>
      </c>
      <c r="N2207" t="inlineStr">
        <is>
          <t>Explore_F</t>
        </is>
      </c>
      <c r="O2207" t="inlineStr">
        <is>
          <t>Familiar</t>
        </is>
      </c>
      <c r="P2207" t="inlineStr">
        <is>
          <t>STATE</t>
        </is>
      </c>
      <c r="Q2207" t="n">
        <v>367.966</v>
      </c>
      <c r="R2207" t="n">
        <v>368.866</v>
      </c>
      <c r="S2207" t="n">
        <v>0.9</v>
      </c>
      <c r="T2207" t="inlineStr">
        <is>
          <t>BTBR\test\c4f1.mp4</t>
        </is>
      </c>
      <c r="U2207" t="n">
        <v>11453</v>
      </c>
      <c r="V2207" t="n">
        <v>11480</v>
      </c>
      <c r="W2207" t="n">
        <v/>
      </c>
      <c r="X2207" t="n">
        <v/>
      </c>
      <c r="Y2207" t="n">
        <v/>
      </c>
      <c r="Z2207" t="n">
        <v/>
      </c>
      <c r="AA2207">
        <f>SUMIFS($S$2:S2207,$A$2:A2207,A2207,$N$2:N2207,"Explore*")</f>
        <v/>
      </c>
      <c r="AB2207">
        <f>IF(AND(LEFT(N2207,7)="Explore",(AA2207-IF(LEFT(N2207,7)="Explore",S2207,0))&lt;10),"SI","NO")</f>
        <v/>
      </c>
    </row>
    <row r="2208">
      <c r="A2208" t="inlineStr">
        <is>
          <t>c4f1_test</t>
        </is>
      </c>
      <c r="B2208" t="inlineStr">
        <is>
          <t>2026-01-28 12:29:46.125</t>
        </is>
      </c>
      <c r="C2208" t="n">
        <v/>
      </c>
      <c r="D2208" t="inlineStr">
        <is>
          <t>Media file</t>
        </is>
      </c>
      <c r="E2208" t="inlineStr">
        <is>
          <t>player #1:BTBR\test\c4f1.mp4</t>
        </is>
      </c>
      <c r="F2208" t="n">
        <v>-14.367</v>
      </c>
      <c r="G2208" t="n">
        <v>595.333</v>
      </c>
      <c r="H2208" t="n">
        <v>641.999</v>
      </c>
      <c r="I2208" t="n">
        <v>30</v>
      </c>
      <c r="J2208" t="inlineStr">
        <is>
          <t>BTBR</t>
        </is>
      </c>
      <c r="K2208" t="inlineStr">
        <is>
          <t xml:space="preserve"> Female</t>
        </is>
      </c>
      <c r="L2208" t="inlineStr">
        <is>
          <t>No focal subject</t>
        </is>
      </c>
      <c r="M2208" t="n">
        <v>34.671</v>
      </c>
      <c r="N2208" t="inlineStr">
        <is>
          <t>Explore_N</t>
        </is>
      </c>
      <c r="O2208" t="inlineStr">
        <is>
          <t>Novelty</t>
        </is>
      </c>
      <c r="P2208" t="inlineStr">
        <is>
          <t>STATE</t>
        </is>
      </c>
      <c r="Q2208" t="n">
        <v>370.066</v>
      </c>
      <c r="R2208" t="n">
        <v>371.299</v>
      </c>
      <c r="S2208" t="n">
        <v>1.233</v>
      </c>
      <c r="T2208" t="inlineStr">
        <is>
          <t>BTBR\test\c4f1.mp4</t>
        </is>
      </c>
      <c r="U2208" t="n">
        <v>11516</v>
      </c>
      <c r="V2208" t="n">
        <v>11553</v>
      </c>
      <c r="W2208" t="n">
        <v/>
      </c>
      <c r="X2208" t="n">
        <v/>
      </c>
      <c r="Y2208" t="n">
        <v/>
      </c>
      <c r="Z2208" t="n">
        <v/>
      </c>
      <c r="AA2208">
        <f>SUMIFS($S$2:S2208,$A$2:A2208,A2208,$N$2:N2208,"Explore*")</f>
        <v/>
      </c>
      <c r="AB2208">
        <f>IF(AND(LEFT(N2208,7)="Explore",(AA2208-IF(LEFT(N2208,7)="Explore",S2208,0))&lt;10),"SI","NO")</f>
        <v/>
      </c>
    </row>
    <row r="2209">
      <c r="A2209" t="inlineStr">
        <is>
          <t>c4f1_test</t>
        </is>
      </c>
      <c r="B2209" t="inlineStr">
        <is>
          <t>2026-01-28 12:29:46.125</t>
        </is>
      </c>
      <c r="C2209" t="n">
        <v/>
      </c>
      <c r="D2209" t="inlineStr">
        <is>
          <t>Media file</t>
        </is>
      </c>
      <c r="E2209" t="inlineStr">
        <is>
          <t>player #1:BTBR\test\c4f1.mp4</t>
        </is>
      </c>
      <c r="F2209" t="n">
        <v>-14.367</v>
      </c>
      <c r="G2209" t="n">
        <v>595.333</v>
      </c>
      <c r="H2209" t="n">
        <v>641.999</v>
      </c>
      <c r="I2209" t="n">
        <v>30</v>
      </c>
      <c r="J2209" t="inlineStr">
        <is>
          <t>BTBR</t>
        </is>
      </c>
      <c r="K2209" t="inlineStr">
        <is>
          <t xml:space="preserve"> Female</t>
        </is>
      </c>
      <c r="L2209" t="inlineStr">
        <is>
          <t>No focal subject</t>
        </is>
      </c>
      <c r="M2209" t="n">
        <v>34.671</v>
      </c>
      <c r="N2209" t="inlineStr">
        <is>
          <t>Explore_N</t>
        </is>
      </c>
      <c r="O2209" t="inlineStr">
        <is>
          <t>Novelty</t>
        </is>
      </c>
      <c r="P2209" t="inlineStr">
        <is>
          <t>STATE</t>
        </is>
      </c>
      <c r="Q2209" t="n">
        <v>372.833</v>
      </c>
      <c r="R2209" t="n">
        <v>373.866</v>
      </c>
      <c r="S2209" t="n">
        <v>1.033</v>
      </c>
      <c r="T2209" t="inlineStr">
        <is>
          <t>BTBR\test\c4f1.mp4</t>
        </is>
      </c>
      <c r="U2209" t="n">
        <v>11599</v>
      </c>
      <c r="V2209" t="n">
        <v>11630</v>
      </c>
      <c r="W2209" t="n">
        <v/>
      </c>
      <c r="X2209" t="n">
        <v/>
      </c>
      <c r="Y2209" t="n">
        <v/>
      </c>
      <c r="Z2209" t="n">
        <v/>
      </c>
      <c r="AA2209">
        <f>SUMIFS($S$2:S2209,$A$2:A2209,A2209,$N$2:N2209,"Explore*")</f>
        <v/>
      </c>
      <c r="AB2209">
        <f>IF(AND(LEFT(N2209,7)="Explore",(AA2209-IF(LEFT(N2209,7)="Explore",S2209,0))&lt;10),"SI","NO")</f>
        <v/>
      </c>
    </row>
    <row r="2210">
      <c r="A2210" t="inlineStr">
        <is>
          <t>c4f1_test</t>
        </is>
      </c>
      <c r="B2210" t="inlineStr">
        <is>
          <t>2026-01-28 12:29:46.125</t>
        </is>
      </c>
      <c r="C2210" t="n">
        <v/>
      </c>
      <c r="D2210" t="inlineStr">
        <is>
          <t>Media file</t>
        </is>
      </c>
      <c r="E2210" t="inlineStr">
        <is>
          <t>player #1:BTBR\test\c4f1.mp4</t>
        </is>
      </c>
      <c r="F2210" t="n">
        <v>-14.367</v>
      </c>
      <c r="G2210" t="n">
        <v>595.333</v>
      </c>
      <c r="H2210" t="n">
        <v>641.999</v>
      </c>
      <c r="I2210" t="n">
        <v>30</v>
      </c>
      <c r="J2210" t="inlineStr">
        <is>
          <t>BTBR</t>
        </is>
      </c>
      <c r="K2210" t="inlineStr">
        <is>
          <t xml:space="preserve"> Female</t>
        </is>
      </c>
      <c r="L2210" t="inlineStr">
        <is>
          <t>No focal subject</t>
        </is>
      </c>
      <c r="M2210" t="n">
        <v>34.671</v>
      </c>
      <c r="N2210" t="inlineStr">
        <is>
          <t>Explore_F</t>
        </is>
      </c>
      <c r="O2210" t="inlineStr">
        <is>
          <t>Familiar</t>
        </is>
      </c>
      <c r="P2210" t="inlineStr">
        <is>
          <t>STATE</t>
        </is>
      </c>
      <c r="Q2210" t="n">
        <v>376.166</v>
      </c>
      <c r="R2210" t="n">
        <v>376.999</v>
      </c>
      <c r="S2210" t="n">
        <v>0.833</v>
      </c>
      <c r="T2210" t="inlineStr">
        <is>
          <t>BTBR\test\c4f1.mp4</t>
        </is>
      </c>
      <c r="U2210" t="n">
        <v>11699</v>
      </c>
      <c r="V2210" t="n">
        <v>11724</v>
      </c>
      <c r="W2210" t="n">
        <v/>
      </c>
      <c r="X2210" t="n">
        <v/>
      </c>
      <c r="Y2210" t="n">
        <v/>
      </c>
      <c r="Z2210" t="n">
        <v/>
      </c>
      <c r="AA2210">
        <f>SUMIFS($S$2:S2210,$A$2:A2210,A2210,$N$2:N2210,"Explore*")</f>
        <v/>
      </c>
      <c r="AB2210">
        <f>IF(AND(LEFT(N2210,7)="Explore",(AA2210-IF(LEFT(N2210,7)="Explore",S2210,0))&lt;10),"SI","NO")</f>
        <v/>
      </c>
    </row>
    <row r="2211">
      <c r="A2211" t="inlineStr">
        <is>
          <t>c4f1_test</t>
        </is>
      </c>
      <c r="B2211" t="inlineStr">
        <is>
          <t>2026-01-28 12:29:46.125</t>
        </is>
      </c>
      <c r="C2211" t="n">
        <v/>
      </c>
      <c r="D2211" t="inlineStr">
        <is>
          <t>Media file</t>
        </is>
      </c>
      <c r="E2211" t="inlineStr">
        <is>
          <t>player #1:BTBR\test\c4f1.mp4</t>
        </is>
      </c>
      <c r="F2211" t="n">
        <v>-14.367</v>
      </c>
      <c r="G2211" t="n">
        <v>595.333</v>
      </c>
      <c r="H2211" t="n">
        <v>641.999</v>
      </c>
      <c r="I2211" t="n">
        <v>30</v>
      </c>
      <c r="J2211" t="inlineStr">
        <is>
          <t>BTBR</t>
        </is>
      </c>
      <c r="K2211" t="inlineStr">
        <is>
          <t xml:space="preserve"> Female</t>
        </is>
      </c>
      <c r="L2211" t="inlineStr">
        <is>
          <t>No focal subject</t>
        </is>
      </c>
      <c r="M2211" t="n">
        <v>34.671</v>
      </c>
      <c r="N2211" t="inlineStr">
        <is>
          <t>Explore_N</t>
        </is>
      </c>
      <c r="O2211" t="inlineStr">
        <is>
          <t>Novelty</t>
        </is>
      </c>
      <c r="P2211" t="inlineStr">
        <is>
          <t>STATE</t>
        </is>
      </c>
      <c r="Q2211" t="n">
        <v>408.699</v>
      </c>
      <c r="R2211" t="n">
        <v>409.233</v>
      </c>
      <c r="S2211" t="n">
        <v>0.534</v>
      </c>
      <c r="T2211" t="inlineStr">
        <is>
          <t>BTBR\test\c4f1.mp4</t>
        </is>
      </c>
      <c r="U2211" t="n">
        <v>12673</v>
      </c>
      <c r="V2211" t="n">
        <v>12689</v>
      </c>
      <c r="W2211" t="n">
        <v/>
      </c>
      <c r="X2211" t="n">
        <v/>
      </c>
      <c r="Y2211" t="n">
        <v/>
      </c>
      <c r="Z2211" t="n">
        <v/>
      </c>
      <c r="AA2211">
        <f>SUMIFS($S$2:S2211,$A$2:A2211,A2211,$N$2:N2211,"Explore*")</f>
        <v/>
      </c>
      <c r="AB2211">
        <f>IF(AND(LEFT(N2211,7)="Explore",(AA2211-IF(LEFT(N2211,7)="Explore",S2211,0))&lt;10),"SI","NO")</f>
        <v/>
      </c>
    </row>
    <row r="2212">
      <c r="A2212" t="inlineStr">
        <is>
          <t>c4f1_test</t>
        </is>
      </c>
      <c r="B2212" t="inlineStr">
        <is>
          <t>2026-01-28 12:29:46.125</t>
        </is>
      </c>
      <c r="C2212" t="n">
        <v/>
      </c>
      <c r="D2212" t="inlineStr">
        <is>
          <t>Media file</t>
        </is>
      </c>
      <c r="E2212" t="inlineStr">
        <is>
          <t>player #1:BTBR\test\c4f1.mp4</t>
        </is>
      </c>
      <c r="F2212" t="n">
        <v>-14.367</v>
      </c>
      <c r="G2212" t="n">
        <v>595.333</v>
      </c>
      <c r="H2212" t="n">
        <v>641.999</v>
      </c>
      <c r="I2212" t="n">
        <v>30</v>
      </c>
      <c r="J2212" t="inlineStr">
        <is>
          <t>BTBR</t>
        </is>
      </c>
      <c r="K2212" t="inlineStr">
        <is>
          <t xml:space="preserve"> Female</t>
        </is>
      </c>
      <c r="L2212" t="inlineStr">
        <is>
          <t>No focal subject</t>
        </is>
      </c>
      <c r="M2212" t="n">
        <v>34.671</v>
      </c>
      <c r="N2212" t="inlineStr">
        <is>
          <t>Explore_N</t>
        </is>
      </c>
      <c r="O2212" t="inlineStr">
        <is>
          <t>Novelty</t>
        </is>
      </c>
      <c r="P2212" t="inlineStr">
        <is>
          <t>STATE</t>
        </is>
      </c>
      <c r="Q2212" t="n">
        <v>424.099</v>
      </c>
      <c r="R2212" t="n">
        <v>424.599</v>
      </c>
      <c r="S2212" t="n">
        <v>0.5</v>
      </c>
      <c r="T2212" t="inlineStr">
        <is>
          <t>BTBR\test\c4f1.mp4</t>
        </is>
      </c>
      <c r="U2212" t="n">
        <v>13135</v>
      </c>
      <c r="V2212" t="n">
        <v>13150</v>
      </c>
      <c r="W2212" t="n">
        <v/>
      </c>
      <c r="X2212" t="n">
        <v/>
      </c>
      <c r="Y2212" t="n">
        <v/>
      </c>
      <c r="Z2212" t="n">
        <v/>
      </c>
      <c r="AA2212">
        <f>SUMIFS($S$2:S2212,$A$2:A2212,A2212,$N$2:N2212,"Explore*")</f>
        <v/>
      </c>
      <c r="AB2212">
        <f>IF(AND(LEFT(N2212,7)="Explore",(AA2212-IF(LEFT(N2212,7)="Explore",S2212,0))&lt;10),"SI","NO")</f>
        <v/>
      </c>
    </row>
    <row r="2213">
      <c r="A2213" t="inlineStr">
        <is>
          <t>c4f1_test</t>
        </is>
      </c>
      <c r="B2213" t="inlineStr">
        <is>
          <t>2026-01-28 12:29:46.125</t>
        </is>
      </c>
      <c r="C2213" t="n">
        <v/>
      </c>
      <c r="D2213" t="inlineStr">
        <is>
          <t>Media file</t>
        </is>
      </c>
      <c r="E2213" t="inlineStr">
        <is>
          <t>player #1:BTBR\test\c4f1.mp4</t>
        </is>
      </c>
      <c r="F2213" t="n">
        <v>-14.367</v>
      </c>
      <c r="G2213" t="n">
        <v>595.333</v>
      </c>
      <c r="H2213" t="n">
        <v>641.999</v>
      </c>
      <c r="I2213" t="n">
        <v>30</v>
      </c>
      <c r="J2213" t="inlineStr">
        <is>
          <t>BTBR</t>
        </is>
      </c>
      <c r="K2213" t="inlineStr">
        <is>
          <t xml:space="preserve"> Female</t>
        </is>
      </c>
      <c r="L2213" t="inlineStr">
        <is>
          <t>No focal subject</t>
        </is>
      </c>
      <c r="M2213" t="n">
        <v>34.671</v>
      </c>
      <c r="N2213" t="inlineStr">
        <is>
          <t>Explore_F</t>
        </is>
      </c>
      <c r="O2213" t="inlineStr">
        <is>
          <t>Familiar</t>
        </is>
      </c>
      <c r="P2213" t="inlineStr">
        <is>
          <t>STATE</t>
        </is>
      </c>
      <c r="Q2213" t="n">
        <v>425.866</v>
      </c>
      <c r="R2213" t="n">
        <v>426.833</v>
      </c>
      <c r="S2213" t="n">
        <v>0.967</v>
      </c>
      <c r="T2213" t="inlineStr">
        <is>
          <t>BTBR\test\c4f1.mp4</t>
        </is>
      </c>
      <c r="U2213" t="n">
        <v>13187</v>
      </c>
      <c r="V2213" t="n">
        <v>13216</v>
      </c>
      <c r="W2213" t="n">
        <v/>
      </c>
      <c r="X2213" t="n">
        <v/>
      </c>
      <c r="Y2213" t="n">
        <v/>
      </c>
      <c r="Z2213" t="n">
        <v/>
      </c>
      <c r="AA2213">
        <f>SUMIFS($S$2:S2213,$A$2:A2213,A2213,$N$2:N2213,"Explore*")</f>
        <v/>
      </c>
      <c r="AB2213">
        <f>IF(AND(LEFT(N2213,7)="Explore",(AA2213-IF(LEFT(N2213,7)="Explore",S2213,0))&lt;10),"SI","NO")</f>
        <v/>
      </c>
    </row>
    <row r="2214">
      <c r="A2214" t="inlineStr">
        <is>
          <t>c4f1_test</t>
        </is>
      </c>
      <c r="B2214" t="inlineStr">
        <is>
          <t>2026-01-28 12:29:46.125</t>
        </is>
      </c>
      <c r="C2214" t="n">
        <v/>
      </c>
      <c r="D2214" t="inlineStr">
        <is>
          <t>Media file</t>
        </is>
      </c>
      <c r="E2214" t="inlineStr">
        <is>
          <t>player #1:BTBR\test\c4f1.mp4</t>
        </is>
      </c>
      <c r="F2214" t="n">
        <v>-14.367</v>
      </c>
      <c r="G2214" t="n">
        <v>595.333</v>
      </c>
      <c r="H2214" t="n">
        <v>641.999</v>
      </c>
      <c r="I2214" t="n">
        <v>30</v>
      </c>
      <c r="J2214" t="inlineStr">
        <is>
          <t>BTBR</t>
        </is>
      </c>
      <c r="K2214" t="inlineStr">
        <is>
          <t xml:space="preserve"> Female</t>
        </is>
      </c>
      <c r="L2214" t="inlineStr">
        <is>
          <t>No focal subject</t>
        </is>
      </c>
      <c r="M2214" t="n">
        <v>34.671</v>
      </c>
      <c r="N2214" t="inlineStr">
        <is>
          <t>Explore_N</t>
        </is>
      </c>
      <c r="O2214" t="inlineStr">
        <is>
          <t>Novelty</t>
        </is>
      </c>
      <c r="P2214" t="inlineStr">
        <is>
          <t>STATE</t>
        </is>
      </c>
      <c r="Q2214" t="n">
        <v>477.432</v>
      </c>
      <c r="R2214" t="n">
        <v>478.332</v>
      </c>
      <c r="S2214" t="n">
        <v>0.9</v>
      </c>
      <c r="T2214" t="inlineStr">
        <is>
          <t>BTBR\test\c4f1.mp4</t>
        </is>
      </c>
      <c r="U2214" t="n">
        <v>14732</v>
      </c>
      <c r="V2214" t="n">
        <v>14759</v>
      </c>
      <c r="W2214" t="n">
        <v/>
      </c>
      <c r="X2214" t="n">
        <v/>
      </c>
      <c r="Y2214" t="n">
        <v/>
      </c>
      <c r="Z2214" t="n">
        <v/>
      </c>
      <c r="AA2214">
        <f>SUMIFS($S$2:S2214,$A$2:A2214,A2214,$N$2:N2214,"Explore*")</f>
        <v/>
      </c>
      <c r="AB2214">
        <f>IF(AND(LEFT(N2214,7)="Explore",(AA2214-IF(LEFT(N2214,7)="Explore",S2214,0))&lt;10),"SI","NO")</f>
        <v/>
      </c>
    </row>
    <row r="2215">
      <c r="A2215" t="inlineStr">
        <is>
          <t>c4f1_test</t>
        </is>
      </c>
      <c r="B2215" t="inlineStr">
        <is>
          <t>2026-01-28 12:29:46.125</t>
        </is>
      </c>
      <c r="C2215" t="n">
        <v/>
      </c>
      <c r="D2215" t="inlineStr">
        <is>
          <t>Media file</t>
        </is>
      </c>
      <c r="E2215" t="inlineStr">
        <is>
          <t>player #1:BTBR\test\c4f1.mp4</t>
        </is>
      </c>
      <c r="F2215" t="n">
        <v>-14.367</v>
      </c>
      <c r="G2215" t="n">
        <v>595.333</v>
      </c>
      <c r="H2215" t="n">
        <v>641.999</v>
      </c>
      <c r="I2215" t="n">
        <v>30</v>
      </c>
      <c r="J2215" t="inlineStr">
        <is>
          <t>BTBR</t>
        </is>
      </c>
      <c r="K2215" t="inlineStr">
        <is>
          <t xml:space="preserve"> Female</t>
        </is>
      </c>
      <c r="L2215" t="inlineStr">
        <is>
          <t>No focal subject</t>
        </is>
      </c>
      <c r="M2215" t="n">
        <v>34.671</v>
      </c>
      <c r="N2215" t="inlineStr">
        <is>
          <t>Explore_F</t>
        </is>
      </c>
      <c r="O2215" t="inlineStr">
        <is>
          <t>Familiar</t>
        </is>
      </c>
      <c r="P2215" t="inlineStr">
        <is>
          <t>STATE</t>
        </is>
      </c>
      <c r="Q2215" t="n">
        <v>479.799</v>
      </c>
      <c r="R2215" t="n">
        <v>480.866</v>
      </c>
      <c r="S2215" t="n">
        <v>1.067</v>
      </c>
      <c r="T2215" t="inlineStr">
        <is>
          <t>BTBR\test\c4f1.mp4</t>
        </is>
      </c>
      <c r="U2215" t="n">
        <v>14803</v>
      </c>
      <c r="V2215" t="n">
        <v>14835</v>
      </c>
      <c r="W2215" t="n">
        <v/>
      </c>
      <c r="X2215" t="n">
        <v/>
      </c>
      <c r="Y2215" t="n">
        <v/>
      </c>
      <c r="Z2215" t="n">
        <v/>
      </c>
      <c r="AA2215">
        <f>SUMIFS($S$2:S2215,$A$2:A2215,A2215,$N$2:N2215,"Explore*")</f>
        <v/>
      </c>
      <c r="AB2215">
        <f>IF(AND(LEFT(N2215,7)="Explore",(AA2215-IF(LEFT(N2215,7)="Explore",S2215,0))&lt;10),"SI","NO")</f>
        <v/>
      </c>
    </row>
    <row r="2216">
      <c r="A2216" t="inlineStr">
        <is>
          <t>c4f1_test</t>
        </is>
      </c>
      <c r="B2216" t="inlineStr">
        <is>
          <t>2026-01-28 12:29:46.125</t>
        </is>
      </c>
      <c r="C2216" t="n">
        <v/>
      </c>
      <c r="D2216" t="inlineStr">
        <is>
          <t>Media file</t>
        </is>
      </c>
      <c r="E2216" t="inlineStr">
        <is>
          <t>player #1:BTBR\test\c4f1.mp4</t>
        </is>
      </c>
      <c r="F2216" t="n">
        <v>-14.367</v>
      </c>
      <c r="G2216" t="n">
        <v>595.333</v>
      </c>
      <c r="H2216" t="n">
        <v>641.999</v>
      </c>
      <c r="I2216" t="n">
        <v>30</v>
      </c>
      <c r="J2216" t="inlineStr">
        <is>
          <t>BTBR</t>
        </is>
      </c>
      <c r="K2216" t="inlineStr">
        <is>
          <t xml:space="preserve"> Female</t>
        </is>
      </c>
      <c r="L2216" t="inlineStr">
        <is>
          <t>No focal subject</t>
        </is>
      </c>
      <c r="M2216" t="n">
        <v>34.671</v>
      </c>
      <c r="N2216" t="inlineStr">
        <is>
          <t>Explore_N</t>
        </is>
      </c>
      <c r="O2216" t="inlineStr">
        <is>
          <t>Novelty</t>
        </is>
      </c>
      <c r="P2216" t="inlineStr">
        <is>
          <t>STATE</t>
        </is>
      </c>
      <c r="Q2216" t="n">
        <v>484.299</v>
      </c>
      <c r="R2216" t="n">
        <v>485.099</v>
      </c>
      <c r="S2216" t="n">
        <v>0.8</v>
      </c>
      <c r="T2216" t="inlineStr">
        <is>
          <t>BTBR\test\c4f1.mp4</t>
        </is>
      </c>
      <c r="U2216" t="n">
        <v>14938</v>
      </c>
      <c r="V2216" t="n">
        <v>14962</v>
      </c>
      <c r="W2216" t="n">
        <v/>
      </c>
      <c r="X2216" t="n">
        <v/>
      </c>
      <c r="Y2216" t="n">
        <v/>
      </c>
      <c r="Z2216" t="n">
        <v/>
      </c>
      <c r="AA2216">
        <f>SUMIFS($S$2:S2216,$A$2:A2216,A2216,$N$2:N2216,"Explore*")</f>
        <v/>
      </c>
      <c r="AB2216">
        <f>IF(AND(LEFT(N2216,7)="Explore",(AA2216-IF(LEFT(N2216,7)="Explore",S2216,0))&lt;10),"SI","NO")</f>
        <v/>
      </c>
    </row>
    <row r="2217">
      <c r="A2217" t="inlineStr">
        <is>
          <t>c4f1_test</t>
        </is>
      </c>
      <c r="B2217" t="inlineStr">
        <is>
          <t>2026-01-28 12:29:46.125</t>
        </is>
      </c>
      <c r="C2217" t="n">
        <v/>
      </c>
      <c r="D2217" t="inlineStr">
        <is>
          <t>Media file</t>
        </is>
      </c>
      <c r="E2217" t="inlineStr">
        <is>
          <t>player #1:BTBR\test\c4f1.mp4</t>
        </is>
      </c>
      <c r="F2217" t="n">
        <v>-14.367</v>
      </c>
      <c r="G2217" t="n">
        <v>595.333</v>
      </c>
      <c r="H2217" t="n">
        <v>641.999</v>
      </c>
      <c r="I2217" t="n">
        <v>30</v>
      </c>
      <c r="J2217" t="inlineStr">
        <is>
          <t>BTBR</t>
        </is>
      </c>
      <c r="K2217" t="inlineStr">
        <is>
          <t xml:space="preserve"> Female</t>
        </is>
      </c>
      <c r="L2217" t="inlineStr">
        <is>
          <t>No focal subject</t>
        </is>
      </c>
      <c r="M2217" t="n">
        <v>34.671</v>
      </c>
      <c r="N2217" t="inlineStr">
        <is>
          <t>Explore_F</t>
        </is>
      </c>
      <c r="O2217" t="inlineStr">
        <is>
          <t>Familiar</t>
        </is>
      </c>
      <c r="P2217" t="inlineStr">
        <is>
          <t>STATE</t>
        </is>
      </c>
      <c r="Q2217" t="n">
        <v>487.332</v>
      </c>
      <c r="R2217" t="n">
        <v>488.032</v>
      </c>
      <c r="S2217" t="n">
        <v>0.7</v>
      </c>
      <c r="T2217" t="inlineStr">
        <is>
          <t>BTBR\test\c4f1.mp4</t>
        </is>
      </c>
      <c r="U2217" t="n">
        <v>15029</v>
      </c>
      <c r="V2217" t="n">
        <v>15050</v>
      </c>
      <c r="W2217" t="n">
        <v/>
      </c>
      <c r="X2217" t="n">
        <v/>
      </c>
      <c r="Y2217" t="n">
        <v/>
      </c>
      <c r="Z2217" t="n">
        <v/>
      </c>
      <c r="AA2217">
        <f>SUMIFS($S$2:S2217,$A$2:A2217,A2217,$N$2:N2217,"Explore*")</f>
        <v/>
      </c>
      <c r="AB2217">
        <f>IF(AND(LEFT(N2217,7)="Explore",(AA2217-IF(LEFT(N2217,7)="Explore",S2217,0))&lt;10),"SI","NO")</f>
        <v/>
      </c>
    </row>
    <row r="2218">
      <c r="A2218" t="inlineStr">
        <is>
          <t>c4f1_test</t>
        </is>
      </c>
      <c r="B2218" t="inlineStr">
        <is>
          <t>2026-01-28 12:29:46.125</t>
        </is>
      </c>
      <c r="C2218" t="n">
        <v/>
      </c>
      <c r="D2218" t="inlineStr">
        <is>
          <t>Media file</t>
        </is>
      </c>
      <c r="E2218" t="inlineStr">
        <is>
          <t>player #1:BTBR\test\c4f1.mp4</t>
        </is>
      </c>
      <c r="F2218" t="n">
        <v>-14.367</v>
      </c>
      <c r="G2218" t="n">
        <v>595.333</v>
      </c>
      <c r="H2218" t="n">
        <v>641.999</v>
      </c>
      <c r="I2218" t="n">
        <v>30</v>
      </c>
      <c r="J2218" t="inlineStr">
        <is>
          <t>BTBR</t>
        </is>
      </c>
      <c r="K2218" t="inlineStr">
        <is>
          <t xml:space="preserve"> Female</t>
        </is>
      </c>
      <c r="L2218" t="inlineStr">
        <is>
          <t>No focal subject</t>
        </is>
      </c>
      <c r="M2218" t="n">
        <v>34.671</v>
      </c>
      <c r="N2218" t="inlineStr">
        <is>
          <t>Explore_F</t>
        </is>
      </c>
      <c r="O2218" t="inlineStr">
        <is>
          <t>Familiar</t>
        </is>
      </c>
      <c r="P2218" t="inlineStr">
        <is>
          <t>STATE</t>
        </is>
      </c>
      <c r="Q2218" t="n">
        <v>531.732</v>
      </c>
      <c r="R2218" t="n">
        <v>532.266</v>
      </c>
      <c r="S2218" t="n">
        <v>0.534</v>
      </c>
      <c r="T2218" t="inlineStr">
        <is>
          <t>BTBR\test\c4f1.mp4</t>
        </is>
      </c>
      <c r="U2218" t="n">
        <v>16359</v>
      </c>
      <c r="V2218" t="n">
        <v>16375</v>
      </c>
      <c r="W2218" t="n">
        <v/>
      </c>
      <c r="X2218" t="n">
        <v/>
      </c>
      <c r="Y2218" t="n">
        <v/>
      </c>
      <c r="Z2218" t="n">
        <v/>
      </c>
      <c r="AA2218">
        <f>SUMIFS($S$2:S2218,$A$2:A2218,A2218,$N$2:N2218,"Explore*")</f>
        <v/>
      </c>
      <c r="AB2218">
        <f>IF(AND(LEFT(N2218,7)="Explore",(AA2218-IF(LEFT(N2218,7)="Explore",S2218,0))&lt;10),"SI","NO")</f>
        <v/>
      </c>
    </row>
    <row r="2219">
      <c r="A2219" t="inlineStr">
        <is>
          <t>c4f1_test</t>
        </is>
      </c>
      <c r="B2219" t="inlineStr">
        <is>
          <t>2026-01-28 12:29:46.125</t>
        </is>
      </c>
      <c r="C2219" t="n">
        <v/>
      </c>
      <c r="D2219" t="inlineStr">
        <is>
          <t>Media file</t>
        </is>
      </c>
      <c r="E2219" t="inlineStr">
        <is>
          <t>player #1:BTBR\test\c4f1.mp4</t>
        </is>
      </c>
      <c r="F2219" t="n">
        <v>-14.367</v>
      </c>
      <c r="G2219" t="n">
        <v>595.333</v>
      </c>
      <c r="H2219" t="n">
        <v>641.999</v>
      </c>
      <c r="I2219" t="n">
        <v>30</v>
      </c>
      <c r="J2219" t="inlineStr">
        <is>
          <t>BTBR</t>
        </is>
      </c>
      <c r="K2219" t="inlineStr">
        <is>
          <t xml:space="preserve"> Female</t>
        </is>
      </c>
      <c r="L2219" t="inlineStr">
        <is>
          <t>No focal subject</t>
        </is>
      </c>
      <c r="M2219" t="n">
        <v>34.671</v>
      </c>
      <c r="N2219" t="inlineStr">
        <is>
          <t>Explore_N</t>
        </is>
      </c>
      <c r="O2219" t="inlineStr">
        <is>
          <t>Novelty</t>
        </is>
      </c>
      <c r="P2219" t="inlineStr">
        <is>
          <t>STATE</t>
        </is>
      </c>
      <c r="Q2219" t="n">
        <v>598.699</v>
      </c>
      <c r="R2219" t="n">
        <v>599.266</v>
      </c>
      <c r="S2219" t="n">
        <v>0.5669999999999999</v>
      </c>
      <c r="T2219" t="inlineStr">
        <is>
          <t>BTBR\test\c4f1.mp4</t>
        </is>
      </c>
      <c r="U2219" t="n">
        <v>18365</v>
      </c>
      <c r="V2219" t="n">
        <v>18382</v>
      </c>
      <c r="W2219" t="n">
        <v/>
      </c>
      <c r="X2219" t="n">
        <v/>
      </c>
      <c r="Y2219" t="n">
        <v/>
      </c>
      <c r="Z2219" t="n">
        <v/>
      </c>
      <c r="AA2219">
        <f>SUMIFS($S$2:S2219,$A$2:A2219,A2219,$N$2:N2219,"Explore*")</f>
        <v/>
      </c>
      <c r="AB2219">
        <f>IF(AND(LEFT(N2219,7)="Explore",(AA2219-IF(LEFT(N2219,7)="Explore",S2219,0))&lt;10),"SI","NO")</f>
        <v/>
      </c>
    </row>
    <row r="2220">
      <c r="A2220" t="inlineStr">
        <is>
          <t>c4f2_test</t>
        </is>
      </c>
      <c r="B2220" t="inlineStr">
        <is>
          <t>2026-01-28 13:43:34.425</t>
        </is>
      </c>
      <c r="C2220" t="n">
        <v/>
      </c>
      <c r="D2220" t="inlineStr">
        <is>
          <t>Media file</t>
        </is>
      </c>
      <c r="E2220" t="inlineStr">
        <is>
          <t>player #1:BTBR\test\c4f2.mp4</t>
        </is>
      </c>
      <c r="F2220" t="n">
        <v>-11.4</v>
      </c>
      <c r="G2220" t="n">
        <v>588.299</v>
      </c>
      <c r="H2220" t="n">
        <v>632.533</v>
      </c>
      <c r="I2220" t="n">
        <v>30</v>
      </c>
      <c r="J2220" t="inlineStr">
        <is>
          <t>BTBR</t>
        </is>
      </c>
      <c r="K2220" t="inlineStr">
        <is>
          <t xml:space="preserve"> Female</t>
        </is>
      </c>
      <c r="L2220" t="inlineStr">
        <is>
          <t>No focal subject</t>
        </is>
      </c>
      <c r="M2220" t="n">
        <v>63.16</v>
      </c>
      <c r="N2220" t="inlineStr">
        <is>
          <t>Explore_N</t>
        </is>
      </c>
      <c r="O2220" t="inlineStr">
        <is>
          <t>Novelty</t>
        </is>
      </c>
      <c r="P2220" t="inlineStr">
        <is>
          <t>STATE</t>
        </is>
      </c>
      <c r="Q2220" t="n">
        <v>3.267</v>
      </c>
      <c r="R2220" t="n">
        <v>3.9</v>
      </c>
      <c r="S2220" t="n">
        <v>0.633</v>
      </c>
      <c r="T2220" t="inlineStr">
        <is>
          <t>BTBR\test\c4f2.mp4</t>
        </is>
      </c>
      <c r="U2220" t="n">
        <v>98</v>
      </c>
      <c r="V2220" t="n">
        <v>117</v>
      </c>
      <c r="W2220" t="n">
        <v/>
      </c>
      <c r="X2220" t="n">
        <v/>
      </c>
      <c r="Y2220" t="n">
        <v/>
      </c>
      <c r="Z2220" t="n">
        <v/>
      </c>
      <c r="AA2220">
        <f>SUMIFS($S$2:S2220,$A$2:A2220,A2220,$N$2:N2220,"Explore*")</f>
        <v/>
      </c>
      <c r="AB2220">
        <f>IF(AND(LEFT(N2220,7)="Explore",(AA2220-IF(LEFT(N2220,7)="Explore",S2220,0))&lt;10),"SI","NO")</f>
        <v/>
      </c>
    </row>
    <row r="2221">
      <c r="A2221" t="inlineStr">
        <is>
          <t>c4f2_test</t>
        </is>
      </c>
      <c r="B2221" t="inlineStr">
        <is>
          <t>2026-01-28 13:43:34.425</t>
        </is>
      </c>
      <c r="C2221" t="n">
        <v/>
      </c>
      <c r="D2221" t="inlineStr">
        <is>
          <t>Media file</t>
        </is>
      </c>
      <c r="E2221" t="inlineStr">
        <is>
          <t>player #1:BTBR\test\c4f2.mp4</t>
        </is>
      </c>
      <c r="F2221" t="n">
        <v>-11.4</v>
      </c>
      <c r="G2221" t="n">
        <v>588.299</v>
      </c>
      <c r="H2221" t="n">
        <v>632.533</v>
      </c>
      <c r="I2221" t="n">
        <v>30</v>
      </c>
      <c r="J2221" t="inlineStr">
        <is>
          <t>BTBR</t>
        </is>
      </c>
      <c r="K2221" t="inlineStr">
        <is>
          <t xml:space="preserve"> Female</t>
        </is>
      </c>
      <c r="L2221" t="inlineStr">
        <is>
          <t>No focal subject</t>
        </is>
      </c>
      <c r="M2221" t="n">
        <v>63.16</v>
      </c>
      <c r="N2221" t="inlineStr">
        <is>
          <t>Explore_F</t>
        </is>
      </c>
      <c r="O2221" t="inlineStr">
        <is>
          <t>Familiar</t>
        </is>
      </c>
      <c r="P2221" t="inlineStr">
        <is>
          <t>STATE</t>
        </is>
      </c>
      <c r="Q2221" t="n">
        <v>4.533</v>
      </c>
      <c r="R2221" t="n">
        <v>4.8</v>
      </c>
      <c r="S2221" t="n">
        <v>0.267</v>
      </c>
      <c r="T2221" t="inlineStr">
        <is>
          <t>BTBR\test\c4f2.mp4</t>
        </is>
      </c>
      <c r="U2221" t="n">
        <v>137</v>
      </c>
      <c r="V2221" t="n">
        <v>144</v>
      </c>
      <c r="W2221" t="n">
        <v/>
      </c>
      <c r="X2221" t="n">
        <v/>
      </c>
      <c r="Y2221" t="n">
        <v/>
      </c>
      <c r="Z2221" t="n">
        <v/>
      </c>
      <c r="AA2221">
        <f>SUMIFS($S$2:S2221,$A$2:A2221,A2221,$N$2:N2221,"Explore*")</f>
        <v/>
      </c>
      <c r="AB2221">
        <f>IF(AND(LEFT(N2221,7)="Explore",(AA2221-IF(LEFT(N2221,7)="Explore",S2221,0))&lt;10),"SI","NO")</f>
        <v/>
      </c>
    </row>
    <row r="2222">
      <c r="A2222" t="inlineStr">
        <is>
          <t>c4f2_test</t>
        </is>
      </c>
      <c r="B2222" t="inlineStr">
        <is>
          <t>2026-01-28 13:43:34.425</t>
        </is>
      </c>
      <c r="C2222" t="n">
        <v/>
      </c>
      <c r="D2222" t="inlineStr">
        <is>
          <t>Media file</t>
        </is>
      </c>
      <c r="E2222" t="inlineStr">
        <is>
          <t>player #1:BTBR\test\c4f2.mp4</t>
        </is>
      </c>
      <c r="F2222" t="n">
        <v>-11.4</v>
      </c>
      <c r="G2222" t="n">
        <v>588.299</v>
      </c>
      <c r="H2222" t="n">
        <v>632.533</v>
      </c>
      <c r="I2222" t="n">
        <v>30</v>
      </c>
      <c r="J2222" t="inlineStr">
        <is>
          <t>BTBR</t>
        </is>
      </c>
      <c r="K2222" t="inlineStr">
        <is>
          <t xml:space="preserve"> Female</t>
        </is>
      </c>
      <c r="L2222" t="inlineStr">
        <is>
          <t>No focal subject</t>
        </is>
      </c>
      <c r="M2222" t="n">
        <v>63.16</v>
      </c>
      <c r="N2222" t="inlineStr">
        <is>
          <t>Explore_F</t>
        </is>
      </c>
      <c r="O2222" t="inlineStr">
        <is>
          <t>Familiar</t>
        </is>
      </c>
      <c r="P2222" t="inlineStr">
        <is>
          <t>STATE</t>
        </is>
      </c>
      <c r="Q2222" t="n">
        <v>19.4</v>
      </c>
      <c r="R2222" t="n">
        <v>19.667</v>
      </c>
      <c r="S2222" t="n">
        <v>0.267</v>
      </c>
      <c r="T2222" t="inlineStr">
        <is>
          <t>BTBR\test\c4f2.mp4</t>
        </is>
      </c>
      <c r="U2222" t="n">
        <v>582</v>
      </c>
      <c r="V2222" t="n">
        <v>590</v>
      </c>
      <c r="W2222" t="n">
        <v/>
      </c>
      <c r="X2222" t="n">
        <v/>
      </c>
      <c r="Y2222" t="n">
        <v/>
      </c>
      <c r="Z2222" t="n">
        <v/>
      </c>
      <c r="AA2222">
        <f>SUMIFS($S$2:S2222,$A$2:A2222,A2222,$N$2:N2222,"Explore*")</f>
        <v/>
      </c>
      <c r="AB2222">
        <f>IF(AND(LEFT(N2222,7)="Explore",(AA2222-IF(LEFT(N2222,7)="Explore",S2222,0))&lt;10),"SI","NO")</f>
        <v/>
      </c>
    </row>
    <row r="2223">
      <c r="A2223" t="inlineStr">
        <is>
          <t>c4f2_test</t>
        </is>
      </c>
      <c r="B2223" t="inlineStr">
        <is>
          <t>2026-01-28 13:43:34.425</t>
        </is>
      </c>
      <c r="C2223" t="n">
        <v/>
      </c>
      <c r="D2223" t="inlineStr">
        <is>
          <t>Media file</t>
        </is>
      </c>
      <c r="E2223" t="inlineStr">
        <is>
          <t>player #1:BTBR\test\c4f2.mp4</t>
        </is>
      </c>
      <c r="F2223" t="n">
        <v>-11.4</v>
      </c>
      <c r="G2223" t="n">
        <v>588.299</v>
      </c>
      <c r="H2223" t="n">
        <v>632.533</v>
      </c>
      <c r="I2223" t="n">
        <v>30</v>
      </c>
      <c r="J2223" t="inlineStr">
        <is>
          <t>BTBR</t>
        </is>
      </c>
      <c r="K2223" t="inlineStr">
        <is>
          <t xml:space="preserve"> Female</t>
        </is>
      </c>
      <c r="L2223" t="inlineStr">
        <is>
          <t>No focal subject</t>
        </is>
      </c>
      <c r="M2223" t="n">
        <v>63.16</v>
      </c>
      <c r="N2223" t="inlineStr">
        <is>
          <t>Explore_N</t>
        </is>
      </c>
      <c r="O2223" t="inlineStr">
        <is>
          <t>Novelty</t>
        </is>
      </c>
      <c r="P2223" t="inlineStr">
        <is>
          <t>STATE</t>
        </is>
      </c>
      <c r="Q2223" t="n">
        <v>20.5</v>
      </c>
      <c r="R2223" t="n">
        <v>21.8</v>
      </c>
      <c r="S2223" t="n">
        <v>1.3</v>
      </c>
      <c r="T2223" t="inlineStr">
        <is>
          <t>BTBR\test\c4f2.mp4</t>
        </is>
      </c>
      <c r="U2223" t="n">
        <v>617</v>
      </c>
      <c r="V2223" t="n">
        <v>654</v>
      </c>
      <c r="W2223" t="n">
        <v/>
      </c>
      <c r="X2223" t="n">
        <v/>
      </c>
      <c r="Y2223" t="n">
        <v/>
      </c>
      <c r="Z2223" t="n">
        <v/>
      </c>
      <c r="AA2223">
        <f>SUMIFS($S$2:S2223,$A$2:A2223,A2223,$N$2:N2223,"Explore*")</f>
        <v/>
      </c>
      <c r="AB2223">
        <f>IF(AND(LEFT(N2223,7)="Explore",(AA2223-IF(LEFT(N2223,7)="Explore",S2223,0))&lt;10),"SI","NO")</f>
        <v/>
      </c>
    </row>
    <row r="2224">
      <c r="A2224" t="inlineStr">
        <is>
          <t>c4f2_test</t>
        </is>
      </c>
      <c r="B2224" t="inlineStr">
        <is>
          <t>2026-01-28 13:43:34.425</t>
        </is>
      </c>
      <c r="C2224" t="n">
        <v/>
      </c>
      <c r="D2224" t="inlineStr">
        <is>
          <t>Media file</t>
        </is>
      </c>
      <c r="E2224" t="inlineStr">
        <is>
          <t>player #1:BTBR\test\c4f2.mp4</t>
        </is>
      </c>
      <c r="F2224" t="n">
        <v>-11.4</v>
      </c>
      <c r="G2224" t="n">
        <v>588.299</v>
      </c>
      <c r="H2224" t="n">
        <v>632.533</v>
      </c>
      <c r="I2224" t="n">
        <v>30</v>
      </c>
      <c r="J2224" t="inlineStr">
        <is>
          <t>BTBR</t>
        </is>
      </c>
      <c r="K2224" t="inlineStr">
        <is>
          <t xml:space="preserve"> Female</t>
        </is>
      </c>
      <c r="L2224" t="inlineStr">
        <is>
          <t>No focal subject</t>
        </is>
      </c>
      <c r="M2224" t="n">
        <v>63.16</v>
      </c>
      <c r="N2224" t="inlineStr">
        <is>
          <t>Explore_F</t>
        </is>
      </c>
      <c r="O2224" t="inlineStr">
        <is>
          <t>Familiar</t>
        </is>
      </c>
      <c r="P2224" t="inlineStr">
        <is>
          <t>STATE</t>
        </is>
      </c>
      <c r="Q2224" t="n">
        <v>22.767</v>
      </c>
      <c r="R2224" t="n">
        <v>24.167</v>
      </c>
      <c r="S2224" t="n">
        <v>1.4</v>
      </c>
      <c r="T2224" t="inlineStr">
        <is>
          <t>BTBR\test\c4f2.mp4</t>
        </is>
      </c>
      <c r="U2224" t="n">
        <v>683</v>
      </c>
      <c r="V2224" t="n">
        <v>725</v>
      </c>
      <c r="W2224" t="n">
        <v/>
      </c>
      <c r="X2224" t="n">
        <v/>
      </c>
      <c r="Y2224" t="n">
        <v/>
      </c>
      <c r="Z2224" t="n">
        <v/>
      </c>
      <c r="AA2224">
        <f>SUMIFS($S$2:S2224,$A$2:A2224,A2224,$N$2:N2224,"Explore*")</f>
        <v/>
      </c>
      <c r="AB2224">
        <f>IF(AND(LEFT(N2224,7)="Explore",(AA2224-IF(LEFT(N2224,7)="Explore",S2224,0))&lt;10),"SI","NO")</f>
        <v/>
      </c>
    </row>
    <row r="2225">
      <c r="A2225" t="inlineStr">
        <is>
          <t>c4f2_test</t>
        </is>
      </c>
      <c r="B2225" t="inlineStr">
        <is>
          <t>2026-01-28 13:43:34.425</t>
        </is>
      </c>
      <c r="C2225" t="n">
        <v/>
      </c>
      <c r="D2225" t="inlineStr">
        <is>
          <t>Media file</t>
        </is>
      </c>
      <c r="E2225" t="inlineStr">
        <is>
          <t>player #1:BTBR\test\c4f2.mp4</t>
        </is>
      </c>
      <c r="F2225" t="n">
        <v>-11.4</v>
      </c>
      <c r="G2225" t="n">
        <v>588.299</v>
      </c>
      <c r="H2225" t="n">
        <v>632.533</v>
      </c>
      <c r="I2225" t="n">
        <v>30</v>
      </c>
      <c r="J2225" t="inlineStr">
        <is>
          <t>BTBR</t>
        </is>
      </c>
      <c r="K2225" t="inlineStr">
        <is>
          <t xml:space="preserve"> Female</t>
        </is>
      </c>
      <c r="L2225" t="inlineStr">
        <is>
          <t>No focal subject</t>
        </is>
      </c>
      <c r="M2225" t="n">
        <v>63.16</v>
      </c>
      <c r="N2225" t="inlineStr">
        <is>
          <t>Explore_N</t>
        </is>
      </c>
      <c r="O2225" t="inlineStr">
        <is>
          <t>Novelty</t>
        </is>
      </c>
      <c r="P2225" t="inlineStr">
        <is>
          <t>STATE</t>
        </is>
      </c>
      <c r="Q2225" t="n">
        <v>25.6</v>
      </c>
      <c r="R2225" t="n">
        <v>26.6</v>
      </c>
      <c r="S2225" t="n">
        <v>1</v>
      </c>
      <c r="T2225" t="inlineStr">
        <is>
          <t>BTBR\test\c4f2.mp4</t>
        </is>
      </c>
      <c r="U2225" t="n">
        <v>768</v>
      </c>
      <c r="V2225" t="n">
        <v>798</v>
      </c>
      <c r="W2225" t="n">
        <v/>
      </c>
      <c r="X2225" t="n">
        <v/>
      </c>
      <c r="Y2225" t="n">
        <v/>
      </c>
      <c r="Z2225" t="n">
        <v/>
      </c>
      <c r="AA2225">
        <f>SUMIFS($S$2:S2225,$A$2:A2225,A2225,$N$2:N2225,"Explore*")</f>
        <v/>
      </c>
      <c r="AB2225">
        <f>IF(AND(LEFT(N2225,7)="Explore",(AA2225-IF(LEFT(N2225,7)="Explore",S2225,0))&lt;10),"SI","NO")</f>
        <v/>
      </c>
    </row>
    <row r="2226">
      <c r="A2226" t="inlineStr">
        <is>
          <t>c4f2_test</t>
        </is>
      </c>
      <c r="B2226" t="inlineStr">
        <is>
          <t>2026-01-28 13:43:34.425</t>
        </is>
      </c>
      <c r="C2226" t="n">
        <v/>
      </c>
      <c r="D2226" t="inlineStr">
        <is>
          <t>Media file</t>
        </is>
      </c>
      <c r="E2226" t="inlineStr">
        <is>
          <t>player #1:BTBR\test\c4f2.mp4</t>
        </is>
      </c>
      <c r="F2226" t="n">
        <v>-11.4</v>
      </c>
      <c r="G2226" t="n">
        <v>588.299</v>
      </c>
      <c r="H2226" t="n">
        <v>632.533</v>
      </c>
      <c r="I2226" t="n">
        <v>30</v>
      </c>
      <c r="J2226" t="inlineStr">
        <is>
          <t>BTBR</t>
        </is>
      </c>
      <c r="K2226" t="inlineStr">
        <is>
          <t xml:space="preserve"> Female</t>
        </is>
      </c>
      <c r="L2226" t="inlineStr">
        <is>
          <t>No focal subject</t>
        </is>
      </c>
      <c r="M2226" t="n">
        <v>63.16</v>
      </c>
      <c r="N2226" t="inlineStr">
        <is>
          <t>Explore_F</t>
        </is>
      </c>
      <c r="O2226" t="inlineStr">
        <is>
          <t>Familiar</t>
        </is>
      </c>
      <c r="P2226" t="inlineStr">
        <is>
          <t>STATE</t>
        </is>
      </c>
      <c r="Q2226" t="n">
        <v>27.8</v>
      </c>
      <c r="R2226" t="n">
        <v>28.567</v>
      </c>
      <c r="S2226" t="n">
        <v>0.767</v>
      </c>
      <c r="T2226" t="inlineStr">
        <is>
          <t>BTBR\test\c4f2.mp4</t>
        </is>
      </c>
      <c r="U2226" t="n">
        <v>833</v>
      </c>
      <c r="V2226" t="n">
        <v>856</v>
      </c>
      <c r="W2226" t="n">
        <v/>
      </c>
      <c r="X2226" t="n">
        <v/>
      </c>
      <c r="Y2226" t="n">
        <v/>
      </c>
      <c r="Z2226" t="n">
        <v/>
      </c>
      <c r="AA2226">
        <f>SUMIFS($S$2:S2226,$A$2:A2226,A2226,$N$2:N2226,"Explore*")</f>
        <v/>
      </c>
      <c r="AB2226">
        <f>IF(AND(LEFT(N2226,7)="Explore",(AA2226-IF(LEFT(N2226,7)="Explore",S2226,0))&lt;10),"SI","NO")</f>
        <v/>
      </c>
    </row>
    <row r="2227">
      <c r="A2227" t="inlineStr">
        <is>
          <t>c4f2_test</t>
        </is>
      </c>
      <c r="B2227" t="inlineStr">
        <is>
          <t>2026-01-28 13:43:34.425</t>
        </is>
      </c>
      <c r="C2227" t="n">
        <v/>
      </c>
      <c r="D2227" t="inlineStr">
        <is>
          <t>Media file</t>
        </is>
      </c>
      <c r="E2227" t="inlineStr">
        <is>
          <t>player #1:BTBR\test\c4f2.mp4</t>
        </is>
      </c>
      <c r="F2227" t="n">
        <v>-11.4</v>
      </c>
      <c r="G2227" t="n">
        <v>588.299</v>
      </c>
      <c r="H2227" t="n">
        <v>632.533</v>
      </c>
      <c r="I2227" t="n">
        <v>30</v>
      </c>
      <c r="J2227" t="inlineStr">
        <is>
          <t>BTBR</t>
        </is>
      </c>
      <c r="K2227" t="inlineStr">
        <is>
          <t xml:space="preserve"> Female</t>
        </is>
      </c>
      <c r="L2227" t="inlineStr">
        <is>
          <t>No focal subject</t>
        </is>
      </c>
      <c r="M2227" t="n">
        <v>63.16</v>
      </c>
      <c r="N2227" t="inlineStr">
        <is>
          <t>Explore_F</t>
        </is>
      </c>
      <c r="O2227" t="inlineStr">
        <is>
          <t>Familiar</t>
        </is>
      </c>
      <c r="P2227" t="inlineStr">
        <is>
          <t>STATE</t>
        </is>
      </c>
      <c r="Q2227" t="n">
        <v>32.067</v>
      </c>
      <c r="R2227" t="n">
        <v>33.167</v>
      </c>
      <c r="S2227" t="n">
        <v>1.1</v>
      </c>
      <c r="T2227" t="inlineStr">
        <is>
          <t>BTBR\test\c4f2.mp4</t>
        </is>
      </c>
      <c r="U2227" t="n">
        <v>961</v>
      </c>
      <c r="V2227" t="n">
        <v>994</v>
      </c>
      <c r="W2227" t="n">
        <v/>
      </c>
      <c r="X2227" t="n">
        <v/>
      </c>
      <c r="Y2227" t="n">
        <v/>
      </c>
      <c r="Z2227" t="n">
        <v/>
      </c>
      <c r="AA2227">
        <f>SUMIFS($S$2:S2227,$A$2:A2227,A2227,$N$2:N2227,"Explore*")</f>
        <v/>
      </c>
      <c r="AB2227">
        <f>IF(AND(LEFT(N2227,7)="Explore",(AA2227-IF(LEFT(N2227,7)="Explore",S2227,0))&lt;10),"SI","NO")</f>
        <v/>
      </c>
    </row>
    <row r="2228">
      <c r="A2228" t="inlineStr">
        <is>
          <t>c4f2_test</t>
        </is>
      </c>
      <c r="B2228" t="inlineStr">
        <is>
          <t>2026-01-28 13:43:34.425</t>
        </is>
      </c>
      <c r="C2228" t="n">
        <v/>
      </c>
      <c r="D2228" t="inlineStr">
        <is>
          <t>Media file</t>
        </is>
      </c>
      <c r="E2228" t="inlineStr">
        <is>
          <t>player #1:BTBR\test\c4f2.mp4</t>
        </is>
      </c>
      <c r="F2228" t="n">
        <v>-11.4</v>
      </c>
      <c r="G2228" t="n">
        <v>588.299</v>
      </c>
      <c r="H2228" t="n">
        <v>632.533</v>
      </c>
      <c r="I2228" t="n">
        <v>30</v>
      </c>
      <c r="J2228" t="inlineStr">
        <is>
          <t>BTBR</t>
        </is>
      </c>
      <c r="K2228" t="inlineStr">
        <is>
          <t xml:space="preserve"> Female</t>
        </is>
      </c>
      <c r="L2228" t="inlineStr">
        <is>
          <t>No focal subject</t>
        </is>
      </c>
      <c r="M2228" t="n">
        <v>63.16</v>
      </c>
      <c r="N2228" t="inlineStr">
        <is>
          <t>Explore_N</t>
        </is>
      </c>
      <c r="O2228" t="inlineStr">
        <is>
          <t>Novelty</t>
        </is>
      </c>
      <c r="P2228" t="inlineStr">
        <is>
          <t>STATE</t>
        </is>
      </c>
      <c r="Q2228" t="n">
        <v>33.9</v>
      </c>
      <c r="R2228" t="n">
        <v>34.9</v>
      </c>
      <c r="S2228" t="n">
        <v>1</v>
      </c>
      <c r="T2228" t="inlineStr">
        <is>
          <t>BTBR\test\c4f2.mp4</t>
        </is>
      </c>
      <c r="U2228" t="n">
        <v>1016</v>
      </c>
      <c r="V2228" t="n">
        <v>1046</v>
      </c>
      <c r="W2228" t="n">
        <v/>
      </c>
      <c r="X2228" t="n">
        <v/>
      </c>
      <c r="Y2228" t="n">
        <v/>
      </c>
      <c r="Z2228" t="n">
        <v/>
      </c>
      <c r="AA2228">
        <f>SUMIFS($S$2:S2228,$A$2:A2228,A2228,$N$2:N2228,"Explore*")</f>
        <v/>
      </c>
      <c r="AB2228">
        <f>IF(AND(LEFT(N2228,7)="Explore",(AA2228-IF(LEFT(N2228,7)="Explore",S2228,0))&lt;10),"SI","NO")</f>
        <v/>
      </c>
    </row>
    <row r="2229">
      <c r="A2229" t="inlineStr">
        <is>
          <t>c4f2_test</t>
        </is>
      </c>
      <c r="B2229" t="inlineStr">
        <is>
          <t>2026-01-28 13:43:34.425</t>
        </is>
      </c>
      <c r="C2229" t="n">
        <v/>
      </c>
      <c r="D2229" t="inlineStr">
        <is>
          <t>Media file</t>
        </is>
      </c>
      <c r="E2229" t="inlineStr">
        <is>
          <t>player #1:BTBR\test\c4f2.mp4</t>
        </is>
      </c>
      <c r="F2229" t="n">
        <v>-11.4</v>
      </c>
      <c r="G2229" t="n">
        <v>588.299</v>
      </c>
      <c r="H2229" t="n">
        <v>632.533</v>
      </c>
      <c r="I2229" t="n">
        <v>30</v>
      </c>
      <c r="J2229" t="inlineStr">
        <is>
          <t>BTBR</t>
        </is>
      </c>
      <c r="K2229" t="inlineStr">
        <is>
          <t xml:space="preserve"> Female</t>
        </is>
      </c>
      <c r="L2229" t="inlineStr">
        <is>
          <t>No focal subject</t>
        </is>
      </c>
      <c r="M2229" t="n">
        <v>63.16</v>
      </c>
      <c r="N2229" t="inlineStr">
        <is>
          <t>Explore_N</t>
        </is>
      </c>
      <c r="O2229" t="inlineStr">
        <is>
          <t>Novelty</t>
        </is>
      </c>
      <c r="P2229" t="inlineStr">
        <is>
          <t>STATE</t>
        </is>
      </c>
      <c r="Q2229" t="n">
        <v>36.067</v>
      </c>
      <c r="R2229" t="n">
        <v>37.233</v>
      </c>
      <c r="S2229" t="n">
        <v>1.166</v>
      </c>
      <c r="T2229" t="inlineStr">
        <is>
          <t>BTBR\test\c4f2.mp4</t>
        </is>
      </c>
      <c r="U2229" t="n">
        <v>1081</v>
      </c>
      <c r="V2229" t="n">
        <v>1116</v>
      </c>
      <c r="W2229" t="n">
        <v/>
      </c>
      <c r="X2229" t="n">
        <v/>
      </c>
      <c r="Y2229" t="n">
        <v/>
      </c>
      <c r="Z2229" t="n">
        <v/>
      </c>
      <c r="AA2229">
        <f>SUMIFS($S$2:S2229,$A$2:A2229,A2229,$N$2:N2229,"Explore*")</f>
        <v/>
      </c>
      <c r="AB2229">
        <f>IF(AND(LEFT(N2229,7)="Explore",(AA2229-IF(LEFT(N2229,7)="Explore",S2229,0))&lt;10),"SI","NO")</f>
        <v/>
      </c>
    </row>
    <row r="2230">
      <c r="A2230" t="inlineStr">
        <is>
          <t>c4f2_test</t>
        </is>
      </c>
      <c r="B2230" t="inlineStr">
        <is>
          <t>2026-01-28 13:43:34.425</t>
        </is>
      </c>
      <c r="C2230" t="n">
        <v/>
      </c>
      <c r="D2230" t="inlineStr">
        <is>
          <t>Media file</t>
        </is>
      </c>
      <c r="E2230" t="inlineStr">
        <is>
          <t>player #1:BTBR\test\c4f2.mp4</t>
        </is>
      </c>
      <c r="F2230" t="n">
        <v>-11.4</v>
      </c>
      <c r="G2230" t="n">
        <v>588.299</v>
      </c>
      <c r="H2230" t="n">
        <v>632.533</v>
      </c>
      <c r="I2230" t="n">
        <v>30</v>
      </c>
      <c r="J2230" t="inlineStr">
        <is>
          <t>BTBR</t>
        </is>
      </c>
      <c r="K2230" t="inlineStr">
        <is>
          <t xml:space="preserve"> Female</t>
        </is>
      </c>
      <c r="L2230" t="inlineStr">
        <is>
          <t>No focal subject</t>
        </is>
      </c>
      <c r="M2230" t="n">
        <v>63.16</v>
      </c>
      <c r="N2230" t="inlineStr">
        <is>
          <t>Explore_F</t>
        </is>
      </c>
      <c r="O2230" t="inlineStr">
        <is>
          <t>Familiar</t>
        </is>
      </c>
      <c r="P2230" t="inlineStr">
        <is>
          <t>STATE</t>
        </is>
      </c>
      <c r="Q2230" t="n">
        <v>37.633</v>
      </c>
      <c r="R2230" t="n">
        <v>37.867</v>
      </c>
      <c r="S2230" t="n">
        <v>0.234</v>
      </c>
      <c r="T2230" t="inlineStr">
        <is>
          <t>BTBR\test\c4f2.mp4</t>
        </is>
      </c>
      <c r="U2230" t="n">
        <v>1128</v>
      </c>
      <c r="V2230" t="n">
        <v>1135</v>
      </c>
      <c r="W2230" t="n">
        <v/>
      </c>
      <c r="X2230" t="n">
        <v/>
      </c>
      <c r="Y2230" t="n">
        <v/>
      </c>
      <c r="Z2230" t="n">
        <v/>
      </c>
      <c r="AA2230">
        <f>SUMIFS($S$2:S2230,$A$2:A2230,A2230,$N$2:N2230,"Explore*")</f>
        <v/>
      </c>
      <c r="AB2230">
        <f>IF(AND(LEFT(N2230,7)="Explore",(AA2230-IF(LEFT(N2230,7)="Explore",S2230,0))&lt;10),"SI","NO")</f>
        <v/>
      </c>
    </row>
    <row r="2231">
      <c r="A2231" t="inlineStr">
        <is>
          <t>c4f2_test</t>
        </is>
      </c>
      <c r="B2231" t="inlineStr">
        <is>
          <t>2026-01-28 13:43:34.425</t>
        </is>
      </c>
      <c r="C2231" t="n">
        <v/>
      </c>
      <c r="D2231" t="inlineStr">
        <is>
          <t>Media file</t>
        </is>
      </c>
      <c r="E2231" t="inlineStr">
        <is>
          <t>player #1:BTBR\test\c4f2.mp4</t>
        </is>
      </c>
      <c r="F2231" t="n">
        <v>-11.4</v>
      </c>
      <c r="G2231" t="n">
        <v>588.299</v>
      </c>
      <c r="H2231" t="n">
        <v>632.533</v>
      </c>
      <c r="I2231" t="n">
        <v>30</v>
      </c>
      <c r="J2231" t="inlineStr">
        <is>
          <t>BTBR</t>
        </is>
      </c>
      <c r="K2231" t="inlineStr">
        <is>
          <t xml:space="preserve"> Female</t>
        </is>
      </c>
      <c r="L2231" t="inlineStr">
        <is>
          <t>No focal subject</t>
        </is>
      </c>
      <c r="M2231" t="n">
        <v>63.16</v>
      </c>
      <c r="N2231" t="inlineStr">
        <is>
          <t>Explore_F</t>
        </is>
      </c>
      <c r="O2231" t="inlineStr">
        <is>
          <t>Familiar</t>
        </is>
      </c>
      <c r="P2231" t="inlineStr">
        <is>
          <t>STATE</t>
        </is>
      </c>
      <c r="Q2231" t="n">
        <v>38.267</v>
      </c>
      <c r="R2231" t="n">
        <v>39.2</v>
      </c>
      <c r="S2231" t="n">
        <v>0.9330000000000001</v>
      </c>
      <c r="T2231" t="inlineStr">
        <is>
          <t>BTBR\test\c4f2.mp4</t>
        </is>
      </c>
      <c r="U2231" t="n">
        <v>1147</v>
      </c>
      <c r="V2231" t="n">
        <v>1175</v>
      </c>
      <c r="W2231" t="n">
        <v/>
      </c>
      <c r="X2231" t="n">
        <v/>
      </c>
      <c r="Y2231" t="n">
        <v/>
      </c>
      <c r="Z2231" t="n">
        <v/>
      </c>
      <c r="AA2231">
        <f>SUMIFS($S$2:S2231,$A$2:A2231,A2231,$N$2:N2231,"Explore*")</f>
        <v/>
      </c>
      <c r="AB2231">
        <f>IF(AND(LEFT(N2231,7)="Explore",(AA2231-IF(LEFT(N2231,7)="Explore",S2231,0))&lt;10),"SI","NO")</f>
        <v/>
      </c>
    </row>
    <row r="2232">
      <c r="A2232" t="inlineStr">
        <is>
          <t>c4f2_test</t>
        </is>
      </c>
      <c r="B2232" t="inlineStr">
        <is>
          <t>2026-01-28 13:43:34.425</t>
        </is>
      </c>
      <c r="C2232" t="n">
        <v/>
      </c>
      <c r="D2232" t="inlineStr">
        <is>
          <t>Media file</t>
        </is>
      </c>
      <c r="E2232" t="inlineStr">
        <is>
          <t>player #1:BTBR\test\c4f2.mp4</t>
        </is>
      </c>
      <c r="F2232" t="n">
        <v>-11.4</v>
      </c>
      <c r="G2232" t="n">
        <v>588.299</v>
      </c>
      <c r="H2232" t="n">
        <v>632.533</v>
      </c>
      <c r="I2232" t="n">
        <v>30</v>
      </c>
      <c r="J2232" t="inlineStr">
        <is>
          <t>BTBR</t>
        </is>
      </c>
      <c r="K2232" t="inlineStr">
        <is>
          <t xml:space="preserve"> Female</t>
        </is>
      </c>
      <c r="L2232" t="inlineStr">
        <is>
          <t>No focal subject</t>
        </is>
      </c>
      <c r="M2232" t="n">
        <v>63.16</v>
      </c>
      <c r="N2232" t="inlineStr">
        <is>
          <t>Explore_N</t>
        </is>
      </c>
      <c r="O2232" t="inlineStr">
        <is>
          <t>Novelty</t>
        </is>
      </c>
      <c r="P2232" t="inlineStr">
        <is>
          <t>STATE</t>
        </is>
      </c>
      <c r="Q2232" t="n">
        <v>41.533</v>
      </c>
      <c r="R2232" t="n">
        <v>43.733</v>
      </c>
      <c r="S2232" t="n">
        <v>2.2</v>
      </c>
      <c r="T2232" t="inlineStr">
        <is>
          <t>BTBR\test\c4f2.mp4</t>
        </is>
      </c>
      <c r="U2232" t="n">
        <v>1246</v>
      </c>
      <c r="V2232" t="n">
        <v>1311</v>
      </c>
      <c r="W2232" t="n">
        <v/>
      </c>
      <c r="X2232" t="n">
        <v/>
      </c>
      <c r="Y2232" t="n">
        <v/>
      </c>
      <c r="Z2232" t="n">
        <v/>
      </c>
      <c r="AA2232">
        <f>SUMIFS($S$2:S2232,$A$2:A2232,A2232,$N$2:N2232,"Explore*")</f>
        <v/>
      </c>
      <c r="AB2232">
        <f>IF(AND(LEFT(N2232,7)="Explore",(AA2232-IF(LEFT(N2232,7)="Explore",S2232,0))&lt;10),"SI","NO")</f>
        <v/>
      </c>
    </row>
    <row r="2233">
      <c r="A2233" t="inlineStr">
        <is>
          <t>c4f2_test</t>
        </is>
      </c>
      <c r="B2233" t="inlineStr">
        <is>
          <t>2026-01-28 13:43:34.425</t>
        </is>
      </c>
      <c r="C2233" t="n">
        <v/>
      </c>
      <c r="D2233" t="inlineStr">
        <is>
          <t>Media file</t>
        </is>
      </c>
      <c r="E2233" t="inlineStr">
        <is>
          <t>player #1:BTBR\test\c4f2.mp4</t>
        </is>
      </c>
      <c r="F2233" t="n">
        <v>-11.4</v>
      </c>
      <c r="G2233" t="n">
        <v>588.299</v>
      </c>
      <c r="H2233" t="n">
        <v>632.533</v>
      </c>
      <c r="I2233" t="n">
        <v>30</v>
      </c>
      <c r="J2233" t="inlineStr">
        <is>
          <t>BTBR</t>
        </is>
      </c>
      <c r="K2233" t="inlineStr">
        <is>
          <t xml:space="preserve"> Female</t>
        </is>
      </c>
      <c r="L2233" t="inlineStr">
        <is>
          <t>No focal subject</t>
        </is>
      </c>
      <c r="M2233" t="n">
        <v>63.16</v>
      </c>
      <c r="N2233" t="inlineStr">
        <is>
          <t>Explore_F</t>
        </is>
      </c>
      <c r="O2233" t="inlineStr">
        <is>
          <t>Familiar</t>
        </is>
      </c>
      <c r="P2233" t="inlineStr">
        <is>
          <t>STATE</t>
        </is>
      </c>
      <c r="Q2233" t="n">
        <v>45.1</v>
      </c>
      <c r="R2233" t="n">
        <v>45.5</v>
      </c>
      <c r="S2233" t="n">
        <v>0.4</v>
      </c>
      <c r="T2233" t="inlineStr">
        <is>
          <t>BTBR\test\c4f2.mp4</t>
        </is>
      </c>
      <c r="U2233" t="n">
        <v>1352</v>
      </c>
      <c r="V2233" t="n">
        <v>1366</v>
      </c>
      <c r="W2233" t="n">
        <v/>
      </c>
      <c r="X2233" t="n">
        <v/>
      </c>
      <c r="Y2233" t="n">
        <v/>
      </c>
      <c r="Z2233" t="n">
        <v/>
      </c>
      <c r="AA2233">
        <f>SUMIFS($S$2:S2233,$A$2:A2233,A2233,$N$2:N2233,"Explore*")</f>
        <v/>
      </c>
      <c r="AB2233">
        <f>IF(AND(LEFT(N2233,7)="Explore",(AA2233-IF(LEFT(N2233,7)="Explore",S2233,0))&lt;10),"SI","NO")</f>
        <v/>
      </c>
    </row>
    <row r="2234">
      <c r="A2234" t="inlineStr">
        <is>
          <t>c4f2_test</t>
        </is>
      </c>
      <c r="B2234" t="inlineStr">
        <is>
          <t>2026-01-28 13:43:34.425</t>
        </is>
      </c>
      <c r="C2234" t="n">
        <v/>
      </c>
      <c r="D2234" t="inlineStr">
        <is>
          <t>Media file</t>
        </is>
      </c>
      <c r="E2234" t="inlineStr">
        <is>
          <t>player #1:BTBR\test\c4f2.mp4</t>
        </is>
      </c>
      <c r="F2234" t="n">
        <v>-11.4</v>
      </c>
      <c r="G2234" t="n">
        <v>588.299</v>
      </c>
      <c r="H2234" t="n">
        <v>632.533</v>
      </c>
      <c r="I2234" t="n">
        <v>30</v>
      </c>
      <c r="J2234" t="inlineStr">
        <is>
          <t>BTBR</t>
        </is>
      </c>
      <c r="K2234" t="inlineStr">
        <is>
          <t xml:space="preserve"> Female</t>
        </is>
      </c>
      <c r="L2234" t="inlineStr">
        <is>
          <t>No focal subject</t>
        </is>
      </c>
      <c r="M2234" t="n">
        <v>63.16</v>
      </c>
      <c r="N2234" t="inlineStr">
        <is>
          <t>Explore_N</t>
        </is>
      </c>
      <c r="O2234" t="inlineStr">
        <is>
          <t>Novelty</t>
        </is>
      </c>
      <c r="P2234" t="inlineStr">
        <is>
          <t>STATE</t>
        </is>
      </c>
      <c r="Q2234" t="n">
        <v>46.633</v>
      </c>
      <c r="R2234" t="n">
        <v>46.867</v>
      </c>
      <c r="S2234" t="n">
        <v>0.234</v>
      </c>
      <c r="T2234" t="inlineStr">
        <is>
          <t>BTBR\test\c4f2.mp4</t>
        </is>
      </c>
      <c r="U2234" t="n">
        <v>1398</v>
      </c>
      <c r="V2234" t="n">
        <v>1405</v>
      </c>
      <c r="W2234" t="n">
        <v/>
      </c>
      <c r="X2234" t="n">
        <v/>
      </c>
      <c r="Y2234" t="n">
        <v/>
      </c>
      <c r="Z2234" t="n">
        <v/>
      </c>
      <c r="AA2234">
        <f>SUMIFS($S$2:S2234,$A$2:A2234,A2234,$N$2:N2234,"Explore*")</f>
        <v/>
      </c>
      <c r="AB2234">
        <f>IF(AND(LEFT(N2234,7)="Explore",(AA2234-IF(LEFT(N2234,7)="Explore",S2234,0))&lt;10),"SI","NO")</f>
        <v/>
      </c>
    </row>
    <row r="2235">
      <c r="A2235" t="inlineStr">
        <is>
          <t>c4f2_test</t>
        </is>
      </c>
      <c r="B2235" t="inlineStr">
        <is>
          <t>2026-01-28 13:43:34.425</t>
        </is>
      </c>
      <c r="C2235" t="n">
        <v/>
      </c>
      <c r="D2235" t="inlineStr">
        <is>
          <t>Media file</t>
        </is>
      </c>
      <c r="E2235" t="inlineStr">
        <is>
          <t>player #1:BTBR\test\c4f2.mp4</t>
        </is>
      </c>
      <c r="F2235" t="n">
        <v>-11.4</v>
      </c>
      <c r="G2235" t="n">
        <v>588.299</v>
      </c>
      <c r="H2235" t="n">
        <v>632.533</v>
      </c>
      <c r="I2235" t="n">
        <v>30</v>
      </c>
      <c r="J2235" t="inlineStr">
        <is>
          <t>BTBR</t>
        </is>
      </c>
      <c r="K2235" t="inlineStr">
        <is>
          <t xml:space="preserve"> Female</t>
        </is>
      </c>
      <c r="L2235" t="inlineStr">
        <is>
          <t>No focal subject</t>
        </is>
      </c>
      <c r="M2235" t="n">
        <v>63.16</v>
      </c>
      <c r="N2235" t="inlineStr">
        <is>
          <t>Explore_N</t>
        </is>
      </c>
      <c r="O2235" t="inlineStr">
        <is>
          <t>Novelty</t>
        </is>
      </c>
      <c r="P2235" t="inlineStr">
        <is>
          <t>STATE</t>
        </is>
      </c>
      <c r="Q2235" t="n">
        <v>48.1</v>
      </c>
      <c r="R2235" t="n">
        <v>49.7</v>
      </c>
      <c r="S2235" t="n">
        <v>1.6</v>
      </c>
      <c r="T2235" t="inlineStr">
        <is>
          <t>BTBR\test\c4f2.mp4</t>
        </is>
      </c>
      <c r="U2235" t="n">
        <v>1442</v>
      </c>
      <c r="V2235" t="n">
        <v>1490</v>
      </c>
      <c r="W2235" t="n">
        <v/>
      </c>
      <c r="X2235" t="n">
        <v/>
      </c>
      <c r="Y2235" t="n">
        <v/>
      </c>
      <c r="Z2235" t="n">
        <v/>
      </c>
      <c r="AA2235">
        <f>SUMIFS($S$2:S2235,$A$2:A2235,A2235,$N$2:N2235,"Explore*")</f>
        <v/>
      </c>
      <c r="AB2235">
        <f>IF(AND(LEFT(N2235,7)="Explore",(AA2235-IF(LEFT(N2235,7)="Explore",S2235,0))&lt;10),"SI","NO")</f>
        <v/>
      </c>
    </row>
    <row r="2236">
      <c r="A2236" t="inlineStr">
        <is>
          <t>c4f2_test</t>
        </is>
      </c>
      <c r="B2236" t="inlineStr">
        <is>
          <t>2026-01-28 13:43:34.425</t>
        </is>
      </c>
      <c r="C2236" t="n">
        <v/>
      </c>
      <c r="D2236" t="inlineStr">
        <is>
          <t>Media file</t>
        </is>
      </c>
      <c r="E2236" t="inlineStr">
        <is>
          <t>player #1:BTBR\test\c4f2.mp4</t>
        </is>
      </c>
      <c r="F2236" t="n">
        <v>-11.4</v>
      </c>
      <c r="G2236" t="n">
        <v>588.299</v>
      </c>
      <c r="H2236" t="n">
        <v>632.533</v>
      </c>
      <c r="I2236" t="n">
        <v>30</v>
      </c>
      <c r="J2236" t="inlineStr">
        <is>
          <t>BTBR</t>
        </is>
      </c>
      <c r="K2236" t="inlineStr">
        <is>
          <t xml:space="preserve"> Female</t>
        </is>
      </c>
      <c r="L2236" t="inlineStr">
        <is>
          <t>No focal subject</t>
        </is>
      </c>
      <c r="M2236" t="n">
        <v>63.16</v>
      </c>
      <c r="N2236" t="inlineStr">
        <is>
          <t>Explore_F</t>
        </is>
      </c>
      <c r="O2236" t="inlineStr">
        <is>
          <t>Familiar</t>
        </is>
      </c>
      <c r="P2236" t="inlineStr">
        <is>
          <t>STATE</t>
        </is>
      </c>
      <c r="Q2236" t="n">
        <v>50.6</v>
      </c>
      <c r="R2236" t="n">
        <v>50.867</v>
      </c>
      <c r="S2236" t="n">
        <v>0.267</v>
      </c>
      <c r="T2236" t="inlineStr">
        <is>
          <t>BTBR\test\c4f2.mp4</t>
        </is>
      </c>
      <c r="U2236" t="n">
        <v>1517</v>
      </c>
      <c r="V2236" t="n">
        <v>1525</v>
      </c>
      <c r="W2236" t="n">
        <v/>
      </c>
      <c r="X2236" t="n">
        <v/>
      </c>
      <c r="Y2236" t="n">
        <v/>
      </c>
      <c r="Z2236" t="n">
        <v/>
      </c>
      <c r="AA2236">
        <f>SUMIFS($S$2:S2236,$A$2:A2236,A2236,$N$2:N2236,"Explore*")</f>
        <v/>
      </c>
      <c r="AB2236">
        <f>IF(AND(LEFT(N2236,7)="Explore",(AA2236-IF(LEFT(N2236,7)="Explore",S2236,0))&lt;10),"SI","NO")</f>
        <v/>
      </c>
    </row>
    <row r="2237">
      <c r="A2237" t="inlineStr">
        <is>
          <t>c4f2_test</t>
        </is>
      </c>
      <c r="B2237" t="inlineStr">
        <is>
          <t>2026-01-28 13:43:34.425</t>
        </is>
      </c>
      <c r="C2237" t="n">
        <v/>
      </c>
      <c r="D2237" t="inlineStr">
        <is>
          <t>Media file</t>
        </is>
      </c>
      <c r="E2237" t="inlineStr">
        <is>
          <t>player #1:BTBR\test\c4f2.mp4</t>
        </is>
      </c>
      <c r="F2237" t="n">
        <v>-11.4</v>
      </c>
      <c r="G2237" t="n">
        <v>588.299</v>
      </c>
      <c r="H2237" t="n">
        <v>632.533</v>
      </c>
      <c r="I2237" t="n">
        <v>30</v>
      </c>
      <c r="J2237" t="inlineStr">
        <is>
          <t>BTBR</t>
        </is>
      </c>
      <c r="K2237" t="inlineStr">
        <is>
          <t xml:space="preserve"> Female</t>
        </is>
      </c>
      <c r="L2237" t="inlineStr">
        <is>
          <t>No focal subject</t>
        </is>
      </c>
      <c r="M2237" t="n">
        <v>63.16</v>
      </c>
      <c r="N2237" t="inlineStr">
        <is>
          <t>Explore_N</t>
        </is>
      </c>
      <c r="O2237" t="inlineStr">
        <is>
          <t>Novelty</t>
        </is>
      </c>
      <c r="P2237" t="inlineStr">
        <is>
          <t>STATE</t>
        </is>
      </c>
      <c r="Q2237" t="n">
        <v>51.367</v>
      </c>
      <c r="R2237" t="n">
        <v>52.2</v>
      </c>
      <c r="S2237" t="n">
        <v>0.833</v>
      </c>
      <c r="T2237" t="inlineStr">
        <is>
          <t>BTBR\test\c4f2.mp4</t>
        </is>
      </c>
      <c r="U2237" t="n">
        <v>1540</v>
      </c>
      <c r="V2237" t="n">
        <v>1565</v>
      </c>
      <c r="W2237" t="n">
        <v/>
      </c>
      <c r="X2237" t="n">
        <v/>
      </c>
      <c r="Y2237" t="n">
        <v/>
      </c>
      <c r="Z2237" t="n">
        <v/>
      </c>
      <c r="AA2237">
        <f>SUMIFS($S$2:S2237,$A$2:A2237,A2237,$N$2:N2237,"Explore*")</f>
        <v/>
      </c>
      <c r="AB2237">
        <f>IF(AND(LEFT(N2237,7)="Explore",(AA2237-IF(LEFT(N2237,7)="Explore",S2237,0))&lt;10),"SI","NO")</f>
        <v/>
      </c>
    </row>
    <row r="2238">
      <c r="A2238" t="inlineStr">
        <is>
          <t>c4f2_test</t>
        </is>
      </c>
      <c r="B2238" t="inlineStr">
        <is>
          <t>2026-01-28 13:43:34.425</t>
        </is>
      </c>
      <c r="C2238" t="n">
        <v/>
      </c>
      <c r="D2238" t="inlineStr">
        <is>
          <t>Media file</t>
        </is>
      </c>
      <c r="E2238" t="inlineStr">
        <is>
          <t>player #1:BTBR\test\c4f2.mp4</t>
        </is>
      </c>
      <c r="F2238" t="n">
        <v>-11.4</v>
      </c>
      <c r="G2238" t="n">
        <v>588.299</v>
      </c>
      <c r="H2238" t="n">
        <v>632.533</v>
      </c>
      <c r="I2238" t="n">
        <v>30</v>
      </c>
      <c r="J2238" t="inlineStr">
        <is>
          <t>BTBR</t>
        </is>
      </c>
      <c r="K2238" t="inlineStr">
        <is>
          <t xml:space="preserve"> Female</t>
        </is>
      </c>
      <c r="L2238" t="inlineStr">
        <is>
          <t>No focal subject</t>
        </is>
      </c>
      <c r="M2238" t="n">
        <v>63.16</v>
      </c>
      <c r="N2238" t="inlineStr">
        <is>
          <t>Explore_N</t>
        </is>
      </c>
      <c r="O2238" t="inlineStr">
        <is>
          <t>Novelty</t>
        </is>
      </c>
      <c r="P2238" t="inlineStr">
        <is>
          <t>STATE</t>
        </is>
      </c>
      <c r="Q2238" t="n">
        <v>53.5</v>
      </c>
      <c r="R2238" t="n">
        <v>54.733</v>
      </c>
      <c r="S2238" t="n">
        <v>1.233</v>
      </c>
      <c r="T2238" t="inlineStr">
        <is>
          <t>BTBR\test\c4f2.mp4</t>
        </is>
      </c>
      <c r="U2238" t="n">
        <v>1606</v>
      </c>
      <c r="V2238" t="n">
        <v>1641</v>
      </c>
      <c r="W2238" t="n">
        <v/>
      </c>
      <c r="X2238" t="n">
        <v/>
      </c>
      <c r="Y2238" t="n">
        <v/>
      </c>
      <c r="Z2238" t="n">
        <v/>
      </c>
      <c r="AA2238">
        <f>SUMIFS($S$2:S2238,$A$2:A2238,A2238,$N$2:N2238,"Explore*")</f>
        <v/>
      </c>
      <c r="AB2238">
        <f>IF(AND(LEFT(N2238,7)="Explore",(AA2238-IF(LEFT(N2238,7)="Explore",S2238,0))&lt;10),"SI","NO")</f>
        <v/>
      </c>
    </row>
    <row r="2239">
      <c r="A2239" t="inlineStr">
        <is>
          <t>c4f2_test</t>
        </is>
      </c>
      <c r="B2239" t="inlineStr">
        <is>
          <t>2026-01-28 13:43:34.425</t>
        </is>
      </c>
      <c r="C2239" t="n">
        <v/>
      </c>
      <c r="D2239" t="inlineStr">
        <is>
          <t>Media file</t>
        </is>
      </c>
      <c r="E2239" t="inlineStr">
        <is>
          <t>player #1:BTBR\test\c4f2.mp4</t>
        </is>
      </c>
      <c r="F2239" t="n">
        <v>-11.4</v>
      </c>
      <c r="G2239" t="n">
        <v>588.299</v>
      </c>
      <c r="H2239" t="n">
        <v>632.533</v>
      </c>
      <c r="I2239" t="n">
        <v>30</v>
      </c>
      <c r="J2239" t="inlineStr">
        <is>
          <t>BTBR</t>
        </is>
      </c>
      <c r="K2239" t="inlineStr">
        <is>
          <t xml:space="preserve"> Female</t>
        </is>
      </c>
      <c r="L2239" t="inlineStr">
        <is>
          <t>No focal subject</t>
        </is>
      </c>
      <c r="M2239" t="n">
        <v>63.16</v>
      </c>
      <c r="N2239" t="inlineStr">
        <is>
          <t>Explore_F</t>
        </is>
      </c>
      <c r="O2239" t="inlineStr">
        <is>
          <t>Familiar</t>
        </is>
      </c>
      <c r="P2239" t="inlineStr">
        <is>
          <t>STATE</t>
        </is>
      </c>
      <c r="Q2239" t="n">
        <v>55.467</v>
      </c>
      <c r="R2239" t="n">
        <v>55.867</v>
      </c>
      <c r="S2239" t="n">
        <v>0.4</v>
      </c>
      <c r="T2239" t="inlineStr">
        <is>
          <t>BTBR\test\c4f2.mp4</t>
        </is>
      </c>
      <c r="U2239" t="n">
        <v>1663</v>
      </c>
      <c r="V2239" t="n">
        <v>1675</v>
      </c>
      <c r="W2239" t="n">
        <v/>
      </c>
      <c r="X2239" t="n">
        <v/>
      </c>
      <c r="Y2239" t="n">
        <v/>
      </c>
      <c r="Z2239" t="n">
        <v/>
      </c>
      <c r="AA2239">
        <f>SUMIFS($S$2:S2239,$A$2:A2239,A2239,$N$2:N2239,"Explore*")</f>
        <v/>
      </c>
      <c r="AB2239">
        <f>IF(AND(LEFT(N2239,7)="Explore",(AA2239-IF(LEFT(N2239,7)="Explore",S2239,0))&lt;10),"SI","NO")</f>
        <v/>
      </c>
    </row>
    <row r="2240">
      <c r="A2240" t="inlineStr">
        <is>
          <t>c4f2_test</t>
        </is>
      </c>
      <c r="B2240" t="inlineStr">
        <is>
          <t>2026-01-28 13:43:34.425</t>
        </is>
      </c>
      <c r="C2240" t="n">
        <v/>
      </c>
      <c r="D2240" t="inlineStr">
        <is>
          <t>Media file</t>
        </is>
      </c>
      <c r="E2240" t="inlineStr">
        <is>
          <t>player #1:BTBR\test\c4f2.mp4</t>
        </is>
      </c>
      <c r="F2240" t="n">
        <v>-11.4</v>
      </c>
      <c r="G2240" t="n">
        <v>588.299</v>
      </c>
      <c r="H2240" t="n">
        <v>632.533</v>
      </c>
      <c r="I2240" t="n">
        <v>30</v>
      </c>
      <c r="J2240" t="inlineStr">
        <is>
          <t>BTBR</t>
        </is>
      </c>
      <c r="K2240" t="inlineStr">
        <is>
          <t xml:space="preserve"> Female</t>
        </is>
      </c>
      <c r="L2240" t="inlineStr">
        <is>
          <t>No focal subject</t>
        </is>
      </c>
      <c r="M2240" t="n">
        <v>63.16</v>
      </c>
      <c r="N2240" t="inlineStr">
        <is>
          <t>Explore_N</t>
        </is>
      </c>
      <c r="O2240" t="inlineStr">
        <is>
          <t>Novelty</t>
        </is>
      </c>
      <c r="P2240" t="inlineStr">
        <is>
          <t>STATE</t>
        </is>
      </c>
      <c r="Q2240" t="n">
        <v>56.833</v>
      </c>
      <c r="R2240" t="n">
        <v>57.7</v>
      </c>
      <c r="S2240" t="n">
        <v>0.867</v>
      </c>
      <c r="T2240" t="inlineStr">
        <is>
          <t>BTBR\test\c4f2.mp4</t>
        </is>
      </c>
      <c r="U2240" t="n">
        <v>1704</v>
      </c>
      <c r="V2240" t="n">
        <v>1730</v>
      </c>
      <c r="W2240" t="n">
        <v/>
      </c>
      <c r="X2240" t="n">
        <v/>
      </c>
      <c r="Y2240" t="n">
        <v/>
      </c>
      <c r="Z2240" t="n">
        <v/>
      </c>
      <c r="AA2240">
        <f>SUMIFS($S$2:S2240,$A$2:A2240,A2240,$N$2:N2240,"Explore*")</f>
        <v/>
      </c>
      <c r="AB2240">
        <f>IF(AND(LEFT(N2240,7)="Explore",(AA2240-IF(LEFT(N2240,7)="Explore",S2240,0))&lt;10),"SI","NO")</f>
        <v/>
      </c>
    </row>
    <row r="2241">
      <c r="A2241" t="inlineStr">
        <is>
          <t>c4f2_test</t>
        </is>
      </c>
      <c r="B2241" t="inlineStr">
        <is>
          <t>2026-01-28 13:43:34.425</t>
        </is>
      </c>
      <c r="C2241" t="n">
        <v/>
      </c>
      <c r="D2241" t="inlineStr">
        <is>
          <t>Media file</t>
        </is>
      </c>
      <c r="E2241" t="inlineStr">
        <is>
          <t>player #1:BTBR\test\c4f2.mp4</t>
        </is>
      </c>
      <c r="F2241" t="n">
        <v>-11.4</v>
      </c>
      <c r="G2241" t="n">
        <v>588.299</v>
      </c>
      <c r="H2241" t="n">
        <v>632.533</v>
      </c>
      <c r="I2241" t="n">
        <v>30</v>
      </c>
      <c r="J2241" t="inlineStr">
        <is>
          <t>BTBR</t>
        </is>
      </c>
      <c r="K2241" t="inlineStr">
        <is>
          <t xml:space="preserve"> Female</t>
        </is>
      </c>
      <c r="L2241" t="inlineStr">
        <is>
          <t>No focal subject</t>
        </is>
      </c>
      <c r="M2241" t="n">
        <v>63.16</v>
      </c>
      <c r="N2241" t="inlineStr">
        <is>
          <t>Explore_F</t>
        </is>
      </c>
      <c r="O2241" t="inlineStr">
        <is>
          <t>Familiar</t>
        </is>
      </c>
      <c r="P2241" t="inlineStr">
        <is>
          <t>STATE</t>
        </is>
      </c>
      <c r="Q2241" t="n">
        <v>59.433</v>
      </c>
      <c r="R2241" t="n">
        <v>60.2</v>
      </c>
      <c r="S2241" t="n">
        <v>0.767</v>
      </c>
      <c r="T2241" t="inlineStr">
        <is>
          <t>BTBR\test\c4f2.mp4</t>
        </is>
      </c>
      <c r="U2241" t="n">
        <v>1782</v>
      </c>
      <c r="V2241" t="n">
        <v>1805</v>
      </c>
      <c r="W2241" t="n">
        <v/>
      </c>
      <c r="X2241" t="n">
        <v/>
      </c>
      <c r="Y2241" t="n">
        <v/>
      </c>
      <c r="Z2241" t="n">
        <v/>
      </c>
      <c r="AA2241">
        <f>SUMIFS($S$2:S2241,$A$2:A2241,A2241,$N$2:N2241,"Explore*")</f>
        <v/>
      </c>
      <c r="AB2241">
        <f>IF(AND(LEFT(N2241,7)="Explore",(AA2241-IF(LEFT(N2241,7)="Explore",S2241,0))&lt;10),"SI","NO")</f>
        <v/>
      </c>
    </row>
    <row r="2242">
      <c r="A2242" t="inlineStr">
        <is>
          <t>c4f2_test</t>
        </is>
      </c>
      <c r="B2242" t="inlineStr">
        <is>
          <t>2026-01-28 13:43:34.425</t>
        </is>
      </c>
      <c r="C2242" t="n">
        <v/>
      </c>
      <c r="D2242" t="inlineStr">
        <is>
          <t>Media file</t>
        </is>
      </c>
      <c r="E2242" t="inlineStr">
        <is>
          <t>player #1:BTBR\test\c4f2.mp4</t>
        </is>
      </c>
      <c r="F2242" t="n">
        <v>-11.4</v>
      </c>
      <c r="G2242" t="n">
        <v>588.299</v>
      </c>
      <c r="H2242" t="n">
        <v>632.533</v>
      </c>
      <c r="I2242" t="n">
        <v>30</v>
      </c>
      <c r="J2242" t="inlineStr">
        <is>
          <t>BTBR</t>
        </is>
      </c>
      <c r="K2242" t="inlineStr">
        <is>
          <t xml:space="preserve"> Female</t>
        </is>
      </c>
      <c r="L2242" t="inlineStr">
        <is>
          <t>No focal subject</t>
        </is>
      </c>
      <c r="M2242" t="n">
        <v>63.16</v>
      </c>
      <c r="N2242" t="inlineStr">
        <is>
          <t>Explore_F</t>
        </is>
      </c>
      <c r="O2242" t="inlineStr">
        <is>
          <t>Familiar</t>
        </is>
      </c>
      <c r="P2242" t="inlineStr">
        <is>
          <t>STATE</t>
        </is>
      </c>
      <c r="Q2242" t="n">
        <v>62.567</v>
      </c>
      <c r="R2242" t="n">
        <v>62.767</v>
      </c>
      <c r="S2242" t="n">
        <v>0.2</v>
      </c>
      <c r="T2242" t="inlineStr">
        <is>
          <t>BTBR\test\c4f2.mp4</t>
        </is>
      </c>
      <c r="U2242" t="n">
        <v>1876</v>
      </c>
      <c r="V2242" t="n">
        <v>1882</v>
      </c>
      <c r="W2242" t="n">
        <v/>
      </c>
      <c r="X2242" t="n">
        <v/>
      </c>
      <c r="Y2242" t="n">
        <v/>
      </c>
      <c r="Z2242" t="n">
        <v/>
      </c>
      <c r="AA2242">
        <f>SUMIFS($S$2:S2242,$A$2:A2242,A2242,$N$2:N2242,"Explore*")</f>
        <v/>
      </c>
      <c r="AB2242">
        <f>IF(AND(LEFT(N2242,7)="Explore",(AA2242-IF(LEFT(N2242,7)="Explore",S2242,0))&lt;10),"SI","NO")</f>
        <v/>
      </c>
    </row>
    <row r="2243">
      <c r="A2243" t="inlineStr">
        <is>
          <t>c4f2_test</t>
        </is>
      </c>
      <c r="B2243" t="inlineStr">
        <is>
          <t>2026-01-28 13:43:34.425</t>
        </is>
      </c>
      <c r="C2243" t="n">
        <v/>
      </c>
      <c r="D2243" t="inlineStr">
        <is>
          <t>Media file</t>
        </is>
      </c>
      <c r="E2243" t="inlineStr">
        <is>
          <t>player #1:BTBR\test\c4f2.mp4</t>
        </is>
      </c>
      <c r="F2243" t="n">
        <v>-11.4</v>
      </c>
      <c r="G2243" t="n">
        <v>588.299</v>
      </c>
      <c r="H2243" t="n">
        <v>632.533</v>
      </c>
      <c r="I2243" t="n">
        <v>30</v>
      </c>
      <c r="J2243" t="inlineStr">
        <is>
          <t>BTBR</t>
        </is>
      </c>
      <c r="K2243" t="inlineStr">
        <is>
          <t xml:space="preserve"> Female</t>
        </is>
      </c>
      <c r="L2243" t="inlineStr">
        <is>
          <t>No focal subject</t>
        </is>
      </c>
      <c r="M2243" t="n">
        <v>63.16</v>
      </c>
      <c r="N2243" t="inlineStr">
        <is>
          <t>Explore_F</t>
        </is>
      </c>
      <c r="O2243" t="inlineStr">
        <is>
          <t>Familiar</t>
        </is>
      </c>
      <c r="P2243" t="inlineStr">
        <is>
          <t>STATE</t>
        </is>
      </c>
      <c r="Q2243" t="n">
        <v>65.7</v>
      </c>
      <c r="R2243" t="n">
        <v>65.93300000000001</v>
      </c>
      <c r="S2243" t="n">
        <v>0.233</v>
      </c>
      <c r="T2243" t="inlineStr">
        <is>
          <t>BTBR\test\c4f2.mp4</t>
        </is>
      </c>
      <c r="U2243" t="n">
        <v>1970</v>
      </c>
      <c r="V2243" t="n">
        <v>1977</v>
      </c>
      <c r="W2243" t="n">
        <v/>
      </c>
      <c r="X2243" t="n">
        <v/>
      </c>
      <c r="Y2243" t="n">
        <v/>
      </c>
      <c r="Z2243" t="n">
        <v/>
      </c>
      <c r="AA2243">
        <f>SUMIFS($S$2:S2243,$A$2:A2243,A2243,$N$2:N2243,"Explore*")</f>
        <v/>
      </c>
      <c r="AB2243">
        <f>IF(AND(LEFT(N2243,7)="Explore",(AA2243-IF(LEFT(N2243,7)="Explore",S2243,0))&lt;10),"SI","NO")</f>
        <v/>
      </c>
    </row>
    <row r="2244">
      <c r="A2244" t="inlineStr">
        <is>
          <t>c4f2_test</t>
        </is>
      </c>
      <c r="B2244" t="inlineStr">
        <is>
          <t>2026-01-28 13:43:34.425</t>
        </is>
      </c>
      <c r="C2244" t="n">
        <v/>
      </c>
      <c r="D2244" t="inlineStr">
        <is>
          <t>Media file</t>
        </is>
      </c>
      <c r="E2244" t="inlineStr">
        <is>
          <t>player #1:BTBR\test\c4f2.mp4</t>
        </is>
      </c>
      <c r="F2244" t="n">
        <v>-11.4</v>
      </c>
      <c r="G2244" t="n">
        <v>588.299</v>
      </c>
      <c r="H2244" t="n">
        <v>632.533</v>
      </c>
      <c r="I2244" t="n">
        <v>30</v>
      </c>
      <c r="J2244" t="inlineStr">
        <is>
          <t>BTBR</t>
        </is>
      </c>
      <c r="K2244" t="inlineStr">
        <is>
          <t xml:space="preserve"> Female</t>
        </is>
      </c>
      <c r="L2244" t="inlineStr">
        <is>
          <t>No focal subject</t>
        </is>
      </c>
      <c r="M2244" t="n">
        <v>63.16</v>
      </c>
      <c r="N2244" t="inlineStr">
        <is>
          <t>Explore_N</t>
        </is>
      </c>
      <c r="O2244" t="inlineStr">
        <is>
          <t>Novelty</t>
        </is>
      </c>
      <c r="P2244" t="inlineStr">
        <is>
          <t>STATE</t>
        </is>
      </c>
      <c r="Q2244" t="n">
        <v>67.40000000000001</v>
      </c>
      <c r="R2244" t="n">
        <v>67.967</v>
      </c>
      <c r="S2244" t="n">
        <v>0.5669999999999999</v>
      </c>
      <c r="T2244" t="inlineStr">
        <is>
          <t>BTBR\test\c4f2.mp4</t>
        </is>
      </c>
      <c r="U2244" t="n">
        <v>2021</v>
      </c>
      <c r="V2244" t="n">
        <v>2038</v>
      </c>
      <c r="W2244" t="n">
        <v/>
      </c>
      <c r="X2244" t="n">
        <v/>
      </c>
      <c r="Y2244" t="n">
        <v/>
      </c>
      <c r="Z2244" t="n">
        <v/>
      </c>
      <c r="AA2244">
        <f>SUMIFS($S$2:S2244,$A$2:A2244,A2244,$N$2:N2244,"Explore*")</f>
        <v/>
      </c>
      <c r="AB2244">
        <f>IF(AND(LEFT(N2244,7)="Explore",(AA2244-IF(LEFT(N2244,7)="Explore",S2244,0))&lt;10),"SI","NO")</f>
        <v/>
      </c>
    </row>
    <row r="2245">
      <c r="A2245" t="inlineStr">
        <is>
          <t>c4f2_test</t>
        </is>
      </c>
      <c r="B2245" t="inlineStr">
        <is>
          <t>2026-01-28 13:43:34.425</t>
        </is>
      </c>
      <c r="C2245" t="n">
        <v/>
      </c>
      <c r="D2245" t="inlineStr">
        <is>
          <t>Media file</t>
        </is>
      </c>
      <c r="E2245" t="inlineStr">
        <is>
          <t>player #1:BTBR\test\c4f2.mp4</t>
        </is>
      </c>
      <c r="F2245" t="n">
        <v>-11.4</v>
      </c>
      <c r="G2245" t="n">
        <v>588.299</v>
      </c>
      <c r="H2245" t="n">
        <v>632.533</v>
      </c>
      <c r="I2245" t="n">
        <v>30</v>
      </c>
      <c r="J2245" t="inlineStr">
        <is>
          <t>BTBR</t>
        </is>
      </c>
      <c r="K2245" t="inlineStr">
        <is>
          <t xml:space="preserve"> Female</t>
        </is>
      </c>
      <c r="L2245" t="inlineStr">
        <is>
          <t>No focal subject</t>
        </is>
      </c>
      <c r="M2245" t="n">
        <v>63.16</v>
      </c>
      <c r="N2245" t="inlineStr">
        <is>
          <t>Explore_N</t>
        </is>
      </c>
      <c r="O2245" t="inlineStr">
        <is>
          <t>Novelty</t>
        </is>
      </c>
      <c r="P2245" t="inlineStr">
        <is>
          <t>STATE</t>
        </is>
      </c>
      <c r="Q2245" t="n">
        <v>71.40000000000001</v>
      </c>
      <c r="R2245" t="n">
        <v>72.43300000000001</v>
      </c>
      <c r="S2245" t="n">
        <v>1.033</v>
      </c>
      <c r="T2245" t="inlineStr">
        <is>
          <t>BTBR\test\c4f2.mp4</t>
        </is>
      </c>
      <c r="U2245" t="n">
        <v>2141</v>
      </c>
      <c r="V2245" t="n">
        <v>2172</v>
      </c>
      <c r="W2245" t="n">
        <v/>
      </c>
      <c r="X2245" t="n">
        <v/>
      </c>
      <c r="Y2245" t="n">
        <v/>
      </c>
      <c r="Z2245" t="n">
        <v/>
      </c>
      <c r="AA2245">
        <f>SUMIFS($S$2:S2245,$A$2:A2245,A2245,$N$2:N2245,"Explore*")</f>
        <v/>
      </c>
      <c r="AB2245">
        <f>IF(AND(LEFT(N2245,7)="Explore",(AA2245-IF(LEFT(N2245,7)="Explore",S2245,0))&lt;10),"SI","NO")</f>
        <v/>
      </c>
    </row>
    <row r="2246">
      <c r="A2246" t="inlineStr">
        <is>
          <t>c4f2_test</t>
        </is>
      </c>
      <c r="B2246" t="inlineStr">
        <is>
          <t>2026-01-28 13:43:34.425</t>
        </is>
      </c>
      <c r="C2246" t="n">
        <v/>
      </c>
      <c r="D2246" t="inlineStr">
        <is>
          <t>Media file</t>
        </is>
      </c>
      <c r="E2246" t="inlineStr">
        <is>
          <t>player #1:BTBR\test\c4f2.mp4</t>
        </is>
      </c>
      <c r="F2246" t="n">
        <v>-11.4</v>
      </c>
      <c r="G2246" t="n">
        <v>588.299</v>
      </c>
      <c r="H2246" t="n">
        <v>632.533</v>
      </c>
      <c r="I2246" t="n">
        <v>30</v>
      </c>
      <c r="J2246" t="inlineStr">
        <is>
          <t>BTBR</t>
        </is>
      </c>
      <c r="K2246" t="inlineStr">
        <is>
          <t xml:space="preserve"> Female</t>
        </is>
      </c>
      <c r="L2246" t="inlineStr">
        <is>
          <t>No focal subject</t>
        </is>
      </c>
      <c r="M2246" t="n">
        <v>63.16</v>
      </c>
      <c r="N2246" t="inlineStr">
        <is>
          <t>Explore_N</t>
        </is>
      </c>
      <c r="O2246" t="inlineStr">
        <is>
          <t>Novelty</t>
        </is>
      </c>
      <c r="P2246" t="inlineStr">
        <is>
          <t>STATE</t>
        </is>
      </c>
      <c r="Q2246" t="n">
        <v>73.133</v>
      </c>
      <c r="R2246" t="n">
        <v>74.233</v>
      </c>
      <c r="S2246" t="n">
        <v>1.1</v>
      </c>
      <c r="T2246" t="inlineStr">
        <is>
          <t>BTBR\test\c4f2.mp4</t>
        </is>
      </c>
      <c r="U2246" t="n">
        <v>2193</v>
      </c>
      <c r="V2246" t="n">
        <v>2226</v>
      </c>
      <c r="W2246" t="n">
        <v/>
      </c>
      <c r="X2246" t="n">
        <v/>
      </c>
      <c r="Y2246" t="n">
        <v/>
      </c>
      <c r="Z2246" t="n">
        <v/>
      </c>
      <c r="AA2246">
        <f>SUMIFS($S$2:S2246,$A$2:A2246,A2246,$N$2:N2246,"Explore*")</f>
        <v/>
      </c>
      <c r="AB2246">
        <f>IF(AND(LEFT(N2246,7)="Explore",(AA2246-IF(LEFT(N2246,7)="Explore",S2246,0))&lt;10),"SI","NO")</f>
        <v/>
      </c>
    </row>
    <row r="2247">
      <c r="A2247" t="inlineStr">
        <is>
          <t>c4f2_test</t>
        </is>
      </c>
      <c r="B2247" t="inlineStr">
        <is>
          <t>2026-01-28 13:43:34.425</t>
        </is>
      </c>
      <c r="C2247" t="n">
        <v/>
      </c>
      <c r="D2247" t="inlineStr">
        <is>
          <t>Media file</t>
        </is>
      </c>
      <c r="E2247" t="inlineStr">
        <is>
          <t>player #1:BTBR\test\c4f2.mp4</t>
        </is>
      </c>
      <c r="F2247" t="n">
        <v>-11.4</v>
      </c>
      <c r="G2247" t="n">
        <v>588.299</v>
      </c>
      <c r="H2247" t="n">
        <v>632.533</v>
      </c>
      <c r="I2247" t="n">
        <v>30</v>
      </c>
      <c r="J2247" t="inlineStr">
        <is>
          <t>BTBR</t>
        </is>
      </c>
      <c r="K2247" t="inlineStr">
        <is>
          <t xml:space="preserve"> Female</t>
        </is>
      </c>
      <c r="L2247" t="inlineStr">
        <is>
          <t>No focal subject</t>
        </is>
      </c>
      <c r="M2247" t="n">
        <v>63.16</v>
      </c>
      <c r="N2247" t="inlineStr">
        <is>
          <t>Explore_F</t>
        </is>
      </c>
      <c r="O2247" t="inlineStr">
        <is>
          <t>Familiar</t>
        </is>
      </c>
      <c r="P2247" t="inlineStr">
        <is>
          <t>STATE</t>
        </is>
      </c>
      <c r="Q2247" t="n">
        <v>76.333</v>
      </c>
      <c r="R2247" t="n">
        <v>76.56699999999999</v>
      </c>
      <c r="S2247" t="n">
        <v>0.234</v>
      </c>
      <c r="T2247" t="inlineStr">
        <is>
          <t>BTBR\test\c4f2.mp4</t>
        </is>
      </c>
      <c r="U2247" t="n">
        <v>2289</v>
      </c>
      <c r="V2247" t="n">
        <v>2296</v>
      </c>
      <c r="W2247" t="n">
        <v/>
      </c>
      <c r="X2247" t="n">
        <v/>
      </c>
      <c r="Y2247" t="n">
        <v/>
      </c>
      <c r="Z2247" t="n">
        <v/>
      </c>
      <c r="AA2247">
        <f>SUMIFS($S$2:S2247,$A$2:A2247,A2247,$N$2:N2247,"Explore*")</f>
        <v/>
      </c>
      <c r="AB2247">
        <f>IF(AND(LEFT(N2247,7)="Explore",(AA2247-IF(LEFT(N2247,7)="Explore",S2247,0))&lt;10),"SI","NO")</f>
        <v/>
      </c>
    </row>
    <row r="2248">
      <c r="A2248" t="inlineStr">
        <is>
          <t>c4f2_test</t>
        </is>
      </c>
      <c r="B2248" t="inlineStr">
        <is>
          <t>2026-01-28 13:43:34.425</t>
        </is>
      </c>
      <c r="C2248" t="n">
        <v/>
      </c>
      <c r="D2248" t="inlineStr">
        <is>
          <t>Media file</t>
        </is>
      </c>
      <c r="E2248" t="inlineStr">
        <is>
          <t>player #1:BTBR\test\c4f2.mp4</t>
        </is>
      </c>
      <c r="F2248" t="n">
        <v>-11.4</v>
      </c>
      <c r="G2248" t="n">
        <v>588.299</v>
      </c>
      <c r="H2248" t="n">
        <v>632.533</v>
      </c>
      <c r="I2248" t="n">
        <v>30</v>
      </c>
      <c r="J2248" t="inlineStr">
        <is>
          <t>BTBR</t>
        </is>
      </c>
      <c r="K2248" t="inlineStr">
        <is>
          <t xml:space="preserve"> Female</t>
        </is>
      </c>
      <c r="L2248" t="inlineStr">
        <is>
          <t>No focal subject</t>
        </is>
      </c>
      <c r="M2248" t="n">
        <v>63.16</v>
      </c>
      <c r="N2248" t="inlineStr">
        <is>
          <t>Explore_F</t>
        </is>
      </c>
      <c r="O2248" t="inlineStr">
        <is>
          <t>Familiar</t>
        </is>
      </c>
      <c r="P2248" t="inlineStr">
        <is>
          <t>STATE</t>
        </is>
      </c>
      <c r="Q2248" t="n">
        <v>79.633</v>
      </c>
      <c r="R2248" t="n">
        <v>80.56699999999999</v>
      </c>
      <c r="S2248" t="n">
        <v>0.9340000000000001</v>
      </c>
      <c r="T2248" t="inlineStr">
        <is>
          <t>BTBR\test\c4f2.mp4</t>
        </is>
      </c>
      <c r="U2248" t="n">
        <v>2388</v>
      </c>
      <c r="V2248" t="n">
        <v>2416</v>
      </c>
      <c r="W2248" t="n">
        <v/>
      </c>
      <c r="X2248" t="n">
        <v/>
      </c>
      <c r="Y2248" t="n">
        <v/>
      </c>
      <c r="Z2248" t="n">
        <v/>
      </c>
      <c r="AA2248">
        <f>SUMIFS($S$2:S2248,$A$2:A2248,A2248,$N$2:N2248,"Explore*")</f>
        <v/>
      </c>
      <c r="AB2248">
        <f>IF(AND(LEFT(N2248,7)="Explore",(AA2248-IF(LEFT(N2248,7)="Explore",S2248,0))&lt;10),"SI","NO")</f>
        <v/>
      </c>
    </row>
    <row r="2249">
      <c r="A2249" t="inlineStr">
        <is>
          <t>c4f2_test</t>
        </is>
      </c>
      <c r="B2249" t="inlineStr">
        <is>
          <t>2026-01-28 13:43:34.425</t>
        </is>
      </c>
      <c r="C2249" t="n">
        <v/>
      </c>
      <c r="D2249" t="inlineStr">
        <is>
          <t>Media file</t>
        </is>
      </c>
      <c r="E2249" t="inlineStr">
        <is>
          <t>player #1:BTBR\test\c4f2.mp4</t>
        </is>
      </c>
      <c r="F2249" t="n">
        <v>-11.4</v>
      </c>
      <c r="G2249" t="n">
        <v>588.299</v>
      </c>
      <c r="H2249" t="n">
        <v>632.533</v>
      </c>
      <c r="I2249" t="n">
        <v>30</v>
      </c>
      <c r="J2249" t="inlineStr">
        <is>
          <t>BTBR</t>
        </is>
      </c>
      <c r="K2249" t="inlineStr">
        <is>
          <t xml:space="preserve"> Female</t>
        </is>
      </c>
      <c r="L2249" t="inlineStr">
        <is>
          <t>No focal subject</t>
        </is>
      </c>
      <c r="M2249" t="n">
        <v>63.16</v>
      </c>
      <c r="N2249" t="inlineStr">
        <is>
          <t>Explore_N</t>
        </is>
      </c>
      <c r="O2249" t="inlineStr">
        <is>
          <t>Novelty</t>
        </is>
      </c>
      <c r="P2249" t="inlineStr">
        <is>
          <t>STATE</t>
        </is>
      </c>
      <c r="Q2249" t="n">
        <v>82.833</v>
      </c>
      <c r="R2249" t="n">
        <v>83.59999999999999</v>
      </c>
      <c r="S2249" t="n">
        <v>0.767</v>
      </c>
      <c r="T2249" t="inlineStr">
        <is>
          <t>BTBR\test\c4f2.mp4</t>
        </is>
      </c>
      <c r="U2249" t="n">
        <v>2483</v>
      </c>
      <c r="V2249" t="n">
        <v>2506</v>
      </c>
      <c r="W2249" t="n">
        <v/>
      </c>
      <c r="X2249" t="n">
        <v/>
      </c>
      <c r="Y2249" t="n">
        <v/>
      </c>
      <c r="Z2249" t="n">
        <v/>
      </c>
      <c r="AA2249">
        <f>SUMIFS($S$2:S2249,$A$2:A2249,A2249,$N$2:N2249,"Explore*")</f>
        <v/>
      </c>
      <c r="AB2249">
        <f>IF(AND(LEFT(N2249,7)="Explore",(AA2249-IF(LEFT(N2249,7)="Explore",S2249,0))&lt;10),"SI","NO")</f>
        <v/>
      </c>
    </row>
    <row r="2250">
      <c r="A2250" t="inlineStr">
        <is>
          <t>c4f2_test</t>
        </is>
      </c>
      <c r="B2250" t="inlineStr">
        <is>
          <t>2026-01-28 13:43:34.425</t>
        </is>
      </c>
      <c r="C2250" t="n">
        <v/>
      </c>
      <c r="D2250" t="inlineStr">
        <is>
          <t>Media file</t>
        </is>
      </c>
      <c r="E2250" t="inlineStr">
        <is>
          <t>player #1:BTBR\test\c4f2.mp4</t>
        </is>
      </c>
      <c r="F2250" t="n">
        <v>-11.4</v>
      </c>
      <c r="G2250" t="n">
        <v>588.299</v>
      </c>
      <c r="H2250" t="n">
        <v>632.533</v>
      </c>
      <c r="I2250" t="n">
        <v>30</v>
      </c>
      <c r="J2250" t="inlineStr">
        <is>
          <t>BTBR</t>
        </is>
      </c>
      <c r="K2250" t="inlineStr">
        <is>
          <t xml:space="preserve"> Female</t>
        </is>
      </c>
      <c r="L2250" t="inlineStr">
        <is>
          <t>No focal subject</t>
        </is>
      </c>
      <c r="M2250" t="n">
        <v>63.16</v>
      </c>
      <c r="N2250" t="inlineStr">
        <is>
          <t>Explore_F</t>
        </is>
      </c>
      <c r="O2250" t="inlineStr">
        <is>
          <t>Familiar</t>
        </is>
      </c>
      <c r="P2250" t="inlineStr">
        <is>
          <t>STATE</t>
        </is>
      </c>
      <c r="Q2250" t="n">
        <v>85.033</v>
      </c>
      <c r="R2250" t="n">
        <v>85.667</v>
      </c>
      <c r="S2250" t="n">
        <v>0.634</v>
      </c>
      <c r="T2250" t="inlineStr">
        <is>
          <t>BTBR\test\c4f2.mp4</t>
        </is>
      </c>
      <c r="U2250" t="n">
        <v>2550</v>
      </c>
      <c r="V2250" t="n">
        <v>2568</v>
      </c>
      <c r="W2250" t="n">
        <v/>
      </c>
      <c r="X2250" t="n">
        <v/>
      </c>
      <c r="Y2250" t="n">
        <v/>
      </c>
      <c r="Z2250" t="n">
        <v/>
      </c>
      <c r="AA2250">
        <f>SUMIFS($S$2:S2250,$A$2:A2250,A2250,$N$2:N2250,"Explore*")</f>
        <v/>
      </c>
      <c r="AB2250">
        <f>IF(AND(LEFT(N2250,7)="Explore",(AA2250-IF(LEFT(N2250,7)="Explore",S2250,0))&lt;10),"SI","NO")</f>
        <v/>
      </c>
    </row>
    <row r="2251">
      <c r="A2251" t="inlineStr">
        <is>
          <t>c4f2_test</t>
        </is>
      </c>
      <c r="B2251" t="inlineStr">
        <is>
          <t>2026-01-28 13:43:34.425</t>
        </is>
      </c>
      <c r="C2251" t="n">
        <v/>
      </c>
      <c r="D2251" t="inlineStr">
        <is>
          <t>Media file</t>
        </is>
      </c>
      <c r="E2251" t="inlineStr">
        <is>
          <t>player #1:BTBR\test\c4f2.mp4</t>
        </is>
      </c>
      <c r="F2251" t="n">
        <v>-11.4</v>
      </c>
      <c r="G2251" t="n">
        <v>588.299</v>
      </c>
      <c r="H2251" t="n">
        <v>632.533</v>
      </c>
      <c r="I2251" t="n">
        <v>30</v>
      </c>
      <c r="J2251" t="inlineStr">
        <is>
          <t>BTBR</t>
        </is>
      </c>
      <c r="K2251" t="inlineStr">
        <is>
          <t xml:space="preserve"> Female</t>
        </is>
      </c>
      <c r="L2251" t="inlineStr">
        <is>
          <t>No focal subject</t>
        </is>
      </c>
      <c r="M2251" t="n">
        <v>63.16</v>
      </c>
      <c r="N2251" t="inlineStr">
        <is>
          <t>Explore_N</t>
        </is>
      </c>
      <c r="O2251" t="inlineStr">
        <is>
          <t>Novelty</t>
        </is>
      </c>
      <c r="P2251" t="inlineStr">
        <is>
          <t>STATE</t>
        </is>
      </c>
      <c r="Q2251" t="n">
        <v>86.09999999999999</v>
      </c>
      <c r="R2251" t="n">
        <v>86.40000000000001</v>
      </c>
      <c r="S2251" t="n">
        <v>0.3</v>
      </c>
      <c r="T2251" t="inlineStr">
        <is>
          <t>BTBR\test\c4f2.mp4</t>
        </is>
      </c>
      <c r="U2251" t="n">
        <v>2581</v>
      </c>
      <c r="V2251" t="n">
        <v>2590</v>
      </c>
      <c r="W2251" t="n">
        <v/>
      </c>
      <c r="X2251" t="n">
        <v/>
      </c>
      <c r="Y2251" t="n">
        <v/>
      </c>
      <c r="Z2251" t="n">
        <v/>
      </c>
      <c r="AA2251">
        <f>SUMIFS($S$2:S2251,$A$2:A2251,A2251,$N$2:N2251,"Explore*")</f>
        <v/>
      </c>
      <c r="AB2251">
        <f>IF(AND(LEFT(N2251,7)="Explore",(AA2251-IF(LEFT(N2251,7)="Explore",S2251,0))&lt;10),"SI","NO")</f>
        <v/>
      </c>
    </row>
    <row r="2252">
      <c r="A2252" t="inlineStr">
        <is>
          <t>c4f2_test</t>
        </is>
      </c>
      <c r="B2252" t="inlineStr">
        <is>
          <t>2026-01-28 13:43:34.425</t>
        </is>
      </c>
      <c r="C2252" t="n">
        <v/>
      </c>
      <c r="D2252" t="inlineStr">
        <is>
          <t>Media file</t>
        </is>
      </c>
      <c r="E2252" t="inlineStr">
        <is>
          <t>player #1:BTBR\test\c4f2.mp4</t>
        </is>
      </c>
      <c r="F2252" t="n">
        <v>-11.4</v>
      </c>
      <c r="G2252" t="n">
        <v>588.299</v>
      </c>
      <c r="H2252" t="n">
        <v>632.533</v>
      </c>
      <c r="I2252" t="n">
        <v>30</v>
      </c>
      <c r="J2252" t="inlineStr">
        <is>
          <t>BTBR</t>
        </is>
      </c>
      <c r="K2252" t="inlineStr">
        <is>
          <t xml:space="preserve"> Female</t>
        </is>
      </c>
      <c r="L2252" t="inlineStr">
        <is>
          <t>No focal subject</t>
        </is>
      </c>
      <c r="M2252" t="n">
        <v>63.16</v>
      </c>
      <c r="N2252" t="inlineStr">
        <is>
          <t>Explore_N</t>
        </is>
      </c>
      <c r="O2252" t="inlineStr">
        <is>
          <t>Novelty</t>
        </is>
      </c>
      <c r="P2252" t="inlineStr">
        <is>
          <t>STATE</t>
        </is>
      </c>
      <c r="Q2252" t="n">
        <v>87.467</v>
      </c>
      <c r="R2252" t="n">
        <v>88.633</v>
      </c>
      <c r="S2252" t="n">
        <v>1.166</v>
      </c>
      <c r="T2252" t="inlineStr">
        <is>
          <t>BTBR\test\c4f2.mp4</t>
        </is>
      </c>
      <c r="U2252" t="n">
        <v>2622</v>
      </c>
      <c r="V2252" t="n">
        <v>2657</v>
      </c>
      <c r="W2252" t="n">
        <v/>
      </c>
      <c r="X2252" t="n">
        <v/>
      </c>
      <c r="Y2252" t="n">
        <v/>
      </c>
      <c r="Z2252" t="n">
        <v/>
      </c>
      <c r="AA2252">
        <f>SUMIFS($S$2:S2252,$A$2:A2252,A2252,$N$2:N2252,"Explore*")</f>
        <v/>
      </c>
      <c r="AB2252">
        <f>IF(AND(LEFT(N2252,7)="Explore",(AA2252-IF(LEFT(N2252,7)="Explore",S2252,0))&lt;10),"SI","NO")</f>
        <v/>
      </c>
    </row>
    <row r="2253">
      <c r="A2253" t="inlineStr">
        <is>
          <t>c4f2_test</t>
        </is>
      </c>
      <c r="B2253" t="inlineStr">
        <is>
          <t>2026-01-28 13:43:34.425</t>
        </is>
      </c>
      <c r="C2253" t="n">
        <v/>
      </c>
      <c r="D2253" t="inlineStr">
        <is>
          <t>Media file</t>
        </is>
      </c>
      <c r="E2253" t="inlineStr">
        <is>
          <t>player #1:BTBR\test\c4f2.mp4</t>
        </is>
      </c>
      <c r="F2253" t="n">
        <v>-11.4</v>
      </c>
      <c r="G2253" t="n">
        <v>588.299</v>
      </c>
      <c r="H2253" t="n">
        <v>632.533</v>
      </c>
      <c r="I2253" t="n">
        <v>30</v>
      </c>
      <c r="J2253" t="inlineStr">
        <is>
          <t>BTBR</t>
        </is>
      </c>
      <c r="K2253" t="inlineStr">
        <is>
          <t xml:space="preserve"> Female</t>
        </is>
      </c>
      <c r="L2253" t="inlineStr">
        <is>
          <t>No focal subject</t>
        </is>
      </c>
      <c r="M2253" t="n">
        <v>63.16</v>
      </c>
      <c r="N2253" t="inlineStr">
        <is>
          <t>Explore_F</t>
        </is>
      </c>
      <c r="O2253" t="inlineStr">
        <is>
          <t>Familiar</t>
        </is>
      </c>
      <c r="P2253" t="inlineStr">
        <is>
          <t>STATE</t>
        </is>
      </c>
      <c r="Q2253" t="n">
        <v>88.967</v>
      </c>
      <c r="R2253" t="n">
        <v>89.43300000000001</v>
      </c>
      <c r="S2253" t="n">
        <v>0.466</v>
      </c>
      <c r="T2253" t="inlineStr">
        <is>
          <t>BTBR\test\c4f2.mp4</t>
        </is>
      </c>
      <c r="U2253" t="n">
        <v>2667</v>
      </c>
      <c r="V2253" t="n">
        <v>2681</v>
      </c>
      <c r="W2253" t="n">
        <v/>
      </c>
      <c r="X2253" t="n">
        <v/>
      </c>
      <c r="Y2253" t="n">
        <v/>
      </c>
      <c r="Z2253" t="n">
        <v/>
      </c>
      <c r="AA2253">
        <f>SUMIFS($S$2:S2253,$A$2:A2253,A2253,$N$2:N2253,"Explore*")</f>
        <v/>
      </c>
      <c r="AB2253">
        <f>IF(AND(LEFT(N2253,7)="Explore",(AA2253-IF(LEFT(N2253,7)="Explore",S2253,0))&lt;10),"SI","NO")</f>
        <v/>
      </c>
    </row>
    <row r="2254">
      <c r="A2254" t="inlineStr">
        <is>
          <t>c4f2_test</t>
        </is>
      </c>
      <c r="B2254" t="inlineStr">
        <is>
          <t>2026-01-28 13:43:34.425</t>
        </is>
      </c>
      <c r="C2254" t="n">
        <v/>
      </c>
      <c r="D2254" t="inlineStr">
        <is>
          <t>Media file</t>
        </is>
      </c>
      <c r="E2254" t="inlineStr">
        <is>
          <t>player #1:BTBR\test\c4f2.mp4</t>
        </is>
      </c>
      <c r="F2254" t="n">
        <v>-11.4</v>
      </c>
      <c r="G2254" t="n">
        <v>588.299</v>
      </c>
      <c r="H2254" t="n">
        <v>632.533</v>
      </c>
      <c r="I2254" t="n">
        <v>30</v>
      </c>
      <c r="J2254" t="inlineStr">
        <is>
          <t>BTBR</t>
        </is>
      </c>
      <c r="K2254" t="inlineStr">
        <is>
          <t xml:space="preserve"> Female</t>
        </is>
      </c>
      <c r="L2254" t="inlineStr">
        <is>
          <t>No focal subject</t>
        </is>
      </c>
      <c r="M2254" t="n">
        <v>63.16</v>
      </c>
      <c r="N2254" t="inlineStr">
        <is>
          <t>Explore_F</t>
        </is>
      </c>
      <c r="O2254" t="inlineStr">
        <is>
          <t>Familiar</t>
        </is>
      </c>
      <c r="P2254" t="inlineStr">
        <is>
          <t>STATE</t>
        </is>
      </c>
      <c r="Q2254" t="n">
        <v>98.56699999999999</v>
      </c>
      <c r="R2254" t="n">
        <v>98.767</v>
      </c>
      <c r="S2254" t="n">
        <v>0.2</v>
      </c>
      <c r="T2254" t="inlineStr">
        <is>
          <t>BTBR\test\c4f2.mp4</t>
        </is>
      </c>
      <c r="U2254" t="n">
        <v>2955</v>
      </c>
      <c r="V2254" t="n">
        <v>2961</v>
      </c>
      <c r="W2254" t="n">
        <v/>
      </c>
      <c r="X2254" t="n">
        <v/>
      </c>
      <c r="Y2254" t="n">
        <v/>
      </c>
      <c r="Z2254" t="n">
        <v/>
      </c>
      <c r="AA2254">
        <f>SUMIFS($S$2:S2254,$A$2:A2254,A2254,$N$2:N2254,"Explore*")</f>
        <v/>
      </c>
      <c r="AB2254">
        <f>IF(AND(LEFT(N2254,7)="Explore",(AA2254-IF(LEFT(N2254,7)="Explore",S2254,0))&lt;10),"SI","NO")</f>
        <v/>
      </c>
    </row>
    <row r="2255">
      <c r="A2255" t="inlineStr">
        <is>
          <t>c4f2_test</t>
        </is>
      </c>
      <c r="B2255" t="inlineStr">
        <is>
          <t>2026-01-28 13:43:34.425</t>
        </is>
      </c>
      <c r="C2255" t="n">
        <v/>
      </c>
      <c r="D2255" t="inlineStr">
        <is>
          <t>Media file</t>
        </is>
      </c>
      <c r="E2255" t="inlineStr">
        <is>
          <t>player #1:BTBR\test\c4f2.mp4</t>
        </is>
      </c>
      <c r="F2255" t="n">
        <v>-11.4</v>
      </c>
      <c r="G2255" t="n">
        <v>588.299</v>
      </c>
      <c r="H2255" t="n">
        <v>632.533</v>
      </c>
      <c r="I2255" t="n">
        <v>30</v>
      </c>
      <c r="J2255" t="inlineStr">
        <is>
          <t>BTBR</t>
        </is>
      </c>
      <c r="K2255" t="inlineStr">
        <is>
          <t xml:space="preserve"> Female</t>
        </is>
      </c>
      <c r="L2255" t="inlineStr">
        <is>
          <t>No focal subject</t>
        </is>
      </c>
      <c r="M2255" t="n">
        <v>63.16</v>
      </c>
      <c r="N2255" t="inlineStr">
        <is>
          <t>Explore_F</t>
        </is>
      </c>
      <c r="O2255" t="inlineStr">
        <is>
          <t>Familiar</t>
        </is>
      </c>
      <c r="P2255" t="inlineStr">
        <is>
          <t>STATE</t>
        </is>
      </c>
      <c r="Q2255" t="n">
        <v>103.867</v>
      </c>
      <c r="R2255" t="n">
        <v>104.8</v>
      </c>
      <c r="S2255" t="n">
        <v>0.9330000000000001</v>
      </c>
      <c r="T2255" t="inlineStr">
        <is>
          <t>BTBR\test\c4f2.mp4</t>
        </is>
      </c>
      <c r="U2255" t="n">
        <v>3114</v>
      </c>
      <c r="V2255" t="n">
        <v>3142</v>
      </c>
      <c r="W2255" t="n">
        <v/>
      </c>
      <c r="X2255" t="n">
        <v/>
      </c>
      <c r="Y2255" t="n">
        <v/>
      </c>
      <c r="Z2255" t="n">
        <v/>
      </c>
      <c r="AA2255">
        <f>SUMIFS($S$2:S2255,$A$2:A2255,A2255,$N$2:N2255,"Explore*")</f>
        <v/>
      </c>
      <c r="AB2255">
        <f>IF(AND(LEFT(N2255,7)="Explore",(AA2255-IF(LEFT(N2255,7)="Explore",S2255,0))&lt;10),"SI","NO")</f>
        <v/>
      </c>
    </row>
    <row r="2256">
      <c r="A2256" t="inlineStr">
        <is>
          <t>c4f2_test</t>
        </is>
      </c>
      <c r="B2256" t="inlineStr">
        <is>
          <t>2026-01-28 13:43:34.425</t>
        </is>
      </c>
      <c r="C2256" t="n">
        <v/>
      </c>
      <c r="D2256" t="inlineStr">
        <is>
          <t>Media file</t>
        </is>
      </c>
      <c r="E2256" t="inlineStr">
        <is>
          <t>player #1:BTBR\test\c4f2.mp4</t>
        </is>
      </c>
      <c r="F2256" t="n">
        <v>-11.4</v>
      </c>
      <c r="G2256" t="n">
        <v>588.299</v>
      </c>
      <c r="H2256" t="n">
        <v>632.533</v>
      </c>
      <c r="I2256" t="n">
        <v>30</v>
      </c>
      <c r="J2256" t="inlineStr">
        <is>
          <t>BTBR</t>
        </is>
      </c>
      <c r="K2256" t="inlineStr">
        <is>
          <t xml:space="preserve"> Female</t>
        </is>
      </c>
      <c r="L2256" t="inlineStr">
        <is>
          <t>No focal subject</t>
        </is>
      </c>
      <c r="M2256" t="n">
        <v>63.16</v>
      </c>
      <c r="N2256" t="inlineStr">
        <is>
          <t>Explore_N</t>
        </is>
      </c>
      <c r="O2256" t="inlineStr">
        <is>
          <t>Novelty</t>
        </is>
      </c>
      <c r="P2256" t="inlineStr">
        <is>
          <t>STATE</t>
        </is>
      </c>
      <c r="Q2256" t="n">
        <v>111.867</v>
      </c>
      <c r="R2256" t="n">
        <v>112.467</v>
      </c>
      <c r="S2256" t="n">
        <v>0.6</v>
      </c>
      <c r="T2256" t="inlineStr">
        <is>
          <t>BTBR\test\c4f2.mp4</t>
        </is>
      </c>
      <c r="U2256" t="n">
        <v>3354</v>
      </c>
      <c r="V2256" t="n">
        <v>3372</v>
      </c>
      <c r="W2256" t="n">
        <v/>
      </c>
      <c r="X2256" t="n">
        <v/>
      </c>
      <c r="Y2256" t="n">
        <v/>
      </c>
      <c r="Z2256" t="n">
        <v/>
      </c>
      <c r="AA2256">
        <f>SUMIFS($S$2:S2256,$A$2:A2256,A2256,$N$2:N2256,"Explore*")</f>
        <v/>
      </c>
      <c r="AB2256">
        <f>IF(AND(LEFT(N2256,7)="Explore",(AA2256-IF(LEFT(N2256,7)="Explore",S2256,0))&lt;10),"SI","NO")</f>
        <v/>
      </c>
    </row>
    <row r="2257">
      <c r="A2257" t="inlineStr">
        <is>
          <t>c4f2_test</t>
        </is>
      </c>
      <c r="B2257" t="inlineStr">
        <is>
          <t>2026-01-28 13:43:34.425</t>
        </is>
      </c>
      <c r="C2257" t="n">
        <v/>
      </c>
      <c r="D2257" t="inlineStr">
        <is>
          <t>Media file</t>
        </is>
      </c>
      <c r="E2257" t="inlineStr">
        <is>
          <t>player #1:BTBR\test\c4f2.mp4</t>
        </is>
      </c>
      <c r="F2257" t="n">
        <v>-11.4</v>
      </c>
      <c r="G2257" t="n">
        <v>588.299</v>
      </c>
      <c r="H2257" t="n">
        <v>632.533</v>
      </c>
      <c r="I2257" t="n">
        <v>30</v>
      </c>
      <c r="J2257" t="inlineStr">
        <is>
          <t>BTBR</t>
        </is>
      </c>
      <c r="K2257" t="inlineStr">
        <is>
          <t xml:space="preserve"> Female</t>
        </is>
      </c>
      <c r="L2257" t="inlineStr">
        <is>
          <t>No focal subject</t>
        </is>
      </c>
      <c r="M2257" t="n">
        <v>63.16</v>
      </c>
      <c r="N2257" t="inlineStr">
        <is>
          <t>Explore_N</t>
        </is>
      </c>
      <c r="O2257" t="inlineStr">
        <is>
          <t>Novelty</t>
        </is>
      </c>
      <c r="P2257" t="inlineStr">
        <is>
          <t>STATE</t>
        </is>
      </c>
      <c r="Q2257" t="n">
        <v>114.067</v>
      </c>
      <c r="R2257" t="n">
        <v>114.3</v>
      </c>
      <c r="S2257" t="n">
        <v>0.233</v>
      </c>
      <c r="T2257" t="inlineStr">
        <is>
          <t>BTBR\test\c4f2.mp4</t>
        </is>
      </c>
      <c r="U2257" t="n">
        <v>3420</v>
      </c>
      <c r="V2257" t="n">
        <v>3427</v>
      </c>
      <c r="W2257" t="n">
        <v/>
      </c>
      <c r="X2257" t="n">
        <v/>
      </c>
      <c r="Y2257" t="n">
        <v/>
      </c>
      <c r="Z2257" t="n">
        <v/>
      </c>
      <c r="AA2257">
        <f>SUMIFS($S$2:S2257,$A$2:A2257,A2257,$N$2:N2257,"Explore*")</f>
        <v/>
      </c>
      <c r="AB2257">
        <f>IF(AND(LEFT(N2257,7)="Explore",(AA2257-IF(LEFT(N2257,7)="Explore",S2257,0))&lt;10),"SI","NO")</f>
        <v/>
      </c>
    </row>
    <row r="2258">
      <c r="A2258" t="inlineStr">
        <is>
          <t>c4f2_test</t>
        </is>
      </c>
      <c r="B2258" t="inlineStr">
        <is>
          <t>2026-01-28 13:43:34.425</t>
        </is>
      </c>
      <c r="C2258" t="n">
        <v/>
      </c>
      <c r="D2258" t="inlineStr">
        <is>
          <t>Media file</t>
        </is>
      </c>
      <c r="E2258" t="inlineStr">
        <is>
          <t>player #1:BTBR\test\c4f2.mp4</t>
        </is>
      </c>
      <c r="F2258" t="n">
        <v>-11.4</v>
      </c>
      <c r="G2258" t="n">
        <v>588.299</v>
      </c>
      <c r="H2258" t="n">
        <v>632.533</v>
      </c>
      <c r="I2258" t="n">
        <v>30</v>
      </c>
      <c r="J2258" t="inlineStr">
        <is>
          <t>BTBR</t>
        </is>
      </c>
      <c r="K2258" t="inlineStr">
        <is>
          <t xml:space="preserve"> Female</t>
        </is>
      </c>
      <c r="L2258" t="inlineStr">
        <is>
          <t>No focal subject</t>
        </is>
      </c>
      <c r="M2258" t="n">
        <v>63.16</v>
      </c>
      <c r="N2258" t="inlineStr">
        <is>
          <t>Explore_F</t>
        </is>
      </c>
      <c r="O2258" t="inlineStr">
        <is>
          <t>Familiar</t>
        </is>
      </c>
      <c r="P2258" t="inlineStr">
        <is>
          <t>STATE</t>
        </is>
      </c>
      <c r="Q2258" t="n">
        <v>115.5</v>
      </c>
      <c r="R2258" t="n">
        <v>115.833</v>
      </c>
      <c r="S2258" t="n">
        <v>0.333</v>
      </c>
      <c r="T2258" t="inlineStr">
        <is>
          <t>BTBR\test\c4f2.mp4</t>
        </is>
      </c>
      <c r="U2258" t="n">
        <v>3465</v>
      </c>
      <c r="V2258" t="n">
        <v>3473</v>
      </c>
      <c r="W2258" t="n">
        <v/>
      </c>
      <c r="X2258" t="n">
        <v/>
      </c>
      <c r="Y2258" t="n">
        <v/>
      </c>
      <c r="Z2258" t="n">
        <v/>
      </c>
      <c r="AA2258">
        <f>SUMIFS($S$2:S2258,$A$2:A2258,A2258,$N$2:N2258,"Explore*")</f>
        <v/>
      </c>
      <c r="AB2258">
        <f>IF(AND(LEFT(N2258,7)="Explore",(AA2258-IF(LEFT(N2258,7)="Explore",S2258,0))&lt;10),"SI","NO")</f>
        <v/>
      </c>
    </row>
    <row r="2259">
      <c r="A2259" t="inlineStr">
        <is>
          <t>c4f2_test</t>
        </is>
      </c>
      <c r="B2259" t="inlineStr">
        <is>
          <t>2026-01-28 13:43:34.425</t>
        </is>
      </c>
      <c r="C2259" t="n">
        <v/>
      </c>
      <c r="D2259" t="inlineStr">
        <is>
          <t>Media file</t>
        </is>
      </c>
      <c r="E2259" t="inlineStr">
        <is>
          <t>player #1:BTBR\test\c4f2.mp4</t>
        </is>
      </c>
      <c r="F2259" t="n">
        <v>-11.4</v>
      </c>
      <c r="G2259" t="n">
        <v>588.299</v>
      </c>
      <c r="H2259" t="n">
        <v>632.533</v>
      </c>
      <c r="I2259" t="n">
        <v>30</v>
      </c>
      <c r="J2259" t="inlineStr">
        <is>
          <t>BTBR</t>
        </is>
      </c>
      <c r="K2259" t="inlineStr">
        <is>
          <t xml:space="preserve"> Female</t>
        </is>
      </c>
      <c r="L2259" t="inlineStr">
        <is>
          <t>No focal subject</t>
        </is>
      </c>
      <c r="M2259" t="n">
        <v>63.16</v>
      </c>
      <c r="N2259" t="inlineStr">
        <is>
          <t>Explore_N</t>
        </is>
      </c>
      <c r="O2259" t="inlineStr">
        <is>
          <t>Novelty</t>
        </is>
      </c>
      <c r="P2259" t="inlineStr">
        <is>
          <t>STATE</t>
        </is>
      </c>
      <c r="Q2259" t="n">
        <v>116.967</v>
      </c>
      <c r="R2259" t="n">
        <v>118.233</v>
      </c>
      <c r="S2259" t="n">
        <v>1.266</v>
      </c>
      <c r="T2259" t="inlineStr">
        <is>
          <t>BTBR\test\c4f2.mp4</t>
        </is>
      </c>
      <c r="U2259" t="n">
        <v>3507</v>
      </c>
      <c r="V2259" t="n">
        <v>3545</v>
      </c>
      <c r="W2259" t="n">
        <v/>
      </c>
      <c r="X2259" t="n">
        <v/>
      </c>
      <c r="Y2259" t="n">
        <v/>
      </c>
      <c r="Z2259" t="n">
        <v/>
      </c>
      <c r="AA2259">
        <f>SUMIFS($S$2:S2259,$A$2:A2259,A2259,$N$2:N2259,"Explore*")</f>
        <v/>
      </c>
      <c r="AB2259">
        <f>IF(AND(LEFT(N2259,7)="Explore",(AA2259-IF(LEFT(N2259,7)="Explore",S2259,0))&lt;10),"SI","NO")</f>
        <v/>
      </c>
    </row>
    <row r="2260">
      <c r="A2260" t="inlineStr">
        <is>
          <t>c4f2_test</t>
        </is>
      </c>
      <c r="B2260" t="inlineStr">
        <is>
          <t>2026-01-28 13:43:34.425</t>
        </is>
      </c>
      <c r="C2260" t="n">
        <v/>
      </c>
      <c r="D2260" t="inlineStr">
        <is>
          <t>Media file</t>
        </is>
      </c>
      <c r="E2260" t="inlineStr">
        <is>
          <t>player #1:BTBR\test\c4f2.mp4</t>
        </is>
      </c>
      <c r="F2260" t="n">
        <v>-11.4</v>
      </c>
      <c r="G2260" t="n">
        <v>588.299</v>
      </c>
      <c r="H2260" t="n">
        <v>632.533</v>
      </c>
      <c r="I2260" t="n">
        <v>30</v>
      </c>
      <c r="J2260" t="inlineStr">
        <is>
          <t>BTBR</t>
        </is>
      </c>
      <c r="K2260" t="inlineStr">
        <is>
          <t xml:space="preserve"> Female</t>
        </is>
      </c>
      <c r="L2260" t="inlineStr">
        <is>
          <t>No focal subject</t>
        </is>
      </c>
      <c r="M2260" t="n">
        <v>63.16</v>
      </c>
      <c r="N2260" t="inlineStr">
        <is>
          <t>Explore_N</t>
        </is>
      </c>
      <c r="O2260" t="inlineStr">
        <is>
          <t>Novelty</t>
        </is>
      </c>
      <c r="P2260" t="inlineStr">
        <is>
          <t>STATE</t>
        </is>
      </c>
      <c r="Q2260" t="n">
        <v>123.3</v>
      </c>
      <c r="R2260" t="n">
        <v>124.267</v>
      </c>
      <c r="S2260" t="n">
        <v>0.967</v>
      </c>
      <c r="T2260" t="inlineStr">
        <is>
          <t>BTBR\test\c4f2.mp4</t>
        </is>
      </c>
      <c r="U2260" t="n">
        <v>3697</v>
      </c>
      <c r="V2260" t="n">
        <v>3726</v>
      </c>
      <c r="W2260" t="n">
        <v/>
      </c>
      <c r="X2260" t="n">
        <v/>
      </c>
      <c r="Y2260" t="n">
        <v/>
      </c>
      <c r="Z2260" t="n">
        <v/>
      </c>
      <c r="AA2260">
        <f>SUMIFS($S$2:S2260,$A$2:A2260,A2260,$N$2:N2260,"Explore*")</f>
        <v/>
      </c>
      <c r="AB2260">
        <f>IF(AND(LEFT(N2260,7)="Explore",(AA2260-IF(LEFT(N2260,7)="Explore",S2260,0))&lt;10),"SI","NO")</f>
        <v/>
      </c>
    </row>
    <row r="2261">
      <c r="A2261" t="inlineStr">
        <is>
          <t>c4f2_test</t>
        </is>
      </c>
      <c r="B2261" t="inlineStr">
        <is>
          <t>2026-01-28 13:43:34.425</t>
        </is>
      </c>
      <c r="C2261" t="n">
        <v/>
      </c>
      <c r="D2261" t="inlineStr">
        <is>
          <t>Media file</t>
        </is>
      </c>
      <c r="E2261" t="inlineStr">
        <is>
          <t>player #1:BTBR\test\c4f2.mp4</t>
        </is>
      </c>
      <c r="F2261" t="n">
        <v>-11.4</v>
      </c>
      <c r="G2261" t="n">
        <v>588.299</v>
      </c>
      <c r="H2261" t="n">
        <v>632.533</v>
      </c>
      <c r="I2261" t="n">
        <v>30</v>
      </c>
      <c r="J2261" t="inlineStr">
        <is>
          <t>BTBR</t>
        </is>
      </c>
      <c r="K2261" t="inlineStr">
        <is>
          <t xml:space="preserve"> Female</t>
        </is>
      </c>
      <c r="L2261" t="inlineStr">
        <is>
          <t>No focal subject</t>
        </is>
      </c>
      <c r="M2261" t="n">
        <v>63.16</v>
      </c>
      <c r="N2261" t="inlineStr">
        <is>
          <t>Explore_N</t>
        </is>
      </c>
      <c r="O2261" t="inlineStr">
        <is>
          <t>Novelty</t>
        </is>
      </c>
      <c r="P2261" t="inlineStr">
        <is>
          <t>STATE</t>
        </is>
      </c>
      <c r="Q2261" t="n">
        <v>124.9</v>
      </c>
      <c r="R2261" t="n">
        <v>125.567</v>
      </c>
      <c r="S2261" t="n">
        <v>0.667</v>
      </c>
      <c r="T2261" t="inlineStr">
        <is>
          <t>BTBR\test\c4f2.mp4</t>
        </is>
      </c>
      <c r="U2261" t="n">
        <v>3745</v>
      </c>
      <c r="V2261" t="n">
        <v>3765</v>
      </c>
      <c r="W2261" t="n">
        <v/>
      </c>
      <c r="X2261" t="n">
        <v/>
      </c>
      <c r="Y2261" t="n">
        <v/>
      </c>
      <c r="Z2261" t="n">
        <v/>
      </c>
      <c r="AA2261">
        <f>SUMIFS($S$2:S2261,$A$2:A2261,A2261,$N$2:N2261,"Explore*")</f>
        <v/>
      </c>
      <c r="AB2261">
        <f>IF(AND(LEFT(N2261,7)="Explore",(AA2261-IF(LEFT(N2261,7)="Explore",S2261,0))&lt;10),"SI","NO")</f>
        <v/>
      </c>
    </row>
    <row r="2262">
      <c r="A2262" t="inlineStr">
        <is>
          <t>c4f2_test</t>
        </is>
      </c>
      <c r="B2262" t="inlineStr">
        <is>
          <t>2026-01-28 13:43:34.425</t>
        </is>
      </c>
      <c r="C2262" t="n">
        <v/>
      </c>
      <c r="D2262" t="inlineStr">
        <is>
          <t>Media file</t>
        </is>
      </c>
      <c r="E2262" t="inlineStr">
        <is>
          <t>player #1:BTBR\test\c4f2.mp4</t>
        </is>
      </c>
      <c r="F2262" t="n">
        <v>-11.4</v>
      </c>
      <c r="G2262" t="n">
        <v>588.299</v>
      </c>
      <c r="H2262" t="n">
        <v>632.533</v>
      </c>
      <c r="I2262" t="n">
        <v>30</v>
      </c>
      <c r="J2262" t="inlineStr">
        <is>
          <t>BTBR</t>
        </is>
      </c>
      <c r="K2262" t="inlineStr">
        <is>
          <t xml:space="preserve"> Female</t>
        </is>
      </c>
      <c r="L2262" t="inlineStr">
        <is>
          <t>No focal subject</t>
        </is>
      </c>
      <c r="M2262" t="n">
        <v>63.16</v>
      </c>
      <c r="N2262" t="inlineStr">
        <is>
          <t>Explore_F</t>
        </is>
      </c>
      <c r="O2262" t="inlineStr">
        <is>
          <t>Familiar</t>
        </is>
      </c>
      <c r="P2262" t="inlineStr">
        <is>
          <t>STATE</t>
        </is>
      </c>
      <c r="Q2262" t="n">
        <v>138.7</v>
      </c>
      <c r="R2262" t="n">
        <v>138.933</v>
      </c>
      <c r="S2262" t="n">
        <v>0.233</v>
      </c>
      <c r="T2262" t="inlineStr">
        <is>
          <t>BTBR\test\c4f2.mp4</t>
        </is>
      </c>
      <c r="U2262" t="n">
        <v>4158</v>
      </c>
      <c r="V2262" t="n">
        <v>4165</v>
      </c>
      <c r="W2262" t="n">
        <v/>
      </c>
      <c r="X2262" t="n">
        <v/>
      </c>
      <c r="Y2262" t="n">
        <v/>
      </c>
      <c r="Z2262" t="n">
        <v/>
      </c>
      <c r="AA2262">
        <f>SUMIFS($S$2:S2262,$A$2:A2262,A2262,$N$2:N2262,"Explore*")</f>
        <v/>
      </c>
      <c r="AB2262">
        <f>IF(AND(LEFT(N2262,7)="Explore",(AA2262-IF(LEFT(N2262,7)="Explore",S2262,0))&lt;10),"SI","NO")</f>
        <v/>
      </c>
    </row>
    <row r="2263">
      <c r="A2263" t="inlineStr">
        <is>
          <t>c4f2_test</t>
        </is>
      </c>
      <c r="B2263" t="inlineStr">
        <is>
          <t>2026-01-28 13:43:34.425</t>
        </is>
      </c>
      <c r="C2263" t="n">
        <v/>
      </c>
      <c r="D2263" t="inlineStr">
        <is>
          <t>Media file</t>
        </is>
      </c>
      <c r="E2263" t="inlineStr">
        <is>
          <t>player #1:BTBR\test\c4f2.mp4</t>
        </is>
      </c>
      <c r="F2263" t="n">
        <v>-11.4</v>
      </c>
      <c r="G2263" t="n">
        <v>588.299</v>
      </c>
      <c r="H2263" t="n">
        <v>632.533</v>
      </c>
      <c r="I2263" t="n">
        <v>30</v>
      </c>
      <c r="J2263" t="inlineStr">
        <is>
          <t>BTBR</t>
        </is>
      </c>
      <c r="K2263" t="inlineStr">
        <is>
          <t xml:space="preserve"> Female</t>
        </is>
      </c>
      <c r="L2263" t="inlineStr">
        <is>
          <t>No focal subject</t>
        </is>
      </c>
      <c r="M2263" t="n">
        <v>63.16</v>
      </c>
      <c r="N2263" t="inlineStr">
        <is>
          <t>Explore_N</t>
        </is>
      </c>
      <c r="O2263" t="inlineStr">
        <is>
          <t>Novelty</t>
        </is>
      </c>
      <c r="P2263" t="inlineStr">
        <is>
          <t>STATE</t>
        </is>
      </c>
      <c r="Q2263" t="n">
        <v>139.3</v>
      </c>
      <c r="R2263" t="n">
        <v>140.133</v>
      </c>
      <c r="S2263" t="n">
        <v>0.833</v>
      </c>
      <c r="T2263" t="inlineStr">
        <is>
          <t>BTBR\test\c4f2.mp4</t>
        </is>
      </c>
      <c r="U2263" t="n">
        <v>4176</v>
      </c>
      <c r="V2263" t="n">
        <v>4201</v>
      </c>
      <c r="W2263" t="n">
        <v/>
      </c>
      <c r="X2263" t="n">
        <v/>
      </c>
      <c r="Y2263" t="n">
        <v/>
      </c>
      <c r="Z2263" t="n">
        <v/>
      </c>
      <c r="AA2263">
        <f>SUMIFS($S$2:S2263,$A$2:A2263,A2263,$N$2:N2263,"Explore*")</f>
        <v/>
      </c>
      <c r="AB2263">
        <f>IF(AND(LEFT(N2263,7)="Explore",(AA2263-IF(LEFT(N2263,7)="Explore",S2263,0))&lt;10),"SI","NO")</f>
        <v/>
      </c>
    </row>
    <row r="2264">
      <c r="A2264" t="inlineStr">
        <is>
          <t>c4f2_test</t>
        </is>
      </c>
      <c r="B2264" t="inlineStr">
        <is>
          <t>2026-01-28 13:43:34.425</t>
        </is>
      </c>
      <c r="C2264" t="n">
        <v/>
      </c>
      <c r="D2264" t="inlineStr">
        <is>
          <t>Media file</t>
        </is>
      </c>
      <c r="E2264" t="inlineStr">
        <is>
          <t>player #1:BTBR\test\c4f2.mp4</t>
        </is>
      </c>
      <c r="F2264" t="n">
        <v>-11.4</v>
      </c>
      <c r="G2264" t="n">
        <v>588.299</v>
      </c>
      <c r="H2264" t="n">
        <v>632.533</v>
      </c>
      <c r="I2264" t="n">
        <v>30</v>
      </c>
      <c r="J2264" t="inlineStr">
        <is>
          <t>BTBR</t>
        </is>
      </c>
      <c r="K2264" t="inlineStr">
        <is>
          <t xml:space="preserve"> Female</t>
        </is>
      </c>
      <c r="L2264" t="inlineStr">
        <is>
          <t>No focal subject</t>
        </is>
      </c>
      <c r="M2264" t="n">
        <v>63.16</v>
      </c>
      <c r="N2264" t="inlineStr">
        <is>
          <t>Explore_N</t>
        </is>
      </c>
      <c r="O2264" t="inlineStr">
        <is>
          <t>Novelty</t>
        </is>
      </c>
      <c r="P2264" t="inlineStr">
        <is>
          <t>STATE</t>
        </is>
      </c>
      <c r="Q2264" t="n">
        <v>140.9</v>
      </c>
      <c r="R2264" t="n">
        <v>141.333</v>
      </c>
      <c r="S2264" t="n">
        <v>0.433</v>
      </c>
      <c r="T2264" t="inlineStr">
        <is>
          <t>BTBR\test\c4f2.mp4</t>
        </is>
      </c>
      <c r="U2264" t="n">
        <v>4224</v>
      </c>
      <c r="V2264" t="n">
        <v>4237</v>
      </c>
      <c r="W2264" t="n">
        <v/>
      </c>
      <c r="X2264" t="n">
        <v/>
      </c>
      <c r="Y2264" t="n">
        <v/>
      </c>
      <c r="Z2264" t="n">
        <v/>
      </c>
      <c r="AA2264">
        <f>SUMIFS($S$2:S2264,$A$2:A2264,A2264,$N$2:N2264,"Explore*")</f>
        <v/>
      </c>
      <c r="AB2264">
        <f>IF(AND(LEFT(N2264,7)="Explore",(AA2264-IF(LEFT(N2264,7)="Explore",S2264,0))&lt;10),"SI","NO")</f>
        <v/>
      </c>
    </row>
    <row r="2265">
      <c r="A2265" t="inlineStr">
        <is>
          <t>c4f2_test</t>
        </is>
      </c>
      <c r="B2265" t="inlineStr">
        <is>
          <t>2026-01-28 13:43:34.425</t>
        </is>
      </c>
      <c r="C2265" t="n">
        <v/>
      </c>
      <c r="D2265" t="inlineStr">
        <is>
          <t>Media file</t>
        </is>
      </c>
      <c r="E2265" t="inlineStr">
        <is>
          <t>player #1:BTBR\test\c4f2.mp4</t>
        </is>
      </c>
      <c r="F2265" t="n">
        <v>-11.4</v>
      </c>
      <c r="G2265" t="n">
        <v>588.299</v>
      </c>
      <c r="H2265" t="n">
        <v>632.533</v>
      </c>
      <c r="I2265" t="n">
        <v>30</v>
      </c>
      <c r="J2265" t="inlineStr">
        <is>
          <t>BTBR</t>
        </is>
      </c>
      <c r="K2265" t="inlineStr">
        <is>
          <t xml:space="preserve"> Female</t>
        </is>
      </c>
      <c r="L2265" t="inlineStr">
        <is>
          <t>No focal subject</t>
        </is>
      </c>
      <c r="M2265" t="n">
        <v>63.16</v>
      </c>
      <c r="N2265" t="inlineStr">
        <is>
          <t>Explore_F</t>
        </is>
      </c>
      <c r="O2265" t="inlineStr">
        <is>
          <t>Familiar</t>
        </is>
      </c>
      <c r="P2265" t="inlineStr">
        <is>
          <t>STATE</t>
        </is>
      </c>
      <c r="Q2265" t="n">
        <v>146.567</v>
      </c>
      <c r="R2265" t="n">
        <v>147.067</v>
      </c>
      <c r="S2265" t="n">
        <v>0.5</v>
      </c>
      <c r="T2265" t="inlineStr">
        <is>
          <t>BTBR\test\c4f2.mp4</t>
        </is>
      </c>
      <c r="U2265" t="n">
        <v>4394</v>
      </c>
      <c r="V2265" t="n">
        <v>4409</v>
      </c>
      <c r="W2265" t="n">
        <v/>
      </c>
      <c r="X2265" t="n">
        <v/>
      </c>
      <c r="Y2265" t="n">
        <v/>
      </c>
      <c r="Z2265" t="n">
        <v/>
      </c>
      <c r="AA2265">
        <f>SUMIFS($S$2:S2265,$A$2:A2265,A2265,$N$2:N2265,"Explore*")</f>
        <v/>
      </c>
      <c r="AB2265">
        <f>IF(AND(LEFT(N2265,7)="Explore",(AA2265-IF(LEFT(N2265,7)="Explore",S2265,0))&lt;10),"SI","NO")</f>
        <v/>
      </c>
    </row>
    <row r="2266">
      <c r="A2266" t="inlineStr">
        <is>
          <t>c4f2_test</t>
        </is>
      </c>
      <c r="B2266" t="inlineStr">
        <is>
          <t>2026-01-28 13:43:34.425</t>
        </is>
      </c>
      <c r="C2266" t="n">
        <v/>
      </c>
      <c r="D2266" t="inlineStr">
        <is>
          <t>Media file</t>
        </is>
      </c>
      <c r="E2266" t="inlineStr">
        <is>
          <t>player #1:BTBR\test\c4f2.mp4</t>
        </is>
      </c>
      <c r="F2266" t="n">
        <v>-11.4</v>
      </c>
      <c r="G2266" t="n">
        <v>588.299</v>
      </c>
      <c r="H2266" t="n">
        <v>632.533</v>
      </c>
      <c r="I2266" t="n">
        <v>30</v>
      </c>
      <c r="J2266" t="inlineStr">
        <is>
          <t>BTBR</t>
        </is>
      </c>
      <c r="K2266" t="inlineStr">
        <is>
          <t xml:space="preserve"> Female</t>
        </is>
      </c>
      <c r="L2266" t="inlineStr">
        <is>
          <t>No focal subject</t>
        </is>
      </c>
      <c r="M2266" t="n">
        <v>63.16</v>
      </c>
      <c r="N2266" t="inlineStr">
        <is>
          <t>Explore_N</t>
        </is>
      </c>
      <c r="O2266" t="inlineStr">
        <is>
          <t>Novelty</t>
        </is>
      </c>
      <c r="P2266" t="inlineStr">
        <is>
          <t>STATE</t>
        </is>
      </c>
      <c r="Q2266" t="n">
        <v>163</v>
      </c>
      <c r="R2266" t="n">
        <v>163.833</v>
      </c>
      <c r="S2266" t="n">
        <v>0.833</v>
      </c>
      <c r="T2266" t="inlineStr">
        <is>
          <t>BTBR\test\c4f2.mp4</t>
        </is>
      </c>
      <c r="U2266" t="n">
        <v>4889</v>
      </c>
      <c r="V2266" t="n">
        <v>4912</v>
      </c>
      <c r="W2266" t="n">
        <v/>
      </c>
      <c r="X2266" t="n">
        <v/>
      </c>
      <c r="Y2266" t="n">
        <v/>
      </c>
      <c r="Z2266" t="n">
        <v/>
      </c>
      <c r="AA2266">
        <f>SUMIFS($S$2:S2266,$A$2:A2266,A2266,$N$2:N2266,"Explore*")</f>
        <v/>
      </c>
      <c r="AB2266">
        <f>IF(AND(LEFT(N2266,7)="Explore",(AA2266-IF(LEFT(N2266,7)="Explore",S2266,0))&lt;10),"SI","NO")</f>
        <v/>
      </c>
    </row>
    <row r="2267">
      <c r="A2267" t="inlineStr">
        <is>
          <t>c4f2_test</t>
        </is>
      </c>
      <c r="B2267" t="inlineStr">
        <is>
          <t>2026-01-28 13:43:34.425</t>
        </is>
      </c>
      <c r="C2267" t="n">
        <v/>
      </c>
      <c r="D2267" t="inlineStr">
        <is>
          <t>Media file</t>
        </is>
      </c>
      <c r="E2267" t="inlineStr">
        <is>
          <t>player #1:BTBR\test\c4f2.mp4</t>
        </is>
      </c>
      <c r="F2267" t="n">
        <v>-11.4</v>
      </c>
      <c r="G2267" t="n">
        <v>588.299</v>
      </c>
      <c r="H2267" t="n">
        <v>632.533</v>
      </c>
      <c r="I2267" t="n">
        <v>30</v>
      </c>
      <c r="J2267" t="inlineStr">
        <is>
          <t>BTBR</t>
        </is>
      </c>
      <c r="K2267" t="inlineStr">
        <is>
          <t xml:space="preserve"> Female</t>
        </is>
      </c>
      <c r="L2267" t="inlineStr">
        <is>
          <t>No focal subject</t>
        </is>
      </c>
      <c r="M2267" t="n">
        <v>63.16</v>
      </c>
      <c r="N2267" t="inlineStr">
        <is>
          <t>Explore_F</t>
        </is>
      </c>
      <c r="O2267" t="inlineStr">
        <is>
          <t>Familiar</t>
        </is>
      </c>
      <c r="P2267" t="inlineStr">
        <is>
          <t>STATE</t>
        </is>
      </c>
      <c r="Q2267" t="n">
        <v>166.1</v>
      </c>
      <c r="R2267" t="n">
        <v>166.366</v>
      </c>
      <c r="S2267" t="n">
        <v>0.266</v>
      </c>
      <c r="T2267" t="inlineStr">
        <is>
          <t>BTBR\test\c4f2.mp4</t>
        </is>
      </c>
      <c r="U2267" t="n">
        <v>4980</v>
      </c>
      <c r="V2267" t="n">
        <v>4988</v>
      </c>
      <c r="W2267" t="n">
        <v/>
      </c>
      <c r="X2267" t="n">
        <v/>
      </c>
      <c r="Y2267" t="n">
        <v/>
      </c>
      <c r="Z2267" t="n">
        <v/>
      </c>
      <c r="AA2267">
        <f>SUMIFS($S$2:S2267,$A$2:A2267,A2267,$N$2:N2267,"Explore*")</f>
        <v/>
      </c>
      <c r="AB2267">
        <f>IF(AND(LEFT(N2267,7)="Explore",(AA2267-IF(LEFT(N2267,7)="Explore",S2267,0))&lt;10),"SI","NO")</f>
        <v/>
      </c>
    </row>
    <row r="2268">
      <c r="A2268" t="inlineStr">
        <is>
          <t>c4f2_test</t>
        </is>
      </c>
      <c r="B2268" t="inlineStr">
        <is>
          <t>2026-01-28 13:43:34.425</t>
        </is>
      </c>
      <c r="C2268" t="n">
        <v/>
      </c>
      <c r="D2268" t="inlineStr">
        <is>
          <t>Media file</t>
        </is>
      </c>
      <c r="E2268" t="inlineStr">
        <is>
          <t>player #1:BTBR\test\c4f2.mp4</t>
        </is>
      </c>
      <c r="F2268" t="n">
        <v>-11.4</v>
      </c>
      <c r="G2268" t="n">
        <v>588.299</v>
      </c>
      <c r="H2268" t="n">
        <v>632.533</v>
      </c>
      <c r="I2268" t="n">
        <v>30</v>
      </c>
      <c r="J2268" t="inlineStr">
        <is>
          <t>BTBR</t>
        </is>
      </c>
      <c r="K2268" t="inlineStr">
        <is>
          <t xml:space="preserve"> Female</t>
        </is>
      </c>
      <c r="L2268" t="inlineStr">
        <is>
          <t>No focal subject</t>
        </is>
      </c>
      <c r="M2268" t="n">
        <v>63.16</v>
      </c>
      <c r="N2268" t="inlineStr">
        <is>
          <t>Explore_F</t>
        </is>
      </c>
      <c r="O2268" t="inlineStr">
        <is>
          <t>Familiar</t>
        </is>
      </c>
      <c r="P2268" t="inlineStr">
        <is>
          <t>STATE</t>
        </is>
      </c>
      <c r="Q2268" t="n">
        <v>167.666</v>
      </c>
      <c r="R2268" t="n">
        <v>167.933</v>
      </c>
      <c r="S2268" t="n">
        <v>0.267</v>
      </c>
      <c r="T2268" t="inlineStr">
        <is>
          <t>BTBR\test\c4f2.mp4</t>
        </is>
      </c>
      <c r="U2268" t="n">
        <v>5027</v>
      </c>
      <c r="V2268" t="n">
        <v>5035</v>
      </c>
      <c r="W2268" t="n">
        <v/>
      </c>
      <c r="X2268" t="n">
        <v/>
      </c>
      <c r="Y2268" t="n">
        <v/>
      </c>
      <c r="Z2268" t="n">
        <v/>
      </c>
      <c r="AA2268">
        <f>SUMIFS($S$2:S2268,$A$2:A2268,A2268,$N$2:N2268,"Explore*")</f>
        <v/>
      </c>
      <c r="AB2268">
        <f>IF(AND(LEFT(N2268,7)="Explore",(AA2268-IF(LEFT(N2268,7)="Explore",S2268,0))&lt;10),"SI","NO")</f>
        <v/>
      </c>
    </row>
    <row r="2269">
      <c r="A2269" t="inlineStr">
        <is>
          <t>c4f2_test</t>
        </is>
      </c>
      <c r="B2269" t="inlineStr">
        <is>
          <t>2026-01-28 13:43:34.425</t>
        </is>
      </c>
      <c r="C2269" t="n">
        <v/>
      </c>
      <c r="D2269" t="inlineStr">
        <is>
          <t>Media file</t>
        </is>
      </c>
      <c r="E2269" t="inlineStr">
        <is>
          <t>player #1:BTBR\test\c4f2.mp4</t>
        </is>
      </c>
      <c r="F2269" t="n">
        <v>-11.4</v>
      </c>
      <c r="G2269" t="n">
        <v>588.299</v>
      </c>
      <c r="H2269" t="n">
        <v>632.533</v>
      </c>
      <c r="I2269" t="n">
        <v>30</v>
      </c>
      <c r="J2269" t="inlineStr">
        <is>
          <t>BTBR</t>
        </is>
      </c>
      <c r="K2269" t="inlineStr">
        <is>
          <t xml:space="preserve"> Female</t>
        </is>
      </c>
      <c r="L2269" t="inlineStr">
        <is>
          <t>No focal subject</t>
        </is>
      </c>
      <c r="M2269" t="n">
        <v>63.16</v>
      </c>
      <c r="N2269" t="inlineStr">
        <is>
          <t>Explore_N</t>
        </is>
      </c>
      <c r="O2269" t="inlineStr">
        <is>
          <t>Novelty</t>
        </is>
      </c>
      <c r="P2269" t="inlineStr">
        <is>
          <t>STATE</t>
        </is>
      </c>
      <c r="Q2269" t="n">
        <v>169.1</v>
      </c>
      <c r="R2269" t="n">
        <v>170.066</v>
      </c>
      <c r="S2269" t="n">
        <v>0.966</v>
      </c>
      <c r="T2269" t="inlineStr">
        <is>
          <t>BTBR\test\c4f2.mp4</t>
        </is>
      </c>
      <c r="U2269" t="n">
        <v>5070</v>
      </c>
      <c r="V2269" t="n">
        <v>5099</v>
      </c>
      <c r="W2269" t="n">
        <v/>
      </c>
      <c r="X2269" t="n">
        <v/>
      </c>
      <c r="Y2269" t="n">
        <v/>
      </c>
      <c r="Z2269" t="n">
        <v/>
      </c>
      <c r="AA2269">
        <f>SUMIFS($S$2:S2269,$A$2:A2269,A2269,$N$2:N2269,"Explore*")</f>
        <v/>
      </c>
      <c r="AB2269">
        <f>IF(AND(LEFT(N2269,7)="Explore",(AA2269-IF(LEFT(N2269,7)="Explore",S2269,0))&lt;10),"SI","NO")</f>
        <v/>
      </c>
    </row>
    <row r="2270">
      <c r="A2270" t="inlineStr">
        <is>
          <t>c4f2_test</t>
        </is>
      </c>
      <c r="B2270" t="inlineStr">
        <is>
          <t>2026-01-28 13:43:34.425</t>
        </is>
      </c>
      <c r="C2270" t="n">
        <v/>
      </c>
      <c r="D2270" t="inlineStr">
        <is>
          <t>Media file</t>
        </is>
      </c>
      <c r="E2270" t="inlineStr">
        <is>
          <t>player #1:BTBR\test\c4f2.mp4</t>
        </is>
      </c>
      <c r="F2270" t="n">
        <v>-11.4</v>
      </c>
      <c r="G2270" t="n">
        <v>588.299</v>
      </c>
      <c r="H2270" t="n">
        <v>632.533</v>
      </c>
      <c r="I2270" t="n">
        <v>30</v>
      </c>
      <c r="J2270" t="inlineStr">
        <is>
          <t>BTBR</t>
        </is>
      </c>
      <c r="K2270" t="inlineStr">
        <is>
          <t xml:space="preserve"> Female</t>
        </is>
      </c>
      <c r="L2270" t="inlineStr">
        <is>
          <t>No focal subject</t>
        </is>
      </c>
      <c r="M2270" t="n">
        <v>63.16</v>
      </c>
      <c r="N2270" t="inlineStr">
        <is>
          <t>Explore_F</t>
        </is>
      </c>
      <c r="O2270" t="inlineStr">
        <is>
          <t>Familiar</t>
        </is>
      </c>
      <c r="P2270" t="inlineStr">
        <is>
          <t>STATE</t>
        </is>
      </c>
      <c r="Q2270" t="n">
        <v>170.733</v>
      </c>
      <c r="R2270" t="n">
        <v>171.066</v>
      </c>
      <c r="S2270" t="n">
        <v>0.333</v>
      </c>
      <c r="T2270" t="inlineStr">
        <is>
          <t>BTBR\test\c4f2.mp4</t>
        </is>
      </c>
      <c r="U2270" t="n">
        <v>5119</v>
      </c>
      <c r="V2270" t="n">
        <v>5129</v>
      </c>
      <c r="W2270" t="n">
        <v/>
      </c>
      <c r="X2270" t="n">
        <v/>
      </c>
      <c r="Y2270" t="n">
        <v/>
      </c>
      <c r="Z2270" t="n">
        <v/>
      </c>
      <c r="AA2270">
        <f>SUMIFS($S$2:S2270,$A$2:A2270,A2270,$N$2:N2270,"Explore*")</f>
        <v/>
      </c>
      <c r="AB2270">
        <f>IF(AND(LEFT(N2270,7)="Explore",(AA2270-IF(LEFT(N2270,7)="Explore",S2270,0))&lt;10),"SI","NO")</f>
        <v/>
      </c>
    </row>
    <row r="2271">
      <c r="A2271" t="inlineStr">
        <is>
          <t>c4f2_test</t>
        </is>
      </c>
      <c r="B2271" t="inlineStr">
        <is>
          <t>2026-01-28 13:43:34.425</t>
        </is>
      </c>
      <c r="C2271" t="n">
        <v/>
      </c>
      <c r="D2271" t="inlineStr">
        <is>
          <t>Media file</t>
        </is>
      </c>
      <c r="E2271" t="inlineStr">
        <is>
          <t>player #1:BTBR\test\c4f2.mp4</t>
        </is>
      </c>
      <c r="F2271" t="n">
        <v>-11.4</v>
      </c>
      <c r="G2271" t="n">
        <v>588.299</v>
      </c>
      <c r="H2271" t="n">
        <v>632.533</v>
      </c>
      <c r="I2271" t="n">
        <v>30</v>
      </c>
      <c r="J2271" t="inlineStr">
        <is>
          <t>BTBR</t>
        </is>
      </c>
      <c r="K2271" t="inlineStr">
        <is>
          <t xml:space="preserve"> Female</t>
        </is>
      </c>
      <c r="L2271" t="inlineStr">
        <is>
          <t>No focal subject</t>
        </is>
      </c>
      <c r="M2271" t="n">
        <v>63.16</v>
      </c>
      <c r="N2271" t="inlineStr">
        <is>
          <t>Explore_F</t>
        </is>
      </c>
      <c r="O2271" t="inlineStr">
        <is>
          <t>Familiar</t>
        </is>
      </c>
      <c r="P2271" t="inlineStr">
        <is>
          <t>STATE</t>
        </is>
      </c>
      <c r="Q2271" t="n">
        <v>173.266</v>
      </c>
      <c r="R2271" t="n">
        <v>173.733</v>
      </c>
      <c r="S2271" t="n">
        <v>0.467</v>
      </c>
      <c r="T2271" t="inlineStr">
        <is>
          <t>BTBR\test\c4f2.mp4</t>
        </is>
      </c>
      <c r="U2271" t="n">
        <v>5195</v>
      </c>
      <c r="V2271" t="n">
        <v>5209</v>
      </c>
      <c r="W2271" t="n">
        <v/>
      </c>
      <c r="X2271" t="n">
        <v/>
      </c>
      <c r="Y2271" t="n">
        <v/>
      </c>
      <c r="Z2271" t="n">
        <v/>
      </c>
      <c r="AA2271">
        <f>SUMIFS($S$2:S2271,$A$2:A2271,A2271,$N$2:N2271,"Explore*")</f>
        <v/>
      </c>
      <c r="AB2271">
        <f>IF(AND(LEFT(N2271,7)="Explore",(AA2271-IF(LEFT(N2271,7)="Explore",S2271,0))&lt;10),"SI","NO")</f>
        <v/>
      </c>
    </row>
    <row r="2272">
      <c r="A2272" t="inlineStr">
        <is>
          <t>c4f2_test</t>
        </is>
      </c>
      <c r="B2272" t="inlineStr">
        <is>
          <t>2026-01-28 13:43:34.425</t>
        </is>
      </c>
      <c r="C2272" t="n">
        <v/>
      </c>
      <c r="D2272" t="inlineStr">
        <is>
          <t>Media file</t>
        </is>
      </c>
      <c r="E2272" t="inlineStr">
        <is>
          <t>player #1:BTBR\test\c4f2.mp4</t>
        </is>
      </c>
      <c r="F2272" t="n">
        <v>-11.4</v>
      </c>
      <c r="G2272" t="n">
        <v>588.299</v>
      </c>
      <c r="H2272" t="n">
        <v>632.533</v>
      </c>
      <c r="I2272" t="n">
        <v>30</v>
      </c>
      <c r="J2272" t="inlineStr">
        <is>
          <t>BTBR</t>
        </is>
      </c>
      <c r="K2272" t="inlineStr">
        <is>
          <t xml:space="preserve"> Female</t>
        </is>
      </c>
      <c r="L2272" t="inlineStr">
        <is>
          <t>No focal subject</t>
        </is>
      </c>
      <c r="M2272" t="n">
        <v>63.16</v>
      </c>
      <c r="N2272" t="inlineStr">
        <is>
          <t>Explore_N</t>
        </is>
      </c>
      <c r="O2272" t="inlineStr">
        <is>
          <t>Novelty</t>
        </is>
      </c>
      <c r="P2272" t="inlineStr">
        <is>
          <t>STATE</t>
        </is>
      </c>
      <c r="Q2272" t="n">
        <v>174.2</v>
      </c>
      <c r="R2272" t="n">
        <v>174.766</v>
      </c>
      <c r="S2272" t="n">
        <v>0.5659999999999999</v>
      </c>
      <c r="T2272" t="inlineStr">
        <is>
          <t>BTBR\test\c4f2.mp4</t>
        </is>
      </c>
      <c r="U2272" t="n">
        <v>5223</v>
      </c>
      <c r="V2272" t="n">
        <v>5240</v>
      </c>
      <c r="W2272" t="n">
        <v/>
      </c>
      <c r="X2272" t="n">
        <v/>
      </c>
      <c r="Y2272" t="n">
        <v/>
      </c>
      <c r="Z2272" t="n">
        <v/>
      </c>
      <c r="AA2272">
        <f>SUMIFS($S$2:S2272,$A$2:A2272,A2272,$N$2:N2272,"Explore*")</f>
        <v/>
      </c>
      <c r="AB2272">
        <f>IF(AND(LEFT(N2272,7)="Explore",(AA2272-IF(LEFT(N2272,7)="Explore",S2272,0))&lt;10),"SI","NO")</f>
        <v/>
      </c>
    </row>
    <row r="2273">
      <c r="A2273" t="inlineStr">
        <is>
          <t>c4f2_test</t>
        </is>
      </c>
      <c r="B2273" t="inlineStr">
        <is>
          <t>2026-01-28 13:43:34.425</t>
        </is>
      </c>
      <c r="C2273" t="n">
        <v/>
      </c>
      <c r="D2273" t="inlineStr">
        <is>
          <t>Media file</t>
        </is>
      </c>
      <c r="E2273" t="inlineStr">
        <is>
          <t>player #1:BTBR\test\c4f2.mp4</t>
        </is>
      </c>
      <c r="F2273" t="n">
        <v>-11.4</v>
      </c>
      <c r="G2273" t="n">
        <v>588.299</v>
      </c>
      <c r="H2273" t="n">
        <v>632.533</v>
      </c>
      <c r="I2273" t="n">
        <v>30</v>
      </c>
      <c r="J2273" t="inlineStr">
        <is>
          <t>BTBR</t>
        </is>
      </c>
      <c r="K2273" t="inlineStr">
        <is>
          <t xml:space="preserve"> Female</t>
        </is>
      </c>
      <c r="L2273" t="inlineStr">
        <is>
          <t>No focal subject</t>
        </is>
      </c>
      <c r="M2273" t="n">
        <v>63.16</v>
      </c>
      <c r="N2273" t="inlineStr">
        <is>
          <t>Explore_N</t>
        </is>
      </c>
      <c r="O2273" t="inlineStr">
        <is>
          <t>Novelty</t>
        </is>
      </c>
      <c r="P2273" t="inlineStr">
        <is>
          <t>STATE</t>
        </is>
      </c>
      <c r="Q2273" t="n">
        <v>175.4</v>
      </c>
      <c r="R2273" t="n">
        <v>176.366</v>
      </c>
      <c r="S2273" t="n">
        <v>0.966</v>
      </c>
      <c r="T2273" t="inlineStr">
        <is>
          <t>BTBR\test\c4f2.mp4</t>
        </is>
      </c>
      <c r="U2273" t="n">
        <v>5259</v>
      </c>
      <c r="V2273" t="n">
        <v>5288</v>
      </c>
      <c r="W2273" t="n">
        <v/>
      </c>
      <c r="X2273" t="n">
        <v/>
      </c>
      <c r="Y2273" t="n">
        <v/>
      </c>
      <c r="Z2273" t="n">
        <v/>
      </c>
      <c r="AA2273">
        <f>SUMIFS($S$2:S2273,$A$2:A2273,A2273,$N$2:N2273,"Explore*")</f>
        <v/>
      </c>
      <c r="AB2273">
        <f>IF(AND(LEFT(N2273,7)="Explore",(AA2273-IF(LEFT(N2273,7)="Explore",S2273,0))&lt;10),"SI","NO")</f>
        <v/>
      </c>
    </row>
    <row r="2274">
      <c r="A2274" t="inlineStr">
        <is>
          <t>c4f2_test</t>
        </is>
      </c>
      <c r="B2274" t="inlineStr">
        <is>
          <t>2026-01-28 13:43:34.425</t>
        </is>
      </c>
      <c r="C2274" t="n">
        <v/>
      </c>
      <c r="D2274" t="inlineStr">
        <is>
          <t>Media file</t>
        </is>
      </c>
      <c r="E2274" t="inlineStr">
        <is>
          <t>player #1:BTBR\test\c4f2.mp4</t>
        </is>
      </c>
      <c r="F2274" t="n">
        <v>-11.4</v>
      </c>
      <c r="G2274" t="n">
        <v>588.299</v>
      </c>
      <c r="H2274" t="n">
        <v>632.533</v>
      </c>
      <c r="I2274" t="n">
        <v>30</v>
      </c>
      <c r="J2274" t="inlineStr">
        <is>
          <t>BTBR</t>
        </is>
      </c>
      <c r="K2274" t="inlineStr">
        <is>
          <t xml:space="preserve"> Female</t>
        </is>
      </c>
      <c r="L2274" t="inlineStr">
        <is>
          <t>No focal subject</t>
        </is>
      </c>
      <c r="M2274" t="n">
        <v>63.16</v>
      </c>
      <c r="N2274" t="inlineStr">
        <is>
          <t>Explore_N</t>
        </is>
      </c>
      <c r="O2274" t="inlineStr">
        <is>
          <t>Novelty</t>
        </is>
      </c>
      <c r="P2274" t="inlineStr">
        <is>
          <t>STATE</t>
        </is>
      </c>
      <c r="Q2274" t="n">
        <v>186.366</v>
      </c>
      <c r="R2274" t="n">
        <v>187.166</v>
      </c>
      <c r="S2274" t="n">
        <v>0.8</v>
      </c>
      <c r="T2274" t="inlineStr">
        <is>
          <t>BTBR\test\c4f2.mp4</t>
        </is>
      </c>
      <c r="U2274" t="n">
        <v>5588</v>
      </c>
      <c r="V2274" t="n">
        <v>5612</v>
      </c>
      <c r="W2274" t="n">
        <v/>
      </c>
      <c r="X2274" t="n">
        <v/>
      </c>
      <c r="Y2274" t="n">
        <v/>
      </c>
      <c r="Z2274" t="n">
        <v/>
      </c>
      <c r="AA2274">
        <f>SUMIFS($S$2:S2274,$A$2:A2274,A2274,$N$2:N2274,"Explore*")</f>
        <v/>
      </c>
      <c r="AB2274">
        <f>IF(AND(LEFT(N2274,7)="Explore",(AA2274-IF(LEFT(N2274,7)="Explore",S2274,0))&lt;10),"SI","NO")</f>
        <v/>
      </c>
    </row>
    <row r="2275">
      <c r="A2275" t="inlineStr">
        <is>
          <t>c4f2_test</t>
        </is>
      </c>
      <c r="B2275" t="inlineStr">
        <is>
          <t>2026-01-28 13:43:34.425</t>
        </is>
      </c>
      <c r="C2275" t="n">
        <v/>
      </c>
      <c r="D2275" t="inlineStr">
        <is>
          <t>Media file</t>
        </is>
      </c>
      <c r="E2275" t="inlineStr">
        <is>
          <t>player #1:BTBR\test\c4f2.mp4</t>
        </is>
      </c>
      <c r="F2275" t="n">
        <v>-11.4</v>
      </c>
      <c r="G2275" t="n">
        <v>588.299</v>
      </c>
      <c r="H2275" t="n">
        <v>632.533</v>
      </c>
      <c r="I2275" t="n">
        <v>30</v>
      </c>
      <c r="J2275" t="inlineStr">
        <is>
          <t>BTBR</t>
        </is>
      </c>
      <c r="K2275" t="inlineStr">
        <is>
          <t xml:space="preserve"> Female</t>
        </is>
      </c>
      <c r="L2275" t="inlineStr">
        <is>
          <t>No focal subject</t>
        </is>
      </c>
      <c r="M2275" t="n">
        <v>63.16</v>
      </c>
      <c r="N2275" t="inlineStr">
        <is>
          <t>Explore_F</t>
        </is>
      </c>
      <c r="O2275" t="inlineStr">
        <is>
          <t>Familiar</t>
        </is>
      </c>
      <c r="P2275" t="inlineStr">
        <is>
          <t>STATE</t>
        </is>
      </c>
      <c r="Q2275" t="n">
        <v>194.133</v>
      </c>
      <c r="R2275" t="n">
        <v>194.4</v>
      </c>
      <c r="S2275" t="n">
        <v>0.267</v>
      </c>
      <c r="T2275" t="inlineStr">
        <is>
          <t>BTBR\test\c4f2.mp4</t>
        </is>
      </c>
      <c r="U2275" t="n">
        <v>5820</v>
      </c>
      <c r="V2275" t="n">
        <v>5828</v>
      </c>
      <c r="W2275" t="n">
        <v/>
      </c>
      <c r="X2275" t="n">
        <v/>
      </c>
      <c r="Y2275" t="n">
        <v/>
      </c>
      <c r="Z2275" t="n">
        <v/>
      </c>
      <c r="AA2275">
        <f>SUMIFS($S$2:S2275,$A$2:A2275,A2275,$N$2:N2275,"Explore*")</f>
        <v/>
      </c>
      <c r="AB2275">
        <f>IF(AND(LEFT(N2275,7)="Explore",(AA2275-IF(LEFT(N2275,7)="Explore",S2275,0))&lt;10),"SI","NO")</f>
        <v/>
      </c>
    </row>
    <row r="2276">
      <c r="A2276" t="inlineStr">
        <is>
          <t>c4f2_test</t>
        </is>
      </c>
      <c r="B2276" t="inlineStr">
        <is>
          <t>2026-01-28 13:43:34.425</t>
        </is>
      </c>
      <c r="C2276" t="n">
        <v/>
      </c>
      <c r="D2276" t="inlineStr">
        <is>
          <t>Media file</t>
        </is>
      </c>
      <c r="E2276" t="inlineStr">
        <is>
          <t>player #1:BTBR\test\c4f2.mp4</t>
        </is>
      </c>
      <c r="F2276" t="n">
        <v>-11.4</v>
      </c>
      <c r="G2276" t="n">
        <v>588.299</v>
      </c>
      <c r="H2276" t="n">
        <v>632.533</v>
      </c>
      <c r="I2276" t="n">
        <v>30</v>
      </c>
      <c r="J2276" t="inlineStr">
        <is>
          <t>BTBR</t>
        </is>
      </c>
      <c r="K2276" t="inlineStr">
        <is>
          <t xml:space="preserve"> Female</t>
        </is>
      </c>
      <c r="L2276" t="inlineStr">
        <is>
          <t>No focal subject</t>
        </is>
      </c>
      <c r="M2276" t="n">
        <v>63.16</v>
      </c>
      <c r="N2276" t="inlineStr">
        <is>
          <t>Explore_F</t>
        </is>
      </c>
      <c r="O2276" t="inlineStr">
        <is>
          <t>Familiar</t>
        </is>
      </c>
      <c r="P2276" t="inlineStr">
        <is>
          <t>STATE</t>
        </is>
      </c>
      <c r="Q2276" t="n">
        <v>195.8</v>
      </c>
      <c r="R2276" t="n">
        <v>197.466</v>
      </c>
      <c r="S2276" t="n">
        <v>1.666</v>
      </c>
      <c r="T2276" t="inlineStr">
        <is>
          <t>BTBR\test\c4f2.mp4</t>
        </is>
      </c>
      <c r="U2276" t="n">
        <v>5870</v>
      </c>
      <c r="V2276" t="n">
        <v>5920</v>
      </c>
      <c r="W2276" t="n">
        <v/>
      </c>
      <c r="X2276" t="n">
        <v/>
      </c>
      <c r="Y2276" t="n">
        <v/>
      </c>
      <c r="Z2276" t="n">
        <v/>
      </c>
      <c r="AA2276">
        <f>SUMIFS($S$2:S2276,$A$2:A2276,A2276,$N$2:N2276,"Explore*")</f>
        <v/>
      </c>
      <c r="AB2276">
        <f>IF(AND(LEFT(N2276,7)="Explore",(AA2276-IF(LEFT(N2276,7)="Explore",S2276,0))&lt;10),"SI","NO")</f>
        <v/>
      </c>
    </row>
    <row r="2277">
      <c r="A2277" t="inlineStr">
        <is>
          <t>c4f2_test</t>
        </is>
      </c>
      <c r="B2277" t="inlineStr">
        <is>
          <t>2026-01-28 13:43:34.425</t>
        </is>
      </c>
      <c r="C2277" t="n">
        <v/>
      </c>
      <c r="D2277" t="inlineStr">
        <is>
          <t>Media file</t>
        </is>
      </c>
      <c r="E2277" t="inlineStr">
        <is>
          <t>player #1:BTBR\test\c4f2.mp4</t>
        </is>
      </c>
      <c r="F2277" t="n">
        <v>-11.4</v>
      </c>
      <c r="G2277" t="n">
        <v>588.299</v>
      </c>
      <c r="H2277" t="n">
        <v>632.533</v>
      </c>
      <c r="I2277" t="n">
        <v>30</v>
      </c>
      <c r="J2277" t="inlineStr">
        <is>
          <t>BTBR</t>
        </is>
      </c>
      <c r="K2277" t="inlineStr">
        <is>
          <t xml:space="preserve"> Female</t>
        </is>
      </c>
      <c r="L2277" t="inlineStr">
        <is>
          <t>No focal subject</t>
        </is>
      </c>
      <c r="M2277" t="n">
        <v>63.16</v>
      </c>
      <c r="N2277" t="inlineStr">
        <is>
          <t>Explore_N</t>
        </is>
      </c>
      <c r="O2277" t="inlineStr">
        <is>
          <t>Novelty</t>
        </is>
      </c>
      <c r="P2277" t="inlineStr">
        <is>
          <t>STATE</t>
        </is>
      </c>
      <c r="Q2277" t="n">
        <v>200.966</v>
      </c>
      <c r="R2277" t="n">
        <v>201.566</v>
      </c>
      <c r="S2277" t="n">
        <v>0.6</v>
      </c>
      <c r="T2277" t="inlineStr">
        <is>
          <t>BTBR\test\c4f2.mp4</t>
        </is>
      </c>
      <c r="U2277" t="n">
        <v>6025</v>
      </c>
      <c r="V2277" t="n">
        <v>6043</v>
      </c>
      <c r="W2277" t="n">
        <v/>
      </c>
      <c r="X2277" t="n">
        <v/>
      </c>
      <c r="Y2277" t="n">
        <v/>
      </c>
      <c r="Z2277" t="n">
        <v/>
      </c>
      <c r="AA2277">
        <f>SUMIFS($S$2:S2277,$A$2:A2277,A2277,$N$2:N2277,"Explore*")</f>
        <v/>
      </c>
      <c r="AB2277">
        <f>IF(AND(LEFT(N2277,7)="Explore",(AA2277-IF(LEFT(N2277,7)="Explore",S2277,0))&lt;10),"SI","NO")</f>
        <v/>
      </c>
    </row>
    <row r="2278">
      <c r="A2278" t="inlineStr">
        <is>
          <t>c4f2_test</t>
        </is>
      </c>
      <c r="B2278" t="inlineStr">
        <is>
          <t>2026-01-28 13:43:34.425</t>
        </is>
      </c>
      <c r="C2278" t="n">
        <v/>
      </c>
      <c r="D2278" t="inlineStr">
        <is>
          <t>Media file</t>
        </is>
      </c>
      <c r="E2278" t="inlineStr">
        <is>
          <t>player #1:BTBR\test\c4f2.mp4</t>
        </is>
      </c>
      <c r="F2278" t="n">
        <v>-11.4</v>
      </c>
      <c r="G2278" t="n">
        <v>588.299</v>
      </c>
      <c r="H2278" t="n">
        <v>632.533</v>
      </c>
      <c r="I2278" t="n">
        <v>30</v>
      </c>
      <c r="J2278" t="inlineStr">
        <is>
          <t>BTBR</t>
        </is>
      </c>
      <c r="K2278" t="inlineStr">
        <is>
          <t xml:space="preserve"> Female</t>
        </is>
      </c>
      <c r="L2278" t="inlineStr">
        <is>
          <t>No focal subject</t>
        </is>
      </c>
      <c r="M2278" t="n">
        <v>63.16</v>
      </c>
      <c r="N2278" t="inlineStr">
        <is>
          <t>Explore_F</t>
        </is>
      </c>
      <c r="O2278" t="inlineStr">
        <is>
          <t>Familiar</t>
        </is>
      </c>
      <c r="P2278" t="inlineStr">
        <is>
          <t>STATE</t>
        </is>
      </c>
      <c r="Q2278" t="n">
        <v>202.433</v>
      </c>
      <c r="R2278" t="n">
        <v>203.566</v>
      </c>
      <c r="S2278" t="n">
        <v>1.133</v>
      </c>
      <c r="T2278" t="inlineStr">
        <is>
          <t>BTBR\test\c4f2.mp4</t>
        </is>
      </c>
      <c r="U2278" t="n">
        <v>6069</v>
      </c>
      <c r="V2278" t="n">
        <v>6103</v>
      </c>
      <c r="W2278" t="n">
        <v/>
      </c>
      <c r="X2278" t="n">
        <v/>
      </c>
      <c r="Y2278" t="n">
        <v/>
      </c>
      <c r="Z2278" t="n">
        <v/>
      </c>
      <c r="AA2278">
        <f>SUMIFS($S$2:S2278,$A$2:A2278,A2278,$N$2:N2278,"Explore*")</f>
        <v/>
      </c>
      <c r="AB2278">
        <f>IF(AND(LEFT(N2278,7)="Explore",(AA2278-IF(LEFT(N2278,7)="Explore",S2278,0))&lt;10),"SI","NO")</f>
        <v/>
      </c>
    </row>
    <row r="2279">
      <c r="A2279" t="inlineStr">
        <is>
          <t>c4f2_test</t>
        </is>
      </c>
      <c r="B2279" t="inlineStr">
        <is>
          <t>2026-01-28 13:43:34.425</t>
        </is>
      </c>
      <c r="C2279" t="n">
        <v/>
      </c>
      <c r="D2279" t="inlineStr">
        <is>
          <t>Media file</t>
        </is>
      </c>
      <c r="E2279" t="inlineStr">
        <is>
          <t>player #1:BTBR\test\c4f2.mp4</t>
        </is>
      </c>
      <c r="F2279" t="n">
        <v>-11.4</v>
      </c>
      <c r="G2279" t="n">
        <v>588.299</v>
      </c>
      <c r="H2279" t="n">
        <v>632.533</v>
      </c>
      <c r="I2279" t="n">
        <v>30</v>
      </c>
      <c r="J2279" t="inlineStr">
        <is>
          <t>BTBR</t>
        </is>
      </c>
      <c r="K2279" t="inlineStr">
        <is>
          <t xml:space="preserve"> Female</t>
        </is>
      </c>
      <c r="L2279" t="inlineStr">
        <is>
          <t>No focal subject</t>
        </is>
      </c>
      <c r="M2279" t="n">
        <v>63.16</v>
      </c>
      <c r="N2279" t="inlineStr">
        <is>
          <t>Explore_N</t>
        </is>
      </c>
      <c r="O2279" t="inlineStr">
        <is>
          <t>Novelty</t>
        </is>
      </c>
      <c r="P2279" t="inlineStr">
        <is>
          <t>STATE</t>
        </is>
      </c>
      <c r="Q2279" t="n">
        <v>210.7</v>
      </c>
      <c r="R2279" t="n">
        <v>211.366</v>
      </c>
      <c r="S2279" t="n">
        <v>0.666</v>
      </c>
      <c r="T2279" t="inlineStr">
        <is>
          <t>BTBR\test\c4f2.mp4</t>
        </is>
      </c>
      <c r="U2279" t="n">
        <v>6317</v>
      </c>
      <c r="V2279" t="n">
        <v>6337</v>
      </c>
      <c r="W2279" t="n">
        <v/>
      </c>
      <c r="X2279" t="n">
        <v/>
      </c>
      <c r="Y2279" t="n">
        <v/>
      </c>
      <c r="Z2279" t="n">
        <v/>
      </c>
      <c r="AA2279">
        <f>SUMIFS($S$2:S2279,$A$2:A2279,A2279,$N$2:N2279,"Explore*")</f>
        <v/>
      </c>
      <c r="AB2279">
        <f>IF(AND(LEFT(N2279,7)="Explore",(AA2279-IF(LEFT(N2279,7)="Explore",S2279,0))&lt;10),"SI","NO")</f>
        <v/>
      </c>
    </row>
    <row r="2280">
      <c r="A2280" t="inlineStr">
        <is>
          <t>c4f2_test</t>
        </is>
      </c>
      <c r="B2280" t="inlineStr">
        <is>
          <t>2026-01-28 13:43:34.425</t>
        </is>
      </c>
      <c r="C2280" t="n">
        <v/>
      </c>
      <c r="D2280" t="inlineStr">
        <is>
          <t>Media file</t>
        </is>
      </c>
      <c r="E2280" t="inlineStr">
        <is>
          <t>player #1:BTBR\test\c4f2.mp4</t>
        </is>
      </c>
      <c r="F2280" t="n">
        <v>-11.4</v>
      </c>
      <c r="G2280" t="n">
        <v>588.299</v>
      </c>
      <c r="H2280" t="n">
        <v>632.533</v>
      </c>
      <c r="I2280" t="n">
        <v>30</v>
      </c>
      <c r="J2280" t="inlineStr">
        <is>
          <t>BTBR</t>
        </is>
      </c>
      <c r="K2280" t="inlineStr">
        <is>
          <t xml:space="preserve"> Female</t>
        </is>
      </c>
      <c r="L2280" t="inlineStr">
        <is>
          <t>No focal subject</t>
        </is>
      </c>
      <c r="M2280" t="n">
        <v>63.16</v>
      </c>
      <c r="N2280" t="inlineStr">
        <is>
          <t>Explore_N</t>
        </is>
      </c>
      <c r="O2280" t="inlineStr">
        <is>
          <t>Novelty</t>
        </is>
      </c>
      <c r="P2280" t="inlineStr">
        <is>
          <t>STATE</t>
        </is>
      </c>
      <c r="Q2280" t="n">
        <v>213.966</v>
      </c>
      <c r="R2280" t="n">
        <v>214.733</v>
      </c>
      <c r="S2280" t="n">
        <v>0.767</v>
      </c>
      <c r="T2280" t="inlineStr">
        <is>
          <t>BTBR\test\c4f2.mp4</t>
        </is>
      </c>
      <c r="U2280" t="n">
        <v>6415</v>
      </c>
      <c r="V2280" t="n">
        <v>6438</v>
      </c>
      <c r="W2280" t="n">
        <v/>
      </c>
      <c r="X2280" t="n">
        <v/>
      </c>
      <c r="Y2280" t="n">
        <v/>
      </c>
      <c r="Z2280" t="n">
        <v/>
      </c>
      <c r="AA2280">
        <f>SUMIFS($S$2:S2280,$A$2:A2280,A2280,$N$2:N2280,"Explore*")</f>
        <v/>
      </c>
      <c r="AB2280">
        <f>IF(AND(LEFT(N2280,7)="Explore",(AA2280-IF(LEFT(N2280,7)="Explore",S2280,0))&lt;10),"SI","NO")</f>
        <v/>
      </c>
    </row>
    <row r="2281">
      <c r="A2281" t="inlineStr">
        <is>
          <t>c4f2_test</t>
        </is>
      </c>
      <c r="B2281" t="inlineStr">
        <is>
          <t>2026-01-28 13:43:34.425</t>
        </is>
      </c>
      <c r="C2281" t="n">
        <v/>
      </c>
      <c r="D2281" t="inlineStr">
        <is>
          <t>Media file</t>
        </is>
      </c>
      <c r="E2281" t="inlineStr">
        <is>
          <t>player #1:BTBR\test\c4f2.mp4</t>
        </is>
      </c>
      <c r="F2281" t="n">
        <v>-11.4</v>
      </c>
      <c r="G2281" t="n">
        <v>588.299</v>
      </c>
      <c r="H2281" t="n">
        <v>632.533</v>
      </c>
      <c r="I2281" t="n">
        <v>30</v>
      </c>
      <c r="J2281" t="inlineStr">
        <is>
          <t>BTBR</t>
        </is>
      </c>
      <c r="K2281" t="inlineStr">
        <is>
          <t xml:space="preserve"> Female</t>
        </is>
      </c>
      <c r="L2281" t="inlineStr">
        <is>
          <t>No focal subject</t>
        </is>
      </c>
      <c r="M2281" t="n">
        <v>63.16</v>
      </c>
      <c r="N2281" t="inlineStr">
        <is>
          <t>Explore_N</t>
        </is>
      </c>
      <c r="O2281" t="inlineStr">
        <is>
          <t>Novelty</t>
        </is>
      </c>
      <c r="P2281" t="inlineStr">
        <is>
          <t>STATE</t>
        </is>
      </c>
      <c r="Q2281" t="n">
        <v>217.333</v>
      </c>
      <c r="R2281" t="n">
        <v>218.366</v>
      </c>
      <c r="S2281" t="n">
        <v>1.033</v>
      </c>
      <c r="T2281" t="inlineStr">
        <is>
          <t>BTBR\test\c4f2.mp4</t>
        </is>
      </c>
      <c r="U2281" t="n">
        <v>6516</v>
      </c>
      <c r="V2281" t="n">
        <v>6547</v>
      </c>
      <c r="W2281" t="n">
        <v/>
      </c>
      <c r="X2281" t="n">
        <v/>
      </c>
      <c r="Y2281" t="n">
        <v/>
      </c>
      <c r="Z2281" t="n">
        <v/>
      </c>
      <c r="AA2281">
        <f>SUMIFS($S$2:S2281,$A$2:A2281,A2281,$N$2:N2281,"Explore*")</f>
        <v/>
      </c>
      <c r="AB2281">
        <f>IF(AND(LEFT(N2281,7)="Explore",(AA2281-IF(LEFT(N2281,7)="Explore",S2281,0))&lt;10),"SI","NO")</f>
        <v/>
      </c>
    </row>
    <row r="2282">
      <c r="A2282" t="inlineStr">
        <is>
          <t>c4f2_test</t>
        </is>
      </c>
      <c r="B2282" t="inlineStr">
        <is>
          <t>2026-01-28 13:43:34.425</t>
        </is>
      </c>
      <c r="C2282" t="n">
        <v/>
      </c>
      <c r="D2282" t="inlineStr">
        <is>
          <t>Media file</t>
        </is>
      </c>
      <c r="E2282" t="inlineStr">
        <is>
          <t>player #1:BTBR\test\c4f2.mp4</t>
        </is>
      </c>
      <c r="F2282" t="n">
        <v>-11.4</v>
      </c>
      <c r="G2282" t="n">
        <v>588.299</v>
      </c>
      <c r="H2282" t="n">
        <v>632.533</v>
      </c>
      <c r="I2282" t="n">
        <v>30</v>
      </c>
      <c r="J2282" t="inlineStr">
        <is>
          <t>BTBR</t>
        </is>
      </c>
      <c r="K2282" t="inlineStr">
        <is>
          <t xml:space="preserve"> Female</t>
        </is>
      </c>
      <c r="L2282" t="inlineStr">
        <is>
          <t>No focal subject</t>
        </is>
      </c>
      <c r="M2282" t="n">
        <v>63.16</v>
      </c>
      <c r="N2282" t="inlineStr">
        <is>
          <t>Explore_F</t>
        </is>
      </c>
      <c r="O2282" t="inlineStr">
        <is>
          <t>Familiar</t>
        </is>
      </c>
      <c r="P2282" t="inlineStr">
        <is>
          <t>STATE</t>
        </is>
      </c>
      <c r="Q2282" t="n">
        <v>274.666</v>
      </c>
      <c r="R2282" t="n">
        <v>275.166</v>
      </c>
      <c r="S2282" t="n">
        <v>0.5</v>
      </c>
      <c r="T2282" t="inlineStr">
        <is>
          <t>BTBR\test\c4f2.mp4</t>
        </is>
      </c>
      <c r="U2282" t="n">
        <v>8235</v>
      </c>
      <c r="V2282" t="n">
        <v>8250</v>
      </c>
      <c r="W2282" t="n">
        <v/>
      </c>
      <c r="X2282" t="n">
        <v/>
      </c>
      <c r="Y2282" t="n">
        <v/>
      </c>
      <c r="Z2282" t="n">
        <v/>
      </c>
      <c r="AA2282">
        <f>SUMIFS($S$2:S2282,$A$2:A2282,A2282,$N$2:N2282,"Explore*")</f>
        <v/>
      </c>
      <c r="AB2282">
        <f>IF(AND(LEFT(N2282,7)="Explore",(AA2282-IF(LEFT(N2282,7)="Explore",S2282,0))&lt;10),"SI","NO")</f>
        <v/>
      </c>
    </row>
    <row r="2283">
      <c r="A2283" t="inlineStr">
        <is>
          <t>c4f2_test</t>
        </is>
      </c>
      <c r="B2283" t="inlineStr">
        <is>
          <t>2026-01-28 13:43:34.425</t>
        </is>
      </c>
      <c r="C2283" t="n">
        <v/>
      </c>
      <c r="D2283" t="inlineStr">
        <is>
          <t>Media file</t>
        </is>
      </c>
      <c r="E2283" t="inlineStr">
        <is>
          <t>player #1:BTBR\test\c4f2.mp4</t>
        </is>
      </c>
      <c r="F2283" t="n">
        <v>-11.4</v>
      </c>
      <c r="G2283" t="n">
        <v>588.299</v>
      </c>
      <c r="H2283" t="n">
        <v>632.533</v>
      </c>
      <c r="I2283" t="n">
        <v>30</v>
      </c>
      <c r="J2283" t="inlineStr">
        <is>
          <t>BTBR</t>
        </is>
      </c>
      <c r="K2283" t="inlineStr">
        <is>
          <t xml:space="preserve"> Female</t>
        </is>
      </c>
      <c r="L2283" t="inlineStr">
        <is>
          <t>No focal subject</t>
        </is>
      </c>
      <c r="M2283" t="n">
        <v>63.16</v>
      </c>
      <c r="N2283" t="inlineStr">
        <is>
          <t>Explore_N</t>
        </is>
      </c>
      <c r="O2283" t="inlineStr">
        <is>
          <t>Novelty</t>
        </is>
      </c>
      <c r="P2283" t="inlineStr">
        <is>
          <t>STATE</t>
        </is>
      </c>
      <c r="Q2283" t="n">
        <v>280.233</v>
      </c>
      <c r="R2283" t="n">
        <v>280.866</v>
      </c>
      <c r="S2283" t="n">
        <v>0.633</v>
      </c>
      <c r="T2283" t="inlineStr">
        <is>
          <t>BTBR\test\c4f2.mp4</t>
        </is>
      </c>
      <c r="U2283" t="n">
        <v>8402</v>
      </c>
      <c r="V2283" t="n">
        <v>8421</v>
      </c>
      <c r="W2283" t="n">
        <v/>
      </c>
      <c r="X2283" t="n">
        <v/>
      </c>
      <c r="Y2283" t="n">
        <v/>
      </c>
      <c r="Z2283" t="n">
        <v/>
      </c>
      <c r="AA2283">
        <f>SUMIFS($S$2:S2283,$A$2:A2283,A2283,$N$2:N2283,"Explore*")</f>
        <v/>
      </c>
      <c r="AB2283">
        <f>IF(AND(LEFT(N2283,7)="Explore",(AA2283-IF(LEFT(N2283,7)="Explore",S2283,0))&lt;10),"SI","NO")</f>
        <v/>
      </c>
    </row>
    <row r="2284">
      <c r="A2284" t="inlineStr">
        <is>
          <t>c4f2_test</t>
        </is>
      </c>
      <c r="B2284" t="inlineStr">
        <is>
          <t>2026-01-28 13:43:34.425</t>
        </is>
      </c>
      <c r="C2284" t="n">
        <v/>
      </c>
      <c r="D2284" t="inlineStr">
        <is>
          <t>Media file</t>
        </is>
      </c>
      <c r="E2284" t="inlineStr">
        <is>
          <t>player #1:BTBR\test\c4f2.mp4</t>
        </is>
      </c>
      <c r="F2284" t="n">
        <v>-11.4</v>
      </c>
      <c r="G2284" t="n">
        <v>588.299</v>
      </c>
      <c r="H2284" t="n">
        <v>632.533</v>
      </c>
      <c r="I2284" t="n">
        <v>30</v>
      </c>
      <c r="J2284" t="inlineStr">
        <is>
          <t>BTBR</t>
        </is>
      </c>
      <c r="K2284" t="inlineStr">
        <is>
          <t xml:space="preserve"> Female</t>
        </is>
      </c>
      <c r="L2284" t="inlineStr">
        <is>
          <t>No focal subject</t>
        </is>
      </c>
      <c r="M2284" t="n">
        <v>63.16</v>
      </c>
      <c r="N2284" t="inlineStr">
        <is>
          <t>Explore_F</t>
        </is>
      </c>
      <c r="O2284" t="inlineStr">
        <is>
          <t>Familiar</t>
        </is>
      </c>
      <c r="P2284" t="inlineStr">
        <is>
          <t>STATE</t>
        </is>
      </c>
      <c r="Q2284" t="n">
        <v>281.966</v>
      </c>
      <c r="R2284" t="n">
        <v>282.466</v>
      </c>
      <c r="S2284" t="n">
        <v>0.5</v>
      </c>
      <c r="T2284" t="inlineStr">
        <is>
          <t>BTBR\test\c4f2.mp4</t>
        </is>
      </c>
      <c r="U2284" t="n">
        <v>8454</v>
      </c>
      <c r="V2284" t="n">
        <v>8469</v>
      </c>
      <c r="W2284" t="n">
        <v/>
      </c>
      <c r="X2284" t="n">
        <v/>
      </c>
      <c r="Y2284" t="n">
        <v/>
      </c>
      <c r="Z2284" t="n">
        <v/>
      </c>
      <c r="AA2284">
        <f>SUMIFS($S$2:S2284,$A$2:A2284,A2284,$N$2:N2284,"Explore*")</f>
        <v/>
      </c>
      <c r="AB2284">
        <f>IF(AND(LEFT(N2284,7)="Explore",(AA2284-IF(LEFT(N2284,7)="Explore",S2284,0))&lt;10),"SI","NO")</f>
        <v/>
      </c>
    </row>
    <row r="2285">
      <c r="A2285" t="inlineStr">
        <is>
          <t>c4f2_test</t>
        </is>
      </c>
      <c r="B2285" t="inlineStr">
        <is>
          <t>2026-01-28 13:43:34.425</t>
        </is>
      </c>
      <c r="C2285" t="n">
        <v/>
      </c>
      <c r="D2285" t="inlineStr">
        <is>
          <t>Media file</t>
        </is>
      </c>
      <c r="E2285" t="inlineStr">
        <is>
          <t>player #1:BTBR\test\c4f2.mp4</t>
        </is>
      </c>
      <c r="F2285" t="n">
        <v>-11.4</v>
      </c>
      <c r="G2285" t="n">
        <v>588.299</v>
      </c>
      <c r="H2285" t="n">
        <v>632.533</v>
      </c>
      <c r="I2285" t="n">
        <v>30</v>
      </c>
      <c r="J2285" t="inlineStr">
        <is>
          <t>BTBR</t>
        </is>
      </c>
      <c r="K2285" t="inlineStr">
        <is>
          <t xml:space="preserve"> Female</t>
        </is>
      </c>
      <c r="L2285" t="inlineStr">
        <is>
          <t>No focal subject</t>
        </is>
      </c>
      <c r="M2285" t="n">
        <v>63.16</v>
      </c>
      <c r="N2285" t="inlineStr">
        <is>
          <t>Explore_F</t>
        </is>
      </c>
      <c r="O2285" t="inlineStr">
        <is>
          <t>Familiar</t>
        </is>
      </c>
      <c r="P2285" t="inlineStr">
        <is>
          <t>STATE</t>
        </is>
      </c>
      <c r="Q2285" t="n">
        <v>283.2</v>
      </c>
      <c r="R2285" t="n">
        <v>284.066</v>
      </c>
      <c r="S2285" t="n">
        <v>0.866</v>
      </c>
      <c r="T2285" t="inlineStr">
        <is>
          <t>BTBR\test\c4f2.mp4</t>
        </is>
      </c>
      <c r="U2285" t="n">
        <v>8491</v>
      </c>
      <c r="V2285" t="n">
        <v>8517</v>
      </c>
      <c r="W2285" t="n">
        <v/>
      </c>
      <c r="X2285" t="n">
        <v/>
      </c>
      <c r="Y2285" t="n">
        <v/>
      </c>
      <c r="Z2285" t="n">
        <v/>
      </c>
      <c r="AA2285">
        <f>SUMIFS($S$2:S2285,$A$2:A2285,A2285,$N$2:N2285,"Explore*")</f>
        <v/>
      </c>
      <c r="AB2285">
        <f>IF(AND(LEFT(N2285,7)="Explore",(AA2285-IF(LEFT(N2285,7)="Explore",S2285,0))&lt;10),"SI","NO")</f>
        <v/>
      </c>
    </row>
    <row r="2286">
      <c r="A2286" t="inlineStr">
        <is>
          <t>c4f2_test</t>
        </is>
      </c>
      <c r="B2286" t="inlineStr">
        <is>
          <t>2026-01-28 13:43:34.425</t>
        </is>
      </c>
      <c r="C2286" t="n">
        <v/>
      </c>
      <c r="D2286" t="inlineStr">
        <is>
          <t>Media file</t>
        </is>
      </c>
      <c r="E2286" t="inlineStr">
        <is>
          <t>player #1:BTBR\test\c4f2.mp4</t>
        </is>
      </c>
      <c r="F2286" t="n">
        <v>-11.4</v>
      </c>
      <c r="G2286" t="n">
        <v>588.299</v>
      </c>
      <c r="H2286" t="n">
        <v>632.533</v>
      </c>
      <c r="I2286" t="n">
        <v>30</v>
      </c>
      <c r="J2286" t="inlineStr">
        <is>
          <t>BTBR</t>
        </is>
      </c>
      <c r="K2286" t="inlineStr">
        <is>
          <t xml:space="preserve"> Female</t>
        </is>
      </c>
      <c r="L2286" t="inlineStr">
        <is>
          <t>No focal subject</t>
        </is>
      </c>
      <c r="M2286" t="n">
        <v>63.16</v>
      </c>
      <c r="N2286" t="inlineStr">
        <is>
          <t>Explore_F</t>
        </is>
      </c>
      <c r="O2286" t="inlineStr">
        <is>
          <t>Familiar</t>
        </is>
      </c>
      <c r="P2286" t="inlineStr">
        <is>
          <t>STATE</t>
        </is>
      </c>
      <c r="Q2286" t="n">
        <v>288.7</v>
      </c>
      <c r="R2286" t="n">
        <v>289.266</v>
      </c>
      <c r="S2286" t="n">
        <v>0.5659999999999999</v>
      </c>
      <c r="T2286" t="inlineStr">
        <is>
          <t>BTBR\test\c4f2.mp4</t>
        </is>
      </c>
      <c r="U2286" t="n">
        <v>8656</v>
      </c>
      <c r="V2286" t="n">
        <v>8673</v>
      </c>
      <c r="W2286" t="n">
        <v/>
      </c>
      <c r="X2286" t="n">
        <v/>
      </c>
      <c r="Y2286" t="n">
        <v/>
      </c>
      <c r="Z2286" t="n">
        <v/>
      </c>
      <c r="AA2286">
        <f>SUMIFS($S$2:S2286,$A$2:A2286,A2286,$N$2:N2286,"Explore*")</f>
        <v/>
      </c>
      <c r="AB2286">
        <f>IF(AND(LEFT(N2286,7)="Explore",(AA2286-IF(LEFT(N2286,7)="Explore",S2286,0))&lt;10),"SI","NO")</f>
        <v/>
      </c>
    </row>
    <row r="2287">
      <c r="A2287" t="inlineStr">
        <is>
          <t>c4f2_test</t>
        </is>
      </c>
      <c r="B2287" t="inlineStr">
        <is>
          <t>2026-01-28 13:43:34.425</t>
        </is>
      </c>
      <c r="C2287" t="n">
        <v/>
      </c>
      <c r="D2287" t="inlineStr">
        <is>
          <t>Media file</t>
        </is>
      </c>
      <c r="E2287" t="inlineStr">
        <is>
          <t>player #1:BTBR\test\c4f2.mp4</t>
        </is>
      </c>
      <c r="F2287" t="n">
        <v>-11.4</v>
      </c>
      <c r="G2287" t="n">
        <v>588.299</v>
      </c>
      <c r="H2287" t="n">
        <v>632.533</v>
      </c>
      <c r="I2287" t="n">
        <v>30</v>
      </c>
      <c r="J2287" t="inlineStr">
        <is>
          <t>BTBR</t>
        </is>
      </c>
      <c r="K2287" t="inlineStr">
        <is>
          <t xml:space="preserve"> Female</t>
        </is>
      </c>
      <c r="L2287" t="inlineStr">
        <is>
          <t>No focal subject</t>
        </is>
      </c>
      <c r="M2287" t="n">
        <v>63.16</v>
      </c>
      <c r="N2287" t="inlineStr">
        <is>
          <t>Explore_F</t>
        </is>
      </c>
      <c r="O2287" t="inlineStr">
        <is>
          <t>Familiar</t>
        </is>
      </c>
      <c r="P2287" t="inlineStr">
        <is>
          <t>STATE</t>
        </is>
      </c>
      <c r="Q2287" t="n">
        <v>291.266</v>
      </c>
      <c r="R2287" t="n">
        <v>292.033</v>
      </c>
      <c r="S2287" t="n">
        <v>0.767</v>
      </c>
      <c r="T2287" t="inlineStr">
        <is>
          <t>BTBR\test\c4f2.mp4</t>
        </is>
      </c>
      <c r="U2287" t="n">
        <v>8733</v>
      </c>
      <c r="V2287" t="n">
        <v>8757</v>
      </c>
      <c r="W2287" t="n">
        <v/>
      </c>
      <c r="X2287" t="n">
        <v/>
      </c>
      <c r="Y2287" t="n">
        <v/>
      </c>
      <c r="Z2287" t="n">
        <v/>
      </c>
      <c r="AA2287">
        <f>SUMIFS($S$2:S2287,$A$2:A2287,A2287,$N$2:N2287,"Explore*")</f>
        <v/>
      </c>
      <c r="AB2287">
        <f>IF(AND(LEFT(N2287,7)="Explore",(AA2287-IF(LEFT(N2287,7)="Explore",S2287,0))&lt;10),"SI","NO")</f>
        <v/>
      </c>
    </row>
    <row r="2288">
      <c r="A2288" t="inlineStr">
        <is>
          <t>c4f2_test</t>
        </is>
      </c>
      <c r="B2288" t="inlineStr">
        <is>
          <t>2026-01-28 13:43:34.425</t>
        </is>
      </c>
      <c r="C2288" t="n">
        <v/>
      </c>
      <c r="D2288" t="inlineStr">
        <is>
          <t>Media file</t>
        </is>
      </c>
      <c r="E2288" t="inlineStr">
        <is>
          <t>player #1:BTBR\test\c4f2.mp4</t>
        </is>
      </c>
      <c r="F2288" t="n">
        <v>-11.4</v>
      </c>
      <c r="G2288" t="n">
        <v>588.299</v>
      </c>
      <c r="H2288" t="n">
        <v>632.533</v>
      </c>
      <c r="I2288" t="n">
        <v>30</v>
      </c>
      <c r="J2288" t="inlineStr">
        <is>
          <t>BTBR</t>
        </is>
      </c>
      <c r="K2288" t="inlineStr">
        <is>
          <t xml:space="preserve"> Female</t>
        </is>
      </c>
      <c r="L2288" t="inlineStr">
        <is>
          <t>No focal subject</t>
        </is>
      </c>
      <c r="M2288" t="n">
        <v>63.16</v>
      </c>
      <c r="N2288" t="inlineStr">
        <is>
          <t>Explore_N</t>
        </is>
      </c>
      <c r="O2288" t="inlineStr">
        <is>
          <t>Novelty</t>
        </is>
      </c>
      <c r="P2288" t="inlineStr">
        <is>
          <t>STATE</t>
        </is>
      </c>
      <c r="Q2288" t="n">
        <v>293.666</v>
      </c>
      <c r="R2288" t="n">
        <v>294.766</v>
      </c>
      <c r="S2288" t="n">
        <v>1.1</v>
      </c>
      <c r="T2288" t="inlineStr">
        <is>
          <t>BTBR\test\c4f2.mp4</t>
        </is>
      </c>
      <c r="U2288" t="n">
        <v>8805</v>
      </c>
      <c r="V2288" t="n">
        <v>8838</v>
      </c>
      <c r="W2288" t="n">
        <v/>
      </c>
      <c r="X2288" t="n">
        <v/>
      </c>
      <c r="Y2288" t="n">
        <v/>
      </c>
      <c r="Z2288" t="n">
        <v/>
      </c>
      <c r="AA2288">
        <f>SUMIFS($S$2:S2288,$A$2:A2288,A2288,$N$2:N2288,"Explore*")</f>
        <v/>
      </c>
      <c r="AB2288">
        <f>IF(AND(LEFT(N2288,7)="Explore",(AA2288-IF(LEFT(N2288,7)="Explore",S2288,0))&lt;10),"SI","NO")</f>
        <v/>
      </c>
    </row>
    <row r="2289">
      <c r="A2289" t="inlineStr">
        <is>
          <t>c4f2_test</t>
        </is>
      </c>
      <c r="B2289" t="inlineStr">
        <is>
          <t>2026-01-28 13:43:34.425</t>
        </is>
      </c>
      <c r="C2289" t="n">
        <v/>
      </c>
      <c r="D2289" t="inlineStr">
        <is>
          <t>Media file</t>
        </is>
      </c>
      <c r="E2289" t="inlineStr">
        <is>
          <t>player #1:BTBR\test\c4f2.mp4</t>
        </is>
      </c>
      <c r="F2289" t="n">
        <v>-11.4</v>
      </c>
      <c r="G2289" t="n">
        <v>588.299</v>
      </c>
      <c r="H2289" t="n">
        <v>632.533</v>
      </c>
      <c r="I2289" t="n">
        <v>30</v>
      </c>
      <c r="J2289" t="inlineStr">
        <is>
          <t>BTBR</t>
        </is>
      </c>
      <c r="K2289" t="inlineStr">
        <is>
          <t xml:space="preserve"> Female</t>
        </is>
      </c>
      <c r="L2289" t="inlineStr">
        <is>
          <t>No focal subject</t>
        </is>
      </c>
      <c r="M2289" t="n">
        <v>63.16</v>
      </c>
      <c r="N2289" t="inlineStr">
        <is>
          <t>Explore_N</t>
        </is>
      </c>
      <c r="O2289" t="inlineStr">
        <is>
          <t>Novelty</t>
        </is>
      </c>
      <c r="P2289" t="inlineStr">
        <is>
          <t>STATE</t>
        </is>
      </c>
      <c r="Q2289" t="n">
        <v>307.066</v>
      </c>
      <c r="R2289" t="n">
        <v>307.533</v>
      </c>
      <c r="S2289" t="n">
        <v>0.467</v>
      </c>
      <c r="T2289" t="inlineStr">
        <is>
          <t>BTBR\test\c4f2.mp4</t>
        </is>
      </c>
      <c r="U2289" t="n">
        <v>9548</v>
      </c>
      <c r="V2289" t="n">
        <v>9562</v>
      </c>
      <c r="W2289" t="n">
        <v/>
      </c>
      <c r="X2289" t="n">
        <v/>
      </c>
      <c r="Y2289" t="n">
        <v/>
      </c>
      <c r="Z2289" t="n">
        <v/>
      </c>
      <c r="AA2289">
        <f>SUMIFS($S$2:S2289,$A$2:A2289,A2289,$N$2:N2289,"Explore*")</f>
        <v/>
      </c>
      <c r="AB2289">
        <f>IF(AND(LEFT(N2289,7)="Explore",(AA2289-IF(LEFT(N2289,7)="Explore",S2289,0))&lt;10),"SI","NO")</f>
        <v/>
      </c>
    </row>
    <row r="2290">
      <c r="A2290" t="inlineStr">
        <is>
          <t>c4f2_test</t>
        </is>
      </c>
      <c r="B2290" t="inlineStr">
        <is>
          <t>2026-01-28 13:43:34.425</t>
        </is>
      </c>
      <c r="C2290" t="n">
        <v/>
      </c>
      <c r="D2290" t="inlineStr">
        <is>
          <t>Media file</t>
        </is>
      </c>
      <c r="E2290" t="inlineStr">
        <is>
          <t>player #1:BTBR\test\c4f2.mp4</t>
        </is>
      </c>
      <c r="F2290" t="n">
        <v>-11.4</v>
      </c>
      <c r="G2290" t="n">
        <v>588.299</v>
      </c>
      <c r="H2290" t="n">
        <v>632.533</v>
      </c>
      <c r="I2290" t="n">
        <v>30</v>
      </c>
      <c r="J2290" t="inlineStr">
        <is>
          <t>BTBR</t>
        </is>
      </c>
      <c r="K2290" t="inlineStr">
        <is>
          <t xml:space="preserve"> Female</t>
        </is>
      </c>
      <c r="L2290" t="inlineStr">
        <is>
          <t>No focal subject</t>
        </is>
      </c>
      <c r="M2290" t="n">
        <v>63.16</v>
      </c>
      <c r="N2290" t="inlineStr">
        <is>
          <t>Explore_N</t>
        </is>
      </c>
      <c r="O2290" t="inlineStr">
        <is>
          <t>Novelty</t>
        </is>
      </c>
      <c r="P2290" t="inlineStr">
        <is>
          <t>STATE</t>
        </is>
      </c>
      <c r="Q2290" t="n">
        <v>308.533</v>
      </c>
      <c r="R2290" t="n">
        <v>309.5</v>
      </c>
      <c r="S2290" t="n">
        <v>0.967</v>
      </c>
      <c r="T2290" t="inlineStr">
        <is>
          <t>BTBR\test\c4f2.mp4</t>
        </is>
      </c>
      <c r="U2290" t="n">
        <v>9592</v>
      </c>
      <c r="V2290" t="n">
        <v>9621</v>
      </c>
      <c r="W2290" t="n">
        <v/>
      </c>
      <c r="X2290" t="n">
        <v/>
      </c>
      <c r="Y2290" t="n">
        <v/>
      </c>
      <c r="Z2290" t="n">
        <v/>
      </c>
      <c r="AA2290">
        <f>SUMIFS($S$2:S2290,$A$2:A2290,A2290,$N$2:N2290,"Explore*")</f>
        <v/>
      </c>
      <c r="AB2290">
        <f>IF(AND(LEFT(N2290,7)="Explore",(AA2290-IF(LEFT(N2290,7)="Explore",S2290,0))&lt;10),"SI","NO")</f>
        <v/>
      </c>
    </row>
    <row r="2291">
      <c r="A2291" t="inlineStr">
        <is>
          <t>c4f2_test</t>
        </is>
      </c>
      <c r="B2291" t="inlineStr">
        <is>
          <t>2026-01-28 13:43:34.425</t>
        </is>
      </c>
      <c r="C2291" t="n">
        <v/>
      </c>
      <c r="D2291" t="inlineStr">
        <is>
          <t>Media file</t>
        </is>
      </c>
      <c r="E2291" t="inlineStr">
        <is>
          <t>player #1:BTBR\test\c4f2.mp4</t>
        </is>
      </c>
      <c r="F2291" t="n">
        <v>-11.4</v>
      </c>
      <c r="G2291" t="n">
        <v>588.299</v>
      </c>
      <c r="H2291" t="n">
        <v>632.533</v>
      </c>
      <c r="I2291" t="n">
        <v>30</v>
      </c>
      <c r="J2291" t="inlineStr">
        <is>
          <t>BTBR</t>
        </is>
      </c>
      <c r="K2291" t="inlineStr">
        <is>
          <t xml:space="preserve"> Female</t>
        </is>
      </c>
      <c r="L2291" t="inlineStr">
        <is>
          <t>No focal subject</t>
        </is>
      </c>
      <c r="M2291" t="n">
        <v>63.16</v>
      </c>
      <c r="N2291" t="inlineStr">
        <is>
          <t>Explore_N</t>
        </is>
      </c>
      <c r="O2291" t="inlineStr">
        <is>
          <t>Novelty</t>
        </is>
      </c>
      <c r="P2291" t="inlineStr">
        <is>
          <t>STATE</t>
        </is>
      </c>
      <c r="Q2291" t="n">
        <v>315.066</v>
      </c>
      <c r="R2291" t="n">
        <v>315.566</v>
      </c>
      <c r="S2291" t="n">
        <v>0.5</v>
      </c>
      <c r="T2291" t="inlineStr">
        <is>
          <t>BTBR\test\c4f2.mp4</t>
        </is>
      </c>
      <c r="U2291" t="n">
        <v>9788</v>
      </c>
      <c r="V2291" t="n">
        <v>9803</v>
      </c>
      <c r="W2291" t="n">
        <v/>
      </c>
      <c r="X2291" t="n">
        <v/>
      </c>
      <c r="Y2291" t="n">
        <v/>
      </c>
      <c r="Z2291" t="n">
        <v/>
      </c>
      <c r="AA2291">
        <f>SUMIFS($S$2:S2291,$A$2:A2291,A2291,$N$2:N2291,"Explore*")</f>
        <v/>
      </c>
      <c r="AB2291">
        <f>IF(AND(LEFT(N2291,7)="Explore",(AA2291-IF(LEFT(N2291,7)="Explore",S2291,0))&lt;10),"SI","NO")</f>
        <v/>
      </c>
    </row>
    <row r="2292">
      <c r="A2292" t="inlineStr">
        <is>
          <t>c4f2_test</t>
        </is>
      </c>
      <c r="B2292" t="inlineStr">
        <is>
          <t>2026-01-28 13:43:34.425</t>
        </is>
      </c>
      <c r="C2292" t="n">
        <v/>
      </c>
      <c r="D2292" t="inlineStr">
        <is>
          <t>Media file</t>
        </is>
      </c>
      <c r="E2292" t="inlineStr">
        <is>
          <t>player #1:BTBR\test\c4f2.mp4</t>
        </is>
      </c>
      <c r="F2292" t="n">
        <v>-11.4</v>
      </c>
      <c r="G2292" t="n">
        <v>588.299</v>
      </c>
      <c r="H2292" t="n">
        <v>632.533</v>
      </c>
      <c r="I2292" t="n">
        <v>30</v>
      </c>
      <c r="J2292" t="inlineStr">
        <is>
          <t>BTBR</t>
        </is>
      </c>
      <c r="K2292" t="inlineStr">
        <is>
          <t xml:space="preserve"> Female</t>
        </is>
      </c>
      <c r="L2292" t="inlineStr">
        <is>
          <t>No focal subject</t>
        </is>
      </c>
      <c r="M2292" t="n">
        <v>63.16</v>
      </c>
      <c r="N2292" t="inlineStr">
        <is>
          <t>Explore_F</t>
        </is>
      </c>
      <c r="O2292" t="inlineStr">
        <is>
          <t>Familiar</t>
        </is>
      </c>
      <c r="P2292" t="inlineStr">
        <is>
          <t>STATE</t>
        </is>
      </c>
      <c r="Q2292" t="n">
        <v>335.5</v>
      </c>
      <c r="R2292" t="n">
        <v>335.966</v>
      </c>
      <c r="S2292" t="n">
        <v>0.466</v>
      </c>
      <c r="T2292" t="inlineStr">
        <is>
          <t>BTBR\test\c4f2.mp4</t>
        </is>
      </c>
      <c r="U2292" t="n">
        <v>10401</v>
      </c>
      <c r="V2292" t="n">
        <v>10415</v>
      </c>
      <c r="W2292" t="n">
        <v/>
      </c>
      <c r="X2292" t="n">
        <v/>
      </c>
      <c r="Y2292" t="n">
        <v/>
      </c>
      <c r="Z2292" t="n">
        <v/>
      </c>
      <c r="AA2292">
        <f>SUMIFS($S$2:S2292,$A$2:A2292,A2292,$N$2:N2292,"Explore*")</f>
        <v/>
      </c>
      <c r="AB2292">
        <f>IF(AND(LEFT(N2292,7)="Explore",(AA2292-IF(LEFT(N2292,7)="Explore",S2292,0))&lt;10),"SI","NO")</f>
        <v/>
      </c>
    </row>
    <row r="2293">
      <c r="A2293" t="inlineStr">
        <is>
          <t>c4f2_test</t>
        </is>
      </c>
      <c r="B2293" t="inlineStr">
        <is>
          <t>2026-01-28 13:43:34.425</t>
        </is>
      </c>
      <c r="C2293" t="n">
        <v/>
      </c>
      <c r="D2293" t="inlineStr">
        <is>
          <t>Media file</t>
        </is>
      </c>
      <c r="E2293" t="inlineStr">
        <is>
          <t>player #1:BTBR\test\c4f2.mp4</t>
        </is>
      </c>
      <c r="F2293" t="n">
        <v>-11.4</v>
      </c>
      <c r="G2293" t="n">
        <v>588.299</v>
      </c>
      <c r="H2293" t="n">
        <v>632.533</v>
      </c>
      <c r="I2293" t="n">
        <v>30</v>
      </c>
      <c r="J2293" t="inlineStr">
        <is>
          <t>BTBR</t>
        </is>
      </c>
      <c r="K2293" t="inlineStr">
        <is>
          <t xml:space="preserve"> Female</t>
        </is>
      </c>
      <c r="L2293" t="inlineStr">
        <is>
          <t>No focal subject</t>
        </is>
      </c>
      <c r="M2293" t="n">
        <v>63.16</v>
      </c>
      <c r="N2293" t="inlineStr">
        <is>
          <t>Explore_N</t>
        </is>
      </c>
      <c r="O2293" t="inlineStr">
        <is>
          <t>Novelty</t>
        </is>
      </c>
      <c r="P2293" t="inlineStr">
        <is>
          <t>STATE</t>
        </is>
      </c>
      <c r="Q2293" t="n">
        <v>352.1</v>
      </c>
      <c r="R2293" t="n">
        <v>352.466</v>
      </c>
      <c r="S2293" t="n">
        <v>0.366</v>
      </c>
      <c r="T2293" t="inlineStr">
        <is>
          <t>BTBR\test\c4f2.mp4</t>
        </is>
      </c>
      <c r="U2293" t="n">
        <v>10898</v>
      </c>
      <c r="V2293" t="n">
        <v>10909</v>
      </c>
      <c r="W2293" t="n">
        <v/>
      </c>
      <c r="X2293" t="n">
        <v/>
      </c>
      <c r="Y2293" t="n">
        <v/>
      </c>
      <c r="Z2293" t="n">
        <v/>
      </c>
      <c r="AA2293">
        <f>SUMIFS($S$2:S2293,$A$2:A2293,A2293,$N$2:N2293,"Explore*")</f>
        <v/>
      </c>
      <c r="AB2293">
        <f>IF(AND(LEFT(N2293,7)="Explore",(AA2293-IF(LEFT(N2293,7)="Explore",S2293,0))&lt;10),"SI","NO")</f>
        <v/>
      </c>
    </row>
    <row r="2294">
      <c r="A2294" t="inlineStr">
        <is>
          <t>c4f2_test</t>
        </is>
      </c>
      <c r="B2294" t="inlineStr">
        <is>
          <t>2026-01-28 13:43:34.425</t>
        </is>
      </c>
      <c r="C2294" t="n">
        <v/>
      </c>
      <c r="D2294" t="inlineStr">
        <is>
          <t>Media file</t>
        </is>
      </c>
      <c r="E2294" t="inlineStr">
        <is>
          <t>player #1:BTBR\test\c4f2.mp4</t>
        </is>
      </c>
      <c r="F2294" t="n">
        <v>-11.4</v>
      </c>
      <c r="G2294" t="n">
        <v>588.299</v>
      </c>
      <c r="H2294" t="n">
        <v>632.533</v>
      </c>
      <c r="I2294" t="n">
        <v>30</v>
      </c>
      <c r="J2294" t="inlineStr">
        <is>
          <t>BTBR</t>
        </is>
      </c>
      <c r="K2294" t="inlineStr">
        <is>
          <t xml:space="preserve"> Female</t>
        </is>
      </c>
      <c r="L2294" t="inlineStr">
        <is>
          <t>No focal subject</t>
        </is>
      </c>
      <c r="M2294" t="n">
        <v>63.16</v>
      </c>
      <c r="N2294" t="inlineStr">
        <is>
          <t>Explore_N</t>
        </is>
      </c>
      <c r="O2294" t="inlineStr">
        <is>
          <t>Novelty</t>
        </is>
      </c>
      <c r="P2294" t="inlineStr">
        <is>
          <t>STATE</t>
        </is>
      </c>
      <c r="Q2294" t="n">
        <v>357.1</v>
      </c>
      <c r="R2294" t="n">
        <v>357.5</v>
      </c>
      <c r="S2294" t="n">
        <v>0.4</v>
      </c>
      <c r="T2294" t="inlineStr">
        <is>
          <t>BTBR\test\c4f2.mp4</t>
        </is>
      </c>
      <c r="U2294" t="n">
        <v>11048</v>
      </c>
      <c r="V2294" t="n">
        <v>11060</v>
      </c>
      <c r="W2294" t="n">
        <v/>
      </c>
      <c r="X2294" t="n">
        <v/>
      </c>
      <c r="Y2294" t="n">
        <v/>
      </c>
      <c r="Z2294" t="n">
        <v/>
      </c>
      <c r="AA2294">
        <f>SUMIFS($S$2:S2294,$A$2:A2294,A2294,$N$2:N2294,"Explore*")</f>
        <v/>
      </c>
      <c r="AB2294">
        <f>IF(AND(LEFT(N2294,7)="Explore",(AA2294-IF(LEFT(N2294,7)="Explore",S2294,0))&lt;10),"SI","NO")</f>
        <v/>
      </c>
    </row>
    <row r="2295">
      <c r="A2295" t="inlineStr">
        <is>
          <t>c4f2_test</t>
        </is>
      </c>
      <c r="B2295" t="inlineStr">
        <is>
          <t>2026-01-28 13:43:34.425</t>
        </is>
      </c>
      <c r="C2295" t="n">
        <v/>
      </c>
      <c r="D2295" t="inlineStr">
        <is>
          <t>Media file</t>
        </is>
      </c>
      <c r="E2295" t="inlineStr">
        <is>
          <t>player #1:BTBR\test\c4f2.mp4</t>
        </is>
      </c>
      <c r="F2295" t="n">
        <v>-11.4</v>
      </c>
      <c r="G2295" t="n">
        <v>588.299</v>
      </c>
      <c r="H2295" t="n">
        <v>632.533</v>
      </c>
      <c r="I2295" t="n">
        <v>30</v>
      </c>
      <c r="J2295" t="inlineStr">
        <is>
          <t>BTBR</t>
        </is>
      </c>
      <c r="K2295" t="inlineStr">
        <is>
          <t xml:space="preserve"> Female</t>
        </is>
      </c>
      <c r="L2295" t="inlineStr">
        <is>
          <t>No focal subject</t>
        </is>
      </c>
      <c r="M2295" t="n">
        <v>63.16</v>
      </c>
      <c r="N2295" t="inlineStr">
        <is>
          <t>Explore_F</t>
        </is>
      </c>
      <c r="O2295" t="inlineStr">
        <is>
          <t>Familiar</t>
        </is>
      </c>
      <c r="P2295" t="inlineStr">
        <is>
          <t>STATE</t>
        </is>
      </c>
      <c r="Q2295" t="n">
        <v>382.3</v>
      </c>
      <c r="R2295" t="n">
        <v>382.666</v>
      </c>
      <c r="S2295" t="n">
        <v>0.366</v>
      </c>
      <c r="T2295" t="inlineStr">
        <is>
          <t>BTBR\test\c4f2.mp4</t>
        </is>
      </c>
      <c r="U2295" t="n">
        <v>11804</v>
      </c>
      <c r="V2295" t="n">
        <v>11815</v>
      </c>
      <c r="W2295" t="n">
        <v/>
      </c>
      <c r="X2295" t="n">
        <v/>
      </c>
      <c r="Y2295" t="n">
        <v/>
      </c>
      <c r="Z2295" t="n">
        <v/>
      </c>
      <c r="AA2295">
        <f>SUMIFS($S$2:S2295,$A$2:A2295,A2295,$N$2:N2295,"Explore*")</f>
        <v/>
      </c>
      <c r="AB2295">
        <f>IF(AND(LEFT(N2295,7)="Explore",(AA2295-IF(LEFT(N2295,7)="Explore",S2295,0))&lt;10),"SI","NO")</f>
        <v/>
      </c>
    </row>
    <row r="2296">
      <c r="A2296" t="inlineStr">
        <is>
          <t>c4f2_test</t>
        </is>
      </c>
      <c r="B2296" t="inlineStr">
        <is>
          <t>2026-01-28 13:43:34.425</t>
        </is>
      </c>
      <c r="C2296" t="n">
        <v/>
      </c>
      <c r="D2296" t="inlineStr">
        <is>
          <t>Media file</t>
        </is>
      </c>
      <c r="E2296" t="inlineStr">
        <is>
          <t>player #1:BTBR\test\c4f2.mp4</t>
        </is>
      </c>
      <c r="F2296" t="n">
        <v>-11.4</v>
      </c>
      <c r="G2296" t="n">
        <v>588.299</v>
      </c>
      <c r="H2296" t="n">
        <v>632.533</v>
      </c>
      <c r="I2296" t="n">
        <v>30</v>
      </c>
      <c r="J2296" t="inlineStr">
        <is>
          <t>BTBR</t>
        </is>
      </c>
      <c r="K2296" t="inlineStr">
        <is>
          <t xml:space="preserve"> Female</t>
        </is>
      </c>
      <c r="L2296" t="inlineStr">
        <is>
          <t>No focal subject</t>
        </is>
      </c>
      <c r="M2296" t="n">
        <v>63.16</v>
      </c>
      <c r="N2296" t="inlineStr">
        <is>
          <t>Explore_N</t>
        </is>
      </c>
      <c r="O2296" t="inlineStr">
        <is>
          <t>Novelty</t>
        </is>
      </c>
      <c r="P2296" t="inlineStr">
        <is>
          <t>STATE</t>
        </is>
      </c>
      <c r="Q2296" t="n">
        <v>383.4</v>
      </c>
      <c r="R2296" t="n">
        <v>383.966</v>
      </c>
      <c r="S2296" t="n">
        <v>0.5659999999999999</v>
      </c>
      <c r="T2296" t="inlineStr">
        <is>
          <t>BTBR\test\c4f2.mp4</t>
        </is>
      </c>
      <c r="U2296" t="n">
        <v>11837</v>
      </c>
      <c r="V2296" t="n">
        <v>11854</v>
      </c>
      <c r="W2296" t="n">
        <v/>
      </c>
      <c r="X2296" t="n">
        <v/>
      </c>
      <c r="Y2296" t="n">
        <v/>
      </c>
      <c r="Z2296" t="n">
        <v/>
      </c>
      <c r="AA2296">
        <f>SUMIFS($S$2:S2296,$A$2:A2296,A2296,$N$2:N2296,"Explore*")</f>
        <v/>
      </c>
      <c r="AB2296">
        <f>IF(AND(LEFT(N2296,7)="Explore",(AA2296-IF(LEFT(N2296,7)="Explore",S2296,0))&lt;10),"SI","NO")</f>
        <v/>
      </c>
    </row>
    <row r="2297">
      <c r="A2297" t="inlineStr">
        <is>
          <t>c4f2_test</t>
        </is>
      </c>
      <c r="B2297" t="inlineStr">
        <is>
          <t>2026-01-28 13:43:34.425</t>
        </is>
      </c>
      <c r="C2297" t="n">
        <v/>
      </c>
      <c r="D2297" t="inlineStr">
        <is>
          <t>Media file</t>
        </is>
      </c>
      <c r="E2297" t="inlineStr">
        <is>
          <t>player #1:BTBR\test\c4f2.mp4</t>
        </is>
      </c>
      <c r="F2297" t="n">
        <v>-11.4</v>
      </c>
      <c r="G2297" t="n">
        <v>588.299</v>
      </c>
      <c r="H2297" t="n">
        <v>632.533</v>
      </c>
      <c r="I2297" t="n">
        <v>30</v>
      </c>
      <c r="J2297" t="inlineStr">
        <is>
          <t>BTBR</t>
        </is>
      </c>
      <c r="K2297" t="inlineStr">
        <is>
          <t xml:space="preserve"> Female</t>
        </is>
      </c>
      <c r="L2297" t="inlineStr">
        <is>
          <t>No focal subject</t>
        </is>
      </c>
      <c r="M2297" t="n">
        <v>63.16</v>
      </c>
      <c r="N2297" t="inlineStr">
        <is>
          <t>Explore_N</t>
        </is>
      </c>
      <c r="O2297" t="inlineStr">
        <is>
          <t>Novelty</t>
        </is>
      </c>
      <c r="P2297" t="inlineStr">
        <is>
          <t>STATE</t>
        </is>
      </c>
      <c r="Q2297" t="n">
        <v>389.833</v>
      </c>
      <c r="R2297" t="n">
        <v>390.566</v>
      </c>
      <c r="S2297" t="n">
        <v>0.733</v>
      </c>
      <c r="T2297" t="inlineStr">
        <is>
          <t>BTBR\test\c4f2.mp4</t>
        </is>
      </c>
      <c r="U2297" t="n">
        <v>12030</v>
      </c>
      <c r="V2297" t="n">
        <v>12052</v>
      </c>
      <c r="W2297" t="n">
        <v/>
      </c>
      <c r="X2297" t="n">
        <v/>
      </c>
      <c r="Y2297" t="n">
        <v/>
      </c>
      <c r="Z2297" t="n">
        <v/>
      </c>
      <c r="AA2297">
        <f>SUMIFS($S$2:S2297,$A$2:A2297,A2297,$N$2:N2297,"Explore*")</f>
        <v/>
      </c>
      <c r="AB2297">
        <f>IF(AND(LEFT(N2297,7)="Explore",(AA2297-IF(LEFT(N2297,7)="Explore",S2297,0))&lt;10),"SI","NO")</f>
        <v/>
      </c>
    </row>
    <row r="2298">
      <c r="A2298" t="inlineStr">
        <is>
          <t>c4f2_test</t>
        </is>
      </c>
      <c r="B2298" t="inlineStr">
        <is>
          <t>2026-01-28 13:43:34.425</t>
        </is>
      </c>
      <c r="C2298" t="n">
        <v/>
      </c>
      <c r="D2298" t="inlineStr">
        <is>
          <t>Media file</t>
        </is>
      </c>
      <c r="E2298" t="inlineStr">
        <is>
          <t>player #1:BTBR\test\c4f2.mp4</t>
        </is>
      </c>
      <c r="F2298" t="n">
        <v>-11.4</v>
      </c>
      <c r="G2298" t="n">
        <v>588.299</v>
      </c>
      <c r="H2298" t="n">
        <v>632.533</v>
      </c>
      <c r="I2298" t="n">
        <v>30</v>
      </c>
      <c r="J2298" t="inlineStr">
        <is>
          <t>BTBR</t>
        </is>
      </c>
      <c r="K2298" t="inlineStr">
        <is>
          <t xml:space="preserve"> Female</t>
        </is>
      </c>
      <c r="L2298" t="inlineStr">
        <is>
          <t>No focal subject</t>
        </is>
      </c>
      <c r="M2298" t="n">
        <v>63.16</v>
      </c>
      <c r="N2298" t="inlineStr">
        <is>
          <t>Explore_N</t>
        </is>
      </c>
      <c r="O2298" t="inlineStr">
        <is>
          <t>Novelty</t>
        </is>
      </c>
      <c r="P2298" t="inlineStr">
        <is>
          <t>STATE</t>
        </is>
      </c>
      <c r="Q2298" t="n">
        <v>409.466</v>
      </c>
      <c r="R2298" t="n">
        <v>409.833</v>
      </c>
      <c r="S2298" t="n">
        <v>0.367</v>
      </c>
      <c r="T2298" t="inlineStr">
        <is>
          <t>BTBR\test\c4f2.mp4</t>
        </is>
      </c>
      <c r="U2298" t="n">
        <v>12618</v>
      </c>
      <c r="V2298" t="n">
        <v>12629</v>
      </c>
      <c r="W2298" t="n">
        <v/>
      </c>
      <c r="X2298" t="n">
        <v/>
      </c>
      <c r="Y2298" t="n">
        <v/>
      </c>
      <c r="Z2298" t="n">
        <v/>
      </c>
      <c r="AA2298">
        <f>SUMIFS($S$2:S2298,$A$2:A2298,A2298,$N$2:N2298,"Explore*")</f>
        <v/>
      </c>
      <c r="AB2298">
        <f>IF(AND(LEFT(N2298,7)="Explore",(AA2298-IF(LEFT(N2298,7)="Explore",S2298,0))&lt;10),"SI","NO")</f>
        <v/>
      </c>
    </row>
    <row r="2299">
      <c r="A2299" t="inlineStr">
        <is>
          <t>c4f2_test</t>
        </is>
      </c>
      <c r="B2299" t="inlineStr">
        <is>
          <t>2026-01-28 13:43:34.425</t>
        </is>
      </c>
      <c r="C2299" t="n">
        <v/>
      </c>
      <c r="D2299" t="inlineStr">
        <is>
          <t>Media file</t>
        </is>
      </c>
      <c r="E2299" t="inlineStr">
        <is>
          <t>player #1:BTBR\test\c4f2.mp4</t>
        </is>
      </c>
      <c r="F2299" t="n">
        <v>-11.4</v>
      </c>
      <c r="G2299" t="n">
        <v>588.299</v>
      </c>
      <c r="H2299" t="n">
        <v>632.533</v>
      </c>
      <c r="I2299" t="n">
        <v>30</v>
      </c>
      <c r="J2299" t="inlineStr">
        <is>
          <t>BTBR</t>
        </is>
      </c>
      <c r="K2299" t="inlineStr">
        <is>
          <t xml:space="preserve"> Female</t>
        </is>
      </c>
      <c r="L2299" t="inlineStr">
        <is>
          <t>No focal subject</t>
        </is>
      </c>
      <c r="M2299" t="n">
        <v>63.16</v>
      </c>
      <c r="N2299" t="inlineStr">
        <is>
          <t>Explore_F</t>
        </is>
      </c>
      <c r="O2299" t="inlineStr">
        <is>
          <t>Familiar</t>
        </is>
      </c>
      <c r="P2299" t="inlineStr">
        <is>
          <t>STATE</t>
        </is>
      </c>
      <c r="Q2299" t="n">
        <v>418.266</v>
      </c>
      <c r="R2299" t="n">
        <v>418.733</v>
      </c>
      <c r="S2299" t="n">
        <v>0.467</v>
      </c>
      <c r="T2299" t="inlineStr">
        <is>
          <t>BTBR\test\c4f2.mp4</t>
        </is>
      </c>
      <c r="U2299" t="n">
        <v>12882</v>
      </c>
      <c r="V2299" t="n">
        <v>12896</v>
      </c>
      <c r="W2299" t="n">
        <v/>
      </c>
      <c r="X2299" t="n">
        <v/>
      </c>
      <c r="Y2299" t="n">
        <v/>
      </c>
      <c r="Z2299" t="n">
        <v/>
      </c>
      <c r="AA2299">
        <f>SUMIFS($S$2:S2299,$A$2:A2299,A2299,$N$2:N2299,"Explore*")</f>
        <v/>
      </c>
      <c r="AB2299">
        <f>IF(AND(LEFT(N2299,7)="Explore",(AA2299-IF(LEFT(N2299,7)="Explore",S2299,0))&lt;10),"SI","NO")</f>
        <v/>
      </c>
    </row>
    <row r="2300">
      <c r="A2300" t="inlineStr">
        <is>
          <t>c4f2_test</t>
        </is>
      </c>
      <c r="B2300" t="inlineStr">
        <is>
          <t>2026-01-28 13:43:34.425</t>
        </is>
      </c>
      <c r="C2300" t="n">
        <v/>
      </c>
      <c r="D2300" t="inlineStr">
        <is>
          <t>Media file</t>
        </is>
      </c>
      <c r="E2300" t="inlineStr">
        <is>
          <t>player #1:BTBR\test\c4f2.mp4</t>
        </is>
      </c>
      <c r="F2300" t="n">
        <v>-11.4</v>
      </c>
      <c r="G2300" t="n">
        <v>588.299</v>
      </c>
      <c r="H2300" t="n">
        <v>632.533</v>
      </c>
      <c r="I2300" t="n">
        <v>30</v>
      </c>
      <c r="J2300" t="inlineStr">
        <is>
          <t>BTBR</t>
        </is>
      </c>
      <c r="K2300" t="inlineStr">
        <is>
          <t xml:space="preserve"> Female</t>
        </is>
      </c>
      <c r="L2300" t="inlineStr">
        <is>
          <t>No focal subject</t>
        </is>
      </c>
      <c r="M2300" t="n">
        <v>63.16</v>
      </c>
      <c r="N2300" t="inlineStr">
        <is>
          <t>Explore_N</t>
        </is>
      </c>
      <c r="O2300" t="inlineStr">
        <is>
          <t>Novelty</t>
        </is>
      </c>
      <c r="P2300" t="inlineStr">
        <is>
          <t>STATE</t>
        </is>
      </c>
      <c r="Q2300" t="n">
        <v>433.466</v>
      </c>
      <c r="R2300" t="n">
        <v>434.3</v>
      </c>
      <c r="S2300" t="n">
        <v>0.834</v>
      </c>
      <c r="T2300" t="inlineStr">
        <is>
          <t>BTBR\test\c4f2.mp4</t>
        </is>
      </c>
      <c r="U2300" t="n">
        <v>13338</v>
      </c>
      <c r="V2300" t="n">
        <v>13363</v>
      </c>
      <c r="W2300" t="n">
        <v/>
      </c>
      <c r="X2300" t="n">
        <v/>
      </c>
      <c r="Y2300" t="n">
        <v/>
      </c>
      <c r="Z2300" t="n">
        <v/>
      </c>
      <c r="AA2300">
        <f>SUMIFS($S$2:S2300,$A$2:A2300,A2300,$N$2:N2300,"Explore*")</f>
        <v/>
      </c>
      <c r="AB2300">
        <f>IF(AND(LEFT(N2300,7)="Explore",(AA2300-IF(LEFT(N2300,7)="Explore",S2300,0))&lt;10),"SI","NO")</f>
        <v/>
      </c>
    </row>
    <row r="2301">
      <c r="A2301" t="inlineStr">
        <is>
          <t>c4f2_test</t>
        </is>
      </c>
      <c r="B2301" t="inlineStr">
        <is>
          <t>2026-01-28 13:43:34.425</t>
        </is>
      </c>
      <c r="C2301" t="n">
        <v/>
      </c>
      <c r="D2301" t="inlineStr">
        <is>
          <t>Media file</t>
        </is>
      </c>
      <c r="E2301" t="inlineStr">
        <is>
          <t>player #1:BTBR\test\c4f2.mp4</t>
        </is>
      </c>
      <c r="F2301" t="n">
        <v>-11.4</v>
      </c>
      <c r="G2301" t="n">
        <v>588.299</v>
      </c>
      <c r="H2301" t="n">
        <v>632.533</v>
      </c>
      <c r="I2301" t="n">
        <v>30</v>
      </c>
      <c r="J2301" t="inlineStr">
        <is>
          <t>BTBR</t>
        </is>
      </c>
      <c r="K2301" t="inlineStr">
        <is>
          <t xml:space="preserve"> Female</t>
        </is>
      </c>
      <c r="L2301" t="inlineStr">
        <is>
          <t>No focal subject</t>
        </is>
      </c>
      <c r="M2301" t="n">
        <v>63.16</v>
      </c>
      <c r="N2301" t="inlineStr">
        <is>
          <t>Explore_N</t>
        </is>
      </c>
      <c r="O2301" t="inlineStr">
        <is>
          <t>Novelty</t>
        </is>
      </c>
      <c r="P2301" t="inlineStr">
        <is>
          <t>STATE</t>
        </is>
      </c>
      <c r="Q2301" t="n">
        <v>462.8</v>
      </c>
      <c r="R2301" t="n">
        <v>463.333</v>
      </c>
      <c r="S2301" t="n">
        <v>0.533</v>
      </c>
      <c r="T2301" t="inlineStr">
        <is>
          <t>BTBR\test\c4f2.mp4</t>
        </is>
      </c>
      <c r="U2301" t="n">
        <v>14217</v>
      </c>
      <c r="V2301" t="n">
        <v>14233</v>
      </c>
      <c r="W2301" t="n">
        <v/>
      </c>
      <c r="X2301" t="n">
        <v/>
      </c>
      <c r="Y2301" t="n">
        <v/>
      </c>
      <c r="Z2301" t="n">
        <v/>
      </c>
      <c r="AA2301">
        <f>SUMIFS($S$2:S2301,$A$2:A2301,A2301,$N$2:N2301,"Explore*")</f>
        <v/>
      </c>
      <c r="AB2301">
        <f>IF(AND(LEFT(N2301,7)="Explore",(AA2301-IF(LEFT(N2301,7)="Explore",S2301,0))&lt;10),"SI","NO")</f>
        <v/>
      </c>
    </row>
    <row r="2302">
      <c r="A2302" t="inlineStr">
        <is>
          <t>c4f2_test</t>
        </is>
      </c>
      <c r="B2302" t="inlineStr">
        <is>
          <t>2026-01-28 13:43:34.425</t>
        </is>
      </c>
      <c r="C2302" t="n">
        <v/>
      </c>
      <c r="D2302" t="inlineStr">
        <is>
          <t>Media file</t>
        </is>
      </c>
      <c r="E2302" t="inlineStr">
        <is>
          <t>player #1:BTBR\test\c4f2.mp4</t>
        </is>
      </c>
      <c r="F2302" t="n">
        <v>-11.4</v>
      </c>
      <c r="G2302" t="n">
        <v>588.299</v>
      </c>
      <c r="H2302" t="n">
        <v>632.533</v>
      </c>
      <c r="I2302" t="n">
        <v>30</v>
      </c>
      <c r="J2302" t="inlineStr">
        <is>
          <t>BTBR</t>
        </is>
      </c>
      <c r="K2302" t="inlineStr">
        <is>
          <t xml:space="preserve"> Female</t>
        </is>
      </c>
      <c r="L2302" t="inlineStr">
        <is>
          <t>No focal subject</t>
        </is>
      </c>
      <c r="M2302" t="n">
        <v>63.16</v>
      </c>
      <c r="N2302" t="inlineStr">
        <is>
          <t>Explore_F</t>
        </is>
      </c>
      <c r="O2302" t="inlineStr">
        <is>
          <t>Familiar</t>
        </is>
      </c>
      <c r="P2302" t="inlineStr">
        <is>
          <t>STATE</t>
        </is>
      </c>
      <c r="Q2302" t="n">
        <v>511.533</v>
      </c>
      <c r="R2302" t="n">
        <v>512.199</v>
      </c>
      <c r="S2302" t="n">
        <v>0.666</v>
      </c>
      <c r="T2302" t="inlineStr">
        <is>
          <t>BTBR\test\c4f2.mp4</t>
        </is>
      </c>
      <c r="U2302" t="n">
        <v>15678</v>
      </c>
      <c r="V2302" t="n">
        <v>15698</v>
      </c>
      <c r="W2302" t="n">
        <v/>
      </c>
      <c r="X2302" t="n">
        <v/>
      </c>
      <c r="Y2302" t="n">
        <v/>
      </c>
      <c r="Z2302" t="n">
        <v/>
      </c>
      <c r="AA2302">
        <f>SUMIFS($S$2:S2302,$A$2:A2302,A2302,$N$2:N2302,"Explore*")</f>
        <v/>
      </c>
      <c r="AB2302">
        <f>IF(AND(LEFT(N2302,7)="Explore",(AA2302-IF(LEFT(N2302,7)="Explore",S2302,0))&lt;10),"SI","NO")</f>
        <v/>
      </c>
    </row>
    <row r="2303">
      <c r="A2303" t="inlineStr">
        <is>
          <t>c4f2_test</t>
        </is>
      </c>
      <c r="B2303" t="inlineStr">
        <is>
          <t>2026-01-28 13:43:34.425</t>
        </is>
      </c>
      <c r="C2303" t="n">
        <v/>
      </c>
      <c r="D2303" t="inlineStr">
        <is>
          <t>Media file</t>
        </is>
      </c>
      <c r="E2303" t="inlineStr">
        <is>
          <t>player #1:BTBR\test\c4f2.mp4</t>
        </is>
      </c>
      <c r="F2303" t="n">
        <v>-11.4</v>
      </c>
      <c r="G2303" t="n">
        <v>588.299</v>
      </c>
      <c r="H2303" t="n">
        <v>632.533</v>
      </c>
      <c r="I2303" t="n">
        <v>30</v>
      </c>
      <c r="J2303" t="inlineStr">
        <is>
          <t>BTBR</t>
        </is>
      </c>
      <c r="K2303" t="inlineStr">
        <is>
          <t xml:space="preserve"> Female</t>
        </is>
      </c>
      <c r="L2303" t="inlineStr">
        <is>
          <t>No focal subject</t>
        </is>
      </c>
      <c r="M2303" t="n">
        <v>63.16</v>
      </c>
      <c r="N2303" t="inlineStr">
        <is>
          <t>Explore_N</t>
        </is>
      </c>
      <c r="O2303" t="inlineStr">
        <is>
          <t>Novelty</t>
        </is>
      </c>
      <c r="P2303" t="inlineStr">
        <is>
          <t>STATE</t>
        </is>
      </c>
      <c r="Q2303" t="n">
        <v>513.433</v>
      </c>
      <c r="R2303" t="n">
        <v>514.266</v>
      </c>
      <c r="S2303" t="n">
        <v>0.833</v>
      </c>
      <c r="T2303" t="inlineStr">
        <is>
          <t>BTBR\test\c4f2.mp4</t>
        </is>
      </c>
      <c r="U2303" t="n">
        <v>15735</v>
      </c>
      <c r="V2303" t="n">
        <v>15760</v>
      </c>
      <c r="W2303" t="n">
        <v/>
      </c>
      <c r="X2303" t="n">
        <v/>
      </c>
      <c r="Y2303" t="n">
        <v/>
      </c>
      <c r="Z2303" t="n">
        <v/>
      </c>
      <c r="AA2303">
        <f>SUMIFS($S$2:S2303,$A$2:A2303,A2303,$N$2:N2303,"Explore*")</f>
        <v/>
      </c>
      <c r="AB2303">
        <f>IF(AND(LEFT(N2303,7)="Explore",(AA2303-IF(LEFT(N2303,7)="Explore",S2303,0))&lt;10),"SI","NO")</f>
        <v/>
      </c>
    </row>
    <row r="2304">
      <c r="A2304" t="inlineStr">
        <is>
          <t>c4f2_test</t>
        </is>
      </c>
      <c r="B2304" t="inlineStr">
        <is>
          <t>2026-01-28 13:43:34.425</t>
        </is>
      </c>
      <c r="C2304" t="n">
        <v/>
      </c>
      <c r="D2304" t="inlineStr">
        <is>
          <t>Media file</t>
        </is>
      </c>
      <c r="E2304" t="inlineStr">
        <is>
          <t>player #1:BTBR\test\c4f2.mp4</t>
        </is>
      </c>
      <c r="F2304" t="n">
        <v>-11.4</v>
      </c>
      <c r="G2304" t="n">
        <v>588.299</v>
      </c>
      <c r="H2304" t="n">
        <v>632.533</v>
      </c>
      <c r="I2304" t="n">
        <v>30</v>
      </c>
      <c r="J2304" t="inlineStr">
        <is>
          <t>BTBR</t>
        </is>
      </c>
      <c r="K2304" t="inlineStr">
        <is>
          <t xml:space="preserve"> Female</t>
        </is>
      </c>
      <c r="L2304" t="inlineStr">
        <is>
          <t>No focal subject</t>
        </is>
      </c>
      <c r="M2304" t="n">
        <v>63.16</v>
      </c>
      <c r="N2304" t="inlineStr">
        <is>
          <t>Explore_N</t>
        </is>
      </c>
      <c r="O2304" t="inlineStr">
        <is>
          <t>Novelty</t>
        </is>
      </c>
      <c r="P2304" t="inlineStr">
        <is>
          <t>STATE</t>
        </is>
      </c>
      <c r="Q2304" t="n">
        <v>515.366</v>
      </c>
      <c r="R2304" t="n">
        <v>516.266</v>
      </c>
      <c r="S2304" t="n">
        <v>0.9</v>
      </c>
      <c r="T2304" t="inlineStr">
        <is>
          <t>BTBR\test\c4f2.mp4</t>
        </is>
      </c>
      <c r="U2304" t="n">
        <v>15793</v>
      </c>
      <c r="V2304" t="n">
        <v>15820</v>
      </c>
      <c r="W2304" t="n">
        <v/>
      </c>
      <c r="X2304" t="n">
        <v/>
      </c>
      <c r="Y2304" t="n">
        <v/>
      </c>
      <c r="Z2304" t="n">
        <v/>
      </c>
      <c r="AA2304">
        <f>SUMIFS($S$2:S2304,$A$2:A2304,A2304,$N$2:N2304,"Explore*")</f>
        <v/>
      </c>
      <c r="AB2304">
        <f>IF(AND(LEFT(N2304,7)="Explore",(AA2304-IF(LEFT(N2304,7)="Explore",S2304,0))&lt;10),"SI","NO")</f>
        <v/>
      </c>
    </row>
    <row r="2305">
      <c r="A2305" t="inlineStr">
        <is>
          <t>c4f2_test</t>
        </is>
      </c>
      <c r="B2305" t="inlineStr">
        <is>
          <t>2026-01-28 13:43:34.425</t>
        </is>
      </c>
      <c r="C2305" t="n">
        <v/>
      </c>
      <c r="D2305" t="inlineStr">
        <is>
          <t>Media file</t>
        </is>
      </c>
      <c r="E2305" t="inlineStr">
        <is>
          <t>player #1:BTBR\test\c4f2.mp4</t>
        </is>
      </c>
      <c r="F2305" t="n">
        <v>-11.4</v>
      </c>
      <c r="G2305" t="n">
        <v>588.299</v>
      </c>
      <c r="H2305" t="n">
        <v>632.533</v>
      </c>
      <c r="I2305" t="n">
        <v>30</v>
      </c>
      <c r="J2305" t="inlineStr">
        <is>
          <t>BTBR</t>
        </is>
      </c>
      <c r="K2305" t="inlineStr">
        <is>
          <t xml:space="preserve"> Female</t>
        </is>
      </c>
      <c r="L2305" t="inlineStr">
        <is>
          <t>No focal subject</t>
        </is>
      </c>
      <c r="M2305" t="n">
        <v>63.16</v>
      </c>
      <c r="N2305" t="inlineStr">
        <is>
          <t>Explore_N</t>
        </is>
      </c>
      <c r="O2305" t="inlineStr">
        <is>
          <t>Novelty</t>
        </is>
      </c>
      <c r="P2305" t="inlineStr">
        <is>
          <t>STATE</t>
        </is>
      </c>
      <c r="Q2305" t="n">
        <v>536.899</v>
      </c>
      <c r="R2305" t="n">
        <v>537.633</v>
      </c>
      <c r="S2305" t="n">
        <v>0.734</v>
      </c>
      <c r="T2305" t="inlineStr">
        <is>
          <t>BTBR\test\c4f2.mp4</t>
        </is>
      </c>
      <c r="U2305" t="n">
        <v>16439</v>
      </c>
      <c r="V2305" t="n">
        <v>16461</v>
      </c>
      <c r="W2305" t="n">
        <v/>
      </c>
      <c r="X2305" t="n">
        <v/>
      </c>
      <c r="Y2305" t="n">
        <v/>
      </c>
      <c r="Z2305" t="n">
        <v/>
      </c>
      <c r="AA2305">
        <f>SUMIFS($S$2:S2305,$A$2:A2305,A2305,$N$2:N2305,"Explore*")</f>
        <v/>
      </c>
      <c r="AB2305">
        <f>IF(AND(LEFT(N2305,7)="Explore",(AA2305-IF(LEFT(N2305,7)="Explore",S2305,0))&lt;10),"SI","NO")</f>
        <v/>
      </c>
    </row>
    <row r="2306">
      <c r="A2306" t="inlineStr">
        <is>
          <t>c4f2_test</t>
        </is>
      </c>
      <c r="B2306" t="inlineStr">
        <is>
          <t>2026-01-28 13:43:34.425</t>
        </is>
      </c>
      <c r="C2306" t="n">
        <v/>
      </c>
      <c r="D2306" t="inlineStr">
        <is>
          <t>Media file</t>
        </is>
      </c>
      <c r="E2306" t="inlineStr">
        <is>
          <t>player #1:BTBR\test\c4f2.mp4</t>
        </is>
      </c>
      <c r="F2306" t="n">
        <v>-11.4</v>
      </c>
      <c r="G2306" t="n">
        <v>588.299</v>
      </c>
      <c r="H2306" t="n">
        <v>632.533</v>
      </c>
      <c r="I2306" t="n">
        <v>30</v>
      </c>
      <c r="J2306" t="inlineStr">
        <is>
          <t>BTBR</t>
        </is>
      </c>
      <c r="K2306" t="inlineStr">
        <is>
          <t xml:space="preserve"> Female</t>
        </is>
      </c>
      <c r="L2306" t="inlineStr">
        <is>
          <t>No focal subject</t>
        </is>
      </c>
      <c r="M2306" t="n">
        <v>63.16</v>
      </c>
      <c r="N2306" t="inlineStr">
        <is>
          <t>Explore_F</t>
        </is>
      </c>
      <c r="O2306" t="inlineStr">
        <is>
          <t>Familiar</t>
        </is>
      </c>
      <c r="P2306" t="inlineStr">
        <is>
          <t>STATE</t>
        </is>
      </c>
      <c r="Q2306" t="n">
        <v>539.033</v>
      </c>
      <c r="R2306" t="n">
        <v>539.766</v>
      </c>
      <c r="S2306" t="n">
        <v>0.733</v>
      </c>
      <c r="T2306" t="inlineStr">
        <is>
          <t>BTBR\test\c4f2.mp4</t>
        </is>
      </c>
      <c r="U2306" t="n">
        <v>16503</v>
      </c>
      <c r="V2306" t="n">
        <v>16525</v>
      </c>
      <c r="W2306" t="n">
        <v/>
      </c>
      <c r="X2306" t="n">
        <v/>
      </c>
      <c r="Y2306" t="n">
        <v/>
      </c>
      <c r="Z2306" t="n">
        <v/>
      </c>
      <c r="AA2306">
        <f>SUMIFS($S$2:S2306,$A$2:A2306,A2306,$N$2:N2306,"Explore*")</f>
        <v/>
      </c>
      <c r="AB2306">
        <f>IF(AND(LEFT(N2306,7)="Explore",(AA2306-IF(LEFT(N2306,7)="Explore",S2306,0))&lt;10),"SI","NO")</f>
        <v/>
      </c>
    </row>
    <row r="2307">
      <c r="A2307" t="inlineStr">
        <is>
          <t>c4f2_test</t>
        </is>
      </c>
      <c r="B2307" t="inlineStr">
        <is>
          <t>2026-01-28 13:43:34.425</t>
        </is>
      </c>
      <c r="C2307" t="n">
        <v/>
      </c>
      <c r="D2307" t="inlineStr">
        <is>
          <t>Media file</t>
        </is>
      </c>
      <c r="E2307" t="inlineStr">
        <is>
          <t>player #1:BTBR\test\c4f2.mp4</t>
        </is>
      </c>
      <c r="F2307" t="n">
        <v>-11.4</v>
      </c>
      <c r="G2307" t="n">
        <v>588.299</v>
      </c>
      <c r="H2307" t="n">
        <v>632.533</v>
      </c>
      <c r="I2307" t="n">
        <v>30</v>
      </c>
      <c r="J2307" t="inlineStr">
        <is>
          <t>BTBR</t>
        </is>
      </c>
      <c r="K2307" t="inlineStr">
        <is>
          <t xml:space="preserve"> Female</t>
        </is>
      </c>
      <c r="L2307" t="inlineStr">
        <is>
          <t>No focal subject</t>
        </is>
      </c>
      <c r="M2307" t="n">
        <v>63.16</v>
      </c>
      <c r="N2307" t="inlineStr">
        <is>
          <t>Explore_N</t>
        </is>
      </c>
      <c r="O2307" t="inlineStr">
        <is>
          <t>Novelty</t>
        </is>
      </c>
      <c r="P2307" t="inlineStr">
        <is>
          <t>STATE</t>
        </is>
      </c>
      <c r="Q2307" t="n">
        <v>571.6660000000001</v>
      </c>
      <c r="R2307" t="n">
        <v>572.133</v>
      </c>
      <c r="S2307" t="n">
        <v>0.467</v>
      </c>
      <c r="T2307" t="inlineStr">
        <is>
          <t>BTBR\test\c4f2.mp4</t>
        </is>
      </c>
      <c r="U2307" t="n">
        <v>17481</v>
      </c>
      <c r="V2307" t="n">
        <v>17495</v>
      </c>
      <c r="W2307" t="n">
        <v/>
      </c>
      <c r="X2307" t="n">
        <v/>
      </c>
      <c r="Y2307" t="n">
        <v/>
      </c>
      <c r="Z2307" t="n">
        <v/>
      </c>
      <c r="AA2307">
        <f>SUMIFS($S$2:S2307,$A$2:A2307,A2307,$N$2:N2307,"Explore*")</f>
        <v/>
      </c>
      <c r="AB2307">
        <f>IF(AND(LEFT(N2307,7)="Explore",(AA2307-IF(LEFT(N2307,7)="Explore",S2307,0))&lt;10),"SI","NO")</f>
        <v/>
      </c>
    </row>
    <row r="2308">
      <c r="A2308" t="inlineStr">
        <is>
          <t>c4f2_test</t>
        </is>
      </c>
      <c r="B2308" t="inlineStr">
        <is>
          <t>2026-01-28 13:43:34.425</t>
        </is>
      </c>
      <c r="C2308" t="n">
        <v/>
      </c>
      <c r="D2308" t="inlineStr">
        <is>
          <t>Media file</t>
        </is>
      </c>
      <c r="E2308" t="inlineStr">
        <is>
          <t>player #1:BTBR\test\c4f2.mp4</t>
        </is>
      </c>
      <c r="F2308" t="n">
        <v>-11.4</v>
      </c>
      <c r="G2308" t="n">
        <v>588.299</v>
      </c>
      <c r="H2308" t="n">
        <v>632.533</v>
      </c>
      <c r="I2308" t="n">
        <v>30</v>
      </c>
      <c r="J2308" t="inlineStr">
        <is>
          <t>BTBR</t>
        </is>
      </c>
      <c r="K2308" t="inlineStr">
        <is>
          <t xml:space="preserve"> Female</t>
        </is>
      </c>
      <c r="L2308" t="inlineStr">
        <is>
          <t>No focal subject</t>
        </is>
      </c>
      <c r="M2308" t="n">
        <v>63.16</v>
      </c>
      <c r="N2308" t="inlineStr">
        <is>
          <t>Explore_N</t>
        </is>
      </c>
      <c r="O2308" t="inlineStr">
        <is>
          <t>Novelty</t>
        </is>
      </c>
      <c r="P2308" t="inlineStr">
        <is>
          <t>STATE</t>
        </is>
      </c>
      <c r="Q2308" t="n">
        <v>573.966</v>
      </c>
      <c r="R2308" t="n">
        <v>574.633</v>
      </c>
      <c r="S2308" t="n">
        <v>0.667</v>
      </c>
      <c r="T2308" t="inlineStr">
        <is>
          <t>BTBR\test\c4f2.mp4</t>
        </is>
      </c>
      <c r="U2308" t="n">
        <v>17550</v>
      </c>
      <c r="V2308" t="n">
        <v>17570</v>
      </c>
      <c r="W2308" t="n">
        <v/>
      </c>
      <c r="X2308" t="n">
        <v/>
      </c>
      <c r="Y2308" t="n">
        <v/>
      </c>
      <c r="Z2308" t="n">
        <v/>
      </c>
      <c r="AA2308">
        <f>SUMIFS($S$2:S2308,$A$2:A2308,A2308,$N$2:N2308,"Explore*")</f>
        <v/>
      </c>
      <c r="AB2308">
        <f>IF(AND(LEFT(N2308,7)="Explore",(AA2308-IF(LEFT(N2308,7)="Explore",S2308,0))&lt;10),"SI","NO")</f>
        <v/>
      </c>
    </row>
    <row r="2309">
      <c r="A2309" t="inlineStr">
        <is>
          <t>c4f2_test</t>
        </is>
      </c>
      <c r="B2309" t="inlineStr">
        <is>
          <t>2026-01-28 13:43:34.425</t>
        </is>
      </c>
      <c r="C2309" t="n">
        <v/>
      </c>
      <c r="D2309" t="inlineStr">
        <is>
          <t>Media file</t>
        </is>
      </c>
      <c r="E2309" t="inlineStr">
        <is>
          <t>player #1:BTBR\test\c4f2.mp4</t>
        </is>
      </c>
      <c r="F2309" t="n">
        <v>-11.4</v>
      </c>
      <c r="G2309" t="n">
        <v>588.299</v>
      </c>
      <c r="H2309" t="n">
        <v>632.533</v>
      </c>
      <c r="I2309" t="n">
        <v>30</v>
      </c>
      <c r="J2309" t="inlineStr">
        <is>
          <t>BTBR</t>
        </is>
      </c>
      <c r="K2309" t="inlineStr">
        <is>
          <t xml:space="preserve"> Female</t>
        </is>
      </c>
      <c r="L2309" t="inlineStr">
        <is>
          <t>No focal subject</t>
        </is>
      </c>
      <c r="M2309" t="n">
        <v>63.16</v>
      </c>
      <c r="N2309" t="inlineStr">
        <is>
          <t>Explore_N</t>
        </is>
      </c>
      <c r="O2309" t="inlineStr">
        <is>
          <t>Novelty</t>
        </is>
      </c>
      <c r="P2309" t="inlineStr">
        <is>
          <t>STATE</t>
        </is>
      </c>
      <c r="Q2309" t="n">
        <v>576.1660000000001</v>
      </c>
      <c r="R2309" t="n">
        <v>576.566</v>
      </c>
      <c r="S2309" t="n">
        <v>0.4</v>
      </c>
      <c r="T2309" t="inlineStr">
        <is>
          <t>BTBR\test\c4f2.mp4</t>
        </is>
      </c>
      <c r="U2309" t="n">
        <v>17616</v>
      </c>
      <c r="V2309" t="n">
        <v>17628</v>
      </c>
      <c r="W2309" t="n">
        <v/>
      </c>
      <c r="X2309" t="n">
        <v/>
      </c>
      <c r="Y2309" t="n">
        <v/>
      </c>
      <c r="Z2309" t="n">
        <v/>
      </c>
      <c r="AA2309">
        <f>SUMIFS($S$2:S2309,$A$2:A2309,A2309,$N$2:N2309,"Explore*")</f>
        <v/>
      </c>
      <c r="AB2309">
        <f>IF(AND(LEFT(N2309,7)="Explore",(AA2309-IF(LEFT(N2309,7)="Explore",S2309,0))&lt;10),"SI","NO")</f>
        <v/>
      </c>
    </row>
    <row r="2310">
      <c r="A2310" t="inlineStr">
        <is>
          <t>c4f2_test</t>
        </is>
      </c>
      <c r="B2310" t="inlineStr">
        <is>
          <t>2026-01-28 13:43:34.425</t>
        </is>
      </c>
      <c r="C2310" t="n">
        <v/>
      </c>
      <c r="D2310" t="inlineStr">
        <is>
          <t>Media file</t>
        </is>
      </c>
      <c r="E2310" t="inlineStr">
        <is>
          <t>player #1:BTBR\test\c4f2.mp4</t>
        </is>
      </c>
      <c r="F2310" t="n">
        <v>-11.4</v>
      </c>
      <c r="G2310" t="n">
        <v>588.299</v>
      </c>
      <c r="H2310" t="n">
        <v>632.533</v>
      </c>
      <c r="I2310" t="n">
        <v>30</v>
      </c>
      <c r="J2310" t="inlineStr">
        <is>
          <t>BTBR</t>
        </is>
      </c>
      <c r="K2310" t="inlineStr">
        <is>
          <t xml:space="preserve"> Female</t>
        </is>
      </c>
      <c r="L2310" t="inlineStr">
        <is>
          <t>No focal subject</t>
        </is>
      </c>
      <c r="M2310" t="n">
        <v>63.16</v>
      </c>
      <c r="N2310" t="inlineStr">
        <is>
          <t>Explore_F</t>
        </is>
      </c>
      <c r="O2310" t="inlineStr">
        <is>
          <t>Familiar</t>
        </is>
      </c>
      <c r="P2310" t="inlineStr">
        <is>
          <t>STATE</t>
        </is>
      </c>
      <c r="Q2310" t="n">
        <v>591.066</v>
      </c>
      <c r="R2310" t="n">
        <v>591.566</v>
      </c>
      <c r="S2310" t="n">
        <v>0.5</v>
      </c>
      <c r="T2310" t="inlineStr">
        <is>
          <t>BTBR\test\c4f2.mp4</t>
        </is>
      </c>
      <c r="U2310" t="n">
        <v>18063</v>
      </c>
      <c r="V2310" t="n">
        <v>18078</v>
      </c>
      <c r="W2310" t="n">
        <v/>
      </c>
      <c r="X2310" t="n">
        <v/>
      </c>
      <c r="Y2310" t="n">
        <v/>
      </c>
      <c r="Z2310" t="n">
        <v/>
      </c>
      <c r="AA2310">
        <f>SUMIFS($S$2:S2310,$A$2:A2310,A2310,$N$2:N2310,"Explore*")</f>
        <v/>
      </c>
      <c r="AB2310">
        <f>IF(AND(LEFT(N2310,7)="Explore",(AA2310-IF(LEFT(N2310,7)="Explore",S2310,0))&lt;10),"SI","NO")</f>
        <v/>
      </c>
    </row>
    <row r="2311">
      <c r="A2311" t="inlineStr">
        <is>
          <t>c4f3_test</t>
        </is>
      </c>
      <c r="B2311" t="inlineStr">
        <is>
          <t>2026-02-06 14:46:38.530</t>
        </is>
      </c>
      <c r="C2311" t="n">
        <v/>
      </c>
      <c r="D2311" t="inlineStr">
        <is>
          <t>Media file</t>
        </is>
      </c>
      <c r="E2311" t="inlineStr">
        <is>
          <t>player #1:BTBR\test\c4f3.mp4</t>
        </is>
      </c>
      <c r="F2311" t="n">
        <v>-20.067</v>
      </c>
      <c r="G2311" t="n">
        <v>570.366</v>
      </c>
      <c r="H2311" t="n">
        <v>639.966</v>
      </c>
      <c r="I2311" t="n">
        <v>30</v>
      </c>
      <c r="J2311" t="inlineStr">
        <is>
          <t>BTBR</t>
        </is>
      </c>
      <c r="K2311" t="inlineStr">
        <is>
          <t xml:space="preserve"> Female</t>
        </is>
      </c>
      <c r="L2311" t="inlineStr">
        <is>
          <t>No focal subject</t>
        </is>
      </c>
      <c r="M2311" t="n">
        <v>44.6</v>
      </c>
      <c r="N2311" t="inlineStr">
        <is>
          <t>Explore_N</t>
        </is>
      </c>
      <c r="O2311" t="inlineStr">
        <is>
          <t>Novelty</t>
        </is>
      </c>
      <c r="P2311" t="inlineStr">
        <is>
          <t>STATE</t>
        </is>
      </c>
      <c r="Q2311" t="n">
        <v>12.333</v>
      </c>
      <c r="R2311" t="n">
        <v>13.5</v>
      </c>
      <c r="S2311" t="n">
        <v>1.167</v>
      </c>
      <c r="T2311" t="inlineStr">
        <is>
          <t>BTBR\test\c4f3.mp4</t>
        </is>
      </c>
      <c r="U2311" t="n">
        <v>362</v>
      </c>
      <c r="V2311" t="n">
        <v>398</v>
      </c>
      <c r="W2311" t="n">
        <v/>
      </c>
      <c r="X2311" t="n">
        <v/>
      </c>
      <c r="Y2311" t="n">
        <v/>
      </c>
      <c r="Z2311" t="n">
        <v/>
      </c>
      <c r="AA2311">
        <f>SUMIFS($S$2:S2311,$A$2:A2311,A2311,$N$2:N2311,"Explore*")</f>
        <v/>
      </c>
      <c r="AB2311">
        <f>IF(AND(LEFT(N2311,7)="Explore",(AA2311-IF(LEFT(N2311,7)="Explore",S2311,0))&lt;10),"SI","NO")</f>
        <v/>
      </c>
    </row>
    <row r="2312">
      <c r="A2312" t="inlineStr">
        <is>
          <t>c4f3_test</t>
        </is>
      </c>
      <c r="B2312" t="inlineStr">
        <is>
          <t>2026-02-06 14:46:38.530</t>
        </is>
      </c>
      <c r="C2312" t="n">
        <v/>
      </c>
      <c r="D2312" t="inlineStr">
        <is>
          <t>Media file</t>
        </is>
      </c>
      <c r="E2312" t="inlineStr">
        <is>
          <t>player #1:BTBR\test\c4f3.mp4</t>
        </is>
      </c>
      <c r="F2312" t="n">
        <v>-20.067</v>
      </c>
      <c r="G2312" t="n">
        <v>570.366</v>
      </c>
      <c r="H2312" t="n">
        <v>639.966</v>
      </c>
      <c r="I2312" t="n">
        <v>30</v>
      </c>
      <c r="J2312" t="inlineStr">
        <is>
          <t>BTBR</t>
        </is>
      </c>
      <c r="K2312" t="inlineStr">
        <is>
          <t xml:space="preserve"> Female</t>
        </is>
      </c>
      <c r="L2312" t="inlineStr">
        <is>
          <t>No focal subject</t>
        </is>
      </c>
      <c r="M2312" t="n">
        <v>44.6</v>
      </c>
      <c r="N2312" t="inlineStr">
        <is>
          <t>Explore_F</t>
        </is>
      </c>
      <c r="O2312" t="inlineStr">
        <is>
          <t>Familiar</t>
        </is>
      </c>
      <c r="P2312" t="inlineStr">
        <is>
          <t>STATE</t>
        </is>
      </c>
      <c r="Q2312" t="n">
        <v>14.733</v>
      </c>
      <c r="R2312" t="n">
        <v>15.133</v>
      </c>
      <c r="S2312" t="n">
        <v>0.4</v>
      </c>
      <c r="T2312" t="inlineStr">
        <is>
          <t>BTBR\test\c4f3.mp4</t>
        </is>
      </c>
      <c r="U2312" t="n">
        <v>433</v>
      </c>
      <c r="V2312" t="n">
        <v>444</v>
      </c>
      <c r="W2312" t="n">
        <v/>
      </c>
      <c r="X2312" t="n">
        <v/>
      </c>
      <c r="Y2312" t="n">
        <v/>
      </c>
      <c r="Z2312" t="n">
        <v/>
      </c>
      <c r="AA2312">
        <f>SUMIFS($S$2:S2312,$A$2:A2312,A2312,$N$2:N2312,"Explore*")</f>
        <v/>
      </c>
      <c r="AB2312">
        <f>IF(AND(LEFT(N2312,7)="Explore",(AA2312-IF(LEFT(N2312,7)="Explore",S2312,0))&lt;10),"SI","NO")</f>
        <v/>
      </c>
    </row>
    <row r="2313">
      <c r="A2313" t="inlineStr">
        <is>
          <t>c4f3_test</t>
        </is>
      </c>
      <c r="B2313" t="inlineStr">
        <is>
          <t>2026-02-06 14:46:38.530</t>
        </is>
      </c>
      <c r="C2313" t="n">
        <v/>
      </c>
      <c r="D2313" t="inlineStr">
        <is>
          <t>Media file</t>
        </is>
      </c>
      <c r="E2313" t="inlineStr">
        <is>
          <t>player #1:BTBR\test\c4f3.mp4</t>
        </is>
      </c>
      <c r="F2313" t="n">
        <v>-20.067</v>
      </c>
      <c r="G2313" t="n">
        <v>570.366</v>
      </c>
      <c r="H2313" t="n">
        <v>639.966</v>
      </c>
      <c r="I2313" t="n">
        <v>30</v>
      </c>
      <c r="J2313" t="inlineStr">
        <is>
          <t>BTBR</t>
        </is>
      </c>
      <c r="K2313" t="inlineStr">
        <is>
          <t xml:space="preserve"> Female</t>
        </is>
      </c>
      <c r="L2313" t="inlineStr">
        <is>
          <t>No focal subject</t>
        </is>
      </c>
      <c r="M2313" t="n">
        <v>44.6</v>
      </c>
      <c r="N2313" t="inlineStr">
        <is>
          <t>Explore_N</t>
        </is>
      </c>
      <c r="O2313" t="inlineStr">
        <is>
          <t>Novelty</t>
        </is>
      </c>
      <c r="P2313" t="inlineStr">
        <is>
          <t>STATE</t>
        </is>
      </c>
      <c r="Q2313" t="n">
        <v>24.966</v>
      </c>
      <c r="R2313" t="n">
        <v>25.866</v>
      </c>
      <c r="S2313" t="n">
        <v>0.9</v>
      </c>
      <c r="T2313" t="inlineStr">
        <is>
          <t>BTBR\test\c4f3.mp4</t>
        </is>
      </c>
      <c r="U2313" t="n">
        <v>733</v>
      </c>
      <c r="V2313" t="n">
        <v>760</v>
      </c>
      <c r="W2313" t="n">
        <v/>
      </c>
      <c r="X2313" t="n">
        <v/>
      </c>
      <c r="Y2313" t="n">
        <v/>
      </c>
      <c r="Z2313" t="n">
        <v/>
      </c>
      <c r="AA2313">
        <f>SUMIFS($S$2:S2313,$A$2:A2313,A2313,$N$2:N2313,"Explore*")</f>
        <v/>
      </c>
      <c r="AB2313">
        <f>IF(AND(LEFT(N2313,7)="Explore",(AA2313-IF(LEFT(N2313,7)="Explore",S2313,0))&lt;10),"SI","NO")</f>
        <v/>
      </c>
    </row>
    <row r="2314">
      <c r="A2314" t="inlineStr">
        <is>
          <t>c4f3_test</t>
        </is>
      </c>
      <c r="B2314" t="inlineStr">
        <is>
          <t>2026-02-06 14:46:38.530</t>
        </is>
      </c>
      <c r="C2314" t="n">
        <v/>
      </c>
      <c r="D2314" t="inlineStr">
        <is>
          <t>Media file</t>
        </is>
      </c>
      <c r="E2314" t="inlineStr">
        <is>
          <t>player #1:BTBR\test\c4f3.mp4</t>
        </is>
      </c>
      <c r="F2314" t="n">
        <v>-20.067</v>
      </c>
      <c r="G2314" t="n">
        <v>570.366</v>
      </c>
      <c r="H2314" t="n">
        <v>639.966</v>
      </c>
      <c r="I2314" t="n">
        <v>30</v>
      </c>
      <c r="J2314" t="inlineStr">
        <is>
          <t>BTBR</t>
        </is>
      </c>
      <c r="K2314" t="inlineStr">
        <is>
          <t xml:space="preserve"> Female</t>
        </is>
      </c>
      <c r="L2314" t="inlineStr">
        <is>
          <t>No focal subject</t>
        </is>
      </c>
      <c r="M2314" t="n">
        <v>44.6</v>
      </c>
      <c r="N2314" t="inlineStr">
        <is>
          <t>Explore_N</t>
        </is>
      </c>
      <c r="O2314" t="inlineStr">
        <is>
          <t>Novelty</t>
        </is>
      </c>
      <c r="P2314" t="inlineStr">
        <is>
          <t>STATE</t>
        </is>
      </c>
      <c r="Q2314" t="n">
        <v>26.566</v>
      </c>
      <c r="R2314" t="n">
        <v>27.166</v>
      </c>
      <c r="S2314" t="n">
        <v>0.6</v>
      </c>
      <c r="T2314" t="inlineStr">
        <is>
          <t>BTBR\test\c4f3.mp4</t>
        </is>
      </c>
      <c r="U2314" t="n">
        <v>780</v>
      </c>
      <c r="V2314" t="n">
        <v>798</v>
      </c>
      <c r="W2314" t="n">
        <v/>
      </c>
      <c r="X2314" t="n">
        <v/>
      </c>
      <c r="Y2314" t="n">
        <v/>
      </c>
      <c r="Z2314" t="n">
        <v/>
      </c>
      <c r="AA2314">
        <f>SUMIFS($S$2:S2314,$A$2:A2314,A2314,$N$2:N2314,"Explore*")</f>
        <v/>
      </c>
      <c r="AB2314">
        <f>IF(AND(LEFT(N2314,7)="Explore",(AA2314-IF(LEFT(N2314,7)="Explore",S2314,0))&lt;10),"SI","NO")</f>
        <v/>
      </c>
    </row>
    <row r="2315">
      <c r="A2315" t="inlineStr">
        <is>
          <t>c4f3_test</t>
        </is>
      </c>
      <c r="B2315" t="inlineStr">
        <is>
          <t>2026-02-06 14:46:38.530</t>
        </is>
      </c>
      <c r="C2315" t="n">
        <v/>
      </c>
      <c r="D2315" t="inlineStr">
        <is>
          <t>Media file</t>
        </is>
      </c>
      <c r="E2315" t="inlineStr">
        <is>
          <t>player #1:BTBR\test\c4f3.mp4</t>
        </is>
      </c>
      <c r="F2315" t="n">
        <v>-20.067</v>
      </c>
      <c r="G2315" t="n">
        <v>570.366</v>
      </c>
      <c r="H2315" t="n">
        <v>639.966</v>
      </c>
      <c r="I2315" t="n">
        <v>30</v>
      </c>
      <c r="J2315" t="inlineStr">
        <is>
          <t>BTBR</t>
        </is>
      </c>
      <c r="K2315" t="inlineStr">
        <is>
          <t xml:space="preserve"> Female</t>
        </is>
      </c>
      <c r="L2315" t="inlineStr">
        <is>
          <t>No focal subject</t>
        </is>
      </c>
      <c r="M2315" t="n">
        <v>44.6</v>
      </c>
      <c r="N2315" t="inlineStr">
        <is>
          <t>Explore_N</t>
        </is>
      </c>
      <c r="O2315" t="inlineStr">
        <is>
          <t>Novelty</t>
        </is>
      </c>
      <c r="P2315" t="inlineStr">
        <is>
          <t>STATE</t>
        </is>
      </c>
      <c r="Q2315" t="n">
        <v>27.733</v>
      </c>
      <c r="R2315" t="n">
        <v>29.366</v>
      </c>
      <c r="S2315" t="n">
        <v>1.633</v>
      </c>
      <c r="T2315" t="inlineStr">
        <is>
          <t>BTBR\test\c4f3.mp4</t>
        </is>
      </c>
      <c r="U2315" t="n">
        <v>814</v>
      </c>
      <c r="V2315" t="n">
        <v>862</v>
      </c>
      <c r="W2315" t="n">
        <v/>
      </c>
      <c r="X2315" t="n">
        <v/>
      </c>
      <c r="Y2315" t="n">
        <v/>
      </c>
      <c r="Z2315" t="n">
        <v/>
      </c>
      <c r="AA2315">
        <f>SUMIFS($S$2:S2315,$A$2:A2315,A2315,$N$2:N2315,"Explore*")</f>
        <v/>
      </c>
      <c r="AB2315">
        <f>IF(AND(LEFT(N2315,7)="Explore",(AA2315-IF(LEFT(N2315,7)="Explore",S2315,0))&lt;10),"SI","NO")</f>
        <v/>
      </c>
    </row>
    <row r="2316">
      <c r="A2316" t="inlineStr">
        <is>
          <t>c4f3_test</t>
        </is>
      </c>
      <c r="B2316" t="inlineStr">
        <is>
          <t>2026-02-06 14:46:38.530</t>
        </is>
      </c>
      <c r="C2316" t="n">
        <v/>
      </c>
      <c r="D2316" t="inlineStr">
        <is>
          <t>Media file</t>
        </is>
      </c>
      <c r="E2316" t="inlineStr">
        <is>
          <t>player #1:BTBR\test\c4f3.mp4</t>
        </is>
      </c>
      <c r="F2316" t="n">
        <v>-20.067</v>
      </c>
      <c r="G2316" t="n">
        <v>570.366</v>
      </c>
      <c r="H2316" t="n">
        <v>639.966</v>
      </c>
      <c r="I2316" t="n">
        <v>30</v>
      </c>
      <c r="J2316" t="inlineStr">
        <is>
          <t>BTBR</t>
        </is>
      </c>
      <c r="K2316" t="inlineStr">
        <is>
          <t xml:space="preserve"> Female</t>
        </is>
      </c>
      <c r="L2316" t="inlineStr">
        <is>
          <t>No focal subject</t>
        </is>
      </c>
      <c r="M2316" t="n">
        <v>44.6</v>
      </c>
      <c r="N2316" t="inlineStr">
        <is>
          <t>Explore_F</t>
        </is>
      </c>
      <c r="O2316" t="inlineStr">
        <is>
          <t>Familiar</t>
        </is>
      </c>
      <c r="P2316" t="inlineStr">
        <is>
          <t>STATE</t>
        </is>
      </c>
      <c r="Q2316" t="n">
        <v>33.5</v>
      </c>
      <c r="R2316" t="n">
        <v>33.933</v>
      </c>
      <c r="S2316" t="n">
        <v>0.433</v>
      </c>
      <c r="T2316" t="inlineStr">
        <is>
          <t>BTBR\test\c4f3.mp4</t>
        </is>
      </c>
      <c r="U2316" t="n">
        <v>986</v>
      </c>
      <c r="V2316" t="n">
        <v>997</v>
      </c>
      <c r="W2316" t="n">
        <v/>
      </c>
      <c r="X2316" t="n">
        <v/>
      </c>
      <c r="Y2316" t="n">
        <v/>
      </c>
      <c r="Z2316" t="n">
        <v/>
      </c>
      <c r="AA2316">
        <f>SUMIFS($S$2:S2316,$A$2:A2316,A2316,$N$2:N2316,"Explore*")</f>
        <v/>
      </c>
      <c r="AB2316">
        <f>IF(AND(LEFT(N2316,7)="Explore",(AA2316-IF(LEFT(N2316,7)="Explore",S2316,0))&lt;10),"SI","NO")</f>
        <v/>
      </c>
    </row>
    <row r="2317">
      <c r="A2317" t="inlineStr">
        <is>
          <t>c4f3_test</t>
        </is>
      </c>
      <c r="B2317" t="inlineStr">
        <is>
          <t>2026-02-06 14:46:38.530</t>
        </is>
      </c>
      <c r="C2317" t="n">
        <v/>
      </c>
      <c r="D2317" t="inlineStr">
        <is>
          <t>Media file</t>
        </is>
      </c>
      <c r="E2317" t="inlineStr">
        <is>
          <t>player #1:BTBR\test\c4f3.mp4</t>
        </is>
      </c>
      <c r="F2317" t="n">
        <v>-20.067</v>
      </c>
      <c r="G2317" t="n">
        <v>570.366</v>
      </c>
      <c r="H2317" t="n">
        <v>639.966</v>
      </c>
      <c r="I2317" t="n">
        <v>30</v>
      </c>
      <c r="J2317" t="inlineStr">
        <is>
          <t>BTBR</t>
        </is>
      </c>
      <c r="K2317" t="inlineStr">
        <is>
          <t xml:space="preserve"> Female</t>
        </is>
      </c>
      <c r="L2317" t="inlineStr">
        <is>
          <t>No focal subject</t>
        </is>
      </c>
      <c r="M2317" t="n">
        <v>44.6</v>
      </c>
      <c r="N2317" t="inlineStr">
        <is>
          <t>Explore_N</t>
        </is>
      </c>
      <c r="O2317" t="inlineStr">
        <is>
          <t>Novelty</t>
        </is>
      </c>
      <c r="P2317" t="inlineStr">
        <is>
          <t>STATE</t>
        </is>
      </c>
      <c r="Q2317" t="n">
        <v>37</v>
      </c>
      <c r="R2317" t="n">
        <v>37.766</v>
      </c>
      <c r="S2317" t="n">
        <v>0.766</v>
      </c>
      <c r="T2317" t="inlineStr">
        <is>
          <t>BTBR\test\c4f3.mp4</t>
        </is>
      </c>
      <c r="U2317" t="n">
        <v>1089</v>
      </c>
      <c r="V2317" t="n">
        <v>1109</v>
      </c>
      <c r="W2317" t="n">
        <v/>
      </c>
      <c r="X2317" t="n">
        <v/>
      </c>
      <c r="Y2317" t="n">
        <v/>
      </c>
      <c r="Z2317" t="n">
        <v/>
      </c>
      <c r="AA2317">
        <f>SUMIFS($S$2:S2317,$A$2:A2317,A2317,$N$2:N2317,"Explore*")</f>
        <v/>
      </c>
      <c r="AB2317">
        <f>IF(AND(LEFT(N2317,7)="Explore",(AA2317-IF(LEFT(N2317,7)="Explore",S2317,0))&lt;10),"SI","NO")</f>
        <v/>
      </c>
    </row>
    <row r="2318">
      <c r="A2318" t="inlineStr">
        <is>
          <t>c4f3_test</t>
        </is>
      </c>
      <c r="B2318" t="inlineStr">
        <is>
          <t>2026-02-06 14:46:38.530</t>
        </is>
      </c>
      <c r="C2318" t="n">
        <v/>
      </c>
      <c r="D2318" t="inlineStr">
        <is>
          <t>Media file</t>
        </is>
      </c>
      <c r="E2318" t="inlineStr">
        <is>
          <t>player #1:BTBR\test\c4f3.mp4</t>
        </is>
      </c>
      <c r="F2318" t="n">
        <v>-20.067</v>
      </c>
      <c r="G2318" t="n">
        <v>570.366</v>
      </c>
      <c r="H2318" t="n">
        <v>639.966</v>
      </c>
      <c r="I2318" t="n">
        <v>30</v>
      </c>
      <c r="J2318" t="inlineStr">
        <is>
          <t>BTBR</t>
        </is>
      </c>
      <c r="K2318" t="inlineStr">
        <is>
          <t xml:space="preserve"> Female</t>
        </is>
      </c>
      <c r="L2318" t="inlineStr">
        <is>
          <t>No focal subject</t>
        </is>
      </c>
      <c r="M2318" t="n">
        <v>44.6</v>
      </c>
      <c r="N2318" t="inlineStr">
        <is>
          <t>Explore_N</t>
        </is>
      </c>
      <c r="O2318" t="inlineStr">
        <is>
          <t>Novelty</t>
        </is>
      </c>
      <c r="P2318" t="inlineStr">
        <is>
          <t>STATE</t>
        </is>
      </c>
      <c r="Q2318" t="n">
        <v>41.266</v>
      </c>
      <c r="R2318" t="n">
        <v>41.533</v>
      </c>
      <c r="S2318" t="n">
        <v>0.267</v>
      </c>
      <c r="T2318" t="inlineStr">
        <is>
          <t>BTBR\test\c4f3.mp4</t>
        </is>
      </c>
      <c r="U2318" t="n">
        <v>1212</v>
      </c>
      <c r="V2318" t="n">
        <v>1221</v>
      </c>
      <c r="W2318" t="n">
        <v/>
      </c>
      <c r="X2318" t="n">
        <v/>
      </c>
      <c r="Y2318" t="n">
        <v/>
      </c>
      <c r="Z2318" t="n">
        <v/>
      </c>
      <c r="AA2318">
        <f>SUMIFS($S$2:S2318,$A$2:A2318,A2318,$N$2:N2318,"Explore*")</f>
        <v/>
      </c>
      <c r="AB2318">
        <f>IF(AND(LEFT(N2318,7)="Explore",(AA2318-IF(LEFT(N2318,7)="Explore",S2318,0))&lt;10),"SI","NO")</f>
        <v/>
      </c>
    </row>
    <row r="2319">
      <c r="A2319" t="inlineStr">
        <is>
          <t>c4f3_test</t>
        </is>
      </c>
      <c r="B2319" t="inlineStr">
        <is>
          <t>2026-02-06 14:46:38.530</t>
        </is>
      </c>
      <c r="C2319" t="n">
        <v/>
      </c>
      <c r="D2319" t="inlineStr">
        <is>
          <t>Media file</t>
        </is>
      </c>
      <c r="E2319" t="inlineStr">
        <is>
          <t>player #1:BTBR\test\c4f3.mp4</t>
        </is>
      </c>
      <c r="F2319" t="n">
        <v>-20.067</v>
      </c>
      <c r="G2319" t="n">
        <v>570.366</v>
      </c>
      <c r="H2319" t="n">
        <v>639.966</v>
      </c>
      <c r="I2319" t="n">
        <v>30</v>
      </c>
      <c r="J2319" t="inlineStr">
        <is>
          <t>BTBR</t>
        </is>
      </c>
      <c r="K2319" t="inlineStr">
        <is>
          <t xml:space="preserve"> Female</t>
        </is>
      </c>
      <c r="L2319" t="inlineStr">
        <is>
          <t>No focal subject</t>
        </is>
      </c>
      <c r="M2319" t="n">
        <v>44.6</v>
      </c>
      <c r="N2319" t="inlineStr">
        <is>
          <t>Explore_N</t>
        </is>
      </c>
      <c r="O2319" t="inlineStr">
        <is>
          <t>Novelty</t>
        </is>
      </c>
      <c r="P2319" t="inlineStr">
        <is>
          <t>STATE</t>
        </is>
      </c>
      <c r="Q2319" t="n">
        <v>42.6</v>
      </c>
      <c r="R2319" t="n">
        <v>43.8</v>
      </c>
      <c r="S2319" t="n">
        <v>1.2</v>
      </c>
      <c r="T2319" t="inlineStr">
        <is>
          <t>BTBR\test\c4f3.mp4</t>
        </is>
      </c>
      <c r="U2319" t="n">
        <v>1251</v>
      </c>
      <c r="V2319" t="n">
        <v>1286</v>
      </c>
      <c r="W2319" t="n">
        <v/>
      </c>
      <c r="X2319" t="n">
        <v/>
      </c>
      <c r="Y2319" t="n">
        <v/>
      </c>
      <c r="Z2319" t="n">
        <v/>
      </c>
      <c r="AA2319">
        <f>SUMIFS($S$2:S2319,$A$2:A2319,A2319,$N$2:N2319,"Explore*")</f>
        <v/>
      </c>
      <c r="AB2319">
        <f>IF(AND(LEFT(N2319,7)="Explore",(AA2319-IF(LEFT(N2319,7)="Explore",S2319,0))&lt;10),"SI","NO")</f>
        <v/>
      </c>
    </row>
    <row r="2320">
      <c r="A2320" t="inlineStr">
        <is>
          <t>c4f3_test</t>
        </is>
      </c>
      <c r="B2320" t="inlineStr">
        <is>
          <t>2026-02-06 14:46:38.530</t>
        </is>
      </c>
      <c r="C2320" t="n">
        <v/>
      </c>
      <c r="D2320" t="inlineStr">
        <is>
          <t>Media file</t>
        </is>
      </c>
      <c r="E2320" t="inlineStr">
        <is>
          <t>player #1:BTBR\test\c4f3.mp4</t>
        </is>
      </c>
      <c r="F2320" t="n">
        <v>-20.067</v>
      </c>
      <c r="G2320" t="n">
        <v>570.366</v>
      </c>
      <c r="H2320" t="n">
        <v>639.966</v>
      </c>
      <c r="I2320" t="n">
        <v>30</v>
      </c>
      <c r="J2320" t="inlineStr">
        <is>
          <t>BTBR</t>
        </is>
      </c>
      <c r="K2320" t="inlineStr">
        <is>
          <t xml:space="preserve"> Female</t>
        </is>
      </c>
      <c r="L2320" t="inlineStr">
        <is>
          <t>No focal subject</t>
        </is>
      </c>
      <c r="M2320" t="n">
        <v>44.6</v>
      </c>
      <c r="N2320" t="inlineStr">
        <is>
          <t>Explore_F</t>
        </is>
      </c>
      <c r="O2320" t="inlineStr">
        <is>
          <t>Familiar</t>
        </is>
      </c>
      <c r="P2320" t="inlineStr">
        <is>
          <t>STATE</t>
        </is>
      </c>
      <c r="Q2320" t="n">
        <v>47.266</v>
      </c>
      <c r="R2320" t="n">
        <v>48.4</v>
      </c>
      <c r="S2320" t="n">
        <v>1.134</v>
      </c>
      <c r="T2320" t="inlineStr">
        <is>
          <t>BTBR\test\c4f3.mp4</t>
        </is>
      </c>
      <c r="U2320" t="n">
        <v>1388</v>
      </c>
      <c r="V2320" t="n">
        <v>1421</v>
      </c>
      <c r="W2320" t="n">
        <v/>
      </c>
      <c r="X2320" t="n">
        <v/>
      </c>
      <c r="Y2320" t="n">
        <v/>
      </c>
      <c r="Z2320" t="n">
        <v/>
      </c>
      <c r="AA2320">
        <f>SUMIFS($S$2:S2320,$A$2:A2320,A2320,$N$2:N2320,"Explore*")</f>
        <v/>
      </c>
      <c r="AB2320">
        <f>IF(AND(LEFT(N2320,7)="Explore",(AA2320-IF(LEFT(N2320,7)="Explore",S2320,0))&lt;10),"SI","NO")</f>
        <v/>
      </c>
    </row>
    <row r="2321">
      <c r="A2321" t="inlineStr">
        <is>
          <t>c4f3_test</t>
        </is>
      </c>
      <c r="B2321" t="inlineStr">
        <is>
          <t>2026-02-06 14:46:38.530</t>
        </is>
      </c>
      <c r="C2321" t="n">
        <v/>
      </c>
      <c r="D2321" t="inlineStr">
        <is>
          <t>Media file</t>
        </is>
      </c>
      <c r="E2321" t="inlineStr">
        <is>
          <t>player #1:BTBR\test\c4f3.mp4</t>
        </is>
      </c>
      <c r="F2321" t="n">
        <v>-20.067</v>
      </c>
      <c r="G2321" t="n">
        <v>570.366</v>
      </c>
      <c r="H2321" t="n">
        <v>639.966</v>
      </c>
      <c r="I2321" t="n">
        <v>30</v>
      </c>
      <c r="J2321" t="inlineStr">
        <is>
          <t>BTBR</t>
        </is>
      </c>
      <c r="K2321" t="inlineStr">
        <is>
          <t xml:space="preserve"> Female</t>
        </is>
      </c>
      <c r="L2321" t="inlineStr">
        <is>
          <t>No focal subject</t>
        </is>
      </c>
      <c r="M2321" t="n">
        <v>44.6</v>
      </c>
      <c r="N2321" t="inlineStr">
        <is>
          <t>Explore_F</t>
        </is>
      </c>
      <c r="O2321" t="inlineStr">
        <is>
          <t>Familiar</t>
        </is>
      </c>
      <c r="P2321" t="inlineStr">
        <is>
          <t>STATE</t>
        </is>
      </c>
      <c r="Q2321" t="n">
        <v>57.666</v>
      </c>
      <c r="R2321" t="n">
        <v>58.3</v>
      </c>
      <c r="S2321" t="n">
        <v>0.634</v>
      </c>
      <c r="T2321" t="inlineStr">
        <is>
          <t>BTBR\test\c4f3.mp4</t>
        </is>
      </c>
      <c r="U2321" t="n">
        <v>1694</v>
      </c>
      <c r="V2321" t="n">
        <v>1712</v>
      </c>
      <c r="W2321" t="n">
        <v/>
      </c>
      <c r="X2321" t="n">
        <v/>
      </c>
      <c r="Y2321" t="n">
        <v/>
      </c>
      <c r="Z2321" t="n">
        <v/>
      </c>
      <c r="AA2321">
        <f>SUMIFS($S$2:S2321,$A$2:A2321,A2321,$N$2:N2321,"Explore*")</f>
        <v/>
      </c>
      <c r="AB2321">
        <f>IF(AND(LEFT(N2321,7)="Explore",(AA2321-IF(LEFT(N2321,7)="Explore",S2321,0))&lt;10),"SI","NO")</f>
        <v/>
      </c>
    </row>
    <row r="2322">
      <c r="A2322" t="inlineStr">
        <is>
          <t>c4f3_test</t>
        </is>
      </c>
      <c r="B2322" t="inlineStr">
        <is>
          <t>2026-02-06 14:46:38.530</t>
        </is>
      </c>
      <c r="C2322" t="n">
        <v/>
      </c>
      <c r="D2322" t="inlineStr">
        <is>
          <t>Media file</t>
        </is>
      </c>
      <c r="E2322" t="inlineStr">
        <is>
          <t>player #1:BTBR\test\c4f3.mp4</t>
        </is>
      </c>
      <c r="F2322" t="n">
        <v>-20.067</v>
      </c>
      <c r="G2322" t="n">
        <v>570.366</v>
      </c>
      <c r="H2322" t="n">
        <v>639.966</v>
      </c>
      <c r="I2322" t="n">
        <v>30</v>
      </c>
      <c r="J2322" t="inlineStr">
        <is>
          <t>BTBR</t>
        </is>
      </c>
      <c r="K2322" t="inlineStr">
        <is>
          <t xml:space="preserve"> Female</t>
        </is>
      </c>
      <c r="L2322" t="inlineStr">
        <is>
          <t>No focal subject</t>
        </is>
      </c>
      <c r="M2322" t="n">
        <v>44.6</v>
      </c>
      <c r="N2322" t="inlineStr">
        <is>
          <t>Explore_F</t>
        </is>
      </c>
      <c r="O2322" t="inlineStr">
        <is>
          <t>Familiar</t>
        </is>
      </c>
      <c r="P2322" t="inlineStr">
        <is>
          <t>STATE</t>
        </is>
      </c>
      <c r="Q2322" t="n">
        <v>68.93300000000001</v>
      </c>
      <c r="R2322" t="n">
        <v>69.533</v>
      </c>
      <c r="S2322" t="n">
        <v>0.6</v>
      </c>
      <c r="T2322" t="inlineStr">
        <is>
          <t>BTBR\test\c4f3.mp4</t>
        </is>
      </c>
      <c r="U2322" t="n">
        <v>2024</v>
      </c>
      <c r="V2322" t="n">
        <v>2043</v>
      </c>
      <c r="W2322" t="n">
        <v/>
      </c>
      <c r="X2322" t="n">
        <v/>
      </c>
      <c r="Y2322" t="n">
        <v/>
      </c>
      <c r="Z2322" t="n">
        <v/>
      </c>
      <c r="AA2322">
        <f>SUMIFS($S$2:S2322,$A$2:A2322,A2322,$N$2:N2322,"Explore*")</f>
        <v/>
      </c>
      <c r="AB2322">
        <f>IF(AND(LEFT(N2322,7)="Explore",(AA2322-IF(LEFT(N2322,7)="Explore",S2322,0))&lt;10),"SI","NO")</f>
        <v/>
      </c>
    </row>
    <row r="2323">
      <c r="A2323" t="inlineStr">
        <is>
          <t>c4f3_test</t>
        </is>
      </c>
      <c r="B2323" t="inlineStr">
        <is>
          <t>2026-02-06 14:46:38.530</t>
        </is>
      </c>
      <c r="C2323" t="n">
        <v/>
      </c>
      <c r="D2323" t="inlineStr">
        <is>
          <t>Media file</t>
        </is>
      </c>
      <c r="E2323" t="inlineStr">
        <is>
          <t>player #1:BTBR\test\c4f3.mp4</t>
        </is>
      </c>
      <c r="F2323" t="n">
        <v>-20.067</v>
      </c>
      <c r="G2323" t="n">
        <v>570.366</v>
      </c>
      <c r="H2323" t="n">
        <v>639.966</v>
      </c>
      <c r="I2323" t="n">
        <v>30</v>
      </c>
      <c r="J2323" t="inlineStr">
        <is>
          <t>BTBR</t>
        </is>
      </c>
      <c r="K2323" t="inlineStr">
        <is>
          <t xml:space="preserve"> Female</t>
        </is>
      </c>
      <c r="L2323" t="inlineStr">
        <is>
          <t>No focal subject</t>
        </is>
      </c>
      <c r="M2323" t="n">
        <v>44.6</v>
      </c>
      <c r="N2323" t="inlineStr">
        <is>
          <t>Explore_N</t>
        </is>
      </c>
      <c r="O2323" t="inlineStr">
        <is>
          <t>Novelty</t>
        </is>
      </c>
      <c r="P2323" t="inlineStr">
        <is>
          <t>STATE</t>
        </is>
      </c>
      <c r="Q2323" t="n">
        <v>74.233</v>
      </c>
      <c r="R2323" t="n">
        <v>76.666</v>
      </c>
      <c r="S2323" t="n">
        <v>2.433</v>
      </c>
      <c r="T2323" t="inlineStr">
        <is>
          <t>BTBR\test\c4f3.mp4</t>
        </is>
      </c>
      <c r="U2323" t="n">
        <v>2180</v>
      </c>
      <c r="V2323" t="n">
        <v>2252</v>
      </c>
      <c r="W2323" t="n">
        <v/>
      </c>
      <c r="X2323" t="n">
        <v/>
      </c>
      <c r="Y2323" t="n">
        <v/>
      </c>
      <c r="Z2323" t="n">
        <v/>
      </c>
      <c r="AA2323">
        <f>SUMIFS($S$2:S2323,$A$2:A2323,A2323,$N$2:N2323,"Explore*")</f>
        <v/>
      </c>
      <c r="AB2323">
        <f>IF(AND(LEFT(N2323,7)="Explore",(AA2323-IF(LEFT(N2323,7)="Explore",S2323,0))&lt;10),"SI","NO")</f>
        <v/>
      </c>
    </row>
    <row r="2324">
      <c r="A2324" t="inlineStr">
        <is>
          <t>c4f3_test</t>
        </is>
      </c>
      <c r="B2324" t="inlineStr">
        <is>
          <t>2026-02-06 14:46:38.530</t>
        </is>
      </c>
      <c r="C2324" t="n">
        <v/>
      </c>
      <c r="D2324" t="inlineStr">
        <is>
          <t>Media file</t>
        </is>
      </c>
      <c r="E2324" t="inlineStr">
        <is>
          <t>player #1:BTBR\test\c4f3.mp4</t>
        </is>
      </c>
      <c r="F2324" t="n">
        <v>-20.067</v>
      </c>
      <c r="G2324" t="n">
        <v>570.366</v>
      </c>
      <c r="H2324" t="n">
        <v>639.966</v>
      </c>
      <c r="I2324" t="n">
        <v>30</v>
      </c>
      <c r="J2324" t="inlineStr">
        <is>
          <t>BTBR</t>
        </is>
      </c>
      <c r="K2324" t="inlineStr">
        <is>
          <t xml:space="preserve"> Female</t>
        </is>
      </c>
      <c r="L2324" t="inlineStr">
        <is>
          <t>No focal subject</t>
        </is>
      </c>
      <c r="M2324" t="n">
        <v>44.6</v>
      </c>
      <c r="N2324" t="inlineStr">
        <is>
          <t>Explore_N</t>
        </is>
      </c>
      <c r="O2324" t="inlineStr">
        <is>
          <t>Novelty</t>
        </is>
      </c>
      <c r="P2324" t="inlineStr">
        <is>
          <t>STATE</t>
        </is>
      </c>
      <c r="Q2324" t="n">
        <v>77.366</v>
      </c>
      <c r="R2324" t="n">
        <v>77.833</v>
      </c>
      <c r="S2324" t="n">
        <v>0.467</v>
      </c>
      <c r="T2324" t="inlineStr">
        <is>
          <t>BTBR\test\c4f3.mp4</t>
        </is>
      </c>
      <c r="U2324" t="n">
        <v>2272</v>
      </c>
      <c r="V2324" t="n">
        <v>2286</v>
      </c>
      <c r="W2324" t="n">
        <v/>
      </c>
      <c r="X2324" t="n">
        <v/>
      </c>
      <c r="Y2324" t="n">
        <v/>
      </c>
      <c r="Z2324" t="n">
        <v/>
      </c>
      <c r="AA2324">
        <f>SUMIFS($S$2:S2324,$A$2:A2324,A2324,$N$2:N2324,"Explore*")</f>
        <v/>
      </c>
      <c r="AB2324">
        <f>IF(AND(LEFT(N2324,7)="Explore",(AA2324-IF(LEFT(N2324,7)="Explore",S2324,0))&lt;10),"SI","NO")</f>
        <v/>
      </c>
    </row>
    <row r="2325">
      <c r="A2325" t="inlineStr">
        <is>
          <t>c4f3_test</t>
        </is>
      </c>
      <c r="B2325" t="inlineStr">
        <is>
          <t>2026-02-06 14:46:38.530</t>
        </is>
      </c>
      <c r="C2325" t="n">
        <v/>
      </c>
      <c r="D2325" t="inlineStr">
        <is>
          <t>Media file</t>
        </is>
      </c>
      <c r="E2325" t="inlineStr">
        <is>
          <t>player #1:BTBR\test\c4f3.mp4</t>
        </is>
      </c>
      <c r="F2325" t="n">
        <v>-20.067</v>
      </c>
      <c r="G2325" t="n">
        <v>570.366</v>
      </c>
      <c r="H2325" t="n">
        <v>639.966</v>
      </c>
      <c r="I2325" t="n">
        <v>30</v>
      </c>
      <c r="J2325" t="inlineStr">
        <is>
          <t>BTBR</t>
        </is>
      </c>
      <c r="K2325" t="inlineStr">
        <is>
          <t xml:space="preserve"> Female</t>
        </is>
      </c>
      <c r="L2325" t="inlineStr">
        <is>
          <t>No focal subject</t>
        </is>
      </c>
      <c r="M2325" t="n">
        <v>44.6</v>
      </c>
      <c r="N2325" t="inlineStr">
        <is>
          <t>Explore_N</t>
        </is>
      </c>
      <c r="O2325" t="inlineStr">
        <is>
          <t>Novelty</t>
        </is>
      </c>
      <c r="P2325" t="inlineStr">
        <is>
          <t>STATE</t>
        </is>
      </c>
      <c r="Q2325" t="n">
        <v>78.5</v>
      </c>
      <c r="R2325" t="n">
        <v>80.133</v>
      </c>
      <c r="S2325" t="n">
        <v>1.633</v>
      </c>
      <c r="T2325" t="inlineStr">
        <is>
          <t>BTBR\test\c4f3.mp4</t>
        </is>
      </c>
      <c r="U2325" t="n">
        <v>2307</v>
      </c>
      <c r="V2325" t="n">
        <v>2353</v>
      </c>
      <c r="W2325" t="n">
        <v/>
      </c>
      <c r="X2325" t="n">
        <v/>
      </c>
      <c r="Y2325" t="n">
        <v/>
      </c>
      <c r="Z2325" t="n">
        <v/>
      </c>
      <c r="AA2325">
        <f>SUMIFS($S$2:S2325,$A$2:A2325,A2325,$N$2:N2325,"Explore*")</f>
        <v/>
      </c>
      <c r="AB2325">
        <f>IF(AND(LEFT(N2325,7)="Explore",(AA2325-IF(LEFT(N2325,7)="Explore",S2325,0))&lt;10),"SI","NO")</f>
        <v/>
      </c>
    </row>
    <row r="2326">
      <c r="A2326" t="inlineStr">
        <is>
          <t>c4f3_test</t>
        </is>
      </c>
      <c r="B2326" t="inlineStr">
        <is>
          <t>2026-02-06 14:46:38.530</t>
        </is>
      </c>
      <c r="C2326" t="n">
        <v/>
      </c>
      <c r="D2326" t="inlineStr">
        <is>
          <t>Media file</t>
        </is>
      </c>
      <c r="E2326" t="inlineStr">
        <is>
          <t>player #1:BTBR\test\c4f3.mp4</t>
        </is>
      </c>
      <c r="F2326" t="n">
        <v>-20.067</v>
      </c>
      <c r="G2326" t="n">
        <v>570.366</v>
      </c>
      <c r="H2326" t="n">
        <v>639.966</v>
      </c>
      <c r="I2326" t="n">
        <v>30</v>
      </c>
      <c r="J2326" t="inlineStr">
        <is>
          <t>BTBR</t>
        </is>
      </c>
      <c r="K2326" t="inlineStr">
        <is>
          <t xml:space="preserve"> Female</t>
        </is>
      </c>
      <c r="L2326" t="inlineStr">
        <is>
          <t>No focal subject</t>
        </is>
      </c>
      <c r="M2326" t="n">
        <v>44.6</v>
      </c>
      <c r="N2326" t="inlineStr">
        <is>
          <t>Explore_F</t>
        </is>
      </c>
      <c r="O2326" t="inlineStr">
        <is>
          <t>Familiar</t>
        </is>
      </c>
      <c r="P2326" t="inlineStr">
        <is>
          <t>STATE</t>
        </is>
      </c>
      <c r="Q2326" t="n">
        <v>83.2</v>
      </c>
      <c r="R2326" t="n">
        <v>83.566</v>
      </c>
      <c r="S2326" t="n">
        <v>0.366</v>
      </c>
      <c r="T2326" t="inlineStr">
        <is>
          <t>BTBR\test\c4f3.mp4</t>
        </is>
      </c>
      <c r="U2326" t="n">
        <v>2443</v>
      </c>
      <c r="V2326" t="n">
        <v>2454</v>
      </c>
      <c r="W2326" t="n">
        <v/>
      </c>
      <c r="X2326" t="n">
        <v/>
      </c>
      <c r="Y2326" t="n">
        <v/>
      </c>
      <c r="Z2326" t="n">
        <v/>
      </c>
      <c r="AA2326">
        <f>SUMIFS($S$2:S2326,$A$2:A2326,A2326,$N$2:N2326,"Explore*")</f>
        <v/>
      </c>
      <c r="AB2326">
        <f>IF(AND(LEFT(N2326,7)="Explore",(AA2326-IF(LEFT(N2326,7)="Explore",S2326,0))&lt;10),"SI","NO")</f>
        <v/>
      </c>
    </row>
    <row r="2327">
      <c r="A2327" t="inlineStr">
        <is>
          <t>c4f3_test</t>
        </is>
      </c>
      <c r="B2327" t="inlineStr">
        <is>
          <t>2026-02-06 14:46:38.530</t>
        </is>
      </c>
      <c r="C2327" t="n">
        <v/>
      </c>
      <c r="D2327" t="inlineStr">
        <is>
          <t>Media file</t>
        </is>
      </c>
      <c r="E2327" t="inlineStr">
        <is>
          <t>player #1:BTBR\test\c4f3.mp4</t>
        </is>
      </c>
      <c r="F2327" t="n">
        <v>-20.067</v>
      </c>
      <c r="G2327" t="n">
        <v>570.366</v>
      </c>
      <c r="H2327" t="n">
        <v>639.966</v>
      </c>
      <c r="I2327" t="n">
        <v>30</v>
      </c>
      <c r="J2327" t="inlineStr">
        <is>
          <t>BTBR</t>
        </is>
      </c>
      <c r="K2327" t="inlineStr">
        <is>
          <t xml:space="preserve"> Female</t>
        </is>
      </c>
      <c r="L2327" t="inlineStr">
        <is>
          <t>No focal subject</t>
        </is>
      </c>
      <c r="M2327" t="n">
        <v>44.6</v>
      </c>
      <c r="N2327" t="inlineStr">
        <is>
          <t>Explore_N</t>
        </is>
      </c>
      <c r="O2327" t="inlineStr">
        <is>
          <t>Novelty</t>
        </is>
      </c>
      <c r="P2327" t="inlineStr">
        <is>
          <t>STATE</t>
        </is>
      </c>
      <c r="Q2327" t="n">
        <v>95.733</v>
      </c>
      <c r="R2327" t="n">
        <v>96.7</v>
      </c>
      <c r="S2327" t="n">
        <v>0.967</v>
      </c>
      <c r="T2327" t="inlineStr">
        <is>
          <t>BTBR\test\c4f3.mp4</t>
        </is>
      </c>
      <c r="U2327" t="n">
        <v>2811</v>
      </c>
      <c r="V2327" t="n">
        <v>2840</v>
      </c>
      <c r="W2327" t="n">
        <v/>
      </c>
      <c r="X2327" t="n">
        <v/>
      </c>
      <c r="Y2327" t="n">
        <v/>
      </c>
      <c r="Z2327" t="n">
        <v/>
      </c>
      <c r="AA2327">
        <f>SUMIFS($S$2:S2327,$A$2:A2327,A2327,$N$2:N2327,"Explore*")</f>
        <v/>
      </c>
      <c r="AB2327">
        <f>IF(AND(LEFT(N2327,7)="Explore",(AA2327-IF(LEFT(N2327,7)="Explore",S2327,0))&lt;10),"SI","NO")</f>
        <v/>
      </c>
    </row>
    <row r="2328">
      <c r="A2328" t="inlineStr">
        <is>
          <t>c4f3_test</t>
        </is>
      </c>
      <c r="B2328" t="inlineStr">
        <is>
          <t>2026-02-06 14:46:38.530</t>
        </is>
      </c>
      <c r="C2328" t="n">
        <v/>
      </c>
      <c r="D2328" t="inlineStr">
        <is>
          <t>Media file</t>
        </is>
      </c>
      <c r="E2328" t="inlineStr">
        <is>
          <t>player #1:BTBR\test\c4f3.mp4</t>
        </is>
      </c>
      <c r="F2328" t="n">
        <v>-20.067</v>
      </c>
      <c r="G2328" t="n">
        <v>570.366</v>
      </c>
      <c r="H2328" t="n">
        <v>639.966</v>
      </c>
      <c r="I2328" t="n">
        <v>30</v>
      </c>
      <c r="J2328" t="inlineStr">
        <is>
          <t>BTBR</t>
        </is>
      </c>
      <c r="K2328" t="inlineStr">
        <is>
          <t xml:space="preserve"> Female</t>
        </is>
      </c>
      <c r="L2328" t="inlineStr">
        <is>
          <t>No focal subject</t>
        </is>
      </c>
      <c r="M2328" t="n">
        <v>44.6</v>
      </c>
      <c r="N2328" t="inlineStr">
        <is>
          <t>Explore_N</t>
        </is>
      </c>
      <c r="O2328" t="inlineStr">
        <is>
          <t>Novelty</t>
        </is>
      </c>
      <c r="P2328" t="inlineStr">
        <is>
          <t>STATE</t>
        </is>
      </c>
      <c r="Q2328" t="n">
        <v>101.633</v>
      </c>
      <c r="R2328" t="n">
        <v>102.966</v>
      </c>
      <c r="S2328" t="n">
        <v>1.333</v>
      </c>
      <c r="T2328" t="inlineStr">
        <is>
          <t>BTBR\test\c4f3.mp4</t>
        </is>
      </c>
      <c r="U2328" t="n">
        <v>2985</v>
      </c>
      <c r="V2328" t="n">
        <v>3024</v>
      </c>
      <c r="W2328" t="n">
        <v/>
      </c>
      <c r="X2328" t="n">
        <v/>
      </c>
      <c r="Y2328" t="n">
        <v/>
      </c>
      <c r="Z2328" t="n">
        <v/>
      </c>
      <c r="AA2328">
        <f>SUMIFS($S$2:S2328,$A$2:A2328,A2328,$N$2:N2328,"Explore*")</f>
        <v/>
      </c>
      <c r="AB2328">
        <f>IF(AND(LEFT(N2328,7)="Explore",(AA2328-IF(LEFT(N2328,7)="Explore",S2328,0))&lt;10),"SI","NO")</f>
        <v/>
      </c>
    </row>
    <row r="2329">
      <c r="A2329" t="inlineStr">
        <is>
          <t>c4f3_test</t>
        </is>
      </c>
      <c r="B2329" t="inlineStr">
        <is>
          <t>2026-02-06 14:46:38.530</t>
        </is>
      </c>
      <c r="C2329" t="n">
        <v/>
      </c>
      <c r="D2329" t="inlineStr">
        <is>
          <t>Media file</t>
        </is>
      </c>
      <c r="E2329" t="inlineStr">
        <is>
          <t>player #1:BTBR\test\c4f3.mp4</t>
        </is>
      </c>
      <c r="F2329" t="n">
        <v>-20.067</v>
      </c>
      <c r="G2329" t="n">
        <v>570.366</v>
      </c>
      <c r="H2329" t="n">
        <v>639.966</v>
      </c>
      <c r="I2329" t="n">
        <v>30</v>
      </c>
      <c r="J2329" t="inlineStr">
        <is>
          <t>BTBR</t>
        </is>
      </c>
      <c r="K2329" t="inlineStr">
        <is>
          <t xml:space="preserve"> Female</t>
        </is>
      </c>
      <c r="L2329" t="inlineStr">
        <is>
          <t>No focal subject</t>
        </is>
      </c>
      <c r="M2329" t="n">
        <v>44.6</v>
      </c>
      <c r="N2329" t="inlineStr">
        <is>
          <t>Explore_N</t>
        </is>
      </c>
      <c r="O2329" t="inlineStr">
        <is>
          <t>Novelty</t>
        </is>
      </c>
      <c r="P2329" t="inlineStr">
        <is>
          <t>STATE</t>
        </is>
      </c>
      <c r="Q2329" t="n">
        <v>108.766</v>
      </c>
      <c r="R2329" t="n">
        <v>110.133</v>
      </c>
      <c r="S2329" t="n">
        <v>1.367</v>
      </c>
      <c r="T2329" t="inlineStr">
        <is>
          <t>BTBR\test\c4f3.mp4</t>
        </is>
      </c>
      <c r="U2329" t="n">
        <v>3194</v>
      </c>
      <c r="V2329" t="n">
        <v>3234</v>
      </c>
      <c r="W2329" t="n">
        <v/>
      </c>
      <c r="X2329" t="n">
        <v/>
      </c>
      <c r="Y2329" t="n">
        <v/>
      </c>
      <c r="Z2329" t="n">
        <v/>
      </c>
      <c r="AA2329">
        <f>SUMIFS($S$2:S2329,$A$2:A2329,A2329,$N$2:N2329,"Explore*")</f>
        <v/>
      </c>
      <c r="AB2329">
        <f>IF(AND(LEFT(N2329,7)="Explore",(AA2329-IF(LEFT(N2329,7)="Explore",S2329,0))&lt;10),"SI","NO")</f>
        <v/>
      </c>
    </row>
    <row r="2330">
      <c r="A2330" t="inlineStr">
        <is>
          <t>c4f3_test</t>
        </is>
      </c>
      <c r="B2330" t="inlineStr">
        <is>
          <t>2026-02-06 14:46:38.530</t>
        </is>
      </c>
      <c r="C2330" t="n">
        <v/>
      </c>
      <c r="D2330" t="inlineStr">
        <is>
          <t>Media file</t>
        </is>
      </c>
      <c r="E2330" t="inlineStr">
        <is>
          <t>player #1:BTBR\test\c4f3.mp4</t>
        </is>
      </c>
      <c r="F2330" t="n">
        <v>-20.067</v>
      </c>
      <c r="G2330" t="n">
        <v>570.366</v>
      </c>
      <c r="H2330" t="n">
        <v>639.966</v>
      </c>
      <c r="I2330" t="n">
        <v>30</v>
      </c>
      <c r="J2330" t="inlineStr">
        <is>
          <t>BTBR</t>
        </is>
      </c>
      <c r="K2330" t="inlineStr">
        <is>
          <t xml:space="preserve"> Female</t>
        </is>
      </c>
      <c r="L2330" t="inlineStr">
        <is>
          <t>No focal subject</t>
        </is>
      </c>
      <c r="M2330" t="n">
        <v>44.6</v>
      </c>
      <c r="N2330" t="inlineStr">
        <is>
          <t>Explore_F</t>
        </is>
      </c>
      <c r="O2330" t="inlineStr">
        <is>
          <t>Familiar</t>
        </is>
      </c>
      <c r="P2330" t="inlineStr">
        <is>
          <t>STATE</t>
        </is>
      </c>
      <c r="Q2330" t="n">
        <v>118.466</v>
      </c>
      <c r="R2330" t="n">
        <v>119.233</v>
      </c>
      <c r="S2330" t="n">
        <v>0.767</v>
      </c>
      <c r="T2330" t="inlineStr">
        <is>
          <t>BTBR\test\c4f3.mp4</t>
        </is>
      </c>
      <c r="U2330" t="n">
        <v>3479</v>
      </c>
      <c r="V2330" t="n">
        <v>3502</v>
      </c>
      <c r="W2330" t="n">
        <v/>
      </c>
      <c r="X2330" t="n">
        <v/>
      </c>
      <c r="Y2330" t="n">
        <v/>
      </c>
      <c r="Z2330" t="n">
        <v/>
      </c>
      <c r="AA2330">
        <f>SUMIFS($S$2:S2330,$A$2:A2330,A2330,$N$2:N2330,"Explore*")</f>
        <v/>
      </c>
      <c r="AB2330">
        <f>IF(AND(LEFT(N2330,7)="Explore",(AA2330-IF(LEFT(N2330,7)="Explore",S2330,0))&lt;10),"SI","NO")</f>
        <v/>
      </c>
    </row>
    <row r="2331">
      <c r="A2331" t="inlineStr">
        <is>
          <t>c4f3_test</t>
        </is>
      </c>
      <c r="B2331" t="inlineStr">
        <is>
          <t>2026-02-06 14:46:38.530</t>
        </is>
      </c>
      <c r="C2331" t="n">
        <v/>
      </c>
      <c r="D2331" t="inlineStr">
        <is>
          <t>Media file</t>
        </is>
      </c>
      <c r="E2331" t="inlineStr">
        <is>
          <t>player #1:BTBR\test\c4f3.mp4</t>
        </is>
      </c>
      <c r="F2331" t="n">
        <v>-20.067</v>
      </c>
      <c r="G2331" t="n">
        <v>570.366</v>
      </c>
      <c r="H2331" t="n">
        <v>639.966</v>
      </c>
      <c r="I2331" t="n">
        <v>30</v>
      </c>
      <c r="J2331" t="inlineStr">
        <is>
          <t>BTBR</t>
        </is>
      </c>
      <c r="K2331" t="inlineStr">
        <is>
          <t xml:space="preserve"> Female</t>
        </is>
      </c>
      <c r="L2331" t="inlineStr">
        <is>
          <t>No focal subject</t>
        </is>
      </c>
      <c r="M2331" t="n">
        <v>44.6</v>
      </c>
      <c r="N2331" t="inlineStr">
        <is>
          <t>Explore_N</t>
        </is>
      </c>
      <c r="O2331" t="inlineStr">
        <is>
          <t>Novelty</t>
        </is>
      </c>
      <c r="P2331" t="inlineStr">
        <is>
          <t>STATE</t>
        </is>
      </c>
      <c r="Q2331" t="n">
        <v>120</v>
      </c>
      <c r="R2331" t="n">
        <v>121.433</v>
      </c>
      <c r="S2331" t="n">
        <v>1.433</v>
      </c>
      <c r="T2331" t="inlineStr">
        <is>
          <t>BTBR\test\c4f3.mp4</t>
        </is>
      </c>
      <c r="U2331" t="n">
        <v>3526</v>
      </c>
      <c r="V2331" t="n">
        <v>3566</v>
      </c>
      <c r="W2331" t="n">
        <v/>
      </c>
      <c r="X2331" t="n">
        <v/>
      </c>
      <c r="Y2331" t="n">
        <v/>
      </c>
      <c r="Z2331" t="n">
        <v/>
      </c>
      <c r="AA2331">
        <f>SUMIFS($S$2:S2331,$A$2:A2331,A2331,$N$2:N2331,"Explore*")</f>
        <v/>
      </c>
      <c r="AB2331">
        <f>IF(AND(LEFT(N2331,7)="Explore",(AA2331-IF(LEFT(N2331,7)="Explore",S2331,0))&lt;10),"SI","NO")</f>
        <v/>
      </c>
    </row>
    <row r="2332">
      <c r="A2332" t="inlineStr">
        <is>
          <t>c4f3_test</t>
        </is>
      </c>
      <c r="B2332" t="inlineStr">
        <is>
          <t>2026-02-06 14:46:38.530</t>
        </is>
      </c>
      <c r="C2332" t="n">
        <v/>
      </c>
      <c r="D2332" t="inlineStr">
        <is>
          <t>Media file</t>
        </is>
      </c>
      <c r="E2332" t="inlineStr">
        <is>
          <t>player #1:BTBR\test\c4f3.mp4</t>
        </is>
      </c>
      <c r="F2332" t="n">
        <v>-20.067</v>
      </c>
      <c r="G2332" t="n">
        <v>570.366</v>
      </c>
      <c r="H2332" t="n">
        <v>639.966</v>
      </c>
      <c r="I2332" t="n">
        <v>30</v>
      </c>
      <c r="J2332" t="inlineStr">
        <is>
          <t>BTBR</t>
        </is>
      </c>
      <c r="K2332" t="inlineStr">
        <is>
          <t xml:space="preserve"> Female</t>
        </is>
      </c>
      <c r="L2332" t="inlineStr">
        <is>
          <t>No focal subject</t>
        </is>
      </c>
      <c r="M2332" t="n">
        <v>44.6</v>
      </c>
      <c r="N2332" t="inlineStr">
        <is>
          <t>Explore_N</t>
        </is>
      </c>
      <c r="O2332" t="inlineStr">
        <is>
          <t>Novelty</t>
        </is>
      </c>
      <c r="P2332" t="inlineStr">
        <is>
          <t>STATE</t>
        </is>
      </c>
      <c r="Q2332" t="n">
        <v>138</v>
      </c>
      <c r="R2332" t="n">
        <v>138.4</v>
      </c>
      <c r="S2332" t="n">
        <v>0.4</v>
      </c>
      <c r="T2332" t="inlineStr">
        <is>
          <t>BTBR\test\c4f3.mp4</t>
        </is>
      </c>
      <c r="U2332" t="n">
        <v>4055</v>
      </c>
      <c r="V2332" t="n">
        <v>4064</v>
      </c>
      <c r="W2332" t="n">
        <v/>
      </c>
      <c r="X2332" t="n">
        <v/>
      </c>
      <c r="Y2332" t="n">
        <v/>
      </c>
      <c r="Z2332" t="n">
        <v/>
      </c>
      <c r="AA2332">
        <f>SUMIFS($S$2:S2332,$A$2:A2332,A2332,$N$2:N2332,"Explore*")</f>
        <v/>
      </c>
      <c r="AB2332">
        <f>IF(AND(LEFT(N2332,7)="Explore",(AA2332-IF(LEFT(N2332,7)="Explore",S2332,0))&lt;10),"SI","NO")</f>
        <v/>
      </c>
    </row>
    <row r="2333">
      <c r="A2333" t="inlineStr">
        <is>
          <t>c4f3_test</t>
        </is>
      </c>
      <c r="B2333" t="inlineStr">
        <is>
          <t>2026-02-06 14:46:38.530</t>
        </is>
      </c>
      <c r="C2333" t="n">
        <v/>
      </c>
      <c r="D2333" t="inlineStr">
        <is>
          <t>Media file</t>
        </is>
      </c>
      <c r="E2333" t="inlineStr">
        <is>
          <t>player #1:BTBR\test\c4f3.mp4</t>
        </is>
      </c>
      <c r="F2333" t="n">
        <v>-20.067</v>
      </c>
      <c r="G2333" t="n">
        <v>570.366</v>
      </c>
      <c r="H2333" t="n">
        <v>639.966</v>
      </c>
      <c r="I2333" t="n">
        <v>30</v>
      </c>
      <c r="J2333" t="inlineStr">
        <is>
          <t>BTBR</t>
        </is>
      </c>
      <c r="K2333" t="inlineStr">
        <is>
          <t xml:space="preserve"> Female</t>
        </is>
      </c>
      <c r="L2333" t="inlineStr">
        <is>
          <t>No focal subject</t>
        </is>
      </c>
      <c r="M2333" t="n">
        <v>44.6</v>
      </c>
      <c r="N2333" t="inlineStr">
        <is>
          <t>Explore_F</t>
        </is>
      </c>
      <c r="O2333" t="inlineStr">
        <is>
          <t>Familiar</t>
        </is>
      </c>
      <c r="P2333" t="inlineStr">
        <is>
          <t>STATE</t>
        </is>
      </c>
      <c r="Q2333" t="n">
        <v>139.833</v>
      </c>
      <c r="R2333" t="n">
        <v>140.433</v>
      </c>
      <c r="S2333" t="n">
        <v>0.6</v>
      </c>
      <c r="T2333" t="inlineStr">
        <is>
          <t>BTBR\test\c4f3.mp4</t>
        </is>
      </c>
      <c r="U2333" t="n">
        <v>4107</v>
      </c>
      <c r="V2333" t="n">
        <v>4124</v>
      </c>
      <c r="W2333" t="n">
        <v/>
      </c>
      <c r="X2333" t="n">
        <v/>
      </c>
      <c r="Y2333" t="n">
        <v/>
      </c>
      <c r="Z2333" t="n">
        <v/>
      </c>
      <c r="AA2333">
        <f>SUMIFS($S$2:S2333,$A$2:A2333,A2333,$N$2:N2333,"Explore*")</f>
        <v/>
      </c>
      <c r="AB2333">
        <f>IF(AND(LEFT(N2333,7)="Explore",(AA2333-IF(LEFT(N2333,7)="Explore",S2333,0))&lt;10),"SI","NO")</f>
        <v/>
      </c>
    </row>
    <row r="2334">
      <c r="A2334" t="inlineStr">
        <is>
          <t>c4f3_test</t>
        </is>
      </c>
      <c r="B2334" t="inlineStr">
        <is>
          <t>2026-02-06 14:46:38.530</t>
        </is>
      </c>
      <c r="C2334" t="n">
        <v/>
      </c>
      <c r="D2334" t="inlineStr">
        <is>
          <t>Media file</t>
        </is>
      </c>
      <c r="E2334" t="inlineStr">
        <is>
          <t>player #1:BTBR\test\c4f3.mp4</t>
        </is>
      </c>
      <c r="F2334" t="n">
        <v>-20.067</v>
      </c>
      <c r="G2334" t="n">
        <v>570.366</v>
      </c>
      <c r="H2334" t="n">
        <v>639.966</v>
      </c>
      <c r="I2334" t="n">
        <v>30</v>
      </c>
      <c r="J2334" t="inlineStr">
        <is>
          <t>BTBR</t>
        </is>
      </c>
      <c r="K2334" t="inlineStr">
        <is>
          <t xml:space="preserve"> Female</t>
        </is>
      </c>
      <c r="L2334" t="inlineStr">
        <is>
          <t>No focal subject</t>
        </is>
      </c>
      <c r="M2334" t="n">
        <v>44.6</v>
      </c>
      <c r="N2334" t="inlineStr">
        <is>
          <t>Explore_F</t>
        </is>
      </c>
      <c r="O2334" t="inlineStr">
        <is>
          <t>Familiar</t>
        </is>
      </c>
      <c r="P2334" t="inlineStr">
        <is>
          <t>STATE</t>
        </is>
      </c>
      <c r="Q2334" t="n">
        <v>140.9</v>
      </c>
      <c r="R2334" t="n">
        <v>141.6</v>
      </c>
      <c r="S2334" t="n">
        <v>0.7</v>
      </c>
      <c r="T2334" t="inlineStr">
        <is>
          <t>BTBR\test\c4f3.mp4</t>
        </is>
      </c>
      <c r="U2334" t="n">
        <v>4138</v>
      </c>
      <c r="V2334" t="n">
        <v>4158</v>
      </c>
      <c r="W2334" t="n">
        <v/>
      </c>
      <c r="X2334" t="n">
        <v/>
      </c>
      <c r="Y2334" t="n">
        <v/>
      </c>
      <c r="Z2334" t="n">
        <v/>
      </c>
      <c r="AA2334">
        <f>SUMIFS($S$2:S2334,$A$2:A2334,A2334,$N$2:N2334,"Explore*")</f>
        <v/>
      </c>
      <c r="AB2334">
        <f>IF(AND(LEFT(N2334,7)="Explore",(AA2334-IF(LEFT(N2334,7)="Explore",S2334,0))&lt;10),"SI","NO")</f>
        <v/>
      </c>
    </row>
    <row r="2335">
      <c r="A2335" t="inlineStr">
        <is>
          <t>c4f3_test</t>
        </is>
      </c>
      <c r="B2335" t="inlineStr">
        <is>
          <t>2026-02-06 14:46:38.530</t>
        </is>
      </c>
      <c r="C2335" t="n">
        <v/>
      </c>
      <c r="D2335" t="inlineStr">
        <is>
          <t>Media file</t>
        </is>
      </c>
      <c r="E2335" t="inlineStr">
        <is>
          <t>player #1:BTBR\test\c4f3.mp4</t>
        </is>
      </c>
      <c r="F2335" t="n">
        <v>-20.067</v>
      </c>
      <c r="G2335" t="n">
        <v>570.366</v>
      </c>
      <c r="H2335" t="n">
        <v>639.966</v>
      </c>
      <c r="I2335" t="n">
        <v>30</v>
      </c>
      <c r="J2335" t="inlineStr">
        <is>
          <t>BTBR</t>
        </is>
      </c>
      <c r="K2335" t="inlineStr">
        <is>
          <t xml:space="preserve"> Female</t>
        </is>
      </c>
      <c r="L2335" t="inlineStr">
        <is>
          <t>No focal subject</t>
        </is>
      </c>
      <c r="M2335" t="n">
        <v>44.6</v>
      </c>
      <c r="N2335" t="inlineStr">
        <is>
          <t>Explore_F</t>
        </is>
      </c>
      <c r="O2335" t="inlineStr">
        <is>
          <t>Familiar</t>
        </is>
      </c>
      <c r="P2335" t="inlineStr">
        <is>
          <t>STATE</t>
        </is>
      </c>
      <c r="Q2335" t="n">
        <v>149.933</v>
      </c>
      <c r="R2335" t="n">
        <v>150.399</v>
      </c>
      <c r="S2335" t="n">
        <v>0.466</v>
      </c>
      <c r="T2335" t="inlineStr">
        <is>
          <t>BTBR\test\c4f3.mp4</t>
        </is>
      </c>
      <c r="U2335" t="n">
        <v>4403</v>
      </c>
      <c r="V2335" t="n">
        <v>4417</v>
      </c>
      <c r="W2335" t="n">
        <v/>
      </c>
      <c r="X2335" t="n">
        <v/>
      </c>
      <c r="Y2335" t="n">
        <v/>
      </c>
      <c r="Z2335" t="n">
        <v/>
      </c>
      <c r="AA2335">
        <f>SUMIFS($S$2:S2335,$A$2:A2335,A2335,$N$2:N2335,"Explore*")</f>
        <v/>
      </c>
      <c r="AB2335">
        <f>IF(AND(LEFT(N2335,7)="Explore",(AA2335-IF(LEFT(N2335,7)="Explore",S2335,0))&lt;10),"SI","NO")</f>
        <v/>
      </c>
    </row>
    <row r="2336">
      <c r="A2336" t="inlineStr">
        <is>
          <t>c4f3_test</t>
        </is>
      </c>
      <c r="B2336" t="inlineStr">
        <is>
          <t>2026-02-06 14:46:38.530</t>
        </is>
      </c>
      <c r="C2336" t="n">
        <v/>
      </c>
      <c r="D2336" t="inlineStr">
        <is>
          <t>Media file</t>
        </is>
      </c>
      <c r="E2336" t="inlineStr">
        <is>
          <t>player #1:BTBR\test\c4f3.mp4</t>
        </is>
      </c>
      <c r="F2336" t="n">
        <v>-20.067</v>
      </c>
      <c r="G2336" t="n">
        <v>570.366</v>
      </c>
      <c r="H2336" t="n">
        <v>639.966</v>
      </c>
      <c r="I2336" t="n">
        <v>30</v>
      </c>
      <c r="J2336" t="inlineStr">
        <is>
          <t>BTBR</t>
        </is>
      </c>
      <c r="K2336" t="inlineStr">
        <is>
          <t xml:space="preserve"> Female</t>
        </is>
      </c>
      <c r="L2336" t="inlineStr">
        <is>
          <t>No focal subject</t>
        </is>
      </c>
      <c r="M2336" t="n">
        <v>44.6</v>
      </c>
      <c r="N2336" t="inlineStr">
        <is>
          <t>Explore_N</t>
        </is>
      </c>
      <c r="O2336" t="inlineStr">
        <is>
          <t>Novelty</t>
        </is>
      </c>
      <c r="P2336" t="inlineStr">
        <is>
          <t>STATE</t>
        </is>
      </c>
      <c r="Q2336" t="n">
        <v>155.233</v>
      </c>
      <c r="R2336" t="n">
        <v>155.533</v>
      </c>
      <c r="S2336" t="n">
        <v>0.3</v>
      </c>
      <c r="T2336" t="inlineStr">
        <is>
          <t>BTBR\test\c4f3.mp4</t>
        </is>
      </c>
      <c r="U2336" t="n">
        <v>4559</v>
      </c>
      <c r="V2336" t="n">
        <v>4569</v>
      </c>
      <c r="W2336" t="n">
        <v/>
      </c>
      <c r="X2336" t="n">
        <v/>
      </c>
      <c r="Y2336" t="n">
        <v/>
      </c>
      <c r="Z2336" t="n">
        <v/>
      </c>
      <c r="AA2336">
        <f>SUMIFS($S$2:S2336,$A$2:A2336,A2336,$N$2:N2336,"Explore*")</f>
        <v/>
      </c>
      <c r="AB2336">
        <f>IF(AND(LEFT(N2336,7)="Explore",(AA2336-IF(LEFT(N2336,7)="Explore",S2336,0))&lt;10),"SI","NO")</f>
        <v/>
      </c>
    </row>
    <row r="2337">
      <c r="A2337" t="inlineStr">
        <is>
          <t>c4f3_test</t>
        </is>
      </c>
      <c r="B2337" t="inlineStr">
        <is>
          <t>2026-02-06 14:46:38.530</t>
        </is>
      </c>
      <c r="C2337" t="n">
        <v/>
      </c>
      <c r="D2337" t="inlineStr">
        <is>
          <t>Media file</t>
        </is>
      </c>
      <c r="E2337" t="inlineStr">
        <is>
          <t>player #1:BTBR\test\c4f3.mp4</t>
        </is>
      </c>
      <c r="F2337" t="n">
        <v>-20.067</v>
      </c>
      <c r="G2337" t="n">
        <v>570.366</v>
      </c>
      <c r="H2337" t="n">
        <v>639.966</v>
      </c>
      <c r="I2337" t="n">
        <v>30</v>
      </c>
      <c r="J2337" t="inlineStr">
        <is>
          <t>BTBR</t>
        </is>
      </c>
      <c r="K2337" t="inlineStr">
        <is>
          <t xml:space="preserve"> Female</t>
        </is>
      </c>
      <c r="L2337" t="inlineStr">
        <is>
          <t>No focal subject</t>
        </is>
      </c>
      <c r="M2337" t="n">
        <v>44.6</v>
      </c>
      <c r="N2337" t="inlineStr">
        <is>
          <t>Explore_N</t>
        </is>
      </c>
      <c r="O2337" t="inlineStr">
        <is>
          <t>Novelty</t>
        </is>
      </c>
      <c r="P2337" t="inlineStr">
        <is>
          <t>STATE</t>
        </is>
      </c>
      <c r="Q2337" t="n">
        <v>162.166</v>
      </c>
      <c r="R2337" t="n">
        <v>162.866</v>
      </c>
      <c r="S2337" t="n">
        <v>0.7</v>
      </c>
      <c r="T2337" t="inlineStr">
        <is>
          <t>BTBR\test\c4f3.mp4</t>
        </is>
      </c>
      <c r="U2337" t="n">
        <v>4762</v>
      </c>
      <c r="V2337" t="n">
        <v>4783</v>
      </c>
      <c r="W2337" t="n">
        <v/>
      </c>
      <c r="X2337" t="n">
        <v/>
      </c>
      <c r="Y2337" t="n">
        <v/>
      </c>
      <c r="Z2337" t="n">
        <v/>
      </c>
      <c r="AA2337">
        <f>SUMIFS($S$2:S2337,$A$2:A2337,A2337,$N$2:N2337,"Explore*")</f>
        <v/>
      </c>
      <c r="AB2337">
        <f>IF(AND(LEFT(N2337,7)="Explore",(AA2337-IF(LEFT(N2337,7)="Explore",S2337,0))&lt;10),"SI","NO")</f>
        <v/>
      </c>
    </row>
    <row r="2338">
      <c r="A2338" t="inlineStr">
        <is>
          <t>c4f3_test</t>
        </is>
      </c>
      <c r="B2338" t="inlineStr">
        <is>
          <t>2026-02-06 14:46:38.530</t>
        </is>
      </c>
      <c r="C2338" t="n">
        <v/>
      </c>
      <c r="D2338" t="inlineStr">
        <is>
          <t>Media file</t>
        </is>
      </c>
      <c r="E2338" t="inlineStr">
        <is>
          <t>player #1:BTBR\test\c4f3.mp4</t>
        </is>
      </c>
      <c r="F2338" t="n">
        <v>-20.067</v>
      </c>
      <c r="G2338" t="n">
        <v>570.366</v>
      </c>
      <c r="H2338" t="n">
        <v>639.966</v>
      </c>
      <c r="I2338" t="n">
        <v>30</v>
      </c>
      <c r="J2338" t="inlineStr">
        <is>
          <t>BTBR</t>
        </is>
      </c>
      <c r="K2338" t="inlineStr">
        <is>
          <t xml:space="preserve"> Female</t>
        </is>
      </c>
      <c r="L2338" t="inlineStr">
        <is>
          <t>No focal subject</t>
        </is>
      </c>
      <c r="M2338" t="n">
        <v>44.6</v>
      </c>
      <c r="N2338" t="inlineStr">
        <is>
          <t>Explore_N</t>
        </is>
      </c>
      <c r="O2338" t="inlineStr">
        <is>
          <t>Novelty</t>
        </is>
      </c>
      <c r="P2338" t="inlineStr">
        <is>
          <t>STATE</t>
        </is>
      </c>
      <c r="Q2338" t="n">
        <v>174.266</v>
      </c>
      <c r="R2338" t="n">
        <v>174.599</v>
      </c>
      <c r="S2338" t="n">
        <v>0.333</v>
      </c>
      <c r="T2338" t="inlineStr">
        <is>
          <t>BTBR\test\c4f3.mp4</t>
        </is>
      </c>
      <c r="U2338" t="n">
        <v>5118</v>
      </c>
      <c r="V2338" t="n">
        <v>5128</v>
      </c>
      <c r="W2338" t="n">
        <v/>
      </c>
      <c r="X2338" t="n">
        <v/>
      </c>
      <c r="Y2338" t="n">
        <v/>
      </c>
      <c r="Z2338" t="n">
        <v/>
      </c>
      <c r="AA2338">
        <f>SUMIFS($S$2:S2338,$A$2:A2338,A2338,$N$2:N2338,"Explore*")</f>
        <v/>
      </c>
      <c r="AB2338">
        <f>IF(AND(LEFT(N2338,7)="Explore",(AA2338-IF(LEFT(N2338,7)="Explore",S2338,0))&lt;10),"SI","NO")</f>
        <v/>
      </c>
    </row>
    <row r="2339">
      <c r="A2339" t="inlineStr">
        <is>
          <t>c4f3_test</t>
        </is>
      </c>
      <c r="B2339" t="inlineStr">
        <is>
          <t>2026-02-06 14:46:38.530</t>
        </is>
      </c>
      <c r="C2339" t="n">
        <v/>
      </c>
      <c r="D2339" t="inlineStr">
        <is>
          <t>Media file</t>
        </is>
      </c>
      <c r="E2339" t="inlineStr">
        <is>
          <t>player #1:BTBR\test\c4f3.mp4</t>
        </is>
      </c>
      <c r="F2339" t="n">
        <v>-20.067</v>
      </c>
      <c r="G2339" t="n">
        <v>570.366</v>
      </c>
      <c r="H2339" t="n">
        <v>639.966</v>
      </c>
      <c r="I2339" t="n">
        <v>30</v>
      </c>
      <c r="J2339" t="inlineStr">
        <is>
          <t>BTBR</t>
        </is>
      </c>
      <c r="K2339" t="inlineStr">
        <is>
          <t xml:space="preserve"> Female</t>
        </is>
      </c>
      <c r="L2339" t="inlineStr">
        <is>
          <t>No focal subject</t>
        </is>
      </c>
      <c r="M2339" t="n">
        <v>44.6</v>
      </c>
      <c r="N2339" t="inlineStr">
        <is>
          <t>Explore_N</t>
        </is>
      </c>
      <c r="O2339" t="inlineStr">
        <is>
          <t>Novelty</t>
        </is>
      </c>
      <c r="P2339" t="inlineStr">
        <is>
          <t>STATE</t>
        </is>
      </c>
      <c r="Q2339" t="n">
        <v>176.833</v>
      </c>
      <c r="R2339" t="n">
        <v>177.233</v>
      </c>
      <c r="S2339" t="n">
        <v>0.4</v>
      </c>
      <c r="T2339" t="inlineStr">
        <is>
          <t>BTBR\test\c4f3.mp4</t>
        </is>
      </c>
      <c r="U2339" t="n">
        <v>5193</v>
      </c>
      <c r="V2339" t="n">
        <v>5205</v>
      </c>
      <c r="W2339" t="n">
        <v/>
      </c>
      <c r="X2339" t="n">
        <v/>
      </c>
      <c r="Y2339" t="n">
        <v/>
      </c>
      <c r="Z2339" t="n">
        <v/>
      </c>
      <c r="AA2339">
        <f>SUMIFS($S$2:S2339,$A$2:A2339,A2339,$N$2:N2339,"Explore*")</f>
        <v/>
      </c>
      <c r="AB2339">
        <f>IF(AND(LEFT(N2339,7)="Explore",(AA2339-IF(LEFT(N2339,7)="Explore",S2339,0))&lt;10),"SI","NO")</f>
        <v/>
      </c>
    </row>
    <row r="2340">
      <c r="A2340" t="inlineStr">
        <is>
          <t>c4f3_test</t>
        </is>
      </c>
      <c r="B2340" t="inlineStr">
        <is>
          <t>2026-02-06 14:46:38.530</t>
        </is>
      </c>
      <c r="C2340" t="n">
        <v/>
      </c>
      <c r="D2340" t="inlineStr">
        <is>
          <t>Media file</t>
        </is>
      </c>
      <c r="E2340" t="inlineStr">
        <is>
          <t>player #1:BTBR\test\c4f3.mp4</t>
        </is>
      </c>
      <c r="F2340" t="n">
        <v>-20.067</v>
      </c>
      <c r="G2340" t="n">
        <v>570.366</v>
      </c>
      <c r="H2340" t="n">
        <v>639.966</v>
      </c>
      <c r="I2340" t="n">
        <v>30</v>
      </c>
      <c r="J2340" t="inlineStr">
        <is>
          <t>BTBR</t>
        </is>
      </c>
      <c r="K2340" t="inlineStr">
        <is>
          <t xml:space="preserve"> Female</t>
        </is>
      </c>
      <c r="L2340" t="inlineStr">
        <is>
          <t>No focal subject</t>
        </is>
      </c>
      <c r="M2340" t="n">
        <v>44.6</v>
      </c>
      <c r="N2340" t="inlineStr">
        <is>
          <t>Explore_N</t>
        </is>
      </c>
      <c r="O2340" t="inlineStr">
        <is>
          <t>Novelty</t>
        </is>
      </c>
      <c r="P2340" t="inlineStr">
        <is>
          <t>STATE</t>
        </is>
      </c>
      <c r="Q2340" t="n">
        <v>177.699</v>
      </c>
      <c r="R2340" t="n">
        <v>178.633</v>
      </c>
      <c r="S2340" t="n">
        <v>0.9340000000000001</v>
      </c>
      <c r="T2340" t="inlineStr">
        <is>
          <t>BTBR\test\c4f3.mp4</t>
        </is>
      </c>
      <c r="U2340" t="n">
        <v>5219</v>
      </c>
      <c r="V2340" t="n">
        <v>5246</v>
      </c>
      <c r="W2340" t="n">
        <v/>
      </c>
      <c r="X2340" t="n">
        <v/>
      </c>
      <c r="Y2340" t="n">
        <v/>
      </c>
      <c r="Z2340" t="n">
        <v/>
      </c>
      <c r="AA2340">
        <f>SUMIFS($S$2:S2340,$A$2:A2340,A2340,$N$2:N2340,"Explore*")</f>
        <v/>
      </c>
      <c r="AB2340">
        <f>IF(AND(LEFT(N2340,7)="Explore",(AA2340-IF(LEFT(N2340,7)="Explore",S2340,0))&lt;10),"SI","NO")</f>
        <v/>
      </c>
    </row>
    <row r="2341">
      <c r="A2341" t="inlineStr">
        <is>
          <t>c4f3_test</t>
        </is>
      </c>
      <c r="B2341" t="inlineStr">
        <is>
          <t>2026-02-06 14:46:38.530</t>
        </is>
      </c>
      <c r="C2341" t="n">
        <v/>
      </c>
      <c r="D2341" t="inlineStr">
        <is>
          <t>Media file</t>
        </is>
      </c>
      <c r="E2341" t="inlineStr">
        <is>
          <t>player #1:BTBR\test\c4f3.mp4</t>
        </is>
      </c>
      <c r="F2341" t="n">
        <v>-20.067</v>
      </c>
      <c r="G2341" t="n">
        <v>570.366</v>
      </c>
      <c r="H2341" t="n">
        <v>639.966</v>
      </c>
      <c r="I2341" t="n">
        <v>30</v>
      </c>
      <c r="J2341" t="inlineStr">
        <is>
          <t>BTBR</t>
        </is>
      </c>
      <c r="K2341" t="inlineStr">
        <is>
          <t xml:space="preserve"> Female</t>
        </is>
      </c>
      <c r="L2341" t="inlineStr">
        <is>
          <t>No focal subject</t>
        </is>
      </c>
      <c r="M2341" t="n">
        <v>44.6</v>
      </c>
      <c r="N2341" t="inlineStr">
        <is>
          <t>Explore_F</t>
        </is>
      </c>
      <c r="O2341" t="inlineStr">
        <is>
          <t>Familiar</t>
        </is>
      </c>
      <c r="P2341" t="inlineStr">
        <is>
          <t>STATE</t>
        </is>
      </c>
      <c r="Q2341" t="n">
        <v>194.166</v>
      </c>
      <c r="R2341" t="n">
        <v>194.866</v>
      </c>
      <c r="S2341" t="n">
        <v>0.7</v>
      </c>
      <c r="T2341" t="inlineStr">
        <is>
          <t>BTBR\test\c4f3.mp4</t>
        </is>
      </c>
      <c r="U2341" t="n">
        <v>5702</v>
      </c>
      <c r="V2341" t="n">
        <v>5723</v>
      </c>
      <c r="W2341" t="n">
        <v/>
      </c>
      <c r="X2341" t="n">
        <v/>
      </c>
      <c r="Y2341" t="n">
        <v/>
      </c>
      <c r="Z2341" t="n">
        <v/>
      </c>
      <c r="AA2341">
        <f>SUMIFS($S$2:S2341,$A$2:A2341,A2341,$N$2:N2341,"Explore*")</f>
        <v/>
      </c>
      <c r="AB2341">
        <f>IF(AND(LEFT(N2341,7)="Explore",(AA2341-IF(LEFT(N2341,7)="Explore",S2341,0))&lt;10),"SI","NO")</f>
        <v/>
      </c>
    </row>
    <row r="2342">
      <c r="A2342" t="inlineStr">
        <is>
          <t>c4f3_test</t>
        </is>
      </c>
      <c r="B2342" t="inlineStr">
        <is>
          <t>2026-02-06 14:46:38.530</t>
        </is>
      </c>
      <c r="C2342" t="n">
        <v/>
      </c>
      <c r="D2342" t="inlineStr">
        <is>
          <t>Media file</t>
        </is>
      </c>
      <c r="E2342" t="inlineStr">
        <is>
          <t>player #1:BTBR\test\c4f3.mp4</t>
        </is>
      </c>
      <c r="F2342" t="n">
        <v>-20.067</v>
      </c>
      <c r="G2342" t="n">
        <v>570.366</v>
      </c>
      <c r="H2342" t="n">
        <v>639.966</v>
      </c>
      <c r="I2342" t="n">
        <v>30</v>
      </c>
      <c r="J2342" t="inlineStr">
        <is>
          <t>BTBR</t>
        </is>
      </c>
      <c r="K2342" t="inlineStr">
        <is>
          <t xml:space="preserve"> Female</t>
        </is>
      </c>
      <c r="L2342" t="inlineStr">
        <is>
          <t>No focal subject</t>
        </is>
      </c>
      <c r="M2342" t="n">
        <v>44.6</v>
      </c>
      <c r="N2342" t="inlineStr">
        <is>
          <t>Explore_N</t>
        </is>
      </c>
      <c r="O2342" t="inlineStr">
        <is>
          <t>Novelty</t>
        </is>
      </c>
      <c r="P2342" t="inlineStr">
        <is>
          <t>STATE</t>
        </is>
      </c>
      <c r="Q2342" t="n">
        <v>197.433</v>
      </c>
      <c r="R2342" t="n">
        <v>198.366</v>
      </c>
      <c r="S2342" t="n">
        <v>0.9330000000000001</v>
      </c>
      <c r="T2342" t="inlineStr">
        <is>
          <t>BTBR\test\c4f3.mp4</t>
        </is>
      </c>
      <c r="U2342" t="n">
        <v>5798</v>
      </c>
      <c r="V2342" t="n">
        <v>5826</v>
      </c>
      <c r="W2342" t="n">
        <v/>
      </c>
      <c r="X2342" t="n">
        <v/>
      </c>
      <c r="Y2342" t="n">
        <v/>
      </c>
      <c r="Z2342" t="n">
        <v/>
      </c>
      <c r="AA2342">
        <f>SUMIFS($S$2:S2342,$A$2:A2342,A2342,$N$2:N2342,"Explore*")</f>
        <v/>
      </c>
      <c r="AB2342">
        <f>IF(AND(LEFT(N2342,7)="Explore",(AA2342-IF(LEFT(N2342,7)="Explore",S2342,0))&lt;10),"SI","NO")</f>
        <v/>
      </c>
    </row>
    <row r="2343">
      <c r="A2343" t="inlineStr">
        <is>
          <t>c4f3_test</t>
        </is>
      </c>
      <c r="B2343" t="inlineStr">
        <is>
          <t>2026-02-06 14:46:38.530</t>
        </is>
      </c>
      <c r="C2343" t="n">
        <v/>
      </c>
      <c r="D2343" t="inlineStr">
        <is>
          <t>Media file</t>
        </is>
      </c>
      <c r="E2343" t="inlineStr">
        <is>
          <t>player #1:BTBR\test\c4f3.mp4</t>
        </is>
      </c>
      <c r="F2343" t="n">
        <v>-20.067</v>
      </c>
      <c r="G2343" t="n">
        <v>570.366</v>
      </c>
      <c r="H2343" t="n">
        <v>639.966</v>
      </c>
      <c r="I2343" t="n">
        <v>30</v>
      </c>
      <c r="J2343" t="inlineStr">
        <is>
          <t>BTBR</t>
        </is>
      </c>
      <c r="K2343" t="inlineStr">
        <is>
          <t xml:space="preserve"> Female</t>
        </is>
      </c>
      <c r="L2343" t="inlineStr">
        <is>
          <t>No focal subject</t>
        </is>
      </c>
      <c r="M2343" t="n">
        <v>44.6</v>
      </c>
      <c r="N2343" t="inlineStr">
        <is>
          <t>Explore_N</t>
        </is>
      </c>
      <c r="O2343" t="inlineStr">
        <is>
          <t>Novelty</t>
        </is>
      </c>
      <c r="P2343" t="inlineStr">
        <is>
          <t>STATE</t>
        </is>
      </c>
      <c r="Q2343" t="n">
        <v>208.333</v>
      </c>
      <c r="R2343" t="n">
        <v>208.733</v>
      </c>
      <c r="S2343" t="n">
        <v>0.4</v>
      </c>
      <c r="T2343" t="inlineStr">
        <is>
          <t>BTBR\test\c4f3.mp4</t>
        </is>
      </c>
      <c r="U2343" t="n">
        <v>6118</v>
      </c>
      <c r="V2343" t="n">
        <v>6130</v>
      </c>
      <c r="W2343" t="n">
        <v/>
      </c>
      <c r="X2343" t="n">
        <v/>
      </c>
      <c r="Y2343" t="n">
        <v/>
      </c>
      <c r="Z2343" t="n">
        <v/>
      </c>
      <c r="AA2343">
        <f>SUMIFS($S$2:S2343,$A$2:A2343,A2343,$N$2:N2343,"Explore*")</f>
        <v/>
      </c>
      <c r="AB2343">
        <f>IF(AND(LEFT(N2343,7)="Explore",(AA2343-IF(LEFT(N2343,7)="Explore",S2343,0))&lt;10),"SI","NO")</f>
        <v/>
      </c>
    </row>
    <row r="2344">
      <c r="A2344" t="inlineStr">
        <is>
          <t>c4f3_test</t>
        </is>
      </c>
      <c r="B2344" t="inlineStr">
        <is>
          <t>2026-02-06 14:46:38.530</t>
        </is>
      </c>
      <c r="C2344" t="n">
        <v/>
      </c>
      <c r="D2344" t="inlineStr">
        <is>
          <t>Media file</t>
        </is>
      </c>
      <c r="E2344" t="inlineStr">
        <is>
          <t>player #1:BTBR\test\c4f3.mp4</t>
        </is>
      </c>
      <c r="F2344" t="n">
        <v>-20.067</v>
      </c>
      <c r="G2344" t="n">
        <v>570.366</v>
      </c>
      <c r="H2344" t="n">
        <v>639.966</v>
      </c>
      <c r="I2344" t="n">
        <v>30</v>
      </c>
      <c r="J2344" t="inlineStr">
        <is>
          <t>BTBR</t>
        </is>
      </c>
      <c r="K2344" t="inlineStr">
        <is>
          <t xml:space="preserve"> Female</t>
        </is>
      </c>
      <c r="L2344" t="inlineStr">
        <is>
          <t>No focal subject</t>
        </is>
      </c>
      <c r="M2344" t="n">
        <v>44.6</v>
      </c>
      <c r="N2344" t="inlineStr">
        <is>
          <t>Explore_N</t>
        </is>
      </c>
      <c r="O2344" t="inlineStr">
        <is>
          <t>Novelty</t>
        </is>
      </c>
      <c r="P2344" t="inlineStr">
        <is>
          <t>STATE</t>
        </is>
      </c>
      <c r="Q2344" t="n">
        <v>241.499</v>
      </c>
      <c r="R2344" t="n">
        <v>242.566</v>
      </c>
      <c r="S2344" t="n">
        <v>1.067</v>
      </c>
      <c r="T2344" t="inlineStr">
        <is>
          <t>BTBR\test\c4f3.mp4</t>
        </is>
      </c>
      <c r="U2344" t="n">
        <v>7092</v>
      </c>
      <c r="V2344" t="n">
        <v>7124</v>
      </c>
      <c r="W2344" t="n">
        <v/>
      </c>
      <c r="X2344" t="n">
        <v/>
      </c>
      <c r="Y2344" t="n">
        <v/>
      </c>
      <c r="Z2344" t="n">
        <v/>
      </c>
      <c r="AA2344">
        <f>SUMIFS($S$2:S2344,$A$2:A2344,A2344,$N$2:N2344,"Explore*")</f>
        <v/>
      </c>
      <c r="AB2344">
        <f>IF(AND(LEFT(N2344,7)="Explore",(AA2344-IF(LEFT(N2344,7)="Explore",S2344,0))&lt;10),"SI","NO")</f>
        <v/>
      </c>
    </row>
    <row r="2345">
      <c r="A2345" t="inlineStr">
        <is>
          <t>c4f3_test</t>
        </is>
      </c>
      <c r="B2345" t="inlineStr">
        <is>
          <t>2026-02-06 14:46:38.530</t>
        </is>
      </c>
      <c r="C2345" t="n">
        <v/>
      </c>
      <c r="D2345" t="inlineStr">
        <is>
          <t>Media file</t>
        </is>
      </c>
      <c r="E2345" t="inlineStr">
        <is>
          <t>player #1:BTBR\test\c4f3.mp4</t>
        </is>
      </c>
      <c r="F2345" t="n">
        <v>-20.067</v>
      </c>
      <c r="G2345" t="n">
        <v>570.366</v>
      </c>
      <c r="H2345" t="n">
        <v>639.966</v>
      </c>
      <c r="I2345" t="n">
        <v>30</v>
      </c>
      <c r="J2345" t="inlineStr">
        <is>
          <t>BTBR</t>
        </is>
      </c>
      <c r="K2345" t="inlineStr">
        <is>
          <t xml:space="preserve"> Female</t>
        </is>
      </c>
      <c r="L2345" t="inlineStr">
        <is>
          <t>No focal subject</t>
        </is>
      </c>
      <c r="M2345" t="n">
        <v>44.6</v>
      </c>
      <c r="N2345" t="inlineStr">
        <is>
          <t>Explore_F</t>
        </is>
      </c>
      <c r="O2345" t="inlineStr">
        <is>
          <t>Familiar</t>
        </is>
      </c>
      <c r="P2345" t="inlineStr">
        <is>
          <t>STATE</t>
        </is>
      </c>
      <c r="Q2345" t="n">
        <v>269.299</v>
      </c>
      <c r="R2345" t="n">
        <v>270.399</v>
      </c>
      <c r="S2345" t="n">
        <v>1.1</v>
      </c>
      <c r="T2345" t="inlineStr">
        <is>
          <t>BTBR\test\c4f3.mp4</t>
        </is>
      </c>
      <c r="U2345" t="n">
        <v>7909</v>
      </c>
      <c r="V2345" t="n">
        <v>7941</v>
      </c>
      <c r="W2345" t="n">
        <v/>
      </c>
      <c r="X2345" t="n">
        <v/>
      </c>
      <c r="Y2345" t="n">
        <v/>
      </c>
      <c r="Z2345" t="n">
        <v/>
      </c>
      <c r="AA2345">
        <f>SUMIFS($S$2:S2345,$A$2:A2345,A2345,$N$2:N2345,"Explore*")</f>
        <v/>
      </c>
      <c r="AB2345">
        <f>IF(AND(LEFT(N2345,7)="Explore",(AA2345-IF(LEFT(N2345,7)="Explore",S2345,0))&lt;10),"SI","NO")</f>
        <v/>
      </c>
    </row>
    <row r="2346">
      <c r="A2346" t="inlineStr">
        <is>
          <t>c4f3_test</t>
        </is>
      </c>
      <c r="B2346" t="inlineStr">
        <is>
          <t>2026-02-06 14:46:38.530</t>
        </is>
      </c>
      <c r="C2346" t="n">
        <v/>
      </c>
      <c r="D2346" t="inlineStr">
        <is>
          <t>Media file</t>
        </is>
      </c>
      <c r="E2346" t="inlineStr">
        <is>
          <t>player #1:BTBR\test\c4f3.mp4</t>
        </is>
      </c>
      <c r="F2346" t="n">
        <v>-20.067</v>
      </c>
      <c r="G2346" t="n">
        <v>570.366</v>
      </c>
      <c r="H2346" t="n">
        <v>639.966</v>
      </c>
      <c r="I2346" t="n">
        <v>30</v>
      </c>
      <c r="J2346" t="inlineStr">
        <is>
          <t>BTBR</t>
        </is>
      </c>
      <c r="K2346" t="inlineStr">
        <is>
          <t xml:space="preserve"> Female</t>
        </is>
      </c>
      <c r="L2346" t="inlineStr">
        <is>
          <t>No focal subject</t>
        </is>
      </c>
      <c r="M2346" t="n">
        <v>44.6</v>
      </c>
      <c r="N2346" t="inlineStr">
        <is>
          <t>Explore_N</t>
        </is>
      </c>
      <c r="O2346" t="inlineStr">
        <is>
          <t>Novelty</t>
        </is>
      </c>
      <c r="P2346" t="inlineStr">
        <is>
          <t>STATE</t>
        </is>
      </c>
      <c r="Q2346" t="n">
        <v>278.633</v>
      </c>
      <c r="R2346" t="n">
        <v>278.966</v>
      </c>
      <c r="S2346" t="n">
        <v>0.333</v>
      </c>
      <c r="T2346" t="inlineStr">
        <is>
          <t>BTBR\test\c4f3.mp4</t>
        </is>
      </c>
      <c r="U2346" t="n">
        <v>8183</v>
      </c>
      <c r="V2346" t="n">
        <v>8193</v>
      </c>
      <c r="W2346" t="n">
        <v/>
      </c>
      <c r="X2346" t="n">
        <v/>
      </c>
      <c r="Y2346" t="n">
        <v/>
      </c>
      <c r="Z2346" t="n">
        <v/>
      </c>
      <c r="AA2346">
        <f>SUMIFS($S$2:S2346,$A$2:A2346,A2346,$N$2:N2346,"Explore*")</f>
        <v/>
      </c>
      <c r="AB2346">
        <f>IF(AND(LEFT(N2346,7)="Explore",(AA2346-IF(LEFT(N2346,7)="Explore",S2346,0))&lt;10),"SI","NO")</f>
        <v/>
      </c>
    </row>
    <row r="2347">
      <c r="A2347" t="inlineStr">
        <is>
          <t>c4f3_test</t>
        </is>
      </c>
      <c r="B2347" t="inlineStr">
        <is>
          <t>2026-02-06 14:46:38.530</t>
        </is>
      </c>
      <c r="C2347" t="n">
        <v/>
      </c>
      <c r="D2347" t="inlineStr">
        <is>
          <t>Media file</t>
        </is>
      </c>
      <c r="E2347" t="inlineStr">
        <is>
          <t>player #1:BTBR\test\c4f3.mp4</t>
        </is>
      </c>
      <c r="F2347" t="n">
        <v>-20.067</v>
      </c>
      <c r="G2347" t="n">
        <v>570.366</v>
      </c>
      <c r="H2347" t="n">
        <v>639.966</v>
      </c>
      <c r="I2347" t="n">
        <v>30</v>
      </c>
      <c r="J2347" t="inlineStr">
        <is>
          <t>BTBR</t>
        </is>
      </c>
      <c r="K2347" t="inlineStr">
        <is>
          <t xml:space="preserve"> Female</t>
        </is>
      </c>
      <c r="L2347" t="inlineStr">
        <is>
          <t>No focal subject</t>
        </is>
      </c>
      <c r="M2347" t="n">
        <v>44.6</v>
      </c>
      <c r="N2347" t="inlineStr">
        <is>
          <t>Explore_F</t>
        </is>
      </c>
      <c r="O2347" t="inlineStr">
        <is>
          <t>Familiar</t>
        </is>
      </c>
      <c r="P2347" t="inlineStr">
        <is>
          <t>STATE</t>
        </is>
      </c>
      <c r="Q2347" t="n">
        <v>308.999</v>
      </c>
      <c r="R2347" t="n">
        <v>309.299</v>
      </c>
      <c r="S2347" t="n">
        <v>0.3</v>
      </c>
      <c r="T2347" t="inlineStr">
        <is>
          <t>BTBR\test\c4f3.mp4</t>
        </is>
      </c>
      <c r="U2347" t="n">
        <v>9664</v>
      </c>
      <c r="V2347" t="n">
        <v>9673</v>
      </c>
      <c r="W2347" t="n">
        <v/>
      </c>
      <c r="X2347" t="n">
        <v/>
      </c>
      <c r="Y2347" t="n">
        <v/>
      </c>
      <c r="Z2347" t="n">
        <v/>
      </c>
      <c r="AA2347">
        <f>SUMIFS($S$2:S2347,$A$2:A2347,A2347,$N$2:N2347,"Explore*")</f>
        <v/>
      </c>
      <c r="AB2347">
        <f>IF(AND(LEFT(N2347,7)="Explore",(AA2347-IF(LEFT(N2347,7)="Explore",S2347,0))&lt;10),"SI","NO")</f>
        <v/>
      </c>
    </row>
    <row r="2348">
      <c r="A2348" t="inlineStr">
        <is>
          <t>c4f3_test</t>
        </is>
      </c>
      <c r="B2348" t="inlineStr">
        <is>
          <t>2026-02-06 14:46:38.530</t>
        </is>
      </c>
      <c r="C2348" t="n">
        <v/>
      </c>
      <c r="D2348" t="inlineStr">
        <is>
          <t>Media file</t>
        </is>
      </c>
      <c r="E2348" t="inlineStr">
        <is>
          <t>player #1:BTBR\test\c4f3.mp4</t>
        </is>
      </c>
      <c r="F2348" t="n">
        <v>-20.067</v>
      </c>
      <c r="G2348" t="n">
        <v>570.366</v>
      </c>
      <c r="H2348" t="n">
        <v>639.966</v>
      </c>
      <c r="I2348" t="n">
        <v>30</v>
      </c>
      <c r="J2348" t="inlineStr">
        <is>
          <t>BTBR</t>
        </is>
      </c>
      <c r="K2348" t="inlineStr">
        <is>
          <t xml:space="preserve"> Female</t>
        </is>
      </c>
      <c r="L2348" t="inlineStr">
        <is>
          <t>No focal subject</t>
        </is>
      </c>
      <c r="M2348" t="n">
        <v>44.6</v>
      </c>
      <c r="N2348" t="inlineStr">
        <is>
          <t>Explore_F</t>
        </is>
      </c>
      <c r="O2348" t="inlineStr">
        <is>
          <t>Familiar</t>
        </is>
      </c>
      <c r="P2348" t="inlineStr">
        <is>
          <t>STATE</t>
        </is>
      </c>
      <c r="Q2348" t="n">
        <v>318.599</v>
      </c>
      <c r="R2348" t="n">
        <v>319.033</v>
      </c>
      <c r="S2348" t="n">
        <v>0.434</v>
      </c>
      <c r="T2348" t="inlineStr">
        <is>
          <t>BTBR\test\c4f3.mp4</t>
        </is>
      </c>
      <c r="U2348" t="n">
        <v>9946</v>
      </c>
      <c r="V2348" t="n">
        <v>9959</v>
      </c>
      <c r="W2348" t="n">
        <v/>
      </c>
      <c r="X2348" t="n">
        <v/>
      </c>
      <c r="Y2348" t="n">
        <v/>
      </c>
      <c r="Z2348" t="n">
        <v/>
      </c>
      <c r="AA2348">
        <f>SUMIFS($S$2:S2348,$A$2:A2348,A2348,$N$2:N2348,"Explore*")</f>
        <v/>
      </c>
      <c r="AB2348">
        <f>IF(AND(LEFT(N2348,7)="Explore",(AA2348-IF(LEFT(N2348,7)="Explore",S2348,0))&lt;10),"SI","NO")</f>
        <v/>
      </c>
    </row>
    <row r="2349">
      <c r="A2349" t="inlineStr">
        <is>
          <t>c4f3_test</t>
        </is>
      </c>
      <c r="B2349" t="inlineStr">
        <is>
          <t>2026-02-06 14:46:38.530</t>
        </is>
      </c>
      <c r="C2349" t="n">
        <v/>
      </c>
      <c r="D2349" t="inlineStr">
        <is>
          <t>Media file</t>
        </is>
      </c>
      <c r="E2349" t="inlineStr">
        <is>
          <t>player #1:BTBR\test\c4f3.mp4</t>
        </is>
      </c>
      <c r="F2349" t="n">
        <v>-20.067</v>
      </c>
      <c r="G2349" t="n">
        <v>570.366</v>
      </c>
      <c r="H2349" t="n">
        <v>639.966</v>
      </c>
      <c r="I2349" t="n">
        <v>30</v>
      </c>
      <c r="J2349" t="inlineStr">
        <is>
          <t>BTBR</t>
        </is>
      </c>
      <c r="K2349" t="inlineStr">
        <is>
          <t xml:space="preserve"> Female</t>
        </is>
      </c>
      <c r="L2349" t="inlineStr">
        <is>
          <t>No focal subject</t>
        </is>
      </c>
      <c r="M2349" t="n">
        <v>44.6</v>
      </c>
      <c r="N2349" t="inlineStr">
        <is>
          <t>Explore_N</t>
        </is>
      </c>
      <c r="O2349" t="inlineStr">
        <is>
          <t>Novelty</t>
        </is>
      </c>
      <c r="P2349" t="inlineStr">
        <is>
          <t>STATE</t>
        </is>
      </c>
      <c r="Q2349" t="n">
        <v>340.466</v>
      </c>
      <c r="R2349" t="n">
        <v>342.133</v>
      </c>
      <c r="S2349" t="n">
        <v>1.667</v>
      </c>
      <c r="T2349" t="inlineStr">
        <is>
          <t>BTBR\test\c4f3.mp4</t>
        </is>
      </c>
      <c r="U2349" t="n">
        <v>10588</v>
      </c>
      <c r="V2349" t="n">
        <v>10637</v>
      </c>
      <c r="W2349" t="n">
        <v/>
      </c>
      <c r="X2349" t="n">
        <v/>
      </c>
      <c r="Y2349" t="n">
        <v/>
      </c>
      <c r="Z2349" t="n">
        <v/>
      </c>
      <c r="AA2349">
        <f>SUMIFS($S$2:S2349,$A$2:A2349,A2349,$N$2:N2349,"Explore*")</f>
        <v/>
      </c>
      <c r="AB2349">
        <f>IF(AND(LEFT(N2349,7)="Explore",(AA2349-IF(LEFT(N2349,7)="Explore",S2349,0))&lt;10),"SI","NO")</f>
        <v/>
      </c>
    </row>
    <row r="2350">
      <c r="A2350" t="inlineStr">
        <is>
          <t>c4f3_test</t>
        </is>
      </c>
      <c r="B2350" t="inlineStr">
        <is>
          <t>2026-02-06 14:46:38.530</t>
        </is>
      </c>
      <c r="C2350" t="n">
        <v/>
      </c>
      <c r="D2350" t="inlineStr">
        <is>
          <t>Media file</t>
        </is>
      </c>
      <c r="E2350" t="inlineStr">
        <is>
          <t>player #1:BTBR\test\c4f3.mp4</t>
        </is>
      </c>
      <c r="F2350" t="n">
        <v>-20.067</v>
      </c>
      <c r="G2350" t="n">
        <v>570.366</v>
      </c>
      <c r="H2350" t="n">
        <v>639.966</v>
      </c>
      <c r="I2350" t="n">
        <v>30</v>
      </c>
      <c r="J2350" t="inlineStr">
        <is>
          <t>BTBR</t>
        </is>
      </c>
      <c r="K2350" t="inlineStr">
        <is>
          <t xml:space="preserve"> Female</t>
        </is>
      </c>
      <c r="L2350" t="inlineStr">
        <is>
          <t>No focal subject</t>
        </is>
      </c>
      <c r="M2350" t="n">
        <v>44.6</v>
      </c>
      <c r="N2350" t="inlineStr">
        <is>
          <t>Explore_N</t>
        </is>
      </c>
      <c r="O2350" t="inlineStr">
        <is>
          <t>Novelty</t>
        </is>
      </c>
      <c r="P2350" t="inlineStr">
        <is>
          <t>STATE</t>
        </is>
      </c>
      <c r="Q2350" t="n">
        <v>343.666</v>
      </c>
      <c r="R2350" t="n">
        <v>345.499</v>
      </c>
      <c r="S2350" t="n">
        <v>1.833</v>
      </c>
      <c r="T2350" t="inlineStr">
        <is>
          <t>BTBR\test\c4f3.mp4</t>
        </is>
      </c>
      <c r="U2350" t="n">
        <v>10682</v>
      </c>
      <c r="V2350" t="n">
        <v>10736</v>
      </c>
      <c r="W2350" t="n">
        <v/>
      </c>
      <c r="X2350" t="n">
        <v/>
      </c>
      <c r="Y2350" t="n">
        <v/>
      </c>
      <c r="Z2350" t="n">
        <v/>
      </c>
      <c r="AA2350">
        <f>SUMIFS($S$2:S2350,$A$2:A2350,A2350,$N$2:N2350,"Explore*")</f>
        <v/>
      </c>
      <c r="AB2350">
        <f>IF(AND(LEFT(N2350,7)="Explore",(AA2350-IF(LEFT(N2350,7)="Explore",S2350,0))&lt;10),"SI","NO")</f>
        <v/>
      </c>
    </row>
    <row r="2351">
      <c r="A2351" t="inlineStr">
        <is>
          <t>c4f3_test</t>
        </is>
      </c>
      <c r="B2351" t="inlineStr">
        <is>
          <t>2026-02-06 14:46:38.530</t>
        </is>
      </c>
      <c r="C2351" t="n">
        <v/>
      </c>
      <c r="D2351" t="inlineStr">
        <is>
          <t>Media file</t>
        </is>
      </c>
      <c r="E2351" t="inlineStr">
        <is>
          <t>player #1:BTBR\test\c4f3.mp4</t>
        </is>
      </c>
      <c r="F2351" t="n">
        <v>-20.067</v>
      </c>
      <c r="G2351" t="n">
        <v>570.366</v>
      </c>
      <c r="H2351" t="n">
        <v>639.966</v>
      </c>
      <c r="I2351" t="n">
        <v>30</v>
      </c>
      <c r="J2351" t="inlineStr">
        <is>
          <t>BTBR</t>
        </is>
      </c>
      <c r="K2351" t="inlineStr">
        <is>
          <t xml:space="preserve"> Female</t>
        </is>
      </c>
      <c r="L2351" t="inlineStr">
        <is>
          <t>No focal subject</t>
        </is>
      </c>
      <c r="M2351" t="n">
        <v>44.6</v>
      </c>
      <c r="N2351" t="inlineStr">
        <is>
          <t>Explore_N</t>
        </is>
      </c>
      <c r="O2351" t="inlineStr">
        <is>
          <t>Novelty</t>
        </is>
      </c>
      <c r="P2351" t="inlineStr">
        <is>
          <t>STATE</t>
        </is>
      </c>
      <c r="Q2351" t="n">
        <v>378.166</v>
      </c>
      <c r="R2351" t="n">
        <v>378.466</v>
      </c>
      <c r="S2351" t="n">
        <v>0.3</v>
      </c>
      <c r="T2351" t="inlineStr">
        <is>
          <t>BTBR\test\c4f3.mp4</t>
        </is>
      </c>
      <c r="U2351" t="n">
        <v>11695</v>
      </c>
      <c r="V2351" t="n">
        <v>11704</v>
      </c>
      <c r="W2351" t="n">
        <v/>
      </c>
      <c r="X2351" t="n">
        <v/>
      </c>
      <c r="Y2351" t="n">
        <v/>
      </c>
      <c r="Z2351" t="n">
        <v/>
      </c>
      <c r="AA2351">
        <f>SUMIFS($S$2:S2351,$A$2:A2351,A2351,$N$2:N2351,"Explore*")</f>
        <v/>
      </c>
      <c r="AB2351">
        <f>IF(AND(LEFT(N2351,7)="Explore",(AA2351-IF(LEFT(N2351,7)="Explore",S2351,0))&lt;10),"SI","NO")</f>
        <v/>
      </c>
    </row>
    <row r="2352">
      <c r="A2352" t="inlineStr">
        <is>
          <t>c4f3_test</t>
        </is>
      </c>
      <c r="B2352" t="inlineStr">
        <is>
          <t>2026-02-06 14:46:38.530</t>
        </is>
      </c>
      <c r="C2352" t="n">
        <v/>
      </c>
      <c r="D2352" t="inlineStr">
        <is>
          <t>Media file</t>
        </is>
      </c>
      <c r="E2352" t="inlineStr">
        <is>
          <t>player #1:BTBR\test\c4f3.mp4</t>
        </is>
      </c>
      <c r="F2352" t="n">
        <v>-20.067</v>
      </c>
      <c r="G2352" t="n">
        <v>570.366</v>
      </c>
      <c r="H2352" t="n">
        <v>639.966</v>
      </c>
      <c r="I2352" t="n">
        <v>30</v>
      </c>
      <c r="J2352" t="inlineStr">
        <is>
          <t>BTBR</t>
        </is>
      </c>
      <c r="K2352" t="inlineStr">
        <is>
          <t xml:space="preserve"> Female</t>
        </is>
      </c>
      <c r="L2352" t="inlineStr">
        <is>
          <t>No focal subject</t>
        </is>
      </c>
      <c r="M2352" t="n">
        <v>44.6</v>
      </c>
      <c r="N2352" t="inlineStr">
        <is>
          <t>Explore_N</t>
        </is>
      </c>
      <c r="O2352" t="inlineStr">
        <is>
          <t>Novelty</t>
        </is>
      </c>
      <c r="P2352" t="inlineStr">
        <is>
          <t>STATE</t>
        </is>
      </c>
      <c r="Q2352" t="n">
        <v>379.199</v>
      </c>
      <c r="R2352" t="n">
        <v>381.999</v>
      </c>
      <c r="S2352" t="n">
        <v>2.8</v>
      </c>
      <c r="T2352" t="inlineStr">
        <is>
          <t>BTBR\test\c4f3.mp4</t>
        </is>
      </c>
      <c r="U2352" t="n">
        <v>11726</v>
      </c>
      <c r="V2352" t="n">
        <v>11808</v>
      </c>
      <c r="W2352" t="n">
        <v/>
      </c>
      <c r="X2352" t="n">
        <v/>
      </c>
      <c r="Y2352" t="n">
        <v/>
      </c>
      <c r="Z2352" t="n">
        <v/>
      </c>
      <c r="AA2352">
        <f>SUMIFS($S$2:S2352,$A$2:A2352,A2352,$N$2:N2352,"Explore*")</f>
        <v/>
      </c>
      <c r="AB2352">
        <f>IF(AND(LEFT(N2352,7)="Explore",(AA2352-IF(LEFT(N2352,7)="Explore",S2352,0))&lt;10),"SI","NO")</f>
        <v/>
      </c>
    </row>
    <row r="2353">
      <c r="A2353" t="inlineStr">
        <is>
          <t>c4f3_test</t>
        </is>
      </c>
      <c r="B2353" t="inlineStr">
        <is>
          <t>2026-02-06 14:46:38.530</t>
        </is>
      </c>
      <c r="C2353" t="n">
        <v/>
      </c>
      <c r="D2353" t="inlineStr">
        <is>
          <t>Media file</t>
        </is>
      </c>
      <c r="E2353" t="inlineStr">
        <is>
          <t>player #1:BTBR\test\c4f3.mp4</t>
        </is>
      </c>
      <c r="F2353" t="n">
        <v>-20.067</v>
      </c>
      <c r="G2353" t="n">
        <v>570.366</v>
      </c>
      <c r="H2353" t="n">
        <v>639.966</v>
      </c>
      <c r="I2353" t="n">
        <v>30</v>
      </c>
      <c r="J2353" t="inlineStr">
        <is>
          <t>BTBR</t>
        </is>
      </c>
      <c r="K2353" t="inlineStr">
        <is>
          <t xml:space="preserve"> Female</t>
        </is>
      </c>
      <c r="L2353" t="inlineStr">
        <is>
          <t>No focal subject</t>
        </is>
      </c>
      <c r="M2353" t="n">
        <v>44.6</v>
      </c>
      <c r="N2353" t="inlineStr">
        <is>
          <t>Explore_F</t>
        </is>
      </c>
      <c r="O2353" t="inlineStr">
        <is>
          <t>Familiar</t>
        </is>
      </c>
      <c r="P2353" t="inlineStr">
        <is>
          <t>STATE</t>
        </is>
      </c>
      <c r="Q2353" t="n">
        <v>382.466</v>
      </c>
      <c r="R2353" t="n">
        <v>382.733</v>
      </c>
      <c r="S2353" t="n">
        <v>0.267</v>
      </c>
      <c r="T2353" t="inlineStr">
        <is>
          <t>BTBR\test\c4f3.mp4</t>
        </is>
      </c>
      <c r="U2353" t="n">
        <v>11821</v>
      </c>
      <c r="V2353" t="n">
        <v>11829</v>
      </c>
      <c r="W2353" t="n">
        <v/>
      </c>
      <c r="X2353" t="n">
        <v/>
      </c>
      <c r="Y2353" t="n">
        <v/>
      </c>
      <c r="Z2353" t="n">
        <v/>
      </c>
      <c r="AA2353">
        <f>SUMIFS($S$2:S2353,$A$2:A2353,A2353,$N$2:N2353,"Explore*")</f>
        <v/>
      </c>
      <c r="AB2353">
        <f>IF(AND(LEFT(N2353,7)="Explore",(AA2353-IF(LEFT(N2353,7)="Explore",S2353,0))&lt;10),"SI","NO")</f>
        <v/>
      </c>
    </row>
    <row r="2354">
      <c r="A2354" t="inlineStr">
        <is>
          <t>c4f3_test</t>
        </is>
      </c>
      <c r="B2354" t="inlineStr">
        <is>
          <t>2026-02-06 14:46:38.530</t>
        </is>
      </c>
      <c r="C2354" t="n">
        <v/>
      </c>
      <c r="D2354" t="inlineStr">
        <is>
          <t>Media file</t>
        </is>
      </c>
      <c r="E2354" t="inlineStr">
        <is>
          <t>player #1:BTBR\test\c4f3.mp4</t>
        </is>
      </c>
      <c r="F2354" t="n">
        <v>-20.067</v>
      </c>
      <c r="G2354" t="n">
        <v>570.366</v>
      </c>
      <c r="H2354" t="n">
        <v>639.966</v>
      </c>
      <c r="I2354" t="n">
        <v>30</v>
      </c>
      <c r="J2354" t="inlineStr">
        <is>
          <t>BTBR</t>
        </is>
      </c>
      <c r="K2354" t="inlineStr">
        <is>
          <t xml:space="preserve"> Female</t>
        </is>
      </c>
      <c r="L2354" t="inlineStr">
        <is>
          <t>No focal subject</t>
        </is>
      </c>
      <c r="M2354" t="n">
        <v>44.6</v>
      </c>
      <c r="N2354" t="inlineStr">
        <is>
          <t>Explore_F</t>
        </is>
      </c>
      <c r="O2354" t="inlineStr">
        <is>
          <t>Familiar</t>
        </is>
      </c>
      <c r="P2354" t="inlineStr">
        <is>
          <t>STATE</t>
        </is>
      </c>
      <c r="Q2354" t="n">
        <v>383.199</v>
      </c>
      <c r="R2354" t="n">
        <v>383.733</v>
      </c>
      <c r="S2354" t="n">
        <v>0.534</v>
      </c>
      <c r="T2354" t="inlineStr">
        <is>
          <t>BTBR\test\c4f3.mp4</t>
        </is>
      </c>
      <c r="U2354" t="n">
        <v>11843</v>
      </c>
      <c r="V2354" t="n">
        <v>11859</v>
      </c>
      <c r="W2354" t="n">
        <v/>
      </c>
      <c r="X2354" t="n">
        <v/>
      </c>
      <c r="Y2354" t="n">
        <v/>
      </c>
      <c r="Z2354" t="n">
        <v/>
      </c>
      <c r="AA2354">
        <f>SUMIFS($S$2:S2354,$A$2:A2354,A2354,$N$2:N2354,"Explore*")</f>
        <v/>
      </c>
      <c r="AB2354">
        <f>IF(AND(LEFT(N2354,7)="Explore",(AA2354-IF(LEFT(N2354,7)="Explore",S2354,0))&lt;10),"SI","NO")</f>
        <v/>
      </c>
    </row>
    <row r="2355">
      <c r="A2355" t="inlineStr">
        <is>
          <t>c4f3_test</t>
        </is>
      </c>
      <c r="B2355" t="inlineStr">
        <is>
          <t>2026-02-06 14:46:38.530</t>
        </is>
      </c>
      <c r="C2355" t="n">
        <v/>
      </c>
      <c r="D2355" t="inlineStr">
        <is>
          <t>Media file</t>
        </is>
      </c>
      <c r="E2355" t="inlineStr">
        <is>
          <t>player #1:BTBR\test\c4f3.mp4</t>
        </is>
      </c>
      <c r="F2355" t="n">
        <v>-20.067</v>
      </c>
      <c r="G2355" t="n">
        <v>570.366</v>
      </c>
      <c r="H2355" t="n">
        <v>639.966</v>
      </c>
      <c r="I2355" t="n">
        <v>30</v>
      </c>
      <c r="J2355" t="inlineStr">
        <is>
          <t>BTBR</t>
        </is>
      </c>
      <c r="K2355" t="inlineStr">
        <is>
          <t xml:space="preserve"> Female</t>
        </is>
      </c>
      <c r="L2355" t="inlineStr">
        <is>
          <t>No focal subject</t>
        </is>
      </c>
      <c r="M2355" t="n">
        <v>44.6</v>
      </c>
      <c r="N2355" t="inlineStr">
        <is>
          <t>Explore_N</t>
        </is>
      </c>
      <c r="O2355" t="inlineStr">
        <is>
          <t>Novelty</t>
        </is>
      </c>
      <c r="P2355" t="inlineStr">
        <is>
          <t>STATE</t>
        </is>
      </c>
      <c r="Q2355" t="n">
        <v>393.033</v>
      </c>
      <c r="R2355" t="n">
        <v>393.699</v>
      </c>
      <c r="S2355" t="n">
        <v>0.666</v>
      </c>
      <c r="T2355" t="inlineStr">
        <is>
          <t>BTBR\test\c4f3.mp4</t>
        </is>
      </c>
      <c r="U2355" t="n">
        <v>12132</v>
      </c>
      <c r="V2355" t="n">
        <v>12151</v>
      </c>
      <c r="W2355" t="n">
        <v/>
      </c>
      <c r="X2355" t="n">
        <v/>
      </c>
      <c r="Y2355" t="n">
        <v/>
      </c>
      <c r="Z2355" t="n">
        <v/>
      </c>
      <c r="AA2355">
        <f>SUMIFS($S$2:S2355,$A$2:A2355,A2355,$N$2:N2355,"Explore*")</f>
        <v/>
      </c>
      <c r="AB2355">
        <f>IF(AND(LEFT(N2355,7)="Explore",(AA2355-IF(LEFT(N2355,7)="Explore",S2355,0))&lt;10),"SI","NO")</f>
        <v/>
      </c>
    </row>
    <row r="2356">
      <c r="A2356" t="inlineStr">
        <is>
          <t>c4f3_test</t>
        </is>
      </c>
      <c r="B2356" t="inlineStr">
        <is>
          <t>2026-02-06 14:46:38.530</t>
        </is>
      </c>
      <c r="C2356" t="n">
        <v/>
      </c>
      <c r="D2356" t="inlineStr">
        <is>
          <t>Media file</t>
        </is>
      </c>
      <c r="E2356" t="inlineStr">
        <is>
          <t>player #1:BTBR\test\c4f3.mp4</t>
        </is>
      </c>
      <c r="F2356" t="n">
        <v>-20.067</v>
      </c>
      <c r="G2356" t="n">
        <v>570.366</v>
      </c>
      <c r="H2356" t="n">
        <v>639.966</v>
      </c>
      <c r="I2356" t="n">
        <v>30</v>
      </c>
      <c r="J2356" t="inlineStr">
        <is>
          <t>BTBR</t>
        </is>
      </c>
      <c r="K2356" t="inlineStr">
        <is>
          <t xml:space="preserve"> Female</t>
        </is>
      </c>
      <c r="L2356" t="inlineStr">
        <is>
          <t>No focal subject</t>
        </is>
      </c>
      <c r="M2356" t="n">
        <v>44.6</v>
      </c>
      <c r="N2356" t="inlineStr">
        <is>
          <t>Explore_F</t>
        </is>
      </c>
      <c r="O2356" t="inlineStr">
        <is>
          <t>Familiar</t>
        </is>
      </c>
      <c r="P2356" t="inlineStr">
        <is>
          <t>STATE</t>
        </is>
      </c>
      <c r="Q2356" t="n">
        <v>395.699</v>
      </c>
      <c r="R2356" t="n">
        <v>396.199</v>
      </c>
      <c r="S2356" t="n">
        <v>0.5</v>
      </c>
      <c r="T2356" t="inlineStr">
        <is>
          <t>BTBR\test\c4f3.mp4</t>
        </is>
      </c>
      <c r="U2356" t="n">
        <v>12210</v>
      </c>
      <c r="V2356" t="n">
        <v>12225</v>
      </c>
      <c r="W2356" t="n">
        <v/>
      </c>
      <c r="X2356" t="n">
        <v/>
      </c>
      <c r="Y2356" t="n">
        <v/>
      </c>
      <c r="Z2356" t="n">
        <v/>
      </c>
      <c r="AA2356">
        <f>SUMIFS($S$2:S2356,$A$2:A2356,A2356,$N$2:N2356,"Explore*")</f>
        <v/>
      </c>
      <c r="AB2356">
        <f>IF(AND(LEFT(N2356,7)="Explore",(AA2356-IF(LEFT(N2356,7)="Explore",S2356,0))&lt;10),"SI","NO")</f>
        <v/>
      </c>
    </row>
    <row r="2357">
      <c r="A2357" t="inlineStr">
        <is>
          <t>c4f3_test</t>
        </is>
      </c>
      <c r="B2357" t="inlineStr">
        <is>
          <t>2026-02-06 14:46:38.530</t>
        </is>
      </c>
      <c r="C2357" t="n">
        <v/>
      </c>
      <c r="D2357" t="inlineStr">
        <is>
          <t>Media file</t>
        </is>
      </c>
      <c r="E2357" t="inlineStr">
        <is>
          <t>player #1:BTBR\test\c4f3.mp4</t>
        </is>
      </c>
      <c r="F2357" t="n">
        <v>-20.067</v>
      </c>
      <c r="G2357" t="n">
        <v>570.366</v>
      </c>
      <c r="H2357" t="n">
        <v>639.966</v>
      </c>
      <c r="I2357" t="n">
        <v>30</v>
      </c>
      <c r="J2357" t="inlineStr">
        <is>
          <t>BTBR</t>
        </is>
      </c>
      <c r="K2357" t="inlineStr">
        <is>
          <t xml:space="preserve"> Female</t>
        </is>
      </c>
      <c r="L2357" t="inlineStr">
        <is>
          <t>No focal subject</t>
        </is>
      </c>
      <c r="M2357" t="n">
        <v>44.6</v>
      </c>
      <c r="N2357" t="inlineStr">
        <is>
          <t>Explore_N</t>
        </is>
      </c>
      <c r="O2357" t="inlineStr">
        <is>
          <t>Novelty</t>
        </is>
      </c>
      <c r="P2357" t="inlineStr">
        <is>
          <t>STATE</t>
        </is>
      </c>
      <c r="Q2357" t="n">
        <v>398.766</v>
      </c>
      <c r="R2357" t="n">
        <v>399.033</v>
      </c>
      <c r="S2357" t="n">
        <v>0.267</v>
      </c>
      <c r="T2357" t="inlineStr">
        <is>
          <t>BTBR\test\c4f3.mp4</t>
        </is>
      </c>
      <c r="U2357" t="n">
        <v>12300</v>
      </c>
      <c r="V2357" t="n">
        <v>12308</v>
      </c>
      <c r="W2357" t="n">
        <v/>
      </c>
      <c r="X2357" t="n">
        <v/>
      </c>
      <c r="Y2357" t="n">
        <v/>
      </c>
      <c r="Z2357" t="n">
        <v/>
      </c>
      <c r="AA2357">
        <f>SUMIFS($S$2:S2357,$A$2:A2357,A2357,$N$2:N2357,"Explore*")</f>
        <v/>
      </c>
      <c r="AB2357">
        <f>IF(AND(LEFT(N2357,7)="Explore",(AA2357-IF(LEFT(N2357,7)="Explore",S2357,0))&lt;10),"SI","NO")</f>
        <v/>
      </c>
    </row>
    <row r="2358">
      <c r="A2358" t="inlineStr">
        <is>
          <t>c4f3_test</t>
        </is>
      </c>
      <c r="B2358" t="inlineStr">
        <is>
          <t>2026-02-06 14:46:38.530</t>
        </is>
      </c>
      <c r="C2358" t="n">
        <v/>
      </c>
      <c r="D2358" t="inlineStr">
        <is>
          <t>Media file</t>
        </is>
      </c>
      <c r="E2358" t="inlineStr">
        <is>
          <t>player #1:BTBR\test\c4f3.mp4</t>
        </is>
      </c>
      <c r="F2358" t="n">
        <v>-20.067</v>
      </c>
      <c r="G2358" t="n">
        <v>570.366</v>
      </c>
      <c r="H2358" t="n">
        <v>639.966</v>
      </c>
      <c r="I2358" t="n">
        <v>30</v>
      </c>
      <c r="J2358" t="inlineStr">
        <is>
          <t>BTBR</t>
        </is>
      </c>
      <c r="K2358" t="inlineStr">
        <is>
          <t xml:space="preserve"> Female</t>
        </is>
      </c>
      <c r="L2358" t="inlineStr">
        <is>
          <t>No focal subject</t>
        </is>
      </c>
      <c r="M2358" t="n">
        <v>44.6</v>
      </c>
      <c r="N2358" t="inlineStr">
        <is>
          <t>Explore_N</t>
        </is>
      </c>
      <c r="O2358" t="inlineStr">
        <is>
          <t>Novelty</t>
        </is>
      </c>
      <c r="P2358" t="inlineStr">
        <is>
          <t>STATE</t>
        </is>
      </c>
      <c r="Q2358" t="n">
        <v>419.166</v>
      </c>
      <c r="R2358" t="n">
        <v>419.633</v>
      </c>
      <c r="S2358" t="n">
        <v>0.467</v>
      </c>
      <c r="T2358" t="inlineStr">
        <is>
          <t>BTBR\test\c4f3.mp4</t>
        </is>
      </c>
      <c r="U2358" t="n">
        <v>12899</v>
      </c>
      <c r="V2358" t="n">
        <v>12913</v>
      </c>
      <c r="W2358" t="n">
        <v/>
      </c>
      <c r="X2358" t="n">
        <v/>
      </c>
      <c r="Y2358" t="n">
        <v/>
      </c>
      <c r="Z2358" t="n">
        <v/>
      </c>
      <c r="AA2358">
        <f>SUMIFS($S$2:S2358,$A$2:A2358,A2358,$N$2:N2358,"Explore*")</f>
        <v/>
      </c>
      <c r="AB2358">
        <f>IF(AND(LEFT(N2358,7)="Explore",(AA2358-IF(LEFT(N2358,7)="Explore",S2358,0))&lt;10),"SI","NO")</f>
        <v/>
      </c>
    </row>
    <row r="2359">
      <c r="A2359" t="inlineStr">
        <is>
          <t>c4f3_test</t>
        </is>
      </c>
      <c r="B2359" t="inlineStr">
        <is>
          <t>2026-02-06 14:46:38.530</t>
        </is>
      </c>
      <c r="C2359" t="n">
        <v/>
      </c>
      <c r="D2359" t="inlineStr">
        <is>
          <t>Media file</t>
        </is>
      </c>
      <c r="E2359" t="inlineStr">
        <is>
          <t>player #1:BTBR\test\c4f3.mp4</t>
        </is>
      </c>
      <c r="F2359" t="n">
        <v>-20.067</v>
      </c>
      <c r="G2359" t="n">
        <v>570.366</v>
      </c>
      <c r="H2359" t="n">
        <v>639.966</v>
      </c>
      <c r="I2359" t="n">
        <v>30</v>
      </c>
      <c r="J2359" t="inlineStr">
        <is>
          <t>BTBR</t>
        </is>
      </c>
      <c r="K2359" t="inlineStr">
        <is>
          <t xml:space="preserve"> Female</t>
        </is>
      </c>
      <c r="L2359" t="inlineStr">
        <is>
          <t>No focal subject</t>
        </is>
      </c>
      <c r="M2359" t="n">
        <v>44.6</v>
      </c>
      <c r="N2359" t="inlineStr">
        <is>
          <t>Explore_N</t>
        </is>
      </c>
      <c r="O2359" t="inlineStr">
        <is>
          <t>Novelty</t>
        </is>
      </c>
      <c r="P2359" t="inlineStr">
        <is>
          <t>STATE</t>
        </is>
      </c>
      <c r="Q2359" t="n">
        <v>422.033</v>
      </c>
      <c r="R2359" t="n">
        <v>423.166</v>
      </c>
      <c r="S2359" t="n">
        <v>1.133</v>
      </c>
      <c r="T2359" t="inlineStr">
        <is>
          <t>BTBR\test\c4f3.mp4</t>
        </is>
      </c>
      <c r="U2359" t="n">
        <v>12983</v>
      </c>
      <c r="V2359" t="n">
        <v>13017</v>
      </c>
      <c r="W2359" t="n">
        <v/>
      </c>
      <c r="X2359" t="n">
        <v/>
      </c>
      <c r="Y2359" t="n">
        <v/>
      </c>
      <c r="Z2359" t="n">
        <v/>
      </c>
      <c r="AA2359">
        <f>SUMIFS($S$2:S2359,$A$2:A2359,A2359,$N$2:N2359,"Explore*")</f>
        <v/>
      </c>
      <c r="AB2359">
        <f>IF(AND(LEFT(N2359,7)="Explore",(AA2359-IF(LEFT(N2359,7)="Explore",S2359,0))&lt;10),"SI","NO")</f>
        <v/>
      </c>
    </row>
    <row r="2360">
      <c r="A2360" t="inlineStr">
        <is>
          <t>c4f3_test</t>
        </is>
      </c>
      <c r="B2360" t="inlineStr">
        <is>
          <t>2026-02-06 14:46:38.530</t>
        </is>
      </c>
      <c r="C2360" t="n">
        <v/>
      </c>
      <c r="D2360" t="inlineStr">
        <is>
          <t>Media file</t>
        </is>
      </c>
      <c r="E2360" t="inlineStr">
        <is>
          <t>player #1:BTBR\test\c4f3.mp4</t>
        </is>
      </c>
      <c r="F2360" t="n">
        <v>-20.067</v>
      </c>
      <c r="G2360" t="n">
        <v>570.366</v>
      </c>
      <c r="H2360" t="n">
        <v>639.966</v>
      </c>
      <c r="I2360" t="n">
        <v>30</v>
      </c>
      <c r="J2360" t="inlineStr">
        <is>
          <t>BTBR</t>
        </is>
      </c>
      <c r="K2360" t="inlineStr">
        <is>
          <t xml:space="preserve"> Female</t>
        </is>
      </c>
      <c r="L2360" t="inlineStr">
        <is>
          <t>No focal subject</t>
        </is>
      </c>
      <c r="M2360" t="n">
        <v>44.6</v>
      </c>
      <c r="N2360" t="inlineStr">
        <is>
          <t>Explore_F</t>
        </is>
      </c>
      <c r="O2360" t="inlineStr">
        <is>
          <t>Familiar</t>
        </is>
      </c>
      <c r="P2360" t="inlineStr">
        <is>
          <t>STATE</t>
        </is>
      </c>
      <c r="Q2360" t="n">
        <v>424.233</v>
      </c>
      <c r="R2360" t="n">
        <v>424.799</v>
      </c>
      <c r="S2360" t="n">
        <v>0.5659999999999999</v>
      </c>
      <c r="T2360" t="inlineStr">
        <is>
          <t>BTBR\test\c4f3.mp4</t>
        </is>
      </c>
      <c r="U2360" t="n">
        <v>13048</v>
      </c>
      <c r="V2360" t="n">
        <v>13065</v>
      </c>
      <c r="W2360" t="n">
        <v/>
      </c>
      <c r="X2360" t="n">
        <v/>
      </c>
      <c r="Y2360" t="n">
        <v/>
      </c>
      <c r="Z2360" t="n">
        <v/>
      </c>
      <c r="AA2360">
        <f>SUMIFS($S$2:S2360,$A$2:A2360,A2360,$N$2:N2360,"Explore*")</f>
        <v/>
      </c>
      <c r="AB2360">
        <f>IF(AND(LEFT(N2360,7)="Explore",(AA2360-IF(LEFT(N2360,7)="Explore",S2360,0))&lt;10),"SI","NO")</f>
        <v/>
      </c>
    </row>
    <row r="2361">
      <c r="A2361" t="inlineStr">
        <is>
          <t>c4f3_test</t>
        </is>
      </c>
      <c r="B2361" t="inlineStr">
        <is>
          <t>2026-02-06 14:46:38.530</t>
        </is>
      </c>
      <c r="C2361" t="n">
        <v/>
      </c>
      <c r="D2361" t="inlineStr">
        <is>
          <t>Media file</t>
        </is>
      </c>
      <c r="E2361" t="inlineStr">
        <is>
          <t>player #1:BTBR\test\c4f3.mp4</t>
        </is>
      </c>
      <c r="F2361" t="n">
        <v>-20.067</v>
      </c>
      <c r="G2361" t="n">
        <v>570.366</v>
      </c>
      <c r="H2361" t="n">
        <v>639.966</v>
      </c>
      <c r="I2361" t="n">
        <v>30</v>
      </c>
      <c r="J2361" t="inlineStr">
        <is>
          <t>BTBR</t>
        </is>
      </c>
      <c r="K2361" t="inlineStr">
        <is>
          <t xml:space="preserve"> Female</t>
        </is>
      </c>
      <c r="L2361" t="inlineStr">
        <is>
          <t>No focal subject</t>
        </is>
      </c>
      <c r="M2361" t="n">
        <v>44.6</v>
      </c>
      <c r="N2361" t="inlineStr">
        <is>
          <t>Explore_N</t>
        </is>
      </c>
      <c r="O2361" t="inlineStr">
        <is>
          <t>Novelty</t>
        </is>
      </c>
      <c r="P2361" t="inlineStr">
        <is>
          <t>STATE</t>
        </is>
      </c>
      <c r="Q2361" t="n">
        <v>428.033</v>
      </c>
      <c r="R2361" t="n">
        <v>428.599</v>
      </c>
      <c r="S2361" t="n">
        <v>0.5659999999999999</v>
      </c>
      <c r="T2361" t="inlineStr">
        <is>
          <t>BTBR\test\c4f3.mp4</t>
        </is>
      </c>
      <c r="U2361" t="n">
        <v>13160</v>
      </c>
      <c r="V2361" t="n">
        <v>13176</v>
      </c>
      <c r="W2361" t="n">
        <v/>
      </c>
      <c r="X2361" t="n">
        <v/>
      </c>
      <c r="Y2361" t="n">
        <v/>
      </c>
      <c r="Z2361" t="n">
        <v/>
      </c>
      <c r="AA2361">
        <f>SUMIFS($S$2:S2361,$A$2:A2361,A2361,$N$2:N2361,"Explore*")</f>
        <v/>
      </c>
      <c r="AB2361">
        <f>IF(AND(LEFT(N2361,7)="Explore",(AA2361-IF(LEFT(N2361,7)="Explore",S2361,0))&lt;10),"SI","NO")</f>
        <v/>
      </c>
    </row>
    <row r="2362">
      <c r="A2362" t="inlineStr">
        <is>
          <t>c4f3_test</t>
        </is>
      </c>
      <c r="B2362" t="inlineStr">
        <is>
          <t>2026-02-06 14:46:38.530</t>
        </is>
      </c>
      <c r="C2362" t="n">
        <v/>
      </c>
      <c r="D2362" t="inlineStr">
        <is>
          <t>Media file</t>
        </is>
      </c>
      <c r="E2362" t="inlineStr">
        <is>
          <t>player #1:BTBR\test\c4f3.mp4</t>
        </is>
      </c>
      <c r="F2362" t="n">
        <v>-20.067</v>
      </c>
      <c r="G2362" t="n">
        <v>570.366</v>
      </c>
      <c r="H2362" t="n">
        <v>639.966</v>
      </c>
      <c r="I2362" t="n">
        <v>30</v>
      </c>
      <c r="J2362" t="inlineStr">
        <is>
          <t>BTBR</t>
        </is>
      </c>
      <c r="K2362" t="inlineStr">
        <is>
          <t xml:space="preserve"> Female</t>
        </is>
      </c>
      <c r="L2362" t="inlineStr">
        <is>
          <t>No focal subject</t>
        </is>
      </c>
      <c r="M2362" t="n">
        <v>44.6</v>
      </c>
      <c r="N2362" t="inlineStr">
        <is>
          <t>Explore_F</t>
        </is>
      </c>
      <c r="O2362" t="inlineStr">
        <is>
          <t>Familiar</t>
        </is>
      </c>
      <c r="P2362" t="inlineStr">
        <is>
          <t>STATE</t>
        </is>
      </c>
      <c r="Q2362" t="n">
        <v>431.299</v>
      </c>
      <c r="R2362" t="n">
        <v>431.933</v>
      </c>
      <c r="S2362" t="n">
        <v>0.634</v>
      </c>
      <c r="T2362" t="inlineStr">
        <is>
          <t>BTBR\test\c4f3.mp4</t>
        </is>
      </c>
      <c r="U2362" t="n">
        <v>13256</v>
      </c>
      <c r="V2362" t="n">
        <v>13274</v>
      </c>
      <c r="W2362" t="n">
        <v/>
      </c>
      <c r="X2362" t="n">
        <v/>
      </c>
      <c r="Y2362" t="n">
        <v/>
      </c>
      <c r="Z2362" t="n">
        <v/>
      </c>
      <c r="AA2362">
        <f>SUMIFS($S$2:S2362,$A$2:A2362,A2362,$N$2:N2362,"Explore*")</f>
        <v/>
      </c>
      <c r="AB2362">
        <f>IF(AND(LEFT(N2362,7)="Explore",(AA2362-IF(LEFT(N2362,7)="Explore",S2362,0))&lt;10),"SI","NO")</f>
        <v/>
      </c>
    </row>
    <row r="2363">
      <c r="A2363" t="inlineStr">
        <is>
          <t>c4f3_test</t>
        </is>
      </c>
      <c r="B2363" t="inlineStr">
        <is>
          <t>2026-02-06 14:46:38.530</t>
        </is>
      </c>
      <c r="C2363" t="n">
        <v/>
      </c>
      <c r="D2363" t="inlineStr">
        <is>
          <t>Media file</t>
        </is>
      </c>
      <c r="E2363" t="inlineStr">
        <is>
          <t>player #1:BTBR\test\c4f3.mp4</t>
        </is>
      </c>
      <c r="F2363" t="n">
        <v>-20.067</v>
      </c>
      <c r="G2363" t="n">
        <v>570.366</v>
      </c>
      <c r="H2363" t="n">
        <v>639.966</v>
      </c>
      <c r="I2363" t="n">
        <v>30</v>
      </c>
      <c r="J2363" t="inlineStr">
        <is>
          <t>BTBR</t>
        </is>
      </c>
      <c r="K2363" t="inlineStr">
        <is>
          <t xml:space="preserve"> Female</t>
        </is>
      </c>
      <c r="L2363" t="inlineStr">
        <is>
          <t>No focal subject</t>
        </is>
      </c>
      <c r="M2363" t="n">
        <v>44.6</v>
      </c>
      <c r="N2363" t="inlineStr">
        <is>
          <t>Explore_F</t>
        </is>
      </c>
      <c r="O2363" t="inlineStr">
        <is>
          <t>Familiar</t>
        </is>
      </c>
      <c r="P2363" t="inlineStr">
        <is>
          <t>STATE</t>
        </is>
      </c>
      <c r="Q2363" t="n">
        <v>461.433</v>
      </c>
      <c r="R2363" t="n">
        <v>462.199</v>
      </c>
      <c r="S2363" t="n">
        <v>0.766</v>
      </c>
      <c r="T2363" t="inlineStr">
        <is>
          <t>BTBR\test\c4f3.mp4</t>
        </is>
      </c>
      <c r="U2363" t="n">
        <v>14141</v>
      </c>
      <c r="V2363" t="n">
        <v>14163</v>
      </c>
      <c r="W2363" t="n">
        <v/>
      </c>
      <c r="X2363" t="n">
        <v/>
      </c>
      <c r="Y2363" t="n">
        <v/>
      </c>
      <c r="Z2363" t="n">
        <v/>
      </c>
      <c r="AA2363">
        <f>SUMIFS($S$2:S2363,$A$2:A2363,A2363,$N$2:N2363,"Explore*")</f>
        <v/>
      </c>
      <c r="AB2363">
        <f>IF(AND(LEFT(N2363,7)="Explore",(AA2363-IF(LEFT(N2363,7)="Explore",S2363,0))&lt;10),"SI","NO")</f>
        <v/>
      </c>
    </row>
    <row r="2364">
      <c r="A2364" t="inlineStr">
        <is>
          <t>c4f3_test</t>
        </is>
      </c>
      <c r="B2364" t="inlineStr">
        <is>
          <t>2026-02-06 14:46:38.530</t>
        </is>
      </c>
      <c r="C2364" t="n">
        <v/>
      </c>
      <c r="D2364" t="inlineStr">
        <is>
          <t>Media file</t>
        </is>
      </c>
      <c r="E2364" t="inlineStr">
        <is>
          <t>player #1:BTBR\test\c4f3.mp4</t>
        </is>
      </c>
      <c r="F2364" t="n">
        <v>-20.067</v>
      </c>
      <c r="G2364" t="n">
        <v>570.366</v>
      </c>
      <c r="H2364" t="n">
        <v>639.966</v>
      </c>
      <c r="I2364" t="n">
        <v>30</v>
      </c>
      <c r="J2364" t="inlineStr">
        <is>
          <t>BTBR</t>
        </is>
      </c>
      <c r="K2364" t="inlineStr">
        <is>
          <t xml:space="preserve"> Female</t>
        </is>
      </c>
      <c r="L2364" t="inlineStr">
        <is>
          <t>No focal subject</t>
        </is>
      </c>
      <c r="M2364" t="n">
        <v>44.6</v>
      </c>
      <c r="N2364" t="inlineStr">
        <is>
          <t>Explore_N</t>
        </is>
      </c>
      <c r="O2364" t="inlineStr">
        <is>
          <t>Novelty</t>
        </is>
      </c>
      <c r="P2364" t="inlineStr">
        <is>
          <t>STATE</t>
        </is>
      </c>
      <c r="Q2364" t="n">
        <v>467.999</v>
      </c>
      <c r="R2364" t="n">
        <v>468.766</v>
      </c>
      <c r="S2364" t="n">
        <v>0.767</v>
      </c>
      <c r="T2364" t="inlineStr">
        <is>
          <t>BTBR\test\c4f3.mp4</t>
        </is>
      </c>
      <c r="U2364" t="n">
        <v>14333</v>
      </c>
      <c r="V2364" t="n">
        <v>14356</v>
      </c>
      <c r="W2364" t="n">
        <v/>
      </c>
      <c r="X2364" t="n">
        <v/>
      </c>
      <c r="Y2364" t="n">
        <v/>
      </c>
      <c r="Z2364" t="n">
        <v/>
      </c>
      <c r="AA2364">
        <f>SUMIFS($S$2:S2364,$A$2:A2364,A2364,$N$2:N2364,"Explore*")</f>
        <v/>
      </c>
      <c r="AB2364">
        <f>IF(AND(LEFT(N2364,7)="Explore",(AA2364-IF(LEFT(N2364,7)="Explore",S2364,0))&lt;10),"SI","NO")</f>
        <v/>
      </c>
    </row>
    <row r="2365">
      <c r="A2365" t="inlineStr">
        <is>
          <t>c4f3_test</t>
        </is>
      </c>
      <c r="B2365" t="inlineStr">
        <is>
          <t>2026-02-06 14:46:38.530</t>
        </is>
      </c>
      <c r="C2365" t="n">
        <v/>
      </c>
      <c r="D2365" t="inlineStr">
        <is>
          <t>Media file</t>
        </is>
      </c>
      <c r="E2365" t="inlineStr">
        <is>
          <t>player #1:BTBR\test\c4f3.mp4</t>
        </is>
      </c>
      <c r="F2365" t="n">
        <v>-20.067</v>
      </c>
      <c r="G2365" t="n">
        <v>570.366</v>
      </c>
      <c r="H2365" t="n">
        <v>639.966</v>
      </c>
      <c r="I2365" t="n">
        <v>30</v>
      </c>
      <c r="J2365" t="inlineStr">
        <is>
          <t>BTBR</t>
        </is>
      </c>
      <c r="K2365" t="inlineStr">
        <is>
          <t xml:space="preserve"> Female</t>
        </is>
      </c>
      <c r="L2365" t="inlineStr">
        <is>
          <t>No focal subject</t>
        </is>
      </c>
      <c r="M2365" t="n">
        <v>44.6</v>
      </c>
      <c r="N2365" t="inlineStr">
        <is>
          <t>Explore_F</t>
        </is>
      </c>
      <c r="O2365" t="inlineStr">
        <is>
          <t>Familiar</t>
        </is>
      </c>
      <c r="P2365" t="inlineStr">
        <is>
          <t>STATE</t>
        </is>
      </c>
      <c r="Q2365" t="n">
        <v>582.432</v>
      </c>
      <c r="R2365" t="n">
        <v>582.699</v>
      </c>
      <c r="S2365" t="n">
        <v>0.267</v>
      </c>
      <c r="T2365" t="inlineStr">
        <is>
          <t>BTBR\test\c4f3.mp4</t>
        </is>
      </c>
      <c r="U2365" t="n">
        <v>17694</v>
      </c>
      <c r="V2365" t="n">
        <v>17702</v>
      </c>
      <c r="W2365" t="n">
        <v/>
      </c>
      <c r="X2365" t="n">
        <v/>
      </c>
      <c r="Y2365" t="n">
        <v/>
      </c>
      <c r="Z2365" t="n">
        <v/>
      </c>
      <c r="AA2365">
        <f>SUMIFS($S$2:S2365,$A$2:A2365,A2365,$N$2:N2365,"Explore*")</f>
        <v/>
      </c>
      <c r="AB2365">
        <f>IF(AND(LEFT(N2365,7)="Explore",(AA2365-IF(LEFT(N2365,7)="Explore",S2365,0))&lt;10),"SI","NO")</f>
        <v/>
      </c>
    </row>
    <row r="2366">
      <c r="A2366" t="inlineStr">
        <is>
          <t>c5m1_test</t>
        </is>
      </c>
      <c r="B2366" t="inlineStr">
        <is>
          <t>2026-02-06 14:54:53.619</t>
        </is>
      </c>
      <c r="C2366" t="n">
        <v/>
      </c>
      <c r="D2366" t="inlineStr">
        <is>
          <t>Media file</t>
        </is>
      </c>
      <c r="E2366" t="inlineStr">
        <is>
          <t>player #1:BTBR\test\c5m1.mp4</t>
        </is>
      </c>
      <c r="F2366" t="n">
        <v>-35.767</v>
      </c>
      <c r="G2366" t="n">
        <v>586.299</v>
      </c>
      <c r="H2366" t="n">
        <v>651.099</v>
      </c>
      <c r="I2366" t="n">
        <v>30</v>
      </c>
      <c r="J2366" t="inlineStr">
        <is>
          <t>BTBR</t>
        </is>
      </c>
      <c r="K2366" t="inlineStr">
        <is>
          <t>Male</t>
        </is>
      </c>
      <c r="L2366" t="inlineStr">
        <is>
          <t>No focal subject</t>
        </is>
      </c>
      <c r="M2366" t="n">
        <v>39.397</v>
      </c>
      <c r="N2366" t="inlineStr">
        <is>
          <t>Explore_N</t>
        </is>
      </c>
      <c r="O2366" t="inlineStr">
        <is>
          <t>Novelty</t>
        </is>
      </c>
      <c r="P2366" t="inlineStr">
        <is>
          <t>STATE</t>
        </is>
      </c>
      <c r="Q2366" t="n">
        <v>7.2</v>
      </c>
      <c r="R2366" t="n">
        <v>8.266</v>
      </c>
      <c r="S2366" t="n">
        <v>1.066</v>
      </c>
      <c r="T2366" t="inlineStr">
        <is>
          <t>BTBR\test\c5m1.mp4</t>
        </is>
      </c>
      <c r="U2366" t="n">
        <v>216</v>
      </c>
      <c r="V2366" t="n">
        <v>248</v>
      </c>
      <c r="W2366" t="n">
        <v/>
      </c>
      <c r="X2366" t="n">
        <v/>
      </c>
      <c r="Y2366" t="n">
        <v/>
      </c>
      <c r="Z2366" t="n">
        <v/>
      </c>
      <c r="AA2366">
        <f>SUMIFS($S$2:S2366,$A$2:A2366,A2366,$N$2:N2366,"Explore*")</f>
        <v/>
      </c>
      <c r="AB2366">
        <f>IF(AND(LEFT(N2366,7)="Explore",(AA2366-IF(LEFT(N2366,7)="Explore",S2366,0))&lt;10),"SI","NO")</f>
        <v/>
      </c>
    </row>
    <row r="2367">
      <c r="A2367" t="inlineStr">
        <is>
          <t>c5m1_test</t>
        </is>
      </c>
      <c r="B2367" t="inlineStr">
        <is>
          <t>2026-02-06 14:54:53.619</t>
        </is>
      </c>
      <c r="C2367" t="n">
        <v/>
      </c>
      <c r="D2367" t="inlineStr">
        <is>
          <t>Media file</t>
        </is>
      </c>
      <c r="E2367" t="inlineStr">
        <is>
          <t>player #1:BTBR\test\c5m1.mp4</t>
        </is>
      </c>
      <c r="F2367" t="n">
        <v>-35.767</v>
      </c>
      <c r="G2367" t="n">
        <v>586.299</v>
      </c>
      <c r="H2367" t="n">
        <v>651.099</v>
      </c>
      <c r="I2367" t="n">
        <v>30</v>
      </c>
      <c r="J2367" t="inlineStr">
        <is>
          <t>BTBR</t>
        </is>
      </c>
      <c r="K2367" t="inlineStr">
        <is>
          <t>Male</t>
        </is>
      </c>
      <c r="L2367" t="inlineStr">
        <is>
          <t>No focal subject</t>
        </is>
      </c>
      <c r="M2367" t="n">
        <v>39.397</v>
      </c>
      <c r="N2367" t="inlineStr">
        <is>
          <t>Explore_F</t>
        </is>
      </c>
      <c r="O2367" t="inlineStr">
        <is>
          <t>Familiar</t>
        </is>
      </c>
      <c r="P2367" t="inlineStr">
        <is>
          <t>STATE</t>
        </is>
      </c>
      <c r="Q2367" t="n">
        <v>8.733000000000001</v>
      </c>
      <c r="R2367" t="n">
        <v>9.433</v>
      </c>
      <c r="S2367" t="n">
        <v>0.7</v>
      </c>
      <c r="T2367" t="inlineStr">
        <is>
          <t>BTBR\test\c5m1.mp4</t>
        </is>
      </c>
      <c r="U2367" t="n">
        <v>262</v>
      </c>
      <c r="V2367" t="n">
        <v>283</v>
      </c>
      <c r="W2367" t="n">
        <v/>
      </c>
      <c r="X2367" t="n">
        <v/>
      </c>
      <c r="Y2367" t="n">
        <v/>
      </c>
      <c r="Z2367" t="n">
        <v/>
      </c>
      <c r="AA2367">
        <f>SUMIFS($S$2:S2367,$A$2:A2367,A2367,$N$2:N2367,"Explore*")</f>
        <v/>
      </c>
      <c r="AB2367">
        <f>IF(AND(LEFT(N2367,7)="Explore",(AA2367-IF(LEFT(N2367,7)="Explore",S2367,0))&lt;10),"SI","NO")</f>
        <v/>
      </c>
    </row>
    <row r="2368">
      <c r="A2368" t="inlineStr">
        <is>
          <t>c5m1_test</t>
        </is>
      </c>
      <c r="B2368" t="inlineStr">
        <is>
          <t>2026-02-06 14:54:53.619</t>
        </is>
      </c>
      <c r="C2368" t="n">
        <v/>
      </c>
      <c r="D2368" t="inlineStr">
        <is>
          <t>Media file</t>
        </is>
      </c>
      <c r="E2368" t="inlineStr">
        <is>
          <t>player #1:BTBR\test\c5m1.mp4</t>
        </is>
      </c>
      <c r="F2368" t="n">
        <v>-35.767</v>
      </c>
      <c r="G2368" t="n">
        <v>586.299</v>
      </c>
      <c r="H2368" t="n">
        <v>651.099</v>
      </c>
      <c r="I2368" t="n">
        <v>30</v>
      </c>
      <c r="J2368" t="inlineStr">
        <is>
          <t>BTBR</t>
        </is>
      </c>
      <c r="K2368" t="inlineStr">
        <is>
          <t>Male</t>
        </is>
      </c>
      <c r="L2368" t="inlineStr">
        <is>
          <t>No focal subject</t>
        </is>
      </c>
      <c r="M2368" t="n">
        <v>39.397</v>
      </c>
      <c r="N2368" t="inlineStr">
        <is>
          <t>Explore_N</t>
        </is>
      </c>
      <c r="O2368" t="inlineStr">
        <is>
          <t>Novelty</t>
        </is>
      </c>
      <c r="P2368" t="inlineStr">
        <is>
          <t>STATE</t>
        </is>
      </c>
      <c r="Q2368" t="n">
        <v>15.366</v>
      </c>
      <c r="R2368" t="n">
        <v>16.4</v>
      </c>
      <c r="S2368" t="n">
        <v>1.034</v>
      </c>
      <c r="T2368" t="inlineStr">
        <is>
          <t>BTBR\test\c5m1.mp4</t>
        </is>
      </c>
      <c r="U2368" t="n">
        <v>460</v>
      </c>
      <c r="V2368" t="n">
        <v>491</v>
      </c>
      <c r="W2368" t="n">
        <v/>
      </c>
      <c r="X2368" t="n">
        <v/>
      </c>
      <c r="Y2368" t="n">
        <v/>
      </c>
      <c r="Z2368" t="n">
        <v/>
      </c>
      <c r="AA2368">
        <f>SUMIFS($S$2:S2368,$A$2:A2368,A2368,$N$2:N2368,"Explore*")</f>
        <v/>
      </c>
      <c r="AB2368">
        <f>IF(AND(LEFT(N2368,7)="Explore",(AA2368-IF(LEFT(N2368,7)="Explore",S2368,0))&lt;10),"SI","NO")</f>
        <v/>
      </c>
    </row>
    <row r="2369">
      <c r="A2369" t="inlineStr">
        <is>
          <t>c5m1_test</t>
        </is>
      </c>
      <c r="B2369" t="inlineStr">
        <is>
          <t>2026-02-06 14:54:53.619</t>
        </is>
      </c>
      <c r="C2369" t="n">
        <v/>
      </c>
      <c r="D2369" t="inlineStr">
        <is>
          <t>Media file</t>
        </is>
      </c>
      <c r="E2369" t="inlineStr">
        <is>
          <t>player #1:BTBR\test\c5m1.mp4</t>
        </is>
      </c>
      <c r="F2369" t="n">
        <v>-35.767</v>
      </c>
      <c r="G2369" t="n">
        <v>586.299</v>
      </c>
      <c r="H2369" t="n">
        <v>651.099</v>
      </c>
      <c r="I2369" t="n">
        <v>30</v>
      </c>
      <c r="J2369" t="inlineStr">
        <is>
          <t>BTBR</t>
        </is>
      </c>
      <c r="K2369" t="inlineStr">
        <is>
          <t>Male</t>
        </is>
      </c>
      <c r="L2369" t="inlineStr">
        <is>
          <t>No focal subject</t>
        </is>
      </c>
      <c r="M2369" t="n">
        <v>39.397</v>
      </c>
      <c r="N2369" t="inlineStr">
        <is>
          <t>Explore_N</t>
        </is>
      </c>
      <c r="O2369" t="inlineStr">
        <is>
          <t>Novelty</t>
        </is>
      </c>
      <c r="P2369" t="inlineStr">
        <is>
          <t>STATE</t>
        </is>
      </c>
      <c r="Q2369" t="n">
        <v>19.933</v>
      </c>
      <c r="R2369" t="n">
        <v>20.933</v>
      </c>
      <c r="S2369" t="n">
        <v>1</v>
      </c>
      <c r="T2369" t="inlineStr">
        <is>
          <t>BTBR\test\c5m1.mp4</t>
        </is>
      </c>
      <c r="U2369" t="n">
        <v>597</v>
      </c>
      <c r="V2369" t="n">
        <v>627</v>
      </c>
      <c r="W2369" t="n">
        <v/>
      </c>
      <c r="X2369" t="n">
        <v/>
      </c>
      <c r="Y2369" t="n">
        <v/>
      </c>
      <c r="Z2369" t="n">
        <v/>
      </c>
      <c r="AA2369">
        <f>SUMIFS($S$2:S2369,$A$2:A2369,A2369,$N$2:N2369,"Explore*")</f>
        <v/>
      </c>
      <c r="AB2369">
        <f>IF(AND(LEFT(N2369,7)="Explore",(AA2369-IF(LEFT(N2369,7)="Explore",S2369,0))&lt;10),"SI","NO")</f>
        <v/>
      </c>
    </row>
    <row r="2370">
      <c r="A2370" t="inlineStr">
        <is>
          <t>c5m1_test</t>
        </is>
      </c>
      <c r="B2370" t="inlineStr">
        <is>
          <t>2026-02-06 14:54:53.619</t>
        </is>
      </c>
      <c r="C2370" t="n">
        <v/>
      </c>
      <c r="D2370" t="inlineStr">
        <is>
          <t>Media file</t>
        </is>
      </c>
      <c r="E2370" t="inlineStr">
        <is>
          <t>player #1:BTBR\test\c5m1.mp4</t>
        </is>
      </c>
      <c r="F2370" t="n">
        <v>-35.767</v>
      </c>
      <c r="G2370" t="n">
        <v>586.299</v>
      </c>
      <c r="H2370" t="n">
        <v>651.099</v>
      </c>
      <c r="I2370" t="n">
        <v>30</v>
      </c>
      <c r="J2370" t="inlineStr">
        <is>
          <t>BTBR</t>
        </is>
      </c>
      <c r="K2370" t="inlineStr">
        <is>
          <t>Male</t>
        </is>
      </c>
      <c r="L2370" t="inlineStr">
        <is>
          <t>No focal subject</t>
        </is>
      </c>
      <c r="M2370" t="n">
        <v>39.397</v>
      </c>
      <c r="N2370" t="inlineStr">
        <is>
          <t>Explore_F</t>
        </is>
      </c>
      <c r="O2370" t="inlineStr">
        <is>
          <t>Familiar</t>
        </is>
      </c>
      <c r="P2370" t="inlineStr">
        <is>
          <t>STATE</t>
        </is>
      </c>
      <c r="Q2370" t="n">
        <v>24.766</v>
      </c>
      <c r="R2370" t="n">
        <v>25.066</v>
      </c>
      <c r="S2370" t="n">
        <v>0.3</v>
      </c>
      <c r="T2370" t="inlineStr">
        <is>
          <t>BTBR\test\c5m1.mp4</t>
        </is>
      </c>
      <c r="U2370" t="n">
        <v>742</v>
      </c>
      <c r="V2370" t="n">
        <v>751</v>
      </c>
      <c r="W2370" t="n">
        <v/>
      </c>
      <c r="X2370" t="n">
        <v/>
      </c>
      <c r="Y2370" t="n">
        <v/>
      </c>
      <c r="Z2370" t="n">
        <v/>
      </c>
      <c r="AA2370">
        <f>SUMIFS($S$2:S2370,$A$2:A2370,A2370,$N$2:N2370,"Explore*")</f>
        <v/>
      </c>
      <c r="AB2370">
        <f>IF(AND(LEFT(N2370,7)="Explore",(AA2370-IF(LEFT(N2370,7)="Explore",S2370,0))&lt;10),"SI","NO")</f>
        <v/>
      </c>
    </row>
    <row r="2371">
      <c r="A2371" t="inlineStr">
        <is>
          <t>c5m1_test</t>
        </is>
      </c>
      <c r="B2371" t="inlineStr">
        <is>
          <t>2026-02-06 14:54:53.619</t>
        </is>
      </c>
      <c r="C2371" t="n">
        <v/>
      </c>
      <c r="D2371" t="inlineStr">
        <is>
          <t>Media file</t>
        </is>
      </c>
      <c r="E2371" t="inlineStr">
        <is>
          <t>player #1:BTBR\test\c5m1.mp4</t>
        </is>
      </c>
      <c r="F2371" t="n">
        <v>-35.767</v>
      </c>
      <c r="G2371" t="n">
        <v>586.299</v>
      </c>
      <c r="H2371" t="n">
        <v>651.099</v>
      </c>
      <c r="I2371" t="n">
        <v>30</v>
      </c>
      <c r="J2371" t="inlineStr">
        <is>
          <t>BTBR</t>
        </is>
      </c>
      <c r="K2371" t="inlineStr">
        <is>
          <t>Male</t>
        </is>
      </c>
      <c r="L2371" t="inlineStr">
        <is>
          <t>No focal subject</t>
        </is>
      </c>
      <c r="M2371" t="n">
        <v>39.397</v>
      </c>
      <c r="N2371" t="inlineStr">
        <is>
          <t>Explore_N</t>
        </is>
      </c>
      <c r="O2371" t="inlineStr">
        <is>
          <t>Novelty</t>
        </is>
      </c>
      <c r="P2371" t="inlineStr">
        <is>
          <t>STATE</t>
        </is>
      </c>
      <c r="Q2371" t="n">
        <v>27.266</v>
      </c>
      <c r="R2371" t="n">
        <v>27.866</v>
      </c>
      <c r="S2371" t="n">
        <v>0.6</v>
      </c>
      <c r="T2371" t="inlineStr">
        <is>
          <t>BTBR\test\c5m1.mp4</t>
        </is>
      </c>
      <c r="U2371" t="n">
        <v>817</v>
      </c>
      <c r="V2371" t="n">
        <v>835</v>
      </c>
      <c r="W2371" t="n">
        <v/>
      </c>
      <c r="X2371" t="n">
        <v/>
      </c>
      <c r="Y2371" t="n">
        <v/>
      </c>
      <c r="Z2371" t="n">
        <v/>
      </c>
      <c r="AA2371">
        <f>SUMIFS($S$2:S2371,$A$2:A2371,A2371,$N$2:N2371,"Explore*")</f>
        <v/>
      </c>
      <c r="AB2371">
        <f>IF(AND(LEFT(N2371,7)="Explore",(AA2371-IF(LEFT(N2371,7)="Explore",S2371,0))&lt;10),"SI","NO")</f>
        <v/>
      </c>
    </row>
    <row r="2372">
      <c r="A2372" t="inlineStr">
        <is>
          <t>c5m1_test</t>
        </is>
      </c>
      <c r="B2372" t="inlineStr">
        <is>
          <t>2026-02-06 14:54:53.619</t>
        </is>
      </c>
      <c r="C2372" t="n">
        <v/>
      </c>
      <c r="D2372" t="inlineStr">
        <is>
          <t>Media file</t>
        </is>
      </c>
      <c r="E2372" t="inlineStr">
        <is>
          <t>player #1:BTBR\test\c5m1.mp4</t>
        </is>
      </c>
      <c r="F2372" t="n">
        <v>-35.767</v>
      </c>
      <c r="G2372" t="n">
        <v>586.299</v>
      </c>
      <c r="H2372" t="n">
        <v>651.099</v>
      </c>
      <c r="I2372" t="n">
        <v>30</v>
      </c>
      <c r="J2372" t="inlineStr">
        <is>
          <t>BTBR</t>
        </is>
      </c>
      <c r="K2372" t="inlineStr">
        <is>
          <t>Male</t>
        </is>
      </c>
      <c r="L2372" t="inlineStr">
        <is>
          <t>No focal subject</t>
        </is>
      </c>
      <c r="M2372" t="n">
        <v>39.397</v>
      </c>
      <c r="N2372" t="inlineStr">
        <is>
          <t>Explore_F</t>
        </is>
      </c>
      <c r="O2372" t="inlineStr">
        <is>
          <t>Familiar</t>
        </is>
      </c>
      <c r="P2372" t="inlineStr">
        <is>
          <t>STATE</t>
        </is>
      </c>
      <c r="Q2372" t="n">
        <v>30.333</v>
      </c>
      <c r="R2372" t="n">
        <v>30.833</v>
      </c>
      <c r="S2372" t="n">
        <v>0.5</v>
      </c>
      <c r="T2372" t="inlineStr">
        <is>
          <t>BTBR\test\c5m1.mp4</t>
        </is>
      </c>
      <c r="U2372" t="n">
        <v>909</v>
      </c>
      <c r="V2372" t="n">
        <v>924</v>
      </c>
      <c r="W2372" t="n">
        <v/>
      </c>
      <c r="X2372" t="n">
        <v/>
      </c>
      <c r="Y2372" t="n">
        <v/>
      </c>
      <c r="Z2372" t="n">
        <v/>
      </c>
      <c r="AA2372">
        <f>SUMIFS($S$2:S2372,$A$2:A2372,A2372,$N$2:N2372,"Explore*")</f>
        <v/>
      </c>
      <c r="AB2372">
        <f>IF(AND(LEFT(N2372,7)="Explore",(AA2372-IF(LEFT(N2372,7)="Explore",S2372,0))&lt;10),"SI","NO")</f>
        <v/>
      </c>
    </row>
    <row r="2373">
      <c r="A2373" t="inlineStr">
        <is>
          <t>c5m1_test</t>
        </is>
      </c>
      <c r="B2373" t="inlineStr">
        <is>
          <t>2026-02-06 14:54:53.619</t>
        </is>
      </c>
      <c r="C2373" t="n">
        <v/>
      </c>
      <c r="D2373" t="inlineStr">
        <is>
          <t>Media file</t>
        </is>
      </c>
      <c r="E2373" t="inlineStr">
        <is>
          <t>player #1:BTBR\test\c5m1.mp4</t>
        </is>
      </c>
      <c r="F2373" t="n">
        <v>-35.767</v>
      </c>
      <c r="G2373" t="n">
        <v>586.299</v>
      </c>
      <c r="H2373" t="n">
        <v>651.099</v>
      </c>
      <c r="I2373" t="n">
        <v>30</v>
      </c>
      <c r="J2373" t="inlineStr">
        <is>
          <t>BTBR</t>
        </is>
      </c>
      <c r="K2373" t="inlineStr">
        <is>
          <t>Male</t>
        </is>
      </c>
      <c r="L2373" t="inlineStr">
        <is>
          <t>No focal subject</t>
        </is>
      </c>
      <c r="M2373" t="n">
        <v>39.397</v>
      </c>
      <c r="N2373" t="inlineStr">
        <is>
          <t>Explore_N</t>
        </is>
      </c>
      <c r="O2373" t="inlineStr">
        <is>
          <t>Novelty</t>
        </is>
      </c>
      <c r="P2373" t="inlineStr">
        <is>
          <t>STATE</t>
        </is>
      </c>
      <c r="Q2373" t="n">
        <v>34.066</v>
      </c>
      <c r="R2373" t="n">
        <v>35.2</v>
      </c>
      <c r="S2373" t="n">
        <v>1.134</v>
      </c>
      <c r="T2373" t="inlineStr">
        <is>
          <t>BTBR\test\c5m1.mp4</t>
        </is>
      </c>
      <c r="U2373" t="n">
        <v>1021</v>
      </c>
      <c r="V2373" t="n">
        <v>1054</v>
      </c>
      <c r="W2373" t="n">
        <v/>
      </c>
      <c r="X2373" t="n">
        <v/>
      </c>
      <c r="Y2373" t="n">
        <v/>
      </c>
      <c r="Z2373" t="n">
        <v/>
      </c>
      <c r="AA2373">
        <f>SUMIFS($S$2:S2373,$A$2:A2373,A2373,$N$2:N2373,"Explore*")</f>
        <v/>
      </c>
      <c r="AB2373">
        <f>IF(AND(LEFT(N2373,7)="Explore",(AA2373-IF(LEFT(N2373,7)="Explore",S2373,0))&lt;10),"SI","NO")</f>
        <v/>
      </c>
    </row>
    <row r="2374">
      <c r="A2374" t="inlineStr">
        <is>
          <t>c5m1_test</t>
        </is>
      </c>
      <c r="B2374" t="inlineStr">
        <is>
          <t>2026-02-06 14:54:53.619</t>
        </is>
      </c>
      <c r="C2374" t="n">
        <v/>
      </c>
      <c r="D2374" t="inlineStr">
        <is>
          <t>Media file</t>
        </is>
      </c>
      <c r="E2374" t="inlineStr">
        <is>
          <t>player #1:BTBR\test\c5m1.mp4</t>
        </is>
      </c>
      <c r="F2374" t="n">
        <v>-35.767</v>
      </c>
      <c r="G2374" t="n">
        <v>586.299</v>
      </c>
      <c r="H2374" t="n">
        <v>651.099</v>
      </c>
      <c r="I2374" t="n">
        <v>30</v>
      </c>
      <c r="J2374" t="inlineStr">
        <is>
          <t>BTBR</t>
        </is>
      </c>
      <c r="K2374" t="inlineStr">
        <is>
          <t>Male</t>
        </is>
      </c>
      <c r="L2374" t="inlineStr">
        <is>
          <t>No focal subject</t>
        </is>
      </c>
      <c r="M2374" t="n">
        <v>39.397</v>
      </c>
      <c r="N2374" t="inlineStr">
        <is>
          <t>Explore_F</t>
        </is>
      </c>
      <c r="O2374" t="inlineStr">
        <is>
          <t>Familiar</t>
        </is>
      </c>
      <c r="P2374" t="inlineStr">
        <is>
          <t>STATE</t>
        </is>
      </c>
      <c r="Q2374" t="n">
        <v>37.066</v>
      </c>
      <c r="R2374" t="n">
        <v>37.7</v>
      </c>
      <c r="S2374" t="n">
        <v>0.634</v>
      </c>
      <c r="T2374" t="inlineStr">
        <is>
          <t>BTBR\test\c5m1.mp4</t>
        </is>
      </c>
      <c r="U2374" t="n">
        <v>1110</v>
      </c>
      <c r="V2374" t="n">
        <v>1129</v>
      </c>
      <c r="W2374" t="n">
        <v/>
      </c>
      <c r="X2374" t="n">
        <v/>
      </c>
      <c r="Y2374" t="n">
        <v/>
      </c>
      <c r="Z2374" t="n">
        <v/>
      </c>
      <c r="AA2374">
        <f>SUMIFS($S$2:S2374,$A$2:A2374,A2374,$N$2:N2374,"Explore*")</f>
        <v/>
      </c>
      <c r="AB2374">
        <f>IF(AND(LEFT(N2374,7)="Explore",(AA2374-IF(LEFT(N2374,7)="Explore",S2374,0))&lt;10),"SI","NO")</f>
        <v/>
      </c>
    </row>
    <row r="2375">
      <c r="A2375" t="inlineStr">
        <is>
          <t>c5m1_test</t>
        </is>
      </c>
      <c r="B2375" t="inlineStr">
        <is>
          <t>2026-02-06 14:54:53.619</t>
        </is>
      </c>
      <c r="C2375" t="n">
        <v/>
      </c>
      <c r="D2375" t="inlineStr">
        <is>
          <t>Media file</t>
        </is>
      </c>
      <c r="E2375" t="inlineStr">
        <is>
          <t>player #1:BTBR\test\c5m1.mp4</t>
        </is>
      </c>
      <c r="F2375" t="n">
        <v>-35.767</v>
      </c>
      <c r="G2375" t="n">
        <v>586.299</v>
      </c>
      <c r="H2375" t="n">
        <v>651.099</v>
      </c>
      <c r="I2375" t="n">
        <v>30</v>
      </c>
      <c r="J2375" t="inlineStr">
        <is>
          <t>BTBR</t>
        </is>
      </c>
      <c r="K2375" t="inlineStr">
        <is>
          <t>Male</t>
        </is>
      </c>
      <c r="L2375" t="inlineStr">
        <is>
          <t>No focal subject</t>
        </is>
      </c>
      <c r="M2375" t="n">
        <v>39.397</v>
      </c>
      <c r="N2375" t="inlineStr">
        <is>
          <t>Explore_N</t>
        </is>
      </c>
      <c r="O2375" t="inlineStr">
        <is>
          <t>Novelty</t>
        </is>
      </c>
      <c r="P2375" t="inlineStr">
        <is>
          <t>STATE</t>
        </is>
      </c>
      <c r="Q2375" t="n">
        <v>39.933</v>
      </c>
      <c r="R2375" t="n">
        <v>40.533</v>
      </c>
      <c r="S2375" t="n">
        <v>0.6</v>
      </c>
      <c r="T2375" t="inlineStr">
        <is>
          <t>BTBR\test\c5m1.mp4</t>
        </is>
      </c>
      <c r="U2375" t="n">
        <v>1196</v>
      </c>
      <c r="V2375" t="n">
        <v>1215</v>
      </c>
      <c r="W2375" t="n">
        <v/>
      </c>
      <c r="X2375" t="n">
        <v/>
      </c>
      <c r="Y2375" t="n">
        <v/>
      </c>
      <c r="Z2375" t="n">
        <v/>
      </c>
      <c r="AA2375">
        <f>SUMIFS($S$2:S2375,$A$2:A2375,A2375,$N$2:N2375,"Explore*")</f>
        <v/>
      </c>
      <c r="AB2375">
        <f>IF(AND(LEFT(N2375,7)="Explore",(AA2375-IF(LEFT(N2375,7)="Explore",S2375,0))&lt;10),"SI","NO")</f>
        <v/>
      </c>
    </row>
    <row r="2376">
      <c r="A2376" t="inlineStr">
        <is>
          <t>c5m1_test</t>
        </is>
      </c>
      <c r="B2376" t="inlineStr">
        <is>
          <t>2026-02-06 14:54:53.619</t>
        </is>
      </c>
      <c r="C2376" t="n">
        <v/>
      </c>
      <c r="D2376" t="inlineStr">
        <is>
          <t>Media file</t>
        </is>
      </c>
      <c r="E2376" t="inlineStr">
        <is>
          <t>player #1:BTBR\test\c5m1.mp4</t>
        </is>
      </c>
      <c r="F2376" t="n">
        <v>-35.767</v>
      </c>
      <c r="G2376" t="n">
        <v>586.299</v>
      </c>
      <c r="H2376" t="n">
        <v>651.099</v>
      </c>
      <c r="I2376" t="n">
        <v>30</v>
      </c>
      <c r="J2376" t="inlineStr">
        <is>
          <t>BTBR</t>
        </is>
      </c>
      <c r="K2376" t="inlineStr">
        <is>
          <t>Male</t>
        </is>
      </c>
      <c r="L2376" t="inlineStr">
        <is>
          <t>No focal subject</t>
        </is>
      </c>
      <c r="M2376" t="n">
        <v>39.397</v>
      </c>
      <c r="N2376" t="inlineStr">
        <is>
          <t>Explore_F</t>
        </is>
      </c>
      <c r="O2376" t="inlineStr">
        <is>
          <t>Familiar</t>
        </is>
      </c>
      <c r="P2376" t="inlineStr">
        <is>
          <t>STATE</t>
        </is>
      </c>
      <c r="Q2376" t="n">
        <v>41.966</v>
      </c>
      <c r="R2376" t="n">
        <v>42.433</v>
      </c>
      <c r="S2376" t="n">
        <v>0.467</v>
      </c>
      <c r="T2376" t="inlineStr">
        <is>
          <t>BTBR\test\c5m1.mp4</t>
        </is>
      </c>
      <c r="U2376" t="n">
        <v>1257</v>
      </c>
      <c r="V2376" t="n">
        <v>1271</v>
      </c>
      <c r="W2376" t="n">
        <v/>
      </c>
      <c r="X2376" t="n">
        <v/>
      </c>
      <c r="Y2376" t="n">
        <v/>
      </c>
      <c r="Z2376" t="n">
        <v/>
      </c>
      <c r="AA2376">
        <f>SUMIFS($S$2:S2376,$A$2:A2376,A2376,$N$2:N2376,"Explore*")</f>
        <v/>
      </c>
      <c r="AB2376">
        <f>IF(AND(LEFT(N2376,7)="Explore",(AA2376-IF(LEFT(N2376,7)="Explore",S2376,0))&lt;10),"SI","NO")</f>
        <v/>
      </c>
    </row>
    <row r="2377">
      <c r="A2377" t="inlineStr">
        <is>
          <t>c5m1_test</t>
        </is>
      </c>
      <c r="B2377" t="inlineStr">
        <is>
          <t>2026-02-06 14:54:53.619</t>
        </is>
      </c>
      <c r="C2377" t="n">
        <v/>
      </c>
      <c r="D2377" t="inlineStr">
        <is>
          <t>Media file</t>
        </is>
      </c>
      <c r="E2377" t="inlineStr">
        <is>
          <t>player #1:BTBR\test\c5m1.mp4</t>
        </is>
      </c>
      <c r="F2377" t="n">
        <v>-35.767</v>
      </c>
      <c r="G2377" t="n">
        <v>586.299</v>
      </c>
      <c r="H2377" t="n">
        <v>651.099</v>
      </c>
      <c r="I2377" t="n">
        <v>30</v>
      </c>
      <c r="J2377" t="inlineStr">
        <is>
          <t>BTBR</t>
        </is>
      </c>
      <c r="K2377" t="inlineStr">
        <is>
          <t>Male</t>
        </is>
      </c>
      <c r="L2377" t="inlineStr">
        <is>
          <t>No focal subject</t>
        </is>
      </c>
      <c r="M2377" t="n">
        <v>39.397</v>
      </c>
      <c r="N2377" t="inlineStr">
        <is>
          <t>Explore_F</t>
        </is>
      </c>
      <c r="O2377" t="inlineStr">
        <is>
          <t>Familiar</t>
        </is>
      </c>
      <c r="P2377" t="inlineStr">
        <is>
          <t>STATE</t>
        </is>
      </c>
      <c r="Q2377" t="n">
        <v>43.1</v>
      </c>
      <c r="R2377" t="n">
        <v>43.566</v>
      </c>
      <c r="S2377" t="n">
        <v>0.466</v>
      </c>
      <c r="T2377" t="inlineStr">
        <is>
          <t>BTBR\test\c5m1.mp4</t>
        </is>
      </c>
      <c r="U2377" t="n">
        <v>1291</v>
      </c>
      <c r="V2377" t="n">
        <v>1305</v>
      </c>
      <c r="W2377" t="n">
        <v/>
      </c>
      <c r="X2377" t="n">
        <v/>
      </c>
      <c r="Y2377" t="n">
        <v/>
      </c>
      <c r="Z2377" t="n">
        <v/>
      </c>
      <c r="AA2377">
        <f>SUMIFS($S$2:S2377,$A$2:A2377,A2377,$N$2:N2377,"Explore*")</f>
        <v/>
      </c>
      <c r="AB2377">
        <f>IF(AND(LEFT(N2377,7)="Explore",(AA2377-IF(LEFT(N2377,7)="Explore",S2377,0))&lt;10),"SI","NO")</f>
        <v/>
      </c>
    </row>
    <row r="2378">
      <c r="A2378" t="inlineStr">
        <is>
          <t>c5m1_test</t>
        </is>
      </c>
      <c r="B2378" t="inlineStr">
        <is>
          <t>2026-02-06 14:54:53.619</t>
        </is>
      </c>
      <c r="C2378" t="n">
        <v/>
      </c>
      <c r="D2378" t="inlineStr">
        <is>
          <t>Media file</t>
        </is>
      </c>
      <c r="E2378" t="inlineStr">
        <is>
          <t>player #1:BTBR\test\c5m1.mp4</t>
        </is>
      </c>
      <c r="F2378" t="n">
        <v>-35.767</v>
      </c>
      <c r="G2378" t="n">
        <v>586.299</v>
      </c>
      <c r="H2378" t="n">
        <v>651.099</v>
      </c>
      <c r="I2378" t="n">
        <v>30</v>
      </c>
      <c r="J2378" t="inlineStr">
        <is>
          <t>BTBR</t>
        </is>
      </c>
      <c r="K2378" t="inlineStr">
        <is>
          <t>Male</t>
        </is>
      </c>
      <c r="L2378" t="inlineStr">
        <is>
          <t>No focal subject</t>
        </is>
      </c>
      <c r="M2378" t="n">
        <v>39.397</v>
      </c>
      <c r="N2378" t="inlineStr">
        <is>
          <t>Explore_N</t>
        </is>
      </c>
      <c r="O2378" t="inlineStr">
        <is>
          <t>Novelty</t>
        </is>
      </c>
      <c r="P2378" t="inlineStr">
        <is>
          <t>STATE</t>
        </is>
      </c>
      <c r="Q2378" t="n">
        <v>48.5</v>
      </c>
      <c r="R2378" t="n">
        <v>49.266</v>
      </c>
      <c r="S2378" t="n">
        <v>0.766</v>
      </c>
      <c r="T2378" t="inlineStr">
        <is>
          <t>BTBR\test\c5m1.mp4</t>
        </is>
      </c>
      <c r="U2378" t="n">
        <v>1455</v>
      </c>
      <c r="V2378" t="n">
        <v>1476</v>
      </c>
      <c r="W2378" t="n">
        <v/>
      </c>
      <c r="X2378" t="n">
        <v/>
      </c>
      <c r="Y2378" t="n">
        <v/>
      </c>
      <c r="Z2378" t="n">
        <v/>
      </c>
      <c r="AA2378">
        <f>SUMIFS($S$2:S2378,$A$2:A2378,A2378,$N$2:N2378,"Explore*")</f>
        <v/>
      </c>
      <c r="AB2378">
        <f>IF(AND(LEFT(N2378,7)="Explore",(AA2378-IF(LEFT(N2378,7)="Explore",S2378,0))&lt;10),"SI","NO")</f>
        <v/>
      </c>
    </row>
    <row r="2379">
      <c r="A2379" t="inlineStr">
        <is>
          <t>c5m1_test</t>
        </is>
      </c>
      <c r="B2379" t="inlineStr">
        <is>
          <t>2026-02-06 14:54:53.619</t>
        </is>
      </c>
      <c r="C2379" t="n">
        <v/>
      </c>
      <c r="D2379" t="inlineStr">
        <is>
          <t>Media file</t>
        </is>
      </c>
      <c r="E2379" t="inlineStr">
        <is>
          <t>player #1:BTBR\test\c5m1.mp4</t>
        </is>
      </c>
      <c r="F2379" t="n">
        <v>-35.767</v>
      </c>
      <c r="G2379" t="n">
        <v>586.299</v>
      </c>
      <c r="H2379" t="n">
        <v>651.099</v>
      </c>
      <c r="I2379" t="n">
        <v>30</v>
      </c>
      <c r="J2379" t="inlineStr">
        <is>
          <t>BTBR</t>
        </is>
      </c>
      <c r="K2379" t="inlineStr">
        <is>
          <t>Male</t>
        </is>
      </c>
      <c r="L2379" t="inlineStr">
        <is>
          <t>No focal subject</t>
        </is>
      </c>
      <c r="M2379" t="n">
        <v>39.397</v>
      </c>
      <c r="N2379" t="inlineStr">
        <is>
          <t>Explore_F</t>
        </is>
      </c>
      <c r="O2379" t="inlineStr">
        <is>
          <t>Familiar</t>
        </is>
      </c>
      <c r="P2379" t="inlineStr">
        <is>
          <t>STATE</t>
        </is>
      </c>
      <c r="Q2379" t="n">
        <v>49.933</v>
      </c>
      <c r="R2379" t="n">
        <v>50.4</v>
      </c>
      <c r="S2379" t="n">
        <v>0.467</v>
      </c>
      <c r="T2379" t="inlineStr">
        <is>
          <t>BTBR\test\c5m1.mp4</t>
        </is>
      </c>
      <c r="U2379" t="n">
        <v>1496</v>
      </c>
      <c r="V2379" t="n">
        <v>1510</v>
      </c>
      <c r="W2379" t="n">
        <v/>
      </c>
      <c r="X2379" t="n">
        <v/>
      </c>
      <c r="Y2379" t="n">
        <v/>
      </c>
      <c r="Z2379" t="n">
        <v/>
      </c>
      <c r="AA2379">
        <f>SUMIFS($S$2:S2379,$A$2:A2379,A2379,$N$2:N2379,"Explore*")</f>
        <v/>
      </c>
      <c r="AB2379">
        <f>IF(AND(LEFT(N2379,7)="Explore",(AA2379-IF(LEFT(N2379,7)="Explore",S2379,0))&lt;10),"SI","NO")</f>
        <v/>
      </c>
    </row>
    <row r="2380">
      <c r="A2380" t="inlineStr">
        <is>
          <t>c5m1_test</t>
        </is>
      </c>
      <c r="B2380" t="inlineStr">
        <is>
          <t>2026-02-06 14:54:53.619</t>
        </is>
      </c>
      <c r="C2380" t="n">
        <v/>
      </c>
      <c r="D2380" t="inlineStr">
        <is>
          <t>Media file</t>
        </is>
      </c>
      <c r="E2380" t="inlineStr">
        <is>
          <t>player #1:BTBR\test\c5m1.mp4</t>
        </is>
      </c>
      <c r="F2380" t="n">
        <v>-35.767</v>
      </c>
      <c r="G2380" t="n">
        <v>586.299</v>
      </c>
      <c r="H2380" t="n">
        <v>651.099</v>
      </c>
      <c r="I2380" t="n">
        <v>30</v>
      </c>
      <c r="J2380" t="inlineStr">
        <is>
          <t>BTBR</t>
        </is>
      </c>
      <c r="K2380" t="inlineStr">
        <is>
          <t>Male</t>
        </is>
      </c>
      <c r="L2380" t="inlineStr">
        <is>
          <t>No focal subject</t>
        </is>
      </c>
      <c r="M2380" t="n">
        <v>39.397</v>
      </c>
      <c r="N2380" t="inlineStr">
        <is>
          <t>Explore_F</t>
        </is>
      </c>
      <c r="O2380" t="inlineStr">
        <is>
          <t>Familiar</t>
        </is>
      </c>
      <c r="P2380" t="inlineStr">
        <is>
          <t>STATE</t>
        </is>
      </c>
      <c r="Q2380" t="n">
        <v>54.6</v>
      </c>
      <c r="R2380" t="n">
        <v>55.2</v>
      </c>
      <c r="S2380" t="n">
        <v>0.6</v>
      </c>
      <c r="T2380" t="inlineStr">
        <is>
          <t>BTBR\test\c5m1.mp4</t>
        </is>
      </c>
      <c r="U2380" t="n">
        <v>1636</v>
      </c>
      <c r="V2380" t="n">
        <v>1654</v>
      </c>
      <c r="W2380" t="n">
        <v/>
      </c>
      <c r="X2380" t="n">
        <v/>
      </c>
      <c r="Y2380" t="n">
        <v/>
      </c>
      <c r="Z2380" t="n">
        <v/>
      </c>
      <c r="AA2380">
        <f>SUMIFS($S$2:S2380,$A$2:A2380,A2380,$N$2:N2380,"Explore*")</f>
        <v/>
      </c>
      <c r="AB2380">
        <f>IF(AND(LEFT(N2380,7)="Explore",(AA2380-IF(LEFT(N2380,7)="Explore",S2380,0))&lt;10),"SI","NO")</f>
        <v/>
      </c>
    </row>
    <row r="2381">
      <c r="A2381" t="inlineStr">
        <is>
          <t>c5m1_test</t>
        </is>
      </c>
      <c r="B2381" t="inlineStr">
        <is>
          <t>2026-02-06 14:54:53.619</t>
        </is>
      </c>
      <c r="C2381" t="n">
        <v/>
      </c>
      <c r="D2381" t="inlineStr">
        <is>
          <t>Media file</t>
        </is>
      </c>
      <c r="E2381" t="inlineStr">
        <is>
          <t>player #1:BTBR\test\c5m1.mp4</t>
        </is>
      </c>
      <c r="F2381" t="n">
        <v>-35.767</v>
      </c>
      <c r="G2381" t="n">
        <v>586.299</v>
      </c>
      <c r="H2381" t="n">
        <v>651.099</v>
      </c>
      <c r="I2381" t="n">
        <v>30</v>
      </c>
      <c r="J2381" t="inlineStr">
        <is>
          <t>BTBR</t>
        </is>
      </c>
      <c r="K2381" t="inlineStr">
        <is>
          <t>Male</t>
        </is>
      </c>
      <c r="L2381" t="inlineStr">
        <is>
          <t>No focal subject</t>
        </is>
      </c>
      <c r="M2381" t="n">
        <v>39.397</v>
      </c>
      <c r="N2381" t="inlineStr">
        <is>
          <t>Explore_F</t>
        </is>
      </c>
      <c r="O2381" t="inlineStr">
        <is>
          <t>Familiar</t>
        </is>
      </c>
      <c r="P2381" t="inlineStr">
        <is>
          <t>STATE</t>
        </is>
      </c>
      <c r="Q2381" t="n">
        <v>60.8</v>
      </c>
      <c r="R2381" t="n">
        <v>61.266</v>
      </c>
      <c r="S2381" t="n">
        <v>0.466</v>
      </c>
      <c r="T2381" t="inlineStr">
        <is>
          <t>BTBR\test\c5m1.mp4</t>
        </is>
      </c>
      <c r="U2381" t="n">
        <v>1821</v>
      </c>
      <c r="V2381" t="n">
        <v>1835</v>
      </c>
      <c r="W2381" t="n">
        <v/>
      </c>
      <c r="X2381" t="n">
        <v/>
      </c>
      <c r="Y2381" t="n">
        <v/>
      </c>
      <c r="Z2381" t="n">
        <v/>
      </c>
      <c r="AA2381">
        <f>SUMIFS($S$2:S2381,$A$2:A2381,A2381,$N$2:N2381,"Explore*")</f>
        <v/>
      </c>
      <c r="AB2381">
        <f>IF(AND(LEFT(N2381,7)="Explore",(AA2381-IF(LEFT(N2381,7)="Explore",S2381,0))&lt;10),"SI","NO")</f>
        <v/>
      </c>
    </row>
    <row r="2382">
      <c r="A2382" t="inlineStr">
        <is>
          <t>c5m1_test</t>
        </is>
      </c>
      <c r="B2382" t="inlineStr">
        <is>
          <t>2026-02-06 14:54:53.619</t>
        </is>
      </c>
      <c r="C2382" t="n">
        <v/>
      </c>
      <c r="D2382" t="inlineStr">
        <is>
          <t>Media file</t>
        </is>
      </c>
      <c r="E2382" t="inlineStr">
        <is>
          <t>player #1:BTBR\test\c5m1.mp4</t>
        </is>
      </c>
      <c r="F2382" t="n">
        <v>-35.767</v>
      </c>
      <c r="G2382" t="n">
        <v>586.299</v>
      </c>
      <c r="H2382" t="n">
        <v>651.099</v>
      </c>
      <c r="I2382" t="n">
        <v>30</v>
      </c>
      <c r="J2382" t="inlineStr">
        <is>
          <t>BTBR</t>
        </is>
      </c>
      <c r="K2382" t="inlineStr">
        <is>
          <t>Male</t>
        </is>
      </c>
      <c r="L2382" t="inlineStr">
        <is>
          <t>No focal subject</t>
        </is>
      </c>
      <c r="M2382" t="n">
        <v>39.397</v>
      </c>
      <c r="N2382" t="inlineStr">
        <is>
          <t>Explore_N</t>
        </is>
      </c>
      <c r="O2382" t="inlineStr">
        <is>
          <t>Novelty</t>
        </is>
      </c>
      <c r="P2382" t="inlineStr">
        <is>
          <t>STATE</t>
        </is>
      </c>
      <c r="Q2382" t="n">
        <v>66.166</v>
      </c>
      <c r="R2382" t="n">
        <v>66.8</v>
      </c>
      <c r="S2382" t="n">
        <v>0.634</v>
      </c>
      <c r="T2382" t="inlineStr">
        <is>
          <t>BTBR\test\c5m1.mp4</t>
        </is>
      </c>
      <c r="U2382" t="n">
        <v>1982</v>
      </c>
      <c r="V2382" t="n">
        <v>2001</v>
      </c>
      <c r="W2382" t="n">
        <v/>
      </c>
      <c r="X2382" t="n">
        <v/>
      </c>
      <c r="Y2382" t="n">
        <v/>
      </c>
      <c r="Z2382" t="n">
        <v/>
      </c>
      <c r="AA2382">
        <f>SUMIFS($S$2:S2382,$A$2:A2382,A2382,$N$2:N2382,"Explore*")</f>
        <v/>
      </c>
      <c r="AB2382">
        <f>IF(AND(LEFT(N2382,7)="Explore",(AA2382-IF(LEFT(N2382,7)="Explore",S2382,0))&lt;10),"SI","NO")</f>
        <v/>
      </c>
    </row>
    <row r="2383">
      <c r="A2383" t="inlineStr">
        <is>
          <t>c5m1_test</t>
        </is>
      </c>
      <c r="B2383" t="inlineStr">
        <is>
          <t>2026-02-06 14:54:53.619</t>
        </is>
      </c>
      <c r="C2383" t="n">
        <v/>
      </c>
      <c r="D2383" t="inlineStr">
        <is>
          <t>Media file</t>
        </is>
      </c>
      <c r="E2383" t="inlineStr">
        <is>
          <t>player #1:BTBR\test\c5m1.mp4</t>
        </is>
      </c>
      <c r="F2383" t="n">
        <v>-35.767</v>
      </c>
      <c r="G2383" t="n">
        <v>586.299</v>
      </c>
      <c r="H2383" t="n">
        <v>651.099</v>
      </c>
      <c r="I2383" t="n">
        <v>30</v>
      </c>
      <c r="J2383" t="inlineStr">
        <is>
          <t>BTBR</t>
        </is>
      </c>
      <c r="K2383" t="inlineStr">
        <is>
          <t>Male</t>
        </is>
      </c>
      <c r="L2383" t="inlineStr">
        <is>
          <t>No focal subject</t>
        </is>
      </c>
      <c r="M2383" t="n">
        <v>39.397</v>
      </c>
      <c r="N2383" t="inlineStr">
        <is>
          <t>Explore_N</t>
        </is>
      </c>
      <c r="O2383" t="inlineStr">
        <is>
          <t>Novelty</t>
        </is>
      </c>
      <c r="P2383" t="inlineStr">
        <is>
          <t>STATE</t>
        </is>
      </c>
      <c r="Q2383" t="n">
        <v>69.43300000000001</v>
      </c>
      <c r="R2383" t="n">
        <v>69.833</v>
      </c>
      <c r="S2383" t="n">
        <v>0.4</v>
      </c>
      <c r="T2383" t="inlineStr">
        <is>
          <t>BTBR\test\c5m1.mp4</t>
        </is>
      </c>
      <c r="U2383" t="n">
        <v>2080</v>
      </c>
      <c r="V2383" t="n">
        <v>2092</v>
      </c>
      <c r="W2383" t="n">
        <v/>
      </c>
      <c r="X2383" t="n">
        <v/>
      </c>
      <c r="Y2383" t="n">
        <v/>
      </c>
      <c r="Z2383" t="n">
        <v/>
      </c>
      <c r="AA2383">
        <f>SUMIFS($S$2:S2383,$A$2:A2383,A2383,$N$2:N2383,"Explore*")</f>
        <v/>
      </c>
      <c r="AB2383">
        <f>IF(AND(LEFT(N2383,7)="Explore",(AA2383-IF(LEFT(N2383,7)="Explore",S2383,0))&lt;10),"SI","NO")</f>
        <v/>
      </c>
    </row>
    <row r="2384">
      <c r="A2384" t="inlineStr">
        <is>
          <t>c5m1_test</t>
        </is>
      </c>
      <c r="B2384" t="inlineStr">
        <is>
          <t>2026-02-06 14:54:53.619</t>
        </is>
      </c>
      <c r="C2384" t="n">
        <v/>
      </c>
      <c r="D2384" t="inlineStr">
        <is>
          <t>Media file</t>
        </is>
      </c>
      <c r="E2384" t="inlineStr">
        <is>
          <t>player #1:BTBR\test\c5m1.mp4</t>
        </is>
      </c>
      <c r="F2384" t="n">
        <v>-35.767</v>
      </c>
      <c r="G2384" t="n">
        <v>586.299</v>
      </c>
      <c r="H2384" t="n">
        <v>651.099</v>
      </c>
      <c r="I2384" t="n">
        <v>30</v>
      </c>
      <c r="J2384" t="inlineStr">
        <is>
          <t>BTBR</t>
        </is>
      </c>
      <c r="K2384" t="inlineStr">
        <is>
          <t>Male</t>
        </is>
      </c>
      <c r="L2384" t="inlineStr">
        <is>
          <t>No focal subject</t>
        </is>
      </c>
      <c r="M2384" t="n">
        <v>39.397</v>
      </c>
      <c r="N2384" t="inlineStr">
        <is>
          <t>Explore_F</t>
        </is>
      </c>
      <c r="O2384" t="inlineStr">
        <is>
          <t>Familiar</t>
        </is>
      </c>
      <c r="P2384" t="inlineStr">
        <is>
          <t>STATE</t>
        </is>
      </c>
      <c r="Q2384" t="n">
        <v>70.733</v>
      </c>
      <c r="R2384" t="n">
        <v>71.066</v>
      </c>
      <c r="S2384" t="n">
        <v>0.333</v>
      </c>
      <c r="T2384" t="inlineStr">
        <is>
          <t>BTBR\test\c5m1.mp4</t>
        </is>
      </c>
      <c r="U2384" t="n">
        <v>2119</v>
      </c>
      <c r="V2384" t="n">
        <v>2129</v>
      </c>
      <c r="W2384" t="n">
        <v/>
      </c>
      <c r="X2384" t="n">
        <v/>
      </c>
      <c r="Y2384" t="n">
        <v/>
      </c>
      <c r="Z2384" t="n">
        <v/>
      </c>
      <c r="AA2384">
        <f>SUMIFS($S$2:S2384,$A$2:A2384,A2384,$N$2:N2384,"Explore*")</f>
        <v/>
      </c>
      <c r="AB2384">
        <f>IF(AND(LEFT(N2384,7)="Explore",(AA2384-IF(LEFT(N2384,7)="Explore",S2384,0))&lt;10),"SI","NO")</f>
        <v/>
      </c>
    </row>
    <row r="2385">
      <c r="A2385" t="inlineStr">
        <is>
          <t>c5m1_test</t>
        </is>
      </c>
      <c r="B2385" t="inlineStr">
        <is>
          <t>2026-02-06 14:54:53.619</t>
        </is>
      </c>
      <c r="C2385" t="n">
        <v/>
      </c>
      <c r="D2385" t="inlineStr">
        <is>
          <t>Media file</t>
        </is>
      </c>
      <c r="E2385" t="inlineStr">
        <is>
          <t>player #1:BTBR\test\c5m1.mp4</t>
        </is>
      </c>
      <c r="F2385" t="n">
        <v>-35.767</v>
      </c>
      <c r="G2385" t="n">
        <v>586.299</v>
      </c>
      <c r="H2385" t="n">
        <v>651.099</v>
      </c>
      <c r="I2385" t="n">
        <v>30</v>
      </c>
      <c r="J2385" t="inlineStr">
        <is>
          <t>BTBR</t>
        </is>
      </c>
      <c r="K2385" t="inlineStr">
        <is>
          <t>Male</t>
        </is>
      </c>
      <c r="L2385" t="inlineStr">
        <is>
          <t>No focal subject</t>
        </is>
      </c>
      <c r="M2385" t="n">
        <v>39.397</v>
      </c>
      <c r="N2385" t="inlineStr">
        <is>
          <t>Explore_F</t>
        </is>
      </c>
      <c r="O2385" t="inlineStr">
        <is>
          <t>Familiar</t>
        </is>
      </c>
      <c r="P2385" t="inlineStr">
        <is>
          <t>STATE</t>
        </is>
      </c>
      <c r="Q2385" t="n">
        <v>71.8</v>
      </c>
      <c r="R2385" t="n">
        <v>72.133</v>
      </c>
      <c r="S2385" t="n">
        <v>0.333</v>
      </c>
      <c r="T2385" t="inlineStr">
        <is>
          <t>BTBR\test\c5m1.mp4</t>
        </is>
      </c>
      <c r="U2385" t="n">
        <v>2151</v>
      </c>
      <c r="V2385" t="n">
        <v>2161</v>
      </c>
      <c r="W2385" t="n">
        <v/>
      </c>
      <c r="X2385" t="n">
        <v/>
      </c>
      <c r="Y2385" t="n">
        <v/>
      </c>
      <c r="Z2385" t="n">
        <v/>
      </c>
      <c r="AA2385">
        <f>SUMIFS($S$2:S2385,$A$2:A2385,A2385,$N$2:N2385,"Explore*")</f>
        <v/>
      </c>
      <c r="AB2385">
        <f>IF(AND(LEFT(N2385,7)="Explore",(AA2385-IF(LEFT(N2385,7)="Explore",S2385,0))&lt;10),"SI","NO")</f>
        <v/>
      </c>
    </row>
    <row r="2386">
      <c r="A2386" t="inlineStr">
        <is>
          <t>c5m1_test</t>
        </is>
      </c>
      <c r="B2386" t="inlineStr">
        <is>
          <t>2026-02-06 14:54:53.619</t>
        </is>
      </c>
      <c r="C2386" t="n">
        <v/>
      </c>
      <c r="D2386" t="inlineStr">
        <is>
          <t>Media file</t>
        </is>
      </c>
      <c r="E2386" t="inlineStr">
        <is>
          <t>player #1:BTBR\test\c5m1.mp4</t>
        </is>
      </c>
      <c r="F2386" t="n">
        <v>-35.767</v>
      </c>
      <c r="G2386" t="n">
        <v>586.299</v>
      </c>
      <c r="H2386" t="n">
        <v>651.099</v>
      </c>
      <c r="I2386" t="n">
        <v>30</v>
      </c>
      <c r="J2386" t="inlineStr">
        <is>
          <t>BTBR</t>
        </is>
      </c>
      <c r="K2386" t="inlineStr">
        <is>
          <t>Male</t>
        </is>
      </c>
      <c r="L2386" t="inlineStr">
        <is>
          <t>No focal subject</t>
        </is>
      </c>
      <c r="M2386" t="n">
        <v>39.397</v>
      </c>
      <c r="N2386" t="inlineStr">
        <is>
          <t>Explore_N</t>
        </is>
      </c>
      <c r="O2386" t="inlineStr">
        <is>
          <t>Novelty</t>
        </is>
      </c>
      <c r="P2386" t="inlineStr">
        <is>
          <t>STATE</t>
        </is>
      </c>
      <c r="Q2386" t="n">
        <v>75.93300000000001</v>
      </c>
      <c r="R2386" t="n">
        <v>76.76600000000001</v>
      </c>
      <c r="S2386" t="n">
        <v>0.833</v>
      </c>
      <c r="T2386" t="inlineStr">
        <is>
          <t>BTBR\test\c5m1.mp4</t>
        </is>
      </c>
      <c r="U2386" t="n">
        <v>2275</v>
      </c>
      <c r="V2386" t="n">
        <v>2300</v>
      </c>
      <c r="W2386" t="n">
        <v/>
      </c>
      <c r="X2386" t="n">
        <v/>
      </c>
      <c r="Y2386" t="n">
        <v/>
      </c>
      <c r="Z2386" t="n">
        <v/>
      </c>
      <c r="AA2386">
        <f>SUMIFS($S$2:S2386,$A$2:A2386,A2386,$N$2:N2386,"Explore*")</f>
        <v/>
      </c>
      <c r="AB2386">
        <f>IF(AND(LEFT(N2386,7)="Explore",(AA2386-IF(LEFT(N2386,7)="Explore",S2386,0))&lt;10),"SI","NO")</f>
        <v/>
      </c>
    </row>
    <row r="2387">
      <c r="A2387" t="inlineStr">
        <is>
          <t>c5m1_test</t>
        </is>
      </c>
      <c r="B2387" t="inlineStr">
        <is>
          <t>2026-02-06 14:54:53.619</t>
        </is>
      </c>
      <c r="C2387" t="n">
        <v/>
      </c>
      <c r="D2387" t="inlineStr">
        <is>
          <t>Media file</t>
        </is>
      </c>
      <c r="E2387" t="inlineStr">
        <is>
          <t>player #1:BTBR\test\c5m1.mp4</t>
        </is>
      </c>
      <c r="F2387" t="n">
        <v>-35.767</v>
      </c>
      <c r="G2387" t="n">
        <v>586.299</v>
      </c>
      <c r="H2387" t="n">
        <v>651.099</v>
      </c>
      <c r="I2387" t="n">
        <v>30</v>
      </c>
      <c r="J2387" t="inlineStr">
        <is>
          <t>BTBR</t>
        </is>
      </c>
      <c r="K2387" t="inlineStr">
        <is>
          <t>Male</t>
        </is>
      </c>
      <c r="L2387" t="inlineStr">
        <is>
          <t>No focal subject</t>
        </is>
      </c>
      <c r="M2387" t="n">
        <v>39.397</v>
      </c>
      <c r="N2387" t="inlineStr">
        <is>
          <t>Explore_F</t>
        </is>
      </c>
      <c r="O2387" t="inlineStr">
        <is>
          <t>Familiar</t>
        </is>
      </c>
      <c r="P2387" t="inlineStr">
        <is>
          <t>STATE</t>
        </is>
      </c>
      <c r="Q2387" t="n">
        <v>80.96599999999999</v>
      </c>
      <c r="R2387" t="n">
        <v>81.333</v>
      </c>
      <c r="S2387" t="n">
        <v>0.367</v>
      </c>
      <c r="T2387" t="inlineStr">
        <is>
          <t>BTBR\test\c5m1.mp4</t>
        </is>
      </c>
      <c r="U2387" t="n">
        <v>2426</v>
      </c>
      <c r="V2387" t="n">
        <v>2437</v>
      </c>
      <c r="W2387" t="n">
        <v/>
      </c>
      <c r="X2387" t="n">
        <v/>
      </c>
      <c r="Y2387" t="n">
        <v/>
      </c>
      <c r="Z2387" t="n">
        <v/>
      </c>
      <c r="AA2387">
        <f>SUMIFS($S$2:S2387,$A$2:A2387,A2387,$N$2:N2387,"Explore*")</f>
        <v/>
      </c>
      <c r="AB2387">
        <f>IF(AND(LEFT(N2387,7)="Explore",(AA2387-IF(LEFT(N2387,7)="Explore",S2387,0))&lt;10),"SI","NO")</f>
        <v/>
      </c>
    </row>
    <row r="2388">
      <c r="A2388" t="inlineStr">
        <is>
          <t>c5m1_test</t>
        </is>
      </c>
      <c r="B2388" t="inlineStr">
        <is>
          <t>2026-02-06 14:54:53.619</t>
        </is>
      </c>
      <c r="C2388" t="n">
        <v/>
      </c>
      <c r="D2388" t="inlineStr">
        <is>
          <t>Media file</t>
        </is>
      </c>
      <c r="E2388" t="inlineStr">
        <is>
          <t>player #1:BTBR\test\c5m1.mp4</t>
        </is>
      </c>
      <c r="F2388" t="n">
        <v>-35.767</v>
      </c>
      <c r="G2388" t="n">
        <v>586.299</v>
      </c>
      <c r="H2388" t="n">
        <v>651.099</v>
      </c>
      <c r="I2388" t="n">
        <v>30</v>
      </c>
      <c r="J2388" t="inlineStr">
        <is>
          <t>BTBR</t>
        </is>
      </c>
      <c r="K2388" t="inlineStr">
        <is>
          <t>Male</t>
        </is>
      </c>
      <c r="L2388" t="inlineStr">
        <is>
          <t>No focal subject</t>
        </is>
      </c>
      <c r="M2388" t="n">
        <v>39.397</v>
      </c>
      <c r="N2388" t="inlineStr">
        <is>
          <t>Explore_N</t>
        </is>
      </c>
      <c r="O2388" t="inlineStr">
        <is>
          <t>Novelty</t>
        </is>
      </c>
      <c r="P2388" t="inlineStr">
        <is>
          <t>STATE</t>
        </is>
      </c>
      <c r="Q2388" t="n">
        <v>84.8</v>
      </c>
      <c r="R2388" t="n">
        <v>85.09999999999999</v>
      </c>
      <c r="S2388" t="n">
        <v>0.3</v>
      </c>
      <c r="T2388" t="inlineStr">
        <is>
          <t>BTBR\test\c5m1.mp4</t>
        </is>
      </c>
      <c r="U2388" t="n">
        <v>2540</v>
      </c>
      <c r="V2388" t="n">
        <v>2549</v>
      </c>
      <c r="W2388" t="n">
        <v/>
      </c>
      <c r="X2388" t="n">
        <v/>
      </c>
      <c r="Y2388" t="n">
        <v/>
      </c>
      <c r="Z2388" t="n">
        <v/>
      </c>
      <c r="AA2388">
        <f>SUMIFS($S$2:S2388,$A$2:A2388,A2388,$N$2:N2388,"Explore*")</f>
        <v/>
      </c>
      <c r="AB2388">
        <f>IF(AND(LEFT(N2388,7)="Explore",(AA2388-IF(LEFT(N2388,7)="Explore",S2388,0))&lt;10),"SI","NO")</f>
        <v/>
      </c>
    </row>
    <row r="2389">
      <c r="A2389" t="inlineStr">
        <is>
          <t>c5m1_test</t>
        </is>
      </c>
      <c r="B2389" t="inlineStr">
        <is>
          <t>2026-02-06 14:54:53.619</t>
        </is>
      </c>
      <c r="C2389" t="n">
        <v/>
      </c>
      <c r="D2389" t="inlineStr">
        <is>
          <t>Media file</t>
        </is>
      </c>
      <c r="E2389" t="inlineStr">
        <is>
          <t>player #1:BTBR\test\c5m1.mp4</t>
        </is>
      </c>
      <c r="F2389" t="n">
        <v>-35.767</v>
      </c>
      <c r="G2389" t="n">
        <v>586.299</v>
      </c>
      <c r="H2389" t="n">
        <v>651.099</v>
      </c>
      <c r="I2389" t="n">
        <v>30</v>
      </c>
      <c r="J2389" t="inlineStr">
        <is>
          <t>BTBR</t>
        </is>
      </c>
      <c r="K2389" t="inlineStr">
        <is>
          <t>Male</t>
        </is>
      </c>
      <c r="L2389" t="inlineStr">
        <is>
          <t>No focal subject</t>
        </is>
      </c>
      <c r="M2389" t="n">
        <v>39.397</v>
      </c>
      <c r="N2389" t="inlineStr">
        <is>
          <t>Explore_F</t>
        </is>
      </c>
      <c r="O2389" t="inlineStr">
        <is>
          <t>Familiar</t>
        </is>
      </c>
      <c r="P2389" t="inlineStr">
        <is>
          <t>STATE</t>
        </is>
      </c>
      <c r="Q2389" t="n">
        <v>86.166</v>
      </c>
      <c r="R2389" t="n">
        <v>86.566</v>
      </c>
      <c r="S2389" t="n">
        <v>0.4</v>
      </c>
      <c r="T2389" t="inlineStr">
        <is>
          <t>BTBR\test\c5m1.mp4</t>
        </is>
      </c>
      <c r="U2389" t="n">
        <v>2581</v>
      </c>
      <c r="V2389" t="n">
        <v>2593</v>
      </c>
      <c r="W2389" t="n">
        <v/>
      </c>
      <c r="X2389" t="n">
        <v/>
      </c>
      <c r="Y2389" t="n">
        <v/>
      </c>
      <c r="Z2389" t="n">
        <v/>
      </c>
      <c r="AA2389">
        <f>SUMIFS($S$2:S2389,$A$2:A2389,A2389,$N$2:N2389,"Explore*")</f>
        <v/>
      </c>
      <c r="AB2389">
        <f>IF(AND(LEFT(N2389,7)="Explore",(AA2389-IF(LEFT(N2389,7)="Explore",S2389,0))&lt;10),"SI","NO")</f>
        <v/>
      </c>
    </row>
    <row r="2390">
      <c r="A2390" t="inlineStr">
        <is>
          <t>c5m1_test</t>
        </is>
      </c>
      <c r="B2390" t="inlineStr">
        <is>
          <t>2026-02-06 14:54:53.619</t>
        </is>
      </c>
      <c r="C2390" t="n">
        <v/>
      </c>
      <c r="D2390" t="inlineStr">
        <is>
          <t>Media file</t>
        </is>
      </c>
      <c r="E2390" t="inlineStr">
        <is>
          <t>player #1:BTBR\test\c5m1.mp4</t>
        </is>
      </c>
      <c r="F2390" t="n">
        <v>-35.767</v>
      </c>
      <c r="G2390" t="n">
        <v>586.299</v>
      </c>
      <c r="H2390" t="n">
        <v>651.099</v>
      </c>
      <c r="I2390" t="n">
        <v>30</v>
      </c>
      <c r="J2390" t="inlineStr">
        <is>
          <t>BTBR</t>
        </is>
      </c>
      <c r="K2390" t="inlineStr">
        <is>
          <t>Male</t>
        </is>
      </c>
      <c r="L2390" t="inlineStr">
        <is>
          <t>No focal subject</t>
        </is>
      </c>
      <c r="M2390" t="n">
        <v>39.397</v>
      </c>
      <c r="N2390" t="inlineStr">
        <is>
          <t>Explore_N</t>
        </is>
      </c>
      <c r="O2390" t="inlineStr">
        <is>
          <t>Novelty</t>
        </is>
      </c>
      <c r="P2390" t="inlineStr">
        <is>
          <t>STATE</t>
        </is>
      </c>
      <c r="Q2390" t="n">
        <v>90.5</v>
      </c>
      <c r="R2390" t="n">
        <v>90.8</v>
      </c>
      <c r="S2390" t="n">
        <v>0.3</v>
      </c>
      <c r="T2390" t="inlineStr">
        <is>
          <t>BTBR\test\c5m1.mp4</t>
        </is>
      </c>
      <c r="U2390" t="n">
        <v>2713</v>
      </c>
      <c r="V2390" t="n">
        <v>2720</v>
      </c>
      <c r="W2390" t="n">
        <v/>
      </c>
      <c r="X2390" t="n">
        <v/>
      </c>
      <c r="Y2390" t="n">
        <v/>
      </c>
      <c r="Z2390" t="n">
        <v/>
      </c>
      <c r="AA2390">
        <f>SUMIFS($S$2:S2390,$A$2:A2390,A2390,$N$2:N2390,"Explore*")</f>
        <v/>
      </c>
      <c r="AB2390">
        <f>IF(AND(LEFT(N2390,7)="Explore",(AA2390-IF(LEFT(N2390,7)="Explore",S2390,0))&lt;10),"SI","NO")</f>
        <v/>
      </c>
    </row>
    <row r="2391">
      <c r="A2391" t="inlineStr">
        <is>
          <t>c5m1_test</t>
        </is>
      </c>
      <c r="B2391" t="inlineStr">
        <is>
          <t>2026-02-06 14:54:53.619</t>
        </is>
      </c>
      <c r="C2391" t="n">
        <v/>
      </c>
      <c r="D2391" t="inlineStr">
        <is>
          <t>Media file</t>
        </is>
      </c>
      <c r="E2391" t="inlineStr">
        <is>
          <t>player #1:BTBR\test\c5m1.mp4</t>
        </is>
      </c>
      <c r="F2391" t="n">
        <v>-35.767</v>
      </c>
      <c r="G2391" t="n">
        <v>586.299</v>
      </c>
      <c r="H2391" t="n">
        <v>651.099</v>
      </c>
      <c r="I2391" t="n">
        <v>30</v>
      </c>
      <c r="J2391" t="inlineStr">
        <is>
          <t>BTBR</t>
        </is>
      </c>
      <c r="K2391" t="inlineStr">
        <is>
          <t>Male</t>
        </is>
      </c>
      <c r="L2391" t="inlineStr">
        <is>
          <t>No focal subject</t>
        </is>
      </c>
      <c r="M2391" t="n">
        <v>39.397</v>
      </c>
      <c r="N2391" t="inlineStr">
        <is>
          <t>Explore_F</t>
        </is>
      </c>
      <c r="O2391" t="inlineStr">
        <is>
          <t>Familiar</t>
        </is>
      </c>
      <c r="P2391" t="inlineStr">
        <is>
          <t>STATE</t>
        </is>
      </c>
      <c r="Q2391" t="n">
        <v>94.40000000000001</v>
      </c>
      <c r="R2391" t="n">
        <v>94.7</v>
      </c>
      <c r="S2391" t="n">
        <v>0.3</v>
      </c>
      <c r="T2391" t="inlineStr">
        <is>
          <t>BTBR\test\c5m1.mp4</t>
        </is>
      </c>
      <c r="U2391" t="n">
        <v>2828</v>
      </c>
      <c r="V2391" t="n">
        <v>2837</v>
      </c>
      <c r="W2391" t="n">
        <v/>
      </c>
      <c r="X2391" t="n">
        <v/>
      </c>
      <c r="Y2391" t="n">
        <v/>
      </c>
      <c r="Z2391" t="n">
        <v/>
      </c>
      <c r="AA2391">
        <f>SUMIFS($S$2:S2391,$A$2:A2391,A2391,$N$2:N2391,"Explore*")</f>
        <v/>
      </c>
      <c r="AB2391">
        <f>IF(AND(LEFT(N2391,7)="Explore",(AA2391-IF(LEFT(N2391,7)="Explore",S2391,0))&lt;10),"SI","NO")</f>
        <v/>
      </c>
    </row>
    <row r="2392">
      <c r="A2392" t="inlineStr">
        <is>
          <t>c5m1_test</t>
        </is>
      </c>
      <c r="B2392" t="inlineStr">
        <is>
          <t>2026-02-06 14:54:53.619</t>
        </is>
      </c>
      <c r="C2392" t="n">
        <v/>
      </c>
      <c r="D2392" t="inlineStr">
        <is>
          <t>Media file</t>
        </is>
      </c>
      <c r="E2392" t="inlineStr">
        <is>
          <t>player #1:BTBR\test\c5m1.mp4</t>
        </is>
      </c>
      <c r="F2392" t="n">
        <v>-35.767</v>
      </c>
      <c r="G2392" t="n">
        <v>586.299</v>
      </c>
      <c r="H2392" t="n">
        <v>651.099</v>
      </c>
      <c r="I2392" t="n">
        <v>30</v>
      </c>
      <c r="J2392" t="inlineStr">
        <is>
          <t>BTBR</t>
        </is>
      </c>
      <c r="K2392" t="inlineStr">
        <is>
          <t>Male</t>
        </is>
      </c>
      <c r="L2392" t="inlineStr">
        <is>
          <t>No focal subject</t>
        </is>
      </c>
      <c r="M2392" t="n">
        <v>39.397</v>
      </c>
      <c r="N2392" t="inlineStr">
        <is>
          <t>Explore_F</t>
        </is>
      </c>
      <c r="O2392" t="inlineStr">
        <is>
          <t>Familiar</t>
        </is>
      </c>
      <c r="P2392" t="inlineStr">
        <is>
          <t>STATE</t>
        </is>
      </c>
      <c r="Q2392" t="n">
        <v>104.2</v>
      </c>
      <c r="R2392" t="n">
        <v>104.5</v>
      </c>
      <c r="S2392" t="n">
        <v>0.3</v>
      </c>
      <c r="T2392" t="inlineStr">
        <is>
          <t>BTBR\test\c5m1.mp4</t>
        </is>
      </c>
      <c r="U2392" t="n">
        <v>3122</v>
      </c>
      <c r="V2392" t="n">
        <v>3133</v>
      </c>
      <c r="W2392" t="n">
        <v/>
      </c>
      <c r="X2392" t="n">
        <v/>
      </c>
      <c r="Y2392" t="n">
        <v/>
      </c>
      <c r="Z2392" t="n">
        <v/>
      </c>
      <c r="AA2392">
        <f>SUMIFS($S$2:S2392,$A$2:A2392,A2392,$N$2:N2392,"Explore*")</f>
        <v/>
      </c>
      <c r="AB2392">
        <f>IF(AND(LEFT(N2392,7)="Explore",(AA2392-IF(LEFT(N2392,7)="Explore",S2392,0))&lt;10),"SI","NO")</f>
        <v/>
      </c>
    </row>
    <row r="2393">
      <c r="A2393" t="inlineStr">
        <is>
          <t>c5m1_test</t>
        </is>
      </c>
      <c r="B2393" t="inlineStr">
        <is>
          <t>2026-02-06 14:54:53.619</t>
        </is>
      </c>
      <c r="C2393" t="n">
        <v/>
      </c>
      <c r="D2393" t="inlineStr">
        <is>
          <t>Media file</t>
        </is>
      </c>
      <c r="E2393" t="inlineStr">
        <is>
          <t>player #1:BTBR\test\c5m1.mp4</t>
        </is>
      </c>
      <c r="F2393" t="n">
        <v>-35.767</v>
      </c>
      <c r="G2393" t="n">
        <v>586.299</v>
      </c>
      <c r="H2393" t="n">
        <v>651.099</v>
      </c>
      <c r="I2393" t="n">
        <v>30</v>
      </c>
      <c r="J2393" t="inlineStr">
        <is>
          <t>BTBR</t>
        </is>
      </c>
      <c r="K2393" t="inlineStr">
        <is>
          <t>Male</t>
        </is>
      </c>
      <c r="L2393" t="inlineStr">
        <is>
          <t>No focal subject</t>
        </is>
      </c>
      <c r="M2393" t="n">
        <v>39.397</v>
      </c>
      <c r="N2393" t="inlineStr">
        <is>
          <t>Explore_N</t>
        </is>
      </c>
      <c r="O2393" t="inlineStr">
        <is>
          <t>Novelty</t>
        </is>
      </c>
      <c r="P2393" t="inlineStr">
        <is>
          <t>STATE</t>
        </is>
      </c>
      <c r="Q2393" t="n">
        <v>109.6</v>
      </c>
      <c r="R2393" t="n">
        <v>110.033</v>
      </c>
      <c r="S2393" t="n">
        <v>0.433</v>
      </c>
      <c r="T2393" t="inlineStr">
        <is>
          <t>BTBR\test\c5m1.mp4</t>
        </is>
      </c>
      <c r="U2393" t="n">
        <v>3283</v>
      </c>
      <c r="V2393" t="n">
        <v>3297</v>
      </c>
      <c r="W2393" t="n">
        <v/>
      </c>
      <c r="X2393" t="n">
        <v/>
      </c>
      <c r="Y2393" t="n">
        <v/>
      </c>
      <c r="Z2393" t="n">
        <v/>
      </c>
      <c r="AA2393">
        <f>SUMIFS($S$2:S2393,$A$2:A2393,A2393,$N$2:N2393,"Explore*")</f>
        <v/>
      </c>
      <c r="AB2393">
        <f>IF(AND(LEFT(N2393,7)="Explore",(AA2393-IF(LEFT(N2393,7)="Explore",S2393,0))&lt;10),"SI","NO")</f>
        <v/>
      </c>
    </row>
    <row r="2394">
      <c r="A2394" t="inlineStr">
        <is>
          <t>c5m1_test</t>
        </is>
      </c>
      <c r="B2394" t="inlineStr">
        <is>
          <t>2026-02-06 14:54:53.619</t>
        </is>
      </c>
      <c r="C2394" t="n">
        <v/>
      </c>
      <c r="D2394" t="inlineStr">
        <is>
          <t>Media file</t>
        </is>
      </c>
      <c r="E2394" t="inlineStr">
        <is>
          <t>player #1:BTBR\test\c5m1.mp4</t>
        </is>
      </c>
      <c r="F2394" t="n">
        <v>-35.767</v>
      </c>
      <c r="G2394" t="n">
        <v>586.299</v>
      </c>
      <c r="H2394" t="n">
        <v>651.099</v>
      </c>
      <c r="I2394" t="n">
        <v>30</v>
      </c>
      <c r="J2394" t="inlineStr">
        <is>
          <t>BTBR</t>
        </is>
      </c>
      <c r="K2394" t="inlineStr">
        <is>
          <t>Male</t>
        </is>
      </c>
      <c r="L2394" t="inlineStr">
        <is>
          <t>No focal subject</t>
        </is>
      </c>
      <c r="M2394" t="n">
        <v>39.397</v>
      </c>
      <c r="N2394" t="inlineStr">
        <is>
          <t>Explore_F</t>
        </is>
      </c>
      <c r="O2394" t="inlineStr">
        <is>
          <t>Familiar</t>
        </is>
      </c>
      <c r="P2394" t="inlineStr">
        <is>
          <t>STATE</t>
        </is>
      </c>
      <c r="Q2394" t="n">
        <v>112</v>
      </c>
      <c r="R2394" t="n">
        <v>112.2</v>
      </c>
      <c r="S2394" t="n">
        <v>0.2</v>
      </c>
      <c r="T2394" t="inlineStr">
        <is>
          <t>BTBR\test\c5m1.mp4</t>
        </is>
      </c>
      <c r="U2394" t="n">
        <v>3357</v>
      </c>
      <c r="V2394" t="n">
        <v>3361</v>
      </c>
      <c r="W2394" t="n">
        <v/>
      </c>
      <c r="X2394" t="n">
        <v/>
      </c>
      <c r="Y2394" t="n">
        <v/>
      </c>
      <c r="Z2394" t="n">
        <v/>
      </c>
      <c r="AA2394">
        <f>SUMIFS($S$2:S2394,$A$2:A2394,A2394,$N$2:N2394,"Explore*")</f>
        <v/>
      </c>
      <c r="AB2394">
        <f>IF(AND(LEFT(N2394,7)="Explore",(AA2394-IF(LEFT(N2394,7)="Explore",S2394,0))&lt;10),"SI","NO")</f>
        <v/>
      </c>
    </row>
    <row r="2395">
      <c r="A2395" t="inlineStr">
        <is>
          <t>c5m1_test</t>
        </is>
      </c>
      <c r="B2395" t="inlineStr">
        <is>
          <t>2026-02-06 14:54:53.619</t>
        </is>
      </c>
      <c r="C2395" t="n">
        <v/>
      </c>
      <c r="D2395" t="inlineStr">
        <is>
          <t>Media file</t>
        </is>
      </c>
      <c r="E2395" t="inlineStr">
        <is>
          <t>player #1:BTBR\test\c5m1.mp4</t>
        </is>
      </c>
      <c r="F2395" t="n">
        <v>-35.767</v>
      </c>
      <c r="G2395" t="n">
        <v>586.299</v>
      </c>
      <c r="H2395" t="n">
        <v>651.099</v>
      </c>
      <c r="I2395" t="n">
        <v>30</v>
      </c>
      <c r="J2395" t="inlineStr">
        <is>
          <t>BTBR</t>
        </is>
      </c>
      <c r="K2395" t="inlineStr">
        <is>
          <t>Male</t>
        </is>
      </c>
      <c r="L2395" t="inlineStr">
        <is>
          <t>No focal subject</t>
        </is>
      </c>
      <c r="M2395" t="n">
        <v>39.397</v>
      </c>
      <c r="N2395" t="inlineStr">
        <is>
          <t>Explore_N</t>
        </is>
      </c>
      <c r="O2395" t="inlineStr">
        <is>
          <t>Novelty</t>
        </is>
      </c>
      <c r="P2395" t="inlineStr">
        <is>
          <t>STATE</t>
        </is>
      </c>
      <c r="Q2395" t="n">
        <v>115.333</v>
      </c>
      <c r="R2395" t="n">
        <v>115.533</v>
      </c>
      <c r="S2395" t="n">
        <v>0.2</v>
      </c>
      <c r="T2395" t="inlineStr">
        <is>
          <t>BTBR\test\c5m1.mp4</t>
        </is>
      </c>
      <c r="U2395" t="n">
        <v>3455</v>
      </c>
      <c r="V2395" t="n">
        <v>3462</v>
      </c>
      <c r="W2395" t="n">
        <v/>
      </c>
      <c r="X2395" t="n">
        <v/>
      </c>
      <c r="Y2395" t="n">
        <v/>
      </c>
      <c r="Z2395" t="n">
        <v/>
      </c>
      <c r="AA2395">
        <f>SUMIFS($S$2:S2395,$A$2:A2395,A2395,$N$2:N2395,"Explore*")</f>
        <v/>
      </c>
      <c r="AB2395">
        <f>IF(AND(LEFT(N2395,7)="Explore",(AA2395-IF(LEFT(N2395,7)="Explore",S2395,0))&lt;10),"SI","NO")</f>
        <v/>
      </c>
    </row>
    <row r="2396">
      <c r="A2396" t="inlineStr">
        <is>
          <t>c5m1_test</t>
        </is>
      </c>
      <c r="B2396" t="inlineStr">
        <is>
          <t>2026-02-06 14:54:53.619</t>
        </is>
      </c>
      <c r="C2396" t="n">
        <v/>
      </c>
      <c r="D2396" t="inlineStr">
        <is>
          <t>Media file</t>
        </is>
      </c>
      <c r="E2396" t="inlineStr">
        <is>
          <t>player #1:BTBR\test\c5m1.mp4</t>
        </is>
      </c>
      <c r="F2396" t="n">
        <v>-35.767</v>
      </c>
      <c r="G2396" t="n">
        <v>586.299</v>
      </c>
      <c r="H2396" t="n">
        <v>651.099</v>
      </c>
      <c r="I2396" t="n">
        <v>30</v>
      </c>
      <c r="J2396" t="inlineStr">
        <is>
          <t>BTBR</t>
        </is>
      </c>
      <c r="K2396" t="inlineStr">
        <is>
          <t>Male</t>
        </is>
      </c>
      <c r="L2396" t="inlineStr">
        <is>
          <t>No focal subject</t>
        </is>
      </c>
      <c r="M2396" t="n">
        <v>39.397</v>
      </c>
      <c r="N2396" t="inlineStr">
        <is>
          <t>Explore_F</t>
        </is>
      </c>
      <c r="O2396" t="inlineStr">
        <is>
          <t>Familiar</t>
        </is>
      </c>
      <c r="P2396" t="inlineStr">
        <is>
          <t>STATE</t>
        </is>
      </c>
      <c r="Q2396" t="n">
        <v>139.733</v>
      </c>
      <c r="R2396" t="n">
        <v>140.366</v>
      </c>
      <c r="S2396" t="n">
        <v>0.633</v>
      </c>
      <c r="T2396" t="inlineStr">
        <is>
          <t>BTBR\test\c5m1.mp4</t>
        </is>
      </c>
      <c r="U2396" t="n">
        <v>4186</v>
      </c>
      <c r="V2396" t="n">
        <v>4205</v>
      </c>
      <c r="W2396" t="n">
        <v/>
      </c>
      <c r="X2396" t="n">
        <v/>
      </c>
      <c r="Y2396" t="n">
        <v/>
      </c>
      <c r="Z2396" t="n">
        <v/>
      </c>
      <c r="AA2396">
        <f>SUMIFS($S$2:S2396,$A$2:A2396,A2396,$N$2:N2396,"Explore*")</f>
        <v/>
      </c>
      <c r="AB2396">
        <f>IF(AND(LEFT(N2396,7)="Explore",(AA2396-IF(LEFT(N2396,7)="Explore",S2396,0))&lt;10),"SI","NO")</f>
        <v/>
      </c>
    </row>
    <row r="2397">
      <c r="A2397" t="inlineStr">
        <is>
          <t>c5m1_test</t>
        </is>
      </c>
      <c r="B2397" t="inlineStr">
        <is>
          <t>2026-02-06 14:54:53.619</t>
        </is>
      </c>
      <c r="C2397" t="n">
        <v/>
      </c>
      <c r="D2397" t="inlineStr">
        <is>
          <t>Media file</t>
        </is>
      </c>
      <c r="E2397" t="inlineStr">
        <is>
          <t>player #1:BTBR\test\c5m1.mp4</t>
        </is>
      </c>
      <c r="F2397" t="n">
        <v>-35.767</v>
      </c>
      <c r="G2397" t="n">
        <v>586.299</v>
      </c>
      <c r="H2397" t="n">
        <v>651.099</v>
      </c>
      <c r="I2397" t="n">
        <v>30</v>
      </c>
      <c r="J2397" t="inlineStr">
        <is>
          <t>BTBR</t>
        </is>
      </c>
      <c r="K2397" t="inlineStr">
        <is>
          <t>Male</t>
        </is>
      </c>
      <c r="L2397" t="inlineStr">
        <is>
          <t>No focal subject</t>
        </is>
      </c>
      <c r="M2397" t="n">
        <v>39.397</v>
      </c>
      <c r="N2397" t="inlineStr">
        <is>
          <t>Explore_N</t>
        </is>
      </c>
      <c r="O2397" t="inlineStr">
        <is>
          <t>Novelty</t>
        </is>
      </c>
      <c r="P2397" t="inlineStr">
        <is>
          <t>STATE</t>
        </is>
      </c>
      <c r="Q2397" t="n">
        <v>143.999</v>
      </c>
      <c r="R2397" t="n">
        <v>144.299</v>
      </c>
      <c r="S2397" t="n">
        <v>0.3</v>
      </c>
      <c r="T2397" t="inlineStr">
        <is>
          <t>BTBR\test\c5m1.mp4</t>
        </is>
      </c>
      <c r="U2397" t="n">
        <v>4314</v>
      </c>
      <c r="V2397" t="n">
        <v>4323</v>
      </c>
      <c r="W2397" t="n">
        <v/>
      </c>
      <c r="X2397" t="n">
        <v/>
      </c>
      <c r="Y2397" t="n">
        <v/>
      </c>
      <c r="Z2397" t="n">
        <v/>
      </c>
      <c r="AA2397">
        <f>SUMIFS($S$2:S2397,$A$2:A2397,A2397,$N$2:N2397,"Explore*")</f>
        <v/>
      </c>
      <c r="AB2397">
        <f>IF(AND(LEFT(N2397,7)="Explore",(AA2397-IF(LEFT(N2397,7)="Explore",S2397,0))&lt;10),"SI","NO")</f>
        <v/>
      </c>
    </row>
    <row r="2398">
      <c r="A2398" t="inlineStr">
        <is>
          <t>c5m1_test</t>
        </is>
      </c>
      <c r="B2398" t="inlineStr">
        <is>
          <t>2026-02-06 14:54:53.619</t>
        </is>
      </c>
      <c r="C2398" t="n">
        <v/>
      </c>
      <c r="D2398" t="inlineStr">
        <is>
          <t>Media file</t>
        </is>
      </c>
      <c r="E2398" t="inlineStr">
        <is>
          <t>player #1:BTBR\test\c5m1.mp4</t>
        </is>
      </c>
      <c r="F2398" t="n">
        <v>-35.767</v>
      </c>
      <c r="G2398" t="n">
        <v>586.299</v>
      </c>
      <c r="H2398" t="n">
        <v>651.099</v>
      </c>
      <c r="I2398" t="n">
        <v>30</v>
      </c>
      <c r="J2398" t="inlineStr">
        <is>
          <t>BTBR</t>
        </is>
      </c>
      <c r="K2398" t="inlineStr">
        <is>
          <t>Male</t>
        </is>
      </c>
      <c r="L2398" t="inlineStr">
        <is>
          <t>No focal subject</t>
        </is>
      </c>
      <c r="M2398" t="n">
        <v>39.397</v>
      </c>
      <c r="N2398" t="inlineStr">
        <is>
          <t>Explore_F</t>
        </is>
      </c>
      <c r="O2398" t="inlineStr">
        <is>
          <t>Familiar</t>
        </is>
      </c>
      <c r="P2398" t="inlineStr">
        <is>
          <t>STATE</t>
        </is>
      </c>
      <c r="Q2398" t="n">
        <v>150.766</v>
      </c>
      <c r="R2398" t="n">
        <v>151.099</v>
      </c>
      <c r="S2398" t="n">
        <v>0.333</v>
      </c>
      <c r="T2398" t="inlineStr">
        <is>
          <t>BTBR\test\c5m1.mp4</t>
        </is>
      </c>
      <c r="U2398" t="n">
        <v>4517</v>
      </c>
      <c r="V2398" t="n">
        <v>4527</v>
      </c>
      <c r="W2398" t="n">
        <v/>
      </c>
      <c r="X2398" t="n">
        <v/>
      </c>
      <c r="Y2398" t="n">
        <v/>
      </c>
      <c r="Z2398" t="n">
        <v/>
      </c>
      <c r="AA2398">
        <f>SUMIFS($S$2:S2398,$A$2:A2398,A2398,$N$2:N2398,"Explore*")</f>
        <v/>
      </c>
      <c r="AB2398">
        <f>IF(AND(LEFT(N2398,7)="Explore",(AA2398-IF(LEFT(N2398,7)="Explore",S2398,0))&lt;10),"SI","NO")</f>
        <v/>
      </c>
    </row>
    <row r="2399">
      <c r="A2399" t="inlineStr">
        <is>
          <t>c5m1_test</t>
        </is>
      </c>
      <c r="B2399" t="inlineStr">
        <is>
          <t>2026-02-06 14:54:53.619</t>
        </is>
      </c>
      <c r="C2399" t="n">
        <v/>
      </c>
      <c r="D2399" t="inlineStr">
        <is>
          <t>Media file</t>
        </is>
      </c>
      <c r="E2399" t="inlineStr">
        <is>
          <t>player #1:BTBR\test\c5m1.mp4</t>
        </is>
      </c>
      <c r="F2399" t="n">
        <v>-35.767</v>
      </c>
      <c r="G2399" t="n">
        <v>586.299</v>
      </c>
      <c r="H2399" t="n">
        <v>651.099</v>
      </c>
      <c r="I2399" t="n">
        <v>30</v>
      </c>
      <c r="J2399" t="inlineStr">
        <is>
          <t>BTBR</t>
        </is>
      </c>
      <c r="K2399" t="inlineStr">
        <is>
          <t>Male</t>
        </is>
      </c>
      <c r="L2399" t="inlineStr">
        <is>
          <t>No focal subject</t>
        </is>
      </c>
      <c r="M2399" t="n">
        <v>39.397</v>
      </c>
      <c r="N2399" t="inlineStr">
        <is>
          <t>Explore_N</t>
        </is>
      </c>
      <c r="O2399" t="inlineStr">
        <is>
          <t>Novelty</t>
        </is>
      </c>
      <c r="P2399" t="inlineStr">
        <is>
          <t>STATE</t>
        </is>
      </c>
      <c r="Q2399" t="n">
        <v>156.366</v>
      </c>
      <c r="R2399" t="n">
        <v>156.933</v>
      </c>
      <c r="S2399" t="n">
        <v>0.5669999999999999</v>
      </c>
      <c r="T2399" t="inlineStr">
        <is>
          <t>BTBR\test\c5m1.mp4</t>
        </is>
      </c>
      <c r="U2399" t="n">
        <v>4684</v>
      </c>
      <c r="V2399" t="n">
        <v>4701</v>
      </c>
      <c r="W2399" t="n">
        <v/>
      </c>
      <c r="X2399" t="n">
        <v/>
      </c>
      <c r="Y2399" t="n">
        <v/>
      </c>
      <c r="Z2399" t="n">
        <v/>
      </c>
      <c r="AA2399">
        <f>SUMIFS($S$2:S2399,$A$2:A2399,A2399,$N$2:N2399,"Explore*")</f>
        <v/>
      </c>
      <c r="AB2399">
        <f>IF(AND(LEFT(N2399,7)="Explore",(AA2399-IF(LEFT(N2399,7)="Explore",S2399,0))&lt;10),"SI","NO")</f>
        <v/>
      </c>
    </row>
    <row r="2400">
      <c r="A2400" t="inlineStr">
        <is>
          <t>c5m1_test</t>
        </is>
      </c>
      <c r="B2400" t="inlineStr">
        <is>
          <t>2026-02-06 14:54:53.619</t>
        </is>
      </c>
      <c r="C2400" t="n">
        <v/>
      </c>
      <c r="D2400" t="inlineStr">
        <is>
          <t>Media file</t>
        </is>
      </c>
      <c r="E2400" t="inlineStr">
        <is>
          <t>player #1:BTBR\test\c5m1.mp4</t>
        </is>
      </c>
      <c r="F2400" t="n">
        <v>-35.767</v>
      </c>
      <c r="G2400" t="n">
        <v>586.299</v>
      </c>
      <c r="H2400" t="n">
        <v>651.099</v>
      </c>
      <c r="I2400" t="n">
        <v>30</v>
      </c>
      <c r="J2400" t="inlineStr">
        <is>
          <t>BTBR</t>
        </is>
      </c>
      <c r="K2400" t="inlineStr">
        <is>
          <t>Male</t>
        </is>
      </c>
      <c r="L2400" t="inlineStr">
        <is>
          <t>No focal subject</t>
        </is>
      </c>
      <c r="M2400" t="n">
        <v>39.397</v>
      </c>
      <c r="N2400" t="inlineStr">
        <is>
          <t>Explore_F</t>
        </is>
      </c>
      <c r="O2400" t="inlineStr">
        <is>
          <t>Familiar</t>
        </is>
      </c>
      <c r="P2400" t="inlineStr">
        <is>
          <t>STATE</t>
        </is>
      </c>
      <c r="Q2400" t="n">
        <v>160.699</v>
      </c>
      <c r="R2400" t="n">
        <v>161.033</v>
      </c>
      <c r="S2400" t="n">
        <v>0.334</v>
      </c>
      <c r="T2400" t="inlineStr">
        <is>
          <t>BTBR\test\c5m1.mp4</t>
        </is>
      </c>
      <c r="U2400" t="n">
        <v>4814</v>
      </c>
      <c r="V2400" t="n">
        <v>4825</v>
      </c>
      <c r="W2400" t="n">
        <v/>
      </c>
      <c r="X2400" t="n">
        <v/>
      </c>
      <c r="Y2400" t="n">
        <v/>
      </c>
      <c r="Z2400" t="n">
        <v/>
      </c>
      <c r="AA2400">
        <f>SUMIFS($S$2:S2400,$A$2:A2400,A2400,$N$2:N2400,"Explore*")</f>
        <v/>
      </c>
      <c r="AB2400">
        <f>IF(AND(LEFT(N2400,7)="Explore",(AA2400-IF(LEFT(N2400,7)="Explore",S2400,0))&lt;10),"SI","NO")</f>
        <v/>
      </c>
    </row>
    <row r="2401">
      <c r="A2401" t="inlineStr">
        <is>
          <t>c5m1_test</t>
        </is>
      </c>
      <c r="B2401" t="inlineStr">
        <is>
          <t>2026-02-06 14:54:53.619</t>
        </is>
      </c>
      <c r="C2401" t="n">
        <v/>
      </c>
      <c r="D2401" t="inlineStr">
        <is>
          <t>Media file</t>
        </is>
      </c>
      <c r="E2401" t="inlineStr">
        <is>
          <t>player #1:BTBR\test\c5m1.mp4</t>
        </is>
      </c>
      <c r="F2401" t="n">
        <v>-35.767</v>
      </c>
      <c r="G2401" t="n">
        <v>586.299</v>
      </c>
      <c r="H2401" t="n">
        <v>651.099</v>
      </c>
      <c r="I2401" t="n">
        <v>30</v>
      </c>
      <c r="J2401" t="inlineStr">
        <is>
          <t>BTBR</t>
        </is>
      </c>
      <c r="K2401" t="inlineStr">
        <is>
          <t>Male</t>
        </is>
      </c>
      <c r="L2401" t="inlineStr">
        <is>
          <t>No focal subject</t>
        </is>
      </c>
      <c r="M2401" t="n">
        <v>39.397</v>
      </c>
      <c r="N2401" t="inlineStr">
        <is>
          <t>Explore_N</t>
        </is>
      </c>
      <c r="O2401" t="inlineStr">
        <is>
          <t>Novelty</t>
        </is>
      </c>
      <c r="P2401" t="inlineStr">
        <is>
          <t>STATE</t>
        </is>
      </c>
      <c r="Q2401" t="n">
        <v>167.033</v>
      </c>
      <c r="R2401" t="n">
        <v>167.233</v>
      </c>
      <c r="S2401" t="n">
        <v>0.2</v>
      </c>
      <c r="T2401" t="inlineStr">
        <is>
          <t>BTBR\test\c5m1.mp4</t>
        </is>
      </c>
      <c r="U2401" t="n">
        <v>5005</v>
      </c>
      <c r="V2401" t="n">
        <v>5010</v>
      </c>
      <c r="W2401" t="n">
        <v/>
      </c>
      <c r="X2401" t="n">
        <v/>
      </c>
      <c r="Y2401" t="n">
        <v/>
      </c>
      <c r="Z2401" t="n">
        <v/>
      </c>
      <c r="AA2401">
        <f>SUMIFS($S$2:S2401,$A$2:A2401,A2401,$N$2:N2401,"Explore*")</f>
        <v/>
      </c>
      <c r="AB2401">
        <f>IF(AND(LEFT(N2401,7)="Explore",(AA2401-IF(LEFT(N2401,7)="Explore",S2401,0))&lt;10),"SI","NO")</f>
        <v/>
      </c>
    </row>
    <row r="2402">
      <c r="A2402" t="inlineStr">
        <is>
          <t>c5m1_test</t>
        </is>
      </c>
      <c r="B2402" t="inlineStr">
        <is>
          <t>2026-02-06 14:54:53.619</t>
        </is>
      </c>
      <c r="C2402" t="n">
        <v/>
      </c>
      <c r="D2402" t="inlineStr">
        <is>
          <t>Media file</t>
        </is>
      </c>
      <c r="E2402" t="inlineStr">
        <is>
          <t>player #1:BTBR\test\c5m1.mp4</t>
        </is>
      </c>
      <c r="F2402" t="n">
        <v>-35.767</v>
      </c>
      <c r="G2402" t="n">
        <v>586.299</v>
      </c>
      <c r="H2402" t="n">
        <v>651.099</v>
      </c>
      <c r="I2402" t="n">
        <v>30</v>
      </c>
      <c r="J2402" t="inlineStr">
        <is>
          <t>BTBR</t>
        </is>
      </c>
      <c r="K2402" t="inlineStr">
        <is>
          <t>Male</t>
        </is>
      </c>
      <c r="L2402" t="inlineStr">
        <is>
          <t>No focal subject</t>
        </is>
      </c>
      <c r="M2402" t="n">
        <v>39.397</v>
      </c>
      <c r="N2402" t="inlineStr">
        <is>
          <t>Explore_F</t>
        </is>
      </c>
      <c r="O2402" t="inlineStr">
        <is>
          <t>Familiar</t>
        </is>
      </c>
      <c r="P2402" t="inlineStr">
        <is>
          <t>STATE</t>
        </is>
      </c>
      <c r="Q2402" t="n">
        <v>169.166</v>
      </c>
      <c r="R2402" t="n">
        <v>169.533</v>
      </c>
      <c r="S2402" t="n">
        <v>0.367</v>
      </c>
      <c r="T2402" t="inlineStr">
        <is>
          <t>BTBR\test\c5m1.mp4</t>
        </is>
      </c>
      <c r="U2402" t="n">
        <v>5068</v>
      </c>
      <c r="V2402" t="n">
        <v>5080</v>
      </c>
      <c r="W2402" t="n">
        <v/>
      </c>
      <c r="X2402" t="n">
        <v/>
      </c>
      <c r="Y2402" t="n">
        <v/>
      </c>
      <c r="Z2402" t="n">
        <v/>
      </c>
      <c r="AA2402">
        <f>SUMIFS($S$2:S2402,$A$2:A2402,A2402,$N$2:N2402,"Explore*")</f>
        <v/>
      </c>
      <c r="AB2402">
        <f>IF(AND(LEFT(N2402,7)="Explore",(AA2402-IF(LEFT(N2402,7)="Explore",S2402,0))&lt;10),"SI","NO")</f>
        <v/>
      </c>
    </row>
    <row r="2403">
      <c r="A2403" t="inlineStr">
        <is>
          <t>c5m1_test</t>
        </is>
      </c>
      <c r="B2403" t="inlineStr">
        <is>
          <t>2026-02-06 14:54:53.619</t>
        </is>
      </c>
      <c r="C2403" t="n">
        <v/>
      </c>
      <c r="D2403" t="inlineStr">
        <is>
          <t>Media file</t>
        </is>
      </c>
      <c r="E2403" t="inlineStr">
        <is>
          <t>player #1:BTBR\test\c5m1.mp4</t>
        </is>
      </c>
      <c r="F2403" t="n">
        <v>-35.767</v>
      </c>
      <c r="G2403" t="n">
        <v>586.299</v>
      </c>
      <c r="H2403" t="n">
        <v>651.099</v>
      </c>
      <c r="I2403" t="n">
        <v>30</v>
      </c>
      <c r="J2403" t="inlineStr">
        <is>
          <t>BTBR</t>
        </is>
      </c>
      <c r="K2403" t="inlineStr">
        <is>
          <t>Male</t>
        </is>
      </c>
      <c r="L2403" t="inlineStr">
        <is>
          <t>No focal subject</t>
        </is>
      </c>
      <c r="M2403" t="n">
        <v>39.397</v>
      </c>
      <c r="N2403" t="inlineStr">
        <is>
          <t>Explore_F</t>
        </is>
      </c>
      <c r="O2403" t="inlineStr">
        <is>
          <t>Familiar</t>
        </is>
      </c>
      <c r="P2403" t="inlineStr">
        <is>
          <t>STATE</t>
        </is>
      </c>
      <c r="Q2403" t="n">
        <v>176.899</v>
      </c>
      <c r="R2403" t="n">
        <v>177.133</v>
      </c>
      <c r="S2403" t="n">
        <v>0.234</v>
      </c>
      <c r="T2403" t="inlineStr">
        <is>
          <t>BTBR\test\c5m1.mp4</t>
        </is>
      </c>
      <c r="U2403" t="n">
        <v>5299</v>
      </c>
      <c r="V2403" t="n">
        <v>5306</v>
      </c>
      <c r="W2403" t="n">
        <v/>
      </c>
      <c r="X2403" t="n">
        <v/>
      </c>
      <c r="Y2403" t="n">
        <v/>
      </c>
      <c r="Z2403" t="n">
        <v/>
      </c>
      <c r="AA2403">
        <f>SUMIFS($S$2:S2403,$A$2:A2403,A2403,$N$2:N2403,"Explore*")</f>
        <v/>
      </c>
      <c r="AB2403">
        <f>IF(AND(LEFT(N2403,7)="Explore",(AA2403-IF(LEFT(N2403,7)="Explore",S2403,0))&lt;10),"SI","NO")</f>
        <v/>
      </c>
    </row>
    <row r="2404">
      <c r="A2404" t="inlineStr">
        <is>
          <t>c5m1_test</t>
        </is>
      </c>
      <c r="B2404" t="inlineStr">
        <is>
          <t>2026-02-06 14:54:53.619</t>
        </is>
      </c>
      <c r="C2404" t="n">
        <v/>
      </c>
      <c r="D2404" t="inlineStr">
        <is>
          <t>Media file</t>
        </is>
      </c>
      <c r="E2404" t="inlineStr">
        <is>
          <t>player #1:BTBR\test\c5m1.mp4</t>
        </is>
      </c>
      <c r="F2404" t="n">
        <v>-35.767</v>
      </c>
      <c r="G2404" t="n">
        <v>586.299</v>
      </c>
      <c r="H2404" t="n">
        <v>651.099</v>
      </c>
      <c r="I2404" t="n">
        <v>30</v>
      </c>
      <c r="J2404" t="inlineStr">
        <is>
          <t>BTBR</t>
        </is>
      </c>
      <c r="K2404" t="inlineStr">
        <is>
          <t>Male</t>
        </is>
      </c>
      <c r="L2404" t="inlineStr">
        <is>
          <t>No focal subject</t>
        </is>
      </c>
      <c r="M2404" t="n">
        <v>39.397</v>
      </c>
      <c r="N2404" t="inlineStr">
        <is>
          <t>Explore_N</t>
        </is>
      </c>
      <c r="O2404" t="inlineStr">
        <is>
          <t>Novelty</t>
        </is>
      </c>
      <c r="P2404" t="inlineStr">
        <is>
          <t>STATE</t>
        </is>
      </c>
      <c r="Q2404" t="n">
        <v>181.533</v>
      </c>
      <c r="R2404" t="n">
        <v>181.899</v>
      </c>
      <c r="S2404" t="n">
        <v>0.366</v>
      </c>
      <c r="T2404" t="inlineStr">
        <is>
          <t>BTBR\test\c5m1.mp4</t>
        </is>
      </c>
      <c r="U2404" t="n">
        <v>5439</v>
      </c>
      <c r="V2404" t="n">
        <v>5449</v>
      </c>
      <c r="W2404" t="n">
        <v/>
      </c>
      <c r="X2404" t="n">
        <v/>
      </c>
      <c r="Y2404" t="n">
        <v/>
      </c>
      <c r="Z2404" t="n">
        <v/>
      </c>
      <c r="AA2404">
        <f>SUMIFS($S$2:S2404,$A$2:A2404,A2404,$N$2:N2404,"Explore*")</f>
        <v/>
      </c>
      <c r="AB2404">
        <f>IF(AND(LEFT(N2404,7)="Explore",(AA2404-IF(LEFT(N2404,7)="Explore",S2404,0))&lt;10),"SI","NO")</f>
        <v/>
      </c>
    </row>
    <row r="2405">
      <c r="A2405" t="inlineStr">
        <is>
          <t>c5m1_test</t>
        </is>
      </c>
      <c r="B2405" t="inlineStr">
        <is>
          <t>2026-02-06 14:54:53.619</t>
        </is>
      </c>
      <c r="C2405" t="n">
        <v/>
      </c>
      <c r="D2405" t="inlineStr">
        <is>
          <t>Media file</t>
        </is>
      </c>
      <c r="E2405" t="inlineStr">
        <is>
          <t>player #1:BTBR\test\c5m1.mp4</t>
        </is>
      </c>
      <c r="F2405" t="n">
        <v>-35.767</v>
      </c>
      <c r="G2405" t="n">
        <v>586.299</v>
      </c>
      <c r="H2405" t="n">
        <v>651.099</v>
      </c>
      <c r="I2405" t="n">
        <v>30</v>
      </c>
      <c r="J2405" t="inlineStr">
        <is>
          <t>BTBR</t>
        </is>
      </c>
      <c r="K2405" t="inlineStr">
        <is>
          <t>Male</t>
        </is>
      </c>
      <c r="L2405" t="inlineStr">
        <is>
          <t>No focal subject</t>
        </is>
      </c>
      <c r="M2405" t="n">
        <v>39.397</v>
      </c>
      <c r="N2405" t="inlineStr">
        <is>
          <t>Explore_F</t>
        </is>
      </c>
      <c r="O2405" t="inlineStr">
        <is>
          <t>Familiar</t>
        </is>
      </c>
      <c r="P2405" t="inlineStr">
        <is>
          <t>STATE</t>
        </is>
      </c>
      <c r="Q2405" t="n">
        <v>184.799</v>
      </c>
      <c r="R2405" t="n">
        <v>185.099</v>
      </c>
      <c r="S2405" t="n">
        <v>0.3</v>
      </c>
      <c r="T2405" t="inlineStr">
        <is>
          <t>BTBR\test\c5m1.mp4</t>
        </is>
      </c>
      <c r="U2405" t="n">
        <v>5536</v>
      </c>
      <c r="V2405" t="n">
        <v>5545</v>
      </c>
      <c r="W2405" t="n">
        <v/>
      </c>
      <c r="X2405" t="n">
        <v/>
      </c>
      <c r="Y2405" t="n">
        <v/>
      </c>
      <c r="Z2405" t="n">
        <v/>
      </c>
      <c r="AA2405">
        <f>SUMIFS($S$2:S2405,$A$2:A2405,A2405,$N$2:N2405,"Explore*")</f>
        <v/>
      </c>
      <c r="AB2405">
        <f>IF(AND(LEFT(N2405,7)="Explore",(AA2405-IF(LEFT(N2405,7)="Explore",S2405,0))&lt;10),"SI","NO")</f>
        <v/>
      </c>
    </row>
    <row r="2406">
      <c r="A2406" t="inlineStr">
        <is>
          <t>c5m1_test</t>
        </is>
      </c>
      <c r="B2406" t="inlineStr">
        <is>
          <t>2026-02-06 14:54:53.619</t>
        </is>
      </c>
      <c r="C2406" t="n">
        <v/>
      </c>
      <c r="D2406" t="inlineStr">
        <is>
          <t>Media file</t>
        </is>
      </c>
      <c r="E2406" t="inlineStr">
        <is>
          <t>player #1:BTBR\test\c5m1.mp4</t>
        </is>
      </c>
      <c r="F2406" t="n">
        <v>-35.767</v>
      </c>
      <c r="G2406" t="n">
        <v>586.299</v>
      </c>
      <c r="H2406" t="n">
        <v>651.099</v>
      </c>
      <c r="I2406" t="n">
        <v>30</v>
      </c>
      <c r="J2406" t="inlineStr">
        <is>
          <t>BTBR</t>
        </is>
      </c>
      <c r="K2406" t="inlineStr">
        <is>
          <t>Male</t>
        </is>
      </c>
      <c r="L2406" t="inlineStr">
        <is>
          <t>No focal subject</t>
        </is>
      </c>
      <c r="M2406" t="n">
        <v>39.397</v>
      </c>
      <c r="N2406" t="inlineStr">
        <is>
          <t>Explore_N</t>
        </is>
      </c>
      <c r="O2406" t="inlineStr">
        <is>
          <t>Novelty</t>
        </is>
      </c>
      <c r="P2406" t="inlineStr">
        <is>
          <t>STATE</t>
        </is>
      </c>
      <c r="Q2406" t="n">
        <v>190.733</v>
      </c>
      <c r="R2406" t="n">
        <v>191.199</v>
      </c>
      <c r="S2406" t="n">
        <v>0.466</v>
      </c>
      <c r="T2406" t="inlineStr">
        <is>
          <t>BTBR\test\c5m1.mp4</t>
        </is>
      </c>
      <c r="U2406" t="n">
        <v>5714</v>
      </c>
      <c r="V2406" t="n">
        <v>5728</v>
      </c>
      <c r="W2406" t="n">
        <v/>
      </c>
      <c r="X2406" t="n">
        <v/>
      </c>
      <c r="Y2406" t="n">
        <v/>
      </c>
      <c r="Z2406" t="n">
        <v/>
      </c>
      <c r="AA2406">
        <f>SUMIFS($S$2:S2406,$A$2:A2406,A2406,$N$2:N2406,"Explore*")</f>
        <v/>
      </c>
      <c r="AB2406">
        <f>IF(AND(LEFT(N2406,7)="Explore",(AA2406-IF(LEFT(N2406,7)="Explore",S2406,0))&lt;10),"SI","NO")</f>
        <v/>
      </c>
    </row>
    <row r="2407">
      <c r="A2407" t="inlineStr">
        <is>
          <t>c5m1_test</t>
        </is>
      </c>
      <c r="B2407" t="inlineStr">
        <is>
          <t>2026-02-06 14:54:53.619</t>
        </is>
      </c>
      <c r="C2407" t="n">
        <v/>
      </c>
      <c r="D2407" t="inlineStr">
        <is>
          <t>Media file</t>
        </is>
      </c>
      <c r="E2407" t="inlineStr">
        <is>
          <t>player #1:BTBR\test\c5m1.mp4</t>
        </is>
      </c>
      <c r="F2407" t="n">
        <v>-35.767</v>
      </c>
      <c r="G2407" t="n">
        <v>586.299</v>
      </c>
      <c r="H2407" t="n">
        <v>651.099</v>
      </c>
      <c r="I2407" t="n">
        <v>30</v>
      </c>
      <c r="J2407" t="inlineStr">
        <is>
          <t>BTBR</t>
        </is>
      </c>
      <c r="K2407" t="inlineStr">
        <is>
          <t>Male</t>
        </is>
      </c>
      <c r="L2407" t="inlineStr">
        <is>
          <t>No focal subject</t>
        </is>
      </c>
      <c r="M2407" t="n">
        <v>39.397</v>
      </c>
      <c r="N2407" t="inlineStr">
        <is>
          <t>Explore_F</t>
        </is>
      </c>
      <c r="O2407" t="inlineStr">
        <is>
          <t>Familiar</t>
        </is>
      </c>
      <c r="P2407" t="inlineStr">
        <is>
          <t>STATE</t>
        </is>
      </c>
      <c r="Q2407" t="n">
        <v>193.333</v>
      </c>
      <c r="R2407" t="n">
        <v>193.733</v>
      </c>
      <c r="S2407" t="n">
        <v>0.4</v>
      </c>
      <c r="T2407" t="inlineStr">
        <is>
          <t>BTBR\test\c5m1.mp4</t>
        </is>
      </c>
      <c r="U2407" t="n">
        <v>5792</v>
      </c>
      <c r="V2407" t="n">
        <v>5804</v>
      </c>
      <c r="W2407" t="n">
        <v/>
      </c>
      <c r="X2407" t="n">
        <v/>
      </c>
      <c r="Y2407" t="n">
        <v/>
      </c>
      <c r="Z2407" t="n">
        <v/>
      </c>
      <c r="AA2407">
        <f>SUMIFS($S$2:S2407,$A$2:A2407,A2407,$N$2:N2407,"Explore*")</f>
        <v/>
      </c>
      <c r="AB2407">
        <f>IF(AND(LEFT(N2407,7)="Explore",(AA2407-IF(LEFT(N2407,7)="Explore",S2407,0))&lt;10),"SI","NO")</f>
        <v/>
      </c>
    </row>
    <row r="2408">
      <c r="A2408" t="inlineStr">
        <is>
          <t>c5m1_test</t>
        </is>
      </c>
      <c r="B2408" t="inlineStr">
        <is>
          <t>2026-02-06 14:54:53.619</t>
        </is>
      </c>
      <c r="C2408" t="n">
        <v/>
      </c>
      <c r="D2408" t="inlineStr">
        <is>
          <t>Media file</t>
        </is>
      </c>
      <c r="E2408" t="inlineStr">
        <is>
          <t>player #1:BTBR\test\c5m1.mp4</t>
        </is>
      </c>
      <c r="F2408" t="n">
        <v>-35.767</v>
      </c>
      <c r="G2408" t="n">
        <v>586.299</v>
      </c>
      <c r="H2408" t="n">
        <v>651.099</v>
      </c>
      <c r="I2408" t="n">
        <v>30</v>
      </c>
      <c r="J2408" t="inlineStr">
        <is>
          <t>BTBR</t>
        </is>
      </c>
      <c r="K2408" t="inlineStr">
        <is>
          <t>Male</t>
        </is>
      </c>
      <c r="L2408" t="inlineStr">
        <is>
          <t>No focal subject</t>
        </is>
      </c>
      <c r="M2408" t="n">
        <v>39.397</v>
      </c>
      <c r="N2408" t="inlineStr">
        <is>
          <t>Explore_N</t>
        </is>
      </c>
      <c r="O2408" t="inlineStr">
        <is>
          <t>Novelty</t>
        </is>
      </c>
      <c r="P2408" t="inlineStr">
        <is>
          <t>STATE</t>
        </is>
      </c>
      <c r="Q2408" t="n">
        <v>200.633</v>
      </c>
      <c r="R2408" t="n">
        <v>201.099</v>
      </c>
      <c r="S2408" t="n">
        <v>0.466</v>
      </c>
      <c r="T2408" t="inlineStr">
        <is>
          <t>BTBR\test\c5m1.mp4</t>
        </is>
      </c>
      <c r="U2408" t="n">
        <v>6010</v>
      </c>
      <c r="V2408" t="n">
        <v>6024</v>
      </c>
      <c r="W2408" t="n">
        <v/>
      </c>
      <c r="X2408" t="n">
        <v/>
      </c>
      <c r="Y2408" t="n">
        <v/>
      </c>
      <c r="Z2408" t="n">
        <v/>
      </c>
      <c r="AA2408">
        <f>SUMIFS($S$2:S2408,$A$2:A2408,A2408,$N$2:N2408,"Explore*")</f>
        <v/>
      </c>
      <c r="AB2408">
        <f>IF(AND(LEFT(N2408,7)="Explore",(AA2408-IF(LEFT(N2408,7)="Explore",S2408,0))&lt;10),"SI","NO")</f>
        <v/>
      </c>
    </row>
    <row r="2409">
      <c r="A2409" t="inlineStr">
        <is>
          <t>c5m1_test</t>
        </is>
      </c>
      <c r="B2409" t="inlineStr">
        <is>
          <t>2026-02-06 14:54:53.619</t>
        </is>
      </c>
      <c r="C2409" t="n">
        <v/>
      </c>
      <c r="D2409" t="inlineStr">
        <is>
          <t>Media file</t>
        </is>
      </c>
      <c r="E2409" t="inlineStr">
        <is>
          <t>player #1:BTBR\test\c5m1.mp4</t>
        </is>
      </c>
      <c r="F2409" t="n">
        <v>-35.767</v>
      </c>
      <c r="G2409" t="n">
        <v>586.299</v>
      </c>
      <c r="H2409" t="n">
        <v>651.099</v>
      </c>
      <c r="I2409" t="n">
        <v>30</v>
      </c>
      <c r="J2409" t="inlineStr">
        <is>
          <t>BTBR</t>
        </is>
      </c>
      <c r="K2409" t="inlineStr">
        <is>
          <t>Male</t>
        </is>
      </c>
      <c r="L2409" t="inlineStr">
        <is>
          <t>No focal subject</t>
        </is>
      </c>
      <c r="M2409" t="n">
        <v>39.397</v>
      </c>
      <c r="N2409" t="inlineStr">
        <is>
          <t>Explore_F</t>
        </is>
      </c>
      <c r="O2409" t="inlineStr">
        <is>
          <t>Familiar</t>
        </is>
      </c>
      <c r="P2409" t="inlineStr">
        <is>
          <t>STATE</t>
        </is>
      </c>
      <c r="Q2409" t="n">
        <v>208.266</v>
      </c>
      <c r="R2409" t="n">
        <v>208.566</v>
      </c>
      <c r="S2409" t="n">
        <v>0.3</v>
      </c>
      <c r="T2409" t="inlineStr">
        <is>
          <t>BTBR\test\c5m1.mp4</t>
        </is>
      </c>
      <c r="U2409" t="n">
        <v>6239</v>
      </c>
      <c r="V2409" t="n">
        <v>6248</v>
      </c>
      <c r="W2409" t="n">
        <v/>
      </c>
      <c r="X2409" t="n">
        <v/>
      </c>
      <c r="Y2409" t="n">
        <v/>
      </c>
      <c r="Z2409" t="n">
        <v/>
      </c>
      <c r="AA2409">
        <f>SUMIFS($S$2:S2409,$A$2:A2409,A2409,$N$2:N2409,"Explore*")</f>
        <v/>
      </c>
      <c r="AB2409">
        <f>IF(AND(LEFT(N2409,7)="Explore",(AA2409-IF(LEFT(N2409,7)="Explore",S2409,0))&lt;10),"SI","NO")</f>
        <v/>
      </c>
    </row>
    <row r="2410">
      <c r="A2410" t="inlineStr">
        <is>
          <t>c5m1_test</t>
        </is>
      </c>
      <c r="B2410" t="inlineStr">
        <is>
          <t>2026-02-06 14:54:53.619</t>
        </is>
      </c>
      <c r="C2410" t="n">
        <v/>
      </c>
      <c r="D2410" t="inlineStr">
        <is>
          <t>Media file</t>
        </is>
      </c>
      <c r="E2410" t="inlineStr">
        <is>
          <t>player #1:BTBR\test\c5m1.mp4</t>
        </is>
      </c>
      <c r="F2410" t="n">
        <v>-35.767</v>
      </c>
      <c r="G2410" t="n">
        <v>586.299</v>
      </c>
      <c r="H2410" t="n">
        <v>651.099</v>
      </c>
      <c r="I2410" t="n">
        <v>30</v>
      </c>
      <c r="J2410" t="inlineStr">
        <is>
          <t>BTBR</t>
        </is>
      </c>
      <c r="K2410" t="inlineStr">
        <is>
          <t>Male</t>
        </is>
      </c>
      <c r="L2410" t="inlineStr">
        <is>
          <t>No focal subject</t>
        </is>
      </c>
      <c r="M2410" t="n">
        <v>39.397</v>
      </c>
      <c r="N2410" t="inlineStr">
        <is>
          <t>Explore_N</t>
        </is>
      </c>
      <c r="O2410" t="inlineStr">
        <is>
          <t>Novelty</t>
        </is>
      </c>
      <c r="P2410" t="inlineStr">
        <is>
          <t>STATE</t>
        </is>
      </c>
      <c r="Q2410" t="n">
        <v>222.033</v>
      </c>
      <c r="R2410" t="n">
        <v>222.966</v>
      </c>
      <c r="S2410" t="n">
        <v>0.9330000000000001</v>
      </c>
      <c r="T2410" t="inlineStr">
        <is>
          <t>BTBR\test\c5m1.mp4</t>
        </is>
      </c>
      <c r="U2410" t="n">
        <v>6652</v>
      </c>
      <c r="V2410" t="n">
        <v>6679</v>
      </c>
      <c r="W2410" t="n">
        <v/>
      </c>
      <c r="X2410" t="n">
        <v/>
      </c>
      <c r="Y2410" t="n">
        <v/>
      </c>
      <c r="Z2410" t="n">
        <v/>
      </c>
      <c r="AA2410">
        <f>SUMIFS($S$2:S2410,$A$2:A2410,A2410,$N$2:N2410,"Explore*")</f>
        <v/>
      </c>
      <c r="AB2410">
        <f>IF(AND(LEFT(N2410,7)="Explore",(AA2410-IF(LEFT(N2410,7)="Explore",S2410,0))&lt;10),"SI","NO")</f>
        <v/>
      </c>
    </row>
    <row r="2411">
      <c r="A2411" t="inlineStr">
        <is>
          <t>c5m1_test</t>
        </is>
      </c>
      <c r="B2411" t="inlineStr">
        <is>
          <t>2026-02-06 14:54:53.619</t>
        </is>
      </c>
      <c r="C2411" t="n">
        <v/>
      </c>
      <c r="D2411" t="inlineStr">
        <is>
          <t>Media file</t>
        </is>
      </c>
      <c r="E2411" t="inlineStr">
        <is>
          <t>player #1:BTBR\test\c5m1.mp4</t>
        </is>
      </c>
      <c r="F2411" t="n">
        <v>-35.767</v>
      </c>
      <c r="G2411" t="n">
        <v>586.299</v>
      </c>
      <c r="H2411" t="n">
        <v>651.099</v>
      </c>
      <c r="I2411" t="n">
        <v>30</v>
      </c>
      <c r="J2411" t="inlineStr">
        <is>
          <t>BTBR</t>
        </is>
      </c>
      <c r="K2411" t="inlineStr">
        <is>
          <t>Male</t>
        </is>
      </c>
      <c r="L2411" t="inlineStr">
        <is>
          <t>No focal subject</t>
        </is>
      </c>
      <c r="M2411" t="n">
        <v>39.397</v>
      </c>
      <c r="N2411" t="inlineStr">
        <is>
          <t>Explore_F</t>
        </is>
      </c>
      <c r="O2411" t="inlineStr">
        <is>
          <t>Familiar</t>
        </is>
      </c>
      <c r="P2411" t="inlineStr">
        <is>
          <t>STATE</t>
        </is>
      </c>
      <c r="Q2411" t="n">
        <v>244.166</v>
      </c>
      <c r="R2411" t="n">
        <v>244.499</v>
      </c>
      <c r="S2411" t="n">
        <v>0.333</v>
      </c>
      <c r="T2411" t="inlineStr">
        <is>
          <t>BTBR\test\c5m1.mp4</t>
        </is>
      </c>
      <c r="U2411" t="n">
        <v>7314</v>
      </c>
      <c r="V2411" t="n">
        <v>7324</v>
      </c>
      <c r="W2411" t="n">
        <v/>
      </c>
      <c r="X2411" t="n">
        <v/>
      </c>
      <c r="Y2411" t="n">
        <v/>
      </c>
      <c r="Z2411" t="n">
        <v/>
      </c>
      <c r="AA2411">
        <f>SUMIFS($S$2:S2411,$A$2:A2411,A2411,$N$2:N2411,"Explore*")</f>
        <v/>
      </c>
      <c r="AB2411">
        <f>IF(AND(LEFT(N2411,7)="Explore",(AA2411-IF(LEFT(N2411,7)="Explore",S2411,0))&lt;10),"SI","NO")</f>
        <v/>
      </c>
    </row>
    <row r="2412">
      <c r="A2412" t="inlineStr">
        <is>
          <t>c5m1_test</t>
        </is>
      </c>
      <c r="B2412" t="inlineStr">
        <is>
          <t>2026-02-06 14:54:53.619</t>
        </is>
      </c>
      <c r="C2412" t="n">
        <v/>
      </c>
      <c r="D2412" t="inlineStr">
        <is>
          <t>Media file</t>
        </is>
      </c>
      <c r="E2412" t="inlineStr">
        <is>
          <t>player #1:BTBR\test\c5m1.mp4</t>
        </is>
      </c>
      <c r="F2412" t="n">
        <v>-35.767</v>
      </c>
      <c r="G2412" t="n">
        <v>586.299</v>
      </c>
      <c r="H2412" t="n">
        <v>651.099</v>
      </c>
      <c r="I2412" t="n">
        <v>30</v>
      </c>
      <c r="J2412" t="inlineStr">
        <is>
          <t>BTBR</t>
        </is>
      </c>
      <c r="K2412" t="inlineStr">
        <is>
          <t>Male</t>
        </is>
      </c>
      <c r="L2412" t="inlineStr">
        <is>
          <t>No focal subject</t>
        </is>
      </c>
      <c r="M2412" t="n">
        <v>39.397</v>
      </c>
      <c r="N2412" t="inlineStr">
        <is>
          <t>Explore_F</t>
        </is>
      </c>
      <c r="O2412" t="inlineStr">
        <is>
          <t>Familiar</t>
        </is>
      </c>
      <c r="P2412" t="inlineStr">
        <is>
          <t>STATE</t>
        </is>
      </c>
      <c r="Q2412" t="n">
        <v>251.999</v>
      </c>
      <c r="R2412" t="n">
        <v>252.366</v>
      </c>
      <c r="S2412" t="n">
        <v>0.367</v>
      </c>
      <c r="T2412" t="inlineStr">
        <is>
          <t>BTBR\test\c5m1.mp4</t>
        </is>
      </c>
      <c r="U2412" t="n">
        <v>7549</v>
      </c>
      <c r="V2412" t="n">
        <v>7560</v>
      </c>
      <c r="W2412" t="n">
        <v/>
      </c>
      <c r="X2412" t="n">
        <v/>
      </c>
      <c r="Y2412" t="n">
        <v/>
      </c>
      <c r="Z2412" t="n">
        <v/>
      </c>
      <c r="AA2412">
        <f>SUMIFS($S$2:S2412,$A$2:A2412,A2412,$N$2:N2412,"Explore*")</f>
        <v/>
      </c>
      <c r="AB2412">
        <f>IF(AND(LEFT(N2412,7)="Explore",(AA2412-IF(LEFT(N2412,7)="Explore",S2412,0))&lt;10),"SI","NO")</f>
        <v/>
      </c>
    </row>
    <row r="2413">
      <c r="A2413" t="inlineStr">
        <is>
          <t>c5m1_test</t>
        </is>
      </c>
      <c r="B2413" t="inlineStr">
        <is>
          <t>2026-02-06 14:54:53.619</t>
        </is>
      </c>
      <c r="C2413" t="n">
        <v/>
      </c>
      <c r="D2413" t="inlineStr">
        <is>
          <t>Media file</t>
        </is>
      </c>
      <c r="E2413" t="inlineStr">
        <is>
          <t>player #1:BTBR\test\c5m1.mp4</t>
        </is>
      </c>
      <c r="F2413" t="n">
        <v>-35.767</v>
      </c>
      <c r="G2413" t="n">
        <v>586.299</v>
      </c>
      <c r="H2413" t="n">
        <v>651.099</v>
      </c>
      <c r="I2413" t="n">
        <v>30</v>
      </c>
      <c r="J2413" t="inlineStr">
        <is>
          <t>BTBR</t>
        </is>
      </c>
      <c r="K2413" t="inlineStr">
        <is>
          <t>Male</t>
        </is>
      </c>
      <c r="L2413" t="inlineStr">
        <is>
          <t>No focal subject</t>
        </is>
      </c>
      <c r="M2413" t="n">
        <v>39.397</v>
      </c>
      <c r="N2413" t="inlineStr">
        <is>
          <t>Explore_N</t>
        </is>
      </c>
      <c r="O2413" t="inlineStr">
        <is>
          <t>Novelty</t>
        </is>
      </c>
      <c r="P2413" t="inlineStr">
        <is>
          <t>STATE</t>
        </is>
      </c>
      <c r="Q2413" t="n">
        <v>255.533</v>
      </c>
      <c r="R2413" t="n">
        <v>255.966</v>
      </c>
      <c r="S2413" t="n">
        <v>0.433</v>
      </c>
      <c r="T2413" t="inlineStr">
        <is>
          <t>BTBR\test\c5m1.mp4</t>
        </is>
      </c>
      <c r="U2413" t="n">
        <v>7656</v>
      </c>
      <c r="V2413" t="n">
        <v>7668</v>
      </c>
      <c r="W2413" t="n">
        <v/>
      </c>
      <c r="X2413" t="n">
        <v/>
      </c>
      <c r="Y2413" t="n">
        <v/>
      </c>
      <c r="Z2413" t="n">
        <v/>
      </c>
      <c r="AA2413">
        <f>SUMIFS($S$2:S2413,$A$2:A2413,A2413,$N$2:N2413,"Explore*")</f>
        <v/>
      </c>
      <c r="AB2413">
        <f>IF(AND(LEFT(N2413,7)="Explore",(AA2413-IF(LEFT(N2413,7)="Explore",S2413,0))&lt;10),"SI","NO")</f>
        <v/>
      </c>
    </row>
    <row r="2414">
      <c r="A2414" t="inlineStr">
        <is>
          <t>c5m1_test</t>
        </is>
      </c>
      <c r="B2414" t="inlineStr">
        <is>
          <t>2026-02-06 14:54:53.619</t>
        </is>
      </c>
      <c r="C2414" t="n">
        <v/>
      </c>
      <c r="D2414" t="inlineStr">
        <is>
          <t>Media file</t>
        </is>
      </c>
      <c r="E2414" t="inlineStr">
        <is>
          <t>player #1:BTBR\test\c5m1.mp4</t>
        </is>
      </c>
      <c r="F2414" t="n">
        <v>-35.767</v>
      </c>
      <c r="G2414" t="n">
        <v>586.299</v>
      </c>
      <c r="H2414" t="n">
        <v>651.099</v>
      </c>
      <c r="I2414" t="n">
        <v>30</v>
      </c>
      <c r="J2414" t="inlineStr">
        <is>
          <t>BTBR</t>
        </is>
      </c>
      <c r="K2414" t="inlineStr">
        <is>
          <t>Male</t>
        </is>
      </c>
      <c r="L2414" t="inlineStr">
        <is>
          <t>No focal subject</t>
        </is>
      </c>
      <c r="M2414" t="n">
        <v>39.397</v>
      </c>
      <c r="N2414" t="inlineStr">
        <is>
          <t>Explore_N</t>
        </is>
      </c>
      <c r="O2414" t="inlineStr">
        <is>
          <t>Novelty</t>
        </is>
      </c>
      <c r="P2414" t="inlineStr">
        <is>
          <t>STATE</t>
        </is>
      </c>
      <c r="Q2414" t="n">
        <v>256.466</v>
      </c>
      <c r="R2414" t="n">
        <v>256.999</v>
      </c>
      <c r="S2414" t="n">
        <v>0.533</v>
      </c>
      <c r="T2414" t="inlineStr">
        <is>
          <t>BTBR\test\c5m1.mp4</t>
        </is>
      </c>
      <c r="U2414" t="n">
        <v>7683</v>
      </c>
      <c r="V2414" t="n">
        <v>7699</v>
      </c>
      <c r="W2414" t="n">
        <v/>
      </c>
      <c r="X2414" t="n">
        <v/>
      </c>
      <c r="Y2414" t="n">
        <v/>
      </c>
      <c r="Z2414" t="n">
        <v/>
      </c>
      <c r="AA2414">
        <f>SUMIFS($S$2:S2414,$A$2:A2414,A2414,$N$2:N2414,"Explore*")</f>
        <v/>
      </c>
      <c r="AB2414">
        <f>IF(AND(LEFT(N2414,7)="Explore",(AA2414-IF(LEFT(N2414,7)="Explore",S2414,0))&lt;10),"SI","NO")</f>
        <v/>
      </c>
    </row>
    <row r="2415">
      <c r="A2415" t="inlineStr">
        <is>
          <t>c5m1_test</t>
        </is>
      </c>
      <c r="B2415" t="inlineStr">
        <is>
          <t>2026-02-06 14:54:53.619</t>
        </is>
      </c>
      <c r="C2415" t="n">
        <v/>
      </c>
      <c r="D2415" t="inlineStr">
        <is>
          <t>Media file</t>
        </is>
      </c>
      <c r="E2415" t="inlineStr">
        <is>
          <t>player #1:BTBR\test\c5m1.mp4</t>
        </is>
      </c>
      <c r="F2415" t="n">
        <v>-35.767</v>
      </c>
      <c r="G2415" t="n">
        <v>586.299</v>
      </c>
      <c r="H2415" t="n">
        <v>651.099</v>
      </c>
      <c r="I2415" t="n">
        <v>30</v>
      </c>
      <c r="J2415" t="inlineStr">
        <is>
          <t>BTBR</t>
        </is>
      </c>
      <c r="K2415" t="inlineStr">
        <is>
          <t>Male</t>
        </is>
      </c>
      <c r="L2415" t="inlineStr">
        <is>
          <t>No focal subject</t>
        </is>
      </c>
      <c r="M2415" t="n">
        <v>39.397</v>
      </c>
      <c r="N2415" t="inlineStr">
        <is>
          <t>Explore_N</t>
        </is>
      </c>
      <c r="O2415" t="inlineStr">
        <is>
          <t>Novelty</t>
        </is>
      </c>
      <c r="P2415" t="inlineStr">
        <is>
          <t>STATE</t>
        </is>
      </c>
      <c r="Q2415" t="n">
        <v>268.833</v>
      </c>
      <c r="R2415" t="n">
        <v>269.466</v>
      </c>
      <c r="S2415" t="n">
        <v>0.633</v>
      </c>
      <c r="T2415" t="inlineStr">
        <is>
          <t>BTBR\test\c5m1.mp4</t>
        </is>
      </c>
      <c r="U2415" t="n">
        <v>8053</v>
      </c>
      <c r="V2415" t="n">
        <v>8072</v>
      </c>
      <c r="W2415" t="n">
        <v/>
      </c>
      <c r="X2415" t="n">
        <v/>
      </c>
      <c r="Y2415" t="n">
        <v/>
      </c>
      <c r="Z2415" t="n">
        <v/>
      </c>
      <c r="AA2415">
        <f>SUMIFS($S$2:S2415,$A$2:A2415,A2415,$N$2:N2415,"Explore*")</f>
        <v/>
      </c>
      <c r="AB2415">
        <f>IF(AND(LEFT(N2415,7)="Explore",(AA2415-IF(LEFT(N2415,7)="Explore",S2415,0))&lt;10),"SI","NO")</f>
        <v/>
      </c>
    </row>
    <row r="2416">
      <c r="A2416" t="inlineStr">
        <is>
          <t>c5m1_test</t>
        </is>
      </c>
      <c r="B2416" t="inlineStr">
        <is>
          <t>2026-02-06 14:54:53.619</t>
        </is>
      </c>
      <c r="C2416" t="n">
        <v/>
      </c>
      <c r="D2416" t="inlineStr">
        <is>
          <t>Media file</t>
        </is>
      </c>
      <c r="E2416" t="inlineStr">
        <is>
          <t>player #1:BTBR\test\c5m1.mp4</t>
        </is>
      </c>
      <c r="F2416" t="n">
        <v>-35.767</v>
      </c>
      <c r="G2416" t="n">
        <v>586.299</v>
      </c>
      <c r="H2416" t="n">
        <v>651.099</v>
      </c>
      <c r="I2416" t="n">
        <v>30</v>
      </c>
      <c r="J2416" t="inlineStr">
        <is>
          <t>BTBR</t>
        </is>
      </c>
      <c r="K2416" t="inlineStr">
        <is>
          <t>Male</t>
        </is>
      </c>
      <c r="L2416" t="inlineStr">
        <is>
          <t>No focal subject</t>
        </is>
      </c>
      <c r="M2416" t="n">
        <v>39.397</v>
      </c>
      <c r="N2416" t="inlineStr">
        <is>
          <t>Explore_N</t>
        </is>
      </c>
      <c r="O2416" t="inlineStr">
        <is>
          <t>Novelty</t>
        </is>
      </c>
      <c r="P2416" t="inlineStr">
        <is>
          <t>STATE</t>
        </is>
      </c>
      <c r="Q2416" t="n">
        <v>270.266</v>
      </c>
      <c r="R2416" t="n">
        <v>270.966</v>
      </c>
      <c r="S2416" t="n">
        <v>0.7</v>
      </c>
      <c r="T2416" t="inlineStr">
        <is>
          <t>BTBR\test\c5m1.mp4</t>
        </is>
      </c>
      <c r="U2416" t="n">
        <v>8096</v>
      </c>
      <c r="V2416" t="n">
        <v>8117</v>
      </c>
      <c r="W2416" t="n">
        <v/>
      </c>
      <c r="X2416" t="n">
        <v/>
      </c>
      <c r="Y2416" t="n">
        <v/>
      </c>
      <c r="Z2416" t="n">
        <v/>
      </c>
      <c r="AA2416">
        <f>SUMIFS($S$2:S2416,$A$2:A2416,A2416,$N$2:N2416,"Explore*")</f>
        <v/>
      </c>
      <c r="AB2416">
        <f>IF(AND(LEFT(N2416,7)="Explore",(AA2416-IF(LEFT(N2416,7)="Explore",S2416,0))&lt;10),"SI","NO")</f>
        <v/>
      </c>
    </row>
    <row r="2417">
      <c r="A2417" t="inlineStr">
        <is>
          <t>c5m1_test</t>
        </is>
      </c>
      <c r="B2417" t="inlineStr">
        <is>
          <t>2026-02-06 14:54:53.619</t>
        </is>
      </c>
      <c r="C2417" t="n">
        <v/>
      </c>
      <c r="D2417" t="inlineStr">
        <is>
          <t>Media file</t>
        </is>
      </c>
      <c r="E2417" t="inlineStr">
        <is>
          <t>player #1:BTBR\test\c5m1.mp4</t>
        </is>
      </c>
      <c r="F2417" t="n">
        <v>-35.767</v>
      </c>
      <c r="G2417" t="n">
        <v>586.299</v>
      </c>
      <c r="H2417" t="n">
        <v>651.099</v>
      </c>
      <c r="I2417" t="n">
        <v>30</v>
      </c>
      <c r="J2417" t="inlineStr">
        <is>
          <t>BTBR</t>
        </is>
      </c>
      <c r="K2417" t="inlineStr">
        <is>
          <t>Male</t>
        </is>
      </c>
      <c r="L2417" t="inlineStr">
        <is>
          <t>No focal subject</t>
        </is>
      </c>
      <c r="M2417" t="n">
        <v>39.397</v>
      </c>
      <c r="N2417" t="inlineStr">
        <is>
          <t>Explore_N</t>
        </is>
      </c>
      <c r="O2417" t="inlineStr">
        <is>
          <t>Novelty</t>
        </is>
      </c>
      <c r="P2417" t="inlineStr">
        <is>
          <t>STATE</t>
        </is>
      </c>
      <c r="Q2417" t="n">
        <v>274.933</v>
      </c>
      <c r="R2417" t="n">
        <v>275.533</v>
      </c>
      <c r="S2417" t="n">
        <v>0.6</v>
      </c>
      <c r="T2417" t="inlineStr">
        <is>
          <t>BTBR\test\c5m1.mp4</t>
        </is>
      </c>
      <c r="U2417" t="n">
        <v>8236</v>
      </c>
      <c r="V2417" t="n">
        <v>8255</v>
      </c>
      <c r="W2417" t="n">
        <v/>
      </c>
      <c r="X2417" t="n">
        <v/>
      </c>
      <c r="Y2417" t="n">
        <v/>
      </c>
      <c r="Z2417" t="n">
        <v/>
      </c>
      <c r="AA2417">
        <f>SUMIFS($S$2:S2417,$A$2:A2417,A2417,$N$2:N2417,"Explore*")</f>
        <v/>
      </c>
      <c r="AB2417">
        <f>IF(AND(LEFT(N2417,7)="Explore",(AA2417-IF(LEFT(N2417,7)="Explore",S2417,0))&lt;10),"SI","NO")</f>
        <v/>
      </c>
    </row>
    <row r="2418">
      <c r="A2418" t="inlineStr">
        <is>
          <t>c5m1_test</t>
        </is>
      </c>
      <c r="B2418" t="inlineStr">
        <is>
          <t>2026-02-06 14:54:53.619</t>
        </is>
      </c>
      <c r="C2418" t="n">
        <v/>
      </c>
      <c r="D2418" t="inlineStr">
        <is>
          <t>Media file</t>
        </is>
      </c>
      <c r="E2418" t="inlineStr">
        <is>
          <t>player #1:BTBR\test\c5m1.mp4</t>
        </is>
      </c>
      <c r="F2418" t="n">
        <v>-35.767</v>
      </c>
      <c r="G2418" t="n">
        <v>586.299</v>
      </c>
      <c r="H2418" t="n">
        <v>651.099</v>
      </c>
      <c r="I2418" t="n">
        <v>30</v>
      </c>
      <c r="J2418" t="inlineStr">
        <is>
          <t>BTBR</t>
        </is>
      </c>
      <c r="K2418" t="inlineStr">
        <is>
          <t>Male</t>
        </is>
      </c>
      <c r="L2418" t="inlineStr">
        <is>
          <t>No focal subject</t>
        </is>
      </c>
      <c r="M2418" t="n">
        <v>39.397</v>
      </c>
      <c r="N2418" t="inlineStr">
        <is>
          <t>Explore_F</t>
        </is>
      </c>
      <c r="O2418" t="inlineStr">
        <is>
          <t>Familiar</t>
        </is>
      </c>
      <c r="P2418" t="inlineStr">
        <is>
          <t>STATE</t>
        </is>
      </c>
      <c r="Q2418" t="n">
        <v>283.333</v>
      </c>
      <c r="R2418" t="n">
        <v>283.599</v>
      </c>
      <c r="S2418" t="n">
        <v>0.266</v>
      </c>
      <c r="T2418" t="inlineStr">
        <is>
          <t>BTBR\test\c5m1.mp4</t>
        </is>
      </c>
      <c r="U2418" t="n">
        <v>8488</v>
      </c>
      <c r="V2418" t="n">
        <v>8496</v>
      </c>
      <c r="W2418" t="n">
        <v/>
      </c>
      <c r="X2418" t="n">
        <v/>
      </c>
      <c r="Y2418" t="n">
        <v/>
      </c>
      <c r="Z2418" t="n">
        <v/>
      </c>
      <c r="AA2418">
        <f>SUMIFS($S$2:S2418,$A$2:A2418,A2418,$N$2:N2418,"Explore*")</f>
        <v/>
      </c>
      <c r="AB2418">
        <f>IF(AND(LEFT(N2418,7)="Explore",(AA2418-IF(LEFT(N2418,7)="Explore",S2418,0))&lt;10),"SI","NO")</f>
        <v/>
      </c>
    </row>
    <row r="2419">
      <c r="A2419" t="inlineStr">
        <is>
          <t>c5m1_test</t>
        </is>
      </c>
      <c r="B2419" t="inlineStr">
        <is>
          <t>2026-02-06 14:54:53.619</t>
        </is>
      </c>
      <c r="C2419" t="n">
        <v/>
      </c>
      <c r="D2419" t="inlineStr">
        <is>
          <t>Media file</t>
        </is>
      </c>
      <c r="E2419" t="inlineStr">
        <is>
          <t>player #1:BTBR\test\c5m1.mp4</t>
        </is>
      </c>
      <c r="F2419" t="n">
        <v>-35.767</v>
      </c>
      <c r="G2419" t="n">
        <v>586.299</v>
      </c>
      <c r="H2419" t="n">
        <v>651.099</v>
      </c>
      <c r="I2419" t="n">
        <v>30</v>
      </c>
      <c r="J2419" t="inlineStr">
        <is>
          <t>BTBR</t>
        </is>
      </c>
      <c r="K2419" t="inlineStr">
        <is>
          <t>Male</t>
        </is>
      </c>
      <c r="L2419" t="inlineStr">
        <is>
          <t>No focal subject</t>
        </is>
      </c>
      <c r="M2419" t="n">
        <v>39.397</v>
      </c>
      <c r="N2419" t="inlineStr">
        <is>
          <t>Explore_F</t>
        </is>
      </c>
      <c r="O2419" t="inlineStr">
        <is>
          <t>Familiar</t>
        </is>
      </c>
      <c r="P2419" t="inlineStr">
        <is>
          <t>STATE</t>
        </is>
      </c>
      <c r="Q2419" t="n">
        <v>284.199</v>
      </c>
      <c r="R2419" t="n">
        <v>284.533</v>
      </c>
      <c r="S2419" t="n">
        <v>0.334</v>
      </c>
      <c r="T2419" t="inlineStr">
        <is>
          <t>BTBR\test\c5m1.mp4</t>
        </is>
      </c>
      <c r="U2419" t="n">
        <v>8514</v>
      </c>
      <c r="V2419" t="n">
        <v>8525</v>
      </c>
      <c r="W2419" t="n">
        <v/>
      </c>
      <c r="X2419" t="n">
        <v/>
      </c>
      <c r="Y2419" t="n">
        <v/>
      </c>
      <c r="Z2419" t="n">
        <v/>
      </c>
      <c r="AA2419">
        <f>SUMIFS($S$2:S2419,$A$2:A2419,A2419,$N$2:N2419,"Explore*")</f>
        <v/>
      </c>
      <c r="AB2419">
        <f>IF(AND(LEFT(N2419,7)="Explore",(AA2419-IF(LEFT(N2419,7)="Explore",S2419,0))&lt;10),"SI","NO")</f>
        <v/>
      </c>
    </row>
    <row r="2420">
      <c r="A2420" t="inlineStr">
        <is>
          <t>c5m1_test</t>
        </is>
      </c>
      <c r="B2420" t="inlineStr">
        <is>
          <t>2026-02-06 14:54:53.619</t>
        </is>
      </c>
      <c r="C2420" t="n">
        <v/>
      </c>
      <c r="D2420" t="inlineStr">
        <is>
          <t>Media file</t>
        </is>
      </c>
      <c r="E2420" t="inlineStr">
        <is>
          <t>player #1:BTBR\test\c5m1.mp4</t>
        </is>
      </c>
      <c r="F2420" t="n">
        <v>-35.767</v>
      </c>
      <c r="G2420" t="n">
        <v>586.299</v>
      </c>
      <c r="H2420" t="n">
        <v>651.099</v>
      </c>
      <c r="I2420" t="n">
        <v>30</v>
      </c>
      <c r="J2420" t="inlineStr">
        <is>
          <t>BTBR</t>
        </is>
      </c>
      <c r="K2420" t="inlineStr">
        <is>
          <t>Male</t>
        </is>
      </c>
      <c r="L2420" t="inlineStr">
        <is>
          <t>No focal subject</t>
        </is>
      </c>
      <c r="M2420" t="n">
        <v>39.397</v>
      </c>
      <c r="N2420" t="inlineStr">
        <is>
          <t>Explore_F</t>
        </is>
      </c>
      <c r="O2420" t="inlineStr">
        <is>
          <t>Familiar</t>
        </is>
      </c>
      <c r="P2420" t="inlineStr">
        <is>
          <t>STATE</t>
        </is>
      </c>
      <c r="Q2420" t="n">
        <v>310.399</v>
      </c>
      <c r="R2420" t="n">
        <v>310.899</v>
      </c>
      <c r="S2420" t="n">
        <v>0.5</v>
      </c>
      <c r="T2420" t="inlineStr">
        <is>
          <t>BTBR\test\c5m1.mp4</t>
        </is>
      </c>
      <c r="U2420" t="n">
        <v>10370</v>
      </c>
      <c r="V2420" t="n">
        <v>10385</v>
      </c>
      <c r="W2420" t="n">
        <v/>
      </c>
      <c r="X2420" t="n">
        <v/>
      </c>
      <c r="Y2420" t="n">
        <v/>
      </c>
      <c r="Z2420" t="n">
        <v/>
      </c>
      <c r="AA2420">
        <f>SUMIFS($S$2:S2420,$A$2:A2420,A2420,$N$2:N2420,"Explore*")</f>
        <v/>
      </c>
      <c r="AB2420">
        <f>IF(AND(LEFT(N2420,7)="Explore",(AA2420-IF(LEFT(N2420,7)="Explore",S2420,0))&lt;10),"SI","NO")</f>
        <v/>
      </c>
    </row>
    <row r="2421">
      <c r="A2421" t="inlineStr">
        <is>
          <t>c5m1_test</t>
        </is>
      </c>
      <c r="B2421" t="inlineStr">
        <is>
          <t>2026-02-06 14:54:53.619</t>
        </is>
      </c>
      <c r="C2421" t="n">
        <v/>
      </c>
      <c r="D2421" t="inlineStr">
        <is>
          <t>Media file</t>
        </is>
      </c>
      <c r="E2421" t="inlineStr">
        <is>
          <t>player #1:BTBR\test\c5m1.mp4</t>
        </is>
      </c>
      <c r="F2421" t="n">
        <v>-35.767</v>
      </c>
      <c r="G2421" t="n">
        <v>586.299</v>
      </c>
      <c r="H2421" t="n">
        <v>651.099</v>
      </c>
      <c r="I2421" t="n">
        <v>30</v>
      </c>
      <c r="J2421" t="inlineStr">
        <is>
          <t>BTBR</t>
        </is>
      </c>
      <c r="K2421" t="inlineStr">
        <is>
          <t>Male</t>
        </is>
      </c>
      <c r="L2421" t="inlineStr">
        <is>
          <t>No focal subject</t>
        </is>
      </c>
      <c r="M2421" t="n">
        <v>39.397</v>
      </c>
      <c r="N2421" t="inlineStr">
        <is>
          <t>Explore_F</t>
        </is>
      </c>
      <c r="O2421" t="inlineStr">
        <is>
          <t>Familiar</t>
        </is>
      </c>
      <c r="P2421" t="inlineStr">
        <is>
          <t>STATE</t>
        </is>
      </c>
      <c r="Q2421" t="n">
        <v>326.433</v>
      </c>
      <c r="R2421" t="n">
        <v>326.866</v>
      </c>
      <c r="S2421" t="n">
        <v>0.433</v>
      </c>
      <c r="T2421" t="inlineStr">
        <is>
          <t>BTBR\test\c5m1.mp4</t>
        </is>
      </c>
      <c r="U2421" t="n">
        <v>10850</v>
      </c>
      <c r="V2421" t="n">
        <v>10863</v>
      </c>
      <c r="W2421" t="n">
        <v/>
      </c>
      <c r="X2421" t="n">
        <v/>
      </c>
      <c r="Y2421" t="n">
        <v/>
      </c>
      <c r="Z2421" t="n">
        <v/>
      </c>
      <c r="AA2421">
        <f>SUMIFS($S$2:S2421,$A$2:A2421,A2421,$N$2:N2421,"Explore*")</f>
        <v/>
      </c>
      <c r="AB2421">
        <f>IF(AND(LEFT(N2421,7)="Explore",(AA2421-IF(LEFT(N2421,7)="Explore",S2421,0))&lt;10),"SI","NO")</f>
        <v/>
      </c>
    </row>
    <row r="2422">
      <c r="A2422" t="inlineStr">
        <is>
          <t>c5m1_test</t>
        </is>
      </c>
      <c r="B2422" t="inlineStr">
        <is>
          <t>2026-02-06 14:54:53.619</t>
        </is>
      </c>
      <c r="C2422" t="n">
        <v/>
      </c>
      <c r="D2422" t="inlineStr">
        <is>
          <t>Media file</t>
        </is>
      </c>
      <c r="E2422" t="inlineStr">
        <is>
          <t>player #1:BTBR\test\c5m1.mp4</t>
        </is>
      </c>
      <c r="F2422" t="n">
        <v>-35.767</v>
      </c>
      <c r="G2422" t="n">
        <v>586.299</v>
      </c>
      <c r="H2422" t="n">
        <v>651.099</v>
      </c>
      <c r="I2422" t="n">
        <v>30</v>
      </c>
      <c r="J2422" t="inlineStr">
        <is>
          <t>BTBR</t>
        </is>
      </c>
      <c r="K2422" t="inlineStr">
        <is>
          <t>Male</t>
        </is>
      </c>
      <c r="L2422" t="inlineStr">
        <is>
          <t>No focal subject</t>
        </is>
      </c>
      <c r="M2422" t="n">
        <v>39.397</v>
      </c>
      <c r="N2422" t="inlineStr">
        <is>
          <t>Explore_N</t>
        </is>
      </c>
      <c r="O2422" t="inlineStr">
        <is>
          <t>Novelty</t>
        </is>
      </c>
      <c r="P2422" t="inlineStr">
        <is>
          <t>STATE</t>
        </is>
      </c>
      <c r="Q2422" t="n">
        <v>341.833</v>
      </c>
      <c r="R2422" t="n">
        <v>342.433</v>
      </c>
      <c r="S2422" t="n">
        <v>0.6</v>
      </c>
      <c r="T2422" t="inlineStr">
        <is>
          <t>BTBR\test\c5m1.mp4</t>
        </is>
      </c>
      <c r="U2422" t="n">
        <v>11312</v>
      </c>
      <c r="V2422" t="n">
        <v>11330</v>
      </c>
      <c r="W2422" t="n">
        <v/>
      </c>
      <c r="X2422" t="n">
        <v/>
      </c>
      <c r="Y2422" t="n">
        <v/>
      </c>
      <c r="Z2422" t="n">
        <v/>
      </c>
      <c r="AA2422">
        <f>SUMIFS($S$2:S2422,$A$2:A2422,A2422,$N$2:N2422,"Explore*")</f>
        <v/>
      </c>
      <c r="AB2422">
        <f>IF(AND(LEFT(N2422,7)="Explore",(AA2422-IF(LEFT(N2422,7)="Explore",S2422,0))&lt;10),"SI","NO")</f>
        <v/>
      </c>
    </row>
    <row r="2423">
      <c r="A2423" t="inlineStr">
        <is>
          <t>c5m1_test</t>
        </is>
      </c>
      <c r="B2423" t="inlineStr">
        <is>
          <t>2026-02-06 14:54:53.619</t>
        </is>
      </c>
      <c r="C2423" t="n">
        <v/>
      </c>
      <c r="D2423" t="inlineStr">
        <is>
          <t>Media file</t>
        </is>
      </c>
      <c r="E2423" t="inlineStr">
        <is>
          <t>player #1:BTBR\test\c5m1.mp4</t>
        </is>
      </c>
      <c r="F2423" t="n">
        <v>-35.767</v>
      </c>
      <c r="G2423" t="n">
        <v>586.299</v>
      </c>
      <c r="H2423" t="n">
        <v>651.099</v>
      </c>
      <c r="I2423" t="n">
        <v>30</v>
      </c>
      <c r="J2423" t="inlineStr">
        <is>
          <t>BTBR</t>
        </is>
      </c>
      <c r="K2423" t="inlineStr">
        <is>
          <t>Male</t>
        </is>
      </c>
      <c r="L2423" t="inlineStr">
        <is>
          <t>No focal subject</t>
        </is>
      </c>
      <c r="M2423" t="n">
        <v>39.397</v>
      </c>
      <c r="N2423" t="inlineStr">
        <is>
          <t>Explore_F</t>
        </is>
      </c>
      <c r="O2423" t="inlineStr">
        <is>
          <t>Familiar</t>
        </is>
      </c>
      <c r="P2423" t="inlineStr">
        <is>
          <t>STATE</t>
        </is>
      </c>
      <c r="Q2423" t="n">
        <v>368.266</v>
      </c>
      <c r="R2423" t="n">
        <v>368.666</v>
      </c>
      <c r="S2423" t="n">
        <v>0.4</v>
      </c>
      <c r="T2423" t="inlineStr">
        <is>
          <t>BTBR\test\c5m1.mp4</t>
        </is>
      </c>
      <c r="U2423" t="n">
        <v>12104</v>
      </c>
      <c r="V2423" t="n">
        <v>12116</v>
      </c>
      <c r="W2423" t="n">
        <v/>
      </c>
      <c r="X2423" t="n">
        <v/>
      </c>
      <c r="Y2423" t="n">
        <v/>
      </c>
      <c r="Z2423" t="n">
        <v/>
      </c>
      <c r="AA2423">
        <f>SUMIFS($S$2:S2423,$A$2:A2423,A2423,$N$2:N2423,"Explore*")</f>
        <v/>
      </c>
      <c r="AB2423">
        <f>IF(AND(LEFT(N2423,7)="Explore",(AA2423-IF(LEFT(N2423,7)="Explore",S2423,0))&lt;10),"SI","NO")</f>
        <v/>
      </c>
    </row>
    <row r="2424">
      <c r="A2424" t="inlineStr">
        <is>
          <t>c5m1_test</t>
        </is>
      </c>
      <c r="B2424" t="inlineStr">
        <is>
          <t>2026-02-06 14:54:53.619</t>
        </is>
      </c>
      <c r="C2424" t="n">
        <v/>
      </c>
      <c r="D2424" t="inlineStr">
        <is>
          <t>Media file</t>
        </is>
      </c>
      <c r="E2424" t="inlineStr">
        <is>
          <t>player #1:BTBR\test\c5m1.mp4</t>
        </is>
      </c>
      <c r="F2424" t="n">
        <v>-35.767</v>
      </c>
      <c r="G2424" t="n">
        <v>586.299</v>
      </c>
      <c r="H2424" t="n">
        <v>651.099</v>
      </c>
      <c r="I2424" t="n">
        <v>30</v>
      </c>
      <c r="J2424" t="inlineStr">
        <is>
          <t>BTBR</t>
        </is>
      </c>
      <c r="K2424" t="inlineStr">
        <is>
          <t>Male</t>
        </is>
      </c>
      <c r="L2424" t="inlineStr">
        <is>
          <t>No focal subject</t>
        </is>
      </c>
      <c r="M2424" t="n">
        <v>39.397</v>
      </c>
      <c r="N2424" t="inlineStr">
        <is>
          <t>Explore_N</t>
        </is>
      </c>
      <c r="O2424" t="inlineStr">
        <is>
          <t>Novelty</t>
        </is>
      </c>
      <c r="P2424" t="inlineStr">
        <is>
          <t>STATE</t>
        </is>
      </c>
      <c r="Q2424" t="n">
        <v>377.933</v>
      </c>
      <c r="R2424" t="n">
        <v>378.566</v>
      </c>
      <c r="S2424" t="n">
        <v>0.633</v>
      </c>
      <c r="T2424" t="inlineStr">
        <is>
          <t>BTBR\test\c5m1.mp4</t>
        </is>
      </c>
      <c r="U2424" t="n">
        <v>12393</v>
      </c>
      <c r="V2424" t="n">
        <v>12412</v>
      </c>
      <c r="W2424" t="n">
        <v/>
      </c>
      <c r="X2424" t="n">
        <v/>
      </c>
      <c r="Y2424" t="n">
        <v/>
      </c>
      <c r="Z2424" t="n">
        <v/>
      </c>
      <c r="AA2424">
        <f>SUMIFS($S$2:S2424,$A$2:A2424,A2424,$N$2:N2424,"Explore*")</f>
        <v/>
      </c>
      <c r="AB2424">
        <f>IF(AND(LEFT(N2424,7)="Explore",(AA2424-IF(LEFT(N2424,7)="Explore",S2424,0))&lt;10),"SI","NO")</f>
        <v/>
      </c>
    </row>
    <row r="2425">
      <c r="A2425" t="inlineStr">
        <is>
          <t>c5m1_test</t>
        </is>
      </c>
      <c r="B2425" t="inlineStr">
        <is>
          <t>2026-02-06 14:54:53.619</t>
        </is>
      </c>
      <c r="C2425" t="n">
        <v/>
      </c>
      <c r="D2425" t="inlineStr">
        <is>
          <t>Media file</t>
        </is>
      </c>
      <c r="E2425" t="inlineStr">
        <is>
          <t>player #1:BTBR\test\c5m1.mp4</t>
        </is>
      </c>
      <c r="F2425" t="n">
        <v>-35.767</v>
      </c>
      <c r="G2425" t="n">
        <v>586.299</v>
      </c>
      <c r="H2425" t="n">
        <v>651.099</v>
      </c>
      <c r="I2425" t="n">
        <v>30</v>
      </c>
      <c r="J2425" t="inlineStr">
        <is>
          <t>BTBR</t>
        </is>
      </c>
      <c r="K2425" t="inlineStr">
        <is>
          <t>Male</t>
        </is>
      </c>
      <c r="L2425" t="inlineStr">
        <is>
          <t>No focal subject</t>
        </is>
      </c>
      <c r="M2425" t="n">
        <v>39.397</v>
      </c>
      <c r="N2425" t="inlineStr">
        <is>
          <t>Explore_F</t>
        </is>
      </c>
      <c r="O2425" t="inlineStr">
        <is>
          <t>Familiar</t>
        </is>
      </c>
      <c r="P2425" t="inlineStr">
        <is>
          <t>STATE</t>
        </is>
      </c>
      <c r="Q2425" t="n">
        <v>379.533</v>
      </c>
      <c r="R2425" t="n">
        <v>380.166</v>
      </c>
      <c r="S2425" t="n">
        <v>0.633</v>
      </c>
      <c r="T2425" t="inlineStr">
        <is>
          <t>BTBR\test\c5m1.mp4</t>
        </is>
      </c>
      <c r="U2425" t="n">
        <v>12441</v>
      </c>
      <c r="V2425" t="n">
        <v>12460</v>
      </c>
      <c r="W2425" t="n">
        <v/>
      </c>
      <c r="X2425" t="n">
        <v/>
      </c>
      <c r="Y2425" t="n">
        <v/>
      </c>
      <c r="Z2425" t="n">
        <v/>
      </c>
      <c r="AA2425">
        <f>SUMIFS($S$2:S2425,$A$2:A2425,A2425,$N$2:N2425,"Explore*")</f>
        <v/>
      </c>
      <c r="AB2425">
        <f>IF(AND(LEFT(N2425,7)="Explore",(AA2425-IF(LEFT(N2425,7)="Explore",S2425,0))&lt;10),"SI","NO")</f>
        <v/>
      </c>
    </row>
    <row r="2426">
      <c r="A2426" t="inlineStr">
        <is>
          <t>c5m1_test</t>
        </is>
      </c>
      <c r="B2426" t="inlineStr">
        <is>
          <t>2026-02-06 14:54:53.619</t>
        </is>
      </c>
      <c r="C2426" t="n">
        <v/>
      </c>
      <c r="D2426" t="inlineStr">
        <is>
          <t>Media file</t>
        </is>
      </c>
      <c r="E2426" t="inlineStr">
        <is>
          <t>player #1:BTBR\test\c5m1.mp4</t>
        </is>
      </c>
      <c r="F2426" t="n">
        <v>-35.767</v>
      </c>
      <c r="G2426" t="n">
        <v>586.299</v>
      </c>
      <c r="H2426" t="n">
        <v>651.099</v>
      </c>
      <c r="I2426" t="n">
        <v>30</v>
      </c>
      <c r="J2426" t="inlineStr">
        <is>
          <t>BTBR</t>
        </is>
      </c>
      <c r="K2426" t="inlineStr">
        <is>
          <t>Male</t>
        </is>
      </c>
      <c r="L2426" t="inlineStr">
        <is>
          <t>No focal subject</t>
        </is>
      </c>
      <c r="M2426" t="n">
        <v>39.397</v>
      </c>
      <c r="N2426" t="inlineStr">
        <is>
          <t>Explore_N</t>
        </is>
      </c>
      <c r="O2426" t="inlineStr">
        <is>
          <t>Novelty</t>
        </is>
      </c>
      <c r="P2426" t="inlineStr">
        <is>
          <t>STATE</t>
        </is>
      </c>
      <c r="Q2426" t="n">
        <v>391.666</v>
      </c>
      <c r="R2426" t="n">
        <v>392.433</v>
      </c>
      <c r="S2426" t="n">
        <v>0.767</v>
      </c>
      <c r="T2426" t="inlineStr">
        <is>
          <t>BTBR\test\c5m1.mp4</t>
        </is>
      </c>
      <c r="U2426" t="n">
        <v>12805</v>
      </c>
      <c r="V2426" t="n">
        <v>12828</v>
      </c>
      <c r="W2426" t="n">
        <v/>
      </c>
      <c r="X2426" t="n">
        <v/>
      </c>
      <c r="Y2426" t="n">
        <v/>
      </c>
      <c r="Z2426" t="n">
        <v/>
      </c>
      <c r="AA2426">
        <f>SUMIFS($S$2:S2426,$A$2:A2426,A2426,$N$2:N2426,"Explore*")</f>
        <v/>
      </c>
      <c r="AB2426">
        <f>IF(AND(LEFT(N2426,7)="Explore",(AA2426-IF(LEFT(N2426,7)="Explore",S2426,0))&lt;10),"SI","NO")</f>
        <v/>
      </c>
    </row>
    <row r="2427">
      <c r="A2427" t="inlineStr">
        <is>
          <t>c5m1_test</t>
        </is>
      </c>
      <c r="B2427" t="inlineStr">
        <is>
          <t>2026-02-06 14:54:53.619</t>
        </is>
      </c>
      <c r="C2427" t="n">
        <v/>
      </c>
      <c r="D2427" t="inlineStr">
        <is>
          <t>Media file</t>
        </is>
      </c>
      <c r="E2427" t="inlineStr">
        <is>
          <t>player #1:BTBR\test\c5m1.mp4</t>
        </is>
      </c>
      <c r="F2427" t="n">
        <v>-35.767</v>
      </c>
      <c r="G2427" t="n">
        <v>586.299</v>
      </c>
      <c r="H2427" t="n">
        <v>651.099</v>
      </c>
      <c r="I2427" t="n">
        <v>30</v>
      </c>
      <c r="J2427" t="inlineStr">
        <is>
          <t>BTBR</t>
        </is>
      </c>
      <c r="K2427" t="inlineStr">
        <is>
          <t>Male</t>
        </is>
      </c>
      <c r="L2427" t="inlineStr">
        <is>
          <t>No focal subject</t>
        </is>
      </c>
      <c r="M2427" t="n">
        <v>39.397</v>
      </c>
      <c r="N2427" t="inlineStr">
        <is>
          <t>Explore_F</t>
        </is>
      </c>
      <c r="O2427" t="inlineStr">
        <is>
          <t>Familiar</t>
        </is>
      </c>
      <c r="P2427" t="inlineStr">
        <is>
          <t>STATE</t>
        </is>
      </c>
      <c r="Q2427" t="n">
        <v>398.599</v>
      </c>
      <c r="R2427" t="n">
        <v>398.966</v>
      </c>
      <c r="S2427" t="n">
        <v>0.367</v>
      </c>
      <c r="T2427" t="inlineStr">
        <is>
          <t>BTBR\test\c5m1.mp4</t>
        </is>
      </c>
      <c r="U2427" t="n">
        <v>13012</v>
      </c>
      <c r="V2427" t="n">
        <v>13023</v>
      </c>
      <c r="W2427" t="n">
        <v/>
      </c>
      <c r="X2427" t="n">
        <v/>
      </c>
      <c r="Y2427" t="n">
        <v/>
      </c>
      <c r="Z2427" t="n">
        <v/>
      </c>
      <c r="AA2427">
        <f>SUMIFS($S$2:S2427,$A$2:A2427,A2427,$N$2:N2427,"Explore*")</f>
        <v/>
      </c>
      <c r="AB2427">
        <f>IF(AND(LEFT(N2427,7)="Explore",(AA2427-IF(LEFT(N2427,7)="Explore",S2427,0))&lt;10),"SI","NO")</f>
        <v/>
      </c>
    </row>
    <row r="2428">
      <c r="A2428" t="inlineStr">
        <is>
          <t>c5m1_test</t>
        </is>
      </c>
      <c r="B2428" t="inlineStr">
        <is>
          <t>2026-02-06 14:54:53.619</t>
        </is>
      </c>
      <c r="C2428" t="n">
        <v/>
      </c>
      <c r="D2428" t="inlineStr">
        <is>
          <t>Media file</t>
        </is>
      </c>
      <c r="E2428" t="inlineStr">
        <is>
          <t>player #1:BTBR\test\c5m1.mp4</t>
        </is>
      </c>
      <c r="F2428" t="n">
        <v>-35.767</v>
      </c>
      <c r="G2428" t="n">
        <v>586.299</v>
      </c>
      <c r="H2428" t="n">
        <v>651.099</v>
      </c>
      <c r="I2428" t="n">
        <v>30</v>
      </c>
      <c r="J2428" t="inlineStr">
        <is>
          <t>BTBR</t>
        </is>
      </c>
      <c r="K2428" t="inlineStr">
        <is>
          <t>Male</t>
        </is>
      </c>
      <c r="L2428" t="inlineStr">
        <is>
          <t>No focal subject</t>
        </is>
      </c>
      <c r="M2428" t="n">
        <v>39.397</v>
      </c>
      <c r="N2428" t="inlineStr">
        <is>
          <t>Explore_F</t>
        </is>
      </c>
      <c r="O2428" t="inlineStr">
        <is>
          <t>Familiar</t>
        </is>
      </c>
      <c r="P2428" t="inlineStr">
        <is>
          <t>STATE</t>
        </is>
      </c>
      <c r="Q2428" t="n">
        <v>425.599</v>
      </c>
      <c r="R2428" t="n">
        <v>426.099</v>
      </c>
      <c r="S2428" t="n">
        <v>0.5</v>
      </c>
      <c r="T2428" t="inlineStr">
        <is>
          <t>BTBR\test\c5m1.mp4</t>
        </is>
      </c>
      <c r="U2428" t="n">
        <v>13821</v>
      </c>
      <c r="V2428" t="n">
        <v>13836</v>
      </c>
      <c r="W2428" t="n">
        <v/>
      </c>
      <c r="X2428" t="n">
        <v/>
      </c>
      <c r="Y2428" t="n">
        <v/>
      </c>
      <c r="Z2428" t="n">
        <v/>
      </c>
      <c r="AA2428">
        <f>SUMIFS($S$2:S2428,$A$2:A2428,A2428,$N$2:N2428,"Explore*")</f>
        <v/>
      </c>
      <c r="AB2428">
        <f>IF(AND(LEFT(N2428,7)="Explore",(AA2428-IF(LEFT(N2428,7)="Explore",S2428,0))&lt;10),"SI","NO")</f>
        <v/>
      </c>
    </row>
    <row r="2429">
      <c r="A2429" t="inlineStr">
        <is>
          <t>c5m1_test</t>
        </is>
      </c>
      <c r="B2429" t="inlineStr">
        <is>
          <t>2026-02-06 14:54:53.619</t>
        </is>
      </c>
      <c r="C2429" t="n">
        <v/>
      </c>
      <c r="D2429" t="inlineStr">
        <is>
          <t>Media file</t>
        </is>
      </c>
      <c r="E2429" t="inlineStr">
        <is>
          <t>player #1:BTBR\test\c5m1.mp4</t>
        </is>
      </c>
      <c r="F2429" t="n">
        <v>-35.767</v>
      </c>
      <c r="G2429" t="n">
        <v>586.299</v>
      </c>
      <c r="H2429" t="n">
        <v>651.099</v>
      </c>
      <c r="I2429" t="n">
        <v>30</v>
      </c>
      <c r="J2429" t="inlineStr">
        <is>
          <t>BTBR</t>
        </is>
      </c>
      <c r="K2429" t="inlineStr">
        <is>
          <t>Male</t>
        </is>
      </c>
      <c r="L2429" t="inlineStr">
        <is>
          <t>No focal subject</t>
        </is>
      </c>
      <c r="M2429" t="n">
        <v>39.397</v>
      </c>
      <c r="N2429" t="inlineStr">
        <is>
          <t>Explore_F</t>
        </is>
      </c>
      <c r="O2429" t="inlineStr">
        <is>
          <t>Familiar</t>
        </is>
      </c>
      <c r="P2429" t="inlineStr">
        <is>
          <t>STATE</t>
        </is>
      </c>
      <c r="Q2429" t="n">
        <v>444.066</v>
      </c>
      <c r="R2429" t="n">
        <v>444.466</v>
      </c>
      <c r="S2429" t="n">
        <v>0.4</v>
      </c>
      <c r="T2429" t="inlineStr">
        <is>
          <t>BTBR\test\c5m1.mp4</t>
        </is>
      </c>
      <c r="U2429" t="n">
        <v>14374</v>
      </c>
      <c r="V2429" t="n">
        <v>14386</v>
      </c>
      <c r="W2429" t="n">
        <v/>
      </c>
      <c r="X2429" t="n">
        <v/>
      </c>
      <c r="Y2429" t="n">
        <v/>
      </c>
      <c r="Z2429" t="n">
        <v/>
      </c>
      <c r="AA2429">
        <f>SUMIFS($S$2:S2429,$A$2:A2429,A2429,$N$2:N2429,"Explore*")</f>
        <v/>
      </c>
      <c r="AB2429">
        <f>IF(AND(LEFT(N2429,7)="Explore",(AA2429-IF(LEFT(N2429,7)="Explore",S2429,0))&lt;10),"SI","NO")</f>
        <v/>
      </c>
    </row>
    <row r="2430">
      <c r="A2430" t="inlineStr">
        <is>
          <t>c5m1_test</t>
        </is>
      </c>
      <c r="B2430" t="inlineStr">
        <is>
          <t>2026-02-06 14:54:53.619</t>
        </is>
      </c>
      <c r="C2430" t="n">
        <v/>
      </c>
      <c r="D2430" t="inlineStr">
        <is>
          <t>Media file</t>
        </is>
      </c>
      <c r="E2430" t="inlineStr">
        <is>
          <t>player #1:BTBR\test\c5m1.mp4</t>
        </is>
      </c>
      <c r="F2430" t="n">
        <v>-35.767</v>
      </c>
      <c r="G2430" t="n">
        <v>586.299</v>
      </c>
      <c r="H2430" t="n">
        <v>651.099</v>
      </c>
      <c r="I2430" t="n">
        <v>30</v>
      </c>
      <c r="J2430" t="inlineStr">
        <is>
          <t>BTBR</t>
        </is>
      </c>
      <c r="K2430" t="inlineStr">
        <is>
          <t>Male</t>
        </is>
      </c>
      <c r="L2430" t="inlineStr">
        <is>
          <t>No focal subject</t>
        </is>
      </c>
      <c r="M2430" t="n">
        <v>39.397</v>
      </c>
      <c r="N2430" t="inlineStr">
        <is>
          <t>Explore_F</t>
        </is>
      </c>
      <c r="O2430" t="inlineStr">
        <is>
          <t>Familiar</t>
        </is>
      </c>
      <c r="P2430" t="inlineStr">
        <is>
          <t>STATE</t>
        </is>
      </c>
      <c r="Q2430" t="n">
        <v>475.066</v>
      </c>
      <c r="R2430" t="n">
        <v>475.532</v>
      </c>
      <c r="S2430" t="n">
        <v>0.466</v>
      </c>
      <c r="T2430" t="inlineStr">
        <is>
          <t>BTBR\test\c5m1.mp4</t>
        </is>
      </c>
      <c r="U2430" t="n">
        <v>15303</v>
      </c>
      <c r="V2430" t="n">
        <v>15317</v>
      </c>
      <c r="W2430" t="n">
        <v/>
      </c>
      <c r="X2430" t="n">
        <v/>
      </c>
      <c r="Y2430" t="n">
        <v/>
      </c>
      <c r="Z2430" t="n">
        <v/>
      </c>
      <c r="AA2430">
        <f>SUMIFS($S$2:S2430,$A$2:A2430,A2430,$N$2:N2430,"Explore*")</f>
        <v/>
      </c>
      <c r="AB2430">
        <f>IF(AND(LEFT(N2430,7)="Explore",(AA2430-IF(LEFT(N2430,7)="Explore",S2430,0))&lt;10),"SI","NO")</f>
        <v/>
      </c>
    </row>
    <row r="2431">
      <c r="A2431" t="inlineStr">
        <is>
          <t>c5m1_test</t>
        </is>
      </c>
      <c r="B2431" t="inlineStr">
        <is>
          <t>2026-02-06 14:54:53.619</t>
        </is>
      </c>
      <c r="C2431" t="n">
        <v/>
      </c>
      <c r="D2431" t="inlineStr">
        <is>
          <t>Media file</t>
        </is>
      </c>
      <c r="E2431" t="inlineStr">
        <is>
          <t>player #1:BTBR\test\c5m1.mp4</t>
        </is>
      </c>
      <c r="F2431" t="n">
        <v>-35.767</v>
      </c>
      <c r="G2431" t="n">
        <v>586.299</v>
      </c>
      <c r="H2431" t="n">
        <v>651.099</v>
      </c>
      <c r="I2431" t="n">
        <v>30</v>
      </c>
      <c r="J2431" t="inlineStr">
        <is>
          <t>BTBR</t>
        </is>
      </c>
      <c r="K2431" t="inlineStr">
        <is>
          <t>Male</t>
        </is>
      </c>
      <c r="L2431" t="inlineStr">
        <is>
          <t>No focal subject</t>
        </is>
      </c>
      <c r="M2431" t="n">
        <v>39.397</v>
      </c>
      <c r="N2431" t="inlineStr">
        <is>
          <t>Explore_F</t>
        </is>
      </c>
      <c r="O2431" t="inlineStr">
        <is>
          <t>Familiar</t>
        </is>
      </c>
      <c r="P2431" t="inlineStr">
        <is>
          <t>STATE</t>
        </is>
      </c>
      <c r="Q2431" t="n">
        <v>496.699</v>
      </c>
      <c r="R2431" t="n">
        <v>497.166</v>
      </c>
      <c r="S2431" t="n">
        <v>0.467</v>
      </c>
      <c r="T2431" t="inlineStr">
        <is>
          <t>BTBR\test\c5m1.mp4</t>
        </is>
      </c>
      <c r="U2431" t="n">
        <v>15951</v>
      </c>
      <c r="V2431" t="n">
        <v>15965</v>
      </c>
      <c r="W2431" t="n">
        <v/>
      </c>
      <c r="X2431" t="n">
        <v/>
      </c>
      <c r="Y2431" t="n">
        <v/>
      </c>
      <c r="Z2431" t="n">
        <v/>
      </c>
      <c r="AA2431">
        <f>SUMIFS($S$2:S2431,$A$2:A2431,A2431,$N$2:N2431,"Explore*")</f>
        <v/>
      </c>
      <c r="AB2431">
        <f>IF(AND(LEFT(N2431,7)="Explore",(AA2431-IF(LEFT(N2431,7)="Explore",S2431,0))&lt;10),"SI","NO")</f>
        <v/>
      </c>
    </row>
    <row r="2432">
      <c r="A2432" t="inlineStr">
        <is>
          <t>c5m1_test</t>
        </is>
      </c>
      <c r="B2432" t="inlineStr">
        <is>
          <t>2026-02-06 14:54:53.619</t>
        </is>
      </c>
      <c r="C2432" t="n">
        <v/>
      </c>
      <c r="D2432" t="inlineStr">
        <is>
          <t>Media file</t>
        </is>
      </c>
      <c r="E2432" t="inlineStr">
        <is>
          <t>player #1:BTBR\test\c5m1.mp4</t>
        </is>
      </c>
      <c r="F2432" t="n">
        <v>-35.767</v>
      </c>
      <c r="G2432" t="n">
        <v>586.299</v>
      </c>
      <c r="H2432" t="n">
        <v>651.099</v>
      </c>
      <c r="I2432" t="n">
        <v>30</v>
      </c>
      <c r="J2432" t="inlineStr">
        <is>
          <t>BTBR</t>
        </is>
      </c>
      <c r="K2432" t="inlineStr">
        <is>
          <t>Male</t>
        </is>
      </c>
      <c r="L2432" t="inlineStr">
        <is>
          <t>No focal subject</t>
        </is>
      </c>
      <c r="M2432" t="n">
        <v>39.397</v>
      </c>
      <c r="N2432" t="inlineStr">
        <is>
          <t>Explore_N</t>
        </is>
      </c>
      <c r="O2432" t="inlineStr">
        <is>
          <t>Novelty</t>
        </is>
      </c>
      <c r="P2432" t="inlineStr">
        <is>
          <t>STATE</t>
        </is>
      </c>
      <c r="Q2432" t="n">
        <v>508.032</v>
      </c>
      <c r="R2432" t="n">
        <v>508.732</v>
      </c>
      <c r="S2432" t="n">
        <v>0.7</v>
      </c>
      <c r="T2432" t="inlineStr">
        <is>
          <t>BTBR\test\c5m1.mp4</t>
        </is>
      </c>
      <c r="U2432" t="n">
        <v>16291</v>
      </c>
      <c r="V2432" t="n">
        <v>16312</v>
      </c>
      <c r="W2432" t="n">
        <v/>
      </c>
      <c r="X2432" t="n">
        <v/>
      </c>
      <c r="Y2432" t="n">
        <v/>
      </c>
      <c r="Z2432" t="n">
        <v/>
      </c>
      <c r="AA2432">
        <f>SUMIFS($S$2:S2432,$A$2:A2432,A2432,$N$2:N2432,"Explore*")</f>
        <v/>
      </c>
      <c r="AB2432">
        <f>IF(AND(LEFT(N2432,7)="Explore",(AA2432-IF(LEFT(N2432,7)="Explore",S2432,0))&lt;10),"SI","NO")</f>
        <v/>
      </c>
    </row>
    <row r="2433">
      <c r="A2433" t="inlineStr">
        <is>
          <t>c5m1_test</t>
        </is>
      </c>
      <c r="B2433" t="inlineStr">
        <is>
          <t>2026-02-06 14:54:53.619</t>
        </is>
      </c>
      <c r="C2433" t="n">
        <v/>
      </c>
      <c r="D2433" t="inlineStr">
        <is>
          <t>Media file</t>
        </is>
      </c>
      <c r="E2433" t="inlineStr">
        <is>
          <t>player #1:BTBR\test\c5m1.mp4</t>
        </is>
      </c>
      <c r="F2433" t="n">
        <v>-35.767</v>
      </c>
      <c r="G2433" t="n">
        <v>586.299</v>
      </c>
      <c r="H2433" t="n">
        <v>651.099</v>
      </c>
      <c r="I2433" t="n">
        <v>30</v>
      </c>
      <c r="J2433" t="inlineStr">
        <is>
          <t>BTBR</t>
        </is>
      </c>
      <c r="K2433" t="inlineStr">
        <is>
          <t>Male</t>
        </is>
      </c>
      <c r="L2433" t="inlineStr">
        <is>
          <t>No focal subject</t>
        </is>
      </c>
      <c r="M2433" t="n">
        <v>39.397</v>
      </c>
      <c r="N2433" t="inlineStr">
        <is>
          <t>Explore_N</t>
        </is>
      </c>
      <c r="O2433" t="inlineStr">
        <is>
          <t>Novelty</t>
        </is>
      </c>
      <c r="P2433" t="inlineStr">
        <is>
          <t>STATE</t>
        </is>
      </c>
      <c r="Q2433" t="n">
        <v>533.066</v>
      </c>
      <c r="R2433" t="n">
        <v>534.1660000000001</v>
      </c>
      <c r="S2433" t="n">
        <v>1.1</v>
      </c>
      <c r="T2433" t="inlineStr">
        <is>
          <t>BTBR\test\c5m1.mp4</t>
        </is>
      </c>
      <c r="U2433" t="n">
        <v>17041</v>
      </c>
      <c r="V2433" t="n">
        <v>17073</v>
      </c>
      <c r="W2433" t="n">
        <v/>
      </c>
      <c r="X2433" t="n">
        <v/>
      </c>
      <c r="Y2433" t="n">
        <v/>
      </c>
      <c r="Z2433" t="n">
        <v/>
      </c>
      <c r="AA2433">
        <f>SUMIFS($S$2:S2433,$A$2:A2433,A2433,$N$2:N2433,"Explore*")</f>
        <v/>
      </c>
      <c r="AB2433">
        <f>IF(AND(LEFT(N2433,7)="Explore",(AA2433-IF(LEFT(N2433,7)="Explore",S2433,0))&lt;10),"SI","NO")</f>
        <v/>
      </c>
    </row>
    <row r="2434">
      <c r="A2434" t="inlineStr">
        <is>
          <t>c5m1_test</t>
        </is>
      </c>
      <c r="B2434" t="inlineStr">
        <is>
          <t>2026-02-06 14:54:53.619</t>
        </is>
      </c>
      <c r="C2434" t="n">
        <v/>
      </c>
      <c r="D2434" t="inlineStr">
        <is>
          <t>Media file</t>
        </is>
      </c>
      <c r="E2434" t="inlineStr">
        <is>
          <t>player #1:BTBR\test\c5m1.mp4</t>
        </is>
      </c>
      <c r="F2434" t="n">
        <v>-35.767</v>
      </c>
      <c r="G2434" t="n">
        <v>586.299</v>
      </c>
      <c r="H2434" t="n">
        <v>651.099</v>
      </c>
      <c r="I2434" t="n">
        <v>30</v>
      </c>
      <c r="J2434" t="inlineStr">
        <is>
          <t>BTBR</t>
        </is>
      </c>
      <c r="K2434" t="inlineStr">
        <is>
          <t>Male</t>
        </is>
      </c>
      <c r="L2434" t="inlineStr">
        <is>
          <t>No focal subject</t>
        </is>
      </c>
      <c r="M2434" t="n">
        <v>39.397</v>
      </c>
      <c r="N2434" t="inlineStr">
        <is>
          <t>Explore_F</t>
        </is>
      </c>
      <c r="O2434" t="inlineStr">
        <is>
          <t>Familiar</t>
        </is>
      </c>
      <c r="P2434" t="inlineStr">
        <is>
          <t>STATE</t>
        </is>
      </c>
      <c r="Q2434" t="n">
        <v>537.732</v>
      </c>
      <c r="R2434" t="n">
        <v>538.1660000000001</v>
      </c>
      <c r="S2434" t="n">
        <v>0.434</v>
      </c>
      <c r="T2434" t="inlineStr">
        <is>
          <t>BTBR\test\c5m1.mp4</t>
        </is>
      </c>
      <c r="U2434" t="n">
        <v>17180</v>
      </c>
      <c r="V2434" t="n">
        <v>17193</v>
      </c>
      <c r="W2434" t="n">
        <v/>
      </c>
      <c r="X2434" t="n">
        <v/>
      </c>
      <c r="Y2434" t="n">
        <v/>
      </c>
      <c r="Z2434" t="n">
        <v/>
      </c>
      <c r="AA2434">
        <f>SUMIFS($S$2:S2434,$A$2:A2434,A2434,$N$2:N2434,"Explore*")</f>
        <v/>
      </c>
      <c r="AB2434">
        <f>IF(AND(LEFT(N2434,7)="Explore",(AA2434-IF(LEFT(N2434,7)="Explore",S2434,0))&lt;10),"SI","NO")</f>
        <v/>
      </c>
    </row>
    <row r="2435">
      <c r="A2435" t="inlineStr">
        <is>
          <t>c5m1_test</t>
        </is>
      </c>
      <c r="B2435" t="inlineStr">
        <is>
          <t>2026-02-06 14:54:53.619</t>
        </is>
      </c>
      <c r="C2435" t="n">
        <v/>
      </c>
      <c r="D2435" t="inlineStr">
        <is>
          <t>Media file</t>
        </is>
      </c>
      <c r="E2435" t="inlineStr">
        <is>
          <t>player #1:BTBR\test\c5m1.mp4</t>
        </is>
      </c>
      <c r="F2435" t="n">
        <v>-35.767</v>
      </c>
      <c r="G2435" t="n">
        <v>586.299</v>
      </c>
      <c r="H2435" t="n">
        <v>651.099</v>
      </c>
      <c r="I2435" t="n">
        <v>30</v>
      </c>
      <c r="J2435" t="inlineStr">
        <is>
          <t>BTBR</t>
        </is>
      </c>
      <c r="K2435" t="inlineStr">
        <is>
          <t>Male</t>
        </is>
      </c>
      <c r="L2435" t="inlineStr">
        <is>
          <t>No focal subject</t>
        </is>
      </c>
      <c r="M2435" t="n">
        <v>39.397</v>
      </c>
      <c r="N2435" t="inlineStr">
        <is>
          <t>Explore_N</t>
        </is>
      </c>
      <c r="O2435" t="inlineStr">
        <is>
          <t>Novelty</t>
        </is>
      </c>
      <c r="P2435" t="inlineStr">
        <is>
          <t>STATE</t>
        </is>
      </c>
      <c r="Q2435" t="n">
        <v>545.099</v>
      </c>
      <c r="R2435" t="n">
        <v>545.732</v>
      </c>
      <c r="S2435" t="n">
        <v>0.633</v>
      </c>
      <c r="T2435" t="inlineStr">
        <is>
          <t>BTBR\test\c5m1.mp4</t>
        </is>
      </c>
      <c r="U2435" t="n">
        <v>17401</v>
      </c>
      <c r="V2435" t="n">
        <v>17420</v>
      </c>
      <c r="W2435" t="n">
        <v/>
      </c>
      <c r="X2435" t="n">
        <v/>
      </c>
      <c r="Y2435" t="n">
        <v/>
      </c>
      <c r="Z2435" t="n">
        <v/>
      </c>
      <c r="AA2435">
        <f>SUMIFS($S$2:S2435,$A$2:A2435,A2435,$N$2:N2435,"Explore*")</f>
        <v/>
      </c>
      <c r="AB2435">
        <f>IF(AND(LEFT(N2435,7)="Explore",(AA2435-IF(LEFT(N2435,7)="Explore",S2435,0))&lt;10),"SI","NO")</f>
        <v/>
      </c>
    </row>
    <row r="2436">
      <c r="A2436" t="inlineStr">
        <is>
          <t>c5m1_test</t>
        </is>
      </c>
      <c r="B2436" t="inlineStr">
        <is>
          <t>2026-02-06 14:54:53.619</t>
        </is>
      </c>
      <c r="C2436" t="n">
        <v/>
      </c>
      <c r="D2436" t="inlineStr">
        <is>
          <t>Media file</t>
        </is>
      </c>
      <c r="E2436" t="inlineStr">
        <is>
          <t>player #1:BTBR\test\c5m1.mp4</t>
        </is>
      </c>
      <c r="F2436" t="n">
        <v>-35.767</v>
      </c>
      <c r="G2436" t="n">
        <v>586.299</v>
      </c>
      <c r="H2436" t="n">
        <v>651.099</v>
      </c>
      <c r="I2436" t="n">
        <v>30</v>
      </c>
      <c r="J2436" t="inlineStr">
        <is>
          <t>BTBR</t>
        </is>
      </c>
      <c r="K2436" t="inlineStr">
        <is>
          <t>Male</t>
        </is>
      </c>
      <c r="L2436" t="inlineStr">
        <is>
          <t>No focal subject</t>
        </is>
      </c>
      <c r="M2436" t="n">
        <v>39.397</v>
      </c>
      <c r="N2436" t="inlineStr">
        <is>
          <t>Explore_F</t>
        </is>
      </c>
      <c r="O2436" t="inlineStr">
        <is>
          <t>Familiar</t>
        </is>
      </c>
      <c r="P2436" t="inlineStr">
        <is>
          <t>STATE</t>
        </is>
      </c>
      <c r="Q2436" t="n">
        <v>546.932</v>
      </c>
      <c r="R2436" t="n">
        <v>547.332</v>
      </c>
      <c r="S2436" t="n">
        <v>0.4</v>
      </c>
      <c r="T2436" t="inlineStr">
        <is>
          <t>BTBR\test\c5m1.mp4</t>
        </is>
      </c>
      <c r="U2436" t="n">
        <v>17456</v>
      </c>
      <c r="V2436" t="n">
        <v>17468</v>
      </c>
      <c r="W2436" t="n">
        <v/>
      </c>
      <c r="X2436" t="n">
        <v/>
      </c>
      <c r="Y2436" t="n">
        <v/>
      </c>
      <c r="Z2436" t="n">
        <v/>
      </c>
      <c r="AA2436">
        <f>SUMIFS($S$2:S2436,$A$2:A2436,A2436,$N$2:N2436,"Explore*")</f>
        <v/>
      </c>
      <c r="AB2436">
        <f>IF(AND(LEFT(N2436,7)="Explore",(AA2436-IF(LEFT(N2436,7)="Explore",S2436,0))&lt;10),"SI","NO")</f>
        <v/>
      </c>
    </row>
    <row r="2437">
      <c r="A2437" t="inlineStr">
        <is>
          <t>c5m1_test</t>
        </is>
      </c>
      <c r="B2437" t="inlineStr">
        <is>
          <t>2026-02-06 14:54:53.619</t>
        </is>
      </c>
      <c r="C2437" t="n">
        <v/>
      </c>
      <c r="D2437" t="inlineStr">
        <is>
          <t>Media file</t>
        </is>
      </c>
      <c r="E2437" t="inlineStr">
        <is>
          <t>player #1:BTBR\test\c5m1.mp4</t>
        </is>
      </c>
      <c r="F2437" t="n">
        <v>-35.767</v>
      </c>
      <c r="G2437" t="n">
        <v>586.299</v>
      </c>
      <c r="H2437" t="n">
        <v>651.099</v>
      </c>
      <c r="I2437" t="n">
        <v>30</v>
      </c>
      <c r="J2437" t="inlineStr">
        <is>
          <t>BTBR</t>
        </is>
      </c>
      <c r="K2437" t="inlineStr">
        <is>
          <t>Male</t>
        </is>
      </c>
      <c r="L2437" t="inlineStr">
        <is>
          <t>No focal subject</t>
        </is>
      </c>
      <c r="M2437" t="n">
        <v>39.397</v>
      </c>
      <c r="N2437" t="inlineStr">
        <is>
          <t>Explore_N</t>
        </is>
      </c>
      <c r="O2437" t="inlineStr">
        <is>
          <t>Novelty</t>
        </is>
      </c>
      <c r="P2437" t="inlineStr">
        <is>
          <t>STATE</t>
        </is>
      </c>
      <c r="Q2437" t="n">
        <v>551.566</v>
      </c>
      <c r="R2437" t="n">
        <v>551.999</v>
      </c>
      <c r="S2437" t="n">
        <v>0.433</v>
      </c>
      <c r="T2437" t="inlineStr">
        <is>
          <t>BTBR\test\c5m1.mp4</t>
        </is>
      </c>
      <c r="U2437" t="n">
        <v>17595</v>
      </c>
      <c r="V2437" t="n">
        <v>17608</v>
      </c>
      <c r="W2437" t="n">
        <v/>
      </c>
      <c r="X2437" t="n">
        <v/>
      </c>
      <c r="Y2437" t="n">
        <v/>
      </c>
      <c r="Z2437" t="n">
        <v/>
      </c>
      <c r="AA2437">
        <f>SUMIFS($S$2:S2437,$A$2:A2437,A2437,$N$2:N2437,"Explore*")</f>
        <v/>
      </c>
      <c r="AB2437">
        <f>IF(AND(LEFT(N2437,7)="Explore",(AA2437-IF(LEFT(N2437,7)="Explore",S2437,0))&lt;10),"SI","NO")</f>
        <v/>
      </c>
    </row>
    <row r="2438">
      <c r="A2438" t="inlineStr">
        <is>
          <t>c5m1_test</t>
        </is>
      </c>
      <c r="B2438" t="inlineStr">
        <is>
          <t>2026-02-06 14:54:53.619</t>
        </is>
      </c>
      <c r="C2438" t="n">
        <v/>
      </c>
      <c r="D2438" t="inlineStr">
        <is>
          <t>Media file</t>
        </is>
      </c>
      <c r="E2438" t="inlineStr">
        <is>
          <t>player #1:BTBR\test\c5m1.mp4</t>
        </is>
      </c>
      <c r="F2438" t="n">
        <v>-35.767</v>
      </c>
      <c r="G2438" t="n">
        <v>586.299</v>
      </c>
      <c r="H2438" t="n">
        <v>651.099</v>
      </c>
      <c r="I2438" t="n">
        <v>30</v>
      </c>
      <c r="J2438" t="inlineStr">
        <is>
          <t>BTBR</t>
        </is>
      </c>
      <c r="K2438" t="inlineStr">
        <is>
          <t>Male</t>
        </is>
      </c>
      <c r="L2438" t="inlineStr">
        <is>
          <t>No focal subject</t>
        </is>
      </c>
      <c r="M2438" t="n">
        <v>39.397</v>
      </c>
      <c r="N2438" t="inlineStr">
        <is>
          <t>Explore_N</t>
        </is>
      </c>
      <c r="O2438" t="inlineStr">
        <is>
          <t>Novelty</t>
        </is>
      </c>
      <c r="P2438" t="inlineStr">
        <is>
          <t>STATE</t>
        </is>
      </c>
      <c r="Q2438" t="n">
        <v>552.699</v>
      </c>
      <c r="R2438" t="n">
        <v>554.399</v>
      </c>
      <c r="S2438" t="n">
        <v>1.7</v>
      </c>
      <c r="T2438" t="inlineStr">
        <is>
          <t>BTBR\test\c5m1.mp4</t>
        </is>
      </c>
      <c r="U2438" t="n">
        <v>17629</v>
      </c>
      <c r="V2438" t="n">
        <v>17680</v>
      </c>
      <c r="W2438" t="n">
        <v/>
      </c>
      <c r="X2438" t="n">
        <v/>
      </c>
      <c r="Y2438" t="n">
        <v/>
      </c>
      <c r="Z2438" t="n">
        <v/>
      </c>
      <c r="AA2438">
        <f>SUMIFS($S$2:S2438,$A$2:A2438,A2438,$N$2:N2438,"Explore*")</f>
        <v/>
      </c>
      <c r="AB2438">
        <f>IF(AND(LEFT(N2438,7)="Explore",(AA2438-IF(LEFT(N2438,7)="Explore",S2438,0))&lt;10),"SI","NO")</f>
        <v/>
      </c>
    </row>
    <row r="2439">
      <c r="A2439" t="inlineStr">
        <is>
          <t>c5m1_test</t>
        </is>
      </c>
      <c r="B2439" t="inlineStr">
        <is>
          <t>2026-02-06 14:54:53.619</t>
        </is>
      </c>
      <c r="C2439" t="n">
        <v/>
      </c>
      <c r="D2439" t="inlineStr">
        <is>
          <t>Media file</t>
        </is>
      </c>
      <c r="E2439" t="inlineStr">
        <is>
          <t>player #1:BTBR\test\c5m1.mp4</t>
        </is>
      </c>
      <c r="F2439" t="n">
        <v>-35.767</v>
      </c>
      <c r="G2439" t="n">
        <v>586.299</v>
      </c>
      <c r="H2439" t="n">
        <v>651.099</v>
      </c>
      <c r="I2439" t="n">
        <v>30</v>
      </c>
      <c r="J2439" t="inlineStr">
        <is>
          <t>BTBR</t>
        </is>
      </c>
      <c r="K2439" t="inlineStr">
        <is>
          <t>Male</t>
        </is>
      </c>
      <c r="L2439" t="inlineStr">
        <is>
          <t>No focal subject</t>
        </is>
      </c>
      <c r="M2439" t="n">
        <v>39.397</v>
      </c>
      <c r="N2439" t="inlineStr">
        <is>
          <t>Explore_F</t>
        </is>
      </c>
      <c r="O2439" t="inlineStr">
        <is>
          <t>Familiar</t>
        </is>
      </c>
      <c r="P2439" t="inlineStr">
        <is>
          <t>STATE</t>
        </is>
      </c>
      <c r="Q2439" t="n">
        <v>570.599</v>
      </c>
      <c r="R2439" t="n">
        <v>570.932</v>
      </c>
      <c r="S2439" t="n">
        <v>0.333</v>
      </c>
      <c r="T2439" t="inlineStr">
        <is>
          <t>BTBR\test\c5m1.mp4</t>
        </is>
      </c>
      <c r="U2439" t="n">
        <v>18165</v>
      </c>
      <c r="V2439" t="n">
        <v>18175</v>
      </c>
      <c r="W2439" t="n">
        <v/>
      </c>
      <c r="X2439" t="n">
        <v/>
      </c>
      <c r="Y2439" t="n">
        <v/>
      </c>
      <c r="Z2439" t="n">
        <v/>
      </c>
      <c r="AA2439">
        <f>SUMIFS($S$2:S2439,$A$2:A2439,A2439,$N$2:N2439,"Explore*")</f>
        <v/>
      </c>
      <c r="AB2439">
        <f>IF(AND(LEFT(N2439,7)="Explore",(AA2439-IF(LEFT(N2439,7)="Explore",S2439,0))&lt;10),"SI","NO")</f>
        <v/>
      </c>
    </row>
    <row r="2440">
      <c r="A2440" t="inlineStr">
        <is>
          <t>c5m1_test</t>
        </is>
      </c>
      <c r="B2440" t="inlineStr">
        <is>
          <t>2026-02-06 14:54:53.619</t>
        </is>
      </c>
      <c r="C2440" t="n">
        <v/>
      </c>
      <c r="D2440" t="inlineStr">
        <is>
          <t>Media file</t>
        </is>
      </c>
      <c r="E2440" t="inlineStr">
        <is>
          <t>player #1:BTBR\test\c5m1.mp4</t>
        </is>
      </c>
      <c r="F2440" t="n">
        <v>-35.767</v>
      </c>
      <c r="G2440" t="n">
        <v>586.299</v>
      </c>
      <c r="H2440" t="n">
        <v>651.099</v>
      </c>
      <c r="I2440" t="n">
        <v>30</v>
      </c>
      <c r="J2440" t="inlineStr">
        <is>
          <t>BTBR</t>
        </is>
      </c>
      <c r="K2440" t="inlineStr">
        <is>
          <t>Male</t>
        </is>
      </c>
      <c r="L2440" t="inlineStr">
        <is>
          <t>No focal subject</t>
        </is>
      </c>
      <c r="M2440" t="n">
        <v>39.397</v>
      </c>
      <c r="N2440" t="inlineStr">
        <is>
          <t>Explore_N</t>
        </is>
      </c>
      <c r="O2440" t="inlineStr">
        <is>
          <t>Novelty</t>
        </is>
      </c>
      <c r="P2440" t="inlineStr">
        <is>
          <t>STATE</t>
        </is>
      </c>
      <c r="Q2440" t="n">
        <v>590.499</v>
      </c>
      <c r="R2440" t="n">
        <v>591.199</v>
      </c>
      <c r="S2440" t="n">
        <v>0.7</v>
      </c>
      <c r="T2440" t="inlineStr">
        <is>
          <t>BTBR\test\c5m1.mp4</t>
        </is>
      </c>
      <c r="U2440" t="n">
        <v>18761</v>
      </c>
      <c r="V2440" t="n">
        <v>18782</v>
      </c>
      <c r="W2440" t="n">
        <v/>
      </c>
      <c r="X2440" t="n">
        <v/>
      </c>
      <c r="Y2440" t="n">
        <v/>
      </c>
      <c r="Z2440" t="n">
        <v/>
      </c>
      <c r="AA2440">
        <f>SUMIFS($S$2:S2440,$A$2:A2440,A2440,$N$2:N2440,"Explore*")</f>
        <v/>
      </c>
      <c r="AB2440">
        <f>IF(AND(LEFT(N2440,7)="Explore",(AA2440-IF(LEFT(N2440,7)="Explore",S2440,0))&lt;10),"SI","NO")</f>
        <v/>
      </c>
    </row>
    <row r="2441">
      <c r="A2441" t="inlineStr">
        <is>
          <t>c5m1_test</t>
        </is>
      </c>
      <c r="B2441" t="inlineStr">
        <is>
          <t>2026-02-06 14:54:53.619</t>
        </is>
      </c>
      <c r="C2441" t="n">
        <v/>
      </c>
      <c r="D2441" t="inlineStr">
        <is>
          <t>Media file</t>
        </is>
      </c>
      <c r="E2441" t="inlineStr">
        <is>
          <t>player #1:BTBR\test\c5m1.mp4</t>
        </is>
      </c>
      <c r="F2441" t="n">
        <v>-35.767</v>
      </c>
      <c r="G2441" t="n">
        <v>586.299</v>
      </c>
      <c r="H2441" t="n">
        <v>651.099</v>
      </c>
      <c r="I2441" t="n">
        <v>30</v>
      </c>
      <c r="J2441" t="inlineStr">
        <is>
          <t>BTBR</t>
        </is>
      </c>
      <c r="K2441" t="inlineStr">
        <is>
          <t>Male</t>
        </is>
      </c>
      <c r="L2441" t="inlineStr">
        <is>
          <t>No focal subject</t>
        </is>
      </c>
      <c r="M2441" t="n">
        <v>39.397</v>
      </c>
      <c r="N2441" t="inlineStr">
        <is>
          <t>Explore_F</t>
        </is>
      </c>
      <c r="O2441" t="inlineStr">
        <is>
          <t>Familiar</t>
        </is>
      </c>
      <c r="P2441" t="inlineStr">
        <is>
          <t>STATE</t>
        </is>
      </c>
      <c r="Q2441" t="n">
        <v>593.232</v>
      </c>
      <c r="R2441" t="n">
        <v>593.499</v>
      </c>
      <c r="S2441" t="n">
        <v>0.267</v>
      </c>
      <c r="T2441" t="inlineStr">
        <is>
          <t>BTBR\test\c5m1.mp4</t>
        </is>
      </c>
      <c r="U2441" t="n">
        <v>18843</v>
      </c>
      <c r="V2441" t="n">
        <v>18851</v>
      </c>
      <c r="W2441" t="n">
        <v/>
      </c>
      <c r="X2441" t="n">
        <v/>
      </c>
      <c r="Y2441" t="n">
        <v/>
      </c>
      <c r="Z2441" t="n">
        <v/>
      </c>
      <c r="AA2441">
        <f>SUMIFS($S$2:S2441,$A$2:A2441,A2441,$N$2:N2441,"Explore*")</f>
        <v/>
      </c>
      <c r="AB2441">
        <f>IF(AND(LEFT(N2441,7)="Explore",(AA2441-IF(LEFT(N2441,7)="Explore",S2441,0))&lt;10),"SI","NO")</f>
        <v/>
      </c>
    </row>
    <row r="2442">
      <c r="A2442" t="inlineStr">
        <is>
          <t>c5m2_test</t>
        </is>
      </c>
      <c r="B2442" t="inlineStr">
        <is>
          <t>2026-02-17 16:41:36.960</t>
        </is>
      </c>
      <c r="C2442" t="n">
        <v/>
      </c>
      <c r="D2442" t="inlineStr">
        <is>
          <t>Media file</t>
        </is>
      </c>
      <c r="E2442" t="inlineStr">
        <is>
          <t>player #1:BTBR\test\c5m2.mp4</t>
        </is>
      </c>
      <c r="F2442" t="n">
        <v>-6.667</v>
      </c>
      <c r="G2442" t="n">
        <v>593.6660000000001</v>
      </c>
      <c r="H2442" t="n">
        <v>619.533</v>
      </c>
      <c r="I2442" t="n">
        <v>30</v>
      </c>
      <c r="J2442" t="inlineStr">
        <is>
          <t>BTBR</t>
        </is>
      </c>
      <c r="K2442" t="inlineStr">
        <is>
          <t>Male</t>
        </is>
      </c>
      <c r="L2442" t="inlineStr">
        <is>
          <t>No focal subject</t>
        </is>
      </c>
      <c r="M2442" t="n">
        <v>53.14</v>
      </c>
      <c r="N2442" t="inlineStr">
        <is>
          <t>Explore_N</t>
        </is>
      </c>
      <c r="O2442" t="inlineStr">
        <is>
          <t>Novelty</t>
        </is>
      </c>
      <c r="P2442" t="inlineStr">
        <is>
          <t>STATE</t>
        </is>
      </c>
      <c r="Q2442" t="n">
        <v>6.266</v>
      </c>
      <c r="R2442" t="n">
        <v>6.5</v>
      </c>
      <c r="S2442" t="n">
        <v>0.234</v>
      </c>
      <c r="T2442" t="inlineStr">
        <is>
          <t>BTBR\test\c5m2.mp4</t>
        </is>
      </c>
      <c r="U2442" t="n">
        <v>188</v>
      </c>
      <c r="V2442" t="n">
        <v>197</v>
      </c>
      <c r="W2442" t="n">
        <v/>
      </c>
      <c r="X2442" t="n">
        <v/>
      </c>
      <c r="Y2442" t="n">
        <v/>
      </c>
      <c r="Z2442" t="n">
        <v/>
      </c>
      <c r="AA2442">
        <f>SUMIFS($S$2:S2442,$A$2:A2442,A2442,$N$2:N2442,"Explore*")</f>
        <v/>
      </c>
      <c r="AB2442">
        <f>IF(AND(LEFT(N2442,7)="Explore",(AA2442-IF(LEFT(N2442,7)="Explore",S2442,0))&lt;10),"SI","NO")</f>
        <v/>
      </c>
    </row>
    <row r="2443">
      <c r="A2443" t="inlineStr">
        <is>
          <t>c5m2_test</t>
        </is>
      </c>
      <c r="B2443" t="inlineStr">
        <is>
          <t>2026-02-17 16:41:36.960</t>
        </is>
      </c>
      <c r="C2443" t="n">
        <v/>
      </c>
      <c r="D2443" t="inlineStr">
        <is>
          <t>Media file</t>
        </is>
      </c>
      <c r="E2443" t="inlineStr">
        <is>
          <t>player #1:BTBR\test\c5m2.mp4</t>
        </is>
      </c>
      <c r="F2443" t="n">
        <v>-6.667</v>
      </c>
      <c r="G2443" t="n">
        <v>593.6660000000001</v>
      </c>
      <c r="H2443" t="n">
        <v>619.533</v>
      </c>
      <c r="I2443" t="n">
        <v>30</v>
      </c>
      <c r="J2443" t="inlineStr">
        <is>
          <t>BTBR</t>
        </is>
      </c>
      <c r="K2443" t="inlineStr">
        <is>
          <t>Male</t>
        </is>
      </c>
      <c r="L2443" t="inlineStr">
        <is>
          <t>No focal subject</t>
        </is>
      </c>
      <c r="M2443" t="n">
        <v>53.14</v>
      </c>
      <c r="N2443" t="inlineStr">
        <is>
          <t>Explore_N</t>
        </is>
      </c>
      <c r="O2443" t="inlineStr">
        <is>
          <t>Novelty</t>
        </is>
      </c>
      <c r="P2443" t="inlineStr">
        <is>
          <t>STATE</t>
        </is>
      </c>
      <c r="Q2443" t="n">
        <v>18.233</v>
      </c>
      <c r="R2443" t="n">
        <v>18.533</v>
      </c>
      <c r="S2443" t="n">
        <v>0.3</v>
      </c>
      <c r="T2443" t="inlineStr">
        <is>
          <t>BTBR\test\c5m2.mp4</t>
        </is>
      </c>
      <c r="U2443" t="n">
        <v>547</v>
      </c>
      <c r="V2443" t="n">
        <v>557</v>
      </c>
      <c r="W2443" t="n">
        <v/>
      </c>
      <c r="X2443" t="n">
        <v/>
      </c>
      <c r="Y2443" t="n">
        <v/>
      </c>
      <c r="Z2443" t="n">
        <v/>
      </c>
      <c r="AA2443">
        <f>SUMIFS($S$2:S2443,$A$2:A2443,A2443,$N$2:N2443,"Explore*")</f>
        <v/>
      </c>
      <c r="AB2443">
        <f>IF(AND(LEFT(N2443,7)="Explore",(AA2443-IF(LEFT(N2443,7)="Explore",S2443,0))&lt;10),"SI","NO")</f>
        <v/>
      </c>
    </row>
    <row r="2444">
      <c r="A2444" t="inlineStr">
        <is>
          <t>c5m2_test</t>
        </is>
      </c>
      <c r="B2444" t="inlineStr">
        <is>
          <t>2026-02-17 16:41:36.960</t>
        </is>
      </c>
      <c r="C2444" t="n">
        <v/>
      </c>
      <c r="D2444" t="inlineStr">
        <is>
          <t>Media file</t>
        </is>
      </c>
      <c r="E2444" t="inlineStr">
        <is>
          <t>player #1:BTBR\test\c5m2.mp4</t>
        </is>
      </c>
      <c r="F2444" t="n">
        <v>-6.667</v>
      </c>
      <c r="G2444" t="n">
        <v>593.6660000000001</v>
      </c>
      <c r="H2444" t="n">
        <v>619.533</v>
      </c>
      <c r="I2444" t="n">
        <v>30</v>
      </c>
      <c r="J2444" t="inlineStr">
        <is>
          <t>BTBR</t>
        </is>
      </c>
      <c r="K2444" t="inlineStr">
        <is>
          <t>Male</t>
        </is>
      </c>
      <c r="L2444" t="inlineStr">
        <is>
          <t>No focal subject</t>
        </is>
      </c>
      <c r="M2444" t="n">
        <v>53.14</v>
      </c>
      <c r="N2444" t="inlineStr">
        <is>
          <t>Explore_N</t>
        </is>
      </c>
      <c r="O2444" t="inlineStr">
        <is>
          <t>Novelty</t>
        </is>
      </c>
      <c r="P2444" t="inlineStr">
        <is>
          <t>STATE</t>
        </is>
      </c>
      <c r="Q2444" t="n">
        <v>27.4</v>
      </c>
      <c r="R2444" t="n">
        <v>28.866</v>
      </c>
      <c r="S2444" t="n">
        <v>1.466</v>
      </c>
      <c r="T2444" t="inlineStr">
        <is>
          <t>BTBR\test\c5m2.mp4</t>
        </is>
      </c>
      <c r="U2444" t="n">
        <v>822</v>
      </c>
      <c r="V2444" t="n">
        <v>866</v>
      </c>
      <c r="W2444" t="n">
        <v/>
      </c>
      <c r="X2444" t="n">
        <v/>
      </c>
      <c r="Y2444" t="n">
        <v/>
      </c>
      <c r="Z2444" t="n">
        <v/>
      </c>
      <c r="AA2444">
        <f>SUMIFS($S$2:S2444,$A$2:A2444,A2444,$N$2:N2444,"Explore*")</f>
        <v/>
      </c>
      <c r="AB2444">
        <f>IF(AND(LEFT(N2444,7)="Explore",(AA2444-IF(LEFT(N2444,7)="Explore",S2444,0))&lt;10),"SI","NO")</f>
        <v/>
      </c>
    </row>
    <row r="2445">
      <c r="A2445" t="inlineStr">
        <is>
          <t>c5m2_test</t>
        </is>
      </c>
      <c r="B2445" t="inlineStr">
        <is>
          <t>2026-02-17 16:41:36.960</t>
        </is>
      </c>
      <c r="C2445" t="n">
        <v/>
      </c>
      <c r="D2445" t="inlineStr">
        <is>
          <t>Media file</t>
        </is>
      </c>
      <c r="E2445" t="inlineStr">
        <is>
          <t>player #1:BTBR\test\c5m2.mp4</t>
        </is>
      </c>
      <c r="F2445" t="n">
        <v>-6.667</v>
      </c>
      <c r="G2445" t="n">
        <v>593.6660000000001</v>
      </c>
      <c r="H2445" t="n">
        <v>619.533</v>
      </c>
      <c r="I2445" t="n">
        <v>30</v>
      </c>
      <c r="J2445" t="inlineStr">
        <is>
          <t>BTBR</t>
        </is>
      </c>
      <c r="K2445" t="inlineStr">
        <is>
          <t>Male</t>
        </is>
      </c>
      <c r="L2445" t="inlineStr">
        <is>
          <t>No focal subject</t>
        </is>
      </c>
      <c r="M2445" t="n">
        <v>53.14</v>
      </c>
      <c r="N2445" t="inlineStr">
        <is>
          <t>Explore_F</t>
        </is>
      </c>
      <c r="O2445" t="inlineStr">
        <is>
          <t>Familiar</t>
        </is>
      </c>
      <c r="P2445" t="inlineStr">
        <is>
          <t>STATE</t>
        </is>
      </c>
      <c r="Q2445" t="n">
        <v>29.866</v>
      </c>
      <c r="R2445" t="n">
        <v>30.166</v>
      </c>
      <c r="S2445" t="n">
        <v>0.3</v>
      </c>
      <c r="T2445" t="inlineStr">
        <is>
          <t>BTBR\test\c5m2.mp4</t>
        </is>
      </c>
      <c r="U2445" t="n">
        <v>895</v>
      </c>
      <c r="V2445" t="n">
        <v>904</v>
      </c>
      <c r="W2445" t="n">
        <v/>
      </c>
      <c r="X2445" t="n">
        <v/>
      </c>
      <c r="Y2445" t="n">
        <v/>
      </c>
      <c r="Z2445" t="n">
        <v/>
      </c>
      <c r="AA2445">
        <f>SUMIFS($S$2:S2445,$A$2:A2445,A2445,$N$2:N2445,"Explore*")</f>
        <v/>
      </c>
      <c r="AB2445">
        <f>IF(AND(LEFT(N2445,7)="Explore",(AA2445-IF(LEFT(N2445,7)="Explore",S2445,0))&lt;10),"SI","NO")</f>
        <v/>
      </c>
    </row>
    <row r="2446">
      <c r="A2446" t="inlineStr">
        <is>
          <t>c5m2_test</t>
        </is>
      </c>
      <c r="B2446" t="inlineStr">
        <is>
          <t>2026-02-17 16:41:36.960</t>
        </is>
      </c>
      <c r="C2446" t="n">
        <v/>
      </c>
      <c r="D2446" t="inlineStr">
        <is>
          <t>Media file</t>
        </is>
      </c>
      <c r="E2446" t="inlineStr">
        <is>
          <t>player #1:BTBR\test\c5m2.mp4</t>
        </is>
      </c>
      <c r="F2446" t="n">
        <v>-6.667</v>
      </c>
      <c r="G2446" t="n">
        <v>593.6660000000001</v>
      </c>
      <c r="H2446" t="n">
        <v>619.533</v>
      </c>
      <c r="I2446" t="n">
        <v>30</v>
      </c>
      <c r="J2446" t="inlineStr">
        <is>
          <t>BTBR</t>
        </is>
      </c>
      <c r="K2446" t="inlineStr">
        <is>
          <t>Male</t>
        </is>
      </c>
      <c r="L2446" t="inlineStr">
        <is>
          <t>No focal subject</t>
        </is>
      </c>
      <c r="M2446" t="n">
        <v>53.14</v>
      </c>
      <c r="N2446" t="inlineStr">
        <is>
          <t>Explore_N</t>
        </is>
      </c>
      <c r="O2446" t="inlineStr">
        <is>
          <t>Novelty</t>
        </is>
      </c>
      <c r="P2446" t="inlineStr">
        <is>
          <t>STATE</t>
        </is>
      </c>
      <c r="Q2446" t="n">
        <v>35.433</v>
      </c>
      <c r="R2446" t="n">
        <v>36.2</v>
      </c>
      <c r="S2446" t="n">
        <v>0.767</v>
      </c>
      <c r="T2446" t="inlineStr">
        <is>
          <t>BTBR\test\c5m2.mp4</t>
        </is>
      </c>
      <c r="U2446" t="n">
        <v>1062</v>
      </c>
      <c r="V2446" t="n">
        <v>1085</v>
      </c>
      <c r="W2446" t="n">
        <v/>
      </c>
      <c r="X2446" t="n">
        <v/>
      </c>
      <c r="Y2446" t="n">
        <v/>
      </c>
      <c r="Z2446" t="n">
        <v/>
      </c>
      <c r="AA2446">
        <f>SUMIFS($S$2:S2446,$A$2:A2446,A2446,$N$2:N2446,"Explore*")</f>
        <v/>
      </c>
      <c r="AB2446">
        <f>IF(AND(LEFT(N2446,7)="Explore",(AA2446-IF(LEFT(N2446,7)="Explore",S2446,0))&lt;10),"SI","NO")</f>
        <v/>
      </c>
    </row>
    <row r="2447">
      <c r="A2447" t="inlineStr">
        <is>
          <t>c5m2_test</t>
        </is>
      </c>
      <c r="B2447" t="inlineStr">
        <is>
          <t>2026-02-17 16:41:36.960</t>
        </is>
      </c>
      <c r="C2447" t="n">
        <v/>
      </c>
      <c r="D2447" t="inlineStr">
        <is>
          <t>Media file</t>
        </is>
      </c>
      <c r="E2447" t="inlineStr">
        <is>
          <t>player #1:BTBR\test\c5m2.mp4</t>
        </is>
      </c>
      <c r="F2447" t="n">
        <v>-6.667</v>
      </c>
      <c r="G2447" t="n">
        <v>593.6660000000001</v>
      </c>
      <c r="H2447" t="n">
        <v>619.533</v>
      </c>
      <c r="I2447" t="n">
        <v>30</v>
      </c>
      <c r="J2447" t="inlineStr">
        <is>
          <t>BTBR</t>
        </is>
      </c>
      <c r="K2447" t="inlineStr">
        <is>
          <t>Male</t>
        </is>
      </c>
      <c r="L2447" t="inlineStr">
        <is>
          <t>No focal subject</t>
        </is>
      </c>
      <c r="M2447" t="n">
        <v>53.14</v>
      </c>
      <c r="N2447" t="inlineStr">
        <is>
          <t>Explore_N</t>
        </is>
      </c>
      <c r="O2447" t="inlineStr">
        <is>
          <t>Novelty</t>
        </is>
      </c>
      <c r="P2447" t="inlineStr">
        <is>
          <t>STATE</t>
        </is>
      </c>
      <c r="Q2447" t="n">
        <v>37.666</v>
      </c>
      <c r="R2447" t="n">
        <v>37.933</v>
      </c>
      <c r="S2447" t="n">
        <v>0.267</v>
      </c>
      <c r="T2447" t="inlineStr">
        <is>
          <t>BTBR\test\c5m2.mp4</t>
        </is>
      </c>
      <c r="U2447" t="n">
        <v>1130</v>
      </c>
      <c r="V2447" t="n">
        <v>1137</v>
      </c>
      <c r="W2447" t="n">
        <v/>
      </c>
      <c r="X2447" t="n">
        <v/>
      </c>
      <c r="Y2447" t="n">
        <v/>
      </c>
      <c r="Z2447" t="n">
        <v/>
      </c>
      <c r="AA2447">
        <f>SUMIFS($S$2:S2447,$A$2:A2447,A2447,$N$2:N2447,"Explore*")</f>
        <v/>
      </c>
      <c r="AB2447">
        <f>IF(AND(LEFT(N2447,7)="Explore",(AA2447-IF(LEFT(N2447,7)="Explore",S2447,0))&lt;10),"SI","NO")</f>
        <v/>
      </c>
    </row>
    <row r="2448">
      <c r="A2448" t="inlineStr">
        <is>
          <t>c5m2_test</t>
        </is>
      </c>
      <c r="B2448" t="inlineStr">
        <is>
          <t>2026-02-17 16:41:36.960</t>
        </is>
      </c>
      <c r="C2448" t="n">
        <v/>
      </c>
      <c r="D2448" t="inlineStr">
        <is>
          <t>Media file</t>
        </is>
      </c>
      <c r="E2448" t="inlineStr">
        <is>
          <t>player #1:BTBR\test\c5m2.mp4</t>
        </is>
      </c>
      <c r="F2448" t="n">
        <v>-6.667</v>
      </c>
      <c r="G2448" t="n">
        <v>593.6660000000001</v>
      </c>
      <c r="H2448" t="n">
        <v>619.533</v>
      </c>
      <c r="I2448" t="n">
        <v>30</v>
      </c>
      <c r="J2448" t="inlineStr">
        <is>
          <t>BTBR</t>
        </is>
      </c>
      <c r="K2448" t="inlineStr">
        <is>
          <t>Male</t>
        </is>
      </c>
      <c r="L2448" t="inlineStr">
        <is>
          <t>No focal subject</t>
        </is>
      </c>
      <c r="M2448" t="n">
        <v>53.14</v>
      </c>
      <c r="N2448" t="inlineStr">
        <is>
          <t>Explore_N</t>
        </is>
      </c>
      <c r="O2448" t="inlineStr">
        <is>
          <t>Novelty</t>
        </is>
      </c>
      <c r="P2448" t="inlineStr">
        <is>
          <t>STATE</t>
        </is>
      </c>
      <c r="Q2448" t="n">
        <v>41.9</v>
      </c>
      <c r="R2448" t="n">
        <v>43.3</v>
      </c>
      <c r="S2448" t="n">
        <v>1.4</v>
      </c>
      <c r="T2448" t="inlineStr">
        <is>
          <t>BTBR\test\c5m2.mp4</t>
        </is>
      </c>
      <c r="U2448" t="n">
        <v>1256</v>
      </c>
      <c r="V2448" t="n">
        <v>1298</v>
      </c>
      <c r="W2448" t="n">
        <v/>
      </c>
      <c r="X2448" t="n">
        <v/>
      </c>
      <c r="Y2448" t="n">
        <v/>
      </c>
      <c r="Z2448" t="n">
        <v/>
      </c>
      <c r="AA2448">
        <f>SUMIFS($S$2:S2448,$A$2:A2448,A2448,$N$2:N2448,"Explore*")</f>
        <v/>
      </c>
      <c r="AB2448">
        <f>IF(AND(LEFT(N2448,7)="Explore",(AA2448-IF(LEFT(N2448,7)="Explore",S2448,0))&lt;10),"SI","NO")</f>
        <v/>
      </c>
    </row>
    <row r="2449">
      <c r="A2449" t="inlineStr">
        <is>
          <t>c5m2_test</t>
        </is>
      </c>
      <c r="B2449" t="inlineStr">
        <is>
          <t>2026-02-17 16:41:36.960</t>
        </is>
      </c>
      <c r="C2449" t="n">
        <v/>
      </c>
      <c r="D2449" t="inlineStr">
        <is>
          <t>Media file</t>
        </is>
      </c>
      <c r="E2449" t="inlineStr">
        <is>
          <t>player #1:BTBR\test\c5m2.mp4</t>
        </is>
      </c>
      <c r="F2449" t="n">
        <v>-6.667</v>
      </c>
      <c r="G2449" t="n">
        <v>593.6660000000001</v>
      </c>
      <c r="H2449" t="n">
        <v>619.533</v>
      </c>
      <c r="I2449" t="n">
        <v>30</v>
      </c>
      <c r="J2449" t="inlineStr">
        <is>
          <t>BTBR</t>
        </is>
      </c>
      <c r="K2449" t="inlineStr">
        <is>
          <t>Male</t>
        </is>
      </c>
      <c r="L2449" t="inlineStr">
        <is>
          <t>No focal subject</t>
        </is>
      </c>
      <c r="M2449" t="n">
        <v>53.14</v>
      </c>
      <c r="N2449" t="inlineStr">
        <is>
          <t>Explore_N</t>
        </is>
      </c>
      <c r="O2449" t="inlineStr">
        <is>
          <t>Novelty</t>
        </is>
      </c>
      <c r="P2449" t="inlineStr">
        <is>
          <t>STATE</t>
        </is>
      </c>
      <c r="Q2449" t="n">
        <v>51.833</v>
      </c>
      <c r="R2449" t="n">
        <v>52.5</v>
      </c>
      <c r="S2449" t="n">
        <v>0.667</v>
      </c>
      <c r="T2449" t="inlineStr">
        <is>
          <t>BTBR\test\c5m2.mp4</t>
        </is>
      </c>
      <c r="U2449" t="n">
        <v>1554</v>
      </c>
      <c r="V2449" t="n">
        <v>1574</v>
      </c>
      <c r="W2449" t="n">
        <v/>
      </c>
      <c r="X2449" t="n">
        <v/>
      </c>
      <c r="Y2449" t="n">
        <v/>
      </c>
      <c r="Z2449" t="n">
        <v/>
      </c>
      <c r="AA2449">
        <f>SUMIFS($S$2:S2449,$A$2:A2449,A2449,$N$2:N2449,"Explore*")</f>
        <v/>
      </c>
      <c r="AB2449">
        <f>IF(AND(LEFT(N2449,7)="Explore",(AA2449-IF(LEFT(N2449,7)="Explore",S2449,0))&lt;10),"SI","NO")</f>
        <v/>
      </c>
    </row>
    <row r="2450">
      <c r="A2450" t="inlineStr">
        <is>
          <t>c5m2_test</t>
        </is>
      </c>
      <c r="B2450" t="inlineStr">
        <is>
          <t>2026-02-17 16:41:36.960</t>
        </is>
      </c>
      <c r="C2450" t="n">
        <v/>
      </c>
      <c r="D2450" t="inlineStr">
        <is>
          <t>Media file</t>
        </is>
      </c>
      <c r="E2450" t="inlineStr">
        <is>
          <t>player #1:BTBR\test\c5m2.mp4</t>
        </is>
      </c>
      <c r="F2450" t="n">
        <v>-6.667</v>
      </c>
      <c r="G2450" t="n">
        <v>593.6660000000001</v>
      </c>
      <c r="H2450" t="n">
        <v>619.533</v>
      </c>
      <c r="I2450" t="n">
        <v>30</v>
      </c>
      <c r="J2450" t="inlineStr">
        <is>
          <t>BTBR</t>
        </is>
      </c>
      <c r="K2450" t="inlineStr">
        <is>
          <t>Male</t>
        </is>
      </c>
      <c r="L2450" t="inlineStr">
        <is>
          <t>No focal subject</t>
        </is>
      </c>
      <c r="M2450" t="n">
        <v>53.14</v>
      </c>
      <c r="N2450" t="inlineStr">
        <is>
          <t>Explore_F</t>
        </is>
      </c>
      <c r="O2450" t="inlineStr">
        <is>
          <t>Familiar</t>
        </is>
      </c>
      <c r="P2450" t="inlineStr">
        <is>
          <t>STATE</t>
        </is>
      </c>
      <c r="Q2450" t="n">
        <v>60.533</v>
      </c>
      <c r="R2450" t="n">
        <v>60.733</v>
      </c>
      <c r="S2450" t="n">
        <v>0.2</v>
      </c>
      <c r="T2450" t="inlineStr">
        <is>
          <t>BTBR\test\c5m2.mp4</t>
        </is>
      </c>
      <c r="U2450" t="n">
        <v>1815</v>
      </c>
      <c r="V2450" t="n">
        <v>1821</v>
      </c>
      <c r="W2450" t="n">
        <v/>
      </c>
      <c r="X2450" t="n">
        <v/>
      </c>
      <c r="Y2450" t="n">
        <v/>
      </c>
      <c r="Z2450" t="n">
        <v/>
      </c>
      <c r="AA2450">
        <f>SUMIFS($S$2:S2450,$A$2:A2450,A2450,$N$2:N2450,"Explore*")</f>
        <v/>
      </c>
      <c r="AB2450">
        <f>IF(AND(LEFT(N2450,7)="Explore",(AA2450-IF(LEFT(N2450,7)="Explore",S2450,0))&lt;10),"SI","NO")</f>
        <v/>
      </c>
    </row>
    <row r="2451">
      <c r="A2451" t="inlineStr">
        <is>
          <t>c5m2_test</t>
        </is>
      </c>
      <c r="B2451" t="inlineStr">
        <is>
          <t>2026-02-17 16:41:36.960</t>
        </is>
      </c>
      <c r="C2451" t="n">
        <v/>
      </c>
      <c r="D2451" t="inlineStr">
        <is>
          <t>Media file</t>
        </is>
      </c>
      <c r="E2451" t="inlineStr">
        <is>
          <t>player #1:BTBR\test\c5m2.mp4</t>
        </is>
      </c>
      <c r="F2451" t="n">
        <v>-6.667</v>
      </c>
      <c r="G2451" t="n">
        <v>593.6660000000001</v>
      </c>
      <c r="H2451" t="n">
        <v>619.533</v>
      </c>
      <c r="I2451" t="n">
        <v>30</v>
      </c>
      <c r="J2451" t="inlineStr">
        <is>
          <t>BTBR</t>
        </is>
      </c>
      <c r="K2451" t="inlineStr">
        <is>
          <t>Male</t>
        </is>
      </c>
      <c r="L2451" t="inlineStr">
        <is>
          <t>No focal subject</t>
        </is>
      </c>
      <c r="M2451" t="n">
        <v>53.14</v>
      </c>
      <c r="N2451" t="inlineStr">
        <is>
          <t>Explore_N</t>
        </is>
      </c>
      <c r="O2451" t="inlineStr">
        <is>
          <t>Novelty</t>
        </is>
      </c>
      <c r="P2451" t="inlineStr">
        <is>
          <t>STATE</t>
        </is>
      </c>
      <c r="Q2451" t="n">
        <v>64.26600000000001</v>
      </c>
      <c r="R2451" t="n">
        <v>64.5</v>
      </c>
      <c r="S2451" t="n">
        <v>0.234</v>
      </c>
      <c r="T2451" t="inlineStr">
        <is>
          <t>BTBR\test\c5m2.mp4</t>
        </is>
      </c>
      <c r="U2451" t="n">
        <v>1927</v>
      </c>
      <c r="V2451" t="n">
        <v>1934</v>
      </c>
      <c r="W2451" t="n">
        <v/>
      </c>
      <c r="X2451" t="n">
        <v/>
      </c>
      <c r="Y2451" t="n">
        <v/>
      </c>
      <c r="Z2451" t="n">
        <v/>
      </c>
      <c r="AA2451">
        <f>SUMIFS($S$2:S2451,$A$2:A2451,A2451,$N$2:N2451,"Explore*")</f>
        <v/>
      </c>
      <c r="AB2451">
        <f>IF(AND(LEFT(N2451,7)="Explore",(AA2451-IF(LEFT(N2451,7)="Explore",S2451,0))&lt;10),"SI","NO")</f>
        <v/>
      </c>
    </row>
    <row r="2452">
      <c r="A2452" t="inlineStr">
        <is>
          <t>c5m2_test</t>
        </is>
      </c>
      <c r="B2452" t="inlineStr">
        <is>
          <t>2026-02-17 16:41:36.960</t>
        </is>
      </c>
      <c r="C2452" t="n">
        <v/>
      </c>
      <c r="D2452" t="inlineStr">
        <is>
          <t>Media file</t>
        </is>
      </c>
      <c r="E2452" t="inlineStr">
        <is>
          <t>player #1:BTBR\test\c5m2.mp4</t>
        </is>
      </c>
      <c r="F2452" t="n">
        <v>-6.667</v>
      </c>
      <c r="G2452" t="n">
        <v>593.6660000000001</v>
      </c>
      <c r="H2452" t="n">
        <v>619.533</v>
      </c>
      <c r="I2452" t="n">
        <v>30</v>
      </c>
      <c r="J2452" t="inlineStr">
        <is>
          <t>BTBR</t>
        </is>
      </c>
      <c r="K2452" t="inlineStr">
        <is>
          <t>Male</t>
        </is>
      </c>
      <c r="L2452" t="inlineStr">
        <is>
          <t>No focal subject</t>
        </is>
      </c>
      <c r="M2452" t="n">
        <v>53.14</v>
      </c>
      <c r="N2452" t="inlineStr">
        <is>
          <t>Explore_F</t>
        </is>
      </c>
      <c r="O2452" t="inlineStr">
        <is>
          <t>Familiar</t>
        </is>
      </c>
      <c r="P2452" t="inlineStr">
        <is>
          <t>STATE</t>
        </is>
      </c>
      <c r="Q2452" t="n">
        <v>69.333</v>
      </c>
      <c r="R2452" t="n">
        <v>69.93300000000001</v>
      </c>
      <c r="S2452" t="n">
        <v>0.6</v>
      </c>
      <c r="T2452" t="inlineStr">
        <is>
          <t>BTBR\test\c5m2.mp4</t>
        </is>
      </c>
      <c r="U2452" t="n">
        <v>2079</v>
      </c>
      <c r="V2452" t="n">
        <v>2097</v>
      </c>
      <c r="W2452" t="n">
        <v/>
      </c>
      <c r="X2452" t="n">
        <v/>
      </c>
      <c r="Y2452" t="n">
        <v/>
      </c>
      <c r="Z2452" t="n">
        <v/>
      </c>
      <c r="AA2452">
        <f>SUMIFS($S$2:S2452,$A$2:A2452,A2452,$N$2:N2452,"Explore*")</f>
        <v/>
      </c>
      <c r="AB2452">
        <f>IF(AND(LEFT(N2452,7)="Explore",(AA2452-IF(LEFT(N2452,7)="Explore",S2452,0))&lt;10),"SI","NO")</f>
        <v/>
      </c>
    </row>
    <row r="2453">
      <c r="A2453" t="inlineStr">
        <is>
          <t>c5m2_test</t>
        </is>
      </c>
      <c r="B2453" t="inlineStr">
        <is>
          <t>2026-02-17 16:41:36.960</t>
        </is>
      </c>
      <c r="C2453" t="n">
        <v/>
      </c>
      <c r="D2453" t="inlineStr">
        <is>
          <t>Media file</t>
        </is>
      </c>
      <c r="E2453" t="inlineStr">
        <is>
          <t>player #1:BTBR\test\c5m2.mp4</t>
        </is>
      </c>
      <c r="F2453" t="n">
        <v>-6.667</v>
      </c>
      <c r="G2453" t="n">
        <v>593.6660000000001</v>
      </c>
      <c r="H2453" t="n">
        <v>619.533</v>
      </c>
      <c r="I2453" t="n">
        <v>30</v>
      </c>
      <c r="J2453" t="inlineStr">
        <is>
          <t>BTBR</t>
        </is>
      </c>
      <c r="K2453" t="inlineStr">
        <is>
          <t>Male</t>
        </is>
      </c>
      <c r="L2453" t="inlineStr">
        <is>
          <t>No focal subject</t>
        </is>
      </c>
      <c r="M2453" t="n">
        <v>53.14</v>
      </c>
      <c r="N2453" t="inlineStr">
        <is>
          <t>Explore_N</t>
        </is>
      </c>
      <c r="O2453" t="inlineStr">
        <is>
          <t>Novelty</t>
        </is>
      </c>
      <c r="P2453" t="inlineStr">
        <is>
          <t>STATE</t>
        </is>
      </c>
      <c r="Q2453" t="n">
        <v>72.46599999999999</v>
      </c>
      <c r="R2453" t="n">
        <v>73</v>
      </c>
      <c r="S2453" t="n">
        <v>0.534</v>
      </c>
      <c r="T2453" t="inlineStr">
        <is>
          <t>BTBR\test\c5m2.mp4</t>
        </is>
      </c>
      <c r="U2453" t="n">
        <v>2173</v>
      </c>
      <c r="V2453" t="n">
        <v>2189</v>
      </c>
      <c r="W2453" t="n">
        <v/>
      </c>
      <c r="X2453" t="n">
        <v/>
      </c>
      <c r="Y2453" t="n">
        <v/>
      </c>
      <c r="Z2453" t="n">
        <v/>
      </c>
      <c r="AA2453">
        <f>SUMIFS($S$2:S2453,$A$2:A2453,A2453,$N$2:N2453,"Explore*")</f>
        <v/>
      </c>
      <c r="AB2453">
        <f>IF(AND(LEFT(N2453,7)="Explore",(AA2453-IF(LEFT(N2453,7)="Explore",S2453,0))&lt;10),"SI","NO")</f>
        <v/>
      </c>
    </row>
    <row r="2454">
      <c r="A2454" t="inlineStr">
        <is>
          <t>c5m2_test</t>
        </is>
      </c>
      <c r="B2454" t="inlineStr">
        <is>
          <t>2026-02-17 16:41:36.960</t>
        </is>
      </c>
      <c r="C2454" t="n">
        <v/>
      </c>
      <c r="D2454" t="inlineStr">
        <is>
          <t>Media file</t>
        </is>
      </c>
      <c r="E2454" t="inlineStr">
        <is>
          <t>player #1:BTBR\test\c5m2.mp4</t>
        </is>
      </c>
      <c r="F2454" t="n">
        <v>-6.667</v>
      </c>
      <c r="G2454" t="n">
        <v>593.6660000000001</v>
      </c>
      <c r="H2454" t="n">
        <v>619.533</v>
      </c>
      <c r="I2454" t="n">
        <v>30</v>
      </c>
      <c r="J2454" t="inlineStr">
        <is>
          <t>BTBR</t>
        </is>
      </c>
      <c r="K2454" t="inlineStr">
        <is>
          <t>Male</t>
        </is>
      </c>
      <c r="L2454" t="inlineStr">
        <is>
          <t>No focal subject</t>
        </is>
      </c>
      <c r="M2454" t="n">
        <v>53.14</v>
      </c>
      <c r="N2454" t="inlineStr">
        <is>
          <t>Explore_N</t>
        </is>
      </c>
      <c r="O2454" t="inlineStr">
        <is>
          <t>Novelty</t>
        </is>
      </c>
      <c r="P2454" t="inlineStr">
        <is>
          <t>STATE</t>
        </is>
      </c>
      <c r="Q2454" t="n">
        <v>74.633</v>
      </c>
      <c r="R2454" t="n">
        <v>75.333</v>
      </c>
      <c r="S2454" t="n">
        <v>0.7</v>
      </c>
      <c r="T2454" t="inlineStr">
        <is>
          <t>BTBR\test\c5m2.mp4</t>
        </is>
      </c>
      <c r="U2454" t="n">
        <v>2238</v>
      </c>
      <c r="V2454" t="n">
        <v>2259</v>
      </c>
      <c r="W2454" t="n">
        <v/>
      </c>
      <c r="X2454" t="n">
        <v/>
      </c>
      <c r="Y2454" t="n">
        <v/>
      </c>
      <c r="Z2454" t="n">
        <v/>
      </c>
      <c r="AA2454">
        <f>SUMIFS($S$2:S2454,$A$2:A2454,A2454,$N$2:N2454,"Explore*")</f>
        <v/>
      </c>
      <c r="AB2454">
        <f>IF(AND(LEFT(N2454,7)="Explore",(AA2454-IF(LEFT(N2454,7)="Explore",S2454,0))&lt;10),"SI","NO")</f>
        <v/>
      </c>
    </row>
    <row r="2455">
      <c r="A2455" t="inlineStr">
        <is>
          <t>c5m2_test</t>
        </is>
      </c>
      <c r="B2455" t="inlineStr">
        <is>
          <t>2026-02-17 16:41:36.960</t>
        </is>
      </c>
      <c r="C2455" t="n">
        <v/>
      </c>
      <c r="D2455" t="inlineStr">
        <is>
          <t>Media file</t>
        </is>
      </c>
      <c r="E2455" t="inlineStr">
        <is>
          <t>player #1:BTBR\test\c5m2.mp4</t>
        </is>
      </c>
      <c r="F2455" t="n">
        <v>-6.667</v>
      </c>
      <c r="G2455" t="n">
        <v>593.6660000000001</v>
      </c>
      <c r="H2455" t="n">
        <v>619.533</v>
      </c>
      <c r="I2455" t="n">
        <v>30</v>
      </c>
      <c r="J2455" t="inlineStr">
        <is>
          <t>BTBR</t>
        </is>
      </c>
      <c r="K2455" t="inlineStr">
        <is>
          <t>Male</t>
        </is>
      </c>
      <c r="L2455" t="inlineStr">
        <is>
          <t>No focal subject</t>
        </is>
      </c>
      <c r="M2455" t="n">
        <v>53.14</v>
      </c>
      <c r="N2455" t="inlineStr">
        <is>
          <t>Explore_F</t>
        </is>
      </c>
      <c r="O2455" t="inlineStr">
        <is>
          <t>Familiar</t>
        </is>
      </c>
      <c r="P2455" t="inlineStr">
        <is>
          <t>STATE</t>
        </is>
      </c>
      <c r="Q2455" t="n">
        <v>76.3</v>
      </c>
      <c r="R2455" t="n">
        <v>76.59999999999999</v>
      </c>
      <c r="S2455" t="n">
        <v>0.3</v>
      </c>
      <c r="T2455" t="inlineStr">
        <is>
          <t>BTBR\test\c5m2.mp4</t>
        </is>
      </c>
      <c r="U2455" t="n">
        <v>2288</v>
      </c>
      <c r="V2455" t="n">
        <v>2297</v>
      </c>
      <c r="W2455" t="n">
        <v/>
      </c>
      <c r="X2455" t="n">
        <v/>
      </c>
      <c r="Y2455" t="n">
        <v/>
      </c>
      <c r="Z2455" t="n">
        <v/>
      </c>
      <c r="AA2455">
        <f>SUMIFS($S$2:S2455,$A$2:A2455,A2455,$N$2:N2455,"Explore*")</f>
        <v/>
      </c>
      <c r="AB2455">
        <f>IF(AND(LEFT(N2455,7)="Explore",(AA2455-IF(LEFT(N2455,7)="Explore",S2455,0))&lt;10),"SI","NO")</f>
        <v/>
      </c>
    </row>
    <row r="2456">
      <c r="A2456" t="inlineStr">
        <is>
          <t>c5m2_test</t>
        </is>
      </c>
      <c r="B2456" t="inlineStr">
        <is>
          <t>2026-02-17 16:41:36.960</t>
        </is>
      </c>
      <c r="C2456" t="n">
        <v/>
      </c>
      <c r="D2456" t="inlineStr">
        <is>
          <t>Media file</t>
        </is>
      </c>
      <c r="E2456" t="inlineStr">
        <is>
          <t>player #1:BTBR\test\c5m2.mp4</t>
        </is>
      </c>
      <c r="F2456" t="n">
        <v>-6.667</v>
      </c>
      <c r="G2456" t="n">
        <v>593.6660000000001</v>
      </c>
      <c r="H2456" t="n">
        <v>619.533</v>
      </c>
      <c r="I2456" t="n">
        <v>30</v>
      </c>
      <c r="J2456" t="inlineStr">
        <is>
          <t>BTBR</t>
        </is>
      </c>
      <c r="K2456" t="inlineStr">
        <is>
          <t>Male</t>
        </is>
      </c>
      <c r="L2456" t="inlineStr">
        <is>
          <t>No focal subject</t>
        </is>
      </c>
      <c r="M2456" t="n">
        <v>53.14</v>
      </c>
      <c r="N2456" t="inlineStr">
        <is>
          <t>Explore_F</t>
        </is>
      </c>
      <c r="O2456" t="inlineStr">
        <is>
          <t>Familiar</t>
        </is>
      </c>
      <c r="P2456" t="inlineStr">
        <is>
          <t>STATE</t>
        </is>
      </c>
      <c r="Q2456" t="n">
        <v>77.033</v>
      </c>
      <c r="R2456" t="n">
        <v>77.333</v>
      </c>
      <c r="S2456" t="n">
        <v>0.3</v>
      </c>
      <c r="T2456" t="inlineStr">
        <is>
          <t>BTBR\test\c5m2.mp4</t>
        </is>
      </c>
      <c r="U2456" t="n">
        <v>2310</v>
      </c>
      <c r="V2456" t="n">
        <v>2319</v>
      </c>
      <c r="W2456" t="n">
        <v/>
      </c>
      <c r="X2456" t="n">
        <v/>
      </c>
      <c r="Y2456" t="n">
        <v/>
      </c>
      <c r="Z2456" t="n">
        <v/>
      </c>
      <c r="AA2456">
        <f>SUMIFS($S$2:S2456,$A$2:A2456,A2456,$N$2:N2456,"Explore*")</f>
        <v/>
      </c>
      <c r="AB2456">
        <f>IF(AND(LEFT(N2456,7)="Explore",(AA2456-IF(LEFT(N2456,7)="Explore",S2456,0))&lt;10),"SI","NO")</f>
        <v/>
      </c>
    </row>
    <row r="2457">
      <c r="A2457" t="inlineStr">
        <is>
          <t>c5m2_test</t>
        </is>
      </c>
      <c r="B2457" t="inlineStr">
        <is>
          <t>2026-02-17 16:41:36.960</t>
        </is>
      </c>
      <c r="C2457" t="n">
        <v/>
      </c>
      <c r="D2457" t="inlineStr">
        <is>
          <t>Media file</t>
        </is>
      </c>
      <c r="E2457" t="inlineStr">
        <is>
          <t>player #1:BTBR\test\c5m2.mp4</t>
        </is>
      </c>
      <c r="F2457" t="n">
        <v>-6.667</v>
      </c>
      <c r="G2457" t="n">
        <v>593.6660000000001</v>
      </c>
      <c r="H2457" t="n">
        <v>619.533</v>
      </c>
      <c r="I2457" t="n">
        <v>30</v>
      </c>
      <c r="J2457" t="inlineStr">
        <is>
          <t>BTBR</t>
        </is>
      </c>
      <c r="K2457" t="inlineStr">
        <is>
          <t>Male</t>
        </is>
      </c>
      <c r="L2457" t="inlineStr">
        <is>
          <t>No focal subject</t>
        </is>
      </c>
      <c r="M2457" t="n">
        <v>53.14</v>
      </c>
      <c r="N2457" t="inlineStr">
        <is>
          <t>Explore_F</t>
        </is>
      </c>
      <c r="O2457" t="inlineStr">
        <is>
          <t>Familiar</t>
        </is>
      </c>
      <c r="P2457" t="inlineStr">
        <is>
          <t>STATE</t>
        </is>
      </c>
      <c r="Q2457" t="n">
        <v>85.26600000000001</v>
      </c>
      <c r="R2457" t="n">
        <v>85.866</v>
      </c>
      <c r="S2457" t="n">
        <v>0.6</v>
      </c>
      <c r="T2457" t="inlineStr">
        <is>
          <t>BTBR\test\c5m2.mp4</t>
        </is>
      </c>
      <c r="U2457" t="n">
        <v>2557</v>
      </c>
      <c r="V2457" t="n">
        <v>2575</v>
      </c>
      <c r="W2457" t="n">
        <v/>
      </c>
      <c r="X2457" t="n">
        <v/>
      </c>
      <c r="Y2457" t="n">
        <v/>
      </c>
      <c r="Z2457" t="n">
        <v/>
      </c>
      <c r="AA2457">
        <f>SUMIFS($S$2:S2457,$A$2:A2457,A2457,$N$2:N2457,"Explore*")</f>
        <v/>
      </c>
      <c r="AB2457">
        <f>IF(AND(LEFT(N2457,7)="Explore",(AA2457-IF(LEFT(N2457,7)="Explore",S2457,0))&lt;10),"SI","NO")</f>
        <v/>
      </c>
    </row>
    <row r="2458">
      <c r="A2458" t="inlineStr">
        <is>
          <t>c5m2_test</t>
        </is>
      </c>
      <c r="B2458" t="inlineStr">
        <is>
          <t>2026-02-17 16:41:36.960</t>
        </is>
      </c>
      <c r="C2458" t="n">
        <v/>
      </c>
      <c r="D2458" t="inlineStr">
        <is>
          <t>Media file</t>
        </is>
      </c>
      <c r="E2458" t="inlineStr">
        <is>
          <t>player #1:BTBR\test\c5m2.mp4</t>
        </is>
      </c>
      <c r="F2458" t="n">
        <v>-6.667</v>
      </c>
      <c r="G2458" t="n">
        <v>593.6660000000001</v>
      </c>
      <c r="H2458" t="n">
        <v>619.533</v>
      </c>
      <c r="I2458" t="n">
        <v>30</v>
      </c>
      <c r="J2458" t="inlineStr">
        <is>
          <t>BTBR</t>
        </is>
      </c>
      <c r="K2458" t="inlineStr">
        <is>
          <t>Male</t>
        </is>
      </c>
      <c r="L2458" t="inlineStr">
        <is>
          <t>No focal subject</t>
        </is>
      </c>
      <c r="M2458" t="n">
        <v>53.14</v>
      </c>
      <c r="N2458" t="inlineStr">
        <is>
          <t>Explore_F</t>
        </is>
      </c>
      <c r="O2458" t="inlineStr">
        <is>
          <t>Familiar</t>
        </is>
      </c>
      <c r="P2458" t="inlineStr">
        <is>
          <t>STATE</t>
        </is>
      </c>
      <c r="Q2458" t="n">
        <v>90.166</v>
      </c>
      <c r="R2458" t="n">
        <v>90.40000000000001</v>
      </c>
      <c r="S2458" t="n">
        <v>0.234</v>
      </c>
      <c r="T2458" t="inlineStr">
        <is>
          <t>BTBR\test\c5m2.mp4</t>
        </is>
      </c>
      <c r="U2458" t="n">
        <v>2704</v>
      </c>
      <c r="V2458" t="n">
        <v>2710</v>
      </c>
      <c r="W2458" t="n">
        <v/>
      </c>
      <c r="X2458" t="n">
        <v/>
      </c>
      <c r="Y2458" t="n">
        <v/>
      </c>
      <c r="Z2458" t="n">
        <v/>
      </c>
      <c r="AA2458">
        <f>SUMIFS($S$2:S2458,$A$2:A2458,A2458,$N$2:N2458,"Explore*")</f>
        <v/>
      </c>
      <c r="AB2458">
        <f>IF(AND(LEFT(N2458,7)="Explore",(AA2458-IF(LEFT(N2458,7)="Explore",S2458,0))&lt;10),"SI","NO")</f>
        <v/>
      </c>
    </row>
    <row r="2459">
      <c r="A2459" t="inlineStr">
        <is>
          <t>c5m2_test</t>
        </is>
      </c>
      <c r="B2459" t="inlineStr">
        <is>
          <t>2026-02-17 16:41:36.960</t>
        </is>
      </c>
      <c r="C2459" t="n">
        <v/>
      </c>
      <c r="D2459" t="inlineStr">
        <is>
          <t>Media file</t>
        </is>
      </c>
      <c r="E2459" t="inlineStr">
        <is>
          <t>player #1:BTBR\test\c5m2.mp4</t>
        </is>
      </c>
      <c r="F2459" t="n">
        <v>-6.667</v>
      </c>
      <c r="G2459" t="n">
        <v>593.6660000000001</v>
      </c>
      <c r="H2459" t="n">
        <v>619.533</v>
      </c>
      <c r="I2459" t="n">
        <v>30</v>
      </c>
      <c r="J2459" t="inlineStr">
        <is>
          <t>BTBR</t>
        </is>
      </c>
      <c r="K2459" t="inlineStr">
        <is>
          <t>Male</t>
        </is>
      </c>
      <c r="L2459" t="inlineStr">
        <is>
          <t>No focal subject</t>
        </is>
      </c>
      <c r="M2459" t="n">
        <v>53.14</v>
      </c>
      <c r="N2459" t="inlineStr">
        <is>
          <t>Explore_F</t>
        </is>
      </c>
      <c r="O2459" t="inlineStr">
        <is>
          <t>Familiar</t>
        </is>
      </c>
      <c r="P2459" t="inlineStr">
        <is>
          <t>STATE</t>
        </is>
      </c>
      <c r="Q2459" t="n">
        <v>90.866</v>
      </c>
      <c r="R2459" t="n">
        <v>91.8</v>
      </c>
      <c r="S2459" t="n">
        <v>0.9340000000000001</v>
      </c>
      <c r="T2459" t="inlineStr">
        <is>
          <t>BTBR\test\c5m2.mp4</t>
        </is>
      </c>
      <c r="U2459" t="n">
        <v>2724</v>
      </c>
      <c r="V2459" t="n">
        <v>2752</v>
      </c>
      <c r="W2459" t="n">
        <v/>
      </c>
      <c r="X2459" t="n">
        <v/>
      </c>
      <c r="Y2459" t="n">
        <v/>
      </c>
      <c r="Z2459" t="n">
        <v/>
      </c>
      <c r="AA2459">
        <f>SUMIFS($S$2:S2459,$A$2:A2459,A2459,$N$2:N2459,"Explore*")</f>
        <v/>
      </c>
      <c r="AB2459">
        <f>IF(AND(LEFT(N2459,7)="Explore",(AA2459-IF(LEFT(N2459,7)="Explore",S2459,0))&lt;10),"SI","NO")</f>
        <v/>
      </c>
    </row>
    <row r="2460">
      <c r="A2460" t="inlineStr">
        <is>
          <t>c5m2_test</t>
        </is>
      </c>
      <c r="B2460" t="inlineStr">
        <is>
          <t>2026-02-17 16:41:36.960</t>
        </is>
      </c>
      <c r="C2460" t="n">
        <v/>
      </c>
      <c r="D2460" t="inlineStr">
        <is>
          <t>Media file</t>
        </is>
      </c>
      <c r="E2460" t="inlineStr">
        <is>
          <t>player #1:BTBR\test\c5m2.mp4</t>
        </is>
      </c>
      <c r="F2460" t="n">
        <v>-6.667</v>
      </c>
      <c r="G2460" t="n">
        <v>593.6660000000001</v>
      </c>
      <c r="H2460" t="n">
        <v>619.533</v>
      </c>
      <c r="I2460" t="n">
        <v>30</v>
      </c>
      <c r="J2460" t="inlineStr">
        <is>
          <t>BTBR</t>
        </is>
      </c>
      <c r="K2460" t="inlineStr">
        <is>
          <t>Male</t>
        </is>
      </c>
      <c r="L2460" t="inlineStr">
        <is>
          <t>No focal subject</t>
        </is>
      </c>
      <c r="M2460" t="n">
        <v>53.14</v>
      </c>
      <c r="N2460" t="inlineStr">
        <is>
          <t>Explore_N</t>
        </is>
      </c>
      <c r="O2460" t="inlineStr">
        <is>
          <t>Novelty</t>
        </is>
      </c>
      <c r="P2460" t="inlineStr">
        <is>
          <t>STATE</t>
        </is>
      </c>
      <c r="Q2460" t="n">
        <v>92.46599999999999</v>
      </c>
      <c r="R2460" t="n">
        <v>93.09999999999999</v>
      </c>
      <c r="S2460" t="n">
        <v>0.634</v>
      </c>
      <c r="T2460" t="inlineStr">
        <is>
          <t>BTBR\test\c5m2.mp4</t>
        </is>
      </c>
      <c r="U2460" t="n">
        <v>2772</v>
      </c>
      <c r="V2460" t="n">
        <v>2791</v>
      </c>
      <c r="W2460" t="n">
        <v/>
      </c>
      <c r="X2460" t="n">
        <v/>
      </c>
      <c r="Y2460" t="n">
        <v/>
      </c>
      <c r="Z2460" t="n">
        <v/>
      </c>
      <c r="AA2460">
        <f>SUMIFS($S$2:S2460,$A$2:A2460,A2460,$N$2:N2460,"Explore*")</f>
        <v/>
      </c>
      <c r="AB2460">
        <f>IF(AND(LEFT(N2460,7)="Explore",(AA2460-IF(LEFT(N2460,7)="Explore",S2460,0))&lt;10),"SI","NO")</f>
        <v/>
      </c>
    </row>
    <row r="2461">
      <c r="A2461" t="inlineStr">
        <is>
          <t>c5m2_test</t>
        </is>
      </c>
      <c r="B2461" t="inlineStr">
        <is>
          <t>2026-02-17 16:41:36.960</t>
        </is>
      </c>
      <c r="C2461" t="n">
        <v/>
      </c>
      <c r="D2461" t="inlineStr">
        <is>
          <t>Media file</t>
        </is>
      </c>
      <c r="E2461" t="inlineStr">
        <is>
          <t>player #1:BTBR\test\c5m2.mp4</t>
        </is>
      </c>
      <c r="F2461" t="n">
        <v>-6.667</v>
      </c>
      <c r="G2461" t="n">
        <v>593.6660000000001</v>
      </c>
      <c r="H2461" t="n">
        <v>619.533</v>
      </c>
      <c r="I2461" t="n">
        <v>30</v>
      </c>
      <c r="J2461" t="inlineStr">
        <is>
          <t>BTBR</t>
        </is>
      </c>
      <c r="K2461" t="inlineStr">
        <is>
          <t>Male</t>
        </is>
      </c>
      <c r="L2461" t="inlineStr">
        <is>
          <t>No focal subject</t>
        </is>
      </c>
      <c r="M2461" t="n">
        <v>53.14</v>
      </c>
      <c r="N2461" t="inlineStr">
        <is>
          <t>Explore_F</t>
        </is>
      </c>
      <c r="O2461" t="inlineStr">
        <is>
          <t>Familiar</t>
        </is>
      </c>
      <c r="P2461" t="inlineStr">
        <is>
          <t>STATE</t>
        </is>
      </c>
      <c r="Q2461" t="n">
        <v>98.43300000000001</v>
      </c>
      <c r="R2461" t="n">
        <v>99.09999999999999</v>
      </c>
      <c r="S2461" t="n">
        <v>0.667</v>
      </c>
      <c r="T2461" t="inlineStr">
        <is>
          <t>BTBR\test\c5m2.mp4</t>
        </is>
      </c>
      <c r="U2461" t="n">
        <v>2951</v>
      </c>
      <c r="V2461" t="n">
        <v>2971</v>
      </c>
      <c r="W2461" t="n">
        <v/>
      </c>
      <c r="X2461" t="n">
        <v/>
      </c>
      <c r="Y2461" t="n">
        <v/>
      </c>
      <c r="Z2461" t="n">
        <v/>
      </c>
      <c r="AA2461">
        <f>SUMIFS($S$2:S2461,$A$2:A2461,A2461,$N$2:N2461,"Explore*")</f>
        <v/>
      </c>
      <c r="AB2461">
        <f>IF(AND(LEFT(N2461,7)="Explore",(AA2461-IF(LEFT(N2461,7)="Explore",S2461,0))&lt;10),"SI","NO")</f>
        <v/>
      </c>
    </row>
    <row r="2462">
      <c r="A2462" t="inlineStr">
        <is>
          <t>c5m2_test</t>
        </is>
      </c>
      <c r="B2462" t="inlineStr">
        <is>
          <t>2026-02-17 16:41:36.960</t>
        </is>
      </c>
      <c r="C2462" t="n">
        <v/>
      </c>
      <c r="D2462" t="inlineStr">
        <is>
          <t>Media file</t>
        </is>
      </c>
      <c r="E2462" t="inlineStr">
        <is>
          <t>player #1:BTBR\test\c5m2.mp4</t>
        </is>
      </c>
      <c r="F2462" t="n">
        <v>-6.667</v>
      </c>
      <c r="G2462" t="n">
        <v>593.6660000000001</v>
      </c>
      <c r="H2462" t="n">
        <v>619.533</v>
      </c>
      <c r="I2462" t="n">
        <v>30</v>
      </c>
      <c r="J2462" t="inlineStr">
        <is>
          <t>BTBR</t>
        </is>
      </c>
      <c r="K2462" t="inlineStr">
        <is>
          <t>Male</t>
        </is>
      </c>
      <c r="L2462" t="inlineStr">
        <is>
          <t>No focal subject</t>
        </is>
      </c>
      <c r="M2462" t="n">
        <v>53.14</v>
      </c>
      <c r="N2462" t="inlineStr">
        <is>
          <t>Explore_F</t>
        </is>
      </c>
      <c r="O2462" t="inlineStr">
        <is>
          <t>Familiar</t>
        </is>
      </c>
      <c r="P2462" t="inlineStr">
        <is>
          <t>STATE</t>
        </is>
      </c>
      <c r="Q2462" t="n">
        <v>107.333</v>
      </c>
      <c r="R2462" t="n">
        <v>107.633</v>
      </c>
      <c r="S2462" t="n">
        <v>0.3</v>
      </c>
      <c r="T2462" t="inlineStr">
        <is>
          <t>BTBR\test\c5m2.mp4</t>
        </is>
      </c>
      <c r="U2462" t="n">
        <v>3218</v>
      </c>
      <c r="V2462" t="n">
        <v>3227</v>
      </c>
      <c r="W2462" t="n">
        <v/>
      </c>
      <c r="X2462" t="n">
        <v/>
      </c>
      <c r="Y2462" t="n">
        <v/>
      </c>
      <c r="Z2462" t="n">
        <v/>
      </c>
      <c r="AA2462">
        <f>SUMIFS($S$2:S2462,$A$2:A2462,A2462,$N$2:N2462,"Explore*")</f>
        <v/>
      </c>
      <c r="AB2462">
        <f>IF(AND(LEFT(N2462,7)="Explore",(AA2462-IF(LEFT(N2462,7)="Explore",S2462,0))&lt;10),"SI","NO")</f>
        <v/>
      </c>
    </row>
    <row r="2463">
      <c r="A2463" t="inlineStr">
        <is>
          <t>c5m2_test</t>
        </is>
      </c>
      <c r="B2463" t="inlineStr">
        <is>
          <t>2026-02-17 16:41:36.960</t>
        </is>
      </c>
      <c r="C2463" t="n">
        <v/>
      </c>
      <c r="D2463" t="inlineStr">
        <is>
          <t>Media file</t>
        </is>
      </c>
      <c r="E2463" t="inlineStr">
        <is>
          <t>player #1:BTBR\test\c5m2.mp4</t>
        </is>
      </c>
      <c r="F2463" t="n">
        <v>-6.667</v>
      </c>
      <c r="G2463" t="n">
        <v>593.6660000000001</v>
      </c>
      <c r="H2463" t="n">
        <v>619.533</v>
      </c>
      <c r="I2463" t="n">
        <v>30</v>
      </c>
      <c r="J2463" t="inlineStr">
        <is>
          <t>BTBR</t>
        </is>
      </c>
      <c r="K2463" t="inlineStr">
        <is>
          <t>Male</t>
        </is>
      </c>
      <c r="L2463" t="inlineStr">
        <is>
          <t>No focal subject</t>
        </is>
      </c>
      <c r="M2463" t="n">
        <v>53.14</v>
      </c>
      <c r="N2463" t="inlineStr">
        <is>
          <t>Explore_F</t>
        </is>
      </c>
      <c r="O2463" t="inlineStr">
        <is>
          <t>Familiar</t>
        </is>
      </c>
      <c r="P2463" t="inlineStr">
        <is>
          <t>STATE</t>
        </is>
      </c>
      <c r="Q2463" t="n">
        <v>108.4</v>
      </c>
      <c r="R2463" t="n">
        <v>108.7</v>
      </c>
      <c r="S2463" t="n">
        <v>0.3</v>
      </c>
      <c r="T2463" t="inlineStr">
        <is>
          <t>BTBR\test\c5m2.mp4</t>
        </is>
      </c>
      <c r="U2463" t="n">
        <v>3250</v>
      </c>
      <c r="V2463" t="n">
        <v>3259</v>
      </c>
      <c r="W2463" t="n">
        <v/>
      </c>
      <c r="X2463" t="n">
        <v/>
      </c>
      <c r="Y2463" t="n">
        <v/>
      </c>
      <c r="Z2463" t="n">
        <v/>
      </c>
      <c r="AA2463">
        <f>SUMIFS($S$2:S2463,$A$2:A2463,A2463,$N$2:N2463,"Explore*")</f>
        <v/>
      </c>
      <c r="AB2463">
        <f>IF(AND(LEFT(N2463,7)="Explore",(AA2463-IF(LEFT(N2463,7)="Explore",S2463,0))&lt;10),"SI","NO")</f>
        <v/>
      </c>
    </row>
    <row r="2464">
      <c r="A2464" t="inlineStr">
        <is>
          <t>c5m2_test</t>
        </is>
      </c>
      <c r="B2464" t="inlineStr">
        <is>
          <t>2026-02-17 16:41:36.960</t>
        </is>
      </c>
      <c r="C2464" t="n">
        <v/>
      </c>
      <c r="D2464" t="inlineStr">
        <is>
          <t>Media file</t>
        </is>
      </c>
      <c r="E2464" t="inlineStr">
        <is>
          <t>player #1:BTBR\test\c5m2.mp4</t>
        </is>
      </c>
      <c r="F2464" t="n">
        <v>-6.667</v>
      </c>
      <c r="G2464" t="n">
        <v>593.6660000000001</v>
      </c>
      <c r="H2464" t="n">
        <v>619.533</v>
      </c>
      <c r="I2464" t="n">
        <v>30</v>
      </c>
      <c r="J2464" t="inlineStr">
        <is>
          <t>BTBR</t>
        </is>
      </c>
      <c r="K2464" t="inlineStr">
        <is>
          <t>Male</t>
        </is>
      </c>
      <c r="L2464" t="inlineStr">
        <is>
          <t>No focal subject</t>
        </is>
      </c>
      <c r="M2464" t="n">
        <v>53.14</v>
      </c>
      <c r="N2464" t="inlineStr">
        <is>
          <t>Explore_F</t>
        </is>
      </c>
      <c r="O2464" t="inlineStr">
        <is>
          <t>Familiar</t>
        </is>
      </c>
      <c r="P2464" t="inlineStr">
        <is>
          <t>STATE</t>
        </is>
      </c>
      <c r="Q2464" t="n">
        <v>114.733</v>
      </c>
      <c r="R2464" t="n">
        <v>115.566</v>
      </c>
      <c r="S2464" t="n">
        <v>0.833</v>
      </c>
      <c r="T2464" t="inlineStr">
        <is>
          <t>BTBR\test\c5m2.mp4</t>
        </is>
      </c>
      <c r="U2464" t="n">
        <v>3440</v>
      </c>
      <c r="V2464" t="n">
        <v>3465</v>
      </c>
      <c r="W2464" t="n">
        <v/>
      </c>
      <c r="X2464" t="n">
        <v/>
      </c>
      <c r="Y2464" t="n">
        <v/>
      </c>
      <c r="Z2464" t="n">
        <v/>
      </c>
      <c r="AA2464">
        <f>SUMIFS($S$2:S2464,$A$2:A2464,A2464,$N$2:N2464,"Explore*")</f>
        <v/>
      </c>
      <c r="AB2464">
        <f>IF(AND(LEFT(N2464,7)="Explore",(AA2464-IF(LEFT(N2464,7)="Explore",S2464,0))&lt;10),"SI","NO")</f>
        <v/>
      </c>
    </row>
    <row r="2465">
      <c r="A2465" t="inlineStr">
        <is>
          <t>c5m2_test</t>
        </is>
      </c>
      <c r="B2465" t="inlineStr">
        <is>
          <t>2026-02-17 16:41:36.960</t>
        </is>
      </c>
      <c r="C2465" t="n">
        <v/>
      </c>
      <c r="D2465" t="inlineStr">
        <is>
          <t>Media file</t>
        </is>
      </c>
      <c r="E2465" t="inlineStr">
        <is>
          <t>player #1:BTBR\test\c5m2.mp4</t>
        </is>
      </c>
      <c r="F2465" t="n">
        <v>-6.667</v>
      </c>
      <c r="G2465" t="n">
        <v>593.6660000000001</v>
      </c>
      <c r="H2465" t="n">
        <v>619.533</v>
      </c>
      <c r="I2465" t="n">
        <v>30</v>
      </c>
      <c r="J2465" t="inlineStr">
        <is>
          <t>BTBR</t>
        </is>
      </c>
      <c r="K2465" t="inlineStr">
        <is>
          <t>Male</t>
        </is>
      </c>
      <c r="L2465" t="inlineStr">
        <is>
          <t>No focal subject</t>
        </is>
      </c>
      <c r="M2465" t="n">
        <v>53.14</v>
      </c>
      <c r="N2465" t="inlineStr">
        <is>
          <t>Explore_F</t>
        </is>
      </c>
      <c r="O2465" t="inlineStr">
        <is>
          <t>Familiar</t>
        </is>
      </c>
      <c r="P2465" t="inlineStr">
        <is>
          <t>STATE</t>
        </is>
      </c>
      <c r="Q2465" t="n">
        <v>132.133</v>
      </c>
      <c r="R2465" t="n">
        <v>132.5</v>
      </c>
      <c r="S2465" t="n">
        <v>0.367</v>
      </c>
      <c r="T2465" t="inlineStr">
        <is>
          <t>BTBR\test\c5m2.mp4</t>
        </is>
      </c>
      <c r="U2465" t="n">
        <v>3962</v>
      </c>
      <c r="V2465" t="n">
        <v>3973</v>
      </c>
      <c r="W2465" t="n">
        <v/>
      </c>
      <c r="X2465" t="n">
        <v/>
      </c>
      <c r="Y2465" t="n">
        <v/>
      </c>
      <c r="Z2465" t="n">
        <v/>
      </c>
      <c r="AA2465">
        <f>SUMIFS($S$2:S2465,$A$2:A2465,A2465,$N$2:N2465,"Explore*")</f>
        <v/>
      </c>
      <c r="AB2465">
        <f>IF(AND(LEFT(N2465,7)="Explore",(AA2465-IF(LEFT(N2465,7)="Explore",S2465,0))&lt;10),"SI","NO")</f>
        <v/>
      </c>
    </row>
    <row r="2466">
      <c r="A2466" t="inlineStr">
        <is>
          <t>c5m2_test</t>
        </is>
      </c>
      <c r="B2466" t="inlineStr">
        <is>
          <t>2026-02-17 16:41:36.960</t>
        </is>
      </c>
      <c r="C2466" t="n">
        <v/>
      </c>
      <c r="D2466" t="inlineStr">
        <is>
          <t>Media file</t>
        </is>
      </c>
      <c r="E2466" t="inlineStr">
        <is>
          <t>player #1:BTBR\test\c5m2.mp4</t>
        </is>
      </c>
      <c r="F2466" t="n">
        <v>-6.667</v>
      </c>
      <c r="G2466" t="n">
        <v>593.6660000000001</v>
      </c>
      <c r="H2466" t="n">
        <v>619.533</v>
      </c>
      <c r="I2466" t="n">
        <v>30</v>
      </c>
      <c r="J2466" t="inlineStr">
        <is>
          <t>BTBR</t>
        </is>
      </c>
      <c r="K2466" t="inlineStr">
        <is>
          <t>Male</t>
        </is>
      </c>
      <c r="L2466" t="inlineStr">
        <is>
          <t>No focal subject</t>
        </is>
      </c>
      <c r="M2466" t="n">
        <v>53.14</v>
      </c>
      <c r="N2466" t="inlineStr">
        <is>
          <t>Explore_N</t>
        </is>
      </c>
      <c r="O2466" t="inlineStr">
        <is>
          <t>Novelty</t>
        </is>
      </c>
      <c r="P2466" t="inlineStr">
        <is>
          <t>STATE</t>
        </is>
      </c>
      <c r="Q2466" t="n">
        <v>133.6</v>
      </c>
      <c r="R2466" t="n">
        <v>134.166</v>
      </c>
      <c r="S2466" t="n">
        <v>0.5659999999999999</v>
      </c>
      <c r="T2466" t="inlineStr">
        <is>
          <t>BTBR\test\c5m2.mp4</t>
        </is>
      </c>
      <c r="U2466" t="n">
        <v>4006</v>
      </c>
      <c r="V2466" t="n">
        <v>4024</v>
      </c>
      <c r="W2466" t="n">
        <v/>
      </c>
      <c r="X2466" t="n">
        <v/>
      </c>
      <c r="Y2466" t="n">
        <v/>
      </c>
      <c r="Z2466" t="n">
        <v/>
      </c>
      <c r="AA2466">
        <f>SUMIFS($S$2:S2466,$A$2:A2466,A2466,$N$2:N2466,"Explore*")</f>
        <v/>
      </c>
      <c r="AB2466">
        <f>IF(AND(LEFT(N2466,7)="Explore",(AA2466-IF(LEFT(N2466,7)="Explore",S2466,0))&lt;10),"SI","NO")</f>
        <v/>
      </c>
    </row>
    <row r="2467">
      <c r="A2467" t="inlineStr">
        <is>
          <t>c5m2_test</t>
        </is>
      </c>
      <c r="B2467" t="inlineStr">
        <is>
          <t>2026-02-17 16:41:36.960</t>
        </is>
      </c>
      <c r="C2467" t="n">
        <v/>
      </c>
      <c r="D2467" t="inlineStr">
        <is>
          <t>Media file</t>
        </is>
      </c>
      <c r="E2467" t="inlineStr">
        <is>
          <t>player #1:BTBR\test\c5m2.mp4</t>
        </is>
      </c>
      <c r="F2467" t="n">
        <v>-6.667</v>
      </c>
      <c r="G2467" t="n">
        <v>593.6660000000001</v>
      </c>
      <c r="H2467" t="n">
        <v>619.533</v>
      </c>
      <c r="I2467" t="n">
        <v>30</v>
      </c>
      <c r="J2467" t="inlineStr">
        <is>
          <t>BTBR</t>
        </is>
      </c>
      <c r="K2467" t="inlineStr">
        <is>
          <t>Male</t>
        </is>
      </c>
      <c r="L2467" t="inlineStr">
        <is>
          <t>No focal subject</t>
        </is>
      </c>
      <c r="M2467" t="n">
        <v>53.14</v>
      </c>
      <c r="N2467" t="inlineStr">
        <is>
          <t>Explore_N</t>
        </is>
      </c>
      <c r="O2467" t="inlineStr">
        <is>
          <t>Novelty</t>
        </is>
      </c>
      <c r="P2467" t="inlineStr">
        <is>
          <t>STATE</t>
        </is>
      </c>
      <c r="Q2467" t="n">
        <v>136</v>
      </c>
      <c r="R2467" t="n">
        <v>137.133</v>
      </c>
      <c r="S2467" t="n">
        <v>1.133</v>
      </c>
      <c r="T2467" t="inlineStr">
        <is>
          <t>BTBR\test\c5m2.mp4</t>
        </is>
      </c>
      <c r="U2467" t="n">
        <v>4078</v>
      </c>
      <c r="V2467" t="n">
        <v>4112</v>
      </c>
      <c r="W2467" t="n">
        <v/>
      </c>
      <c r="X2467" t="n">
        <v/>
      </c>
      <c r="Y2467" t="n">
        <v/>
      </c>
      <c r="Z2467" t="n">
        <v/>
      </c>
      <c r="AA2467">
        <f>SUMIFS($S$2:S2467,$A$2:A2467,A2467,$N$2:N2467,"Explore*")</f>
        <v/>
      </c>
      <c r="AB2467">
        <f>IF(AND(LEFT(N2467,7)="Explore",(AA2467-IF(LEFT(N2467,7)="Explore",S2467,0))&lt;10),"SI","NO")</f>
        <v/>
      </c>
    </row>
    <row r="2468">
      <c r="A2468" t="inlineStr">
        <is>
          <t>c5m2_test</t>
        </is>
      </c>
      <c r="B2468" t="inlineStr">
        <is>
          <t>2026-02-17 16:41:36.960</t>
        </is>
      </c>
      <c r="C2468" t="n">
        <v/>
      </c>
      <c r="D2468" t="inlineStr">
        <is>
          <t>Media file</t>
        </is>
      </c>
      <c r="E2468" t="inlineStr">
        <is>
          <t>player #1:BTBR\test\c5m2.mp4</t>
        </is>
      </c>
      <c r="F2468" t="n">
        <v>-6.667</v>
      </c>
      <c r="G2468" t="n">
        <v>593.6660000000001</v>
      </c>
      <c r="H2468" t="n">
        <v>619.533</v>
      </c>
      <c r="I2468" t="n">
        <v>30</v>
      </c>
      <c r="J2468" t="inlineStr">
        <is>
          <t>BTBR</t>
        </is>
      </c>
      <c r="K2468" t="inlineStr">
        <is>
          <t>Male</t>
        </is>
      </c>
      <c r="L2468" t="inlineStr">
        <is>
          <t>No focal subject</t>
        </is>
      </c>
      <c r="M2468" t="n">
        <v>53.14</v>
      </c>
      <c r="N2468" t="inlineStr">
        <is>
          <t>Explore_F</t>
        </is>
      </c>
      <c r="O2468" t="inlineStr">
        <is>
          <t>Familiar</t>
        </is>
      </c>
      <c r="P2468" t="inlineStr">
        <is>
          <t>STATE</t>
        </is>
      </c>
      <c r="Q2468" t="n">
        <v>140.366</v>
      </c>
      <c r="R2468" t="n">
        <v>140.833</v>
      </c>
      <c r="S2468" t="n">
        <v>0.467</v>
      </c>
      <c r="T2468" t="inlineStr">
        <is>
          <t>BTBR\test\c5m2.mp4</t>
        </is>
      </c>
      <c r="U2468" t="n">
        <v>4209</v>
      </c>
      <c r="V2468" t="n">
        <v>4223</v>
      </c>
      <c r="W2468" t="n">
        <v/>
      </c>
      <c r="X2468" t="n">
        <v/>
      </c>
      <c r="Y2468" t="n">
        <v/>
      </c>
      <c r="Z2468" t="n">
        <v/>
      </c>
      <c r="AA2468">
        <f>SUMIFS($S$2:S2468,$A$2:A2468,A2468,$N$2:N2468,"Explore*")</f>
        <v/>
      </c>
      <c r="AB2468">
        <f>IF(AND(LEFT(N2468,7)="Explore",(AA2468-IF(LEFT(N2468,7)="Explore",S2468,0))&lt;10),"SI","NO")</f>
        <v/>
      </c>
    </row>
    <row r="2469">
      <c r="A2469" t="inlineStr">
        <is>
          <t>c5m2_test</t>
        </is>
      </c>
      <c r="B2469" t="inlineStr">
        <is>
          <t>2026-02-17 16:41:36.960</t>
        </is>
      </c>
      <c r="C2469" t="n">
        <v/>
      </c>
      <c r="D2469" t="inlineStr">
        <is>
          <t>Media file</t>
        </is>
      </c>
      <c r="E2469" t="inlineStr">
        <is>
          <t>player #1:BTBR\test\c5m2.mp4</t>
        </is>
      </c>
      <c r="F2469" t="n">
        <v>-6.667</v>
      </c>
      <c r="G2469" t="n">
        <v>593.6660000000001</v>
      </c>
      <c r="H2469" t="n">
        <v>619.533</v>
      </c>
      <c r="I2469" t="n">
        <v>30</v>
      </c>
      <c r="J2469" t="inlineStr">
        <is>
          <t>BTBR</t>
        </is>
      </c>
      <c r="K2469" t="inlineStr">
        <is>
          <t>Male</t>
        </is>
      </c>
      <c r="L2469" t="inlineStr">
        <is>
          <t>No focal subject</t>
        </is>
      </c>
      <c r="M2469" t="n">
        <v>53.14</v>
      </c>
      <c r="N2469" t="inlineStr">
        <is>
          <t>Explore_N</t>
        </is>
      </c>
      <c r="O2469" t="inlineStr">
        <is>
          <t>Novelty</t>
        </is>
      </c>
      <c r="P2469" t="inlineStr">
        <is>
          <t>STATE</t>
        </is>
      </c>
      <c r="Q2469" t="n">
        <v>149.866</v>
      </c>
      <c r="R2469" t="n">
        <v>150.633</v>
      </c>
      <c r="S2469" t="n">
        <v>0.767</v>
      </c>
      <c r="T2469" t="inlineStr">
        <is>
          <t>BTBR\test\c5m2.mp4</t>
        </is>
      </c>
      <c r="U2469" t="n">
        <v>4493</v>
      </c>
      <c r="V2469" t="n">
        <v>4516</v>
      </c>
      <c r="W2469" t="n">
        <v/>
      </c>
      <c r="X2469" t="n">
        <v/>
      </c>
      <c r="Y2469" t="n">
        <v/>
      </c>
      <c r="Z2469" t="n">
        <v/>
      </c>
      <c r="AA2469">
        <f>SUMIFS($S$2:S2469,$A$2:A2469,A2469,$N$2:N2469,"Explore*")</f>
        <v/>
      </c>
      <c r="AB2469">
        <f>IF(AND(LEFT(N2469,7)="Explore",(AA2469-IF(LEFT(N2469,7)="Explore",S2469,0))&lt;10),"SI","NO")</f>
        <v/>
      </c>
    </row>
    <row r="2470">
      <c r="A2470" t="inlineStr">
        <is>
          <t>c5m2_test</t>
        </is>
      </c>
      <c r="B2470" t="inlineStr">
        <is>
          <t>2026-02-17 16:41:36.960</t>
        </is>
      </c>
      <c r="C2470" t="n">
        <v/>
      </c>
      <c r="D2470" t="inlineStr">
        <is>
          <t>Media file</t>
        </is>
      </c>
      <c r="E2470" t="inlineStr">
        <is>
          <t>player #1:BTBR\test\c5m2.mp4</t>
        </is>
      </c>
      <c r="F2470" t="n">
        <v>-6.667</v>
      </c>
      <c r="G2470" t="n">
        <v>593.6660000000001</v>
      </c>
      <c r="H2470" t="n">
        <v>619.533</v>
      </c>
      <c r="I2470" t="n">
        <v>30</v>
      </c>
      <c r="J2470" t="inlineStr">
        <is>
          <t>BTBR</t>
        </is>
      </c>
      <c r="K2470" t="inlineStr">
        <is>
          <t>Male</t>
        </is>
      </c>
      <c r="L2470" t="inlineStr">
        <is>
          <t>No focal subject</t>
        </is>
      </c>
      <c r="M2470" t="n">
        <v>53.14</v>
      </c>
      <c r="N2470" t="inlineStr">
        <is>
          <t>Explore_N</t>
        </is>
      </c>
      <c r="O2470" t="inlineStr">
        <is>
          <t>Novelty</t>
        </is>
      </c>
      <c r="P2470" t="inlineStr">
        <is>
          <t>STATE</t>
        </is>
      </c>
      <c r="Q2470" t="n">
        <v>151.7</v>
      </c>
      <c r="R2470" t="n">
        <v>152.7</v>
      </c>
      <c r="S2470" t="n">
        <v>1</v>
      </c>
      <c r="T2470" t="inlineStr">
        <is>
          <t>BTBR\test\c5m2.mp4</t>
        </is>
      </c>
      <c r="U2470" t="n">
        <v>4548</v>
      </c>
      <c r="V2470" t="n">
        <v>4578</v>
      </c>
      <c r="W2470" t="n">
        <v/>
      </c>
      <c r="X2470" t="n">
        <v/>
      </c>
      <c r="Y2470" t="n">
        <v/>
      </c>
      <c r="Z2470" t="n">
        <v/>
      </c>
      <c r="AA2470">
        <f>SUMIFS($S$2:S2470,$A$2:A2470,A2470,$N$2:N2470,"Explore*")</f>
        <v/>
      </c>
      <c r="AB2470">
        <f>IF(AND(LEFT(N2470,7)="Explore",(AA2470-IF(LEFT(N2470,7)="Explore",S2470,0))&lt;10),"SI","NO")</f>
        <v/>
      </c>
    </row>
    <row r="2471">
      <c r="A2471" t="inlineStr">
        <is>
          <t>c5m2_test</t>
        </is>
      </c>
      <c r="B2471" t="inlineStr">
        <is>
          <t>2026-02-17 16:41:36.960</t>
        </is>
      </c>
      <c r="C2471" t="n">
        <v/>
      </c>
      <c r="D2471" t="inlineStr">
        <is>
          <t>Media file</t>
        </is>
      </c>
      <c r="E2471" t="inlineStr">
        <is>
          <t>player #1:BTBR\test\c5m2.mp4</t>
        </is>
      </c>
      <c r="F2471" t="n">
        <v>-6.667</v>
      </c>
      <c r="G2471" t="n">
        <v>593.6660000000001</v>
      </c>
      <c r="H2471" t="n">
        <v>619.533</v>
      </c>
      <c r="I2471" t="n">
        <v>30</v>
      </c>
      <c r="J2471" t="inlineStr">
        <is>
          <t>BTBR</t>
        </is>
      </c>
      <c r="K2471" t="inlineStr">
        <is>
          <t>Male</t>
        </is>
      </c>
      <c r="L2471" t="inlineStr">
        <is>
          <t>No focal subject</t>
        </is>
      </c>
      <c r="M2471" t="n">
        <v>53.14</v>
      </c>
      <c r="N2471" t="inlineStr">
        <is>
          <t>Explore_N</t>
        </is>
      </c>
      <c r="O2471" t="inlineStr">
        <is>
          <t>Novelty</t>
        </is>
      </c>
      <c r="P2471" t="inlineStr">
        <is>
          <t>STATE</t>
        </is>
      </c>
      <c r="Q2471" t="n">
        <v>154.733</v>
      </c>
      <c r="R2471" t="n">
        <v>155.633</v>
      </c>
      <c r="S2471" t="n">
        <v>0.9</v>
      </c>
      <c r="T2471" t="inlineStr">
        <is>
          <t>BTBR\test\c5m2.mp4</t>
        </is>
      </c>
      <c r="U2471" t="n">
        <v>4639</v>
      </c>
      <c r="V2471" t="n">
        <v>4666</v>
      </c>
      <c r="W2471" t="n">
        <v/>
      </c>
      <c r="X2471" t="n">
        <v/>
      </c>
      <c r="Y2471" t="n">
        <v/>
      </c>
      <c r="Z2471" t="n">
        <v/>
      </c>
      <c r="AA2471">
        <f>SUMIFS($S$2:S2471,$A$2:A2471,A2471,$N$2:N2471,"Explore*")</f>
        <v/>
      </c>
      <c r="AB2471">
        <f>IF(AND(LEFT(N2471,7)="Explore",(AA2471-IF(LEFT(N2471,7)="Explore",S2471,0))&lt;10),"SI","NO")</f>
        <v/>
      </c>
    </row>
    <row r="2472">
      <c r="A2472" t="inlineStr">
        <is>
          <t>c5m2_test</t>
        </is>
      </c>
      <c r="B2472" t="inlineStr">
        <is>
          <t>2026-02-17 16:41:36.960</t>
        </is>
      </c>
      <c r="C2472" t="n">
        <v/>
      </c>
      <c r="D2472" t="inlineStr">
        <is>
          <t>Media file</t>
        </is>
      </c>
      <c r="E2472" t="inlineStr">
        <is>
          <t>player #1:BTBR\test\c5m2.mp4</t>
        </is>
      </c>
      <c r="F2472" t="n">
        <v>-6.667</v>
      </c>
      <c r="G2472" t="n">
        <v>593.6660000000001</v>
      </c>
      <c r="H2472" t="n">
        <v>619.533</v>
      </c>
      <c r="I2472" t="n">
        <v>30</v>
      </c>
      <c r="J2472" t="inlineStr">
        <is>
          <t>BTBR</t>
        </is>
      </c>
      <c r="K2472" t="inlineStr">
        <is>
          <t>Male</t>
        </is>
      </c>
      <c r="L2472" t="inlineStr">
        <is>
          <t>No focal subject</t>
        </is>
      </c>
      <c r="M2472" t="n">
        <v>53.14</v>
      </c>
      <c r="N2472" t="inlineStr">
        <is>
          <t>Explore_N</t>
        </is>
      </c>
      <c r="O2472" t="inlineStr">
        <is>
          <t>Novelty</t>
        </is>
      </c>
      <c r="P2472" t="inlineStr">
        <is>
          <t>STATE</t>
        </is>
      </c>
      <c r="Q2472" t="n">
        <v>156.599</v>
      </c>
      <c r="R2472" t="n">
        <v>156.899</v>
      </c>
      <c r="S2472" t="n">
        <v>0.3</v>
      </c>
      <c r="T2472" t="inlineStr">
        <is>
          <t>BTBR\test\c5m2.mp4</t>
        </is>
      </c>
      <c r="U2472" t="n">
        <v>4695</v>
      </c>
      <c r="V2472" t="n">
        <v>4704</v>
      </c>
      <c r="W2472" t="n">
        <v/>
      </c>
      <c r="X2472" t="n">
        <v/>
      </c>
      <c r="Y2472" t="n">
        <v/>
      </c>
      <c r="Z2472" t="n">
        <v/>
      </c>
      <c r="AA2472">
        <f>SUMIFS($S$2:S2472,$A$2:A2472,A2472,$N$2:N2472,"Explore*")</f>
        <v/>
      </c>
      <c r="AB2472">
        <f>IF(AND(LEFT(N2472,7)="Explore",(AA2472-IF(LEFT(N2472,7)="Explore",S2472,0))&lt;10),"SI","NO")</f>
        <v/>
      </c>
    </row>
    <row r="2473">
      <c r="A2473" t="inlineStr">
        <is>
          <t>c5m2_test</t>
        </is>
      </c>
      <c r="B2473" t="inlineStr">
        <is>
          <t>2026-02-17 16:41:36.960</t>
        </is>
      </c>
      <c r="C2473" t="n">
        <v/>
      </c>
      <c r="D2473" t="inlineStr">
        <is>
          <t>Media file</t>
        </is>
      </c>
      <c r="E2473" t="inlineStr">
        <is>
          <t>player #1:BTBR\test\c5m2.mp4</t>
        </is>
      </c>
      <c r="F2473" t="n">
        <v>-6.667</v>
      </c>
      <c r="G2473" t="n">
        <v>593.6660000000001</v>
      </c>
      <c r="H2473" t="n">
        <v>619.533</v>
      </c>
      <c r="I2473" t="n">
        <v>30</v>
      </c>
      <c r="J2473" t="inlineStr">
        <is>
          <t>BTBR</t>
        </is>
      </c>
      <c r="K2473" t="inlineStr">
        <is>
          <t>Male</t>
        </is>
      </c>
      <c r="L2473" t="inlineStr">
        <is>
          <t>No focal subject</t>
        </is>
      </c>
      <c r="M2473" t="n">
        <v>53.14</v>
      </c>
      <c r="N2473" t="inlineStr">
        <is>
          <t>Explore_N</t>
        </is>
      </c>
      <c r="O2473" t="inlineStr">
        <is>
          <t>Novelty</t>
        </is>
      </c>
      <c r="P2473" t="inlineStr">
        <is>
          <t>STATE</t>
        </is>
      </c>
      <c r="Q2473" t="n">
        <v>157.566</v>
      </c>
      <c r="R2473" t="n">
        <v>158.033</v>
      </c>
      <c r="S2473" t="n">
        <v>0.467</v>
      </c>
      <c r="T2473" t="inlineStr">
        <is>
          <t>BTBR\test\c5m2.mp4</t>
        </is>
      </c>
      <c r="U2473" t="n">
        <v>4724</v>
      </c>
      <c r="V2473" t="n">
        <v>4738</v>
      </c>
      <c r="W2473" t="n">
        <v/>
      </c>
      <c r="X2473" t="n">
        <v/>
      </c>
      <c r="Y2473" t="n">
        <v/>
      </c>
      <c r="Z2473" t="n">
        <v/>
      </c>
      <c r="AA2473">
        <f>SUMIFS($S$2:S2473,$A$2:A2473,A2473,$N$2:N2473,"Explore*")</f>
        <v/>
      </c>
      <c r="AB2473">
        <f>IF(AND(LEFT(N2473,7)="Explore",(AA2473-IF(LEFT(N2473,7)="Explore",S2473,0))&lt;10),"SI","NO")</f>
        <v/>
      </c>
    </row>
    <row r="2474">
      <c r="A2474" t="inlineStr">
        <is>
          <t>c5m2_test</t>
        </is>
      </c>
      <c r="B2474" t="inlineStr">
        <is>
          <t>2026-02-17 16:41:36.960</t>
        </is>
      </c>
      <c r="C2474" t="n">
        <v/>
      </c>
      <c r="D2474" t="inlineStr">
        <is>
          <t>Media file</t>
        </is>
      </c>
      <c r="E2474" t="inlineStr">
        <is>
          <t>player #1:BTBR\test\c5m2.mp4</t>
        </is>
      </c>
      <c r="F2474" t="n">
        <v>-6.667</v>
      </c>
      <c r="G2474" t="n">
        <v>593.6660000000001</v>
      </c>
      <c r="H2474" t="n">
        <v>619.533</v>
      </c>
      <c r="I2474" t="n">
        <v>30</v>
      </c>
      <c r="J2474" t="inlineStr">
        <is>
          <t>BTBR</t>
        </is>
      </c>
      <c r="K2474" t="inlineStr">
        <is>
          <t>Male</t>
        </is>
      </c>
      <c r="L2474" t="inlineStr">
        <is>
          <t>No focal subject</t>
        </is>
      </c>
      <c r="M2474" t="n">
        <v>53.14</v>
      </c>
      <c r="N2474" t="inlineStr">
        <is>
          <t>Explore_N</t>
        </is>
      </c>
      <c r="O2474" t="inlineStr">
        <is>
          <t>Novelty</t>
        </is>
      </c>
      <c r="P2474" t="inlineStr">
        <is>
          <t>STATE</t>
        </is>
      </c>
      <c r="Q2474" t="n">
        <v>159.233</v>
      </c>
      <c r="R2474" t="n">
        <v>161.199</v>
      </c>
      <c r="S2474" t="n">
        <v>1.966</v>
      </c>
      <c r="T2474" t="inlineStr">
        <is>
          <t>BTBR\test\c5m2.mp4</t>
        </is>
      </c>
      <c r="U2474" t="n">
        <v>4774</v>
      </c>
      <c r="V2474" t="n">
        <v>4833</v>
      </c>
      <c r="W2474" t="n">
        <v/>
      </c>
      <c r="X2474" t="n">
        <v/>
      </c>
      <c r="Y2474" t="n">
        <v/>
      </c>
      <c r="Z2474" t="n">
        <v/>
      </c>
      <c r="AA2474">
        <f>SUMIFS($S$2:S2474,$A$2:A2474,A2474,$N$2:N2474,"Explore*")</f>
        <v/>
      </c>
      <c r="AB2474">
        <f>IF(AND(LEFT(N2474,7)="Explore",(AA2474-IF(LEFT(N2474,7)="Explore",S2474,0))&lt;10),"SI","NO")</f>
        <v/>
      </c>
    </row>
    <row r="2475">
      <c r="A2475" t="inlineStr">
        <is>
          <t>c5m2_test</t>
        </is>
      </c>
      <c r="B2475" t="inlineStr">
        <is>
          <t>2026-02-17 16:41:36.960</t>
        </is>
      </c>
      <c r="C2475" t="n">
        <v/>
      </c>
      <c r="D2475" t="inlineStr">
        <is>
          <t>Media file</t>
        </is>
      </c>
      <c r="E2475" t="inlineStr">
        <is>
          <t>player #1:BTBR\test\c5m2.mp4</t>
        </is>
      </c>
      <c r="F2475" t="n">
        <v>-6.667</v>
      </c>
      <c r="G2475" t="n">
        <v>593.6660000000001</v>
      </c>
      <c r="H2475" t="n">
        <v>619.533</v>
      </c>
      <c r="I2475" t="n">
        <v>30</v>
      </c>
      <c r="J2475" t="inlineStr">
        <is>
          <t>BTBR</t>
        </is>
      </c>
      <c r="K2475" t="inlineStr">
        <is>
          <t>Male</t>
        </is>
      </c>
      <c r="L2475" t="inlineStr">
        <is>
          <t>No focal subject</t>
        </is>
      </c>
      <c r="M2475" t="n">
        <v>53.14</v>
      </c>
      <c r="N2475" t="inlineStr">
        <is>
          <t>Explore_N</t>
        </is>
      </c>
      <c r="O2475" t="inlineStr">
        <is>
          <t>Novelty</t>
        </is>
      </c>
      <c r="P2475" t="inlineStr">
        <is>
          <t>STATE</t>
        </is>
      </c>
      <c r="Q2475" t="n">
        <v>162.099</v>
      </c>
      <c r="R2475" t="n">
        <v>162.633</v>
      </c>
      <c r="S2475" t="n">
        <v>0.534</v>
      </c>
      <c r="T2475" t="inlineStr">
        <is>
          <t>BTBR\test\c5m2.mp4</t>
        </is>
      </c>
      <c r="U2475" t="n">
        <v>4860</v>
      </c>
      <c r="V2475" t="n">
        <v>4876</v>
      </c>
      <c r="W2475" t="n">
        <v/>
      </c>
      <c r="X2475" t="n">
        <v/>
      </c>
      <c r="Y2475" t="n">
        <v/>
      </c>
      <c r="Z2475" t="n">
        <v/>
      </c>
      <c r="AA2475">
        <f>SUMIFS($S$2:S2475,$A$2:A2475,A2475,$N$2:N2475,"Explore*")</f>
        <v/>
      </c>
      <c r="AB2475">
        <f>IF(AND(LEFT(N2475,7)="Explore",(AA2475-IF(LEFT(N2475,7)="Explore",S2475,0))&lt;10),"SI","NO")</f>
        <v/>
      </c>
    </row>
    <row r="2476">
      <c r="A2476" t="inlineStr">
        <is>
          <t>c5m2_test</t>
        </is>
      </c>
      <c r="B2476" t="inlineStr">
        <is>
          <t>2026-02-17 16:41:36.960</t>
        </is>
      </c>
      <c r="C2476" t="n">
        <v/>
      </c>
      <c r="D2476" t="inlineStr">
        <is>
          <t>Media file</t>
        </is>
      </c>
      <c r="E2476" t="inlineStr">
        <is>
          <t>player #1:BTBR\test\c5m2.mp4</t>
        </is>
      </c>
      <c r="F2476" t="n">
        <v>-6.667</v>
      </c>
      <c r="G2476" t="n">
        <v>593.6660000000001</v>
      </c>
      <c r="H2476" t="n">
        <v>619.533</v>
      </c>
      <c r="I2476" t="n">
        <v>30</v>
      </c>
      <c r="J2476" t="inlineStr">
        <is>
          <t>BTBR</t>
        </is>
      </c>
      <c r="K2476" t="inlineStr">
        <is>
          <t>Male</t>
        </is>
      </c>
      <c r="L2476" t="inlineStr">
        <is>
          <t>No focal subject</t>
        </is>
      </c>
      <c r="M2476" t="n">
        <v>53.14</v>
      </c>
      <c r="N2476" t="inlineStr">
        <is>
          <t>Explore_F</t>
        </is>
      </c>
      <c r="O2476" t="inlineStr">
        <is>
          <t>Familiar</t>
        </is>
      </c>
      <c r="P2476" t="inlineStr">
        <is>
          <t>STATE</t>
        </is>
      </c>
      <c r="Q2476" t="n">
        <v>163.399</v>
      </c>
      <c r="R2476" t="n">
        <v>165.566</v>
      </c>
      <c r="S2476" t="n">
        <v>2.167</v>
      </c>
      <c r="T2476" t="inlineStr">
        <is>
          <t>BTBR\test\c5m2.mp4</t>
        </is>
      </c>
      <c r="U2476" t="n">
        <v>4899</v>
      </c>
      <c r="V2476" t="n">
        <v>4964</v>
      </c>
      <c r="W2476" t="n">
        <v/>
      </c>
      <c r="X2476" t="n">
        <v/>
      </c>
      <c r="Y2476" t="n">
        <v/>
      </c>
      <c r="Z2476" t="n">
        <v/>
      </c>
      <c r="AA2476">
        <f>SUMIFS($S$2:S2476,$A$2:A2476,A2476,$N$2:N2476,"Explore*")</f>
        <v/>
      </c>
      <c r="AB2476">
        <f>IF(AND(LEFT(N2476,7)="Explore",(AA2476-IF(LEFT(N2476,7)="Explore",S2476,0))&lt;10),"SI","NO")</f>
        <v/>
      </c>
    </row>
    <row r="2477">
      <c r="A2477" t="inlineStr">
        <is>
          <t>c5m2_test</t>
        </is>
      </c>
      <c r="B2477" t="inlineStr">
        <is>
          <t>2026-02-17 16:41:36.960</t>
        </is>
      </c>
      <c r="C2477" t="n">
        <v/>
      </c>
      <c r="D2477" t="inlineStr">
        <is>
          <t>Media file</t>
        </is>
      </c>
      <c r="E2477" t="inlineStr">
        <is>
          <t>player #1:BTBR\test\c5m2.mp4</t>
        </is>
      </c>
      <c r="F2477" t="n">
        <v>-6.667</v>
      </c>
      <c r="G2477" t="n">
        <v>593.6660000000001</v>
      </c>
      <c r="H2477" t="n">
        <v>619.533</v>
      </c>
      <c r="I2477" t="n">
        <v>30</v>
      </c>
      <c r="J2477" t="inlineStr">
        <is>
          <t>BTBR</t>
        </is>
      </c>
      <c r="K2477" t="inlineStr">
        <is>
          <t>Male</t>
        </is>
      </c>
      <c r="L2477" t="inlineStr">
        <is>
          <t>No focal subject</t>
        </is>
      </c>
      <c r="M2477" t="n">
        <v>53.14</v>
      </c>
      <c r="N2477" t="inlineStr">
        <is>
          <t>Explore_N</t>
        </is>
      </c>
      <c r="O2477" t="inlineStr">
        <is>
          <t>Novelty</t>
        </is>
      </c>
      <c r="P2477" t="inlineStr">
        <is>
          <t>STATE</t>
        </is>
      </c>
      <c r="Q2477" t="n">
        <v>169.066</v>
      </c>
      <c r="R2477" t="n">
        <v>170.066</v>
      </c>
      <c r="S2477" t="n">
        <v>1</v>
      </c>
      <c r="T2477" t="inlineStr">
        <is>
          <t>BTBR\test\c5m2.mp4</t>
        </is>
      </c>
      <c r="U2477" t="n">
        <v>5069</v>
      </c>
      <c r="V2477" t="n">
        <v>5099</v>
      </c>
      <c r="W2477" t="n">
        <v/>
      </c>
      <c r="X2477" t="n">
        <v/>
      </c>
      <c r="Y2477" t="n">
        <v/>
      </c>
      <c r="Z2477" t="n">
        <v/>
      </c>
      <c r="AA2477">
        <f>SUMIFS($S$2:S2477,$A$2:A2477,A2477,$N$2:N2477,"Explore*")</f>
        <v/>
      </c>
      <c r="AB2477">
        <f>IF(AND(LEFT(N2477,7)="Explore",(AA2477-IF(LEFT(N2477,7)="Explore",S2477,0))&lt;10),"SI","NO")</f>
        <v/>
      </c>
    </row>
    <row r="2478">
      <c r="A2478" t="inlineStr">
        <is>
          <t>c5m2_test</t>
        </is>
      </c>
      <c r="B2478" t="inlineStr">
        <is>
          <t>2026-02-17 16:41:36.960</t>
        </is>
      </c>
      <c r="C2478" t="n">
        <v/>
      </c>
      <c r="D2478" t="inlineStr">
        <is>
          <t>Media file</t>
        </is>
      </c>
      <c r="E2478" t="inlineStr">
        <is>
          <t>player #1:BTBR\test\c5m2.mp4</t>
        </is>
      </c>
      <c r="F2478" t="n">
        <v>-6.667</v>
      </c>
      <c r="G2478" t="n">
        <v>593.6660000000001</v>
      </c>
      <c r="H2478" t="n">
        <v>619.533</v>
      </c>
      <c r="I2478" t="n">
        <v>30</v>
      </c>
      <c r="J2478" t="inlineStr">
        <is>
          <t>BTBR</t>
        </is>
      </c>
      <c r="K2478" t="inlineStr">
        <is>
          <t>Male</t>
        </is>
      </c>
      <c r="L2478" t="inlineStr">
        <is>
          <t>No focal subject</t>
        </is>
      </c>
      <c r="M2478" t="n">
        <v>53.14</v>
      </c>
      <c r="N2478" t="inlineStr">
        <is>
          <t>Explore_N</t>
        </is>
      </c>
      <c r="O2478" t="inlineStr">
        <is>
          <t>Novelty</t>
        </is>
      </c>
      <c r="P2478" t="inlineStr">
        <is>
          <t>STATE</t>
        </is>
      </c>
      <c r="Q2478" t="n">
        <v>170.999</v>
      </c>
      <c r="R2478" t="n">
        <v>171.699</v>
      </c>
      <c r="S2478" t="n">
        <v>0.7</v>
      </c>
      <c r="T2478" t="inlineStr">
        <is>
          <t>BTBR\test\c5m2.mp4</t>
        </is>
      </c>
      <c r="U2478" t="n">
        <v>5127</v>
      </c>
      <c r="V2478" t="n">
        <v>5148</v>
      </c>
      <c r="W2478" t="n">
        <v/>
      </c>
      <c r="X2478" t="n">
        <v/>
      </c>
      <c r="Y2478" t="n">
        <v/>
      </c>
      <c r="Z2478" t="n">
        <v/>
      </c>
      <c r="AA2478">
        <f>SUMIFS($S$2:S2478,$A$2:A2478,A2478,$N$2:N2478,"Explore*")</f>
        <v/>
      </c>
      <c r="AB2478">
        <f>IF(AND(LEFT(N2478,7)="Explore",(AA2478-IF(LEFT(N2478,7)="Explore",S2478,0))&lt;10),"SI","NO")</f>
        <v/>
      </c>
    </row>
    <row r="2479">
      <c r="A2479" t="inlineStr">
        <is>
          <t>c5m2_test</t>
        </is>
      </c>
      <c r="B2479" t="inlineStr">
        <is>
          <t>2026-02-17 16:41:36.960</t>
        </is>
      </c>
      <c r="C2479" t="n">
        <v/>
      </c>
      <c r="D2479" t="inlineStr">
        <is>
          <t>Media file</t>
        </is>
      </c>
      <c r="E2479" t="inlineStr">
        <is>
          <t>player #1:BTBR\test\c5m2.mp4</t>
        </is>
      </c>
      <c r="F2479" t="n">
        <v>-6.667</v>
      </c>
      <c r="G2479" t="n">
        <v>593.6660000000001</v>
      </c>
      <c r="H2479" t="n">
        <v>619.533</v>
      </c>
      <c r="I2479" t="n">
        <v>30</v>
      </c>
      <c r="J2479" t="inlineStr">
        <is>
          <t>BTBR</t>
        </is>
      </c>
      <c r="K2479" t="inlineStr">
        <is>
          <t>Male</t>
        </is>
      </c>
      <c r="L2479" t="inlineStr">
        <is>
          <t>No focal subject</t>
        </is>
      </c>
      <c r="M2479" t="n">
        <v>53.14</v>
      </c>
      <c r="N2479" t="inlineStr">
        <is>
          <t>Explore_F</t>
        </is>
      </c>
      <c r="O2479" t="inlineStr">
        <is>
          <t>Familiar</t>
        </is>
      </c>
      <c r="P2479" t="inlineStr">
        <is>
          <t>STATE</t>
        </is>
      </c>
      <c r="Q2479" t="n">
        <v>174.499</v>
      </c>
      <c r="R2479" t="n">
        <v>175.099</v>
      </c>
      <c r="S2479" t="n">
        <v>0.6</v>
      </c>
      <c r="T2479" t="inlineStr">
        <is>
          <t>BTBR\test\c5m2.mp4</t>
        </is>
      </c>
      <c r="U2479" t="n">
        <v>5232</v>
      </c>
      <c r="V2479" t="n">
        <v>5250</v>
      </c>
      <c r="W2479" t="n">
        <v/>
      </c>
      <c r="X2479" t="n">
        <v/>
      </c>
      <c r="Y2479" t="n">
        <v/>
      </c>
      <c r="Z2479" t="n">
        <v/>
      </c>
      <c r="AA2479">
        <f>SUMIFS($S$2:S2479,$A$2:A2479,A2479,$N$2:N2479,"Explore*")</f>
        <v/>
      </c>
      <c r="AB2479">
        <f>IF(AND(LEFT(N2479,7)="Explore",(AA2479-IF(LEFT(N2479,7)="Explore",S2479,0))&lt;10),"SI","NO")</f>
        <v/>
      </c>
    </row>
    <row r="2480">
      <c r="A2480" t="inlineStr">
        <is>
          <t>c5m2_test</t>
        </is>
      </c>
      <c r="B2480" t="inlineStr">
        <is>
          <t>2026-02-17 16:41:36.960</t>
        </is>
      </c>
      <c r="C2480" t="n">
        <v/>
      </c>
      <c r="D2480" t="inlineStr">
        <is>
          <t>Media file</t>
        </is>
      </c>
      <c r="E2480" t="inlineStr">
        <is>
          <t>player #1:BTBR\test\c5m2.mp4</t>
        </is>
      </c>
      <c r="F2480" t="n">
        <v>-6.667</v>
      </c>
      <c r="G2480" t="n">
        <v>593.6660000000001</v>
      </c>
      <c r="H2480" t="n">
        <v>619.533</v>
      </c>
      <c r="I2480" t="n">
        <v>30</v>
      </c>
      <c r="J2480" t="inlineStr">
        <is>
          <t>BTBR</t>
        </is>
      </c>
      <c r="K2480" t="inlineStr">
        <is>
          <t>Male</t>
        </is>
      </c>
      <c r="L2480" t="inlineStr">
        <is>
          <t>No focal subject</t>
        </is>
      </c>
      <c r="M2480" t="n">
        <v>53.14</v>
      </c>
      <c r="N2480" t="inlineStr">
        <is>
          <t>Explore_F</t>
        </is>
      </c>
      <c r="O2480" t="inlineStr">
        <is>
          <t>Familiar</t>
        </is>
      </c>
      <c r="P2480" t="inlineStr">
        <is>
          <t>STATE</t>
        </is>
      </c>
      <c r="Q2480" t="n">
        <v>184.866</v>
      </c>
      <c r="R2480" t="n">
        <v>185.266</v>
      </c>
      <c r="S2480" t="n">
        <v>0.4</v>
      </c>
      <c r="T2480" t="inlineStr">
        <is>
          <t>BTBR\test\c5m2.mp4</t>
        </is>
      </c>
      <c r="U2480" t="n">
        <v>5543</v>
      </c>
      <c r="V2480" t="n">
        <v>5555</v>
      </c>
      <c r="W2480" t="n">
        <v/>
      </c>
      <c r="X2480" t="n">
        <v/>
      </c>
      <c r="Y2480" t="n">
        <v/>
      </c>
      <c r="Z2480" t="n">
        <v/>
      </c>
      <c r="AA2480">
        <f>SUMIFS($S$2:S2480,$A$2:A2480,A2480,$N$2:N2480,"Explore*")</f>
        <v/>
      </c>
      <c r="AB2480">
        <f>IF(AND(LEFT(N2480,7)="Explore",(AA2480-IF(LEFT(N2480,7)="Explore",S2480,0))&lt;10),"SI","NO")</f>
        <v/>
      </c>
    </row>
    <row r="2481">
      <c r="A2481" t="inlineStr">
        <is>
          <t>c5m2_test</t>
        </is>
      </c>
      <c r="B2481" t="inlineStr">
        <is>
          <t>2026-02-17 16:41:36.960</t>
        </is>
      </c>
      <c r="C2481" t="n">
        <v/>
      </c>
      <c r="D2481" t="inlineStr">
        <is>
          <t>Media file</t>
        </is>
      </c>
      <c r="E2481" t="inlineStr">
        <is>
          <t>player #1:BTBR\test\c5m2.mp4</t>
        </is>
      </c>
      <c r="F2481" t="n">
        <v>-6.667</v>
      </c>
      <c r="G2481" t="n">
        <v>593.6660000000001</v>
      </c>
      <c r="H2481" t="n">
        <v>619.533</v>
      </c>
      <c r="I2481" t="n">
        <v>30</v>
      </c>
      <c r="J2481" t="inlineStr">
        <is>
          <t>BTBR</t>
        </is>
      </c>
      <c r="K2481" t="inlineStr">
        <is>
          <t>Male</t>
        </is>
      </c>
      <c r="L2481" t="inlineStr">
        <is>
          <t>No focal subject</t>
        </is>
      </c>
      <c r="M2481" t="n">
        <v>53.14</v>
      </c>
      <c r="N2481" t="inlineStr">
        <is>
          <t>Explore_F</t>
        </is>
      </c>
      <c r="O2481" t="inlineStr">
        <is>
          <t>Familiar</t>
        </is>
      </c>
      <c r="P2481" t="inlineStr">
        <is>
          <t>STATE</t>
        </is>
      </c>
      <c r="Q2481" t="n">
        <v>191.833</v>
      </c>
      <c r="R2481" t="n">
        <v>192.199</v>
      </c>
      <c r="S2481" t="n">
        <v>0.366</v>
      </c>
      <c r="T2481" t="inlineStr">
        <is>
          <t>BTBR\test\c5m2.mp4</t>
        </is>
      </c>
      <c r="U2481" t="n">
        <v>5752</v>
      </c>
      <c r="V2481" t="n">
        <v>5763</v>
      </c>
      <c r="W2481" t="n">
        <v/>
      </c>
      <c r="X2481" t="n">
        <v/>
      </c>
      <c r="Y2481" t="n">
        <v/>
      </c>
      <c r="Z2481" t="n">
        <v/>
      </c>
      <c r="AA2481">
        <f>SUMIFS($S$2:S2481,$A$2:A2481,A2481,$N$2:N2481,"Explore*")</f>
        <v/>
      </c>
      <c r="AB2481">
        <f>IF(AND(LEFT(N2481,7)="Explore",(AA2481-IF(LEFT(N2481,7)="Explore",S2481,0))&lt;10),"SI","NO")</f>
        <v/>
      </c>
    </row>
    <row r="2482">
      <c r="A2482" t="inlineStr">
        <is>
          <t>c5m2_test</t>
        </is>
      </c>
      <c r="B2482" t="inlineStr">
        <is>
          <t>2026-02-17 16:41:36.960</t>
        </is>
      </c>
      <c r="C2482" t="n">
        <v/>
      </c>
      <c r="D2482" t="inlineStr">
        <is>
          <t>Media file</t>
        </is>
      </c>
      <c r="E2482" t="inlineStr">
        <is>
          <t>player #1:BTBR\test\c5m2.mp4</t>
        </is>
      </c>
      <c r="F2482" t="n">
        <v>-6.667</v>
      </c>
      <c r="G2482" t="n">
        <v>593.6660000000001</v>
      </c>
      <c r="H2482" t="n">
        <v>619.533</v>
      </c>
      <c r="I2482" t="n">
        <v>30</v>
      </c>
      <c r="J2482" t="inlineStr">
        <is>
          <t>BTBR</t>
        </is>
      </c>
      <c r="K2482" t="inlineStr">
        <is>
          <t>Male</t>
        </is>
      </c>
      <c r="L2482" t="inlineStr">
        <is>
          <t>No focal subject</t>
        </is>
      </c>
      <c r="M2482" t="n">
        <v>53.14</v>
      </c>
      <c r="N2482" t="inlineStr">
        <is>
          <t>Explore_N</t>
        </is>
      </c>
      <c r="O2482" t="inlineStr">
        <is>
          <t>Novelty</t>
        </is>
      </c>
      <c r="P2482" t="inlineStr">
        <is>
          <t>STATE</t>
        </is>
      </c>
      <c r="Q2482" t="n">
        <v>196.566</v>
      </c>
      <c r="R2482" t="n">
        <v>196.966</v>
      </c>
      <c r="S2482" t="n">
        <v>0.4</v>
      </c>
      <c r="T2482" t="inlineStr">
        <is>
          <t>BTBR\test\c5m2.mp4</t>
        </is>
      </c>
      <c r="U2482" t="n">
        <v>5894</v>
      </c>
      <c r="V2482" t="n">
        <v>5906</v>
      </c>
      <c r="W2482" t="n">
        <v/>
      </c>
      <c r="X2482" t="n">
        <v/>
      </c>
      <c r="Y2482" t="n">
        <v/>
      </c>
      <c r="Z2482" t="n">
        <v/>
      </c>
      <c r="AA2482">
        <f>SUMIFS($S$2:S2482,$A$2:A2482,A2482,$N$2:N2482,"Explore*")</f>
        <v/>
      </c>
      <c r="AB2482">
        <f>IF(AND(LEFT(N2482,7)="Explore",(AA2482-IF(LEFT(N2482,7)="Explore",S2482,0))&lt;10),"SI","NO")</f>
        <v/>
      </c>
    </row>
    <row r="2483">
      <c r="A2483" t="inlineStr">
        <is>
          <t>c5m2_test</t>
        </is>
      </c>
      <c r="B2483" t="inlineStr">
        <is>
          <t>2026-02-17 16:41:36.960</t>
        </is>
      </c>
      <c r="C2483" t="n">
        <v/>
      </c>
      <c r="D2483" t="inlineStr">
        <is>
          <t>Media file</t>
        </is>
      </c>
      <c r="E2483" t="inlineStr">
        <is>
          <t>player #1:BTBR\test\c5m2.mp4</t>
        </is>
      </c>
      <c r="F2483" t="n">
        <v>-6.667</v>
      </c>
      <c r="G2483" t="n">
        <v>593.6660000000001</v>
      </c>
      <c r="H2483" t="n">
        <v>619.533</v>
      </c>
      <c r="I2483" t="n">
        <v>30</v>
      </c>
      <c r="J2483" t="inlineStr">
        <is>
          <t>BTBR</t>
        </is>
      </c>
      <c r="K2483" t="inlineStr">
        <is>
          <t>Male</t>
        </is>
      </c>
      <c r="L2483" t="inlineStr">
        <is>
          <t>No focal subject</t>
        </is>
      </c>
      <c r="M2483" t="n">
        <v>53.14</v>
      </c>
      <c r="N2483" t="inlineStr">
        <is>
          <t>Explore_N</t>
        </is>
      </c>
      <c r="O2483" t="inlineStr">
        <is>
          <t>Novelty</t>
        </is>
      </c>
      <c r="P2483" t="inlineStr">
        <is>
          <t>STATE</t>
        </is>
      </c>
      <c r="Q2483" t="n">
        <v>198.433</v>
      </c>
      <c r="R2483" t="n">
        <v>199.799</v>
      </c>
      <c r="S2483" t="n">
        <v>1.366</v>
      </c>
      <c r="T2483" t="inlineStr">
        <is>
          <t>BTBR\test\c5m2.mp4</t>
        </is>
      </c>
      <c r="U2483" t="n">
        <v>5950</v>
      </c>
      <c r="V2483" t="n">
        <v>5991</v>
      </c>
      <c r="W2483" t="n">
        <v/>
      </c>
      <c r="X2483" t="n">
        <v/>
      </c>
      <c r="Y2483" t="n">
        <v/>
      </c>
      <c r="Z2483" t="n">
        <v/>
      </c>
      <c r="AA2483">
        <f>SUMIFS($S$2:S2483,$A$2:A2483,A2483,$N$2:N2483,"Explore*")</f>
        <v/>
      </c>
      <c r="AB2483">
        <f>IF(AND(LEFT(N2483,7)="Explore",(AA2483-IF(LEFT(N2483,7)="Explore",S2483,0))&lt;10),"SI","NO")</f>
        <v/>
      </c>
    </row>
    <row r="2484">
      <c r="A2484" t="inlineStr">
        <is>
          <t>c5m2_test</t>
        </is>
      </c>
      <c r="B2484" t="inlineStr">
        <is>
          <t>2026-02-17 16:41:36.960</t>
        </is>
      </c>
      <c r="C2484" t="n">
        <v/>
      </c>
      <c r="D2484" t="inlineStr">
        <is>
          <t>Media file</t>
        </is>
      </c>
      <c r="E2484" t="inlineStr">
        <is>
          <t>player #1:BTBR\test\c5m2.mp4</t>
        </is>
      </c>
      <c r="F2484" t="n">
        <v>-6.667</v>
      </c>
      <c r="G2484" t="n">
        <v>593.6660000000001</v>
      </c>
      <c r="H2484" t="n">
        <v>619.533</v>
      </c>
      <c r="I2484" t="n">
        <v>30</v>
      </c>
      <c r="J2484" t="inlineStr">
        <is>
          <t>BTBR</t>
        </is>
      </c>
      <c r="K2484" t="inlineStr">
        <is>
          <t>Male</t>
        </is>
      </c>
      <c r="L2484" t="inlineStr">
        <is>
          <t>No focal subject</t>
        </is>
      </c>
      <c r="M2484" t="n">
        <v>53.14</v>
      </c>
      <c r="N2484" t="inlineStr">
        <is>
          <t>Explore_N</t>
        </is>
      </c>
      <c r="O2484" t="inlineStr">
        <is>
          <t>Novelty</t>
        </is>
      </c>
      <c r="P2484" t="inlineStr">
        <is>
          <t>STATE</t>
        </is>
      </c>
      <c r="Q2484" t="n">
        <v>202.266</v>
      </c>
      <c r="R2484" t="n">
        <v>203.466</v>
      </c>
      <c r="S2484" t="n">
        <v>1.2</v>
      </c>
      <c r="T2484" t="inlineStr">
        <is>
          <t>BTBR\test\c5m2.mp4</t>
        </is>
      </c>
      <c r="U2484" t="n">
        <v>6065</v>
      </c>
      <c r="V2484" t="n">
        <v>6101</v>
      </c>
      <c r="W2484" t="n">
        <v/>
      </c>
      <c r="X2484" t="n">
        <v/>
      </c>
      <c r="Y2484" t="n">
        <v/>
      </c>
      <c r="Z2484" t="n">
        <v/>
      </c>
      <c r="AA2484">
        <f>SUMIFS($S$2:S2484,$A$2:A2484,A2484,$N$2:N2484,"Explore*")</f>
        <v/>
      </c>
      <c r="AB2484">
        <f>IF(AND(LEFT(N2484,7)="Explore",(AA2484-IF(LEFT(N2484,7)="Explore",S2484,0))&lt;10),"SI","NO")</f>
        <v/>
      </c>
    </row>
    <row r="2485">
      <c r="A2485" t="inlineStr">
        <is>
          <t>c5m2_test</t>
        </is>
      </c>
      <c r="B2485" t="inlineStr">
        <is>
          <t>2026-02-17 16:41:36.960</t>
        </is>
      </c>
      <c r="C2485" t="n">
        <v/>
      </c>
      <c r="D2485" t="inlineStr">
        <is>
          <t>Media file</t>
        </is>
      </c>
      <c r="E2485" t="inlineStr">
        <is>
          <t>player #1:BTBR\test\c5m2.mp4</t>
        </is>
      </c>
      <c r="F2485" t="n">
        <v>-6.667</v>
      </c>
      <c r="G2485" t="n">
        <v>593.6660000000001</v>
      </c>
      <c r="H2485" t="n">
        <v>619.533</v>
      </c>
      <c r="I2485" t="n">
        <v>30</v>
      </c>
      <c r="J2485" t="inlineStr">
        <is>
          <t>BTBR</t>
        </is>
      </c>
      <c r="K2485" t="inlineStr">
        <is>
          <t>Male</t>
        </is>
      </c>
      <c r="L2485" t="inlineStr">
        <is>
          <t>No focal subject</t>
        </is>
      </c>
      <c r="M2485" t="n">
        <v>53.14</v>
      </c>
      <c r="N2485" t="inlineStr">
        <is>
          <t>Explore_N</t>
        </is>
      </c>
      <c r="O2485" t="inlineStr">
        <is>
          <t>Novelty</t>
        </is>
      </c>
      <c r="P2485" t="inlineStr">
        <is>
          <t>STATE</t>
        </is>
      </c>
      <c r="Q2485" t="n">
        <v>209.366</v>
      </c>
      <c r="R2485" t="n">
        <v>210.366</v>
      </c>
      <c r="S2485" t="n">
        <v>1</v>
      </c>
      <c r="T2485" t="inlineStr">
        <is>
          <t>BTBR\test\c5m2.mp4</t>
        </is>
      </c>
      <c r="U2485" t="n">
        <v>6277</v>
      </c>
      <c r="V2485" t="n">
        <v>6307</v>
      </c>
      <c r="W2485" t="n">
        <v/>
      </c>
      <c r="X2485" t="n">
        <v/>
      </c>
      <c r="Y2485" t="n">
        <v/>
      </c>
      <c r="Z2485" t="n">
        <v/>
      </c>
      <c r="AA2485">
        <f>SUMIFS($S$2:S2485,$A$2:A2485,A2485,$N$2:N2485,"Explore*")</f>
        <v/>
      </c>
      <c r="AB2485">
        <f>IF(AND(LEFT(N2485,7)="Explore",(AA2485-IF(LEFT(N2485,7)="Explore",S2485,0))&lt;10),"SI","NO")</f>
        <v/>
      </c>
    </row>
    <row r="2486">
      <c r="A2486" t="inlineStr">
        <is>
          <t>c5m2_test</t>
        </is>
      </c>
      <c r="B2486" t="inlineStr">
        <is>
          <t>2026-02-17 16:41:36.960</t>
        </is>
      </c>
      <c r="C2486" t="n">
        <v/>
      </c>
      <c r="D2486" t="inlineStr">
        <is>
          <t>Media file</t>
        </is>
      </c>
      <c r="E2486" t="inlineStr">
        <is>
          <t>player #1:BTBR\test\c5m2.mp4</t>
        </is>
      </c>
      <c r="F2486" t="n">
        <v>-6.667</v>
      </c>
      <c r="G2486" t="n">
        <v>593.6660000000001</v>
      </c>
      <c r="H2486" t="n">
        <v>619.533</v>
      </c>
      <c r="I2486" t="n">
        <v>30</v>
      </c>
      <c r="J2486" t="inlineStr">
        <is>
          <t>BTBR</t>
        </is>
      </c>
      <c r="K2486" t="inlineStr">
        <is>
          <t>Male</t>
        </is>
      </c>
      <c r="L2486" t="inlineStr">
        <is>
          <t>No focal subject</t>
        </is>
      </c>
      <c r="M2486" t="n">
        <v>53.14</v>
      </c>
      <c r="N2486" t="inlineStr">
        <is>
          <t>Explore_F</t>
        </is>
      </c>
      <c r="O2486" t="inlineStr">
        <is>
          <t>Familiar</t>
        </is>
      </c>
      <c r="P2486" t="inlineStr">
        <is>
          <t>STATE</t>
        </is>
      </c>
      <c r="Q2486" t="n">
        <v>211.499</v>
      </c>
      <c r="R2486" t="n">
        <v>211.799</v>
      </c>
      <c r="S2486" t="n">
        <v>0.3</v>
      </c>
      <c r="T2486" t="inlineStr">
        <is>
          <t>BTBR\test\c5m2.mp4</t>
        </is>
      </c>
      <c r="U2486" t="n">
        <v>6341</v>
      </c>
      <c r="V2486" t="n">
        <v>6350</v>
      </c>
      <c r="W2486" t="n">
        <v/>
      </c>
      <c r="X2486" t="n">
        <v/>
      </c>
      <c r="Y2486" t="n">
        <v/>
      </c>
      <c r="Z2486" t="n">
        <v/>
      </c>
      <c r="AA2486">
        <f>SUMIFS($S$2:S2486,$A$2:A2486,A2486,$N$2:N2486,"Explore*")</f>
        <v/>
      </c>
      <c r="AB2486">
        <f>IF(AND(LEFT(N2486,7)="Explore",(AA2486-IF(LEFT(N2486,7)="Explore",S2486,0))&lt;10),"SI","NO")</f>
        <v/>
      </c>
    </row>
    <row r="2487">
      <c r="A2487" t="inlineStr">
        <is>
          <t>c5m2_test</t>
        </is>
      </c>
      <c r="B2487" t="inlineStr">
        <is>
          <t>2026-02-17 16:41:36.960</t>
        </is>
      </c>
      <c r="C2487" t="n">
        <v/>
      </c>
      <c r="D2487" t="inlineStr">
        <is>
          <t>Media file</t>
        </is>
      </c>
      <c r="E2487" t="inlineStr">
        <is>
          <t>player #1:BTBR\test\c5m2.mp4</t>
        </is>
      </c>
      <c r="F2487" t="n">
        <v>-6.667</v>
      </c>
      <c r="G2487" t="n">
        <v>593.6660000000001</v>
      </c>
      <c r="H2487" t="n">
        <v>619.533</v>
      </c>
      <c r="I2487" t="n">
        <v>30</v>
      </c>
      <c r="J2487" t="inlineStr">
        <is>
          <t>BTBR</t>
        </is>
      </c>
      <c r="K2487" t="inlineStr">
        <is>
          <t>Male</t>
        </is>
      </c>
      <c r="L2487" t="inlineStr">
        <is>
          <t>No focal subject</t>
        </is>
      </c>
      <c r="M2487" t="n">
        <v>53.14</v>
      </c>
      <c r="N2487" t="inlineStr">
        <is>
          <t>Explore_F</t>
        </is>
      </c>
      <c r="O2487" t="inlineStr">
        <is>
          <t>Familiar</t>
        </is>
      </c>
      <c r="P2487" t="inlineStr">
        <is>
          <t>STATE</t>
        </is>
      </c>
      <c r="Q2487" t="n">
        <v>214.899</v>
      </c>
      <c r="R2487" t="n">
        <v>215.333</v>
      </c>
      <c r="S2487" t="n">
        <v>0.434</v>
      </c>
      <c r="T2487" t="inlineStr">
        <is>
          <t>BTBR\test\c5m2.mp4</t>
        </is>
      </c>
      <c r="U2487" t="n">
        <v>6443</v>
      </c>
      <c r="V2487" t="n">
        <v>6456</v>
      </c>
      <c r="W2487" t="n">
        <v/>
      </c>
      <c r="X2487" t="n">
        <v/>
      </c>
      <c r="Y2487" t="n">
        <v/>
      </c>
      <c r="Z2487" t="n">
        <v/>
      </c>
      <c r="AA2487">
        <f>SUMIFS($S$2:S2487,$A$2:A2487,A2487,$N$2:N2487,"Explore*")</f>
        <v/>
      </c>
      <c r="AB2487">
        <f>IF(AND(LEFT(N2487,7)="Explore",(AA2487-IF(LEFT(N2487,7)="Explore",S2487,0))&lt;10),"SI","NO")</f>
        <v/>
      </c>
    </row>
    <row r="2488">
      <c r="A2488" t="inlineStr">
        <is>
          <t>c5m2_test</t>
        </is>
      </c>
      <c r="B2488" t="inlineStr">
        <is>
          <t>2026-02-17 16:41:36.960</t>
        </is>
      </c>
      <c r="C2488" t="n">
        <v/>
      </c>
      <c r="D2488" t="inlineStr">
        <is>
          <t>Media file</t>
        </is>
      </c>
      <c r="E2488" t="inlineStr">
        <is>
          <t>player #1:BTBR\test\c5m2.mp4</t>
        </is>
      </c>
      <c r="F2488" t="n">
        <v>-6.667</v>
      </c>
      <c r="G2488" t="n">
        <v>593.6660000000001</v>
      </c>
      <c r="H2488" t="n">
        <v>619.533</v>
      </c>
      <c r="I2488" t="n">
        <v>30</v>
      </c>
      <c r="J2488" t="inlineStr">
        <is>
          <t>BTBR</t>
        </is>
      </c>
      <c r="K2488" t="inlineStr">
        <is>
          <t>Male</t>
        </is>
      </c>
      <c r="L2488" t="inlineStr">
        <is>
          <t>No focal subject</t>
        </is>
      </c>
      <c r="M2488" t="n">
        <v>53.14</v>
      </c>
      <c r="N2488" t="inlineStr">
        <is>
          <t>Explore_F</t>
        </is>
      </c>
      <c r="O2488" t="inlineStr">
        <is>
          <t>Familiar</t>
        </is>
      </c>
      <c r="P2488" t="inlineStr">
        <is>
          <t>STATE</t>
        </is>
      </c>
      <c r="Q2488" t="n">
        <v>227.666</v>
      </c>
      <c r="R2488" t="n">
        <v>228.466</v>
      </c>
      <c r="S2488" t="n">
        <v>0.8</v>
      </c>
      <c r="T2488" t="inlineStr">
        <is>
          <t>BTBR\test\c5m2.mp4</t>
        </is>
      </c>
      <c r="U2488" t="n">
        <v>6827</v>
      </c>
      <c r="V2488" t="n">
        <v>6850</v>
      </c>
      <c r="W2488" t="n">
        <v/>
      </c>
      <c r="X2488" t="n">
        <v/>
      </c>
      <c r="Y2488" t="n">
        <v/>
      </c>
      <c r="Z2488" t="n">
        <v/>
      </c>
      <c r="AA2488">
        <f>SUMIFS($S$2:S2488,$A$2:A2488,A2488,$N$2:N2488,"Explore*")</f>
        <v/>
      </c>
      <c r="AB2488">
        <f>IF(AND(LEFT(N2488,7)="Explore",(AA2488-IF(LEFT(N2488,7)="Explore",S2488,0))&lt;10),"SI","NO")</f>
        <v/>
      </c>
    </row>
    <row r="2489">
      <c r="A2489" t="inlineStr">
        <is>
          <t>c5m2_test</t>
        </is>
      </c>
      <c r="B2489" t="inlineStr">
        <is>
          <t>2026-02-17 16:41:36.960</t>
        </is>
      </c>
      <c r="C2489" t="n">
        <v/>
      </c>
      <c r="D2489" t="inlineStr">
        <is>
          <t>Media file</t>
        </is>
      </c>
      <c r="E2489" t="inlineStr">
        <is>
          <t>player #1:BTBR\test\c5m2.mp4</t>
        </is>
      </c>
      <c r="F2489" t="n">
        <v>-6.667</v>
      </c>
      <c r="G2489" t="n">
        <v>593.6660000000001</v>
      </c>
      <c r="H2489" t="n">
        <v>619.533</v>
      </c>
      <c r="I2489" t="n">
        <v>30</v>
      </c>
      <c r="J2489" t="inlineStr">
        <is>
          <t>BTBR</t>
        </is>
      </c>
      <c r="K2489" t="inlineStr">
        <is>
          <t>Male</t>
        </is>
      </c>
      <c r="L2489" t="inlineStr">
        <is>
          <t>No focal subject</t>
        </is>
      </c>
      <c r="M2489" t="n">
        <v>53.14</v>
      </c>
      <c r="N2489" t="inlineStr">
        <is>
          <t>Explore_F</t>
        </is>
      </c>
      <c r="O2489" t="inlineStr">
        <is>
          <t>Familiar</t>
        </is>
      </c>
      <c r="P2489" t="inlineStr">
        <is>
          <t>STATE</t>
        </is>
      </c>
      <c r="Q2489" t="n">
        <v>229.599</v>
      </c>
      <c r="R2489" t="n">
        <v>229.899</v>
      </c>
      <c r="S2489" t="n">
        <v>0.3</v>
      </c>
      <c r="T2489" t="inlineStr">
        <is>
          <t>BTBR\test\c5m2.mp4</t>
        </is>
      </c>
      <c r="U2489" t="n">
        <v>6884</v>
      </c>
      <c r="V2489" t="n">
        <v>6893</v>
      </c>
      <c r="W2489" t="n">
        <v/>
      </c>
      <c r="X2489" t="n">
        <v/>
      </c>
      <c r="Y2489" t="n">
        <v/>
      </c>
      <c r="Z2489" t="n">
        <v/>
      </c>
      <c r="AA2489">
        <f>SUMIFS($S$2:S2489,$A$2:A2489,A2489,$N$2:N2489,"Explore*")</f>
        <v/>
      </c>
      <c r="AB2489">
        <f>IF(AND(LEFT(N2489,7)="Explore",(AA2489-IF(LEFT(N2489,7)="Explore",S2489,0))&lt;10),"SI","NO")</f>
        <v/>
      </c>
    </row>
    <row r="2490">
      <c r="A2490" t="inlineStr">
        <is>
          <t>c5m2_test</t>
        </is>
      </c>
      <c r="B2490" t="inlineStr">
        <is>
          <t>2026-02-17 16:41:36.960</t>
        </is>
      </c>
      <c r="C2490" t="n">
        <v/>
      </c>
      <c r="D2490" t="inlineStr">
        <is>
          <t>Media file</t>
        </is>
      </c>
      <c r="E2490" t="inlineStr">
        <is>
          <t>player #1:BTBR\test\c5m2.mp4</t>
        </is>
      </c>
      <c r="F2490" t="n">
        <v>-6.667</v>
      </c>
      <c r="G2490" t="n">
        <v>593.6660000000001</v>
      </c>
      <c r="H2490" t="n">
        <v>619.533</v>
      </c>
      <c r="I2490" t="n">
        <v>30</v>
      </c>
      <c r="J2490" t="inlineStr">
        <is>
          <t>BTBR</t>
        </is>
      </c>
      <c r="K2490" t="inlineStr">
        <is>
          <t>Male</t>
        </is>
      </c>
      <c r="L2490" t="inlineStr">
        <is>
          <t>No focal subject</t>
        </is>
      </c>
      <c r="M2490" t="n">
        <v>53.14</v>
      </c>
      <c r="N2490" t="inlineStr">
        <is>
          <t>Explore_N</t>
        </is>
      </c>
      <c r="O2490" t="inlineStr">
        <is>
          <t>Novelty</t>
        </is>
      </c>
      <c r="P2490" t="inlineStr">
        <is>
          <t>STATE</t>
        </is>
      </c>
      <c r="Q2490" t="n">
        <v>232.366</v>
      </c>
      <c r="R2490" t="n">
        <v>233.666</v>
      </c>
      <c r="S2490" t="n">
        <v>1.3</v>
      </c>
      <c r="T2490" t="inlineStr">
        <is>
          <t>BTBR\test\c5m2.mp4</t>
        </is>
      </c>
      <c r="U2490" t="n">
        <v>6967</v>
      </c>
      <c r="V2490" t="n">
        <v>7007</v>
      </c>
      <c r="W2490" t="n">
        <v/>
      </c>
      <c r="X2490" t="n">
        <v/>
      </c>
      <c r="Y2490" t="n">
        <v/>
      </c>
      <c r="Z2490" t="n">
        <v/>
      </c>
      <c r="AA2490">
        <f>SUMIFS($S$2:S2490,$A$2:A2490,A2490,$N$2:N2490,"Explore*")</f>
        <v/>
      </c>
      <c r="AB2490">
        <f>IF(AND(LEFT(N2490,7)="Explore",(AA2490-IF(LEFT(N2490,7)="Explore",S2490,0))&lt;10),"SI","NO")</f>
        <v/>
      </c>
    </row>
    <row r="2491">
      <c r="A2491" t="inlineStr">
        <is>
          <t>c5m2_test</t>
        </is>
      </c>
      <c r="B2491" t="inlineStr">
        <is>
          <t>2026-02-17 16:41:36.960</t>
        </is>
      </c>
      <c r="C2491" t="n">
        <v/>
      </c>
      <c r="D2491" t="inlineStr">
        <is>
          <t>Media file</t>
        </is>
      </c>
      <c r="E2491" t="inlineStr">
        <is>
          <t>player #1:BTBR\test\c5m2.mp4</t>
        </is>
      </c>
      <c r="F2491" t="n">
        <v>-6.667</v>
      </c>
      <c r="G2491" t="n">
        <v>593.6660000000001</v>
      </c>
      <c r="H2491" t="n">
        <v>619.533</v>
      </c>
      <c r="I2491" t="n">
        <v>30</v>
      </c>
      <c r="J2491" t="inlineStr">
        <is>
          <t>BTBR</t>
        </is>
      </c>
      <c r="K2491" t="inlineStr">
        <is>
          <t>Male</t>
        </is>
      </c>
      <c r="L2491" t="inlineStr">
        <is>
          <t>No focal subject</t>
        </is>
      </c>
      <c r="M2491" t="n">
        <v>53.14</v>
      </c>
      <c r="N2491" t="inlineStr">
        <is>
          <t>Explore_F</t>
        </is>
      </c>
      <c r="O2491" t="inlineStr">
        <is>
          <t>Familiar</t>
        </is>
      </c>
      <c r="P2491" t="inlineStr">
        <is>
          <t>STATE</t>
        </is>
      </c>
      <c r="Q2491" t="n">
        <v>299.699</v>
      </c>
      <c r="R2491" t="n">
        <v>300.399</v>
      </c>
      <c r="S2491" t="n">
        <v>0.7</v>
      </c>
      <c r="T2491" t="inlineStr">
        <is>
          <t>BTBR\test\c5m2.mp4</t>
        </is>
      </c>
      <c r="U2491" t="n">
        <v>8986</v>
      </c>
      <c r="V2491" t="n">
        <v>9007</v>
      </c>
      <c r="W2491" t="n">
        <v/>
      </c>
      <c r="X2491" t="n">
        <v/>
      </c>
      <c r="Y2491" t="n">
        <v/>
      </c>
      <c r="Z2491" t="n">
        <v/>
      </c>
      <c r="AA2491">
        <f>SUMIFS($S$2:S2491,$A$2:A2491,A2491,$N$2:N2491,"Explore*")</f>
        <v/>
      </c>
      <c r="AB2491">
        <f>IF(AND(LEFT(N2491,7)="Explore",(AA2491-IF(LEFT(N2491,7)="Explore",S2491,0))&lt;10),"SI","NO")</f>
        <v/>
      </c>
    </row>
    <row r="2492">
      <c r="A2492" t="inlineStr">
        <is>
          <t>c5m2_test</t>
        </is>
      </c>
      <c r="B2492" t="inlineStr">
        <is>
          <t>2026-02-17 16:41:36.960</t>
        </is>
      </c>
      <c r="C2492" t="n">
        <v/>
      </c>
      <c r="D2492" t="inlineStr">
        <is>
          <t>Media file</t>
        </is>
      </c>
      <c r="E2492" t="inlineStr">
        <is>
          <t>player #1:BTBR\test\c5m2.mp4</t>
        </is>
      </c>
      <c r="F2492" t="n">
        <v>-6.667</v>
      </c>
      <c r="G2492" t="n">
        <v>593.6660000000001</v>
      </c>
      <c r="H2492" t="n">
        <v>619.533</v>
      </c>
      <c r="I2492" t="n">
        <v>30</v>
      </c>
      <c r="J2492" t="inlineStr">
        <is>
          <t>BTBR</t>
        </is>
      </c>
      <c r="K2492" t="inlineStr">
        <is>
          <t>Male</t>
        </is>
      </c>
      <c r="L2492" t="inlineStr">
        <is>
          <t>No focal subject</t>
        </is>
      </c>
      <c r="M2492" t="n">
        <v>53.14</v>
      </c>
      <c r="N2492" t="inlineStr">
        <is>
          <t>Explore_N</t>
        </is>
      </c>
      <c r="O2492" t="inlineStr">
        <is>
          <t>Novelty</t>
        </is>
      </c>
      <c r="P2492" t="inlineStr">
        <is>
          <t>STATE</t>
        </is>
      </c>
      <c r="Q2492" t="n">
        <v>319.266</v>
      </c>
      <c r="R2492" t="n">
        <v>320.266</v>
      </c>
      <c r="S2492" t="n">
        <v>1</v>
      </c>
      <c r="T2492" t="inlineStr">
        <is>
          <t>BTBR\test\c5m2.mp4</t>
        </is>
      </c>
      <c r="U2492" t="n">
        <v>9772</v>
      </c>
      <c r="V2492" t="n">
        <v>9802</v>
      </c>
      <c r="W2492" t="n">
        <v/>
      </c>
      <c r="X2492" t="n">
        <v/>
      </c>
      <c r="Y2492" t="n">
        <v/>
      </c>
      <c r="Z2492" t="n">
        <v/>
      </c>
      <c r="AA2492">
        <f>SUMIFS($S$2:S2492,$A$2:A2492,A2492,$N$2:N2492,"Explore*")</f>
        <v/>
      </c>
      <c r="AB2492">
        <f>IF(AND(LEFT(N2492,7)="Explore",(AA2492-IF(LEFT(N2492,7)="Explore",S2492,0))&lt;10),"SI","NO")</f>
        <v/>
      </c>
    </row>
    <row r="2493">
      <c r="A2493" t="inlineStr">
        <is>
          <t>c5m2_test</t>
        </is>
      </c>
      <c r="B2493" t="inlineStr">
        <is>
          <t>2026-02-17 16:41:36.960</t>
        </is>
      </c>
      <c r="C2493" t="n">
        <v/>
      </c>
      <c r="D2493" t="inlineStr">
        <is>
          <t>Media file</t>
        </is>
      </c>
      <c r="E2493" t="inlineStr">
        <is>
          <t>player #1:BTBR\test\c5m2.mp4</t>
        </is>
      </c>
      <c r="F2493" t="n">
        <v>-6.667</v>
      </c>
      <c r="G2493" t="n">
        <v>593.6660000000001</v>
      </c>
      <c r="H2493" t="n">
        <v>619.533</v>
      </c>
      <c r="I2493" t="n">
        <v>30</v>
      </c>
      <c r="J2493" t="inlineStr">
        <is>
          <t>BTBR</t>
        </is>
      </c>
      <c r="K2493" t="inlineStr">
        <is>
          <t>Male</t>
        </is>
      </c>
      <c r="L2493" t="inlineStr">
        <is>
          <t>No focal subject</t>
        </is>
      </c>
      <c r="M2493" t="n">
        <v>53.14</v>
      </c>
      <c r="N2493" t="inlineStr">
        <is>
          <t>Explore_N</t>
        </is>
      </c>
      <c r="O2493" t="inlineStr">
        <is>
          <t>Novelty</t>
        </is>
      </c>
      <c r="P2493" t="inlineStr">
        <is>
          <t>STATE</t>
        </is>
      </c>
      <c r="Q2493" t="n">
        <v>320.766</v>
      </c>
      <c r="R2493" t="n">
        <v>322.333</v>
      </c>
      <c r="S2493" t="n">
        <v>1.567</v>
      </c>
      <c r="T2493" t="inlineStr">
        <is>
          <t>BTBR\test\c5m2.mp4</t>
        </is>
      </c>
      <c r="U2493" t="n">
        <v>9817</v>
      </c>
      <c r="V2493" t="n">
        <v>9864</v>
      </c>
      <c r="W2493" t="n">
        <v/>
      </c>
      <c r="X2493" t="n">
        <v/>
      </c>
      <c r="Y2493" t="n">
        <v/>
      </c>
      <c r="Z2493" t="n">
        <v/>
      </c>
      <c r="AA2493">
        <f>SUMIFS($S$2:S2493,$A$2:A2493,A2493,$N$2:N2493,"Explore*")</f>
        <v/>
      </c>
      <c r="AB2493">
        <f>IF(AND(LEFT(N2493,7)="Explore",(AA2493-IF(LEFT(N2493,7)="Explore",S2493,0))&lt;10),"SI","NO")</f>
        <v/>
      </c>
    </row>
    <row r="2494">
      <c r="A2494" t="inlineStr">
        <is>
          <t>c5m2_test</t>
        </is>
      </c>
      <c r="B2494" t="inlineStr">
        <is>
          <t>2026-02-17 16:41:36.960</t>
        </is>
      </c>
      <c r="C2494" t="n">
        <v/>
      </c>
      <c r="D2494" t="inlineStr">
        <is>
          <t>Media file</t>
        </is>
      </c>
      <c r="E2494" t="inlineStr">
        <is>
          <t>player #1:BTBR\test\c5m2.mp4</t>
        </is>
      </c>
      <c r="F2494" t="n">
        <v>-6.667</v>
      </c>
      <c r="G2494" t="n">
        <v>593.6660000000001</v>
      </c>
      <c r="H2494" t="n">
        <v>619.533</v>
      </c>
      <c r="I2494" t="n">
        <v>30</v>
      </c>
      <c r="J2494" t="inlineStr">
        <is>
          <t>BTBR</t>
        </is>
      </c>
      <c r="K2494" t="inlineStr">
        <is>
          <t>Male</t>
        </is>
      </c>
      <c r="L2494" t="inlineStr">
        <is>
          <t>No focal subject</t>
        </is>
      </c>
      <c r="M2494" t="n">
        <v>53.14</v>
      </c>
      <c r="N2494" t="inlineStr">
        <is>
          <t>Explore_N</t>
        </is>
      </c>
      <c r="O2494" t="inlineStr">
        <is>
          <t>Novelty</t>
        </is>
      </c>
      <c r="P2494" t="inlineStr">
        <is>
          <t>STATE</t>
        </is>
      </c>
      <c r="Q2494" t="n">
        <v>322.999</v>
      </c>
      <c r="R2494" t="n">
        <v>323.699</v>
      </c>
      <c r="S2494" t="n">
        <v>0.7</v>
      </c>
      <c r="T2494" t="inlineStr">
        <is>
          <t>BTBR\test\c5m2.mp4</t>
        </is>
      </c>
      <c r="U2494" t="n">
        <v>9884</v>
      </c>
      <c r="V2494" t="n">
        <v>9905</v>
      </c>
      <c r="W2494" t="n">
        <v/>
      </c>
      <c r="X2494" t="n">
        <v/>
      </c>
      <c r="Y2494" t="n">
        <v/>
      </c>
      <c r="Z2494" t="n">
        <v/>
      </c>
      <c r="AA2494">
        <f>SUMIFS($S$2:S2494,$A$2:A2494,A2494,$N$2:N2494,"Explore*")</f>
        <v/>
      </c>
      <c r="AB2494">
        <f>IF(AND(LEFT(N2494,7)="Explore",(AA2494-IF(LEFT(N2494,7)="Explore",S2494,0))&lt;10),"SI","NO")</f>
        <v/>
      </c>
    </row>
    <row r="2495">
      <c r="A2495" t="inlineStr">
        <is>
          <t>c5m2_test</t>
        </is>
      </c>
      <c r="B2495" t="inlineStr">
        <is>
          <t>2026-02-17 16:41:36.960</t>
        </is>
      </c>
      <c r="C2495" t="n">
        <v/>
      </c>
      <c r="D2495" t="inlineStr">
        <is>
          <t>Media file</t>
        </is>
      </c>
      <c r="E2495" t="inlineStr">
        <is>
          <t>player #1:BTBR\test\c5m2.mp4</t>
        </is>
      </c>
      <c r="F2495" t="n">
        <v>-6.667</v>
      </c>
      <c r="G2495" t="n">
        <v>593.6660000000001</v>
      </c>
      <c r="H2495" t="n">
        <v>619.533</v>
      </c>
      <c r="I2495" t="n">
        <v>30</v>
      </c>
      <c r="J2495" t="inlineStr">
        <is>
          <t>BTBR</t>
        </is>
      </c>
      <c r="K2495" t="inlineStr">
        <is>
          <t>Male</t>
        </is>
      </c>
      <c r="L2495" t="inlineStr">
        <is>
          <t>No focal subject</t>
        </is>
      </c>
      <c r="M2495" t="n">
        <v>53.14</v>
      </c>
      <c r="N2495" t="inlineStr">
        <is>
          <t>Explore_N</t>
        </is>
      </c>
      <c r="O2495" t="inlineStr">
        <is>
          <t>Novelty</t>
        </is>
      </c>
      <c r="P2495" t="inlineStr">
        <is>
          <t>STATE</t>
        </is>
      </c>
      <c r="Q2495" t="n">
        <v>324.599</v>
      </c>
      <c r="R2495" t="n">
        <v>325.233</v>
      </c>
      <c r="S2495" t="n">
        <v>0.634</v>
      </c>
      <c r="T2495" t="inlineStr">
        <is>
          <t>BTBR\test\c5m2.mp4</t>
        </is>
      </c>
      <c r="U2495" t="n">
        <v>9932</v>
      </c>
      <c r="V2495" t="n">
        <v>9951</v>
      </c>
      <c r="W2495" t="n">
        <v/>
      </c>
      <c r="X2495" t="n">
        <v/>
      </c>
      <c r="Y2495" t="n">
        <v/>
      </c>
      <c r="Z2495" t="n">
        <v/>
      </c>
      <c r="AA2495">
        <f>SUMIFS($S$2:S2495,$A$2:A2495,A2495,$N$2:N2495,"Explore*")</f>
        <v/>
      </c>
      <c r="AB2495">
        <f>IF(AND(LEFT(N2495,7)="Explore",(AA2495-IF(LEFT(N2495,7)="Explore",S2495,0))&lt;10),"SI","NO")</f>
        <v/>
      </c>
    </row>
    <row r="2496">
      <c r="A2496" t="inlineStr">
        <is>
          <t>c5m2_test</t>
        </is>
      </c>
      <c r="B2496" t="inlineStr">
        <is>
          <t>2026-02-17 16:41:36.960</t>
        </is>
      </c>
      <c r="C2496" t="n">
        <v/>
      </c>
      <c r="D2496" t="inlineStr">
        <is>
          <t>Media file</t>
        </is>
      </c>
      <c r="E2496" t="inlineStr">
        <is>
          <t>player #1:BTBR\test\c5m2.mp4</t>
        </is>
      </c>
      <c r="F2496" t="n">
        <v>-6.667</v>
      </c>
      <c r="G2496" t="n">
        <v>593.6660000000001</v>
      </c>
      <c r="H2496" t="n">
        <v>619.533</v>
      </c>
      <c r="I2496" t="n">
        <v>30</v>
      </c>
      <c r="J2496" t="inlineStr">
        <is>
          <t>BTBR</t>
        </is>
      </c>
      <c r="K2496" t="inlineStr">
        <is>
          <t>Male</t>
        </is>
      </c>
      <c r="L2496" t="inlineStr">
        <is>
          <t>No focal subject</t>
        </is>
      </c>
      <c r="M2496" t="n">
        <v>53.14</v>
      </c>
      <c r="N2496" t="inlineStr">
        <is>
          <t>Explore_N</t>
        </is>
      </c>
      <c r="O2496" t="inlineStr">
        <is>
          <t>Novelty</t>
        </is>
      </c>
      <c r="P2496" t="inlineStr">
        <is>
          <t>STATE</t>
        </is>
      </c>
      <c r="Q2496" t="n">
        <v>325.733</v>
      </c>
      <c r="R2496" t="n">
        <v>326.533</v>
      </c>
      <c r="S2496" t="n">
        <v>0.8</v>
      </c>
      <c r="T2496" t="inlineStr">
        <is>
          <t>BTBR\test\c5m2.mp4</t>
        </is>
      </c>
      <c r="U2496" t="n">
        <v>9966</v>
      </c>
      <c r="V2496" t="n">
        <v>9990</v>
      </c>
      <c r="W2496" t="n">
        <v/>
      </c>
      <c r="X2496" t="n">
        <v/>
      </c>
      <c r="Y2496" t="n">
        <v/>
      </c>
      <c r="Z2496" t="n">
        <v/>
      </c>
      <c r="AA2496">
        <f>SUMIFS($S$2:S2496,$A$2:A2496,A2496,$N$2:N2496,"Explore*")</f>
        <v/>
      </c>
      <c r="AB2496">
        <f>IF(AND(LEFT(N2496,7)="Explore",(AA2496-IF(LEFT(N2496,7)="Explore",S2496,0))&lt;10),"SI","NO")</f>
        <v/>
      </c>
    </row>
    <row r="2497">
      <c r="A2497" t="inlineStr">
        <is>
          <t>c5m2_test</t>
        </is>
      </c>
      <c r="B2497" t="inlineStr">
        <is>
          <t>2026-02-17 16:41:36.960</t>
        </is>
      </c>
      <c r="C2497" t="n">
        <v/>
      </c>
      <c r="D2497" t="inlineStr">
        <is>
          <t>Media file</t>
        </is>
      </c>
      <c r="E2497" t="inlineStr">
        <is>
          <t>player #1:BTBR\test\c5m2.mp4</t>
        </is>
      </c>
      <c r="F2497" t="n">
        <v>-6.667</v>
      </c>
      <c r="G2497" t="n">
        <v>593.6660000000001</v>
      </c>
      <c r="H2497" t="n">
        <v>619.533</v>
      </c>
      <c r="I2497" t="n">
        <v>30</v>
      </c>
      <c r="J2497" t="inlineStr">
        <is>
          <t>BTBR</t>
        </is>
      </c>
      <c r="K2497" t="inlineStr">
        <is>
          <t>Male</t>
        </is>
      </c>
      <c r="L2497" t="inlineStr">
        <is>
          <t>No focal subject</t>
        </is>
      </c>
      <c r="M2497" t="n">
        <v>53.14</v>
      </c>
      <c r="N2497" t="inlineStr">
        <is>
          <t>Explore_F</t>
        </is>
      </c>
      <c r="O2497" t="inlineStr">
        <is>
          <t>Familiar</t>
        </is>
      </c>
      <c r="P2497" t="inlineStr">
        <is>
          <t>STATE</t>
        </is>
      </c>
      <c r="Q2497" t="n">
        <v>333.699</v>
      </c>
      <c r="R2497" t="n">
        <v>334.633</v>
      </c>
      <c r="S2497" t="n">
        <v>0.9340000000000001</v>
      </c>
      <c r="T2497" t="inlineStr">
        <is>
          <t>BTBR\test\c5m2.mp4</t>
        </is>
      </c>
      <c r="U2497" t="n">
        <v>10205</v>
      </c>
      <c r="V2497" t="n">
        <v>10233</v>
      </c>
      <c r="W2497" t="n">
        <v/>
      </c>
      <c r="X2497" t="n">
        <v/>
      </c>
      <c r="Y2497" t="n">
        <v/>
      </c>
      <c r="Z2497" t="n">
        <v/>
      </c>
      <c r="AA2497">
        <f>SUMIFS($S$2:S2497,$A$2:A2497,A2497,$N$2:N2497,"Explore*")</f>
        <v/>
      </c>
      <c r="AB2497">
        <f>IF(AND(LEFT(N2497,7)="Explore",(AA2497-IF(LEFT(N2497,7)="Explore",S2497,0))&lt;10),"SI","NO")</f>
        <v/>
      </c>
    </row>
    <row r="2498">
      <c r="A2498" t="inlineStr">
        <is>
          <t>c5m2_test</t>
        </is>
      </c>
      <c r="B2498" t="inlineStr">
        <is>
          <t>2026-02-17 16:41:36.960</t>
        </is>
      </c>
      <c r="C2498" t="n">
        <v/>
      </c>
      <c r="D2498" t="inlineStr">
        <is>
          <t>Media file</t>
        </is>
      </c>
      <c r="E2498" t="inlineStr">
        <is>
          <t>player #1:BTBR\test\c5m2.mp4</t>
        </is>
      </c>
      <c r="F2498" t="n">
        <v>-6.667</v>
      </c>
      <c r="G2498" t="n">
        <v>593.6660000000001</v>
      </c>
      <c r="H2498" t="n">
        <v>619.533</v>
      </c>
      <c r="I2498" t="n">
        <v>30</v>
      </c>
      <c r="J2498" t="inlineStr">
        <is>
          <t>BTBR</t>
        </is>
      </c>
      <c r="K2498" t="inlineStr">
        <is>
          <t>Male</t>
        </is>
      </c>
      <c r="L2498" t="inlineStr">
        <is>
          <t>No focal subject</t>
        </is>
      </c>
      <c r="M2498" t="n">
        <v>53.14</v>
      </c>
      <c r="N2498" t="inlineStr">
        <is>
          <t>Explore_N</t>
        </is>
      </c>
      <c r="O2498" t="inlineStr">
        <is>
          <t>Novelty</t>
        </is>
      </c>
      <c r="P2498" t="inlineStr">
        <is>
          <t>STATE</t>
        </is>
      </c>
      <c r="Q2498" t="n">
        <v>341.699</v>
      </c>
      <c r="R2498" t="n">
        <v>342.799</v>
      </c>
      <c r="S2498" t="n">
        <v>1.1</v>
      </c>
      <c r="T2498" t="inlineStr">
        <is>
          <t>BTBR\test\c5m2.mp4</t>
        </is>
      </c>
      <c r="U2498" t="n">
        <v>10445</v>
      </c>
      <c r="V2498" t="n">
        <v>10478</v>
      </c>
      <c r="W2498" t="n">
        <v/>
      </c>
      <c r="X2498" t="n">
        <v/>
      </c>
      <c r="Y2498" t="n">
        <v/>
      </c>
      <c r="Z2498" t="n">
        <v/>
      </c>
      <c r="AA2498">
        <f>SUMIFS($S$2:S2498,$A$2:A2498,A2498,$N$2:N2498,"Explore*")</f>
        <v/>
      </c>
      <c r="AB2498">
        <f>IF(AND(LEFT(N2498,7)="Explore",(AA2498-IF(LEFT(N2498,7)="Explore",S2498,0))&lt;10),"SI","NO")</f>
        <v/>
      </c>
    </row>
    <row r="2499">
      <c r="A2499" t="inlineStr">
        <is>
          <t>c5m2_test</t>
        </is>
      </c>
      <c r="B2499" t="inlineStr">
        <is>
          <t>2026-02-17 16:41:36.960</t>
        </is>
      </c>
      <c r="C2499" t="n">
        <v/>
      </c>
      <c r="D2499" t="inlineStr">
        <is>
          <t>Media file</t>
        </is>
      </c>
      <c r="E2499" t="inlineStr">
        <is>
          <t>player #1:BTBR\test\c5m2.mp4</t>
        </is>
      </c>
      <c r="F2499" t="n">
        <v>-6.667</v>
      </c>
      <c r="G2499" t="n">
        <v>593.6660000000001</v>
      </c>
      <c r="H2499" t="n">
        <v>619.533</v>
      </c>
      <c r="I2499" t="n">
        <v>30</v>
      </c>
      <c r="J2499" t="inlineStr">
        <is>
          <t>BTBR</t>
        </is>
      </c>
      <c r="K2499" t="inlineStr">
        <is>
          <t>Male</t>
        </is>
      </c>
      <c r="L2499" t="inlineStr">
        <is>
          <t>No focal subject</t>
        </is>
      </c>
      <c r="M2499" t="n">
        <v>53.14</v>
      </c>
      <c r="N2499" t="inlineStr">
        <is>
          <t>Explore_F</t>
        </is>
      </c>
      <c r="O2499" t="inlineStr">
        <is>
          <t>Familiar</t>
        </is>
      </c>
      <c r="P2499" t="inlineStr">
        <is>
          <t>STATE</t>
        </is>
      </c>
      <c r="Q2499" t="n">
        <v>410.699</v>
      </c>
      <c r="R2499" t="n">
        <v>411.133</v>
      </c>
      <c r="S2499" t="n">
        <v>0.434</v>
      </c>
      <c r="T2499" t="inlineStr">
        <is>
          <t>BTBR\test\c5m2.mp4</t>
        </is>
      </c>
      <c r="U2499" t="n">
        <v>12514</v>
      </c>
      <c r="V2499" t="n">
        <v>12527</v>
      </c>
      <c r="W2499" t="n">
        <v/>
      </c>
      <c r="X2499" t="n">
        <v/>
      </c>
      <c r="Y2499" t="n">
        <v/>
      </c>
      <c r="Z2499" t="n">
        <v/>
      </c>
      <c r="AA2499">
        <f>SUMIFS($S$2:S2499,$A$2:A2499,A2499,$N$2:N2499,"Explore*")</f>
        <v/>
      </c>
      <c r="AB2499">
        <f>IF(AND(LEFT(N2499,7)="Explore",(AA2499-IF(LEFT(N2499,7)="Explore",S2499,0))&lt;10),"SI","NO")</f>
        <v/>
      </c>
    </row>
    <row r="2500">
      <c r="A2500" t="inlineStr">
        <is>
          <t>c5m2_test</t>
        </is>
      </c>
      <c r="B2500" t="inlineStr">
        <is>
          <t>2026-02-17 16:41:36.960</t>
        </is>
      </c>
      <c r="C2500" t="n">
        <v/>
      </c>
      <c r="D2500" t="inlineStr">
        <is>
          <t>Media file</t>
        </is>
      </c>
      <c r="E2500" t="inlineStr">
        <is>
          <t>player #1:BTBR\test\c5m2.mp4</t>
        </is>
      </c>
      <c r="F2500" t="n">
        <v>-6.667</v>
      </c>
      <c r="G2500" t="n">
        <v>593.6660000000001</v>
      </c>
      <c r="H2500" t="n">
        <v>619.533</v>
      </c>
      <c r="I2500" t="n">
        <v>30</v>
      </c>
      <c r="J2500" t="inlineStr">
        <is>
          <t>BTBR</t>
        </is>
      </c>
      <c r="K2500" t="inlineStr">
        <is>
          <t>Male</t>
        </is>
      </c>
      <c r="L2500" t="inlineStr">
        <is>
          <t>No focal subject</t>
        </is>
      </c>
      <c r="M2500" t="n">
        <v>53.14</v>
      </c>
      <c r="N2500" t="inlineStr">
        <is>
          <t>Explore_F</t>
        </is>
      </c>
      <c r="O2500" t="inlineStr">
        <is>
          <t>Familiar</t>
        </is>
      </c>
      <c r="P2500" t="inlineStr">
        <is>
          <t>STATE</t>
        </is>
      </c>
      <c r="Q2500" t="n">
        <v>448.099</v>
      </c>
      <c r="R2500" t="n">
        <v>449.999</v>
      </c>
      <c r="S2500" t="n">
        <v>1.9</v>
      </c>
      <c r="T2500" t="inlineStr">
        <is>
          <t>BTBR\test\c5m2.mp4</t>
        </is>
      </c>
      <c r="U2500" t="n">
        <v>13635</v>
      </c>
      <c r="V2500" t="n">
        <v>13692</v>
      </c>
      <c r="W2500" t="n">
        <v/>
      </c>
      <c r="X2500" t="n">
        <v/>
      </c>
      <c r="Y2500" t="n">
        <v/>
      </c>
      <c r="Z2500" t="n">
        <v/>
      </c>
      <c r="AA2500">
        <f>SUMIFS($S$2:S2500,$A$2:A2500,A2500,$N$2:N2500,"Explore*")</f>
        <v/>
      </c>
      <c r="AB2500">
        <f>IF(AND(LEFT(N2500,7)="Explore",(AA2500-IF(LEFT(N2500,7)="Explore",S2500,0))&lt;10),"SI","NO")</f>
        <v/>
      </c>
    </row>
    <row r="2501">
      <c r="A2501" t="inlineStr">
        <is>
          <t>c5m2_test</t>
        </is>
      </c>
      <c r="B2501" t="inlineStr">
        <is>
          <t>2026-02-17 16:41:36.960</t>
        </is>
      </c>
      <c r="C2501" t="n">
        <v/>
      </c>
      <c r="D2501" t="inlineStr">
        <is>
          <t>Media file</t>
        </is>
      </c>
      <c r="E2501" t="inlineStr">
        <is>
          <t>player #1:BTBR\test\c5m2.mp4</t>
        </is>
      </c>
      <c r="F2501" t="n">
        <v>-6.667</v>
      </c>
      <c r="G2501" t="n">
        <v>593.6660000000001</v>
      </c>
      <c r="H2501" t="n">
        <v>619.533</v>
      </c>
      <c r="I2501" t="n">
        <v>30</v>
      </c>
      <c r="J2501" t="inlineStr">
        <is>
          <t>BTBR</t>
        </is>
      </c>
      <c r="K2501" t="inlineStr">
        <is>
          <t>Male</t>
        </is>
      </c>
      <c r="L2501" t="inlineStr">
        <is>
          <t>No focal subject</t>
        </is>
      </c>
      <c r="M2501" t="n">
        <v>53.14</v>
      </c>
      <c r="N2501" t="inlineStr">
        <is>
          <t>Explore_N</t>
        </is>
      </c>
      <c r="O2501" t="inlineStr">
        <is>
          <t>Novelty</t>
        </is>
      </c>
      <c r="P2501" t="inlineStr">
        <is>
          <t>STATE</t>
        </is>
      </c>
      <c r="Q2501" t="n">
        <v>453.299</v>
      </c>
      <c r="R2501" t="n">
        <v>453.733</v>
      </c>
      <c r="S2501" t="n">
        <v>0.434</v>
      </c>
      <c r="T2501" t="inlineStr">
        <is>
          <t>BTBR\test\c5m2.mp4</t>
        </is>
      </c>
      <c r="U2501" t="n">
        <v>13791</v>
      </c>
      <c r="V2501" t="n">
        <v>13804</v>
      </c>
      <c r="W2501" t="n">
        <v/>
      </c>
      <c r="X2501" t="n">
        <v/>
      </c>
      <c r="Y2501" t="n">
        <v/>
      </c>
      <c r="Z2501" t="n">
        <v/>
      </c>
      <c r="AA2501">
        <f>SUMIFS($S$2:S2501,$A$2:A2501,A2501,$N$2:N2501,"Explore*")</f>
        <v/>
      </c>
      <c r="AB2501">
        <f>IF(AND(LEFT(N2501,7)="Explore",(AA2501-IF(LEFT(N2501,7)="Explore",S2501,0))&lt;10),"SI","NO")</f>
        <v/>
      </c>
    </row>
    <row r="2502">
      <c r="A2502" t="inlineStr">
        <is>
          <t>c5m2_test</t>
        </is>
      </c>
      <c r="B2502" t="inlineStr">
        <is>
          <t>2026-02-17 16:41:36.960</t>
        </is>
      </c>
      <c r="C2502" t="n">
        <v/>
      </c>
      <c r="D2502" t="inlineStr">
        <is>
          <t>Media file</t>
        </is>
      </c>
      <c r="E2502" t="inlineStr">
        <is>
          <t>player #1:BTBR\test\c5m2.mp4</t>
        </is>
      </c>
      <c r="F2502" t="n">
        <v>-6.667</v>
      </c>
      <c r="G2502" t="n">
        <v>593.6660000000001</v>
      </c>
      <c r="H2502" t="n">
        <v>619.533</v>
      </c>
      <c r="I2502" t="n">
        <v>30</v>
      </c>
      <c r="J2502" t="inlineStr">
        <is>
          <t>BTBR</t>
        </is>
      </c>
      <c r="K2502" t="inlineStr">
        <is>
          <t>Male</t>
        </is>
      </c>
      <c r="L2502" t="inlineStr">
        <is>
          <t>No focal subject</t>
        </is>
      </c>
      <c r="M2502" t="n">
        <v>53.14</v>
      </c>
      <c r="N2502" t="inlineStr">
        <is>
          <t>Explore_F</t>
        </is>
      </c>
      <c r="O2502" t="inlineStr">
        <is>
          <t>Familiar</t>
        </is>
      </c>
      <c r="P2502" t="inlineStr">
        <is>
          <t>STATE</t>
        </is>
      </c>
      <c r="Q2502" t="n">
        <v>469.233</v>
      </c>
      <c r="R2502" t="n">
        <v>469.666</v>
      </c>
      <c r="S2502" t="n">
        <v>0.433</v>
      </c>
      <c r="T2502" t="inlineStr">
        <is>
          <t>BTBR\test\c5m2.mp4</t>
        </is>
      </c>
      <c r="U2502" t="n">
        <v>14269</v>
      </c>
      <c r="V2502" t="n">
        <v>14282</v>
      </c>
      <c r="W2502" t="n">
        <v/>
      </c>
      <c r="X2502" t="n">
        <v/>
      </c>
      <c r="Y2502" t="n">
        <v/>
      </c>
      <c r="Z2502" t="n">
        <v/>
      </c>
      <c r="AA2502">
        <f>SUMIFS($S$2:S2502,$A$2:A2502,A2502,$N$2:N2502,"Explore*")</f>
        <v/>
      </c>
      <c r="AB2502">
        <f>IF(AND(LEFT(N2502,7)="Explore",(AA2502-IF(LEFT(N2502,7)="Explore",S2502,0))&lt;10),"SI","NO")</f>
        <v/>
      </c>
    </row>
    <row r="2503">
      <c r="A2503" t="inlineStr">
        <is>
          <t>c5m2_test</t>
        </is>
      </c>
      <c r="B2503" t="inlineStr">
        <is>
          <t>2026-02-17 16:41:36.960</t>
        </is>
      </c>
      <c r="C2503" t="n">
        <v/>
      </c>
      <c r="D2503" t="inlineStr">
        <is>
          <t>Media file</t>
        </is>
      </c>
      <c r="E2503" t="inlineStr">
        <is>
          <t>player #1:BTBR\test\c5m2.mp4</t>
        </is>
      </c>
      <c r="F2503" t="n">
        <v>-6.667</v>
      </c>
      <c r="G2503" t="n">
        <v>593.6660000000001</v>
      </c>
      <c r="H2503" t="n">
        <v>619.533</v>
      </c>
      <c r="I2503" t="n">
        <v>30</v>
      </c>
      <c r="J2503" t="inlineStr">
        <is>
          <t>BTBR</t>
        </is>
      </c>
      <c r="K2503" t="inlineStr">
        <is>
          <t>Male</t>
        </is>
      </c>
      <c r="L2503" t="inlineStr">
        <is>
          <t>No focal subject</t>
        </is>
      </c>
      <c r="M2503" t="n">
        <v>53.14</v>
      </c>
      <c r="N2503" t="inlineStr">
        <is>
          <t>Explore_N</t>
        </is>
      </c>
      <c r="O2503" t="inlineStr">
        <is>
          <t>Novelty</t>
        </is>
      </c>
      <c r="P2503" t="inlineStr">
        <is>
          <t>STATE</t>
        </is>
      </c>
      <c r="Q2503" t="n">
        <v>495.032</v>
      </c>
      <c r="R2503" t="n">
        <v>495.566</v>
      </c>
      <c r="S2503" t="n">
        <v>0.534</v>
      </c>
      <c r="T2503" t="inlineStr">
        <is>
          <t>BTBR\test\c5m2.mp4</t>
        </is>
      </c>
      <c r="U2503" t="n">
        <v>15042</v>
      </c>
      <c r="V2503" t="n">
        <v>15059</v>
      </c>
      <c r="W2503" t="n">
        <v/>
      </c>
      <c r="X2503" t="n">
        <v/>
      </c>
      <c r="Y2503" t="n">
        <v/>
      </c>
      <c r="Z2503" t="n">
        <v/>
      </c>
      <c r="AA2503">
        <f>SUMIFS($S$2:S2503,$A$2:A2503,A2503,$N$2:N2503,"Explore*")</f>
        <v/>
      </c>
      <c r="AB2503">
        <f>IF(AND(LEFT(N2503,7)="Explore",(AA2503-IF(LEFT(N2503,7)="Explore",S2503,0))&lt;10),"SI","NO")</f>
        <v/>
      </c>
    </row>
    <row r="2504">
      <c r="A2504" t="inlineStr">
        <is>
          <t>c5m2_test</t>
        </is>
      </c>
      <c r="B2504" t="inlineStr">
        <is>
          <t>2026-02-17 16:41:36.960</t>
        </is>
      </c>
      <c r="C2504" t="n">
        <v/>
      </c>
      <c r="D2504" t="inlineStr">
        <is>
          <t>Media file</t>
        </is>
      </c>
      <c r="E2504" t="inlineStr">
        <is>
          <t>player #1:BTBR\test\c5m2.mp4</t>
        </is>
      </c>
      <c r="F2504" t="n">
        <v>-6.667</v>
      </c>
      <c r="G2504" t="n">
        <v>593.6660000000001</v>
      </c>
      <c r="H2504" t="n">
        <v>619.533</v>
      </c>
      <c r="I2504" t="n">
        <v>30</v>
      </c>
      <c r="J2504" t="inlineStr">
        <is>
          <t>BTBR</t>
        </is>
      </c>
      <c r="K2504" t="inlineStr">
        <is>
          <t>Male</t>
        </is>
      </c>
      <c r="L2504" t="inlineStr">
        <is>
          <t>No focal subject</t>
        </is>
      </c>
      <c r="M2504" t="n">
        <v>53.14</v>
      </c>
      <c r="N2504" t="inlineStr">
        <is>
          <t>Explore_N</t>
        </is>
      </c>
      <c r="O2504" t="inlineStr">
        <is>
          <t>Novelty</t>
        </is>
      </c>
      <c r="P2504" t="inlineStr">
        <is>
          <t>STATE</t>
        </is>
      </c>
      <c r="Q2504" t="n">
        <v>519.199</v>
      </c>
      <c r="R2504" t="n">
        <v>520.032</v>
      </c>
      <c r="S2504" t="n">
        <v>0.833</v>
      </c>
      <c r="T2504" t="inlineStr">
        <is>
          <t>BTBR\test\c5m2.mp4</t>
        </is>
      </c>
      <c r="U2504" t="n">
        <v>15767</v>
      </c>
      <c r="V2504" t="n">
        <v>15792</v>
      </c>
      <c r="W2504" t="n">
        <v/>
      </c>
      <c r="X2504" t="n">
        <v/>
      </c>
      <c r="Y2504" t="n">
        <v/>
      </c>
      <c r="Z2504" t="n">
        <v/>
      </c>
      <c r="AA2504">
        <f>SUMIFS($S$2:S2504,$A$2:A2504,A2504,$N$2:N2504,"Explore*")</f>
        <v/>
      </c>
      <c r="AB2504">
        <f>IF(AND(LEFT(N2504,7)="Explore",(AA2504-IF(LEFT(N2504,7)="Explore",S2504,0))&lt;10),"SI","NO")</f>
        <v/>
      </c>
    </row>
    <row r="2505">
      <c r="A2505" t="inlineStr">
        <is>
          <t>c5m2_test</t>
        </is>
      </c>
      <c r="B2505" t="inlineStr">
        <is>
          <t>2026-02-17 16:41:36.960</t>
        </is>
      </c>
      <c r="C2505" t="n">
        <v/>
      </c>
      <c r="D2505" t="inlineStr">
        <is>
          <t>Media file</t>
        </is>
      </c>
      <c r="E2505" t="inlineStr">
        <is>
          <t>player #1:BTBR\test\c5m2.mp4</t>
        </is>
      </c>
      <c r="F2505" t="n">
        <v>-6.667</v>
      </c>
      <c r="G2505" t="n">
        <v>593.6660000000001</v>
      </c>
      <c r="H2505" t="n">
        <v>619.533</v>
      </c>
      <c r="I2505" t="n">
        <v>30</v>
      </c>
      <c r="J2505" t="inlineStr">
        <is>
          <t>BTBR</t>
        </is>
      </c>
      <c r="K2505" t="inlineStr">
        <is>
          <t>Male</t>
        </is>
      </c>
      <c r="L2505" t="inlineStr">
        <is>
          <t>No focal subject</t>
        </is>
      </c>
      <c r="M2505" t="n">
        <v>53.14</v>
      </c>
      <c r="N2505" t="inlineStr">
        <is>
          <t>Explore_N</t>
        </is>
      </c>
      <c r="O2505" t="inlineStr">
        <is>
          <t>Novelty</t>
        </is>
      </c>
      <c r="P2505" t="inlineStr">
        <is>
          <t>STATE</t>
        </is>
      </c>
      <c r="Q2505" t="n">
        <v>521.199</v>
      </c>
      <c r="R2505" t="n">
        <v>521.999</v>
      </c>
      <c r="S2505" t="n">
        <v>0.8</v>
      </c>
      <c r="T2505" t="inlineStr">
        <is>
          <t>BTBR\test\c5m2.mp4</t>
        </is>
      </c>
      <c r="U2505" t="n">
        <v>15827</v>
      </c>
      <c r="V2505" t="n">
        <v>15851</v>
      </c>
      <c r="W2505" t="n">
        <v/>
      </c>
      <c r="X2505" t="n">
        <v/>
      </c>
      <c r="Y2505" t="n">
        <v/>
      </c>
      <c r="Z2505" t="n">
        <v/>
      </c>
      <c r="AA2505">
        <f>SUMIFS($S$2:S2505,$A$2:A2505,A2505,$N$2:N2505,"Explore*")</f>
        <v/>
      </c>
      <c r="AB2505">
        <f>IF(AND(LEFT(N2505,7)="Explore",(AA2505-IF(LEFT(N2505,7)="Explore",S2505,0))&lt;10),"SI","NO")</f>
        <v/>
      </c>
    </row>
    <row r="2506">
      <c r="A2506" t="inlineStr">
        <is>
          <t>c5m2_test</t>
        </is>
      </c>
      <c r="B2506" t="inlineStr">
        <is>
          <t>2026-02-17 16:41:36.960</t>
        </is>
      </c>
      <c r="C2506" t="n">
        <v/>
      </c>
      <c r="D2506" t="inlineStr">
        <is>
          <t>Media file</t>
        </is>
      </c>
      <c r="E2506" t="inlineStr">
        <is>
          <t>player #1:BTBR\test\c5m2.mp4</t>
        </is>
      </c>
      <c r="F2506" t="n">
        <v>-6.667</v>
      </c>
      <c r="G2506" t="n">
        <v>593.6660000000001</v>
      </c>
      <c r="H2506" t="n">
        <v>619.533</v>
      </c>
      <c r="I2506" t="n">
        <v>30</v>
      </c>
      <c r="J2506" t="inlineStr">
        <is>
          <t>BTBR</t>
        </is>
      </c>
      <c r="K2506" t="inlineStr">
        <is>
          <t>Male</t>
        </is>
      </c>
      <c r="L2506" t="inlineStr">
        <is>
          <t>No focal subject</t>
        </is>
      </c>
      <c r="M2506" t="n">
        <v>53.14</v>
      </c>
      <c r="N2506" t="inlineStr">
        <is>
          <t>Explore_N</t>
        </is>
      </c>
      <c r="O2506" t="inlineStr">
        <is>
          <t>Novelty</t>
        </is>
      </c>
      <c r="P2506" t="inlineStr">
        <is>
          <t>STATE</t>
        </is>
      </c>
      <c r="Q2506" t="n">
        <v>546.332</v>
      </c>
      <c r="R2506" t="n">
        <v>546.766</v>
      </c>
      <c r="S2506" t="n">
        <v>0.434</v>
      </c>
      <c r="T2506" t="inlineStr">
        <is>
          <t>BTBR\test\c5m2.mp4</t>
        </is>
      </c>
      <c r="U2506" t="n">
        <v>16581</v>
      </c>
      <c r="V2506" t="n">
        <v>16595</v>
      </c>
      <c r="W2506" t="n">
        <v/>
      </c>
      <c r="X2506" t="n">
        <v/>
      </c>
      <c r="Y2506" t="n">
        <v/>
      </c>
      <c r="Z2506" t="n">
        <v/>
      </c>
      <c r="AA2506">
        <f>SUMIFS($S$2:S2506,$A$2:A2506,A2506,$N$2:N2506,"Explore*")</f>
        <v/>
      </c>
      <c r="AB2506">
        <f>IF(AND(LEFT(N2506,7)="Explore",(AA2506-IF(LEFT(N2506,7)="Explore",S2506,0))&lt;10),"SI","NO")</f>
        <v/>
      </c>
    </row>
    <row r="2507">
      <c r="A2507" t="inlineStr">
        <is>
          <t>c5m2_test</t>
        </is>
      </c>
      <c r="B2507" t="inlineStr">
        <is>
          <t>2026-02-17 16:41:36.960</t>
        </is>
      </c>
      <c r="C2507" t="n">
        <v/>
      </c>
      <c r="D2507" t="inlineStr">
        <is>
          <t>Media file</t>
        </is>
      </c>
      <c r="E2507" t="inlineStr">
        <is>
          <t>player #1:BTBR\test\c5m2.mp4</t>
        </is>
      </c>
      <c r="F2507" t="n">
        <v>-6.667</v>
      </c>
      <c r="G2507" t="n">
        <v>593.6660000000001</v>
      </c>
      <c r="H2507" t="n">
        <v>619.533</v>
      </c>
      <c r="I2507" t="n">
        <v>30</v>
      </c>
      <c r="J2507" t="inlineStr">
        <is>
          <t>BTBR</t>
        </is>
      </c>
      <c r="K2507" t="inlineStr">
        <is>
          <t>Male</t>
        </is>
      </c>
      <c r="L2507" t="inlineStr">
        <is>
          <t>No focal subject</t>
        </is>
      </c>
      <c r="M2507" t="n">
        <v>53.14</v>
      </c>
      <c r="N2507" t="inlineStr">
        <is>
          <t>Explore_N</t>
        </is>
      </c>
      <c r="O2507" t="inlineStr">
        <is>
          <t>Novelty</t>
        </is>
      </c>
      <c r="P2507" t="inlineStr">
        <is>
          <t>STATE</t>
        </is>
      </c>
      <c r="Q2507" t="n">
        <v>548.199</v>
      </c>
      <c r="R2507" t="n">
        <v>549.1319999999999</v>
      </c>
      <c r="S2507" t="n">
        <v>0.9330000000000001</v>
      </c>
      <c r="T2507" t="inlineStr">
        <is>
          <t>BTBR\test\c5m2.mp4</t>
        </is>
      </c>
      <c r="U2507" t="n">
        <v>16637</v>
      </c>
      <c r="V2507" t="n">
        <v>16665</v>
      </c>
      <c r="W2507" t="n">
        <v/>
      </c>
      <c r="X2507" t="n">
        <v/>
      </c>
      <c r="Y2507" t="n">
        <v/>
      </c>
      <c r="Z2507" t="n">
        <v/>
      </c>
      <c r="AA2507">
        <f>SUMIFS($S$2:S2507,$A$2:A2507,A2507,$N$2:N2507,"Explore*")</f>
        <v/>
      </c>
      <c r="AB2507">
        <f>IF(AND(LEFT(N2507,7)="Explore",(AA2507-IF(LEFT(N2507,7)="Explore",S2507,0))&lt;10),"SI","NO")</f>
        <v/>
      </c>
    </row>
    <row r="2508">
      <c r="A2508" t="inlineStr">
        <is>
          <t>c5m2_test</t>
        </is>
      </c>
      <c r="B2508" t="inlineStr">
        <is>
          <t>2026-02-17 16:41:36.960</t>
        </is>
      </c>
      <c r="C2508" t="n">
        <v/>
      </c>
      <c r="D2508" t="inlineStr">
        <is>
          <t>Media file</t>
        </is>
      </c>
      <c r="E2508" t="inlineStr">
        <is>
          <t>player #1:BTBR\test\c5m2.mp4</t>
        </is>
      </c>
      <c r="F2508" t="n">
        <v>-6.667</v>
      </c>
      <c r="G2508" t="n">
        <v>593.6660000000001</v>
      </c>
      <c r="H2508" t="n">
        <v>619.533</v>
      </c>
      <c r="I2508" t="n">
        <v>30</v>
      </c>
      <c r="J2508" t="inlineStr">
        <is>
          <t>BTBR</t>
        </is>
      </c>
      <c r="K2508" t="inlineStr">
        <is>
          <t>Male</t>
        </is>
      </c>
      <c r="L2508" t="inlineStr">
        <is>
          <t>No focal subject</t>
        </is>
      </c>
      <c r="M2508" t="n">
        <v>53.14</v>
      </c>
      <c r="N2508" t="inlineStr">
        <is>
          <t>Explore_F</t>
        </is>
      </c>
      <c r="O2508" t="inlineStr">
        <is>
          <t>Familiar</t>
        </is>
      </c>
      <c r="P2508" t="inlineStr">
        <is>
          <t>STATE</t>
        </is>
      </c>
      <c r="Q2508" t="n">
        <v>550.466</v>
      </c>
      <c r="R2508" t="n">
        <v>551.599</v>
      </c>
      <c r="S2508" t="n">
        <v>1.133</v>
      </c>
      <c r="T2508" t="inlineStr">
        <is>
          <t>BTBR\test\c5m2.mp4</t>
        </is>
      </c>
      <c r="U2508" t="n">
        <v>16705</v>
      </c>
      <c r="V2508" t="n">
        <v>16739</v>
      </c>
      <c r="W2508" t="n">
        <v/>
      </c>
      <c r="X2508" t="n">
        <v/>
      </c>
      <c r="Y2508" t="n">
        <v/>
      </c>
      <c r="Z2508" t="n">
        <v/>
      </c>
      <c r="AA2508">
        <f>SUMIFS($S$2:S2508,$A$2:A2508,A2508,$N$2:N2508,"Explore*")</f>
        <v/>
      </c>
      <c r="AB2508">
        <f>IF(AND(LEFT(N2508,7)="Explore",(AA2508-IF(LEFT(N2508,7)="Explore",S2508,0))&lt;10),"SI","NO")</f>
        <v/>
      </c>
    </row>
    <row r="2509">
      <c r="A2509" t="inlineStr">
        <is>
          <t>c5m2_test</t>
        </is>
      </c>
      <c r="B2509" t="inlineStr">
        <is>
          <t>2026-02-17 16:41:36.960</t>
        </is>
      </c>
      <c r="C2509" t="n">
        <v/>
      </c>
      <c r="D2509" t="inlineStr">
        <is>
          <t>Media file</t>
        </is>
      </c>
      <c r="E2509" t="inlineStr">
        <is>
          <t>player #1:BTBR\test\c5m2.mp4</t>
        </is>
      </c>
      <c r="F2509" t="n">
        <v>-6.667</v>
      </c>
      <c r="G2509" t="n">
        <v>593.6660000000001</v>
      </c>
      <c r="H2509" t="n">
        <v>619.533</v>
      </c>
      <c r="I2509" t="n">
        <v>30</v>
      </c>
      <c r="J2509" t="inlineStr">
        <is>
          <t>BTBR</t>
        </is>
      </c>
      <c r="K2509" t="inlineStr">
        <is>
          <t>Male</t>
        </is>
      </c>
      <c r="L2509" t="inlineStr">
        <is>
          <t>No focal subject</t>
        </is>
      </c>
      <c r="M2509" t="n">
        <v>53.14</v>
      </c>
      <c r="N2509" t="inlineStr">
        <is>
          <t>Explore_N</t>
        </is>
      </c>
      <c r="O2509" t="inlineStr">
        <is>
          <t>Novelty</t>
        </is>
      </c>
      <c r="P2509" t="inlineStr">
        <is>
          <t>STATE</t>
        </is>
      </c>
      <c r="Q2509" t="n">
        <v>575.6660000000001</v>
      </c>
      <c r="R2509" t="n">
        <v>576.999</v>
      </c>
      <c r="S2509" t="n">
        <v>1.333</v>
      </c>
      <c r="T2509" t="inlineStr">
        <is>
          <t>BTBR\test\c5m2.mp4</t>
        </is>
      </c>
      <c r="U2509" t="n">
        <v>17460</v>
      </c>
      <c r="V2509" t="n">
        <v>17500</v>
      </c>
      <c r="W2509" t="n">
        <v/>
      </c>
      <c r="X2509" t="n">
        <v/>
      </c>
      <c r="Y2509" t="n">
        <v/>
      </c>
      <c r="Z2509" t="n">
        <v/>
      </c>
      <c r="AA2509">
        <f>SUMIFS($S$2:S2509,$A$2:A2509,A2509,$N$2:N2509,"Explore*")</f>
        <v/>
      </c>
      <c r="AB2509">
        <f>IF(AND(LEFT(N2509,7)="Explore",(AA2509-IF(LEFT(N2509,7)="Explore",S2509,0))&lt;10),"SI","NO")</f>
        <v/>
      </c>
    </row>
    <row r="2510">
      <c r="A2510" t="inlineStr">
        <is>
          <t>c5m2_test</t>
        </is>
      </c>
      <c r="B2510" t="inlineStr">
        <is>
          <t>2026-02-17 16:41:36.960</t>
        </is>
      </c>
      <c r="C2510" t="n">
        <v/>
      </c>
      <c r="D2510" t="inlineStr">
        <is>
          <t>Media file</t>
        </is>
      </c>
      <c r="E2510" t="inlineStr">
        <is>
          <t>player #1:BTBR\test\c5m2.mp4</t>
        </is>
      </c>
      <c r="F2510" t="n">
        <v>-6.667</v>
      </c>
      <c r="G2510" t="n">
        <v>593.6660000000001</v>
      </c>
      <c r="H2510" t="n">
        <v>619.533</v>
      </c>
      <c r="I2510" t="n">
        <v>30</v>
      </c>
      <c r="J2510" t="inlineStr">
        <is>
          <t>BTBR</t>
        </is>
      </c>
      <c r="K2510" t="inlineStr">
        <is>
          <t>Male</t>
        </is>
      </c>
      <c r="L2510" t="inlineStr">
        <is>
          <t>No focal subject</t>
        </is>
      </c>
      <c r="M2510" t="n">
        <v>53.14</v>
      </c>
      <c r="N2510" t="inlineStr">
        <is>
          <t>Explore_F</t>
        </is>
      </c>
      <c r="O2510" t="inlineStr">
        <is>
          <t>Familiar</t>
        </is>
      </c>
      <c r="P2510" t="inlineStr">
        <is>
          <t>STATE</t>
        </is>
      </c>
      <c r="Q2510" t="n">
        <v>579.866</v>
      </c>
      <c r="R2510" t="n">
        <v>580.6660000000001</v>
      </c>
      <c r="S2510" t="n">
        <v>0.8</v>
      </c>
      <c r="T2510" t="inlineStr">
        <is>
          <t>BTBR\test\c5m2.mp4</t>
        </is>
      </c>
      <c r="U2510" t="n">
        <v>17586</v>
      </c>
      <c r="V2510" t="n">
        <v>17610</v>
      </c>
      <c r="W2510" t="n">
        <v/>
      </c>
      <c r="X2510" t="n">
        <v/>
      </c>
      <c r="Y2510" t="n">
        <v/>
      </c>
      <c r="Z2510" t="n">
        <v/>
      </c>
      <c r="AA2510">
        <f>SUMIFS($S$2:S2510,$A$2:A2510,A2510,$N$2:N2510,"Explore*")</f>
        <v/>
      </c>
      <c r="AB2510">
        <f>IF(AND(LEFT(N2510,7)="Explore",(AA2510-IF(LEFT(N2510,7)="Explore",S2510,0))&lt;10),"SI","NO")</f>
        <v/>
      </c>
    </row>
    <row r="2511">
      <c r="A2511" t="inlineStr">
        <is>
          <t>c5m2_test</t>
        </is>
      </c>
      <c r="B2511" t="inlineStr">
        <is>
          <t>2026-02-17 16:41:36.960</t>
        </is>
      </c>
      <c r="C2511" t="n">
        <v/>
      </c>
      <c r="D2511" t="inlineStr">
        <is>
          <t>Media file</t>
        </is>
      </c>
      <c r="E2511" t="inlineStr">
        <is>
          <t>player #1:BTBR\test\c5m2.mp4</t>
        </is>
      </c>
      <c r="F2511" t="n">
        <v>-6.667</v>
      </c>
      <c r="G2511" t="n">
        <v>593.6660000000001</v>
      </c>
      <c r="H2511" t="n">
        <v>619.533</v>
      </c>
      <c r="I2511" t="n">
        <v>30</v>
      </c>
      <c r="J2511" t="inlineStr">
        <is>
          <t>BTBR</t>
        </is>
      </c>
      <c r="K2511" t="inlineStr">
        <is>
          <t>Male</t>
        </is>
      </c>
      <c r="L2511" t="inlineStr">
        <is>
          <t>No focal subject</t>
        </is>
      </c>
      <c r="M2511" t="n">
        <v>53.14</v>
      </c>
      <c r="N2511" t="inlineStr">
        <is>
          <t>Explore_F</t>
        </is>
      </c>
      <c r="O2511" t="inlineStr">
        <is>
          <t>Familiar</t>
        </is>
      </c>
      <c r="P2511" t="inlineStr">
        <is>
          <t>STATE</t>
        </is>
      </c>
      <c r="Q2511" t="n">
        <v>584.766</v>
      </c>
      <c r="R2511" t="n">
        <v>585.1660000000001</v>
      </c>
      <c r="S2511" t="n">
        <v>0.4</v>
      </c>
      <c r="T2511" t="inlineStr">
        <is>
          <t>BTBR\test\c5m2.mp4</t>
        </is>
      </c>
      <c r="U2511" t="n">
        <v>17733</v>
      </c>
      <c r="V2511" t="n">
        <v>17745</v>
      </c>
      <c r="W2511" t="n">
        <v/>
      </c>
      <c r="X2511" t="n">
        <v/>
      </c>
      <c r="Y2511" t="n">
        <v/>
      </c>
      <c r="Z2511" t="n">
        <v/>
      </c>
      <c r="AA2511">
        <f>SUMIFS($S$2:S2511,$A$2:A2511,A2511,$N$2:N2511,"Explore*")</f>
        <v/>
      </c>
      <c r="AB2511">
        <f>IF(AND(LEFT(N2511,7)="Explore",(AA2511-IF(LEFT(N2511,7)="Explore",S2511,0))&lt;10),"SI","NO")</f>
        <v/>
      </c>
    </row>
    <row r="2512">
      <c r="A2512" t="inlineStr">
        <is>
          <t>c5m2_test</t>
        </is>
      </c>
      <c r="B2512" t="inlineStr">
        <is>
          <t>2026-02-17 16:41:36.960</t>
        </is>
      </c>
      <c r="C2512" t="n">
        <v/>
      </c>
      <c r="D2512" t="inlineStr">
        <is>
          <t>Media file</t>
        </is>
      </c>
      <c r="E2512" t="inlineStr">
        <is>
          <t>player #1:BTBR\test\c5m2.mp4</t>
        </is>
      </c>
      <c r="F2512" t="n">
        <v>-6.667</v>
      </c>
      <c r="G2512" t="n">
        <v>593.6660000000001</v>
      </c>
      <c r="H2512" t="n">
        <v>619.533</v>
      </c>
      <c r="I2512" t="n">
        <v>30</v>
      </c>
      <c r="J2512" t="inlineStr">
        <is>
          <t>BTBR</t>
        </is>
      </c>
      <c r="K2512" t="inlineStr">
        <is>
          <t>Male</t>
        </is>
      </c>
      <c r="L2512" t="inlineStr">
        <is>
          <t>No focal subject</t>
        </is>
      </c>
      <c r="M2512" t="n">
        <v>53.14</v>
      </c>
      <c r="N2512" t="inlineStr">
        <is>
          <t>Explore_F</t>
        </is>
      </c>
      <c r="O2512" t="inlineStr">
        <is>
          <t>Familiar</t>
        </is>
      </c>
      <c r="P2512" t="inlineStr">
        <is>
          <t>STATE</t>
        </is>
      </c>
      <c r="Q2512" t="n">
        <v>585.732</v>
      </c>
      <c r="R2512" t="n">
        <v>586.6319999999999</v>
      </c>
      <c r="S2512" t="n">
        <v>0.9</v>
      </c>
      <c r="T2512" t="inlineStr">
        <is>
          <t>BTBR\test\c5m2.mp4</t>
        </is>
      </c>
      <c r="U2512" t="n">
        <v>17762</v>
      </c>
      <c r="V2512" t="n">
        <v>17789</v>
      </c>
      <c r="W2512" t="n">
        <v/>
      </c>
      <c r="X2512" t="n">
        <v/>
      </c>
      <c r="Y2512" t="n">
        <v/>
      </c>
      <c r="Z2512" t="n">
        <v/>
      </c>
      <c r="AA2512">
        <f>SUMIFS($S$2:S2512,$A$2:A2512,A2512,$N$2:N2512,"Explore*")</f>
        <v/>
      </c>
      <c r="AB2512">
        <f>IF(AND(LEFT(N2512,7)="Explore",(AA2512-IF(LEFT(N2512,7)="Explore",S2512,0))&lt;10),"SI","NO")</f>
        <v/>
      </c>
    </row>
    <row r="2513">
      <c r="A2513" t="inlineStr">
        <is>
          <t>c5m2_test</t>
        </is>
      </c>
      <c r="B2513" t="inlineStr">
        <is>
          <t>2026-02-17 16:41:36.960</t>
        </is>
      </c>
      <c r="C2513" t="n">
        <v/>
      </c>
      <c r="D2513" t="inlineStr">
        <is>
          <t>Media file</t>
        </is>
      </c>
      <c r="E2513" t="inlineStr">
        <is>
          <t>player #1:BTBR\test\c5m2.mp4</t>
        </is>
      </c>
      <c r="F2513" t="n">
        <v>-6.667</v>
      </c>
      <c r="G2513" t="n">
        <v>593.6660000000001</v>
      </c>
      <c r="H2513" t="n">
        <v>619.533</v>
      </c>
      <c r="I2513" t="n">
        <v>30</v>
      </c>
      <c r="J2513" t="inlineStr">
        <is>
          <t>BTBR</t>
        </is>
      </c>
      <c r="K2513" t="inlineStr">
        <is>
          <t>Male</t>
        </is>
      </c>
      <c r="L2513" t="inlineStr">
        <is>
          <t>No focal subject</t>
        </is>
      </c>
      <c r="M2513" t="n">
        <v>53.14</v>
      </c>
      <c r="N2513" t="inlineStr">
        <is>
          <t>Explore_F</t>
        </is>
      </c>
      <c r="O2513" t="inlineStr">
        <is>
          <t>Familiar</t>
        </is>
      </c>
      <c r="P2513" t="inlineStr">
        <is>
          <t>STATE</t>
        </is>
      </c>
      <c r="Q2513" t="n">
        <v>599.099</v>
      </c>
      <c r="R2513" t="n">
        <v>599.932</v>
      </c>
      <c r="S2513" t="n">
        <v>0.833</v>
      </c>
      <c r="T2513" t="inlineStr">
        <is>
          <t>BTBR\test\c5m2.mp4</t>
        </is>
      </c>
      <c r="U2513" t="n">
        <v>18164</v>
      </c>
      <c r="V2513" t="n">
        <v>18188</v>
      </c>
      <c r="W2513" t="n">
        <v/>
      </c>
      <c r="X2513" t="n">
        <v/>
      </c>
      <c r="Y2513" t="n">
        <v/>
      </c>
      <c r="Z2513" t="n">
        <v/>
      </c>
      <c r="AA2513">
        <f>SUMIFS($S$2:S2513,$A$2:A2513,A2513,$N$2:N2513,"Explore*")</f>
        <v/>
      </c>
      <c r="AB2513">
        <f>IF(AND(LEFT(N2513,7)="Explore",(AA2513-IF(LEFT(N2513,7)="Explore",S2513,0))&lt;10),"SI","NO")</f>
        <v/>
      </c>
    </row>
    <row r="2514">
      <c r="A2514" t="inlineStr">
        <is>
          <t>c5m3_test</t>
        </is>
      </c>
      <c r="B2514" t="inlineStr">
        <is>
          <t>2026-02-17 16:49:00.306</t>
        </is>
      </c>
      <c r="C2514" t="n">
        <v/>
      </c>
      <c r="D2514" t="inlineStr">
        <is>
          <t>Media file</t>
        </is>
      </c>
      <c r="E2514" t="inlineStr">
        <is>
          <t>player #1:BTBR\test\c5m3.mp4</t>
        </is>
      </c>
      <c r="F2514" t="n">
        <v>-16.2</v>
      </c>
      <c r="G2514" t="n">
        <v>555.933</v>
      </c>
      <c r="H2514" t="n">
        <v>643.266</v>
      </c>
      <c r="I2514" t="n">
        <v>30</v>
      </c>
      <c r="J2514" t="inlineStr">
        <is>
          <t>BTBR</t>
        </is>
      </c>
      <c r="K2514" t="inlineStr">
        <is>
          <t>Male</t>
        </is>
      </c>
      <c r="L2514" t="inlineStr">
        <is>
          <t>No focal subject</t>
        </is>
      </c>
      <c r="M2514" t="n">
        <v>47.963</v>
      </c>
      <c r="N2514" t="inlineStr">
        <is>
          <t>Explore_N</t>
        </is>
      </c>
      <c r="O2514" t="inlineStr">
        <is>
          <t>Novelty</t>
        </is>
      </c>
      <c r="P2514" t="inlineStr">
        <is>
          <t>STATE</t>
        </is>
      </c>
      <c r="Q2514" t="n">
        <v>5.033</v>
      </c>
      <c r="R2514" t="n">
        <v>5.7</v>
      </c>
      <c r="S2514" t="n">
        <v>0.667</v>
      </c>
      <c r="T2514" t="inlineStr">
        <is>
          <t>BTBR\test\c5m3.mp4</t>
        </is>
      </c>
      <c r="U2514" t="n">
        <v>152</v>
      </c>
      <c r="V2514" t="n">
        <v>171</v>
      </c>
      <c r="W2514" t="n">
        <v/>
      </c>
      <c r="X2514" t="n">
        <v/>
      </c>
      <c r="Y2514" t="n">
        <v/>
      </c>
      <c r="Z2514" t="n">
        <v/>
      </c>
      <c r="AA2514">
        <f>SUMIFS($S$2:S2514,$A$2:A2514,A2514,$N$2:N2514,"Explore*")</f>
        <v/>
      </c>
      <c r="AB2514">
        <f>IF(AND(LEFT(N2514,7)="Explore",(AA2514-IF(LEFT(N2514,7)="Explore",S2514,0))&lt;10),"SI","NO")</f>
        <v/>
      </c>
    </row>
    <row r="2515">
      <c r="A2515" t="inlineStr">
        <is>
          <t>c5m3_test</t>
        </is>
      </c>
      <c r="B2515" t="inlineStr">
        <is>
          <t>2026-02-17 16:49:00.306</t>
        </is>
      </c>
      <c r="C2515" t="n">
        <v/>
      </c>
      <c r="D2515" t="inlineStr">
        <is>
          <t>Media file</t>
        </is>
      </c>
      <c r="E2515" t="inlineStr">
        <is>
          <t>player #1:BTBR\test\c5m3.mp4</t>
        </is>
      </c>
      <c r="F2515" t="n">
        <v>-16.2</v>
      </c>
      <c r="G2515" t="n">
        <v>555.933</v>
      </c>
      <c r="H2515" t="n">
        <v>643.266</v>
      </c>
      <c r="I2515" t="n">
        <v>30</v>
      </c>
      <c r="J2515" t="inlineStr">
        <is>
          <t>BTBR</t>
        </is>
      </c>
      <c r="K2515" t="inlineStr">
        <is>
          <t>Male</t>
        </is>
      </c>
      <c r="L2515" t="inlineStr">
        <is>
          <t>No focal subject</t>
        </is>
      </c>
      <c r="M2515" t="n">
        <v>47.963</v>
      </c>
      <c r="N2515" t="inlineStr">
        <is>
          <t>Explore_F</t>
        </is>
      </c>
      <c r="O2515" t="inlineStr">
        <is>
          <t>Familiar</t>
        </is>
      </c>
      <c r="P2515" t="inlineStr">
        <is>
          <t>STATE</t>
        </is>
      </c>
      <c r="Q2515" t="n">
        <v>6.567</v>
      </c>
      <c r="R2515" t="n">
        <v>7.133</v>
      </c>
      <c r="S2515" t="n">
        <v>0.5659999999999999</v>
      </c>
      <c r="T2515" t="inlineStr">
        <is>
          <t>BTBR\test\c5m3.mp4</t>
        </is>
      </c>
      <c r="U2515" t="n">
        <v>197</v>
      </c>
      <c r="V2515" t="n">
        <v>214</v>
      </c>
      <c r="W2515" t="n">
        <v/>
      </c>
      <c r="X2515" t="n">
        <v/>
      </c>
      <c r="Y2515" t="n">
        <v/>
      </c>
      <c r="Z2515" t="n">
        <v/>
      </c>
      <c r="AA2515">
        <f>SUMIFS($S$2:S2515,$A$2:A2515,A2515,$N$2:N2515,"Explore*")</f>
        <v/>
      </c>
      <c r="AB2515">
        <f>IF(AND(LEFT(N2515,7)="Explore",(AA2515-IF(LEFT(N2515,7)="Explore",S2515,0))&lt;10),"SI","NO")</f>
        <v/>
      </c>
    </row>
    <row r="2516">
      <c r="A2516" t="inlineStr">
        <is>
          <t>c5m3_test</t>
        </is>
      </c>
      <c r="B2516" t="inlineStr">
        <is>
          <t>2026-02-17 16:49:00.306</t>
        </is>
      </c>
      <c r="C2516" t="n">
        <v/>
      </c>
      <c r="D2516" t="inlineStr">
        <is>
          <t>Media file</t>
        </is>
      </c>
      <c r="E2516" t="inlineStr">
        <is>
          <t>player #1:BTBR\test\c5m3.mp4</t>
        </is>
      </c>
      <c r="F2516" t="n">
        <v>-16.2</v>
      </c>
      <c r="G2516" t="n">
        <v>555.933</v>
      </c>
      <c r="H2516" t="n">
        <v>643.266</v>
      </c>
      <c r="I2516" t="n">
        <v>30</v>
      </c>
      <c r="J2516" t="inlineStr">
        <is>
          <t>BTBR</t>
        </is>
      </c>
      <c r="K2516" t="inlineStr">
        <is>
          <t>Male</t>
        </is>
      </c>
      <c r="L2516" t="inlineStr">
        <is>
          <t>No focal subject</t>
        </is>
      </c>
      <c r="M2516" t="n">
        <v>47.963</v>
      </c>
      <c r="N2516" t="inlineStr">
        <is>
          <t>Explore_F</t>
        </is>
      </c>
      <c r="O2516" t="inlineStr">
        <is>
          <t>Familiar</t>
        </is>
      </c>
      <c r="P2516" t="inlineStr">
        <is>
          <t>STATE</t>
        </is>
      </c>
      <c r="Q2516" t="n">
        <v>15.5</v>
      </c>
      <c r="R2516" t="n">
        <v>16.4</v>
      </c>
      <c r="S2516" t="n">
        <v>0.9</v>
      </c>
      <c r="T2516" t="inlineStr">
        <is>
          <t>BTBR\test\c5m3.mp4</t>
        </is>
      </c>
      <c r="U2516" t="n">
        <v>467</v>
      </c>
      <c r="V2516" t="n">
        <v>492</v>
      </c>
      <c r="W2516" t="n">
        <v/>
      </c>
      <c r="X2516" t="n">
        <v/>
      </c>
      <c r="Y2516" t="n">
        <v/>
      </c>
      <c r="Z2516" t="n">
        <v/>
      </c>
      <c r="AA2516">
        <f>SUMIFS($S$2:S2516,$A$2:A2516,A2516,$N$2:N2516,"Explore*")</f>
        <v/>
      </c>
      <c r="AB2516">
        <f>IF(AND(LEFT(N2516,7)="Explore",(AA2516-IF(LEFT(N2516,7)="Explore",S2516,0))&lt;10),"SI","NO")</f>
        <v/>
      </c>
    </row>
    <row r="2517">
      <c r="A2517" t="inlineStr">
        <is>
          <t>c5m3_test</t>
        </is>
      </c>
      <c r="B2517" t="inlineStr">
        <is>
          <t>2026-02-17 16:49:00.306</t>
        </is>
      </c>
      <c r="C2517" t="n">
        <v/>
      </c>
      <c r="D2517" t="inlineStr">
        <is>
          <t>Media file</t>
        </is>
      </c>
      <c r="E2517" t="inlineStr">
        <is>
          <t>player #1:BTBR\test\c5m3.mp4</t>
        </is>
      </c>
      <c r="F2517" t="n">
        <v>-16.2</v>
      </c>
      <c r="G2517" t="n">
        <v>555.933</v>
      </c>
      <c r="H2517" t="n">
        <v>643.266</v>
      </c>
      <c r="I2517" t="n">
        <v>30</v>
      </c>
      <c r="J2517" t="inlineStr">
        <is>
          <t>BTBR</t>
        </is>
      </c>
      <c r="K2517" t="inlineStr">
        <is>
          <t>Male</t>
        </is>
      </c>
      <c r="L2517" t="inlineStr">
        <is>
          <t>No focal subject</t>
        </is>
      </c>
      <c r="M2517" t="n">
        <v>47.963</v>
      </c>
      <c r="N2517" t="inlineStr">
        <is>
          <t>Explore_N</t>
        </is>
      </c>
      <c r="O2517" t="inlineStr">
        <is>
          <t>Novelty</t>
        </is>
      </c>
      <c r="P2517" t="inlineStr">
        <is>
          <t>STATE</t>
        </is>
      </c>
      <c r="Q2517" t="n">
        <v>17.433</v>
      </c>
      <c r="R2517" t="n">
        <v>18.5</v>
      </c>
      <c r="S2517" t="n">
        <v>1.067</v>
      </c>
      <c r="T2517" t="inlineStr">
        <is>
          <t>BTBR\test\c5m3.mp4</t>
        </is>
      </c>
      <c r="U2517" t="n">
        <v>523</v>
      </c>
      <c r="V2517" t="n">
        <v>557</v>
      </c>
      <c r="W2517" t="n">
        <v/>
      </c>
      <c r="X2517" t="n">
        <v/>
      </c>
      <c r="Y2517" t="n">
        <v/>
      </c>
      <c r="Z2517" t="n">
        <v/>
      </c>
      <c r="AA2517">
        <f>SUMIFS($S$2:S2517,$A$2:A2517,A2517,$N$2:N2517,"Explore*")</f>
        <v/>
      </c>
      <c r="AB2517">
        <f>IF(AND(LEFT(N2517,7)="Explore",(AA2517-IF(LEFT(N2517,7)="Explore",S2517,0))&lt;10),"SI","NO")</f>
        <v/>
      </c>
    </row>
    <row r="2518">
      <c r="A2518" t="inlineStr">
        <is>
          <t>c5m3_test</t>
        </is>
      </c>
      <c r="B2518" t="inlineStr">
        <is>
          <t>2026-02-17 16:49:00.306</t>
        </is>
      </c>
      <c r="C2518" t="n">
        <v/>
      </c>
      <c r="D2518" t="inlineStr">
        <is>
          <t>Media file</t>
        </is>
      </c>
      <c r="E2518" t="inlineStr">
        <is>
          <t>player #1:BTBR\test\c5m3.mp4</t>
        </is>
      </c>
      <c r="F2518" t="n">
        <v>-16.2</v>
      </c>
      <c r="G2518" t="n">
        <v>555.933</v>
      </c>
      <c r="H2518" t="n">
        <v>643.266</v>
      </c>
      <c r="I2518" t="n">
        <v>30</v>
      </c>
      <c r="J2518" t="inlineStr">
        <is>
          <t>BTBR</t>
        </is>
      </c>
      <c r="K2518" t="inlineStr">
        <is>
          <t>Male</t>
        </is>
      </c>
      <c r="L2518" t="inlineStr">
        <is>
          <t>No focal subject</t>
        </is>
      </c>
      <c r="M2518" t="n">
        <v>47.963</v>
      </c>
      <c r="N2518" t="inlineStr">
        <is>
          <t>Explore_N</t>
        </is>
      </c>
      <c r="O2518" t="inlineStr">
        <is>
          <t>Novelty</t>
        </is>
      </c>
      <c r="P2518" t="inlineStr">
        <is>
          <t>STATE</t>
        </is>
      </c>
      <c r="Q2518" t="n">
        <v>26.333</v>
      </c>
      <c r="R2518" t="n">
        <v>27.7</v>
      </c>
      <c r="S2518" t="n">
        <v>1.367</v>
      </c>
      <c r="T2518" t="inlineStr">
        <is>
          <t>BTBR\test\c5m3.mp4</t>
        </is>
      </c>
      <c r="U2518" t="n">
        <v>790</v>
      </c>
      <c r="V2518" t="n">
        <v>831</v>
      </c>
      <c r="W2518" t="n">
        <v/>
      </c>
      <c r="X2518" t="n">
        <v/>
      </c>
      <c r="Y2518" t="n">
        <v/>
      </c>
      <c r="Z2518" t="n">
        <v/>
      </c>
      <c r="AA2518">
        <f>SUMIFS($S$2:S2518,$A$2:A2518,A2518,$N$2:N2518,"Explore*")</f>
        <v/>
      </c>
      <c r="AB2518">
        <f>IF(AND(LEFT(N2518,7)="Explore",(AA2518-IF(LEFT(N2518,7)="Explore",S2518,0))&lt;10),"SI","NO")</f>
        <v/>
      </c>
    </row>
    <row r="2519">
      <c r="A2519" t="inlineStr">
        <is>
          <t>c5m3_test</t>
        </is>
      </c>
      <c r="B2519" t="inlineStr">
        <is>
          <t>2026-02-17 16:49:00.306</t>
        </is>
      </c>
      <c r="C2519" t="n">
        <v/>
      </c>
      <c r="D2519" t="inlineStr">
        <is>
          <t>Media file</t>
        </is>
      </c>
      <c r="E2519" t="inlineStr">
        <is>
          <t>player #1:BTBR\test\c5m3.mp4</t>
        </is>
      </c>
      <c r="F2519" t="n">
        <v>-16.2</v>
      </c>
      <c r="G2519" t="n">
        <v>555.933</v>
      </c>
      <c r="H2519" t="n">
        <v>643.266</v>
      </c>
      <c r="I2519" t="n">
        <v>30</v>
      </c>
      <c r="J2519" t="inlineStr">
        <is>
          <t>BTBR</t>
        </is>
      </c>
      <c r="K2519" t="inlineStr">
        <is>
          <t>Male</t>
        </is>
      </c>
      <c r="L2519" t="inlineStr">
        <is>
          <t>No focal subject</t>
        </is>
      </c>
      <c r="M2519" t="n">
        <v>47.963</v>
      </c>
      <c r="N2519" t="inlineStr">
        <is>
          <t>Explore_N</t>
        </is>
      </c>
      <c r="O2519" t="inlineStr">
        <is>
          <t>Novelty</t>
        </is>
      </c>
      <c r="P2519" t="inlineStr">
        <is>
          <t>STATE</t>
        </is>
      </c>
      <c r="Q2519" t="n">
        <v>31.1</v>
      </c>
      <c r="R2519" t="n">
        <v>31.6</v>
      </c>
      <c r="S2519" t="n">
        <v>0.5</v>
      </c>
      <c r="T2519" t="inlineStr">
        <is>
          <t>BTBR\test\c5m3.mp4</t>
        </is>
      </c>
      <c r="U2519" t="n">
        <v>933</v>
      </c>
      <c r="V2519" t="n">
        <v>948</v>
      </c>
      <c r="W2519" t="n">
        <v/>
      </c>
      <c r="X2519" t="n">
        <v/>
      </c>
      <c r="Y2519" t="n">
        <v/>
      </c>
      <c r="Z2519" t="n">
        <v/>
      </c>
      <c r="AA2519">
        <f>SUMIFS($S$2:S2519,$A$2:A2519,A2519,$N$2:N2519,"Explore*")</f>
        <v/>
      </c>
      <c r="AB2519">
        <f>IF(AND(LEFT(N2519,7)="Explore",(AA2519-IF(LEFT(N2519,7)="Explore",S2519,0))&lt;10),"SI","NO")</f>
        <v/>
      </c>
    </row>
    <row r="2520">
      <c r="A2520" t="inlineStr">
        <is>
          <t>c5m3_test</t>
        </is>
      </c>
      <c r="B2520" t="inlineStr">
        <is>
          <t>2026-02-17 16:49:00.306</t>
        </is>
      </c>
      <c r="C2520" t="n">
        <v/>
      </c>
      <c r="D2520" t="inlineStr">
        <is>
          <t>Media file</t>
        </is>
      </c>
      <c r="E2520" t="inlineStr">
        <is>
          <t>player #1:BTBR\test\c5m3.mp4</t>
        </is>
      </c>
      <c r="F2520" t="n">
        <v>-16.2</v>
      </c>
      <c r="G2520" t="n">
        <v>555.933</v>
      </c>
      <c r="H2520" t="n">
        <v>643.266</v>
      </c>
      <c r="I2520" t="n">
        <v>30</v>
      </c>
      <c r="J2520" t="inlineStr">
        <is>
          <t>BTBR</t>
        </is>
      </c>
      <c r="K2520" t="inlineStr">
        <is>
          <t>Male</t>
        </is>
      </c>
      <c r="L2520" t="inlineStr">
        <is>
          <t>No focal subject</t>
        </is>
      </c>
      <c r="M2520" t="n">
        <v>47.963</v>
      </c>
      <c r="N2520" t="inlineStr">
        <is>
          <t>Explore_N</t>
        </is>
      </c>
      <c r="O2520" t="inlineStr">
        <is>
          <t>Novelty</t>
        </is>
      </c>
      <c r="P2520" t="inlineStr">
        <is>
          <t>STATE</t>
        </is>
      </c>
      <c r="Q2520" t="n">
        <v>32.367</v>
      </c>
      <c r="R2520" t="n">
        <v>32.7</v>
      </c>
      <c r="S2520" t="n">
        <v>0.333</v>
      </c>
      <c r="T2520" t="inlineStr">
        <is>
          <t>BTBR\test\c5m3.mp4</t>
        </is>
      </c>
      <c r="U2520" t="n">
        <v>971</v>
      </c>
      <c r="V2520" t="n">
        <v>981</v>
      </c>
      <c r="W2520" t="n">
        <v/>
      </c>
      <c r="X2520" t="n">
        <v/>
      </c>
      <c r="Y2520" t="n">
        <v/>
      </c>
      <c r="Z2520" t="n">
        <v/>
      </c>
      <c r="AA2520">
        <f>SUMIFS($S$2:S2520,$A$2:A2520,A2520,$N$2:N2520,"Explore*")</f>
        <v/>
      </c>
      <c r="AB2520">
        <f>IF(AND(LEFT(N2520,7)="Explore",(AA2520-IF(LEFT(N2520,7)="Explore",S2520,0))&lt;10),"SI","NO")</f>
        <v/>
      </c>
    </row>
    <row r="2521">
      <c r="A2521" t="inlineStr">
        <is>
          <t>c5m3_test</t>
        </is>
      </c>
      <c r="B2521" t="inlineStr">
        <is>
          <t>2026-02-17 16:49:00.306</t>
        </is>
      </c>
      <c r="C2521" t="n">
        <v/>
      </c>
      <c r="D2521" t="inlineStr">
        <is>
          <t>Media file</t>
        </is>
      </c>
      <c r="E2521" t="inlineStr">
        <is>
          <t>player #1:BTBR\test\c5m3.mp4</t>
        </is>
      </c>
      <c r="F2521" t="n">
        <v>-16.2</v>
      </c>
      <c r="G2521" t="n">
        <v>555.933</v>
      </c>
      <c r="H2521" t="n">
        <v>643.266</v>
      </c>
      <c r="I2521" t="n">
        <v>30</v>
      </c>
      <c r="J2521" t="inlineStr">
        <is>
          <t>BTBR</t>
        </is>
      </c>
      <c r="K2521" t="inlineStr">
        <is>
          <t>Male</t>
        </is>
      </c>
      <c r="L2521" t="inlineStr">
        <is>
          <t>No focal subject</t>
        </is>
      </c>
      <c r="M2521" t="n">
        <v>47.963</v>
      </c>
      <c r="N2521" t="inlineStr">
        <is>
          <t>Explore_F</t>
        </is>
      </c>
      <c r="O2521" t="inlineStr">
        <is>
          <t>Familiar</t>
        </is>
      </c>
      <c r="P2521" t="inlineStr">
        <is>
          <t>STATE</t>
        </is>
      </c>
      <c r="Q2521" t="n">
        <v>33.567</v>
      </c>
      <c r="R2521" t="n">
        <v>33.833</v>
      </c>
      <c r="S2521" t="n">
        <v>0.266</v>
      </c>
      <c r="T2521" t="inlineStr">
        <is>
          <t>BTBR\test\c5m3.mp4</t>
        </is>
      </c>
      <c r="U2521" t="n">
        <v>1007</v>
      </c>
      <c r="V2521" t="n">
        <v>1015</v>
      </c>
      <c r="W2521" t="n">
        <v/>
      </c>
      <c r="X2521" t="n">
        <v/>
      </c>
      <c r="Y2521" t="n">
        <v/>
      </c>
      <c r="Z2521" t="n">
        <v/>
      </c>
      <c r="AA2521">
        <f>SUMIFS($S$2:S2521,$A$2:A2521,A2521,$N$2:N2521,"Explore*")</f>
        <v/>
      </c>
      <c r="AB2521">
        <f>IF(AND(LEFT(N2521,7)="Explore",(AA2521-IF(LEFT(N2521,7)="Explore",S2521,0))&lt;10),"SI","NO")</f>
        <v/>
      </c>
    </row>
    <row r="2522">
      <c r="A2522" t="inlineStr">
        <is>
          <t>c5m3_test</t>
        </is>
      </c>
      <c r="B2522" t="inlineStr">
        <is>
          <t>2026-02-17 16:49:00.306</t>
        </is>
      </c>
      <c r="C2522" t="n">
        <v/>
      </c>
      <c r="D2522" t="inlineStr">
        <is>
          <t>Media file</t>
        </is>
      </c>
      <c r="E2522" t="inlineStr">
        <is>
          <t>player #1:BTBR\test\c5m3.mp4</t>
        </is>
      </c>
      <c r="F2522" t="n">
        <v>-16.2</v>
      </c>
      <c r="G2522" t="n">
        <v>555.933</v>
      </c>
      <c r="H2522" t="n">
        <v>643.266</v>
      </c>
      <c r="I2522" t="n">
        <v>30</v>
      </c>
      <c r="J2522" t="inlineStr">
        <is>
          <t>BTBR</t>
        </is>
      </c>
      <c r="K2522" t="inlineStr">
        <is>
          <t>Male</t>
        </is>
      </c>
      <c r="L2522" t="inlineStr">
        <is>
          <t>No focal subject</t>
        </is>
      </c>
      <c r="M2522" t="n">
        <v>47.963</v>
      </c>
      <c r="N2522" t="inlineStr">
        <is>
          <t>Explore_N</t>
        </is>
      </c>
      <c r="O2522" t="inlineStr">
        <is>
          <t>Novelty</t>
        </is>
      </c>
      <c r="P2522" t="inlineStr">
        <is>
          <t>STATE</t>
        </is>
      </c>
      <c r="Q2522" t="n">
        <v>34.467</v>
      </c>
      <c r="R2522" t="n">
        <v>35.8</v>
      </c>
      <c r="S2522" t="n">
        <v>1.333</v>
      </c>
      <c r="T2522" t="inlineStr">
        <is>
          <t>BTBR\test\c5m3.mp4</t>
        </is>
      </c>
      <c r="U2522" t="n">
        <v>1034</v>
      </c>
      <c r="V2522" t="n">
        <v>1074</v>
      </c>
      <c r="W2522" t="n">
        <v/>
      </c>
      <c r="X2522" t="n">
        <v/>
      </c>
      <c r="Y2522" t="n">
        <v/>
      </c>
      <c r="Z2522" t="n">
        <v/>
      </c>
      <c r="AA2522">
        <f>SUMIFS($S$2:S2522,$A$2:A2522,A2522,$N$2:N2522,"Explore*")</f>
        <v/>
      </c>
      <c r="AB2522">
        <f>IF(AND(LEFT(N2522,7)="Explore",(AA2522-IF(LEFT(N2522,7)="Explore",S2522,0))&lt;10),"SI","NO")</f>
        <v/>
      </c>
    </row>
    <row r="2523">
      <c r="A2523" t="inlineStr">
        <is>
          <t>c5m3_test</t>
        </is>
      </c>
      <c r="B2523" t="inlineStr">
        <is>
          <t>2026-02-17 16:49:00.306</t>
        </is>
      </c>
      <c r="C2523" t="n">
        <v/>
      </c>
      <c r="D2523" t="inlineStr">
        <is>
          <t>Media file</t>
        </is>
      </c>
      <c r="E2523" t="inlineStr">
        <is>
          <t>player #1:BTBR\test\c5m3.mp4</t>
        </is>
      </c>
      <c r="F2523" t="n">
        <v>-16.2</v>
      </c>
      <c r="G2523" t="n">
        <v>555.933</v>
      </c>
      <c r="H2523" t="n">
        <v>643.266</v>
      </c>
      <c r="I2523" t="n">
        <v>30</v>
      </c>
      <c r="J2523" t="inlineStr">
        <is>
          <t>BTBR</t>
        </is>
      </c>
      <c r="K2523" t="inlineStr">
        <is>
          <t>Male</t>
        </is>
      </c>
      <c r="L2523" t="inlineStr">
        <is>
          <t>No focal subject</t>
        </is>
      </c>
      <c r="M2523" t="n">
        <v>47.963</v>
      </c>
      <c r="N2523" t="inlineStr">
        <is>
          <t>Explore_F</t>
        </is>
      </c>
      <c r="O2523" t="inlineStr">
        <is>
          <t>Familiar</t>
        </is>
      </c>
      <c r="P2523" t="inlineStr">
        <is>
          <t>STATE</t>
        </is>
      </c>
      <c r="Q2523" t="n">
        <v>43.6</v>
      </c>
      <c r="R2523" t="n">
        <v>44.267</v>
      </c>
      <c r="S2523" t="n">
        <v>0.667</v>
      </c>
      <c r="T2523" t="inlineStr">
        <is>
          <t>BTBR\test\c5m3.mp4</t>
        </is>
      </c>
      <c r="U2523" t="n">
        <v>1307</v>
      </c>
      <c r="V2523" t="n">
        <v>1327</v>
      </c>
      <c r="W2523" t="n">
        <v/>
      </c>
      <c r="X2523" t="n">
        <v/>
      </c>
      <c r="Y2523" t="n">
        <v/>
      </c>
      <c r="Z2523" t="n">
        <v/>
      </c>
      <c r="AA2523">
        <f>SUMIFS($S$2:S2523,$A$2:A2523,A2523,$N$2:N2523,"Explore*")</f>
        <v/>
      </c>
      <c r="AB2523">
        <f>IF(AND(LEFT(N2523,7)="Explore",(AA2523-IF(LEFT(N2523,7)="Explore",S2523,0))&lt;10),"SI","NO")</f>
        <v/>
      </c>
    </row>
    <row r="2524">
      <c r="A2524" t="inlineStr">
        <is>
          <t>c5m3_test</t>
        </is>
      </c>
      <c r="B2524" t="inlineStr">
        <is>
          <t>2026-02-17 16:49:00.306</t>
        </is>
      </c>
      <c r="C2524" t="n">
        <v/>
      </c>
      <c r="D2524" t="inlineStr">
        <is>
          <t>Media file</t>
        </is>
      </c>
      <c r="E2524" t="inlineStr">
        <is>
          <t>player #1:BTBR\test\c5m3.mp4</t>
        </is>
      </c>
      <c r="F2524" t="n">
        <v>-16.2</v>
      </c>
      <c r="G2524" t="n">
        <v>555.933</v>
      </c>
      <c r="H2524" t="n">
        <v>643.266</v>
      </c>
      <c r="I2524" t="n">
        <v>30</v>
      </c>
      <c r="J2524" t="inlineStr">
        <is>
          <t>BTBR</t>
        </is>
      </c>
      <c r="K2524" t="inlineStr">
        <is>
          <t>Male</t>
        </is>
      </c>
      <c r="L2524" t="inlineStr">
        <is>
          <t>No focal subject</t>
        </is>
      </c>
      <c r="M2524" t="n">
        <v>47.963</v>
      </c>
      <c r="N2524" t="inlineStr">
        <is>
          <t>Explore_N</t>
        </is>
      </c>
      <c r="O2524" t="inlineStr">
        <is>
          <t>Novelty</t>
        </is>
      </c>
      <c r="P2524" t="inlineStr">
        <is>
          <t>STATE</t>
        </is>
      </c>
      <c r="Q2524" t="n">
        <v>45.6</v>
      </c>
      <c r="R2524" t="n">
        <v>46.533</v>
      </c>
      <c r="S2524" t="n">
        <v>0.9330000000000001</v>
      </c>
      <c r="T2524" t="inlineStr">
        <is>
          <t>BTBR\test\c5m3.mp4</t>
        </is>
      </c>
      <c r="U2524" t="n">
        <v>1367</v>
      </c>
      <c r="V2524" t="n">
        <v>1396</v>
      </c>
      <c r="W2524" t="n">
        <v/>
      </c>
      <c r="X2524" t="n">
        <v/>
      </c>
      <c r="Y2524" t="n">
        <v/>
      </c>
      <c r="Z2524" t="n">
        <v/>
      </c>
      <c r="AA2524">
        <f>SUMIFS($S$2:S2524,$A$2:A2524,A2524,$N$2:N2524,"Explore*")</f>
        <v/>
      </c>
      <c r="AB2524">
        <f>IF(AND(LEFT(N2524,7)="Explore",(AA2524-IF(LEFT(N2524,7)="Explore",S2524,0))&lt;10),"SI","NO")</f>
        <v/>
      </c>
    </row>
    <row r="2525">
      <c r="A2525" t="inlineStr">
        <is>
          <t>c5m3_test</t>
        </is>
      </c>
      <c r="B2525" t="inlineStr">
        <is>
          <t>2026-02-17 16:49:00.306</t>
        </is>
      </c>
      <c r="C2525" t="n">
        <v/>
      </c>
      <c r="D2525" t="inlineStr">
        <is>
          <t>Media file</t>
        </is>
      </c>
      <c r="E2525" t="inlineStr">
        <is>
          <t>player #1:BTBR\test\c5m3.mp4</t>
        </is>
      </c>
      <c r="F2525" t="n">
        <v>-16.2</v>
      </c>
      <c r="G2525" t="n">
        <v>555.933</v>
      </c>
      <c r="H2525" t="n">
        <v>643.266</v>
      </c>
      <c r="I2525" t="n">
        <v>30</v>
      </c>
      <c r="J2525" t="inlineStr">
        <is>
          <t>BTBR</t>
        </is>
      </c>
      <c r="K2525" t="inlineStr">
        <is>
          <t>Male</t>
        </is>
      </c>
      <c r="L2525" t="inlineStr">
        <is>
          <t>No focal subject</t>
        </is>
      </c>
      <c r="M2525" t="n">
        <v>47.963</v>
      </c>
      <c r="N2525" t="inlineStr">
        <is>
          <t>Explore_F</t>
        </is>
      </c>
      <c r="O2525" t="inlineStr">
        <is>
          <t>Familiar</t>
        </is>
      </c>
      <c r="P2525" t="inlineStr">
        <is>
          <t>STATE</t>
        </is>
      </c>
      <c r="Q2525" t="n">
        <v>68.59999999999999</v>
      </c>
      <c r="R2525" t="n">
        <v>69.3</v>
      </c>
      <c r="S2525" t="n">
        <v>0.7</v>
      </c>
      <c r="T2525" t="inlineStr">
        <is>
          <t>BTBR\test\c5m3.mp4</t>
        </is>
      </c>
      <c r="U2525" t="n">
        <v>2057</v>
      </c>
      <c r="V2525" t="n">
        <v>2078</v>
      </c>
      <c r="W2525" t="n">
        <v/>
      </c>
      <c r="X2525" t="n">
        <v/>
      </c>
      <c r="Y2525" t="n">
        <v/>
      </c>
      <c r="Z2525" t="n">
        <v/>
      </c>
      <c r="AA2525">
        <f>SUMIFS($S$2:S2525,$A$2:A2525,A2525,$N$2:N2525,"Explore*")</f>
        <v/>
      </c>
      <c r="AB2525">
        <f>IF(AND(LEFT(N2525,7)="Explore",(AA2525-IF(LEFT(N2525,7)="Explore",S2525,0))&lt;10),"SI","NO")</f>
        <v/>
      </c>
    </row>
    <row r="2526">
      <c r="A2526" t="inlineStr">
        <is>
          <t>c5m3_test</t>
        </is>
      </c>
      <c r="B2526" t="inlineStr">
        <is>
          <t>2026-02-17 16:49:00.306</t>
        </is>
      </c>
      <c r="C2526" t="n">
        <v/>
      </c>
      <c r="D2526" t="inlineStr">
        <is>
          <t>Media file</t>
        </is>
      </c>
      <c r="E2526" t="inlineStr">
        <is>
          <t>player #1:BTBR\test\c5m3.mp4</t>
        </is>
      </c>
      <c r="F2526" t="n">
        <v>-16.2</v>
      </c>
      <c r="G2526" t="n">
        <v>555.933</v>
      </c>
      <c r="H2526" t="n">
        <v>643.266</v>
      </c>
      <c r="I2526" t="n">
        <v>30</v>
      </c>
      <c r="J2526" t="inlineStr">
        <is>
          <t>BTBR</t>
        </is>
      </c>
      <c r="K2526" t="inlineStr">
        <is>
          <t>Male</t>
        </is>
      </c>
      <c r="L2526" t="inlineStr">
        <is>
          <t>No focal subject</t>
        </is>
      </c>
      <c r="M2526" t="n">
        <v>47.963</v>
      </c>
      <c r="N2526" t="inlineStr">
        <is>
          <t>Explore_N</t>
        </is>
      </c>
      <c r="O2526" t="inlineStr">
        <is>
          <t>Novelty</t>
        </is>
      </c>
      <c r="P2526" t="inlineStr">
        <is>
          <t>STATE</t>
        </is>
      </c>
      <c r="Q2526" t="n">
        <v>70.767</v>
      </c>
      <c r="R2526" t="n">
        <v>71.93300000000001</v>
      </c>
      <c r="S2526" t="n">
        <v>1.166</v>
      </c>
      <c r="T2526" t="inlineStr">
        <is>
          <t>BTBR\test\c5m3.mp4</t>
        </is>
      </c>
      <c r="U2526" t="n">
        <v>2122</v>
      </c>
      <c r="V2526" t="n">
        <v>2157</v>
      </c>
      <c r="W2526" t="n">
        <v/>
      </c>
      <c r="X2526" t="n">
        <v/>
      </c>
      <c r="Y2526" t="n">
        <v/>
      </c>
      <c r="Z2526" t="n">
        <v/>
      </c>
      <c r="AA2526">
        <f>SUMIFS($S$2:S2526,$A$2:A2526,A2526,$N$2:N2526,"Explore*")</f>
        <v/>
      </c>
      <c r="AB2526">
        <f>IF(AND(LEFT(N2526,7)="Explore",(AA2526-IF(LEFT(N2526,7)="Explore",S2526,0))&lt;10),"SI","NO")</f>
        <v/>
      </c>
    </row>
    <row r="2527">
      <c r="A2527" t="inlineStr">
        <is>
          <t>c5m3_test</t>
        </is>
      </c>
      <c r="B2527" t="inlineStr">
        <is>
          <t>2026-02-17 16:49:00.306</t>
        </is>
      </c>
      <c r="C2527" t="n">
        <v/>
      </c>
      <c r="D2527" t="inlineStr">
        <is>
          <t>Media file</t>
        </is>
      </c>
      <c r="E2527" t="inlineStr">
        <is>
          <t>player #1:BTBR\test\c5m3.mp4</t>
        </is>
      </c>
      <c r="F2527" t="n">
        <v>-16.2</v>
      </c>
      <c r="G2527" t="n">
        <v>555.933</v>
      </c>
      <c r="H2527" t="n">
        <v>643.266</v>
      </c>
      <c r="I2527" t="n">
        <v>30</v>
      </c>
      <c r="J2527" t="inlineStr">
        <is>
          <t>BTBR</t>
        </is>
      </c>
      <c r="K2527" t="inlineStr">
        <is>
          <t>Male</t>
        </is>
      </c>
      <c r="L2527" t="inlineStr">
        <is>
          <t>No focal subject</t>
        </is>
      </c>
      <c r="M2527" t="n">
        <v>47.963</v>
      </c>
      <c r="N2527" t="inlineStr">
        <is>
          <t>Explore_N</t>
        </is>
      </c>
      <c r="O2527" t="inlineStr">
        <is>
          <t>Novelty</t>
        </is>
      </c>
      <c r="P2527" t="inlineStr">
        <is>
          <t>STATE</t>
        </is>
      </c>
      <c r="Q2527" t="n">
        <v>74.06699999999999</v>
      </c>
      <c r="R2527" t="n">
        <v>75.967</v>
      </c>
      <c r="S2527" t="n">
        <v>1.9</v>
      </c>
      <c r="T2527" t="inlineStr">
        <is>
          <t>BTBR\test\c5m3.mp4</t>
        </is>
      </c>
      <c r="U2527" t="n">
        <v>2221</v>
      </c>
      <c r="V2527" t="n">
        <v>2278</v>
      </c>
      <c r="W2527" t="n">
        <v/>
      </c>
      <c r="X2527" t="n">
        <v/>
      </c>
      <c r="Y2527" t="n">
        <v/>
      </c>
      <c r="Z2527" t="n">
        <v/>
      </c>
      <c r="AA2527">
        <f>SUMIFS($S$2:S2527,$A$2:A2527,A2527,$N$2:N2527,"Explore*")</f>
        <v/>
      </c>
      <c r="AB2527">
        <f>IF(AND(LEFT(N2527,7)="Explore",(AA2527-IF(LEFT(N2527,7)="Explore",S2527,0))&lt;10),"SI","NO")</f>
        <v/>
      </c>
    </row>
    <row r="2528">
      <c r="A2528" t="inlineStr">
        <is>
          <t>c5m3_test</t>
        </is>
      </c>
      <c r="B2528" t="inlineStr">
        <is>
          <t>2026-02-17 16:49:00.306</t>
        </is>
      </c>
      <c r="C2528" t="n">
        <v/>
      </c>
      <c r="D2528" t="inlineStr">
        <is>
          <t>Media file</t>
        </is>
      </c>
      <c r="E2528" t="inlineStr">
        <is>
          <t>player #1:BTBR\test\c5m3.mp4</t>
        </is>
      </c>
      <c r="F2528" t="n">
        <v>-16.2</v>
      </c>
      <c r="G2528" t="n">
        <v>555.933</v>
      </c>
      <c r="H2528" t="n">
        <v>643.266</v>
      </c>
      <c r="I2528" t="n">
        <v>30</v>
      </c>
      <c r="J2528" t="inlineStr">
        <is>
          <t>BTBR</t>
        </is>
      </c>
      <c r="K2528" t="inlineStr">
        <is>
          <t>Male</t>
        </is>
      </c>
      <c r="L2528" t="inlineStr">
        <is>
          <t>No focal subject</t>
        </is>
      </c>
      <c r="M2528" t="n">
        <v>47.963</v>
      </c>
      <c r="N2528" t="inlineStr">
        <is>
          <t>Explore_F</t>
        </is>
      </c>
      <c r="O2528" t="inlineStr">
        <is>
          <t>Familiar</t>
        </is>
      </c>
      <c r="P2528" t="inlineStr">
        <is>
          <t>STATE</t>
        </is>
      </c>
      <c r="Q2528" t="n">
        <v>77.133</v>
      </c>
      <c r="R2528" t="n">
        <v>78.133</v>
      </c>
      <c r="S2528" t="n">
        <v>1</v>
      </c>
      <c r="T2528" t="inlineStr">
        <is>
          <t>BTBR\test\c5m3.mp4</t>
        </is>
      </c>
      <c r="U2528" t="n">
        <v>2313</v>
      </c>
      <c r="V2528" t="n">
        <v>2343</v>
      </c>
      <c r="W2528" t="n">
        <v/>
      </c>
      <c r="X2528" t="n">
        <v/>
      </c>
      <c r="Y2528" t="n">
        <v/>
      </c>
      <c r="Z2528" t="n">
        <v/>
      </c>
      <c r="AA2528">
        <f>SUMIFS($S$2:S2528,$A$2:A2528,A2528,$N$2:N2528,"Explore*")</f>
        <v/>
      </c>
      <c r="AB2528">
        <f>IF(AND(LEFT(N2528,7)="Explore",(AA2528-IF(LEFT(N2528,7)="Explore",S2528,0))&lt;10),"SI","NO")</f>
        <v/>
      </c>
    </row>
    <row r="2529">
      <c r="A2529" t="inlineStr">
        <is>
          <t>c5m3_test</t>
        </is>
      </c>
      <c r="B2529" t="inlineStr">
        <is>
          <t>2026-02-17 16:49:00.306</t>
        </is>
      </c>
      <c r="C2529" t="n">
        <v/>
      </c>
      <c r="D2529" t="inlineStr">
        <is>
          <t>Media file</t>
        </is>
      </c>
      <c r="E2529" t="inlineStr">
        <is>
          <t>player #1:BTBR\test\c5m3.mp4</t>
        </is>
      </c>
      <c r="F2529" t="n">
        <v>-16.2</v>
      </c>
      <c r="G2529" t="n">
        <v>555.933</v>
      </c>
      <c r="H2529" t="n">
        <v>643.266</v>
      </c>
      <c r="I2529" t="n">
        <v>30</v>
      </c>
      <c r="J2529" t="inlineStr">
        <is>
          <t>BTBR</t>
        </is>
      </c>
      <c r="K2529" t="inlineStr">
        <is>
          <t>Male</t>
        </is>
      </c>
      <c r="L2529" t="inlineStr">
        <is>
          <t>No focal subject</t>
        </is>
      </c>
      <c r="M2529" t="n">
        <v>47.963</v>
      </c>
      <c r="N2529" t="inlineStr">
        <is>
          <t>Explore_N</t>
        </is>
      </c>
      <c r="O2529" t="inlineStr">
        <is>
          <t>Novelty</t>
        </is>
      </c>
      <c r="P2529" t="inlineStr">
        <is>
          <t>STATE</t>
        </is>
      </c>
      <c r="Q2529" t="n">
        <v>83.90000000000001</v>
      </c>
      <c r="R2529" t="n">
        <v>84.8</v>
      </c>
      <c r="S2529" t="n">
        <v>0.9</v>
      </c>
      <c r="T2529" t="inlineStr">
        <is>
          <t>BTBR\test\c5m3.mp4</t>
        </is>
      </c>
      <c r="U2529" t="n">
        <v>2516</v>
      </c>
      <c r="V2529" t="n">
        <v>2543</v>
      </c>
      <c r="W2529" t="n">
        <v/>
      </c>
      <c r="X2529" t="n">
        <v/>
      </c>
      <c r="Y2529" t="n">
        <v/>
      </c>
      <c r="Z2529" t="n">
        <v/>
      </c>
      <c r="AA2529">
        <f>SUMIFS($S$2:S2529,$A$2:A2529,A2529,$N$2:N2529,"Explore*")</f>
        <v/>
      </c>
      <c r="AB2529">
        <f>IF(AND(LEFT(N2529,7)="Explore",(AA2529-IF(LEFT(N2529,7)="Explore",S2529,0))&lt;10),"SI","NO")</f>
        <v/>
      </c>
    </row>
    <row r="2530">
      <c r="A2530" t="inlineStr">
        <is>
          <t>c5m3_test</t>
        </is>
      </c>
      <c r="B2530" t="inlineStr">
        <is>
          <t>2026-02-17 16:49:00.306</t>
        </is>
      </c>
      <c r="C2530" t="n">
        <v/>
      </c>
      <c r="D2530" t="inlineStr">
        <is>
          <t>Media file</t>
        </is>
      </c>
      <c r="E2530" t="inlineStr">
        <is>
          <t>player #1:BTBR\test\c5m3.mp4</t>
        </is>
      </c>
      <c r="F2530" t="n">
        <v>-16.2</v>
      </c>
      <c r="G2530" t="n">
        <v>555.933</v>
      </c>
      <c r="H2530" t="n">
        <v>643.266</v>
      </c>
      <c r="I2530" t="n">
        <v>30</v>
      </c>
      <c r="J2530" t="inlineStr">
        <is>
          <t>BTBR</t>
        </is>
      </c>
      <c r="K2530" t="inlineStr">
        <is>
          <t>Male</t>
        </is>
      </c>
      <c r="L2530" t="inlineStr">
        <is>
          <t>No focal subject</t>
        </is>
      </c>
      <c r="M2530" t="n">
        <v>47.963</v>
      </c>
      <c r="N2530" t="inlineStr">
        <is>
          <t>Explore_F</t>
        </is>
      </c>
      <c r="O2530" t="inlineStr">
        <is>
          <t>Familiar</t>
        </is>
      </c>
      <c r="P2530" t="inlineStr">
        <is>
          <t>STATE</t>
        </is>
      </c>
      <c r="Q2530" t="n">
        <v>89.867</v>
      </c>
      <c r="R2530" t="n">
        <v>90.167</v>
      </c>
      <c r="S2530" t="n">
        <v>0.3</v>
      </c>
      <c r="T2530" t="inlineStr">
        <is>
          <t>BTBR\test\c5m3.mp4</t>
        </is>
      </c>
      <c r="U2530" t="n">
        <v>2695</v>
      </c>
      <c r="V2530" t="n">
        <v>2705</v>
      </c>
      <c r="W2530" t="n">
        <v/>
      </c>
      <c r="X2530" t="n">
        <v/>
      </c>
      <c r="Y2530" t="n">
        <v/>
      </c>
      <c r="Z2530" t="n">
        <v/>
      </c>
      <c r="AA2530">
        <f>SUMIFS($S$2:S2530,$A$2:A2530,A2530,$N$2:N2530,"Explore*")</f>
        <v/>
      </c>
      <c r="AB2530">
        <f>IF(AND(LEFT(N2530,7)="Explore",(AA2530-IF(LEFT(N2530,7)="Explore",S2530,0))&lt;10),"SI","NO")</f>
        <v/>
      </c>
    </row>
    <row r="2531">
      <c r="A2531" t="inlineStr">
        <is>
          <t>c5m3_test</t>
        </is>
      </c>
      <c r="B2531" t="inlineStr">
        <is>
          <t>2026-02-17 16:49:00.306</t>
        </is>
      </c>
      <c r="C2531" t="n">
        <v/>
      </c>
      <c r="D2531" t="inlineStr">
        <is>
          <t>Media file</t>
        </is>
      </c>
      <c r="E2531" t="inlineStr">
        <is>
          <t>player #1:BTBR\test\c5m3.mp4</t>
        </is>
      </c>
      <c r="F2531" t="n">
        <v>-16.2</v>
      </c>
      <c r="G2531" t="n">
        <v>555.933</v>
      </c>
      <c r="H2531" t="n">
        <v>643.266</v>
      </c>
      <c r="I2531" t="n">
        <v>30</v>
      </c>
      <c r="J2531" t="inlineStr">
        <is>
          <t>BTBR</t>
        </is>
      </c>
      <c r="K2531" t="inlineStr">
        <is>
          <t>Male</t>
        </is>
      </c>
      <c r="L2531" t="inlineStr">
        <is>
          <t>No focal subject</t>
        </is>
      </c>
      <c r="M2531" t="n">
        <v>47.963</v>
      </c>
      <c r="N2531" t="inlineStr">
        <is>
          <t>Explore_F</t>
        </is>
      </c>
      <c r="O2531" t="inlineStr">
        <is>
          <t>Familiar</t>
        </is>
      </c>
      <c r="P2531" t="inlineStr">
        <is>
          <t>STATE</t>
        </is>
      </c>
      <c r="Q2531" t="n">
        <v>90.733</v>
      </c>
      <c r="R2531" t="n">
        <v>91.267</v>
      </c>
      <c r="S2531" t="n">
        <v>0.534</v>
      </c>
      <c r="T2531" t="inlineStr">
        <is>
          <t>BTBR\test\c5m3.mp4</t>
        </is>
      </c>
      <c r="U2531" t="n">
        <v>2721</v>
      </c>
      <c r="V2531" t="n">
        <v>2737</v>
      </c>
      <c r="W2531" t="n">
        <v/>
      </c>
      <c r="X2531" t="n">
        <v/>
      </c>
      <c r="Y2531" t="n">
        <v/>
      </c>
      <c r="Z2531" t="n">
        <v/>
      </c>
      <c r="AA2531">
        <f>SUMIFS($S$2:S2531,$A$2:A2531,A2531,$N$2:N2531,"Explore*")</f>
        <v/>
      </c>
      <c r="AB2531">
        <f>IF(AND(LEFT(N2531,7)="Explore",(AA2531-IF(LEFT(N2531,7)="Explore",S2531,0))&lt;10),"SI","NO")</f>
        <v/>
      </c>
    </row>
    <row r="2532">
      <c r="A2532" t="inlineStr">
        <is>
          <t>c5m3_test</t>
        </is>
      </c>
      <c r="B2532" t="inlineStr">
        <is>
          <t>2026-02-17 16:49:00.306</t>
        </is>
      </c>
      <c r="C2532" t="n">
        <v/>
      </c>
      <c r="D2532" t="inlineStr">
        <is>
          <t>Media file</t>
        </is>
      </c>
      <c r="E2532" t="inlineStr">
        <is>
          <t>player #1:BTBR\test\c5m3.mp4</t>
        </is>
      </c>
      <c r="F2532" t="n">
        <v>-16.2</v>
      </c>
      <c r="G2532" t="n">
        <v>555.933</v>
      </c>
      <c r="H2532" t="n">
        <v>643.266</v>
      </c>
      <c r="I2532" t="n">
        <v>30</v>
      </c>
      <c r="J2532" t="inlineStr">
        <is>
          <t>BTBR</t>
        </is>
      </c>
      <c r="K2532" t="inlineStr">
        <is>
          <t>Male</t>
        </is>
      </c>
      <c r="L2532" t="inlineStr">
        <is>
          <t>No focal subject</t>
        </is>
      </c>
      <c r="M2532" t="n">
        <v>47.963</v>
      </c>
      <c r="N2532" t="inlineStr">
        <is>
          <t>Explore_N</t>
        </is>
      </c>
      <c r="O2532" t="inlineStr">
        <is>
          <t>Novelty</t>
        </is>
      </c>
      <c r="P2532" t="inlineStr">
        <is>
          <t>STATE</t>
        </is>
      </c>
      <c r="Q2532" t="n">
        <v>92.033</v>
      </c>
      <c r="R2532" t="n">
        <v>92.43300000000001</v>
      </c>
      <c r="S2532" t="n">
        <v>0.4</v>
      </c>
      <c r="T2532" t="inlineStr">
        <is>
          <t>BTBR\test\c5m3.mp4</t>
        </is>
      </c>
      <c r="U2532" t="n">
        <v>2760</v>
      </c>
      <c r="V2532" t="n">
        <v>2772</v>
      </c>
      <c r="W2532" t="n">
        <v/>
      </c>
      <c r="X2532" t="n">
        <v/>
      </c>
      <c r="Y2532" t="n">
        <v/>
      </c>
      <c r="Z2532" t="n">
        <v/>
      </c>
      <c r="AA2532">
        <f>SUMIFS($S$2:S2532,$A$2:A2532,A2532,$N$2:N2532,"Explore*")</f>
        <v/>
      </c>
      <c r="AB2532">
        <f>IF(AND(LEFT(N2532,7)="Explore",(AA2532-IF(LEFT(N2532,7)="Explore",S2532,0))&lt;10),"SI","NO")</f>
        <v/>
      </c>
    </row>
    <row r="2533">
      <c r="A2533" t="inlineStr">
        <is>
          <t>c5m3_test</t>
        </is>
      </c>
      <c r="B2533" t="inlineStr">
        <is>
          <t>2026-02-17 16:49:00.306</t>
        </is>
      </c>
      <c r="C2533" t="n">
        <v/>
      </c>
      <c r="D2533" t="inlineStr">
        <is>
          <t>Media file</t>
        </is>
      </c>
      <c r="E2533" t="inlineStr">
        <is>
          <t>player #1:BTBR\test\c5m3.mp4</t>
        </is>
      </c>
      <c r="F2533" t="n">
        <v>-16.2</v>
      </c>
      <c r="G2533" t="n">
        <v>555.933</v>
      </c>
      <c r="H2533" t="n">
        <v>643.266</v>
      </c>
      <c r="I2533" t="n">
        <v>30</v>
      </c>
      <c r="J2533" t="inlineStr">
        <is>
          <t>BTBR</t>
        </is>
      </c>
      <c r="K2533" t="inlineStr">
        <is>
          <t>Male</t>
        </is>
      </c>
      <c r="L2533" t="inlineStr">
        <is>
          <t>No focal subject</t>
        </is>
      </c>
      <c r="M2533" t="n">
        <v>47.963</v>
      </c>
      <c r="N2533" t="inlineStr">
        <is>
          <t>Explore_N</t>
        </is>
      </c>
      <c r="O2533" t="inlineStr">
        <is>
          <t>Novelty</t>
        </is>
      </c>
      <c r="P2533" t="inlineStr">
        <is>
          <t>STATE</t>
        </is>
      </c>
      <c r="Q2533" t="n">
        <v>93.733</v>
      </c>
      <c r="R2533" t="n">
        <v>94.733</v>
      </c>
      <c r="S2533" t="n">
        <v>1</v>
      </c>
      <c r="T2533" t="inlineStr">
        <is>
          <t>BTBR\test\c5m3.mp4</t>
        </is>
      </c>
      <c r="U2533" t="n">
        <v>2811</v>
      </c>
      <c r="V2533" t="n">
        <v>2841</v>
      </c>
      <c r="W2533" t="n">
        <v/>
      </c>
      <c r="X2533" t="n">
        <v/>
      </c>
      <c r="Y2533" t="n">
        <v/>
      </c>
      <c r="Z2533" t="n">
        <v/>
      </c>
      <c r="AA2533">
        <f>SUMIFS($S$2:S2533,$A$2:A2533,A2533,$N$2:N2533,"Explore*")</f>
        <v/>
      </c>
      <c r="AB2533">
        <f>IF(AND(LEFT(N2533,7)="Explore",(AA2533-IF(LEFT(N2533,7)="Explore",S2533,0))&lt;10),"SI","NO")</f>
        <v/>
      </c>
    </row>
    <row r="2534">
      <c r="A2534" t="inlineStr">
        <is>
          <t>c5m3_test</t>
        </is>
      </c>
      <c r="B2534" t="inlineStr">
        <is>
          <t>2026-02-17 16:49:00.306</t>
        </is>
      </c>
      <c r="C2534" t="n">
        <v/>
      </c>
      <c r="D2534" t="inlineStr">
        <is>
          <t>Media file</t>
        </is>
      </c>
      <c r="E2534" t="inlineStr">
        <is>
          <t>player #1:BTBR\test\c5m3.mp4</t>
        </is>
      </c>
      <c r="F2534" t="n">
        <v>-16.2</v>
      </c>
      <c r="G2534" t="n">
        <v>555.933</v>
      </c>
      <c r="H2534" t="n">
        <v>643.266</v>
      </c>
      <c r="I2534" t="n">
        <v>30</v>
      </c>
      <c r="J2534" t="inlineStr">
        <is>
          <t>BTBR</t>
        </is>
      </c>
      <c r="K2534" t="inlineStr">
        <is>
          <t>Male</t>
        </is>
      </c>
      <c r="L2534" t="inlineStr">
        <is>
          <t>No focal subject</t>
        </is>
      </c>
      <c r="M2534" t="n">
        <v>47.963</v>
      </c>
      <c r="N2534" t="inlineStr">
        <is>
          <t>Explore_N</t>
        </is>
      </c>
      <c r="O2534" t="inlineStr">
        <is>
          <t>Novelty</t>
        </is>
      </c>
      <c r="P2534" t="inlineStr">
        <is>
          <t>STATE</t>
        </is>
      </c>
      <c r="Q2534" t="n">
        <v>98.167</v>
      </c>
      <c r="R2534" t="n">
        <v>99.5</v>
      </c>
      <c r="S2534" t="n">
        <v>1.333</v>
      </c>
      <c r="T2534" t="inlineStr">
        <is>
          <t>BTBR\test\c5m3.mp4</t>
        </is>
      </c>
      <c r="U2534" t="n">
        <v>2945</v>
      </c>
      <c r="V2534" t="n">
        <v>2984</v>
      </c>
      <c r="W2534" t="n">
        <v/>
      </c>
      <c r="X2534" t="n">
        <v/>
      </c>
      <c r="Y2534" t="n">
        <v/>
      </c>
      <c r="Z2534" t="n">
        <v/>
      </c>
      <c r="AA2534">
        <f>SUMIFS($S$2:S2534,$A$2:A2534,A2534,$N$2:N2534,"Explore*")</f>
        <v/>
      </c>
      <c r="AB2534">
        <f>IF(AND(LEFT(N2534,7)="Explore",(AA2534-IF(LEFT(N2534,7)="Explore",S2534,0))&lt;10),"SI","NO")</f>
        <v/>
      </c>
    </row>
    <row r="2535">
      <c r="A2535" t="inlineStr">
        <is>
          <t>c5m3_test</t>
        </is>
      </c>
      <c r="B2535" t="inlineStr">
        <is>
          <t>2026-02-17 16:49:00.306</t>
        </is>
      </c>
      <c r="C2535" t="n">
        <v/>
      </c>
      <c r="D2535" t="inlineStr">
        <is>
          <t>Media file</t>
        </is>
      </c>
      <c r="E2535" t="inlineStr">
        <is>
          <t>player #1:BTBR\test\c5m3.mp4</t>
        </is>
      </c>
      <c r="F2535" t="n">
        <v>-16.2</v>
      </c>
      <c r="G2535" t="n">
        <v>555.933</v>
      </c>
      <c r="H2535" t="n">
        <v>643.266</v>
      </c>
      <c r="I2535" t="n">
        <v>30</v>
      </c>
      <c r="J2535" t="inlineStr">
        <is>
          <t>BTBR</t>
        </is>
      </c>
      <c r="K2535" t="inlineStr">
        <is>
          <t>Male</t>
        </is>
      </c>
      <c r="L2535" t="inlineStr">
        <is>
          <t>No focal subject</t>
        </is>
      </c>
      <c r="M2535" t="n">
        <v>47.963</v>
      </c>
      <c r="N2535" t="inlineStr">
        <is>
          <t>Explore_F</t>
        </is>
      </c>
      <c r="O2535" t="inlineStr">
        <is>
          <t>Familiar</t>
        </is>
      </c>
      <c r="P2535" t="inlineStr">
        <is>
          <t>STATE</t>
        </is>
      </c>
      <c r="Q2535" t="n">
        <v>101.067</v>
      </c>
      <c r="R2535" t="n">
        <v>101.267</v>
      </c>
      <c r="S2535" t="n">
        <v>0.2</v>
      </c>
      <c r="T2535" t="inlineStr">
        <is>
          <t>BTBR\test\c5m3.mp4</t>
        </is>
      </c>
      <c r="U2535" t="n">
        <v>3031</v>
      </c>
      <c r="V2535" t="n">
        <v>3037</v>
      </c>
      <c r="W2535" t="n">
        <v/>
      </c>
      <c r="X2535" t="n">
        <v/>
      </c>
      <c r="Y2535" t="n">
        <v/>
      </c>
      <c r="Z2535" t="n">
        <v/>
      </c>
      <c r="AA2535">
        <f>SUMIFS($S$2:S2535,$A$2:A2535,A2535,$N$2:N2535,"Explore*")</f>
        <v/>
      </c>
      <c r="AB2535">
        <f>IF(AND(LEFT(N2535,7)="Explore",(AA2535-IF(LEFT(N2535,7)="Explore",S2535,0))&lt;10),"SI","NO")</f>
        <v/>
      </c>
    </row>
    <row r="2536">
      <c r="A2536" t="inlineStr">
        <is>
          <t>c5m3_test</t>
        </is>
      </c>
      <c r="B2536" t="inlineStr">
        <is>
          <t>2026-02-17 16:49:00.306</t>
        </is>
      </c>
      <c r="C2536" t="n">
        <v/>
      </c>
      <c r="D2536" t="inlineStr">
        <is>
          <t>Media file</t>
        </is>
      </c>
      <c r="E2536" t="inlineStr">
        <is>
          <t>player #1:BTBR\test\c5m3.mp4</t>
        </is>
      </c>
      <c r="F2536" t="n">
        <v>-16.2</v>
      </c>
      <c r="G2536" t="n">
        <v>555.933</v>
      </c>
      <c r="H2536" t="n">
        <v>643.266</v>
      </c>
      <c r="I2536" t="n">
        <v>30</v>
      </c>
      <c r="J2536" t="inlineStr">
        <is>
          <t>BTBR</t>
        </is>
      </c>
      <c r="K2536" t="inlineStr">
        <is>
          <t>Male</t>
        </is>
      </c>
      <c r="L2536" t="inlineStr">
        <is>
          <t>No focal subject</t>
        </is>
      </c>
      <c r="M2536" t="n">
        <v>47.963</v>
      </c>
      <c r="N2536" t="inlineStr">
        <is>
          <t>Explore_N</t>
        </is>
      </c>
      <c r="O2536" t="inlineStr">
        <is>
          <t>Novelty</t>
        </is>
      </c>
      <c r="P2536" t="inlineStr">
        <is>
          <t>STATE</t>
        </is>
      </c>
      <c r="Q2536" t="n">
        <v>104.067</v>
      </c>
      <c r="R2536" t="n">
        <v>105.1</v>
      </c>
      <c r="S2536" t="n">
        <v>1.033</v>
      </c>
      <c r="T2536" t="inlineStr">
        <is>
          <t>BTBR\test\c5m3.mp4</t>
        </is>
      </c>
      <c r="U2536" t="n">
        <v>3121</v>
      </c>
      <c r="V2536" t="n">
        <v>3152</v>
      </c>
      <c r="W2536" t="n">
        <v/>
      </c>
      <c r="X2536" t="n">
        <v/>
      </c>
      <c r="Y2536" t="n">
        <v/>
      </c>
      <c r="Z2536" t="n">
        <v/>
      </c>
      <c r="AA2536">
        <f>SUMIFS($S$2:S2536,$A$2:A2536,A2536,$N$2:N2536,"Explore*")</f>
        <v/>
      </c>
      <c r="AB2536">
        <f>IF(AND(LEFT(N2536,7)="Explore",(AA2536-IF(LEFT(N2536,7)="Explore",S2536,0))&lt;10),"SI","NO")</f>
        <v/>
      </c>
    </row>
    <row r="2537">
      <c r="A2537" t="inlineStr">
        <is>
          <t>c5m3_test</t>
        </is>
      </c>
      <c r="B2537" t="inlineStr">
        <is>
          <t>2026-02-17 16:49:00.306</t>
        </is>
      </c>
      <c r="C2537" t="n">
        <v/>
      </c>
      <c r="D2537" t="inlineStr">
        <is>
          <t>Media file</t>
        </is>
      </c>
      <c r="E2537" t="inlineStr">
        <is>
          <t>player #1:BTBR\test\c5m3.mp4</t>
        </is>
      </c>
      <c r="F2537" t="n">
        <v>-16.2</v>
      </c>
      <c r="G2537" t="n">
        <v>555.933</v>
      </c>
      <c r="H2537" t="n">
        <v>643.266</v>
      </c>
      <c r="I2537" t="n">
        <v>30</v>
      </c>
      <c r="J2537" t="inlineStr">
        <is>
          <t>BTBR</t>
        </is>
      </c>
      <c r="K2537" t="inlineStr">
        <is>
          <t>Male</t>
        </is>
      </c>
      <c r="L2537" t="inlineStr">
        <is>
          <t>No focal subject</t>
        </is>
      </c>
      <c r="M2537" t="n">
        <v>47.963</v>
      </c>
      <c r="N2537" t="inlineStr">
        <is>
          <t>Explore_F</t>
        </is>
      </c>
      <c r="O2537" t="inlineStr">
        <is>
          <t>Familiar</t>
        </is>
      </c>
      <c r="P2537" t="inlineStr">
        <is>
          <t>STATE</t>
        </is>
      </c>
      <c r="Q2537" t="n">
        <v>106.4</v>
      </c>
      <c r="R2537" t="n">
        <v>107.1</v>
      </c>
      <c r="S2537" t="n">
        <v>0.7</v>
      </c>
      <c r="T2537" t="inlineStr">
        <is>
          <t>BTBR\test\c5m3.mp4</t>
        </is>
      </c>
      <c r="U2537" t="n">
        <v>3191</v>
      </c>
      <c r="V2537" t="n">
        <v>3212</v>
      </c>
      <c r="W2537" t="n">
        <v/>
      </c>
      <c r="X2537" t="n">
        <v/>
      </c>
      <c r="Y2537" t="n">
        <v/>
      </c>
      <c r="Z2537" t="n">
        <v/>
      </c>
      <c r="AA2537">
        <f>SUMIFS($S$2:S2537,$A$2:A2537,A2537,$N$2:N2537,"Explore*")</f>
        <v/>
      </c>
      <c r="AB2537">
        <f>IF(AND(LEFT(N2537,7)="Explore",(AA2537-IF(LEFT(N2537,7)="Explore",S2537,0))&lt;10),"SI","NO")</f>
        <v/>
      </c>
    </row>
    <row r="2538">
      <c r="A2538" t="inlineStr">
        <is>
          <t>c5m3_test</t>
        </is>
      </c>
      <c r="B2538" t="inlineStr">
        <is>
          <t>2026-02-17 16:49:00.306</t>
        </is>
      </c>
      <c r="C2538" t="n">
        <v/>
      </c>
      <c r="D2538" t="inlineStr">
        <is>
          <t>Media file</t>
        </is>
      </c>
      <c r="E2538" t="inlineStr">
        <is>
          <t>player #1:BTBR\test\c5m3.mp4</t>
        </is>
      </c>
      <c r="F2538" t="n">
        <v>-16.2</v>
      </c>
      <c r="G2538" t="n">
        <v>555.933</v>
      </c>
      <c r="H2538" t="n">
        <v>643.266</v>
      </c>
      <c r="I2538" t="n">
        <v>30</v>
      </c>
      <c r="J2538" t="inlineStr">
        <is>
          <t>BTBR</t>
        </is>
      </c>
      <c r="K2538" t="inlineStr">
        <is>
          <t>Male</t>
        </is>
      </c>
      <c r="L2538" t="inlineStr">
        <is>
          <t>No focal subject</t>
        </is>
      </c>
      <c r="M2538" t="n">
        <v>47.963</v>
      </c>
      <c r="N2538" t="inlineStr">
        <is>
          <t>Explore_N</t>
        </is>
      </c>
      <c r="O2538" t="inlineStr">
        <is>
          <t>Novelty</t>
        </is>
      </c>
      <c r="P2538" t="inlineStr">
        <is>
          <t>STATE</t>
        </is>
      </c>
      <c r="Q2538" t="n">
        <v>121.167</v>
      </c>
      <c r="R2538" t="n">
        <v>121.767</v>
      </c>
      <c r="S2538" t="n">
        <v>0.6</v>
      </c>
      <c r="T2538" t="inlineStr">
        <is>
          <t>BTBR\test\c5m3.mp4</t>
        </is>
      </c>
      <c r="U2538" t="n">
        <v>3635</v>
      </c>
      <c r="V2538" t="n">
        <v>3652</v>
      </c>
      <c r="W2538" t="n">
        <v/>
      </c>
      <c r="X2538" t="n">
        <v/>
      </c>
      <c r="Y2538" t="n">
        <v/>
      </c>
      <c r="Z2538" t="n">
        <v/>
      </c>
      <c r="AA2538">
        <f>SUMIFS($S$2:S2538,$A$2:A2538,A2538,$N$2:N2538,"Explore*")</f>
        <v/>
      </c>
      <c r="AB2538">
        <f>IF(AND(LEFT(N2538,7)="Explore",(AA2538-IF(LEFT(N2538,7)="Explore",S2538,0))&lt;10),"SI","NO")</f>
        <v/>
      </c>
    </row>
    <row r="2539">
      <c r="A2539" t="inlineStr">
        <is>
          <t>c5m3_test</t>
        </is>
      </c>
      <c r="B2539" t="inlineStr">
        <is>
          <t>2026-02-17 16:49:00.306</t>
        </is>
      </c>
      <c r="C2539" t="n">
        <v/>
      </c>
      <c r="D2539" t="inlineStr">
        <is>
          <t>Media file</t>
        </is>
      </c>
      <c r="E2539" t="inlineStr">
        <is>
          <t>player #1:BTBR\test\c5m3.mp4</t>
        </is>
      </c>
      <c r="F2539" t="n">
        <v>-16.2</v>
      </c>
      <c r="G2539" t="n">
        <v>555.933</v>
      </c>
      <c r="H2539" t="n">
        <v>643.266</v>
      </c>
      <c r="I2539" t="n">
        <v>30</v>
      </c>
      <c r="J2539" t="inlineStr">
        <is>
          <t>BTBR</t>
        </is>
      </c>
      <c r="K2539" t="inlineStr">
        <is>
          <t>Male</t>
        </is>
      </c>
      <c r="L2539" t="inlineStr">
        <is>
          <t>No focal subject</t>
        </is>
      </c>
      <c r="M2539" t="n">
        <v>47.963</v>
      </c>
      <c r="N2539" t="inlineStr">
        <is>
          <t>Explore_F</t>
        </is>
      </c>
      <c r="O2539" t="inlineStr">
        <is>
          <t>Familiar</t>
        </is>
      </c>
      <c r="P2539" t="inlineStr">
        <is>
          <t>STATE</t>
        </is>
      </c>
      <c r="Q2539" t="n">
        <v>123.9</v>
      </c>
      <c r="R2539" t="n">
        <v>124.4</v>
      </c>
      <c r="S2539" t="n">
        <v>0.5</v>
      </c>
      <c r="T2539" t="inlineStr">
        <is>
          <t>BTBR\test\c5m3.mp4</t>
        </is>
      </c>
      <c r="U2539" t="n">
        <v>3716</v>
      </c>
      <c r="V2539" t="n">
        <v>3731</v>
      </c>
      <c r="W2539" t="n">
        <v/>
      </c>
      <c r="X2539" t="n">
        <v/>
      </c>
      <c r="Y2539" t="n">
        <v/>
      </c>
      <c r="Z2539" t="n">
        <v/>
      </c>
      <c r="AA2539">
        <f>SUMIFS($S$2:S2539,$A$2:A2539,A2539,$N$2:N2539,"Explore*")</f>
        <v/>
      </c>
      <c r="AB2539">
        <f>IF(AND(LEFT(N2539,7)="Explore",(AA2539-IF(LEFT(N2539,7)="Explore",S2539,0))&lt;10),"SI","NO")</f>
        <v/>
      </c>
    </row>
    <row r="2540">
      <c r="A2540" t="inlineStr">
        <is>
          <t>c5m3_test</t>
        </is>
      </c>
      <c r="B2540" t="inlineStr">
        <is>
          <t>2026-02-17 16:49:00.306</t>
        </is>
      </c>
      <c r="C2540" t="n">
        <v/>
      </c>
      <c r="D2540" t="inlineStr">
        <is>
          <t>Media file</t>
        </is>
      </c>
      <c r="E2540" t="inlineStr">
        <is>
          <t>player #1:BTBR\test\c5m3.mp4</t>
        </is>
      </c>
      <c r="F2540" t="n">
        <v>-16.2</v>
      </c>
      <c r="G2540" t="n">
        <v>555.933</v>
      </c>
      <c r="H2540" t="n">
        <v>643.266</v>
      </c>
      <c r="I2540" t="n">
        <v>30</v>
      </c>
      <c r="J2540" t="inlineStr">
        <is>
          <t>BTBR</t>
        </is>
      </c>
      <c r="K2540" t="inlineStr">
        <is>
          <t>Male</t>
        </is>
      </c>
      <c r="L2540" t="inlineStr">
        <is>
          <t>No focal subject</t>
        </is>
      </c>
      <c r="M2540" t="n">
        <v>47.963</v>
      </c>
      <c r="N2540" t="inlineStr">
        <is>
          <t>Explore_F</t>
        </is>
      </c>
      <c r="O2540" t="inlineStr">
        <is>
          <t>Familiar</t>
        </is>
      </c>
      <c r="P2540" t="inlineStr">
        <is>
          <t>STATE</t>
        </is>
      </c>
      <c r="Q2540" t="n">
        <v>128.167</v>
      </c>
      <c r="R2540" t="n">
        <v>129.167</v>
      </c>
      <c r="S2540" t="n">
        <v>1</v>
      </c>
      <c r="T2540" t="inlineStr">
        <is>
          <t>BTBR\test\c5m3.mp4</t>
        </is>
      </c>
      <c r="U2540" t="n">
        <v>3844</v>
      </c>
      <c r="V2540" t="n">
        <v>3874</v>
      </c>
      <c r="W2540" t="n">
        <v/>
      </c>
      <c r="X2540" t="n">
        <v/>
      </c>
      <c r="Y2540" t="n">
        <v/>
      </c>
      <c r="Z2540" t="n">
        <v/>
      </c>
      <c r="AA2540">
        <f>SUMIFS($S$2:S2540,$A$2:A2540,A2540,$N$2:N2540,"Explore*")</f>
        <v/>
      </c>
      <c r="AB2540">
        <f>IF(AND(LEFT(N2540,7)="Explore",(AA2540-IF(LEFT(N2540,7)="Explore",S2540,0))&lt;10),"SI","NO")</f>
        <v/>
      </c>
    </row>
    <row r="2541">
      <c r="A2541" t="inlineStr">
        <is>
          <t>c5m3_test</t>
        </is>
      </c>
      <c r="B2541" t="inlineStr">
        <is>
          <t>2026-02-17 16:49:00.306</t>
        </is>
      </c>
      <c r="C2541" t="n">
        <v/>
      </c>
      <c r="D2541" t="inlineStr">
        <is>
          <t>Media file</t>
        </is>
      </c>
      <c r="E2541" t="inlineStr">
        <is>
          <t>player #1:BTBR\test\c5m3.mp4</t>
        </is>
      </c>
      <c r="F2541" t="n">
        <v>-16.2</v>
      </c>
      <c r="G2541" t="n">
        <v>555.933</v>
      </c>
      <c r="H2541" t="n">
        <v>643.266</v>
      </c>
      <c r="I2541" t="n">
        <v>30</v>
      </c>
      <c r="J2541" t="inlineStr">
        <is>
          <t>BTBR</t>
        </is>
      </c>
      <c r="K2541" t="inlineStr">
        <is>
          <t>Male</t>
        </is>
      </c>
      <c r="L2541" t="inlineStr">
        <is>
          <t>No focal subject</t>
        </is>
      </c>
      <c r="M2541" t="n">
        <v>47.963</v>
      </c>
      <c r="N2541" t="inlineStr">
        <is>
          <t>Explore_N</t>
        </is>
      </c>
      <c r="O2541" t="inlineStr">
        <is>
          <t>Novelty</t>
        </is>
      </c>
      <c r="P2541" t="inlineStr">
        <is>
          <t>STATE</t>
        </is>
      </c>
      <c r="Q2541" t="n">
        <v>130.4</v>
      </c>
      <c r="R2541" t="n">
        <v>130.567</v>
      </c>
      <c r="S2541" t="n">
        <v>0.167</v>
      </c>
      <c r="T2541" t="inlineStr">
        <is>
          <t>BTBR\test\c5m3.mp4</t>
        </is>
      </c>
      <c r="U2541" t="n">
        <v>3910</v>
      </c>
      <c r="V2541" t="n">
        <v>3915</v>
      </c>
      <c r="W2541" t="n">
        <v/>
      </c>
      <c r="X2541" t="n">
        <v/>
      </c>
      <c r="Y2541" t="n">
        <v/>
      </c>
      <c r="Z2541" t="n">
        <v/>
      </c>
      <c r="AA2541">
        <f>SUMIFS($S$2:S2541,$A$2:A2541,A2541,$N$2:N2541,"Explore*")</f>
        <v/>
      </c>
      <c r="AB2541">
        <f>IF(AND(LEFT(N2541,7)="Explore",(AA2541-IF(LEFT(N2541,7)="Explore",S2541,0))&lt;10),"SI","NO")</f>
        <v/>
      </c>
    </row>
    <row r="2542">
      <c r="A2542" t="inlineStr">
        <is>
          <t>c5m3_test</t>
        </is>
      </c>
      <c r="B2542" t="inlineStr">
        <is>
          <t>2026-02-17 16:49:00.306</t>
        </is>
      </c>
      <c r="C2542" t="n">
        <v/>
      </c>
      <c r="D2542" t="inlineStr">
        <is>
          <t>Media file</t>
        </is>
      </c>
      <c r="E2542" t="inlineStr">
        <is>
          <t>player #1:BTBR\test\c5m3.mp4</t>
        </is>
      </c>
      <c r="F2542" t="n">
        <v>-16.2</v>
      </c>
      <c r="G2542" t="n">
        <v>555.933</v>
      </c>
      <c r="H2542" t="n">
        <v>643.266</v>
      </c>
      <c r="I2542" t="n">
        <v>30</v>
      </c>
      <c r="J2542" t="inlineStr">
        <is>
          <t>BTBR</t>
        </is>
      </c>
      <c r="K2542" t="inlineStr">
        <is>
          <t>Male</t>
        </is>
      </c>
      <c r="L2542" t="inlineStr">
        <is>
          <t>No focal subject</t>
        </is>
      </c>
      <c r="M2542" t="n">
        <v>47.963</v>
      </c>
      <c r="N2542" t="inlineStr">
        <is>
          <t>Explore_N</t>
        </is>
      </c>
      <c r="O2542" t="inlineStr">
        <is>
          <t>Novelty</t>
        </is>
      </c>
      <c r="P2542" t="inlineStr">
        <is>
          <t>STATE</t>
        </is>
      </c>
      <c r="Q2542" t="n">
        <v>164.633</v>
      </c>
      <c r="R2542" t="n">
        <v>166.1</v>
      </c>
      <c r="S2542" t="n">
        <v>1.467</v>
      </c>
      <c r="T2542" t="inlineStr">
        <is>
          <t>BTBR\test\c5m3.mp4</t>
        </is>
      </c>
      <c r="U2542" t="n">
        <v>4937</v>
      </c>
      <c r="V2542" t="n">
        <v>4981</v>
      </c>
      <c r="W2542" t="n">
        <v/>
      </c>
      <c r="X2542" t="n">
        <v/>
      </c>
      <c r="Y2542" t="n">
        <v/>
      </c>
      <c r="Z2542" t="n">
        <v/>
      </c>
      <c r="AA2542">
        <f>SUMIFS($S$2:S2542,$A$2:A2542,A2542,$N$2:N2542,"Explore*")</f>
        <v/>
      </c>
      <c r="AB2542">
        <f>IF(AND(LEFT(N2542,7)="Explore",(AA2542-IF(LEFT(N2542,7)="Explore",S2542,0))&lt;10),"SI","NO")</f>
        <v/>
      </c>
    </row>
    <row r="2543">
      <c r="A2543" t="inlineStr">
        <is>
          <t>c5m3_test</t>
        </is>
      </c>
      <c r="B2543" t="inlineStr">
        <is>
          <t>2026-02-17 16:49:00.306</t>
        </is>
      </c>
      <c r="C2543" t="n">
        <v/>
      </c>
      <c r="D2543" t="inlineStr">
        <is>
          <t>Media file</t>
        </is>
      </c>
      <c r="E2543" t="inlineStr">
        <is>
          <t>player #1:BTBR\test\c5m3.mp4</t>
        </is>
      </c>
      <c r="F2543" t="n">
        <v>-16.2</v>
      </c>
      <c r="G2543" t="n">
        <v>555.933</v>
      </c>
      <c r="H2543" t="n">
        <v>643.266</v>
      </c>
      <c r="I2543" t="n">
        <v>30</v>
      </c>
      <c r="J2543" t="inlineStr">
        <is>
          <t>BTBR</t>
        </is>
      </c>
      <c r="K2543" t="inlineStr">
        <is>
          <t>Male</t>
        </is>
      </c>
      <c r="L2543" t="inlineStr">
        <is>
          <t>No focal subject</t>
        </is>
      </c>
      <c r="M2543" t="n">
        <v>47.963</v>
      </c>
      <c r="N2543" t="inlineStr">
        <is>
          <t>Explore_F</t>
        </is>
      </c>
      <c r="O2543" t="inlineStr">
        <is>
          <t>Familiar</t>
        </is>
      </c>
      <c r="P2543" t="inlineStr">
        <is>
          <t>STATE</t>
        </is>
      </c>
      <c r="Q2543" t="n">
        <v>167.266</v>
      </c>
      <c r="R2543" t="n">
        <v>167.633</v>
      </c>
      <c r="S2543" t="n">
        <v>0.367</v>
      </c>
      <c r="T2543" t="inlineStr">
        <is>
          <t>BTBR\test\c5m3.mp4</t>
        </is>
      </c>
      <c r="U2543" t="n">
        <v>5016</v>
      </c>
      <c r="V2543" t="n">
        <v>5027</v>
      </c>
      <c r="W2543" t="n">
        <v/>
      </c>
      <c r="X2543" t="n">
        <v/>
      </c>
      <c r="Y2543" t="n">
        <v/>
      </c>
      <c r="Z2543" t="n">
        <v/>
      </c>
      <c r="AA2543">
        <f>SUMIFS($S$2:S2543,$A$2:A2543,A2543,$N$2:N2543,"Explore*")</f>
        <v/>
      </c>
      <c r="AB2543">
        <f>IF(AND(LEFT(N2543,7)="Explore",(AA2543-IF(LEFT(N2543,7)="Explore",S2543,0))&lt;10),"SI","NO")</f>
        <v/>
      </c>
    </row>
    <row r="2544">
      <c r="A2544" t="inlineStr">
        <is>
          <t>c5m3_test</t>
        </is>
      </c>
      <c r="B2544" t="inlineStr">
        <is>
          <t>2026-02-17 16:49:00.306</t>
        </is>
      </c>
      <c r="C2544" t="n">
        <v/>
      </c>
      <c r="D2544" t="inlineStr">
        <is>
          <t>Media file</t>
        </is>
      </c>
      <c r="E2544" t="inlineStr">
        <is>
          <t>player #1:BTBR\test\c5m3.mp4</t>
        </is>
      </c>
      <c r="F2544" t="n">
        <v>-16.2</v>
      </c>
      <c r="G2544" t="n">
        <v>555.933</v>
      </c>
      <c r="H2544" t="n">
        <v>643.266</v>
      </c>
      <c r="I2544" t="n">
        <v>30</v>
      </c>
      <c r="J2544" t="inlineStr">
        <is>
          <t>BTBR</t>
        </is>
      </c>
      <c r="K2544" t="inlineStr">
        <is>
          <t>Male</t>
        </is>
      </c>
      <c r="L2544" t="inlineStr">
        <is>
          <t>No focal subject</t>
        </is>
      </c>
      <c r="M2544" t="n">
        <v>47.963</v>
      </c>
      <c r="N2544" t="inlineStr">
        <is>
          <t>Explore_F</t>
        </is>
      </c>
      <c r="O2544" t="inlineStr">
        <is>
          <t>Familiar</t>
        </is>
      </c>
      <c r="P2544" t="inlineStr">
        <is>
          <t>STATE</t>
        </is>
      </c>
      <c r="Q2544" t="n">
        <v>181.6</v>
      </c>
      <c r="R2544" t="n">
        <v>182.333</v>
      </c>
      <c r="S2544" t="n">
        <v>0.733</v>
      </c>
      <c r="T2544" t="inlineStr">
        <is>
          <t>BTBR\test\c5m3.mp4</t>
        </is>
      </c>
      <c r="U2544" t="n">
        <v>5446</v>
      </c>
      <c r="V2544" t="n">
        <v>5468</v>
      </c>
      <c r="W2544" t="n">
        <v/>
      </c>
      <c r="X2544" t="n">
        <v/>
      </c>
      <c r="Y2544" t="n">
        <v/>
      </c>
      <c r="Z2544" t="n">
        <v/>
      </c>
      <c r="AA2544">
        <f>SUMIFS($S$2:S2544,$A$2:A2544,A2544,$N$2:N2544,"Explore*")</f>
        <v/>
      </c>
      <c r="AB2544">
        <f>IF(AND(LEFT(N2544,7)="Explore",(AA2544-IF(LEFT(N2544,7)="Explore",S2544,0))&lt;10),"SI","NO")</f>
        <v/>
      </c>
    </row>
    <row r="2545">
      <c r="A2545" t="inlineStr">
        <is>
          <t>c5m3_test</t>
        </is>
      </c>
      <c r="B2545" t="inlineStr">
        <is>
          <t>2026-02-17 16:49:00.306</t>
        </is>
      </c>
      <c r="C2545" t="n">
        <v/>
      </c>
      <c r="D2545" t="inlineStr">
        <is>
          <t>Media file</t>
        </is>
      </c>
      <c r="E2545" t="inlineStr">
        <is>
          <t>player #1:BTBR\test\c5m3.mp4</t>
        </is>
      </c>
      <c r="F2545" t="n">
        <v>-16.2</v>
      </c>
      <c r="G2545" t="n">
        <v>555.933</v>
      </c>
      <c r="H2545" t="n">
        <v>643.266</v>
      </c>
      <c r="I2545" t="n">
        <v>30</v>
      </c>
      <c r="J2545" t="inlineStr">
        <is>
          <t>BTBR</t>
        </is>
      </c>
      <c r="K2545" t="inlineStr">
        <is>
          <t>Male</t>
        </is>
      </c>
      <c r="L2545" t="inlineStr">
        <is>
          <t>No focal subject</t>
        </is>
      </c>
      <c r="M2545" t="n">
        <v>47.963</v>
      </c>
      <c r="N2545" t="inlineStr">
        <is>
          <t>Explore_N</t>
        </is>
      </c>
      <c r="O2545" t="inlineStr">
        <is>
          <t>Novelty</t>
        </is>
      </c>
      <c r="P2545" t="inlineStr">
        <is>
          <t>STATE</t>
        </is>
      </c>
      <c r="Q2545" t="n">
        <v>190.5</v>
      </c>
      <c r="R2545" t="n">
        <v>191.833</v>
      </c>
      <c r="S2545" t="n">
        <v>1.333</v>
      </c>
      <c r="T2545" t="inlineStr">
        <is>
          <t>BTBR\test\c5m3.mp4</t>
        </is>
      </c>
      <c r="U2545" t="n">
        <v>5713</v>
      </c>
      <c r="V2545" t="n">
        <v>5753</v>
      </c>
      <c r="W2545" t="n">
        <v/>
      </c>
      <c r="X2545" t="n">
        <v/>
      </c>
      <c r="Y2545" t="n">
        <v/>
      </c>
      <c r="Z2545" t="n">
        <v/>
      </c>
      <c r="AA2545">
        <f>SUMIFS($S$2:S2545,$A$2:A2545,A2545,$N$2:N2545,"Explore*")</f>
        <v/>
      </c>
      <c r="AB2545">
        <f>IF(AND(LEFT(N2545,7)="Explore",(AA2545-IF(LEFT(N2545,7)="Explore",S2545,0))&lt;10),"SI","NO")</f>
        <v/>
      </c>
    </row>
    <row r="2546">
      <c r="A2546" t="inlineStr">
        <is>
          <t>c5m3_test</t>
        </is>
      </c>
      <c r="B2546" t="inlineStr">
        <is>
          <t>2026-02-17 16:49:00.306</t>
        </is>
      </c>
      <c r="C2546" t="n">
        <v/>
      </c>
      <c r="D2546" t="inlineStr">
        <is>
          <t>Media file</t>
        </is>
      </c>
      <c r="E2546" t="inlineStr">
        <is>
          <t>player #1:BTBR\test\c5m3.mp4</t>
        </is>
      </c>
      <c r="F2546" t="n">
        <v>-16.2</v>
      </c>
      <c r="G2546" t="n">
        <v>555.933</v>
      </c>
      <c r="H2546" t="n">
        <v>643.266</v>
      </c>
      <c r="I2546" t="n">
        <v>30</v>
      </c>
      <c r="J2546" t="inlineStr">
        <is>
          <t>BTBR</t>
        </is>
      </c>
      <c r="K2546" t="inlineStr">
        <is>
          <t>Male</t>
        </is>
      </c>
      <c r="L2546" t="inlineStr">
        <is>
          <t>No focal subject</t>
        </is>
      </c>
      <c r="M2546" t="n">
        <v>47.963</v>
      </c>
      <c r="N2546" t="inlineStr">
        <is>
          <t>Explore_N</t>
        </is>
      </c>
      <c r="O2546" t="inlineStr">
        <is>
          <t>Novelty</t>
        </is>
      </c>
      <c r="P2546" t="inlineStr">
        <is>
          <t>STATE</t>
        </is>
      </c>
      <c r="Q2546" t="n">
        <v>199.666</v>
      </c>
      <c r="R2546" t="n">
        <v>200.7</v>
      </c>
      <c r="S2546" t="n">
        <v>1.034</v>
      </c>
      <c r="T2546" t="inlineStr">
        <is>
          <t>BTBR\test\c5m3.mp4</t>
        </is>
      </c>
      <c r="U2546" t="n">
        <v>5989</v>
      </c>
      <c r="V2546" t="n">
        <v>6019</v>
      </c>
      <c r="W2546" t="n">
        <v/>
      </c>
      <c r="X2546" t="n">
        <v/>
      </c>
      <c r="Y2546" t="n">
        <v/>
      </c>
      <c r="Z2546" t="n">
        <v/>
      </c>
      <c r="AA2546">
        <f>SUMIFS($S$2:S2546,$A$2:A2546,A2546,$N$2:N2546,"Explore*")</f>
        <v/>
      </c>
      <c r="AB2546">
        <f>IF(AND(LEFT(N2546,7)="Explore",(AA2546-IF(LEFT(N2546,7)="Explore",S2546,0))&lt;10),"SI","NO")</f>
        <v/>
      </c>
    </row>
    <row r="2547">
      <c r="A2547" t="inlineStr">
        <is>
          <t>c5m3_test</t>
        </is>
      </c>
      <c r="B2547" t="inlineStr">
        <is>
          <t>2026-02-17 16:49:00.306</t>
        </is>
      </c>
      <c r="C2547" t="n">
        <v/>
      </c>
      <c r="D2547" t="inlineStr">
        <is>
          <t>Media file</t>
        </is>
      </c>
      <c r="E2547" t="inlineStr">
        <is>
          <t>player #1:BTBR\test\c5m3.mp4</t>
        </is>
      </c>
      <c r="F2547" t="n">
        <v>-16.2</v>
      </c>
      <c r="G2547" t="n">
        <v>555.933</v>
      </c>
      <c r="H2547" t="n">
        <v>643.266</v>
      </c>
      <c r="I2547" t="n">
        <v>30</v>
      </c>
      <c r="J2547" t="inlineStr">
        <is>
          <t>BTBR</t>
        </is>
      </c>
      <c r="K2547" t="inlineStr">
        <is>
          <t>Male</t>
        </is>
      </c>
      <c r="L2547" t="inlineStr">
        <is>
          <t>No focal subject</t>
        </is>
      </c>
      <c r="M2547" t="n">
        <v>47.963</v>
      </c>
      <c r="N2547" t="inlineStr">
        <is>
          <t>Explore_F</t>
        </is>
      </c>
      <c r="O2547" t="inlineStr">
        <is>
          <t>Familiar</t>
        </is>
      </c>
      <c r="P2547" t="inlineStr">
        <is>
          <t>STATE</t>
        </is>
      </c>
      <c r="Q2547" t="n">
        <v>202.1</v>
      </c>
      <c r="R2547" t="n">
        <v>202.4</v>
      </c>
      <c r="S2547" t="n">
        <v>0.3</v>
      </c>
      <c r="T2547" t="inlineStr">
        <is>
          <t>BTBR\test\c5m3.mp4</t>
        </is>
      </c>
      <c r="U2547" t="n">
        <v>6061</v>
      </c>
      <c r="V2547" t="n">
        <v>6070</v>
      </c>
      <c r="W2547" t="n">
        <v/>
      </c>
      <c r="X2547" t="n">
        <v/>
      </c>
      <c r="Y2547" t="n">
        <v/>
      </c>
      <c r="Z2547" t="n">
        <v/>
      </c>
      <c r="AA2547">
        <f>SUMIFS($S$2:S2547,$A$2:A2547,A2547,$N$2:N2547,"Explore*")</f>
        <v/>
      </c>
      <c r="AB2547">
        <f>IF(AND(LEFT(N2547,7)="Explore",(AA2547-IF(LEFT(N2547,7)="Explore",S2547,0))&lt;10),"SI","NO")</f>
        <v/>
      </c>
    </row>
    <row r="2548">
      <c r="A2548" t="inlineStr">
        <is>
          <t>c5m3_test</t>
        </is>
      </c>
      <c r="B2548" t="inlineStr">
        <is>
          <t>2026-02-17 16:49:00.306</t>
        </is>
      </c>
      <c r="C2548" t="n">
        <v/>
      </c>
      <c r="D2548" t="inlineStr">
        <is>
          <t>Media file</t>
        </is>
      </c>
      <c r="E2548" t="inlineStr">
        <is>
          <t>player #1:BTBR\test\c5m3.mp4</t>
        </is>
      </c>
      <c r="F2548" t="n">
        <v>-16.2</v>
      </c>
      <c r="G2548" t="n">
        <v>555.933</v>
      </c>
      <c r="H2548" t="n">
        <v>643.266</v>
      </c>
      <c r="I2548" t="n">
        <v>30</v>
      </c>
      <c r="J2548" t="inlineStr">
        <is>
          <t>BTBR</t>
        </is>
      </c>
      <c r="K2548" t="inlineStr">
        <is>
          <t>Male</t>
        </is>
      </c>
      <c r="L2548" t="inlineStr">
        <is>
          <t>No focal subject</t>
        </is>
      </c>
      <c r="M2548" t="n">
        <v>47.963</v>
      </c>
      <c r="N2548" t="inlineStr">
        <is>
          <t>Explore_F</t>
        </is>
      </c>
      <c r="O2548" t="inlineStr">
        <is>
          <t>Familiar</t>
        </is>
      </c>
      <c r="P2548" t="inlineStr">
        <is>
          <t>STATE</t>
        </is>
      </c>
      <c r="Q2548" t="n">
        <v>250.566</v>
      </c>
      <c r="R2548" t="n">
        <v>250.966</v>
      </c>
      <c r="S2548" t="n">
        <v>0.4</v>
      </c>
      <c r="T2548" t="inlineStr">
        <is>
          <t>BTBR\test\c5m3.mp4</t>
        </is>
      </c>
      <c r="U2548" t="n">
        <v>7514</v>
      </c>
      <c r="V2548" t="n">
        <v>7526</v>
      </c>
      <c r="W2548" t="n">
        <v/>
      </c>
      <c r="X2548" t="n">
        <v/>
      </c>
      <c r="Y2548" t="n">
        <v/>
      </c>
      <c r="Z2548" t="n">
        <v/>
      </c>
      <c r="AA2548">
        <f>SUMIFS($S$2:S2548,$A$2:A2548,A2548,$N$2:N2548,"Explore*")</f>
        <v/>
      </c>
      <c r="AB2548">
        <f>IF(AND(LEFT(N2548,7)="Explore",(AA2548-IF(LEFT(N2548,7)="Explore",S2548,0))&lt;10),"SI","NO")</f>
        <v/>
      </c>
    </row>
    <row r="2549">
      <c r="A2549" t="inlineStr">
        <is>
          <t>c5m3_test</t>
        </is>
      </c>
      <c r="B2549" t="inlineStr">
        <is>
          <t>2026-02-17 16:49:00.306</t>
        </is>
      </c>
      <c r="C2549" t="n">
        <v/>
      </c>
      <c r="D2549" t="inlineStr">
        <is>
          <t>Media file</t>
        </is>
      </c>
      <c r="E2549" t="inlineStr">
        <is>
          <t>player #1:BTBR\test\c5m3.mp4</t>
        </is>
      </c>
      <c r="F2549" t="n">
        <v>-16.2</v>
      </c>
      <c r="G2549" t="n">
        <v>555.933</v>
      </c>
      <c r="H2549" t="n">
        <v>643.266</v>
      </c>
      <c r="I2549" t="n">
        <v>30</v>
      </c>
      <c r="J2549" t="inlineStr">
        <is>
          <t>BTBR</t>
        </is>
      </c>
      <c r="K2549" t="inlineStr">
        <is>
          <t>Male</t>
        </is>
      </c>
      <c r="L2549" t="inlineStr">
        <is>
          <t>No focal subject</t>
        </is>
      </c>
      <c r="M2549" t="n">
        <v>47.963</v>
      </c>
      <c r="N2549" t="inlineStr">
        <is>
          <t>Explore_N</t>
        </is>
      </c>
      <c r="O2549" t="inlineStr">
        <is>
          <t>Novelty</t>
        </is>
      </c>
      <c r="P2549" t="inlineStr">
        <is>
          <t>STATE</t>
        </is>
      </c>
      <c r="Q2549" t="n">
        <v>256.433</v>
      </c>
      <c r="R2549" t="n">
        <v>256.966</v>
      </c>
      <c r="S2549" t="n">
        <v>0.533</v>
      </c>
      <c r="T2549" t="inlineStr">
        <is>
          <t>BTBR\test\c5m3.mp4</t>
        </is>
      </c>
      <c r="U2549" t="n">
        <v>7690</v>
      </c>
      <c r="V2549" t="n">
        <v>7706</v>
      </c>
      <c r="W2549" t="n">
        <v/>
      </c>
      <c r="X2549" t="n">
        <v/>
      </c>
      <c r="Y2549" t="n">
        <v/>
      </c>
      <c r="Z2549" t="n">
        <v/>
      </c>
      <c r="AA2549">
        <f>SUMIFS($S$2:S2549,$A$2:A2549,A2549,$N$2:N2549,"Explore*")</f>
        <v/>
      </c>
      <c r="AB2549">
        <f>IF(AND(LEFT(N2549,7)="Explore",(AA2549-IF(LEFT(N2549,7)="Explore",S2549,0))&lt;10),"SI","NO")</f>
        <v/>
      </c>
    </row>
    <row r="2550">
      <c r="A2550" t="inlineStr">
        <is>
          <t>c5m3_test</t>
        </is>
      </c>
      <c r="B2550" t="inlineStr">
        <is>
          <t>2026-02-17 16:49:00.306</t>
        </is>
      </c>
      <c r="C2550" t="n">
        <v/>
      </c>
      <c r="D2550" t="inlineStr">
        <is>
          <t>Media file</t>
        </is>
      </c>
      <c r="E2550" t="inlineStr">
        <is>
          <t>player #1:BTBR\test\c5m3.mp4</t>
        </is>
      </c>
      <c r="F2550" t="n">
        <v>-16.2</v>
      </c>
      <c r="G2550" t="n">
        <v>555.933</v>
      </c>
      <c r="H2550" t="n">
        <v>643.266</v>
      </c>
      <c r="I2550" t="n">
        <v>30</v>
      </c>
      <c r="J2550" t="inlineStr">
        <is>
          <t>BTBR</t>
        </is>
      </c>
      <c r="K2550" t="inlineStr">
        <is>
          <t>Male</t>
        </is>
      </c>
      <c r="L2550" t="inlineStr">
        <is>
          <t>No focal subject</t>
        </is>
      </c>
      <c r="M2550" t="n">
        <v>47.963</v>
      </c>
      <c r="N2550" t="inlineStr">
        <is>
          <t>Explore_N</t>
        </is>
      </c>
      <c r="O2550" t="inlineStr">
        <is>
          <t>Novelty</t>
        </is>
      </c>
      <c r="P2550" t="inlineStr">
        <is>
          <t>STATE</t>
        </is>
      </c>
      <c r="Q2550" t="n">
        <v>257.7</v>
      </c>
      <c r="R2550" t="n">
        <v>259.366</v>
      </c>
      <c r="S2550" t="n">
        <v>1.666</v>
      </c>
      <c r="T2550" t="inlineStr">
        <is>
          <t>BTBR\test\c5m3.mp4</t>
        </is>
      </c>
      <c r="U2550" t="n">
        <v>7728</v>
      </c>
      <c r="V2550" t="n">
        <v>7778</v>
      </c>
      <c r="W2550" t="n">
        <v/>
      </c>
      <c r="X2550" t="n">
        <v/>
      </c>
      <c r="Y2550" t="n">
        <v/>
      </c>
      <c r="Z2550" t="n">
        <v/>
      </c>
      <c r="AA2550">
        <f>SUMIFS($S$2:S2550,$A$2:A2550,A2550,$N$2:N2550,"Explore*")</f>
        <v/>
      </c>
      <c r="AB2550">
        <f>IF(AND(LEFT(N2550,7)="Explore",(AA2550-IF(LEFT(N2550,7)="Explore",S2550,0))&lt;10),"SI","NO")</f>
        <v/>
      </c>
    </row>
    <row r="2551">
      <c r="A2551" t="inlineStr">
        <is>
          <t>c5m3_test</t>
        </is>
      </c>
      <c r="B2551" t="inlineStr">
        <is>
          <t>2026-02-17 16:49:00.306</t>
        </is>
      </c>
      <c r="C2551" t="n">
        <v/>
      </c>
      <c r="D2551" t="inlineStr">
        <is>
          <t>Media file</t>
        </is>
      </c>
      <c r="E2551" t="inlineStr">
        <is>
          <t>player #1:BTBR\test\c5m3.mp4</t>
        </is>
      </c>
      <c r="F2551" t="n">
        <v>-16.2</v>
      </c>
      <c r="G2551" t="n">
        <v>555.933</v>
      </c>
      <c r="H2551" t="n">
        <v>643.266</v>
      </c>
      <c r="I2551" t="n">
        <v>30</v>
      </c>
      <c r="J2551" t="inlineStr">
        <is>
          <t>BTBR</t>
        </is>
      </c>
      <c r="K2551" t="inlineStr">
        <is>
          <t>Male</t>
        </is>
      </c>
      <c r="L2551" t="inlineStr">
        <is>
          <t>No focal subject</t>
        </is>
      </c>
      <c r="M2551" t="n">
        <v>47.963</v>
      </c>
      <c r="N2551" t="inlineStr">
        <is>
          <t>Explore_N</t>
        </is>
      </c>
      <c r="O2551" t="inlineStr">
        <is>
          <t>Novelty</t>
        </is>
      </c>
      <c r="P2551" t="inlineStr">
        <is>
          <t>STATE</t>
        </is>
      </c>
      <c r="Q2551" t="n">
        <v>260.2</v>
      </c>
      <c r="R2551" t="n">
        <v>260.733</v>
      </c>
      <c r="S2551" t="n">
        <v>0.533</v>
      </c>
      <c r="T2551" t="inlineStr">
        <is>
          <t>BTBR\test\c5m3.mp4</t>
        </is>
      </c>
      <c r="U2551" t="n">
        <v>7803</v>
      </c>
      <c r="V2551" t="n">
        <v>7819</v>
      </c>
      <c r="W2551" t="n">
        <v/>
      </c>
      <c r="X2551" t="n">
        <v/>
      </c>
      <c r="Y2551" t="n">
        <v/>
      </c>
      <c r="Z2551" t="n">
        <v/>
      </c>
      <c r="AA2551">
        <f>SUMIFS($S$2:S2551,$A$2:A2551,A2551,$N$2:N2551,"Explore*")</f>
        <v/>
      </c>
      <c r="AB2551">
        <f>IF(AND(LEFT(N2551,7)="Explore",(AA2551-IF(LEFT(N2551,7)="Explore",S2551,0))&lt;10),"SI","NO")</f>
        <v/>
      </c>
    </row>
    <row r="2552">
      <c r="A2552" t="inlineStr">
        <is>
          <t>c5m3_test</t>
        </is>
      </c>
      <c r="B2552" t="inlineStr">
        <is>
          <t>2026-02-17 16:49:00.306</t>
        </is>
      </c>
      <c r="C2552" t="n">
        <v/>
      </c>
      <c r="D2552" t="inlineStr">
        <is>
          <t>Media file</t>
        </is>
      </c>
      <c r="E2552" t="inlineStr">
        <is>
          <t>player #1:BTBR\test\c5m3.mp4</t>
        </is>
      </c>
      <c r="F2552" t="n">
        <v>-16.2</v>
      </c>
      <c r="G2552" t="n">
        <v>555.933</v>
      </c>
      <c r="H2552" t="n">
        <v>643.266</v>
      </c>
      <c r="I2552" t="n">
        <v>30</v>
      </c>
      <c r="J2552" t="inlineStr">
        <is>
          <t>BTBR</t>
        </is>
      </c>
      <c r="K2552" t="inlineStr">
        <is>
          <t>Male</t>
        </is>
      </c>
      <c r="L2552" t="inlineStr">
        <is>
          <t>No focal subject</t>
        </is>
      </c>
      <c r="M2552" t="n">
        <v>47.963</v>
      </c>
      <c r="N2552" t="inlineStr">
        <is>
          <t>Explore_F</t>
        </is>
      </c>
      <c r="O2552" t="inlineStr">
        <is>
          <t>Familiar</t>
        </is>
      </c>
      <c r="P2552" t="inlineStr">
        <is>
          <t>STATE</t>
        </is>
      </c>
      <c r="Q2552" t="n">
        <v>265.633</v>
      </c>
      <c r="R2552" t="n">
        <v>266.4</v>
      </c>
      <c r="S2552" t="n">
        <v>0.767</v>
      </c>
      <c r="T2552" t="inlineStr">
        <is>
          <t>BTBR\test\c5m3.mp4</t>
        </is>
      </c>
      <c r="U2552" t="n">
        <v>7966</v>
      </c>
      <c r="V2552" t="n">
        <v>7989</v>
      </c>
      <c r="W2552" t="n">
        <v/>
      </c>
      <c r="X2552" t="n">
        <v/>
      </c>
      <c r="Y2552" t="n">
        <v/>
      </c>
      <c r="Z2552" t="n">
        <v/>
      </c>
      <c r="AA2552">
        <f>SUMIFS($S$2:S2552,$A$2:A2552,A2552,$N$2:N2552,"Explore*")</f>
        <v/>
      </c>
      <c r="AB2552">
        <f>IF(AND(LEFT(N2552,7)="Explore",(AA2552-IF(LEFT(N2552,7)="Explore",S2552,0))&lt;10),"SI","NO")</f>
        <v/>
      </c>
    </row>
    <row r="2553">
      <c r="A2553" t="inlineStr">
        <is>
          <t>c5m3_test</t>
        </is>
      </c>
      <c r="B2553" t="inlineStr">
        <is>
          <t>2026-02-17 16:49:00.306</t>
        </is>
      </c>
      <c r="C2553" t="n">
        <v/>
      </c>
      <c r="D2553" t="inlineStr">
        <is>
          <t>Media file</t>
        </is>
      </c>
      <c r="E2553" t="inlineStr">
        <is>
          <t>player #1:BTBR\test\c5m3.mp4</t>
        </is>
      </c>
      <c r="F2553" t="n">
        <v>-16.2</v>
      </c>
      <c r="G2553" t="n">
        <v>555.933</v>
      </c>
      <c r="H2553" t="n">
        <v>643.266</v>
      </c>
      <c r="I2553" t="n">
        <v>30</v>
      </c>
      <c r="J2553" t="inlineStr">
        <is>
          <t>BTBR</t>
        </is>
      </c>
      <c r="K2553" t="inlineStr">
        <is>
          <t>Male</t>
        </is>
      </c>
      <c r="L2553" t="inlineStr">
        <is>
          <t>No focal subject</t>
        </is>
      </c>
      <c r="M2553" t="n">
        <v>47.963</v>
      </c>
      <c r="N2553" t="inlineStr">
        <is>
          <t>Explore_N</t>
        </is>
      </c>
      <c r="O2553" t="inlineStr">
        <is>
          <t>Novelty</t>
        </is>
      </c>
      <c r="P2553" t="inlineStr">
        <is>
          <t>STATE</t>
        </is>
      </c>
      <c r="Q2553" t="n">
        <v>268.266</v>
      </c>
      <c r="R2553" t="n">
        <v>270.166</v>
      </c>
      <c r="S2553" t="n">
        <v>1.9</v>
      </c>
      <c r="T2553" t="inlineStr">
        <is>
          <t>BTBR\test\c5m3.mp4</t>
        </is>
      </c>
      <c r="U2553" t="n">
        <v>8045</v>
      </c>
      <c r="V2553" t="n">
        <v>8103</v>
      </c>
      <c r="W2553" t="n">
        <v/>
      </c>
      <c r="X2553" t="n">
        <v/>
      </c>
      <c r="Y2553" t="n">
        <v/>
      </c>
      <c r="Z2553" t="n">
        <v/>
      </c>
      <c r="AA2553">
        <f>SUMIFS($S$2:S2553,$A$2:A2553,A2553,$N$2:N2553,"Explore*")</f>
        <v/>
      </c>
      <c r="AB2553">
        <f>IF(AND(LEFT(N2553,7)="Explore",(AA2553-IF(LEFT(N2553,7)="Explore",S2553,0))&lt;10),"SI","NO")</f>
        <v/>
      </c>
    </row>
    <row r="2554">
      <c r="A2554" t="inlineStr">
        <is>
          <t>c5m3_test</t>
        </is>
      </c>
      <c r="B2554" t="inlineStr">
        <is>
          <t>2026-02-17 16:49:00.306</t>
        </is>
      </c>
      <c r="C2554" t="n">
        <v/>
      </c>
      <c r="D2554" t="inlineStr">
        <is>
          <t>Media file</t>
        </is>
      </c>
      <c r="E2554" t="inlineStr">
        <is>
          <t>player #1:BTBR\test\c5m3.mp4</t>
        </is>
      </c>
      <c r="F2554" t="n">
        <v>-16.2</v>
      </c>
      <c r="G2554" t="n">
        <v>555.933</v>
      </c>
      <c r="H2554" t="n">
        <v>643.266</v>
      </c>
      <c r="I2554" t="n">
        <v>30</v>
      </c>
      <c r="J2554" t="inlineStr">
        <is>
          <t>BTBR</t>
        </is>
      </c>
      <c r="K2554" t="inlineStr">
        <is>
          <t>Male</t>
        </is>
      </c>
      <c r="L2554" t="inlineStr">
        <is>
          <t>No focal subject</t>
        </is>
      </c>
      <c r="M2554" t="n">
        <v>47.963</v>
      </c>
      <c r="N2554" t="inlineStr">
        <is>
          <t>Explore_N</t>
        </is>
      </c>
      <c r="O2554" t="inlineStr">
        <is>
          <t>Novelty</t>
        </is>
      </c>
      <c r="P2554" t="inlineStr">
        <is>
          <t>STATE</t>
        </is>
      </c>
      <c r="Q2554" t="n">
        <v>275</v>
      </c>
      <c r="R2554" t="n">
        <v>275.633</v>
      </c>
      <c r="S2554" t="n">
        <v>0.633</v>
      </c>
      <c r="T2554" t="inlineStr">
        <is>
          <t>BTBR\test\c5m3.mp4</t>
        </is>
      </c>
      <c r="U2554" t="n">
        <v>8247</v>
      </c>
      <c r="V2554" t="n">
        <v>8266</v>
      </c>
      <c r="W2554" t="n">
        <v/>
      </c>
      <c r="X2554" t="n">
        <v/>
      </c>
      <c r="Y2554" t="n">
        <v/>
      </c>
      <c r="Z2554" t="n">
        <v/>
      </c>
      <c r="AA2554">
        <f>SUMIFS($S$2:S2554,$A$2:A2554,A2554,$N$2:N2554,"Explore*")</f>
        <v/>
      </c>
      <c r="AB2554">
        <f>IF(AND(LEFT(N2554,7)="Explore",(AA2554-IF(LEFT(N2554,7)="Explore",S2554,0))&lt;10),"SI","NO")</f>
        <v/>
      </c>
    </row>
    <row r="2555">
      <c r="A2555" t="inlineStr">
        <is>
          <t>c5m3_test</t>
        </is>
      </c>
      <c r="B2555" t="inlineStr">
        <is>
          <t>2026-02-17 16:49:00.306</t>
        </is>
      </c>
      <c r="C2555" t="n">
        <v/>
      </c>
      <c r="D2555" t="inlineStr">
        <is>
          <t>Media file</t>
        </is>
      </c>
      <c r="E2555" t="inlineStr">
        <is>
          <t>player #1:BTBR\test\c5m3.mp4</t>
        </is>
      </c>
      <c r="F2555" t="n">
        <v>-16.2</v>
      </c>
      <c r="G2555" t="n">
        <v>555.933</v>
      </c>
      <c r="H2555" t="n">
        <v>643.266</v>
      </c>
      <c r="I2555" t="n">
        <v>30</v>
      </c>
      <c r="J2555" t="inlineStr">
        <is>
          <t>BTBR</t>
        </is>
      </c>
      <c r="K2555" t="inlineStr">
        <is>
          <t>Male</t>
        </is>
      </c>
      <c r="L2555" t="inlineStr">
        <is>
          <t>No focal subject</t>
        </is>
      </c>
      <c r="M2555" t="n">
        <v>47.963</v>
      </c>
      <c r="N2555" t="inlineStr">
        <is>
          <t>Explore_N</t>
        </is>
      </c>
      <c r="O2555" t="inlineStr">
        <is>
          <t>Novelty</t>
        </is>
      </c>
      <c r="P2555" t="inlineStr">
        <is>
          <t>STATE</t>
        </is>
      </c>
      <c r="Q2555" t="n">
        <v>297.833</v>
      </c>
      <c r="R2555" t="n">
        <v>298.233</v>
      </c>
      <c r="S2555" t="n">
        <v>0.4</v>
      </c>
      <c r="T2555" t="inlineStr">
        <is>
          <t>BTBR\test\c5m3.mp4</t>
        </is>
      </c>
      <c r="U2555" t="n">
        <v>8931</v>
      </c>
      <c r="V2555" t="n">
        <v>8943</v>
      </c>
      <c r="W2555" t="n">
        <v/>
      </c>
      <c r="X2555" t="n">
        <v/>
      </c>
      <c r="Y2555" t="n">
        <v/>
      </c>
      <c r="Z2555" t="n">
        <v/>
      </c>
      <c r="AA2555">
        <f>SUMIFS($S$2:S2555,$A$2:A2555,A2555,$N$2:N2555,"Explore*")</f>
        <v/>
      </c>
      <c r="AB2555">
        <f>IF(AND(LEFT(N2555,7)="Explore",(AA2555-IF(LEFT(N2555,7)="Explore",S2555,0))&lt;10),"SI","NO")</f>
        <v/>
      </c>
    </row>
    <row r="2556">
      <c r="A2556" t="inlineStr">
        <is>
          <t>c5m3_test</t>
        </is>
      </c>
      <c r="B2556" t="inlineStr">
        <is>
          <t>2026-02-17 16:49:00.306</t>
        </is>
      </c>
      <c r="C2556" t="n">
        <v/>
      </c>
      <c r="D2556" t="inlineStr">
        <is>
          <t>Media file</t>
        </is>
      </c>
      <c r="E2556" t="inlineStr">
        <is>
          <t>player #1:BTBR\test\c5m3.mp4</t>
        </is>
      </c>
      <c r="F2556" t="n">
        <v>-16.2</v>
      </c>
      <c r="G2556" t="n">
        <v>555.933</v>
      </c>
      <c r="H2556" t="n">
        <v>643.266</v>
      </c>
      <c r="I2556" t="n">
        <v>30</v>
      </c>
      <c r="J2556" t="inlineStr">
        <is>
          <t>BTBR</t>
        </is>
      </c>
      <c r="K2556" t="inlineStr">
        <is>
          <t>Male</t>
        </is>
      </c>
      <c r="L2556" t="inlineStr">
        <is>
          <t>No focal subject</t>
        </is>
      </c>
      <c r="M2556" t="n">
        <v>47.963</v>
      </c>
      <c r="N2556" t="inlineStr">
        <is>
          <t>Explore_F</t>
        </is>
      </c>
      <c r="O2556" t="inlineStr">
        <is>
          <t>Familiar</t>
        </is>
      </c>
      <c r="P2556" t="inlineStr">
        <is>
          <t>STATE</t>
        </is>
      </c>
      <c r="Q2556" t="n">
        <v>301.2</v>
      </c>
      <c r="R2556" t="n">
        <v>302.966</v>
      </c>
      <c r="S2556" t="n">
        <v>1.766</v>
      </c>
      <c r="T2556" t="inlineStr">
        <is>
          <t>BTBR\test\c5m3.mp4</t>
        </is>
      </c>
      <c r="U2556" t="n">
        <v>9518</v>
      </c>
      <c r="V2556" t="n">
        <v>9571</v>
      </c>
      <c r="W2556" t="n">
        <v/>
      </c>
      <c r="X2556" t="n">
        <v/>
      </c>
      <c r="Y2556" t="n">
        <v/>
      </c>
      <c r="Z2556" t="n">
        <v/>
      </c>
      <c r="AA2556">
        <f>SUMIFS($S$2:S2556,$A$2:A2556,A2556,$N$2:N2556,"Explore*")</f>
        <v/>
      </c>
      <c r="AB2556">
        <f>IF(AND(LEFT(N2556,7)="Explore",(AA2556-IF(LEFT(N2556,7)="Explore",S2556,0))&lt;10),"SI","NO")</f>
        <v/>
      </c>
    </row>
    <row r="2557">
      <c r="A2557" t="inlineStr">
        <is>
          <t>c5m3_test</t>
        </is>
      </c>
      <c r="B2557" t="inlineStr">
        <is>
          <t>2026-02-17 16:49:00.306</t>
        </is>
      </c>
      <c r="C2557" t="n">
        <v/>
      </c>
      <c r="D2557" t="inlineStr">
        <is>
          <t>Media file</t>
        </is>
      </c>
      <c r="E2557" t="inlineStr">
        <is>
          <t>player #1:BTBR\test\c5m3.mp4</t>
        </is>
      </c>
      <c r="F2557" t="n">
        <v>-16.2</v>
      </c>
      <c r="G2557" t="n">
        <v>555.933</v>
      </c>
      <c r="H2557" t="n">
        <v>643.266</v>
      </c>
      <c r="I2557" t="n">
        <v>30</v>
      </c>
      <c r="J2557" t="inlineStr">
        <is>
          <t>BTBR</t>
        </is>
      </c>
      <c r="K2557" t="inlineStr">
        <is>
          <t>Male</t>
        </is>
      </c>
      <c r="L2557" t="inlineStr">
        <is>
          <t>No focal subject</t>
        </is>
      </c>
      <c r="M2557" t="n">
        <v>47.963</v>
      </c>
      <c r="N2557" t="inlineStr">
        <is>
          <t>Explore_N</t>
        </is>
      </c>
      <c r="O2557" t="inlineStr">
        <is>
          <t>Novelty</t>
        </is>
      </c>
      <c r="P2557" t="inlineStr">
        <is>
          <t>STATE</t>
        </is>
      </c>
      <c r="Q2557" t="n">
        <v>306</v>
      </c>
      <c r="R2557" t="n">
        <v>307.6</v>
      </c>
      <c r="S2557" t="n">
        <v>1.6</v>
      </c>
      <c r="T2557" t="inlineStr">
        <is>
          <t>BTBR\test\c5m3.mp4</t>
        </is>
      </c>
      <c r="U2557" t="n">
        <v>9662</v>
      </c>
      <c r="V2557" t="n">
        <v>9710</v>
      </c>
      <c r="W2557" t="n">
        <v/>
      </c>
      <c r="X2557" t="n">
        <v/>
      </c>
      <c r="Y2557" t="n">
        <v/>
      </c>
      <c r="Z2557" t="n">
        <v/>
      </c>
      <c r="AA2557">
        <f>SUMIFS($S$2:S2557,$A$2:A2557,A2557,$N$2:N2557,"Explore*")</f>
        <v/>
      </c>
      <c r="AB2557">
        <f>IF(AND(LEFT(N2557,7)="Explore",(AA2557-IF(LEFT(N2557,7)="Explore",S2557,0))&lt;10),"SI","NO")</f>
        <v/>
      </c>
    </row>
    <row r="2558">
      <c r="A2558" t="inlineStr">
        <is>
          <t>c5m3_test</t>
        </is>
      </c>
      <c r="B2558" t="inlineStr">
        <is>
          <t>2026-02-17 16:49:00.306</t>
        </is>
      </c>
      <c r="C2558" t="n">
        <v/>
      </c>
      <c r="D2558" t="inlineStr">
        <is>
          <t>Media file</t>
        </is>
      </c>
      <c r="E2558" t="inlineStr">
        <is>
          <t>player #1:BTBR\test\c5m3.mp4</t>
        </is>
      </c>
      <c r="F2558" t="n">
        <v>-16.2</v>
      </c>
      <c r="G2558" t="n">
        <v>555.933</v>
      </c>
      <c r="H2558" t="n">
        <v>643.266</v>
      </c>
      <c r="I2558" t="n">
        <v>30</v>
      </c>
      <c r="J2558" t="inlineStr">
        <is>
          <t>BTBR</t>
        </is>
      </c>
      <c r="K2558" t="inlineStr">
        <is>
          <t>Male</t>
        </is>
      </c>
      <c r="L2558" t="inlineStr">
        <is>
          <t>No focal subject</t>
        </is>
      </c>
      <c r="M2558" t="n">
        <v>47.963</v>
      </c>
      <c r="N2558" t="inlineStr">
        <is>
          <t>Explore_F</t>
        </is>
      </c>
      <c r="O2558" t="inlineStr">
        <is>
          <t>Familiar</t>
        </is>
      </c>
      <c r="P2558" t="inlineStr">
        <is>
          <t>STATE</t>
        </is>
      </c>
      <c r="Q2558" t="n">
        <v>321.1</v>
      </c>
      <c r="R2558" t="n">
        <v>321.866</v>
      </c>
      <c r="S2558" t="n">
        <v>0.766</v>
      </c>
      <c r="T2558" t="inlineStr">
        <is>
          <t>BTBR\test\c5m3.mp4</t>
        </is>
      </c>
      <c r="U2558" t="n">
        <v>10115</v>
      </c>
      <c r="V2558" t="n">
        <v>10138</v>
      </c>
      <c r="W2558" t="n">
        <v/>
      </c>
      <c r="X2558" t="n">
        <v/>
      </c>
      <c r="Y2558" t="n">
        <v/>
      </c>
      <c r="Z2558" t="n">
        <v/>
      </c>
      <c r="AA2558">
        <f>SUMIFS($S$2:S2558,$A$2:A2558,A2558,$N$2:N2558,"Explore*")</f>
        <v/>
      </c>
      <c r="AB2558">
        <f>IF(AND(LEFT(N2558,7)="Explore",(AA2558-IF(LEFT(N2558,7)="Explore",S2558,0))&lt;10),"SI","NO")</f>
        <v/>
      </c>
    </row>
    <row r="2559">
      <c r="A2559" t="inlineStr">
        <is>
          <t>c5m3_test</t>
        </is>
      </c>
      <c r="B2559" t="inlineStr">
        <is>
          <t>2026-02-17 16:49:00.306</t>
        </is>
      </c>
      <c r="C2559" t="n">
        <v/>
      </c>
      <c r="D2559" t="inlineStr">
        <is>
          <t>Media file</t>
        </is>
      </c>
      <c r="E2559" t="inlineStr">
        <is>
          <t>player #1:BTBR\test\c5m3.mp4</t>
        </is>
      </c>
      <c r="F2559" t="n">
        <v>-16.2</v>
      </c>
      <c r="G2559" t="n">
        <v>555.933</v>
      </c>
      <c r="H2559" t="n">
        <v>643.266</v>
      </c>
      <c r="I2559" t="n">
        <v>30</v>
      </c>
      <c r="J2559" t="inlineStr">
        <is>
          <t>BTBR</t>
        </is>
      </c>
      <c r="K2559" t="inlineStr">
        <is>
          <t>Male</t>
        </is>
      </c>
      <c r="L2559" t="inlineStr">
        <is>
          <t>No focal subject</t>
        </is>
      </c>
      <c r="M2559" t="n">
        <v>47.963</v>
      </c>
      <c r="N2559" t="inlineStr">
        <is>
          <t>Explore_N</t>
        </is>
      </c>
      <c r="O2559" t="inlineStr">
        <is>
          <t>Novelty</t>
        </is>
      </c>
      <c r="P2559" t="inlineStr">
        <is>
          <t>STATE</t>
        </is>
      </c>
      <c r="Q2559" t="n">
        <v>331.9</v>
      </c>
      <c r="R2559" t="n">
        <v>332.566</v>
      </c>
      <c r="S2559" t="n">
        <v>0.666</v>
      </c>
      <c r="T2559" t="inlineStr">
        <is>
          <t>BTBR\test\c5m3.mp4</t>
        </is>
      </c>
      <c r="U2559" t="n">
        <v>10439</v>
      </c>
      <c r="V2559" t="n">
        <v>10459</v>
      </c>
      <c r="W2559" t="n">
        <v/>
      </c>
      <c r="X2559" t="n">
        <v/>
      </c>
      <c r="Y2559" t="n">
        <v/>
      </c>
      <c r="Z2559" t="n">
        <v/>
      </c>
      <c r="AA2559">
        <f>SUMIFS($S$2:S2559,$A$2:A2559,A2559,$N$2:N2559,"Explore*")</f>
        <v/>
      </c>
      <c r="AB2559">
        <f>IF(AND(LEFT(N2559,7)="Explore",(AA2559-IF(LEFT(N2559,7)="Explore",S2559,0))&lt;10),"SI","NO")</f>
        <v/>
      </c>
    </row>
    <row r="2560">
      <c r="A2560" t="inlineStr">
        <is>
          <t>c5m3_test</t>
        </is>
      </c>
      <c r="B2560" t="inlineStr">
        <is>
          <t>2026-02-17 16:49:00.306</t>
        </is>
      </c>
      <c r="C2560" t="n">
        <v/>
      </c>
      <c r="D2560" t="inlineStr">
        <is>
          <t>Media file</t>
        </is>
      </c>
      <c r="E2560" t="inlineStr">
        <is>
          <t>player #1:BTBR\test\c5m3.mp4</t>
        </is>
      </c>
      <c r="F2560" t="n">
        <v>-16.2</v>
      </c>
      <c r="G2560" t="n">
        <v>555.933</v>
      </c>
      <c r="H2560" t="n">
        <v>643.266</v>
      </c>
      <c r="I2560" t="n">
        <v>30</v>
      </c>
      <c r="J2560" t="inlineStr">
        <is>
          <t>BTBR</t>
        </is>
      </c>
      <c r="K2560" t="inlineStr">
        <is>
          <t>Male</t>
        </is>
      </c>
      <c r="L2560" t="inlineStr">
        <is>
          <t>No focal subject</t>
        </is>
      </c>
      <c r="M2560" t="n">
        <v>47.963</v>
      </c>
      <c r="N2560" t="inlineStr">
        <is>
          <t>Explore_N</t>
        </is>
      </c>
      <c r="O2560" t="inlineStr">
        <is>
          <t>Novelty</t>
        </is>
      </c>
      <c r="P2560" t="inlineStr">
        <is>
          <t>STATE</t>
        </is>
      </c>
      <c r="Q2560" t="n">
        <v>333.666</v>
      </c>
      <c r="R2560" t="n">
        <v>334.866</v>
      </c>
      <c r="S2560" t="n">
        <v>1.2</v>
      </c>
      <c r="T2560" t="inlineStr">
        <is>
          <t>BTBR\test\c5m3.mp4</t>
        </is>
      </c>
      <c r="U2560" t="n">
        <v>10492</v>
      </c>
      <c r="V2560" t="n">
        <v>10528</v>
      </c>
      <c r="W2560" t="n">
        <v/>
      </c>
      <c r="X2560" t="n">
        <v/>
      </c>
      <c r="Y2560" t="n">
        <v/>
      </c>
      <c r="Z2560" t="n">
        <v/>
      </c>
      <c r="AA2560">
        <f>SUMIFS($S$2:S2560,$A$2:A2560,A2560,$N$2:N2560,"Explore*")</f>
        <v/>
      </c>
      <c r="AB2560">
        <f>IF(AND(LEFT(N2560,7)="Explore",(AA2560-IF(LEFT(N2560,7)="Explore",S2560,0))&lt;10),"SI","NO")</f>
        <v/>
      </c>
    </row>
    <row r="2561">
      <c r="A2561" t="inlineStr">
        <is>
          <t>c5m3_test</t>
        </is>
      </c>
      <c r="B2561" t="inlineStr">
        <is>
          <t>2026-02-17 16:49:00.306</t>
        </is>
      </c>
      <c r="C2561" t="n">
        <v/>
      </c>
      <c r="D2561" t="inlineStr">
        <is>
          <t>Media file</t>
        </is>
      </c>
      <c r="E2561" t="inlineStr">
        <is>
          <t>player #1:BTBR\test\c5m3.mp4</t>
        </is>
      </c>
      <c r="F2561" t="n">
        <v>-16.2</v>
      </c>
      <c r="G2561" t="n">
        <v>555.933</v>
      </c>
      <c r="H2561" t="n">
        <v>643.266</v>
      </c>
      <c r="I2561" t="n">
        <v>30</v>
      </c>
      <c r="J2561" t="inlineStr">
        <is>
          <t>BTBR</t>
        </is>
      </c>
      <c r="K2561" t="inlineStr">
        <is>
          <t>Male</t>
        </is>
      </c>
      <c r="L2561" t="inlineStr">
        <is>
          <t>No focal subject</t>
        </is>
      </c>
      <c r="M2561" t="n">
        <v>47.963</v>
      </c>
      <c r="N2561" t="inlineStr">
        <is>
          <t>Explore_N</t>
        </is>
      </c>
      <c r="O2561" t="inlineStr">
        <is>
          <t>Novelty</t>
        </is>
      </c>
      <c r="P2561" t="inlineStr">
        <is>
          <t>STATE</t>
        </is>
      </c>
      <c r="Q2561" t="n">
        <v>349.866</v>
      </c>
      <c r="R2561" t="n">
        <v>350.333</v>
      </c>
      <c r="S2561" t="n">
        <v>0.467</v>
      </c>
      <c r="T2561" t="inlineStr">
        <is>
          <t>BTBR\test\c5m3.mp4</t>
        </is>
      </c>
      <c r="U2561" t="n">
        <v>10978</v>
      </c>
      <c r="V2561" t="n">
        <v>10992</v>
      </c>
      <c r="W2561" t="n">
        <v/>
      </c>
      <c r="X2561" t="n">
        <v/>
      </c>
      <c r="Y2561" t="n">
        <v/>
      </c>
      <c r="Z2561" t="n">
        <v/>
      </c>
      <c r="AA2561">
        <f>SUMIFS($S$2:S2561,$A$2:A2561,A2561,$N$2:N2561,"Explore*")</f>
        <v/>
      </c>
      <c r="AB2561">
        <f>IF(AND(LEFT(N2561,7)="Explore",(AA2561-IF(LEFT(N2561,7)="Explore",S2561,0))&lt;10),"SI","NO")</f>
        <v/>
      </c>
    </row>
    <row r="2562">
      <c r="A2562" t="inlineStr">
        <is>
          <t>c5m3_test</t>
        </is>
      </c>
      <c r="B2562" t="inlineStr">
        <is>
          <t>2026-02-17 16:49:00.306</t>
        </is>
      </c>
      <c r="C2562" t="n">
        <v/>
      </c>
      <c r="D2562" t="inlineStr">
        <is>
          <t>Media file</t>
        </is>
      </c>
      <c r="E2562" t="inlineStr">
        <is>
          <t>player #1:BTBR\test\c5m3.mp4</t>
        </is>
      </c>
      <c r="F2562" t="n">
        <v>-16.2</v>
      </c>
      <c r="G2562" t="n">
        <v>555.933</v>
      </c>
      <c r="H2562" t="n">
        <v>643.266</v>
      </c>
      <c r="I2562" t="n">
        <v>30</v>
      </c>
      <c r="J2562" t="inlineStr">
        <is>
          <t>BTBR</t>
        </is>
      </c>
      <c r="K2562" t="inlineStr">
        <is>
          <t>Male</t>
        </is>
      </c>
      <c r="L2562" t="inlineStr">
        <is>
          <t>No focal subject</t>
        </is>
      </c>
      <c r="M2562" t="n">
        <v>47.963</v>
      </c>
      <c r="N2562" t="inlineStr">
        <is>
          <t>Explore_N</t>
        </is>
      </c>
      <c r="O2562" t="inlineStr">
        <is>
          <t>Novelty</t>
        </is>
      </c>
      <c r="P2562" t="inlineStr">
        <is>
          <t>STATE</t>
        </is>
      </c>
      <c r="Q2562" t="n">
        <v>352.033</v>
      </c>
      <c r="R2562" t="n">
        <v>352.666</v>
      </c>
      <c r="S2562" t="n">
        <v>0.633</v>
      </c>
      <c r="T2562" t="inlineStr">
        <is>
          <t>BTBR\test\c5m3.mp4</t>
        </is>
      </c>
      <c r="U2562" t="n">
        <v>11043</v>
      </c>
      <c r="V2562" t="n">
        <v>11062</v>
      </c>
      <c r="W2562" t="n">
        <v/>
      </c>
      <c r="X2562" t="n">
        <v/>
      </c>
      <c r="Y2562" t="n">
        <v/>
      </c>
      <c r="Z2562" t="n">
        <v/>
      </c>
      <c r="AA2562">
        <f>SUMIFS($S$2:S2562,$A$2:A2562,A2562,$N$2:N2562,"Explore*")</f>
        <v/>
      </c>
      <c r="AB2562">
        <f>IF(AND(LEFT(N2562,7)="Explore",(AA2562-IF(LEFT(N2562,7)="Explore",S2562,0))&lt;10),"SI","NO")</f>
        <v/>
      </c>
    </row>
    <row r="2563">
      <c r="A2563" t="inlineStr">
        <is>
          <t>c5m3_test</t>
        </is>
      </c>
      <c r="B2563" t="inlineStr">
        <is>
          <t>2026-02-17 16:49:00.306</t>
        </is>
      </c>
      <c r="C2563" t="n">
        <v/>
      </c>
      <c r="D2563" t="inlineStr">
        <is>
          <t>Media file</t>
        </is>
      </c>
      <c r="E2563" t="inlineStr">
        <is>
          <t>player #1:BTBR\test\c5m3.mp4</t>
        </is>
      </c>
      <c r="F2563" t="n">
        <v>-16.2</v>
      </c>
      <c r="G2563" t="n">
        <v>555.933</v>
      </c>
      <c r="H2563" t="n">
        <v>643.266</v>
      </c>
      <c r="I2563" t="n">
        <v>30</v>
      </c>
      <c r="J2563" t="inlineStr">
        <is>
          <t>BTBR</t>
        </is>
      </c>
      <c r="K2563" t="inlineStr">
        <is>
          <t>Male</t>
        </is>
      </c>
      <c r="L2563" t="inlineStr">
        <is>
          <t>No focal subject</t>
        </is>
      </c>
      <c r="M2563" t="n">
        <v>47.963</v>
      </c>
      <c r="N2563" t="inlineStr">
        <is>
          <t>Explore_F</t>
        </is>
      </c>
      <c r="O2563" t="inlineStr">
        <is>
          <t>Familiar</t>
        </is>
      </c>
      <c r="P2563" t="inlineStr">
        <is>
          <t>STATE</t>
        </is>
      </c>
      <c r="Q2563" t="n">
        <v>354.266</v>
      </c>
      <c r="R2563" t="n">
        <v>355.1</v>
      </c>
      <c r="S2563" t="n">
        <v>0.834</v>
      </c>
      <c r="T2563" t="inlineStr">
        <is>
          <t>BTBR\test\c5m3.mp4</t>
        </is>
      </c>
      <c r="U2563" t="n">
        <v>11110</v>
      </c>
      <c r="V2563" t="n">
        <v>11135</v>
      </c>
      <c r="W2563" t="n">
        <v/>
      </c>
      <c r="X2563" t="n">
        <v/>
      </c>
      <c r="Y2563" t="n">
        <v/>
      </c>
      <c r="Z2563" t="n">
        <v/>
      </c>
      <c r="AA2563">
        <f>SUMIFS($S$2:S2563,$A$2:A2563,A2563,$N$2:N2563,"Explore*")</f>
        <v/>
      </c>
      <c r="AB2563">
        <f>IF(AND(LEFT(N2563,7)="Explore",(AA2563-IF(LEFT(N2563,7)="Explore",S2563,0))&lt;10),"SI","NO")</f>
        <v/>
      </c>
    </row>
    <row r="2564">
      <c r="A2564" t="inlineStr">
        <is>
          <t>c5m3_test</t>
        </is>
      </c>
      <c r="B2564" t="inlineStr">
        <is>
          <t>2026-02-17 16:49:00.306</t>
        </is>
      </c>
      <c r="C2564" t="n">
        <v/>
      </c>
      <c r="D2564" t="inlineStr">
        <is>
          <t>Media file</t>
        </is>
      </c>
      <c r="E2564" t="inlineStr">
        <is>
          <t>player #1:BTBR\test\c5m3.mp4</t>
        </is>
      </c>
      <c r="F2564" t="n">
        <v>-16.2</v>
      </c>
      <c r="G2564" t="n">
        <v>555.933</v>
      </c>
      <c r="H2564" t="n">
        <v>643.266</v>
      </c>
      <c r="I2564" t="n">
        <v>30</v>
      </c>
      <c r="J2564" t="inlineStr">
        <is>
          <t>BTBR</t>
        </is>
      </c>
      <c r="K2564" t="inlineStr">
        <is>
          <t>Male</t>
        </is>
      </c>
      <c r="L2564" t="inlineStr">
        <is>
          <t>No focal subject</t>
        </is>
      </c>
      <c r="M2564" t="n">
        <v>47.963</v>
      </c>
      <c r="N2564" t="inlineStr">
        <is>
          <t>Explore_F</t>
        </is>
      </c>
      <c r="O2564" t="inlineStr">
        <is>
          <t>Familiar</t>
        </is>
      </c>
      <c r="P2564" t="inlineStr">
        <is>
          <t>STATE</t>
        </is>
      </c>
      <c r="Q2564" t="n">
        <v>449.833</v>
      </c>
      <c r="R2564" t="n">
        <v>450.6</v>
      </c>
      <c r="S2564" t="n">
        <v>0.767</v>
      </c>
      <c r="T2564" t="inlineStr">
        <is>
          <t>BTBR\test\c5m3.mp4</t>
        </is>
      </c>
      <c r="U2564" t="n">
        <v>13976</v>
      </c>
      <c r="V2564" t="n">
        <v>13999</v>
      </c>
      <c r="W2564" t="n">
        <v/>
      </c>
      <c r="X2564" t="n">
        <v/>
      </c>
      <c r="Y2564" t="n">
        <v/>
      </c>
      <c r="Z2564" t="n">
        <v/>
      </c>
      <c r="AA2564">
        <f>SUMIFS($S$2:S2564,$A$2:A2564,A2564,$N$2:N2564,"Explore*")</f>
        <v/>
      </c>
      <c r="AB2564">
        <f>IF(AND(LEFT(N2564,7)="Explore",(AA2564-IF(LEFT(N2564,7)="Explore",S2564,0))&lt;10),"SI","NO")</f>
        <v/>
      </c>
    </row>
    <row r="2565">
      <c r="A2565" t="inlineStr">
        <is>
          <t>c5m3_test</t>
        </is>
      </c>
      <c r="B2565" t="inlineStr">
        <is>
          <t>2026-02-17 16:49:00.306</t>
        </is>
      </c>
      <c r="C2565" t="n">
        <v/>
      </c>
      <c r="D2565" t="inlineStr">
        <is>
          <t>Media file</t>
        </is>
      </c>
      <c r="E2565" t="inlineStr">
        <is>
          <t>player #1:BTBR\test\c5m3.mp4</t>
        </is>
      </c>
      <c r="F2565" t="n">
        <v>-16.2</v>
      </c>
      <c r="G2565" t="n">
        <v>555.933</v>
      </c>
      <c r="H2565" t="n">
        <v>643.266</v>
      </c>
      <c r="I2565" t="n">
        <v>30</v>
      </c>
      <c r="J2565" t="inlineStr">
        <is>
          <t>BTBR</t>
        </is>
      </c>
      <c r="K2565" t="inlineStr">
        <is>
          <t>Male</t>
        </is>
      </c>
      <c r="L2565" t="inlineStr">
        <is>
          <t>No focal subject</t>
        </is>
      </c>
      <c r="M2565" t="n">
        <v>47.963</v>
      </c>
      <c r="N2565" t="inlineStr">
        <is>
          <t>Explore_N</t>
        </is>
      </c>
      <c r="O2565" t="inlineStr">
        <is>
          <t>Novelty</t>
        </is>
      </c>
      <c r="P2565" t="inlineStr">
        <is>
          <t>STATE</t>
        </is>
      </c>
      <c r="Q2565" t="n">
        <v>451.833</v>
      </c>
      <c r="R2565" t="n">
        <v>452.633</v>
      </c>
      <c r="S2565" t="n">
        <v>0.8</v>
      </c>
      <c r="T2565" t="inlineStr">
        <is>
          <t>BTBR\test\c5m3.mp4</t>
        </is>
      </c>
      <c r="U2565" t="n">
        <v>14035</v>
      </c>
      <c r="V2565" t="n">
        <v>14059</v>
      </c>
      <c r="W2565" t="n">
        <v/>
      </c>
      <c r="X2565" t="n">
        <v/>
      </c>
      <c r="Y2565" t="n">
        <v/>
      </c>
      <c r="Z2565" t="n">
        <v/>
      </c>
      <c r="AA2565">
        <f>SUMIFS($S$2:S2565,$A$2:A2565,A2565,$N$2:N2565,"Explore*")</f>
        <v/>
      </c>
      <c r="AB2565">
        <f>IF(AND(LEFT(N2565,7)="Explore",(AA2565-IF(LEFT(N2565,7)="Explore",S2565,0))&lt;10),"SI","NO")</f>
        <v/>
      </c>
    </row>
    <row r="2566">
      <c r="A2566" t="inlineStr">
        <is>
          <t>c5m3_test</t>
        </is>
      </c>
      <c r="B2566" t="inlineStr">
        <is>
          <t>2026-02-17 16:49:00.306</t>
        </is>
      </c>
      <c r="C2566" t="n">
        <v/>
      </c>
      <c r="D2566" t="inlineStr">
        <is>
          <t>Media file</t>
        </is>
      </c>
      <c r="E2566" t="inlineStr">
        <is>
          <t>player #1:BTBR\test\c5m3.mp4</t>
        </is>
      </c>
      <c r="F2566" t="n">
        <v>-16.2</v>
      </c>
      <c r="G2566" t="n">
        <v>555.933</v>
      </c>
      <c r="H2566" t="n">
        <v>643.266</v>
      </c>
      <c r="I2566" t="n">
        <v>30</v>
      </c>
      <c r="J2566" t="inlineStr">
        <is>
          <t>BTBR</t>
        </is>
      </c>
      <c r="K2566" t="inlineStr">
        <is>
          <t>Male</t>
        </is>
      </c>
      <c r="L2566" t="inlineStr">
        <is>
          <t>No focal subject</t>
        </is>
      </c>
      <c r="M2566" t="n">
        <v>47.963</v>
      </c>
      <c r="N2566" t="inlineStr">
        <is>
          <t>Explore_N</t>
        </is>
      </c>
      <c r="O2566" t="inlineStr">
        <is>
          <t>Novelty</t>
        </is>
      </c>
      <c r="P2566" t="inlineStr">
        <is>
          <t>STATE</t>
        </is>
      </c>
      <c r="Q2566" t="n">
        <v>456.566</v>
      </c>
      <c r="R2566" t="n">
        <v>457</v>
      </c>
      <c r="S2566" t="n">
        <v>0.434</v>
      </c>
      <c r="T2566" t="inlineStr">
        <is>
          <t>BTBR\test\c5m3.mp4</t>
        </is>
      </c>
      <c r="U2566" t="n">
        <v>14177</v>
      </c>
      <c r="V2566" t="n">
        <v>14190</v>
      </c>
      <c r="W2566" t="n">
        <v/>
      </c>
      <c r="X2566" t="n">
        <v/>
      </c>
      <c r="Y2566" t="n">
        <v/>
      </c>
      <c r="Z2566" t="n">
        <v/>
      </c>
      <c r="AA2566">
        <f>SUMIFS($S$2:S2566,$A$2:A2566,A2566,$N$2:N2566,"Explore*")</f>
        <v/>
      </c>
      <c r="AB2566">
        <f>IF(AND(LEFT(N2566,7)="Explore",(AA2566-IF(LEFT(N2566,7)="Explore",S2566,0))&lt;10),"SI","NO")</f>
        <v/>
      </c>
    </row>
    <row r="2567">
      <c r="A2567" t="inlineStr">
        <is>
          <t>c5m3_test</t>
        </is>
      </c>
      <c r="B2567" t="inlineStr">
        <is>
          <t>2026-02-17 16:49:00.306</t>
        </is>
      </c>
      <c r="C2567" t="n">
        <v/>
      </c>
      <c r="D2567" t="inlineStr">
        <is>
          <t>Media file</t>
        </is>
      </c>
      <c r="E2567" t="inlineStr">
        <is>
          <t>player #1:BTBR\test\c5m3.mp4</t>
        </is>
      </c>
      <c r="F2567" t="n">
        <v>-16.2</v>
      </c>
      <c r="G2567" t="n">
        <v>555.933</v>
      </c>
      <c r="H2567" t="n">
        <v>643.266</v>
      </c>
      <c r="I2567" t="n">
        <v>30</v>
      </c>
      <c r="J2567" t="inlineStr">
        <is>
          <t>BTBR</t>
        </is>
      </c>
      <c r="K2567" t="inlineStr">
        <is>
          <t>Male</t>
        </is>
      </c>
      <c r="L2567" t="inlineStr">
        <is>
          <t>No focal subject</t>
        </is>
      </c>
      <c r="M2567" t="n">
        <v>47.963</v>
      </c>
      <c r="N2567" t="inlineStr">
        <is>
          <t>Explore_N</t>
        </is>
      </c>
      <c r="O2567" t="inlineStr">
        <is>
          <t>Novelty</t>
        </is>
      </c>
      <c r="P2567" t="inlineStr">
        <is>
          <t>STATE</t>
        </is>
      </c>
      <c r="Q2567" t="n">
        <v>520.033</v>
      </c>
      <c r="R2567" t="n">
        <v>520.799</v>
      </c>
      <c r="S2567" t="n">
        <v>0.766</v>
      </c>
      <c r="T2567" t="inlineStr">
        <is>
          <t>BTBR\test\c5m3.mp4</t>
        </is>
      </c>
      <c r="U2567" t="n">
        <v>16081</v>
      </c>
      <c r="V2567" t="n">
        <v>16104</v>
      </c>
      <c r="W2567" t="n">
        <v/>
      </c>
      <c r="X2567" t="n">
        <v/>
      </c>
      <c r="Y2567" t="n">
        <v/>
      </c>
      <c r="Z2567" t="n">
        <v/>
      </c>
      <c r="AA2567">
        <f>SUMIFS($S$2:S2567,$A$2:A2567,A2567,$N$2:N2567,"Explore*")</f>
        <v/>
      </c>
      <c r="AB2567">
        <f>IF(AND(LEFT(N2567,7)="Explore",(AA2567-IF(LEFT(N2567,7)="Explore",S2567,0))&lt;10),"SI","NO")</f>
        <v/>
      </c>
    </row>
    <row r="2568">
      <c r="A2568" t="inlineStr">
        <is>
          <t>c5m3_test</t>
        </is>
      </c>
      <c r="B2568" t="inlineStr">
        <is>
          <t>2026-02-17 16:49:00.306</t>
        </is>
      </c>
      <c r="C2568" t="n">
        <v/>
      </c>
      <c r="D2568" t="inlineStr">
        <is>
          <t>Media file</t>
        </is>
      </c>
      <c r="E2568" t="inlineStr">
        <is>
          <t>player #1:BTBR\test\c5m3.mp4</t>
        </is>
      </c>
      <c r="F2568" t="n">
        <v>-16.2</v>
      </c>
      <c r="G2568" t="n">
        <v>555.933</v>
      </c>
      <c r="H2568" t="n">
        <v>643.266</v>
      </c>
      <c r="I2568" t="n">
        <v>30</v>
      </c>
      <c r="J2568" t="inlineStr">
        <is>
          <t>BTBR</t>
        </is>
      </c>
      <c r="K2568" t="inlineStr">
        <is>
          <t>Male</t>
        </is>
      </c>
      <c r="L2568" t="inlineStr">
        <is>
          <t>No focal subject</t>
        </is>
      </c>
      <c r="M2568" t="n">
        <v>47.963</v>
      </c>
      <c r="N2568" t="inlineStr">
        <is>
          <t>Explore_N</t>
        </is>
      </c>
      <c r="O2568" t="inlineStr">
        <is>
          <t>Novelty</t>
        </is>
      </c>
      <c r="P2568" t="inlineStr">
        <is>
          <t>STATE</t>
        </is>
      </c>
      <c r="Q2568" t="n">
        <v>524.866</v>
      </c>
      <c r="R2568" t="n">
        <v>525.599</v>
      </c>
      <c r="S2568" t="n">
        <v>0.733</v>
      </c>
      <c r="T2568" t="inlineStr">
        <is>
          <t>BTBR\test\c5m3.mp4</t>
        </is>
      </c>
      <c r="U2568" t="n">
        <v>16226</v>
      </c>
      <c r="V2568" t="n">
        <v>16248</v>
      </c>
      <c r="W2568" t="n">
        <v/>
      </c>
      <c r="X2568" t="n">
        <v/>
      </c>
      <c r="Y2568" t="n">
        <v/>
      </c>
      <c r="Z2568" t="n">
        <v/>
      </c>
      <c r="AA2568">
        <f>SUMIFS($S$2:S2568,$A$2:A2568,A2568,$N$2:N2568,"Explore*")</f>
        <v/>
      </c>
      <c r="AB2568">
        <f>IF(AND(LEFT(N2568,7)="Explore",(AA2568-IF(LEFT(N2568,7)="Explore",S2568,0))&lt;10),"SI","NO")</f>
        <v/>
      </c>
    </row>
    <row r="2569">
      <c r="A2569" t="inlineStr">
        <is>
          <t>c5m3_test</t>
        </is>
      </c>
      <c r="B2569" t="inlineStr">
        <is>
          <t>2026-02-17 16:49:00.306</t>
        </is>
      </c>
      <c r="C2569" t="n">
        <v/>
      </c>
      <c r="D2569" t="inlineStr">
        <is>
          <t>Media file</t>
        </is>
      </c>
      <c r="E2569" t="inlineStr">
        <is>
          <t>player #1:BTBR\test\c5m3.mp4</t>
        </is>
      </c>
      <c r="F2569" t="n">
        <v>-16.2</v>
      </c>
      <c r="G2569" t="n">
        <v>555.933</v>
      </c>
      <c r="H2569" t="n">
        <v>643.266</v>
      </c>
      <c r="I2569" t="n">
        <v>30</v>
      </c>
      <c r="J2569" t="inlineStr">
        <is>
          <t>BTBR</t>
        </is>
      </c>
      <c r="K2569" t="inlineStr">
        <is>
          <t>Male</t>
        </is>
      </c>
      <c r="L2569" t="inlineStr">
        <is>
          <t>No focal subject</t>
        </is>
      </c>
      <c r="M2569" t="n">
        <v>47.963</v>
      </c>
      <c r="N2569" t="inlineStr">
        <is>
          <t>Explore_N</t>
        </is>
      </c>
      <c r="O2569" t="inlineStr">
        <is>
          <t>Novelty</t>
        </is>
      </c>
      <c r="P2569" t="inlineStr">
        <is>
          <t>STATE</t>
        </is>
      </c>
      <c r="Q2569" t="n">
        <v>527.6660000000001</v>
      </c>
      <c r="R2569" t="n">
        <v>528.799</v>
      </c>
      <c r="S2569" t="n">
        <v>1.133</v>
      </c>
      <c r="T2569" t="inlineStr">
        <is>
          <t>BTBR\test\c5m3.mp4</t>
        </is>
      </c>
      <c r="U2569" t="n">
        <v>16310</v>
      </c>
      <c r="V2569" t="n">
        <v>16344</v>
      </c>
      <c r="W2569" t="n">
        <v/>
      </c>
      <c r="X2569" t="n">
        <v/>
      </c>
      <c r="Y2569" t="n">
        <v/>
      </c>
      <c r="Z2569" t="n">
        <v/>
      </c>
      <c r="AA2569">
        <f>SUMIFS($S$2:S2569,$A$2:A2569,A2569,$N$2:N2569,"Explore*")</f>
        <v/>
      </c>
      <c r="AB2569">
        <f>IF(AND(LEFT(N2569,7)="Explore",(AA2569-IF(LEFT(N2569,7)="Explore",S2569,0))&lt;10),"SI","NO")</f>
        <v/>
      </c>
    </row>
    <row r="2570">
      <c r="A2570" t="inlineStr">
        <is>
          <t>c5m3_test</t>
        </is>
      </c>
      <c r="B2570" t="inlineStr">
        <is>
          <t>2026-02-17 16:49:00.306</t>
        </is>
      </c>
      <c r="C2570" t="n">
        <v/>
      </c>
      <c r="D2570" t="inlineStr">
        <is>
          <t>Media file</t>
        </is>
      </c>
      <c r="E2570" t="inlineStr">
        <is>
          <t>player #1:BTBR\test\c5m3.mp4</t>
        </is>
      </c>
      <c r="F2570" t="n">
        <v>-16.2</v>
      </c>
      <c r="G2570" t="n">
        <v>555.933</v>
      </c>
      <c r="H2570" t="n">
        <v>643.266</v>
      </c>
      <c r="I2570" t="n">
        <v>30</v>
      </c>
      <c r="J2570" t="inlineStr">
        <is>
          <t>BTBR</t>
        </is>
      </c>
      <c r="K2570" t="inlineStr">
        <is>
          <t>Male</t>
        </is>
      </c>
      <c r="L2570" t="inlineStr">
        <is>
          <t>No focal subject</t>
        </is>
      </c>
      <c r="M2570" t="n">
        <v>47.963</v>
      </c>
      <c r="N2570" t="inlineStr">
        <is>
          <t>Explore_F</t>
        </is>
      </c>
      <c r="O2570" t="inlineStr">
        <is>
          <t>Familiar</t>
        </is>
      </c>
      <c r="P2570" t="inlineStr">
        <is>
          <t>STATE</t>
        </is>
      </c>
      <c r="Q2570" t="n">
        <v>535.033</v>
      </c>
      <c r="R2570" t="n">
        <v>535.866</v>
      </c>
      <c r="S2570" t="n">
        <v>0.833</v>
      </c>
      <c r="T2570" t="inlineStr">
        <is>
          <t>BTBR\test\c5m3.mp4</t>
        </is>
      </c>
      <c r="U2570" t="n">
        <v>16531</v>
      </c>
      <c r="V2570" t="n">
        <v>16555</v>
      </c>
      <c r="W2570" t="n">
        <v/>
      </c>
      <c r="X2570" t="n">
        <v/>
      </c>
      <c r="Y2570" t="n">
        <v/>
      </c>
      <c r="Z2570" t="n">
        <v/>
      </c>
      <c r="AA2570">
        <f>SUMIFS($S$2:S2570,$A$2:A2570,A2570,$N$2:N2570,"Explore*")</f>
        <v/>
      </c>
      <c r="AB2570">
        <f>IF(AND(LEFT(N2570,7)="Explore",(AA2570-IF(LEFT(N2570,7)="Explore",S2570,0))&lt;10),"SI","NO")</f>
        <v/>
      </c>
    </row>
    <row r="2571">
      <c r="A2571" t="inlineStr">
        <is>
          <t>c5m3_test</t>
        </is>
      </c>
      <c r="B2571" t="inlineStr">
        <is>
          <t>2026-02-17 16:49:00.306</t>
        </is>
      </c>
      <c r="C2571" t="n">
        <v/>
      </c>
      <c r="D2571" t="inlineStr">
        <is>
          <t>Media file</t>
        </is>
      </c>
      <c r="E2571" t="inlineStr">
        <is>
          <t>player #1:BTBR\test\c5m3.mp4</t>
        </is>
      </c>
      <c r="F2571" t="n">
        <v>-16.2</v>
      </c>
      <c r="G2571" t="n">
        <v>555.933</v>
      </c>
      <c r="H2571" t="n">
        <v>643.266</v>
      </c>
      <c r="I2571" t="n">
        <v>30</v>
      </c>
      <c r="J2571" t="inlineStr">
        <is>
          <t>BTBR</t>
        </is>
      </c>
      <c r="K2571" t="inlineStr">
        <is>
          <t>Male</t>
        </is>
      </c>
      <c r="L2571" t="inlineStr">
        <is>
          <t>No focal subject</t>
        </is>
      </c>
      <c r="M2571" t="n">
        <v>47.963</v>
      </c>
      <c r="N2571" t="inlineStr">
        <is>
          <t>Explore_F</t>
        </is>
      </c>
      <c r="O2571" t="inlineStr">
        <is>
          <t>Familiar</t>
        </is>
      </c>
      <c r="P2571" t="inlineStr">
        <is>
          <t>STATE</t>
        </is>
      </c>
      <c r="Q2571" t="n">
        <v>560.499</v>
      </c>
      <c r="R2571" t="n">
        <v>560.966</v>
      </c>
      <c r="S2571" t="n">
        <v>0.467</v>
      </c>
      <c r="T2571" t="inlineStr">
        <is>
          <t>BTBR\test\c5m3.mp4</t>
        </is>
      </c>
      <c r="U2571" t="n">
        <v>17294</v>
      </c>
      <c r="V2571" t="n">
        <v>17308</v>
      </c>
      <c r="W2571" t="n">
        <v/>
      </c>
      <c r="X2571" t="n">
        <v/>
      </c>
      <c r="Y2571" t="n">
        <v/>
      </c>
      <c r="Z2571" t="n">
        <v/>
      </c>
      <c r="AA2571">
        <f>SUMIFS($S$2:S2571,$A$2:A2571,A2571,$N$2:N2571,"Explore*")</f>
        <v/>
      </c>
      <c r="AB2571">
        <f>IF(AND(LEFT(N2571,7)="Explore",(AA2571-IF(LEFT(N2571,7)="Explore",S2571,0))&lt;10),"SI","NO")</f>
        <v/>
      </c>
    </row>
    <row r="2572">
      <c r="A2572" t="inlineStr">
        <is>
          <t>c5m4_test</t>
        </is>
      </c>
      <c r="B2572" t="inlineStr">
        <is>
          <t>2026-02-17 17:06:22.867</t>
        </is>
      </c>
      <c r="C2572" t="n">
        <v/>
      </c>
      <c r="D2572" t="inlineStr">
        <is>
          <t>Media file</t>
        </is>
      </c>
      <c r="E2572" t="inlineStr">
        <is>
          <t>player #1:BTBR\test\c5m4.mp4</t>
        </is>
      </c>
      <c r="F2572" t="n">
        <v>-8.233000000000001</v>
      </c>
      <c r="G2572" t="n">
        <v>563.699</v>
      </c>
      <c r="H2572" t="n">
        <v>622.899</v>
      </c>
      <c r="I2572" t="n">
        <v>30</v>
      </c>
      <c r="J2572" t="inlineStr">
        <is>
          <t>BTBR</t>
        </is>
      </c>
      <c r="K2572" t="inlineStr">
        <is>
          <t>Male</t>
        </is>
      </c>
      <c r="L2572" t="inlineStr">
        <is>
          <t>No focal subject</t>
        </is>
      </c>
      <c r="M2572" t="n">
        <v>43.165</v>
      </c>
      <c r="N2572" t="inlineStr">
        <is>
          <t>Explore_N</t>
        </is>
      </c>
      <c r="O2572" t="inlineStr">
        <is>
          <t>Novelty</t>
        </is>
      </c>
      <c r="P2572" t="inlineStr">
        <is>
          <t>STATE</t>
        </is>
      </c>
      <c r="Q2572" t="n">
        <v>3.567</v>
      </c>
      <c r="R2572" t="n">
        <v>4.5</v>
      </c>
      <c r="S2572" t="n">
        <v>0.9330000000000001</v>
      </c>
      <c r="T2572" t="inlineStr">
        <is>
          <t>BTBR\test\c5m4.mp4</t>
        </is>
      </c>
      <c r="U2572" t="n">
        <v>107</v>
      </c>
      <c r="V2572" t="n">
        <v>137</v>
      </c>
      <c r="W2572" t="n">
        <v/>
      </c>
      <c r="X2572" t="n">
        <v/>
      </c>
      <c r="Y2572" t="n">
        <v/>
      </c>
      <c r="Z2572" t="n">
        <v/>
      </c>
      <c r="AA2572">
        <f>SUMIFS($S$2:S2572,$A$2:A2572,A2572,$N$2:N2572,"Explore*")</f>
        <v/>
      </c>
      <c r="AB2572">
        <f>IF(AND(LEFT(N2572,7)="Explore",(AA2572-IF(LEFT(N2572,7)="Explore",S2572,0))&lt;10),"SI","NO")</f>
        <v/>
      </c>
    </row>
    <row r="2573">
      <c r="A2573" t="inlineStr">
        <is>
          <t>c5m4_test</t>
        </is>
      </c>
      <c r="B2573" t="inlineStr">
        <is>
          <t>2026-02-17 17:06:22.867</t>
        </is>
      </c>
      <c r="C2573" t="n">
        <v/>
      </c>
      <c r="D2573" t="inlineStr">
        <is>
          <t>Media file</t>
        </is>
      </c>
      <c r="E2573" t="inlineStr">
        <is>
          <t>player #1:BTBR\test\c5m4.mp4</t>
        </is>
      </c>
      <c r="F2573" t="n">
        <v>-8.233000000000001</v>
      </c>
      <c r="G2573" t="n">
        <v>563.699</v>
      </c>
      <c r="H2573" t="n">
        <v>622.899</v>
      </c>
      <c r="I2573" t="n">
        <v>30</v>
      </c>
      <c r="J2573" t="inlineStr">
        <is>
          <t>BTBR</t>
        </is>
      </c>
      <c r="K2573" t="inlineStr">
        <is>
          <t>Male</t>
        </is>
      </c>
      <c r="L2573" t="inlineStr">
        <is>
          <t>No focal subject</t>
        </is>
      </c>
      <c r="M2573" t="n">
        <v>43.165</v>
      </c>
      <c r="N2573" t="inlineStr">
        <is>
          <t>Explore_N</t>
        </is>
      </c>
      <c r="O2573" t="inlineStr">
        <is>
          <t>Novelty</t>
        </is>
      </c>
      <c r="P2573" t="inlineStr">
        <is>
          <t>STATE</t>
        </is>
      </c>
      <c r="Q2573" t="n">
        <v>6.634</v>
      </c>
      <c r="R2573" t="n">
        <v>7.534</v>
      </c>
      <c r="S2573" t="n">
        <v>0.9</v>
      </c>
      <c r="T2573" t="inlineStr">
        <is>
          <t>BTBR\test\c5m4.mp4</t>
        </is>
      </c>
      <c r="U2573" t="n">
        <v>199</v>
      </c>
      <c r="V2573" t="n">
        <v>226</v>
      </c>
      <c r="W2573" t="n">
        <v/>
      </c>
      <c r="X2573" t="n">
        <v/>
      </c>
      <c r="Y2573" t="n">
        <v/>
      </c>
      <c r="Z2573" t="n">
        <v/>
      </c>
      <c r="AA2573">
        <f>SUMIFS($S$2:S2573,$A$2:A2573,A2573,$N$2:N2573,"Explore*")</f>
        <v/>
      </c>
      <c r="AB2573">
        <f>IF(AND(LEFT(N2573,7)="Explore",(AA2573-IF(LEFT(N2573,7)="Explore",S2573,0))&lt;10),"SI","NO")</f>
        <v/>
      </c>
    </row>
    <row r="2574">
      <c r="A2574" t="inlineStr">
        <is>
          <t>c5m4_test</t>
        </is>
      </c>
      <c r="B2574" t="inlineStr">
        <is>
          <t>2026-02-17 17:06:22.867</t>
        </is>
      </c>
      <c r="C2574" t="n">
        <v/>
      </c>
      <c r="D2574" t="inlineStr">
        <is>
          <t>Media file</t>
        </is>
      </c>
      <c r="E2574" t="inlineStr">
        <is>
          <t>player #1:BTBR\test\c5m4.mp4</t>
        </is>
      </c>
      <c r="F2574" t="n">
        <v>-8.233000000000001</v>
      </c>
      <c r="G2574" t="n">
        <v>563.699</v>
      </c>
      <c r="H2574" t="n">
        <v>622.899</v>
      </c>
      <c r="I2574" t="n">
        <v>30</v>
      </c>
      <c r="J2574" t="inlineStr">
        <is>
          <t>BTBR</t>
        </is>
      </c>
      <c r="K2574" t="inlineStr">
        <is>
          <t>Male</t>
        </is>
      </c>
      <c r="L2574" t="inlineStr">
        <is>
          <t>No focal subject</t>
        </is>
      </c>
      <c r="M2574" t="n">
        <v>43.165</v>
      </c>
      <c r="N2574" t="inlineStr">
        <is>
          <t>Explore_N</t>
        </is>
      </c>
      <c r="O2574" t="inlineStr">
        <is>
          <t>Novelty</t>
        </is>
      </c>
      <c r="P2574" t="inlineStr">
        <is>
          <t>STATE</t>
        </is>
      </c>
      <c r="Q2574" t="n">
        <v>12.167</v>
      </c>
      <c r="R2574" t="n">
        <v>13.334</v>
      </c>
      <c r="S2574" t="n">
        <v>1.167</v>
      </c>
      <c r="T2574" t="inlineStr">
        <is>
          <t>BTBR\test\c5m4.mp4</t>
        </is>
      </c>
      <c r="U2574" t="n">
        <v>364</v>
      </c>
      <c r="V2574" t="n">
        <v>399</v>
      </c>
      <c r="W2574" t="n">
        <v/>
      </c>
      <c r="X2574" t="n">
        <v/>
      </c>
      <c r="Y2574" t="n">
        <v/>
      </c>
      <c r="Z2574" t="n">
        <v/>
      </c>
      <c r="AA2574">
        <f>SUMIFS($S$2:S2574,$A$2:A2574,A2574,$N$2:N2574,"Explore*")</f>
        <v/>
      </c>
      <c r="AB2574">
        <f>IF(AND(LEFT(N2574,7)="Explore",(AA2574-IF(LEFT(N2574,7)="Explore",S2574,0))&lt;10),"SI","NO")</f>
        <v/>
      </c>
    </row>
    <row r="2575">
      <c r="A2575" t="inlineStr">
        <is>
          <t>c5m4_test</t>
        </is>
      </c>
      <c r="B2575" t="inlineStr">
        <is>
          <t>2026-02-17 17:06:22.867</t>
        </is>
      </c>
      <c r="C2575" t="n">
        <v/>
      </c>
      <c r="D2575" t="inlineStr">
        <is>
          <t>Media file</t>
        </is>
      </c>
      <c r="E2575" t="inlineStr">
        <is>
          <t>player #1:BTBR\test\c5m4.mp4</t>
        </is>
      </c>
      <c r="F2575" t="n">
        <v>-8.233000000000001</v>
      </c>
      <c r="G2575" t="n">
        <v>563.699</v>
      </c>
      <c r="H2575" t="n">
        <v>622.899</v>
      </c>
      <c r="I2575" t="n">
        <v>30</v>
      </c>
      <c r="J2575" t="inlineStr">
        <is>
          <t>BTBR</t>
        </is>
      </c>
      <c r="K2575" t="inlineStr">
        <is>
          <t>Male</t>
        </is>
      </c>
      <c r="L2575" t="inlineStr">
        <is>
          <t>No focal subject</t>
        </is>
      </c>
      <c r="M2575" t="n">
        <v>43.165</v>
      </c>
      <c r="N2575" t="inlineStr">
        <is>
          <t>Explore_F</t>
        </is>
      </c>
      <c r="O2575" t="inlineStr">
        <is>
          <t>Familiar</t>
        </is>
      </c>
      <c r="P2575" t="inlineStr">
        <is>
          <t>STATE</t>
        </is>
      </c>
      <c r="Q2575" t="n">
        <v>14.167</v>
      </c>
      <c r="R2575" t="n">
        <v>14.4</v>
      </c>
      <c r="S2575" t="n">
        <v>0.233</v>
      </c>
      <c r="T2575" t="inlineStr">
        <is>
          <t>BTBR\test\c5m4.mp4</t>
        </is>
      </c>
      <c r="U2575" t="n">
        <v>424</v>
      </c>
      <c r="V2575" t="n">
        <v>431</v>
      </c>
      <c r="W2575" t="n">
        <v/>
      </c>
      <c r="X2575" t="n">
        <v/>
      </c>
      <c r="Y2575" t="n">
        <v/>
      </c>
      <c r="Z2575" t="n">
        <v/>
      </c>
      <c r="AA2575">
        <f>SUMIFS($S$2:S2575,$A$2:A2575,A2575,$N$2:N2575,"Explore*")</f>
        <v/>
      </c>
      <c r="AB2575">
        <f>IF(AND(LEFT(N2575,7)="Explore",(AA2575-IF(LEFT(N2575,7)="Explore",S2575,0))&lt;10),"SI","NO")</f>
        <v/>
      </c>
    </row>
    <row r="2576">
      <c r="A2576" t="inlineStr">
        <is>
          <t>c5m4_test</t>
        </is>
      </c>
      <c r="B2576" t="inlineStr">
        <is>
          <t>2026-02-17 17:06:22.867</t>
        </is>
      </c>
      <c r="C2576" t="n">
        <v/>
      </c>
      <c r="D2576" t="inlineStr">
        <is>
          <t>Media file</t>
        </is>
      </c>
      <c r="E2576" t="inlineStr">
        <is>
          <t>player #1:BTBR\test\c5m4.mp4</t>
        </is>
      </c>
      <c r="F2576" t="n">
        <v>-8.233000000000001</v>
      </c>
      <c r="G2576" t="n">
        <v>563.699</v>
      </c>
      <c r="H2576" t="n">
        <v>622.899</v>
      </c>
      <c r="I2576" t="n">
        <v>30</v>
      </c>
      <c r="J2576" t="inlineStr">
        <is>
          <t>BTBR</t>
        </is>
      </c>
      <c r="K2576" t="inlineStr">
        <is>
          <t>Male</t>
        </is>
      </c>
      <c r="L2576" t="inlineStr">
        <is>
          <t>No focal subject</t>
        </is>
      </c>
      <c r="M2576" t="n">
        <v>43.165</v>
      </c>
      <c r="N2576" t="inlineStr">
        <is>
          <t>Explore_F</t>
        </is>
      </c>
      <c r="O2576" t="inlineStr">
        <is>
          <t>Familiar</t>
        </is>
      </c>
      <c r="P2576" t="inlineStr">
        <is>
          <t>STATE</t>
        </is>
      </c>
      <c r="Q2576" t="n">
        <v>18.467</v>
      </c>
      <c r="R2576" t="n">
        <v>19.7</v>
      </c>
      <c r="S2576" t="n">
        <v>1.233</v>
      </c>
      <c r="T2576" t="inlineStr">
        <is>
          <t>BTBR\test\c5m4.mp4</t>
        </is>
      </c>
      <c r="U2576" t="n">
        <v>553</v>
      </c>
      <c r="V2576" t="n">
        <v>590</v>
      </c>
      <c r="W2576" t="n">
        <v/>
      </c>
      <c r="X2576" t="n">
        <v/>
      </c>
      <c r="Y2576" t="n">
        <v/>
      </c>
      <c r="Z2576" t="n">
        <v/>
      </c>
      <c r="AA2576">
        <f>SUMIFS($S$2:S2576,$A$2:A2576,A2576,$N$2:N2576,"Explore*")</f>
        <v/>
      </c>
      <c r="AB2576">
        <f>IF(AND(LEFT(N2576,7)="Explore",(AA2576-IF(LEFT(N2576,7)="Explore",S2576,0))&lt;10),"SI","NO")</f>
        <v/>
      </c>
    </row>
    <row r="2577">
      <c r="A2577" t="inlineStr">
        <is>
          <t>c5m4_test</t>
        </is>
      </c>
      <c r="B2577" t="inlineStr">
        <is>
          <t>2026-02-17 17:06:22.867</t>
        </is>
      </c>
      <c r="C2577" t="n">
        <v/>
      </c>
      <c r="D2577" t="inlineStr">
        <is>
          <t>Media file</t>
        </is>
      </c>
      <c r="E2577" t="inlineStr">
        <is>
          <t>player #1:BTBR\test\c5m4.mp4</t>
        </is>
      </c>
      <c r="F2577" t="n">
        <v>-8.233000000000001</v>
      </c>
      <c r="G2577" t="n">
        <v>563.699</v>
      </c>
      <c r="H2577" t="n">
        <v>622.899</v>
      </c>
      <c r="I2577" t="n">
        <v>30</v>
      </c>
      <c r="J2577" t="inlineStr">
        <is>
          <t>BTBR</t>
        </is>
      </c>
      <c r="K2577" t="inlineStr">
        <is>
          <t>Male</t>
        </is>
      </c>
      <c r="L2577" t="inlineStr">
        <is>
          <t>No focal subject</t>
        </is>
      </c>
      <c r="M2577" t="n">
        <v>43.165</v>
      </c>
      <c r="N2577" t="inlineStr">
        <is>
          <t>Explore_N</t>
        </is>
      </c>
      <c r="O2577" t="inlineStr">
        <is>
          <t>Novelty</t>
        </is>
      </c>
      <c r="P2577" t="inlineStr">
        <is>
          <t>STATE</t>
        </is>
      </c>
      <c r="Q2577" t="n">
        <v>27.1</v>
      </c>
      <c r="R2577" t="n">
        <v>27.834</v>
      </c>
      <c r="S2577" t="n">
        <v>0.734</v>
      </c>
      <c r="T2577" t="inlineStr">
        <is>
          <t>BTBR\test\c5m4.mp4</t>
        </is>
      </c>
      <c r="U2577" t="n">
        <v>811</v>
      </c>
      <c r="V2577" t="n">
        <v>833</v>
      </c>
      <c r="W2577" t="n">
        <v/>
      </c>
      <c r="X2577" t="n">
        <v/>
      </c>
      <c r="Y2577" t="n">
        <v/>
      </c>
      <c r="Z2577" t="n">
        <v/>
      </c>
      <c r="AA2577">
        <f>SUMIFS($S$2:S2577,$A$2:A2577,A2577,$N$2:N2577,"Explore*")</f>
        <v/>
      </c>
      <c r="AB2577">
        <f>IF(AND(LEFT(N2577,7)="Explore",(AA2577-IF(LEFT(N2577,7)="Explore",S2577,0))&lt;10),"SI","NO")</f>
        <v/>
      </c>
    </row>
    <row r="2578">
      <c r="A2578" t="inlineStr">
        <is>
          <t>c5m4_test</t>
        </is>
      </c>
      <c r="B2578" t="inlineStr">
        <is>
          <t>2026-02-17 17:06:22.867</t>
        </is>
      </c>
      <c r="C2578" t="n">
        <v/>
      </c>
      <c r="D2578" t="inlineStr">
        <is>
          <t>Media file</t>
        </is>
      </c>
      <c r="E2578" t="inlineStr">
        <is>
          <t>player #1:BTBR\test\c5m4.mp4</t>
        </is>
      </c>
      <c r="F2578" t="n">
        <v>-8.233000000000001</v>
      </c>
      <c r="G2578" t="n">
        <v>563.699</v>
      </c>
      <c r="H2578" t="n">
        <v>622.899</v>
      </c>
      <c r="I2578" t="n">
        <v>30</v>
      </c>
      <c r="J2578" t="inlineStr">
        <is>
          <t>BTBR</t>
        </is>
      </c>
      <c r="K2578" t="inlineStr">
        <is>
          <t>Male</t>
        </is>
      </c>
      <c r="L2578" t="inlineStr">
        <is>
          <t>No focal subject</t>
        </is>
      </c>
      <c r="M2578" t="n">
        <v>43.165</v>
      </c>
      <c r="N2578" t="inlineStr">
        <is>
          <t>Explore_N</t>
        </is>
      </c>
      <c r="O2578" t="inlineStr">
        <is>
          <t>Novelty</t>
        </is>
      </c>
      <c r="P2578" t="inlineStr">
        <is>
          <t>STATE</t>
        </is>
      </c>
      <c r="Q2578" t="n">
        <v>28.934</v>
      </c>
      <c r="R2578" t="n">
        <v>29.434</v>
      </c>
      <c r="S2578" t="n">
        <v>0.5</v>
      </c>
      <c r="T2578" t="inlineStr">
        <is>
          <t>BTBR\test\c5m4.mp4</t>
        </is>
      </c>
      <c r="U2578" t="n">
        <v>866</v>
      </c>
      <c r="V2578" t="n">
        <v>881</v>
      </c>
      <c r="W2578" t="n">
        <v/>
      </c>
      <c r="X2578" t="n">
        <v/>
      </c>
      <c r="Y2578" t="n">
        <v/>
      </c>
      <c r="Z2578" t="n">
        <v/>
      </c>
      <c r="AA2578">
        <f>SUMIFS($S$2:S2578,$A$2:A2578,A2578,$N$2:N2578,"Explore*")</f>
        <v/>
      </c>
      <c r="AB2578">
        <f>IF(AND(LEFT(N2578,7)="Explore",(AA2578-IF(LEFT(N2578,7)="Explore",S2578,0))&lt;10),"SI","NO")</f>
        <v/>
      </c>
    </row>
    <row r="2579">
      <c r="A2579" t="inlineStr">
        <is>
          <t>c5m4_test</t>
        </is>
      </c>
      <c r="B2579" t="inlineStr">
        <is>
          <t>2026-02-17 17:06:22.867</t>
        </is>
      </c>
      <c r="C2579" t="n">
        <v/>
      </c>
      <c r="D2579" t="inlineStr">
        <is>
          <t>Media file</t>
        </is>
      </c>
      <c r="E2579" t="inlineStr">
        <is>
          <t>player #1:BTBR\test\c5m4.mp4</t>
        </is>
      </c>
      <c r="F2579" t="n">
        <v>-8.233000000000001</v>
      </c>
      <c r="G2579" t="n">
        <v>563.699</v>
      </c>
      <c r="H2579" t="n">
        <v>622.899</v>
      </c>
      <c r="I2579" t="n">
        <v>30</v>
      </c>
      <c r="J2579" t="inlineStr">
        <is>
          <t>BTBR</t>
        </is>
      </c>
      <c r="K2579" t="inlineStr">
        <is>
          <t>Male</t>
        </is>
      </c>
      <c r="L2579" t="inlineStr">
        <is>
          <t>No focal subject</t>
        </is>
      </c>
      <c r="M2579" t="n">
        <v>43.165</v>
      </c>
      <c r="N2579" t="inlineStr">
        <is>
          <t>Explore_N</t>
        </is>
      </c>
      <c r="O2579" t="inlineStr">
        <is>
          <t>Novelty</t>
        </is>
      </c>
      <c r="P2579" t="inlineStr">
        <is>
          <t>STATE</t>
        </is>
      </c>
      <c r="Q2579" t="n">
        <v>33.967</v>
      </c>
      <c r="R2579" t="n">
        <v>34.667</v>
      </c>
      <c r="S2579" t="n">
        <v>0.7</v>
      </c>
      <c r="T2579" t="inlineStr">
        <is>
          <t>BTBR\test\c5m4.mp4</t>
        </is>
      </c>
      <c r="U2579" t="n">
        <v>1017</v>
      </c>
      <c r="V2579" t="n">
        <v>1037</v>
      </c>
      <c r="W2579" t="n">
        <v/>
      </c>
      <c r="X2579" t="n">
        <v/>
      </c>
      <c r="Y2579" t="n">
        <v/>
      </c>
      <c r="Z2579" t="n">
        <v/>
      </c>
      <c r="AA2579">
        <f>SUMIFS($S$2:S2579,$A$2:A2579,A2579,$N$2:N2579,"Explore*")</f>
        <v/>
      </c>
      <c r="AB2579">
        <f>IF(AND(LEFT(N2579,7)="Explore",(AA2579-IF(LEFT(N2579,7)="Explore",S2579,0))&lt;10),"SI","NO")</f>
        <v/>
      </c>
    </row>
    <row r="2580">
      <c r="A2580" t="inlineStr">
        <is>
          <t>c5m4_test</t>
        </is>
      </c>
      <c r="B2580" t="inlineStr">
        <is>
          <t>2026-02-17 17:06:22.867</t>
        </is>
      </c>
      <c r="C2580" t="n">
        <v/>
      </c>
      <c r="D2580" t="inlineStr">
        <is>
          <t>Media file</t>
        </is>
      </c>
      <c r="E2580" t="inlineStr">
        <is>
          <t>player #1:BTBR\test\c5m4.mp4</t>
        </is>
      </c>
      <c r="F2580" t="n">
        <v>-8.233000000000001</v>
      </c>
      <c r="G2580" t="n">
        <v>563.699</v>
      </c>
      <c r="H2580" t="n">
        <v>622.899</v>
      </c>
      <c r="I2580" t="n">
        <v>30</v>
      </c>
      <c r="J2580" t="inlineStr">
        <is>
          <t>BTBR</t>
        </is>
      </c>
      <c r="K2580" t="inlineStr">
        <is>
          <t>Male</t>
        </is>
      </c>
      <c r="L2580" t="inlineStr">
        <is>
          <t>No focal subject</t>
        </is>
      </c>
      <c r="M2580" t="n">
        <v>43.165</v>
      </c>
      <c r="N2580" t="inlineStr">
        <is>
          <t>Explore_F</t>
        </is>
      </c>
      <c r="O2580" t="inlineStr">
        <is>
          <t>Familiar</t>
        </is>
      </c>
      <c r="P2580" t="inlineStr">
        <is>
          <t>STATE</t>
        </is>
      </c>
      <c r="Q2580" t="n">
        <v>35.867</v>
      </c>
      <c r="R2580" t="n">
        <v>36.567</v>
      </c>
      <c r="S2580" t="n">
        <v>0.7</v>
      </c>
      <c r="T2580" t="inlineStr">
        <is>
          <t>BTBR\test\c5m4.mp4</t>
        </is>
      </c>
      <c r="U2580" t="n">
        <v>1073</v>
      </c>
      <c r="V2580" t="n">
        <v>1094</v>
      </c>
      <c r="W2580" t="n">
        <v/>
      </c>
      <c r="X2580" t="n">
        <v/>
      </c>
      <c r="Y2580" t="n">
        <v/>
      </c>
      <c r="Z2580" t="n">
        <v/>
      </c>
      <c r="AA2580">
        <f>SUMIFS($S$2:S2580,$A$2:A2580,A2580,$N$2:N2580,"Explore*")</f>
        <v/>
      </c>
      <c r="AB2580">
        <f>IF(AND(LEFT(N2580,7)="Explore",(AA2580-IF(LEFT(N2580,7)="Explore",S2580,0))&lt;10),"SI","NO")</f>
        <v/>
      </c>
    </row>
    <row r="2581">
      <c r="A2581" t="inlineStr">
        <is>
          <t>c5m4_test</t>
        </is>
      </c>
      <c r="B2581" t="inlineStr">
        <is>
          <t>2026-02-17 17:06:22.867</t>
        </is>
      </c>
      <c r="C2581" t="n">
        <v/>
      </c>
      <c r="D2581" t="inlineStr">
        <is>
          <t>Media file</t>
        </is>
      </c>
      <c r="E2581" t="inlineStr">
        <is>
          <t>player #1:BTBR\test\c5m4.mp4</t>
        </is>
      </c>
      <c r="F2581" t="n">
        <v>-8.233000000000001</v>
      </c>
      <c r="G2581" t="n">
        <v>563.699</v>
      </c>
      <c r="H2581" t="n">
        <v>622.899</v>
      </c>
      <c r="I2581" t="n">
        <v>30</v>
      </c>
      <c r="J2581" t="inlineStr">
        <is>
          <t>BTBR</t>
        </is>
      </c>
      <c r="K2581" t="inlineStr">
        <is>
          <t>Male</t>
        </is>
      </c>
      <c r="L2581" t="inlineStr">
        <is>
          <t>No focal subject</t>
        </is>
      </c>
      <c r="M2581" t="n">
        <v>43.165</v>
      </c>
      <c r="N2581" t="inlineStr">
        <is>
          <t>Explore_F</t>
        </is>
      </c>
      <c r="O2581" t="inlineStr">
        <is>
          <t>Familiar</t>
        </is>
      </c>
      <c r="P2581" t="inlineStr">
        <is>
          <t>STATE</t>
        </is>
      </c>
      <c r="Q2581" t="n">
        <v>37.634</v>
      </c>
      <c r="R2581" t="n">
        <v>37.9</v>
      </c>
      <c r="S2581" t="n">
        <v>0.266</v>
      </c>
      <c r="T2581" t="inlineStr">
        <is>
          <t>BTBR\test\c5m4.mp4</t>
        </is>
      </c>
      <c r="U2581" t="n">
        <v>1126</v>
      </c>
      <c r="V2581" t="n">
        <v>1134</v>
      </c>
      <c r="W2581" t="n">
        <v/>
      </c>
      <c r="X2581" t="n">
        <v/>
      </c>
      <c r="Y2581" t="n">
        <v/>
      </c>
      <c r="Z2581" t="n">
        <v/>
      </c>
      <c r="AA2581">
        <f>SUMIFS($S$2:S2581,$A$2:A2581,A2581,$N$2:N2581,"Explore*")</f>
        <v/>
      </c>
      <c r="AB2581">
        <f>IF(AND(LEFT(N2581,7)="Explore",(AA2581-IF(LEFT(N2581,7)="Explore",S2581,0))&lt;10),"SI","NO")</f>
        <v/>
      </c>
    </row>
    <row r="2582">
      <c r="A2582" t="inlineStr">
        <is>
          <t>c5m4_test</t>
        </is>
      </c>
      <c r="B2582" t="inlineStr">
        <is>
          <t>2026-02-17 17:06:22.867</t>
        </is>
      </c>
      <c r="C2582" t="n">
        <v/>
      </c>
      <c r="D2582" t="inlineStr">
        <is>
          <t>Media file</t>
        </is>
      </c>
      <c r="E2582" t="inlineStr">
        <is>
          <t>player #1:BTBR\test\c5m4.mp4</t>
        </is>
      </c>
      <c r="F2582" t="n">
        <v>-8.233000000000001</v>
      </c>
      <c r="G2582" t="n">
        <v>563.699</v>
      </c>
      <c r="H2582" t="n">
        <v>622.899</v>
      </c>
      <c r="I2582" t="n">
        <v>30</v>
      </c>
      <c r="J2582" t="inlineStr">
        <is>
          <t>BTBR</t>
        </is>
      </c>
      <c r="K2582" t="inlineStr">
        <is>
          <t>Male</t>
        </is>
      </c>
      <c r="L2582" t="inlineStr">
        <is>
          <t>No focal subject</t>
        </is>
      </c>
      <c r="M2582" t="n">
        <v>43.165</v>
      </c>
      <c r="N2582" t="inlineStr">
        <is>
          <t>Explore_N</t>
        </is>
      </c>
      <c r="O2582" t="inlineStr">
        <is>
          <t>Novelty</t>
        </is>
      </c>
      <c r="P2582" t="inlineStr">
        <is>
          <t>STATE</t>
        </is>
      </c>
      <c r="Q2582" t="n">
        <v>40.334</v>
      </c>
      <c r="R2582" t="n">
        <v>40.834</v>
      </c>
      <c r="S2582" t="n">
        <v>0.5</v>
      </c>
      <c r="T2582" t="inlineStr">
        <is>
          <t>BTBR\test\c5m4.mp4</t>
        </is>
      </c>
      <c r="U2582" t="n">
        <v>1207</v>
      </c>
      <c r="V2582" t="n">
        <v>1222</v>
      </c>
      <c r="W2582" t="n">
        <v/>
      </c>
      <c r="X2582" t="n">
        <v/>
      </c>
      <c r="Y2582" t="n">
        <v/>
      </c>
      <c r="Z2582" t="n">
        <v/>
      </c>
      <c r="AA2582">
        <f>SUMIFS($S$2:S2582,$A$2:A2582,A2582,$N$2:N2582,"Explore*")</f>
        <v/>
      </c>
      <c r="AB2582">
        <f>IF(AND(LEFT(N2582,7)="Explore",(AA2582-IF(LEFT(N2582,7)="Explore",S2582,0))&lt;10),"SI","NO")</f>
        <v/>
      </c>
    </row>
    <row r="2583">
      <c r="A2583" t="inlineStr">
        <is>
          <t>c5m4_test</t>
        </is>
      </c>
      <c r="B2583" t="inlineStr">
        <is>
          <t>2026-02-17 17:06:22.867</t>
        </is>
      </c>
      <c r="C2583" t="n">
        <v/>
      </c>
      <c r="D2583" t="inlineStr">
        <is>
          <t>Media file</t>
        </is>
      </c>
      <c r="E2583" t="inlineStr">
        <is>
          <t>player #1:BTBR\test\c5m4.mp4</t>
        </is>
      </c>
      <c r="F2583" t="n">
        <v>-8.233000000000001</v>
      </c>
      <c r="G2583" t="n">
        <v>563.699</v>
      </c>
      <c r="H2583" t="n">
        <v>622.899</v>
      </c>
      <c r="I2583" t="n">
        <v>30</v>
      </c>
      <c r="J2583" t="inlineStr">
        <is>
          <t>BTBR</t>
        </is>
      </c>
      <c r="K2583" t="inlineStr">
        <is>
          <t>Male</t>
        </is>
      </c>
      <c r="L2583" t="inlineStr">
        <is>
          <t>No focal subject</t>
        </is>
      </c>
      <c r="M2583" t="n">
        <v>43.165</v>
      </c>
      <c r="N2583" t="inlineStr">
        <is>
          <t>Explore_N</t>
        </is>
      </c>
      <c r="O2583" t="inlineStr">
        <is>
          <t>Novelty</t>
        </is>
      </c>
      <c r="P2583" t="inlineStr">
        <is>
          <t>STATE</t>
        </is>
      </c>
      <c r="Q2583" t="n">
        <v>56.467</v>
      </c>
      <c r="R2583" t="n">
        <v>57.234</v>
      </c>
      <c r="S2583" t="n">
        <v>0.767</v>
      </c>
      <c r="T2583" t="inlineStr">
        <is>
          <t>BTBR\test\c5m4.mp4</t>
        </is>
      </c>
      <c r="U2583" t="n">
        <v>1690</v>
      </c>
      <c r="V2583" t="n">
        <v>1713</v>
      </c>
      <c r="W2583" t="n">
        <v/>
      </c>
      <c r="X2583" t="n">
        <v/>
      </c>
      <c r="Y2583" t="n">
        <v/>
      </c>
      <c r="Z2583" t="n">
        <v/>
      </c>
      <c r="AA2583">
        <f>SUMIFS($S$2:S2583,$A$2:A2583,A2583,$N$2:N2583,"Explore*")</f>
        <v/>
      </c>
      <c r="AB2583">
        <f>IF(AND(LEFT(N2583,7)="Explore",(AA2583-IF(LEFT(N2583,7)="Explore",S2583,0))&lt;10),"SI","NO")</f>
        <v/>
      </c>
    </row>
    <row r="2584">
      <c r="A2584" t="inlineStr">
        <is>
          <t>c5m4_test</t>
        </is>
      </c>
      <c r="B2584" t="inlineStr">
        <is>
          <t>2026-02-17 17:06:22.867</t>
        </is>
      </c>
      <c r="C2584" t="n">
        <v/>
      </c>
      <c r="D2584" t="inlineStr">
        <is>
          <t>Media file</t>
        </is>
      </c>
      <c r="E2584" t="inlineStr">
        <is>
          <t>player #1:BTBR\test\c5m4.mp4</t>
        </is>
      </c>
      <c r="F2584" t="n">
        <v>-8.233000000000001</v>
      </c>
      <c r="G2584" t="n">
        <v>563.699</v>
      </c>
      <c r="H2584" t="n">
        <v>622.899</v>
      </c>
      <c r="I2584" t="n">
        <v>30</v>
      </c>
      <c r="J2584" t="inlineStr">
        <is>
          <t>BTBR</t>
        </is>
      </c>
      <c r="K2584" t="inlineStr">
        <is>
          <t>Male</t>
        </is>
      </c>
      <c r="L2584" t="inlineStr">
        <is>
          <t>No focal subject</t>
        </is>
      </c>
      <c r="M2584" t="n">
        <v>43.165</v>
      </c>
      <c r="N2584" t="inlineStr">
        <is>
          <t>Explore_F</t>
        </is>
      </c>
      <c r="O2584" t="inlineStr">
        <is>
          <t>Familiar</t>
        </is>
      </c>
      <c r="P2584" t="inlineStr">
        <is>
          <t>STATE</t>
        </is>
      </c>
      <c r="Q2584" t="n">
        <v>62.3</v>
      </c>
      <c r="R2584" t="n">
        <v>63.6</v>
      </c>
      <c r="S2584" t="n">
        <v>1.3</v>
      </c>
      <c r="T2584" t="inlineStr">
        <is>
          <t>BTBR\test\c5m4.mp4</t>
        </is>
      </c>
      <c r="U2584" t="n">
        <v>1864</v>
      </c>
      <c r="V2584" t="n">
        <v>1903</v>
      </c>
      <c r="W2584" t="n">
        <v/>
      </c>
      <c r="X2584" t="n">
        <v/>
      </c>
      <c r="Y2584" t="n">
        <v/>
      </c>
      <c r="Z2584" t="n">
        <v/>
      </c>
      <c r="AA2584">
        <f>SUMIFS($S$2:S2584,$A$2:A2584,A2584,$N$2:N2584,"Explore*")</f>
        <v/>
      </c>
      <c r="AB2584">
        <f>IF(AND(LEFT(N2584,7)="Explore",(AA2584-IF(LEFT(N2584,7)="Explore",S2584,0))&lt;10),"SI","NO")</f>
        <v/>
      </c>
    </row>
    <row r="2585">
      <c r="A2585" t="inlineStr">
        <is>
          <t>c5m4_test</t>
        </is>
      </c>
      <c r="B2585" t="inlineStr">
        <is>
          <t>2026-02-17 17:06:22.867</t>
        </is>
      </c>
      <c r="C2585" t="n">
        <v/>
      </c>
      <c r="D2585" t="inlineStr">
        <is>
          <t>Media file</t>
        </is>
      </c>
      <c r="E2585" t="inlineStr">
        <is>
          <t>player #1:BTBR\test\c5m4.mp4</t>
        </is>
      </c>
      <c r="F2585" t="n">
        <v>-8.233000000000001</v>
      </c>
      <c r="G2585" t="n">
        <v>563.699</v>
      </c>
      <c r="H2585" t="n">
        <v>622.899</v>
      </c>
      <c r="I2585" t="n">
        <v>30</v>
      </c>
      <c r="J2585" t="inlineStr">
        <is>
          <t>BTBR</t>
        </is>
      </c>
      <c r="K2585" t="inlineStr">
        <is>
          <t>Male</t>
        </is>
      </c>
      <c r="L2585" t="inlineStr">
        <is>
          <t>No focal subject</t>
        </is>
      </c>
      <c r="M2585" t="n">
        <v>43.165</v>
      </c>
      <c r="N2585" t="inlineStr">
        <is>
          <t>Explore_F</t>
        </is>
      </c>
      <c r="O2585" t="inlineStr">
        <is>
          <t>Familiar</t>
        </is>
      </c>
      <c r="P2585" t="inlineStr">
        <is>
          <t>STATE</t>
        </is>
      </c>
      <c r="Q2585" t="n">
        <v>70.167</v>
      </c>
      <c r="R2585" t="n">
        <v>70.667</v>
      </c>
      <c r="S2585" t="n">
        <v>0.5</v>
      </c>
      <c r="T2585" t="inlineStr">
        <is>
          <t>BTBR\test\c5m4.mp4</t>
        </is>
      </c>
      <c r="U2585" t="n">
        <v>2100</v>
      </c>
      <c r="V2585" t="n">
        <v>2115</v>
      </c>
      <c r="W2585" t="n">
        <v/>
      </c>
      <c r="X2585" t="n">
        <v/>
      </c>
      <c r="Y2585" t="n">
        <v/>
      </c>
      <c r="Z2585" t="n">
        <v/>
      </c>
      <c r="AA2585">
        <f>SUMIFS($S$2:S2585,$A$2:A2585,A2585,$N$2:N2585,"Explore*")</f>
        <v/>
      </c>
      <c r="AB2585">
        <f>IF(AND(LEFT(N2585,7)="Explore",(AA2585-IF(LEFT(N2585,7)="Explore",S2585,0))&lt;10),"SI","NO")</f>
        <v/>
      </c>
    </row>
    <row r="2586">
      <c r="A2586" t="inlineStr">
        <is>
          <t>c5m4_test</t>
        </is>
      </c>
      <c r="B2586" t="inlineStr">
        <is>
          <t>2026-02-17 17:06:22.867</t>
        </is>
      </c>
      <c r="C2586" t="n">
        <v/>
      </c>
      <c r="D2586" t="inlineStr">
        <is>
          <t>Media file</t>
        </is>
      </c>
      <c r="E2586" t="inlineStr">
        <is>
          <t>player #1:BTBR\test\c5m4.mp4</t>
        </is>
      </c>
      <c r="F2586" t="n">
        <v>-8.233000000000001</v>
      </c>
      <c r="G2586" t="n">
        <v>563.699</v>
      </c>
      <c r="H2586" t="n">
        <v>622.899</v>
      </c>
      <c r="I2586" t="n">
        <v>30</v>
      </c>
      <c r="J2586" t="inlineStr">
        <is>
          <t>BTBR</t>
        </is>
      </c>
      <c r="K2586" t="inlineStr">
        <is>
          <t>Male</t>
        </is>
      </c>
      <c r="L2586" t="inlineStr">
        <is>
          <t>No focal subject</t>
        </is>
      </c>
      <c r="M2586" t="n">
        <v>43.165</v>
      </c>
      <c r="N2586" t="inlineStr">
        <is>
          <t>Explore_N</t>
        </is>
      </c>
      <c r="O2586" t="inlineStr">
        <is>
          <t>Novelty</t>
        </is>
      </c>
      <c r="P2586" t="inlineStr">
        <is>
          <t>STATE</t>
        </is>
      </c>
      <c r="Q2586" t="n">
        <v>83.56699999999999</v>
      </c>
      <c r="R2586" t="n">
        <v>84.06699999999999</v>
      </c>
      <c r="S2586" t="n">
        <v>0.5</v>
      </c>
      <c r="T2586" t="inlineStr">
        <is>
          <t>BTBR\test\c5m4.mp4</t>
        </is>
      </c>
      <c r="U2586" t="n">
        <v>2501</v>
      </c>
      <c r="V2586" t="n">
        <v>2516</v>
      </c>
      <c r="W2586" t="n">
        <v/>
      </c>
      <c r="X2586" t="n">
        <v/>
      </c>
      <c r="Y2586" t="n">
        <v/>
      </c>
      <c r="Z2586" t="n">
        <v/>
      </c>
      <c r="AA2586">
        <f>SUMIFS($S$2:S2586,$A$2:A2586,A2586,$N$2:N2586,"Explore*")</f>
        <v/>
      </c>
      <c r="AB2586">
        <f>IF(AND(LEFT(N2586,7)="Explore",(AA2586-IF(LEFT(N2586,7)="Explore",S2586,0))&lt;10),"SI","NO")</f>
        <v/>
      </c>
    </row>
    <row r="2587">
      <c r="A2587" t="inlineStr">
        <is>
          <t>c5m4_test</t>
        </is>
      </c>
      <c r="B2587" t="inlineStr">
        <is>
          <t>2026-02-17 17:06:22.867</t>
        </is>
      </c>
      <c r="C2587" t="n">
        <v/>
      </c>
      <c r="D2587" t="inlineStr">
        <is>
          <t>Media file</t>
        </is>
      </c>
      <c r="E2587" t="inlineStr">
        <is>
          <t>player #1:BTBR\test\c5m4.mp4</t>
        </is>
      </c>
      <c r="F2587" t="n">
        <v>-8.233000000000001</v>
      </c>
      <c r="G2587" t="n">
        <v>563.699</v>
      </c>
      <c r="H2587" t="n">
        <v>622.899</v>
      </c>
      <c r="I2587" t="n">
        <v>30</v>
      </c>
      <c r="J2587" t="inlineStr">
        <is>
          <t>BTBR</t>
        </is>
      </c>
      <c r="K2587" t="inlineStr">
        <is>
          <t>Male</t>
        </is>
      </c>
      <c r="L2587" t="inlineStr">
        <is>
          <t>No focal subject</t>
        </is>
      </c>
      <c r="M2587" t="n">
        <v>43.165</v>
      </c>
      <c r="N2587" t="inlineStr">
        <is>
          <t>Explore_F</t>
        </is>
      </c>
      <c r="O2587" t="inlineStr">
        <is>
          <t>Familiar</t>
        </is>
      </c>
      <c r="P2587" t="inlineStr">
        <is>
          <t>STATE</t>
        </is>
      </c>
      <c r="Q2587" t="n">
        <v>85.40000000000001</v>
      </c>
      <c r="R2587" t="n">
        <v>86.467</v>
      </c>
      <c r="S2587" t="n">
        <v>1.067</v>
      </c>
      <c r="T2587" t="inlineStr">
        <is>
          <t>BTBR\test\c5m4.mp4</t>
        </is>
      </c>
      <c r="U2587" t="n">
        <v>2556</v>
      </c>
      <c r="V2587" t="n">
        <v>2588</v>
      </c>
      <c r="W2587" t="n">
        <v/>
      </c>
      <c r="X2587" t="n">
        <v/>
      </c>
      <c r="Y2587" t="n">
        <v/>
      </c>
      <c r="Z2587" t="n">
        <v/>
      </c>
      <c r="AA2587">
        <f>SUMIFS($S$2:S2587,$A$2:A2587,A2587,$N$2:N2587,"Explore*")</f>
        <v/>
      </c>
      <c r="AB2587">
        <f>IF(AND(LEFT(N2587,7)="Explore",(AA2587-IF(LEFT(N2587,7)="Explore",S2587,0))&lt;10),"SI","NO")</f>
        <v/>
      </c>
    </row>
    <row r="2588">
      <c r="A2588" t="inlineStr">
        <is>
          <t>c5m4_test</t>
        </is>
      </c>
      <c r="B2588" t="inlineStr">
        <is>
          <t>2026-02-17 17:06:22.867</t>
        </is>
      </c>
      <c r="C2588" t="n">
        <v/>
      </c>
      <c r="D2588" t="inlineStr">
        <is>
          <t>Media file</t>
        </is>
      </c>
      <c r="E2588" t="inlineStr">
        <is>
          <t>player #1:BTBR\test\c5m4.mp4</t>
        </is>
      </c>
      <c r="F2588" t="n">
        <v>-8.233000000000001</v>
      </c>
      <c r="G2588" t="n">
        <v>563.699</v>
      </c>
      <c r="H2588" t="n">
        <v>622.899</v>
      </c>
      <c r="I2588" t="n">
        <v>30</v>
      </c>
      <c r="J2588" t="inlineStr">
        <is>
          <t>BTBR</t>
        </is>
      </c>
      <c r="K2588" t="inlineStr">
        <is>
          <t>Male</t>
        </is>
      </c>
      <c r="L2588" t="inlineStr">
        <is>
          <t>No focal subject</t>
        </is>
      </c>
      <c r="M2588" t="n">
        <v>43.165</v>
      </c>
      <c r="N2588" t="inlineStr">
        <is>
          <t>Explore_N</t>
        </is>
      </c>
      <c r="O2588" t="inlineStr">
        <is>
          <t>Novelty</t>
        </is>
      </c>
      <c r="P2588" t="inlineStr">
        <is>
          <t>STATE</t>
        </is>
      </c>
      <c r="Q2588" t="n">
        <v>105.3</v>
      </c>
      <c r="R2588" t="n">
        <v>106.167</v>
      </c>
      <c r="S2588" t="n">
        <v>0.867</v>
      </c>
      <c r="T2588" t="inlineStr">
        <is>
          <t>BTBR\test\c5m4.mp4</t>
        </is>
      </c>
      <c r="U2588" t="n">
        <v>3151</v>
      </c>
      <c r="V2588" t="n">
        <v>3177</v>
      </c>
      <c r="W2588" t="n">
        <v/>
      </c>
      <c r="X2588" t="n">
        <v/>
      </c>
      <c r="Y2588" t="n">
        <v/>
      </c>
      <c r="Z2588" t="n">
        <v/>
      </c>
      <c r="AA2588">
        <f>SUMIFS($S$2:S2588,$A$2:A2588,A2588,$N$2:N2588,"Explore*")</f>
        <v/>
      </c>
      <c r="AB2588">
        <f>IF(AND(LEFT(N2588,7)="Explore",(AA2588-IF(LEFT(N2588,7)="Explore",S2588,0))&lt;10),"SI","NO")</f>
        <v/>
      </c>
    </row>
    <row r="2589">
      <c r="A2589" t="inlineStr">
        <is>
          <t>c5m4_test</t>
        </is>
      </c>
      <c r="B2589" t="inlineStr">
        <is>
          <t>2026-02-17 17:06:22.867</t>
        </is>
      </c>
      <c r="C2589" t="n">
        <v/>
      </c>
      <c r="D2589" t="inlineStr">
        <is>
          <t>Media file</t>
        </is>
      </c>
      <c r="E2589" t="inlineStr">
        <is>
          <t>player #1:BTBR\test\c5m4.mp4</t>
        </is>
      </c>
      <c r="F2589" t="n">
        <v>-8.233000000000001</v>
      </c>
      <c r="G2589" t="n">
        <v>563.699</v>
      </c>
      <c r="H2589" t="n">
        <v>622.899</v>
      </c>
      <c r="I2589" t="n">
        <v>30</v>
      </c>
      <c r="J2589" t="inlineStr">
        <is>
          <t>BTBR</t>
        </is>
      </c>
      <c r="K2589" t="inlineStr">
        <is>
          <t>Male</t>
        </is>
      </c>
      <c r="L2589" t="inlineStr">
        <is>
          <t>No focal subject</t>
        </is>
      </c>
      <c r="M2589" t="n">
        <v>43.165</v>
      </c>
      <c r="N2589" t="inlineStr">
        <is>
          <t>Explore_F</t>
        </is>
      </c>
      <c r="O2589" t="inlineStr">
        <is>
          <t>Familiar</t>
        </is>
      </c>
      <c r="P2589" t="inlineStr">
        <is>
          <t>STATE</t>
        </is>
      </c>
      <c r="Q2589" t="n">
        <v>107.5</v>
      </c>
      <c r="R2589" t="n">
        <v>108.934</v>
      </c>
      <c r="S2589" t="n">
        <v>1.434</v>
      </c>
      <c r="T2589" t="inlineStr">
        <is>
          <t>BTBR\test\c5m4.mp4</t>
        </is>
      </c>
      <c r="U2589" t="n">
        <v>3219</v>
      </c>
      <c r="V2589" t="n">
        <v>3260</v>
      </c>
      <c r="W2589" t="n">
        <v/>
      </c>
      <c r="X2589" t="n">
        <v/>
      </c>
      <c r="Y2589" t="n">
        <v/>
      </c>
      <c r="Z2589" t="n">
        <v/>
      </c>
      <c r="AA2589">
        <f>SUMIFS($S$2:S2589,$A$2:A2589,A2589,$N$2:N2589,"Explore*")</f>
        <v/>
      </c>
      <c r="AB2589">
        <f>IF(AND(LEFT(N2589,7)="Explore",(AA2589-IF(LEFT(N2589,7)="Explore",S2589,0))&lt;10),"SI","NO")</f>
        <v/>
      </c>
    </row>
    <row r="2590">
      <c r="A2590" t="inlineStr">
        <is>
          <t>c5m4_test</t>
        </is>
      </c>
      <c r="B2590" t="inlineStr">
        <is>
          <t>2026-02-17 17:06:22.867</t>
        </is>
      </c>
      <c r="C2590" t="n">
        <v/>
      </c>
      <c r="D2590" t="inlineStr">
        <is>
          <t>Media file</t>
        </is>
      </c>
      <c r="E2590" t="inlineStr">
        <is>
          <t>player #1:BTBR\test\c5m4.mp4</t>
        </is>
      </c>
      <c r="F2590" t="n">
        <v>-8.233000000000001</v>
      </c>
      <c r="G2590" t="n">
        <v>563.699</v>
      </c>
      <c r="H2590" t="n">
        <v>622.899</v>
      </c>
      <c r="I2590" t="n">
        <v>30</v>
      </c>
      <c r="J2590" t="inlineStr">
        <is>
          <t>BTBR</t>
        </is>
      </c>
      <c r="K2590" t="inlineStr">
        <is>
          <t>Male</t>
        </is>
      </c>
      <c r="L2590" t="inlineStr">
        <is>
          <t>No focal subject</t>
        </is>
      </c>
      <c r="M2590" t="n">
        <v>43.165</v>
      </c>
      <c r="N2590" t="inlineStr">
        <is>
          <t>Explore_N</t>
        </is>
      </c>
      <c r="O2590" t="inlineStr">
        <is>
          <t>Novelty</t>
        </is>
      </c>
      <c r="P2590" t="inlineStr">
        <is>
          <t>STATE</t>
        </is>
      </c>
      <c r="Q2590" t="n">
        <v>111.1</v>
      </c>
      <c r="R2590" t="n">
        <v>111.934</v>
      </c>
      <c r="S2590" t="n">
        <v>0.834</v>
      </c>
      <c r="T2590" t="inlineStr">
        <is>
          <t>BTBR\test\c5m4.mp4</t>
        </is>
      </c>
      <c r="U2590" t="n">
        <v>3325</v>
      </c>
      <c r="V2590" t="n">
        <v>3350</v>
      </c>
      <c r="W2590" t="n">
        <v/>
      </c>
      <c r="X2590" t="n">
        <v/>
      </c>
      <c r="Y2590" t="n">
        <v/>
      </c>
      <c r="Z2590" t="n">
        <v/>
      </c>
      <c r="AA2590">
        <f>SUMIFS($S$2:S2590,$A$2:A2590,A2590,$N$2:N2590,"Explore*")</f>
        <v/>
      </c>
      <c r="AB2590">
        <f>IF(AND(LEFT(N2590,7)="Explore",(AA2590-IF(LEFT(N2590,7)="Explore",S2590,0))&lt;10),"SI","NO")</f>
        <v/>
      </c>
    </row>
    <row r="2591">
      <c r="A2591" t="inlineStr">
        <is>
          <t>c5m4_test</t>
        </is>
      </c>
      <c r="B2591" t="inlineStr">
        <is>
          <t>2026-02-17 17:06:22.867</t>
        </is>
      </c>
      <c r="C2591" t="n">
        <v/>
      </c>
      <c r="D2591" t="inlineStr">
        <is>
          <t>Media file</t>
        </is>
      </c>
      <c r="E2591" t="inlineStr">
        <is>
          <t>player #1:BTBR\test\c5m4.mp4</t>
        </is>
      </c>
      <c r="F2591" t="n">
        <v>-8.233000000000001</v>
      </c>
      <c r="G2591" t="n">
        <v>563.699</v>
      </c>
      <c r="H2591" t="n">
        <v>622.899</v>
      </c>
      <c r="I2591" t="n">
        <v>30</v>
      </c>
      <c r="J2591" t="inlineStr">
        <is>
          <t>BTBR</t>
        </is>
      </c>
      <c r="K2591" t="inlineStr">
        <is>
          <t>Male</t>
        </is>
      </c>
      <c r="L2591" t="inlineStr">
        <is>
          <t>No focal subject</t>
        </is>
      </c>
      <c r="M2591" t="n">
        <v>43.165</v>
      </c>
      <c r="N2591" t="inlineStr">
        <is>
          <t>Explore_N</t>
        </is>
      </c>
      <c r="O2591" t="inlineStr">
        <is>
          <t>Novelty</t>
        </is>
      </c>
      <c r="P2591" t="inlineStr">
        <is>
          <t>STATE</t>
        </is>
      </c>
      <c r="Q2591" t="n">
        <v>113.334</v>
      </c>
      <c r="R2591" t="n">
        <v>114.434</v>
      </c>
      <c r="S2591" t="n">
        <v>1.1</v>
      </c>
      <c r="T2591" t="inlineStr">
        <is>
          <t>BTBR\test\c5m4.mp4</t>
        </is>
      </c>
      <c r="U2591" t="n">
        <v>3392</v>
      </c>
      <c r="V2591" t="n">
        <v>3425</v>
      </c>
      <c r="W2591" t="n">
        <v/>
      </c>
      <c r="X2591" t="n">
        <v/>
      </c>
      <c r="Y2591" t="n">
        <v/>
      </c>
      <c r="Z2591" t="n">
        <v/>
      </c>
      <c r="AA2591">
        <f>SUMIFS($S$2:S2591,$A$2:A2591,A2591,$N$2:N2591,"Explore*")</f>
        <v/>
      </c>
      <c r="AB2591">
        <f>IF(AND(LEFT(N2591,7)="Explore",(AA2591-IF(LEFT(N2591,7)="Explore",S2591,0))&lt;10),"SI","NO")</f>
        <v/>
      </c>
    </row>
    <row r="2592">
      <c r="A2592" t="inlineStr">
        <is>
          <t>c5m4_test</t>
        </is>
      </c>
      <c r="B2592" t="inlineStr">
        <is>
          <t>2026-02-17 17:06:22.867</t>
        </is>
      </c>
      <c r="C2592" t="n">
        <v/>
      </c>
      <c r="D2592" t="inlineStr">
        <is>
          <t>Media file</t>
        </is>
      </c>
      <c r="E2592" t="inlineStr">
        <is>
          <t>player #1:BTBR\test\c5m4.mp4</t>
        </is>
      </c>
      <c r="F2592" t="n">
        <v>-8.233000000000001</v>
      </c>
      <c r="G2592" t="n">
        <v>563.699</v>
      </c>
      <c r="H2592" t="n">
        <v>622.899</v>
      </c>
      <c r="I2592" t="n">
        <v>30</v>
      </c>
      <c r="J2592" t="inlineStr">
        <is>
          <t>BTBR</t>
        </is>
      </c>
      <c r="K2592" t="inlineStr">
        <is>
          <t>Male</t>
        </is>
      </c>
      <c r="L2592" t="inlineStr">
        <is>
          <t>No focal subject</t>
        </is>
      </c>
      <c r="M2592" t="n">
        <v>43.165</v>
      </c>
      <c r="N2592" t="inlineStr">
        <is>
          <t>Explore_N</t>
        </is>
      </c>
      <c r="O2592" t="inlineStr">
        <is>
          <t>Novelty</t>
        </is>
      </c>
      <c r="P2592" t="inlineStr">
        <is>
          <t>STATE</t>
        </is>
      </c>
      <c r="Q2592" t="n">
        <v>117.467</v>
      </c>
      <c r="R2592" t="n">
        <v>119</v>
      </c>
      <c r="S2592" t="n">
        <v>1.533</v>
      </c>
      <c r="T2592" t="inlineStr">
        <is>
          <t>BTBR\test\c5m4.mp4</t>
        </is>
      </c>
      <c r="U2592" t="n">
        <v>3516</v>
      </c>
      <c r="V2592" t="n">
        <v>3563</v>
      </c>
      <c r="W2592" t="n">
        <v/>
      </c>
      <c r="X2592" t="n">
        <v/>
      </c>
      <c r="Y2592" t="n">
        <v/>
      </c>
      <c r="Z2592" t="n">
        <v/>
      </c>
      <c r="AA2592">
        <f>SUMIFS($S$2:S2592,$A$2:A2592,A2592,$N$2:N2592,"Explore*")</f>
        <v/>
      </c>
      <c r="AB2592">
        <f>IF(AND(LEFT(N2592,7)="Explore",(AA2592-IF(LEFT(N2592,7)="Explore",S2592,0))&lt;10),"SI","NO")</f>
        <v/>
      </c>
    </row>
    <row r="2593">
      <c r="A2593" t="inlineStr">
        <is>
          <t>c5m4_test</t>
        </is>
      </c>
      <c r="B2593" t="inlineStr">
        <is>
          <t>2026-02-17 17:06:22.867</t>
        </is>
      </c>
      <c r="C2593" t="n">
        <v/>
      </c>
      <c r="D2593" t="inlineStr">
        <is>
          <t>Media file</t>
        </is>
      </c>
      <c r="E2593" t="inlineStr">
        <is>
          <t>player #1:BTBR\test\c5m4.mp4</t>
        </is>
      </c>
      <c r="F2593" t="n">
        <v>-8.233000000000001</v>
      </c>
      <c r="G2593" t="n">
        <v>563.699</v>
      </c>
      <c r="H2593" t="n">
        <v>622.899</v>
      </c>
      <c r="I2593" t="n">
        <v>30</v>
      </c>
      <c r="J2593" t="inlineStr">
        <is>
          <t>BTBR</t>
        </is>
      </c>
      <c r="K2593" t="inlineStr">
        <is>
          <t>Male</t>
        </is>
      </c>
      <c r="L2593" t="inlineStr">
        <is>
          <t>No focal subject</t>
        </is>
      </c>
      <c r="M2593" t="n">
        <v>43.165</v>
      </c>
      <c r="N2593" t="inlineStr">
        <is>
          <t>Explore_N</t>
        </is>
      </c>
      <c r="O2593" t="inlineStr">
        <is>
          <t>Novelty</t>
        </is>
      </c>
      <c r="P2593" t="inlineStr">
        <is>
          <t>STATE</t>
        </is>
      </c>
      <c r="Q2593" t="n">
        <v>121.467</v>
      </c>
      <c r="R2593" t="n">
        <v>122.1</v>
      </c>
      <c r="S2593" t="n">
        <v>0.633</v>
      </c>
      <c r="T2593" t="inlineStr">
        <is>
          <t>BTBR\test\c5m4.mp4</t>
        </is>
      </c>
      <c r="U2593" t="n">
        <v>3635</v>
      </c>
      <c r="V2593" t="n">
        <v>3654</v>
      </c>
      <c r="W2593" t="n">
        <v/>
      </c>
      <c r="X2593" t="n">
        <v/>
      </c>
      <c r="Y2593" t="n">
        <v/>
      </c>
      <c r="Z2593" t="n">
        <v/>
      </c>
      <c r="AA2593">
        <f>SUMIFS($S$2:S2593,$A$2:A2593,A2593,$N$2:N2593,"Explore*")</f>
        <v/>
      </c>
      <c r="AB2593">
        <f>IF(AND(LEFT(N2593,7)="Explore",(AA2593-IF(LEFT(N2593,7)="Explore",S2593,0))&lt;10),"SI","NO")</f>
        <v/>
      </c>
    </row>
    <row r="2594">
      <c r="A2594" t="inlineStr">
        <is>
          <t>c5m4_test</t>
        </is>
      </c>
      <c r="B2594" t="inlineStr">
        <is>
          <t>2026-02-17 17:06:22.867</t>
        </is>
      </c>
      <c r="C2594" t="n">
        <v/>
      </c>
      <c r="D2594" t="inlineStr">
        <is>
          <t>Media file</t>
        </is>
      </c>
      <c r="E2594" t="inlineStr">
        <is>
          <t>player #1:BTBR\test\c5m4.mp4</t>
        </is>
      </c>
      <c r="F2594" t="n">
        <v>-8.233000000000001</v>
      </c>
      <c r="G2594" t="n">
        <v>563.699</v>
      </c>
      <c r="H2594" t="n">
        <v>622.899</v>
      </c>
      <c r="I2594" t="n">
        <v>30</v>
      </c>
      <c r="J2594" t="inlineStr">
        <is>
          <t>BTBR</t>
        </is>
      </c>
      <c r="K2594" t="inlineStr">
        <is>
          <t>Male</t>
        </is>
      </c>
      <c r="L2594" t="inlineStr">
        <is>
          <t>No focal subject</t>
        </is>
      </c>
      <c r="M2594" t="n">
        <v>43.165</v>
      </c>
      <c r="N2594" t="inlineStr">
        <is>
          <t>Explore_F</t>
        </is>
      </c>
      <c r="O2594" t="inlineStr">
        <is>
          <t>Familiar</t>
        </is>
      </c>
      <c r="P2594" t="inlineStr">
        <is>
          <t>STATE</t>
        </is>
      </c>
      <c r="Q2594" t="n">
        <v>123.667</v>
      </c>
      <c r="R2594" t="n">
        <v>124.2</v>
      </c>
      <c r="S2594" t="n">
        <v>0.533</v>
      </c>
      <c r="T2594" t="inlineStr">
        <is>
          <t>BTBR\test\c5m4.mp4</t>
        </is>
      </c>
      <c r="U2594" t="n">
        <v>3701</v>
      </c>
      <c r="V2594" t="n">
        <v>3717</v>
      </c>
      <c r="W2594" t="n">
        <v/>
      </c>
      <c r="X2594" t="n">
        <v/>
      </c>
      <c r="Y2594" t="n">
        <v/>
      </c>
      <c r="Z2594" t="n">
        <v/>
      </c>
      <c r="AA2594">
        <f>SUMIFS($S$2:S2594,$A$2:A2594,A2594,$N$2:N2594,"Explore*")</f>
        <v/>
      </c>
      <c r="AB2594">
        <f>IF(AND(LEFT(N2594,7)="Explore",(AA2594-IF(LEFT(N2594,7)="Explore",S2594,0))&lt;10),"SI","NO")</f>
        <v/>
      </c>
    </row>
    <row r="2595">
      <c r="A2595" t="inlineStr">
        <is>
          <t>c5m4_test</t>
        </is>
      </c>
      <c r="B2595" t="inlineStr">
        <is>
          <t>2026-02-17 17:06:22.867</t>
        </is>
      </c>
      <c r="C2595" t="n">
        <v/>
      </c>
      <c r="D2595" t="inlineStr">
        <is>
          <t>Media file</t>
        </is>
      </c>
      <c r="E2595" t="inlineStr">
        <is>
          <t>player #1:BTBR\test\c5m4.mp4</t>
        </is>
      </c>
      <c r="F2595" t="n">
        <v>-8.233000000000001</v>
      </c>
      <c r="G2595" t="n">
        <v>563.699</v>
      </c>
      <c r="H2595" t="n">
        <v>622.899</v>
      </c>
      <c r="I2595" t="n">
        <v>30</v>
      </c>
      <c r="J2595" t="inlineStr">
        <is>
          <t>BTBR</t>
        </is>
      </c>
      <c r="K2595" t="inlineStr">
        <is>
          <t>Male</t>
        </is>
      </c>
      <c r="L2595" t="inlineStr">
        <is>
          <t>No focal subject</t>
        </is>
      </c>
      <c r="M2595" t="n">
        <v>43.165</v>
      </c>
      <c r="N2595" t="inlineStr">
        <is>
          <t>Explore_N</t>
        </is>
      </c>
      <c r="O2595" t="inlineStr">
        <is>
          <t>Novelty</t>
        </is>
      </c>
      <c r="P2595" t="inlineStr">
        <is>
          <t>STATE</t>
        </is>
      </c>
      <c r="Q2595" t="n">
        <v>126.667</v>
      </c>
      <c r="R2595" t="n">
        <v>128.734</v>
      </c>
      <c r="S2595" t="n">
        <v>2.067</v>
      </c>
      <c r="T2595" t="inlineStr">
        <is>
          <t>BTBR\test\c5m4.mp4</t>
        </is>
      </c>
      <c r="U2595" t="n">
        <v>3791</v>
      </c>
      <c r="V2595" t="n">
        <v>3853</v>
      </c>
      <c r="W2595" t="n">
        <v/>
      </c>
      <c r="X2595" t="n">
        <v/>
      </c>
      <c r="Y2595" t="n">
        <v/>
      </c>
      <c r="Z2595" t="n">
        <v/>
      </c>
      <c r="AA2595">
        <f>SUMIFS($S$2:S2595,$A$2:A2595,A2595,$N$2:N2595,"Explore*")</f>
        <v/>
      </c>
      <c r="AB2595">
        <f>IF(AND(LEFT(N2595,7)="Explore",(AA2595-IF(LEFT(N2595,7)="Explore",S2595,0))&lt;10),"SI","NO")</f>
        <v/>
      </c>
    </row>
    <row r="2596">
      <c r="A2596" t="inlineStr">
        <is>
          <t>c5m4_test</t>
        </is>
      </c>
      <c r="B2596" t="inlineStr">
        <is>
          <t>2026-02-17 17:06:22.867</t>
        </is>
      </c>
      <c r="C2596" t="n">
        <v/>
      </c>
      <c r="D2596" t="inlineStr">
        <is>
          <t>Media file</t>
        </is>
      </c>
      <c r="E2596" t="inlineStr">
        <is>
          <t>player #1:BTBR\test\c5m4.mp4</t>
        </is>
      </c>
      <c r="F2596" t="n">
        <v>-8.233000000000001</v>
      </c>
      <c r="G2596" t="n">
        <v>563.699</v>
      </c>
      <c r="H2596" t="n">
        <v>622.899</v>
      </c>
      <c r="I2596" t="n">
        <v>30</v>
      </c>
      <c r="J2596" t="inlineStr">
        <is>
          <t>BTBR</t>
        </is>
      </c>
      <c r="K2596" t="inlineStr">
        <is>
          <t>Male</t>
        </is>
      </c>
      <c r="L2596" t="inlineStr">
        <is>
          <t>No focal subject</t>
        </is>
      </c>
      <c r="M2596" t="n">
        <v>43.165</v>
      </c>
      <c r="N2596" t="inlineStr">
        <is>
          <t>Explore_N</t>
        </is>
      </c>
      <c r="O2596" t="inlineStr">
        <is>
          <t>Novelty</t>
        </is>
      </c>
      <c r="P2596" t="inlineStr">
        <is>
          <t>STATE</t>
        </is>
      </c>
      <c r="Q2596" t="n">
        <v>134.867</v>
      </c>
      <c r="R2596" t="n">
        <v>135.667</v>
      </c>
      <c r="S2596" t="n">
        <v>0.8</v>
      </c>
      <c r="T2596" t="inlineStr">
        <is>
          <t>BTBR\test\c5m4.mp4</t>
        </is>
      </c>
      <c r="U2596" t="n">
        <v>4036</v>
      </c>
      <c r="V2596" t="n">
        <v>4060</v>
      </c>
      <c r="W2596" t="n">
        <v/>
      </c>
      <c r="X2596" t="n">
        <v/>
      </c>
      <c r="Y2596" t="n">
        <v/>
      </c>
      <c r="Z2596" t="n">
        <v/>
      </c>
      <c r="AA2596">
        <f>SUMIFS($S$2:S2596,$A$2:A2596,A2596,$N$2:N2596,"Explore*")</f>
        <v/>
      </c>
      <c r="AB2596">
        <f>IF(AND(LEFT(N2596,7)="Explore",(AA2596-IF(LEFT(N2596,7)="Explore",S2596,0))&lt;10),"SI","NO")</f>
        <v/>
      </c>
    </row>
    <row r="2597">
      <c r="A2597" t="inlineStr">
        <is>
          <t>c5m4_test</t>
        </is>
      </c>
      <c r="B2597" t="inlineStr">
        <is>
          <t>2026-02-17 17:06:22.867</t>
        </is>
      </c>
      <c r="C2597" t="n">
        <v/>
      </c>
      <c r="D2597" t="inlineStr">
        <is>
          <t>Media file</t>
        </is>
      </c>
      <c r="E2597" t="inlineStr">
        <is>
          <t>player #1:BTBR\test\c5m4.mp4</t>
        </is>
      </c>
      <c r="F2597" t="n">
        <v>-8.233000000000001</v>
      </c>
      <c r="G2597" t="n">
        <v>563.699</v>
      </c>
      <c r="H2597" t="n">
        <v>622.899</v>
      </c>
      <c r="I2597" t="n">
        <v>30</v>
      </c>
      <c r="J2597" t="inlineStr">
        <is>
          <t>BTBR</t>
        </is>
      </c>
      <c r="K2597" t="inlineStr">
        <is>
          <t>Male</t>
        </is>
      </c>
      <c r="L2597" t="inlineStr">
        <is>
          <t>No focal subject</t>
        </is>
      </c>
      <c r="M2597" t="n">
        <v>43.165</v>
      </c>
      <c r="N2597" t="inlineStr">
        <is>
          <t>Explore_F</t>
        </is>
      </c>
      <c r="O2597" t="inlineStr">
        <is>
          <t>Familiar</t>
        </is>
      </c>
      <c r="P2597" t="inlineStr">
        <is>
          <t>STATE</t>
        </is>
      </c>
      <c r="Q2597" t="n">
        <v>140.1</v>
      </c>
      <c r="R2597" t="n">
        <v>140.867</v>
      </c>
      <c r="S2597" t="n">
        <v>0.767</v>
      </c>
      <c r="T2597" t="inlineStr">
        <is>
          <t>BTBR\test\c5m4.mp4</t>
        </is>
      </c>
      <c r="U2597" t="n">
        <v>4193</v>
      </c>
      <c r="V2597" t="n">
        <v>4216</v>
      </c>
      <c r="W2597" t="n">
        <v/>
      </c>
      <c r="X2597" t="n">
        <v/>
      </c>
      <c r="Y2597" t="n">
        <v/>
      </c>
      <c r="Z2597" t="n">
        <v/>
      </c>
      <c r="AA2597">
        <f>SUMIFS($S$2:S2597,$A$2:A2597,A2597,$N$2:N2597,"Explore*")</f>
        <v/>
      </c>
      <c r="AB2597">
        <f>IF(AND(LEFT(N2597,7)="Explore",(AA2597-IF(LEFT(N2597,7)="Explore",S2597,0))&lt;10),"SI","NO")</f>
        <v/>
      </c>
    </row>
    <row r="2598">
      <c r="A2598" t="inlineStr">
        <is>
          <t>c5m4_test</t>
        </is>
      </c>
      <c r="B2598" t="inlineStr">
        <is>
          <t>2026-02-17 17:06:22.867</t>
        </is>
      </c>
      <c r="C2598" t="n">
        <v/>
      </c>
      <c r="D2598" t="inlineStr">
        <is>
          <t>Media file</t>
        </is>
      </c>
      <c r="E2598" t="inlineStr">
        <is>
          <t>player #1:BTBR\test\c5m4.mp4</t>
        </is>
      </c>
      <c r="F2598" t="n">
        <v>-8.233000000000001</v>
      </c>
      <c r="G2598" t="n">
        <v>563.699</v>
      </c>
      <c r="H2598" t="n">
        <v>622.899</v>
      </c>
      <c r="I2598" t="n">
        <v>30</v>
      </c>
      <c r="J2598" t="inlineStr">
        <is>
          <t>BTBR</t>
        </is>
      </c>
      <c r="K2598" t="inlineStr">
        <is>
          <t>Male</t>
        </is>
      </c>
      <c r="L2598" t="inlineStr">
        <is>
          <t>No focal subject</t>
        </is>
      </c>
      <c r="M2598" t="n">
        <v>43.165</v>
      </c>
      <c r="N2598" t="inlineStr">
        <is>
          <t>Explore_N</t>
        </is>
      </c>
      <c r="O2598" t="inlineStr">
        <is>
          <t>Novelty</t>
        </is>
      </c>
      <c r="P2598" t="inlineStr">
        <is>
          <t>STATE</t>
        </is>
      </c>
      <c r="Q2598" t="n">
        <v>147.867</v>
      </c>
      <c r="R2598" t="n">
        <v>148.767</v>
      </c>
      <c r="S2598" t="n">
        <v>0.9</v>
      </c>
      <c r="T2598" t="inlineStr">
        <is>
          <t>BTBR\test\c5m4.mp4</t>
        </is>
      </c>
      <c r="U2598" t="n">
        <v>4425</v>
      </c>
      <c r="V2598" t="n">
        <v>4452</v>
      </c>
      <c r="W2598" t="n">
        <v/>
      </c>
      <c r="X2598" t="n">
        <v/>
      </c>
      <c r="Y2598" t="n">
        <v/>
      </c>
      <c r="Z2598" t="n">
        <v/>
      </c>
      <c r="AA2598">
        <f>SUMIFS($S$2:S2598,$A$2:A2598,A2598,$N$2:N2598,"Explore*")</f>
        <v/>
      </c>
      <c r="AB2598">
        <f>IF(AND(LEFT(N2598,7)="Explore",(AA2598-IF(LEFT(N2598,7)="Explore",S2598,0))&lt;10),"SI","NO")</f>
        <v/>
      </c>
    </row>
    <row r="2599">
      <c r="A2599" t="inlineStr">
        <is>
          <t>c5m4_test</t>
        </is>
      </c>
      <c r="B2599" t="inlineStr">
        <is>
          <t>2026-02-17 17:06:22.867</t>
        </is>
      </c>
      <c r="C2599" t="n">
        <v/>
      </c>
      <c r="D2599" t="inlineStr">
        <is>
          <t>Media file</t>
        </is>
      </c>
      <c r="E2599" t="inlineStr">
        <is>
          <t>player #1:BTBR\test\c5m4.mp4</t>
        </is>
      </c>
      <c r="F2599" t="n">
        <v>-8.233000000000001</v>
      </c>
      <c r="G2599" t="n">
        <v>563.699</v>
      </c>
      <c r="H2599" t="n">
        <v>622.899</v>
      </c>
      <c r="I2599" t="n">
        <v>30</v>
      </c>
      <c r="J2599" t="inlineStr">
        <is>
          <t>BTBR</t>
        </is>
      </c>
      <c r="K2599" t="inlineStr">
        <is>
          <t>Male</t>
        </is>
      </c>
      <c r="L2599" t="inlineStr">
        <is>
          <t>No focal subject</t>
        </is>
      </c>
      <c r="M2599" t="n">
        <v>43.165</v>
      </c>
      <c r="N2599" t="inlineStr">
        <is>
          <t>Explore_F</t>
        </is>
      </c>
      <c r="O2599" t="inlineStr">
        <is>
          <t>Familiar</t>
        </is>
      </c>
      <c r="P2599" t="inlineStr">
        <is>
          <t>STATE</t>
        </is>
      </c>
      <c r="Q2599" t="n">
        <v>150.567</v>
      </c>
      <c r="R2599" t="n">
        <v>151.134</v>
      </c>
      <c r="S2599" t="n">
        <v>0.5669999999999999</v>
      </c>
      <c r="T2599" t="inlineStr">
        <is>
          <t>BTBR\test\c5m4.mp4</t>
        </is>
      </c>
      <c r="U2599" t="n">
        <v>4506</v>
      </c>
      <c r="V2599" t="n">
        <v>4523</v>
      </c>
      <c r="W2599" t="n">
        <v/>
      </c>
      <c r="X2599" t="n">
        <v/>
      </c>
      <c r="Y2599" t="n">
        <v/>
      </c>
      <c r="Z2599" t="n">
        <v/>
      </c>
      <c r="AA2599">
        <f>SUMIFS($S$2:S2599,$A$2:A2599,A2599,$N$2:N2599,"Explore*")</f>
        <v/>
      </c>
      <c r="AB2599">
        <f>IF(AND(LEFT(N2599,7)="Explore",(AA2599-IF(LEFT(N2599,7)="Explore",S2599,0))&lt;10),"SI","NO")</f>
        <v/>
      </c>
    </row>
    <row r="2600">
      <c r="A2600" t="inlineStr">
        <is>
          <t>c5m4_test</t>
        </is>
      </c>
      <c r="B2600" t="inlineStr">
        <is>
          <t>2026-02-17 17:06:22.867</t>
        </is>
      </c>
      <c r="C2600" t="n">
        <v/>
      </c>
      <c r="D2600" t="inlineStr">
        <is>
          <t>Media file</t>
        </is>
      </c>
      <c r="E2600" t="inlineStr">
        <is>
          <t>player #1:BTBR\test\c5m4.mp4</t>
        </is>
      </c>
      <c r="F2600" t="n">
        <v>-8.233000000000001</v>
      </c>
      <c r="G2600" t="n">
        <v>563.699</v>
      </c>
      <c r="H2600" t="n">
        <v>622.899</v>
      </c>
      <c r="I2600" t="n">
        <v>30</v>
      </c>
      <c r="J2600" t="inlineStr">
        <is>
          <t>BTBR</t>
        </is>
      </c>
      <c r="K2600" t="inlineStr">
        <is>
          <t>Male</t>
        </is>
      </c>
      <c r="L2600" t="inlineStr">
        <is>
          <t>No focal subject</t>
        </is>
      </c>
      <c r="M2600" t="n">
        <v>43.165</v>
      </c>
      <c r="N2600" t="inlineStr">
        <is>
          <t>Explore_N</t>
        </is>
      </c>
      <c r="O2600" t="inlineStr">
        <is>
          <t>Novelty</t>
        </is>
      </c>
      <c r="P2600" t="inlineStr">
        <is>
          <t>STATE</t>
        </is>
      </c>
      <c r="Q2600" t="n">
        <v>161.733</v>
      </c>
      <c r="R2600" t="n">
        <v>163.133</v>
      </c>
      <c r="S2600" t="n">
        <v>1.4</v>
      </c>
      <c r="T2600" t="inlineStr">
        <is>
          <t>BTBR\test\c5m4.mp4</t>
        </is>
      </c>
      <c r="U2600" t="n">
        <v>4840</v>
      </c>
      <c r="V2600" t="n">
        <v>4882</v>
      </c>
      <c r="W2600" t="n">
        <v/>
      </c>
      <c r="X2600" t="n">
        <v/>
      </c>
      <c r="Y2600" t="n">
        <v/>
      </c>
      <c r="Z2600" t="n">
        <v/>
      </c>
      <c r="AA2600">
        <f>SUMIFS($S$2:S2600,$A$2:A2600,A2600,$N$2:N2600,"Explore*")</f>
        <v/>
      </c>
      <c r="AB2600">
        <f>IF(AND(LEFT(N2600,7)="Explore",(AA2600-IF(LEFT(N2600,7)="Explore",S2600,0))&lt;10),"SI","NO")</f>
        <v/>
      </c>
    </row>
    <row r="2601">
      <c r="A2601" t="inlineStr">
        <is>
          <t>c5m4_test</t>
        </is>
      </c>
      <c r="B2601" t="inlineStr">
        <is>
          <t>2026-02-17 17:06:22.867</t>
        </is>
      </c>
      <c r="C2601" t="n">
        <v/>
      </c>
      <c r="D2601" t="inlineStr">
        <is>
          <t>Media file</t>
        </is>
      </c>
      <c r="E2601" t="inlineStr">
        <is>
          <t>player #1:BTBR\test\c5m4.mp4</t>
        </is>
      </c>
      <c r="F2601" t="n">
        <v>-8.233000000000001</v>
      </c>
      <c r="G2601" t="n">
        <v>563.699</v>
      </c>
      <c r="H2601" t="n">
        <v>622.899</v>
      </c>
      <c r="I2601" t="n">
        <v>30</v>
      </c>
      <c r="J2601" t="inlineStr">
        <is>
          <t>BTBR</t>
        </is>
      </c>
      <c r="K2601" t="inlineStr">
        <is>
          <t>Male</t>
        </is>
      </c>
      <c r="L2601" t="inlineStr">
        <is>
          <t>No focal subject</t>
        </is>
      </c>
      <c r="M2601" t="n">
        <v>43.165</v>
      </c>
      <c r="N2601" t="inlineStr">
        <is>
          <t>Explore_N</t>
        </is>
      </c>
      <c r="O2601" t="inlineStr">
        <is>
          <t>Novelty</t>
        </is>
      </c>
      <c r="P2601" t="inlineStr">
        <is>
          <t>STATE</t>
        </is>
      </c>
      <c r="Q2601" t="n">
        <v>166.8</v>
      </c>
      <c r="R2601" t="n">
        <v>167.6</v>
      </c>
      <c r="S2601" t="n">
        <v>0.8</v>
      </c>
      <c r="T2601" t="inlineStr">
        <is>
          <t>BTBR\test\c5m4.mp4</t>
        </is>
      </c>
      <c r="U2601" t="n">
        <v>5015</v>
      </c>
      <c r="V2601" t="n">
        <v>5016</v>
      </c>
      <c r="W2601" t="n">
        <v/>
      </c>
      <c r="X2601" t="n">
        <v/>
      </c>
      <c r="Y2601" t="n">
        <v/>
      </c>
      <c r="Z2601" t="n">
        <v/>
      </c>
      <c r="AA2601">
        <f>SUMIFS($S$2:S2601,$A$2:A2601,A2601,$N$2:N2601,"Explore*")</f>
        <v/>
      </c>
      <c r="AB2601">
        <f>IF(AND(LEFT(N2601,7)="Explore",(AA2601-IF(LEFT(N2601,7)="Explore",S2601,0))&lt;10),"SI","NO")</f>
        <v/>
      </c>
    </row>
    <row r="2602">
      <c r="A2602" t="inlineStr">
        <is>
          <t>c5m4_test</t>
        </is>
      </c>
      <c r="B2602" t="inlineStr">
        <is>
          <t>2026-02-17 17:06:22.867</t>
        </is>
      </c>
      <c r="C2602" t="n">
        <v/>
      </c>
      <c r="D2602" t="inlineStr">
        <is>
          <t>Media file</t>
        </is>
      </c>
      <c r="E2602" t="inlineStr">
        <is>
          <t>player #1:BTBR\test\c5m4.mp4</t>
        </is>
      </c>
      <c r="F2602" t="n">
        <v>-8.233000000000001</v>
      </c>
      <c r="G2602" t="n">
        <v>563.699</v>
      </c>
      <c r="H2602" t="n">
        <v>622.899</v>
      </c>
      <c r="I2602" t="n">
        <v>30</v>
      </c>
      <c r="J2602" t="inlineStr">
        <is>
          <t>BTBR</t>
        </is>
      </c>
      <c r="K2602" t="inlineStr">
        <is>
          <t>Male</t>
        </is>
      </c>
      <c r="L2602" t="inlineStr">
        <is>
          <t>No focal subject</t>
        </is>
      </c>
      <c r="M2602" t="n">
        <v>43.165</v>
      </c>
      <c r="N2602" t="inlineStr">
        <is>
          <t>Explore_F</t>
        </is>
      </c>
      <c r="O2602" t="inlineStr">
        <is>
          <t>Familiar</t>
        </is>
      </c>
      <c r="P2602" t="inlineStr">
        <is>
          <t>STATE</t>
        </is>
      </c>
      <c r="Q2602" t="n">
        <v>168.9</v>
      </c>
      <c r="R2602" t="n">
        <v>169.667</v>
      </c>
      <c r="S2602" t="n">
        <v>0.767</v>
      </c>
      <c r="T2602" t="inlineStr">
        <is>
          <t>BTBR\test\c5m4.mp4</t>
        </is>
      </c>
      <c r="U2602" t="n">
        <v>5055</v>
      </c>
      <c r="V2602" t="n">
        <v>5078</v>
      </c>
      <c r="W2602" t="n">
        <v/>
      </c>
      <c r="X2602" t="n">
        <v/>
      </c>
      <c r="Y2602" t="n">
        <v/>
      </c>
      <c r="Z2602" t="n">
        <v/>
      </c>
      <c r="AA2602">
        <f>SUMIFS($S$2:S2602,$A$2:A2602,A2602,$N$2:N2602,"Explore*")</f>
        <v/>
      </c>
      <c r="AB2602">
        <f>IF(AND(LEFT(N2602,7)="Explore",(AA2602-IF(LEFT(N2602,7)="Explore",S2602,0))&lt;10),"SI","NO")</f>
        <v/>
      </c>
    </row>
    <row r="2603">
      <c r="A2603" t="inlineStr">
        <is>
          <t>c5m4_test</t>
        </is>
      </c>
      <c r="B2603" t="inlineStr">
        <is>
          <t>2026-02-17 17:06:22.867</t>
        </is>
      </c>
      <c r="C2603" t="n">
        <v/>
      </c>
      <c r="D2603" t="inlineStr">
        <is>
          <t>Media file</t>
        </is>
      </c>
      <c r="E2603" t="inlineStr">
        <is>
          <t>player #1:BTBR\test\c5m4.mp4</t>
        </is>
      </c>
      <c r="F2603" t="n">
        <v>-8.233000000000001</v>
      </c>
      <c r="G2603" t="n">
        <v>563.699</v>
      </c>
      <c r="H2603" t="n">
        <v>622.899</v>
      </c>
      <c r="I2603" t="n">
        <v>30</v>
      </c>
      <c r="J2603" t="inlineStr">
        <is>
          <t>BTBR</t>
        </is>
      </c>
      <c r="K2603" t="inlineStr">
        <is>
          <t>Male</t>
        </is>
      </c>
      <c r="L2603" t="inlineStr">
        <is>
          <t>No focal subject</t>
        </is>
      </c>
      <c r="M2603" t="n">
        <v>43.165</v>
      </c>
      <c r="N2603" t="inlineStr">
        <is>
          <t>Explore_N</t>
        </is>
      </c>
      <c r="O2603" t="inlineStr">
        <is>
          <t>Novelty</t>
        </is>
      </c>
      <c r="P2603" t="inlineStr">
        <is>
          <t>STATE</t>
        </is>
      </c>
      <c r="Q2603" t="n">
        <v>175.067</v>
      </c>
      <c r="R2603" t="n">
        <v>175.367</v>
      </c>
      <c r="S2603" t="n">
        <v>0.3</v>
      </c>
      <c r="T2603" t="inlineStr">
        <is>
          <t>BTBR\test\c5m4.mp4</t>
        </is>
      </c>
      <c r="U2603" t="n">
        <v>5239</v>
      </c>
      <c r="V2603" t="n">
        <v>5248</v>
      </c>
      <c r="W2603" t="n">
        <v/>
      </c>
      <c r="X2603" t="n">
        <v/>
      </c>
      <c r="Y2603" t="n">
        <v/>
      </c>
      <c r="Z2603" t="n">
        <v/>
      </c>
      <c r="AA2603">
        <f>SUMIFS($S$2:S2603,$A$2:A2603,A2603,$N$2:N2603,"Explore*")</f>
        <v/>
      </c>
      <c r="AB2603">
        <f>IF(AND(LEFT(N2603,7)="Explore",(AA2603-IF(LEFT(N2603,7)="Explore",S2603,0))&lt;10),"SI","NO")</f>
        <v/>
      </c>
    </row>
    <row r="2604">
      <c r="A2604" t="inlineStr">
        <is>
          <t>c5m4_test</t>
        </is>
      </c>
      <c r="B2604" t="inlineStr">
        <is>
          <t>2026-02-17 17:06:22.867</t>
        </is>
      </c>
      <c r="C2604" t="n">
        <v/>
      </c>
      <c r="D2604" t="inlineStr">
        <is>
          <t>Media file</t>
        </is>
      </c>
      <c r="E2604" t="inlineStr">
        <is>
          <t>player #1:BTBR\test\c5m4.mp4</t>
        </is>
      </c>
      <c r="F2604" t="n">
        <v>-8.233000000000001</v>
      </c>
      <c r="G2604" t="n">
        <v>563.699</v>
      </c>
      <c r="H2604" t="n">
        <v>622.899</v>
      </c>
      <c r="I2604" t="n">
        <v>30</v>
      </c>
      <c r="J2604" t="inlineStr">
        <is>
          <t>BTBR</t>
        </is>
      </c>
      <c r="K2604" t="inlineStr">
        <is>
          <t>Male</t>
        </is>
      </c>
      <c r="L2604" t="inlineStr">
        <is>
          <t>No focal subject</t>
        </is>
      </c>
      <c r="M2604" t="n">
        <v>43.165</v>
      </c>
      <c r="N2604" t="inlineStr">
        <is>
          <t>Explore_F</t>
        </is>
      </c>
      <c r="O2604" t="inlineStr">
        <is>
          <t>Familiar</t>
        </is>
      </c>
      <c r="P2604" t="inlineStr">
        <is>
          <t>STATE</t>
        </is>
      </c>
      <c r="Q2604" t="n">
        <v>196.4</v>
      </c>
      <c r="R2604" t="n">
        <v>196.833</v>
      </c>
      <c r="S2604" t="n">
        <v>0.433</v>
      </c>
      <c r="T2604" t="inlineStr">
        <is>
          <t>BTBR\test\c5m4.mp4</t>
        </is>
      </c>
      <c r="U2604" t="n">
        <v>5878</v>
      </c>
      <c r="V2604" t="n">
        <v>5891</v>
      </c>
      <c r="W2604" t="n">
        <v/>
      </c>
      <c r="X2604" t="n">
        <v/>
      </c>
      <c r="Y2604" t="n">
        <v/>
      </c>
      <c r="Z2604" t="n">
        <v/>
      </c>
      <c r="AA2604">
        <f>SUMIFS($S$2:S2604,$A$2:A2604,A2604,$N$2:N2604,"Explore*")</f>
        <v/>
      </c>
      <c r="AB2604">
        <f>IF(AND(LEFT(N2604,7)="Explore",(AA2604-IF(LEFT(N2604,7)="Explore",S2604,0))&lt;10),"SI","NO")</f>
        <v/>
      </c>
    </row>
    <row r="2605">
      <c r="A2605" t="inlineStr">
        <is>
          <t>c5m4_test</t>
        </is>
      </c>
      <c r="B2605" t="inlineStr">
        <is>
          <t>2026-02-17 17:06:22.867</t>
        </is>
      </c>
      <c r="C2605" t="n">
        <v/>
      </c>
      <c r="D2605" t="inlineStr">
        <is>
          <t>Media file</t>
        </is>
      </c>
      <c r="E2605" t="inlineStr">
        <is>
          <t>player #1:BTBR\test\c5m4.mp4</t>
        </is>
      </c>
      <c r="F2605" t="n">
        <v>-8.233000000000001</v>
      </c>
      <c r="G2605" t="n">
        <v>563.699</v>
      </c>
      <c r="H2605" t="n">
        <v>622.899</v>
      </c>
      <c r="I2605" t="n">
        <v>30</v>
      </c>
      <c r="J2605" t="inlineStr">
        <is>
          <t>BTBR</t>
        </is>
      </c>
      <c r="K2605" t="inlineStr">
        <is>
          <t>Male</t>
        </is>
      </c>
      <c r="L2605" t="inlineStr">
        <is>
          <t>No focal subject</t>
        </is>
      </c>
      <c r="M2605" t="n">
        <v>43.165</v>
      </c>
      <c r="N2605" t="inlineStr">
        <is>
          <t>Explore_N</t>
        </is>
      </c>
      <c r="O2605" t="inlineStr">
        <is>
          <t>Novelty</t>
        </is>
      </c>
      <c r="P2605" t="inlineStr">
        <is>
          <t>STATE</t>
        </is>
      </c>
      <c r="Q2605" t="n">
        <v>199.167</v>
      </c>
      <c r="R2605" t="n">
        <v>200.367</v>
      </c>
      <c r="S2605" t="n">
        <v>1.2</v>
      </c>
      <c r="T2605" t="inlineStr">
        <is>
          <t>BTBR\test\c5m4.mp4</t>
        </is>
      </c>
      <c r="U2605" t="n">
        <v>5961</v>
      </c>
      <c r="V2605" t="n">
        <v>5997</v>
      </c>
      <c r="W2605" t="n">
        <v/>
      </c>
      <c r="X2605" t="n">
        <v/>
      </c>
      <c r="Y2605" t="n">
        <v/>
      </c>
      <c r="Z2605" t="n">
        <v/>
      </c>
      <c r="AA2605">
        <f>SUMIFS($S$2:S2605,$A$2:A2605,A2605,$N$2:N2605,"Explore*")</f>
        <v/>
      </c>
      <c r="AB2605">
        <f>IF(AND(LEFT(N2605,7)="Explore",(AA2605-IF(LEFT(N2605,7)="Explore",S2605,0))&lt;10),"SI","NO")</f>
        <v/>
      </c>
    </row>
    <row r="2606">
      <c r="A2606" t="inlineStr">
        <is>
          <t>c5m4_test</t>
        </is>
      </c>
      <c r="B2606" t="inlineStr">
        <is>
          <t>2026-02-17 17:06:22.867</t>
        </is>
      </c>
      <c r="C2606" t="n">
        <v/>
      </c>
      <c r="D2606" t="inlineStr">
        <is>
          <t>Media file</t>
        </is>
      </c>
      <c r="E2606" t="inlineStr">
        <is>
          <t>player #1:BTBR\test\c5m4.mp4</t>
        </is>
      </c>
      <c r="F2606" t="n">
        <v>-8.233000000000001</v>
      </c>
      <c r="G2606" t="n">
        <v>563.699</v>
      </c>
      <c r="H2606" t="n">
        <v>622.899</v>
      </c>
      <c r="I2606" t="n">
        <v>30</v>
      </c>
      <c r="J2606" t="inlineStr">
        <is>
          <t>BTBR</t>
        </is>
      </c>
      <c r="K2606" t="inlineStr">
        <is>
          <t>Male</t>
        </is>
      </c>
      <c r="L2606" t="inlineStr">
        <is>
          <t>No focal subject</t>
        </is>
      </c>
      <c r="M2606" t="n">
        <v>43.165</v>
      </c>
      <c r="N2606" t="inlineStr">
        <is>
          <t>Explore_N</t>
        </is>
      </c>
      <c r="O2606" t="inlineStr">
        <is>
          <t>Novelty</t>
        </is>
      </c>
      <c r="P2606" t="inlineStr">
        <is>
          <t>STATE</t>
        </is>
      </c>
      <c r="Q2606" t="n">
        <v>217.467</v>
      </c>
      <c r="R2606" t="n">
        <v>218.1</v>
      </c>
      <c r="S2606" t="n">
        <v>0.633</v>
      </c>
      <c r="T2606" t="inlineStr">
        <is>
          <t>BTBR\test\c5m4.mp4</t>
        </is>
      </c>
      <c r="U2606" t="n">
        <v>6508</v>
      </c>
      <c r="V2606" t="n">
        <v>6527</v>
      </c>
      <c r="W2606" t="n">
        <v/>
      </c>
      <c r="X2606" t="n">
        <v/>
      </c>
      <c r="Y2606" t="n">
        <v/>
      </c>
      <c r="Z2606" t="n">
        <v/>
      </c>
      <c r="AA2606">
        <f>SUMIFS($S$2:S2606,$A$2:A2606,A2606,$N$2:N2606,"Explore*")</f>
        <v/>
      </c>
      <c r="AB2606">
        <f>IF(AND(LEFT(N2606,7)="Explore",(AA2606-IF(LEFT(N2606,7)="Explore",S2606,0))&lt;10),"SI","NO")</f>
        <v/>
      </c>
    </row>
    <row r="2607">
      <c r="A2607" t="inlineStr">
        <is>
          <t>c5m4_test</t>
        </is>
      </c>
      <c r="B2607" t="inlineStr">
        <is>
          <t>2026-02-17 17:06:22.867</t>
        </is>
      </c>
      <c r="C2607" t="n">
        <v/>
      </c>
      <c r="D2607" t="inlineStr">
        <is>
          <t>Media file</t>
        </is>
      </c>
      <c r="E2607" t="inlineStr">
        <is>
          <t>player #1:BTBR\test\c5m4.mp4</t>
        </is>
      </c>
      <c r="F2607" t="n">
        <v>-8.233000000000001</v>
      </c>
      <c r="G2607" t="n">
        <v>563.699</v>
      </c>
      <c r="H2607" t="n">
        <v>622.899</v>
      </c>
      <c r="I2607" t="n">
        <v>30</v>
      </c>
      <c r="J2607" t="inlineStr">
        <is>
          <t>BTBR</t>
        </is>
      </c>
      <c r="K2607" t="inlineStr">
        <is>
          <t>Male</t>
        </is>
      </c>
      <c r="L2607" t="inlineStr">
        <is>
          <t>No focal subject</t>
        </is>
      </c>
      <c r="M2607" t="n">
        <v>43.165</v>
      </c>
      <c r="N2607" t="inlineStr">
        <is>
          <t>Explore_F</t>
        </is>
      </c>
      <c r="O2607" t="inlineStr">
        <is>
          <t>Familiar</t>
        </is>
      </c>
      <c r="P2607" t="inlineStr">
        <is>
          <t>STATE</t>
        </is>
      </c>
      <c r="Q2607" t="n">
        <v>228.033</v>
      </c>
      <c r="R2607" t="n">
        <v>228.833</v>
      </c>
      <c r="S2607" t="n">
        <v>0.8</v>
      </c>
      <c r="T2607" t="inlineStr">
        <is>
          <t>BTBR\test\c5m4.mp4</t>
        </is>
      </c>
      <c r="U2607" t="n">
        <v>6826</v>
      </c>
      <c r="V2607" t="n">
        <v>6848</v>
      </c>
      <c r="W2607" t="n">
        <v/>
      </c>
      <c r="X2607" t="n">
        <v/>
      </c>
      <c r="Y2607" t="n">
        <v/>
      </c>
      <c r="Z2607" t="n">
        <v/>
      </c>
      <c r="AA2607">
        <f>SUMIFS($S$2:S2607,$A$2:A2607,A2607,$N$2:N2607,"Explore*")</f>
        <v/>
      </c>
      <c r="AB2607">
        <f>IF(AND(LEFT(N2607,7)="Explore",(AA2607-IF(LEFT(N2607,7)="Explore",S2607,0))&lt;10),"SI","NO")</f>
        <v/>
      </c>
    </row>
    <row r="2608">
      <c r="A2608" t="inlineStr">
        <is>
          <t>c5m4_test</t>
        </is>
      </c>
      <c r="B2608" t="inlineStr">
        <is>
          <t>2026-02-17 17:06:22.867</t>
        </is>
      </c>
      <c r="C2608" t="n">
        <v/>
      </c>
      <c r="D2608" t="inlineStr">
        <is>
          <t>Media file</t>
        </is>
      </c>
      <c r="E2608" t="inlineStr">
        <is>
          <t>player #1:BTBR\test\c5m4.mp4</t>
        </is>
      </c>
      <c r="F2608" t="n">
        <v>-8.233000000000001</v>
      </c>
      <c r="G2608" t="n">
        <v>563.699</v>
      </c>
      <c r="H2608" t="n">
        <v>622.899</v>
      </c>
      <c r="I2608" t="n">
        <v>30</v>
      </c>
      <c r="J2608" t="inlineStr">
        <is>
          <t>BTBR</t>
        </is>
      </c>
      <c r="K2608" t="inlineStr">
        <is>
          <t>Male</t>
        </is>
      </c>
      <c r="L2608" t="inlineStr">
        <is>
          <t>No focal subject</t>
        </is>
      </c>
      <c r="M2608" t="n">
        <v>43.165</v>
      </c>
      <c r="N2608" t="inlineStr">
        <is>
          <t>Explore_N</t>
        </is>
      </c>
      <c r="O2608" t="inlineStr">
        <is>
          <t>Novelty</t>
        </is>
      </c>
      <c r="P2608" t="inlineStr">
        <is>
          <t>STATE</t>
        </is>
      </c>
      <c r="Q2608" t="n">
        <v>238.967</v>
      </c>
      <c r="R2608" t="n">
        <v>239.6</v>
      </c>
      <c r="S2608" t="n">
        <v>0.633</v>
      </c>
      <c r="T2608" t="inlineStr">
        <is>
          <t>BTBR\test\c5m4.mp4</t>
        </is>
      </c>
      <c r="U2608" t="n">
        <v>7152</v>
      </c>
      <c r="V2608" t="n">
        <v>7171</v>
      </c>
      <c r="W2608" t="n">
        <v/>
      </c>
      <c r="X2608" t="n">
        <v/>
      </c>
      <c r="Y2608" t="n">
        <v/>
      </c>
      <c r="Z2608" t="n">
        <v/>
      </c>
      <c r="AA2608">
        <f>SUMIFS($S$2:S2608,$A$2:A2608,A2608,$N$2:N2608,"Explore*")</f>
        <v/>
      </c>
      <c r="AB2608">
        <f>IF(AND(LEFT(N2608,7)="Explore",(AA2608-IF(LEFT(N2608,7)="Explore",S2608,0))&lt;10),"SI","NO")</f>
        <v/>
      </c>
    </row>
    <row r="2609">
      <c r="A2609" t="inlineStr">
        <is>
          <t>c5m4_test</t>
        </is>
      </c>
      <c r="B2609" t="inlineStr">
        <is>
          <t>2026-02-17 17:06:22.867</t>
        </is>
      </c>
      <c r="C2609" t="n">
        <v/>
      </c>
      <c r="D2609" t="inlineStr">
        <is>
          <t>Media file</t>
        </is>
      </c>
      <c r="E2609" t="inlineStr">
        <is>
          <t>player #1:BTBR\test\c5m4.mp4</t>
        </is>
      </c>
      <c r="F2609" t="n">
        <v>-8.233000000000001</v>
      </c>
      <c r="G2609" t="n">
        <v>563.699</v>
      </c>
      <c r="H2609" t="n">
        <v>622.899</v>
      </c>
      <c r="I2609" t="n">
        <v>30</v>
      </c>
      <c r="J2609" t="inlineStr">
        <is>
          <t>BTBR</t>
        </is>
      </c>
      <c r="K2609" t="inlineStr">
        <is>
          <t>Male</t>
        </is>
      </c>
      <c r="L2609" t="inlineStr">
        <is>
          <t>No focal subject</t>
        </is>
      </c>
      <c r="M2609" t="n">
        <v>43.165</v>
      </c>
      <c r="N2609" t="inlineStr">
        <is>
          <t>Explore_N</t>
        </is>
      </c>
      <c r="O2609" t="inlineStr">
        <is>
          <t>Novelty</t>
        </is>
      </c>
      <c r="P2609" t="inlineStr">
        <is>
          <t>STATE</t>
        </is>
      </c>
      <c r="Q2609" t="n">
        <v>240.933</v>
      </c>
      <c r="R2609" t="n">
        <v>242.067</v>
      </c>
      <c r="S2609" t="n">
        <v>1.134</v>
      </c>
      <c r="T2609" t="inlineStr">
        <is>
          <t>BTBR\test\c5m4.mp4</t>
        </is>
      </c>
      <c r="U2609" t="n">
        <v>7211</v>
      </c>
      <c r="V2609" t="n">
        <v>7245</v>
      </c>
      <c r="W2609" t="n">
        <v/>
      </c>
      <c r="X2609" t="n">
        <v/>
      </c>
      <c r="Y2609" t="n">
        <v/>
      </c>
      <c r="Z2609" t="n">
        <v/>
      </c>
      <c r="AA2609">
        <f>SUMIFS($S$2:S2609,$A$2:A2609,A2609,$N$2:N2609,"Explore*")</f>
        <v/>
      </c>
      <c r="AB2609">
        <f>IF(AND(LEFT(N2609,7)="Explore",(AA2609-IF(LEFT(N2609,7)="Explore",S2609,0))&lt;10),"SI","NO")</f>
        <v/>
      </c>
    </row>
    <row r="2610">
      <c r="A2610" t="inlineStr">
        <is>
          <t>c5m4_test</t>
        </is>
      </c>
      <c r="B2610" t="inlineStr">
        <is>
          <t>2026-02-17 17:06:22.867</t>
        </is>
      </c>
      <c r="C2610" t="n">
        <v/>
      </c>
      <c r="D2610" t="inlineStr">
        <is>
          <t>Media file</t>
        </is>
      </c>
      <c r="E2610" t="inlineStr">
        <is>
          <t>player #1:BTBR\test\c5m4.mp4</t>
        </is>
      </c>
      <c r="F2610" t="n">
        <v>-8.233000000000001</v>
      </c>
      <c r="G2610" t="n">
        <v>563.699</v>
      </c>
      <c r="H2610" t="n">
        <v>622.899</v>
      </c>
      <c r="I2610" t="n">
        <v>30</v>
      </c>
      <c r="J2610" t="inlineStr">
        <is>
          <t>BTBR</t>
        </is>
      </c>
      <c r="K2610" t="inlineStr">
        <is>
          <t>Male</t>
        </is>
      </c>
      <c r="L2610" t="inlineStr">
        <is>
          <t>No focal subject</t>
        </is>
      </c>
      <c r="M2610" t="n">
        <v>43.165</v>
      </c>
      <c r="N2610" t="inlineStr">
        <is>
          <t>Explore_F</t>
        </is>
      </c>
      <c r="O2610" t="inlineStr">
        <is>
          <t>Familiar</t>
        </is>
      </c>
      <c r="P2610" t="inlineStr">
        <is>
          <t>STATE</t>
        </is>
      </c>
      <c r="Q2610" t="n">
        <v>245.6</v>
      </c>
      <c r="R2610" t="n">
        <v>246.1</v>
      </c>
      <c r="S2610" t="n">
        <v>0.5</v>
      </c>
      <c r="T2610" t="inlineStr">
        <is>
          <t>BTBR\test\c5m4.mp4</t>
        </is>
      </c>
      <c r="U2610" t="n">
        <v>7350</v>
      </c>
      <c r="V2610" t="n">
        <v>7365</v>
      </c>
      <c r="W2610" t="n">
        <v/>
      </c>
      <c r="X2610" t="n">
        <v/>
      </c>
      <c r="Y2610" t="n">
        <v/>
      </c>
      <c r="Z2610" t="n">
        <v/>
      </c>
      <c r="AA2610">
        <f>SUMIFS($S$2:S2610,$A$2:A2610,A2610,$N$2:N2610,"Explore*")</f>
        <v/>
      </c>
      <c r="AB2610">
        <f>IF(AND(LEFT(N2610,7)="Explore",(AA2610-IF(LEFT(N2610,7)="Explore",S2610,0))&lt;10),"SI","NO")</f>
        <v/>
      </c>
    </row>
    <row r="2611">
      <c r="A2611" t="inlineStr">
        <is>
          <t>c5m4_test</t>
        </is>
      </c>
      <c r="B2611" t="inlineStr">
        <is>
          <t>2026-02-17 17:06:22.867</t>
        </is>
      </c>
      <c r="C2611" t="n">
        <v/>
      </c>
      <c r="D2611" t="inlineStr">
        <is>
          <t>Media file</t>
        </is>
      </c>
      <c r="E2611" t="inlineStr">
        <is>
          <t>player #1:BTBR\test\c5m4.mp4</t>
        </is>
      </c>
      <c r="F2611" t="n">
        <v>-8.233000000000001</v>
      </c>
      <c r="G2611" t="n">
        <v>563.699</v>
      </c>
      <c r="H2611" t="n">
        <v>622.899</v>
      </c>
      <c r="I2611" t="n">
        <v>30</v>
      </c>
      <c r="J2611" t="inlineStr">
        <is>
          <t>BTBR</t>
        </is>
      </c>
      <c r="K2611" t="inlineStr">
        <is>
          <t>Male</t>
        </is>
      </c>
      <c r="L2611" t="inlineStr">
        <is>
          <t>No focal subject</t>
        </is>
      </c>
      <c r="M2611" t="n">
        <v>43.165</v>
      </c>
      <c r="N2611" t="inlineStr">
        <is>
          <t>Explore_F</t>
        </is>
      </c>
      <c r="O2611" t="inlineStr">
        <is>
          <t>Familiar</t>
        </is>
      </c>
      <c r="P2611" t="inlineStr">
        <is>
          <t>STATE</t>
        </is>
      </c>
      <c r="Q2611" t="n">
        <v>252.533</v>
      </c>
      <c r="R2611" t="n">
        <v>253.533</v>
      </c>
      <c r="S2611" t="n">
        <v>1</v>
      </c>
      <c r="T2611" t="inlineStr">
        <is>
          <t>BTBR\test\c5m4.mp4</t>
        </is>
      </c>
      <c r="U2611" t="n">
        <v>7559</v>
      </c>
      <c r="V2611" t="n">
        <v>7589</v>
      </c>
      <c r="W2611" t="n">
        <v/>
      </c>
      <c r="X2611" t="n">
        <v/>
      </c>
      <c r="Y2611" t="n">
        <v/>
      </c>
      <c r="Z2611" t="n">
        <v/>
      </c>
      <c r="AA2611">
        <f>SUMIFS($S$2:S2611,$A$2:A2611,A2611,$N$2:N2611,"Explore*")</f>
        <v/>
      </c>
      <c r="AB2611">
        <f>IF(AND(LEFT(N2611,7)="Explore",(AA2611-IF(LEFT(N2611,7)="Explore",S2611,0))&lt;10),"SI","NO")</f>
        <v/>
      </c>
    </row>
    <row r="2612">
      <c r="A2612" t="inlineStr">
        <is>
          <t>c5m4_test</t>
        </is>
      </c>
      <c r="B2612" t="inlineStr">
        <is>
          <t>2026-02-17 17:06:22.867</t>
        </is>
      </c>
      <c r="C2612" t="n">
        <v/>
      </c>
      <c r="D2612" t="inlineStr">
        <is>
          <t>Media file</t>
        </is>
      </c>
      <c r="E2612" t="inlineStr">
        <is>
          <t>player #1:BTBR\test\c5m4.mp4</t>
        </is>
      </c>
      <c r="F2612" t="n">
        <v>-8.233000000000001</v>
      </c>
      <c r="G2612" t="n">
        <v>563.699</v>
      </c>
      <c r="H2612" t="n">
        <v>622.899</v>
      </c>
      <c r="I2612" t="n">
        <v>30</v>
      </c>
      <c r="J2612" t="inlineStr">
        <is>
          <t>BTBR</t>
        </is>
      </c>
      <c r="K2612" t="inlineStr">
        <is>
          <t>Male</t>
        </is>
      </c>
      <c r="L2612" t="inlineStr">
        <is>
          <t>No focal subject</t>
        </is>
      </c>
      <c r="M2612" t="n">
        <v>43.165</v>
      </c>
      <c r="N2612" t="inlineStr">
        <is>
          <t>Explore_N</t>
        </is>
      </c>
      <c r="O2612" t="inlineStr">
        <is>
          <t>Novelty</t>
        </is>
      </c>
      <c r="P2612" t="inlineStr">
        <is>
          <t>STATE</t>
        </is>
      </c>
      <c r="Q2612" t="n">
        <v>256</v>
      </c>
      <c r="R2612" t="n">
        <v>257.2</v>
      </c>
      <c r="S2612" t="n">
        <v>1.2</v>
      </c>
      <c r="T2612" t="inlineStr">
        <is>
          <t>BTBR\test\c5m4.mp4</t>
        </is>
      </c>
      <c r="U2612" t="n">
        <v>7663</v>
      </c>
      <c r="V2612" t="n">
        <v>7697</v>
      </c>
      <c r="W2612" t="n">
        <v/>
      </c>
      <c r="X2612" t="n">
        <v/>
      </c>
      <c r="Y2612" t="n">
        <v/>
      </c>
      <c r="Z2612" t="n">
        <v/>
      </c>
      <c r="AA2612">
        <f>SUMIFS($S$2:S2612,$A$2:A2612,A2612,$N$2:N2612,"Explore*")</f>
        <v/>
      </c>
      <c r="AB2612">
        <f>IF(AND(LEFT(N2612,7)="Explore",(AA2612-IF(LEFT(N2612,7)="Explore",S2612,0))&lt;10),"SI","NO")</f>
        <v/>
      </c>
    </row>
    <row r="2613">
      <c r="A2613" t="inlineStr">
        <is>
          <t>c5m4_test</t>
        </is>
      </c>
      <c r="B2613" t="inlineStr">
        <is>
          <t>2026-02-17 17:06:22.867</t>
        </is>
      </c>
      <c r="C2613" t="n">
        <v/>
      </c>
      <c r="D2613" t="inlineStr">
        <is>
          <t>Media file</t>
        </is>
      </c>
      <c r="E2613" t="inlineStr">
        <is>
          <t>player #1:BTBR\test\c5m4.mp4</t>
        </is>
      </c>
      <c r="F2613" t="n">
        <v>-8.233000000000001</v>
      </c>
      <c r="G2613" t="n">
        <v>563.699</v>
      </c>
      <c r="H2613" t="n">
        <v>622.899</v>
      </c>
      <c r="I2613" t="n">
        <v>30</v>
      </c>
      <c r="J2613" t="inlineStr">
        <is>
          <t>BTBR</t>
        </is>
      </c>
      <c r="K2613" t="inlineStr">
        <is>
          <t>Male</t>
        </is>
      </c>
      <c r="L2613" t="inlineStr">
        <is>
          <t>No focal subject</t>
        </is>
      </c>
      <c r="M2613" t="n">
        <v>43.165</v>
      </c>
      <c r="N2613" t="inlineStr">
        <is>
          <t>Explore_N</t>
        </is>
      </c>
      <c r="O2613" t="inlineStr">
        <is>
          <t>Novelty</t>
        </is>
      </c>
      <c r="P2613" t="inlineStr">
        <is>
          <t>STATE</t>
        </is>
      </c>
      <c r="Q2613" t="n">
        <v>274.667</v>
      </c>
      <c r="R2613" t="n">
        <v>275.033</v>
      </c>
      <c r="S2613" t="n">
        <v>0.366</v>
      </c>
      <c r="T2613" t="inlineStr">
        <is>
          <t>BTBR\test\c5m4.mp4</t>
        </is>
      </c>
      <c r="U2613" t="n">
        <v>8220</v>
      </c>
      <c r="V2613" t="n">
        <v>8232</v>
      </c>
      <c r="W2613" t="n">
        <v/>
      </c>
      <c r="X2613" t="n">
        <v/>
      </c>
      <c r="Y2613" t="n">
        <v/>
      </c>
      <c r="Z2613" t="n">
        <v/>
      </c>
      <c r="AA2613">
        <f>SUMIFS($S$2:S2613,$A$2:A2613,A2613,$N$2:N2613,"Explore*")</f>
        <v/>
      </c>
      <c r="AB2613">
        <f>IF(AND(LEFT(N2613,7)="Explore",(AA2613-IF(LEFT(N2613,7)="Explore",S2613,0))&lt;10),"SI","NO")</f>
        <v/>
      </c>
    </row>
    <row r="2614">
      <c r="A2614" t="inlineStr">
        <is>
          <t>c5m4_test</t>
        </is>
      </c>
      <c r="B2614" t="inlineStr">
        <is>
          <t>2026-02-17 17:06:22.867</t>
        </is>
      </c>
      <c r="C2614" t="n">
        <v/>
      </c>
      <c r="D2614" t="inlineStr">
        <is>
          <t>Media file</t>
        </is>
      </c>
      <c r="E2614" t="inlineStr">
        <is>
          <t>player #1:BTBR\test\c5m4.mp4</t>
        </is>
      </c>
      <c r="F2614" t="n">
        <v>-8.233000000000001</v>
      </c>
      <c r="G2614" t="n">
        <v>563.699</v>
      </c>
      <c r="H2614" t="n">
        <v>622.899</v>
      </c>
      <c r="I2614" t="n">
        <v>30</v>
      </c>
      <c r="J2614" t="inlineStr">
        <is>
          <t>BTBR</t>
        </is>
      </c>
      <c r="K2614" t="inlineStr">
        <is>
          <t>Male</t>
        </is>
      </c>
      <c r="L2614" t="inlineStr">
        <is>
          <t>No focal subject</t>
        </is>
      </c>
      <c r="M2614" t="n">
        <v>43.165</v>
      </c>
      <c r="N2614" t="inlineStr">
        <is>
          <t>Explore_F</t>
        </is>
      </c>
      <c r="O2614" t="inlineStr">
        <is>
          <t>Familiar</t>
        </is>
      </c>
      <c r="P2614" t="inlineStr">
        <is>
          <t>STATE</t>
        </is>
      </c>
      <c r="Q2614" t="n">
        <v>279.6</v>
      </c>
      <c r="R2614" t="n">
        <v>279.833</v>
      </c>
      <c r="S2614" t="n">
        <v>0.233</v>
      </c>
      <c r="T2614" t="inlineStr">
        <is>
          <t>BTBR\test\c5m4.mp4</t>
        </is>
      </c>
      <c r="U2614" t="n">
        <v>8368</v>
      </c>
      <c r="V2614" t="n">
        <v>8375</v>
      </c>
      <c r="W2614" t="n">
        <v/>
      </c>
      <c r="X2614" t="n">
        <v/>
      </c>
      <c r="Y2614" t="n">
        <v/>
      </c>
      <c r="Z2614" t="n">
        <v/>
      </c>
      <c r="AA2614">
        <f>SUMIFS($S$2:S2614,$A$2:A2614,A2614,$N$2:N2614,"Explore*")</f>
        <v/>
      </c>
      <c r="AB2614">
        <f>IF(AND(LEFT(N2614,7)="Explore",(AA2614-IF(LEFT(N2614,7)="Explore",S2614,0))&lt;10),"SI","NO")</f>
        <v/>
      </c>
    </row>
    <row r="2615">
      <c r="A2615" t="inlineStr">
        <is>
          <t>c5m4_test</t>
        </is>
      </c>
      <c r="B2615" t="inlineStr">
        <is>
          <t>2026-02-17 17:06:22.867</t>
        </is>
      </c>
      <c r="C2615" t="n">
        <v/>
      </c>
      <c r="D2615" t="inlineStr">
        <is>
          <t>Media file</t>
        </is>
      </c>
      <c r="E2615" t="inlineStr">
        <is>
          <t>player #1:BTBR\test\c5m4.mp4</t>
        </is>
      </c>
      <c r="F2615" t="n">
        <v>-8.233000000000001</v>
      </c>
      <c r="G2615" t="n">
        <v>563.699</v>
      </c>
      <c r="H2615" t="n">
        <v>622.899</v>
      </c>
      <c r="I2615" t="n">
        <v>30</v>
      </c>
      <c r="J2615" t="inlineStr">
        <is>
          <t>BTBR</t>
        </is>
      </c>
      <c r="K2615" t="inlineStr">
        <is>
          <t>Male</t>
        </is>
      </c>
      <c r="L2615" t="inlineStr">
        <is>
          <t>No focal subject</t>
        </is>
      </c>
      <c r="M2615" t="n">
        <v>43.165</v>
      </c>
      <c r="N2615" t="inlineStr">
        <is>
          <t>Explore_N</t>
        </is>
      </c>
      <c r="O2615" t="inlineStr">
        <is>
          <t>Novelty</t>
        </is>
      </c>
      <c r="P2615" t="inlineStr">
        <is>
          <t>STATE</t>
        </is>
      </c>
      <c r="Q2615" t="n">
        <v>284.7</v>
      </c>
      <c r="R2615" t="n">
        <v>285.467</v>
      </c>
      <c r="S2615" t="n">
        <v>0.767</v>
      </c>
      <c r="T2615" t="inlineStr">
        <is>
          <t>BTBR\test\c5m4.mp4</t>
        </is>
      </c>
      <c r="U2615" t="n">
        <v>8520</v>
      </c>
      <c r="V2615" t="n">
        <v>8543</v>
      </c>
      <c r="W2615" t="n">
        <v/>
      </c>
      <c r="X2615" t="n">
        <v/>
      </c>
      <c r="Y2615" t="n">
        <v/>
      </c>
      <c r="Z2615" t="n">
        <v/>
      </c>
      <c r="AA2615">
        <f>SUMIFS($S$2:S2615,$A$2:A2615,A2615,$N$2:N2615,"Explore*")</f>
        <v/>
      </c>
      <c r="AB2615">
        <f>IF(AND(LEFT(N2615,7)="Explore",(AA2615-IF(LEFT(N2615,7)="Explore",S2615,0))&lt;10),"SI","NO")</f>
        <v/>
      </c>
    </row>
    <row r="2616">
      <c r="A2616" t="inlineStr">
        <is>
          <t>c5m4_test</t>
        </is>
      </c>
      <c r="B2616" t="inlineStr">
        <is>
          <t>2026-02-17 17:06:22.867</t>
        </is>
      </c>
      <c r="C2616" t="n">
        <v/>
      </c>
      <c r="D2616" t="inlineStr">
        <is>
          <t>Media file</t>
        </is>
      </c>
      <c r="E2616" t="inlineStr">
        <is>
          <t>player #1:BTBR\test\c5m4.mp4</t>
        </is>
      </c>
      <c r="F2616" t="n">
        <v>-8.233000000000001</v>
      </c>
      <c r="G2616" t="n">
        <v>563.699</v>
      </c>
      <c r="H2616" t="n">
        <v>622.899</v>
      </c>
      <c r="I2616" t="n">
        <v>30</v>
      </c>
      <c r="J2616" t="inlineStr">
        <is>
          <t>BTBR</t>
        </is>
      </c>
      <c r="K2616" t="inlineStr">
        <is>
          <t>Male</t>
        </is>
      </c>
      <c r="L2616" t="inlineStr">
        <is>
          <t>No focal subject</t>
        </is>
      </c>
      <c r="M2616" t="n">
        <v>43.165</v>
      </c>
      <c r="N2616" t="inlineStr">
        <is>
          <t>Explore_N</t>
        </is>
      </c>
      <c r="O2616" t="inlineStr">
        <is>
          <t>Novelty</t>
        </is>
      </c>
      <c r="P2616" t="inlineStr">
        <is>
          <t>STATE</t>
        </is>
      </c>
      <c r="Q2616" t="n">
        <v>287.167</v>
      </c>
      <c r="R2616" t="n">
        <v>287.433</v>
      </c>
      <c r="S2616" t="n">
        <v>0.266</v>
      </c>
      <c r="T2616" t="inlineStr">
        <is>
          <t>BTBR\test\c5m4.mp4</t>
        </is>
      </c>
      <c r="U2616" t="n">
        <v>8594</v>
      </c>
      <c r="V2616" t="n">
        <v>8602</v>
      </c>
      <c r="W2616" t="n">
        <v/>
      </c>
      <c r="X2616" t="n">
        <v/>
      </c>
      <c r="Y2616" t="n">
        <v/>
      </c>
      <c r="Z2616" t="n">
        <v/>
      </c>
      <c r="AA2616">
        <f>SUMIFS($S$2:S2616,$A$2:A2616,A2616,$N$2:N2616,"Explore*")</f>
        <v/>
      </c>
      <c r="AB2616">
        <f>IF(AND(LEFT(N2616,7)="Explore",(AA2616-IF(LEFT(N2616,7)="Explore",S2616,0))&lt;10),"SI","NO")</f>
        <v/>
      </c>
    </row>
    <row r="2617">
      <c r="A2617" t="inlineStr">
        <is>
          <t>c5m4_test</t>
        </is>
      </c>
      <c r="B2617" t="inlineStr">
        <is>
          <t>2026-02-17 17:06:22.867</t>
        </is>
      </c>
      <c r="C2617" t="n">
        <v/>
      </c>
      <c r="D2617" t="inlineStr">
        <is>
          <t>Media file</t>
        </is>
      </c>
      <c r="E2617" t="inlineStr">
        <is>
          <t>player #1:BTBR\test\c5m4.mp4</t>
        </is>
      </c>
      <c r="F2617" t="n">
        <v>-8.233000000000001</v>
      </c>
      <c r="G2617" t="n">
        <v>563.699</v>
      </c>
      <c r="H2617" t="n">
        <v>622.899</v>
      </c>
      <c r="I2617" t="n">
        <v>30</v>
      </c>
      <c r="J2617" t="inlineStr">
        <is>
          <t>BTBR</t>
        </is>
      </c>
      <c r="K2617" t="inlineStr">
        <is>
          <t>Male</t>
        </is>
      </c>
      <c r="L2617" t="inlineStr">
        <is>
          <t>No focal subject</t>
        </is>
      </c>
      <c r="M2617" t="n">
        <v>43.165</v>
      </c>
      <c r="N2617" t="inlineStr">
        <is>
          <t>Explore_F</t>
        </is>
      </c>
      <c r="O2617" t="inlineStr">
        <is>
          <t>Familiar</t>
        </is>
      </c>
      <c r="P2617" t="inlineStr">
        <is>
          <t>STATE</t>
        </is>
      </c>
      <c r="Q2617" t="n">
        <v>308.067</v>
      </c>
      <c r="R2617" t="n">
        <v>308.633</v>
      </c>
      <c r="S2617" t="n">
        <v>0.5659999999999999</v>
      </c>
      <c r="T2617" t="inlineStr">
        <is>
          <t>BTBR\test\c5m4.mp4</t>
        </is>
      </c>
      <c r="U2617" t="n">
        <v>9466</v>
      </c>
      <c r="V2617" t="n">
        <v>9483</v>
      </c>
      <c r="W2617" t="n">
        <v/>
      </c>
      <c r="X2617" t="n">
        <v/>
      </c>
      <c r="Y2617" t="n">
        <v/>
      </c>
      <c r="Z2617" t="n">
        <v/>
      </c>
      <c r="AA2617">
        <f>SUMIFS($S$2:S2617,$A$2:A2617,A2617,$N$2:N2617,"Explore*")</f>
        <v/>
      </c>
      <c r="AB2617">
        <f>IF(AND(LEFT(N2617,7)="Explore",(AA2617-IF(LEFT(N2617,7)="Explore",S2617,0))&lt;10),"SI","NO")</f>
        <v/>
      </c>
    </row>
    <row r="2618">
      <c r="A2618" t="inlineStr">
        <is>
          <t>c5m4_test</t>
        </is>
      </c>
      <c r="B2618" t="inlineStr">
        <is>
          <t>2026-02-17 17:06:22.867</t>
        </is>
      </c>
      <c r="C2618" t="n">
        <v/>
      </c>
      <c r="D2618" t="inlineStr">
        <is>
          <t>Media file</t>
        </is>
      </c>
      <c r="E2618" t="inlineStr">
        <is>
          <t>player #1:BTBR\test\c5m4.mp4</t>
        </is>
      </c>
      <c r="F2618" t="n">
        <v>-8.233000000000001</v>
      </c>
      <c r="G2618" t="n">
        <v>563.699</v>
      </c>
      <c r="H2618" t="n">
        <v>622.899</v>
      </c>
      <c r="I2618" t="n">
        <v>30</v>
      </c>
      <c r="J2618" t="inlineStr">
        <is>
          <t>BTBR</t>
        </is>
      </c>
      <c r="K2618" t="inlineStr">
        <is>
          <t>Male</t>
        </is>
      </c>
      <c r="L2618" t="inlineStr">
        <is>
          <t>No focal subject</t>
        </is>
      </c>
      <c r="M2618" t="n">
        <v>43.165</v>
      </c>
      <c r="N2618" t="inlineStr">
        <is>
          <t>Explore_F</t>
        </is>
      </c>
      <c r="O2618" t="inlineStr">
        <is>
          <t>Familiar</t>
        </is>
      </c>
      <c r="P2618" t="inlineStr">
        <is>
          <t>STATE</t>
        </is>
      </c>
      <c r="Q2618" t="n">
        <v>377.833</v>
      </c>
      <c r="R2618" t="n">
        <v>378.567</v>
      </c>
      <c r="S2618" t="n">
        <v>0.734</v>
      </c>
      <c r="T2618" t="inlineStr">
        <is>
          <t>BTBR\test\c5m4.mp4</t>
        </is>
      </c>
      <c r="U2618" t="n">
        <v>11554</v>
      </c>
      <c r="V2618" t="n">
        <v>11576</v>
      </c>
      <c r="W2618" t="n">
        <v/>
      </c>
      <c r="X2618" t="n">
        <v/>
      </c>
      <c r="Y2618" t="n">
        <v/>
      </c>
      <c r="Z2618" t="n">
        <v/>
      </c>
      <c r="AA2618">
        <f>SUMIFS($S$2:S2618,$A$2:A2618,A2618,$N$2:N2618,"Explore*")</f>
        <v/>
      </c>
      <c r="AB2618">
        <f>IF(AND(LEFT(N2618,7)="Explore",(AA2618-IF(LEFT(N2618,7)="Explore",S2618,0))&lt;10),"SI","NO")</f>
        <v/>
      </c>
    </row>
    <row r="2619">
      <c r="A2619" t="inlineStr">
        <is>
          <t>c5m4_test</t>
        </is>
      </c>
      <c r="B2619" t="inlineStr">
        <is>
          <t>2026-02-17 17:06:22.867</t>
        </is>
      </c>
      <c r="C2619" t="n">
        <v/>
      </c>
      <c r="D2619" t="inlineStr">
        <is>
          <t>Media file</t>
        </is>
      </c>
      <c r="E2619" t="inlineStr">
        <is>
          <t>player #1:BTBR\test\c5m4.mp4</t>
        </is>
      </c>
      <c r="F2619" t="n">
        <v>-8.233000000000001</v>
      </c>
      <c r="G2619" t="n">
        <v>563.699</v>
      </c>
      <c r="H2619" t="n">
        <v>622.899</v>
      </c>
      <c r="I2619" t="n">
        <v>30</v>
      </c>
      <c r="J2619" t="inlineStr">
        <is>
          <t>BTBR</t>
        </is>
      </c>
      <c r="K2619" t="inlineStr">
        <is>
          <t>Male</t>
        </is>
      </c>
      <c r="L2619" t="inlineStr">
        <is>
          <t>No focal subject</t>
        </is>
      </c>
      <c r="M2619" t="n">
        <v>43.165</v>
      </c>
      <c r="N2619" t="inlineStr">
        <is>
          <t>Explore_N</t>
        </is>
      </c>
      <c r="O2619" t="inlineStr">
        <is>
          <t>Novelty</t>
        </is>
      </c>
      <c r="P2619" t="inlineStr">
        <is>
          <t>STATE</t>
        </is>
      </c>
      <c r="Q2619" t="n">
        <v>385.333</v>
      </c>
      <c r="R2619" t="n">
        <v>387.433</v>
      </c>
      <c r="S2619" t="n">
        <v>2.1</v>
      </c>
      <c r="T2619" t="inlineStr">
        <is>
          <t>BTBR\test\c5m4.mp4</t>
        </is>
      </c>
      <c r="U2619" t="n">
        <v>11779</v>
      </c>
      <c r="V2619" t="n">
        <v>11841</v>
      </c>
      <c r="W2619" t="n">
        <v/>
      </c>
      <c r="X2619" t="n">
        <v/>
      </c>
      <c r="Y2619" t="n">
        <v/>
      </c>
      <c r="Z2619" t="n">
        <v/>
      </c>
      <c r="AA2619">
        <f>SUMIFS($S$2:S2619,$A$2:A2619,A2619,$N$2:N2619,"Explore*")</f>
        <v/>
      </c>
      <c r="AB2619">
        <f>IF(AND(LEFT(N2619,7)="Explore",(AA2619-IF(LEFT(N2619,7)="Explore",S2619,0))&lt;10),"SI","NO")</f>
        <v/>
      </c>
    </row>
    <row r="2620">
      <c r="A2620" t="inlineStr">
        <is>
          <t>c5m4_test</t>
        </is>
      </c>
      <c r="B2620" t="inlineStr">
        <is>
          <t>2026-02-17 17:06:22.867</t>
        </is>
      </c>
      <c r="C2620" t="n">
        <v/>
      </c>
      <c r="D2620" t="inlineStr">
        <is>
          <t>Media file</t>
        </is>
      </c>
      <c r="E2620" t="inlineStr">
        <is>
          <t>player #1:BTBR\test\c5m4.mp4</t>
        </is>
      </c>
      <c r="F2620" t="n">
        <v>-8.233000000000001</v>
      </c>
      <c r="G2620" t="n">
        <v>563.699</v>
      </c>
      <c r="H2620" t="n">
        <v>622.899</v>
      </c>
      <c r="I2620" t="n">
        <v>30</v>
      </c>
      <c r="J2620" t="inlineStr">
        <is>
          <t>BTBR</t>
        </is>
      </c>
      <c r="K2620" t="inlineStr">
        <is>
          <t>Male</t>
        </is>
      </c>
      <c r="L2620" t="inlineStr">
        <is>
          <t>No focal subject</t>
        </is>
      </c>
      <c r="M2620" t="n">
        <v>43.165</v>
      </c>
      <c r="N2620" t="inlineStr">
        <is>
          <t>Explore_F</t>
        </is>
      </c>
      <c r="O2620" t="inlineStr">
        <is>
          <t>Familiar</t>
        </is>
      </c>
      <c r="P2620" t="inlineStr">
        <is>
          <t>STATE</t>
        </is>
      </c>
      <c r="Q2620" t="n">
        <v>481</v>
      </c>
      <c r="R2620" t="n">
        <v>481.633</v>
      </c>
      <c r="S2620" t="n">
        <v>0.633</v>
      </c>
      <c r="T2620" t="inlineStr">
        <is>
          <t>BTBR\test\c5m4.mp4</t>
        </is>
      </c>
      <c r="U2620" t="n">
        <v>14642</v>
      </c>
      <c r="V2620" t="n">
        <v>14661</v>
      </c>
      <c r="W2620" t="n">
        <v/>
      </c>
      <c r="X2620" t="n">
        <v/>
      </c>
      <c r="Y2620" t="n">
        <v/>
      </c>
      <c r="Z2620" t="n">
        <v/>
      </c>
      <c r="AA2620">
        <f>SUMIFS($S$2:S2620,$A$2:A2620,A2620,$N$2:N2620,"Explore*")</f>
        <v/>
      </c>
      <c r="AB2620">
        <f>IF(AND(LEFT(N2620,7)="Explore",(AA2620-IF(LEFT(N2620,7)="Explore",S2620,0))&lt;10),"SI","NO")</f>
        <v/>
      </c>
    </row>
    <row r="2621">
      <c r="A2621" t="inlineStr">
        <is>
          <t>c5m4_test</t>
        </is>
      </c>
      <c r="B2621" t="inlineStr">
        <is>
          <t>2026-02-17 17:06:22.867</t>
        </is>
      </c>
      <c r="C2621" t="n">
        <v/>
      </c>
      <c r="D2621" t="inlineStr">
        <is>
          <t>Media file</t>
        </is>
      </c>
      <c r="E2621" t="inlineStr">
        <is>
          <t>player #1:BTBR\test\c5m4.mp4</t>
        </is>
      </c>
      <c r="F2621" t="n">
        <v>-8.233000000000001</v>
      </c>
      <c r="G2621" t="n">
        <v>563.699</v>
      </c>
      <c r="H2621" t="n">
        <v>622.899</v>
      </c>
      <c r="I2621" t="n">
        <v>30</v>
      </c>
      <c r="J2621" t="inlineStr">
        <is>
          <t>BTBR</t>
        </is>
      </c>
      <c r="K2621" t="inlineStr">
        <is>
          <t>Male</t>
        </is>
      </c>
      <c r="L2621" t="inlineStr">
        <is>
          <t>No focal subject</t>
        </is>
      </c>
      <c r="M2621" t="n">
        <v>43.165</v>
      </c>
      <c r="N2621" t="inlineStr">
        <is>
          <t>Explore_N</t>
        </is>
      </c>
      <c r="O2621" t="inlineStr">
        <is>
          <t>Novelty</t>
        </is>
      </c>
      <c r="P2621" t="inlineStr">
        <is>
          <t>STATE</t>
        </is>
      </c>
      <c r="Q2621" t="n">
        <v>505.233</v>
      </c>
      <c r="R2621" t="n">
        <v>505.966</v>
      </c>
      <c r="S2621" t="n">
        <v>0.733</v>
      </c>
      <c r="T2621" t="inlineStr">
        <is>
          <t>BTBR\test\c5m4.mp4</t>
        </is>
      </c>
      <c r="U2621" t="n">
        <v>15367</v>
      </c>
      <c r="V2621" t="n">
        <v>15389</v>
      </c>
      <c r="W2621" t="n">
        <v/>
      </c>
      <c r="X2621" t="n">
        <v/>
      </c>
      <c r="Y2621" t="n">
        <v/>
      </c>
      <c r="Z2621" t="n">
        <v/>
      </c>
      <c r="AA2621">
        <f>SUMIFS($S$2:S2621,$A$2:A2621,A2621,$N$2:N2621,"Explore*")</f>
        <v/>
      </c>
      <c r="AB2621">
        <f>IF(AND(LEFT(N2621,7)="Explore",(AA2621-IF(LEFT(N2621,7)="Explore",S2621,0))&lt;10),"SI","NO")</f>
        <v/>
      </c>
    </row>
    <row r="2622">
      <c r="A2622" t="inlineStr">
        <is>
          <t>c5m4_test</t>
        </is>
      </c>
      <c r="B2622" t="inlineStr">
        <is>
          <t>2026-02-17 17:06:22.867</t>
        </is>
      </c>
      <c r="C2622" t="n">
        <v/>
      </c>
      <c r="D2622" t="inlineStr">
        <is>
          <t>Media file</t>
        </is>
      </c>
      <c r="E2622" t="inlineStr">
        <is>
          <t>player #1:BTBR\test\c5m4.mp4</t>
        </is>
      </c>
      <c r="F2622" t="n">
        <v>-8.233000000000001</v>
      </c>
      <c r="G2622" t="n">
        <v>563.699</v>
      </c>
      <c r="H2622" t="n">
        <v>622.899</v>
      </c>
      <c r="I2622" t="n">
        <v>30</v>
      </c>
      <c r="J2622" t="inlineStr">
        <is>
          <t>BTBR</t>
        </is>
      </c>
      <c r="K2622" t="inlineStr">
        <is>
          <t>Male</t>
        </is>
      </c>
      <c r="L2622" t="inlineStr">
        <is>
          <t>No focal subject</t>
        </is>
      </c>
      <c r="M2622" t="n">
        <v>43.165</v>
      </c>
      <c r="N2622" t="inlineStr">
        <is>
          <t>Explore_F</t>
        </is>
      </c>
      <c r="O2622" t="inlineStr">
        <is>
          <t>Familiar</t>
        </is>
      </c>
      <c r="P2622" t="inlineStr">
        <is>
          <t>STATE</t>
        </is>
      </c>
      <c r="Q2622" t="n">
        <v>516.1</v>
      </c>
      <c r="R2622" t="n">
        <v>516.933</v>
      </c>
      <c r="S2622" t="n">
        <v>0.833</v>
      </c>
      <c r="T2622" t="inlineStr">
        <is>
          <t>BTBR\test\c5m4.mp4</t>
        </is>
      </c>
      <c r="U2622" t="n">
        <v>15693</v>
      </c>
      <c r="V2622" t="n">
        <v>15717</v>
      </c>
      <c r="W2622" t="n">
        <v/>
      </c>
      <c r="X2622" t="n">
        <v/>
      </c>
      <c r="Y2622" t="n">
        <v/>
      </c>
      <c r="Z2622" t="n">
        <v/>
      </c>
      <c r="AA2622">
        <f>SUMIFS($S$2:S2622,$A$2:A2622,A2622,$N$2:N2622,"Explore*")</f>
        <v/>
      </c>
      <c r="AB2622">
        <f>IF(AND(LEFT(N2622,7)="Explore",(AA2622-IF(LEFT(N2622,7)="Explore",S2622,0))&lt;10),"SI","NO")</f>
        <v/>
      </c>
    </row>
    <row r="2623">
      <c r="A2623" t="inlineStr">
        <is>
          <t>c5m4_test</t>
        </is>
      </c>
      <c r="B2623" t="inlineStr">
        <is>
          <t>2026-02-17 17:06:22.867</t>
        </is>
      </c>
      <c r="C2623" t="n">
        <v/>
      </c>
      <c r="D2623" t="inlineStr">
        <is>
          <t>Media file</t>
        </is>
      </c>
      <c r="E2623" t="inlineStr">
        <is>
          <t>player #1:BTBR\test\c5m4.mp4</t>
        </is>
      </c>
      <c r="F2623" t="n">
        <v>-8.233000000000001</v>
      </c>
      <c r="G2623" t="n">
        <v>563.699</v>
      </c>
      <c r="H2623" t="n">
        <v>622.899</v>
      </c>
      <c r="I2623" t="n">
        <v>30</v>
      </c>
      <c r="J2623" t="inlineStr">
        <is>
          <t>BTBR</t>
        </is>
      </c>
      <c r="K2623" t="inlineStr">
        <is>
          <t>Male</t>
        </is>
      </c>
      <c r="L2623" t="inlineStr">
        <is>
          <t>No focal subject</t>
        </is>
      </c>
      <c r="M2623" t="n">
        <v>43.165</v>
      </c>
      <c r="N2623" t="inlineStr">
        <is>
          <t>Explore_N</t>
        </is>
      </c>
      <c r="O2623" t="inlineStr">
        <is>
          <t>Novelty</t>
        </is>
      </c>
      <c r="P2623" t="inlineStr">
        <is>
          <t>STATE</t>
        </is>
      </c>
      <c r="Q2623" t="n">
        <v>531.533</v>
      </c>
      <c r="R2623" t="n">
        <v>531.966</v>
      </c>
      <c r="S2623" t="n">
        <v>0.433</v>
      </c>
      <c r="T2623" t="inlineStr">
        <is>
          <t>BTBR\test\c5m4.mp4</t>
        </is>
      </c>
      <c r="U2623" t="n">
        <v>16154</v>
      </c>
      <c r="V2623" t="n">
        <v>16167</v>
      </c>
      <c r="W2623" t="n">
        <v/>
      </c>
      <c r="X2623" t="n">
        <v/>
      </c>
      <c r="Y2623" t="n">
        <v/>
      </c>
      <c r="Z2623" t="n">
        <v/>
      </c>
      <c r="AA2623">
        <f>SUMIFS($S$2:S2623,$A$2:A2623,A2623,$N$2:N2623,"Explore*")</f>
        <v/>
      </c>
      <c r="AB2623">
        <f>IF(AND(LEFT(N2623,7)="Explore",(AA2623-IF(LEFT(N2623,7)="Explore",S2623,0))&lt;10),"SI","NO")</f>
        <v/>
      </c>
    </row>
    <row r="2624">
      <c r="A2624" t="inlineStr">
        <is>
          <t>c5m4_test</t>
        </is>
      </c>
      <c r="B2624" t="inlineStr">
        <is>
          <t>2026-02-17 17:06:22.867</t>
        </is>
      </c>
      <c r="C2624" t="n">
        <v/>
      </c>
      <c r="D2624" t="inlineStr">
        <is>
          <t>Media file</t>
        </is>
      </c>
      <c r="E2624" t="inlineStr">
        <is>
          <t>player #1:BTBR\test\c5m4.mp4</t>
        </is>
      </c>
      <c r="F2624" t="n">
        <v>-8.233000000000001</v>
      </c>
      <c r="G2624" t="n">
        <v>563.699</v>
      </c>
      <c r="H2624" t="n">
        <v>622.899</v>
      </c>
      <c r="I2624" t="n">
        <v>30</v>
      </c>
      <c r="J2624" t="inlineStr">
        <is>
          <t>BTBR</t>
        </is>
      </c>
      <c r="K2624" t="inlineStr">
        <is>
          <t>Male</t>
        </is>
      </c>
      <c r="L2624" t="inlineStr">
        <is>
          <t>No focal subject</t>
        </is>
      </c>
      <c r="M2624" t="n">
        <v>43.165</v>
      </c>
      <c r="N2624" t="inlineStr">
        <is>
          <t>Explore_F</t>
        </is>
      </c>
      <c r="O2624" t="inlineStr">
        <is>
          <t>Familiar</t>
        </is>
      </c>
      <c r="P2624" t="inlineStr">
        <is>
          <t>STATE</t>
        </is>
      </c>
      <c r="Q2624" t="n">
        <v>566.6</v>
      </c>
      <c r="R2624" t="n">
        <v>567.266</v>
      </c>
      <c r="S2624" t="n">
        <v>0.666</v>
      </c>
      <c r="T2624" t="inlineStr">
        <is>
          <t>BTBR\test\c5m4.mp4</t>
        </is>
      </c>
      <c r="U2624" t="n">
        <v>17203</v>
      </c>
      <c r="V2624" t="n">
        <v>17223</v>
      </c>
      <c r="W2624" t="n">
        <v/>
      </c>
      <c r="X2624" t="n">
        <v/>
      </c>
      <c r="Y2624" t="n">
        <v/>
      </c>
      <c r="Z2624" t="n">
        <v/>
      </c>
      <c r="AA2624">
        <f>SUMIFS($S$2:S2624,$A$2:A2624,A2624,$N$2:N2624,"Explore*")</f>
        <v/>
      </c>
      <c r="AB2624">
        <f>IF(AND(LEFT(N2624,7)="Explore",(AA2624-IF(LEFT(N2624,7)="Explore",S2624,0))&lt;10),"SI","NO")</f>
        <v/>
      </c>
    </row>
    <row r="2625">
      <c r="A2625" t="inlineStr">
        <is>
          <t>c7m1_test</t>
        </is>
      </c>
      <c r="B2625" t="inlineStr">
        <is>
          <t>2026-05-06 11:51:10.302</t>
        </is>
      </c>
      <c r="C2625" t="n">
        <v/>
      </c>
      <c r="D2625" t="inlineStr">
        <is>
          <t>Media file</t>
        </is>
      </c>
      <c r="E2625" t="inlineStr">
        <is>
          <t>player #1:C:/Users/manuel.felline/Documents/BEHAVIOR BTBR/NOR second cohort/BTBR/test/c7_m1.mp4</t>
        </is>
      </c>
      <c r="F2625" t="n">
        <v>-6.367</v>
      </c>
      <c r="G2625" t="n">
        <v>575.266</v>
      </c>
      <c r="H2625" t="n">
        <v>711.999</v>
      </c>
      <c r="I2625" t="n">
        <v>30</v>
      </c>
      <c r="J2625" t="inlineStr">
        <is>
          <t>BTBR</t>
        </is>
      </c>
      <c r="K2625" t="inlineStr">
        <is>
          <t>Male</t>
        </is>
      </c>
      <c r="L2625" t="inlineStr">
        <is>
          <t>No focal subject</t>
        </is>
      </c>
      <c r="M2625" t="n">
        <v>66.735</v>
      </c>
      <c r="N2625" t="inlineStr">
        <is>
          <t>Explore_F</t>
        </is>
      </c>
      <c r="O2625" t="inlineStr">
        <is>
          <t>Familiar</t>
        </is>
      </c>
      <c r="P2625" t="inlineStr">
        <is>
          <t>STATE</t>
        </is>
      </c>
      <c r="Q2625" t="n">
        <v>14.133</v>
      </c>
      <c r="R2625" t="n">
        <v>14.766</v>
      </c>
      <c r="S2625" t="n">
        <v>0.633</v>
      </c>
      <c r="T2625" t="inlineStr">
        <is>
          <t>C:/Users/manuel.felline/Documents/BEHAVIOR BTBR/NOR second cohort/BTBR/test/c7_m1.mp4</t>
        </is>
      </c>
      <c r="U2625" t="n">
        <v>615</v>
      </c>
      <c r="V2625" t="n">
        <v>634</v>
      </c>
      <c r="W2625" t="n">
        <v/>
      </c>
      <c r="X2625" t="n">
        <v/>
      </c>
      <c r="Y2625" t="n">
        <v/>
      </c>
      <c r="Z2625" t="n">
        <v/>
      </c>
      <c r="AA2625">
        <f>SUMIFS($S$2:S2625,$A$2:A2625,A2625,$N$2:N2625,"Explore*")</f>
        <v/>
      </c>
      <c r="AB2625">
        <f>IF(AND(LEFT(N2625,7)="Explore",(AA2625-IF(LEFT(N2625,7)="Explore",S2625,0))&lt;10),"SI","NO")</f>
        <v/>
      </c>
    </row>
    <row r="2626">
      <c r="A2626" t="inlineStr">
        <is>
          <t>c7m1_test</t>
        </is>
      </c>
      <c r="B2626" t="inlineStr">
        <is>
          <t>2026-05-06 11:51:10.302</t>
        </is>
      </c>
      <c r="C2626" t="n">
        <v/>
      </c>
      <c r="D2626" t="inlineStr">
        <is>
          <t>Media file</t>
        </is>
      </c>
      <c r="E2626" t="inlineStr">
        <is>
          <t>player #1:C:/Users/manuel.felline/Documents/BEHAVIOR BTBR/NOR second cohort/BTBR/test/c7_m1.mp4</t>
        </is>
      </c>
      <c r="F2626" t="n">
        <v>-6.367</v>
      </c>
      <c r="G2626" t="n">
        <v>575.266</v>
      </c>
      <c r="H2626" t="n">
        <v>711.999</v>
      </c>
      <c r="I2626" t="n">
        <v>30</v>
      </c>
      <c r="J2626" t="inlineStr">
        <is>
          <t>BTBR</t>
        </is>
      </c>
      <c r="K2626" t="inlineStr">
        <is>
          <t>Male</t>
        </is>
      </c>
      <c r="L2626" t="inlineStr">
        <is>
          <t>No focal subject</t>
        </is>
      </c>
      <c r="M2626" t="n">
        <v>66.735</v>
      </c>
      <c r="N2626" t="inlineStr">
        <is>
          <t>Explore_F</t>
        </is>
      </c>
      <c r="O2626" t="inlineStr">
        <is>
          <t>Familiar</t>
        </is>
      </c>
      <c r="P2626" t="inlineStr">
        <is>
          <t>STATE</t>
        </is>
      </c>
      <c r="Q2626" t="n">
        <v>19.3</v>
      </c>
      <c r="R2626" t="n">
        <v>20.266</v>
      </c>
      <c r="S2626" t="n">
        <v>0.966</v>
      </c>
      <c r="T2626" t="inlineStr">
        <is>
          <t>C:/Users/manuel.felline/Documents/BEHAVIOR BTBR/NOR second cohort/BTBR/test/c7_m1.mp4</t>
        </is>
      </c>
      <c r="U2626" t="n">
        <v>770</v>
      </c>
      <c r="V2626" t="n">
        <v>799</v>
      </c>
      <c r="W2626" t="n">
        <v/>
      </c>
      <c r="X2626" t="n">
        <v/>
      </c>
      <c r="Y2626" t="n">
        <v/>
      </c>
      <c r="Z2626" t="n">
        <v/>
      </c>
      <c r="AA2626">
        <f>SUMIFS($S$2:S2626,$A$2:A2626,A2626,$N$2:N2626,"Explore*")</f>
        <v/>
      </c>
      <c r="AB2626">
        <f>IF(AND(LEFT(N2626,7)="Explore",(AA2626-IF(LEFT(N2626,7)="Explore",S2626,0))&lt;10),"SI","NO")</f>
        <v/>
      </c>
    </row>
    <row r="2627">
      <c r="A2627" t="inlineStr">
        <is>
          <t>c7m1_test</t>
        </is>
      </c>
      <c r="B2627" t="inlineStr">
        <is>
          <t>2026-05-06 11:51:10.302</t>
        </is>
      </c>
      <c r="C2627" t="n">
        <v/>
      </c>
      <c r="D2627" t="inlineStr">
        <is>
          <t>Media file</t>
        </is>
      </c>
      <c r="E2627" t="inlineStr">
        <is>
          <t>player #1:C:/Users/manuel.felline/Documents/BEHAVIOR BTBR/NOR second cohort/BTBR/test/c7_m1.mp4</t>
        </is>
      </c>
      <c r="F2627" t="n">
        <v>-6.367</v>
      </c>
      <c r="G2627" t="n">
        <v>575.266</v>
      </c>
      <c r="H2627" t="n">
        <v>711.999</v>
      </c>
      <c r="I2627" t="n">
        <v>30</v>
      </c>
      <c r="J2627" t="inlineStr">
        <is>
          <t>BTBR</t>
        </is>
      </c>
      <c r="K2627" t="inlineStr">
        <is>
          <t>Male</t>
        </is>
      </c>
      <c r="L2627" t="inlineStr">
        <is>
          <t>No focal subject</t>
        </is>
      </c>
      <c r="M2627" t="n">
        <v>66.735</v>
      </c>
      <c r="N2627" t="inlineStr">
        <is>
          <t>Explore_N</t>
        </is>
      </c>
      <c r="O2627" t="inlineStr">
        <is>
          <t>Novelty</t>
        </is>
      </c>
      <c r="P2627" t="inlineStr">
        <is>
          <t>STATE</t>
        </is>
      </c>
      <c r="Q2627" t="n">
        <v>25.766</v>
      </c>
      <c r="R2627" t="n">
        <v>26.066</v>
      </c>
      <c r="S2627" t="n">
        <v>0.3</v>
      </c>
      <c r="T2627" t="inlineStr">
        <is>
          <t>C:/Users/manuel.felline/Documents/BEHAVIOR BTBR/NOR second cohort/BTBR/test/c7_m1.mp4</t>
        </is>
      </c>
      <c r="U2627" t="n">
        <v>964</v>
      </c>
      <c r="V2627" t="n">
        <v>973</v>
      </c>
      <c r="W2627" t="n">
        <v/>
      </c>
      <c r="X2627" t="n">
        <v/>
      </c>
      <c r="Y2627" t="n">
        <v/>
      </c>
      <c r="Z2627" t="n">
        <v/>
      </c>
      <c r="AA2627">
        <f>SUMIFS($S$2:S2627,$A$2:A2627,A2627,$N$2:N2627,"Explore*")</f>
        <v/>
      </c>
      <c r="AB2627">
        <f>IF(AND(LEFT(N2627,7)="Explore",(AA2627-IF(LEFT(N2627,7)="Explore",S2627,0))&lt;10),"SI","NO")</f>
        <v/>
      </c>
    </row>
    <row r="2628">
      <c r="A2628" t="inlineStr">
        <is>
          <t>c7m1_test</t>
        </is>
      </c>
      <c r="B2628" t="inlineStr">
        <is>
          <t>2026-05-06 11:51:10.302</t>
        </is>
      </c>
      <c r="C2628" t="n">
        <v/>
      </c>
      <c r="D2628" t="inlineStr">
        <is>
          <t>Media file</t>
        </is>
      </c>
      <c r="E2628" t="inlineStr">
        <is>
          <t>player #1:C:/Users/manuel.felline/Documents/BEHAVIOR BTBR/NOR second cohort/BTBR/test/c7_m1.mp4</t>
        </is>
      </c>
      <c r="F2628" t="n">
        <v>-6.367</v>
      </c>
      <c r="G2628" t="n">
        <v>575.266</v>
      </c>
      <c r="H2628" t="n">
        <v>711.999</v>
      </c>
      <c r="I2628" t="n">
        <v>30</v>
      </c>
      <c r="J2628" t="inlineStr">
        <is>
          <t>BTBR</t>
        </is>
      </c>
      <c r="K2628" t="inlineStr">
        <is>
          <t>Male</t>
        </is>
      </c>
      <c r="L2628" t="inlineStr">
        <is>
          <t>No focal subject</t>
        </is>
      </c>
      <c r="M2628" t="n">
        <v>66.735</v>
      </c>
      <c r="N2628" t="inlineStr">
        <is>
          <t>Explore_N</t>
        </is>
      </c>
      <c r="O2628" t="inlineStr">
        <is>
          <t>Novelty</t>
        </is>
      </c>
      <c r="P2628" t="inlineStr">
        <is>
          <t>STATE</t>
        </is>
      </c>
      <c r="Q2628" t="n">
        <v>26.5</v>
      </c>
      <c r="R2628" t="n">
        <v>28.2</v>
      </c>
      <c r="S2628" t="n">
        <v>1.7</v>
      </c>
      <c r="T2628" t="inlineStr">
        <is>
          <t>C:/Users/manuel.felline/Documents/BEHAVIOR BTBR/NOR second cohort/BTBR/test/c7_m1.mp4</t>
        </is>
      </c>
      <c r="U2628" t="n">
        <v>986</v>
      </c>
      <c r="V2628" t="n">
        <v>1037</v>
      </c>
      <c r="W2628" t="n">
        <v/>
      </c>
      <c r="X2628" t="n">
        <v/>
      </c>
      <c r="Y2628" t="n">
        <v/>
      </c>
      <c r="Z2628" t="n">
        <v/>
      </c>
      <c r="AA2628">
        <f>SUMIFS($S$2:S2628,$A$2:A2628,A2628,$N$2:N2628,"Explore*")</f>
        <v/>
      </c>
      <c r="AB2628">
        <f>IF(AND(LEFT(N2628,7)="Explore",(AA2628-IF(LEFT(N2628,7)="Explore",S2628,0))&lt;10),"SI","NO")</f>
        <v/>
      </c>
    </row>
    <row r="2629">
      <c r="A2629" t="inlineStr">
        <is>
          <t>c7m1_test</t>
        </is>
      </c>
      <c r="B2629" t="inlineStr">
        <is>
          <t>2026-05-06 11:51:10.302</t>
        </is>
      </c>
      <c r="C2629" t="n">
        <v/>
      </c>
      <c r="D2629" t="inlineStr">
        <is>
          <t>Media file</t>
        </is>
      </c>
      <c r="E2629" t="inlineStr">
        <is>
          <t>player #1:C:/Users/manuel.felline/Documents/BEHAVIOR BTBR/NOR second cohort/BTBR/test/c7_m1.mp4</t>
        </is>
      </c>
      <c r="F2629" t="n">
        <v>-6.367</v>
      </c>
      <c r="G2629" t="n">
        <v>575.266</v>
      </c>
      <c r="H2629" t="n">
        <v>711.999</v>
      </c>
      <c r="I2629" t="n">
        <v>30</v>
      </c>
      <c r="J2629" t="inlineStr">
        <is>
          <t>BTBR</t>
        </is>
      </c>
      <c r="K2629" t="inlineStr">
        <is>
          <t>Male</t>
        </is>
      </c>
      <c r="L2629" t="inlineStr">
        <is>
          <t>No focal subject</t>
        </is>
      </c>
      <c r="M2629" t="n">
        <v>66.735</v>
      </c>
      <c r="N2629" t="inlineStr">
        <is>
          <t>Explore_F</t>
        </is>
      </c>
      <c r="O2629" t="inlineStr">
        <is>
          <t>Familiar</t>
        </is>
      </c>
      <c r="P2629" t="inlineStr">
        <is>
          <t>STATE</t>
        </is>
      </c>
      <c r="Q2629" t="n">
        <v>29.6</v>
      </c>
      <c r="R2629" t="n">
        <v>29.9</v>
      </c>
      <c r="S2629" t="n">
        <v>0.3</v>
      </c>
      <c r="T2629" t="inlineStr">
        <is>
          <t>C:/Users/manuel.felline/Documents/BEHAVIOR BTBR/NOR second cohort/BTBR/test/c7_m1.mp4</t>
        </is>
      </c>
      <c r="U2629" t="n">
        <v>1079</v>
      </c>
      <c r="V2629" t="n">
        <v>1088</v>
      </c>
      <c r="W2629" t="n">
        <v/>
      </c>
      <c r="X2629" t="n">
        <v/>
      </c>
      <c r="Y2629" t="n">
        <v/>
      </c>
      <c r="Z2629" t="n">
        <v/>
      </c>
      <c r="AA2629">
        <f>SUMIFS($S$2:S2629,$A$2:A2629,A2629,$N$2:N2629,"Explore*")</f>
        <v/>
      </c>
      <c r="AB2629">
        <f>IF(AND(LEFT(N2629,7)="Explore",(AA2629-IF(LEFT(N2629,7)="Explore",S2629,0))&lt;10),"SI","NO")</f>
        <v/>
      </c>
    </row>
    <row r="2630">
      <c r="A2630" t="inlineStr">
        <is>
          <t>c7m1_test</t>
        </is>
      </c>
      <c r="B2630" t="inlineStr">
        <is>
          <t>2026-05-06 11:51:10.302</t>
        </is>
      </c>
      <c r="C2630" t="n">
        <v/>
      </c>
      <c r="D2630" t="inlineStr">
        <is>
          <t>Media file</t>
        </is>
      </c>
      <c r="E2630" t="inlineStr">
        <is>
          <t>player #1:C:/Users/manuel.felline/Documents/BEHAVIOR BTBR/NOR second cohort/BTBR/test/c7_m1.mp4</t>
        </is>
      </c>
      <c r="F2630" t="n">
        <v>-6.367</v>
      </c>
      <c r="G2630" t="n">
        <v>575.266</v>
      </c>
      <c r="H2630" t="n">
        <v>711.999</v>
      </c>
      <c r="I2630" t="n">
        <v>30</v>
      </c>
      <c r="J2630" t="inlineStr">
        <is>
          <t>BTBR</t>
        </is>
      </c>
      <c r="K2630" t="inlineStr">
        <is>
          <t>Male</t>
        </is>
      </c>
      <c r="L2630" t="inlineStr">
        <is>
          <t>No focal subject</t>
        </is>
      </c>
      <c r="M2630" t="n">
        <v>66.735</v>
      </c>
      <c r="N2630" t="inlineStr">
        <is>
          <t>Explore_N</t>
        </is>
      </c>
      <c r="O2630" t="inlineStr">
        <is>
          <t>Novelty</t>
        </is>
      </c>
      <c r="P2630" t="inlineStr">
        <is>
          <t>STATE</t>
        </is>
      </c>
      <c r="Q2630" t="n">
        <v>32.3</v>
      </c>
      <c r="R2630" t="n">
        <v>35.066</v>
      </c>
      <c r="S2630" t="n">
        <v>2.766</v>
      </c>
      <c r="T2630" t="inlineStr">
        <is>
          <t>C:/Users/manuel.felline/Documents/BEHAVIOR BTBR/NOR second cohort/BTBR/test/c7_m1.mp4</t>
        </is>
      </c>
      <c r="U2630" t="n">
        <v>1160</v>
      </c>
      <c r="V2630" t="n">
        <v>1243</v>
      </c>
      <c r="W2630" t="n">
        <v/>
      </c>
      <c r="X2630" t="n">
        <v/>
      </c>
      <c r="Y2630" t="n">
        <v/>
      </c>
      <c r="Z2630" t="n">
        <v/>
      </c>
      <c r="AA2630">
        <f>SUMIFS($S$2:S2630,$A$2:A2630,A2630,$N$2:N2630,"Explore*")</f>
        <v/>
      </c>
      <c r="AB2630">
        <f>IF(AND(LEFT(N2630,7)="Explore",(AA2630-IF(LEFT(N2630,7)="Explore",S2630,0))&lt;10),"SI","NO")</f>
        <v/>
      </c>
    </row>
    <row r="2631">
      <c r="A2631" t="inlineStr">
        <is>
          <t>c7m1_test</t>
        </is>
      </c>
      <c r="B2631" t="inlineStr">
        <is>
          <t>2026-05-06 11:51:10.302</t>
        </is>
      </c>
      <c r="C2631" t="n">
        <v/>
      </c>
      <c r="D2631" t="inlineStr">
        <is>
          <t>Media file</t>
        </is>
      </c>
      <c r="E2631" t="inlineStr">
        <is>
          <t>player #1:C:/Users/manuel.felline/Documents/BEHAVIOR BTBR/NOR second cohort/BTBR/test/c7_m1.mp4</t>
        </is>
      </c>
      <c r="F2631" t="n">
        <v>-6.367</v>
      </c>
      <c r="G2631" t="n">
        <v>575.266</v>
      </c>
      <c r="H2631" t="n">
        <v>711.999</v>
      </c>
      <c r="I2631" t="n">
        <v>30</v>
      </c>
      <c r="J2631" t="inlineStr">
        <is>
          <t>BTBR</t>
        </is>
      </c>
      <c r="K2631" t="inlineStr">
        <is>
          <t>Male</t>
        </is>
      </c>
      <c r="L2631" t="inlineStr">
        <is>
          <t>No focal subject</t>
        </is>
      </c>
      <c r="M2631" t="n">
        <v>66.735</v>
      </c>
      <c r="N2631" t="inlineStr">
        <is>
          <t>Explore_F</t>
        </is>
      </c>
      <c r="O2631" t="inlineStr">
        <is>
          <t>Familiar</t>
        </is>
      </c>
      <c r="P2631" t="inlineStr">
        <is>
          <t>STATE</t>
        </is>
      </c>
      <c r="Q2631" t="n">
        <v>36</v>
      </c>
      <c r="R2631" t="n">
        <v>36.8</v>
      </c>
      <c r="S2631" t="n">
        <v>0.8</v>
      </c>
      <c r="T2631" t="inlineStr">
        <is>
          <t>C:/Users/manuel.felline/Documents/BEHAVIOR BTBR/NOR second cohort/BTBR/test/c7_m1.mp4</t>
        </is>
      </c>
      <c r="U2631" t="n">
        <v>1271</v>
      </c>
      <c r="V2631" t="n">
        <v>1295</v>
      </c>
      <c r="W2631" t="n">
        <v/>
      </c>
      <c r="X2631" t="n">
        <v/>
      </c>
      <c r="Y2631" t="n">
        <v/>
      </c>
      <c r="Z2631" t="n">
        <v/>
      </c>
      <c r="AA2631">
        <f>SUMIFS($S$2:S2631,$A$2:A2631,A2631,$N$2:N2631,"Explore*")</f>
        <v/>
      </c>
      <c r="AB2631">
        <f>IF(AND(LEFT(N2631,7)="Explore",(AA2631-IF(LEFT(N2631,7)="Explore",S2631,0))&lt;10),"SI","NO")</f>
        <v/>
      </c>
    </row>
    <row r="2632">
      <c r="A2632" t="inlineStr">
        <is>
          <t>c7m1_test</t>
        </is>
      </c>
      <c r="B2632" t="inlineStr">
        <is>
          <t>2026-05-06 11:51:10.302</t>
        </is>
      </c>
      <c r="C2632" t="n">
        <v/>
      </c>
      <c r="D2632" t="inlineStr">
        <is>
          <t>Media file</t>
        </is>
      </c>
      <c r="E2632" t="inlineStr">
        <is>
          <t>player #1:C:/Users/manuel.felline/Documents/BEHAVIOR BTBR/NOR second cohort/BTBR/test/c7_m1.mp4</t>
        </is>
      </c>
      <c r="F2632" t="n">
        <v>-6.367</v>
      </c>
      <c r="G2632" t="n">
        <v>575.266</v>
      </c>
      <c r="H2632" t="n">
        <v>711.999</v>
      </c>
      <c r="I2632" t="n">
        <v>30</v>
      </c>
      <c r="J2632" t="inlineStr">
        <is>
          <t>BTBR</t>
        </is>
      </c>
      <c r="K2632" t="inlineStr">
        <is>
          <t>Male</t>
        </is>
      </c>
      <c r="L2632" t="inlineStr">
        <is>
          <t>No focal subject</t>
        </is>
      </c>
      <c r="M2632" t="n">
        <v>66.735</v>
      </c>
      <c r="N2632" t="inlineStr">
        <is>
          <t>Explore_F</t>
        </is>
      </c>
      <c r="O2632" t="inlineStr">
        <is>
          <t>Familiar</t>
        </is>
      </c>
      <c r="P2632" t="inlineStr">
        <is>
          <t>STATE</t>
        </is>
      </c>
      <c r="Q2632" t="n">
        <v>39.7</v>
      </c>
      <c r="R2632" t="n">
        <v>40.066</v>
      </c>
      <c r="S2632" t="n">
        <v>0.366</v>
      </c>
      <c r="T2632" t="inlineStr">
        <is>
          <t>C:/Users/manuel.felline/Documents/BEHAVIOR BTBR/NOR second cohort/BTBR/test/c7_m1.mp4</t>
        </is>
      </c>
      <c r="U2632" t="n">
        <v>1382</v>
      </c>
      <c r="V2632" t="n">
        <v>1393</v>
      </c>
      <c r="W2632" t="n">
        <v/>
      </c>
      <c r="X2632" t="n">
        <v/>
      </c>
      <c r="Y2632" t="n">
        <v/>
      </c>
      <c r="Z2632" t="n">
        <v/>
      </c>
      <c r="AA2632">
        <f>SUMIFS($S$2:S2632,$A$2:A2632,A2632,$N$2:N2632,"Explore*")</f>
        <v/>
      </c>
      <c r="AB2632">
        <f>IF(AND(LEFT(N2632,7)="Explore",(AA2632-IF(LEFT(N2632,7)="Explore",S2632,0))&lt;10),"SI","NO")</f>
        <v/>
      </c>
    </row>
    <row r="2633">
      <c r="A2633" t="inlineStr">
        <is>
          <t>c7m1_test</t>
        </is>
      </c>
      <c r="B2633" t="inlineStr">
        <is>
          <t>2026-05-06 11:51:10.302</t>
        </is>
      </c>
      <c r="C2633" t="n">
        <v/>
      </c>
      <c r="D2633" t="inlineStr">
        <is>
          <t>Media file</t>
        </is>
      </c>
      <c r="E2633" t="inlineStr">
        <is>
          <t>player #1:C:/Users/manuel.felline/Documents/BEHAVIOR BTBR/NOR second cohort/BTBR/test/c7_m1.mp4</t>
        </is>
      </c>
      <c r="F2633" t="n">
        <v>-6.367</v>
      </c>
      <c r="G2633" t="n">
        <v>575.266</v>
      </c>
      <c r="H2633" t="n">
        <v>711.999</v>
      </c>
      <c r="I2633" t="n">
        <v>30</v>
      </c>
      <c r="J2633" t="inlineStr">
        <is>
          <t>BTBR</t>
        </is>
      </c>
      <c r="K2633" t="inlineStr">
        <is>
          <t>Male</t>
        </is>
      </c>
      <c r="L2633" t="inlineStr">
        <is>
          <t>No focal subject</t>
        </is>
      </c>
      <c r="M2633" t="n">
        <v>66.735</v>
      </c>
      <c r="N2633" t="inlineStr">
        <is>
          <t>Explore_F</t>
        </is>
      </c>
      <c r="O2633" t="inlineStr">
        <is>
          <t>Familiar</t>
        </is>
      </c>
      <c r="P2633" t="inlineStr">
        <is>
          <t>STATE</t>
        </is>
      </c>
      <c r="Q2633" t="n">
        <v>49.633</v>
      </c>
      <c r="R2633" t="n">
        <v>50.066</v>
      </c>
      <c r="S2633" t="n">
        <v>0.433</v>
      </c>
      <c r="T2633" t="inlineStr">
        <is>
          <t>C:/Users/manuel.felline/Documents/BEHAVIOR BTBR/NOR second cohort/BTBR/test/c7_m1.mp4</t>
        </is>
      </c>
      <c r="U2633" t="n">
        <v>1680</v>
      </c>
      <c r="V2633" t="n">
        <v>1693</v>
      </c>
      <c r="W2633" t="n">
        <v/>
      </c>
      <c r="X2633" t="n">
        <v/>
      </c>
      <c r="Y2633" t="n">
        <v/>
      </c>
      <c r="Z2633" t="n">
        <v/>
      </c>
      <c r="AA2633">
        <f>SUMIFS($S$2:S2633,$A$2:A2633,A2633,$N$2:N2633,"Explore*")</f>
        <v/>
      </c>
      <c r="AB2633">
        <f>IF(AND(LEFT(N2633,7)="Explore",(AA2633-IF(LEFT(N2633,7)="Explore",S2633,0))&lt;10),"SI","NO")</f>
        <v/>
      </c>
    </row>
    <row r="2634">
      <c r="A2634" t="inlineStr">
        <is>
          <t>c7m1_test</t>
        </is>
      </c>
      <c r="B2634" t="inlineStr">
        <is>
          <t>2026-05-06 11:51:10.302</t>
        </is>
      </c>
      <c r="C2634" t="n">
        <v/>
      </c>
      <c r="D2634" t="inlineStr">
        <is>
          <t>Media file</t>
        </is>
      </c>
      <c r="E2634" t="inlineStr">
        <is>
          <t>player #1:C:/Users/manuel.felline/Documents/BEHAVIOR BTBR/NOR second cohort/BTBR/test/c7_m1.mp4</t>
        </is>
      </c>
      <c r="F2634" t="n">
        <v>-6.367</v>
      </c>
      <c r="G2634" t="n">
        <v>575.266</v>
      </c>
      <c r="H2634" t="n">
        <v>711.999</v>
      </c>
      <c r="I2634" t="n">
        <v>30</v>
      </c>
      <c r="J2634" t="inlineStr">
        <is>
          <t>BTBR</t>
        </is>
      </c>
      <c r="K2634" t="inlineStr">
        <is>
          <t>Male</t>
        </is>
      </c>
      <c r="L2634" t="inlineStr">
        <is>
          <t>No focal subject</t>
        </is>
      </c>
      <c r="M2634" t="n">
        <v>66.735</v>
      </c>
      <c r="N2634" t="inlineStr">
        <is>
          <t>Explore_F</t>
        </is>
      </c>
      <c r="O2634" t="inlineStr">
        <is>
          <t>Familiar</t>
        </is>
      </c>
      <c r="P2634" t="inlineStr">
        <is>
          <t>STATE</t>
        </is>
      </c>
      <c r="Q2634" t="n">
        <v>53.066</v>
      </c>
      <c r="R2634" t="n">
        <v>53.333</v>
      </c>
      <c r="S2634" t="n">
        <v>0.267</v>
      </c>
      <c r="T2634" t="inlineStr">
        <is>
          <t>C:/Users/manuel.felline/Documents/BEHAVIOR BTBR/NOR second cohort/BTBR/test/c7_m1.mp4</t>
        </is>
      </c>
      <c r="U2634" t="n">
        <v>1783</v>
      </c>
      <c r="V2634" t="n">
        <v>1791</v>
      </c>
      <c r="W2634" t="n">
        <v/>
      </c>
      <c r="X2634" t="n">
        <v/>
      </c>
      <c r="Y2634" t="n">
        <v/>
      </c>
      <c r="Z2634" t="n">
        <v/>
      </c>
      <c r="AA2634">
        <f>SUMIFS($S$2:S2634,$A$2:A2634,A2634,$N$2:N2634,"Explore*")</f>
        <v/>
      </c>
      <c r="AB2634">
        <f>IF(AND(LEFT(N2634,7)="Explore",(AA2634-IF(LEFT(N2634,7)="Explore",S2634,0))&lt;10),"SI","NO")</f>
        <v/>
      </c>
    </row>
    <row r="2635">
      <c r="A2635" t="inlineStr">
        <is>
          <t>c7m1_test</t>
        </is>
      </c>
      <c r="B2635" t="inlineStr">
        <is>
          <t>2026-05-06 11:51:10.302</t>
        </is>
      </c>
      <c r="C2635" t="n">
        <v/>
      </c>
      <c r="D2635" t="inlineStr">
        <is>
          <t>Media file</t>
        </is>
      </c>
      <c r="E2635" t="inlineStr">
        <is>
          <t>player #1:C:/Users/manuel.felline/Documents/BEHAVIOR BTBR/NOR second cohort/BTBR/test/c7_m1.mp4</t>
        </is>
      </c>
      <c r="F2635" t="n">
        <v>-6.367</v>
      </c>
      <c r="G2635" t="n">
        <v>575.266</v>
      </c>
      <c r="H2635" t="n">
        <v>711.999</v>
      </c>
      <c r="I2635" t="n">
        <v>30</v>
      </c>
      <c r="J2635" t="inlineStr">
        <is>
          <t>BTBR</t>
        </is>
      </c>
      <c r="K2635" t="inlineStr">
        <is>
          <t>Male</t>
        </is>
      </c>
      <c r="L2635" t="inlineStr">
        <is>
          <t>No focal subject</t>
        </is>
      </c>
      <c r="M2635" t="n">
        <v>66.735</v>
      </c>
      <c r="N2635" t="inlineStr">
        <is>
          <t>Explore_N</t>
        </is>
      </c>
      <c r="O2635" t="inlineStr">
        <is>
          <t>Novelty</t>
        </is>
      </c>
      <c r="P2635" t="inlineStr">
        <is>
          <t>STATE</t>
        </is>
      </c>
      <c r="Q2635" t="n">
        <v>70.733</v>
      </c>
      <c r="R2635" t="n">
        <v>72.533</v>
      </c>
      <c r="S2635" t="n">
        <v>1.8</v>
      </c>
      <c r="T2635" t="inlineStr">
        <is>
          <t>C:/Users/manuel.felline/Documents/BEHAVIOR BTBR/NOR second cohort/BTBR/test/c7_m1.mp4</t>
        </is>
      </c>
      <c r="U2635" t="n">
        <v>2313</v>
      </c>
      <c r="V2635" t="n">
        <v>2367</v>
      </c>
      <c r="W2635" t="n">
        <v/>
      </c>
      <c r="X2635" t="n">
        <v/>
      </c>
      <c r="Y2635" t="n">
        <v/>
      </c>
      <c r="Z2635" t="n">
        <v/>
      </c>
      <c r="AA2635">
        <f>SUMIFS($S$2:S2635,$A$2:A2635,A2635,$N$2:N2635,"Explore*")</f>
        <v/>
      </c>
      <c r="AB2635">
        <f>IF(AND(LEFT(N2635,7)="Explore",(AA2635-IF(LEFT(N2635,7)="Explore",S2635,0))&lt;10),"SI","NO")</f>
        <v/>
      </c>
    </row>
    <row r="2636">
      <c r="A2636" t="inlineStr">
        <is>
          <t>c7m1_test</t>
        </is>
      </c>
      <c r="B2636" t="inlineStr">
        <is>
          <t>2026-05-06 11:51:10.302</t>
        </is>
      </c>
      <c r="C2636" t="n">
        <v/>
      </c>
      <c r="D2636" t="inlineStr">
        <is>
          <t>Media file</t>
        </is>
      </c>
      <c r="E2636" t="inlineStr">
        <is>
          <t>player #1:C:/Users/manuel.felline/Documents/BEHAVIOR BTBR/NOR second cohort/BTBR/test/c7_m1.mp4</t>
        </is>
      </c>
      <c r="F2636" t="n">
        <v>-6.367</v>
      </c>
      <c r="G2636" t="n">
        <v>575.266</v>
      </c>
      <c r="H2636" t="n">
        <v>711.999</v>
      </c>
      <c r="I2636" t="n">
        <v>30</v>
      </c>
      <c r="J2636" t="inlineStr">
        <is>
          <t>BTBR</t>
        </is>
      </c>
      <c r="K2636" t="inlineStr">
        <is>
          <t>Male</t>
        </is>
      </c>
      <c r="L2636" t="inlineStr">
        <is>
          <t>No focal subject</t>
        </is>
      </c>
      <c r="M2636" t="n">
        <v>66.735</v>
      </c>
      <c r="N2636" t="inlineStr">
        <is>
          <t>Explore_F</t>
        </is>
      </c>
      <c r="O2636" t="inlineStr">
        <is>
          <t>Familiar</t>
        </is>
      </c>
      <c r="P2636" t="inlineStr">
        <is>
          <t>STATE</t>
        </is>
      </c>
      <c r="Q2636" t="n">
        <v>73.40000000000001</v>
      </c>
      <c r="R2636" t="n">
        <v>74.233</v>
      </c>
      <c r="S2636" t="n">
        <v>0.833</v>
      </c>
      <c r="T2636" t="inlineStr">
        <is>
          <t>C:/Users/manuel.felline/Documents/BEHAVIOR BTBR/NOR second cohort/BTBR/test/c7_m1.mp4</t>
        </is>
      </c>
      <c r="U2636" t="n">
        <v>2393</v>
      </c>
      <c r="V2636" t="n">
        <v>2418</v>
      </c>
      <c r="W2636" t="n">
        <v/>
      </c>
      <c r="X2636" t="n">
        <v/>
      </c>
      <c r="Y2636" t="n">
        <v/>
      </c>
      <c r="Z2636" t="n">
        <v/>
      </c>
      <c r="AA2636">
        <f>SUMIFS($S$2:S2636,$A$2:A2636,A2636,$N$2:N2636,"Explore*")</f>
        <v/>
      </c>
      <c r="AB2636">
        <f>IF(AND(LEFT(N2636,7)="Explore",(AA2636-IF(LEFT(N2636,7)="Explore",S2636,0))&lt;10),"SI","NO")</f>
        <v/>
      </c>
    </row>
    <row r="2637">
      <c r="A2637" t="inlineStr">
        <is>
          <t>c7m1_test</t>
        </is>
      </c>
      <c r="B2637" t="inlineStr">
        <is>
          <t>2026-05-06 11:51:10.302</t>
        </is>
      </c>
      <c r="C2637" t="n">
        <v/>
      </c>
      <c r="D2637" t="inlineStr">
        <is>
          <t>Media file</t>
        </is>
      </c>
      <c r="E2637" t="inlineStr">
        <is>
          <t>player #1:C:/Users/manuel.felline/Documents/BEHAVIOR BTBR/NOR second cohort/BTBR/test/c7_m1.mp4</t>
        </is>
      </c>
      <c r="F2637" t="n">
        <v>-6.367</v>
      </c>
      <c r="G2637" t="n">
        <v>575.266</v>
      </c>
      <c r="H2637" t="n">
        <v>711.999</v>
      </c>
      <c r="I2637" t="n">
        <v>30</v>
      </c>
      <c r="J2637" t="inlineStr">
        <is>
          <t>BTBR</t>
        </is>
      </c>
      <c r="K2637" t="inlineStr">
        <is>
          <t>Male</t>
        </is>
      </c>
      <c r="L2637" t="inlineStr">
        <is>
          <t>No focal subject</t>
        </is>
      </c>
      <c r="M2637" t="n">
        <v>66.735</v>
      </c>
      <c r="N2637" t="inlineStr">
        <is>
          <t>Explore_N</t>
        </is>
      </c>
      <c r="O2637" t="inlineStr">
        <is>
          <t>Novelty</t>
        </is>
      </c>
      <c r="P2637" t="inlineStr">
        <is>
          <t>STATE</t>
        </is>
      </c>
      <c r="Q2637" t="n">
        <v>74.833</v>
      </c>
      <c r="R2637" t="n">
        <v>77.26600000000001</v>
      </c>
      <c r="S2637" t="n">
        <v>2.433</v>
      </c>
      <c r="T2637" t="inlineStr">
        <is>
          <t>C:/Users/manuel.felline/Documents/BEHAVIOR BTBR/NOR second cohort/BTBR/test/c7_m1.mp4</t>
        </is>
      </c>
      <c r="U2637" t="n">
        <v>2436</v>
      </c>
      <c r="V2637" t="n">
        <v>2509</v>
      </c>
      <c r="W2637" t="n">
        <v/>
      </c>
      <c r="X2637" t="n">
        <v/>
      </c>
      <c r="Y2637" t="n">
        <v/>
      </c>
      <c r="Z2637" t="n">
        <v/>
      </c>
      <c r="AA2637">
        <f>SUMIFS($S$2:S2637,$A$2:A2637,A2637,$N$2:N2637,"Explore*")</f>
        <v/>
      </c>
      <c r="AB2637">
        <f>IF(AND(LEFT(N2637,7)="Explore",(AA2637-IF(LEFT(N2637,7)="Explore",S2637,0))&lt;10),"SI","NO")</f>
        <v/>
      </c>
    </row>
    <row r="2638">
      <c r="A2638" t="inlineStr">
        <is>
          <t>c7m1_test</t>
        </is>
      </c>
      <c r="B2638" t="inlineStr">
        <is>
          <t>2026-05-06 11:51:10.302</t>
        </is>
      </c>
      <c r="C2638" t="n">
        <v/>
      </c>
      <c r="D2638" t="inlineStr">
        <is>
          <t>Media file</t>
        </is>
      </c>
      <c r="E2638" t="inlineStr">
        <is>
          <t>player #1:C:/Users/manuel.felline/Documents/BEHAVIOR BTBR/NOR second cohort/BTBR/test/c7_m1.mp4</t>
        </is>
      </c>
      <c r="F2638" t="n">
        <v>-6.367</v>
      </c>
      <c r="G2638" t="n">
        <v>575.266</v>
      </c>
      <c r="H2638" t="n">
        <v>711.999</v>
      </c>
      <c r="I2638" t="n">
        <v>30</v>
      </c>
      <c r="J2638" t="inlineStr">
        <is>
          <t>BTBR</t>
        </is>
      </c>
      <c r="K2638" t="inlineStr">
        <is>
          <t>Male</t>
        </is>
      </c>
      <c r="L2638" t="inlineStr">
        <is>
          <t>No focal subject</t>
        </is>
      </c>
      <c r="M2638" t="n">
        <v>66.735</v>
      </c>
      <c r="N2638" t="inlineStr">
        <is>
          <t>Explore_N</t>
        </is>
      </c>
      <c r="O2638" t="inlineStr">
        <is>
          <t>Novelty</t>
        </is>
      </c>
      <c r="P2638" t="inlineStr">
        <is>
          <t>STATE</t>
        </is>
      </c>
      <c r="Q2638" t="n">
        <v>78.133</v>
      </c>
      <c r="R2638" t="n">
        <v>79.066</v>
      </c>
      <c r="S2638" t="n">
        <v>0.9330000000000001</v>
      </c>
      <c r="T2638" t="inlineStr">
        <is>
          <t>C:/Users/manuel.felline/Documents/BEHAVIOR BTBR/NOR second cohort/BTBR/test/c7_m1.mp4</t>
        </is>
      </c>
      <c r="U2638" t="n">
        <v>2535</v>
      </c>
      <c r="V2638" t="n">
        <v>2563</v>
      </c>
      <c r="W2638" t="n">
        <v/>
      </c>
      <c r="X2638" t="n">
        <v/>
      </c>
      <c r="Y2638" t="n">
        <v/>
      </c>
      <c r="Z2638" t="n">
        <v/>
      </c>
      <c r="AA2638">
        <f>SUMIFS($S$2:S2638,$A$2:A2638,A2638,$N$2:N2638,"Explore*")</f>
        <v/>
      </c>
      <c r="AB2638">
        <f>IF(AND(LEFT(N2638,7)="Explore",(AA2638-IF(LEFT(N2638,7)="Explore",S2638,0))&lt;10),"SI","NO")</f>
        <v/>
      </c>
    </row>
    <row r="2639">
      <c r="A2639" t="inlineStr">
        <is>
          <t>c7m1_test</t>
        </is>
      </c>
      <c r="B2639" t="inlineStr">
        <is>
          <t>2026-05-06 11:51:10.302</t>
        </is>
      </c>
      <c r="C2639" t="n">
        <v/>
      </c>
      <c r="D2639" t="inlineStr">
        <is>
          <t>Media file</t>
        </is>
      </c>
      <c r="E2639" t="inlineStr">
        <is>
          <t>player #1:C:/Users/manuel.felline/Documents/BEHAVIOR BTBR/NOR second cohort/BTBR/test/c7_m1.mp4</t>
        </is>
      </c>
      <c r="F2639" t="n">
        <v>-6.367</v>
      </c>
      <c r="G2639" t="n">
        <v>575.266</v>
      </c>
      <c r="H2639" t="n">
        <v>711.999</v>
      </c>
      <c r="I2639" t="n">
        <v>30</v>
      </c>
      <c r="J2639" t="inlineStr">
        <is>
          <t>BTBR</t>
        </is>
      </c>
      <c r="K2639" t="inlineStr">
        <is>
          <t>Male</t>
        </is>
      </c>
      <c r="L2639" t="inlineStr">
        <is>
          <t>No focal subject</t>
        </is>
      </c>
      <c r="M2639" t="n">
        <v>66.735</v>
      </c>
      <c r="N2639" t="inlineStr">
        <is>
          <t>Explore_N</t>
        </is>
      </c>
      <c r="O2639" t="inlineStr">
        <is>
          <t>Novelty</t>
        </is>
      </c>
      <c r="P2639" t="inlineStr">
        <is>
          <t>STATE</t>
        </is>
      </c>
      <c r="Q2639" t="n">
        <v>79.93300000000001</v>
      </c>
      <c r="R2639" t="n">
        <v>81.5</v>
      </c>
      <c r="S2639" t="n">
        <v>1.567</v>
      </c>
      <c r="T2639" t="inlineStr">
        <is>
          <t>C:/Users/manuel.felline/Documents/BEHAVIOR BTBR/NOR second cohort/BTBR/test/c7_m1.mp4</t>
        </is>
      </c>
      <c r="U2639" t="n">
        <v>2589</v>
      </c>
      <c r="V2639" t="n">
        <v>2636</v>
      </c>
      <c r="W2639" t="n">
        <v/>
      </c>
      <c r="X2639" t="n">
        <v/>
      </c>
      <c r="Y2639" t="n">
        <v/>
      </c>
      <c r="Z2639" t="n">
        <v/>
      </c>
      <c r="AA2639">
        <f>SUMIFS($S$2:S2639,$A$2:A2639,A2639,$N$2:N2639,"Explore*")</f>
        <v/>
      </c>
      <c r="AB2639">
        <f>IF(AND(LEFT(N2639,7)="Explore",(AA2639-IF(LEFT(N2639,7)="Explore",S2639,0))&lt;10),"SI","NO")</f>
        <v/>
      </c>
    </row>
    <row r="2640">
      <c r="A2640" t="inlineStr">
        <is>
          <t>c7m1_test</t>
        </is>
      </c>
      <c r="B2640" t="inlineStr">
        <is>
          <t>2026-05-06 11:51:10.302</t>
        </is>
      </c>
      <c r="C2640" t="n">
        <v/>
      </c>
      <c r="D2640" t="inlineStr">
        <is>
          <t>Media file</t>
        </is>
      </c>
      <c r="E2640" t="inlineStr">
        <is>
          <t>player #1:C:/Users/manuel.felline/Documents/BEHAVIOR BTBR/NOR second cohort/BTBR/test/c7_m1.mp4</t>
        </is>
      </c>
      <c r="F2640" t="n">
        <v>-6.367</v>
      </c>
      <c r="G2640" t="n">
        <v>575.266</v>
      </c>
      <c r="H2640" t="n">
        <v>711.999</v>
      </c>
      <c r="I2640" t="n">
        <v>30</v>
      </c>
      <c r="J2640" t="inlineStr">
        <is>
          <t>BTBR</t>
        </is>
      </c>
      <c r="K2640" t="inlineStr">
        <is>
          <t>Male</t>
        </is>
      </c>
      <c r="L2640" t="inlineStr">
        <is>
          <t>No focal subject</t>
        </is>
      </c>
      <c r="M2640" t="n">
        <v>66.735</v>
      </c>
      <c r="N2640" t="inlineStr">
        <is>
          <t>Explore_F</t>
        </is>
      </c>
      <c r="O2640" t="inlineStr">
        <is>
          <t>Familiar</t>
        </is>
      </c>
      <c r="P2640" t="inlineStr">
        <is>
          <t>STATE</t>
        </is>
      </c>
      <c r="Q2640" t="n">
        <v>84.5</v>
      </c>
      <c r="R2640" t="n">
        <v>85.166</v>
      </c>
      <c r="S2640" t="n">
        <v>0.666</v>
      </c>
      <c r="T2640" t="inlineStr">
        <is>
          <t>C:/Users/manuel.felline/Documents/BEHAVIOR BTBR/NOR second cohort/BTBR/test/c7_m1.mp4</t>
        </is>
      </c>
      <c r="U2640" t="n">
        <v>2726</v>
      </c>
      <c r="V2640" t="n">
        <v>2746</v>
      </c>
      <c r="W2640" t="n">
        <v/>
      </c>
      <c r="X2640" t="n">
        <v/>
      </c>
      <c r="Y2640" t="n">
        <v/>
      </c>
      <c r="Z2640" t="n">
        <v/>
      </c>
      <c r="AA2640">
        <f>SUMIFS($S$2:S2640,$A$2:A2640,A2640,$N$2:N2640,"Explore*")</f>
        <v/>
      </c>
      <c r="AB2640">
        <f>IF(AND(LEFT(N2640,7)="Explore",(AA2640-IF(LEFT(N2640,7)="Explore",S2640,0))&lt;10),"SI","NO")</f>
        <v/>
      </c>
    </row>
    <row r="2641">
      <c r="A2641" t="inlineStr">
        <is>
          <t>c7m1_test</t>
        </is>
      </c>
      <c r="B2641" t="inlineStr">
        <is>
          <t>2026-05-06 11:51:10.302</t>
        </is>
      </c>
      <c r="C2641" t="n">
        <v/>
      </c>
      <c r="D2641" t="inlineStr">
        <is>
          <t>Media file</t>
        </is>
      </c>
      <c r="E2641" t="inlineStr">
        <is>
          <t>player #1:C:/Users/manuel.felline/Documents/BEHAVIOR BTBR/NOR second cohort/BTBR/test/c7_m1.mp4</t>
        </is>
      </c>
      <c r="F2641" t="n">
        <v>-6.367</v>
      </c>
      <c r="G2641" t="n">
        <v>575.266</v>
      </c>
      <c r="H2641" t="n">
        <v>711.999</v>
      </c>
      <c r="I2641" t="n">
        <v>30</v>
      </c>
      <c r="J2641" t="inlineStr">
        <is>
          <t>BTBR</t>
        </is>
      </c>
      <c r="K2641" t="inlineStr">
        <is>
          <t>Male</t>
        </is>
      </c>
      <c r="L2641" t="inlineStr">
        <is>
          <t>No focal subject</t>
        </is>
      </c>
      <c r="M2641" t="n">
        <v>66.735</v>
      </c>
      <c r="N2641" t="inlineStr">
        <is>
          <t>Explore_N</t>
        </is>
      </c>
      <c r="O2641" t="inlineStr">
        <is>
          <t>Novelty</t>
        </is>
      </c>
      <c r="P2641" t="inlineStr">
        <is>
          <t>STATE</t>
        </is>
      </c>
      <c r="Q2641" t="n">
        <v>95.633</v>
      </c>
      <c r="R2641" t="n">
        <v>97.09999999999999</v>
      </c>
      <c r="S2641" t="n">
        <v>1.467</v>
      </c>
      <c r="T2641" t="inlineStr">
        <is>
          <t>C:/Users/manuel.felline/Documents/BEHAVIOR BTBR/NOR second cohort/BTBR/test/c7_m1.mp4</t>
        </is>
      </c>
      <c r="U2641" t="n">
        <v>3060</v>
      </c>
      <c r="V2641" t="n">
        <v>3104</v>
      </c>
      <c r="W2641" t="n">
        <v/>
      </c>
      <c r="X2641" t="n">
        <v/>
      </c>
      <c r="Y2641" t="n">
        <v/>
      </c>
      <c r="Z2641" t="n">
        <v/>
      </c>
      <c r="AA2641">
        <f>SUMIFS($S$2:S2641,$A$2:A2641,A2641,$N$2:N2641,"Explore*")</f>
        <v/>
      </c>
      <c r="AB2641">
        <f>IF(AND(LEFT(N2641,7)="Explore",(AA2641-IF(LEFT(N2641,7)="Explore",S2641,0))&lt;10),"SI","NO")</f>
        <v/>
      </c>
    </row>
    <row r="2642">
      <c r="A2642" t="inlineStr">
        <is>
          <t>c7m1_test</t>
        </is>
      </c>
      <c r="B2642" t="inlineStr">
        <is>
          <t>2026-05-06 11:51:10.302</t>
        </is>
      </c>
      <c r="C2642" t="n">
        <v/>
      </c>
      <c r="D2642" t="inlineStr">
        <is>
          <t>Media file</t>
        </is>
      </c>
      <c r="E2642" t="inlineStr">
        <is>
          <t>player #1:C:/Users/manuel.felline/Documents/BEHAVIOR BTBR/NOR second cohort/BTBR/test/c7_m1.mp4</t>
        </is>
      </c>
      <c r="F2642" t="n">
        <v>-6.367</v>
      </c>
      <c r="G2642" t="n">
        <v>575.266</v>
      </c>
      <c r="H2642" t="n">
        <v>711.999</v>
      </c>
      <c r="I2642" t="n">
        <v>30</v>
      </c>
      <c r="J2642" t="inlineStr">
        <is>
          <t>BTBR</t>
        </is>
      </c>
      <c r="K2642" t="inlineStr">
        <is>
          <t>Male</t>
        </is>
      </c>
      <c r="L2642" t="inlineStr">
        <is>
          <t>No focal subject</t>
        </is>
      </c>
      <c r="M2642" t="n">
        <v>66.735</v>
      </c>
      <c r="N2642" t="inlineStr">
        <is>
          <t>Explore_F</t>
        </is>
      </c>
      <c r="O2642" t="inlineStr">
        <is>
          <t>Familiar</t>
        </is>
      </c>
      <c r="P2642" t="inlineStr">
        <is>
          <t>STATE</t>
        </is>
      </c>
      <c r="Q2642" t="n">
        <v>102.966</v>
      </c>
      <c r="R2642" t="n">
        <v>103.5</v>
      </c>
      <c r="S2642" t="n">
        <v>0.534</v>
      </c>
      <c r="T2642" t="inlineStr">
        <is>
          <t>C:/Users/manuel.felline/Documents/BEHAVIOR BTBR/NOR second cohort/BTBR/test/c7_m1.mp4</t>
        </is>
      </c>
      <c r="U2642" t="n">
        <v>3280</v>
      </c>
      <c r="V2642" t="n">
        <v>3296</v>
      </c>
      <c r="W2642" t="n">
        <v/>
      </c>
      <c r="X2642" t="n">
        <v/>
      </c>
      <c r="Y2642" t="n">
        <v/>
      </c>
      <c r="Z2642" t="n">
        <v/>
      </c>
      <c r="AA2642">
        <f>SUMIFS($S$2:S2642,$A$2:A2642,A2642,$N$2:N2642,"Explore*")</f>
        <v/>
      </c>
      <c r="AB2642">
        <f>IF(AND(LEFT(N2642,7)="Explore",(AA2642-IF(LEFT(N2642,7)="Explore",S2642,0))&lt;10),"SI","NO")</f>
        <v/>
      </c>
    </row>
    <row r="2643">
      <c r="A2643" t="inlineStr">
        <is>
          <t>c7m1_test</t>
        </is>
      </c>
      <c r="B2643" t="inlineStr">
        <is>
          <t>2026-05-06 11:51:10.302</t>
        </is>
      </c>
      <c r="C2643" t="n">
        <v/>
      </c>
      <c r="D2643" t="inlineStr">
        <is>
          <t>Media file</t>
        </is>
      </c>
      <c r="E2643" t="inlineStr">
        <is>
          <t>player #1:C:/Users/manuel.felline/Documents/BEHAVIOR BTBR/NOR second cohort/BTBR/test/c7_m1.mp4</t>
        </is>
      </c>
      <c r="F2643" t="n">
        <v>-6.367</v>
      </c>
      <c r="G2643" t="n">
        <v>575.266</v>
      </c>
      <c r="H2643" t="n">
        <v>711.999</v>
      </c>
      <c r="I2643" t="n">
        <v>30</v>
      </c>
      <c r="J2643" t="inlineStr">
        <is>
          <t>BTBR</t>
        </is>
      </c>
      <c r="K2643" t="inlineStr">
        <is>
          <t>Male</t>
        </is>
      </c>
      <c r="L2643" t="inlineStr">
        <is>
          <t>No focal subject</t>
        </is>
      </c>
      <c r="M2643" t="n">
        <v>66.735</v>
      </c>
      <c r="N2643" t="inlineStr">
        <is>
          <t>Explore_N</t>
        </is>
      </c>
      <c r="O2643" t="inlineStr">
        <is>
          <t>Novelty</t>
        </is>
      </c>
      <c r="P2643" t="inlineStr">
        <is>
          <t>STATE</t>
        </is>
      </c>
      <c r="Q2643" t="n">
        <v>114.4</v>
      </c>
      <c r="R2643" t="n">
        <v>115.266</v>
      </c>
      <c r="S2643" t="n">
        <v>0.866</v>
      </c>
      <c r="T2643" t="inlineStr">
        <is>
          <t>C:/Users/manuel.felline/Documents/BEHAVIOR BTBR/NOR second cohort/BTBR/test/c7_m1.mp4</t>
        </is>
      </c>
      <c r="U2643" t="n">
        <v>3623</v>
      </c>
      <c r="V2643" t="n">
        <v>3649</v>
      </c>
      <c r="W2643" t="n">
        <v/>
      </c>
      <c r="X2643" t="n">
        <v/>
      </c>
      <c r="Y2643" t="n">
        <v/>
      </c>
      <c r="Z2643" t="n">
        <v/>
      </c>
      <c r="AA2643">
        <f>SUMIFS($S$2:S2643,$A$2:A2643,A2643,$N$2:N2643,"Explore*")</f>
        <v/>
      </c>
      <c r="AB2643">
        <f>IF(AND(LEFT(N2643,7)="Explore",(AA2643-IF(LEFT(N2643,7)="Explore",S2643,0))&lt;10),"SI","NO")</f>
        <v/>
      </c>
    </row>
    <row r="2644">
      <c r="A2644" t="inlineStr">
        <is>
          <t>c7m1_test</t>
        </is>
      </c>
      <c r="B2644" t="inlineStr">
        <is>
          <t>2026-05-06 11:51:10.302</t>
        </is>
      </c>
      <c r="C2644" t="n">
        <v/>
      </c>
      <c r="D2644" t="inlineStr">
        <is>
          <t>Media file</t>
        </is>
      </c>
      <c r="E2644" t="inlineStr">
        <is>
          <t>player #1:C:/Users/manuel.felline/Documents/BEHAVIOR BTBR/NOR second cohort/BTBR/test/c7_m1.mp4</t>
        </is>
      </c>
      <c r="F2644" t="n">
        <v>-6.367</v>
      </c>
      <c r="G2644" t="n">
        <v>575.266</v>
      </c>
      <c r="H2644" t="n">
        <v>711.999</v>
      </c>
      <c r="I2644" t="n">
        <v>30</v>
      </c>
      <c r="J2644" t="inlineStr">
        <is>
          <t>BTBR</t>
        </is>
      </c>
      <c r="K2644" t="inlineStr">
        <is>
          <t>Male</t>
        </is>
      </c>
      <c r="L2644" t="inlineStr">
        <is>
          <t>No focal subject</t>
        </is>
      </c>
      <c r="M2644" t="n">
        <v>66.735</v>
      </c>
      <c r="N2644" t="inlineStr">
        <is>
          <t>Explore_F</t>
        </is>
      </c>
      <c r="O2644" t="inlineStr">
        <is>
          <t>Familiar</t>
        </is>
      </c>
      <c r="P2644" t="inlineStr">
        <is>
          <t>STATE</t>
        </is>
      </c>
      <c r="Q2644" t="n">
        <v>116.966</v>
      </c>
      <c r="R2644" t="n">
        <v>117.6</v>
      </c>
      <c r="S2644" t="n">
        <v>0.634</v>
      </c>
      <c r="T2644" t="inlineStr">
        <is>
          <t>C:/Users/manuel.felline/Documents/BEHAVIOR BTBR/NOR second cohort/BTBR/test/c7_m1.mp4</t>
        </is>
      </c>
      <c r="U2644" t="n">
        <v>3700</v>
      </c>
      <c r="V2644" t="n">
        <v>3719</v>
      </c>
      <c r="W2644" t="n">
        <v/>
      </c>
      <c r="X2644" t="n">
        <v/>
      </c>
      <c r="Y2644" t="n">
        <v/>
      </c>
      <c r="Z2644" t="n">
        <v/>
      </c>
      <c r="AA2644">
        <f>SUMIFS($S$2:S2644,$A$2:A2644,A2644,$N$2:N2644,"Explore*")</f>
        <v/>
      </c>
      <c r="AB2644">
        <f>IF(AND(LEFT(N2644,7)="Explore",(AA2644-IF(LEFT(N2644,7)="Explore",S2644,0))&lt;10),"SI","NO")</f>
        <v/>
      </c>
    </row>
    <row r="2645">
      <c r="A2645" t="inlineStr">
        <is>
          <t>c7m1_test</t>
        </is>
      </c>
      <c r="B2645" t="inlineStr">
        <is>
          <t>2026-05-06 11:51:10.302</t>
        </is>
      </c>
      <c r="C2645" t="n">
        <v/>
      </c>
      <c r="D2645" t="inlineStr">
        <is>
          <t>Media file</t>
        </is>
      </c>
      <c r="E2645" t="inlineStr">
        <is>
          <t>player #1:C:/Users/manuel.felline/Documents/BEHAVIOR BTBR/NOR second cohort/BTBR/test/c7_m1.mp4</t>
        </is>
      </c>
      <c r="F2645" t="n">
        <v>-6.367</v>
      </c>
      <c r="G2645" t="n">
        <v>575.266</v>
      </c>
      <c r="H2645" t="n">
        <v>711.999</v>
      </c>
      <c r="I2645" t="n">
        <v>30</v>
      </c>
      <c r="J2645" t="inlineStr">
        <is>
          <t>BTBR</t>
        </is>
      </c>
      <c r="K2645" t="inlineStr">
        <is>
          <t>Male</t>
        </is>
      </c>
      <c r="L2645" t="inlineStr">
        <is>
          <t>No focal subject</t>
        </is>
      </c>
      <c r="M2645" t="n">
        <v>66.735</v>
      </c>
      <c r="N2645" t="inlineStr">
        <is>
          <t>Explore_N</t>
        </is>
      </c>
      <c r="O2645" t="inlineStr">
        <is>
          <t>Novelty</t>
        </is>
      </c>
      <c r="P2645" t="inlineStr">
        <is>
          <t>STATE</t>
        </is>
      </c>
      <c r="Q2645" t="n">
        <v>122.366</v>
      </c>
      <c r="R2645" t="n">
        <v>122.666</v>
      </c>
      <c r="S2645" t="n">
        <v>0.3</v>
      </c>
      <c r="T2645" t="inlineStr">
        <is>
          <t>C:/Users/manuel.felline/Documents/BEHAVIOR BTBR/NOR second cohort/BTBR/test/c7_m1.mp4</t>
        </is>
      </c>
      <c r="U2645" t="n">
        <v>3862</v>
      </c>
      <c r="V2645" t="n">
        <v>3871</v>
      </c>
      <c r="W2645" t="n">
        <v/>
      </c>
      <c r="X2645" t="n">
        <v/>
      </c>
      <c r="Y2645" t="n">
        <v/>
      </c>
      <c r="Z2645" t="n">
        <v/>
      </c>
      <c r="AA2645">
        <f>SUMIFS($S$2:S2645,$A$2:A2645,A2645,$N$2:N2645,"Explore*")</f>
        <v/>
      </c>
      <c r="AB2645">
        <f>IF(AND(LEFT(N2645,7)="Explore",(AA2645-IF(LEFT(N2645,7)="Explore",S2645,0))&lt;10),"SI","NO")</f>
        <v/>
      </c>
    </row>
    <row r="2646">
      <c r="A2646" t="inlineStr">
        <is>
          <t>c7m1_test</t>
        </is>
      </c>
      <c r="B2646" t="inlineStr">
        <is>
          <t>2026-05-06 11:51:10.302</t>
        </is>
      </c>
      <c r="C2646" t="n">
        <v/>
      </c>
      <c r="D2646" t="inlineStr">
        <is>
          <t>Media file</t>
        </is>
      </c>
      <c r="E2646" t="inlineStr">
        <is>
          <t>player #1:C:/Users/manuel.felline/Documents/BEHAVIOR BTBR/NOR second cohort/BTBR/test/c7_m1.mp4</t>
        </is>
      </c>
      <c r="F2646" t="n">
        <v>-6.367</v>
      </c>
      <c r="G2646" t="n">
        <v>575.266</v>
      </c>
      <c r="H2646" t="n">
        <v>711.999</v>
      </c>
      <c r="I2646" t="n">
        <v>30</v>
      </c>
      <c r="J2646" t="inlineStr">
        <is>
          <t>BTBR</t>
        </is>
      </c>
      <c r="K2646" t="inlineStr">
        <is>
          <t>Male</t>
        </is>
      </c>
      <c r="L2646" t="inlineStr">
        <is>
          <t>No focal subject</t>
        </is>
      </c>
      <c r="M2646" t="n">
        <v>66.735</v>
      </c>
      <c r="N2646" t="inlineStr">
        <is>
          <t>Explore_F</t>
        </is>
      </c>
      <c r="O2646" t="inlineStr">
        <is>
          <t>Familiar</t>
        </is>
      </c>
      <c r="P2646" t="inlineStr">
        <is>
          <t>STATE</t>
        </is>
      </c>
      <c r="Q2646" t="n">
        <v>130</v>
      </c>
      <c r="R2646" t="n">
        <v>130.466</v>
      </c>
      <c r="S2646" t="n">
        <v>0.466</v>
      </c>
      <c r="T2646" t="inlineStr">
        <is>
          <t>C:/Users/manuel.felline/Documents/BEHAVIOR BTBR/NOR second cohort/BTBR/test/c7_m1.mp4</t>
        </is>
      </c>
      <c r="U2646" t="n">
        <v>4090</v>
      </c>
      <c r="V2646" t="n">
        <v>4104</v>
      </c>
      <c r="W2646" t="n">
        <v/>
      </c>
      <c r="X2646" t="n">
        <v/>
      </c>
      <c r="Y2646" t="n">
        <v/>
      </c>
      <c r="Z2646" t="n">
        <v/>
      </c>
      <c r="AA2646">
        <f>SUMIFS($S$2:S2646,$A$2:A2646,A2646,$N$2:N2646,"Explore*")</f>
        <v/>
      </c>
      <c r="AB2646">
        <f>IF(AND(LEFT(N2646,7)="Explore",(AA2646-IF(LEFT(N2646,7)="Explore",S2646,0))&lt;10),"SI","NO")</f>
        <v/>
      </c>
    </row>
    <row r="2647">
      <c r="A2647" t="inlineStr">
        <is>
          <t>c7m1_test</t>
        </is>
      </c>
      <c r="B2647" t="inlineStr">
        <is>
          <t>2026-05-06 11:51:10.302</t>
        </is>
      </c>
      <c r="C2647" t="n">
        <v/>
      </c>
      <c r="D2647" t="inlineStr">
        <is>
          <t>Media file</t>
        </is>
      </c>
      <c r="E2647" t="inlineStr">
        <is>
          <t>player #1:C:/Users/manuel.felline/Documents/BEHAVIOR BTBR/NOR second cohort/BTBR/test/c7_m1.mp4</t>
        </is>
      </c>
      <c r="F2647" t="n">
        <v>-6.367</v>
      </c>
      <c r="G2647" t="n">
        <v>575.266</v>
      </c>
      <c r="H2647" t="n">
        <v>711.999</v>
      </c>
      <c r="I2647" t="n">
        <v>30</v>
      </c>
      <c r="J2647" t="inlineStr">
        <is>
          <t>BTBR</t>
        </is>
      </c>
      <c r="K2647" t="inlineStr">
        <is>
          <t>Male</t>
        </is>
      </c>
      <c r="L2647" t="inlineStr">
        <is>
          <t>No focal subject</t>
        </is>
      </c>
      <c r="M2647" t="n">
        <v>66.735</v>
      </c>
      <c r="N2647" t="inlineStr">
        <is>
          <t>Explore_N</t>
        </is>
      </c>
      <c r="O2647" t="inlineStr">
        <is>
          <t>Novelty</t>
        </is>
      </c>
      <c r="P2647" t="inlineStr">
        <is>
          <t>STATE</t>
        </is>
      </c>
      <c r="Q2647" t="n">
        <v>143.2</v>
      </c>
      <c r="R2647" t="n">
        <v>144.933</v>
      </c>
      <c r="S2647" t="n">
        <v>1.733</v>
      </c>
      <c r="T2647" t="inlineStr">
        <is>
          <t>C:/Users/manuel.felline/Documents/BEHAVIOR BTBR/NOR second cohort/BTBR/test/c7_m1.mp4</t>
        </is>
      </c>
      <c r="U2647" t="n">
        <v>4486</v>
      </c>
      <c r="V2647" t="n">
        <v>4538</v>
      </c>
      <c r="W2647" t="n">
        <v/>
      </c>
      <c r="X2647" t="n">
        <v/>
      </c>
      <c r="Y2647" t="n">
        <v/>
      </c>
      <c r="Z2647" t="n">
        <v/>
      </c>
      <c r="AA2647">
        <f>SUMIFS($S$2:S2647,$A$2:A2647,A2647,$N$2:N2647,"Explore*")</f>
        <v/>
      </c>
      <c r="AB2647">
        <f>IF(AND(LEFT(N2647,7)="Explore",(AA2647-IF(LEFT(N2647,7)="Explore",S2647,0))&lt;10),"SI","NO")</f>
        <v/>
      </c>
    </row>
    <row r="2648">
      <c r="A2648" t="inlineStr">
        <is>
          <t>c7m1_test</t>
        </is>
      </c>
      <c r="B2648" t="inlineStr">
        <is>
          <t>2026-05-06 11:51:10.302</t>
        </is>
      </c>
      <c r="C2648" t="n">
        <v/>
      </c>
      <c r="D2648" t="inlineStr">
        <is>
          <t>Media file</t>
        </is>
      </c>
      <c r="E2648" t="inlineStr">
        <is>
          <t>player #1:C:/Users/manuel.felline/Documents/BEHAVIOR BTBR/NOR second cohort/BTBR/test/c7_m1.mp4</t>
        </is>
      </c>
      <c r="F2648" t="n">
        <v>-6.367</v>
      </c>
      <c r="G2648" t="n">
        <v>575.266</v>
      </c>
      <c r="H2648" t="n">
        <v>711.999</v>
      </c>
      <c r="I2648" t="n">
        <v>30</v>
      </c>
      <c r="J2648" t="inlineStr">
        <is>
          <t>BTBR</t>
        </is>
      </c>
      <c r="K2648" t="inlineStr">
        <is>
          <t>Male</t>
        </is>
      </c>
      <c r="L2648" t="inlineStr">
        <is>
          <t>No focal subject</t>
        </is>
      </c>
      <c r="M2648" t="n">
        <v>66.735</v>
      </c>
      <c r="N2648" t="inlineStr">
        <is>
          <t>Explore_F</t>
        </is>
      </c>
      <c r="O2648" t="inlineStr">
        <is>
          <t>Familiar</t>
        </is>
      </c>
      <c r="P2648" t="inlineStr">
        <is>
          <t>STATE</t>
        </is>
      </c>
      <c r="Q2648" t="n">
        <v>147.433</v>
      </c>
      <c r="R2648" t="n">
        <v>147.9</v>
      </c>
      <c r="S2648" t="n">
        <v>0.467</v>
      </c>
      <c r="T2648" t="inlineStr">
        <is>
          <t>C:/Users/manuel.felline/Documents/BEHAVIOR BTBR/NOR second cohort/BTBR/test/c7_m1.mp4</t>
        </is>
      </c>
      <c r="U2648" t="n">
        <v>4613</v>
      </c>
      <c r="V2648" t="n">
        <v>4627</v>
      </c>
      <c r="W2648" t="n">
        <v/>
      </c>
      <c r="X2648" t="n">
        <v/>
      </c>
      <c r="Y2648" t="n">
        <v/>
      </c>
      <c r="Z2648" t="n">
        <v/>
      </c>
      <c r="AA2648">
        <f>SUMIFS($S$2:S2648,$A$2:A2648,A2648,$N$2:N2648,"Explore*")</f>
        <v/>
      </c>
      <c r="AB2648">
        <f>IF(AND(LEFT(N2648,7)="Explore",(AA2648-IF(LEFT(N2648,7)="Explore",S2648,0))&lt;10),"SI","NO")</f>
        <v/>
      </c>
    </row>
    <row r="2649">
      <c r="A2649" t="inlineStr">
        <is>
          <t>c7m1_test</t>
        </is>
      </c>
      <c r="B2649" t="inlineStr">
        <is>
          <t>2026-05-06 11:51:10.302</t>
        </is>
      </c>
      <c r="C2649" t="n">
        <v/>
      </c>
      <c r="D2649" t="inlineStr">
        <is>
          <t>Media file</t>
        </is>
      </c>
      <c r="E2649" t="inlineStr">
        <is>
          <t>player #1:C:/Users/manuel.felline/Documents/BEHAVIOR BTBR/NOR second cohort/BTBR/test/c7_m1.mp4</t>
        </is>
      </c>
      <c r="F2649" t="n">
        <v>-6.367</v>
      </c>
      <c r="G2649" t="n">
        <v>575.266</v>
      </c>
      <c r="H2649" t="n">
        <v>711.999</v>
      </c>
      <c r="I2649" t="n">
        <v>30</v>
      </c>
      <c r="J2649" t="inlineStr">
        <is>
          <t>BTBR</t>
        </is>
      </c>
      <c r="K2649" t="inlineStr">
        <is>
          <t>Male</t>
        </is>
      </c>
      <c r="L2649" t="inlineStr">
        <is>
          <t>No focal subject</t>
        </is>
      </c>
      <c r="M2649" t="n">
        <v>66.735</v>
      </c>
      <c r="N2649" t="inlineStr">
        <is>
          <t>Explore_F</t>
        </is>
      </c>
      <c r="O2649" t="inlineStr">
        <is>
          <t>Familiar</t>
        </is>
      </c>
      <c r="P2649" t="inlineStr">
        <is>
          <t>STATE</t>
        </is>
      </c>
      <c r="Q2649" t="n">
        <v>157.233</v>
      </c>
      <c r="R2649" t="n">
        <v>157.666</v>
      </c>
      <c r="S2649" t="n">
        <v>0.433</v>
      </c>
      <c r="T2649" t="inlineStr">
        <is>
          <t>C:/Users/manuel.felline/Documents/BEHAVIOR BTBR/NOR second cohort/BTBR/test/c7_m1.mp4</t>
        </is>
      </c>
      <c r="U2649" t="n">
        <v>4907</v>
      </c>
      <c r="V2649" t="n">
        <v>4920</v>
      </c>
      <c r="W2649" t="n">
        <v/>
      </c>
      <c r="X2649" t="n">
        <v/>
      </c>
      <c r="Y2649" t="n">
        <v/>
      </c>
      <c r="Z2649" t="n">
        <v/>
      </c>
      <c r="AA2649">
        <f>SUMIFS($S$2:S2649,$A$2:A2649,A2649,$N$2:N2649,"Explore*")</f>
        <v/>
      </c>
      <c r="AB2649">
        <f>IF(AND(LEFT(N2649,7)="Explore",(AA2649-IF(LEFT(N2649,7)="Explore",S2649,0))&lt;10),"SI","NO")</f>
        <v/>
      </c>
    </row>
    <row r="2650">
      <c r="A2650" t="inlineStr">
        <is>
          <t>c7m1_test</t>
        </is>
      </c>
      <c r="B2650" t="inlineStr">
        <is>
          <t>2026-05-06 11:51:10.302</t>
        </is>
      </c>
      <c r="C2650" t="n">
        <v/>
      </c>
      <c r="D2650" t="inlineStr">
        <is>
          <t>Media file</t>
        </is>
      </c>
      <c r="E2650" t="inlineStr">
        <is>
          <t>player #1:C:/Users/manuel.felline/Documents/BEHAVIOR BTBR/NOR second cohort/BTBR/test/c7_m1.mp4</t>
        </is>
      </c>
      <c r="F2650" t="n">
        <v>-6.367</v>
      </c>
      <c r="G2650" t="n">
        <v>575.266</v>
      </c>
      <c r="H2650" t="n">
        <v>711.999</v>
      </c>
      <c r="I2650" t="n">
        <v>30</v>
      </c>
      <c r="J2650" t="inlineStr">
        <is>
          <t>BTBR</t>
        </is>
      </c>
      <c r="K2650" t="inlineStr">
        <is>
          <t>Male</t>
        </is>
      </c>
      <c r="L2650" t="inlineStr">
        <is>
          <t>No focal subject</t>
        </is>
      </c>
      <c r="M2650" t="n">
        <v>66.735</v>
      </c>
      <c r="N2650" t="inlineStr">
        <is>
          <t>Explore_F</t>
        </is>
      </c>
      <c r="O2650" t="inlineStr">
        <is>
          <t>Familiar</t>
        </is>
      </c>
      <c r="P2650" t="inlineStr">
        <is>
          <t>STATE</t>
        </is>
      </c>
      <c r="Q2650" t="n">
        <v>163.166</v>
      </c>
      <c r="R2650" t="n">
        <v>164.899</v>
      </c>
      <c r="S2650" t="n">
        <v>1.733</v>
      </c>
      <c r="T2650" t="inlineStr">
        <is>
          <t>C:/Users/manuel.felline/Documents/BEHAVIOR BTBR/NOR second cohort/BTBR/test/c7_m1.mp4</t>
        </is>
      </c>
      <c r="U2650" t="n">
        <v>5085</v>
      </c>
      <c r="V2650" t="n">
        <v>5137</v>
      </c>
      <c r="W2650" t="n">
        <v/>
      </c>
      <c r="X2650" t="n">
        <v/>
      </c>
      <c r="Y2650" t="n">
        <v/>
      </c>
      <c r="Z2650" t="n">
        <v/>
      </c>
      <c r="AA2650">
        <f>SUMIFS($S$2:S2650,$A$2:A2650,A2650,$N$2:N2650,"Explore*")</f>
        <v/>
      </c>
      <c r="AB2650">
        <f>IF(AND(LEFT(N2650,7)="Explore",(AA2650-IF(LEFT(N2650,7)="Explore",S2650,0))&lt;10),"SI","NO")</f>
        <v/>
      </c>
    </row>
    <row r="2651">
      <c r="A2651" t="inlineStr">
        <is>
          <t>c7m1_test</t>
        </is>
      </c>
      <c r="B2651" t="inlineStr">
        <is>
          <t>2026-05-06 11:51:10.302</t>
        </is>
      </c>
      <c r="C2651" t="n">
        <v/>
      </c>
      <c r="D2651" t="inlineStr">
        <is>
          <t>Media file</t>
        </is>
      </c>
      <c r="E2651" t="inlineStr">
        <is>
          <t>player #1:C:/Users/manuel.felline/Documents/BEHAVIOR BTBR/NOR second cohort/BTBR/test/c7_m1.mp4</t>
        </is>
      </c>
      <c r="F2651" t="n">
        <v>-6.367</v>
      </c>
      <c r="G2651" t="n">
        <v>575.266</v>
      </c>
      <c r="H2651" t="n">
        <v>711.999</v>
      </c>
      <c r="I2651" t="n">
        <v>30</v>
      </c>
      <c r="J2651" t="inlineStr">
        <is>
          <t>BTBR</t>
        </is>
      </c>
      <c r="K2651" t="inlineStr">
        <is>
          <t>Male</t>
        </is>
      </c>
      <c r="L2651" t="inlineStr">
        <is>
          <t>No focal subject</t>
        </is>
      </c>
      <c r="M2651" t="n">
        <v>66.735</v>
      </c>
      <c r="N2651" t="inlineStr">
        <is>
          <t>Explore_N</t>
        </is>
      </c>
      <c r="O2651" t="inlineStr">
        <is>
          <t>Novelty</t>
        </is>
      </c>
      <c r="P2651" t="inlineStr">
        <is>
          <t>STATE</t>
        </is>
      </c>
      <c r="Q2651" t="n">
        <v>168.033</v>
      </c>
      <c r="R2651" t="n">
        <v>170.366</v>
      </c>
      <c r="S2651" t="n">
        <v>2.333</v>
      </c>
      <c r="T2651" t="inlineStr">
        <is>
          <t>C:/Users/manuel.felline/Documents/BEHAVIOR BTBR/NOR second cohort/BTBR/test/c7_m1.mp4</t>
        </is>
      </c>
      <c r="U2651" t="n">
        <v>5231</v>
      </c>
      <c r="V2651" t="n">
        <v>5301</v>
      </c>
      <c r="W2651" t="n">
        <v/>
      </c>
      <c r="X2651" t="n">
        <v/>
      </c>
      <c r="Y2651" t="n">
        <v/>
      </c>
      <c r="Z2651" t="n">
        <v/>
      </c>
      <c r="AA2651">
        <f>SUMIFS($S$2:S2651,$A$2:A2651,A2651,$N$2:N2651,"Explore*")</f>
        <v/>
      </c>
      <c r="AB2651">
        <f>IF(AND(LEFT(N2651,7)="Explore",(AA2651-IF(LEFT(N2651,7)="Explore",S2651,0))&lt;10),"SI","NO")</f>
        <v/>
      </c>
    </row>
    <row r="2652">
      <c r="A2652" t="inlineStr">
        <is>
          <t>c7m1_test</t>
        </is>
      </c>
      <c r="B2652" t="inlineStr">
        <is>
          <t>2026-05-06 11:51:10.302</t>
        </is>
      </c>
      <c r="C2652" t="n">
        <v/>
      </c>
      <c r="D2652" t="inlineStr">
        <is>
          <t>Media file</t>
        </is>
      </c>
      <c r="E2652" t="inlineStr">
        <is>
          <t>player #1:C:/Users/manuel.felline/Documents/BEHAVIOR BTBR/NOR second cohort/BTBR/test/c7_m1.mp4</t>
        </is>
      </c>
      <c r="F2652" t="n">
        <v>-6.367</v>
      </c>
      <c r="G2652" t="n">
        <v>575.266</v>
      </c>
      <c r="H2652" t="n">
        <v>711.999</v>
      </c>
      <c r="I2652" t="n">
        <v>30</v>
      </c>
      <c r="J2652" t="inlineStr">
        <is>
          <t>BTBR</t>
        </is>
      </c>
      <c r="K2652" t="inlineStr">
        <is>
          <t>Male</t>
        </is>
      </c>
      <c r="L2652" t="inlineStr">
        <is>
          <t>No focal subject</t>
        </is>
      </c>
      <c r="M2652" t="n">
        <v>66.735</v>
      </c>
      <c r="N2652" t="inlineStr">
        <is>
          <t>Explore_F</t>
        </is>
      </c>
      <c r="O2652" t="inlineStr">
        <is>
          <t>Familiar</t>
        </is>
      </c>
      <c r="P2652" t="inlineStr">
        <is>
          <t>STATE</t>
        </is>
      </c>
      <c r="Q2652" t="n">
        <v>172.066</v>
      </c>
      <c r="R2652" t="n">
        <v>172.733</v>
      </c>
      <c r="S2652" t="n">
        <v>0.667</v>
      </c>
      <c r="T2652" t="inlineStr">
        <is>
          <t>C:/Users/manuel.felline/Documents/BEHAVIOR BTBR/NOR second cohort/BTBR/test/c7_m1.mp4</t>
        </is>
      </c>
      <c r="U2652" t="n">
        <v>5352</v>
      </c>
      <c r="V2652" t="n">
        <v>5372</v>
      </c>
      <c r="W2652" t="n">
        <v/>
      </c>
      <c r="X2652" t="n">
        <v/>
      </c>
      <c r="Y2652" t="n">
        <v/>
      </c>
      <c r="Z2652" t="n">
        <v/>
      </c>
      <c r="AA2652">
        <f>SUMIFS($S$2:S2652,$A$2:A2652,A2652,$N$2:N2652,"Explore*")</f>
        <v/>
      </c>
      <c r="AB2652">
        <f>IF(AND(LEFT(N2652,7)="Explore",(AA2652-IF(LEFT(N2652,7)="Explore",S2652,0))&lt;10),"SI","NO")</f>
        <v/>
      </c>
    </row>
    <row r="2653">
      <c r="A2653" t="inlineStr">
        <is>
          <t>c7m1_test</t>
        </is>
      </c>
      <c r="B2653" t="inlineStr">
        <is>
          <t>2026-05-06 11:51:10.302</t>
        </is>
      </c>
      <c r="C2653" t="n">
        <v/>
      </c>
      <c r="D2653" t="inlineStr">
        <is>
          <t>Media file</t>
        </is>
      </c>
      <c r="E2653" t="inlineStr">
        <is>
          <t>player #1:C:/Users/manuel.felline/Documents/BEHAVIOR BTBR/NOR second cohort/BTBR/test/c7_m1.mp4</t>
        </is>
      </c>
      <c r="F2653" t="n">
        <v>-6.367</v>
      </c>
      <c r="G2653" t="n">
        <v>575.266</v>
      </c>
      <c r="H2653" t="n">
        <v>711.999</v>
      </c>
      <c r="I2653" t="n">
        <v>30</v>
      </c>
      <c r="J2653" t="inlineStr">
        <is>
          <t>BTBR</t>
        </is>
      </c>
      <c r="K2653" t="inlineStr">
        <is>
          <t>Male</t>
        </is>
      </c>
      <c r="L2653" t="inlineStr">
        <is>
          <t>No focal subject</t>
        </is>
      </c>
      <c r="M2653" t="n">
        <v>66.735</v>
      </c>
      <c r="N2653" t="inlineStr">
        <is>
          <t>Explore_N</t>
        </is>
      </c>
      <c r="O2653" t="inlineStr">
        <is>
          <t>Novelty</t>
        </is>
      </c>
      <c r="P2653" t="inlineStr">
        <is>
          <t>STATE</t>
        </is>
      </c>
      <c r="Q2653" t="n">
        <v>174.299</v>
      </c>
      <c r="R2653" t="n">
        <v>175.099</v>
      </c>
      <c r="S2653" t="n">
        <v>0.8</v>
      </c>
      <c r="T2653" t="inlineStr">
        <is>
          <t>C:/Users/manuel.felline/Documents/BEHAVIOR BTBR/NOR second cohort/BTBR/test/c7_m1.mp4</t>
        </is>
      </c>
      <c r="U2653" t="n">
        <v>5419</v>
      </c>
      <c r="V2653" t="n">
        <v>5443</v>
      </c>
      <c r="W2653" t="n">
        <v/>
      </c>
      <c r="X2653" t="n">
        <v/>
      </c>
      <c r="Y2653" t="n">
        <v/>
      </c>
      <c r="Z2653" t="n">
        <v/>
      </c>
      <c r="AA2653">
        <f>SUMIFS($S$2:S2653,$A$2:A2653,A2653,$N$2:N2653,"Explore*")</f>
        <v/>
      </c>
      <c r="AB2653">
        <f>IF(AND(LEFT(N2653,7)="Explore",(AA2653-IF(LEFT(N2653,7)="Explore",S2653,0))&lt;10),"SI","NO")</f>
        <v/>
      </c>
    </row>
    <row r="2654">
      <c r="A2654" t="inlineStr">
        <is>
          <t>c7m1_test</t>
        </is>
      </c>
      <c r="B2654" t="inlineStr">
        <is>
          <t>2026-05-06 11:51:10.302</t>
        </is>
      </c>
      <c r="C2654" t="n">
        <v/>
      </c>
      <c r="D2654" t="inlineStr">
        <is>
          <t>Media file</t>
        </is>
      </c>
      <c r="E2654" t="inlineStr">
        <is>
          <t>player #1:C:/Users/manuel.felline/Documents/BEHAVIOR BTBR/NOR second cohort/BTBR/test/c7_m1.mp4</t>
        </is>
      </c>
      <c r="F2654" t="n">
        <v>-6.367</v>
      </c>
      <c r="G2654" t="n">
        <v>575.266</v>
      </c>
      <c r="H2654" t="n">
        <v>711.999</v>
      </c>
      <c r="I2654" t="n">
        <v>30</v>
      </c>
      <c r="J2654" t="inlineStr">
        <is>
          <t>BTBR</t>
        </is>
      </c>
      <c r="K2654" t="inlineStr">
        <is>
          <t>Male</t>
        </is>
      </c>
      <c r="L2654" t="inlineStr">
        <is>
          <t>No focal subject</t>
        </is>
      </c>
      <c r="M2654" t="n">
        <v>66.735</v>
      </c>
      <c r="N2654" t="inlineStr">
        <is>
          <t>Explore_F</t>
        </is>
      </c>
      <c r="O2654" t="inlineStr">
        <is>
          <t>Familiar</t>
        </is>
      </c>
      <c r="P2654" t="inlineStr">
        <is>
          <t>STATE</t>
        </is>
      </c>
      <c r="Q2654" t="n">
        <v>176.133</v>
      </c>
      <c r="R2654" t="n">
        <v>176.633</v>
      </c>
      <c r="S2654" t="n">
        <v>0.5</v>
      </c>
      <c r="T2654" t="inlineStr">
        <is>
          <t>C:/Users/manuel.felline/Documents/BEHAVIOR BTBR/NOR second cohort/BTBR/test/c7_m1.mp4</t>
        </is>
      </c>
      <c r="U2654" t="n">
        <v>5474</v>
      </c>
      <c r="V2654" t="n">
        <v>5489</v>
      </c>
      <c r="W2654" t="n">
        <v/>
      </c>
      <c r="X2654" t="n">
        <v/>
      </c>
      <c r="Y2654" t="n">
        <v/>
      </c>
      <c r="Z2654" t="n">
        <v/>
      </c>
      <c r="AA2654">
        <f>SUMIFS($S$2:S2654,$A$2:A2654,A2654,$N$2:N2654,"Explore*")</f>
        <v/>
      </c>
      <c r="AB2654">
        <f>IF(AND(LEFT(N2654,7)="Explore",(AA2654-IF(LEFT(N2654,7)="Explore",S2654,0))&lt;10),"SI","NO")</f>
        <v/>
      </c>
    </row>
    <row r="2655">
      <c r="A2655" t="inlineStr">
        <is>
          <t>c7m1_test</t>
        </is>
      </c>
      <c r="B2655" t="inlineStr">
        <is>
          <t>2026-05-06 11:51:10.302</t>
        </is>
      </c>
      <c r="C2655" t="n">
        <v/>
      </c>
      <c r="D2655" t="inlineStr">
        <is>
          <t>Media file</t>
        </is>
      </c>
      <c r="E2655" t="inlineStr">
        <is>
          <t>player #1:C:/Users/manuel.felline/Documents/BEHAVIOR BTBR/NOR second cohort/BTBR/test/c7_m1.mp4</t>
        </is>
      </c>
      <c r="F2655" t="n">
        <v>-6.367</v>
      </c>
      <c r="G2655" t="n">
        <v>575.266</v>
      </c>
      <c r="H2655" t="n">
        <v>711.999</v>
      </c>
      <c r="I2655" t="n">
        <v>30</v>
      </c>
      <c r="J2655" t="inlineStr">
        <is>
          <t>BTBR</t>
        </is>
      </c>
      <c r="K2655" t="inlineStr">
        <is>
          <t>Male</t>
        </is>
      </c>
      <c r="L2655" t="inlineStr">
        <is>
          <t>No focal subject</t>
        </is>
      </c>
      <c r="M2655" t="n">
        <v>66.735</v>
      </c>
      <c r="N2655" t="inlineStr">
        <is>
          <t>Explore_N</t>
        </is>
      </c>
      <c r="O2655" t="inlineStr">
        <is>
          <t>Novelty</t>
        </is>
      </c>
      <c r="P2655" t="inlineStr">
        <is>
          <t>STATE</t>
        </is>
      </c>
      <c r="Q2655" t="n">
        <v>182.399</v>
      </c>
      <c r="R2655" t="n">
        <v>182.966</v>
      </c>
      <c r="S2655" t="n">
        <v>0.5669999999999999</v>
      </c>
      <c r="T2655" t="inlineStr">
        <is>
          <t>C:/Users/manuel.felline/Documents/BEHAVIOR BTBR/NOR second cohort/BTBR/test/c7_m1.mp4</t>
        </is>
      </c>
      <c r="U2655" t="n">
        <v>5662</v>
      </c>
      <c r="V2655" t="n">
        <v>5679</v>
      </c>
      <c r="W2655" t="n">
        <v/>
      </c>
      <c r="X2655" t="n">
        <v/>
      </c>
      <c r="Y2655" t="n">
        <v/>
      </c>
      <c r="Z2655" t="n">
        <v/>
      </c>
      <c r="AA2655">
        <f>SUMIFS($S$2:S2655,$A$2:A2655,A2655,$N$2:N2655,"Explore*")</f>
        <v/>
      </c>
      <c r="AB2655">
        <f>IF(AND(LEFT(N2655,7)="Explore",(AA2655-IF(LEFT(N2655,7)="Explore",S2655,0))&lt;10),"SI","NO")</f>
        <v/>
      </c>
    </row>
    <row r="2656">
      <c r="A2656" t="inlineStr">
        <is>
          <t>c7m1_test</t>
        </is>
      </c>
      <c r="B2656" t="inlineStr">
        <is>
          <t>2026-05-06 11:51:10.302</t>
        </is>
      </c>
      <c r="C2656" t="n">
        <v/>
      </c>
      <c r="D2656" t="inlineStr">
        <is>
          <t>Media file</t>
        </is>
      </c>
      <c r="E2656" t="inlineStr">
        <is>
          <t>player #1:C:/Users/manuel.felline/Documents/BEHAVIOR BTBR/NOR second cohort/BTBR/test/c7_m1.mp4</t>
        </is>
      </c>
      <c r="F2656" t="n">
        <v>-6.367</v>
      </c>
      <c r="G2656" t="n">
        <v>575.266</v>
      </c>
      <c r="H2656" t="n">
        <v>711.999</v>
      </c>
      <c r="I2656" t="n">
        <v>30</v>
      </c>
      <c r="J2656" t="inlineStr">
        <is>
          <t>BTBR</t>
        </is>
      </c>
      <c r="K2656" t="inlineStr">
        <is>
          <t>Male</t>
        </is>
      </c>
      <c r="L2656" t="inlineStr">
        <is>
          <t>No focal subject</t>
        </is>
      </c>
      <c r="M2656" t="n">
        <v>66.735</v>
      </c>
      <c r="N2656" t="inlineStr">
        <is>
          <t>Explore_N</t>
        </is>
      </c>
      <c r="O2656" t="inlineStr">
        <is>
          <t>Novelty</t>
        </is>
      </c>
      <c r="P2656" t="inlineStr">
        <is>
          <t>STATE</t>
        </is>
      </c>
      <c r="Q2656" t="n">
        <v>189.566</v>
      </c>
      <c r="R2656" t="n">
        <v>189.899</v>
      </c>
      <c r="S2656" t="n">
        <v>0.333</v>
      </c>
      <c r="T2656" t="inlineStr">
        <is>
          <t>C:/Users/manuel.felline/Documents/BEHAVIOR BTBR/NOR second cohort/BTBR/test/c7_m1.mp4</t>
        </is>
      </c>
      <c r="U2656" t="n">
        <v>5877</v>
      </c>
      <c r="V2656" t="n">
        <v>5887</v>
      </c>
      <c r="W2656" t="n">
        <v/>
      </c>
      <c r="X2656" t="n">
        <v/>
      </c>
      <c r="Y2656" t="n">
        <v/>
      </c>
      <c r="Z2656" t="n">
        <v/>
      </c>
      <c r="AA2656">
        <f>SUMIFS($S$2:S2656,$A$2:A2656,A2656,$N$2:N2656,"Explore*")</f>
        <v/>
      </c>
      <c r="AB2656">
        <f>IF(AND(LEFT(N2656,7)="Explore",(AA2656-IF(LEFT(N2656,7)="Explore",S2656,0))&lt;10),"SI","NO")</f>
        <v/>
      </c>
    </row>
    <row r="2657">
      <c r="A2657" t="inlineStr">
        <is>
          <t>c7m1_test</t>
        </is>
      </c>
      <c r="B2657" t="inlineStr">
        <is>
          <t>2026-05-06 11:51:10.302</t>
        </is>
      </c>
      <c r="C2657" t="n">
        <v/>
      </c>
      <c r="D2657" t="inlineStr">
        <is>
          <t>Media file</t>
        </is>
      </c>
      <c r="E2657" t="inlineStr">
        <is>
          <t>player #1:C:/Users/manuel.felline/Documents/BEHAVIOR BTBR/NOR second cohort/BTBR/test/c7_m1.mp4</t>
        </is>
      </c>
      <c r="F2657" t="n">
        <v>-6.367</v>
      </c>
      <c r="G2657" t="n">
        <v>575.266</v>
      </c>
      <c r="H2657" t="n">
        <v>711.999</v>
      </c>
      <c r="I2657" t="n">
        <v>30</v>
      </c>
      <c r="J2657" t="inlineStr">
        <is>
          <t>BTBR</t>
        </is>
      </c>
      <c r="K2657" t="inlineStr">
        <is>
          <t>Male</t>
        </is>
      </c>
      <c r="L2657" t="inlineStr">
        <is>
          <t>No focal subject</t>
        </is>
      </c>
      <c r="M2657" t="n">
        <v>66.735</v>
      </c>
      <c r="N2657" t="inlineStr">
        <is>
          <t>Explore_N</t>
        </is>
      </c>
      <c r="O2657" t="inlineStr">
        <is>
          <t>Novelty</t>
        </is>
      </c>
      <c r="P2657" t="inlineStr">
        <is>
          <t>STATE</t>
        </is>
      </c>
      <c r="Q2657" t="n">
        <v>191.566</v>
      </c>
      <c r="R2657" t="n">
        <v>192.366</v>
      </c>
      <c r="S2657" t="n">
        <v>0.8</v>
      </c>
      <c r="T2657" t="inlineStr">
        <is>
          <t>C:/Users/manuel.felline/Documents/BEHAVIOR BTBR/NOR second cohort/BTBR/test/c7_m1.mp4</t>
        </is>
      </c>
      <c r="U2657" t="n">
        <v>5937</v>
      </c>
      <c r="V2657" t="n">
        <v>5962</v>
      </c>
      <c r="W2657" t="n">
        <v/>
      </c>
      <c r="X2657" t="n">
        <v/>
      </c>
      <c r="Y2657" t="n">
        <v/>
      </c>
      <c r="Z2657" t="n">
        <v/>
      </c>
      <c r="AA2657">
        <f>SUMIFS($S$2:S2657,$A$2:A2657,A2657,$N$2:N2657,"Explore*")</f>
        <v/>
      </c>
      <c r="AB2657">
        <f>IF(AND(LEFT(N2657,7)="Explore",(AA2657-IF(LEFT(N2657,7)="Explore",S2657,0))&lt;10),"SI","NO")</f>
        <v/>
      </c>
    </row>
    <row r="2658">
      <c r="A2658" t="inlineStr">
        <is>
          <t>c7m1_test</t>
        </is>
      </c>
      <c r="B2658" t="inlineStr">
        <is>
          <t>2026-05-06 11:51:10.302</t>
        </is>
      </c>
      <c r="C2658" t="n">
        <v/>
      </c>
      <c r="D2658" t="inlineStr">
        <is>
          <t>Media file</t>
        </is>
      </c>
      <c r="E2658" t="inlineStr">
        <is>
          <t>player #1:C:/Users/manuel.felline/Documents/BEHAVIOR BTBR/NOR second cohort/BTBR/test/c7_m1.mp4</t>
        </is>
      </c>
      <c r="F2658" t="n">
        <v>-6.367</v>
      </c>
      <c r="G2658" t="n">
        <v>575.266</v>
      </c>
      <c r="H2658" t="n">
        <v>711.999</v>
      </c>
      <c r="I2658" t="n">
        <v>30</v>
      </c>
      <c r="J2658" t="inlineStr">
        <is>
          <t>BTBR</t>
        </is>
      </c>
      <c r="K2658" t="inlineStr">
        <is>
          <t>Male</t>
        </is>
      </c>
      <c r="L2658" t="inlineStr">
        <is>
          <t>No focal subject</t>
        </is>
      </c>
      <c r="M2658" t="n">
        <v>66.735</v>
      </c>
      <c r="N2658" t="inlineStr">
        <is>
          <t>Explore_N</t>
        </is>
      </c>
      <c r="O2658" t="inlineStr">
        <is>
          <t>Novelty</t>
        </is>
      </c>
      <c r="P2658" t="inlineStr">
        <is>
          <t>STATE</t>
        </is>
      </c>
      <c r="Q2658" t="n">
        <v>193.233</v>
      </c>
      <c r="R2658" t="n">
        <v>194.466</v>
      </c>
      <c r="S2658" t="n">
        <v>1.233</v>
      </c>
      <c r="T2658" t="inlineStr">
        <is>
          <t>C:/Users/manuel.felline/Documents/BEHAVIOR BTBR/NOR second cohort/BTBR/test/c7_m1.mp4</t>
        </is>
      </c>
      <c r="U2658" t="n">
        <v>5987</v>
      </c>
      <c r="V2658" t="n">
        <v>6024</v>
      </c>
      <c r="W2658" t="n">
        <v/>
      </c>
      <c r="X2658" t="n">
        <v/>
      </c>
      <c r="Y2658" t="n">
        <v/>
      </c>
      <c r="Z2658" t="n">
        <v/>
      </c>
      <c r="AA2658">
        <f>SUMIFS($S$2:S2658,$A$2:A2658,A2658,$N$2:N2658,"Explore*")</f>
        <v/>
      </c>
      <c r="AB2658">
        <f>IF(AND(LEFT(N2658,7)="Explore",(AA2658-IF(LEFT(N2658,7)="Explore",S2658,0))&lt;10),"SI","NO")</f>
        <v/>
      </c>
    </row>
    <row r="2659">
      <c r="A2659" t="inlineStr">
        <is>
          <t>c7m1_test</t>
        </is>
      </c>
      <c r="B2659" t="inlineStr">
        <is>
          <t>2026-05-06 11:51:10.302</t>
        </is>
      </c>
      <c r="C2659" t="n">
        <v/>
      </c>
      <c r="D2659" t="inlineStr">
        <is>
          <t>Media file</t>
        </is>
      </c>
      <c r="E2659" t="inlineStr">
        <is>
          <t>player #1:C:/Users/manuel.felline/Documents/BEHAVIOR BTBR/NOR second cohort/BTBR/test/c7_m1.mp4</t>
        </is>
      </c>
      <c r="F2659" t="n">
        <v>-6.367</v>
      </c>
      <c r="G2659" t="n">
        <v>575.266</v>
      </c>
      <c r="H2659" t="n">
        <v>711.999</v>
      </c>
      <c r="I2659" t="n">
        <v>30</v>
      </c>
      <c r="J2659" t="inlineStr">
        <is>
          <t>BTBR</t>
        </is>
      </c>
      <c r="K2659" t="inlineStr">
        <is>
          <t>Male</t>
        </is>
      </c>
      <c r="L2659" t="inlineStr">
        <is>
          <t>No focal subject</t>
        </is>
      </c>
      <c r="M2659" t="n">
        <v>66.735</v>
      </c>
      <c r="N2659" t="inlineStr">
        <is>
          <t>Explore_N</t>
        </is>
      </c>
      <c r="O2659" t="inlineStr">
        <is>
          <t>Novelty</t>
        </is>
      </c>
      <c r="P2659" t="inlineStr">
        <is>
          <t>STATE</t>
        </is>
      </c>
      <c r="Q2659" t="n">
        <v>198.199</v>
      </c>
      <c r="R2659" t="n">
        <v>199.699</v>
      </c>
      <c r="S2659" t="n">
        <v>1.5</v>
      </c>
      <c r="T2659" t="inlineStr">
        <is>
          <t>C:/Users/manuel.felline/Documents/BEHAVIOR BTBR/NOR second cohort/BTBR/test/c7_m1.mp4</t>
        </is>
      </c>
      <c r="U2659" t="n">
        <v>6136</v>
      </c>
      <c r="V2659" t="n">
        <v>6181</v>
      </c>
      <c r="W2659" t="n">
        <v/>
      </c>
      <c r="X2659" t="n">
        <v/>
      </c>
      <c r="Y2659" t="n">
        <v/>
      </c>
      <c r="Z2659" t="n">
        <v/>
      </c>
      <c r="AA2659">
        <f>SUMIFS($S$2:S2659,$A$2:A2659,A2659,$N$2:N2659,"Explore*")</f>
        <v/>
      </c>
      <c r="AB2659">
        <f>IF(AND(LEFT(N2659,7)="Explore",(AA2659-IF(LEFT(N2659,7)="Explore",S2659,0))&lt;10),"SI","NO")</f>
        <v/>
      </c>
    </row>
    <row r="2660">
      <c r="A2660" t="inlineStr">
        <is>
          <t>c7m1_test</t>
        </is>
      </c>
      <c r="B2660" t="inlineStr">
        <is>
          <t>2026-05-06 11:51:10.302</t>
        </is>
      </c>
      <c r="C2660" t="n">
        <v/>
      </c>
      <c r="D2660" t="inlineStr">
        <is>
          <t>Media file</t>
        </is>
      </c>
      <c r="E2660" t="inlineStr">
        <is>
          <t>player #1:C:/Users/manuel.felline/Documents/BEHAVIOR BTBR/NOR second cohort/BTBR/test/c7_m1.mp4</t>
        </is>
      </c>
      <c r="F2660" t="n">
        <v>-6.367</v>
      </c>
      <c r="G2660" t="n">
        <v>575.266</v>
      </c>
      <c r="H2660" t="n">
        <v>711.999</v>
      </c>
      <c r="I2660" t="n">
        <v>30</v>
      </c>
      <c r="J2660" t="inlineStr">
        <is>
          <t>BTBR</t>
        </is>
      </c>
      <c r="K2660" t="inlineStr">
        <is>
          <t>Male</t>
        </is>
      </c>
      <c r="L2660" t="inlineStr">
        <is>
          <t>No focal subject</t>
        </is>
      </c>
      <c r="M2660" t="n">
        <v>66.735</v>
      </c>
      <c r="N2660" t="inlineStr">
        <is>
          <t>Explore_F</t>
        </is>
      </c>
      <c r="O2660" t="inlineStr">
        <is>
          <t>Familiar</t>
        </is>
      </c>
      <c r="P2660" t="inlineStr">
        <is>
          <t>STATE</t>
        </is>
      </c>
      <c r="Q2660" t="n">
        <v>201.699</v>
      </c>
      <c r="R2660" t="n">
        <v>202.066</v>
      </c>
      <c r="S2660" t="n">
        <v>0.367</v>
      </c>
      <c r="T2660" t="inlineStr">
        <is>
          <t>C:/Users/manuel.felline/Documents/BEHAVIOR BTBR/NOR second cohort/BTBR/test/c7_m1.mp4</t>
        </is>
      </c>
      <c r="U2660" t="n">
        <v>6241</v>
      </c>
      <c r="V2660" t="n">
        <v>6252</v>
      </c>
      <c r="W2660" t="n">
        <v/>
      </c>
      <c r="X2660" t="n">
        <v/>
      </c>
      <c r="Y2660" t="n">
        <v/>
      </c>
      <c r="Z2660" t="n">
        <v/>
      </c>
      <c r="AA2660">
        <f>SUMIFS($S$2:S2660,$A$2:A2660,A2660,$N$2:N2660,"Explore*")</f>
        <v/>
      </c>
      <c r="AB2660">
        <f>IF(AND(LEFT(N2660,7)="Explore",(AA2660-IF(LEFT(N2660,7)="Explore",S2660,0))&lt;10),"SI","NO")</f>
        <v/>
      </c>
    </row>
    <row r="2661">
      <c r="A2661" t="inlineStr">
        <is>
          <t>c7m1_test</t>
        </is>
      </c>
      <c r="B2661" t="inlineStr">
        <is>
          <t>2026-05-06 11:51:10.302</t>
        </is>
      </c>
      <c r="C2661" t="n">
        <v/>
      </c>
      <c r="D2661" t="inlineStr">
        <is>
          <t>Media file</t>
        </is>
      </c>
      <c r="E2661" t="inlineStr">
        <is>
          <t>player #1:C:/Users/manuel.felline/Documents/BEHAVIOR BTBR/NOR second cohort/BTBR/test/c7_m1.mp4</t>
        </is>
      </c>
      <c r="F2661" t="n">
        <v>-6.367</v>
      </c>
      <c r="G2661" t="n">
        <v>575.266</v>
      </c>
      <c r="H2661" t="n">
        <v>711.999</v>
      </c>
      <c r="I2661" t="n">
        <v>30</v>
      </c>
      <c r="J2661" t="inlineStr">
        <is>
          <t>BTBR</t>
        </is>
      </c>
      <c r="K2661" t="inlineStr">
        <is>
          <t>Male</t>
        </is>
      </c>
      <c r="L2661" t="inlineStr">
        <is>
          <t>No focal subject</t>
        </is>
      </c>
      <c r="M2661" t="n">
        <v>66.735</v>
      </c>
      <c r="N2661" t="inlineStr">
        <is>
          <t>Explore_N</t>
        </is>
      </c>
      <c r="O2661" t="inlineStr">
        <is>
          <t>Novelty</t>
        </is>
      </c>
      <c r="P2661" t="inlineStr">
        <is>
          <t>STATE</t>
        </is>
      </c>
      <c r="Q2661" t="n">
        <v>208.199</v>
      </c>
      <c r="R2661" t="n">
        <v>209.266</v>
      </c>
      <c r="S2661" t="n">
        <v>1.067</v>
      </c>
      <c r="T2661" t="inlineStr">
        <is>
          <t>C:/Users/manuel.felline/Documents/BEHAVIOR BTBR/NOR second cohort/BTBR/test/c7_m1.mp4</t>
        </is>
      </c>
      <c r="U2661" t="n">
        <v>6436</v>
      </c>
      <c r="V2661" t="n">
        <v>6468</v>
      </c>
      <c r="W2661" t="n">
        <v/>
      </c>
      <c r="X2661" t="n">
        <v/>
      </c>
      <c r="Y2661" t="n">
        <v/>
      </c>
      <c r="Z2661" t="n">
        <v/>
      </c>
      <c r="AA2661">
        <f>SUMIFS($S$2:S2661,$A$2:A2661,A2661,$N$2:N2661,"Explore*")</f>
        <v/>
      </c>
      <c r="AB2661">
        <f>IF(AND(LEFT(N2661,7)="Explore",(AA2661-IF(LEFT(N2661,7)="Explore",S2661,0))&lt;10),"SI","NO")</f>
        <v/>
      </c>
    </row>
    <row r="2662">
      <c r="A2662" t="inlineStr">
        <is>
          <t>c7m1_test</t>
        </is>
      </c>
      <c r="B2662" t="inlineStr">
        <is>
          <t>2026-05-06 11:51:10.302</t>
        </is>
      </c>
      <c r="C2662" t="n">
        <v/>
      </c>
      <c r="D2662" t="inlineStr">
        <is>
          <t>Media file</t>
        </is>
      </c>
      <c r="E2662" t="inlineStr">
        <is>
          <t>player #1:C:/Users/manuel.felline/Documents/BEHAVIOR BTBR/NOR second cohort/BTBR/test/c7_m1.mp4</t>
        </is>
      </c>
      <c r="F2662" t="n">
        <v>-6.367</v>
      </c>
      <c r="G2662" t="n">
        <v>575.266</v>
      </c>
      <c r="H2662" t="n">
        <v>711.999</v>
      </c>
      <c r="I2662" t="n">
        <v>30</v>
      </c>
      <c r="J2662" t="inlineStr">
        <is>
          <t>BTBR</t>
        </is>
      </c>
      <c r="K2662" t="inlineStr">
        <is>
          <t>Male</t>
        </is>
      </c>
      <c r="L2662" t="inlineStr">
        <is>
          <t>No focal subject</t>
        </is>
      </c>
      <c r="M2662" t="n">
        <v>66.735</v>
      </c>
      <c r="N2662" t="inlineStr">
        <is>
          <t>Explore_F</t>
        </is>
      </c>
      <c r="O2662" t="inlineStr">
        <is>
          <t>Familiar</t>
        </is>
      </c>
      <c r="P2662" t="inlineStr">
        <is>
          <t>STATE</t>
        </is>
      </c>
      <c r="Q2662" t="n">
        <v>222.866</v>
      </c>
      <c r="R2662" t="n">
        <v>223.333</v>
      </c>
      <c r="S2662" t="n">
        <v>0.467</v>
      </c>
      <c r="T2662" t="inlineStr">
        <is>
          <t>C:/Users/manuel.felline/Documents/BEHAVIOR BTBR/NOR second cohort/BTBR/test/c7_m1.mp4</t>
        </is>
      </c>
      <c r="U2662" t="n">
        <v>6876</v>
      </c>
      <c r="V2662" t="n">
        <v>6890</v>
      </c>
      <c r="W2662" t="n">
        <v/>
      </c>
      <c r="X2662" t="n">
        <v/>
      </c>
      <c r="Y2662" t="n">
        <v/>
      </c>
      <c r="Z2662" t="n">
        <v/>
      </c>
      <c r="AA2662">
        <f>SUMIFS($S$2:S2662,$A$2:A2662,A2662,$N$2:N2662,"Explore*")</f>
        <v/>
      </c>
      <c r="AB2662">
        <f>IF(AND(LEFT(N2662,7)="Explore",(AA2662-IF(LEFT(N2662,7)="Explore",S2662,0))&lt;10),"SI","NO")</f>
        <v/>
      </c>
    </row>
    <row r="2663">
      <c r="A2663" t="inlineStr">
        <is>
          <t>c7m1_test</t>
        </is>
      </c>
      <c r="B2663" t="inlineStr">
        <is>
          <t>2026-05-06 11:51:10.302</t>
        </is>
      </c>
      <c r="C2663" t="n">
        <v/>
      </c>
      <c r="D2663" t="inlineStr">
        <is>
          <t>Media file</t>
        </is>
      </c>
      <c r="E2663" t="inlineStr">
        <is>
          <t>player #1:C:/Users/manuel.felline/Documents/BEHAVIOR BTBR/NOR second cohort/BTBR/test/c7_m1.mp4</t>
        </is>
      </c>
      <c r="F2663" t="n">
        <v>-6.367</v>
      </c>
      <c r="G2663" t="n">
        <v>575.266</v>
      </c>
      <c r="H2663" t="n">
        <v>711.999</v>
      </c>
      <c r="I2663" t="n">
        <v>30</v>
      </c>
      <c r="J2663" t="inlineStr">
        <is>
          <t>BTBR</t>
        </is>
      </c>
      <c r="K2663" t="inlineStr">
        <is>
          <t>Male</t>
        </is>
      </c>
      <c r="L2663" t="inlineStr">
        <is>
          <t>No focal subject</t>
        </is>
      </c>
      <c r="M2663" t="n">
        <v>66.735</v>
      </c>
      <c r="N2663" t="inlineStr">
        <is>
          <t>Explore_N</t>
        </is>
      </c>
      <c r="O2663" t="inlineStr">
        <is>
          <t>Novelty</t>
        </is>
      </c>
      <c r="P2663" t="inlineStr">
        <is>
          <t>STATE</t>
        </is>
      </c>
      <c r="Q2663" t="n">
        <v>233.633</v>
      </c>
      <c r="R2663" t="n">
        <v>234.166</v>
      </c>
      <c r="S2663" t="n">
        <v>0.533</v>
      </c>
      <c r="T2663" t="inlineStr">
        <is>
          <t>C:/Users/manuel.felline/Documents/BEHAVIOR BTBR/NOR second cohort/BTBR/test/c7_m1.mp4</t>
        </is>
      </c>
      <c r="U2663" t="n">
        <v>7199</v>
      </c>
      <c r="V2663" t="n">
        <v>7215</v>
      </c>
      <c r="W2663" t="n">
        <v/>
      </c>
      <c r="X2663" t="n">
        <v/>
      </c>
      <c r="Y2663" t="n">
        <v/>
      </c>
      <c r="Z2663" t="n">
        <v/>
      </c>
      <c r="AA2663">
        <f>SUMIFS($S$2:S2663,$A$2:A2663,A2663,$N$2:N2663,"Explore*")</f>
        <v/>
      </c>
      <c r="AB2663">
        <f>IF(AND(LEFT(N2663,7)="Explore",(AA2663-IF(LEFT(N2663,7)="Explore",S2663,0))&lt;10),"SI","NO")</f>
        <v/>
      </c>
    </row>
    <row r="2664">
      <c r="A2664" t="inlineStr">
        <is>
          <t>c7m1_test</t>
        </is>
      </c>
      <c r="B2664" t="inlineStr">
        <is>
          <t>2026-05-06 11:51:10.302</t>
        </is>
      </c>
      <c r="C2664" t="n">
        <v/>
      </c>
      <c r="D2664" t="inlineStr">
        <is>
          <t>Media file</t>
        </is>
      </c>
      <c r="E2664" t="inlineStr">
        <is>
          <t>player #1:C:/Users/manuel.felline/Documents/BEHAVIOR BTBR/NOR second cohort/BTBR/test/c7_m1.mp4</t>
        </is>
      </c>
      <c r="F2664" t="n">
        <v>-6.367</v>
      </c>
      <c r="G2664" t="n">
        <v>575.266</v>
      </c>
      <c r="H2664" t="n">
        <v>711.999</v>
      </c>
      <c r="I2664" t="n">
        <v>30</v>
      </c>
      <c r="J2664" t="inlineStr">
        <is>
          <t>BTBR</t>
        </is>
      </c>
      <c r="K2664" t="inlineStr">
        <is>
          <t>Male</t>
        </is>
      </c>
      <c r="L2664" t="inlineStr">
        <is>
          <t>No focal subject</t>
        </is>
      </c>
      <c r="M2664" t="n">
        <v>66.735</v>
      </c>
      <c r="N2664" t="inlineStr">
        <is>
          <t>Explore_F</t>
        </is>
      </c>
      <c r="O2664" t="inlineStr">
        <is>
          <t>Familiar</t>
        </is>
      </c>
      <c r="P2664" t="inlineStr">
        <is>
          <t>STATE</t>
        </is>
      </c>
      <c r="Q2664" t="n">
        <v>241.199</v>
      </c>
      <c r="R2664" t="n">
        <v>241.533</v>
      </c>
      <c r="S2664" t="n">
        <v>0.334</v>
      </c>
      <c r="T2664" t="inlineStr">
        <is>
          <t>C:/Users/manuel.felline/Documents/BEHAVIOR BTBR/NOR second cohort/BTBR/test/c7_m1.mp4</t>
        </is>
      </c>
      <c r="U2664" t="n">
        <v>7426</v>
      </c>
      <c r="V2664" t="n">
        <v>7436</v>
      </c>
      <c r="W2664" t="n">
        <v/>
      </c>
      <c r="X2664" t="n">
        <v/>
      </c>
      <c r="Y2664" t="n">
        <v/>
      </c>
      <c r="Z2664" t="n">
        <v/>
      </c>
      <c r="AA2664">
        <f>SUMIFS($S$2:S2664,$A$2:A2664,A2664,$N$2:N2664,"Explore*")</f>
        <v/>
      </c>
      <c r="AB2664">
        <f>IF(AND(LEFT(N2664,7)="Explore",(AA2664-IF(LEFT(N2664,7)="Explore",S2664,0))&lt;10),"SI","NO")</f>
        <v/>
      </c>
    </row>
    <row r="2665">
      <c r="A2665" t="inlineStr">
        <is>
          <t>c7m1_test</t>
        </is>
      </c>
      <c r="B2665" t="inlineStr">
        <is>
          <t>2026-05-06 11:51:10.302</t>
        </is>
      </c>
      <c r="C2665" t="n">
        <v/>
      </c>
      <c r="D2665" t="inlineStr">
        <is>
          <t>Media file</t>
        </is>
      </c>
      <c r="E2665" t="inlineStr">
        <is>
          <t>player #1:C:/Users/manuel.felline/Documents/BEHAVIOR BTBR/NOR second cohort/BTBR/test/c7_m1.mp4</t>
        </is>
      </c>
      <c r="F2665" t="n">
        <v>-6.367</v>
      </c>
      <c r="G2665" t="n">
        <v>575.266</v>
      </c>
      <c r="H2665" t="n">
        <v>711.999</v>
      </c>
      <c r="I2665" t="n">
        <v>30</v>
      </c>
      <c r="J2665" t="inlineStr">
        <is>
          <t>BTBR</t>
        </is>
      </c>
      <c r="K2665" t="inlineStr">
        <is>
          <t>Male</t>
        </is>
      </c>
      <c r="L2665" t="inlineStr">
        <is>
          <t>No focal subject</t>
        </is>
      </c>
      <c r="M2665" t="n">
        <v>66.735</v>
      </c>
      <c r="N2665" t="inlineStr">
        <is>
          <t>Explore_F</t>
        </is>
      </c>
      <c r="O2665" t="inlineStr">
        <is>
          <t>Familiar</t>
        </is>
      </c>
      <c r="P2665" t="inlineStr">
        <is>
          <t>STATE</t>
        </is>
      </c>
      <c r="Q2665" t="n">
        <v>257.166</v>
      </c>
      <c r="R2665" t="n">
        <v>257.533</v>
      </c>
      <c r="S2665" t="n">
        <v>0.367</v>
      </c>
      <c r="T2665" t="inlineStr">
        <is>
          <t>C:/Users/manuel.felline/Documents/BEHAVIOR BTBR/NOR second cohort/BTBR/test/c7_m1.mp4</t>
        </is>
      </c>
      <c r="U2665" t="n">
        <v>7905</v>
      </c>
      <c r="V2665" t="n">
        <v>7916</v>
      </c>
      <c r="W2665" t="n">
        <v/>
      </c>
      <c r="X2665" t="n">
        <v/>
      </c>
      <c r="Y2665" t="n">
        <v/>
      </c>
      <c r="Z2665" t="n">
        <v/>
      </c>
      <c r="AA2665">
        <f>SUMIFS($S$2:S2665,$A$2:A2665,A2665,$N$2:N2665,"Explore*")</f>
        <v/>
      </c>
      <c r="AB2665">
        <f>IF(AND(LEFT(N2665,7)="Explore",(AA2665-IF(LEFT(N2665,7)="Explore",S2665,0))&lt;10),"SI","NO")</f>
        <v/>
      </c>
    </row>
    <row r="2666">
      <c r="A2666" t="inlineStr">
        <is>
          <t>c7m1_test</t>
        </is>
      </c>
      <c r="B2666" t="inlineStr">
        <is>
          <t>2026-05-06 11:51:10.302</t>
        </is>
      </c>
      <c r="C2666" t="n">
        <v/>
      </c>
      <c r="D2666" t="inlineStr">
        <is>
          <t>Media file</t>
        </is>
      </c>
      <c r="E2666" t="inlineStr">
        <is>
          <t>player #1:C:/Users/manuel.felline/Documents/BEHAVIOR BTBR/NOR second cohort/BTBR/test/c7_m1.mp4</t>
        </is>
      </c>
      <c r="F2666" t="n">
        <v>-6.367</v>
      </c>
      <c r="G2666" t="n">
        <v>575.266</v>
      </c>
      <c r="H2666" t="n">
        <v>711.999</v>
      </c>
      <c r="I2666" t="n">
        <v>30</v>
      </c>
      <c r="J2666" t="inlineStr">
        <is>
          <t>BTBR</t>
        </is>
      </c>
      <c r="K2666" t="inlineStr">
        <is>
          <t>Male</t>
        </is>
      </c>
      <c r="L2666" t="inlineStr">
        <is>
          <t>No focal subject</t>
        </is>
      </c>
      <c r="M2666" t="n">
        <v>66.735</v>
      </c>
      <c r="N2666" t="inlineStr">
        <is>
          <t>Explore_N</t>
        </is>
      </c>
      <c r="O2666" t="inlineStr">
        <is>
          <t>Novelty</t>
        </is>
      </c>
      <c r="P2666" t="inlineStr">
        <is>
          <t>STATE</t>
        </is>
      </c>
      <c r="Q2666" t="n">
        <v>292.599</v>
      </c>
      <c r="R2666" t="n">
        <v>293.199</v>
      </c>
      <c r="S2666" t="n">
        <v>0.6</v>
      </c>
      <c r="T2666" t="inlineStr">
        <is>
          <t>C:/Users/manuel.felline/Documents/BEHAVIOR BTBR/NOR second cohort/BTBR/test/c7_m1.mp4</t>
        </is>
      </c>
      <c r="U2666" t="n">
        <v>8968</v>
      </c>
      <c r="V2666" t="n">
        <v>8986</v>
      </c>
      <c r="W2666" t="n">
        <v/>
      </c>
      <c r="X2666" t="n">
        <v/>
      </c>
      <c r="Y2666" t="n">
        <v/>
      </c>
      <c r="Z2666" t="n">
        <v/>
      </c>
      <c r="AA2666">
        <f>SUMIFS($S$2:S2666,$A$2:A2666,A2666,$N$2:N2666,"Explore*")</f>
        <v/>
      </c>
      <c r="AB2666">
        <f>IF(AND(LEFT(N2666,7)="Explore",(AA2666-IF(LEFT(N2666,7)="Explore",S2666,0))&lt;10),"SI","NO")</f>
        <v/>
      </c>
    </row>
    <row r="2667">
      <c r="A2667" t="inlineStr">
        <is>
          <t>c7m1_test</t>
        </is>
      </c>
      <c r="B2667" t="inlineStr">
        <is>
          <t>2026-05-06 11:51:10.302</t>
        </is>
      </c>
      <c r="C2667" t="n">
        <v/>
      </c>
      <c r="D2667" t="inlineStr">
        <is>
          <t>Media file</t>
        </is>
      </c>
      <c r="E2667" t="inlineStr">
        <is>
          <t>player #1:C:/Users/manuel.felline/Documents/BEHAVIOR BTBR/NOR second cohort/BTBR/test/c7_m1.mp4</t>
        </is>
      </c>
      <c r="F2667" t="n">
        <v>-6.367</v>
      </c>
      <c r="G2667" t="n">
        <v>575.266</v>
      </c>
      <c r="H2667" t="n">
        <v>711.999</v>
      </c>
      <c r="I2667" t="n">
        <v>30</v>
      </c>
      <c r="J2667" t="inlineStr">
        <is>
          <t>BTBR</t>
        </is>
      </c>
      <c r="K2667" t="inlineStr">
        <is>
          <t>Male</t>
        </is>
      </c>
      <c r="L2667" t="inlineStr">
        <is>
          <t>No focal subject</t>
        </is>
      </c>
      <c r="M2667" t="n">
        <v>66.735</v>
      </c>
      <c r="N2667" t="inlineStr">
        <is>
          <t>Explore_N</t>
        </is>
      </c>
      <c r="O2667" t="inlineStr">
        <is>
          <t>Novelty</t>
        </is>
      </c>
      <c r="P2667" t="inlineStr">
        <is>
          <t>STATE</t>
        </is>
      </c>
      <c r="Q2667" t="n">
        <v>294.233</v>
      </c>
      <c r="R2667" t="n">
        <v>294.566</v>
      </c>
      <c r="S2667" t="n">
        <v>0.333</v>
      </c>
      <c r="T2667" t="inlineStr">
        <is>
          <t>C:/Users/manuel.felline/Documents/BEHAVIOR BTBR/NOR second cohort/BTBR/test/c7_m1.mp4</t>
        </is>
      </c>
      <c r="U2667" t="n">
        <v>9017</v>
      </c>
      <c r="V2667" t="n">
        <v>9027</v>
      </c>
      <c r="W2667" t="n">
        <v/>
      </c>
      <c r="X2667" t="n">
        <v/>
      </c>
      <c r="Y2667" t="n">
        <v/>
      </c>
      <c r="Z2667" t="n">
        <v/>
      </c>
      <c r="AA2667">
        <f>SUMIFS($S$2:S2667,$A$2:A2667,A2667,$N$2:N2667,"Explore*")</f>
        <v/>
      </c>
      <c r="AB2667">
        <f>IF(AND(LEFT(N2667,7)="Explore",(AA2667-IF(LEFT(N2667,7)="Explore",S2667,0))&lt;10),"SI","NO")</f>
        <v/>
      </c>
    </row>
    <row r="2668">
      <c r="A2668" t="inlineStr">
        <is>
          <t>c7m1_test</t>
        </is>
      </c>
      <c r="B2668" t="inlineStr">
        <is>
          <t>2026-05-06 11:51:10.302</t>
        </is>
      </c>
      <c r="C2668" t="n">
        <v/>
      </c>
      <c r="D2668" t="inlineStr">
        <is>
          <t>Media file</t>
        </is>
      </c>
      <c r="E2668" t="inlineStr">
        <is>
          <t>player #1:C:/Users/manuel.felline/Documents/BEHAVIOR BTBR/NOR second cohort/BTBR/test/c7_m1.mp4</t>
        </is>
      </c>
      <c r="F2668" t="n">
        <v>-6.367</v>
      </c>
      <c r="G2668" t="n">
        <v>575.266</v>
      </c>
      <c r="H2668" t="n">
        <v>711.999</v>
      </c>
      <c r="I2668" t="n">
        <v>30</v>
      </c>
      <c r="J2668" t="inlineStr">
        <is>
          <t>BTBR</t>
        </is>
      </c>
      <c r="K2668" t="inlineStr">
        <is>
          <t>Male</t>
        </is>
      </c>
      <c r="L2668" t="inlineStr">
        <is>
          <t>No focal subject</t>
        </is>
      </c>
      <c r="M2668" t="n">
        <v>66.735</v>
      </c>
      <c r="N2668" t="inlineStr">
        <is>
          <t>Explore_F</t>
        </is>
      </c>
      <c r="O2668" t="inlineStr">
        <is>
          <t>Familiar</t>
        </is>
      </c>
      <c r="P2668" t="inlineStr">
        <is>
          <t>STATE</t>
        </is>
      </c>
      <c r="Q2668" t="n">
        <v>297.099</v>
      </c>
      <c r="R2668" t="n">
        <v>297.699</v>
      </c>
      <c r="S2668" t="n">
        <v>0.6</v>
      </c>
      <c r="T2668" t="inlineStr">
        <is>
          <t>C:/Users/manuel.felline/Documents/BEHAVIOR BTBR/NOR second cohort/BTBR/test/c7_m1.mp4</t>
        </is>
      </c>
      <c r="U2668" t="n">
        <v>9103</v>
      </c>
      <c r="V2668" t="n">
        <v>9121</v>
      </c>
      <c r="W2668" t="n">
        <v/>
      </c>
      <c r="X2668" t="n">
        <v/>
      </c>
      <c r="Y2668" t="n">
        <v/>
      </c>
      <c r="Z2668" t="n">
        <v/>
      </c>
      <c r="AA2668">
        <f>SUMIFS($S$2:S2668,$A$2:A2668,A2668,$N$2:N2668,"Explore*")</f>
        <v/>
      </c>
      <c r="AB2668">
        <f>IF(AND(LEFT(N2668,7)="Explore",(AA2668-IF(LEFT(N2668,7)="Explore",S2668,0))&lt;10),"SI","NO")</f>
        <v/>
      </c>
    </row>
    <row r="2669">
      <c r="A2669" t="inlineStr">
        <is>
          <t>c7m1_test</t>
        </is>
      </c>
      <c r="B2669" t="inlineStr">
        <is>
          <t>2026-05-06 11:51:10.302</t>
        </is>
      </c>
      <c r="C2669" t="n">
        <v/>
      </c>
      <c r="D2669" t="inlineStr">
        <is>
          <t>Media file</t>
        </is>
      </c>
      <c r="E2669" t="inlineStr">
        <is>
          <t>player #1:C:/Users/manuel.felline/Documents/BEHAVIOR BTBR/NOR second cohort/BTBR/test/c7_m1.mp4</t>
        </is>
      </c>
      <c r="F2669" t="n">
        <v>-6.367</v>
      </c>
      <c r="G2669" t="n">
        <v>575.266</v>
      </c>
      <c r="H2669" t="n">
        <v>711.999</v>
      </c>
      <c r="I2669" t="n">
        <v>30</v>
      </c>
      <c r="J2669" t="inlineStr">
        <is>
          <t>BTBR</t>
        </is>
      </c>
      <c r="K2669" t="inlineStr">
        <is>
          <t>Male</t>
        </is>
      </c>
      <c r="L2669" t="inlineStr">
        <is>
          <t>No focal subject</t>
        </is>
      </c>
      <c r="M2669" t="n">
        <v>66.735</v>
      </c>
      <c r="N2669" t="inlineStr">
        <is>
          <t>Explore_N</t>
        </is>
      </c>
      <c r="O2669" t="inlineStr">
        <is>
          <t>Novelty</t>
        </is>
      </c>
      <c r="P2669" t="inlineStr">
        <is>
          <t>STATE</t>
        </is>
      </c>
      <c r="Q2669" t="n">
        <v>311.133</v>
      </c>
      <c r="R2669" t="n">
        <v>311.733</v>
      </c>
      <c r="S2669" t="n">
        <v>0.6</v>
      </c>
      <c r="T2669" t="inlineStr">
        <is>
          <t>C:/Users/manuel.felline/Documents/BEHAVIOR BTBR/NOR second cohort/BTBR/test/c7_m1.mp4</t>
        </is>
      </c>
      <c r="U2669" t="n">
        <v>9524</v>
      </c>
      <c r="V2669" t="n">
        <v>9542</v>
      </c>
      <c r="W2669" t="n">
        <v/>
      </c>
      <c r="X2669" t="n">
        <v/>
      </c>
      <c r="Y2669" t="n">
        <v/>
      </c>
      <c r="Z2669" t="n">
        <v/>
      </c>
      <c r="AA2669">
        <f>SUMIFS($S$2:S2669,$A$2:A2669,A2669,$N$2:N2669,"Explore*")</f>
        <v/>
      </c>
      <c r="AB2669">
        <f>IF(AND(LEFT(N2669,7)="Explore",(AA2669-IF(LEFT(N2669,7)="Explore",S2669,0))&lt;10),"SI","NO")</f>
        <v/>
      </c>
    </row>
    <row r="2670">
      <c r="A2670" t="inlineStr">
        <is>
          <t>c7m1_test</t>
        </is>
      </c>
      <c r="B2670" t="inlineStr">
        <is>
          <t>2026-05-06 11:51:10.302</t>
        </is>
      </c>
      <c r="C2670" t="n">
        <v/>
      </c>
      <c r="D2670" t="inlineStr">
        <is>
          <t>Media file</t>
        </is>
      </c>
      <c r="E2670" t="inlineStr">
        <is>
          <t>player #1:C:/Users/manuel.felline/Documents/BEHAVIOR BTBR/NOR second cohort/BTBR/test/c7_m1.mp4</t>
        </is>
      </c>
      <c r="F2670" t="n">
        <v>-6.367</v>
      </c>
      <c r="G2670" t="n">
        <v>575.266</v>
      </c>
      <c r="H2670" t="n">
        <v>711.999</v>
      </c>
      <c r="I2670" t="n">
        <v>30</v>
      </c>
      <c r="J2670" t="inlineStr">
        <is>
          <t>BTBR</t>
        </is>
      </c>
      <c r="K2670" t="inlineStr">
        <is>
          <t>Male</t>
        </is>
      </c>
      <c r="L2670" t="inlineStr">
        <is>
          <t>No focal subject</t>
        </is>
      </c>
      <c r="M2670" t="n">
        <v>66.735</v>
      </c>
      <c r="N2670" t="inlineStr">
        <is>
          <t>Explore_F</t>
        </is>
      </c>
      <c r="O2670" t="inlineStr">
        <is>
          <t>Familiar</t>
        </is>
      </c>
      <c r="P2670" t="inlineStr">
        <is>
          <t>STATE</t>
        </is>
      </c>
      <c r="Q2670" t="n">
        <v>349.099</v>
      </c>
      <c r="R2670" t="n">
        <v>349.733</v>
      </c>
      <c r="S2670" t="n">
        <v>0.634</v>
      </c>
      <c r="T2670" t="inlineStr">
        <is>
          <t>C:/Users/manuel.felline/Documents/BEHAVIOR BTBR/NOR second cohort/BTBR/test/c7_m1.mp4</t>
        </is>
      </c>
      <c r="U2670" t="n">
        <v>10663</v>
      </c>
      <c r="V2670" t="n">
        <v>10682</v>
      </c>
      <c r="W2670" t="n">
        <v/>
      </c>
      <c r="X2670" t="n">
        <v/>
      </c>
      <c r="Y2670" t="n">
        <v/>
      </c>
      <c r="Z2670" t="n">
        <v/>
      </c>
      <c r="AA2670">
        <f>SUMIFS($S$2:S2670,$A$2:A2670,A2670,$N$2:N2670,"Explore*")</f>
        <v/>
      </c>
      <c r="AB2670">
        <f>IF(AND(LEFT(N2670,7)="Explore",(AA2670-IF(LEFT(N2670,7)="Explore",S2670,0))&lt;10),"SI","NO")</f>
        <v/>
      </c>
    </row>
    <row r="2671">
      <c r="A2671" t="inlineStr">
        <is>
          <t>c7m1_test</t>
        </is>
      </c>
      <c r="B2671" t="inlineStr">
        <is>
          <t>2026-05-06 11:51:10.302</t>
        </is>
      </c>
      <c r="C2671" t="n">
        <v/>
      </c>
      <c r="D2671" t="inlineStr">
        <is>
          <t>Media file</t>
        </is>
      </c>
      <c r="E2671" t="inlineStr">
        <is>
          <t>player #1:C:/Users/manuel.felline/Documents/BEHAVIOR BTBR/NOR second cohort/BTBR/test/c7_m1.mp4</t>
        </is>
      </c>
      <c r="F2671" t="n">
        <v>-6.367</v>
      </c>
      <c r="G2671" t="n">
        <v>575.266</v>
      </c>
      <c r="H2671" t="n">
        <v>711.999</v>
      </c>
      <c r="I2671" t="n">
        <v>30</v>
      </c>
      <c r="J2671" t="inlineStr">
        <is>
          <t>BTBR</t>
        </is>
      </c>
      <c r="K2671" t="inlineStr">
        <is>
          <t>Male</t>
        </is>
      </c>
      <c r="L2671" t="inlineStr">
        <is>
          <t>No focal subject</t>
        </is>
      </c>
      <c r="M2671" t="n">
        <v>66.735</v>
      </c>
      <c r="N2671" t="inlineStr">
        <is>
          <t>Explore_N</t>
        </is>
      </c>
      <c r="O2671" t="inlineStr">
        <is>
          <t>Novelty</t>
        </is>
      </c>
      <c r="P2671" t="inlineStr">
        <is>
          <t>STATE</t>
        </is>
      </c>
      <c r="Q2671" t="n">
        <v>351.433</v>
      </c>
      <c r="R2671" t="n">
        <v>352.633</v>
      </c>
      <c r="S2671" t="n">
        <v>1.2</v>
      </c>
      <c r="T2671" t="inlineStr">
        <is>
          <t>C:/Users/manuel.felline/Documents/BEHAVIOR BTBR/NOR second cohort/BTBR/test/c7_m1.mp4</t>
        </is>
      </c>
      <c r="U2671" t="n">
        <v>10733</v>
      </c>
      <c r="V2671" t="n">
        <v>10769</v>
      </c>
      <c r="W2671" t="n">
        <v/>
      </c>
      <c r="X2671" t="n">
        <v/>
      </c>
      <c r="Y2671" t="n">
        <v/>
      </c>
      <c r="Z2671" t="n">
        <v/>
      </c>
      <c r="AA2671">
        <f>SUMIFS($S$2:S2671,$A$2:A2671,A2671,$N$2:N2671,"Explore*")</f>
        <v/>
      </c>
      <c r="AB2671">
        <f>IF(AND(LEFT(N2671,7)="Explore",(AA2671-IF(LEFT(N2671,7)="Explore",S2671,0))&lt;10),"SI","NO")</f>
        <v/>
      </c>
    </row>
    <row r="2672">
      <c r="A2672" t="inlineStr">
        <is>
          <t>c7m1_test</t>
        </is>
      </c>
      <c r="B2672" t="inlineStr">
        <is>
          <t>2026-05-06 11:51:10.302</t>
        </is>
      </c>
      <c r="C2672" t="n">
        <v/>
      </c>
      <c r="D2672" t="inlineStr">
        <is>
          <t>Media file</t>
        </is>
      </c>
      <c r="E2672" t="inlineStr">
        <is>
          <t>player #1:C:/Users/manuel.felline/Documents/BEHAVIOR BTBR/NOR second cohort/BTBR/test/c7_m1.mp4</t>
        </is>
      </c>
      <c r="F2672" t="n">
        <v>-6.367</v>
      </c>
      <c r="G2672" t="n">
        <v>575.266</v>
      </c>
      <c r="H2672" t="n">
        <v>711.999</v>
      </c>
      <c r="I2672" t="n">
        <v>30</v>
      </c>
      <c r="J2672" t="inlineStr">
        <is>
          <t>BTBR</t>
        </is>
      </c>
      <c r="K2672" t="inlineStr">
        <is>
          <t>Male</t>
        </is>
      </c>
      <c r="L2672" t="inlineStr">
        <is>
          <t>No focal subject</t>
        </is>
      </c>
      <c r="M2672" t="n">
        <v>66.735</v>
      </c>
      <c r="N2672" t="inlineStr">
        <is>
          <t>Explore_N</t>
        </is>
      </c>
      <c r="O2672" t="inlineStr">
        <is>
          <t>Novelty</t>
        </is>
      </c>
      <c r="P2672" t="inlineStr">
        <is>
          <t>STATE</t>
        </is>
      </c>
      <c r="Q2672" t="n">
        <v>353.899</v>
      </c>
      <c r="R2672" t="n">
        <v>356.133</v>
      </c>
      <c r="S2672" t="n">
        <v>2.234</v>
      </c>
      <c r="T2672" t="inlineStr">
        <is>
          <t>C:/Users/manuel.felline/Documents/BEHAVIOR BTBR/NOR second cohort/BTBR/test/c7_m1.mp4</t>
        </is>
      </c>
      <c r="U2672" t="n">
        <v>10807</v>
      </c>
      <c r="V2672" t="n">
        <v>10874</v>
      </c>
      <c r="W2672" t="n">
        <v/>
      </c>
      <c r="X2672" t="n">
        <v/>
      </c>
      <c r="Y2672" t="n">
        <v/>
      </c>
      <c r="Z2672" t="n">
        <v/>
      </c>
      <c r="AA2672">
        <f>SUMIFS($S$2:S2672,$A$2:A2672,A2672,$N$2:N2672,"Explore*")</f>
        <v/>
      </c>
      <c r="AB2672">
        <f>IF(AND(LEFT(N2672,7)="Explore",(AA2672-IF(LEFT(N2672,7)="Explore",S2672,0))&lt;10),"SI","NO")</f>
        <v/>
      </c>
    </row>
    <row r="2673">
      <c r="A2673" t="inlineStr">
        <is>
          <t>c7m1_test</t>
        </is>
      </c>
      <c r="B2673" t="inlineStr">
        <is>
          <t>2026-05-06 11:51:10.302</t>
        </is>
      </c>
      <c r="C2673" t="n">
        <v/>
      </c>
      <c r="D2673" t="inlineStr">
        <is>
          <t>Media file</t>
        </is>
      </c>
      <c r="E2673" t="inlineStr">
        <is>
          <t>player #1:C:/Users/manuel.felline/Documents/BEHAVIOR BTBR/NOR second cohort/BTBR/test/c7_m1.mp4</t>
        </is>
      </c>
      <c r="F2673" t="n">
        <v>-6.367</v>
      </c>
      <c r="G2673" t="n">
        <v>575.266</v>
      </c>
      <c r="H2673" t="n">
        <v>711.999</v>
      </c>
      <c r="I2673" t="n">
        <v>30</v>
      </c>
      <c r="J2673" t="inlineStr">
        <is>
          <t>BTBR</t>
        </is>
      </c>
      <c r="K2673" t="inlineStr">
        <is>
          <t>Male</t>
        </is>
      </c>
      <c r="L2673" t="inlineStr">
        <is>
          <t>No focal subject</t>
        </is>
      </c>
      <c r="M2673" t="n">
        <v>66.735</v>
      </c>
      <c r="N2673" t="inlineStr">
        <is>
          <t>Explore_N</t>
        </is>
      </c>
      <c r="O2673" t="inlineStr">
        <is>
          <t>Novelty</t>
        </is>
      </c>
      <c r="P2673" t="inlineStr">
        <is>
          <t>STATE</t>
        </is>
      </c>
      <c r="Q2673" t="n">
        <v>357.533</v>
      </c>
      <c r="R2673" t="n">
        <v>358.433</v>
      </c>
      <c r="S2673" t="n">
        <v>0.9</v>
      </c>
      <c r="T2673" t="inlineStr">
        <is>
          <t>C:/Users/manuel.felline/Documents/BEHAVIOR BTBR/NOR second cohort/BTBR/test/c7_m1.mp4</t>
        </is>
      </c>
      <c r="U2673" t="n">
        <v>10916</v>
      </c>
      <c r="V2673" t="n">
        <v>10943</v>
      </c>
      <c r="W2673" t="n">
        <v/>
      </c>
      <c r="X2673" t="n">
        <v/>
      </c>
      <c r="Y2673" t="n">
        <v/>
      </c>
      <c r="Z2673" t="n">
        <v/>
      </c>
      <c r="AA2673">
        <f>SUMIFS($S$2:S2673,$A$2:A2673,A2673,$N$2:N2673,"Explore*")</f>
        <v/>
      </c>
      <c r="AB2673">
        <f>IF(AND(LEFT(N2673,7)="Explore",(AA2673-IF(LEFT(N2673,7)="Explore",S2673,0))&lt;10),"SI","NO")</f>
        <v/>
      </c>
    </row>
    <row r="2674">
      <c r="A2674" t="inlineStr">
        <is>
          <t>c7m1_test</t>
        </is>
      </c>
      <c r="B2674" t="inlineStr">
        <is>
          <t>2026-05-06 11:51:10.302</t>
        </is>
      </c>
      <c r="C2674" t="n">
        <v/>
      </c>
      <c r="D2674" t="inlineStr">
        <is>
          <t>Media file</t>
        </is>
      </c>
      <c r="E2674" t="inlineStr">
        <is>
          <t>player #1:C:/Users/manuel.felline/Documents/BEHAVIOR BTBR/NOR second cohort/BTBR/test/c7_m1.mp4</t>
        </is>
      </c>
      <c r="F2674" t="n">
        <v>-6.367</v>
      </c>
      <c r="G2674" t="n">
        <v>575.266</v>
      </c>
      <c r="H2674" t="n">
        <v>711.999</v>
      </c>
      <c r="I2674" t="n">
        <v>30</v>
      </c>
      <c r="J2674" t="inlineStr">
        <is>
          <t>BTBR</t>
        </is>
      </c>
      <c r="K2674" t="inlineStr">
        <is>
          <t>Male</t>
        </is>
      </c>
      <c r="L2674" t="inlineStr">
        <is>
          <t>No focal subject</t>
        </is>
      </c>
      <c r="M2674" t="n">
        <v>66.735</v>
      </c>
      <c r="N2674" t="inlineStr">
        <is>
          <t>Explore_N</t>
        </is>
      </c>
      <c r="O2674" t="inlineStr">
        <is>
          <t>Novelty</t>
        </is>
      </c>
      <c r="P2674" t="inlineStr">
        <is>
          <t>STATE</t>
        </is>
      </c>
      <c r="Q2674" t="n">
        <v>359.699</v>
      </c>
      <c r="R2674" t="n">
        <v>362.766</v>
      </c>
      <c r="S2674" t="n">
        <v>3.067</v>
      </c>
      <c r="T2674" t="inlineStr">
        <is>
          <t>C:/Users/manuel.felline/Documents/BEHAVIOR BTBR/NOR second cohort/BTBR/test/c7_m1.mp4</t>
        </is>
      </c>
      <c r="U2674" t="n">
        <v>10981</v>
      </c>
      <c r="V2674" t="n">
        <v>11073</v>
      </c>
      <c r="W2674" t="n">
        <v/>
      </c>
      <c r="X2674" t="n">
        <v/>
      </c>
      <c r="Y2674" t="n">
        <v/>
      </c>
      <c r="Z2674" t="n">
        <v/>
      </c>
      <c r="AA2674">
        <f>SUMIFS($S$2:S2674,$A$2:A2674,A2674,$N$2:N2674,"Explore*")</f>
        <v/>
      </c>
      <c r="AB2674">
        <f>IF(AND(LEFT(N2674,7)="Explore",(AA2674-IF(LEFT(N2674,7)="Explore",S2674,0))&lt;10),"SI","NO")</f>
        <v/>
      </c>
    </row>
    <row r="2675">
      <c r="A2675" t="inlineStr">
        <is>
          <t>c7m1_test</t>
        </is>
      </c>
      <c r="B2675" t="inlineStr">
        <is>
          <t>2026-05-06 11:51:10.302</t>
        </is>
      </c>
      <c r="C2675" t="n">
        <v/>
      </c>
      <c r="D2675" t="inlineStr">
        <is>
          <t>Media file</t>
        </is>
      </c>
      <c r="E2675" t="inlineStr">
        <is>
          <t>player #1:C:/Users/manuel.felline/Documents/BEHAVIOR BTBR/NOR second cohort/BTBR/test/c7_m1.mp4</t>
        </is>
      </c>
      <c r="F2675" t="n">
        <v>-6.367</v>
      </c>
      <c r="G2675" t="n">
        <v>575.266</v>
      </c>
      <c r="H2675" t="n">
        <v>711.999</v>
      </c>
      <c r="I2675" t="n">
        <v>30</v>
      </c>
      <c r="J2675" t="inlineStr">
        <is>
          <t>BTBR</t>
        </is>
      </c>
      <c r="K2675" t="inlineStr">
        <is>
          <t>Male</t>
        </is>
      </c>
      <c r="L2675" t="inlineStr">
        <is>
          <t>No focal subject</t>
        </is>
      </c>
      <c r="M2675" t="n">
        <v>66.735</v>
      </c>
      <c r="N2675" t="inlineStr">
        <is>
          <t>Explore_N</t>
        </is>
      </c>
      <c r="O2675" t="inlineStr">
        <is>
          <t>Novelty</t>
        </is>
      </c>
      <c r="P2675" t="inlineStr">
        <is>
          <t>STATE</t>
        </is>
      </c>
      <c r="Q2675" t="n">
        <v>363.399</v>
      </c>
      <c r="R2675" t="n">
        <v>367.533</v>
      </c>
      <c r="S2675" t="n">
        <v>4.134</v>
      </c>
      <c r="T2675" t="inlineStr">
        <is>
          <t>C:/Users/manuel.felline/Documents/BEHAVIOR BTBR/NOR second cohort/BTBR/test/c7_m1.mp4</t>
        </is>
      </c>
      <c r="U2675" t="n">
        <v>11092</v>
      </c>
      <c r="V2675" t="n">
        <v>11216</v>
      </c>
      <c r="W2675" t="n">
        <v/>
      </c>
      <c r="X2675" t="n">
        <v/>
      </c>
      <c r="Y2675" t="n">
        <v/>
      </c>
      <c r="Z2675" t="n">
        <v/>
      </c>
      <c r="AA2675">
        <f>SUMIFS($S$2:S2675,$A$2:A2675,A2675,$N$2:N2675,"Explore*")</f>
        <v/>
      </c>
      <c r="AB2675">
        <f>IF(AND(LEFT(N2675,7)="Explore",(AA2675-IF(LEFT(N2675,7)="Explore",S2675,0))&lt;10),"SI","NO")</f>
        <v/>
      </c>
    </row>
    <row r="2676">
      <c r="A2676" t="inlineStr">
        <is>
          <t>c7m1_test</t>
        </is>
      </c>
      <c r="B2676" t="inlineStr">
        <is>
          <t>2026-05-06 11:51:10.302</t>
        </is>
      </c>
      <c r="C2676" t="n">
        <v/>
      </c>
      <c r="D2676" t="inlineStr">
        <is>
          <t>Media file</t>
        </is>
      </c>
      <c r="E2676" t="inlineStr">
        <is>
          <t>player #1:C:/Users/manuel.felline/Documents/BEHAVIOR BTBR/NOR second cohort/BTBR/test/c7_m1.mp4</t>
        </is>
      </c>
      <c r="F2676" t="n">
        <v>-6.367</v>
      </c>
      <c r="G2676" t="n">
        <v>575.266</v>
      </c>
      <c r="H2676" t="n">
        <v>711.999</v>
      </c>
      <c r="I2676" t="n">
        <v>30</v>
      </c>
      <c r="J2676" t="inlineStr">
        <is>
          <t>BTBR</t>
        </is>
      </c>
      <c r="K2676" t="inlineStr">
        <is>
          <t>Male</t>
        </is>
      </c>
      <c r="L2676" t="inlineStr">
        <is>
          <t>No focal subject</t>
        </is>
      </c>
      <c r="M2676" t="n">
        <v>66.735</v>
      </c>
      <c r="N2676" t="inlineStr">
        <is>
          <t>Explore_F</t>
        </is>
      </c>
      <c r="O2676" t="inlineStr">
        <is>
          <t>Familiar</t>
        </is>
      </c>
      <c r="P2676" t="inlineStr">
        <is>
          <t>STATE</t>
        </is>
      </c>
      <c r="Q2676" t="n">
        <v>368.266</v>
      </c>
      <c r="R2676" t="n">
        <v>368.933</v>
      </c>
      <c r="S2676" t="n">
        <v>0.667</v>
      </c>
      <c r="T2676" t="inlineStr">
        <is>
          <t>C:/Users/manuel.felline/Documents/BEHAVIOR BTBR/NOR second cohort/BTBR/test/c7_m1.mp4</t>
        </is>
      </c>
      <c r="U2676" t="n">
        <v>11238</v>
      </c>
      <c r="V2676" t="n">
        <v>11258</v>
      </c>
      <c r="W2676" t="n">
        <v/>
      </c>
      <c r="X2676" t="n">
        <v/>
      </c>
      <c r="Y2676" t="n">
        <v/>
      </c>
      <c r="Z2676" t="n">
        <v/>
      </c>
      <c r="AA2676">
        <f>SUMIFS($S$2:S2676,$A$2:A2676,A2676,$N$2:N2676,"Explore*")</f>
        <v/>
      </c>
      <c r="AB2676">
        <f>IF(AND(LEFT(N2676,7)="Explore",(AA2676-IF(LEFT(N2676,7)="Explore",S2676,0))&lt;10),"SI","NO")</f>
        <v/>
      </c>
    </row>
    <row r="2677">
      <c r="A2677" t="inlineStr">
        <is>
          <t>c7m1_test</t>
        </is>
      </c>
      <c r="B2677" t="inlineStr">
        <is>
          <t>2026-05-06 11:51:10.302</t>
        </is>
      </c>
      <c r="C2677" t="n">
        <v/>
      </c>
      <c r="D2677" t="inlineStr">
        <is>
          <t>Media file</t>
        </is>
      </c>
      <c r="E2677" t="inlineStr">
        <is>
          <t>player #1:C:/Users/manuel.felline/Documents/BEHAVIOR BTBR/NOR second cohort/BTBR/test/c7_m1.mp4</t>
        </is>
      </c>
      <c r="F2677" t="n">
        <v>-6.367</v>
      </c>
      <c r="G2677" t="n">
        <v>575.266</v>
      </c>
      <c r="H2677" t="n">
        <v>711.999</v>
      </c>
      <c r="I2677" t="n">
        <v>30</v>
      </c>
      <c r="J2677" t="inlineStr">
        <is>
          <t>BTBR</t>
        </is>
      </c>
      <c r="K2677" t="inlineStr">
        <is>
          <t>Male</t>
        </is>
      </c>
      <c r="L2677" t="inlineStr">
        <is>
          <t>No focal subject</t>
        </is>
      </c>
      <c r="M2677" t="n">
        <v>66.735</v>
      </c>
      <c r="N2677" t="inlineStr">
        <is>
          <t>Explore_F</t>
        </is>
      </c>
      <c r="O2677" t="inlineStr">
        <is>
          <t>Familiar</t>
        </is>
      </c>
      <c r="P2677" t="inlineStr">
        <is>
          <t>STATE</t>
        </is>
      </c>
      <c r="Q2677" t="n">
        <v>385.766</v>
      </c>
      <c r="R2677" t="n">
        <v>386.466</v>
      </c>
      <c r="S2677" t="n">
        <v>0.7</v>
      </c>
      <c r="T2677" t="inlineStr">
        <is>
          <t>C:/Users/manuel.felline/Documents/BEHAVIOR BTBR/NOR second cohort/BTBR/test/c7_m1.mp4</t>
        </is>
      </c>
      <c r="U2677" t="n">
        <v>11762</v>
      </c>
      <c r="V2677" t="n">
        <v>11783</v>
      </c>
      <c r="W2677" t="n">
        <v/>
      </c>
      <c r="X2677" t="n">
        <v/>
      </c>
      <c r="Y2677" t="n">
        <v/>
      </c>
      <c r="Z2677" t="n">
        <v/>
      </c>
      <c r="AA2677">
        <f>SUMIFS($S$2:S2677,$A$2:A2677,A2677,$N$2:N2677,"Explore*")</f>
        <v/>
      </c>
      <c r="AB2677">
        <f>IF(AND(LEFT(N2677,7)="Explore",(AA2677-IF(LEFT(N2677,7)="Explore",S2677,0))&lt;10),"SI","NO")</f>
        <v/>
      </c>
    </row>
    <row r="2678">
      <c r="A2678" t="inlineStr">
        <is>
          <t>c7m1_test</t>
        </is>
      </c>
      <c r="B2678" t="inlineStr">
        <is>
          <t>2026-05-06 11:51:10.302</t>
        </is>
      </c>
      <c r="C2678" t="n">
        <v/>
      </c>
      <c r="D2678" t="inlineStr">
        <is>
          <t>Media file</t>
        </is>
      </c>
      <c r="E2678" t="inlineStr">
        <is>
          <t>player #1:C:/Users/manuel.felline/Documents/BEHAVIOR BTBR/NOR second cohort/BTBR/test/c7_m1.mp4</t>
        </is>
      </c>
      <c r="F2678" t="n">
        <v>-6.367</v>
      </c>
      <c r="G2678" t="n">
        <v>575.266</v>
      </c>
      <c r="H2678" t="n">
        <v>711.999</v>
      </c>
      <c r="I2678" t="n">
        <v>30</v>
      </c>
      <c r="J2678" t="inlineStr">
        <is>
          <t>BTBR</t>
        </is>
      </c>
      <c r="K2678" t="inlineStr">
        <is>
          <t>Male</t>
        </is>
      </c>
      <c r="L2678" t="inlineStr">
        <is>
          <t>No focal subject</t>
        </is>
      </c>
      <c r="M2678" t="n">
        <v>66.735</v>
      </c>
      <c r="N2678" t="inlineStr">
        <is>
          <t>Explore_N</t>
        </is>
      </c>
      <c r="O2678" t="inlineStr">
        <is>
          <t>Novelty</t>
        </is>
      </c>
      <c r="P2678" t="inlineStr">
        <is>
          <t>STATE</t>
        </is>
      </c>
      <c r="Q2678" t="n">
        <v>398.599</v>
      </c>
      <c r="R2678" t="n">
        <v>399.866</v>
      </c>
      <c r="S2678" t="n">
        <v>1.267</v>
      </c>
      <c r="T2678" t="inlineStr">
        <is>
          <t>C:/Users/manuel.felline/Documents/BEHAVIOR BTBR/NOR second cohort/BTBR/test/c7_m1.mp4</t>
        </is>
      </c>
      <c r="U2678" t="n">
        <v>12147</v>
      </c>
      <c r="V2678" t="n">
        <v>12185</v>
      </c>
      <c r="W2678" t="n">
        <v/>
      </c>
      <c r="X2678" t="n">
        <v/>
      </c>
      <c r="Y2678" t="n">
        <v/>
      </c>
      <c r="Z2678" t="n">
        <v/>
      </c>
      <c r="AA2678">
        <f>SUMIFS($S$2:S2678,$A$2:A2678,A2678,$N$2:N2678,"Explore*")</f>
        <v/>
      </c>
      <c r="AB2678">
        <f>IF(AND(LEFT(N2678,7)="Explore",(AA2678-IF(LEFT(N2678,7)="Explore",S2678,0))&lt;10),"SI","NO")</f>
        <v/>
      </c>
    </row>
    <row r="2679">
      <c r="A2679" t="inlineStr">
        <is>
          <t>c7m1_test</t>
        </is>
      </c>
      <c r="B2679" t="inlineStr">
        <is>
          <t>2026-05-06 11:51:10.302</t>
        </is>
      </c>
      <c r="C2679" t="n">
        <v/>
      </c>
      <c r="D2679" t="inlineStr">
        <is>
          <t>Media file</t>
        </is>
      </c>
      <c r="E2679" t="inlineStr">
        <is>
          <t>player #1:C:/Users/manuel.felline/Documents/BEHAVIOR BTBR/NOR second cohort/BTBR/test/c7_m1.mp4</t>
        </is>
      </c>
      <c r="F2679" t="n">
        <v>-6.367</v>
      </c>
      <c r="G2679" t="n">
        <v>575.266</v>
      </c>
      <c r="H2679" t="n">
        <v>711.999</v>
      </c>
      <c r="I2679" t="n">
        <v>30</v>
      </c>
      <c r="J2679" t="inlineStr">
        <is>
          <t>BTBR</t>
        </is>
      </c>
      <c r="K2679" t="inlineStr">
        <is>
          <t>Male</t>
        </is>
      </c>
      <c r="L2679" t="inlineStr">
        <is>
          <t>No focal subject</t>
        </is>
      </c>
      <c r="M2679" t="n">
        <v>66.735</v>
      </c>
      <c r="N2679" t="inlineStr">
        <is>
          <t>Explore_F</t>
        </is>
      </c>
      <c r="O2679" t="inlineStr">
        <is>
          <t>Familiar</t>
        </is>
      </c>
      <c r="P2679" t="inlineStr">
        <is>
          <t>STATE</t>
        </is>
      </c>
      <c r="Q2679" t="n">
        <v>405.533</v>
      </c>
      <c r="R2679" t="n">
        <v>405.999</v>
      </c>
      <c r="S2679" t="n">
        <v>0.466</v>
      </c>
      <c r="T2679" t="inlineStr">
        <is>
          <t>C:/Users/manuel.felline/Documents/BEHAVIOR BTBR/NOR second cohort/BTBR/test/c7_m1.mp4</t>
        </is>
      </c>
      <c r="U2679" t="n">
        <v>12355</v>
      </c>
      <c r="V2679" t="n">
        <v>12369</v>
      </c>
      <c r="W2679" t="n">
        <v/>
      </c>
      <c r="X2679" t="n">
        <v/>
      </c>
      <c r="Y2679" t="n">
        <v/>
      </c>
      <c r="Z2679" t="n">
        <v/>
      </c>
      <c r="AA2679">
        <f>SUMIFS($S$2:S2679,$A$2:A2679,A2679,$N$2:N2679,"Explore*")</f>
        <v/>
      </c>
      <c r="AB2679">
        <f>IF(AND(LEFT(N2679,7)="Explore",(AA2679-IF(LEFT(N2679,7)="Explore",S2679,0))&lt;10),"SI","NO")</f>
        <v/>
      </c>
    </row>
    <row r="2680">
      <c r="A2680" t="inlineStr">
        <is>
          <t>c7m1_test</t>
        </is>
      </c>
      <c r="B2680" t="inlineStr">
        <is>
          <t>2026-05-06 11:51:10.302</t>
        </is>
      </c>
      <c r="C2680" t="n">
        <v/>
      </c>
      <c r="D2680" t="inlineStr">
        <is>
          <t>Media file</t>
        </is>
      </c>
      <c r="E2680" t="inlineStr">
        <is>
          <t>player #1:C:/Users/manuel.felline/Documents/BEHAVIOR BTBR/NOR second cohort/BTBR/test/c7_m1.mp4</t>
        </is>
      </c>
      <c r="F2680" t="n">
        <v>-6.367</v>
      </c>
      <c r="G2680" t="n">
        <v>575.266</v>
      </c>
      <c r="H2680" t="n">
        <v>711.999</v>
      </c>
      <c r="I2680" t="n">
        <v>30</v>
      </c>
      <c r="J2680" t="inlineStr">
        <is>
          <t>BTBR</t>
        </is>
      </c>
      <c r="K2680" t="inlineStr">
        <is>
          <t>Male</t>
        </is>
      </c>
      <c r="L2680" t="inlineStr">
        <is>
          <t>No focal subject</t>
        </is>
      </c>
      <c r="M2680" t="n">
        <v>66.735</v>
      </c>
      <c r="N2680" t="inlineStr">
        <is>
          <t>Explore_F</t>
        </is>
      </c>
      <c r="O2680" t="inlineStr">
        <is>
          <t>Familiar</t>
        </is>
      </c>
      <c r="P2680" t="inlineStr">
        <is>
          <t>STATE</t>
        </is>
      </c>
      <c r="Q2680" t="n">
        <v>413.499</v>
      </c>
      <c r="R2680" t="n">
        <v>413.733</v>
      </c>
      <c r="S2680" t="n">
        <v>0.234</v>
      </c>
      <c r="T2680" t="inlineStr">
        <is>
          <t>C:/Users/manuel.felline/Documents/BEHAVIOR BTBR/NOR second cohort/BTBR/test/c7_m1.mp4</t>
        </is>
      </c>
      <c r="U2680" t="n">
        <v>12594</v>
      </c>
      <c r="V2680" t="n">
        <v>12601</v>
      </c>
      <c r="W2680" t="n">
        <v/>
      </c>
      <c r="X2680" t="n">
        <v/>
      </c>
      <c r="Y2680" t="n">
        <v/>
      </c>
      <c r="Z2680" t="n">
        <v/>
      </c>
      <c r="AA2680">
        <f>SUMIFS($S$2:S2680,$A$2:A2680,A2680,$N$2:N2680,"Explore*")</f>
        <v/>
      </c>
      <c r="AB2680">
        <f>IF(AND(LEFT(N2680,7)="Explore",(AA2680-IF(LEFT(N2680,7)="Explore",S2680,0))&lt;10),"SI","NO")</f>
        <v/>
      </c>
    </row>
    <row r="2681">
      <c r="A2681" t="inlineStr">
        <is>
          <t>c7m1_test</t>
        </is>
      </c>
      <c r="B2681" t="inlineStr">
        <is>
          <t>2026-05-06 11:51:10.302</t>
        </is>
      </c>
      <c r="C2681" t="n">
        <v/>
      </c>
      <c r="D2681" t="inlineStr">
        <is>
          <t>Media file</t>
        </is>
      </c>
      <c r="E2681" t="inlineStr">
        <is>
          <t>player #1:C:/Users/manuel.felline/Documents/BEHAVIOR BTBR/NOR second cohort/BTBR/test/c7_m1.mp4</t>
        </is>
      </c>
      <c r="F2681" t="n">
        <v>-6.367</v>
      </c>
      <c r="G2681" t="n">
        <v>575.266</v>
      </c>
      <c r="H2681" t="n">
        <v>711.999</v>
      </c>
      <c r="I2681" t="n">
        <v>30</v>
      </c>
      <c r="J2681" t="inlineStr">
        <is>
          <t>BTBR</t>
        </is>
      </c>
      <c r="K2681" t="inlineStr">
        <is>
          <t>Male</t>
        </is>
      </c>
      <c r="L2681" t="inlineStr">
        <is>
          <t>No focal subject</t>
        </is>
      </c>
      <c r="M2681" t="n">
        <v>66.735</v>
      </c>
      <c r="N2681" t="inlineStr">
        <is>
          <t>Explore_N</t>
        </is>
      </c>
      <c r="O2681" t="inlineStr">
        <is>
          <t>Novelty</t>
        </is>
      </c>
      <c r="P2681" t="inlineStr">
        <is>
          <t>STATE</t>
        </is>
      </c>
      <c r="Q2681" t="n">
        <v>415.333</v>
      </c>
      <c r="R2681" t="n">
        <v>416.666</v>
      </c>
      <c r="S2681" t="n">
        <v>1.333</v>
      </c>
      <c r="T2681" t="inlineStr">
        <is>
          <t>C:/Users/manuel.felline/Documents/BEHAVIOR BTBR/NOR second cohort/BTBR/test/c7_m1.mp4</t>
        </is>
      </c>
      <c r="U2681" t="n">
        <v>12649</v>
      </c>
      <c r="V2681" t="n">
        <v>12689</v>
      </c>
      <c r="W2681" t="n">
        <v/>
      </c>
      <c r="X2681" t="n">
        <v/>
      </c>
      <c r="Y2681" t="n">
        <v/>
      </c>
      <c r="Z2681" t="n">
        <v/>
      </c>
      <c r="AA2681">
        <f>SUMIFS($S$2:S2681,$A$2:A2681,A2681,$N$2:N2681,"Explore*")</f>
        <v/>
      </c>
      <c r="AB2681">
        <f>IF(AND(LEFT(N2681,7)="Explore",(AA2681-IF(LEFT(N2681,7)="Explore",S2681,0))&lt;10),"SI","NO")</f>
        <v/>
      </c>
    </row>
    <row r="2682">
      <c r="A2682" t="inlineStr">
        <is>
          <t>c7m1_test</t>
        </is>
      </c>
      <c r="B2682" t="inlineStr">
        <is>
          <t>2026-05-06 11:51:10.302</t>
        </is>
      </c>
      <c r="C2682" t="n">
        <v/>
      </c>
      <c r="D2682" t="inlineStr">
        <is>
          <t>Media file</t>
        </is>
      </c>
      <c r="E2682" t="inlineStr">
        <is>
          <t>player #1:C:/Users/manuel.felline/Documents/BEHAVIOR BTBR/NOR second cohort/BTBR/test/c7_m1.mp4</t>
        </is>
      </c>
      <c r="F2682" t="n">
        <v>-6.367</v>
      </c>
      <c r="G2682" t="n">
        <v>575.266</v>
      </c>
      <c r="H2682" t="n">
        <v>711.999</v>
      </c>
      <c r="I2682" t="n">
        <v>30</v>
      </c>
      <c r="J2682" t="inlineStr">
        <is>
          <t>BTBR</t>
        </is>
      </c>
      <c r="K2682" t="inlineStr">
        <is>
          <t>Male</t>
        </is>
      </c>
      <c r="L2682" t="inlineStr">
        <is>
          <t>No focal subject</t>
        </is>
      </c>
      <c r="M2682" t="n">
        <v>66.735</v>
      </c>
      <c r="N2682" t="inlineStr">
        <is>
          <t>Explore_N</t>
        </is>
      </c>
      <c r="O2682" t="inlineStr">
        <is>
          <t>Novelty</t>
        </is>
      </c>
      <c r="P2682" t="inlineStr">
        <is>
          <t>STATE</t>
        </is>
      </c>
      <c r="Q2682" t="n">
        <v>421.266</v>
      </c>
      <c r="R2682" t="n">
        <v>423.066</v>
      </c>
      <c r="S2682" t="n">
        <v>1.8</v>
      </c>
      <c r="T2682" t="inlineStr">
        <is>
          <t>C:/Users/manuel.felline/Documents/BEHAVIOR BTBR/NOR second cohort/BTBR/test/c7_m1.mp4</t>
        </is>
      </c>
      <c r="U2682" t="n">
        <v>12827</v>
      </c>
      <c r="V2682" t="n">
        <v>12881</v>
      </c>
      <c r="W2682" t="n">
        <v/>
      </c>
      <c r="X2682" t="n">
        <v/>
      </c>
      <c r="Y2682" t="n">
        <v/>
      </c>
      <c r="Z2682" t="n">
        <v/>
      </c>
      <c r="AA2682">
        <f>SUMIFS($S$2:S2682,$A$2:A2682,A2682,$N$2:N2682,"Explore*")</f>
        <v/>
      </c>
      <c r="AB2682">
        <f>IF(AND(LEFT(N2682,7)="Explore",(AA2682-IF(LEFT(N2682,7)="Explore",S2682,0))&lt;10),"SI","NO")</f>
        <v/>
      </c>
    </row>
    <row r="2683">
      <c r="A2683" t="inlineStr">
        <is>
          <t>c7m1_test</t>
        </is>
      </c>
      <c r="B2683" t="inlineStr">
        <is>
          <t>2026-05-06 11:51:10.302</t>
        </is>
      </c>
      <c r="C2683" t="n">
        <v/>
      </c>
      <c r="D2683" t="inlineStr">
        <is>
          <t>Media file</t>
        </is>
      </c>
      <c r="E2683" t="inlineStr">
        <is>
          <t>player #1:C:/Users/manuel.felline/Documents/BEHAVIOR BTBR/NOR second cohort/BTBR/test/c7_m1.mp4</t>
        </is>
      </c>
      <c r="F2683" t="n">
        <v>-6.367</v>
      </c>
      <c r="G2683" t="n">
        <v>575.266</v>
      </c>
      <c r="H2683" t="n">
        <v>711.999</v>
      </c>
      <c r="I2683" t="n">
        <v>30</v>
      </c>
      <c r="J2683" t="inlineStr">
        <is>
          <t>BTBR</t>
        </is>
      </c>
      <c r="K2683" t="inlineStr">
        <is>
          <t>Male</t>
        </is>
      </c>
      <c r="L2683" t="inlineStr">
        <is>
          <t>No focal subject</t>
        </is>
      </c>
      <c r="M2683" t="n">
        <v>66.735</v>
      </c>
      <c r="N2683" t="inlineStr">
        <is>
          <t>Explore_F</t>
        </is>
      </c>
      <c r="O2683" t="inlineStr">
        <is>
          <t>Familiar</t>
        </is>
      </c>
      <c r="P2683" t="inlineStr">
        <is>
          <t>STATE</t>
        </is>
      </c>
      <c r="Q2683" t="n">
        <v>452.099</v>
      </c>
      <c r="R2683" t="n">
        <v>452.633</v>
      </c>
      <c r="S2683" t="n">
        <v>0.534</v>
      </c>
      <c r="T2683" t="inlineStr">
        <is>
          <t>C:/Users/manuel.felline/Documents/BEHAVIOR BTBR/NOR second cohort/BTBR/test/c7_m1.mp4</t>
        </is>
      </c>
      <c r="U2683" t="n">
        <v>13752</v>
      </c>
      <c r="V2683" t="n">
        <v>13768</v>
      </c>
      <c r="W2683" t="n">
        <v/>
      </c>
      <c r="X2683" t="n">
        <v/>
      </c>
      <c r="Y2683" t="n">
        <v/>
      </c>
      <c r="Z2683" t="n">
        <v/>
      </c>
      <c r="AA2683">
        <f>SUMIFS($S$2:S2683,$A$2:A2683,A2683,$N$2:N2683,"Explore*")</f>
        <v/>
      </c>
      <c r="AB2683">
        <f>IF(AND(LEFT(N2683,7)="Explore",(AA2683-IF(LEFT(N2683,7)="Explore",S2683,0))&lt;10),"SI","NO")</f>
        <v/>
      </c>
    </row>
    <row r="2684">
      <c r="A2684" t="inlineStr">
        <is>
          <t>c7m1_test</t>
        </is>
      </c>
      <c r="B2684" t="inlineStr">
        <is>
          <t>2026-05-06 11:51:10.302</t>
        </is>
      </c>
      <c r="C2684" t="n">
        <v/>
      </c>
      <c r="D2684" t="inlineStr">
        <is>
          <t>Media file</t>
        </is>
      </c>
      <c r="E2684" t="inlineStr">
        <is>
          <t>player #1:C:/Users/manuel.felline/Documents/BEHAVIOR BTBR/NOR second cohort/BTBR/test/c7_m1.mp4</t>
        </is>
      </c>
      <c r="F2684" t="n">
        <v>-6.367</v>
      </c>
      <c r="G2684" t="n">
        <v>575.266</v>
      </c>
      <c r="H2684" t="n">
        <v>711.999</v>
      </c>
      <c r="I2684" t="n">
        <v>30</v>
      </c>
      <c r="J2684" t="inlineStr">
        <is>
          <t>BTBR</t>
        </is>
      </c>
      <c r="K2684" t="inlineStr">
        <is>
          <t>Male</t>
        </is>
      </c>
      <c r="L2684" t="inlineStr">
        <is>
          <t>No focal subject</t>
        </is>
      </c>
      <c r="M2684" t="n">
        <v>66.735</v>
      </c>
      <c r="N2684" t="inlineStr">
        <is>
          <t>Explore_N</t>
        </is>
      </c>
      <c r="O2684" t="inlineStr">
        <is>
          <t>Novelty</t>
        </is>
      </c>
      <c r="P2684" t="inlineStr">
        <is>
          <t>STATE</t>
        </is>
      </c>
      <c r="Q2684" t="n">
        <v>490.899</v>
      </c>
      <c r="R2684" t="n">
        <v>491.999</v>
      </c>
      <c r="S2684" t="n">
        <v>1.1</v>
      </c>
      <c r="T2684" t="inlineStr">
        <is>
          <t>C:/Users/manuel.felline/Documents/BEHAVIOR BTBR/NOR second cohort/BTBR/test/c7_m1.mp4</t>
        </is>
      </c>
      <c r="U2684" t="n">
        <v>14916</v>
      </c>
      <c r="V2684" t="n">
        <v>14949</v>
      </c>
      <c r="W2684" t="n">
        <v/>
      </c>
      <c r="X2684" t="n">
        <v/>
      </c>
      <c r="Y2684" t="n">
        <v/>
      </c>
      <c r="Z2684" t="n">
        <v/>
      </c>
      <c r="AA2684">
        <f>SUMIFS($S$2:S2684,$A$2:A2684,A2684,$N$2:N2684,"Explore*")</f>
        <v/>
      </c>
      <c r="AB2684">
        <f>IF(AND(LEFT(N2684,7)="Explore",(AA2684-IF(LEFT(N2684,7)="Explore",S2684,0))&lt;10),"SI","NO")</f>
        <v/>
      </c>
    </row>
    <row r="2685">
      <c r="A2685" t="inlineStr">
        <is>
          <t>c7m1_test</t>
        </is>
      </c>
      <c r="B2685" t="inlineStr">
        <is>
          <t>2026-05-06 11:51:10.302</t>
        </is>
      </c>
      <c r="C2685" t="n">
        <v/>
      </c>
      <c r="D2685" t="inlineStr">
        <is>
          <t>Media file</t>
        </is>
      </c>
      <c r="E2685" t="inlineStr">
        <is>
          <t>player #1:C:/Users/manuel.felline/Documents/BEHAVIOR BTBR/NOR second cohort/BTBR/test/c7_m1.mp4</t>
        </is>
      </c>
      <c r="F2685" t="n">
        <v>-6.367</v>
      </c>
      <c r="G2685" t="n">
        <v>575.266</v>
      </c>
      <c r="H2685" t="n">
        <v>711.999</v>
      </c>
      <c r="I2685" t="n">
        <v>30</v>
      </c>
      <c r="J2685" t="inlineStr">
        <is>
          <t>BTBR</t>
        </is>
      </c>
      <c r="K2685" t="inlineStr">
        <is>
          <t>Male</t>
        </is>
      </c>
      <c r="L2685" t="inlineStr">
        <is>
          <t>No focal subject</t>
        </is>
      </c>
      <c r="M2685" t="n">
        <v>66.735</v>
      </c>
      <c r="N2685" t="inlineStr">
        <is>
          <t>Explore_F</t>
        </is>
      </c>
      <c r="O2685" t="inlineStr">
        <is>
          <t>Familiar</t>
        </is>
      </c>
      <c r="P2685" t="inlineStr">
        <is>
          <t>STATE</t>
        </is>
      </c>
      <c r="Q2685" t="n">
        <v>494.099</v>
      </c>
      <c r="R2685" t="n">
        <v>494.499</v>
      </c>
      <c r="S2685" t="n">
        <v>0.4</v>
      </c>
      <c r="T2685" t="inlineStr">
        <is>
          <t>C:/Users/manuel.felline/Documents/BEHAVIOR BTBR/NOR second cohort/BTBR/test/c7_m1.mp4</t>
        </is>
      </c>
      <c r="U2685" t="n">
        <v>15012</v>
      </c>
      <c r="V2685" t="n">
        <v>15024</v>
      </c>
      <c r="W2685" t="n">
        <v/>
      </c>
      <c r="X2685" t="n">
        <v/>
      </c>
      <c r="Y2685" t="n">
        <v/>
      </c>
      <c r="Z2685" t="n">
        <v/>
      </c>
      <c r="AA2685">
        <f>SUMIFS($S$2:S2685,$A$2:A2685,A2685,$N$2:N2685,"Explore*")</f>
        <v/>
      </c>
      <c r="AB2685">
        <f>IF(AND(LEFT(N2685,7)="Explore",(AA2685-IF(LEFT(N2685,7)="Explore",S2685,0))&lt;10),"SI","NO")</f>
        <v/>
      </c>
    </row>
    <row r="2686">
      <c r="A2686" t="inlineStr">
        <is>
          <t>c7m1_test</t>
        </is>
      </c>
      <c r="B2686" t="inlineStr">
        <is>
          <t>2026-05-06 11:51:10.302</t>
        </is>
      </c>
      <c r="C2686" t="n">
        <v/>
      </c>
      <c r="D2686" t="inlineStr">
        <is>
          <t>Media file</t>
        </is>
      </c>
      <c r="E2686" t="inlineStr">
        <is>
          <t>player #1:C:/Users/manuel.felline/Documents/BEHAVIOR BTBR/NOR second cohort/BTBR/test/c7_m1.mp4</t>
        </is>
      </c>
      <c r="F2686" t="n">
        <v>-6.367</v>
      </c>
      <c r="G2686" t="n">
        <v>575.266</v>
      </c>
      <c r="H2686" t="n">
        <v>711.999</v>
      </c>
      <c r="I2686" t="n">
        <v>30</v>
      </c>
      <c r="J2686" t="inlineStr">
        <is>
          <t>BTBR</t>
        </is>
      </c>
      <c r="K2686" t="inlineStr">
        <is>
          <t>Male</t>
        </is>
      </c>
      <c r="L2686" t="inlineStr">
        <is>
          <t>No focal subject</t>
        </is>
      </c>
      <c r="M2686" t="n">
        <v>66.735</v>
      </c>
      <c r="N2686" t="inlineStr">
        <is>
          <t>Explore_F</t>
        </is>
      </c>
      <c r="O2686" t="inlineStr">
        <is>
          <t>Familiar</t>
        </is>
      </c>
      <c r="P2686" t="inlineStr">
        <is>
          <t>STATE</t>
        </is>
      </c>
      <c r="Q2686" t="n">
        <v>523.399</v>
      </c>
      <c r="R2686" t="n">
        <v>523.866</v>
      </c>
      <c r="S2686" t="n">
        <v>0.467</v>
      </c>
      <c r="T2686" t="inlineStr">
        <is>
          <t>C:/Users/manuel.felline/Documents/BEHAVIOR BTBR/NOR second cohort/BTBR/test/c7_m1.mp4</t>
        </is>
      </c>
      <c r="U2686" t="n">
        <v>15891</v>
      </c>
      <c r="V2686" t="n">
        <v>15905</v>
      </c>
      <c r="W2686" t="n">
        <v/>
      </c>
      <c r="X2686" t="n">
        <v/>
      </c>
      <c r="Y2686" t="n">
        <v/>
      </c>
      <c r="Z2686" t="n">
        <v/>
      </c>
      <c r="AA2686">
        <f>SUMIFS($S$2:S2686,$A$2:A2686,A2686,$N$2:N2686,"Explore*")</f>
        <v/>
      </c>
      <c r="AB2686">
        <f>IF(AND(LEFT(N2686,7)="Explore",(AA2686-IF(LEFT(N2686,7)="Explore",S2686,0))&lt;10),"SI","NO")</f>
        <v/>
      </c>
    </row>
    <row r="2687">
      <c r="A2687" t="inlineStr">
        <is>
          <t>c7m1_test</t>
        </is>
      </c>
      <c r="B2687" t="inlineStr">
        <is>
          <t>2026-05-06 11:51:10.302</t>
        </is>
      </c>
      <c r="C2687" t="n">
        <v/>
      </c>
      <c r="D2687" t="inlineStr">
        <is>
          <t>Media file</t>
        </is>
      </c>
      <c r="E2687" t="inlineStr">
        <is>
          <t>player #1:C:/Users/manuel.felline/Documents/BEHAVIOR BTBR/NOR second cohort/BTBR/test/c7_m1.mp4</t>
        </is>
      </c>
      <c r="F2687" t="n">
        <v>-6.367</v>
      </c>
      <c r="G2687" t="n">
        <v>575.266</v>
      </c>
      <c r="H2687" t="n">
        <v>711.999</v>
      </c>
      <c r="I2687" t="n">
        <v>30</v>
      </c>
      <c r="J2687" t="inlineStr">
        <is>
          <t>BTBR</t>
        </is>
      </c>
      <c r="K2687" t="inlineStr">
        <is>
          <t>Male</t>
        </is>
      </c>
      <c r="L2687" t="inlineStr">
        <is>
          <t>No focal subject</t>
        </is>
      </c>
      <c r="M2687" t="n">
        <v>66.735</v>
      </c>
      <c r="N2687" t="inlineStr">
        <is>
          <t>Explore_F</t>
        </is>
      </c>
      <c r="O2687" t="inlineStr">
        <is>
          <t>Familiar</t>
        </is>
      </c>
      <c r="P2687" t="inlineStr">
        <is>
          <t>STATE</t>
        </is>
      </c>
      <c r="Q2687" t="n">
        <v>532.199</v>
      </c>
      <c r="R2687" t="n">
        <v>532.6660000000001</v>
      </c>
      <c r="S2687" t="n">
        <v>0.467</v>
      </c>
      <c r="T2687" t="inlineStr">
        <is>
          <t>C:/Users/manuel.felline/Documents/BEHAVIOR BTBR/NOR second cohort/BTBR/test/c7_m1.mp4</t>
        </is>
      </c>
      <c r="U2687" t="n">
        <v>16155</v>
      </c>
      <c r="V2687" t="n">
        <v>16169</v>
      </c>
      <c r="W2687" t="n">
        <v/>
      </c>
      <c r="X2687" t="n">
        <v/>
      </c>
      <c r="Y2687" t="n">
        <v/>
      </c>
      <c r="Z2687" t="n">
        <v/>
      </c>
      <c r="AA2687">
        <f>SUMIFS($S$2:S2687,$A$2:A2687,A2687,$N$2:N2687,"Explore*")</f>
        <v/>
      </c>
      <c r="AB2687">
        <f>IF(AND(LEFT(N2687,7)="Explore",(AA2687-IF(LEFT(N2687,7)="Explore",S2687,0))&lt;10),"SI","NO")</f>
        <v/>
      </c>
    </row>
    <row r="2688">
      <c r="A2688" t="inlineStr">
        <is>
          <t>c7m1_test</t>
        </is>
      </c>
      <c r="B2688" t="inlineStr">
        <is>
          <t>2026-05-06 11:51:10.302</t>
        </is>
      </c>
      <c r="C2688" t="n">
        <v/>
      </c>
      <c r="D2688" t="inlineStr">
        <is>
          <t>Media file</t>
        </is>
      </c>
      <c r="E2688" t="inlineStr">
        <is>
          <t>player #1:C:/Users/manuel.felline/Documents/BEHAVIOR BTBR/NOR second cohort/BTBR/test/c7_m1.mp4</t>
        </is>
      </c>
      <c r="F2688" t="n">
        <v>-6.367</v>
      </c>
      <c r="G2688" t="n">
        <v>575.266</v>
      </c>
      <c r="H2688" t="n">
        <v>711.999</v>
      </c>
      <c r="I2688" t="n">
        <v>30</v>
      </c>
      <c r="J2688" t="inlineStr">
        <is>
          <t>BTBR</t>
        </is>
      </c>
      <c r="K2688" t="inlineStr">
        <is>
          <t>Male</t>
        </is>
      </c>
      <c r="L2688" t="inlineStr">
        <is>
          <t>No focal subject</t>
        </is>
      </c>
      <c r="M2688" t="n">
        <v>66.735</v>
      </c>
      <c r="N2688" t="inlineStr">
        <is>
          <t>Explore_F</t>
        </is>
      </c>
      <c r="O2688" t="inlineStr">
        <is>
          <t>Familiar</t>
        </is>
      </c>
      <c r="P2688" t="inlineStr">
        <is>
          <t>STATE</t>
        </is>
      </c>
      <c r="Q2688" t="n">
        <v>540.899</v>
      </c>
      <c r="R2688" t="n">
        <v>541.432</v>
      </c>
      <c r="S2688" t="n">
        <v>0.533</v>
      </c>
      <c r="T2688" t="inlineStr">
        <is>
          <t>C:/Users/manuel.felline/Documents/BEHAVIOR BTBR/NOR second cohort/BTBR/test/c7_m1.mp4</t>
        </is>
      </c>
      <c r="U2688" t="n">
        <v>16416</v>
      </c>
      <c r="V2688" t="n">
        <v>16432</v>
      </c>
      <c r="W2688" t="n">
        <v/>
      </c>
      <c r="X2688" t="n">
        <v/>
      </c>
      <c r="Y2688" t="n">
        <v/>
      </c>
      <c r="Z2688" t="n">
        <v/>
      </c>
      <c r="AA2688">
        <f>SUMIFS($S$2:S2688,$A$2:A2688,A2688,$N$2:N2688,"Explore*")</f>
        <v/>
      </c>
      <c r="AB2688">
        <f>IF(AND(LEFT(N2688,7)="Explore",(AA2688-IF(LEFT(N2688,7)="Explore",S2688,0))&lt;10),"SI","NO")</f>
        <v/>
      </c>
    </row>
    <row r="2689">
      <c r="A2689" t="inlineStr">
        <is>
          <t>c7m1_test</t>
        </is>
      </c>
      <c r="B2689" t="inlineStr">
        <is>
          <t>2026-05-06 11:51:10.302</t>
        </is>
      </c>
      <c r="C2689" t="n">
        <v/>
      </c>
      <c r="D2689" t="inlineStr">
        <is>
          <t>Media file</t>
        </is>
      </c>
      <c r="E2689" t="inlineStr">
        <is>
          <t>player #1:C:/Users/manuel.felline/Documents/BEHAVIOR BTBR/NOR second cohort/BTBR/test/c7_m1.mp4</t>
        </is>
      </c>
      <c r="F2689" t="n">
        <v>-6.367</v>
      </c>
      <c r="G2689" t="n">
        <v>575.266</v>
      </c>
      <c r="H2689" t="n">
        <v>711.999</v>
      </c>
      <c r="I2689" t="n">
        <v>30</v>
      </c>
      <c r="J2689" t="inlineStr">
        <is>
          <t>BTBR</t>
        </is>
      </c>
      <c r="K2689" t="inlineStr">
        <is>
          <t>Male</t>
        </is>
      </c>
      <c r="L2689" t="inlineStr">
        <is>
          <t>No focal subject</t>
        </is>
      </c>
      <c r="M2689" t="n">
        <v>66.735</v>
      </c>
      <c r="N2689" t="inlineStr">
        <is>
          <t>Explore_N</t>
        </is>
      </c>
      <c r="O2689" t="inlineStr">
        <is>
          <t>Novelty</t>
        </is>
      </c>
      <c r="P2689" t="inlineStr">
        <is>
          <t>STATE</t>
        </is>
      </c>
      <c r="Q2689" t="n">
        <v>550.732</v>
      </c>
      <c r="R2689" t="n">
        <v>551.299</v>
      </c>
      <c r="S2689" t="n">
        <v>0.5669999999999999</v>
      </c>
      <c r="T2689" t="inlineStr">
        <is>
          <t>C:/Users/manuel.felline/Documents/BEHAVIOR BTBR/NOR second cohort/BTBR/test/c7_m1.mp4</t>
        </is>
      </c>
      <c r="U2689" t="n">
        <v>16711</v>
      </c>
      <c r="V2689" t="n">
        <v>16728</v>
      </c>
      <c r="W2689" t="n">
        <v/>
      </c>
      <c r="X2689" t="n">
        <v/>
      </c>
      <c r="Y2689" t="n">
        <v/>
      </c>
      <c r="Z2689" t="n">
        <v/>
      </c>
      <c r="AA2689">
        <f>SUMIFS($S$2:S2689,$A$2:A2689,A2689,$N$2:N2689,"Explore*")</f>
        <v/>
      </c>
      <c r="AB2689">
        <f>IF(AND(LEFT(N2689,7)="Explore",(AA2689-IF(LEFT(N2689,7)="Explore",S2689,0))&lt;10),"SI","NO")</f>
        <v/>
      </c>
    </row>
    <row r="2690">
      <c r="A2690" t="inlineStr">
        <is>
          <t>c7m1_test</t>
        </is>
      </c>
      <c r="B2690" t="inlineStr">
        <is>
          <t>2026-05-06 11:51:10.302</t>
        </is>
      </c>
      <c r="C2690" t="n">
        <v/>
      </c>
      <c r="D2690" t="inlineStr">
        <is>
          <t>Media file</t>
        </is>
      </c>
      <c r="E2690" t="inlineStr">
        <is>
          <t>player #1:C:/Users/manuel.felline/Documents/BEHAVIOR BTBR/NOR second cohort/BTBR/test/c7_m1.mp4</t>
        </is>
      </c>
      <c r="F2690" t="n">
        <v>-6.367</v>
      </c>
      <c r="G2690" t="n">
        <v>575.266</v>
      </c>
      <c r="H2690" t="n">
        <v>711.999</v>
      </c>
      <c r="I2690" t="n">
        <v>30</v>
      </c>
      <c r="J2690" t="inlineStr">
        <is>
          <t>BTBR</t>
        </is>
      </c>
      <c r="K2690" t="inlineStr">
        <is>
          <t>Male</t>
        </is>
      </c>
      <c r="L2690" t="inlineStr">
        <is>
          <t>No focal subject</t>
        </is>
      </c>
      <c r="M2690" t="n">
        <v>66.735</v>
      </c>
      <c r="N2690" t="inlineStr">
        <is>
          <t>Explore_F</t>
        </is>
      </c>
      <c r="O2690" t="inlineStr">
        <is>
          <t>Familiar</t>
        </is>
      </c>
      <c r="P2690" t="inlineStr">
        <is>
          <t>STATE</t>
        </is>
      </c>
      <c r="Q2690" t="n">
        <v>552.999</v>
      </c>
      <c r="R2690" t="n">
        <v>553.332</v>
      </c>
      <c r="S2690" t="n">
        <v>0.333</v>
      </c>
      <c r="T2690" t="inlineStr">
        <is>
          <t>C:/Users/manuel.felline/Documents/BEHAVIOR BTBR/NOR second cohort/BTBR/test/c7_m1.mp4</t>
        </is>
      </c>
      <c r="U2690" t="n">
        <v>16779</v>
      </c>
      <c r="V2690" t="n">
        <v>16789</v>
      </c>
      <c r="W2690" t="n">
        <v/>
      </c>
      <c r="X2690" t="n">
        <v/>
      </c>
      <c r="Y2690" t="n">
        <v/>
      </c>
      <c r="Z2690" t="n">
        <v/>
      </c>
      <c r="AA2690">
        <f>SUMIFS($S$2:S2690,$A$2:A2690,A2690,$N$2:N2690,"Explore*")</f>
        <v/>
      </c>
      <c r="AB2690">
        <f>IF(AND(LEFT(N2690,7)="Explore",(AA2690-IF(LEFT(N2690,7)="Explore",S2690,0))&lt;10),"SI","NO")</f>
        <v/>
      </c>
    </row>
    <row r="2691">
      <c r="A2691" t="inlineStr">
        <is>
          <t>c7m1_test</t>
        </is>
      </c>
      <c r="B2691" t="inlineStr">
        <is>
          <t>2026-05-06 11:51:10.302</t>
        </is>
      </c>
      <c r="C2691" t="n">
        <v/>
      </c>
      <c r="D2691" t="inlineStr">
        <is>
          <t>Media file</t>
        </is>
      </c>
      <c r="E2691" t="inlineStr">
        <is>
          <t>player #1:C:/Users/manuel.felline/Documents/BEHAVIOR BTBR/NOR second cohort/BTBR/test/c7_m1.mp4</t>
        </is>
      </c>
      <c r="F2691" t="n">
        <v>-6.367</v>
      </c>
      <c r="G2691" t="n">
        <v>575.266</v>
      </c>
      <c r="H2691" t="n">
        <v>711.999</v>
      </c>
      <c r="I2691" t="n">
        <v>30</v>
      </c>
      <c r="J2691" t="inlineStr">
        <is>
          <t>BTBR</t>
        </is>
      </c>
      <c r="K2691" t="inlineStr">
        <is>
          <t>Male</t>
        </is>
      </c>
      <c r="L2691" t="inlineStr">
        <is>
          <t>No focal subject</t>
        </is>
      </c>
      <c r="M2691" t="n">
        <v>66.735</v>
      </c>
      <c r="N2691" t="inlineStr">
        <is>
          <t>Explore_N</t>
        </is>
      </c>
      <c r="O2691" t="inlineStr">
        <is>
          <t>Novelty</t>
        </is>
      </c>
      <c r="P2691" t="inlineStr">
        <is>
          <t>STATE</t>
        </is>
      </c>
      <c r="Q2691" t="n">
        <v>560.732</v>
      </c>
      <c r="R2691" t="n">
        <v>562.399</v>
      </c>
      <c r="S2691" t="n">
        <v>1.667</v>
      </c>
      <c r="T2691" t="inlineStr">
        <is>
          <t>C:/Users/manuel.felline/Documents/BEHAVIOR BTBR/NOR second cohort/BTBR/test/c7_m1.mp4</t>
        </is>
      </c>
      <c r="U2691" t="n">
        <v>17011</v>
      </c>
      <c r="V2691" t="n">
        <v>17061</v>
      </c>
      <c r="W2691" t="n">
        <v/>
      </c>
      <c r="X2691" t="n">
        <v/>
      </c>
      <c r="Y2691" t="n">
        <v/>
      </c>
      <c r="Z2691" t="n">
        <v/>
      </c>
      <c r="AA2691">
        <f>SUMIFS($S$2:S2691,$A$2:A2691,A2691,$N$2:N2691,"Explore*")</f>
        <v/>
      </c>
      <c r="AB2691">
        <f>IF(AND(LEFT(N2691,7)="Explore",(AA2691-IF(LEFT(N2691,7)="Explore",S2691,0))&lt;10),"SI","NO")</f>
        <v/>
      </c>
    </row>
    <row r="2692">
      <c r="A2692" t="inlineStr">
        <is>
          <t>c7m1_test</t>
        </is>
      </c>
      <c r="B2692" t="inlineStr">
        <is>
          <t>2026-05-06 11:51:10.302</t>
        </is>
      </c>
      <c r="C2692" t="n">
        <v/>
      </c>
      <c r="D2692" t="inlineStr">
        <is>
          <t>Media file</t>
        </is>
      </c>
      <c r="E2692" t="inlineStr">
        <is>
          <t>player #1:C:/Users/manuel.felline/Documents/BEHAVIOR BTBR/NOR second cohort/BTBR/test/c7_m1.mp4</t>
        </is>
      </c>
      <c r="F2692" t="n">
        <v>-6.367</v>
      </c>
      <c r="G2692" t="n">
        <v>575.266</v>
      </c>
      <c r="H2692" t="n">
        <v>711.999</v>
      </c>
      <c r="I2692" t="n">
        <v>30</v>
      </c>
      <c r="J2692" t="inlineStr">
        <is>
          <t>BTBR</t>
        </is>
      </c>
      <c r="K2692" t="inlineStr">
        <is>
          <t>Male</t>
        </is>
      </c>
      <c r="L2692" t="inlineStr">
        <is>
          <t>No focal subject</t>
        </is>
      </c>
      <c r="M2692" t="n">
        <v>66.735</v>
      </c>
      <c r="N2692" t="inlineStr">
        <is>
          <t>Explore_N</t>
        </is>
      </c>
      <c r="O2692" t="inlineStr">
        <is>
          <t>Novelty</t>
        </is>
      </c>
      <c r="P2692" t="inlineStr">
        <is>
          <t>STATE</t>
        </is>
      </c>
      <c r="Q2692" t="n">
        <v>563.832</v>
      </c>
      <c r="R2692" t="n">
        <v>564.699</v>
      </c>
      <c r="S2692" t="n">
        <v>0.867</v>
      </c>
      <c r="T2692" t="inlineStr">
        <is>
          <t>C:/Users/manuel.felline/Documents/BEHAVIOR BTBR/NOR second cohort/BTBR/test/c7_m1.mp4</t>
        </is>
      </c>
      <c r="U2692" t="n">
        <v>17104</v>
      </c>
      <c r="V2692" t="n">
        <v>17130</v>
      </c>
      <c r="W2692" t="n">
        <v/>
      </c>
      <c r="X2692" t="n">
        <v/>
      </c>
      <c r="Y2692" t="n">
        <v/>
      </c>
      <c r="Z2692" t="n">
        <v/>
      </c>
      <c r="AA2692">
        <f>SUMIFS($S$2:S2692,$A$2:A2692,A2692,$N$2:N2692,"Explore*")</f>
        <v/>
      </c>
      <c r="AB2692">
        <f>IF(AND(LEFT(N2692,7)="Explore",(AA2692-IF(LEFT(N2692,7)="Explore",S2692,0))&lt;10),"SI","NO")</f>
        <v/>
      </c>
    </row>
    <row r="2693">
      <c r="A2693" t="inlineStr">
        <is>
          <t>c7m1_test</t>
        </is>
      </c>
      <c r="B2693" t="inlineStr">
        <is>
          <t>2026-05-06 11:51:10.302</t>
        </is>
      </c>
      <c r="C2693" t="n">
        <v/>
      </c>
      <c r="D2693" t="inlineStr">
        <is>
          <t>Media file</t>
        </is>
      </c>
      <c r="E2693" t="inlineStr">
        <is>
          <t>player #1:C:/Users/manuel.felline/Documents/BEHAVIOR BTBR/NOR second cohort/BTBR/test/c7_m1.mp4</t>
        </is>
      </c>
      <c r="F2693" t="n">
        <v>-6.367</v>
      </c>
      <c r="G2693" t="n">
        <v>575.266</v>
      </c>
      <c r="H2693" t="n">
        <v>711.999</v>
      </c>
      <c r="I2693" t="n">
        <v>30</v>
      </c>
      <c r="J2693" t="inlineStr">
        <is>
          <t>BTBR</t>
        </is>
      </c>
      <c r="K2693" t="inlineStr">
        <is>
          <t>Male</t>
        </is>
      </c>
      <c r="L2693" t="inlineStr">
        <is>
          <t>No focal subject</t>
        </is>
      </c>
      <c r="M2693" t="n">
        <v>66.735</v>
      </c>
      <c r="N2693" t="inlineStr">
        <is>
          <t>Explore_N</t>
        </is>
      </c>
      <c r="O2693" t="inlineStr">
        <is>
          <t>Novelty</t>
        </is>
      </c>
      <c r="P2693" t="inlineStr">
        <is>
          <t>STATE</t>
        </is>
      </c>
      <c r="Q2693" t="n">
        <v>567.799</v>
      </c>
      <c r="R2693" t="n">
        <v>568.066</v>
      </c>
      <c r="S2693" t="n">
        <v>0.267</v>
      </c>
      <c r="T2693" t="inlineStr">
        <is>
          <t>C:/Users/manuel.felline/Documents/BEHAVIOR BTBR/NOR second cohort/BTBR/test/c7_m1.mp4</t>
        </is>
      </c>
      <c r="U2693" t="n">
        <v>17223</v>
      </c>
      <c r="V2693" t="n">
        <v>17231</v>
      </c>
      <c r="W2693" t="n">
        <v/>
      </c>
      <c r="X2693" t="n">
        <v/>
      </c>
      <c r="Y2693" t="n">
        <v/>
      </c>
      <c r="Z2693" t="n">
        <v/>
      </c>
      <c r="AA2693">
        <f>SUMIFS($S$2:S2693,$A$2:A2693,A2693,$N$2:N2693,"Explore*")</f>
        <v/>
      </c>
      <c r="AB2693">
        <f>IF(AND(LEFT(N2693,7)="Explore",(AA2693-IF(LEFT(N2693,7)="Explore",S2693,0))&lt;10),"SI","NO")</f>
        <v/>
      </c>
    </row>
    <row r="2694">
      <c r="A2694" t="inlineStr">
        <is>
          <t>c7m1_test</t>
        </is>
      </c>
      <c r="B2694" t="inlineStr">
        <is>
          <t>2026-05-06 11:51:10.302</t>
        </is>
      </c>
      <c r="C2694" t="n">
        <v/>
      </c>
      <c r="D2694" t="inlineStr">
        <is>
          <t>Media file</t>
        </is>
      </c>
      <c r="E2694" t="inlineStr">
        <is>
          <t>player #1:C:/Users/manuel.felline/Documents/BEHAVIOR BTBR/NOR second cohort/BTBR/test/c7_m1.mp4</t>
        </is>
      </c>
      <c r="F2694" t="n">
        <v>-6.367</v>
      </c>
      <c r="G2694" t="n">
        <v>575.266</v>
      </c>
      <c r="H2694" t="n">
        <v>711.999</v>
      </c>
      <c r="I2694" t="n">
        <v>30</v>
      </c>
      <c r="J2694" t="inlineStr">
        <is>
          <t>BTBR</t>
        </is>
      </c>
      <c r="K2694" t="inlineStr">
        <is>
          <t>Male</t>
        </is>
      </c>
      <c r="L2694" t="inlineStr">
        <is>
          <t>No focal subject</t>
        </is>
      </c>
      <c r="M2694" t="n">
        <v>66.735</v>
      </c>
      <c r="N2694" t="inlineStr">
        <is>
          <t>Explore_N</t>
        </is>
      </c>
      <c r="O2694" t="inlineStr">
        <is>
          <t>Novelty</t>
        </is>
      </c>
      <c r="P2694" t="inlineStr">
        <is>
          <t>STATE</t>
        </is>
      </c>
      <c r="Q2694" t="n">
        <v>583.432</v>
      </c>
      <c r="R2694" t="n">
        <v>584.332</v>
      </c>
      <c r="S2694" t="n">
        <v>0.9</v>
      </c>
      <c r="T2694" t="inlineStr">
        <is>
          <t>C:/Users/manuel.felline/Documents/BEHAVIOR BTBR/NOR second cohort/BTBR/test/c7_m1.mp4</t>
        </is>
      </c>
      <c r="U2694" t="n">
        <v>17692</v>
      </c>
      <c r="V2694" t="n">
        <v>17719</v>
      </c>
      <c r="W2694" t="n">
        <v/>
      </c>
      <c r="X2694" t="n">
        <v/>
      </c>
      <c r="Y2694" t="n">
        <v/>
      </c>
      <c r="Z2694" t="n">
        <v/>
      </c>
      <c r="AA2694">
        <f>SUMIFS($S$2:S2694,$A$2:A2694,A2694,$N$2:N2694,"Explore*")</f>
        <v/>
      </c>
      <c r="AB2694">
        <f>IF(AND(LEFT(N2694,7)="Explore",(AA2694-IF(LEFT(N2694,7)="Explore",S2694,0))&lt;10),"SI","NO")</f>
        <v/>
      </c>
    </row>
    <row r="2695">
      <c r="A2695" t="inlineStr">
        <is>
          <t>c7m1_test</t>
        </is>
      </c>
      <c r="B2695" t="inlineStr">
        <is>
          <t>2026-05-06 11:51:10.302</t>
        </is>
      </c>
      <c r="C2695" t="n">
        <v/>
      </c>
      <c r="D2695" t="inlineStr">
        <is>
          <t>Media file</t>
        </is>
      </c>
      <c r="E2695" t="inlineStr">
        <is>
          <t>player #1:C:/Users/manuel.felline/Documents/BEHAVIOR BTBR/NOR second cohort/BTBR/test/c7_m1.mp4</t>
        </is>
      </c>
      <c r="F2695" t="n">
        <v>-6.367</v>
      </c>
      <c r="G2695" t="n">
        <v>575.266</v>
      </c>
      <c r="H2695" t="n">
        <v>711.999</v>
      </c>
      <c r="I2695" t="n">
        <v>30</v>
      </c>
      <c r="J2695" t="inlineStr">
        <is>
          <t>BTBR</t>
        </is>
      </c>
      <c r="K2695" t="inlineStr">
        <is>
          <t>Male</t>
        </is>
      </c>
      <c r="L2695" t="inlineStr">
        <is>
          <t>No focal subject</t>
        </is>
      </c>
      <c r="M2695" t="n">
        <v>66.735</v>
      </c>
      <c r="N2695" t="inlineStr">
        <is>
          <t>Explore_F</t>
        </is>
      </c>
      <c r="O2695" t="inlineStr">
        <is>
          <t>Familiar</t>
        </is>
      </c>
      <c r="P2695" t="inlineStr">
        <is>
          <t>STATE</t>
        </is>
      </c>
      <c r="Q2695" t="n">
        <v>588.799</v>
      </c>
      <c r="R2695" t="n">
        <v>589.399</v>
      </c>
      <c r="S2695" t="n">
        <v>0.6</v>
      </c>
      <c r="T2695" t="inlineStr">
        <is>
          <t>C:/Users/manuel.felline/Documents/BEHAVIOR BTBR/NOR second cohort/BTBR/test/c7_m1.mp4</t>
        </is>
      </c>
      <c r="U2695" t="n">
        <v>17853</v>
      </c>
      <c r="V2695" t="n">
        <v>17871</v>
      </c>
      <c r="W2695" t="n">
        <v/>
      </c>
      <c r="X2695" t="n">
        <v/>
      </c>
      <c r="Y2695" t="n">
        <v/>
      </c>
      <c r="Z2695" t="n">
        <v/>
      </c>
      <c r="AA2695">
        <f>SUMIFS($S$2:S2695,$A$2:A2695,A2695,$N$2:N2695,"Explore*")</f>
        <v/>
      </c>
      <c r="AB2695">
        <f>IF(AND(LEFT(N2695,7)="Explore",(AA2695-IF(LEFT(N2695,7)="Explore",S2695,0))&lt;10),"SI","NO")</f>
        <v/>
      </c>
    </row>
    <row r="2696">
      <c r="A2696" t="inlineStr">
        <is>
          <t>c7m2_test</t>
        </is>
      </c>
      <c r="B2696" t="inlineStr">
        <is>
          <t>2026-05-07 12:02:32.994</t>
        </is>
      </c>
      <c r="C2696" t="n">
        <v/>
      </c>
      <c r="D2696" t="inlineStr">
        <is>
          <t>Media file</t>
        </is>
      </c>
      <c r="E2696" t="inlineStr">
        <is>
          <t>player #1:C:/Users/manuel.felline/Documents/BEHAVIOR BTBR/NOR second cohort/BTBR/test/c7_m2.mp4</t>
        </is>
      </c>
      <c r="F2696" t="n">
        <v>-10.2</v>
      </c>
      <c r="G2696" t="n">
        <v>594.799</v>
      </c>
      <c r="H2696" t="n">
        <v>620.899</v>
      </c>
      <c r="I2696" t="n">
        <v>30</v>
      </c>
      <c r="J2696" t="inlineStr">
        <is>
          <t>BTBR</t>
        </is>
      </c>
      <c r="K2696" t="inlineStr">
        <is>
          <t>Male</t>
        </is>
      </c>
      <c r="L2696" t="inlineStr">
        <is>
          <t>No focal subject</t>
        </is>
      </c>
      <c r="M2696" t="n">
        <v>55.999</v>
      </c>
      <c r="N2696" t="inlineStr">
        <is>
          <t>Explore_F</t>
        </is>
      </c>
      <c r="O2696" t="inlineStr">
        <is>
          <t>Familiar</t>
        </is>
      </c>
      <c r="P2696" t="inlineStr">
        <is>
          <t>STATE</t>
        </is>
      </c>
      <c r="Q2696" t="n">
        <v>5.2</v>
      </c>
      <c r="R2696" t="n">
        <v>5.733</v>
      </c>
      <c r="S2696" t="n">
        <v>0.533</v>
      </c>
      <c r="T2696" t="inlineStr">
        <is>
          <t>C:/Users/manuel.felline/Documents/BEHAVIOR BTBR/NOR second cohort/BTBR/test/c7_m2.mp4</t>
        </is>
      </c>
      <c r="U2696" t="n">
        <v>461</v>
      </c>
      <c r="V2696" t="n">
        <v>477</v>
      </c>
      <c r="W2696" t="n">
        <v/>
      </c>
      <c r="X2696" t="n">
        <v/>
      </c>
      <c r="Y2696" t="n">
        <v/>
      </c>
      <c r="Z2696" t="n">
        <v/>
      </c>
      <c r="AA2696">
        <f>SUMIFS($S$2:S2696,$A$2:A2696,A2696,$N$2:N2696,"Explore*")</f>
        <v/>
      </c>
      <c r="AB2696">
        <f>IF(AND(LEFT(N2696,7)="Explore",(AA2696-IF(LEFT(N2696,7)="Explore",S2696,0))&lt;10),"SI","NO")</f>
        <v/>
      </c>
    </row>
    <row r="2697">
      <c r="A2697" t="inlineStr">
        <is>
          <t>c7m2_test</t>
        </is>
      </c>
      <c r="B2697" t="inlineStr">
        <is>
          <t>2026-05-07 12:02:32.994</t>
        </is>
      </c>
      <c r="C2697" t="n">
        <v/>
      </c>
      <c r="D2697" t="inlineStr">
        <is>
          <t>Media file</t>
        </is>
      </c>
      <c r="E2697" t="inlineStr">
        <is>
          <t>player #1:C:/Users/manuel.felline/Documents/BEHAVIOR BTBR/NOR second cohort/BTBR/test/c7_m2.mp4</t>
        </is>
      </c>
      <c r="F2697" t="n">
        <v>-10.2</v>
      </c>
      <c r="G2697" t="n">
        <v>594.799</v>
      </c>
      <c r="H2697" t="n">
        <v>620.899</v>
      </c>
      <c r="I2697" t="n">
        <v>30</v>
      </c>
      <c r="J2697" t="inlineStr">
        <is>
          <t>BTBR</t>
        </is>
      </c>
      <c r="K2697" t="inlineStr">
        <is>
          <t>Male</t>
        </is>
      </c>
      <c r="L2697" t="inlineStr">
        <is>
          <t>No focal subject</t>
        </is>
      </c>
      <c r="M2697" t="n">
        <v>55.999</v>
      </c>
      <c r="N2697" t="inlineStr">
        <is>
          <t>Explore_N</t>
        </is>
      </c>
      <c r="O2697" t="inlineStr">
        <is>
          <t>Novelty</t>
        </is>
      </c>
      <c r="P2697" t="inlineStr">
        <is>
          <t>STATE</t>
        </is>
      </c>
      <c r="Q2697" t="n">
        <v>15.633</v>
      </c>
      <c r="R2697" t="n">
        <v>16.867</v>
      </c>
      <c r="S2697" t="n">
        <v>1.234</v>
      </c>
      <c r="T2697" t="inlineStr">
        <is>
          <t>C:/Users/manuel.felline/Documents/BEHAVIOR BTBR/NOR second cohort/BTBR/test/c7_m2.mp4</t>
        </is>
      </c>
      <c r="U2697" t="n">
        <v>773</v>
      </c>
      <c r="V2697" t="n">
        <v>810</v>
      </c>
      <c r="W2697" t="n">
        <v/>
      </c>
      <c r="X2697" t="n">
        <v/>
      </c>
      <c r="Y2697" t="n">
        <v/>
      </c>
      <c r="Z2697" t="n">
        <v/>
      </c>
      <c r="AA2697">
        <f>SUMIFS($S$2:S2697,$A$2:A2697,A2697,$N$2:N2697,"Explore*")</f>
        <v/>
      </c>
      <c r="AB2697">
        <f>IF(AND(LEFT(N2697,7)="Explore",(AA2697-IF(LEFT(N2697,7)="Explore",S2697,0))&lt;10),"SI","NO")</f>
        <v/>
      </c>
    </row>
    <row r="2698">
      <c r="A2698" t="inlineStr">
        <is>
          <t>c7m2_test</t>
        </is>
      </c>
      <c r="B2698" t="inlineStr">
        <is>
          <t>2026-05-07 12:02:32.994</t>
        </is>
      </c>
      <c r="C2698" t="n">
        <v/>
      </c>
      <c r="D2698" t="inlineStr">
        <is>
          <t>Media file</t>
        </is>
      </c>
      <c r="E2698" t="inlineStr">
        <is>
          <t>player #1:C:/Users/manuel.felline/Documents/BEHAVIOR BTBR/NOR second cohort/BTBR/test/c7_m2.mp4</t>
        </is>
      </c>
      <c r="F2698" t="n">
        <v>-10.2</v>
      </c>
      <c r="G2698" t="n">
        <v>594.799</v>
      </c>
      <c r="H2698" t="n">
        <v>620.899</v>
      </c>
      <c r="I2698" t="n">
        <v>30</v>
      </c>
      <c r="J2698" t="inlineStr">
        <is>
          <t>BTBR</t>
        </is>
      </c>
      <c r="K2698" t="inlineStr">
        <is>
          <t>Male</t>
        </is>
      </c>
      <c r="L2698" t="inlineStr">
        <is>
          <t>No focal subject</t>
        </is>
      </c>
      <c r="M2698" t="n">
        <v>55.999</v>
      </c>
      <c r="N2698" t="inlineStr">
        <is>
          <t>Explore_N</t>
        </is>
      </c>
      <c r="O2698" t="inlineStr">
        <is>
          <t>Novelty</t>
        </is>
      </c>
      <c r="P2698" t="inlineStr">
        <is>
          <t>STATE</t>
        </is>
      </c>
      <c r="Q2698" t="n">
        <v>31.8</v>
      </c>
      <c r="R2698" t="n">
        <v>32.767</v>
      </c>
      <c r="S2698" t="n">
        <v>0.967</v>
      </c>
      <c r="T2698" t="inlineStr">
        <is>
          <t>C:/Users/manuel.felline/Documents/BEHAVIOR BTBR/NOR second cohort/BTBR/test/c7_m2.mp4</t>
        </is>
      </c>
      <c r="U2698" t="n">
        <v>1257</v>
      </c>
      <c r="V2698" t="n">
        <v>1286</v>
      </c>
      <c r="W2698" t="n">
        <v/>
      </c>
      <c r="X2698" t="n">
        <v/>
      </c>
      <c r="Y2698" t="n">
        <v/>
      </c>
      <c r="Z2698" t="n">
        <v/>
      </c>
      <c r="AA2698">
        <f>SUMIFS($S$2:S2698,$A$2:A2698,A2698,$N$2:N2698,"Explore*")</f>
        <v/>
      </c>
      <c r="AB2698">
        <f>IF(AND(LEFT(N2698,7)="Explore",(AA2698-IF(LEFT(N2698,7)="Explore",S2698,0))&lt;10),"SI","NO")</f>
        <v/>
      </c>
    </row>
    <row r="2699">
      <c r="A2699" t="inlineStr">
        <is>
          <t>c7m2_test</t>
        </is>
      </c>
      <c r="B2699" t="inlineStr">
        <is>
          <t>2026-05-07 12:02:32.994</t>
        </is>
      </c>
      <c r="C2699" t="n">
        <v/>
      </c>
      <c r="D2699" t="inlineStr">
        <is>
          <t>Media file</t>
        </is>
      </c>
      <c r="E2699" t="inlineStr">
        <is>
          <t>player #1:C:/Users/manuel.felline/Documents/BEHAVIOR BTBR/NOR second cohort/BTBR/test/c7_m2.mp4</t>
        </is>
      </c>
      <c r="F2699" t="n">
        <v>-10.2</v>
      </c>
      <c r="G2699" t="n">
        <v>594.799</v>
      </c>
      <c r="H2699" t="n">
        <v>620.899</v>
      </c>
      <c r="I2699" t="n">
        <v>30</v>
      </c>
      <c r="J2699" t="inlineStr">
        <is>
          <t>BTBR</t>
        </is>
      </c>
      <c r="K2699" t="inlineStr">
        <is>
          <t>Male</t>
        </is>
      </c>
      <c r="L2699" t="inlineStr">
        <is>
          <t>No focal subject</t>
        </is>
      </c>
      <c r="M2699" t="n">
        <v>55.999</v>
      </c>
      <c r="N2699" t="inlineStr">
        <is>
          <t>Explore_F</t>
        </is>
      </c>
      <c r="O2699" t="inlineStr">
        <is>
          <t>Familiar</t>
        </is>
      </c>
      <c r="P2699" t="inlineStr">
        <is>
          <t>STATE</t>
        </is>
      </c>
      <c r="Q2699" t="n">
        <v>34.2</v>
      </c>
      <c r="R2699" t="n">
        <v>35.333</v>
      </c>
      <c r="S2699" t="n">
        <v>1.133</v>
      </c>
      <c r="T2699" t="inlineStr">
        <is>
          <t>C:/Users/manuel.felline/Documents/BEHAVIOR BTBR/NOR second cohort/BTBR/test/c7_m2.mp4</t>
        </is>
      </c>
      <c r="U2699" t="n">
        <v>1329</v>
      </c>
      <c r="V2699" t="n">
        <v>1362</v>
      </c>
      <c r="W2699" t="n">
        <v/>
      </c>
      <c r="X2699" t="n">
        <v/>
      </c>
      <c r="Y2699" t="n">
        <v/>
      </c>
      <c r="Z2699" t="n">
        <v/>
      </c>
      <c r="AA2699">
        <f>SUMIFS($S$2:S2699,$A$2:A2699,A2699,$N$2:N2699,"Explore*")</f>
        <v/>
      </c>
      <c r="AB2699">
        <f>IF(AND(LEFT(N2699,7)="Explore",(AA2699-IF(LEFT(N2699,7)="Explore",S2699,0))&lt;10),"SI","NO")</f>
        <v/>
      </c>
    </row>
    <row r="2700">
      <c r="A2700" t="inlineStr">
        <is>
          <t>c7m2_test</t>
        </is>
      </c>
      <c r="B2700" t="inlineStr">
        <is>
          <t>2026-05-07 12:02:32.994</t>
        </is>
      </c>
      <c r="C2700" t="n">
        <v/>
      </c>
      <c r="D2700" t="inlineStr">
        <is>
          <t>Media file</t>
        </is>
      </c>
      <c r="E2700" t="inlineStr">
        <is>
          <t>player #1:C:/Users/manuel.felline/Documents/BEHAVIOR BTBR/NOR second cohort/BTBR/test/c7_m2.mp4</t>
        </is>
      </c>
      <c r="F2700" t="n">
        <v>-10.2</v>
      </c>
      <c r="G2700" t="n">
        <v>594.799</v>
      </c>
      <c r="H2700" t="n">
        <v>620.899</v>
      </c>
      <c r="I2700" t="n">
        <v>30</v>
      </c>
      <c r="J2700" t="inlineStr">
        <is>
          <t>BTBR</t>
        </is>
      </c>
      <c r="K2700" t="inlineStr">
        <is>
          <t>Male</t>
        </is>
      </c>
      <c r="L2700" t="inlineStr">
        <is>
          <t>No focal subject</t>
        </is>
      </c>
      <c r="M2700" t="n">
        <v>55.999</v>
      </c>
      <c r="N2700" t="inlineStr">
        <is>
          <t>Explore_N</t>
        </is>
      </c>
      <c r="O2700" t="inlineStr">
        <is>
          <t>Novelty</t>
        </is>
      </c>
      <c r="P2700" t="inlineStr">
        <is>
          <t>STATE</t>
        </is>
      </c>
      <c r="Q2700" t="n">
        <v>37.067</v>
      </c>
      <c r="R2700" t="n">
        <v>38.2</v>
      </c>
      <c r="S2700" t="n">
        <v>1.133</v>
      </c>
      <c r="T2700" t="inlineStr">
        <is>
          <t>C:/Users/manuel.felline/Documents/BEHAVIOR BTBR/NOR second cohort/BTBR/test/c7_m2.mp4</t>
        </is>
      </c>
      <c r="U2700" t="n">
        <v>1414</v>
      </c>
      <c r="V2700" t="n">
        <v>1448</v>
      </c>
      <c r="W2700" t="n">
        <v/>
      </c>
      <c r="X2700" t="n">
        <v/>
      </c>
      <c r="Y2700" t="n">
        <v/>
      </c>
      <c r="Z2700" t="n">
        <v/>
      </c>
      <c r="AA2700">
        <f>SUMIFS($S$2:S2700,$A$2:A2700,A2700,$N$2:N2700,"Explore*")</f>
        <v/>
      </c>
      <c r="AB2700">
        <f>IF(AND(LEFT(N2700,7)="Explore",(AA2700-IF(LEFT(N2700,7)="Explore",S2700,0))&lt;10),"SI","NO")</f>
        <v/>
      </c>
    </row>
    <row r="2701">
      <c r="A2701" t="inlineStr">
        <is>
          <t>c7m2_test</t>
        </is>
      </c>
      <c r="B2701" t="inlineStr">
        <is>
          <t>2026-05-07 12:02:32.994</t>
        </is>
      </c>
      <c r="C2701" t="n">
        <v/>
      </c>
      <c r="D2701" t="inlineStr">
        <is>
          <t>Media file</t>
        </is>
      </c>
      <c r="E2701" t="inlineStr">
        <is>
          <t>player #1:C:/Users/manuel.felline/Documents/BEHAVIOR BTBR/NOR second cohort/BTBR/test/c7_m2.mp4</t>
        </is>
      </c>
      <c r="F2701" t="n">
        <v>-10.2</v>
      </c>
      <c r="G2701" t="n">
        <v>594.799</v>
      </c>
      <c r="H2701" t="n">
        <v>620.899</v>
      </c>
      <c r="I2701" t="n">
        <v>30</v>
      </c>
      <c r="J2701" t="inlineStr">
        <is>
          <t>BTBR</t>
        </is>
      </c>
      <c r="K2701" t="inlineStr">
        <is>
          <t>Male</t>
        </is>
      </c>
      <c r="L2701" t="inlineStr">
        <is>
          <t>No focal subject</t>
        </is>
      </c>
      <c r="M2701" t="n">
        <v>55.999</v>
      </c>
      <c r="N2701" t="inlineStr">
        <is>
          <t>Explore_F</t>
        </is>
      </c>
      <c r="O2701" t="inlineStr">
        <is>
          <t>Familiar</t>
        </is>
      </c>
      <c r="P2701" t="inlineStr">
        <is>
          <t>STATE</t>
        </is>
      </c>
      <c r="Q2701" t="n">
        <v>49.3</v>
      </c>
      <c r="R2701" t="n">
        <v>50.867</v>
      </c>
      <c r="S2701" t="n">
        <v>1.567</v>
      </c>
      <c r="T2701" t="inlineStr">
        <is>
          <t>C:/Users/manuel.felline/Documents/BEHAVIOR BTBR/NOR second cohort/BTBR/test/c7_m2.mp4</t>
        </is>
      </c>
      <c r="U2701" t="n">
        <v>1780</v>
      </c>
      <c r="V2701" t="n">
        <v>1827</v>
      </c>
      <c r="W2701" t="n">
        <v/>
      </c>
      <c r="X2701" t="n">
        <v/>
      </c>
      <c r="Y2701" t="n">
        <v/>
      </c>
      <c r="Z2701" t="n">
        <v/>
      </c>
      <c r="AA2701">
        <f>SUMIFS($S$2:S2701,$A$2:A2701,A2701,$N$2:N2701,"Explore*")</f>
        <v/>
      </c>
      <c r="AB2701">
        <f>IF(AND(LEFT(N2701,7)="Explore",(AA2701-IF(LEFT(N2701,7)="Explore",S2701,0))&lt;10),"SI","NO")</f>
        <v/>
      </c>
    </row>
    <row r="2702">
      <c r="A2702" t="inlineStr">
        <is>
          <t>c7m2_test</t>
        </is>
      </c>
      <c r="B2702" t="inlineStr">
        <is>
          <t>2026-05-07 12:02:32.994</t>
        </is>
      </c>
      <c r="C2702" t="n">
        <v/>
      </c>
      <c r="D2702" t="inlineStr">
        <is>
          <t>Media file</t>
        </is>
      </c>
      <c r="E2702" t="inlineStr">
        <is>
          <t>player #1:C:/Users/manuel.felline/Documents/BEHAVIOR BTBR/NOR second cohort/BTBR/test/c7_m2.mp4</t>
        </is>
      </c>
      <c r="F2702" t="n">
        <v>-10.2</v>
      </c>
      <c r="G2702" t="n">
        <v>594.799</v>
      </c>
      <c r="H2702" t="n">
        <v>620.899</v>
      </c>
      <c r="I2702" t="n">
        <v>30</v>
      </c>
      <c r="J2702" t="inlineStr">
        <is>
          <t>BTBR</t>
        </is>
      </c>
      <c r="K2702" t="inlineStr">
        <is>
          <t>Male</t>
        </is>
      </c>
      <c r="L2702" t="inlineStr">
        <is>
          <t>No focal subject</t>
        </is>
      </c>
      <c r="M2702" t="n">
        <v>55.999</v>
      </c>
      <c r="N2702" t="inlineStr">
        <is>
          <t>Explore_N</t>
        </is>
      </c>
      <c r="O2702" t="inlineStr">
        <is>
          <t>Novelty</t>
        </is>
      </c>
      <c r="P2702" t="inlineStr">
        <is>
          <t>STATE</t>
        </is>
      </c>
      <c r="Q2702" t="n">
        <v>60.767</v>
      </c>
      <c r="R2702" t="n">
        <v>61.4</v>
      </c>
      <c r="S2702" t="n">
        <v>0.633</v>
      </c>
      <c r="T2702" t="inlineStr">
        <is>
          <t>C:/Users/manuel.felline/Documents/BEHAVIOR BTBR/NOR second cohort/BTBR/test/c7_m2.mp4</t>
        </is>
      </c>
      <c r="U2702" t="n">
        <v>2124</v>
      </c>
      <c r="V2702" t="n">
        <v>2142</v>
      </c>
      <c r="W2702" t="n">
        <v/>
      </c>
      <c r="X2702" t="n">
        <v/>
      </c>
      <c r="Y2702" t="n">
        <v/>
      </c>
      <c r="Z2702" t="n">
        <v/>
      </c>
      <c r="AA2702">
        <f>SUMIFS($S$2:S2702,$A$2:A2702,A2702,$N$2:N2702,"Explore*")</f>
        <v/>
      </c>
      <c r="AB2702">
        <f>IF(AND(LEFT(N2702,7)="Explore",(AA2702-IF(LEFT(N2702,7)="Explore",S2702,0))&lt;10),"SI","NO")</f>
        <v/>
      </c>
    </row>
    <row r="2703">
      <c r="A2703" t="inlineStr">
        <is>
          <t>c7m2_test</t>
        </is>
      </c>
      <c r="B2703" t="inlineStr">
        <is>
          <t>2026-05-07 12:02:32.994</t>
        </is>
      </c>
      <c r="C2703" t="n">
        <v/>
      </c>
      <c r="D2703" t="inlineStr">
        <is>
          <t>Media file</t>
        </is>
      </c>
      <c r="E2703" t="inlineStr">
        <is>
          <t>player #1:C:/Users/manuel.felline/Documents/BEHAVIOR BTBR/NOR second cohort/BTBR/test/c7_m2.mp4</t>
        </is>
      </c>
      <c r="F2703" t="n">
        <v>-10.2</v>
      </c>
      <c r="G2703" t="n">
        <v>594.799</v>
      </c>
      <c r="H2703" t="n">
        <v>620.899</v>
      </c>
      <c r="I2703" t="n">
        <v>30</v>
      </c>
      <c r="J2703" t="inlineStr">
        <is>
          <t>BTBR</t>
        </is>
      </c>
      <c r="K2703" t="inlineStr">
        <is>
          <t>Male</t>
        </is>
      </c>
      <c r="L2703" t="inlineStr">
        <is>
          <t>No focal subject</t>
        </is>
      </c>
      <c r="M2703" t="n">
        <v>55.999</v>
      </c>
      <c r="N2703" t="inlineStr">
        <is>
          <t>Explore_F</t>
        </is>
      </c>
      <c r="O2703" t="inlineStr">
        <is>
          <t>Familiar</t>
        </is>
      </c>
      <c r="P2703" t="inlineStr">
        <is>
          <t>STATE</t>
        </is>
      </c>
      <c r="Q2703" t="n">
        <v>64</v>
      </c>
      <c r="R2703" t="n">
        <v>64.667</v>
      </c>
      <c r="S2703" t="n">
        <v>0.667</v>
      </c>
      <c r="T2703" t="inlineStr">
        <is>
          <t>C:/Users/manuel.felline/Documents/BEHAVIOR BTBR/NOR second cohort/BTBR/test/c7_m2.mp4</t>
        </is>
      </c>
      <c r="U2703" t="n">
        <v>2220</v>
      </c>
      <c r="V2703" t="n">
        <v>2240</v>
      </c>
      <c r="W2703" t="n">
        <v/>
      </c>
      <c r="X2703" t="n">
        <v/>
      </c>
      <c r="Y2703" t="n">
        <v/>
      </c>
      <c r="Z2703" t="n">
        <v/>
      </c>
      <c r="AA2703">
        <f>SUMIFS($S$2:S2703,$A$2:A2703,A2703,$N$2:N2703,"Explore*")</f>
        <v/>
      </c>
      <c r="AB2703">
        <f>IF(AND(LEFT(N2703,7)="Explore",(AA2703-IF(LEFT(N2703,7)="Explore",S2703,0))&lt;10),"SI","NO")</f>
        <v/>
      </c>
    </row>
    <row r="2704">
      <c r="A2704" t="inlineStr">
        <is>
          <t>c7m2_test</t>
        </is>
      </c>
      <c r="B2704" t="inlineStr">
        <is>
          <t>2026-05-07 12:02:32.994</t>
        </is>
      </c>
      <c r="C2704" t="n">
        <v/>
      </c>
      <c r="D2704" t="inlineStr">
        <is>
          <t>Media file</t>
        </is>
      </c>
      <c r="E2704" t="inlineStr">
        <is>
          <t>player #1:C:/Users/manuel.felline/Documents/BEHAVIOR BTBR/NOR second cohort/BTBR/test/c7_m2.mp4</t>
        </is>
      </c>
      <c r="F2704" t="n">
        <v>-10.2</v>
      </c>
      <c r="G2704" t="n">
        <v>594.799</v>
      </c>
      <c r="H2704" t="n">
        <v>620.899</v>
      </c>
      <c r="I2704" t="n">
        <v>30</v>
      </c>
      <c r="J2704" t="inlineStr">
        <is>
          <t>BTBR</t>
        </is>
      </c>
      <c r="K2704" t="inlineStr">
        <is>
          <t>Male</t>
        </is>
      </c>
      <c r="L2704" t="inlineStr">
        <is>
          <t>No focal subject</t>
        </is>
      </c>
      <c r="M2704" t="n">
        <v>55.999</v>
      </c>
      <c r="N2704" t="inlineStr">
        <is>
          <t>Explore_F</t>
        </is>
      </c>
      <c r="O2704" t="inlineStr">
        <is>
          <t>Familiar</t>
        </is>
      </c>
      <c r="P2704" t="inlineStr">
        <is>
          <t>STATE</t>
        </is>
      </c>
      <c r="Q2704" t="n">
        <v>69.93300000000001</v>
      </c>
      <c r="R2704" t="n">
        <v>70.533</v>
      </c>
      <c r="S2704" t="n">
        <v>0.6</v>
      </c>
      <c r="T2704" t="inlineStr">
        <is>
          <t>C:/Users/manuel.felline/Documents/BEHAVIOR BTBR/NOR second cohort/BTBR/test/c7_m2.mp4</t>
        </is>
      </c>
      <c r="U2704" t="n">
        <v>2398</v>
      </c>
      <c r="V2704" t="n">
        <v>2416</v>
      </c>
      <c r="W2704" t="n">
        <v/>
      </c>
      <c r="X2704" t="n">
        <v/>
      </c>
      <c r="Y2704" t="n">
        <v/>
      </c>
      <c r="Z2704" t="n">
        <v/>
      </c>
      <c r="AA2704">
        <f>SUMIFS($S$2:S2704,$A$2:A2704,A2704,$N$2:N2704,"Explore*")</f>
        <v/>
      </c>
      <c r="AB2704">
        <f>IF(AND(LEFT(N2704,7)="Explore",(AA2704-IF(LEFT(N2704,7)="Explore",S2704,0))&lt;10),"SI","NO")</f>
        <v/>
      </c>
    </row>
    <row r="2705">
      <c r="A2705" t="inlineStr">
        <is>
          <t>c7m2_test</t>
        </is>
      </c>
      <c r="B2705" t="inlineStr">
        <is>
          <t>2026-05-07 12:02:32.994</t>
        </is>
      </c>
      <c r="C2705" t="n">
        <v/>
      </c>
      <c r="D2705" t="inlineStr">
        <is>
          <t>Media file</t>
        </is>
      </c>
      <c r="E2705" t="inlineStr">
        <is>
          <t>player #1:C:/Users/manuel.felline/Documents/BEHAVIOR BTBR/NOR second cohort/BTBR/test/c7_m2.mp4</t>
        </is>
      </c>
      <c r="F2705" t="n">
        <v>-10.2</v>
      </c>
      <c r="G2705" t="n">
        <v>594.799</v>
      </c>
      <c r="H2705" t="n">
        <v>620.899</v>
      </c>
      <c r="I2705" t="n">
        <v>30</v>
      </c>
      <c r="J2705" t="inlineStr">
        <is>
          <t>BTBR</t>
        </is>
      </c>
      <c r="K2705" t="inlineStr">
        <is>
          <t>Male</t>
        </is>
      </c>
      <c r="L2705" t="inlineStr">
        <is>
          <t>No focal subject</t>
        </is>
      </c>
      <c r="M2705" t="n">
        <v>55.999</v>
      </c>
      <c r="N2705" t="inlineStr">
        <is>
          <t>Explore_N</t>
        </is>
      </c>
      <c r="O2705" t="inlineStr">
        <is>
          <t>Novelty</t>
        </is>
      </c>
      <c r="P2705" t="inlineStr">
        <is>
          <t>STATE</t>
        </is>
      </c>
      <c r="Q2705" t="n">
        <v>71.467</v>
      </c>
      <c r="R2705" t="n">
        <v>73.43300000000001</v>
      </c>
      <c r="S2705" t="n">
        <v>1.966</v>
      </c>
      <c r="T2705" t="inlineStr">
        <is>
          <t>C:/Users/manuel.felline/Documents/BEHAVIOR BTBR/NOR second cohort/BTBR/test/c7_m2.mp4</t>
        </is>
      </c>
      <c r="U2705" t="n">
        <v>2444</v>
      </c>
      <c r="V2705" t="n">
        <v>2503</v>
      </c>
      <c r="W2705" t="n">
        <v/>
      </c>
      <c r="X2705" t="n">
        <v/>
      </c>
      <c r="Y2705" t="n">
        <v/>
      </c>
      <c r="Z2705" t="n">
        <v/>
      </c>
      <c r="AA2705">
        <f>SUMIFS($S$2:S2705,$A$2:A2705,A2705,$N$2:N2705,"Explore*")</f>
        <v/>
      </c>
      <c r="AB2705">
        <f>IF(AND(LEFT(N2705,7)="Explore",(AA2705-IF(LEFT(N2705,7)="Explore",S2705,0))&lt;10),"SI","NO")</f>
        <v/>
      </c>
    </row>
    <row r="2706">
      <c r="A2706" t="inlineStr">
        <is>
          <t>c7m2_test</t>
        </is>
      </c>
      <c r="B2706" t="inlineStr">
        <is>
          <t>2026-05-07 12:02:32.994</t>
        </is>
      </c>
      <c r="C2706" t="n">
        <v/>
      </c>
      <c r="D2706" t="inlineStr">
        <is>
          <t>Media file</t>
        </is>
      </c>
      <c r="E2706" t="inlineStr">
        <is>
          <t>player #1:C:/Users/manuel.felline/Documents/BEHAVIOR BTBR/NOR second cohort/BTBR/test/c7_m2.mp4</t>
        </is>
      </c>
      <c r="F2706" t="n">
        <v>-10.2</v>
      </c>
      <c r="G2706" t="n">
        <v>594.799</v>
      </c>
      <c r="H2706" t="n">
        <v>620.899</v>
      </c>
      <c r="I2706" t="n">
        <v>30</v>
      </c>
      <c r="J2706" t="inlineStr">
        <is>
          <t>BTBR</t>
        </is>
      </c>
      <c r="K2706" t="inlineStr">
        <is>
          <t>Male</t>
        </is>
      </c>
      <c r="L2706" t="inlineStr">
        <is>
          <t>No focal subject</t>
        </is>
      </c>
      <c r="M2706" t="n">
        <v>55.999</v>
      </c>
      <c r="N2706" t="inlineStr">
        <is>
          <t>Explore_N</t>
        </is>
      </c>
      <c r="O2706" t="inlineStr">
        <is>
          <t>Novelty</t>
        </is>
      </c>
      <c r="P2706" t="inlineStr">
        <is>
          <t>STATE</t>
        </is>
      </c>
      <c r="Q2706" t="n">
        <v>76.367</v>
      </c>
      <c r="R2706" t="n">
        <v>76.90000000000001</v>
      </c>
      <c r="S2706" t="n">
        <v>0.533</v>
      </c>
      <c r="T2706" t="inlineStr">
        <is>
          <t>C:/Users/manuel.felline/Documents/BEHAVIOR BTBR/NOR second cohort/BTBR/test/c7_m2.mp4</t>
        </is>
      </c>
      <c r="U2706" t="n">
        <v>2590</v>
      </c>
      <c r="V2706" t="n">
        <v>2606</v>
      </c>
      <c r="W2706" t="n">
        <v/>
      </c>
      <c r="X2706" t="n">
        <v/>
      </c>
      <c r="Y2706" t="n">
        <v/>
      </c>
      <c r="Z2706" t="n">
        <v/>
      </c>
      <c r="AA2706">
        <f>SUMIFS($S$2:S2706,$A$2:A2706,A2706,$N$2:N2706,"Explore*")</f>
        <v/>
      </c>
      <c r="AB2706">
        <f>IF(AND(LEFT(N2706,7)="Explore",(AA2706-IF(LEFT(N2706,7)="Explore",S2706,0))&lt;10),"SI","NO")</f>
        <v/>
      </c>
    </row>
    <row r="2707">
      <c r="A2707" t="inlineStr">
        <is>
          <t>c7m2_test</t>
        </is>
      </c>
      <c r="B2707" t="inlineStr">
        <is>
          <t>2026-05-07 12:02:32.994</t>
        </is>
      </c>
      <c r="C2707" t="n">
        <v/>
      </c>
      <c r="D2707" t="inlineStr">
        <is>
          <t>Media file</t>
        </is>
      </c>
      <c r="E2707" t="inlineStr">
        <is>
          <t>player #1:C:/Users/manuel.felline/Documents/BEHAVIOR BTBR/NOR second cohort/BTBR/test/c7_m2.mp4</t>
        </is>
      </c>
      <c r="F2707" t="n">
        <v>-10.2</v>
      </c>
      <c r="G2707" t="n">
        <v>594.799</v>
      </c>
      <c r="H2707" t="n">
        <v>620.899</v>
      </c>
      <c r="I2707" t="n">
        <v>30</v>
      </c>
      <c r="J2707" t="inlineStr">
        <is>
          <t>BTBR</t>
        </is>
      </c>
      <c r="K2707" t="inlineStr">
        <is>
          <t>Male</t>
        </is>
      </c>
      <c r="L2707" t="inlineStr">
        <is>
          <t>No focal subject</t>
        </is>
      </c>
      <c r="M2707" t="n">
        <v>55.999</v>
      </c>
      <c r="N2707" t="inlineStr">
        <is>
          <t>Explore_F</t>
        </is>
      </c>
      <c r="O2707" t="inlineStr">
        <is>
          <t>Familiar</t>
        </is>
      </c>
      <c r="P2707" t="inlineStr">
        <is>
          <t>STATE</t>
        </is>
      </c>
      <c r="Q2707" t="n">
        <v>78.8</v>
      </c>
      <c r="R2707" t="n">
        <v>79.767</v>
      </c>
      <c r="S2707" t="n">
        <v>0.967</v>
      </c>
      <c r="T2707" t="inlineStr">
        <is>
          <t>C:/Users/manuel.felline/Documents/BEHAVIOR BTBR/NOR second cohort/BTBR/test/c7_m2.mp4</t>
        </is>
      </c>
      <c r="U2707" t="n">
        <v>2663</v>
      </c>
      <c r="V2707" t="n">
        <v>2692</v>
      </c>
      <c r="W2707" t="n">
        <v/>
      </c>
      <c r="X2707" t="n">
        <v/>
      </c>
      <c r="Y2707" t="n">
        <v/>
      </c>
      <c r="Z2707" t="n">
        <v/>
      </c>
      <c r="AA2707">
        <f>SUMIFS($S$2:S2707,$A$2:A2707,A2707,$N$2:N2707,"Explore*")</f>
        <v/>
      </c>
      <c r="AB2707">
        <f>IF(AND(LEFT(N2707,7)="Explore",(AA2707-IF(LEFT(N2707,7)="Explore",S2707,0))&lt;10),"SI","NO")</f>
        <v/>
      </c>
    </row>
    <row r="2708">
      <c r="A2708" t="inlineStr">
        <is>
          <t>c7m2_test</t>
        </is>
      </c>
      <c r="B2708" t="inlineStr">
        <is>
          <t>2026-05-07 12:02:32.994</t>
        </is>
      </c>
      <c r="C2708" t="n">
        <v/>
      </c>
      <c r="D2708" t="inlineStr">
        <is>
          <t>Media file</t>
        </is>
      </c>
      <c r="E2708" t="inlineStr">
        <is>
          <t>player #1:C:/Users/manuel.felline/Documents/BEHAVIOR BTBR/NOR second cohort/BTBR/test/c7_m2.mp4</t>
        </is>
      </c>
      <c r="F2708" t="n">
        <v>-10.2</v>
      </c>
      <c r="G2708" t="n">
        <v>594.799</v>
      </c>
      <c r="H2708" t="n">
        <v>620.899</v>
      </c>
      <c r="I2708" t="n">
        <v>30</v>
      </c>
      <c r="J2708" t="inlineStr">
        <is>
          <t>BTBR</t>
        </is>
      </c>
      <c r="K2708" t="inlineStr">
        <is>
          <t>Male</t>
        </is>
      </c>
      <c r="L2708" t="inlineStr">
        <is>
          <t>No focal subject</t>
        </is>
      </c>
      <c r="M2708" t="n">
        <v>55.999</v>
      </c>
      <c r="N2708" t="inlineStr">
        <is>
          <t>Explore_N</t>
        </is>
      </c>
      <c r="O2708" t="inlineStr">
        <is>
          <t>Novelty</t>
        </is>
      </c>
      <c r="P2708" t="inlineStr">
        <is>
          <t>STATE</t>
        </is>
      </c>
      <c r="Q2708" t="n">
        <v>89.467</v>
      </c>
      <c r="R2708" t="n">
        <v>89.90000000000001</v>
      </c>
      <c r="S2708" t="n">
        <v>0.433</v>
      </c>
      <c r="T2708" t="inlineStr">
        <is>
          <t>C:/Users/manuel.felline/Documents/BEHAVIOR BTBR/NOR second cohort/BTBR/test/c7_m2.mp4</t>
        </is>
      </c>
      <c r="U2708" t="n">
        <v>2982</v>
      </c>
      <c r="V2708" t="n">
        <v>2995</v>
      </c>
      <c r="W2708" t="n">
        <v/>
      </c>
      <c r="X2708" t="n">
        <v/>
      </c>
      <c r="Y2708" t="n">
        <v/>
      </c>
      <c r="Z2708" t="n">
        <v/>
      </c>
      <c r="AA2708">
        <f>SUMIFS($S$2:S2708,$A$2:A2708,A2708,$N$2:N2708,"Explore*")</f>
        <v/>
      </c>
      <c r="AB2708">
        <f>IF(AND(LEFT(N2708,7)="Explore",(AA2708-IF(LEFT(N2708,7)="Explore",S2708,0))&lt;10),"SI","NO")</f>
        <v/>
      </c>
    </row>
    <row r="2709">
      <c r="A2709" t="inlineStr">
        <is>
          <t>c7m2_test</t>
        </is>
      </c>
      <c r="B2709" t="inlineStr">
        <is>
          <t>2026-05-07 12:02:32.994</t>
        </is>
      </c>
      <c r="C2709" t="n">
        <v/>
      </c>
      <c r="D2709" t="inlineStr">
        <is>
          <t>Media file</t>
        </is>
      </c>
      <c r="E2709" t="inlineStr">
        <is>
          <t>player #1:C:/Users/manuel.felline/Documents/BEHAVIOR BTBR/NOR second cohort/BTBR/test/c7_m2.mp4</t>
        </is>
      </c>
      <c r="F2709" t="n">
        <v>-10.2</v>
      </c>
      <c r="G2709" t="n">
        <v>594.799</v>
      </c>
      <c r="H2709" t="n">
        <v>620.899</v>
      </c>
      <c r="I2709" t="n">
        <v>30</v>
      </c>
      <c r="J2709" t="inlineStr">
        <is>
          <t>BTBR</t>
        </is>
      </c>
      <c r="K2709" t="inlineStr">
        <is>
          <t>Male</t>
        </is>
      </c>
      <c r="L2709" t="inlineStr">
        <is>
          <t>No focal subject</t>
        </is>
      </c>
      <c r="M2709" t="n">
        <v>55.999</v>
      </c>
      <c r="N2709" t="inlineStr">
        <is>
          <t>Explore_N</t>
        </is>
      </c>
      <c r="O2709" t="inlineStr">
        <is>
          <t>Novelty</t>
        </is>
      </c>
      <c r="P2709" t="inlineStr">
        <is>
          <t>STATE</t>
        </is>
      </c>
      <c r="Q2709" t="n">
        <v>92.8</v>
      </c>
      <c r="R2709" t="n">
        <v>93.43300000000001</v>
      </c>
      <c r="S2709" t="n">
        <v>0.633</v>
      </c>
      <c r="T2709" t="inlineStr">
        <is>
          <t>C:/Users/manuel.felline/Documents/BEHAVIOR BTBR/NOR second cohort/BTBR/test/c7_m2.mp4</t>
        </is>
      </c>
      <c r="U2709" t="n">
        <v>3082</v>
      </c>
      <c r="V2709" t="n">
        <v>3101</v>
      </c>
      <c r="W2709" t="n">
        <v/>
      </c>
      <c r="X2709" t="n">
        <v/>
      </c>
      <c r="Y2709" t="n">
        <v/>
      </c>
      <c r="Z2709" t="n">
        <v/>
      </c>
      <c r="AA2709">
        <f>SUMIFS($S$2:S2709,$A$2:A2709,A2709,$N$2:N2709,"Explore*")</f>
        <v/>
      </c>
      <c r="AB2709">
        <f>IF(AND(LEFT(N2709,7)="Explore",(AA2709-IF(LEFT(N2709,7)="Explore",S2709,0))&lt;10),"SI","NO")</f>
        <v/>
      </c>
    </row>
    <row r="2710">
      <c r="A2710" t="inlineStr">
        <is>
          <t>c7m2_test</t>
        </is>
      </c>
      <c r="B2710" t="inlineStr">
        <is>
          <t>2026-05-07 12:02:32.994</t>
        </is>
      </c>
      <c r="C2710" t="n">
        <v/>
      </c>
      <c r="D2710" t="inlineStr">
        <is>
          <t>Media file</t>
        </is>
      </c>
      <c r="E2710" t="inlineStr">
        <is>
          <t>player #1:C:/Users/manuel.felline/Documents/BEHAVIOR BTBR/NOR second cohort/BTBR/test/c7_m2.mp4</t>
        </is>
      </c>
      <c r="F2710" t="n">
        <v>-10.2</v>
      </c>
      <c r="G2710" t="n">
        <v>594.799</v>
      </c>
      <c r="H2710" t="n">
        <v>620.899</v>
      </c>
      <c r="I2710" t="n">
        <v>30</v>
      </c>
      <c r="J2710" t="inlineStr">
        <is>
          <t>BTBR</t>
        </is>
      </c>
      <c r="K2710" t="inlineStr">
        <is>
          <t>Male</t>
        </is>
      </c>
      <c r="L2710" t="inlineStr">
        <is>
          <t>No focal subject</t>
        </is>
      </c>
      <c r="M2710" t="n">
        <v>55.999</v>
      </c>
      <c r="N2710" t="inlineStr">
        <is>
          <t>Explore_F</t>
        </is>
      </c>
      <c r="O2710" t="inlineStr">
        <is>
          <t>Familiar</t>
        </is>
      </c>
      <c r="P2710" t="inlineStr">
        <is>
          <t>STATE</t>
        </is>
      </c>
      <c r="Q2710" t="n">
        <v>94.233</v>
      </c>
      <c r="R2710" t="n">
        <v>95.233</v>
      </c>
      <c r="S2710" t="n">
        <v>1</v>
      </c>
      <c r="T2710" t="inlineStr">
        <is>
          <t>C:/Users/manuel.felline/Documents/BEHAVIOR BTBR/NOR second cohort/BTBR/test/c7_m2.mp4</t>
        </is>
      </c>
      <c r="U2710" t="n">
        <v>3125</v>
      </c>
      <c r="V2710" t="n">
        <v>3156</v>
      </c>
      <c r="W2710" t="n">
        <v/>
      </c>
      <c r="X2710" t="n">
        <v/>
      </c>
      <c r="Y2710" t="n">
        <v/>
      </c>
      <c r="Z2710" t="n">
        <v/>
      </c>
      <c r="AA2710">
        <f>SUMIFS($S$2:S2710,$A$2:A2710,A2710,$N$2:N2710,"Explore*")</f>
        <v/>
      </c>
      <c r="AB2710">
        <f>IF(AND(LEFT(N2710,7)="Explore",(AA2710-IF(LEFT(N2710,7)="Explore",S2710,0))&lt;10),"SI","NO")</f>
        <v/>
      </c>
    </row>
    <row r="2711">
      <c r="A2711" t="inlineStr">
        <is>
          <t>c7m2_test</t>
        </is>
      </c>
      <c r="B2711" t="inlineStr">
        <is>
          <t>2026-05-07 12:02:32.994</t>
        </is>
      </c>
      <c r="C2711" t="n">
        <v/>
      </c>
      <c r="D2711" t="inlineStr">
        <is>
          <t>Media file</t>
        </is>
      </c>
      <c r="E2711" t="inlineStr">
        <is>
          <t>player #1:C:/Users/manuel.felline/Documents/BEHAVIOR BTBR/NOR second cohort/BTBR/test/c7_m2.mp4</t>
        </is>
      </c>
      <c r="F2711" t="n">
        <v>-10.2</v>
      </c>
      <c r="G2711" t="n">
        <v>594.799</v>
      </c>
      <c r="H2711" t="n">
        <v>620.899</v>
      </c>
      <c r="I2711" t="n">
        <v>30</v>
      </c>
      <c r="J2711" t="inlineStr">
        <is>
          <t>BTBR</t>
        </is>
      </c>
      <c r="K2711" t="inlineStr">
        <is>
          <t>Male</t>
        </is>
      </c>
      <c r="L2711" t="inlineStr">
        <is>
          <t>No focal subject</t>
        </is>
      </c>
      <c r="M2711" t="n">
        <v>55.999</v>
      </c>
      <c r="N2711" t="inlineStr">
        <is>
          <t>Explore_F</t>
        </is>
      </c>
      <c r="O2711" t="inlineStr">
        <is>
          <t>Familiar</t>
        </is>
      </c>
      <c r="P2711" t="inlineStr">
        <is>
          <t>STATE</t>
        </is>
      </c>
      <c r="Q2711" t="n">
        <v>99.90000000000001</v>
      </c>
      <c r="R2711" t="n">
        <v>100.9</v>
      </c>
      <c r="S2711" t="n">
        <v>1</v>
      </c>
      <c r="T2711" t="inlineStr">
        <is>
          <t>C:/Users/manuel.felline/Documents/BEHAVIOR BTBR/NOR second cohort/BTBR/test/c7_m2.mp4</t>
        </is>
      </c>
      <c r="U2711" t="n">
        <v>3294</v>
      </c>
      <c r="V2711" t="n">
        <v>3324</v>
      </c>
      <c r="W2711" t="n">
        <v/>
      </c>
      <c r="X2711" t="n">
        <v/>
      </c>
      <c r="Y2711" t="n">
        <v/>
      </c>
      <c r="Z2711" t="n">
        <v/>
      </c>
      <c r="AA2711">
        <f>SUMIFS($S$2:S2711,$A$2:A2711,A2711,$N$2:N2711,"Explore*")</f>
        <v/>
      </c>
      <c r="AB2711">
        <f>IF(AND(LEFT(N2711,7)="Explore",(AA2711-IF(LEFT(N2711,7)="Explore",S2711,0))&lt;10),"SI","NO")</f>
        <v/>
      </c>
    </row>
    <row r="2712">
      <c r="A2712" t="inlineStr">
        <is>
          <t>c7m2_test</t>
        </is>
      </c>
      <c r="B2712" t="inlineStr">
        <is>
          <t>2026-05-07 12:02:32.994</t>
        </is>
      </c>
      <c r="C2712" t="n">
        <v/>
      </c>
      <c r="D2712" t="inlineStr">
        <is>
          <t>Media file</t>
        </is>
      </c>
      <c r="E2712" t="inlineStr">
        <is>
          <t>player #1:C:/Users/manuel.felline/Documents/BEHAVIOR BTBR/NOR second cohort/BTBR/test/c7_m2.mp4</t>
        </is>
      </c>
      <c r="F2712" t="n">
        <v>-10.2</v>
      </c>
      <c r="G2712" t="n">
        <v>594.799</v>
      </c>
      <c r="H2712" t="n">
        <v>620.899</v>
      </c>
      <c r="I2712" t="n">
        <v>30</v>
      </c>
      <c r="J2712" t="inlineStr">
        <is>
          <t>BTBR</t>
        </is>
      </c>
      <c r="K2712" t="inlineStr">
        <is>
          <t>Male</t>
        </is>
      </c>
      <c r="L2712" t="inlineStr">
        <is>
          <t>No focal subject</t>
        </is>
      </c>
      <c r="M2712" t="n">
        <v>55.999</v>
      </c>
      <c r="N2712" t="inlineStr">
        <is>
          <t>Explore_F</t>
        </is>
      </c>
      <c r="O2712" t="inlineStr">
        <is>
          <t>Familiar</t>
        </is>
      </c>
      <c r="P2712" t="inlineStr">
        <is>
          <t>STATE</t>
        </is>
      </c>
      <c r="Q2712" t="n">
        <v>106.267</v>
      </c>
      <c r="R2712" t="n">
        <v>107.067</v>
      </c>
      <c r="S2712" t="n">
        <v>0.8</v>
      </c>
      <c r="T2712" t="inlineStr">
        <is>
          <t>C:/Users/manuel.felline/Documents/BEHAVIOR BTBR/NOR second cohort/BTBR/test/c7_m2.mp4</t>
        </is>
      </c>
      <c r="U2712" t="n">
        <v>3485</v>
      </c>
      <c r="V2712" t="n">
        <v>3509</v>
      </c>
      <c r="W2712" t="n">
        <v/>
      </c>
      <c r="X2712" t="n">
        <v/>
      </c>
      <c r="Y2712" t="n">
        <v/>
      </c>
      <c r="Z2712" t="n">
        <v/>
      </c>
      <c r="AA2712">
        <f>SUMIFS($S$2:S2712,$A$2:A2712,A2712,$N$2:N2712,"Explore*")</f>
        <v/>
      </c>
      <c r="AB2712">
        <f>IF(AND(LEFT(N2712,7)="Explore",(AA2712-IF(LEFT(N2712,7)="Explore",S2712,0))&lt;10),"SI","NO")</f>
        <v/>
      </c>
    </row>
    <row r="2713">
      <c r="A2713" t="inlineStr">
        <is>
          <t>c7m2_test</t>
        </is>
      </c>
      <c r="B2713" t="inlineStr">
        <is>
          <t>2026-05-07 12:02:32.994</t>
        </is>
      </c>
      <c r="C2713" t="n">
        <v/>
      </c>
      <c r="D2713" t="inlineStr">
        <is>
          <t>Media file</t>
        </is>
      </c>
      <c r="E2713" t="inlineStr">
        <is>
          <t>player #1:C:/Users/manuel.felline/Documents/BEHAVIOR BTBR/NOR second cohort/BTBR/test/c7_m2.mp4</t>
        </is>
      </c>
      <c r="F2713" t="n">
        <v>-10.2</v>
      </c>
      <c r="G2713" t="n">
        <v>594.799</v>
      </c>
      <c r="H2713" t="n">
        <v>620.899</v>
      </c>
      <c r="I2713" t="n">
        <v>30</v>
      </c>
      <c r="J2713" t="inlineStr">
        <is>
          <t>BTBR</t>
        </is>
      </c>
      <c r="K2713" t="inlineStr">
        <is>
          <t>Male</t>
        </is>
      </c>
      <c r="L2713" t="inlineStr">
        <is>
          <t>No focal subject</t>
        </is>
      </c>
      <c r="M2713" t="n">
        <v>55.999</v>
      </c>
      <c r="N2713" t="inlineStr">
        <is>
          <t>Explore_F</t>
        </is>
      </c>
      <c r="O2713" t="inlineStr">
        <is>
          <t>Familiar</t>
        </is>
      </c>
      <c r="P2713" t="inlineStr">
        <is>
          <t>STATE</t>
        </is>
      </c>
      <c r="Q2713" t="n">
        <v>112.467</v>
      </c>
      <c r="R2713" t="n">
        <v>113.533</v>
      </c>
      <c r="S2713" t="n">
        <v>1.066</v>
      </c>
      <c r="T2713" t="inlineStr">
        <is>
          <t>C:/Users/manuel.felline/Documents/BEHAVIOR BTBR/NOR second cohort/BTBR/test/c7_m2.mp4</t>
        </is>
      </c>
      <c r="U2713" t="n">
        <v>3671</v>
      </c>
      <c r="V2713" t="n">
        <v>3702</v>
      </c>
      <c r="W2713" t="n">
        <v/>
      </c>
      <c r="X2713" t="n">
        <v/>
      </c>
      <c r="Y2713" t="n">
        <v/>
      </c>
      <c r="Z2713" t="n">
        <v/>
      </c>
      <c r="AA2713">
        <f>SUMIFS($S$2:S2713,$A$2:A2713,A2713,$N$2:N2713,"Explore*")</f>
        <v/>
      </c>
      <c r="AB2713">
        <f>IF(AND(LEFT(N2713,7)="Explore",(AA2713-IF(LEFT(N2713,7)="Explore",S2713,0))&lt;10),"SI","NO")</f>
        <v/>
      </c>
    </row>
    <row r="2714">
      <c r="A2714" t="inlineStr">
        <is>
          <t>c7m2_test</t>
        </is>
      </c>
      <c r="B2714" t="inlineStr">
        <is>
          <t>2026-05-07 12:02:32.994</t>
        </is>
      </c>
      <c r="C2714" t="n">
        <v/>
      </c>
      <c r="D2714" t="inlineStr">
        <is>
          <t>Media file</t>
        </is>
      </c>
      <c r="E2714" t="inlineStr">
        <is>
          <t>player #1:C:/Users/manuel.felline/Documents/BEHAVIOR BTBR/NOR second cohort/BTBR/test/c7_m2.mp4</t>
        </is>
      </c>
      <c r="F2714" t="n">
        <v>-10.2</v>
      </c>
      <c r="G2714" t="n">
        <v>594.799</v>
      </c>
      <c r="H2714" t="n">
        <v>620.899</v>
      </c>
      <c r="I2714" t="n">
        <v>30</v>
      </c>
      <c r="J2714" t="inlineStr">
        <is>
          <t>BTBR</t>
        </is>
      </c>
      <c r="K2714" t="inlineStr">
        <is>
          <t>Male</t>
        </is>
      </c>
      <c r="L2714" t="inlineStr">
        <is>
          <t>No focal subject</t>
        </is>
      </c>
      <c r="M2714" t="n">
        <v>55.999</v>
      </c>
      <c r="N2714" t="inlineStr">
        <is>
          <t>Explore_F</t>
        </is>
      </c>
      <c r="O2714" t="inlineStr">
        <is>
          <t>Familiar</t>
        </is>
      </c>
      <c r="P2714" t="inlineStr">
        <is>
          <t>STATE</t>
        </is>
      </c>
      <c r="Q2714" t="n">
        <v>118.433</v>
      </c>
      <c r="R2714" t="n">
        <v>119.033</v>
      </c>
      <c r="S2714" t="n">
        <v>0.6</v>
      </c>
      <c r="T2714" t="inlineStr">
        <is>
          <t>C:/Users/manuel.felline/Documents/BEHAVIOR BTBR/NOR second cohort/BTBR/test/c7_m2.mp4</t>
        </is>
      </c>
      <c r="U2714" t="n">
        <v>3849</v>
      </c>
      <c r="V2714" t="n">
        <v>3867</v>
      </c>
      <c r="W2714" t="n">
        <v/>
      </c>
      <c r="X2714" t="n">
        <v/>
      </c>
      <c r="Y2714" t="n">
        <v/>
      </c>
      <c r="Z2714" t="n">
        <v/>
      </c>
      <c r="AA2714">
        <f>SUMIFS($S$2:S2714,$A$2:A2714,A2714,$N$2:N2714,"Explore*")</f>
        <v/>
      </c>
      <c r="AB2714">
        <f>IF(AND(LEFT(N2714,7)="Explore",(AA2714-IF(LEFT(N2714,7)="Explore",S2714,0))&lt;10),"SI","NO")</f>
        <v/>
      </c>
    </row>
    <row r="2715">
      <c r="A2715" t="inlineStr">
        <is>
          <t>c7m2_test</t>
        </is>
      </c>
      <c r="B2715" t="inlineStr">
        <is>
          <t>2026-05-07 12:02:32.994</t>
        </is>
      </c>
      <c r="C2715" t="n">
        <v/>
      </c>
      <c r="D2715" t="inlineStr">
        <is>
          <t>Media file</t>
        </is>
      </c>
      <c r="E2715" t="inlineStr">
        <is>
          <t>player #1:C:/Users/manuel.felline/Documents/BEHAVIOR BTBR/NOR second cohort/BTBR/test/c7_m2.mp4</t>
        </is>
      </c>
      <c r="F2715" t="n">
        <v>-10.2</v>
      </c>
      <c r="G2715" t="n">
        <v>594.799</v>
      </c>
      <c r="H2715" t="n">
        <v>620.899</v>
      </c>
      <c r="I2715" t="n">
        <v>30</v>
      </c>
      <c r="J2715" t="inlineStr">
        <is>
          <t>BTBR</t>
        </is>
      </c>
      <c r="K2715" t="inlineStr">
        <is>
          <t>Male</t>
        </is>
      </c>
      <c r="L2715" t="inlineStr">
        <is>
          <t>No focal subject</t>
        </is>
      </c>
      <c r="M2715" t="n">
        <v>55.999</v>
      </c>
      <c r="N2715" t="inlineStr">
        <is>
          <t>Explore_F</t>
        </is>
      </c>
      <c r="O2715" t="inlineStr">
        <is>
          <t>Familiar</t>
        </is>
      </c>
      <c r="P2715" t="inlineStr">
        <is>
          <t>STATE</t>
        </is>
      </c>
      <c r="Q2715" t="n">
        <v>139.2</v>
      </c>
      <c r="R2715" t="n">
        <v>139.8</v>
      </c>
      <c r="S2715" t="n">
        <v>0.6</v>
      </c>
      <c r="T2715" t="inlineStr">
        <is>
          <t>C:/Users/manuel.felline/Documents/BEHAVIOR BTBR/NOR second cohort/BTBR/test/c7_m2.mp4</t>
        </is>
      </c>
      <c r="U2715" t="n">
        <v>4470</v>
      </c>
      <c r="V2715" t="n">
        <v>4488</v>
      </c>
      <c r="W2715" t="n">
        <v/>
      </c>
      <c r="X2715" t="n">
        <v/>
      </c>
      <c r="Y2715" t="n">
        <v/>
      </c>
      <c r="Z2715" t="n">
        <v/>
      </c>
      <c r="AA2715">
        <f>SUMIFS($S$2:S2715,$A$2:A2715,A2715,$N$2:N2715,"Explore*")</f>
        <v/>
      </c>
      <c r="AB2715">
        <f>IF(AND(LEFT(N2715,7)="Explore",(AA2715-IF(LEFT(N2715,7)="Explore",S2715,0))&lt;10),"SI","NO")</f>
        <v/>
      </c>
    </row>
    <row r="2716">
      <c r="A2716" t="inlineStr">
        <is>
          <t>c7m2_test</t>
        </is>
      </c>
      <c r="B2716" t="inlineStr">
        <is>
          <t>2026-05-07 12:02:32.994</t>
        </is>
      </c>
      <c r="C2716" t="n">
        <v/>
      </c>
      <c r="D2716" t="inlineStr">
        <is>
          <t>Media file</t>
        </is>
      </c>
      <c r="E2716" t="inlineStr">
        <is>
          <t>player #1:C:/Users/manuel.felline/Documents/BEHAVIOR BTBR/NOR second cohort/BTBR/test/c7_m2.mp4</t>
        </is>
      </c>
      <c r="F2716" t="n">
        <v>-10.2</v>
      </c>
      <c r="G2716" t="n">
        <v>594.799</v>
      </c>
      <c r="H2716" t="n">
        <v>620.899</v>
      </c>
      <c r="I2716" t="n">
        <v>30</v>
      </c>
      <c r="J2716" t="inlineStr">
        <is>
          <t>BTBR</t>
        </is>
      </c>
      <c r="K2716" t="inlineStr">
        <is>
          <t>Male</t>
        </is>
      </c>
      <c r="L2716" t="inlineStr">
        <is>
          <t>No focal subject</t>
        </is>
      </c>
      <c r="M2716" t="n">
        <v>55.999</v>
      </c>
      <c r="N2716" t="inlineStr">
        <is>
          <t>Explore_F</t>
        </is>
      </c>
      <c r="O2716" t="inlineStr">
        <is>
          <t>Familiar</t>
        </is>
      </c>
      <c r="P2716" t="inlineStr">
        <is>
          <t>STATE</t>
        </is>
      </c>
      <c r="Q2716" t="n">
        <v>146.133</v>
      </c>
      <c r="R2716" t="n">
        <v>146.533</v>
      </c>
      <c r="S2716" t="n">
        <v>0.4</v>
      </c>
      <c r="T2716" t="inlineStr">
        <is>
          <t>C:/Users/manuel.felline/Documents/BEHAVIOR BTBR/NOR second cohort/BTBR/test/c7_m2.mp4</t>
        </is>
      </c>
      <c r="U2716" t="n">
        <v>4678</v>
      </c>
      <c r="V2716" t="n">
        <v>4690</v>
      </c>
      <c r="W2716" t="n">
        <v/>
      </c>
      <c r="X2716" t="n">
        <v/>
      </c>
      <c r="Y2716" t="n">
        <v/>
      </c>
      <c r="Z2716" t="n">
        <v/>
      </c>
      <c r="AA2716">
        <f>SUMIFS($S$2:S2716,$A$2:A2716,A2716,$N$2:N2716,"Explore*")</f>
        <v/>
      </c>
      <c r="AB2716">
        <f>IF(AND(LEFT(N2716,7)="Explore",(AA2716-IF(LEFT(N2716,7)="Explore",S2716,0))&lt;10),"SI","NO")</f>
        <v/>
      </c>
    </row>
    <row r="2717">
      <c r="A2717" t="inlineStr">
        <is>
          <t>c7m2_test</t>
        </is>
      </c>
      <c r="B2717" t="inlineStr">
        <is>
          <t>2026-05-07 12:02:32.994</t>
        </is>
      </c>
      <c r="C2717" t="n">
        <v/>
      </c>
      <c r="D2717" t="inlineStr">
        <is>
          <t>Media file</t>
        </is>
      </c>
      <c r="E2717" t="inlineStr">
        <is>
          <t>player #1:C:/Users/manuel.felline/Documents/BEHAVIOR BTBR/NOR second cohort/BTBR/test/c7_m2.mp4</t>
        </is>
      </c>
      <c r="F2717" t="n">
        <v>-10.2</v>
      </c>
      <c r="G2717" t="n">
        <v>594.799</v>
      </c>
      <c r="H2717" t="n">
        <v>620.899</v>
      </c>
      <c r="I2717" t="n">
        <v>30</v>
      </c>
      <c r="J2717" t="inlineStr">
        <is>
          <t>BTBR</t>
        </is>
      </c>
      <c r="K2717" t="inlineStr">
        <is>
          <t>Male</t>
        </is>
      </c>
      <c r="L2717" t="inlineStr">
        <is>
          <t>No focal subject</t>
        </is>
      </c>
      <c r="M2717" t="n">
        <v>55.999</v>
      </c>
      <c r="N2717" t="inlineStr">
        <is>
          <t>Explore_N</t>
        </is>
      </c>
      <c r="O2717" t="inlineStr">
        <is>
          <t>Novelty</t>
        </is>
      </c>
      <c r="P2717" t="inlineStr">
        <is>
          <t>STATE</t>
        </is>
      </c>
      <c r="Q2717" t="n">
        <v>147.233</v>
      </c>
      <c r="R2717" t="n">
        <v>149.267</v>
      </c>
      <c r="S2717" t="n">
        <v>2.034</v>
      </c>
      <c r="T2717" t="inlineStr">
        <is>
          <t>C:/Users/manuel.felline/Documents/BEHAVIOR BTBR/NOR second cohort/BTBR/test/c7_m2.mp4</t>
        </is>
      </c>
      <c r="U2717" t="n">
        <v>4711</v>
      </c>
      <c r="V2717" t="n">
        <v>4772</v>
      </c>
      <c r="W2717" t="n">
        <v/>
      </c>
      <c r="X2717" t="n">
        <v/>
      </c>
      <c r="Y2717" t="n">
        <v/>
      </c>
      <c r="Z2717" t="n">
        <v/>
      </c>
      <c r="AA2717">
        <f>SUMIFS($S$2:S2717,$A$2:A2717,A2717,$N$2:N2717,"Explore*")</f>
        <v/>
      </c>
      <c r="AB2717">
        <f>IF(AND(LEFT(N2717,7)="Explore",(AA2717-IF(LEFT(N2717,7)="Explore",S2717,0))&lt;10),"SI","NO")</f>
        <v/>
      </c>
    </row>
    <row r="2718">
      <c r="A2718" t="inlineStr">
        <is>
          <t>c7m2_test</t>
        </is>
      </c>
      <c r="B2718" t="inlineStr">
        <is>
          <t>2026-05-07 12:02:32.994</t>
        </is>
      </c>
      <c r="C2718" t="n">
        <v/>
      </c>
      <c r="D2718" t="inlineStr">
        <is>
          <t>Media file</t>
        </is>
      </c>
      <c r="E2718" t="inlineStr">
        <is>
          <t>player #1:C:/Users/manuel.felline/Documents/BEHAVIOR BTBR/NOR second cohort/BTBR/test/c7_m2.mp4</t>
        </is>
      </c>
      <c r="F2718" t="n">
        <v>-10.2</v>
      </c>
      <c r="G2718" t="n">
        <v>594.799</v>
      </c>
      <c r="H2718" t="n">
        <v>620.899</v>
      </c>
      <c r="I2718" t="n">
        <v>30</v>
      </c>
      <c r="J2718" t="inlineStr">
        <is>
          <t>BTBR</t>
        </is>
      </c>
      <c r="K2718" t="inlineStr">
        <is>
          <t>Male</t>
        </is>
      </c>
      <c r="L2718" t="inlineStr">
        <is>
          <t>No focal subject</t>
        </is>
      </c>
      <c r="M2718" t="n">
        <v>55.999</v>
      </c>
      <c r="N2718" t="inlineStr">
        <is>
          <t>Explore_N</t>
        </is>
      </c>
      <c r="O2718" t="inlineStr">
        <is>
          <t>Novelty</t>
        </is>
      </c>
      <c r="P2718" t="inlineStr">
        <is>
          <t>STATE</t>
        </is>
      </c>
      <c r="Q2718" t="n">
        <v>152.067</v>
      </c>
      <c r="R2718" t="n">
        <v>153.433</v>
      </c>
      <c r="S2718" t="n">
        <v>1.366</v>
      </c>
      <c r="T2718" t="inlineStr">
        <is>
          <t>C:/Users/manuel.felline/Documents/BEHAVIOR BTBR/NOR second cohort/BTBR/test/c7_m2.mp4</t>
        </is>
      </c>
      <c r="U2718" t="n">
        <v>4855</v>
      </c>
      <c r="V2718" t="n">
        <v>4896</v>
      </c>
      <c r="W2718" t="n">
        <v/>
      </c>
      <c r="X2718" t="n">
        <v/>
      </c>
      <c r="Y2718" t="n">
        <v/>
      </c>
      <c r="Z2718" t="n">
        <v/>
      </c>
      <c r="AA2718">
        <f>SUMIFS($S$2:S2718,$A$2:A2718,A2718,$N$2:N2718,"Explore*")</f>
        <v/>
      </c>
      <c r="AB2718">
        <f>IF(AND(LEFT(N2718,7)="Explore",(AA2718-IF(LEFT(N2718,7)="Explore",S2718,0))&lt;10),"SI","NO")</f>
        <v/>
      </c>
    </row>
    <row r="2719">
      <c r="A2719" t="inlineStr">
        <is>
          <t>c7m2_test</t>
        </is>
      </c>
      <c r="B2719" t="inlineStr">
        <is>
          <t>2026-05-07 12:02:32.994</t>
        </is>
      </c>
      <c r="C2719" t="n">
        <v/>
      </c>
      <c r="D2719" t="inlineStr">
        <is>
          <t>Media file</t>
        </is>
      </c>
      <c r="E2719" t="inlineStr">
        <is>
          <t>player #1:C:/Users/manuel.felline/Documents/BEHAVIOR BTBR/NOR second cohort/BTBR/test/c7_m2.mp4</t>
        </is>
      </c>
      <c r="F2719" t="n">
        <v>-10.2</v>
      </c>
      <c r="G2719" t="n">
        <v>594.799</v>
      </c>
      <c r="H2719" t="n">
        <v>620.899</v>
      </c>
      <c r="I2719" t="n">
        <v>30</v>
      </c>
      <c r="J2719" t="inlineStr">
        <is>
          <t>BTBR</t>
        </is>
      </c>
      <c r="K2719" t="inlineStr">
        <is>
          <t>Male</t>
        </is>
      </c>
      <c r="L2719" t="inlineStr">
        <is>
          <t>No focal subject</t>
        </is>
      </c>
      <c r="M2719" t="n">
        <v>55.999</v>
      </c>
      <c r="N2719" t="inlineStr">
        <is>
          <t>Explore_F</t>
        </is>
      </c>
      <c r="O2719" t="inlineStr">
        <is>
          <t>Familiar</t>
        </is>
      </c>
      <c r="P2719" t="inlineStr">
        <is>
          <t>STATE</t>
        </is>
      </c>
      <c r="Q2719" t="n">
        <v>156.9</v>
      </c>
      <c r="R2719" t="n">
        <v>157.533</v>
      </c>
      <c r="S2719" t="n">
        <v>0.633</v>
      </c>
      <c r="T2719" t="inlineStr">
        <is>
          <t>C:/Users/manuel.felline/Documents/BEHAVIOR BTBR/NOR second cohort/BTBR/test/c7_m2.mp4</t>
        </is>
      </c>
      <c r="U2719" t="n">
        <v>5000</v>
      </c>
      <c r="V2719" t="n">
        <v>5020</v>
      </c>
      <c r="W2719" t="n">
        <v/>
      </c>
      <c r="X2719" t="n">
        <v/>
      </c>
      <c r="Y2719" t="n">
        <v/>
      </c>
      <c r="Z2719" t="n">
        <v/>
      </c>
      <c r="AA2719">
        <f>SUMIFS($S$2:S2719,$A$2:A2719,A2719,$N$2:N2719,"Explore*")</f>
        <v/>
      </c>
      <c r="AB2719">
        <f>IF(AND(LEFT(N2719,7)="Explore",(AA2719-IF(LEFT(N2719,7)="Explore",S2719,0))&lt;10),"SI","NO")</f>
        <v/>
      </c>
    </row>
    <row r="2720">
      <c r="A2720" t="inlineStr">
        <is>
          <t>c7m2_test</t>
        </is>
      </c>
      <c r="B2720" t="inlineStr">
        <is>
          <t>2026-05-07 12:02:32.994</t>
        </is>
      </c>
      <c r="C2720" t="n">
        <v/>
      </c>
      <c r="D2720" t="inlineStr">
        <is>
          <t>Media file</t>
        </is>
      </c>
      <c r="E2720" t="inlineStr">
        <is>
          <t>player #1:C:/Users/manuel.felline/Documents/BEHAVIOR BTBR/NOR second cohort/BTBR/test/c7_m2.mp4</t>
        </is>
      </c>
      <c r="F2720" t="n">
        <v>-10.2</v>
      </c>
      <c r="G2720" t="n">
        <v>594.799</v>
      </c>
      <c r="H2720" t="n">
        <v>620.899</v>
      </c>
      <c r="I2720" t="n">
        <v>30</v>
      </c>
      <c r="J2720" t="inlineStr">
        <is>
          <t>BTBR</t>
        </is>
      </c>
      <c r="K2720" t="inlineStr">
        <is>
          <t>Male</t>
        </is>
      </c>
      <c r="L2720" t="inlineStr">
        <is>
          <t>No focal subject</t>
        </is>
      </c>
      <c r="M2720" t="n">
        <v>55.999</v>
      </c>
      <c r="N2720" t="inlineStr">
        <is>
          <t>Explore_F</t>
        </is>
      </c>
      <c r="O2720" t="inlineStr">
        <is>
          <t>Familiar</t>
        </is>
      </c>
      <c r="P2720" t="inlineStr">
        <is>
          <t>STATE</t>
        </is>
      </c>
      <c r="Q2720" t="n">
        <v>194.9</v>
      </c>
      <c r="R2720" t="n">
        <v>195.466</v>
      </c>
      <c r="S2720" t="n">
        <v>0.5659999999999999</v>
      </c>
      <c r="T2720" t="inlineStr">
        <is>
          <t>C:/Users/manuel.felline/Documents/BEHAVIOR BTBR/NOR second cohort/BTBR/test/c7_m2.mp4</t>
        </is>
      </c>
      <c r="U2720" t="n">
        <v>6137</v>
      </c>
      <c r="V2720" t="n">
        <v>6154</v>
      </c>
      <c r="W2720" t="n">
        <v/>
      </c>
      <c r="X2720" t="n">
        <v/>
      </c>
      <c r="Y2720" t="n">
        <v/>
      </c>
      <c r="Z2720" t="n">
        <v/>
      </c>
      <c r="AA2720">
        <f>SUMIFS($S$2:S2720,$A$2:A2720,A2720,$N$2:N2720,"Explore*")</f>
        <v/>
      </c>
      <c r="AB2720">
        <f>IF(AND(LEFT(N2720,7)="Explore",(AA2720-IF(LEFT(N2720,7)="Explore",S2720,0))&lt;10),"SI","NO")</f>
        <v/>
      </c>
    </row>
    <row r="2721">
      <c r="A2721" t="inlineStr">
        <is>
          <t>c7m2_test</t>
        </is>
      </c>
      <c r="B2721" t="inlineStr">
        <is>
          <t>2026-05-07 12:02:32.994</t>
        </is>
      </c>
      <c r="C2721" t="n">
        <v/>
      </c>
      <c r="D2721" t="inlineStr">
        <is>
          <t>Media file</t>
        </is>
      </c>
      <c r="E2721" t="inlineStr">
        <is>
          <t>player #1:C:/Users/manuel.felline/Documents/BEHAVIOR BTBR/NOR second cohort/BTBR/test/c7_m2.mp4</t>
        </is>
      </c>
      <c r="F2721" t="n">
        <v>-10.2</v>
      </c>
      <c r="G2721" t="n">
        <v>594.799</v>
      </c>
      <c r="H2721" t="n">
        <v>620.899</v>
      </c>
      <c r="I2721" t="n">
        <v>30</v>
      </c>
      <c r="J2721" t="inlineStr">
        <is>
          <t>BTBR</t>
        </is>
      </c>
      <c r="K2721" t="inlineStr">
        <is>
          <t>Male</t>
        </is>
      </c>
      <c r="L2721" t="inlineStr">
        <is>
          <t>No focal subject</t>
        </is>
      </c>
      <c r="M2721" t="n">
        <v>55.999</v>
      </c>
      <c r="N2721" t="inlineStr">
        <is>
          <t>Explore_F</t>
        </is>
      </c>
      <c r="O2721" t="inlineStr">
        <is>
          <t>Familiar</t>
        </is>
      </c>
      <c r="P2721" t="inlineStr">
        <is>
          <t>STATE</t>
        </is>
      </c>
      <c r="Q2721" t="n">
        <v>215.166</v>
      </c>
      <c r="R2721" t="n">
        <v>215.666</v>
      </c>
      <c r="S2721" t="n">
        <v>0.5</v>
      </c>
      <c r="T2721" t="inlineStr">
        <is>
          <t>C:/Users/manuel.felline/Documents/BEHAVIOR BTBR/NOR second cohort/BTBR/test/c7_m2.mp4</t>
        </is>
      </c>
      <c r="U2721" t="n">
        <v>6745</v>
      </c>
      <c r="V2721" t="n">
        <v>6759</v>
      </c>
      <c r="W2721" t="n">
        <v/>
      </c>
      <c r="X2721" t="n">
        <v/>
      </c>
      <c r="Y2721" t="n">
        <v/>
      </c>
      <c r="Z2721" t="n">
        <v/>
      </c>
      <c r="AA2721">
        <f>SUMIFS($S$2:S2721,$A$2:A2721,A2721,$N$2:N2721,"Explore*")</f>
        <v/>
      </c>
      <c r="AB2721">
        <f>IF(AND(LEFT(N2721,7)="Explore",(AA2721-IF(LEFT(N2721,7)="Explore",S2721,0))&lt;10),"SI","NO")</f>
        <v/>
      </c>
    </row>
    <row r="2722">
      <c r="A2722" t="inlineStr">
        <is>
          <t>c7m2_test</t>
        </is>
      </c>
      <c r="B2722" t="inlineStr">
        <is>
          <t>2026-05-07 12:02:32.994</t>
        </is>
      </c>
      <c r="C2722" t="n">
        <v/>
      </c>
      <c r="D2722" t="inlineStr">
        <is>
          <t>Media file</t>
        </is>
      </c>
      <c r="E2722" t="inlineStr">
        <is>
          <t>player #1:C:/Users/manuel.felline/Documents/BEHAVIOR BTBR/NOR second cohort/BTBR/test/c7_m2.mp4</t>
        </is>
      </c>
      <c r="F2722" t="n">
        <v>-10.2</v>
      </c>
      <c r="G2722" t="n">
        <v>594.799</v>
      </c>
      <c r="H2722" t="n">
        <v>620.899</v>
      </c>
      <c r="I2722" t="n">
        <v>30</v>
      </c>
      <c r="J2722" t="inlineStr">
        <is>
          <t>BTBR</t>
        </is>
      </c>
      <c r="K2722" t="inlineStr">
        <is>
          <t>Male</t>
        </is>
      </c>
      <c r="L2722" t="inlineStr">
        <is>
          <t>No focal subject</t>
        </is>
      </c>
      <c r="M2722" t="n">
        <v>55.999</v>
      </c>
      <c r="N2722" t="inlineStr">
        <is>
          <t>Explore_N</t>
        </is>
      </c>
      <c r="O2722" t="inlineStr">
        <is>
          <t>Novelty</t>
        </is>
      </c>
      <c r="P2722" t="inlineStr">
        <is>
          <t>STATE</t>
        </is>
      </c>
      <c r="Q2722" t="n">
        <v>216.5</v>
      </c>
      <c r="R2722" t="n">
        <v>218.2</v>
      </c>
      <c r="S2722" t="n">
        <v>1.7</v>
      </c>
      <c r="T2722" t="inlineStr">
        <is>
          <t>C:/Users/manuel.felline/Documents/BEHAVIOR BTBR/NOR second cohort/BTBR/test/c7_m2.mp4</t>
        </is>
      </c>
      <c r="U2722" t="n">
        <v>6783</v>
      </c>
      <c r="V2722" t="n">
        <v>6834</v>
      </c>
      <c r="W2722" t="n">
        <v/>
      </c>
      <c r="X2722" t="n">
        <v/>
      </c>
      <c r="Y2722" t="n">
        <v/>
      </c>
      <c r="Z2722" t="n">
        <v/>
      </c>
      <c r="AA2722">
        <f>SUMIFS($S$2:S2722,$A$2:A2722,A2722,$N$2:N2722,"Explore*")</f>
        <v/>
      </c>
      <c r="AB2722">
        <f>IF(AND(LEFT(N2722,7)="Explore",(AA2722-IF(LEFT(N2722,7)="Explore",S2722,0))&lt;10),"SI","NO")</f>
        <v/>
      </c>
    </row>
    <row r="2723">
      <c r="A2723" t="inlineStr">
        <is>
          <t>c7m2_test</t>
        </is>
      </c>
      <c r="B2723" t="inlineStr">
        <is>
          <t>2026-05-07 12:02:32.994</t>
        </is>
      </c>
      <c r="C2723" t="n">
        <v/>
      </c>
      <c r="D2723" t="inlineStr">
        <is>
          <t>Media file</t>
        </is>
      </c>
      <c r="E2723" t="inlineStr">
        <is>
          <t>player #1:C:/Users/manuel.felline/Documents/BEHAVIOR BTBR/NOR second cohort/BTBR/test/c7_m2.mp4</t>
        </is>
      </c>
      <c r="F2723" t="n">
        <v>-10.2</v>
      </c>
      <c r="G2723" t="n">
        <v>594.799</v>
      </c>
      <c r="H2723" t="n">
        <v>620.899</v>
      </c>
      <c r="I2723" t="n">
        <v>30</v>
      </c>
      <c r="J2723" t="inlineStr">
        <is>
          <t>BTBR</t>
        </is>
      </c>
      <c r="K2723" t="inlineStr">
        <is>
          <t>Male</t>
        </is>
      </c>
      <c r="L2723" t="inlineStr">
        <is>
          <t>No focal subject</t>
        </is>
      </c>
      <c r="M2723" t="n">
        <v>55.999</v>
      </c>
      <c r="N2723" t="inlineStr">
        <is>
          <t>Explore_F</t>
        </is>
      </c>
      <c r="O2723" t="inlineStr">
        <is>
          <t>Familiar</t>
        </is>
      </c>
      <c r="P2723" t="inlineStr">
        <is>
          <t>STATE</t>
        </is>
      </c>
      <c r="Q2723" t="n">
        <v>237.3</v>
      </c>
      <c r="R2723" t="n">
        <v>237.966</v>
      </c>
      <c r="S2723" t="n">
        <v>0.666</v>
      </c>
      <c r="T2723" t="inlineStr">
        <is>
          <t>C:/Users/manuel.felline/Documents/BEHAVIOR BTBR/NOR second cohort/BTBR/test/c7_m2.mp4</t>
        </is>
      </c>
      <c r="U2723" t="n">
        <v>7406</v>
      </c>
      <c r="V2723" t="n">
        <v>7426</v>
      </c>
      <c r="W2723" t="n">
        <v/>
      </c>
      <c r="X2723" t="n">
        <v/>
      </c>
      <c r="Y2723" t="n">
        <v/>
      </c>
      <c r="Z2723" t="n">
        <v/>
      </c>
      <c r="AA2723">
        <f>SUMIFS($S$2:S2723,$A$2:A2723,A2723,$N$2:N2723,"Explore*")</f>
        <v/>
      </c>
      <c r="AB2723">
        <f>IF(AND(LEFT(N2723,7)="Explore",(AA2723-IF(LEFT(N2723,7)="Explore",S2723,0))&lt;10),"SI","NO")</f>
        <v/>
      </c>
    </row>
    <row r="2724">
      <c r="A2724" t="inlineStr">
        <is>
          <t>c7m2_test</t>
        </is>
      </c>
      <c r="B2724" t="inlineStr">
        <is>
          <t>2026-05-07 12:02:32.994</t>
        </is>
      </c>
      <c r="C2724" t="n">
        <v/>
      </c>
      <c r="D2724" t="inlineStr">
        <is>
          <t>Media file</t>
        </is>
      </c>
      <c r="E2724" t="inlineStr">
        <is>
          <t>player #1:C:/Users/manuel.felline/Documents/BEHAVIOR BTBR/NOR second cohort/BTBR/test/c7_m2.mp4</t>
        </is>
      </c>
      <c r="F2724" t="n">
        <v>-10.2</v>
      </c>
      <c r="G2724" t="n">
        <v>594.799</v>
      </c>
      <c r="H2724" t="n">
        <v>620.899</v>
      </c>
      <c r="I2724" t="n">
        <v>30</v>
      </c>
      <c r="J2724" t="inlineStr">
        <is>
          <t>BTBR</t>
        </is>
      </c>
      <c r="K2724" t="inlineStr">
        <is>
          <t>Male</t>
        </is>
      </c>
      <c r="L2724" t="inlineStr">
        <is>
          <t>No focal subject</t>
        </is>
      </c>
      <c r="M2724" t="n">
        <v>55.999</v>
      </c>
      <c r="N2724" t="inlineStr">
        <is>
          <t>Explore_F</t>
        </is>
      </c>
      <c r="O2724" t="inlineStr">
        <is>
          <t>Familiar</t>
        </is>
      </c>
      <c r="P2724" t="inlineStr">
        <is>
          <t>STATE</t>
        </is>
      </c>
      <c r="Q2724" t="n">
        <v>270.833</v>
      </c>
      <c r="R2724" t="n">
        <v>271.633</v>
      </c>
      <c r="S2724" t="n">
        <v>0.8</v>
      </c>
      <c r="T2724" t="inlineStr">
        <is>
          <t>C:/Users/manuel.felline/Documents/BEHAVIOR BTBR/NOR second cohort/BTBR/test/c7_m2.mp4</t>
        </is>
      </c>
      <c r="U2724" t="n">
        <v>8409</v>
      </c>
      <c r="V2724" t="n">
        <v>8433</v>
      </c>
      <c r="W2724" t="n">
        <v/>
      </c>
      <c r="X2724" t="n">
        <v/>
      </c>
      <c r="Y2724" t="n">
        <v/>
      </c>
      <c r="Z2724" t="n">
        <v/>
      </c>
      <c r="AA2724">
        <f>SUMIFS($S$2:S2724,$A$2:A2724,A2724,$N$2:N2724,"Explore*")</f>
        <v/>
      </c>
      <c r="AB2724">
        <f>IF(AND(LEFT(N2724,7)="Explore",(AA2724-IF(LEFT(N2724,7)="Explore",S2724,0))&lt;10),"SI","NO")</f>
        <v/>
      </c>
    </row>
    <row r="2725">
      <c r="A2725" t="inlineStr">
        <is>
          <t>c7m2_test</t>
        </is>
      </c>
      <c r="B2725" t="inlineStr">
        <is>
          <t>2026-05-07 12:02:32.994</t>
        </is>
      </c>
      <c r="C2725" t="n">
        <v/>
      </c>
      <c r="D2725" t="inlineStr">
        <is>
          <t>Media file</t>
        </is>
      </c>
      <c r="E2725" t="inlineStr">
        <is>
          <t>player #1:C:/Users/manuel.felline/Documents/BEHAVIOR BTBR/NOR second cohort/BTBR/test/c7_m2.mp4</t>
        </is>
      </c>
      <c r="F2725" t="n">
        <v>-10.2</v>
      </c>
      <c r="G2725" t="n">
        <v>594.799</v>
      </c>
      <c r="H2725" t="n">
        <v>620.899</v>
      </c>
      <c r="I2725" t="n">
        <v>30</v>
      </c>
      <c r="J2725" t="inlineStr">
        <is>
          <t>BTBR</t>
        </is>
      </c>
      <c r="K2725" t="inlineStr">
        <is>
          <t>Male</t>
        </is>
      </c>
      <c r="L2725" t="inlineStr">
        <is>
          <t>No focal subject</t>
        </is>
      </c>
      <c r="M2725" t="n">
        <v>55.999</v>
      </c>
      <c r="N2725" t="inlineStr">
        <is>
          <t>Explore_N</t>
        </is>
      </c>
      <c r="O2725" t="inlineStr">
        <is>
          <t>Novelty</t>
        </is>
      </c>
      <c r="P2725" t="inlineStr">
        <is>
          <t>STATE</t>
        </is>
      </c>
      <c r="Q2725" t="n">
        <v>274.6</v>
      </c>
      <c r="R2725" t="n">
        <v>276.3</v>
      </c>
      <c r="S2725" t="n">
        <v>1.7</v>
      </c>
      <c r="T2725" t="inlineStr">
        <is>
          <t>C:/Users/manuel.felline/Documents/BEHAVIOR BTBR/NOR second cohort/BTBR/test/c7_m2.mp4</t>
        </is>
      </c>
      <c r="U2725" t="n">
        <v>8522</v>
      </c>
      <c r="V2725" t="n">
        <v>8573</v>
      </c>
      <c r="W2725" t="n">
        <v/>
      </c>
      <c r="X2725" t="n">
        <v/>
      </c>
      <c r="Y2725" t="n">
        <v/>
      </c>
      <c r="Z2725" t="n">
        <v/>
      </c>
      <c r="AA2725">
        <f>SUMIFS($S$2:S2725,$A$2:A2725,A2725,$N$2:N2725,"Explore*")</f>
        <v/>
      </c>
      <c r="AB2725">
        <f>IF(AND(LEFT(N2725,7)="Explore",(AA2725-IF(LEFT(N2725,7)="Explore",S2725,0))&lt;10),"SI","NO")</f>
        <v/>
      </c>
    </row>
    <row r="2726">
      <c r="A2726" t="inlineStr">
        <is>
          <t>c7m2_test</t>
        </is>
      </c>
      <c r="B2726" t="inlineStr">
        <is>
          <t>2026-05-07 12:02:32.994</t>
        </is>
      </c>
      <c r="C2726" t="n">
        <v/>
      </c>
      <c r="D2726" t="inlineStr">
        <is>
          <t>Media file</t>
        </is>
      </c>
      <c r="E2726" t="inlineStr">
        <is>
          <t>player #1:C:/Users/manuel.felline/Documents/BEHAVIOR BTBR/NOR second cohort/BTBR/test/c7_m2.mp4</t>
        </is>
      </c>
      <c r="F2726" t="n">
        <v>-10.2</v>
      </c>
      <c r="G2726" t="n">
        <v>594.799</v>
      </c>
      <c r="H2726" t="n">
        <v>620.899</v>
      </c>
      <c r="I2726" t="n">
        <v>30</v>
      </c>
      <c r="J2726" t="inlineStr">
        <is>
          <t>BTBR</t>
        </is>
      </c>
      <c r="K2726" t="inlineStr">
        <is>
          <t>Male</t>
        </is>
      </c>
      <c r="L2726" t="inlineStr">
        <is>
          <t>No focal subject</t>
        </is>
      </c>
      <c r="M2726" t="n">
        <v>55.999</v>
      </c>
      <c r="N2726" t="inlineStr">
        <is>
          <t>Explore_N</t>
        </is>
      </c>
      <c r="O2726" t="inlineStr">
        <is>
          <t>Novelty</t>
        </is>
      </c>
      <c r="P2726" t="inlineStr">
        <is>
          <t>STATE</t>
        </is>
      </c>
      <c r="Q2726" t="n">
        <v>279.666</v>
      </c>
      <c r="R2726" t="n">
        <v>281.3</v>
      </c>
      <c r="S2726" t="n">
        <v>1.634</v>
      </c>
      <c r="T2726" t="inlineStr">
        <is>
          <t>C:/Users/manuel.felline/Documents/BEHAVIOR BTBR/NOR second cohort/BTBR/test/c7_m2.mp4</t>
        </is>
      </c>
      <c r="U2726" t="n">
        <v>8674</v>
      </c>
      <c r="V2726" t="n">
        <v>8722</v>
      </c>
      <c r="W2726" t="n">
        <v/>
      </c>
      <c r="X2726" t="n">
        <v/>
      </c>
      <c r="Y2726" t="n">
        <v/>
      </c>
      <c r="Z2726" t="n">
        <v/>
      </c>
      <c r="AA2726">
        <f>SUMIFS($S$2:S2726,$A$2:A2726,A2726,$N$2:N2726,"Explore*")</f>
        <v/>
      </c>
      <c r="AB2726">
        <f>IF(AND(LEFT(N2726,7)="Explore",(AA2726-IF(LEFT(N2726,7)="Explore",S2726,0))&lt;10),"SI","NO")</f>
        <v/>
      </c>
    </row>
    <row r="2727">
      <c r="A2727" t="inlineStr">
        <is>
          <t>c7m2_test</t>
        </is>
      </c>
      <c r="B2727" t="inlineStr">
        <is>
          <t>2026-05-07 12:02:32.994</t>
        </is>
      </c>
      <c r="C2727" t="n">
        <v/>
      </c>
      <c r="D2727" t="inlineStr">
        <is>
          <t>Media file</t>
        </is>
      </c>
      <c r="E2727" t="inlineStr">
        <is>
          <t>player #1:C:/Users/manuel.felline/Documents/BEHAVIOR BTBR/NOR second cohort/BTBR/test/c7_m2.mp4</t>
        </is>
      </c>
      <c r="F2727" t="n">
        <v>-10.2</v>
      </c>
      <c r="G2727" t="n">
        <v>594.799</v>
      </c>
      <c r="H2727" t="n">
        <v>620.899</v>
      </c>
      <c r="I2727" t="n">
        <v>30</v>
      </c>
      <c r="J2727" t="inlineStr">
        <is>
          <t>BTBR</t>
        </is>
      </c>
      <c r="K2727" t="inlineStr">
        <is>
          <t>Male</t>
        </is>
      </c>
      <c r="L2727" t="inlineStr">
        <is>
          <t>No focal subject</t>
        </is>
      </c>
      <c r="M2727" t="n">
        <v>55.999</v>
      </c>
      <c r="N2727" t="inlineStr">
        <is>
          <t>Explore_F</t>
        </is>
      </c>
      <c r="O2727" t="inlineStr">
        <is>
          <t>Familiar</t>
        </is>
      </c>
      <c r="P2727" t="inlineStr">
        <is>
          <t>STATE</t>
        </is>
      </c>
      <c r="Q2727" t="n">
        <v>282.133</v>
      </c>
      <c r="R2727" t="n">
        <v>283</v>
      </c>
      <c r="S2727" t="n">
        <v>0.867</v>
      </c>
      <c r="T2727" t="inlineStr">
        <is>
          <t>C:/Users/manuel.felline/Documents/BEHAVIOR BTBR/NOR second cohort/BTBR/test/c7_m2.mp4</t>
        </is>
      </c>
      <c r="U2727" t="n">
        <v>8747</v>
      </c>
      <c r="V2727" t="n">
        <v>8773</v>
      </c>
      <c r="W2727" t="n">
        <v/>
      </c>
      <c r="X2727" t="n">
        <v/>
      </c>
      <c r="Y2727" t="n">
        <v/>
      </c>
      <c r="Z2727" t="n">
        <v/>
      </c>
      <c r="AA2727">
        <f>SUMIFS($S$2:S2727,$A$2:A2727,A2727,$N$2:N2727,"Explore*")</f>
        <v/>
      </c>
      <c r="AB2727">
        <f>IF(AND(LEFT(N2727,7)="Explore",(AA2727-IF(LEFT(N2727,7)="Explore",S2727,0))&lt;10),"SI","NO")</f>
        <v/>
      </c>
    </row>
    <row r="2728">
      <c r="A2728" t="inlineStr">
        <is>
          <t>c7m2_test</t>
        </is>
      </c>
      <c r="B2728" t="inlineStr">
        <is>
          <t>2026-05-07 12:02:32.994</t>
        </is>
      </c>
      <c r="C2728" t="n">
        <v/>
      </c>
      <c r="D2728" t="inlineStr">
        <is>
          <t>Media file</t>
        </is>
      </c>
      <c r="E2728" t="inlineStr">
        <is>
          <t>player #1:C:/Users/manuel.felline/Documents/BEHAVIOR BTBR/NOR second cohort/BTBR/test/c7_m2.mp4</t>
        </is>
      </c>
      <c r="F2728" t="n">
        <v>-10.2</v>
      </c>
      <c r="G2728" t="n">
        <v>594.799</v>
      </c>
      <c r="H2728" t="n">
        <v>620.899</v>
      </c>
      <c r="I2728" t="n">
        <v>30</v>
      </c>
      <c r="J2728" t="inlineStr">
        <is>
          <t>BTBR</t>
        </is>
      </c>
      <c r="K2728" t="inlineStr">
        <is>
          <t>Male</t>
        </is>
      </c>
      <c r="L2728" t="inlineStr">
        <is>
          <t>No focal subject</t>
        </is>
      </c>
      <c r="M2728" t="n">
        <v>55.999</v>
      </c>
      <c r="N2728" t="inlineStr">
        <is>
          <t>Explore_N</t>
        </is>
      </c>
      <c r="O2728" t="inlineStr">
        <is>
          <t>Novelty</t>
        </is>
      </c>
      <c r="P2728" t="inlineStr">
        <is>
          <t>STATE</t>
        </is>
      </c>
      <c r="Q2728" t="n">
        <v>303.366</v>
      </c>
      <c r="R2728" t="n">
        <v>305.733</v>
      </c>
      <c r="S2728" t="n">
        <v>2.367</v>
      </c>
      <c r="T2728" t="inlineStr">
        <is>
          <t>C:/Users/manuel.felline/Documents/BEHAVIOR BTBR/NOR second cohort/BTBR/test/c7_m2.mp4</t>
        </is>
      </c>
      <c r="U2728" t="n">
        <v>9383</v>
      </c>
      <c r="V2728" t="n">
        <v>9454</v>
      </c>
      <c r="W2728" t="n">
        <v/>
      </c>
      <c r="X2728" t="n">
        <v/>
      </c>
      <c r="Y2728" t="n">
        <v/>
      </c>
      <c r="Z2728" t="n">
        <v/>
      </c>
      <c r="AA2728">
        <f>SUMIFS($S$2:S2728,$A$2:A2728,A2728,$N$2:N2728,"Explore*")</f>
        <v/>
      </c>
      <c r="AB2728">
        <f>IF(AND(LEFT(N2728,7)="Explore",(AA2728-IF(LEFT(N2728,7)="Explore",S2728,0))&lt;10),"SI","NO")</f>
        <v/>
      </c>
    </row>
    <row r="2729">
      <c r="A2729" t="inlineStr">
        <is>
          <t>c7m2_test</t>
        </is>
      </c>
      <c r="B2729" t="inlineStr">
        <is>
          <t>2026-05-07 12:02:32.994</t>
        </is>
      </c>
      <c r="C2729" t="n">
        <v/>
      </c>
      <c r="D2729" t="inlineStr">
        <is>
          <t>Media file</t>
        </is>
      </c>
      <c r="E2729" t="inlineStr">
        <is>
          <t>player #1:C:/Users/manuel.felline/Documents/BEHAVIOR BTBR/NOR second cohort/BTBR/test/c7_m2.mp4</t>
        </is>
      </c>
      <c r="F2729" t="n">
        <v>-10.2</v>
      </c>
      <c r="G2729" t="n">
        <v>594.799</v>
      </c>
      <c r="H2729" t="n">
        <v>620.899</v>
      </c>
      <c r="I2729" t="n">
        <v>30</v>
      </c>
      <c r="J2729" t="inlineStr">
        <is>
          <t>BTBR</t>
        </is>
      </c>
      <c r="K2729" t="inlineStr">
        <is>
          <t>Male</t>
        </is>
      </c>
      <c r="L2729" t="inlineStr">
        <is>
          <t>No focal subject</t>
        </is>
      </c>
      <c r="M2729" t="n">
        <v>55.999</v>
      </c>
      <c r="N2729" t="inlineStr">
        <is>
          <t>Explore_F</t>
        </is>
      </c>
      <c r="O2729" t="inlineStr">
        <is>
          <t>Familiar</t>
        </is>
      </c>
      <c r="P2729" t="inlineStr">
        <is>
          <t>STATE</t>
        </is>
      </c>
      <c r="Q2729" t="n">
        <v>306.866</v>
      </c>
      <c r="R2729" t="n">
        <v>307.833</v>
      </c>
      <c r="S2729" t="n">
        <v>0.967</v>
      </c>
      <c r="T2729" t="inlineStr">
        <is>
          <t>C:/Users/manuel.felline/Documents/BEHAVIOR BTBR/NOR second cohort/BTBR/test/c7_m2.mp4</t>
        </is>
      </c>
      <c r="U2729" t="n">
        <v>9487</v>
      </c>
      <c r="V2729" t="n">
        <v>9516</v>
      </c>
      <c r="W2729" t="n">
        <v/>
      </c>
      <c r="X2729" t="n">
        <v/>
      </c>
      <c r="Y2729" t="n">
        <v/>
      </c>
      <c r="Z2729" t="n">
        <v/>
      </c>
      <c r="AA2729">
        <f>SUMIFS($S$2:S2729,$A$2:A2729,A2729,$N$2:N2729,"Explore*")</f>
        <v/>
      </c>
      <c r="AB2729">
        <f>IF(AND(LEFT(N2729,7)="Explore",(AA2729-IF(LEFT(N2729,7)="Explore",S2729,0))&lt;10),"SI","NO")</f>
        <v/>
      </c>
    </row>
    <row r="2730">
      <c r="A2730" t="inlineStr">
        <is>
          <t>c7m2_test</t>
        </is>
      </c>
      <c r="B2730" t="inlineStr">
        <is>
          <t>2026-05-07 12:02:32.994</t>
        </is>
      </c>
      <c r="C2730" t="n">
        <v/>
      </c>
      <c r="D2730" t="inlineStr">
        <is>
          <t>Media file</t>
        </is>
      </c>
      <c r="E2730" t="inlineStr">
        <is>
          <t>player #1:C:/Users/manuel.felline/Documents/BEHAVIOR BTBR/NOR second cohort/BTBR/test/c7_m2.mp4</t>
        </is>
      </c>
      <c r="F2730" t="n">
        <v>-10.2</v>
      </c>
      <c r="G2730" t="n">
        <v>594.799</v>
      </c>
      <c r="H2730" t="n">
        <v>620.899</v>
      </c>
      <c r="I2730" t="n">
        <v>30</v>
      </c>
      <c r="J2730" t="inlineStr">
        <is>
          <t>BTBR</t>
        </is>
      </c>
      <c r="K2730" t="inlineStr">
        <is>
          <t>Male</t>
        </is>
      </c>
      <c r="L2730" t="inlineStr">
        <is>
          <t>No focal subject</t>
        </is>
      </c>
      <c r="M2730" t="n">
        <v>55.999</v>
      </c>
      <c r="N2730" t="inlineStr">
        <is>
          <t>Explore_N</t>
        </is>
      </c>
      <c r="O2730" t="inlineStr">
        <is>
          <t>Novelty</t>
        </is>
      </c>
      <c r="P2730" t="inlineStr">
        <is>
          <t>STATE</t>
        </is>
      </c>
      <c r="Q2730" t="n">
        <v>322.366</v>
      </c>
      <c r="R2730" t="n">
        <v>324.9</v>
      </c>
      <c r="S2730" t="n">
        <v>2.534</v>
      </c>
      <c r="T2730" t="inlineStr">
        <is>
          <t>C:/Users/manuel.felline/Documents/BEHAVIOR BTBR/NOR second cohort/BTBR/test/c7_m2.mp4</t>
        </is>
      </c>
      <c r="U2730" t="n">
        <v>9951</v>
      </c>
      <c r="V2730" t="n">
        <v>10028</v>
      </c>
      <c r="W2730" t="n">
        <v/>
      </c>
      <c r="X2730" t="n">
        <v/>
      </c>
      <c r="Y2730" t="n">
        <v/>
      </c>
      <c r="Z2730" t="n">
        <v/>
      </c>
      <c r="AA2730">
        <f>SUMIFS($S$2:S2730,$A$2:A2730,A2730,$N$2:N2730,"Explore*")</f>
        <v/>
      </c>
      <c r="AB2730">
        <f>IF(AND(LEFT(N2730,7)="Explore",(AA2730-IF(LEFT(N2730,7)="Explore",S2730,0))&lt;10),"SI","NO")</f>
        <v/>
      </c>
    </row>
    <row r="2731">
      <c r="A2731" t="inlineStr">
        <is>
          <t>c7m2_test</t>
        </is>
      </c>
      <c r="B2731" t="inlineStr">
        <is>
          <t>2026-05-07 12:02:32.994</t>
        </is>
      </c>
      <c r="C2731" t="n">
        <v/>
      </c>
      <c r="D2731" t="inlineStr">
        <is>
          <t>Media file</t>
        </is>
      </c>
      <c r="E2731" t="inlineStr">
        <is>
          <t>player #1:C:/Users/manuel.felline/Documents/BEHAVIOR BTBR/NOR second cohort/BTBR/test/c7_m2.mp4</t>
        </is>
      </c>
      <c r="F2731" t="n">
        <v>-10.2</v>
      </c>
      <c r="G2731" t="n">
        <v>594.799</v>
      </c>
      <c r="H2731" t="n">
        <v>620.899</v>
      </c>
      <c r="I2731" t="n">
        <v>30</v>
      </c>
      <c r="J2731" t="inlineStr">
        <is>
          <t>BTBR</t>
        </is>
      </c>
      <c r="K2731" t="inlineStr">
        <is>
          <t>Male</t>
        </is>
      </c>
      <c r="L2731" t="inlineStr">
        <is>
          <t>No focal subject</t>
        </is>
      </c>
      <c r="M2731" t="n">
        <v>55.999</v>
      </c>
      <c r="N2731" t="inlineStr">
        <is>
          <t>Explore_F</t>
        </is>
      </c>
      <c r="O2731" t="inlineStr">
        <is>
          <t>Familiar</t>
        </is>
      </c>
      <c r="P2731" t="inlineStr">
        <is>
          <t>STATE</t>
        </is>
      </c>
      <c r="Q2731" t="n">
        <v>326.833</v>
      </c>
      <c r="R2731" t="n">
        <v>327.533</v>
      </c>
      <c r="S2731" t="n">
        <v>0.7</v>
      </c>
      <c r="T2731" t="inlineStr">
        <is>
          <t>C:/Users/manuel.felline/Documents/BEHAVIOR BTBR/NOR second cohort/BTBR/test/c7_m2.mp4</t>
        </is>
      </c>
      <c r="U2731" t="n">
        <v>10085</v>
      </c>
      <c r="V2731" t="n">
        <v>10106</v>
      </c>
      <c r="W2731" t="n">
        <v/>
      </c>
      <c r="X2731" t="n">
        <v/>
      </c>
      <c r="Y2731" t="n">
        <v/>
      </c>
      <c r="Z2731" t="n">
        <v/>
      </c>
      <c r="AA2731">
        <f>SUMIFS($S$2:S2731,$A$2:A2731,A2731,$N$2:N2731,"Explore*")</f>
        <v/>
      </c>
      <c r="AB2731">
        <f>IF(AND(LEFT(N2731,7)="Explore",(AA2731-IF(LEFT(N2731,7)="Explore",S2731,0))&lt;10),"SI","NO")</f>
        <v/>
      </c>
    </row>
    <row r="2732">
      <c r="A2732" t="inlineStr">
        <is>
          <t>c7m2_test</t>
        </is>
      </c>
      <c r="B2732" t="inlineStr">
        <is>
          <t>2026-05-07 12:02:32.994</t>
        </is>
      </c>
      <c r="C2732" t="n">
        <v/>
      </c>
      <c r="D2732" t="inlineStr">
        <is>
          <t>Media file</t>
        </is>
      </c>
      <c r="E2732" t="inlineStr">
        <is>
          <t>player #1:C:/Users/manuel.felline/Documents/BEHAVIOR BTBR/NOR second cohort/BTBR/test/c7_m2.mp4</t>
        </is>
      </c>
      <c r="F2732" t="n">
        <v>-10.2</v>
      </c>
      <c r="G2732" t="n">
        <v>594.799</v>
      </c>
      <c r="H2732" t="n">
        <v>620.899</v>
      </c>
      <c r="I2732" t="n">
        <v>30</v>
      </c>
      <c r="J2732" t="inlineStr">
        <is>
          <t>BTBR</t>
        </is>
      </c>
      <c r="K2732" t="inlineStr">
        <is>
          <t>Male</t>
        </is>
      </c>
      <c r="L2732" t="inlineStr">
        <is>
          <t>No focal subject</t>
        </is>
      </c>
      <c r="M2732" t="n">
        <v>55.999</v>
      </c>
      <c r="N2732" t="inlineStr">
        <is>
          <t>Explore_N</t>
        </is>
      </c>
      <c r="O2732" t="inlineStr">
        <is>
          <t>Novelty</t>
        </is>
      </c>
      <c r="P2732" t="inlineStr">
        <is>
          <t>STATE</t>
        </is>
      </c>
      <c r="Q2732" t="n">
        <v>348.133</v>
      </c>
      <c r="R2732" t="n">
        <v>348.966</v>
      </c>
      <c r="S2732" t="n">
        <v>0.833</v>
      </c>
      <c r="T2732" t="inlineStr">
        <is>
          <t>C:/Users/manuel.felline/Documents/BEHAVIOR BTBR/NOR second cohort/BTBR/test/c7_m2.mp4</t>
        </is>
      </c>
      <c r="U2732" t="n">
        <v>10722</v>
      </c>
      <c r="V2732" t="n">
        <v>10747</v>
      </c>
      <c r="W2732" t="n">
        <v/>
      </c>
      <c r="X2732" t="n">
        <v/>
      </c>
      <c r="Y2732" t="n">
        <v/>
      </c>
      <c r="Z2732" t="n">
        <v/>
      </c>
      <c r="AA2732">
        <f>SUMIFS($S$2:S2732,$A$2:A2732,A2732,$N$2:N2732,"Explore*")</f>
        <v/>
      </c>
      <c r="AB2732">
        <f>IF(AND(LEFT(N2732,7)="Explore",(AA2732-IF(LEFT(N2732,7)="Explore",S2732,0))&lt;10),"SI","NO")</f>
        <v/>
      </c>
    </row>
    <row r="2733">
      <c r="A2733" t="inlineStr">
        <is>
          <t>c7m2_test</t>
        </is>
      </c>
      <c r="B2733" t="inlineStr">
        <is>
          <t>2026-05-07 12:02:32.994</t>
        </is>
      </c>
      <c r="C2733" t="n">
        <v/>
      </c>
      <c r="D2733" t="inlineStr">
        <is>
          <t>Media file</t>
        </is>
      </c>
      <c r="E2733" t="inlineStr">
        <is>
          <t>player #1:C:/Users/manuel.felline/Documents/BEHAVIOR BTBR/NOR second cohort/BTBR/test/c7_m2.mp4</t>
        </is>
      </c>
      <c r="F2733" t="n">
        <v>-10.2</v>
      </c>
      <c r="G2733" t="n">
        <v>594.799</v>
      </c>
      <c r="H2733" t="n">
        <v>620.899</v>
      </c>
      <c r="I2733" t="n">
        <v>30</v>
      </c>
      <c r="J2733" t="inlineStr">
        <is>
          <t>BTBR</t>
        </is>
      </c>
      <c r="K2733" t="inlineStr">
        <is>
          <t>Male</t>
        </is>
      </c>
      <c r="L2733" t="inlineStr">
        <is>
          <t>No focal subject</t>
        </is>
      </c>
      <c r="M2733" t="n">
        <v>55.999</v>
      </c>
      <c r="N2733" t="inlineStr">
        <is>
          <t>Explore_F</t>
        </is>
      </c>
      <c r="O2733" t="inlineStr">
        <is>
          <t>Familiar</t>
        </is>
      </c>
      <c r="P2733" t="inlineStr">
        <is>
          <t>STATE</t>
        </is>
      </c>
      <c r="Q2733" t="n">
        <v>351</v>
      </c>
      <c r="R2733" t="n">
        <v>351.7</v>
      </c>
      <c r="S2733" t="n">
        <v>0.7</v>
      </c>
      <c r="T2733" t="inlineStr">
        <is>
          <t>C:/Users/manuel.felline/Documents/BEHAVIOR BTBR/NOR second cohort/BTBR/test/c7_m2.mp4</t>
        </is>
      </c>
      <c r="U2733" t="n">
        <v>10808</v>
      </c>
      <c r="V2733" t="n">
        <v>10829</v>
      </c>
      <c r="W2733" t="n">
        <v/>
      </c>
      <c r="X2733" t="n">
        <v/>
      </c>
      <c r="Y2733" t="n">
        <v/>
      </c>
      <c r="Z2733" t="n">
        <v/>
      </c>
      <c r="AA2733">
        <f>SUMIFS($S$2:S2733,$A$2:A2733,A2733,$N$2:N2733,"Explore*")</f>
        <v/>
      </c>
      <c r="AB2733">
        <f>IF(AND(LEFT(N2733,7)="Explore",(AA2733-IF(LEFT(N2733,7)="Explore",S2733,0))&lt;10),"SI","NO")</f>
        <v/>
      </c>
    </row>
    <row r="2734">
      <c r="A2734" t="inlineStr">
        <is>
          <t>c7m2_test</t>
        </is>
      </c>
      <c r="B2734" t="inlineStr">
        <is>
          <t>2026-05-07 12:02:32.994</t>
        </is>
      </c>
      <c r="C2734" t="n">
        <v/>
      </c>
      <c r="D2734" t="inlineStr">
        <is>
          <t>Media file</t>
        </is>
      </c>
      <c r="E2734" t="inlineStr">
        <is>
          <t>player #1:C:/Users/manuel.felline/Documents/BEHAVIOR BTBR/NOR second cohort/BTBR/test/c7_m2.mp4</t>
        </is>
      </c>
      <c r="F2734" t="n">
        <v>-10.2</v>
      </c>
      <c r="G2734" t="n">
        <v>594.799</v>
      </c>
      <c r="H2734" t="n">
        <v>620.899</v>
      </c>
      <c r="I2734" t="n">
        <v>30</v>
      </c>
      <c r="J2734" t="inlineStr">
        <is>
          <t>BTBR</t>
        </is>
      </c>
      <c r="K2734" t="inlineStr">
        <is>
          <t>Male</t>
        </is>
      </c>
      <c r="L2734" t="inlineStr">
        <is>
          <t>No focal subject</t>
        </is>
      </c>
      <c r="M2734" t="n">
        <v>55.999</v>
      </c>
      <c r="N2734" t="inlineStr">
        <is>
          <t>Explore_N</t>
        </is>
      </c>
      <c r="O2734" t="inlineStr">
        <is>
          <t>Novelty</t>
        </is>
      </c>
      <c r="P2734" t="inlineStr">
        <is>
          <t>STATE</t>
        </is>
      </c>
      <c r="Q2734" t="n">
        <v>361.4</v>
      </c>
      <c r="R2734" t="n">
        <v>362.4</v>
      </c>
      <c r="S2734" t="n">
        <v>1</v>
      </c>
      <c r="T2734" t="inlineStr">
        <is>
          <t>C:/Users/manuel.felline/Documents/BEHAVIOR BTBR/NOR second cohort/BTBR/test/c7_m2.mp4</t>
        </is>
      </c>
      <c r="U2734" t="n">
        <v>11119</v>
      </c>
      <c r="V2734" t="n">
        <v>11149</v>
      </c>
      <c r="W2734" t="n">
        <v/>
      </c>
      <c r="X2734" t="n">
        <v/>
      </c>
      <c r="Y2734" t="n">
        <v/>
      </c>
      <c r="Z2734" t="n">
        <v/>
      </c>
      <c r="AA2734">
        <f>SUMIFS($S$2:S2734,$A$2:A2734,A2734,$N$2:N2734,"Explore*")</f>
        <v/>
      </c>
      <c r="AB2734">
        <f>IF(AND(LEFT(N2734,7)="Explore",(AA2734-IF(LEFT(N2734,7)="Explore",S2734,0))&lt;10),"SI","NO")</f>
        <v/>
      </c>
    </row>
    <row r="2735">
      <c r="A2735" t="inlineStr">
        <is>
          <t>c7m2_test</t>
        </is>
      </c>
      <c r="B2735" t="inlineStr">
        <is>
          <t>2026-05-07 12:02:32.994</t>
        </is>
      </c>
      <c r="C2735" t="n">
        <v/>
      </c>
      <c r="D2735" t="inlineStr">
        <is>
          <t>Media file</t>
        </is>
      </c>
      <c r="E2735" t="inlineStr">
        <is>
          <t>player #1:C:/Users/manuel.felline/Documents/BEHAVIOR BTBR/NOR second cohort/BTBR/test/c7_m2.mp4</t>
        </is>
      </c>
      <c r="F2735" t="n">
        <v>-10.2</v>
      </c>
      <c r="G2735" t="n">
        <v>594.799</v>
      </c>
      <c r="H2735" t="n">
        <v>620.899</v>
      </c>
      <c r="I2735" t="n">
        <v>30</v>
      </c>
      <c r="J2735" t="inlineStr">
        <is>
          <t>BTBR</t>
        </is>
      </c>
      <c r="K2735" t="inlineStr">
        <is>
          <t>Male</t>
        </is>
      </c>
      <c r="L2735" t="inlineStr">
        <is>
          <t>No focal subject</t>
        </is>
      </c>
      <c r="M2735" t="n">
        <v>55.999</v>
      </c>
      <c r="N2735" t="inlineStr">
        <is>
          <t>Explore_F</t>
        </is>
      </c>
      <c r="O2735" t="inlineStr">
        <is>
          <t>Familiar</t>
        </is>
      </c>
      <c r="P2735" t="inlineStr">
        <is>
          <t>STATE</t>
        </is>
      </c>
      <c r="Q2735" t="n">
        <v>363.066</v>
      </c>
      <c r="R2735" t="n">
        <v>363.5</v>
      </c>
      <c r="S2735" t="n">
        <v>0.434</v>
      </c>
      <c r="T2735" t="inlineStr">
        <is>
          <t>C:/Users/manuel.felline/Documents/BEHAVIOR BTBR/NOR second cohort/BTBR/test/c7_m2.mp4</t>
        </is>
      </c>
      <c r="U2735" t="n">
        <v>11169</v>
      </c>
      <c r="V2735" t="n">
        <v>11182</v>
      </c>
      <c r="W2735" t="n">
        <v/>
      </c>
      <c r="X2735" t="n">
        <v/>
      </c>
      <c r="Y2735" t="n">
        <v/>
      </c>
      <c r="Z2735" t="n">
        <v/>
      </c>
      <c r="AA2735">
        <f>SUMIFS($S$2:S2735,$A$2:A2735,A2735,$N$2:N2735,"Explore*")</f>
        <v/>
      </c>
      <c r="AB2735">
        <f>IF(AND(LEFT(N2735,7)="Explore",(AA2735-IF(LEFT(N2735,7)="Explore",S2735,0))&lt;10),"SI","NO")</f>
        <v/>
      </c>
    </row>
    <row r="2736">
      <c r="A2736" t="inlineStr">
        <is>
          <t>c7m2_test</t>
        </is>
      </c>
      <c r="B2736" t="inlineStr">
        <is>
          <t>2026-05-07 12:02:32.994</t>
        </is>
      </c>
      <c r="C2736" t="n">
        <v/>
      </c>
      <c r="D2736" t="inlineStr">
        <is>
          <t>Media file</t>
        </is>
      </c>
      <c r="E2736" t="inlineStr">
        <is>
          <t>player #1:C:/Users/manuel.felline/Documents/BEHAVIOR BTBR/NOR second cohort/BTBR/test/c7_m2.mp4</t>
        </is>
      </c>
      <c r="F2736" t="n">
        <v>-10.2</v>
      </c>
      <c r="G2736" t="n">
        <v>594.799</v>
      </c>
      <c r="H2736" t="n">
        <v>620.899</v>
      </c>
      <c r="I2736" t="n">
        <v>30</v>
      </c>
      <c r="J2736" t="inlineStr">
        <is>
          <t>BTBR</t>
        </is>
      </c>
      <c r="K2736" t="inlineStr">
        <is>
          <t>Male</t>
        </is>
      </c>
      <c r="L2736" t="inlineStr">
        <is>
          <t>No focal subject</t>
        </is>
      </c>
      <c r="M2736" t="n">
        <v>55.999</v>
      </c>
      <c r="N2736" t="inlineStr">
        <is>
          <t>Explore_F</t>
        </is>
      </c>
      <c r="O2736" t="inlineStr">
        <is>
          <t>Familiar</t>
        </is>
      </c>
      <c r="P2736" t="inlineStr">
        <is>
          <t>STATE</t>
        </is>
      </c>
      <c r="Q2736" t="n">
        <v>390</v>
      </c>
      <c r="R2736" t="n">
        <v>390.533</v>
      </c>
      <c r="S2736" t="n">
        <v>0.533</v>
      </c>
      <c r="T2736" t="inlineStr">
        <is>
          <t>C:/Users/manuel.felline/Documents/BEHAVIOR BTBR/NOR second cohort/BTBR/test/c7_m2.mp4</t>
        </is>
      </c>
      <c r="U2736" t="n">
        <v>11975</v>
      </c>
      <c r="V2736" t="n">
        <v>11991</v>
      </c>
      <c r="W2736" t="n">
        <v/>
      </c>
      <c r="X2736" t="n">
        <v/>
      </c>
      <c r="Y2736" t="n">
        <v/>
      </c>
      <c r="Z2736" t="n">
        <v/>
      </c>
      <c r="AA2736">
        <f>SUMIFS($S$2:S2736,$A$2:A2736,A2736,$N$2:N2736,"Explore*")</f>
        <v/>
      </c>
      <c r="AB2736">
        <f>IF(AND(LEFT(N2736,7)="Explore",(AA2736-IF(LEFT(N2736,7)="Explore",S2736,0))&lt;10),"SI","NO")</f>
        <v/>
      </c>
    </row>
    <row r="2737">
      <c r="A2737" t="inlineStr">
        <is>
          <t>c7m2_test</t>
        </is>
      </c>
      <c r="B2737" t="inlineStr">
        <is>
          <t>2026-05-07 12:02:32.994</t>
        </is>
      </c>
      <c r="C2737" t="n">
        <v/>
      </c>
      <c r="D2737" t="inlineStr">
        <is>
          <t>Media file</t>
        </is>
      </c>
      <c r="E2737" t="inlineStr">
        <is>
          <t>player #1:C:/Users/manuel.felline/Documents/BEHAVIOR BTBR/NOR second cohort/BTBR/test/c7_m2.mp4</t>
        </is>
      </c>
      <c r="F2737" t="n">
        <v>-10.2</v>
      </c>
      <c r="G2737" t="n">
        <v>594.799</v>
      </c>
      <c r="H2737" t="n">
        <v>620.899</v>
      </c>
      <c r="I2737" t="n">
        <v>30</v>
      </c>
      <c r="J2737" t="inlineStr">
        <is>
          <t>BTBR</t>
        </is>
      </c>
      <c r="K2737" t="inlineStr">
        <is>
          <t>Male</t>
        </is>
      </c>
      <c r="L2737" t="inlineStr">
        <is>
          <t>No focal subject</t>
        </is>
      </c>
      <c r="M2737" t="n">
        <v>55.999</v>
      </c>
      <c r="N2737" t="inlineStr">
        <is>
          <t>Explore_N</t>
        </is>
      </c>
      <c r="O2737" t="inlineStr">
        <is>
          <t>Novelty</t>
        </is>
      </c>
      <c r="P2737" t="inlineStr">
        <is>
          <t>STATE</t>
        </is>
      </c>
      <c r="Q2737" t="n">
        <v>392.366</v>
      </c>
      <c r="R2737" t="n">
        <v>392.933</v>
      </c>
      <c r="S2737" t="n">
        <v>0.5669999999999999</v>
      </c>
      <c r="T2737" t="inlineStr">
        <is>
          <t>C:/Users/manuel.felline/Documents/BEHAVIOR BTBR/NOR second cohort/BTBR/test/c7_m2.mp4</t>
        </is>
      </c>
      <c r="U2737" t="n">
        <v>12046</v>
      </c>
      <c r="V2737" t="n">
        <v>12063</v>
      </c>
      <c r="W2737" t="n">
        <v/>
      </c>
      <c r="X2737" t="n">
        <v/>
      </c>
      <c r="Y2737" t="n">
        <v/>
      </c>
      <c r="Z2737" t="n">
        <v/>
      </c>
      <c r="AA2737">
        <f>SUMIFS($S$2:S2737,$A$2:A2737,A2737,$N$2:N2737,"Explore*")</f>
        <v/>
      </c>
      <c r="AB2737">
        <f>IF(AND(LEFT(N2737,7)="Explore",(AA2737-IF(LEFT(N2737,7)="Explore",S2737,0))&lt;10),"SI","NO")</f>
        <v/>
      </c>
    </row>
    <row r="2738">
      <c r="A2738" t="inlineStr">
        <is>
          <t>c7m2_test</t>
        </is>
      </c>
      <c r="B2738" t="inlineStr">
        <is>
          <t>2026-05-07 12:02:32.994</t>
        </is>
      </c>
      <c r="C2738" t="n">
        <v/>
      </c>
      <c r="D2738" t="inlineStr">
        <is>
          <t>Media file</t>
        </is>
      </c>
      <c r="E2738" t="inlineStr">
        <is>
          <t>player #1:C:/Users/manuel.felline/Documents/BEHAVIOR BTBR/NOR second cohort/BTBR/test/c7_m2.mp4</t>
        </is>
      </c>
      <c r="F2738" t="n">
        <v>-10.2</v>
      </c>
      <c r="G2738" t="n">
        <v>594.799</v>
      </c>
      <c r="H2738" t="n">
        <v>620.899</v>
      </c>
      <c r="I2738" t="n">
        <v>30</v>
      </c>
      <c r="J2738" t="inlineStr">
        <is>
          <t>BTBR</t>
        </is>
      </c>
      <c r="K2738" t="inlineStr">
        <is>
          <t>Male</t>
        </is>
      </c>
      <c r="L2738" t="inlineStr">
        <is>
          <t>No focal subject</t>
        </is>
      </c>
      <c r="M2738" t="n">
        <v>55.999</v>
      </c>
      <c r="N2738" t="inlineStr">
        <is>
          <t>Explore_F</t>
        </is>
      </c>
      <c r="O2738" t="inlineStr">
        <is>
          <t>Familiar</t>
        </is>
      </c>
      <c r="P2738" t="inlineStr">
        <is>
          <t>STATE</t>
        </is>
      </c>
      <c r="Q2738" t="n">
        <v>416.633</v>
      </c>
      <c r="R2738" t="n">
        <v>417.233</v>
      </c>
      <c r="S2738" t="n">
        <v>0.6</v>
      </c>
      <c r="T2738" t="inlineStr">
        <is>
          <t>C:/Users/manuel.felline/Documents/BEHAVIOR BTBR/NOR second cohort/BTBR/test/c7_m2.mp4</t>
        </is>
      </c>
      <c r="U2738" t="n">
        <v>12772</v>
      </c>
      <c r="V2738" t="n">
        <v>12790</v>
      </c>
      <c r="W2738" t="n">
        <v/>
      </c>
      <c r="X2738" t="n">
        <v/>
      </c>
      <c r="Y2738" t="n">
        <v/>
      </c>
      <c r="Z2738" t="n">
        <v/>
      </c>
      <c r="AA2738">
        <f>SUMIFS($S$2:S2738,$A$2:A2738,A2738,$N$2:N2738,"Explore*")</f>
        <v/>
      </c>
      <c r="AB2738">
        <f>IF(AND(LEFT(N2738,7)="Explore",(AA2738-IF(LEFT(N2738,7)="Explore",S2738,0))&lt;10),"SI","NO")</f>
        <v/>
      </c>
    </row>
    <row r="2739">
      <c r="A2739" t="inlineStr">
        <is>
          <t>c7m2_test</t>
        </is>
      </c>
      <c r="B2739" t="inlineStr">
        <is>
          <t>2026-05-07 12:02:32.994</t>
        </is>
      </c>
      <c r="C2739" t="n">
        <v/>
      </c>
      <c r="D2739" t="inlineStr">
        <is>
          <t>Media file</t>
        </is>
      </c>
      <c r="E2739" t="inlineStr">
        <is>
          <t>player #1:C:/Users/manuel.felline/Documents/BEHAVIOR BTBR/NOR second cohort/BTBR/test/c7_m2.mp4</t>
        </is>
      </c>
      <c r="F2739" t="n">
        <v>-10.2</v>
      </c>
      <c r="G2739" t="n">
        <v>594.799</v>
      </c>
      <c r="H2739" t="n">
        <v>620.899</v>
      </c>
      <c r="I2739" t="n">
        <v>30</v>
      </c>
      <c r="J2739" t="inlineStr">
        <is>
          <t>BTBR</t>
        </is>
      </c>
      <c r="K2739" t="inlineStr">
        <is>
          <t>Male</t>
        </is>
      </c>
      <c r="L2739" t="inlineStr">
        <is>
          <t>No focal subject</t>
        </is>
      </c>
      <c r="M2739" t="n">
        <v>55.999</v>
      </c>
      <c r="N2739" t="inlineStr">
        <is>
          <t>Explore_N</t>
        </is>
      </c>
      <c r="O2739" t="inlineStr">
        <is>
          <t>Novelty</t>
        </is>
      </c>
      <c r="P2739" t="inlineStr">
        <is>
          <t>STATE</t>
        </is>
      </c>
      <c r="Q2739" t="n">
        <v>428.8</v>
      </c>
      <c r="R2739" t="n">
        <v>429.166</v>
      </c>
      <c r="S2739" t="n">
        <v>0.366</v>
      </c>
      <c r="T2739" t="inlineStr">
        <is>
          <t>C:/Users/manuel.felline/Documents/BEHAVIOR BTBR/NOR second cohort/BTBR/test/c7_m2.mp4</t>
        </is>
      </c>
      <c r="U2739" t="n">
        <v>13136</v>
      </c>
      <c r="V2739" t="n">
        <v>13147</v>
      </c>
      <c r="W2739" t="n">
        <v/>
      </c>
      <c r="X2739" t="n">
        <v/>
      </c>
      <c r="Y2739" t="n">
        <v/>
      </c>
      <c r="Z2739" t="n">
        <v/>
      </c>
      <c r="AA2739">
        <f>SUMIFS($S$2:S2739,$A$2:A2739,A2739,$N$2:N2739,"Explore*")</f>
        <v/>
      </c>
      <c r="AB2739">
        <f>IF(AND(LEFT(N2739,7)="Explore",(AA2739-IF(LEFT(N2739,7)="Explore",S2739,0))&lt;10),"SI","NO")</f>
        <v/>
      </c>
    </row>
    <row r="2740">
      <c r="A2740" t="inlineStr">
        <is>
          <t>c7m2_test</t>
        </is>
      </c>
      <c r="B2740" t="inlineStr">
        <is>
          <t>2026-05-07 12:02:32.994</t>
        </is>
      </c>
      <c r="C2740" t="n">
        <v/>
      </c>
      <c r="D2740" t="inlineStr">
        <is>
          <t>Media file</t>
        </is>
      </c>
      <c r="E2740" t="inlineStr">
        <is>
          <t>player #1:C:/Users/manuel.felline/Documents/BEHAVIOR BTBR/NOR second cohort/BTBR/test/c7_m2.mp4</t>
        </is>
      </c>
      <c r="F2740" t="n">
        <v>-10.2</v>
      </c>
      <c r="G2740" t="n">
        <v>594.799</v>
      </c>
      <c r="H2740" t="n">
        <v>620.899</v>
      </c>
      <c r="I2740" t="n">
        <v>30</v>
      </c>
      <c r="J2740" t="inlineStr">
        <is>
          <t>BTBR</t>
        </is>
      </c>
      <c r="K2740" t="inlineStr">
        <is>
          <t>Male</t>
        </is>
      </c>
      <c r="L2740" t="inlineStr">
        <is>
          <t>No focal subject</t>
        </is>
      </c>
      <c r="M2740" t="n">
        <v>55.999</v>
      </c>
      <c r="N2740" t="inlineStr">
        <is>
          <t>Explore_N</t>
        </is>
      </c>
      <c r="O2740" t="inlineStr">
        <is>
          <t>Novelty</t>
        </is>
      </c>
      <c r="P2740" t="inlineStr">
        <is>
          <t>STATE</t>
        </is>
      </c>
      <c r="Q2740" t="n">
        <v>436.4</v>
      </c>
      <c r="R2740" t="n">
        <v>439.833</v>
      </c>
      <c r="S2740" t="n">
        <v>3.433</v>
      </c>
      <c r="T2740" t="inlineStr">
        <is>
          <t>C:/Users/manuel.felline/Documents/BEHAVIOR BTBR/NOR second cohort/BTBR/test/c7_m2.mp4</t>
        </is>
      </c>
      <c r="U2740" t="n">
        <v>13363</v>
      </c>
      <c r="V2740" t="n">
        <v>13466</v>
      </c>
      <c r="W2740" t="n">
        <v/>
      </c>
      <c r="X2740" t="n">
        <v/>
      </c>
      <c r="Y2740" t="n">
        <v/>
      </c>
      <c r="Z2740" t="n">
        <v/>
      </c>
      <c r="AA2740">
        <f>SUMIFS($S$2:S2740,$A$2:A2740,A2740,$N$2:N2740,"Explore*")</f>
        <v/>
      </c>
      <c r="AB2740">
        <f>IF(AND(LEFT(N2740,7)="Explore",(AA2740-IF(LEFT(N2740,7)="Explore",S2740,0))&lt;10),"SI","NO")</f>
        <v/>
      </c>
    </row>
    <row r="2741">
      <c r="A2741" t="inlineStr">
        <is>
          <t>c7m2_test</t>
        </is>
      </c>
      <c r="B2741" t="inlineStr">
        <is>
          <t>2026-05-07 12:02:32.994</t>
        </is>
      </c>
      <c r="C2741" t="n">
        <v/>
      </c>
      <c r="D2741" t="inlineStr">
        <is>
          <t>Media file</t>
        </is>
      </c>
      <c r="E2741" t="inlineStr">
        <is>
          <t>player #1:C:/Users/manuel.felline/Documents/BEHAVIOR BTBR/NOR second cohort/BTBR/test/c7_m2.mp4</t>
        </is>
      </c>
      <c r="F2741" t="n">
        <v>-10.2</v>
      </c>
      <c r="G2741" t="n">
        <v>594.799</v>
      </c>
      <c r="H2741" t="n">
        <v>620.899</v>
      </c>
      <c r="I2741" t="n">
        <v>30</v>
      </c>
      <c r="J2741" t="inlineStr">
        <is>
          <t>BTBR</t>
        </is>
      </c>
      <c r="K2741" t="inlineStr">
        <is>
          <t>Male</t>
        </is>
      </c>
      <c r="L2741" t="inlineStr">
        <is>
          <t>No focal subject</t>
        </is>
      </c>
      <c r="M2741" t="n">
        <v>55.999</v>
      </c>
      <c r="N2741" t="inlineStr">
        <is>
          <t>Explore_F</t>
        </is>
      </c>
      <c r="O2741" t="inlineStr">
        <is>
          <t>Familiar</t>
        </is>
      </c>
      <c r="P2741" t="inlineStr">
        <is>
          <t>STATE</t>
        </is>
      </c>
      <c r="Q2741" t="n">
        <v>443.233</v>
      </c>
      <c r="R2741" t="n">
        <v>443.733</v>
      </c>
      <c r="S2741" t="n">
        <v>0.5</v>
      </c>
      <c r="T2741" t="inlineStr">
        <is>
          <t>C:/Users/manuel.felline/Documents/BEHAVIOR BTBR/NOR second cohort/BTBR/test/c7_m2.mp4</t>
        </is>
      </c>
      <c r="U2741" t="n">
        <v>13569</v>
      </c>
      <c r="V2741" t="n">
        <v>13583</v>
      </c>
      <c r="W2741" t="n">
        <v/>
      </c>
      <c r="X2741" t="n">
        <v/>
      </c>
      <c r="Y2741" t="n">
        <v/>
      </c>
      <c r="Z2741" t="n">
        <v/>
      </c>
      <c r="AA2741">
        <f>SUMIFS($S$2:S2741,$A$2:A2741,A2741,$N$2:N2741,"Explore*")</f>
        <v/>
      </c>
      <c r="AB2741">
        <f>IF(AND(LEFT(N2741,7)="Explore",(AA2741-IF(LEFT(N2741,7)="Explore",S2741,0))&lt;10),"SI","NO")</f>
        <v/>
      </c>
    </row>
    <row r="2742">
      <c r="A2742" t="inlineStr">
        <is>
          <t>c7m2_test</t>
        </is>
      </c>
      <c r="B2742" t="inlineStr">
        <is>
          <t>2026-05-07 12:02:32.994</t>
        </is>
      </c>
      <c r="C2742" t="n">
        <v/>
      </c>
      <c r="D2742" t="inlineStr">
        <is>
          <t>Media file</t>
        </is>
      </c>
      <c r="E2742" t="inlineStr">
        <is>
          <t>player #1:C:/Users/manuel.felline/Documents/BEHAVIOR BTBR/NOR second cohort/BTBR/test/c7_m2.mp4</t>
        </is>
      </c>
      <c r="F2742" t="n">
        <v>-10.2</v>
      </c>
      <c r="G2742" t="n">
        <v>594.799</v>
      </c>
      <c r="H2742" t="n">
        <v>620.899</v>
      </c>
      <c r="I2742" t="n">
        <v>30</v>
      </c>
      <c r="J2742" t="inlineStr">
        <is>
          <t>BTBR</t>
        </is>
      </c>
      <c r="K2742" t="inlineStr">
        <is>
          <t>Male</t>
        </is>
      </c>
      <c r="L2742" t="inlineStr">
        <is>
          <t>No focal subject</t>
        </is>
      </c>
      <c r="M2742" t="n">
        <v>55.999</v>
      </c>
      <c r="N2742" t="inlineStr">
        <is>
          <t>Explore_N</t>
        </is>
      </c>
      <c r="O2742" t="inlineStr">
        <is>
          <t>Novelty</t>
        </is>
      </c>
      <c r="P2742" t="inlineStr">
        <is>
          <t>STATE</t>
        </is>
      </c>
      <c r="Q2742" t="n">
        <v>452.233</v>
      </c>
      <c r="R2742" t="n">
        <v>454.333</v>
      </c>
      <c r="S2742" t="n">
        <v>2.1</v>
      </c>
      <c r="T2742" t="inlineStr">
        <is>
          <t>C:/Users/manuel.felline/Documents/BEHAVIOR BTBR/NOR second cohort/BTBR/test/c7_m2.mp4</t>
        </is>
      </c>
      <c r="U2742" t="n">
        <v>13837</v>
      </c>
      <c r="V2742" t="n">
        <v>13900</v>
      </c>
      <c r="W2742" t="n">
        <v/>
      </c>
      <c r="X2742" t="n">
        <v/>
      </c>
      <c r="Y2742" t="n">
        <v/>
      </c>
      <c r="Z2742" t="n">
        <v/>
      </c>
      <c r="AA2742">
        <f>SUMIFS($S$2:S2742,$A$2:A2742,A2742,$N$2:N2742,"Explore*")</f>
        <v/>
      </c>
      <c r="AB2742">
        <f>IF(AND(LEFT(N2742,7)="Explore",(AA2742-IF(LEFT(N2742,7)="Explore",S2742,0))&lt;10),"SI","NO")</f>
        <v/>
      </c>
    </row>
    <row r="2743">
      <c r="A2743" t="inlineStr">
        <is>
          <t>c7m2_test</t>
        </is>
      </c>
      <c r="B2743" t="inlineStr">
        <is>
          <t>2026-05-07 12:02:32.994</t>
        </is>
      </c>
      <c r="C2743" t="n">
        <v/>
      </c>
      <c r="D2743" t="inlineStr">
        <is>
          <t>Media file</t>
        </is>
      </c>
      <c r="E2743" t="inlineStr">
        <is>
          <t>player #1:C:/Users/manuel.felline/Documents/BEHAVIOR BTBR/NOR second cohort/BTBR/test/c7_m2.mp4</t>
        </is>
      </c>
      <c r="F2743" t="n">
        <v>-10.2</v>
      </c>
      <c r="G2743" t="n">
        <v>594.799</v>
      </c>
      <c r="H2743" t="n">
        <v>620.899</v>
      </c>
      <c r="I2743" t="n">
        <v>30</v>
      </c>
      <c r="J2743" t="inlineStr">
        <is>
          <t>BTBR</t>
        </is>
      </c>
      <c r="K2743" t="inlineStr">
        <is>
          <t>Male</t>
        </is>
      </c>
      <c r="L2743" t="inlineStr">
        <is>
          <t>No focal subject</t>
        </is>
      </c>
      <c r="M2743" t="n">
        <v>55.999</v>
      </c>
      <c r="N2743" t="inlineStr">
        <is>
          <t>Explore_F</t>
        </is>
      </c>
      <c r="O2743" t="inlineStr">
        <is>
          <t>Familiar</t>
        </is>
      </c>
      <c r="P2743" t="inlineStr">
        <is>
          <t>STATE</t>
        </is>
      </c>
      <c r="Q2743" t="n">
        <v>459.966</v>
      </c>
      <c r="R2743" t="n">
        <v>460.4</v>
      </c>
      <c r="S2743" t="n">
        <v>0.434</v>
      </c>
      <c r="T2743" t="inlineStr">
        <is>
          <t>C:/Users/manuel.felline/Documents/BEHAVIOR BTBR/NOR second cohort/BTBR/test/c7_m2.mp4</t>
        </is>
      </c>
      <c r="U2743" t="n">
        <v>14069</v>
      </c>
      <c r="V2743" t="n">
        <v>14082</v>
      </c>
      <c r="W2743" t="n">
        <v/>
      </c>
      <c r="X2743" t="n">
        <v/>
      </c>
      <c r="Y2743" t="n">
        <v/>
      </c>
      <c r="Z2743" t="n">
        <v/>
      </c>
      <c r="AA2743">
        <f>SUMIFS($S$2:S2743,$A$2:A2743,A2743,$N$2:N2743,"Explore*")</f>
        <v/>
      </c>
      <c r="AB2743">
        <f>IF(AND(LEFT(N2743,7)="Explore",(AA2743-IF(LEFT(N2743,7)="Explore",S2743,0))&lt;10),"SI","NO")</f>
        <v/>
      </c>
    </row>
    <row r="2744">
      <c r="A2744" t="inlineStr">
        <is>
          <t>c7m2_test</t>
        </is>
      </c>
      <c r="B2744" t="inlineStr">
        <is>
          <t>2026-05-07 12:02:32.994</t>
        </is>
      </c>
      <c r="C2744" t="n">
        <v/>
      </c>
      <c r="D2744" t="inlineStr">
        <is>
          <t>Media file</t>
        </is>
      </c>
      <c r="E2744" t="inlineStr">
        <is>
          <t>player #1:C:/Users/manuel.felline/Documents/BEHAVIOR BTBR/NOR second cohort/BTBR/test/c7_m2.mp4</t>
        </is>
      </c>
      <c r="F2744" t="n">
        <v>-10.2</v>
      </c>
      <c r="G2744" t="n">
        <v>594.799</v>
      </c>
      <c r="H2744" t="n">
        <v>620.899</v>
      </c>
      <c r="I2744" t="n">
        <v>30</v>
      </c>
      <c r="J2744" t="inlineStr">
        <is>
          <t>BTBR</t>
        </is>
      </c>
      <c r="K2744" t="inlineStr">
        <is>
          <t>Male</t>
        </is>
      </c>
      <c r="L2744" t="inlineStr">
        <is>
          <t>No focal subject</t>
        </is>
      </c>
      <c r="M2744" t="n">
        <v>55.999</v>
      </c>
      <c r="N2744" t="inlineStr">
        <is>
          <t>Explore_N</t>
        </is>
      </c>
      <c r="O2744" t="inlineStr">
        <is>
          <t>Novelty</t>
        </is>
      </c>
      <c r="P2744" t="inlineStr">
        <is>
          <t>STATE</t>
        </is>
      </c>
      <c r="Q2744" t="n">
        <v>484.666</v>
      </c>
      <c r="R2744" t="n">
        <v>485.299</v>
      </c>
      <c r="S2744" t="n">
        <v>0.633</v>
      </c>
      <c r="T2744" t="inlineStr">
        <is>
          <t>C:/Users/manuel.felline/Documents/BEHAVIOR BTBR/NOR second cohort/BTBR/test/c7_m2.mp4</t>
        </is>
      </c>
      <c r="U2744" t="n">
        <v>14808</v>
      </c>
      <c r="V2744" t="n">
        <v>14827</v>
      </c>
      <c r="W2744" t="n">
        <v/>
      </c>
      <c r="X2744" t="n">
        <v/>
      </c>
      <c r="Y2744" t="n">
        <v/>
      </c>
      <c r="Z2744" t="n">
        <v/>
      </c>
      <c r="AA2744">
        <f>SUMIFS($S$2:S2744,$A$2:A2744,A2744,$N$2:N2744,"Explore*")</f>
        <v/>
      </c>
      <c r="AB2744">
        <f>IF(AND(LEFT(N2744,7)="Explore",(AA2744-IF(LEFT(N2744,7)="Explore",S2744,0))&lt;10),"SI","NO")</f>
        <v/>
      </c>
    </row>
    <row r="2745">
      <c r="A2745" t="inlineStr">
        <is>
          <t>c7m2_test</t>
        </is>
      </c>
      <c r="B2745" t="inlineStr">
        <is>
          <t>2026-05-07 12:02:32.994</t>
        </is>
      </c>
      <c r="C2745" t="n">
        <v/>
      </c>
      <c r="D2745" t="inlineStr">
        <is>
          <t>Media file</t>
        </is>
      </c>
      <c r="E2745" t="inlineStr">
        <is>
          <t>player #1:C:/Users/manuel.felline/Documents/BEHAVIOR BTBR/NOR second cohort/BTBR/test/c7_m2.mp4</t>
        </is>
      </c>
      <c r="F2745" t="n">
        <v>-10.2</v>
      </c>
      <c r="G2745" t="n">
        <v>594.799</v>
      </c>
      <c r="H2745" t="n">
        <v>620.899</v>
      </c>
      <c r="I2745" t="n">
        <v>30</v>
      </c>
      <c r="J2745" t="inlineStr">
        <is>
          <t>BTBR</t>
        </is>
      </c>
      <c r="K2745" t="inlineStr">
        <is>
          <t>Male</t>
        </is>
      </c>
      <c r="L2745" t="inlineStr">
        <is>
          <t>No focal subject</t>
        </is>
      </c>
      <c r="M2745" t="n">
        <v>55.999</v>
      </c>
      <c r="N2745" t="inlineStr">
        <is>
          <t>Explore_N</t>
        </is>
      </c>
      <c r="O2745" t="inlineStr">
        <is>
          <t>Novelty</t>
        </is>
      </c>
      <c r="P2745" t="inlineStr">
        <is>
          <t>STATE</t>
        </is>
      </c>
      <c r="Q2745" t="n">
        <v>486.633</v>
      </c>
      <c r="R2745" t="n">
        <v>487.399</v>
      </c>
      <c r="S2745" t="n">
        <v>0.766</v>
      </c>
      <c r="T2745" t="inlineStr">
        <is>
          <t>C:/Users/manuel.felline/Documents/BEHAVIOR BTBR/NOR second cohort/BTBR/test/c7_m2.mp4</t>
        </is>
      </c>
      <c r="U2745" t="n">
        <v>14867</v>
      </c>
      <c r="V2745" t="n">
        <v>14890</v>
      </c>
      <c r="W2745" t="n">
        <v/>
      </c>
      <c r="X2745" t="n">
        <v/>
      </c>
      <c r="Y2745" t="n">
        <v/>
      </c>
      <c r="Z2745" t="n">
        <v/>
      </c>
      <c r="AA2745">
        <f>SUMIFS($S$2:S2745,$A$2:A2745,A2745,$N$2:N2745,"Explore*")</f>
        <v/>
      </c>
      <c r="AB2745">
        <f>IF(AND(LEFT(N2745,7)="Explore",(AA2745-IF(LEFT(N2745,7)="Explore",S2745,0))&lt;10),"SI","NO")</f>
        <v/>
      </c>
    </row>
    <row r="2746">
      <c r="A2746" t="inlineStr">
        <is>
          <t>c7m2_test</t>
        </is>
      </c>
      <c r="B2746" t="inlineStr">
        <is>
          <t>2026-05-07 12:02:32.994</t>
        </is>
      </c>
      <c r="C2746" t="n">
        <v/>
      </c>
      <c r="D2746" t="inlineStr">
        <is>
          <t>Media file</t>
        </is>
      </c>
      <c r="E2746" t="inlineStr">
        <is>
          <t>player #1:C:/Users/manuel.felline/Documents/BEHAVIOR BTBR/NOR second cohort/BTBR/test/c7_m2.mp4</t>
        </is>
      </c>
      <c r="F2746" t="n">
        <v>-10.2</v>
      </c>
      <c r="G2746" t="n">
        <v>594.799</v>
      </c>
      <c r="H2746" t="n">
        <v>620.899</v>
      </c>
      <c r="I2746" t="n">
        <v>30</v>
      </c>
      <c r="J2746" t="inlineStr">
        <is>
          <t>BTBR</t>
        </is>
      </c>
      <c r="K2746" t="inlineStr">
        <is>
          <t>Male</t>
        </is>
      </c>
      <c r="L2746" t="inlineStr">
        <is>
          <t>No focal subject</t>
        </is>
      </c>
      <c r="M2746" t="n">
        <v>55.999</v>
      </c>
      <c r="N2746" t="inlineStr">
        <is>
          <t>Explore_F</t>
        </is>
      </c>
      <c r="O2746" t="inlineStr">
        <is>
          <t>Familiar</t>
        </is>
      </c>
      <c r="P2746" t="inlineStr">
        <is>
          <t>STATE</t>
        </is>
      </c>
      <c r="Q2746" t="n">
        <v>521.533</v>
      </c>
      <c r="R2746" t="n">
        <v>521.933</v>
      </c>
      <c r="S2746" t="n">
        <v>0.4</v>
      </c>
      <c r="T2746" t="inlineStr">
        <is>
          <t>C:/Users/manuel.felline/Documents/BEHAVIOR BTBR/NOR second cohort/BTBR/test/c7_m2.mp4</t>
        </is>
      </c>
      <c r="U2746" t="n">
        <v>15911</v>
      </c>
      <c r="V2746" t="n">
        <v>15923</v>
      </c>
      <c r="W2746" t="n">
        <v/>
      </c>
      <c r="X2746" t="n">
        <v/>
      </c>
      <c r="Y2746" t="n">
        <v/>
      </c>
      <c r="Z2746" t="n">
        <v/>
      </c>
      <c r="AA2746">
        <f>SUMIFS($S$2:S2746,$A$2:A2746,A2746,$N$2:N2746,"Explore*")</f>
        <v/>
      </c>
      <c r="AB2746">
        <f>IF(AND(LEFT(N2746,7)="Explore",(AA2746-IF(LEFT(N2746,7)="Explore",S2746,0))&lt;10),"SI","NO")</f>
        <v/>
      </c>
    </row>
    <row r="2747">
      <c r="A2747" t="inlineStr">
        <is>
          <t>c7m2_test</t>
        </is>
      </c>
      <c r="B2747" t="inlineStr">
        <is>
          <t>2026-05-07 12:02:32.994</t>
        </is>
      </c>
      <c r="C2747" t="n">
        <v/>
      </c>
      <c r="D2747" t="inlineStr">
        <is>
          <t>Media file</t>
        </is>
      </c>
      <c r="E2747" t="inlineStr">
        <is>
          <t>player #1:C:/Users/manuel.felline/Documents/BEHAVIOR BTBR/NOR second cohort/BTBR/test/c7_m2.mp4</t>
        </is>
      </c>
      <c r="F2747" t="n">
        <v>-10.2</v>
      </c>
      <c r="G2747" t="n">
        <v>594.799</v>
      </c>
      <c r="H2747" t="n">
        <v>620.899</v>
      </c>
      <c r="I2747" t="n">
        <v>30</v>
      </c>
      <c r="J2747" t="inlineStr">
        <is>
          <t>BTBR</t>
        </is>
      </c>
      <c r="K2747" t="inlineStr">
        <is>
          <t>Male</t>
        </is>
      </c>
      <c r="L2747" t="inlineStr">
        <is>
          <t>No focal subject</t>
        </is>
      </c>
      <c r="M2747" t="n">
        <v>55.999</v>
      </c>
      <c r="N2747" t="inlineStr">
        <is>
          <t>Explore_F</t>
        </is>
      </c>
      <c r="O2747" t="inlineStr">
        <is>
          <t>Familiar</t>
        </is>
      </c>
      <c r="P2747" t="inlineStr">
        <is>
          <t>STATE</t>
        </is>
      </c>
      <c r="Q2747" t="n">
        <v>561.399</v>
      </c>
      <c r="R2747" t="n">
        <v>561.833</v>
      </c>
      <c r="S2747" t="n">
        <v>0.434</v>
      </c>
      <c r="T2747" t="inlineStr">
        <is>
          <t>C:/Users/manuel.felline/Documents/BEHAVIOR BTBR/NOR second cohort/BTBR/test/c7_m2.mp4</t>
        </is>
      </c>
      <c r="U2747" t="n">
        <v>17104</v>
      </c>
      <c r="V2747" t="n">
        <v>17117</v>
      </c>
      <c r="W2747" t="n">
        <v/>
      </c>
      <c r="X2747" t="n">
        <v/>
      </c>
      <c r="Y2747" t="n">
        <v/>
      </c>
      <c r="Z2747" t="n">
        <v/>
      </c>
      <c r="AA2747">
        <f>SUMIFS($S$2:S2747,$A$2:A2747,A2747,$N$2:N2747,"Explore*")</f>
        <v/>
      </c>
      <c r="AB2747">
        <f>IF(AND(LEFT(N2747,7)="Explore",(AA2747-IF(LEFT(N2747,7)="Explore",S2747,0))&lt;10),"SI","NO")</f>
        <v/>
      </c>
    </row>
    <row r="2748">
      <c r="A2748" t="inlineStr">
        <is>
          <t>c7m2_test</t>
        </is>
      </c>
      <c r="B2748" t="inlineStr">
        <is>
          <t>2026-05-07 12:02:32.994</t>
        </is>
      </c>
      <c r="C2748" t="n">
        <v/>
      </c>
      <c r="D2748" t="inlineStr">
        <is>
          <t>Media file</t>
        </is>
      </c>
      <c r="E2748" t="inlineStr">
        <is>
          <t>player #1:C:/Users/manuel.felline/Documents/BEHAVIOR BTBR/NOR second cohort/BTBR/test/c7_m2.mp4</t>
        </is>
      </c>
      <c r="F2748" t="n">
        <v>-10.2</v>
      </c>
      <c r="G2748" t="n">
        <v>594.799</v>
      </c>
      <c r="H2748" t="n">
        <v>620.899</v>
      </c>
      <c r="I2748" t="n">
        <v>30</v>
      </c>
      <c r="J2748" t="inlineStr">
        <is>
          <t>BTBR</t>
        </is>
      </c>
      <c r="K2748" t="inlineStr">
        <is>
          <t>Male</t>
        </is>
      </c>
      <c r="L2748" t="inlineStr">
        <is>
          <t>No focal subject</t>
        </is>
      </c>
      <c r="M2748" t="n">
        <v>55.999</v>
      </c>
      <c r="N2748" t="inlineStr">
        <is>
          <t>Explore_F</t>
        </is>
      </c>
      <c r="O2748" t="inlineStr">
        <is>
          <t>Familiar</t>
        </is>
      </c>
      <c r="P2748" t="inlineStr">
        <is>
          <t>STATE</t>
        </is>
      </c>
      <c r="Q2748" t="n">
        <v>570.299</v>
      </c>
      <c r="R2748" t="n">
        <v>571.099</v>
      </c>
      <c r="S2748" t="n">
        <v>0.8</v>
      </c>
      <c r="T2748" t="inlineStr">
        <is>
          <t>C:/Users/manuel.felline/Documents/BEHAVIOR BTBR/NOR second cohort/BTBR/test/c7_m2.mp4</t>
        </is>
      </c>
      <c r="U2748" t="n">
        <v>17370</v>
      </c>
      <c r="V2748" t="n">
        <v>17394</v>
      </c>
      <c r="W2748" t="n">
        <v/>
      </c>
      <c r="X2748" t="n">
        <v/>
      </c>
      <c r="Y2748" t="n">
        <v/>
      </c>
      <c r="Z2748" t="n">
        <v/>
      </c>
      <c r="AA2748">
        <f>SUMIFS($S$2:S2748,$A$2:A2748,A2748,$N$2:N2748,"Explore*")</f>
        <v/>
      </c>
      <c r="AB2748">
        <f>IF(AND(LEFT(N2748,7)="Explore",(AA2748-IF(LEFT(N2748,7)="Explore",S2748,0))&lt;10),"SI","NO")</f>
        <v/>
      </c>
    </row>
    <row r="2749">
      <c r="A2749" t="inlineStr">
        <is>
          <t>c7m2_test</t>
        </is>
      </c>
      <c r="B2749" t="inlineStr">
        <is>
          <t>2026-05-07 12:02:32.994</t>
        </is>
      </c>
      <c r="C2749" t="n">
        <v/>
      </c>
      <c r="D2749" t="inlineStr">
        <is>
          <t>Media file</t>
        </is>
      </c>
      <c r="E2749" t="inlineStr">
        <is>
          <t>player #1:C:/Users/manuel.felline/Documents/BEHAVIOR BTBR/NOR second cohort/BTBR/test/c7_m2.mp4</t>
        </is>
      </c>
      <c r="F2749" t="n">
        <v>-10.2</v>
      </c>
      <c r="G2749" t="n">
        <v>594.799</v>
      </c>
      <c r="H2749" t="n">
        <v>620.899</v>
      </c>
      <c r="I2749" t="n">
        <v>30</v>
      </c>
      <c r="J2749" t="inlineStr">
        <is>
          <t>BTBR</t>
        </is>
      </c>
      <c r="K2749" t="inlineStr">
        <is>
          <t>Male</t>
        </is>
      </c>
      <c r="L2749" t="inlineStr">
        <is>
          <t>No focal subject</t>
        </is>
      </c>
      <c r="M2749" t="n">
        <v>55.999</v>
      </c>
      <c r="N2749" t="inlineStr">
        <is>
          <t>Explore_N</t>
        </is>
      </c>
      <c r="O2749" t="inlineStr">
        <is>
          <t>Novelty</t>
        </is>
      </c>
      <c r="P2749" t="inlineStr">
        <is>
          <t>STATE</t>
        </is>
      </c>
      <c r="Q2749" t="n">
        <v>580.699</v>
      </c>
      <c r="R2749" t="n">
        <v>583.199</v>
      </c>
      <c r="S2749" t="n">
        <v>2.5</v>
      </c>
      <c r="T2749" t="inlineStr">
        <is>
          <t>C:/Users/manuel.felline/Documents/BEHAVIOR BTBR/NOR second cohort/BTBR/test/c7_m2.mp4</t>
        </is>
      </c>
      <c r="U2749" t="n">
        <v>17681</v>
      </c>
      <c r="V2749" t="n">
        <v>17756</v>
      </c>
      <c r="W2749" t="n">
        <v/>
      </c>
      <c r="X2749" t="n">
        <v/>
      </c>
      <c r="Y2749" t="n">
        <v/>
      </c>
      <c r="Z2749" t="n">
        <v/>
      </c>
      <c r="AA2749">
        <f>SUMIFS($S$2:S2749,$A$2:A2749,A2749,$N$2:N2749,"Explore*")</f>
        <v/>
      </c>
      <c r="AB2749">
        <f>IF(AND(LEFT(N2749,7)="Explore",(AA2749-IF(LEFT(N2749,7)="Explore",S2749,0))&lt;10),"SI","NO")</f>
        <v/>
      </c>
    </row>
    <row r="2750">
      <c r="A2750" t="inlineStr">
        <is>
          <t>c7m2_test</t>
        </is>
      </c>
      <c r="B2750" t="inlineStr">
        <is>
          <t>2026-05-07 12:02:32.994</t>
        </is>
      </c>
      <c r="C2750" t="n">
        <v/>
      </c>
      <c r="D2750" t="inlineStr">
        <is>
          <t>Media file</t>
        </is>
      </c>
      <c r="E2750" t="inlineStr">
        <is>
          <t>player #1:C:/Users/manuel.felline/Documents/BEHAVIOR BTBR/NOR second cohort/BTBR/test/c7_m2.mp4</t>
        </is>
      </c>
      <c r="F2750" t="n">
        <v>-10.2</v>
      </c>
      <c r="G2750" t="n">
        <v>594.799</v>
      </c>
      <c r="H2750" t="n">
        <v>620.899</v>
      </c>
      <c r="I2750" t="n">
        <v>30</v>
      </c>
      <c r="J2750" t="inlineStr">
        <is>
          <t>BTBR</t>
        </is>
      </c>
      <c r="K2750" t="inlineStr">
        <is>
          <t>Male</t>
        </is>
      </c>
      <c r="L2750" t="inlineStr">
        <is>
          <t>No focal subject</t>
        </is>
      </c>
      <c r="M2750" t="n">
        <v>55.999</v>
      </c>
      <c r="N2750" t="inlineStr">
        <is>
          <t>Explore_F</t>
        </is>
      </c>
      <c r="O2750" t="inlineStr">
        <is>
          <t>Familiar</t>
        </is>
      </c>
      <c r="P2750" t="inlineStr">
        <is>
          <t>STATE</t>
        </is>
      </c>
      <c r="Q2750" t="n">
        <v>590.699</v>
      </c>
      <c r="R2750" t="n">
        <v>591.2329999999999</v>
      </c>
      <c r="S2750" t="n">
        <v>0.534</v>
      </c>
      <c r="T2750" t="inlineStr">
        <is>
          <t>C:/Users/manuel.felline/Documents/BEHAVIOR BTBR/NOR second cohort/BTBR/test/c7_m2.mp4</t>
        </is>
      </c>
      <c r="U2750" t="n">
        <v>17981</v>
      </c>
      <c r="V2750" t="n">
        <v>17997</v>
      </c>
      <c r="W2750" t="n">
        <v/>
      </c>
      <c r="X2750" t="n">
        <v/>
      </c>
      <c r="Y2750" t="n">
        <v/>
      </c>
      <c r="Z2750" t="n">
        <v/>
      </c>
      <c r="AA2750">
        <f>SUMIFS($S$2:S2750,$A$2:A2750,A2750,$N$2:N2750,"Explore*")</f>
        <v/>
      </c>
      <c r="AB2750">
        <f>IF(AND(LEFT(N2750,7)="Explore",(AA2750-IF(LEFT(N2750,7)="Explore",S2750,0))&lt;10),"SI","NO")</f>
        <v/>
      </c>
    </row>
    <row r="2751">
      <c r="A2751" t="inlineStr">
        <is>
          <t>c7m2_test</t>
        </is>
      </c>
      <c r="B2751" t="inlineStr">
        <is>
          <t>2026-05-07 12:02:32.994</t>
        </is>
      </c>
      <c r="C2751" t="n">
        <v/>
      </c>
      <c r="D2751" t="inlineStr">
        <is>
          <t>Media file</t>
        </is>
      </c>
      <c r="E2751" t="inlineStr">
        <is>
          <t>player #1:C:/Users/manuel.felline/Documents/BEHAVIOR BTBR/NOR second cohort/BTBR/test/c7_m2.mp4</t>
        </is>
      </c>
      <c r="F2751" t="n">
        <v>-10.2</v>
      </c>
      <c r="G2751" t="n">
        <v>594.799</v>
      </c>
      <c r="H2751" t="n">
        <v>620.899</v>
      </c>
      <c r="I2751" t="n">
        <v>30</v>
      </c>
      <c r="J2751" t="inlineStr">
        <is>
          <t>BTBR</t>
        </is>
      </c>
      <c r="K2751" t="inlineStr">
        <is>
          <t>Male</t>
        </is>
      </c>
      <c r="L2751" t="inlineStr">
        <is>
          <t>No focal subject</t>
        </is>
      </c>
      <c r="M2751" t="n">
        <v>55.999</v>
      </c>
      <c r="N2751" t="inlineStr">
        <is>
          <t>Explore_N</t>
        </is>
      </c>
      <c r="O2751" t="inlineStr">
        <is>
          <t>Novelty</t>
        </is>
      </c>
      <c r="P2751" t="inlineStr">
        <is>
          <t>STATE</t>
        </is>
      </c>
      <c r="Q2751" t="n">
        <v>599.066</v>
      </c>
      <c r="R2751" t="n">
        <v>599.999</v>
      </c>
      <c r="S2751" t="n">
        <v>0.9330000000000001</v>
      </c>
      <c r="T2751" t="inlineStr">
        <is>
          <t>C:/Users/manuel.felline/Documents/BEHAVIOR BTBR/NOR second cohort/BTBR/test/c7_m2.mp4</t>
        </is>
      </c>
      <c r="U2751" t="n">
        <v>18231</v>
      </c>
      <c r="V2751" t="n">
        <v>18259</v>
      </c>
      <c r="W2751" t="n">
        <v/>
      </c>
      <c r="X2751" t="n">
        <v/>
      </c>
      <c r="Y2751" t="n">
        <v/>
      </c>
      <c r="Z2751" t="n">
        <v/>
      </c>
      <c r="AA2751">
        <f>SUMIFS($S$2:S2751,$A$2:A2751,A2751,$N$2:N2751,"Explore*")</f>
        <v/>
      </c>
      <c r="AB2751">
        <f>IF(AND(LEFT(N2751,7)="Explore",(AA2751-IF(LEFT(N2751,7)="Explore",S2751,0))&lt;10),"SI","NO")</f>
        <v/>
      </c>
    </row>
    <row r="2752">
      <c r="A2752" t="inlineStr">
        <is>
          <t>c7m3_test</t>
        </is>
      </c>
      <c r="B2752" t="inlineStr">
        <is>
          <t>2026-05-12 17:13:40.847</t>
        </is>
      </c>
      <c r="C2752" t="n">
        <v/>
      </c>
      <c r="D2752" t="inlineStr">
        <is>
          <t>Media file</t>
        </is>
      </c>
      <c r="E2752" t="inlineStr">
        <is>
          <t>player #1:C:/Users/manuel.felline/Documents/BEHAVIOR BTBR/NOR second cohort/BTBR/test/c7_m3.mp4</t>
        </is>
      </c>
      <c r="F2752" t="n">
        <v>-6.233</v>
      </c>
      <c r="G2752" t="n">
        <v>581.6660000000001</v>
      </c>
      <c r="H2752" t="n">
        <v>617.699</v>
      </c>
      <c r="I2752" t="n">
        <v>30</v>
      </c>
      <c r="J2752" t="inlineStr">
        <is>
          <t>BTBR</t>
        </is>
      </c>
      <c r="K2752" t="inlineStr">
        <is>
          <t>Male</t>
        </is>
      </c>
      <c r="L2752" t="inlineStr">
        <is>
          <t>No focal subject</t>
        </is>
      </c>
      <c r="M2752" t="n">
        <v>80.06999999999999</v>
      </c>
      <c r="N2752" t="inlineStr">
        <is>
          <t>Explore_F</t>
        </is>
      </c>
      <c r="O2752" t="inlineStr">
        <is>
          <t>Familiar</t>
        </is>
      </c>
      <c r="P2752" t="inlineStr">
        <is>
          <t>STATE</t>
        </is>
      </c>
      <c r="Q2752" t="n">
        <v>2.8</v>
      </c>
      <c r="R2752" t="n">
        <v>3.7</v>
      </c>
      <c r="S2752" t="n">
        <v>0.9</v>
      </c>
      <c r="T2752" t="inlineStr">
        <is>
          <t>C:/Users/manuel.felline/Documents/BEHAVIOR BTBR/NOR second cohort/BTBR/test/c7_m3.mp4</t>
        </is>
      </c>
      <c r="U2752" t="n">
        <v>271</v>
      </c>
      <c r="V2752" t="n">
        <v>298</v>
      </c>
      <c r="W2752" t="n">
        <v/>
      </c>
      <c r="X2752" t="n">
        <v/>
      </c>
      <c r="Y2752" t="n">
        <v/>
      </c>
      <c r="Z2752" t="n">
        <v/>
      </c>
      <c r="AA2752">
        <f>SUMIFS($S$2:S2752,$A$2:A2752,A2752,$N$2:N2752,"Explore*")</f>
        <v/>
      </c>
      <c r="AB2752">
        <f>IF(AND(LEFT(N2752,7)="Explore",(AA2752-IF(LEFT(N2752,7)="Explore",S2752,0))&lt;10),"SI","NO")</f>
        <v/>
      </c>
    </row>
    <row r="2753">
      <c r="A2753" t="inlineStr">
        <is>
          <t>c7m3_test</t>
        </is>
      </c>
      <c r="B2753" t="inlineStr">
        <is>
          <t>2026-05-12 17:13:40.847</t>
        </is>
      </c>
      <c r="C2753" t="n">
        <v/>
      </c>
      <c r="D2753" t="inlineStr">
        <is>
          <t>Media file</t>
        </is>
      </c>
      <c r="E2753" t="inlineStr">
        <is>
          <t>player #1:C:/Users/manuel.felline/Documents/BEHAVIOR BTBR/NOR second cohort/BTBR/test/c7_m3.mp4</t>
        </is>
      </c>
      <c r="F2753" t="n">
        <v>-6.233</v>
      </c>
      <c r="G2753" t="n">
        <v>581.6660000000001</v>
      </c>
      <c r="H2753" t="n">
        <v>617.699</v>
      </c>
      <c r="I2753" t="n">
        <v>30</v>
      </c>
      <c r="J2753" t="inlineStr">
        <is>
          <t>BTBR</t>
        </is>
      </c>
      <c r="K2753" t="inlineStr">
        <is>
          <t>Male</t>
        </is>
      </c>
      <c r="L2753" t="inlineStr">
        <is>
          <t>No focal subject</t>
        </is>
      </c>
      <c r="M2753" t="n">
        <v>80.06999999999999</v>
      </c>
      <c r="N2753" t="inlineStr">
        <is>
          <t>Explore_N</t>
        </is>
      </c>
      <c r="O2753" t="inlineStr">
        <is>
          <t>Novelty</t>
        </is>
      </c>
      <c r="P2753" t="inlineStr">
        <is>
          <t>STATE</t>
        </is>
      </c>
      <c r="Q2753" t="n">
        <v>5.334</v>
      </c>
      <c r="R2753" t="n">
        <v>6.634</v>
      </c>
      <c r="S2753" t="n">
        <v>1.3</v>
      </c>
      <c r="T2753" t="inlineStr">
        <is>
          <t>C:/Users/manuel.felline/Documents/BEHAVIOR BTBR/NOR second cohort/BTBR/test/c7_m3.mp4</t>
        </is>
      </c>
      <c r="U2753" t="n">
        <v>347</v>
      </c>
      <c r="V2753" t="n">
        <v>386</v>
      </c>
      <c r="W2753" t="n">
        <v/>
      </c>
      <c r="X2753" t="n">
        <v/>
      </c>
      <c r="Y2753" t="n">
        <v/>
      </c>
      <c r="Z2753" t="n">
        <v/>
      </c>
      <c r="AA2753">
        <f>SUMIFS($S$2:S2753,$A$2:A2753,A2753,$N$2:N2753,"Explore*")</f>
        <v/>
      </c>
      <c r="AB2753">
        <f>IF(AND(LEFT(N2753,7)="Explore",(AA2753-IF(LEFT(N2753,7)="Explore",S2753,0))&lt;10),"SI","NO")</f>
        <v/>
      </c>
    </row>
    <row r="2754">
      <c r="A2754" t="inlineStr">
        <is>
          <t>c7m3_test</t>
        </is>
      </c>
      <c r="B2754" t="inlineStr">
        <is>
          <t>2026-05-12 17:13:40.847</t>
        </is>
      </c>
      <c r="C2754" t="n">
        <v/>
      </c>
      <c r="D2754" t="inlineStr">
        <is>
          <t>Media file</t>
        </is>
      </c>
      <c r="E2754" t="inlineStr">
        <is>
          <t>player #1:C:/Users/manuel.felline/Documents/BEHAVIOR BTBR/NOR second cohort/BTBR/test/c7_m3.mp4</t>
        </is>
      </c>
      <c r="F2754" t="n">
        <v>-6.233</v>
      </c>
      <c r="G2754" t="n">
        <v>581.6660000000001</v>
      </c>
      <c r="H2754" t="n">
        <v>617.699</v>
      </c>
      <c r="I2754" t="n">
        <v>30</v>
      </c>
      <c r="J2754" t="inlineStr">
        <is>
          <t>BTBR</t>
        </is>
      </c>
      <c r="K2754" t="inlineStr">
        <is>
          <t>Male</t>
        </is>
      </c>
      <c r="L2754" t="inlineStr">
        <is>
          <t>No focal subject</t>
        </is>
      </c>
      <c r="M2754" t="n">
        <v>80.06999999999999</v>
      </c>
      <c r="N2754" t="inlineStr">
        <is>
          <t>Explore_F</t>
        </is>
      </c>
      <c r="O2754" t="inlineStr">
        <is>
          <t>Familiar</t>
        </is>
      </c>
      <c r="P2754" t="inlineStr">
        <is>
          <t>STATE</t>
        </is>
      </c>
      <c r="Q2754" t="n">
        <v>8.766999999999999</v>
      </c>
      <c r="R2754" t="n">
        <v>9.766999999999999</v>
      </c>
      <c r="S2754" t="n">
        <v>1</v>
      </c>
      <c r="T2754" t="inlineStr">
        <is>
          <t>C:/Users/manuel.felline/Documents/BEHAVIOR BTBR/NOR second cohort/BTBR/test/c7_m3.mp4</t>
        </is>
      </c>
      <c r="U2754" t="n">
        <v>450</v>
      </c>
      <c r="V2754" t="n">
        <v>480</v>
      </c>
      <c r="W2754" t="n">
        <v/>
      </c>
      <c r="X2754" t="n">
        <v/>
      </c>
      <c r="Y2754" t="n">
        <v/>
      </c>
      <c r="Z2754" t="n">
        <v/>
      </c>
      <c r="AA2754">
        <f>SUMIFS($S$2:S2754,$A$2:A2754,A2754,$N$2:N2754,"Explore*")</f>
        <v/>
      </c>
      <c r="AB2754">
        <f>IF(AND(LEFT(N2754,7)="Explore",(AA2754-IF(LEFT(N2754,7)="Explore",S2754,0))&lt;10),"SI","NO")</f>
        <v/>
      </c>
    </row>
    <row r="2755">
      <c r="A2755" t="inlineStr">
        <is>
          <t>c7m3_test</t>
        </is>
      </c>
      <c r="B2755" t="inlineStr">
        <is>
          <t>2026-05-12 17:13:40.847</t>
        </is>
      </c>
      <c r="C2755" t="n">
        <v/>
      </c>
      <c r="D2755" t="inlineStr">
        <is>
          <t>Media file</t>
        </is>
      </c>
      <c r="E2755" t="inlineStr">
        <is>
          <t>player #1:C:/Users/manuel.felline/Documents/BEHAVIOR BTBR/NOR second cohort/BTBR/test/c7_m3.mp4</t>
        </is>
      </c>
      <c r="F2755" t="n">
        <v>-6.233</v>
      </c>
      <c r="G2755" t="n">
        <v>581.6660000000001</v>
      </c>
      <c r="H2755" t="n">
        <v>617.699</v>
      </c>
      <c r="I2755" t="n">
        <v>30</v>
      </c>
      <c r="J2755" t="inlineStr">
        <is>
          <t>BTBR</t>
        </is>
      </c>
      <c r="K2755" t="inlineStr">
        <is>
          <t>Male</t>
        </is>
      </c>
      <c r="L2755" t="inlineStr">
        <is>
          <t>No focal subject</t>
        </is>
      </c>
      <c r="M2755" t="n">
        <v>80.06999999999999</v>
      </c>
      <c r="N2755" t="inlineStr">
        <is>
          <t>Explore_N</t>
        </is>
      </c>
      <c r="O2755" t="inlineStr">
        <is>
          <t>Novelty</t>
        </is>
      </c>
      <c r="P2755" t="inlineStr">
        <is>
          <t>STATE</t>
        </is>
      </c>
      <c r="Q2755" t="n">
        <v>11.8</v>
      </c>
      <c r="R2755" t="n">
        <v>12.767</v>
      </c>
      <c r="S2755" t="n">
        <v>0.967</v>
      </c>
      <c r="T2755" t="inlineStr">
        <is>
          <t>C:/Users/manuel.felline/Documents/BEHAVIOR BTBR/NOR second cohort/BTBR/test/c7_m3.mp4</t>
        </is>
      </c>
      <c r="U2755" t="n">
        <v>541</v>
      </c>
      <c r="V2755" t="n">
        <v>570</v>
      </c>
      <c r="W2755" t="n">
        <v/>
      </c>
      <c r="X2755" t="n">
        <v/>
      </c>
      <c r="Y2755" t="n">
        <v/>
      </c>
      <c r="Z2755" t="n">
        <v/>
      </c>
      <c r="AA2755">
        <f>SUMIFS($S$2:S2755,$A$2:A2755,A2755,$N$2:N2755,"Explore*")</f>
        <v/>
      </c>
      <c r="AB2755">
        <f>IF(AND(LEFT(N2755,7)="Explore",(AA2755-IF(LEFT(N2755,7)="Explore",S2755,0))&lt;10),"SI","NO")</f>
        <v/>
      </c>
    </row>
    <row r="2756">
      <c r="A2756" t="inlineStr">
        <is>
          <t>c7m3_test</t>
        </is>
      </c>
      <c r="B2756" t="inlineStr">
        <is>
          <t>2026-05-12 17:13:40.847</t>
        </is>
      </c>
      <c r="C2756" t="n">
        <v/>
      </c>
      <c r="D2756" t="inlineStr">
        <is>
          <t>Media file</t>
        </is>
      </c>
      <c r="E2756" t="inlineStr">
        <is>
          <t>player #1:C:/Users/manuel.felline/Documents/BEHAVIOR BTBR/NOR second cohort/BTBR/test/c7_m3.mp4</t>
        </is>
      </c>
      <c r="F2756" t="n">
        <v>-6.233</v>
      </c>
      <c r="G2756" t="n">
        <v>581.6660000000001</v>
      </c>
      <c r="H2756" t="n">
        <v>617.699</v>
      </c>
      <c r="I2756" t="n">
        <v>30</v>
      </c>
      <c r="J2756" t="inlineStr">
        <is>
          <t>BTBR</t>
        </is>
      </c>
      <c r="K2756" t="inlineStr">
        <is>
          <t>Male</t>
        </is>
      </c>
      <c r="L2756" t="inlineStr">
        <is>
          <t>No focal subject</t>
        </is>
      </c>
      <c r="M2756" t="n">
        <v>80.06999999999999</v>
      </c>
      <c r="N2756" t="inlineStr">
        <is>
          <t>Explore_F</t>
        </is>
      </c>
      <c r="O2756" t="inlineStr">
        <is>
          <t>Familiar</t>
        </is>
      </c>
      <c r="P2756" t="inlineStr">
        <is>
          <t>STATE</t>
        </is>
      </c>
      <c r="Q2756" t="n">
        <v>14.267</v>
      </c>
      <c r="R2756" t="n">
        <v>15.934</v>
      </c>
      <c r="S2756" t="n">
        <v>1.667</v>
      </c>
      <c r="T2756" t="inlineStr">
        <is>
          <t>C:/Users/manuel.felline/Documents/BEHAVIOR BTBR/NOR second cohort/BTBR/test/c7_m3.mp4</t>
        </is>
      </c>
      <c r="U2756" t="n">
        <v>615</v>
      </c>
      <c r="V2756" t="n">
        <v>665</v>
      </c>
      <c r="W2756" t="n">
        <v/>
      </c>
      <c r="X2756" t="n">
        <v/>
      </c>
      <c r="Y2756" t="n">
        <v/>
      </c>
      <c r="Z2756" t="n">
        <v/>
      </c>
      <c r="AA2756">
        <f>SUMIFS($S$2:S2756,$A$2:A2756,A2756,$N$2:N2756,"Explore*")</f>
        <v/>
      </c>
      <c r="AB2756">
        <f>IF(AND(LEFT(N2756,7)="Explore",(AA2756-IF(LEFT(N2756,7)="Explore",S2756,0))&lt;10),"SI","NO")</f>
        <v/>
      </c>
    </row>
    <row r="2757">
      <c r="A2757" t="inlineStr">
        <is>
          <t>c7m3_test</t>
        </is>
      </c>
      <c r="B2757" t="inlineStr">
        <is>
          <t>2026-05-12 17:13:40.847</t>
        </is>
      </c>
      <c r="C2757" t="n">
        <v/>
      </c>
      <c r="D2757" t="inlineStr">
        <is>
          <t>Media file</t>
        </is>
      </c>
      <c r="E2757" t="inlineStr">
        <is>
          <t>player #1:C:/Users/manuel.felline/Documents/BEHAVIOR BTBR/NOR second cohort/BTBR/test/c7_m3.mp4</t>
        </is>
      </c>
      <c r="F2757" t="n">
        <v>-6.233</v>
      </c>
      <c r="G2757" t="n">
        <v>581.6660000000001</v>
      </c>
      <c r="H2757" t="n">
        <v>617.699</v>
      </c>
      <c r="I2757" t="n">
        <v>30</v>
      </c>
      <c r="J2757" t="inlineStr">
        <is>
          <t>BTBR</t>
        </is>
      </c>
      <c r="K2757" t="inlineStr">
        <is>
          <t>Male</t>
        </is>
      </c>
      <c r="L2757" t="inlineStr">
        <is>
          <t>No focal subject</t>
        </is>
      </c>
      <c r="M2757" t="n">
        <v>80.06999999999999</v>
      </c>
      <c r="N2757" t="inlineStr">
        <is>
          <t>Explore_N</t>
        </is>
      </c>
      <c r="O2757" t="inlineStr">
        <is>
          <t>Novelty</t>
        </is>
      </c>
      <c r="P2757" t="inlineStr">
        <is>
          <t>STATE</t>
        </is>
      </c>
      <c r="Q2757" t="n">
        <v>19.634</v>
      </c>
      <c r="R2757" t="n">
        <v>20.334</v>
      </c>
      <c r="S2757" t="n">
        <v>0.7</v>
      </c>
      <c r="T2757" t="inlineStr">
        <is>
          <t>C:/Users/manuel.felline/Documents/BEHAVIOR BTBR/NOR second cohort/BTBR/test/c7_m3.mp4</t>
        </is>
      </c>
      <c r="U2757" t="n">
        <v>776</v>
      </c>
      <c r="V2757" t="n">
        <v>797</v>
      </c>
      <c r="W2757" t="n">
        <v/>
      </c>
      <c r="X2757" t="n">
        <v/>
      </c>
      <c r="Y2757" t="n">
        <v/>
      </c>
      <c r="Z2757" t="n">
        <v/>
      </c>
      <c r="AA2757">
        <f>SUMIFS($S$2:S2757,$A$2:A2757,A2757,$N$2:N2757,"Explore*")</f>
        <v/>
      </c>
      <c r="AB2757">
        <f>IF(AND(LEFT(N2757,7)="Explore",(AA2757-IF(LEFT(N2757,7)="Explore",S2757,0))&lt;10),"SI","NO")</f>
        <v/>
      </c>
    </row>
    <row r="2758">
      <c r="A2758" t="inlineStr">
        <is>
          <t>c7m3_test</t>
        </is>
      </c>
      <c r="B2758" t="inlineStr">
        <is>
          <t>2026-05-12 17:13:40.847</t>
        </is>
      </c>
      <c r="C2758" t="n">
        <v/>
      </c>
      <c r="D2758" t="inlineStr">
        <is>
          <t>Media file</t>
        </is>
      </c>
      <c r="E2758" t="inlineStr">
        <is>
          <t>player #1:C:/Users/manuel.felline/Documents/BEHAVIOR BTBR/NOR second cohort/BTBR/test/c7_m3.mp4</t>
        </is>
      </c>
      <c r="F2758" t="n">
        <v>-6.233</v>
      </c>
      <c r="G2758" t="n">
        <v>581.6660000000001</v>
      </c>
      <c r="H2758" t="n">
        <v>617.699</v>
      </c>
      <c r="I2758" t="n">
        <v>30</v>
      </c>
      <c r="J2758" t="inlineStr">
        <is>
          <t>BTBR</t>
        </is>
      </c>
      <c r="K2758" t="inlineStr">
        <is>
          <t>Male</t>
        </is>
      </c>
      <c r="L2758" t="inlineStr">
        <is>
          <t>No focal subject</t>
        </is>
      </c>
      <c r="M2758" t="n">
        <v>80.06999999999999</v>
      </c>
      <c r="N2758" t="inlineStr">
        <is>
          <t>Explore_N</t>
        </is>
      </c>
      <c r="O2758" t="inlineStr">
        <is>
          <t>Novelty</t>
        </is>
      </c>
      <c r="P2758" t="inlineStr">
        <is>
          <t>STATE</t>
        </is>
      </c>
      <c r="Q2758" t="n">
        <v>23.367</v>
      </c>
      <c r="R2758" t="n">
        <v>24.167</v>
      </c>
      <c r="S2758" t="n">
        <v>0.8</v>
      </c>
      <c r="T2758" t="inlineStr">
        <is>
          <t>C:/Users/manuel.felline/Documents/BEHAVIOR BTBR/NOR second cohort/BTBR/test/c7_m3.mp4</t>
        </is>
      </c>
      <c r="U2758" t="n">
        <v>888</v>
      </c>
      <c r="V2758" t="n">
        <v>912</v>
      </c>
      <c r="W2758" t="n">
        <v/>
      </c>
      <c r="X2758" t="n">
        <v/>
      </c>
      <c r="Y2758" t="n">
        <v/>
      </c>
      <c r="Z2758" t="n">
        <v/>
      </c>
      <c r="AA2758">
        <f>SUMIFS($S$2:S2758,$A$2:A2758,A2758,$N$2:N2758,"Explore*")</f>
        <v/>
      </c>
      <c r="AB2758">
        <f>IF(AND(LEFT(N2758,7)="Explore",(AA2758-IF(LEFT(N2758,7)="Explore",S2758,0))&lt;10),"SI","NO")</f>
        <v/>
      </c>
    </row>
    <row r="2759">
      <c r="A2759" t="inlineStr">
        <is>
          <t>c7m3_test</t>
        </is>
      </c>
      <c r="B2759" t="inlineStr">
        <is>
          <t>2026-05-12 17:13:40.847</t>
        </is>
      </c>
      <c r="C2759" t="n">
        <v/>
      </c>
      <c r="D2759" t="inlineStr">
        <is>
          <t>Media file</t>
        </is>
      </c>
      <c r="E2759" t="inlineStr">
        <is>
          <t>player #1:C:/Users/manuel.felline/Documents/BEHAVIOR BTBR/NOR second cohort/BTBR/test/c7_m3.mp4</t>
        </is>
      </c>
      <c r="F2759" t="n">
        <v>-6.233</v>
      </c>
      <c r="G2759" t="n">
        <v>581.6660000000001</v>
      </c>
      <c r="H2759" t="n">
        <v>617.699</v>
      </c>
      <c r="I2759" t="n">
        <v>30</v>
      </c>
      <c r="J2759" t="inlineStr">
        <is>
          <t>BTBR</t>
        </is>
      </c>
      <c r="K2759" t="inlineStr">
        <is>
          <t>Male</t>
        </is>
      </c>
      <c r="L2759" t="inlineStr">
        <is>
          <t>No focal subject</t>
        </is>
      </c>
      <c r="M2759" t="n">
        <v>80.06999999999999</v>
      </c>
      <c r="N2759" t="inlineStr">
        <is>
          <t>Explore_N</t>
        </is>
      </c>
      <c r="O2759" t="inlineStr">
        <is>
          <t>Novelty</t>
        </is>
      </c>
      <c r="P2759" t="inlineStr">
        <is>
          <t>STATE</t>
        </is>
      </c>
      <c r="Q2759" t="n">
        <v>25.667</v>
      </c>
      <c r="R2759" t="n">
        <v>26.134</v>
      </c>
      <c r="S2759" t="n">
        <v>0.467</v>
      </c>
      <c r="T2759" t="inlineStr">
        <is>
          <t>C:/Users/manuel.felline/Documents/BEHAVIOR BTBR/NOR second cohort/BTBR/test/c7_m3.mp4</t>
        </is>
      </c>
      <c r="U2759" t="n">
        <v>957</v>
      </c>
      <c r="V2759" t="n">
        <v>971</v>
      </c>
      <c r="W2759" t="n">
        <v/>
      </c>
      <c r="X2759" t="n">
        <v/>
      </c>
      <c r="Y2759" t="n">
        <v/>
      </c>
      <c r="Z2759" t="n">
        <v/>
      </c>
      <c r="AA2759">
        <f>SUMIFS($S$2:S2759,$A$2:A2759,A2759,$N$2:N2759,"Explore*")</f>
        <v/>
      </c>
      <c r="AB2759">
        <f>IF(AND(LEFT(N2759,7)="Explore",(AA2759-IF(LEFT(N2759,7)="Explore",S2759,0))&lt;10),"SI","NO")</f>
        <v/>
      </c>
    </row>
    <row r="2760">
      <c r="A2760" t="inlineStr">
        <is>
          <t>c7m3_test</t>
        </is>
      </c>
      <c r="B2760" t="inlineStr">
        <is>
          <t>2026-05-12 17:13:40.847</t>
        </is>
      </c>
      <c r="C2760" t="n">
        <v/>
      </c>
      <c r="D2760" t="inlineStr">
        <is>
          <t>Media file</t>
        </is>
      </c>
      <c r="E2760" t="inlineStr">
        <is>
          <t>player #1:C:/Users/manuel.felline/Documents/BEHAVIOR BTBR/NOR second cohort/BTBR/test/c7_m3.mp4</t>
        </is>
      </c>
      <c r="F2760" t="n">
        <v>-6.233</v>
      </c>
      <c r="G2760" t="n">
        <v>581.6660000000001</v>
      </c>
      <c r="H2760" t="n">
        <v>617.699</v>
      </c>
      <c r="I2760" t="n">
        <v>30</v>
      </c>
      <c r="J2760" t="inlineStr">
        <is>
          <t>BTBR</t>
        </is>
      </c>
      <c r="K2760" t="inlineStr">
        <is>
          <t>Male</t>
        </is>
      </c>
      <c r="L2760" t="inlineStr">
        <is>
          <t>No focal subject</t>
        </is>
      </c>
      <c r="M2760" t="n">
        <v>80.06999999999999</v>
      </c>
      <c r="N2760" t="inlineStr">
        <is>
          <t>Explore_F</t>
        </is>
      </c>
      <c r="O2760" t="inlineStr">
        <is>
          <t>Familiar</t>
        </is>
      </c>
      <c r="P2760" t="inlineStr">
        <is>
          <t>STATE</t>
        </is>
      </c>
      <c r="Q2760" t="n">
        <v>28.434</v>
      </c>
      <c r="R2760" t="n">
        <v>29.334</v>
      </c>
      <c r="S2760" t="n">
        <v>0.9</v>
      </c>
      <c r="T2760" t="inlineStr">
        <is>
          <t>C:/Users/manuel.felline/Documents/BEHAVIOR BTBR/NOR second cohort/BTBR/test/c7_m3.mp4</t>
        </is>
      </c>
      <c r="U2760" t="n">
        <v>1040</v>
      </c>
      <c r="V2760" t="n">
        <v>1067</v>
      </c>
      <c r="W2760" t="n">
        <v/>
      </c>
      <c r="X2760" t="n">
        <v/>
      </c>
      <c r="Y2760" t="n">
        <v/>
      </c>
      <c r="Z2760" t="n">
        <v/>
      </c>
      <c r="AA2760">
        <f>SUMIFS($S$2:S2760,$A$2:A2760,A2760,$N$2:N2760,"Explore*")</f>
        <v/>
      </c>
      <c r="AB2760">
        <f>IF(AND(LEFT(N2760,7)="Explore",(AA2760-IF(LEFT(N2760,7)="Explore",S2760,0))&lt;10),"SI","NO")</f>
        <v/>
      </c>
    </row>
    <row r="2761">
      <c r="A2761" t="inlineStr">
        <is>
          <t>c7m3_test</t>
        </is>
      </c>
      <c r="B2761" t="inlineStr">
        <is>
          <t>2026-05-12 17:13:40.847</t>
        </is>
      </c>
      <c r="C2761" t="n">
        <v/>
      </c>
      <c r="D2761" t="inlineStr">
        <is>
          <t>Media file</t>
        </is>
      </c>
      <c r="E2761" t="inlineStr">
        <is>
          <t>player #1:C:/Users/manuel.felline/Documents/BEHAVIOR BTBR/NOR second cohort/BTBR/test/c7_m3.mp4</t>
        </is>
      </c>
      <c r="F2761" t="n">
        <v>-6.233</v>
      </c>
      <c r="G2761" t="n">
        <v>581.6660000000001</v>
      </c>
      <c r="H2761" t="n">
        <v>617.699</v>
      </c>
      <c r="I2761" t="n">
        <v>30</v>
      </c>
      <c r="J2761" t="inlineStr">
        <is>
          <t>BTBR</t>
        </is>
      </c>
      <c r="K2761" t="inlineStr">
        <is>
          <t>Male</t>
        </is>
      </c>
      <c r="L2761" t="inlineStr">
        <is>
          <t>No focal subject</t>
        </is>
      </c>
      <c r="M2761" t="n">
        <v>80.06999999999999</v>
      </c>
      <c r="N2761" t="inlineStr">
        <is>
          <t>Explore_F</t>
        </is>
      </c>
      <c r="O2761" t="inlineStr">
        <is>
          <t>Familiar</t>
        </is>
      </c>
      <c r="P2761" t="inlineStr">
        <is>
          <t>STATE</t>
        </is>
      </c>
      <c r="Q2761" t="n">
        <v>37.567</v>
      </c>
      <c r="R2761" t="n">
        <v>38.1</v>
      </c>
      <c r="S2761" t="n">
        <v>0.533</v>
      </c>
      <c r="T2761" t="inlineStr">
        <is>
          <t>C:/Users/manuel.felline/Documents/BEHAVIOR BTBR/NOR second cohort/BTBR/test/c7_m3.mp4</t>
        </is>
      </c>
      <c r="U2761" t="n">
        <v>1314</v>
      </c>
      <c r="V2761" t="n">
        <v>1330</v>
      </c>
      <c r="W2761" t="n">
        <v/>
      </c>
      <c r="X2761" t="n">
        <v/>
      </c>
      <c r="Y2761" t="n">
        <v/>
      </c>
      <c r="Z2761" t="n">
        <v/>
      </c>
      <c r="AA2761">
        <f>SUMIFS($S$2:S2761,$A$2:A2761,A2761,$N$2:N2761,"Explore*")</f>
        <v/>
      </c>
      <c r="AB2761">
        <f>IF(AND(LEFT(N2761,7)="Explore",(AA2761-IF(LEFT(N2761,7)="Explore",S2761,0))&lt;10),"SI","NO")</f>
        <v/>
      </c>
    </row>
    <row r="2762">
      <c r="A2762" t="inlineStr">
        <is>
          <t>c7m3_test</t>
        </is>
      </c>
      <c r="B2762" t="inlineStr">
        <is>
          <t>2026-05-12 17:13:40.847</t>
        </is>
      </c>
      <c r="C2762" t="n">
        <v/>
      </c>
      <c r="D2762" t="inlineStr">
        <is>
          <t>Media file</t>
        </is>
      </c>
      <c r="E2762" t="inlineStr">
        <is>
          <t>player #1:C:/Users/manuel.felline/Documents/BEHAVIOR BTBR/NOR second cohort/BTBR/test/c7_m3.mp4</t>
        </is>
      </c>
      <c r="F2762" t="n">
        <v>-6.233</v>
      </c>
      <c r="G2762" t="n">
        <v>581.6660000000001</v>
      </c>
      <c r="H2762" t="n">
        <v>617.699</v>
      </c>
      <c r="I2762" t="n">
        <v>30</v>
      </c>
      <c r="J2762" t="inlineStr">
        <is>
          <t>BTBR</t>
        </is>
      </c>
      <c r="K2762" t="inlineStr">
        <is>
          <t>Male</t>
        </is>
      </c>
      <c r="L2762" t="inlineStr">
        <is>
          <t>No focal subject</t>
        </is>
      </c>
      <c r="M2762" t="n">
        <v>80.06999999999999</v>
      </c>
      <c r="N2762" t="inlineStr">
        <is>
          <t>Explore_N</t>
        </is>
      </c>
      <c r="O2762" t="inlineStr">
        <is>
          <t>Novelty</t>
        </is>
      </c>
      <c r="P2762" t="inlineStr">
        <is>
          <t>STATE</t>
        </is>
      </c>
      <c r="Q2762" t="n">
        <v>43.067</v>
      </c>
      <c r="R2762" t="n">
        <v>44.034</v>
      </c>
      <c r="S2762" t="n">
        <v>0.967</v>
      </c>
      <c r="T2762" t="inlineStr">
        <is>
          <t>C:/Users/manuel.felline/Documents/BEHAVIOR BTBR/NOR second cohort/BTBR/test/c7_m3.mp4</t>
        </is>
      </c>
      <c r="U2762" t="n">
        <v>1479</v>
      </c>
      <c r="V2762" t="n">
        <v>1508</v>
      </c>
      <c r="W2762" t="n">
        <v/>
      </c>
      <c r="X2762" t="n">
        <v/>
      </c>
      <c r="Y2762" t="n">
        <v/>
      </c>
      <c r="Z2762" t="n">
        <v/>
      </c>
      <c r="AA2762">
        <f>SUMIFS($S$2:S2762,$A$2:A2762,A2762,$N$2:N2762,"Explore*")</f>
        <v/>
      </c>
      <c r="AB2762">
        <f>IF(AND(LEFT(N2762,7)="Explore",(AA2762-IF(LEFT(N2762,7)="Explore",S2762,0))&lt;10),"SI","NO")</f>
        <v/>
      </c>
    </row>
    <row r="2763">
      <c r="A2763" t="inlineStr">
        <is>
          <t>c7m3_test</t>
        </is>
      </c>
      <c r="B2763" t="inlineStr">
        <is>
          <t>2026-05-12 17:13:40.847</t>
        </is>
      </c>
      <c r="C2763" t="n">
        <v/>
      </c>
      <c r="D2763" t="inlineStr">
        <is>
          <t>Media file</t>
        </is>
      </c>
      <c r="E2763" t="inlineStr">
        <is>
          <t>player #1:C:/Users/manuel.felline/Documents/BEHAVIOR BTBR/NOR second cohort/BTBR/test/c7_m3.mp4</t>
        </is>
      </c>
      <c r="F2763" t="n">
        <v>-6.233</v>
      </c>
      <c r="G2763" t="n">
        <v>581.6660000000001</v>
      </c>
      <c r="H2763" t="n">
        <v>617.699</v>
      </c>
      <c r="I2763" t="n">
        <v>30</v>
      </c>
      <c r="J2763" t="inlineStr">
        <is>
          <t>BTBR</t>
        </is>
      </c>
      <c r="K2763" t="inlineStr">
        <is>
          <t>Male</t>
        </is>
      </c>
      <c r="L2763" t="inlineStr">
        <is>
          <t>No focal subject</t>
        </is>
      </c>
      <c r="M2763" t="n">
        <v>80.06999999999999</v>
      </c>
      <c r="N2763" t="inlineStr">
        <is>
          <t>Explore_N</t>
        </is>
      </c>
      <c r="O2763" t="inlineStr">
        <is>
          <t>Novelty</t>
        </is>
      </c>
      <c r="P2763" t="inlineStr">
        <is>
          <t>STATE</t>
        </is>
      </c>
      <c r="Q2763" t="n">
        <v>44.9</v>
      </c>
      <c r="R2763" t="n">
        <v>46.5</v>
      </c>
      <c r="S2763" t="n">
        <v>1.6</v>
      </c>
      <c r="T2763" t="inlineStr">
        <is>
          <t>C:/Users/manuel.felline/Documents/BEHAVIOR BTBR/NOR second cohort/BTBR/test/c7_m3.mp4</t>
        </is>
      </c>
      <c r="U2763" t="n">
        <v>1534</v>
      </c>
      <c r="V2763" t="n">
        <v>1582</v>
      </c>
      <c r="W2763" t="n">
        <v/>
      </c>
      <c r="X2763" t="n">
        <v/>
      </c>
      <c r="Y2763" t="n">
        <v/>
      </c>
      <c r="Z2763" t="n">
        <v/>
      </c>
      <c r="AA2763">
        <f>SUMIFS($S$2:S2763,$A$2:A2763,A2763,$N$2:N2763,"Explore*")</f>
        <v/>
      </c>
      <c r="AB2763">
        <f>IF(AND(LEFT(N2763,7)="Explore",(AA2763-IF(LEFT(N2763,7)="Explore",S2763,0))&lt;10),"SI","NO")</f>
        <v/>
      </c>
    </row>
    <row r="2764">
      <c r="A2764" t="inlineStr">
        <is>
          <t>c7m3_test</t>
        </is>
      </c>
      <c r="B2764" t="inlineStr">
        <is>
          <t>2026-05-12 17:13:40.847</t>
        </is>
      </c>
      <c r="C2764" t="n">
        <v/>
      </c>
      <c r="D2764" t="inlineStr">
        <is>
          <t>Media file</t>
        </is>
      </c>
      <c r="E2764" t="inlineStr">
        <is>
          <t>player #1:C:/Users/manuel.felline/Documents/BEHAVIOR BTBR/NOR second cohort/BTBR/test/c7_m3.mp4</t>
        </is>
      </c>
      <c r="F2764" t="n">
        <v>-6.233</v>
      </c>
      <c r="G2764" t="n">
        <v>581.6660000000001</v>
      </c>
      <c r="H2764" t="n">
        <v>617.699</v>
      </c>
      <c r="I2764" t="n">
        <v>30</v>
      </c>
      <c r="J2764" t="inlineStr">
        <is>
          <t>BTBR</t>
        </is>
      </c>
      <c r="K2764" t="inlineStr">
        <is>
          <t>Male</t>
        </is>
      </c>
      <c r="L2764" t="inlineStr">
        <is>
          <t>No focal subject</t>
        </is>
      </c>
      <c r="M2764" t="n">
        <v>80.06999999999999</v>
      </c>
      <c r="N2764" t="inlineStr">
        <is>
          <t>Explore_F</t>
        </is>
      </c>
      <c r="O2764" t="inlineStr">
        <is>
          <t>Familiar</t>
        </is>
      </c>
      <c r="P2764" t="inlineStr">
        <is>
          <t>STATE</t>
        </is>
      </c>
      <c r="Q2764" t="n">
        <v>47.6</v>
      </c>
      <c r="R2764" t="n">
        <v>48.434</v>
      </c>
      <c r="S2764" t="n">
        <v>0.834</v>
      </c>
      <c r="T2764" t="inlineStr">
        <is>
          <t>C:/Users/manuel.felline/Documents/BEHAVIOR BTBR/NOR second cohort/BTBR/test/c7_m3.mp4</t>
        </is>
      </c>
      <c r="U2764" t="n">
        <v>1615</v>
      </c>
      <c r="V2764" t="n">
        <v>1640</v>
      </c>
      <c r="W2764" t="n">
        <v/>
      </c>
      <c r="X2764" t="n">
        <v/>
      </c>
      <c r="Y2764" t="n">
        <v/>
      </c>
      <c r="Z2764" t="n">
        <v/>
      </c>
      <c r="AA2764">
        <f>SUMIFS($S$2:S2764,$A$2:A2764,A2764,$N$2:N2764,"Explore*")</f>
        <v/>
      </c>
      <c r="AB2764">
        <f>IF(AND(LEFT(N2764,7)="Explore",(AA2764-IF(LEFT(N2764,7)="Explore",S2764,0))&lt;10),"SI","NO")</f>
        <v/>
      </c>
    </row>
    <row r="2765">
      <c r="A2765" t="inlineStr">
        <is>
          <t>c7m3_test</t>
        </is>
      </c>
      <c r="B2765" t="inlineStr">
        <is>
          <t>2026-05-12 17:13:40.847</t>
        </is>
      </c>
      <c r="C2765" t="n">
        <v/>
      </c>
      <c r="D2765" t="inlineStr">
        <is>
          <t>Media file</t>
        </is>
      </c>
      <c r="E2765" t="inlineStr">
        <is>
          <t>player #1:C:/Users/manuel.felline/Documents/BEHAVIOR BTBR/NOR second cohort/BTBR/test/c7_m3.mp4</t>
        </is>
      </c>
      <c r="F2765" t="n">
        <v>-6.233</v>
      </c>
      <c r="G2765" t="n">
        <v>581.6660000000001</v>
      </c>
      <c r="H2765" t="n">
        <v>617.699</v>
      </c>
      <c r="I2765" t="n">
        <v>30</v>
      </c>
      <c r="J2765" t="inlineStr">
        <is>
          <t>BTBR</t>
        </is>
      </c>
      <c r="K2765" t="inlineStr">
        <is>
          <t>Male</t>
        </is>
      </c>
      <c r="L2765" t="inlineStr">
        <is>
          <t>No focal subject</t>
        </is>
      </c>
      <c r="M2765" t="n">
        <v>80.06999999999999</v>
      </c>
      <c r="N2765" t="inlineStr">
        <is>
          <t>Explore_N</t>
        </is>
      </c>
      <c r="O2765" t="inlineStr">
        <is>
          <t>Novelty</t>
        </is>
      </c>
      <c r="P2765" t="inlineStr">
        <is>
          <t>STATE</t>
        </is>
      </c>
      <c r="Q2765" t="n">
        <v>54.434</v>
      </c>
      <c r="R2765" t="n">
        <v>55.567</v>
      </c>
      <c r="S2765" t="n">
        <v>1.133</v>
      </c>
      <c r="T2765" t="inlineStr">
        <is>
          <t>C:/Users/manuel.felline/Documents/BEHAVIOR BTBR/NOR second cohort/BTBR/test/c7_m3.mp4</t>
        </is>
      </c>
      <c r="U2765" t="n">
        <v>1820</v>
      </c>
      <c r="V2765" t="n">
        <v>1854</v>
      </c>
      <c r="W2765" t="n">
        <v/>
      </c>
      <c r="X2765" t="n">
        <v/>
      </c>
      <c r="Y2765" t="n">
        <v/>
      </c>
      <c r="Z2765" t="n">
        <v/>
      </c>
      <c r="AA2765">
        <f>SUMIFS($S$2:S2765,$A$2:A2765,A2765,$N$2:N2765,"Explore*")</f>
        <v/>
      </c>
      <c r="AB2765">
        <f>IF(AND(LEFT(N2765,7)="Explore",(AA2765-IF(LEFT(N2765,7)="Explore",S2765,0))&lt;10),"SI","NO")</f>
        <v/>
      </c>
    </row>
    <row r="2766">
      <c r="A2766" t="inlineStr">
        <is>
          <t>c7m3_test</t>
        </is>
      </c>
      <c r="B2766" t="inlineStr">
        <is>
          <t>2026-05-12 17:13:40.847</t>
        </is>
      </c>
      <c r="C2766" t="n">
        <v/>
      </c>
      <c r="D2766" t="inlineStr">
        <is>
          <t>Media file</t>
        </is>
      </c>
      <c r="E2766" t="inlineStr">
        <is>
          <t>player #1:C:/Users/manuel.felline/Documents/BEHAVIOR BTBR/NOR second cohort/BTBR/test/c7_m3.mp4</t>
        </is>
      </c>
      <c r="F2766" t="n">
        <v>-6.233</v>
      </c>
      <c r="G2766" t="n">
        <v>581.6660000000001</v>
      </c>
      <c r="H2766" t="n">
        <v>617.699</v>
      </c>
      <c r="I2766" t="n">
        <v>30</v>
      </c>
      <c r="J2766" t="inlineStr">
        <is>
          <t>BTBR</t>
        </is>
      </c>
      <c r="K2766" t="inlineStr">
        <is>
          <t>Male</t>
        </is>
      </c>
      <c r="L2766" t="inlineStr">
        <is>
          <t>No focal subject</t>
        </is>
      </c>
      <c r="M2766" t="n">
        <v>80.06999999999999</v>
      </c>
      <c r="N2766" t="inlineStr">
        <is>
          <t>Explore_F</t>
        </is>
      </c>
      <c r="O2766" t="inlineStr">
        <is>
          <t>Familiar</t>
        </is>
      </c>
      <c r="P2766" t="inlineStr">
        <is>
          <t>STATE</t>
        </is>
      </c>
      <c r="Q2766" t="n">
        <v>57</v>
      </c>
      <c r="R2766" t="n">
        <v>57.567</v>
      </c>
      <c r="S2766" t="n">
        <v>0.5669999999999999</v>
      </c>
      <c r="T2766" t="inlineStr">
        <is>
          <t>C:/Users/manuel.felline/Documents/BEHAVIOR BTBR/NOR second cohort/BTBR/test/c7_m3.mp4</t>
        </is>
      </c>
      <c r="U2766" t="n">
        <v>1897</v>
      </c>
      <c r="V2766" t="n">
        <v>1914</v>
      </c>
      <c r="W2766" t="n">
        <v/>
      </c>
      <c r="X2766" t="n">
        <v/>
      </c>
      <c r="Y2766" t="n">
        <v/>
      </c>
      <c r="Z2766" t="n">
        <v/>
      </c>
      <c r="AA2766">
        <f>SUMIFS($S$2:S2766,$A$2:A2766,A2766,$N$2:N2766,"Explore*")</f>
        <v/>
      </c>
      <c r="AB2766">
        <f>IF(AND(LEFT(N2766,7)="Explore",(AA2766-IF(LEFT(N2766,7)="Explore",S2766,0))&lt;10),"SI","NO")</f>
        <v/>
      </c>
    </row>
    <row r="2767">
      <c r="A2767" t="inlineStr">
        <is>
          <t>c7m3_test</t>
        </is>
      </c>
      <c r="B2767" t="inlineStr">
        <is>
          <t>2026-05-12 17:13:40.847</t>
        </is>
      </c>
      <c r="C2767" t="n">
        <v/>
      </c>
      <c r="D2767" t="inlineStr">
        <is>
          <t>Media file</t>
        </is>
      </c>
      <c r="E2767" t="inlineStr">
        <is>
          <t>player #1:C:/Users/manuel.felline/Documents/BEHAVIOR BTBR/NOR second cohort/BTBR/test/c7_m3.mp4</t>
        </is>
      </c>
      <c r="F2767" t="n">
        <v>-6.233</v>
      </c>
      <c r="G2767" t="n">
        <v>581.6660000000001</v>
      </c>
      <c r="H2767" t="n">
        <v>617.699</v>
      </c>
      <c r="I2767" t="n">
        <v>30</v>
      </c>
      <c r="J2767" t="inlineStr">
        <is>
          <t>BTBR</t>
        </is>
      </c>
      <c r="K2767" t="inlineStr">
        <is>
          <t>Male</t>
        </is>
      </c>
      <c r="L2767" t="inlineStr">
        <is>
          <t>No focal subject</t>
        </is>
      </c>
      <c r="M2767" t="n">
        <v>80.06999999999999</v>
      </c>
      <c r="N2767" t="inlineStr">
        <is>
          <t>Explore_N</t>
        </is>
      </c>
      <c r="O2767" t="inlineStr">
        <is>
          <t>Novelty</t>
        </is>
      </c>
      <c r="P2767" t="inlineStr">
        <is>
          <t>STATE</t>
        </is>
      </c>
      <c r="Q2767" t="n">
        <v>66.767</v>
      </c>
      <c r="R2767" t="n">
        <v>67.634</v>
      </c>
      <c r="S2767" t="n">
        <v>0.867</v>
      </c>
      <c r="T2767" t="inlineStr">
        <is>
          <t>C:/Users/manuel.felline/Documents/BEHAVIOR BTBR/NOR second cohort/BTBR/test/c7_m3.mp4</t>
        </is>
      </c>
      <c r="U2767" t="n">
        <v>2190</v>
      </c>
      <c r="V2767" t="n">
        <v>2216</v>
      </c>
      <c r="W2767" t="n">
        <v/>
      </c>
      <c r="X2767" t="n">
        <v/>
      </c>
      <c r="Y2767" t="n">
        <v/>
      </c>
      <c r="Z2767" t="n">
        <v/>
      </c>
      <c r="AA2767">
        <f>SUMIFS($S$2:S2767,$A$2:A2767,A2767,$N$2:N2767,"Explore*")</f>
        <v/>
      </c>
      <c r="AB2767">
        <f>IF(AND(LEFT(N2767,7)="Explore",(AA2767-IF(LEFT(N2767,7)="Explore",S2767,0))&lt;10),"SI","NO")</f>
        <v/>
      </c>
    </row>
    <row r="2768">
      <c r="A2768" t="inlineStr">
        <is>
          <t>c7m3_test</t>
        </is>
      </c>
      <c r="B2768" t="inlineStr">
        <is>
          <t>2026-05-12 17:13:40.847</t>
        </is>
      </c>
      <c r="C2768" t="n">
        <v/>
      </c>
      <c r="D2768" t="inlineStr">
        <is>
          <t>Media file</t>
        </is>
      </c>
      <c r="E2768" t="inlineStr">
        <is>
          <t>player #1:C:/Users/manuel.felline/Documents/BEHAVIOR BTBR/NOR second cohort/BTBR/test/c7_m3.mp4</t>
        </is>
      </c>
      <c r="F2768" t="n">
        <v>-6.233</v>
      </c>
      <c r="G2768" t="n">
        <v>581.6660000000001</v>
      </c>
      <c r="H2768" t="n">
        <v>617.699</v>
      </c>
      <c r="I2768" t="n">
        <v>30</v>
      </c>
      <c r="J2768" t="inlineStr">
        <is>
          <t>BTBR</t>
        </is>
      </c>
      <c r="K2768" t="inlineStr">
        <is>
          <t>Male</t>
        </is>
      </c>
      <c r="L2768" t="inlineStr">
        <is>
          <t>No focal subject</t>
        </is>
      </c>
      <c r="M2768" t="n">
        <v>80.06999999999999</v>
      </c>
      <c r="N2768" t="inlineStr">
        <is>
          <t>Explore_F</t>
        </is>
      </c>
      <c r="O2768" t="inlineStr">
        <is>
          <t>Familiar</t>
        </is>
      </c>
      <c r="P2768" t="inlineStr">
        <is>
          <t>STATE</t>
        </is>
      </c>
      <c r="Q2768" t="n">
        <v>73.7</v>
      </c>
      <c r="R2768" t="n">
        <v>74.167</v>
      </c>
      <c r="S2768" t="n">
        <v>0.467</v>
      </c>
      <c r="T2768" t="inlineStr">
        <is>
          <t>C:/Users/manuel.felline/Documents/BEHAVIOR BTBR/NOR second cohort/BTBR/test/c7_m3.mp4</t>
        </is>
      </c>
      <c r="U2768" t="n">
        <v>2398</v>
      </c>
      <c r="V2768" t="n">
        <v>2412</v>
      </c>
      <c r="W2768" t="n">
        <v/>
      </c>
      <c r="X2768" t="n">
        <v/>
      </c>
      <c r="Y2768" t="n">
        <v/>
      </c>
      <c r="Z2768" t="n">
        <v/>
      </c>
      <c r="AA2768">
        <f>SUMIFS($S$2:S2768,$A$2:A2768,A2768,$N$2:N2768,"Explore*")</f>
        <v/>
      </c>
      <c r="AB2768">
        <f>IF(AND(LEFT(N2768,7)="Explore",(AA2768-IF(LEFT(N2768,7)="Explore",S2768,0))&lt;10),"SI","NO")</f>
        <v/>
      </c>
    </row>
    <row r="2769">
      <c r="A2769" t="inlineStr">
        <is>
          <t>c7m3_test</t>
        </is>
      </c>
      <c r="B2769" t="inlineStr">
        <is>
          <t>2026-05-12 17:13:40.847</t>
        </is>
      </c>
      <c r="C2769" t="n">
        <v/>
      </c>
      <c r="D2769" t="inlineStr">
        <is>
          <t>Media file</t>
        </is>
      </c>
      <c r="E2769" t="inlineStr">
        <is>
          <t>player #1:C:/Users/manuel.felline/Documents/BEHAVIOR BTBR/NOR second cohort/BTBR/test/c7_m3.mp4</t>
        </is>
      </c>
      <c r="F2769" t="n">
        <v>-6.233</v>
      </c>
      <c r="G2769" t="n">
        <v>581.6660000000001</v>
      </c>
      <c r="H2769" t="n">
        <v>617.699</v>
      </c>
      <c r="I2769" t="n">
        <v>30</v>
      </c>
      <c r="J2769" t="inlineStr">
        <is>
          <t>BTBR</t>
        </is>
      </c>
      <c r="K2769" t="inlineStr">
        <is>
          <t>Male</t>
        </is>
      </c>
      <c r="L2769" t="inlineStr">
        <is>
          <t>No focal subject</t>
        </is>
      </c>
      <c r="M2769" t="n">
        <v>80.06999999999999</v>
      </c>
      <c r="N2769" t="inlineStr">
        <is>
          <t>Explore_N</t>
        </is>
      </c>
      <c r="O2769" t="inlineStr">
        <is>
          <t>Novelty</t>
        </is>
      </c>
      <c r="P2769" t="inlineStr">
        <is>
          <t>STATE</t>
        </is>
      </c>
      <c r="Q2769" t="n">
        <v>77.8</v>
      </c>
      <c r="R2769" t="n">
        <v>78.967</v>
      </c>
      <c r="S2769" t="n">
        <v>1.167</v>
      </c>
      <c r="T2769" t="inlineStr">
        <is>
          <t>C:/Users/manuel.felline/Documents/BEHAVIOR BTBR/NOR second cohort/BTBR/test/c7_m3.mp4</t>
        </is>
      </c>
      <c r="U2769" t="n">
        <v>2521</v>
      </c>
      <c r="V2769" t="n">
        <v>2556</v>
      </c>
      <c r="W2769" t="n">
        <v/>
      </c>
      <c r="X2769" t="n">
        <v/>
      </c>
      <c r="Y2769" t="n">
        <v/>
      </c>
      <c r="Z2769" t="n">
        <v/>
      </c>
      <c r="AA2769">
        <f>SUMIFS($S$2:S2769,$A$2:A2769,A2769,$N$2:N2769,"Explore*")</f>
        <v/>
      </c>
      <c r="AB2769">
        <f>IF(AND(LEFT(N2769,7)="Explore",(AA2769-IF(LEFT(N2769,7)="Explore",S2769,0))&lt;10),"SI","NO")</f>
        <v/>
      </c>
    </row>
    <row r="2770">
      <c r="A2770" t="inlineStr">
        <is>
          <t>c7m3_test</t>
        </is>
      </c>
      <c r="B2770" t="inlineStr">
        <is>
          <t>2026-05-12 17:13:40.847</t>
        </is>
      </c>
      <c r="C2770" t="n">
        <v/>
      </c>
      <c r="D2770" t="inlineStr">
        <is>
          <t>Media file</t>
        </is>
      </c>
      <c r="E2770" t="inlineStr">
        <is>
          <t>player #1:C:/Users/manuel.felline/Documents/BEHAVIOR BTBR/NOR second cohort/BTBR/test/c7_m3.mp4</t>
        </is>
      </c>
      <c r="F2770" t="n">
        <v>-6.233</v>
      </c>
      <c r="G2770" t="n">
        <v>581.6660000000001</v>
      </c>
      <c r="H2770" t="n">
        <v>617.699</v>
      </c>
      <c r="I2770" t="n">
        <v>30</v>
      </c>
      <c r="J2770" t="inlineStr">
        <is>
          <t>BTBR</t>
        </is>
      </c>
      <c r="K2770" t="inlineStr">
        <is>
          <t>Male</t>
        </is>
      </c>
      <c r="L2770" t="inlineStr">
        <is>
          <t>No focal subject</t>
        </is>
      </c>
      <c r="M2770" t="n">
        <v>80.06999999999999</v>
      </c>
      <c r="N2770" t="inlineStr">
        <is>
          <t>Explore_F</t>
        </is>
      </c>
      <c r="O2770" t="inlineStr">
        <is>
          <t>Familiar</t>
        </is>
      </c>
      <c r="P2770" t="inlineStr">
        <is>
          <t>STATE</t>
        </is>
      </c>
      <c r="Q2770" t="n">
        <v>88.167</v>
      </c>
      <c r="R2770" t="n">
        <v>88.634</v>
      </c>
      <c r="S2770" t="n">
        <v>0.467</v>
      </c>
      <c r="T2770" t="inlineStr">
        <is>
          <t>C:/Users/manuel.felline/Documents/BEHAVIOR BTBR/NOR second cohort/BTBR/test/c7_m3.mp4</t>
        </is>
      </c>
      <c r="U2770" t="n">
        <v>2832</v>
      </c>
      <c r="V2770" t="n">
        <v>2846</v>
      </c>
      <c r="W2770" t="n">
        <v/>
      </c>
      <c r="X2770" t="n">
        <v/>
      </c>
      <c r="Y2770" t="n">
        <v/>
      </c>
      <c r="Z2770" t="n">
        <v/>
      </c>
      <c r="AA2770">
        <f>SUMIFS($S$2:S2770,$A$2:A2770,A2770,$N$2:N2770,"Explore*")</f>
        <v/>
      </c>
      <c r="AB2770">
        <f>IF(AND(LEFT(N2770,7)="Explore",(AA2770-IF(LEFT(N2770,7)="Explore",S2770,0))&lt;10),"SI","NO")</f>
        <v/>
      </c>
    </row>
    <row r="2771">
      <c r="A2771" t="inlineStr">
        <is>
          <t>c7m3_test</t>
        </is>
      </c>
      <c r="B2771" t="inlineStr">
        <is>
          <t>2026-05-12 17:13:40.847</t>
        </is>
      </c>
      <c r="C2771" t="n">
        <v/>
      </c>
      <c r="D2771" t="inlineStr">
        <is>
          <t>Media file</t>
        </is>
      </c>
      <c r="E2771" t="inlineStr">
        <is>
          <t>player #1:C:/Users/manuel.felline/Documents/BEHAVIOR BTBR/NOR second cohort/BTBR/test/c7_m3.mp4</t>
        </is>
      </c>
      <c r="F2771" t="n">
        <v>-6.233</v>
      </c>
      <c r="G2771" t="n">
        <v>581.6660000000001</v>
      </c>
      <c r="H2771" t="n">
        <v>617.699</v>
      </c>
      <c r="I2771" t="n">
        <v>30</v>
      </c>
      <c r="J2771" t="inlineStr">
        <is>
          <t>BTBR</t>
        </is>
      </c>
      <c r="K2771" t="inlineStr">
        <is>
          <t>Male</t>
        </is>
      </c>
      <c r="L2771" t="inlineStr">
        <is>
          <t>No focal subject</t>
        </is>
      </c>
      <c r="M2771" t="n">
        <v>80.06999999999999</v>
      </c>
      <c r="N2771" t="inlineStr">
        <is>
          <t>Explore_N</t>
        </is>
      </c>
      <c r="O2771" t="inlineStr">
        <is>
          <t>Novelty</t>
        </is>
      </c>
      <c r="P2771" t="inlineStr">
        <is>
          <t>STATE</t>
        </is>
      </c>
      <c r="Q2771" t="n">
        <v>91.967</v>
      </c>
      <c r="R2771" t="n">
        <v>95.467</v>
      </c>
      <c r="S2771" t="n">
        <v>3.5</v>
      </c>
      <c r="T2771" t="inlineStr">
        <is>
          <t>C:/Users/manuel.felline/Documents/BEHAVIOR BTBR/NOR second cohort/BTBR/test/c7_m3.mp4</t>
        </is>
      </c>
      <c r="U2771" t="n">
        <v>2946</v>
      </c>
      <c r="V2771" t="n">
        <v>3051</v>
      </c>
      <c r="W2771" t="n">
        <v/>
      </c>
      <c r="X2771" t="n">
        <v/>
      </c>
      <c r="Y2771" t="n">
        <v/>
      </c>
      <c r="Z2771" t="n">
        <v/>
      </c>
      <c r="AA2771">
        <f>SUMIFS($S$2:S2771,$A$2:A2771,A2771,$N$2:N2771,"Explore*")</f>
        <v/>
      </c>
      <c r="AB2771">
        <f>IF(AND(LEFT(N2771,7)="Explore",(AA2771-IF(LEFT(N2771,7)="Explore",S2771,0))&lt;10),"SI","NO")</f>
        <v/>
      </c>
    </row>
    <row r="2772">
      <c r="A2772" t="inlineStr">
        <is>
          <t>c7m3_test</t>
        </is>
      </c>
      <c r="B2772" t="inlineStr">
        <is>
          <t>2026-05-12 17:13:40.847</t>
        </is>
      </c>
      <c r="C2772" t="n">
        <v/>
      </c>
      <c r="D2772" t="inlineStr">
        <is>
          <t>Media file</t>
        </is>
      </c>
      <c r="E2772" t="inlineStr">
        <is>
          <t>player #1:C:/Users/manuel.felline/Documents/BEHAVIOR BTBR/NOR second cohort/BTBR/test/c7_m3.mp4</t>
        </is>
      </c>
      <c r="F2772" t="n">
        <v>-6.233</v>
      </c>
      <c r="G2772" t="n">
        <v>581.6660000000001</v>
      </c>
      <c r="H2772" t="n">
        <v>617.699</v>
      </c>
      <c r="I2772" t="n">
        <v>30</v>
      </c>
      <c r="J2772" t="inlineStr">
        <is>
          <t>BTBR</t>
        </is>
      </c>
      <c r="K2772" t="inlineStr">
        <is>
          <t>Male</t>
        </is>
      </c>
      <c r="L2772" t="inlineStr">
        <is>
          <t>No focal subject</t>
        </is>
      </c>
      <c r="M2772" t="n">
        <v>80.06999999999999</v>
      </c>
      <c r="N2772" t="inlineStr">
        <is>
          <t>Explore_F</t>
        </is>
      </c>
      <c r="O2772" t="inlineStr">
        <is>
          <t>Familiar</t>
        </is>
      </c>
      <c r="P2772" t="inlineStr">
        <is>
          <t>STATE</t>
        </is>
      </c>
      <c r="Q2772" t="n">
        <v>95.967</v>
      </c>
      <c r="R2772" t="n">
        <v>96.56699999999999</v>
      </c>
      <c r="S2772" t="n">
        <v>0.6</v>
      </c>
      <c r="T2772" t="inlineStr">
        <is>
          <t>C:/Users/manuel.felline/Documents/BEHAVIOR BTBR/NOR second cohort/BTBR/test/c7_m3.mp4</t>
        </is>
      </c>
      <c r="U2772" t="n">
        <v>3066</v>
      </c>
      <c r="V2772" t="n">
        <v>3084</v>
      </c>
      <c r="W2772" t="n">
        <v/>
      </c>
      <c r="X2772" t="n">
        <v/>
      </c>
      <c r="Y2772" t="n">
        <v/>
      </c>
      <c r="Z2772" t="n">
        <v/>
      </c>
      <c r="AA2772">
        <f>SUMIFS($S$2:S2772,$A$2:A2772,A2772,$N$2:N2772,"Explore*")</f>
        <v/>
      </c>
      <c r="AB2772">
        <f>IF(AND(LEFT(N2772,7)="Explore",(AA2772-IF(LEFT(N2772,7)="Explore",S2772,0))&lt;10),"SI","NO")</f>
        <v/>
      </c>
    </row>
    <row r="2773">
      <c r="A2773" t="inlineStr">
        <is>
          <t>c7m3_test</t>
        </is>
      </c>
      <c r="B2773" t="inlineStr">
        <is>
          <t>2026-05-12 17:13:40.847</t>
        </is>
      </c>
      <c r="C2773" t="n">
        <v/>
      </c>
      <c r="D2773" t="inlineStr">
        <is>
          <t>Media file</t>
        </is>
      </c>
      <c r="E2773" t="inlineStr">
        <is>
          <t>player #1:C:/Users/manuel.felline/Documents/BEHAVIOR BTBR/NOR second cohort/BTBR/test/c7_m3.mp4</t>
        </is>
      </c>
      <c r="F2773" t="n">
        <v>-6.233</v>
      </c>
      <c r="G2773" t="n">
        <v>581.6660000000001</v>
      </c>
      <c r="H2773" t="n">
        <v>617.699</v>
      </c>
      <c r="I2773" t="n">
        <v>30</v>
      </c>
      <c r="J2773" t="inlineStr">
        <is>
          <t>BTBR</t>
        </is>
      </c>
      <c r="K2773" t="inlineStr">
        <is>
          <t>Male</t>
        </is>
      </c>
      <c r="L2773" t="inlineStr">
        <is>
          <t>No focal subject</t>
        </is>
      </c>
      <c r="M2773" t="n">
        <v>80.06999999999999</v>
      </c>
      <c r="N2773" t="inlineStr">
        <is>
          <t>Explore_N</t>
        </is>
      </c>
      <c r="O2773" t="inlineStr">
        <is>
          <t>Novelty</t>
        </is>
      </c>
      <c r="P2773" t="inlineStr">
        <is>
          <t>STATE</t>
        </is>
      </c>
      <c r="Q2773" t="n">
        <v>104.7</v>
      </c>
      <c r="R2773" t="n">
        <v>106.2</v>
      </c>
      <c r="S2773" t="n">
        <v>1.5</v>
      </c>
      <c r="T2773" t="inlineStr">
        <is>
          <t>C:/Users/manuel.felline/Documents/BEHAVIOR BTBR/NOR second cohort/BTBR/test/c7_m3.mp4</t>
        </is>
      </c>
      <c r="U2773" t="n">
        <v>3328</v>
      </c>
      <c r="V2773" t="n">
        <v>3373</v>
      </c>
      <c r="W2773" t="n">
        <v/>
      </c>
      <c r="X2773" t="n">
        <v/>
      </c>
      <c r="Y2773" t="n">
        <v/>
      </c>
      <c r="Z2773" t="n">
        <v/>
      </c>
      <c r="AA2773">
        <f>SUMIFS($S$2:S2773,$A$2:A2773,A2773,$N$2:N2773,"Explore*")</f>
        <v/>
      </c>
      <c r="AB2773">
        <f>IF(AND(LEFT(N2773,7)="Explore",(AA2773-IF(LEFT(N2773,7)="Explore",S2773,0))&lt;10),"SI","NO")</f>
        <v/>
      </c>
    </row>
    <row r="2774">
      <c r="A2774" t="inlineStr">
        <is>
          <t>c7m3_test</t>
        </is>
      </c>
      <c r="B2774" t="inlineStr">
        <is>
          <t>2026-05-12 17:13:40.847</t>
        </is>
      </c>
      <c r="C2774" t="n">
        <v/>
      </c>
      <c r="D2774" t="inlineStr">
        <is>
          <t>Media file</t>
        </is>
      </c>
      <c r="E2774" t="inlineStr">
        <is>
          <t>player #1:C:/Users/manuel.felline/Documents/BEHAVIOR BTBR/NOR second cohort/BTBR/test/c7_m3.mp4</t>
        </is>
      </c>
      <c r="F2774" t="n">
        <v>-6.233</v>
      </c>
      <c r="G2774" t="n">
        <v>581.6660000000001</v>
      </c>
      <c r="H2774" t="n">
        <v>617.699</v>
      </c>
      <c r="I2774" t="n">
        <v>30</v>
      </c>
      <c r="J2774" t="inlineStr">
        <is>
          <t>BTBR</t>
        </is>
      </c>
      <c r="K2774" t="inlineStr">
        <is>
          <t>Male</t>
        </is>
      </c>
      <c r="L2774" t="inlineStr">
        <is>
          <t>No focal subject</t>
        </is>
      </c>
      <c r="M2774" t="n">
        <v>80.06999999999999</v>
      </c>
      <c r="N2774" t="inlineStr">
        <is>
          <t>Explore_N</t>
        </is>
      </c>
      <c r="O2774" t="inlineStr">
        <is>
          <t>Novelty</t>
        </is>
      </c>
      <c r="P2774" t="inlineStr">
        <is>
          <t>STATE</t>
        </is>
      </c>
      <c r="Q2774" t="n">
        <v>107.734</v>
      </c>
      <c r="R2774" t="n">
        <v>108.9</v>
      </c>
      <c r="S2774" t="n">
        <v>1.166</v>
      </c>
      <c r="T2774" t="inlineStr">
        <is>
          <t>C:/Users/manuel.felline/Documents/BEHAVIOR BTBR/NOR second cohort/BTBR/test/c7_m3.mp4</t>
        </is>
      </c>
      <c r="U2774" t="n">
        <v>3419</v>
      </c>
      <c r="V2774" t="n">
        <v>3454</v>
      </c>
      <c r="W2774" t="n">
        <v/>
      </c>
      <c r="X2774" t="n">
        <v/>
      </c>
      <c r="Y2774" t="n">
        <v/>
      </c>
      <c r="Z2774" t="n">
        <v/>
      </c>
      <c r="AA2774">
        <f>SUMIFS($S$2:S2774,$A$2:A2774,A2774,$N$2:N2774,"Explore*")</f>
        <v/>
      </c>
      <c r="AB2774">
        <f>IF(AND(LEFT(N2774,7)="Explore",(AA2774-IF(LEFT(N2774,7)="Explore",S2774,0))&lt;10),"SI","NO")</f>
        <v/>
      </c>
    </row>
    <row r="2775">
      <c r="A2775" t="inlineStr">
        <is>
          <t>c7m3_test</t>
        </is>
      </c>
      <c r="B2775" t="inlineStr">
        <is>
          <t>2026-05-12 17:13:40.847</t>
        </is>
      </c>
      <c r="C2775" t="n">
        <v/>
      </c>
      <c r="D2775" t="inlineStr">
        <is>
          <t>Media file</t>
        </is>
      </c>
      <c r="E2775" t="inlineStr">
        <is>
          <t>player #1:C:/Users/manuel.felline/Documents/BEHAVIOR BTBR/NOR second cohort/BTBR/test/c7_m3.mp4</t>
        </is>
      </c>
      <c r="F2775" t="n">
        <v>-6.233</v>
      </c>
      <c r="G2775" t="n">
        <v>581.6660000000001</v>
      </c>
      <c r="H2775" t="n">
        <v>617.699</v>
      </c>
      <c r="I2775" t="n">
        <v>30</v>
      </c>
      <c r="J2775" t="inlineStr">
        <is>
          <t>BTBR</t>
        </is>
      </c>
      <c r="K2775" t="inlineStr">
        <is>
          <t>Male</t>
        </is>
      </c>
      <c r="L2775" t="inlineStr">
        <is>
          <t>No focal subject</t>
        </is>
      </c>
      <c r="M2775" t="n">
        <v>80.06999999999999</v>
      </c>
      <c r="N2775" t="inlineStr">
        <is>
          <t>Explore_N</t>
        </is>
      </c>
      <c r="O2775" t="inlineStr">
        <is>
          <t>Novelty</t>
        </is>
      </c>
      <c r="P2775" t="inlineStr">
        <is>
          <t>STATE</t>
        </is>
      </c>
      <c r="Q2775" t="n">
        <v>110.234</v>
      </c>
      <c r="R2775" t="n">
        <v>113.967</v>
      </c>
      <c r="S2775" t="n">
        <v>3.733</v>
      </c>
      <c r="T2775" t="inlineStr">
        <is>
          <t>C:/Users/manuel.felline/Documents/BEHAVIOR BTBR/NOR second cohort/BTBR/test/c7_m3.mp4</t>
        </is>
      </c>
      <c r="U2775" t="n">
        <v>3494</v>
      </c>
      <c r="V2775" t="n">
        <v>3606</v>
      </c>
      <c r="W2775" t="n">
        <v/>
      </c>
      <c r="X2775" t="n">
        <v/>
      </c>
      <c r="Y2775" t="n">
        <v/>
      </c>
      <c r="Z2775" t="n">
        <v/>
      </c>
      <c r="AA2775">
        <f>SUMIFS($S$2:S2775,$A$2:A2775,A2775,$N$2:N2775,"Explore*")</f>
        <v/>
      </c>
      <c r="AB2775">
        <f>IF(AND(LEFT(N2775,7)="Explore",(AA2775-IF(LEFT(N2775,7)="Explore",S2775,0))&lt;10),"SI","NO")</f>
        <v/>
      </c>
    </row>
    <row r="2776">
      <c r="A2776" t="inlineStr">
        <is>
          <t>c7m3_test</t>
        </is>
      </c>
      <c r="B2776" t="inlineStr">
        <is>
          <t>2026-05-12 17:13:40.847</t>
        </is>
      </c>
      <c r="C2776" t="n">
        <v/>
      </c>
      <c r="D2776" t="inlineStr">
        <is>
          <t>Media file</t>
        </is>
      </c>
      <c r="E2776" t="inlineStr">
        <is>
          <t>player #1:C:/Users/manuel.felline/Documents/BEHAVIOR BTBR/NOR second cohort/BTBR/test/c7_m3.mp4</t>
        </is>
      </c>
      <c r="F2776" t="n">
        <v>-6.233</v>
      </c>
      <c r="G2776" t="n">
        <v>581.6660000000001</v>
      </c>
      <c r="H2776" t="n">
        <v>617.699</v>
      </c>
      <c r="I2776" t="n">
        <v>30</v>
      </c>
      <c r="J2776" t="inlineStr">
        <is>
          <t>BTBR</t>
        </is>
      </c>
      <c r="K2776" t="inlineStr">
        <is>
          <t>Male</t>
        </is>
      </c>
      <c r="L2776" t="inlineStr">
        <is>
          <t>No focal subject</t>
        </is>
      </c>
      <c r="M2776" t="n">
        <v>80.06999999999999</v>
      </c>
      <c r="N2776" t="inlineStr">
        <is>
          <t>Explore_N</t>
        </is>
      </c>
      <c r="O2776" t="inlineStr">
        <is>
          <t>Novelty</t>
        </is>
      </c>
      <c r="P2776" t="inlineStr">
        <is>
          <t>STATE</t>
        </is>
      </c>
      <c r="Q2776" t="n">
        <v>116.067</v>
      </c>
      <c r="R2776" t="n">
        <v>117.634</v>
      </c>
      <c r="S2776" t="n">
        <v>1.567</v>
      </c>
      <c r="T2776" t="inlineStr">
        <is>
          <t>C:/Users/manuel.felline/Documents/BEHAVIOR BTBR/NOR second cohort/BTBR/test/c7_m3.mp4</t>
        </is>
      </c>
      <c r="U2776" t="n">
        <v>3669</v>
      </c>
      <c r="V2776" t="n">
        <v>3716</v>
      </c>
      <c r="W2776" t="n">
        <v/>
      </c>
      <c r="X2776" t="n">
        <v/>
      </c>
      <c r="Y2776" t="n">
        <v/>
      </c>
      <c r="Z2776" t="n">
        <v/>
      </c>
      <c r="AA2776">
        <f>SUMIFS($S$2:S2776,$A$2:A2776,A2776,$N$2:N2776,"Explore*")</f>
        <v/>
      </c>
      <c r="AB2776">
        <f>IF(AND(LEFT(N2776,7)="Explore",(AA2776-IF(LEFT(N2776,7)="Explore",S2776,0))&lt;10),"SI","NO")</f>
        <v/>
      </c>
    </row>
    <row r="2777">
      <c r="A2777" t="inlineStr">
        <is>
          <t>c7m3_test</t>
        </is>
      </c>
      <c r="B2777" t="inlineStr">
        <is>
          <t>2026-05-12 17:13:40.847</t>
        </is>
      </c>
      <c r="C2777" t="n">
        <v/>
      </c>
      <c r="D2777" t="inlineStr">
        <is>
          <t>Media file</t>
        </is>
      </c>
      <c r="E2777" t="inlineStr">
        <is>
          <t>player #1:C:/Users/manuel.felline/Documents/BEHAVIOR BTBR/NOR second cohort/BTBR/test/c7_m3.mp4</t>
        </is>
      </c>
      <c r="F2777" t="n">
        <v>-6.233</v>
      </c>
      <c r="G2777" t="n">
        <v>581.6660000000001</v>
      </c>
      <c r="H2777" t="n">
        <v>617.699</v>
      </c>
      <c r="I2777" t="n">
        <v>30</v>
      </c>
      <c r="J2777" t="inlineStr">
        <is>
          <t>BTBR</t>
        </is>
      </c>
      <c r="K2777" t="inlineStr">
        <is>
          <t>Male</t>
        </is>
      </c>
      <c r="L2777" t="inlineStr">
        <is>
          <t>No focal subject</t>
        </is>
      </c>
      <c r="M2777" t="n">
        <v>80.06999999999999</v>
      </c>
      <c r="N2777" t="inlineStr">
        <is>
          <t>Explore_F</t>
        </is>
      </c>
      <c r="O2777" t="inlineStr">
        <is>
          <t>Familiar</t>
        </is>
      </c>
      <c r="P2777" t="inlineStr">
        <is>
          <t>STATE</t>
        </is>
      </c>
      <c r="Q2777" t="n">
        <v>118.267</v>
      </c>
      <c r="R2777" t="n">
        <v>118.767</v>
      </c>
      <c r="S2777" t="n">
        <v>0.5</v>
      </c>
      <c r="T2777" t="inlineStr">
        <is>
          <t>C:/Users/manuel.felline/Documents/BEHAVIOR BTBR/NOR second cohort/BTBR/test/c7_m3.mp4</t>
        </is>
      </c>
      <c r="U2777" t="n">
        <v>3735</v>
      </c>
      <c r="V2777" t="n">
        <v>3751</v>
      </c>
      <c r="W2777" t="n">
        <v/>
      </c>
      <c r="X2777" t="n">
        <v/>
      </c>
      <c r="Y2777" t="n">
        <v/>
      </c>
      <c r="Z2777" t="n">
        <v/>
      </c>
      <c r="AA2777">
        <f>SUMIFS($S$2:S2777,$A$2:A2777,A2777,$N$2:N2777,"Explore*")</f>
        <v/>
      </c>
      <c r="AB2777">
        <f>IF(AND(LEFT(N2777,7)="Explore",(AA2777-IF(LEFT(N2777,7)="Explore",S2777,0))&lt;10),"SI","NO")</f>
        <v/>
      </c>
    </row>
    <row r="2778">
      <c r="A2778" t="inlineStr">
        <is>
          <t>c7m3_test</t>
        </is>
      </c>
      <c r="B2778" t="inlineStr">
        <is>
          <t>2026-05-12 17:13:40.847</t>
        </is>
      </c>
      <c r="C2778" t="n">
        <v/>
      </c>
      <c r="D2778" t="inlineStr">
        <is>
          <t>Media file</t>
        </is>
      </c>
      <c r="E2778" t="inlineStr">
        <is>
          <t>player #1:C:/Users/manuel.felline/Documents/BEHAVIOR BTBR/NOR second cohort/BTBR/test/c7_m3.mp4</t>
        </is>
      </c>
      <c r="F2778" t="n">
        <v>-6.233</v>
      </c>
      <c r="G2778" t="n">
        <v>581.6660000000001</v>
      </c>
      <c r="H2778" t="n">
        <v>617.699</v>
      </c>
      <c r="I2778" t="n">
        <v>30</v>
      </c>
      <c r="J2778" t="inlineStr">
        <is>
          <t>BTBR</t>
        </is>
      </c>
      <c r="K2778" t="inlineStr">
        <is>
          <t>Male</t>
        </is>
      </c>
      <c r="L2778" t="inlineStr">
        <is>
          <t>No focal subject</t>
        </is>
      </c>
      <c r="M2778" t="n">
        <v>80.06999999999999</v>
      </c>
      <c r="N2778" t="inlineStr">
        <is>
          <t>Explore_N</t>
        </is>
      </c>
      <c r="O2778" t="inlineStr">
        <is>
          <t>Novelty</t>
        </is>
      </c>
      <c r="P2778" t="inlineStr">
        <is>
          <t>STATE</t>
        </is>
      </c>
      <c r="Q2778" t="n">
        <v>123.334</v>
      </c>
      <c r="R2778" t="n">
        <v>126.534</v>
      </c>
      <c r="S2778" t="n">
        <v>3.2</v>
      </c>
      <c r="T2778" t="inlineStr">
        <is>
          <t>C:/Users/manuel.felline/Documents/BEHAVIOR BTBR/NOR second cohort/BTBR/test/c7_m3.mp4</t>
        </is>
      </c>
      <c r="U2778" t="n">
        <v>3887</v>
      </c>
      <c r="V2778" t="n">
        <v>3983</v>
      </c>
      <c r="W2778" t="n">
        <v/>
      </c>
      <c r="X2778" t="n">
        <v/>
      </c>
      <c r="Y2778" t="n">
        <v/>
      </c>
      <c r="Z2778" t="n">
        <v/>
      </c>
      <c r="AA2778">
        <f>SUMIFS($S$2:S2778,$A$2:A2778,A2778,$N$2:N2778,"Explore*")</f>
        <v/>
      </c>
      <c r="AB2778">
        <f>IF(AND(LEFT(N2778,7)="Explore",(AA2778-IF(LEFT(N2778,7)="Explore",S2778,0))&lt;10),"SI","NO")</f>
        <v/>
      </c>
    </row>
    <row r="2779">
      <c r="A2779" t="inlineStr">
        <is>
          <t>c7m3_test</t>
        </is>
      </c>
      <c r="B2779" t="inlineStr">
        <is>
          <t>2026-05-12 17:13:40.847</t>
        </is>
      </c>
      <c r="C2779" t="n">
        <v/>
      </c>
      <c r="D2779" t="inlineStr">
        <is>
          <t>Media file</t>
        </is>
      </c>
      <c r="E2779" t="inlineStr">
        <is>
          <t>player #1:C:/Users/manuel.felline/Documents/BEHAVIOR BTBR/NOR second cohort/BTBR/test/c7_m3.mp4</t>
        </is>
      </c>
      <c r="F2779" t="n">
        <v>-6.233</v>
      </c>
      <c r="G2779" t="n">
        <v>581.6660000000001</v>
      </c>
      <c r="H2779" t="n">
        <v>617.699</v>
      </c>
      <c r="I2779" t="n">
        <v>30</v>
      </c>
      <c r="J2779" t="inlineStr">
        <is>
          <t>BTBR</t>
        </is>
      </c>
      <c r="K2779" t="inlineStr">
        <is>
          <t>Male</t>
        </is>
      </c>
      <c r="L2779" t="inlineStr">
        <is>
          <t>No focal subject</t>
        </is>
      </c>
      <c r="M2779" t="n">
        <v>80.06999999999999</v>
      </c>
      <c r="N2779" t="inlineStr">
        <is>
          <t>Explore_F</t>
        </is>
      </c>
      <c r="O2779" t="inlineStr">
        <is>
          <t>Familiar</t>
        </is>
      </c>
      <c r="P2779" t="inlineStr">
        <is>
          <t>STATE</t>
        </is>
      </c>
      <c r="Q2779" t="n">
        <v>130.7</v>
      </c>
      <c r="R2779" t="n">
        <v>131.067</v>
      </c>
      <c r="S2779" t="n">
        <v>0.367</v>
      </c>
      <c r="T2779" t="inlineStr">
        <is>
          <t>C:/Users/manuel.felline/Documents/BEHAVIOR BTBR/NOR second cohort/BTBR/test/c7_m3.mp4</t>
        </is>
      </c>
      <c r="U2779" t="n">
        <v>4108</v>
      </c>
      <c r="V2779" t="n">
        <v>4119</v>
      </c>
      <c r="W2779" t="n">
        <v/>
      </c>
      <c r="X2779" t="n">
        <v/>
      </c>
      <c r="Y2779" t="n">
        <v/>
      </c>
      <c r="Z2779" t="n">
        <v/>
      </c>
      <c r="AA2779">
        <f>SUMIFS($S$2:S2779,$A$2:A2779,A2779,$N$2:N2779,"Explore*")</f>
        <v/>
      </c>
      <c r="AB2779">
        <f>IF(AND(LEFT(N2779,7)="Explore",(AA2779-IF(LEFT(N2779,7)="Explore",S2779,0))&lt;10),"SI","NO")</f>
        <v/>
      </c>
    </row>
    <row r="2780">
      <c r="A2780" t="inlineStr">
        <is>
          <t>c7m3_test</t>
        </is>
      </c>
      <c r="B2780" t="inlineStr">
        <is>
          <t>2026-05-12 17:13:40.847</t>
        </is>
      </c>
      <c r="C2780" t="n">
        <v/>
      </c>
      <c r="D2780" t="inlineStr">
        <is>
          <t>Media file</t>
        </is>
      </c>
      <c r="E2780" t="inlineStr">
        <is>
          <t>player #1:C:/Users/manuel.felline/Documents/BEHAVIOR BTBR/NOR second cohort/BTBR/test/c7_m3.mp4</t>
        </is>
      </c>
      <c r="F2780" t="n">
        <v>-6.233</v>
      </c>
      <c r="G2780" t="n">
        <v>581.6660000000001</v>
      </c>
      <c r="H2780" t="n">
        <v>617.699</v>
      </c>
      <c r="I2780" t="n">
        <v>30</v>
      </c>
      <c r="J2780" t="inlineStr">
        <is>
          <t>BTBR</t>
        </is>
      </c>
      <c r="K2780" t="inlineStr">
        <is>
          <t>Male</t>
        </is>
      </c>
      <c r="L2780" t="inlineStr">
        <is>
          <t>No focal subject</t>
        </is>
      </c>
      <c r="M2780" t="n">
        <v>80.06999999999999</v>
      </c>
      <c r="N2780" t="inlineStr">
        <is>
          <t>Explore_N</t>
        </is>
      </c>
      <c r="O2780" t="inlineStr">
        <is>
          <t>Novelty</t>
        </is>
      </c>
      <c r="P2780" t="inlineStr">
        <is>
          <t>STATE</t>
        </is>
      </c>
      <c r="Q2780" t="n">
        <v>135.667</v>
      </c>
      <c r="R2780" t="n">
        <v>141.934</v>
      </c>
      <c r="S2780" t="n">
        <v>6.267</v>
      </c>
      <c r="T2780" t="inlineStr">
        <is>
          <t>C:/Users/manuel.felline/Documents/BEHAVIOR BTBR/NOR second cohort/BTBR/test/c7_m3.mp4</t>
        </is>
      </c>
      <c r="U2780" t="n">
        <v>4257</v>
      </c>
      <c r="V2780" t="n">
        <v>4445</v>
      </c>
      <c r="W2780" t="n">
        <v/>
      </c>
      <c r="X2780" t="n">
        <v/>
      </c>
      <c r="Y2780" t="n">
        <v/>
      </c>
      <c r="Z2780" t="n">
        <v/>
      </c>
      <c r="AA2780">
        <f>SUMIFS($S$2:S2780,$A$2:A2780,A2780,$N$2:N2780,"Explore*")</f>
        <v/>
      </c>
      <c r="AB2780">
        <f>IF(AND(LEFT(N2780,7)="Explore",(AA2780-IF(LEFT(N2780,7)="Explore",S2780,0))&lt;10),"SI","NO")</f>
        <v/>
      </c>
    </row>
    <row r="2781">
      <c r="A2781" t="inlineStr">
        <is>
          <t>c7m3_test</t>
        </is>
      </c>
      <c r="B2781" t="inlineStr">
        <is>
          <t>2026-05-12 17:13:40.847</t>
        </is>
      </c>
      <c r="C2781" t="n">
        <v/>
      </c>
      <c r="D2781" t="inlineStr">
        <is>
          <t>Media file</t>
        </is>
      </c>
      <c r="E2781" t="inlineStr">
        <is>
          <t>player #1:C:/Users/manuel.felline/Documents/BEHAVIOR BTBR/NOR second cohort/BTBR/test/c7_m3.mp4</t>
        </is>
      </c>
      <c r="F2781" t="n">
        <v>-6.233</v>
      </c>
      <c r="G2781" t="n">
        <v>581.6660000000001</v>
      </c>
      <c r="H2781" t="n">
        <v>617.699</v>
      </c>
      <c r="I2781" t="n">
        <v>30</v>
      </c>
      <c r="J2781" t="inlineStr">
        <is>
          <t>BTBR</t>
        </is>
      </c>
      <c r="K2781" t="inlineStr">
        <is>
          <t>Male</t>
        </is>
      </c>
      <c r="L2781" t="inlineStr">
        <is>
          <t>No focal subject</t>
        </is>
      </c>
      <c r="M2781" t="n">
        <v>80.06999999999999</v>
      </c>
      <c r="N2781" t="inlineStr">
        <is>
          <t>Explore_F</t>
        </is>
      </c>
      <c r="O2781" t="inlineStr">
        <is>
          <t>Familiar</t>
        </is>
      </c>
      <c r="P2781" t="inlineStr">
        <is>
          <t>STATE</t>
        </is>
      </c>
      <c r="Q2781" t="n">
        <v>143.7</v>
      </c>
      <c r="R2781" t="n">
        <v>144.3</v>
      </c>
      <c r="S2781" t="n">
        <v>0.6</v>
      </c>
      <c r="T2781" t="inlineStr">
        <is>
          <t>C:/Users/manuel.felline/Documents/BEHAVIOR BTBR/NOR second cohort/BTBR/test/c7_m3.mp4</t>
        </is>
      </c>
      <c r="U2781" t="n">
        <v>4498</v>
      </c>
      <c r="V2781" t="n">
        <v>4515</v>
      </c>
      <c r="W2781" t="n">
        <v/>
      </c>
      <c r="X2781" t="n">
        <v/>
      </c>
      <c r="Y2781" t="n">
        <v/>
      </c>
      <c r="Z2781" t="n">
        <v/>
      </c>
      <c r="AA2781">
        <f>SUMIFS($S$2:S2781,$A$2:A2781,A2781,$N$2:N2781,"Explore*")</f>
        <v/>
      </c>
      <c r="AB2781">
        <f>IF(AND(LEFT(N2781,7)="Explore",(AA2781-IF(LEFT(N2781,7)="Explore",S2781,0))&lt;10),"SI","NO")</f>
        <v/>
      </c>
    </row>
    <row r="2782">
      <c r="A2782" t="inlineStr">
        <is>
          <t>c7m3_test</t>
        </is>
      </c>
      <c r="B2782" t="inlineStr">
        <is>
          <t>2026-05-12 17:13:40.847</t>
        </is>
      </c>
      <c r="C2782" t="n">
        <v/>
      </c>
      <c r="D2782" t="inlineStr">
        <is>
          <t>Media file</t>
        </is>
      </c>
      <c r="E2782" t="inlineStr">
        <is>
          <t>player #1:C:/Users/manuel.felline/Documents/BEHAVIOR BTBR/NOR second cohort/BTBR/test/c7_m3.mp4</t>
        </is>
      </c>
      <c r="F2782" t="n">
        <v>-6.233</v>
      </c>
      <c r="G2782" t="n">
        <v>581.6660000000001</v>
      </c>
      <c r="H2782" t="n">
        <v>617.699</v>
      </c>
      <c r="I2782" t="n">
        <v>30</v>
      </c>
      <c r="J2782" t="inlineStr">
        <is>
          <t>BTBR</t>
        </is>
      </c>
      <c r="K2782" t="inlineStr">
        <is>
          <t>Male</t>
        </is>
      </c>
      <c r="L2782" t="inlineStr">
        <is>
          <t>No focal subject</t>
        </is>
      </c>
      <c r="M2782" t="n">
        <v>80.06999999999999</v>
      </c>
      <c r="N2782" t="inlineStr">
        <is>
          <t>Explore_N</t>
        </is>
      </c>
      <c r="O2782" t="inlineStr">
        <is>
          <t>Novelty</t>
        </is>
      </c>
      <c r="P2782" t="inlineStr">
        <is>
          <t>STATE</t>
        </is>
      </c>
      <c r="Q2782" t="n">
        <v>166.7</v>
      </c>
      <c r="R2782" t="n">
        <v>171.5</v>
      </c>
      <c r="S2782" t="n">
        <v>4.8</v>
      </c>
      <c r="T2782" t="inlineStr">
        <is>
          <t>C:/Users/manuel.felline/Documents/BEHAVIOR BTBR/NOR second cohort/BTBR/test/c7_m3.mp4</t>
        </is>
      </c>
      <c r="U2782" t="n">
        <v>5187</v>
      </c>
      <c r="V2782" t="n">
        <v>5331</v>
      </c>
      <c r="W2782" t="n">
        <v/>
      </c>
      <c r="X2782" t="n">
        <v/>
      </c>
      <c r="Y2782" t="n">
        <v/>
      </c>
      <c r="Z2782" t="n">
        <v/>
      </c>
      <c r="AA2782">
        <f>SUMIFS($S$2:S2782,$A$2:A2782,A2782,$N$2:N2782,"Explore*")</f>
        <v/>
      </c>
      <c r="AB2782">
        <f>IF(AND(LEFT(N2782,7)="Explore",(AA2782-IF(LEFT(N2782,7)="Explore",S2782,0))&lt;10),"SI","NO")</f>
        <v/>
      </c>
    </row>
    <row r="2783">
      <c r="A2783" t="inlineStr">
        <is>
          <t>c7m3_test</t>
        </is>
      </c>
      <c r="B2783" t="inlineStr">
        <is>
          <t>2026-05-12 17:13:40.847</t>
        </is>
      </c>
      <c r="C2783" t="n">
        <v/>
      </c>
      <c r="D2783" t="inlineStr">
        <is>
          <t>Media file</t>
        </is>
      </c>
      <c r="E2783" t="inlineStr">
        <is>
          <t>player #1:C:/Users/manuel.felline/Documents/BEHAVIOR BTBR/NOR second cohort/BTBR/test/c7_m3.mp4</t>
        </is>
      </c>
      <c r="F2783" t="n">
        <v>-6.233</v>
      </c>
      <c r="G2783" t="n">
        <v>581.6660000000001</v>
      </c>
      <c r="H2783" t="n">
        <v>617.699</v>
      </c>
      <c r="I2783" t="n">
        <v>30</v>
      </c>
      <c r="J2783" t="inlineStr">
        <is>
          <t>BTBR</t>
        </is>
      </c>
      <c r="K2783" t="inlineStr">
        <is>
          <t>Male</t>
        </is>
      </c>
      <c r="L2783" t="inlineStr">
        <is>
          <t>No focal subject</t>
        </is>
      </c>
      <c r="M2783" t="n">
        <v>80.06999999999999</v>
      </c>
      <c r="N2783" t="inlineStr">
        <is>
          <t>Explore_F</t>
        </is>
      </c>
      <c r="O2783" t="inlineStr">
        <is>
          <t>Familiar</t>
        </is>
      </c>
      <c r="P2783" t="inlineStr">
        <is>
          <t>STATE</t>
        </is>
      </c>
      <c r="Q2783" t="n">
        <v>183.1</v>
      </c>
      <c r="R2783" t="n">
        <v>183.733</v>
      </c>
      <c r="S2783" t="n">
        <v>0.633</v>
      </c>
      <c r="T2783" t="inlineStr">
        <is>
          <t>C:/Users/manuel.felline/Documents/BEHAVIOR BTBR/NOR second cohort/BTBR/test/c7_m3.mp4</t>
        </is>
      </c>
      <c r="U2783" t="n">
        <v>5679</v>
      </c>
      <c r="V2783" t="n">
        <v>5698</v>
      </c>
      <c r="W2783" t="n">
        <v/>
      </c>
      <c r="X2783" t="n">
        <v/>
      </c>
      <c r="Y2783" t="n">
        <v/>
      </c>
      <c r="Z2783" t="n">
        <v/>
      </c>
      <c r="AA2783">
        <f>SUMIFS($S$2:S2783,$A$2:A2783,A2783,$N$2:N2783,"Explore*")</f>
        <v/>
      </c>
      <c r="AB2783">
        <f>IF(AND(LEFT(N2783,7)="Explore",(AA2783-IF(LEFT(N2783,7)="Explore",S2783,0))&lt;10),"SI","NO")</f>
        <v/>
      </c>
    </row>
    <row r="2784">
      <c r="A2784" t="inlineStr">
        <is>
          <t>c7m3_test</t>
        </is>
      </c>
      <c r="B2784" t="inlineStr">
        <is>
          <t>2026-05-12 17:13:40.847</t>
        </is>
      </c>
      <c r="C2784" t="n">
        <v/>
      </c>
      <c r="D2784" t="inlineStr">
        <is>
          <t>Media file</t>
        </is>
      </c>
      <c r="E2784" t="inlineStr">
        <is>
          <t>player #1:C:/Users/manuel.felline/Documents/BEHAVIOR BTBR/NOR second cohort/BTBR/test/c7_m3.mp4</t>
        </is>
      </c>
      <c r="F2784" t="n">
        <v>-6.233</v>
      </c>
      <c r="G2784" t="n">
        <v>581.6660000000001</v>
      </c>
      <c r="H2784" t="n">
        <v>617.699</v>
      </c>
      <c r="I2784" t="n">
        <v>30</v>
      </c>
      <c r="J2784" t="inlineStr">
        <is>
          <t>BTBR</t>
        </is>
      </c>
      <c r="K2784" t="inlineStr">
        <is>
          <t>Male</t>
        </is>
      </c>
      <c r="L2784" t="inlineStr">
        <is>
          <t>No focal subject</t>
        </is>
      </c>
      <c r="M2784" t="n">
        <v>80.06999999999999</v>
      </c>
      <c r="N2784" t="inlineStr">
        <is>
          <t>Explore_N</t>
        </is>
      </c>
      <c r="O2784" t="inlineStr">
        <is>
          <t>Novelty</t>
        </is>
      </c>
      <c r="P2784" t="inlineStr">
        <is>
          <t>STATE</t>
        </is>
      </c>
      <c r="Q2784" t="n">
        <v>194.333</v>
      </c>
      <c r="R2784" t="n">
        <v>199.9</v>
      </c>
      <c r="S2784" t="n">
        <v>5.567</v>
      </c>
      <c r="T2784" t="inlineStr">
        <is>
          <t>C:/Users/manuel.felline/Documents/BEHAVIOR BTBR/NOR second cohort/BTBR/test/c7_m3.mp4</t>
        </is>
      </c>
      <c r="U2784" t="n">
        <v>6016</v>
      </c>
      <c r="V2784" t="n">
        <v>6183</v>
      </c>
      <c r="W2784" t="n">
        <v/>
      </c>
      <c r="X2784" t="n">
        <v/>
      </c>
      <c r="Y2784" t="n">
        <v/>
      </c>
      <c r="Z2784" t="n">
        <v/>
      </c>
      <c r="AA2784">
        <f>SUMIFS($S$2:S2784,$A$2:A2784,A2784,$N$2:N2784,"Explore*")</f>
        <v/>
      </c>
      <c r="AB2784">
        <f>IF(AND(LEFT(N2784,7)="Explore",(AA2784-IF(LEFT(N2784,7)="Explore",S2784,0))&lt;10),"SI","NO")</f>
        <v/>
      </c>
    </row>
    <row r="2785">
      <c r="A2785" t="inlineStr">
        <is>
          <t>c7m3_test</t>
        </is>
      </c>
      <c r="B2785" t="inlineStr">
        <is>
          <t>2026-05-12 17:13:40.847</t>
        </is>
      </c>
      <c r="C2785" t="n">
        <v/>
      </c>
      <c r="D2785" t="inlineStr">
        <is>
          <t>Media file</t>
        </is>
      </c>
      <c r="E2785" t="inlineStr">
        <is>
          <t>player #1:C:/Users/manuel.felline/Documents/BEHAVIOR BTBR/NOR second cohort/BTBR/test/c7_m3.mp4</t>
        </is>
      </c>
      <c r="F2785" t="n">
        <v>-6.233</v>
      </c>
      <c r="G2785" t="n">
        <v>581.6660000000001</v>
      </c>
      <c r="H2785" t="n">
        <v>617.699</v>
      </c>
      <c r="I2785" t="n">
        <v>30</v>
      </c>
      <c r="J2785" t="inlineStr">
        <is>
          <t>BTBR</t>
        </is>
      </c>
      <c r="K2785" t="inlineStr">
        <is>
          <t>Male</t>
        </is>
      </c>
      <c r="L2785" t="inlineStr">
        <is>
          <t>No focal subject</t>
        </is>
      </c>
      <c r="M2785" t="n">
        <v>80.06999999999999</v>
      </c>
      <c r="N2785" t="inlineStr">
        <is>
          <t>Explore_F</t>
        </is>
      </c>
      <c r="O2785" t="inlineStr">
        <is>
          <t>Familiar</t>
        </is>
      </c>
      <c r="P2785" t="inlineStr">
        <is>
          <t>STATE</t>
        </is>
      </c>
      <c r="Q2785" t="n">
        <v>219.6</v>
      </c>
      <c r="R2785" t="n">
        <v>220.433</v>
      </c>
      <c r="S2785" t="n">
        <v>0.833</v>
      </c>
      <c r="T2785" t="inlineStr">
        <is>
          <t>C:/Users/manuel.felline/Documents/BEHAVIOR BTBR/NOR second cohort/BTBR/test/c7_m3.mp4</t>
        </is>
      </c>
      <c r="U2785" t="n">
        <v>6774</v>
      </c>
      <c r="V2785" t="n">
        <v>6799</v>
      </c>
      <c r="W2785" t="n">
        <v/>
      </c>
      <c r="X2785" t="n">
        <v/>
      </c>
      <c r="Y2785" t="n">
        <v/>
      </c>
      <c r="Z2785" t="n">
        <v/>
      </c>
      <c r="AA2785">
        <f>SUMIFS($S$2:S2785,$A$2:A2785,A2785,$N$2:N2785,"Explore*")</f>
        <v/>
      </c>
      <c r="AB2785">
        <f>IF(AND(LEFT(N2785,7)="Explore",(AA2785-IF(LEFT(N2785,7)="Explore",S2785,0))&lt;10),"SI","NO")</f>
        <v/>
      </c>
    </row>
    <row r="2786">
      <c r="A2786" t="inlineStr">
        <is>
          <t>c7m3_test</t>
        </is>
      </c>
      <c r="B2786" t="inlineStr">
        <is>
          <t>2026-05-12 17:13:40.847</t>
        </is>
      </c>
      <c r="C2786" t="n">
        <v/>
      </c>
      <c r="D2786" t="inlineStr">
        <is>
          <t>Media file</t>
        </is>
      </c>
      <c r="E2786" t="inlineStr">
        <is>
          <t>player #1:C:/Users/manuel.felline/Documents/BEHAVIOR BTBR/NOR second cohort/BTBR/test/c7_m3.mp4</t>
        </is>
      </c>
      <c r="F2786" t="n">
        <v>-6.233</v>
      </c>
      <c r="G2786" t="n">
        <v>581.6660000000001</v>
      </c>
      <c r="H2786" t="n">
        <v>617.699</v>
      </c>
      <c r="I2786" t="n">
        <v>30</v>
      </c>
      <c r="J2786" t="inlineStr">
        <is>
          <t>BTBR</t>
        </is>
      </c>
      <c r="K2786" t="inlineStr">
        <is>
          <t>Male</t>
        </is>
      </c>
      <c r="L2786" t="inlineStr">
        <is>
          <t>No focal subject</t>
        </is>
      </c>
      <c r="M2786" t="n">
        <v>80.06999999999999</v>
      </c>
      <c r="N2786" t="inlineStr">
        <is>
          <t>Explore_N</t>
        </is>
      </c>
      <c r="O2786" t="inlineStr">
        <is>
          <t>Novelty</t>
        </is>
      </c>
      <c r="P2786" t="inlineStr">
        <is>
          <t>STATE</t>
        </is>
      </c>
      <c r="Q2786" t="n">
        <v>245.467</v>
      </c>
      <c r="R2786" t="n">
        <v>246.267</v>
      </c>
      <c r="S2786" t="n">
        <v>0.8</v>
      </c>
      <c r="T2786" t="inlineStr">
        <is>
          <t>C:/Users/manuel.felline/Documents/BEHAVIOR BTBR/NOR second cohort/BTBR/test/c7_m3.mp4</t>
        </is>
      </c>
      <c r="U2786" t="n">
        <v>7550</v>
      </c>
      <c r="V2786" t="n">
        <v>7574</v>
      </c>
      <c r="W2786" t="n">
        <v/>
      </c>
      <c r="X2786" t="n">
        <v/>
      </c>
      <c r="Y2786" t="n">
        <v/>
      </c>
      <c r="Z2786" t="n">
        <v/>
      </c>
      <c r="AA2786">
        <f>SUMIFS($S$2:S2786,$A$2:A2786,A2786,$N$2:N2786,"Explore*")</f>
        <v/>
      </c>
      <c r="AB2786">
        <f>IF(AND(LEFT(N2786,7)="Explore",(AA2786-IF(LEFT(N2786,7)="Explore",S2786,0))&lt;10),"SI","NO")</f>
        <v/>
      </c>
    </row>
    <row r="2787">
      <c r="A2787" t="inlineStr">
        <is>
          <t>c7m3_test</t>
        </is>
      </c>
      <c r="B2787" t="inlineStr">
        <is>
          <t>2026-05-12 17:13:40.847</t>
        </is>
      </c>
      <c r="C2787" t="n">
        <v/>
      </c>
      <c r="D2787" t="inlineStr">
        <is>
          <t>Media file</t>
        </is>
      </c>
      <c r="E2787" t="inlineStr">
        <is>
          <t>player #1:C:/Users/manuel.felline/Documents/BEHAVIOR BTBR/NOR second cohort/BTBR/test/c7_m3.mp4</t>
        </is>
      </c>
      <c r="F2787" t="n">
        <v>-6.233</v>
      </c>
      <c r="G2787" t="n">
        <v>581.6660000000001</v>
      </c>
      <c r="H2787" t="n">
        <v>617.699</v>
      </c>
      <c r="I2787" t="n">
        <v>30</v>
      </c>
      <c r="J2787" t="inlineStr">
        <is>
          <t>BTBR</t>
        </is>
      </c>
      <c r="K2787" t="inlineStr">
        <is>
          <t>Male</t>
        </is>
      </c>
      <c r="L2787" t="inlineStr">
        <is>
          <t>No focal subject</t>
        </is>
      </c>
      <c r="M2787" t="n">
        <v>80.06999999999999</v>
      </c>
      <c r="N2787" t="inlineStr">
        <is>
          <t>Explore_F</t>
        </is>
      </c>
      <c r="O2787" t="inlineStr">
        <is>
          <t>Familiar</t>
        </is>
      </c>
      <c r="P2787" t="inlineStr">
        <is>
          <t>STATE</t>
        </is>
      </c>
      <c r="Q2787" t="n">
        <v>269.633</v>
      </c>
      <c r="R2787" t="n">
        <v>270.167</v>
      </c>
      <c r="S2787" t="n">
        <v>0.534</v>
      </c>
      <c r="T2787" t="inlineStr">
        <is>
          <t>C:/Users/manuel.felline/Documents/BEHAVIOR BTBR/NOR second cohort/BTBR/test/c7_m3.mp4</t>
        </is>
      </c>
      <c r="U2787" t="n">
        <v>8275</v>
      </c>
      <c r="V2787" t="n">
        <v>8291</v>
      </c>
      <c r="W2787" t="n">
        <v/>
      </c>
      <c r="X2787" t="n">
        <v/>
      </c>
      <c r="Y2787" t="n">
        <v/>
      </c>
      <c r="Z2787" t="n">
        <v/>
      </c>
      <c r="AA2787">
        <f>SUMIFS($S$2:S2787,$A$2:A2787,A2787,$N$2:N2787,"Explore*")</f>
        <v/>
      </c>
      <c r="AB2787">
        <f>IF(AND(LEFT(N2787,7)="Explore",(AA2787-IF(LEFT(N2787,7)="Explore",S2787,0))&lt;10),"SI","NO")</f>
        <v/>
      </c>
    </row>
    <row r="2788">
      <c r="A2788" t="inlineStr">
        <is>
          <t>c7m3_test</t>
        </is>
      </c>
      <c r="B2788" t="inlineStr">
        <is>
          <t>2026-05-12 17:13:40.847</t>
        </is>
      </c>
      <c r="C2788" t="n">
        <v/>
      </c>
      <c r="D2788" t="inlineStr">
        <is>
          <t>Media file</t>
        </is>
      </c>
      <c r="E2788" t="inlineStr">
        <is>
          <t>player #1:C:/Users/manuel.felline/Documents/BEHAVIOR BTBR/NOR second cohort/BTBR/test/c7_m3.mp4</t>
        </is>
      </c>
      <c r="F2788" t="n">
        <v>-6.233</v>
      </c>
      <c r="G2788" t="n">
        <v>581.6660000000001</v>
      </c>
      <c r="H2788" t="n">
        <v>617.699</v>
      </c>
      <c r="I2788" t="n">
        <v>30</v>
      </c>
      <c r="J2788" t="inlineStr">
        <is>
          <t>BTBR</t>
        </is>
      </c>
      <c r="K2788" t="inlineStr">
        <is>
          <t>Male</t>
        </is>
      </c>
      <c r="L2788" t="inlineStr">
        <is>
          <t>No focal subject</t>
        </is>
      </c>
      <c r="M2788" t="n">
        <v>80.06999999999999</v>
      </c>
      <c r="N2788" t="inlineStr">
        <is>
          <t>Explore_N</t>
        </is>
      </c>
      <c r="O2788" t="inlineStr">
        <is>
          <t>Novelty</t>
        </is>
      </c>
      <c r="P2788" t="inlineStr">
        <is>
          <t>STATE</t>
        </is>
      </c>
      <c r="Q2788" t="n">
        <v>276.233</v>
      </c>
      <c r="R2788" t="n">
        <v>279.067</v>
      </c>
      <c r="S2788" t="n">
        <v>2.834</v>
      </c>
      <c r="T2788" t="inlineStr">
        <is>
          <t>C:/Users/manuel.felline/Documents/BEHAVIOR BTBR/NOR second cohort/BTBR/test/c7_m3.mp4</t>
        </is>
      </c>
      <c r="U2788" t="n">
        <v>8473</v>
      </c>
      <c r="V2788" t="n">
        <v>8558</v>
      </c>
      <c r="W2788" t="n">
        <v/>
      </c>
      <c r="X2788" t="n">
        <v/>
      </c>
      <c r="Y2788" t="n">
        <v/>
      </c>
      <c r="Z2788" t="n">
        <v/>
      </c>
      <c r="AA2788">
        <f>SUMIFS($S$2:S2788,$A$2:A2788,A2788,$N$2:N2788,"Explore*")</f>
        <v/>
      </c>
      <c r="AB2788">
        <f>IF(AND(LEFT(N2788,7)="Explore",(AA2788-IF(LEFT(N2788,7)="Explore",S2788,0))&lt;10),"SI","NO")</f>
        <v/>
      </c>
    </row>
    <row r="2789">
      <c r="A2789" t="inlineStr">
        <is>
          <t>c7m3_test</t>
        </is>
      </c>
      <c r="B2789" t="inlineStr">
        <is>
          <t>2026-05-12 17:13:40.847</t>
        </is>
      </c>
      <c r="C2789" t="n">
        <v/>
      </c>
      <c r="D2789" t="inlineStr">
        <is>
          <t>Media file</t>
        </is>
      </c>
      <c r="E2789" t="inlineStr">
        <is>
          <t>player #1:C:/Users/manuel.felline/Documents/BEHAVIOR BTBR/NOR second cohort/BTBR/test/c7_m3.mp4</t>
        </is>
      </c>
      <c r="F2789" t="n">
        <v>-6.233</v>
      </c>
      <c r="G2789" t="n">
        <v>581.6660000000001</v>
      </c>
      <c r="H2789" t="n">
        <v>617.699</v>
      </c>
      <c r="I2789" t="n">
        <v>30</v>
      </c>
      <c r="J2789" t="inlineStr">
        <is>
          <t>BTBR</t>
        </is>
      </c>
      <c r="K2789" t="inlineStr">
        <is>
          <t>Male</t>
        </is>
      </c>
      <c r="L2789" t="inlineStr">
        <is>
          <t>No focal subject</t>
        </is>
      </c>
      <c r="M2789" t="n">
        <v>80.06999999999999</v>
      </c>
      <c r="N2789" t="inlineStr">
        <is>
          <t>Explore_F</t>
        </is>
      </c>
      <c r="O2789" t="inlineStr">
        <is>
          <t>Familiar</t>
        </is>
      </c>
      <c r="P2789" t="inlineStr">
        <is>
          <t>STATE</t>
        </is>
      </c>
      <c r="Q2789" t="n">
        <v>282.233</v>
      </c>
      <c r="R2789" t="n">
        <v>282.6</v>
      </c>
      <c r="S2789" t="n">
        <v>0.367</v>
      </c>
      <c r="T2789" t="inlineStr">
        <is>
          <t>C:/Users/manuel.felline/Documents/BEHAVIOR BTBR/NOR second cohort/BTBR/test/c7_m3.mp4</t>
        </is>
      </c>
      <c r="U2789" t="n">
        <v>8653</v>
      </c>
      <c r="V2789" t="n">
        <v>8664</v>
      </c>
      <c r="W2789" t="n">
        <v/>
      </c>
      <c r="X2789" t="n">
        <v/>
      </c>
      <c r="Y2789" t="n">
        <v/>
      </c>
      <c r="Z2789" t="n">
        <v/>
      </c>
      <c r="AA2789">
        <f>SUMIFS($S$2:S2789,$A$2:A2789,A2789,$N$2:N2789,"Explore*")</f>
        <v/>
      </c>
      <c r="AB2789">
        <f>IF(AND(LEFT(N2789,7)="Explore",(AA2789-IF(LEFT(N2789,7)="Explore",S2789,0))&lt;10),"SI","NO")</f>
        <v/>
      </c>
    </row>
    <row r="2790">
      <c r="A2790" t="inlineStr">
        <is>
          <t>c7m3_test</t>
        </is>
      </c>
      <c r="B2790" t="inlineStr">
        <is>
          <t>2026-05-12 17:13:40.847</t>
        </is>
      </c>
      <c r="C2790" t="n">
        <v/>
      </c>
      <c r="D2790" t="inlineStr">
        <is>
          <t>Media file</t>
        </is>
      </c>
      <c r="E2790" t="inlineStr">
        <is>
          <t>player #1:C:/Users/manuel.felline/Documents/BEHAVIOR BTBR/NOR second cohort/BTBR/test/c7_m3.mp4</t>
        </is>
      </c>
      <c r="F2790" t="n">
        <v>-6.233</v>
      </c>
      <c r="G2790" t="n">
        <v>581.6660000000001</v>
      </c>
      <c r="H2790" t="n">
        <v>617.699</v>
      </c>
      <c r="I2790" t="n">
        <v>30</v>
      </c>
      <c r="J2790" t="inlineStr">
        <is>
          <t>BTBR</t>
        </is>
      </c>
      <c r="K2790" t="inlineStr">
        <is>
          <t>Male</t>
        </is>
      </c>
      <c r="L2790" t="inlineStr">
        <is>
          <t>No focal subject</t>
        </is>
      </c>
      <c r="M2790" t="n">
        <v>80.06999999999999</v>
      </c>
      <c r="N2790" t="inlineStr">
        <is>
          <t>Explore_N</t>
        </is>
      </c>
      <c r="O2790" t="inlineStr">
        <is>
          <t>Novelty</t>
        </is>
      </c>
      <c r="P2790" t="inlineStr">
        <is>
          <t>STATE</t>
        </is>
      </c>
      <c r="Q2790" t="n">
        <v>288.533</v>
      </c>
      <c r="R2790" t="n">
        <v>289.533</v>
      </c>
      <c r="S2790" t="n">
        <v>1</v>
      </c>
      <c r="T2790" t="inlineStr">
        <is>
          <t>C:/Users/manuel.felline/Documents/BEHAVIOR BTBR/NOR second cohort/BTBR/test/c7_m3.mp4</t>
        </is>
      </c>
      <c r="U2790" t="n">
        <v>8842</v>
      </c>
      <c r="V2790" t="n">
        <v>8872</v>
      </c>
      <c r="W2790" t="n">
        <v/>
      </c>
      <c r="X2790" t="n">
        <v/>
      </c>
      <c r="Y2790" t="n">
        <v/>
      </c>
      <c r="Z2790" t="n">
        <v/>
      </c>
      <c r="AA2790">
        <f>SUMIFS($S$2:S2790,$A$2:A2790,A2790,$N$2:N2790,"Explore*")</f>
        <v/>
      </c>
      <c r="AB2790">
        <f>IF(AND(LEFT(N2790,7)="Explore",(AA2790-IF(LEFT(N2790,7)="Explore",S2790,0))&lt;10),"SI","NO")</f>
        <v/>
      </c>
    </row>
    <row r="2791">
      <c r="A2791" t="inlineStr">
        <is>
          <t>c7m3_test</t>
        </is>
      </c>
      <c r="B2791" t="inlineStr">
        <is>
          <t>2026-05-12 17:13:40.847</t>
        </is>
      </c>
      <c r="C2791" t="n">
        <v/>
      </c>
      <c r="D2791" t="inlineStr">
        <is>
          <t>Media file</t>
        </is>
      </c>
      <c r="E2791" t="inlineStr">
        <is>
          <t>player #1:C:/Users/manuel.felline/Documents/BEHAVIOR BTBR/NOR second cohort/BTBR/test/c7_m3.mp4</t>
        </is>
      </c>
      <c r="F2791" t="n">
        <v>-6.233</v>
      </c>
      <c r="G2791" t="n">
        <v>581.6660000000001</v>
      </c>
      <c r="H2791" t="n">
        <v>617.699</v>
      </c>
      <c r="I2791" t="n">
        <v>30</v>
      </c>
      <c r="J2791" t="inlineStr">
        <is>
          <t>BTBR</t>
        </is>
      </c>
      <c r="K2791" t="inlineStr">
        <is>
          <t>Male</t>
        </is>
      </c>
      <c r="L2791" t="inlineStr">
        <is>
          <t>No focal subject</t>
        </is>
      </c>
      <c r="M2791" t="n">
        <v>80.06999999999999</v>
      </c>
      <c r="N2791" t="inlineStr">
        <is>
          <t>Explore_F</t>
        </is>
      </c>
      <c r="O2791" t="inlineStr">
        <is>
          <t>Familiar</t>
        </is>
      </c>
      <c r="P2791" t="inlineStr">
        <is>
          <t>STATE</t>
        </is>
      </c>
      <c r="Q2791" t="n">
        <v>303.9</v>
      </c>
      <c r="R2791" t="n">
        <v>304.4</v>
      </c>
      <c r="S2791" t="n">
        <v>0.5</v>
      </c>
      <c r="T2791" t="inlineStr">
        <is>
          <t>C:/Users/manuel.felline/Documents/BEHAVIOR BTBR/NOR second cohort/BTBR/test/c7_m3.mp4</t>
        </is>
      </c>
      <c r="U2791" t="n">
        <v>9303</v>
      </c>
      <c r="V2791" t="n">
        <v>9318</v>
      </c>
      <c r="W2791" t="n">
        <v/>
      </c>
      <c r="X2791" t="n">
        <v/>
      </c>
      <c r="Y2791" t="n">
        <v/>
      </c>
      <c r="Z2791" t="n">
        <v/>
      </c>
      <c r="AA2791">
        <f>SUMIFS($S$2:S2791,$A$2:A2791,A2791,$N$2:N2791,"Explore*")</f>
        <v/>
      </c>
      <c r="AB2791">
        <f>IF(AND(LEFT(N2791,7)="Explore",(AA2791-IF(LEFT(N2791,7)="Explore",S2791,0))&lt;10),"SI","NO")</f>
        <v/>
      </c>
    </row>
    <row r="2792">
      <c r="A2792" t="inlineStr">
        <is>
          <t>c7m3_test</t>
        </is>
      </c>
      <c r="B2792" t="inlineStr">
        <is>
          <t>2026-05-12 17:13:40.847</t>
        </is>
      </c>
      <c r="C2792" t="n">
        <v/>
      </c>
      <c r="D2792" t="inlineStr">
        <is>
          <t>Media file</t>
        </is>
      </c>
      <c r="E2792" t="inlineStr">
        <is>
          <t>player #1:C:/Users/manuel.felline/Documents/BEHAVIOR BTBR/NOR second cohort/BTBR/test/c7_m3.mp4</t>
        </is>
      </c>
      <c r="F2792" t="n">
        <v>-6.233</v>
      </c>
      <c r="G2792" t="n">
        <v>581.6660000000001</v>
      </c>
      <c r="H2792" t="n">
        <v>617.699</v>
      </c>
      <c r="I2792" t="n">
        <v>30</v>
      </c>
      <c r="J2792" t="inlineStr">
        <is>
          <t>BTBR</t>
        </is>
      </c>
      <c r="K2792" t="inlineStr">
        <is>
          <t>Male</t>
        </is>
      </c>
      <c r="L2792" t="inlineStr">
        <is>
          <t>No focal subject</t>
        </is>
      </c>
      <c r="M2792" t="n">
        <v>80.06999999999999</v>
      </c>
      <c r="N2792" t="inlineStr">
        <is>
          <t>Explore_N</t>
        </is>
      </c>
      <c r="O2792" t="inlineStr">
        <is>
          <t>Novelty</t>
        </is>
      </c>
      <c r="P2792" t="inlineStr">
        <is>
          <t>STATE</t>
        </is>
      </c>
      <c r="Q2792" t="n">
        <v>318.067</v>
      </c>
      <c r="R2792" t="n">
        <v>319.133</v>
      </c>
      <c r="S2792" t="n">
        <v>1.066</v>
      </c>
      <c r="T2792" t="inlineStr">
        <is>
          <t>C:/Users/manuel.felline/Documents/BEHAVIOR BTBR/NOR second cohort/BTBR/test/c7_m3.mp4</t>
        </is>
      </c>
      <c r="U2792" t="n">
        <v>9728</v>
      </c>
      <c r="V2792" t="n">
        <v>9760</v>
      </c>
      <c r="W2792" t="n">
        <v/>
      </c>
      <c r="X2792" t="n">
        <v/>
      </c>
      <c r="Y2792" t="n">
        <v/>
      </c>
      <c r="Z2792" t="n">
        <v/>
      </c>
      <c r="AA2792">
        <f>SUMIFS($S$2:S2792,$A$2:A2792,A2792,$N$2:N2792,"Explore*")</f>
        <v/>
      </c>
      <c r="AB2792">
        <f>IF(AND(LEFT(N2792,7)="Explore",(AA2792-IF(LEFT(N2792,7)="Explore",S2792,0))&lt;10),"SI","NO")</f>
        <v/>
      </c>
    </row>
    <row r="2793">
      <c r="A2793" t="inlineStr">
        <is>
          <t>c7m3_test</t>
        </is>
      </c>
      <c r="B2793" t="inlineStr">
        <is>
          <t>2026-05-12 17:13:40.847</t>
        </is>
      </c>
      <c r="C2793" t="n">
        <v/>
      </c>
      <c r="D2793" t="inlineStr">
        <is>
          <t>Media file</t>
        </is>
      </c>
      <c r="E2793" t="inlineStr">
        <is>
          <t>player #1:C:/Users/manuel.felline/Documents/BEHAVIOR BTBR/NOR second cohort/BTBR/test/c7_m3.mp4</t>
        </is>
      </c>
      <c r="F2793" t="n">
        <v>-6.233</v>
      </c>
      <c r="G2793" t="n">
        <v>581.6660000000001</v>
      </c>
      <c r="H2793" t="n">
        <v>617.699</v>
      </c>
      <c r="I2793" t="n">
        <v>30</v>
      </c>
      <c r="J2793" t="inlineStr">
        <is>
          <t>BTBR</t>
        </is>
      </c>
      <c r="K2793" t="inlineStr">
        <is>
          <t>Male</t>
        </is>
      </c>
      <c r="L2793" t="inlineStr">
        <is>
          <t>No focal subject</t>
        </is>
      </c>
      <c r="M2793" t="n">
        <v>80.06999999999999</v>
      </c>
      <c r="N2793" t="inlineStr">
        <is>
          <t>Explore_N</t>
        </is>
      </c>
      <c r="O2793" t="inlineStr">
        <is>
          <t>Novelty</t>
        </is>
      </c>
      <c r="P2793" t="inlineStr">
        <is>
          <t>STATE</t>
        </is>
      </c>
      <c r="Q2793" t="n">
        <v>320.833</v>
      </c>
      <c r="R2793" t="n">
        <v>322.067</v>
      </c>
      <c r="S2793" t="n">
        <v>1.234</v>
      </c>
      <c r="T2793" t="inlineStr">
        <is>
          <t>C:/Users/manuel.felline/Documents/BEHAVIOR BTBR/NOR second cohort/BTBR/test/c7_m3.mp4</t>
        </is>
      </c>
      <c r="U2793" t="n">
        <v>9811</v>
      </c>
      <c r="V2793" t="n">
        <v>9848</v>
      </c>
      <c r="W2793" t="n">
        <v/>
      </c>
      <c r="X2793" t="n">
        <v/>
      </c>
      <c r="Y2793" t="n">
        <v/>
      </c>
      <c r="Z2793" t="n">
        <v/>
      </c>
      <c r="AA2793">
        <f>SUMIFS($S$2:S2793,$A$2:A2793,A2793,$N$2:N2793,"Explore*")</f>
        <v/>
      </c>
      <c r="AB2793">
        <f>IF(AND(LEFT(N2793,7)="Explore",(AA2793-IF(LEFT(N2793,7)="Explore",S2793,0))&lt;10),"SI","NO")</f>
        <v/>
      </c>
    </row>
    <row r="2794">
      <c r="A2794" t="inlineStr">
        <is>
          <t>c7m3_test</t>
        </is>
      </c>
      <c r="B2794" t="inlineStr">
        <is>
          <t>2026-05-12 17:13:40.847</t>
        </is>
      </c>
      <c r="C2794" t="n">
        <v/>
      </c>
      <c r="D2794" t="inlineStr">
        <is>
          <t>Media file</t>
        </is>
      </c>
      <c r="E2794" t="inlineStr">
        <is>
          <t>player #1:C:/Users/manuel.felline/Documents/BEHAVIOR BTBR/NOR second cohort/BTBR/test/c7_m3.mp4</t>
        </is>
      </c>
      <c r="F2794" t="n">
        <v>-6.233</v>
      </c>
      <c r="G2794" t="n">
        <v>581.6660000000001</v>
      </c>
      <c r="H2794" t="n">
        <v>617.699</v>
      </c>
      <c r="I2794" t="n">
        <v>30</v>
      </c>
      <c r="J2794" t="inlineStr">
        <is>
          <t>BTBR</t>
        </is>
      </c>
      <c r="K2794" t="inlineStr">
        <is>
          <t>Male</t>
        </is>
      </c>
      <c r="L2794" t="inlineStr">
        <is>
          <t>No focal subject</t>
        </is>
      </c>
      <c r="M2794" t="n">
        <v>80.06999999999999</v>
      </c>
      <c r="N2794" t="inlineStr">
        <is>
          <t>Explore_N</t>
        </is>
      </c>
      <c r="O2794" t="inlineStr">
        <is>
          <t>Novelty</t>
        </is>
      </c>
      <c r="P2794" t="inlineStr">
        <is>
          <t>STATE</t>
        </is>
      </c>
      <c r="Q2794" t="n">
        <v>365.8</v>
      </c>
      <c r="R2794" t="n">
        <v>367.633</v>
      </c>
      <c r="S2794" t="n">
        <v>1.833</v>
      </c>
      <c r="T2794" t="inlineStr">
        <is>
          <t>C:/Users/manuel.felline/Documents/BEHAVIOR BTBR/NOR second cohort/BTBR/test/c7_m3.mp4</t>
        </is>
      </c>
      <c r="U2794" t="n">
        <v>11160</v>
      </c>
      <c r="V2794" t="n">
        <v>11215</v>
      </c>
      <c r="W2794" t="n">
        <v/>
      </c>
      <c r="X2794" t="n">
        <v/>
      </c>
      <c r="Y2794" t="n">
        <v/>
      </c>
      <c r="Z2794" t="n">
        <v/>
      </c>
      <c r="AA2794">
        <f>SUMIFS($S$2:S2794,$A$2:A2794,A2794,$N$2:N2794,"Explore*")</f>
        <v/>
      </c>
      <c r="AB2794">
        <f>IF(AND(LEFT(N2794,7)="Explore",(AA2794-IF(LEFT(N2794,7)="Explore",S2794,0))&lt;10),"SI","NO")</f>
        <v/>
      </c>
    </row>
    <row r="2795">
      <c r="A2795" t="inlineStr">
        <is>
          <t>c7m3_test</t>
        </is>
      </c>
      <c r="B2795" t="inlineStr">
        <is>
          <t>2026-05-12 17:13:40.847</t>
        </is>
      </c>
      <c r="C2795" t="n">
        <v/>
      </c>
      <c r="D2795" t="inlineStr">
        <is>
          <t>Media file</t>
        </is>
      </c>
      <c r="E2795" t="inlineStr">
        <is>
          <t>player #1:C:/Users/manuel.felline/Documents/BEHAVIOR BTBR/NOR second cohort/BTBR/test/c7_m3.mp4</t>
        </is>
      </c>
      <c r="F2795" t="n">
        <v>-6.233</v>
      </c>
      <c r="G2795" t="n">
        <v>581.6660000000001</v>
      </c>
      <c r="H2795" t="n">
        <v>617.699</v>
      </c>
      <c r="I2795" t="n">
        <v>30</v>
      </c>
      <c r="J2795" t="inlineStr">
        <is>
          <t>BTBR</t>
        </is>
      </c>
      <c r="K2795" t="inlineStr">
        <is>
          <t>Male</t>
        </is>
      </c>
      <c r="L2795" t="inlineStr">
        <is>
          <t>No focal subject</t>
        </is>
      </c>
      <c r="M2795" t="n">
        <v>80.06999999999999</v>
      </c>
      <c r="N2795" t="inlineStr">
        <is>
          <t>Explore_F</t>
        </is>
      </c>
      <c r="O2795" t="inlineStr">
        <is>
          <t>Familiar</t>
        </is>
      </c>
      <c r="P2795" t="inlineStr">
        <is>
          <t>STATE</t>
        </is>
      </c>
      <c r="Q2795" t="n">
        <v>376.167</v>
      </c>
      <c r="R2795" t="n">
        <v>376.633</v>
      </c>
      <c r="S2795" t="n">
        <v>0.466</v>
      </c>
      <c r="T2795" t="inlineStr">
        <is>
          <t>C:/Users/manuel.felline/Documents/BEHAVIOR BTBR/NOR second cohort/BTBR/test/c7_m3.mp4</t>
        </is>
      </c>
      <c r="U2795" t="n">
        <v>11471</v>
      </c>
      <c r="V2795" t="n">
        <v>11485</v>
      </c>
      <c r="W2795" t="n">
        <v/>
      </c>
      <c r="X2795" t="n">
        <v/>
      </c>
      <c r="Y2795" t="n">
        <v/>
      </c>
      <c r="Z2795" t="n">
        <v/>
      </c>
      <c r="AA2795">
        <f>SUMIFS($S$2:S2795,$A$2:A2795,A2795,$N$2:N2795,"Explore*")</f>
        <v/>
      </c>
      <c r="AB2795">
        <f>IF(AND(LEFT(N2795,7)="Explore",(AA2795-IF(LEFT(N2795,7)="Explore",S2795,0))&lt;10),"SI","NO")</f>
        <v/>
      </c>
    </row>
    <row r="2796">
      <c r="A2796" t="inlineStr">
        <is>
          <t>c7m3_test</t>
        </is>
      </c>
      <c r="B2796" t="inlineStr">
        <is>
          <t>2026-05-12 17:13:40.847</t>
        </is>
      </c>
      <c r="C2796" t="n">
        <v/>
      </c>
      <c r="D2796" t="inlineStr">
        <is>
          <t>Media file</t>
        </is>
      </c>
      <c r="E2796" t="inlineStr">
        <is>
          <t>player #1:C:/Users/manuel.felline/Documents/BEHAVIOR BTBR/NOR second cohort/BTBR/test/c7_m3.mp4</t>
        </is>
      </c>
      <c r="F2796" t="n">
        <v>-6.233</v>
      </c>
      <c r="G2796" t="n">
        <v>581.6660000000001</v>
      </c>
      <c r="H2796" t="n">
        <v>617.699</v>
      </c>
      <c r="I2796" t="n">
        <v>30</v>
      </c>
      <c r="J2796" t="inlineStr">
        <is>
          <t>BTBR</t>
        </is>
      </c>
      <c r="K2796" t="inlineStr">
        <is>
          <t>Male</t>
        </is>
      </c>
      <c r="L2796" t="inlineStr">
        <is>
          <t>No focal subject</t>
        </is>
      </c>
      <c r="M2796" t="n">
        <v>80.06999999999999</v>
      </c>
      <c r="N2796" t="inlineStr">
        <is>
          <t>Explore_N</t>
        </is>
      </c>
      <c r="O2796" t="inlineStr">
        <is>
          <t>Novelty</t>
        </is>
      </c>
      <c r="P2796" t="inlineStr">
        <is>
          <t>STATE</t>
        </is>
      </c>
      <c r="Q2796" t="n">
        <v>381.033</v>
      </c>
      <c r="R2796" t="n">
        <v>381.267</v>
      </c>
      <c r="S2796" t="n">
        <v>0.234</v>
      </c>
      <c r="T2796" t="inlineStr">
        <is>
          <t>C:/Users/manuel.felline/Documents/BEHAVIOR BTBR/NOR second cohort/BTBR/test/c7_m3.mp4</t>
        </is>
      </c>
      <c r="U2796" t="n">
        <v>11617</v>
      </c>
      <c r="V2796" t="n">
        <v>11624</v>
      </c>
      <c r="W2796" t="n">
        <v/>
      </c>
      <c r="X2796" t="n">
        <v/>
      </c>
      <c r="Y2796" t="n">
        <v/>
      </c>
      <c r="Z2796" t="n">
        <v/>
      </c>
      <c r="AA2796">
        <f>SUMIFS($S$2:S2796,$A$2:A2796,A2796,$N$2:N2796,"Explore*")</f>
        <v/>
      </c>
      <c r="AB2796">
        <f>IF(AND(LEFT(N2796,7)="Explore",(AA2796-IF(LEFT(N2796,7)="Explore",S2796,0))&lt;10),"SI","NO")</f>
        <v/>
      </c>
    </row>
    <row r="2797">
      <c r="A2797" t="inlineStr">
        <is>
          <t>c7m3_test</t>
        </is>
      </c>
      <c r="B2797" t="inlineStr">
        <is>
          <t>2026-05-12 17:13:40.847</t>
        </is>
      </c>
      <c r="C2797" t="n">
        <v/>
      </c>
      <c r="D2797" t="inlineStr">
        <is>
          <t>Media file</t>
        </is>
      </c>
      <c r="E2797" t="inlineStr">
        <is>
          <t>player #1:C:/Users/manuel.felline/Documents/BEHAVIOR BTBR/NOR second cohort/BTBR/test/c7_m3.mp4</t>
        </is>
      </c>
      <c r="F2797" t="n">
        <v>-6.233</v>
      </c>
      <c r="G2797" t="n">
        <v>581.6660000000001</v>
      </c>
      <c r="H2797" t="n">
        <v>617.699</v>
      </c>
      <c r="I2797" t="n">
        <v>30</v>
      </c>
      <c r="J2797" t="inlineStr">
        <is>
          <t>BTBR</t>
        </is>
      </c>
      <c r="K2797" t="inlineStr">
        <is>
          <t>Male</t>
        </is>
      </c>
      <c r="L2797" t="inlineStr">
        <is>
          <t>No focal subject</t>
        </is>
      </c>
      <c r="M2797" t="n">
        <v>80.06999999999999</v>
      </c>
      <c r="N2797" t="inlineStr">
        <is>
          <t>Explore_F</t>
        </is>
      </c>
      <c r="O2797" t="inlineStr">
        <is>
          <t>Familiar</t>
        </is>
      </c>
      <c r="P2797" t="inlineStr">
        <is>
          <t>STATE</t>
        </is>
      </c>
      <c r="Q2797" t="n">
        <v>392.4</v>
      </c>
      <c r="R2797" t="n">
        <v>392.833</v>
      </c>
      <c r="S2797" t="n">
        <v>0.433</v>
      </c>
      <c r="T2797" t="inlineStr">
        <is>
          <t>C:/Users/manuel.felline/Documents/BEHAVIOR BTBR/NOR second cohort/BTBR/test/c7_m3.mp4</t>
        </is>
      </c>
      <c r="U2797" t="n">
        <v>11958</v>
      </c>
      <c r="V2797" t="n">
        <v>11971</v>
      </c>
      <c r="W2797" t="n">
        <v/>
      </c>
      <c r="X2797" t="n">
        <v/>
      </c>
      <c r="Y2797" t="n">
        <v/>
      </c>
      <c r="Z2797" t="n">
        <v/>
      </c>
      <c r="AA2797">
        <f>SUMIFS($S$2:S2797,$A$2:A2797,A2797,$N$2:N2797,"Explore*")</f>
        <v/>
      </c>
      <c r="AB2797">
        <f>IF(AND(LEFT(N2797,7)="Explore",(AA2797-IF(LEFT(N2797,7)="Explore",S2797,0))&lt;10),"SI","NO")</f>
        <v/>
      </c>
    </row>
    <row r="2798">
      <c r="A2798" t="inlineStr">
        <is>
          <t>c7m3_test</t>
        </is>
      </c>
      <c r="B2798" t="inlineStr">
        <is>
          <t>2026-05-12 17:13:40.847</t>
        </is>
      </c>
      <c r="C2798" t="n">
        <v/>
      </c>
      <c r="D2798" t="inlineStr">
        <is>
          <t>Media file</t>
        </is>
      </c>
      <c r="E2798" t="inlineStr">
        <is>
          <t>player #1:C:/Users/manuel.felline/Documents/BEHAVIOR BTBR/NOR second cohort/BTBR/test/c7_m3.mp4</t>
        </is>
      </c>
      <c r="F2798" t="n">
        <v>-6.233</v>
      </c>
      <c r="G2798" t="n">
        <v>581.6660000000001</v>
      </c>
      <c r="H2798" t="n">
        <v>617.699</v>
      </c>
      <c r="I2798" t="n">
        <v>30</v>
      </c>
      <c r="J2798" t="inlineStr">
        <is>
          <t>BTBR</t>
        </is>
      </c>
      <c r="K2798" t="inlineStr">
        <is>
          <t>Male</t>
        </is>
      </c>
      <c r="L2798" t="inlineStr">
        <is>
          <t>No focal subject</t>
        </is>
      </c>
      <c r="M2798" t="n">
        <v>80.06999999999999</v>
      </c>
      <c r="N2798" t="inlineStr">
        <is>
          <t>Explore_N</t>
        </is>
      </c>
      <c r="O2798" t="inlineStr">
        <is>
          <t>Novelty</t>
        </is>
      </c>
      <c r="P2798" t="inlineStr">
        <is>
          <t>STATE</t>
        </is>
      </c>
      <c r="Q2798" t="n">
        <v>409.667</v>
      </c>
      <c r="R2798" t="n">
        <v>410.5</v>
      </c>
      <c r="S2798" t="n">
        <v>0.833</v>
      </c>
      <c r="T2798" t="inlineStr">
        <is>
          <t>C:/Users/manuel.felline/Documents/BEHAVIOR BTBR/NOR second cohort/BTBR/test/c7_m3.mp4</t>
        </is>
      </c>
      <c r="U2798" t="n">
        <v>12476</v>
      </c>
      <c r="V2798" t="n">
        <v>12502</v>
      </c>
      <c r="W2798" t="n">
        <v/>
      </c>
      <c r="X2798" t="n">
        <v/>
      </c>
      <c r="Y2798" t="n">
        <v/>
      </c>
      <c r="Z2798" t="n">
        <v/>
      </c>
      <c r="AA2798">
        <f>SUMIFS($S$2:S2798,$A$2:A2798,A2798,$N$2:N2798,"Explore*")</f>
        <v/>
      </c>
      <c r="AB2798">
        <f>IF(AND(LEFT(N2798,7)="Explore",(AA2798-IF(LEFT(N2798,7)="Explore",S2798,0))&lt;10),"SI","NO")</f>
        <v/>
      </c>
    </row>
    <row r="2799">
      <c r="A2799" t="inlineStr">
        <is>
          <t>c7m3_test</t>
        </is>
      </c>
      <c r="B2799" t="inlineStr">
        <is>
          <t>2026-05-12 17:13:40.847</t>
        </is>
      </c>
      <c r="C2799" t="n">
        <v/>
      </c>
      <c r="D2799" t="inlineStr">
        <is>
          <t>Media file</t>
        </is>
      </c>
      <c r="E2799" t="inlineStr">
        <is>
          <t>player #1:C:/Users/manuel.felline/Documents/BEHAVIOR BTBR/NOR second cohort/BTBR/test/c7_m3.mp4</t>
        </is>
      </c>
      <c r="F2799" t="n">
        <v>-6.233</v>
      </c>
      <c r="G2799" t="n">
        <v>581.6660000000001</v>
      </c>
      <c r="H2799" t="n">
        <v>617.699</v>
      </c>
      <c r="I2799" t="n">
        <v>30</v>
      </c>
      <c r="J2799" t="inlineStr">
        <is>
          <t>BTBR</t>
        </is>
      </c>
      <c r="K2799" t="inlineStr">
        <is>
          <t>Male</t>
        </is>
      </c>
      <c r="L2799" t="inlineStr">
        <is>
          <t>No focal subject</t>
        </is>
      </c>
      <c r="M2799" t="n">
        <v>80.06999999999999</v>
      </c>
      <c r="N2799" t="inlineStr">
        <is>
          <t>Explore_F</t>
        </is>
      </c>
      <c r="O2799" t="inlineStr">
        <is>
          <t>Familiar</t>
        </is>
      </c>
      <c r="P2799" t="inlineStr">
        <is>
          <t>STATE</t>
        </is>
      </c>
      <c r="Q2799" t="n">
        <v>426.4</v>
      </c>
      <c r="R2799" t="n">
        <v>426.833</v>
      </c>
      <c r="S2799" t="n">
        <v>0.433</v>
      </c>
      <c r="T2799" t="inlineStr">
        <is>
          <t>C:/Users/manuel.felline/Documents/BEHAVIOR BTBR/NOR second cohort/BTBR/test/c7_m3.mp4</t>
        </is>
      </c>
      <c r="U2799" t="n">
        <v>12978</v>
      </c>
      <c r="V2799" t="n">
        <v>12991</v>
      </c>
      <c r="W2799" t="n">
        <v/>
      </c>
      <c r="X2799" t="n">
        <v/>
      </c>
      <c r="Y2799" t="n">
        <v/>
      </c>
      <c r="Z2799" t="n">
        <v/>
      </c>
      <c r="AA2799">
        <f>SUMIFS($S$2:S2799,$A$2:A2799,A2799,$N$2:N2799,"Explore*")</f>
        <v/>
      </c>
      <c r="AB2799">
        <f>IF(AND(LEFT(N2799,7)="Explore",(AA2799-IF(LEFT(N2799,7)="Explore",S2799,0))&lt;10),"SI","NO")</f>
        <v/>
      </c>
    </row>
    <row r="2800">
      <c r="A2800" t="inlineStr">
        <is>
          <t>c7m3_test</t>
        </is>
      </c>
      <c r="B2800" t="inlineStr">
        <is>
          <t>2026-05-12 17:13:40.847</t>
        </is>
      </c>
      <c r="C2800" t="n">
        <v/>
      </c>
      <c r="D2800" t="inlineStr">
        <is>
          <t>Media file</t>
        </is>
      </c>
      <c r="E2800" t="inlineStr">
        <is>
          <t>player #1:C:/Users/manuel.felline/Documents/BEHAVIOR BTBR/NOR second cohort/BTBR/test/c7_m3.mp4</t>
        </is>
      </c>
      <c r="F2800" t="n">
        <v>-6.233</v>
      </c>
      <c r="G2800" t="n">
        <v>581.6660000000001</v>
      </c>
      <c r="H2800" t="n">
        <v>617.699</v>
      </c>
      <c r="I2800" t="n">
        <v>30</v>
      </c>
      <c r="J2800" t="inlineStr">
        <is>
          <t>BTBR</t>
        </is>
      </c>
      <c r="K2800" t="inlineStr">
        <is>
          <t>Male</t>
        </is>
      </c>
      <c r="L2800" t="inlineStr">
        <is>
          <t>No focal subject</t>
        </is>
      </c>
      <c r="M2800" t="n">
        <v>80.06999999999999</v>
      </c>
      <c r="N2800" t="inlineStr">
        <is>
          <t>Explore_N</t>
        </is>
      </c>
      <c r="O2800" t="inlineStr">
        <is>
          <t>Novelty</t>
        </is>
      </c>
      <c r="P2800" t="inlineStr">
        <is>
          <t>STATE</t>
        </is>
      </c>
      <c r="Q2800" t="n">
        <v>434.6</v>
      </c>
      <c r="R2800" t="n">
        <v>435.267</v>
      </c>
      <c r="S2800" t="n">
        <v>0.667</v>
      </c>
      <c r="T2800" t="inlineStr">
        <is>
          <t>C:/Users/manuel.felline/Documents/BEHAVIOR BTBR/NOR second cohort/BTBR/test/c7_m3.mp4</t>
        </is>
      </c>
      <c r="U2800" t="n">
        <v>13224</v>
      </c>
      <c r="V2800" t="n">
        <v>13244</v>
      </c>
      <c r="W2800" t="n">
        <v/>
      </c>
      <c r="X2800" t="n">
        <v/>
      </c>
      <c r="Y2800" t="n">
        <v/>
      </c>
      <c r="Z2800" t="n">
        <v/>
      </c>
      <c r="AA2800">
        <f>SUMIFS($S$2:S2800,$A$2:A2800,A2800,$N$2:N2800,"Explore*")</f>
        <v/>
      </c>
      <c r="AB2800">
        <f>IF(AND(LEFT(N2800,7)="Explore",(AA2800-IF(LEFT(N2800,7)="Explore",S2800,0))&lt;10),"SI","NO")</f>
        <v/>
      </c>
    </row>
    <row r="2801">
      <c r="A2801" t="inlineStr">
        <is>
          <t>c7m3_test</t>
        </is>
      </c>
      <c r="B2801" t="inlineStr">
        <is>
          <t>2026-05-12 17:13:40.847</t>
        </is>
      </c>
      <c r="C2801" t="n">
        <v/>
      </c>
      <c r="D2801" t="inlineStr">
        <is>
          <t>Media file</t>
        </is>
      </c>
      <c r="E2801" t="inlineStr">
        <is>
          <t>player #1:C:/Users/manuel.felline/Documents/BEHAVIOR BTBR/NOR second cohort/BTBR/test/c7_m3.mp4</t>
        </is>
      </c>
      <c r="F2801" t="n">
        <v>-6.233</v>
      </c>
      <c r="G2801" t="n">
        <v>581.6660000000001</v>
      </c>
      <c r="H2801" t="n">
        <v>617.699</v>
      </c>
      <c r="I2801" t="n">
        <v>30</v>
      </c>
      <c r="J2801" t="inlineStr">
        <is>
          <t>BTBR</t>
        </is>
      </c>
      <c r="K2801" t="inlineStr">
        <is>
          <t>Male</t>
        </is>
      </c>
      <c r="L2801" t="inlineStr">
        <is>
          <t>No focal subject</t>
        </is>
      </c>
      <c r="M2801" t="n">
        <v>80.06999999999999</v>
      </c>
      <c r="N2801" t="inlineStr">
        <is>
          <t>Explore_F</t>
        </is>
      </c>
      <c r="O2801" t="inlineStr">
        <is>
          <t>Familiar</t>
        </is>
      </c>
      <c r="P2801" t="inlineStr">
        <is>
          <t>STATE</t>
        </is>
      </c>
      <c r="Q2801" t="n">
        <v>436.1</v>
      </c>
      <c r="R2801" t="n">
        <v>436.5</v>
      </c>
      <c r="S2801" t="n">
        <v>0.4</v>
      </c>
      <c r="T2801" t="inlineStr">
        <is>
          <t>C:/Users/manuel.felline/Documents/BEHAVIOR BTBR/NOR second cohort/BTBR/test/c7_m3.mp4</t>
        </is>
      </c>
      <c r="U2801" t="n">
        <v>13269</v>
      </c>
      <c r="V2801" t="n">
        <v>13281</v>
      </c>
      <c r="W2801" t="n">
        <v/>
      </c>
      <c r="X2801" t="n">
        <v/>
      </c>
      <c r="Y2801" t="n">
        <v/>
      </c>
      <c r="Z2801" t="n">
        <v/>
      </c>
      <c r="AA2801">
        <f>SUMIFS($S$2:S2801,$A$2:A2801,A2801,$N$2:N2801,"Explore*")</f>
        <v/>
      </c>
      <c r="AB2801">
        <f>IF(AND(LEFT(N2801,7)="Explore",(AA2801-IF(LEFT(N2801,7)="Explore",S2801,0))&lt;10),"SI","NO")</f>
        <v/>
      </c>
    </row>
    <row r="2802">
      <c r="A2802" t="inlineStr">
        <is>
          <t>c7m3_test</t>
        </is>
      </c>
      <c r="B2802" t="inlineStr">
        <is>
          <t>2026-05-12 17:13:40.847</t>
        </is>
      </c>
      <c r="C2802" t="n">
        <v/>
      </c>
      <c r="D2802" t="inlineStr">
        <is>
          <t>Media file</t>
        </is>
      </c>
      <c r="E2802" t="inlineStr">
        <is>
          <t>player #1:C:/Users/manuel.felline/Documents/BEHAVIOR BTBR/NOR second cohort/BTBR/test/c7_m3.mp4</t>
        </is>
      </c>
      <c r="F2802" t="n">
        <v>-6.233</v>
      </c>
      <c r="G2802" t="n">
        <v>581.6660000000001</v>
      </c>
      <c r="H2802" t="n">
        <v>617.699</v>
      </c>
      <c r="I2802" t="n">
        <v>30</v>
      </c>
      <c r="J2802" t="inlineStr">
        <is>
          <t>BTBR</t>
        </is>
      </c>
      <c r="K2802" t="inlineStr">
        <is>
          <t>Male</t>
        </is>
      </c>
      <c r="L2802" t="inlineStr">
        <is>
          <t>No focal subject</t>
        </is>
      </c>
      <c r="M2802" t="n">
        <v>80.06999999999999</v>
      </c>
      <c r="N2802" t="inlineStr">
        <is>
          <t>Explore_N</t>
        </is>
      </c>
      <c r="O2802" t="inlineStr">
        <is>
          <t>Novelty</t>
        </is>
      </c>
      <c r="P2802" t="inlineStr">
        <is>
          <t>STATE</t>
        </is>
      </c>
      <c r="Q2802" t="n">
        <v>443.167</v>
      </c>
      <c r="R2802" t="n">
        <v>445.3</v>
      </c>
      <c r="S2802" t="n">
        <v>2.133</v>
      </c>
      <c r="T2802" t="inlineStr">
        <is>
          <t>C:/Users/manuel.felline/Documents/BEHAVIOR BTBR/NOR second cohort/BTBR/test/c7_m3.mp4</t>
        </is>
      </c>
      <c r="U2802" t="n">
        <v>13481</v>
      </c>
      <c r="V2802" t="n">
        <v>13544</v>
      </c>
      <c r="W2802" t="n">
        <v/>
      </c>
      <c r="X2802" t="n">
        <v/>
      </c>
      <c r="Y2802" t="n">
        <v/>
      </c>
      <c r="Z2802" t="n">
        <v/>
      </c>
      <c r="AA2802">
        <f>SUMIFS($S$2:S2802,$A$2:A2802,A2802,$N$2:N2802,"Explore*")</f>
        <v/>
      </c>
      <c r="AB2802">
        <f>IF(AND(LEFT(N2802,7)="Explore",(AA2802-IF(LEFT(N2802,7)="Explore",S2802,0))&lt;10),"SI","NO")</f>
        <v/>
      </c>
    </row>
    <row r="2803">
      <c r="A2803" t="inlineStr">
        <is>
          <t>c7m3_test</t>
        </is>
      </c>
      <c r="B2803" t="inlineStr">
        <is>
          <t>2026-05-12 17:13:40.847</t>
        </is>
      </c>
      <c r="C2803" t="n">
        <v/>
      </c>
      <c r="D2803" t="inlineStr">
        <is>
          <t>Media file</t>
        </is>
      </c>
      <c r="E2803" t="inlineStr">
        <is>
          <t>player #1:C:/Users/manuel.felline/Documents/BEHAVIOR BTBR/NOR second cohort/BTBR/test/c7_m3.mp4</t>
        </is>
      </c>
      <c r="F2803" t="n">
        <v>-6.233</v>
      </c>
      <c r="G2803" t="n">
        <v>581.6660000000001</v>
      </c>
      <c r="H2803" t="n">
        <v>617.699</v>
      </c>
      <c r="I2803" t="n">
        <v>30</v>
      </c>
      <c r="J2803" t="inlineStr">
        <is>
          <t>BTBR</t>
        </is>
      </c>
      <c r="K2803" t="inlineStr">
        <is>
          <t>Male</t>
        </is>
      </c>
      <c r="L2803" t="inlineStr">
        <is>
          <t>No focal subject</t>
        </is>
      </c>
      <c r="M2803" t="n">
        <v>80.06999999999999</v>
      </c>
      <c r="N2803" t="inlineStr">
        <is>
          <t>Explore_N</t>
        </is>
      </c>
      <c r="O2803" t="inlineStr">
        <is>
          <t>Novelty</t>
        </is>
      </c>
      <c r="P2803" t="inlineStr">
        <is>
          <t>STATE</t>
        </is>
      </c>
      <c r="Q2803" t="n">
        <v>446.533</v>
      </c>
      <c r="R2803" t="n">
        <v>447.833</v>
      </c>
      <c r="S2803" t="n">
        <v>1.3</v>
      </c>
      <c r="T2803" t="inlineStr">
        <is>
          <t>C:/Users/manuel.felline/Documents/BEHAVIOR BTBR/NOR second cohort/BTBR/test/c7_m3.mp4</t>
        </is>
      </c>
      <c r="U2803" t="n">
        <v>13581</v>
      </c>
      <c r="V2803" t="n">
        <v>13620</v>
      </c>
      <c r="W2803" t="n">
        <v/>
      </c>
      <c r="X2803" t="n">
        <v/>
      </c>
      <c r="Y2803" t="n">
        <v/>
      </c>
      <c r="Z2803" t="n">
        <v/>
      </c>
      <c r="AA2803">
        <f>SUMIFS($S$2:S2803,$A$2:A2803,A2803,$N$2:N2803,"Explore*")</f>
        <v/>
      </c>
      <c r="AB2803">
        <f>IF(AND(LEFT(N2803,7)="Explore",(AA2803-IF(LEFT(N2803,7)="Explore",S2803,0))&lt;10),"SI","NO")</f>
        <v/>
      </c>
    </row>
    <row r="2804">
      <c r="A2804" t="inlineStr">
        <is>
          <t>c7m3_test</t>
        </is>
      </c>
      <c r="B2804" t="inlineStr">
        <is>
          <t>2026-05-12 17:13:40.847</t>
        </is>
      </c>
      <c r="C2804" t="n">
        <v/>
      </c>
      <c r="D2804" t="inlineStr">
        <is>
          <t>Media file</t>
        </is>
      </c>
      <c r="E2804" t="inlineStr">
        <is>
          <t>player #1:C:/Users/manuel.felline/Documents/BEHAVIOR BTBR/NOR second cohort/BTBR/test/c7_m3.mp4</t>
        </is>
      </c>
      <c r="F2804" t="n">
        <v>-6.233</v>
      </c>
      <c r="G2804" t="n">
        <v>581.6660000000001</v>
      </c>
      <c r="H2804" t="n">
        <v>617.699</v>
      </c>
      <c r="I2804" t="n">
        <v>30</v>
      </c>
      <c r="J2804" t="inlineStr">
        <is>
          <t>BTBR</t>
        </is>
      </c>
      <c r="K2804" t="inlineStr">
        <is>
          <t>Male</t>
        </is>
      </c>
      <c r="L2804" t="inlineStr">
        <is>
          <t>No focal subject</t>
        </is>
      </c>
      <c r="M2804" t="n">
        <v>80.06999999999999</v>
      </c>
      <c r="N2804" t="inlineStr">
        <is>
          <t>Explore_F</t>
        </is>
      </c>
      <c r="O2804" t="inlineStr">
        <is>
          <t>Familiar</t>
        </is>
      </c>
      <c r="P2804" t="inlineStr">
        <is>
          <t>STATE</t>
        </is>
      </c>
      <c r="Q2804" t="n">
        <v>465.933</v>
      </c>
      <c r="R2804" t="n">
        <v>466.8</v>
      </c>
      <c r="S2804" t="n">
        <v>0.867</v>
      </c>
      <c r="T2804" t="inlineStr">
        <is>
          <t>C:/Users/manuel.felline/Documents/BEHAVIOR BTBR/NOR second cohort/BTBR/test/c7_m3.mp4</t>
        </is>
      </c>
      <c r="U2804" t="n">
        <v>14163</v>
      </c>
      <c r="V2804" t="n">
        <v>14189</v>
      </c>
      <c r="W2804" t="n">
        <v/>
      </c>
      <c r="X2804" t="n">
        <v/>
      </c>
      <c r="Y2804" t="n">
        <v/>
      </c>
      <c r="Z2804" t="n">
        <v/>
      </c>
      <c r="AA2804">
        <f>SUMIFS($S$2:S2804,$A$2:A2804,A2804,$N$2:N2804,"Explore*")</f>
        <v/>
      </c>
      <c r="AB2804">
        <f>IF(AND(LEFT(N2804,7)="Explore",(AA2804-IF(LEFT(N2804,7)="Explore",S2804,0))&lt;10),"SI","NO")</f>
        <v/>
      </c>
    </row>
    <row r="2805">
      <c r="A2805" t="inlineStr">
        <is>
          <t>c7m3_test</t>
        </is>
      </c>
      <c r="B2805" t="inlineStr">
        <is>
          <t>2026-05-12 17:13:40.847</t>
        </is>
      </c>
      <c r="C2805" t="n">
        <v/>
      </c>
      <c r="D2805" t="inlineStr">
        <is>
          <t>Media file</t>
        </is>
      </c>
      <c r="E2805" t="inlineStr">
        <is>
          <t>player #1:C:/Users/manuel.felline/Documents/BEHAVIOR BTBR/NOR second cohort/BTBR/test/c7_m3.mp4</t>
        </is>
      </c>
      <c r="F2805" t="n">
        <v>-6.233</v>
      </c>
      <c r="G2805" t="n">
        <v>581.6660000000001</v>
      </c>
      <c r="H2805" t="n">
        <v>617.699</v>
      </c>
      <c r="I2805" t="n">
        <v>30</v>
      </c>
      <c r="J2805" t="inlineStr">
        <is>
          <t>BTBR</t>
        </is>
      </c>
      <c r="K2805" t="inlineStr">
        <is>
          <t>Male</t>
        </is>
      </c>
      <c r="L2805" t="inlineStr">
        <is>
          <t>No focal subject</t>
        </is>
      </c>
      <c r="M2805" t="n">
        <v>80.06999999999999</v>
      </c>
      <c r="N2805" t="inlineStr">
        <is>
          <t>Explore_F</t>
        </is>
      </c>
      <c r="O2805" t="inlineStr">
        <is>
          <t>Familiar</t>
        </is>
      </c>
      <c r="P2805" t="inlineStr">
        <is>
          <t>STATE</t>
        </is>
      </c>
      <c r="Q2805" t="n">
        <v>479.2</v>
      </c>
      <c r="R2805" t="n">
        <v>479.633</v>
      </c>
      <c r="S2805" t="n">
        <v>0.433</v>
      </c>
      <c r="T2805" t="inlineStr">
        <is>
          <t>C:/Users/manuel.felline/Documents/BEHAVIOR BTBR/NOR second cohort/BTBR/test/c7_m3.mp4</t>
        </is>
      </c>
      <c r="U2805" t="n">
        <v>14561</v>
      </c>
      <c r="V2805" t="n">
        <v>14574</v>
      </c>
      <c r="W2805" t="n">
        <v/>
      </c>
      <c r="X2805" t="n">
        <v/>
      </c>
      <c r="Y2805" t="n">
        <v/>
      </c>
      <c r="Z2805" t="n">
        <v/>
      </c>
      <c r="AA2805">
        <f>SUMIFS($S$2:S2805,$A$2:A2805,A2805,$N$2:N2805,"Explore*")</f>
        <v/>
      </c>
      <c r="AB2805">
        <f>IF(AND(LEFT(N2805,7)="Explore",(AA2805-IF(LEFT(N2805,7)="Explore",S2805,0))&lt;10),"SI","NO")</f>
        <v/>
      </c>
    </row>
    <row r="2806">
      <c r="A2806" t="inlineStr">
        <is>
          <t>c7m3_test</t>
        </is>
      </c>
      <c r="B2806" t="inlineStr">
        <is>
          <t>2026-05-12 17:13:40.847</t>
        </is>
      </c>
      <c r="C2806" t="n">
        <v/>
      </c>
      <c r="D2806" t="inlineStr">
        <is>
          <t>Media file</t>
        </is>
      </c>
      <c r="E2806" t="inlineStr">
        <is>
          <t>player #1:C:/Users/manuel.felline/Documents/BEHAVIOR BTBR/NOR second cohort/BTBR/test/c7_m3.mp4</t>
        </is>
      </c>
      <c r="F2806" t="n">
        <v>-6.233</v>
      </c>
      <c r="G2806" t="n">
        <v>581.6660000000001</v>
      </c>
      <c r="H2806" t="n">
        <v>617.699</v>
      </c>
      <c r="I2806" t="n">
        <v>30</v>
      </c>
      <c r="J2806" t="inlineStr">
        <is>
          <t>BTBR</t>
        </is>
      </c>
      <c r="K2806" t="inlineStr">
        <is>
          <t>Male</t>
        </is>
      </c>
      <c r="L2806" t="inlineStr">
        <is>
          <t>No focal subject</t>
        </is>
      </c>
      <c r="M2806" t="n">
        <v>80.06999999999999</v>
      </c>
      <c r="N2806" t="inlineStr">
        <is>
          <t>Explore_F</t>
        </is>
      </c>
      <c r="O2806" t="inlineStr">
        <is>
          <t>Familiar</t>
        </is>
      </c>
      <c r="P2806" t="inlineStr">
        <is>
          <t>STATE</t>
        </is>
      </c>
      <c r="Q2806" t="n">
        <v>495.766</v>
      </c>
      <c r="R2806" t="n">
        <v>496.133</v>
      </c>
      <c r="S2806" t="n">
        <v>0.367</v>
      </c>
      <c r="T2806" t="inlineStr">
        <is>
          <t>C:/Users/manuel.felline/Documents/BEHAVIOR BTBR/NOR second cohort/BTBR/test/c7_m3.mp4</t>
        </is>
      </c>
      <c r="U2806" t="n">
        <v>15058</v>
      </c>
      <c r="V2806" t="n">
        <v>15069</v>
      </c>
      <c r="W2806" t="n">
        <v/>
      </c>
      <c r="X2806" t="n">
        <v/>
      </c>
      <c r="Y2806" t="n">
        <v/>
      </c>
      <c r="Z2806" t="n">
        <v/>
      </c>
      <c r="AA2806">
        <f>SUMIFS($S$2:S2806,$A$2:A2806,A2806,$N$2:N2806,"Explore*")</f>
        <v/>
      </c>
      <c r="AB2806">
        <f>IF(AND(LEFT(N2806,7)="Explore",(AA2806-IF(LEFT(N2806,7)="Explore",S2806,0))&lt;10),"SI","NO")</f>
        <v/>
      </c>
    </row>
    <row r="2807">
      <c r="A2807" t="inlineStr">
        <is>
          <t>c7m3_test</t>
        </is>
      </c>
      <c r="B2807" t="inlineStr">
        <is>
          <t>2026-05-12 17:13:40.847</t>
        </is>
      </c>
      <c r="C2807" t="n">
        <v/>
      </c>
      <c r="D2807" t="inlineStr">
        <is>
          <t>Media file</t>
        </is>
      </c>
      <c r="E2807" t="inlineStr">
        <is>
          <t>player #1:C:/Users/manuel.felline/Documents/BEHAVIOR BTBR/NOR second cohort/BTBR/test/c7_m3.mp4</t>
        </is>
      </c>
      <c r="F2807" t="n">
        <v>-6.233</v>
      </c>
      <c r="G2807" t="n">
        <v>581.6660000000001</v>
      </c>
      <c r="H2807" t="n">
        <v>617.699</v>
      </c>
      <c r="I2807" t="n">
        <v>30</v>
      </c>
      <c r="J2807" t="inlineStr">
        <is>
          <t>BTBR</t>
        </is>
      </c>
      <c r="K2807" t="inlineStr">
        <is>
          <t>Male</t>
        </is>
      </c>
      <c r="L2807" t="inlineStr">
        <is>
          <t>No focal subject</t>
        </is>
      </c>
      <c r="M2807" t="n">
        <v>80.06999999999999</v>
      </c>
      <c r="N2807" t="inlineStr">
        <is>
          <t>Explore_F</t>
        </is>
      </c>
      <c r="O2807" t="inlineStr">
        <is>
          <t>Familiar</t>
        </is>
      </c>
      <c r="P2807" t="inlineStr">
        <is>
          <t>STATE</t>
        </is>
      </c>
      <c r="Q2807" t="n">
        <v>512.533</v>
      </c>
      <c r="R2807" t="n">
        <v>513.533</v>
      </c>
      <c r="S2807" t="n">
        <v>1</v>
      </c>
      <c r="T2807" t="inlineStr">
        <is>
          <t>C:/Users/manuel.felline/Documents/BEHAVIOR BTBR/NOR second cohort/BTBR/test/c7_m3.mp4</t>
        </is>
      </c>
      <c r="U2807" t="n">
        <v>15561</v>
      </c>
      <c r="V2807" t="n">
        <v>15592</v>
      </c>
      <c r="W2807" t="n">
        <v/>
      </c>
      <c r="X2807" t="n">
        <v/>
      </c>
      <c r="Y2807" t="n">
        <v/>
      </c>
      <c r="Z2807" t="n">
        <v/>
      </c>
      <c r="AA2807">
        <f>SUMIFS($S$2:S2807,$A$2:A2807,A2807,$N$2:N2807,"Explore*")</f>
        <v/>
      </c>
      <c r="AB2807">
        <f>IF(AND(LEFT(N2807,7)="Explore",(AA2807-IF(LEFT(N2807,7)="Explore",S2807,0))&lt;10),"SI","NO")</f>
        <v/>
      </c>
    </row>
    <row r="2808">
      <c r="A2808" t="inlineStr">
        <is>
          <t>c7m3_test</t>
        </is>
      </c>
      <c r="B2808" t="inlineStr">
        <is>
          <t>2026-05-12 17:13:40.847</t>
        </is>
      </c>
      <c r="C2808" t="n">
        <v/>
      </c>
      <c r="D2808" t="inlineStr">
        <is>
          <t>Media file</t>
        </is>
      </c>
      <c r="E2808" t="inlineStr">
        <is>
          <t>player #1:C:/Users/manuel.felline/Documents/BEHAVIOR BTBR/NOR second cohort/BTBR/test/c7_m3.mp4</t>
        </is>
      </c>
      <c r="F2808" t="n">
        <v>-6.233</v>
      </c>
      <c r="G2808" t="n">
        <v>581.6660000000001</v>
      </c>
      <c r="H2808" t="n">
        <v>617.699</v>
      </c>
      <c r="I2808" t="n">
        <v>30</v>
      </c>
      <c r="J2808" t="inlineStr">
        <is>
          <t>BTBR</t>
        </is>
      </c>
      <c r="K2808" t="inlineStr">
        <is>
          <t>Male</t>
        </is>
      </c>
      <c r="L2808" t="inlineStr">
        <is>
          <t>No focal subject</t>
        </is>
      </c>
      <c r="M2808" t="n">
        <v>80.06999999999999</v>
      </c>
      <c r="N2808" t="inlineStr">
        <is>
          <t>Explore_N</t>
        </is>
      </c>
      <c r="O2808" t="inlineStr">
        <is>
          <t>Novelty</t>
        </is>
      </c>
      <c r="P2808" t="inlineStr">
        <is>
          <t>STATE</t>
        </is>
      </c>
      <c r="Q2808" t="n">
        <v>523.2329999999999</v>
      </c>
      <c r="R2808" t="n">
        <v>524.4</v>
      </c>
      <c r="S2808" t="n">
        <v>1.167</v>
      </c>
      <c r="T2808" t="inlineStr">
        <is>
          <t>C:/Users/manuel.felline/Documents/BEHAVIOR BTBR/NOR second cohort/BTBR/test/c7_m3.mp4</t>
        </is>
      </c>
      <c r="U2808" t="n">
        <v>15882</v>
      </c>
      <c r="V2808" t="n">
        <v>15917</v>
      </c>
      <c r="W2808" t="n">
        <v/>
      </c>
      <c r="X2808" t="n">
        <v/>
      </c>
      <c r="Y2808" t="n">
        <v/>
      </c>
      <c r="Z2808" t="n">
        <v/>
      </c>
      <c r="AA2808">
        <f>SUMIFS($S$2:S2808,$A$2:A2808,A2808,$N$2:N2808,"Explore*")</f>
        <v/>
      </c>
      <c r="AB2808">
        <f>IF(AND(LEFT(N2808,7)="Explore",(AA2808-IF(LEFT(N2808,7)="Explore",S2808,0))&lt;10),"SI","NO")</f>
        <v/>
      </c>
    </row>
    <row r="2809">
      <c r="A2809" t="inlineStr">
        <is>
          <t>c7m3_test</t>
        </is>
      </c>
      <c r="B2809" t="inlineStr">
        <is>
          <t>2026-05-12 17:13:40.847</t>
        </is>
      </c>
      <c r="C2809" t="n">
        <v/>
      </c>
      <c r="D2809" t="inlineStr">
        <is>
          <t>Media file</t>
        </is>
      </c>
      <c r="E2809" t="inlineStr">
        <is>
          <t>player #1:C:/Users/manuel.felline/Documents/BEHAVIOR BTBR/NOR second cohort/BTBR/test/c7_m3.mp4</t>
        </is>
      </c>
      <c r="F2809" t="n">
        <v>-6.233</v>
      </c>
      <c r="G2809" t="n">
        <v>581.6660000000001</v>
      </c>
      <c r="H2809" t="n">
        <v>617.699</v>
      </c>
      <c r="I2809" t="n">
        <v>30</v>
      </c>
      <c r="J2809" t="inlineStr">
        <is>
          <t>BTBR</t>
        </is>
      </c>
      <c r="K2809" t="inlineStr">
        <is>
          <t>Male</t>
        </is>
      </c>
      <c r="L2809" t="inlineStr">
        <is>
          <t>No focal subject</t>
        </is>
      </c>
      <c r="M2809" t="n">
        <v>80.06999999999999</v>
      </c>
      <c r="N2809" t="inlineStr">
        <is>
          <t>Explore_N</t>
        </is>
      </c>
      <c r="O2809" t="inlineStr">
        <is>
          <t>Novelty</t>
        </is>
      </c>
      <c r="P2809" t="inlineStr">
        <is>
          <t>STATE</t>
        </is>
      </c>
      <c r="Q2809" t="n">
        <v>535.3</v>
      </c>
      <c r="R2809" t="n">
        <v>536.266</v>
      </c>
      <c r="S2809" t="n">
        <v>0.966</v>
      </c>
      <c r="T2809" t="inlineStr">
        <is>
          <t>C:/Users/manuel.felline/Documents/BEHAVIOR BTBR/NOR second cohort/BTBR/test/c7_m3.mp4</t>
        </is>
      </c>
      <c r="U2809" t="n">
        <v>16245</v>
      </c>
      <c r="V2809" t="n">
        <v>16273</v>
      </c>
      <c r="W2809" t="n">
        <v/>
      </c>
      <c r="X2809" t="n">
        <v/>
      </c>
      <c r="Y2809" t="n">
        <v/>
      </c>
      <c r="Z2809" t="n">
        <v/>
      </c>
      <c r="AA2809">
        <f>SUMIFS($S$2:S2809,$A$2:A2809,A2809,$N$2:N2809,"Explore*")</f>
        <v/>
      </c>
      <c r="AB2809">
        <f>IF(AND(LEFT(N2809,7)="Explore",(AA2809-IF(LEFT(N2809,7)="Explore",S2809,0))&lt;10),"SI","NO")</f>
        <v/>
      </c>
    </row>
    <row r="2810">
      <c r="A2810" t="inlineStr">
        <is>
          <t>c7m3_test</t>
        </is>
      </c>
      <c r="B2810" t="inlineStr">
        <is>
          <t>2026-05-12 17:13:40.847</t>
        </is>
      </c>
      <c r="C2810" t="n">
        <v/>
      </c>
      <c r="D2810" t="inlineStr">
        <is>
          <t>Media file</t>
        </is>
      </c>
      <c r="E2810" t="inlineStr">
        <is>
          <t>player #1:C:/Users/manuel.felline/Documents/BEHAVIOR BTBR/NOR second cohort/BTBR/test/c7_m3.mp4</t>
        </is>
      </c>
      <c r="F2810" t="n">
        <v>-6.233</v>
      </c>
      <c r="G2810" t="n">
        <v>581.6660000000001</v>
      </c>
      <c r="H2810" t="n">
        <v>617.699</v>
      </c>
      <c r="I2810" t="n">
        <v>30</v>
      </c>
      <c r="J2810" t="inlineStr">
        <is>
          <t>BTBR</t>
        </is>
      </c>
      <c r="K2810" t="inlineStr">
        <is>
          <t>Male</t>
        </is>
      </c>
      <c r="L2810" t="inlineStr">
        <is>
          <t>No focal subject</t>
        </is>
      </c>
      <c r="M2810" t="n">
        <v>80.06999999999999</v>
      </c>
      <c r="N2810" t="inlineStr">
        <is>
          <t>Explore_F</t>
        </is>
      </c>
      <c r="O2810" t="inlineStr">
        <is>
          <t>Familiar</t>
        </is>
      </c>
      <c r="P2810" t="inlineStr">
        <is>
          <t>STATE</t>
        </is>
      </c>
      <c r="Q2810" t="n">
        <v>537.266</v>
      </c>
      <c r="R2810" t="n">
        <v>537.766</v>
      </c>
      <c r="S2810" t="n">
        <v>0.5</v>
      </c>
      <c r="T2810" t="inlineStr">
        <is>
          <t>C:/Users/manuel.felline/Documents/BEHAVIOR BTBR/NOR second cohort/BTBR/test/c7_m3.mp4</t>
        </is>
      </c>
      <c r="U2810" t="n">
        <v>16303</v>
      </c>
      <c r="V2810" t="n">
        <v>16318</v>
      </c>
      <c r="W2810" t="n">
        <v/>
      </c>
      <c r="X2810" t="n">
        <v/>
      </c>
      <c r="Y2810" t="n">
        <v/>
      </c>
      <c r="Z2810" t="n">
        <v/>
      </c>
      <c r="AA2810">
        <f>SUMIFS($S$2:S2810,$A$2:A2810,A2810,$N$2:N2810,"Explore*")</f>
        <v/>
      </c>
      <c r="AB2810">
        <f>IF(AND(LEFT(N2810,7)="Explore",(AA2810-IF(LEFT(N2810,7)="Explore",S2810,0))&lt;10),"SI","NO")</f>
        <v/>
      </c>
    </row>
    <row r="2811">
      <c r="A2811" t="inlineStr">
        <is>
          <t>c7m3_test</t>
        </is>
      </c>
      <c r="B2811" t="inlineStr">
        <is>
          <t>2026-05-12 17:13:40.847</t>
        </is>
      </c>
      <c r="C2811" t="n">
        <v/>
      </c>
      <c r="D2811" t="inlineStr">
        <is>
          <t>Media file</t>
        </is>
      </c>
      <c r="E2811" t="inlineStr">
        <is>
          <t>player #1:C:/Users/manuel.felline/Documents/BEHAVIOR BTBR/NOR second cohort/BTBR/test/c7_m3.mp4</t>
        </is>
      </c>
      <c r="F2811" t="n">
        <v>-6.233</v>
      </c>
      <c r="G2811" t="n">
        <v>581.6660000000001</v>
      </c>
      <c r="H2811" t="n">
        <v>617.699</v>
      </c>
      <c r="I2811" t="n">
        <v>30</v>
      </c>
      <c r="J2811" t="inlineStr">
        <is>
          <t>BTBR</t>
        </is>
      </c>
      <c r="K2811" t="inlineStr">
        <is>
          <t>Male</t>
        </is>
      </c>
      <c r="L2811" t="inlineStr">
        <is>
          <t>No focal subject</t>
        </is>
      </c>
      <c r="M2811" t="n">
        <v>80.06999999999999</v>
      </c>
      <c r="N2811" t="inlineStr">
        <is>
          <t>Explore_N</t>
        </is>
      </c>
      <c r="O2811" t="inlineStr">
        <is>
          <t>Novelty</t>
        </is>
      </c>
      <c r="P2811" t="inlineStr">
        <is>
          <t>STATE</t>
        </is>
      </c>
      <c r="Q2811" t="n">
        <v>547.2</v>
      </c>
      <c r="R2811" t="n">
        <v>548.8</v>
      </c>
      <c r="S2811" t="n">
        <v>1.6</v>
      </c>
      <c r="T2811" t="inlineStr">
        <is>
          <t>C:/Users/manuel.felline/Documents/BEHAVIOR BTBR/NOR second cohort/BTBR/test/c7_m3.mp4</t>
        </is>
      </c>
      <c r="U2811" t="n">
        <v>16601</v>
      </c>
      <c r="V2811" t="n">
        <v>16649</v>
      </c>
      <c r="W2811" t="n">
        <v/>
      </c>
      <c r="X2811" t="n">
        <v/>
      </c>
      <c r="Y2811" t="n">
        <v/>
      </c>
      <c r="Z2811" t="n">
        <v/>
      </c>
      <c r="AA2811">
        <f>SUMIFS($S$2:S2811,$A$2:A2811,A2811,$N$2:N2811,"Explore*")</f>
        <v/>
      </c>
      <c r="AB2811">
        <f>IF(AND(LEFT(N2811,7)="Explore",(AA2811-IF(LEFT(N2811,7)="Explore",S2811,0))&lt;10),"SI","NO")</f>
        <v/>
      </c>
    </row>
    <row r="2812">
      <c r="A2812" t="inlineStr">
        <is>
          <t>c7m3_test</t>
        </is>
      </c>
      <c r="B2812" t="inlineStr">
        <is>
          <t>2026-05-12 17:13:40.847</t>
        </is>
      </c>
      <c r="C2812" t="n">
        <v/>
      </c>
      <c r="D2812" t="inlineStr">
        <is>
          <t>Media file</t>
        </is>
      </c>
      <c r="E2812" t="inlineStr">
        <is>
          <t>player #1:C:/Users/manuel.felline/Documents/BEHAVIOR BTBR/NOR second cohort/BTBR/test/c7_m3.mp4</t>
        </is>
      </c>
      <c r="F2812" t="n">
        <v>-6.233</v>
      </c>
      <c r="G2812" t="n">
        <v>581.6660000000001</v>
      </c>
      <c r="H2812" t="n">
        <v>617.699</v>
      </c>
      <c r="I2812" t="n">
        <v>30</v>
      </c>
      <c r="J2812" t="inlineStr">
        <is>
          <t>BTBR</t>
        </is>
      </c>
      <c r="K2812" t="inlineStr">
        <is>
          <t>Male</t>
        </is>
      </c>
      <c r="L2812" t="inlineStr">
        <is>
          <t>No focal subject</t>
        </is>
      </c>
      <c r="M2812" t="n">
        <v>80.06999999999999</v>
      </c>
      <c r="N2812" t="inlineStr">
        <is>
          <t>Explore_N</t>
        </is>
      </c>
      <c r="O2812" t="inlineStr">
        <is>
          <t>Novelty</t>
        </is>
      </c>
      <c r="P2812" t="inlineStr">
        <is>
          <t>STATE</t>
        </is>
      </c>
      <c r="Q2812" t="n">
        <v>549.966</v>
      </c>
      <c r="R2812" t="n">
        <v>553.533</v>
      </c>
      <c r="S2812" t="n">
        <v>3.567</v>
      </c>
      <c r="T2812" t="inlineStr">
        <is>
          <t>C:/Users/manuel.felline/Documents/BEHAVIOR BTBR/NOR second cohort/BTBR/test/c7_m3.mp4</t>
        </is>
      </c>
      <c r="U2812" t="n">
        <v>16684</v>
      </c>
      <c r="V2812" t="n">
        <v>16791</v>
      </c>
      <c r="W2812" t="n">
        <v/>
      </c>
      <c r="X2812" t="n">
        <v/>
      </c>
      <c r="Y2812" t="n">
        <v/>
      </c>
      <c r="Z2812" t="n">
        <v/>
      </c>
      <c r="AA2812">
        <f>SUMIFS($S$2:S2812,$A$2:A2812,A2812,$N$2:N2812,"Explore*")</f>
        <v/>
      </c>
      <c r="AB2812">
        <f>IF(AND(LEFT(N2812,7)="Explore",(AA2812-IF(LEFT(N2812,7)="Explore",S2812,0))&lt;10),"SI","NO")</f>
        <v/>
      </c>
    </row>
    <row r="2813">
      <c r="A2813" t="inlineStr">
        <is>
          <t>c7m3_test</t>
        </is>
      </c>
      <c r="B2813" t="inlineStr">
        <is>
          <t>2026-05-12 17:13:40.847</t>
        </is>
      </c>
      <c r="C2813" t="n">
        <v/>
      </c>
      <c r="D2813" t="inlineStr">
        <is>
          <t>Media file</t>
        </is>
      </c>
      <c r="E2813" t="inlineStr">
        <is>
          <t>player #1:C:/Users/manuel.felline/Documents/BEHAVIOR BTBR/NOR second cohort/BTBR/test/c7_m3.mp4</t>
        </is>
      </c>
      <c r="F2813" t="n">
        <v>-6.233</v>
      </c>
      <c r="G2813" t="n">
        <v>581.6660000000001</v>
      </c>
      <c r="H2813" t="n">
        <v>617.699</v>
      </c>
      <c r="I2813" t="n">
        <v>30</v>
      </c>
      <c r="J2813" t="inlineStr">
        <is>
          <t>BTBR</t>
        </is>
      </c>
      <c r="K2813" t="inlineStr">
        <is>
          <t>Male</t>
        </is>
      </c>
      <c r="L2813" t="inlineStr">
        <is>
          <t>No focal subject</t>
        </is>
      </c>
      <c r="M2813" t="n">
        <v>80.06999999999999</v>
      </c>
      <c r="N2813" t="inlineStr">
        <is>
          <t>Explore_F</t>
        </is>
      </c>
      <c r="O2813" t="inlineStr">
        <is>
          <t>Familiar</t>
        </is>
      </c>
      <c r="P2813" t="inlineStr">
        <is>
          <t>STATE</t>
        </is>
      </c>
      <c r="Q2813" t="n">
        <v>584.066</v>
      </c>
      <c r="R2813" t="n">
        <v>584.466</v>
      </c>
      <c r="S2813" t="n">
        <v>0.4</v>
      </c>
      <c r="T2813" t="inlineStr">
        <is>
          <t>C:/Users/manuel.felline/Documents/BEHAVIOR BTBR/NOR second cohort/BTBR/test/c7_m3.mp4</t>
        </is>
      </c>
      <c r="U2813" t="n">
        <v>17707</v>
      </c>
      <c r="V2813" t="n">
        <v>17719</v>
      </c>
      <c r="W2813" t="n">
        <v/>
      </c>
      <c r="X2813" t="n">
        <v/>
      </c>
      <c r="Y2813" t="n">
        <v/>
      </c>
      <c r="Z2813" t="n">
        <v/>
      </c>
      <c r="AA2813">
        <f>SUMIFS($S$2:S2813,$A$2:A2813,A2813,$N$2:N2813,"Explore*")</f>
        <v/>
      </c>
      <c r="AB2813">
        <f>IF(AND(LEFT(N2813,7)="Explore",(AA2813-IF(LEFT(N2813,7)="Explore",S2813,0))&lt;10),"SI","NO")</f>
        <v/>
      </c>
    </row>
    <row r="2814">
      <c r="A2814" t="inlineStr">
        <is>
          <t>c7m4_test</t>
        </is>
      </c>
      <c r="B2814" t="inlineStr">
        <is>
          <t>2026-05-20 11:14:24.582</t>
        </is>
      </c>
      <c r="C2814" t="n">
        <v/>
      </c>
      <c r="D2814" t="inlineStr">
        <is>
          <t>Media file</t>
        </is>
      </c>
      <c r="E2814" t="inlineStr">
        <is>
          <t>player #1:C:/Users/manuel.felline/Documents/BEHAVIOR BTBR/NOR second cohort/BTBR/test/c7_m4.mp4</t>
        </is>
      </c>
      <c r="F2814" t="n">
        <v>-8.766999999999999</v>
      </c>
      <c r="G2814" t="n">
        <v>577.266</v>
      </c>
      <c r="H2814" t="n">
        <v>636.766</v>
      </c>
      <c r="I2814" t="n">
        <v>30</v>
      </c>
      <c r="J2814" t="inlineStr">
        <is>
          <t>BTBR</t>
        </is>
      </c>
      <c r="K2814" t="inlineStr">
        <is>
          <t>Male</t>
        </is>
      </c>
      <c r="L2814" t="inlineStr">
        <is>
          <t>No focal subject</t>
        </is>
      </c>
      <c r="M2814" t="n">
        <v>71.63200000000001</v>
      </c>
      <c r="N2814" t="inlineStr">
        <is>
          <t>Explore_F</t>
        </is>
      </c>
      <c r="O2814" t="inlineStr">
        <is>
          <t>Familiar</t>
        </is>
      </c>
      <c r="P2814" t="inlineStr">
        <is>
          <t>STATE</t>
        </is>
      </c>
      <c r="Q2814" t="n">
        <v>2.166</v>
      </c>
      <c r="R2814" t="n">
        <v>3</v>
      </c>
      <c r="S2814" t="n">
        <v>0.834</v>
      </c>
      <c r="T2814" t="inlineStr">
        <is>
          <t>C:/Users/manuel.felline/Documents/BEHAVIOR BTBR/NOR second cohort/BTBR/test/c7_m4.mp4</t>
        </is>
      </c>
      <c r="U2814" t="n">
        <v>328</v>
      </c>
      <c r="V2814" t="n">
        <v>353</v>
      </c>
      <c r="W2814" t="n">
        <v/>
      </c>
      <c r="X2814" t="n">
        <v/>
      </c>
      <c r="Y2814" t="n">
        <v/>
      </c>
      <c r="Z2814" t="n">
        <v/>
      </c>
      <c r="AA2814">
        <f>SUMIFS($S$2:S2814,$A$2:A2814,A2814,$N$2:N2814,"Explore*")</f>
        <v/>
      </c>
      <c r="AB2814">
        <f>IF(AND(LEFT(N2814,7)="Explore",(AA2814-IF(LEFT(N2814,7)="Explore",S2814,0))&lt;10),"SI","NO")</f>
        <v/>
      </c>
    </row>
    <row r="2815">
      <c r="A2815" t="inlineStr">
        <is>
          <t>c7m4_test</t>
        </is>
      </c>
      <c r="B2815" t="inlineStr">
        <is>
          <t>2026-05-20 11:14:24.582</t>
        </is>
      </c>
      <c r="C2815" t="n">
        <v/>
      </c>
      <c r="D2815" t="inlineStr">
        <is>
          <t>Media file</t>
        </is>
      </c>
      <c r="E2815" t="inlineStr">
        <is>
          <t>player #1:C:/Users/manuel.felline/Documents/BEHAVIOR BTBR/NOR second cohort/BTBR/test/c7_m4.mp4</t>
        </is>
      </c>
      <c r="F2815" t="n">
        <v>-8.766999999999999</v>
      </c>
      <c r="G2815" t="n">
        <v>577.266</v>
      </c>
      <c r="H2815" t="n">
        <v>636.766</v>
      </c>
      <c r="I2815" t="n">
        <v>30</v>
      </c>
      <c r="J2815" t="inlineStr">
        <is>
          <t>BTBR</t>
        </is>
      </c>
      <c r="K2815" t="inlineStr">
        <is>
          <t>Male</t>
        </is>
      </c>
      <c r="L2815" t="inlineStr">
        <is>
          <t>No focal subject</t>
        </is>
      </c>
      <c r="M2815" t="n">
        <v>71.63200000000001</v>
      </c>
      <c r="N2815" t="inlineStr">
        <is>
          <t>Explore_N</t>
        </is>
      </c>
      <c r="O2815" t="inlineStr">
        <is>
          <t>Novelty</t>
        </is>
      </c>
      <c r="P2815" t="inlineStr">
        <is>
          <t>STATE</t>
        </is>
      </c>
      <c r="Q2815" t="n">
        <v>3.966</v>
      </c>
      <c r="R2815" t="n">
        <v>4.966</v>
      </c>
      <c r="S2815" t="n">
        <v>1</v>
      </c>
      <c r="T2815" t="inlineStr">
        <is>
          <t>C:/Users/manuel.felline/Documents/BEHAVIOR BTBR/NOR second cohort/BTBR/test/c7_m4.mp4</t>
        </is>
      </c>
      <c r="U2815" t="n">
        <v>382</v>
      </c>
      <c r="V2815" t="n">
        <v>412</v>
      </c>
      <c r="W2815" t="n">
        <v/>
      </c>
      <c r="X2815" t="n">
        <v/>
      </c>
      <c r="Y2815" t="n">
        <v/>
      </c>
      <c r="Z2815" t="n">
        <v/>
      </c>
      <c r="AA2815">
        <f>SUMIFS($S$2:S2815,$A$2:A2815,A2815,$N$2:N2815,"Explore*")</f>
        <v/>
      </c>
      <c r="AB2815">
        <f>IF(AND(LEFT(N2815,7)="Explore",(AA2815-IF(LEFT(N2815,7)="Explore",S2815,0))&lt;10),"SI","NO")</f>
        <v/>
      </c>
    </row>
    <row r="2816">
      <c r="A2816" t="inlineStr">
        <is>
          <t>c7m4_test</t>
        </is>
      </c>
      <c r="B2816" t="inlineStr">
        <is>
          <t>2026-05-20 11:14:24.582</t>
        </is>
      </c>
      <c r="C2816" t="n">
        <v/>
      </c>
      <c r="D2816" t="inlineStr">
        <is>
          <t>Media file</t>
        </is>
      </c>
      <c r="E2816" t="inlineStr">
        <is>
          <t>player #1:C:/Users/manuel.felline/Documents/BEHAVIOR BTBR/NOR second cohort/BTBR/test/c7_m4.mp4</t>
        </is>
      </c>
      <c r="F2816" t="n">
        <v>-8.766999999999999</v>
      </c>
      <c r="G2816" t="n">
        <v>577.266</v>
      </c>
      <c r="H2816" t="n">
        <v>636.766</v>
      </c>
      <c r="I2816" t="n">
        <v>30</v>
      </c>
      <c r="J2816" t="inlineStr">
        <is>
          <t>BTBR</t>
        </is>
      </c>
      <c r="K2816" t="inlineStr">
        <is>
          <t>Male</t>
        </is>
      </c>
      <c r="L2816" t="inlineStr">
        <is>
          <t>No focal subject</t>
        </is>
      </c>
      <c r="M2816" t="n">
        <v>71.63200000000001</v>
      </c>
      <c r="N2816" t="inlineStr">
        <is>
          <t>Explore_N</t>
        </is>
      </c>
      <c r="O2816" t="inlineStr">
        <is>
          <t>Novelty</t>
        </is>
      </c>
      <c r="P2816" t="inlineStr">
        <is>
          <t>STATE</t>
        </is>
      </c>
      <c r="Q2816" t="n">
        <v>6.6</v>
      </c>
      <c r="R2816" t="n">
        <v>7.8</v>
      </c>
      <c r="S2816" t="n">
        <v>1.2</v>
      </c>
      <c r="T2816" t="inlineStr">
        <is>
          <t>C:/Users/manuel.felline/Documents/BEHAVIOR BTBR/NOR second cohort/BTBR/test/c7_m4.mp4</t>
        </is>
      </c>
      <c r="U2816" t="n">
        <v>461</v>
      </c>
      <c r="V2816" t="n">
        <v>497</v>
      </c>
      <c r="W2816" t="n">
        <v/>
      </c>
      <c r="X2816" t="n">
        <v/>
      </c>
      <c r="Y2816" t="n">
        <v/>
      </c>
      <c r="Z2816" t="n">
        <v/>
      </c>
      <c r="AA2816">
        <f>SUMIFS($S$2:S2816,$A$2:A2816,A2816,$N$2:N2816,"Explore*")</f>
        <v/>
      </c>
      <c r="AB2816">
        <f>IF(AND(LEFT(N2816,7)="Explore",(AA2816-IF(LEFT(N2816,7)="Explore",S2816,0))&lt;10),"SI","NO")</f>
        <v/>
      </c>
    </row>
    <row r="2817">
      <c r="A2817" t="inlineStr">
        <is>
          <t>c7m4_test</t>
        </is>
      </c>
      <c r="B2817" t="inlineStr">
        <is>
          <t>2026-05-20 11:14:24.582</t>
        </is>
      </c>
      <c r="C2817" t="n">
        <v/>
      </c>
      <c r="D2817" t="inlineStr">
        <is>
          <t>Media file</t>
        </is>
      </c>
      <c r="E2817" t="inlineStr">
        <is>
          <t>player #1:C:/Users/manuel.felline/Documents/BEHAVIOR BTBR/NOR second cohort/BTBR/test/c7_m4.mp4</t>
        </is>
      </c>
      <c r="F2817" t="n">
        <v>-8.766999999999999</v>
      </c>
      <c r="G2817" t="n">
        <v>577.266</v>
      </c>
      <c r="H2817" t="n">
        <v>636.766</v>
      </c>
      <c r="I2817" t="n">
        <v>30</v>
      </c>
      <c r="J2817" t="inlineStr">
        <is>
          <t>BTBR</t>
        </is>
      </c>
      <c r="K2817" t="inlineStr">
        <is>
          <t>Male</t>
        </is>
      </c>
      <c r="L2817" t="inlineStr">
        <is>
          <t>No focal subject</t>
        </is>
      </c>
      <c r="M2817" t="n">
        <v>71.63200000000001</v>
      </c>
      <c r="N2817" t="inlineStr">
        <is>
          <t>Explore_F</t>
        </is>
      </c>
      <c r="O2817" t="inlineStr">
        <is>
          <t>Familiar</t>
        </is>
      </c>
      <c r="P2817" t="inlineStr">
        <is>
          <t>STATE</t>
        </is>
      </c>
      <c r="Q2817" t="n">
        <v>8.333</v>
      </c>
      <c r="R2817" t="n">
        <v>8.733000000000001</v>
      </c>
      <c r="S2817" t="n">
        <v>0.4</v>
      </c>
      <c r="T2817" t="inlineStr">
        <is>
          <t>C:/Users/manuel.felline/Documents/BEHAVIOR BTBR/NOR second cohort/BTBR/test/c7_m4.mp4</t>
        </is>
      </c>
      <c r="U2817" t="n">
        <v>513</v>
      </c>
      <c r="V2817" t="n">
        <v>525</v>
      </c>
      <c r="W2817" t="n">
        <v/>
      </c>
      <c r="X2817" t="n">
        <v/>
      </c>
      <c r="Y2817" t="n">
        <v/>
      </c>
      <c r="Z2817" t="n">
        <v/>
      </c>
      <c r="AA2817">
        <f>SUMIFS($S$2:S2817,$A$2:A2817,A2817,$N$2:N2817,"Explore*")</f>
        <v/>
      </c>
      <c r="AB2817">
        <f>IF(AND(LEFT(N2817,7)="Explore",(AA2817-IF(LEFT(N2817,7)="Explore",S2817,0))&lt;10),"SI","NO")</f>
        <v/>
      </c>
    </row>
    <row r="2818">
      <c r="A2818" t="inlineStr">
        <is>
          <t>c7m4_test</t>
        </is>
      </c>
      <c r="B2818" t="inlineStr">
        <is>
          <t>2026-05-20 11:14:24.582</t>
        </is>
      </c>
      <c r="C2818" t="n">
        <v/>
      </c>
      <c r="D2818" t="inlineStr">
        <is>
          <t>Media file</t>
        </is>
      </c>
      <c r="E2818" t="inlineStr">
        <is>
          <t>player #1:C:/Users/manuel.felline/Documents/BEHAVIOR BTBR/NOR second cohort/BTBR/test/c7_m4.mp4</t>
        </is>
      </c>
      <c r="F2818" t="n">
        <v>-8.766999999999999</v>
      </c>
      <c r="G2818" t="n">
        <v>577.266</v>
      </c>
      <c r="H2818" t="n">
        <v>636.766</v>
      </c>
      <c r="I2818" t="n">
        <v>30</v>
      </c>
      <c r="J2818" t="inlineStr">
        <is>
          <t>BTBR</t>
        </is>
      </c>
      <c r="K2818" t="inlineStr">
        <is>
          <t>Male</t>
        </is>
      </c>
      <c r="L2818" t="inlineStr">
        <is>
          <t>No focal subject</t>
        </is>
      </c>
      <c r="M2818" t="n">
        <v>71.63200000000001</v>
      </c>
      <c r="N2818" t="inlineStr">
        <is>
          <t>Explore_F</t>
        </is>
      </c>
      <c r="O2818" t="inlineStr">
        <is>
          <t>Familiar</t>
        </is>
      </c>
      <c r="P2818" t="inlineStr">
        <is>
          <t>STATE</t>
        </is>
      </c>
      <c r="Q2818" t="n">
        <v>9.699999999999999</v>
      </c>
      <c r="R2818" t="n">
        <v>10.5</v>
      </c>
      <c r="S2818" t="n">
        <v>0.8</v>
      </c>
      <c r="T2818" t="inlineStr">
        <is>
          <t>C:/Users/manuel.felline/Documents/BEHAVIOR BTBR/NOR second cohort/BTBR/test/c7_m4.mp4</t>
        </is>
      </c>
      <c r="U2818" t="n">
        <v>554</v>
      </c>
      <c r="V2818" t="n">
        <v>578</v>
      </c>
      <c r="W2818" t="n">
        <v/>
      </c>
      <c r="X2818" t="n">
        <v/>
      </c>
      <c r="Y2818" t="n">
        <v/>
      </c>
      <c r="Z2818" t="n">
        <v/>
      </c>
      <c r="AA2818">
        <f>SUMIFS($S$2:S2818,$A$2:A2818,A2818,$N$2:N2818,"Explore*")</f>
        <v/>
      </c>
      <c r="AB2818">
        <f>IF(AND(LEFT(N2818,7)="Explore",(AA2818-IF(LEFT(N2818,7)="Explore",S2818,0))&lt;10),"SI","NO")</f>
        <v/>
      </c>
    </row>
    <row r="2819">
      <c r="A2819" t="inlineStr">
        <is>
          <t>c7m4_test</t>
        </is>
      </c>
      <c r="B2819" t="inlineStr">
        <is>
          <t>2026-05-20 11:14:24.582</t>
        </is>
      </c>
      <c r="C2819" t="n">
        <v/>
      </c>
      <c r="D2819" t="inlineStr">
        <is>
          <t>Media file</t>
        </is>
      </c>
      <c r="E2819" t="inlineStr">
        <is>
          <t>player #1:C:/Users/manuel.felline/Documents/BEHAVIOR BTBR/NOR second cohort/BTBR/test/c7_m4.mp4</t>
        </is>
      </c>
      <c r="F2819" t="n">
        <v>-8.766999999999999</v>
      </c>
      <c r="G2819" t="n">
        <v>577.266</v>
      </c>
      <c r="H2819" t="n">
        <v>636.766</v>
      </c>
      <c r="I2819" t="n">
        <v>30</v>
      </c>
      <c r="J2819" t="inlineStr">
        <is>
          <t>BTBR</t>
        </is>
      </c>
      <c r="K2819" t="inlineStr">
        <is>
          <t>Male</t>
        </is>
      </c>
      <c r="L2819" t="inlineStr">
        <is>
          <t>No focal subject</t>
        </is>
      </c>
      <c r="M2819" t="n">
        <v>71.63200000000001</v>
      </c>
      <c r="N2819" t="inlineStr">
        <is>
          <t>Explore_N</t>
        </is>
      </c>
      <c r="O2819" t="inlineStr">
        <is>
          <t>Novelty</t>
        </is>
      </c>
      <c r="P2819" t="inlineStr">
        <is>
          <t>STATE</t>
        </is>
      </c>
      <c r="Q2819" t="n">
        <v>12.233</v>
      </c>
      <c r="R2819" t="n">
        <v>13.266</v>
      </c>
      <c r="S2819" t="n">
        <v>1.033</v>
      </c>
      <c r="T2819" t="inlineStr">
        <is>
          <t>C:/Users/manuel.felline/Documents/BEHAVIOR BTBR/NOR second cohort/BTBR/test/c7_m4.mp4</t>
        </is>
      </c>
      <c r="U2819" t="n">
        <v>630</v>
      </c>
      <c r="V2819" t="n">
        <v>661</v>
      </c>
      <c r="W2819" t="n">
        <v/>
      </c>
      <c r="X2819" t="n">
        <v/>
      </c>
      <c r="Y2819" t="n">
        <v/>
      </c>
      <c r="Z2819" t="n">
        <v/>
      </c>
      <c r="AA2819">
        <f>SUMIFS($S$2:S2819,$A$2:A2819,A2819,$N$2:N2819,"Explore*")</f>
        <v/>
      </c>
      <c r="AB2819">
        <f>IF(AND(LEFT(N2819,7)="Explore",(AA2819-IF(LEFT(N2819,7)="Explore",S2819,0))&lt;10),"SI","NO")</f>
        <v/>
      </c>
    </row>
    <row r="2820">
      <c r="A2820" t="inlineStr">
        <is>
          <t>c7m4_test</t>
        </is>
      </c>
      <c r="B2820" t="inlineStr">
        <is>
          <t>2026-05-20 11:14:24.582</t>
        </is>
      </c>
      <c r="C2820" t="n">
        <v/>
      </c>
      <c r="D2820" t="inlineStr">
        <is>
          <t>Media file</t>
        </is>
      </c>
      <c r="E2820" t="inlineStr">
        <is>
          <t>player #1:C:/Users/manuel.felline/Documents/BEHAVIOR BTBR/NOR second cohort/BTBR/test/c7_m4.mp4</t>
        </is>
      </c>
      <c r="F2820" t="n">
        <v>-8.766999999999999</v>
      </c>
      <c r="G2820" t="n">
        <v>577.266</v>
      </c>
      <c r="H2820" t="n">
        <v>636.766</v>
      </c>
      <c r="I2820" t="n">
        <v>30</v>
      </c>
      <c r="J2820" t="inlineStr">
        <is>
          <t>BTBR</t>
        </is>
      </c>
      <c r="K2820" t="inlineStr">
        <is>
          <t>Male</t>
        </is>
      </c>
      <c r="L2820" t="inlineStr">
        <is>
          <t>No focal subject</t>
        </is>
      </c>
      <c r="M2820" t="n">
        <v>71.63200000000001</v>
      </c>
      <c r="N2820" t="inlineStr">
        <is>
          <t>Explore_F</t>
        </is>
      </c>
      <c r="O2820" t="inlineStr">
        <is>
          <t>Familiar</t>
        </is>
      </c>
      <c r="P2820" t="inlineStr">
        <is>
          <t>STATE</t>
        </is>
      </c>
      <c r="Q2820" t="n">
        <v>14.666</v>
      </c>
      <c r="R2820" t="n">
        <v>15.5</v>
      </c>
      <c r="S2820" t="n">
        <v>0.834</v>
      </c>
      <c r="T2820" t="inlineStr">
        <is>
          <t>C:/Users/manuel.felline/Documents/BEHAVIOR BTBR/NOR second cohort/BTBR/test/c7_m4.mp4</t>
        </is>
      </c>
      <c r="U2820" t="n">
        <v>703</v>
      </c>
      <c r="V2820" t="n">
        <v>728</v>
      </c>
      <c r="W2820" t="n">
        <v/>
      </c>
      <c r="X2820" t="n">
        <v/>
      </c>
      <c r="Y2820" t="n">
        <v/>
      </c>
      <c r="Z2820" t="n">
        <v/>
      </c>
      <c r="AA2820">
        <f>SUMIFS($S$2:S2820,$A$2:A2820,A2820,$N$2:N2820,"Explore*")</f>
        <v/>
      </c>
      <c r="AB2820">
        <f>IF(AND(LEFT(N2820,7)="Explore",(AA2820-IF(LEFT(N2820,7)="Explore",S2820,0))&lt;10),"SI","NO")</f>
        <v/>
      </c>
    </row>
    <row r="2821">
      <c r="A2821" t="inlineStr">
        <is>
          <t>c7m4_test</t>
        </is>
      </c>
      <c r="B2821" t="inlineStr">
        <is>
          <t>2026-05-20 11:14:24.582</t>
        </is>
      </c>
      <c r="C2821" t="n">
        <v/>
      </c>
      <c r="D2821" t="inlineStr">
        <is>
          <t>Media file</t>
        </is>
      </c>
      <c r="E2821" t="inlineStr">
        <is>
          <t>player #1:C:/Users/manuel.felline/Documents/BEHAVIOR BTBR/NOR second cohort/BTBR/test/c7_m4.mp4</t>
        </is>
      </c>
      <c r="F2821" t="n">
        <v>-8.766999999999999</v>
      </c>
      <c r="G2821" t="n">
        <v>577.266</v>
      </c>
      <c r="H2821" t="n">
        <v>636.766</v>
      </c>
      <c r="I2821" t="n">
        <v>30</v>
      </c>
      <c r="J2821" t="inlineStr">
        <is>
          <t>BTBR</t>
        </is>
      </c>
      <c r="K2821" t="inlineStr">
        <is>
          <t>Male</t>
        </is>
      </c>
      <c r="L2821" t="inlineStr">
        <is>
          <t>No focal subject</t>
        </is>
      </c>
      <c r="M2821" t="n">
        <v>71.63200000000001</v>
      </c>
      <c r="N2821" t="inlineStr">
        <is>
          <t>Explore_N</t>
        </is>
      </c>
      <c r="O2821" t="inlineStr">
        <is>
          <t>Novelty</t>
        </is>
      </c>
      <c r="P2821" t="inlineStr">
        <is>
          <t>STATE</t>
        </is>
      </c>
      <c r="Q2821" t="n">
        <v>18.566</v>
      </c>
      <c r="R2821" t="n">
        <v>19.3</v>
      </c>
      <c r="S2821" t="n">
        <v>0.734</v>
      </c>
      <c r="T2821" t="inlineStr">
        <is>
          <t>C:/Users/manuel.felline/Documents/BEHAVIOR BTBR/NOR second cohort/BTBR/test/c7_m4.mp4</t>
        </is>
      </c>
      <c r="U2821" t="n">
        <v>820</v>
      </c>
      <c r="V2821" t="n">
        <v>842</v>
      </c>
      <c r="W2821" t="n">
        <v/>
      </c>
      <c r="X2821" t="n">
        <v/>
      </c>
      <c r="Y2821" t="n">
        <v/>
      </c>
      <c r="Z2821" t="n">
        <v/>
      </c>
      <c r="AA2821">
        <f>SUMIFS($S$2:S2821,$A$2:A2821,A2821,$N$2:N2821,"Explore*")</f>
        <v/>
      </c>
      <c r="AB2821">
        <f>IF(AND(LEFT(N2821,7)="Explore",(AA2821-IF(LEFT(N2821,7)="Explore",S2821,0))&lt;10),"SI","NO")</f>
        <v/>
      </c>
    </row>
    <row r="2822">
      <c r="A2822" t="inlineStr">
        <is>
          <t>c7m4_test</t>
        </is>
      </c>
      <c r="B2822" t="inlineStr">
        <is>
          <t>2026-05-20 11:14:24.582</t>
        </is>
      </c>
      <c r="C2822" t="n">
        <v/>
      </c>
      <c r="D2822" t="inlineStr">
        <is>
          <t>Media file</t>
        </is>
      </c>
      <c r="E2822" t="inlineStr">
        <is>
          <t>player #1:C:/Users/manuel.felline/Documents/BEHAVIOR BTBR/NOR second cohort/BTBR/test/c7_m4.mp4</t>
        </is>
      </c>
      <c r="F2822" t="n">
        <v>-8.766999999999999</v>
      </c>
      <c r="G2822" t="n">
        <v>577.266</v>
      </c>
      <c r="H2822" t="n">
        <v>636.766</v>
      </c>
      <c r="I2822" t="n">
        <v>30</v>
      </c>
      <c r="J2822" t="inlineStr">
        <is>
          <t>BTBR</t>
        </is>
      </c>
      <c r="K2822" t="inlineStr">
        <is>
          <t>Male</t>
        </is>
      </c>
      <c r="L2822" t="inlineStr">
        <is>
          <t>No focal subject</t>
        </is>
      </c>
      <c r="M2822" t="n">
        <v>71.63200000000001</v>
      </c>
      <c r="N2822" t="inlineStr">
        <is>
          <t>Explore_F</t>
        </is>
      </c>
      <c r="O2822" t="inlineStr">
        <is>
          <t>Familiar</t>
        </is>
      </c>
      <c r="P2822" t="inlineStr">
        <is>
          <t>STATE</t>
        </is>
      </c>
      <c r="Q2822" t="n">
        <v>19.8</v>
      </c>
      <c r="R2822" t="n">
        <v>20.866</v>
      </c>
      <c r="S2822" t="n">
        <v>1.066</v>
      </c>
      <c r="T2822" t="inlineStr">
        <is>
          <t>C:/Users/manuel.felline/Documents/BEHAVIOR BTBR/NOR second cohort/BTBR/test/c7_m4.mp4</t>
        </is>
      </c>
      <c r="U2822" t="n">
        <v>857</v>
      </c>
      <c r="V2822" t="n">
        <v>889</v>
      </c>
      <c r="W2822" t="n">
        <v/>
      </c>
      <c r="X2822" t="n">
        <v/>
      </c>
      <c r="Y2822" t="n">
        <v/>
      </c>
      <c r="Z2822" t="n">
        <v/>
      </c>
      <c r="AA2822">
        <f>SUMIFS($S$2:S2822,$A$2:A2822,A2822,$N$2:N2822,"Explore*")</f>
        <v/>
      </c>
      <c r="AB2822">
        <f>IF(AND(LEFT(N2822,7)="Explore",(AA2822-IF(LEFT(N2822,7)="Explore",S2822,0))&lt;10),"SI","NO")</f>
        <v/>
      </c>
    </row>
    <row r="2823">
      <c r="A2823" t="inlineStr">
        <is>
          <t>c7m4_test</t>
        </is>
      </c>
      <c r="B2823" t="inlineStr">
        <is>
          <t>2026-05-20 11:14:24.582</t>
        </is>
      </c>
      <c r="C2823" t="n">
        <v/>
      </c>
      <c r="D2823" t="inlineStr">
        <is>
          <t>Media file</t>
        </is>
      </c>
      <c r="E2823" t="inlineStr">
        <is>
          <t>player #1:C:/Users/manuel.felline/Documents/BEHAVIOR BTBR/NOR second cohort/BTBR/test/c7_m4.mp4</t>
        </is>
      </c>
      <c r="F2823" t="n">
        <v>-8.766999999999999</v>
      </c>
      <c r="G2823" t="n">
        <v>577.266</v>
      </c>
      <c r="H2823" t="n">
        <v>636.766</v>
      </c>
      <c r="I2823" t="n">
        <v>30</v>
      </c>
      <c r="J2823" t="inlineStr">
        <is>
          <t>BTBR</t>
        </is>
      </c>
      <c r="K2823" t="inlineStr">
        <is>
          <t>Male</t>
        </is>
      </c>
      <c r="L2823" t="inlineStr">
        <is>
          <t>No focal subject</t>
        </is>
      </c>
      <c r="M2823" t="n">
        <v>71.63200000000001</v>
      </c>
      <c r="N2823" t="inlineStr">
        <is>
          <t>Explore_F</t>
        </is>
      </c>
      <c r="O2823" t="inlineStr">
        <is>
          <t>Familiar</t>
        </is>
      </c>
      <c r="P2823" t="inlineStr">
        <is>
          <t>STATE</t>
        </is>
      </c>
      <c r="Q2823" t="n">
        <v>31.9</v>
      </c>
      <c r="R2823" t="n">
        <v>32.566</v>
      </c>
      <c r="S2823" t="n">
        <v>0.666</v>
      </c>
      <c r="T2823" t="inlineStr">
        <is>
          <t>C:/Users/manuel.felline/Documents/BEHAVIOR BTBR/NOR second cohort/BTBR/test/c7_m4.mp4</t>
        </is>
      </c>
      <c r="U2823" t="n">
        <v>1220</v>
      </c>
      <c r="V2823" t="n">
        <v>1240</v>
      </c>
      <c r="W2823" t="n">
        <v/>
      </c>
      <c r="X2823" t="n">
        <v/>
      </c>
      <c r="Y2823" t="n">
        <v/>
      </c>
      <c r="Z2823" t="n">
        <v/>
      </c>
      <c r="AA2823">
        <f>SUMIFS($S$2:S2823,$A$2:A2823,A2823,$N$2:N2823,"Explore*")</f>
        <v/>
      </c>
      <c r="AB2823">
        <f>IF(AND(LEFT(N2823,7)="Explore",(AA2823-IF(LEFT(N2823,7)="Explore",S2823,0))&lt;10),"SI","NO")</f>
        <v/>
      </c>
    </row>
    <row r="2824">
      <c r="A2824" t="inlineStr">
        <is>
          <t>c7m4_test</t>
        </is>
      </c>
      <c r="B2824" t="inlineStr">
        <is>
          <t>2026-05-20 11:14:24.582</t>
        </is>
      </c>
      <c r="C2824" t="n">
        <v/>
      </c>
      <c r="D2824" t="inlineStr">
        <is>
          <t>Media file</t>
        </is>
      </c>
      <c r="E2824" t="inlineStr">
        <is>
          <t>player #1:C:/Users/manuel.felline/Documents/BEHAVIOR BTBR/NOR second cohort/BTBR/test/c7_m4.mp4</t>
        </is>
      </c>
      <c r="F2824" t="n">
        <v>-8.766999999999999</v>
      </c>
      <c r="G2824" t="n">
        <v>577.266</v>
      </c>
      <c r="H2824" t="n">
        <v>636.766</v>
      </c>
      <c r="I2824" t="n">
        <v>30</v>
      </c>
      <c r="J2824" t="inlineStr">
        <is>
          <t>BTBR</t>
        </is>
      </c>
      <c r="K2824" t="inlineStr">
        <is>
          <t>Male</t>
        </is>
      </c>
      <c r="L2824" t="inlineStr">
        <is>
          <t>No focal subject</t>
        </is>
      </c>
      <c r="M2824" t="n">
        <v>71.63200000000001</v>
      </c>
      <c r="N2824" t="inlineStr">
        <is>
          <t>Explore_N</t>
        </is>
      </c>
      <c r="O2824" t="inlineStr">
        <is>
          <t>Novelty</t>
        </is>
      </c>
      <c r="P2824" t="inlineStr">
        <is>
          <t>STATE</t>
        </is>
      </c>
      <c r="Q2824" t="n">
        <v>36</v>
      </c>
      <c r="R2824" t="n">
        <v>37.166</v>
      </c>
      <c r="S2824" t="n">
        <v>1.166</v>
      </c>
      <c r="T2824" t="inlineStr">
        <is>
          <t>C:/Users/manuel.felline/Documents/BEHAVIOR BTBR/NOR second cohort/BTBR/test/c7_m4.mp4</t>
        </is>
      </c>
      <c r="U2824" t="n">
        <v>1343</v>
      </c>
      <c r="V2824" t="n">
        <v>1378</v>
      </c>
      <c r="W2824" t="n">
        <v/>
      </c>
      <c r="X2824" t="n">
        <v/>
      </c>
      <c r="Y2824" t="n">
        <v/>
      </c>
      <c r="Z2824" t="n">
        <v/>
      </c>
      <c r="AA2824">
        <f>SUMIFS($S$2:S2824,$A$2:A2824,A2824,$N$2:N2824,"Explore*")</f>
        <v/>
      </c>
      <c r="AB2824">
        <f>IF(AND(LEFT(N2824,7)="Explore",(AA2824-IF(LEFT(N2824,7)="Explore",S2824,0))&lt;10),"SI","NO")</f>
        <v/>
      </c>
    </row>
    <row r="2825">
      <c r="A2825" t="inlineStr">
        <is>
          <t>c7m4_test</t>
        </is>
      </c>
      <c r="B2825" t="inlineStr">
        <is>
          <t>2026-05-20 11:14:24.582</t>
        </is>
      </c>
      <c r="C2825" t="n">
        <v/>
      </c>
      <c r="D2825" t="inlineStr">
        <is>
          <t>Media file</t>
        </is>
      </c>
      <c r="E2825" t="inlineStr">
        <is>
          <t>player #1:C:/Users/manuel.felline/Documents/BEHAVIOR BTBR/NOR second cohort/BTBR/test/c7_m4.mp4</t>
        </is>
      </c>
      <c r="F2825" t="n">
        <v>-8.766999999999999</v>
      </c>
      <c r="G2825" t="n">
        <v>577.266</v>
      </c>
      <c r="H2825" t="n">
        <v>636.766</v>
      </c>
      <c r="I2825" t="n">
        <v>30</v>
      </c>
      <c r="J2825" t="inlineStr">
        <is>
          <t>BTBR</t>
        </is>
      </c>
      <c r="K2825" t="inlineStr">
        <is>
          <t>Male</t>
        </is>
      </c>
      <c r="L2825" t="inlineStr">
        <is>
          <t>No focal subject</t>
        </is>
      </c>
      <c r="M2825" t="n">
        <v>71.63200000000001</v>
      </c>
      <c r="N2825" t="inlineStr">
        <is>
          <t>Explore_F</t>
        </is>
      </c>
      <c r="O2825" t="inlineStr">
        <is>
          <t>Familiar</t>
        </is>
      </c>
      <c r="P2825" t="inlineStr">
        <is>
          <t>STATE</t>
        </is>
      </c>
      <c r="Q2825" t="n">
        <v>39.133</v>
      </c>
      <c r="R2825" t="n">
        <v>40</v>
      </c>
      <c r="S2825" t="n">
        <v>0.867</v>
      </c>
      <c r="T2825" t="inlineStr">
        <is>
          <t>C:/Users/manuel.felline/Documents/BEHAVIOR BTBR/NOR second cohort/BTBR/test/c7_m4.mp4</t>
        </is>
      </c>
      <c r="U2825" t="n">
        <v>1437</v>
      </c>
      <c r="V2825" t="n">
        <v>1463</v>
      </c>
      <c r="W2825" t="n">
        <v/>
      </c>
      <c r="X2825" t="n">
        <v/>
      </c>
      <c r="Y2825" t="n">
        <v/>
      </c>
      <c r="Z2825" t="n">
        <v/>
      </c>
      <c r="AA2825">
        <f>SUMIFS($S$2:S2825,$A$2:A2825,A2825,$N$2:N2825,"Explore*")</f>
        <v/>
      </c>
      <c r="AB2825">
        <f>IF(AND(LEFT(N2825,7)="Explore",(AA2825-IF(LEFT(N2825,7)="Explore",S2825,0))&lt;10),"SI","NO")</f>
        <v/>
      </c>
    </row>
    <row r="2826">
      <c r="A2826" t="inlineStr">
        <is>
          <t>c7m4_test</t>
        </is>
      </c>
      <c r="B2826" t="inlineStr">
        <is>
          <t>2026-05-20 11:14:24.582</t>
        </is>
      </c>
      <c r="C2826" t="n">
        <v/>
      </c>
      <c r="D2826" t="inlineStr">
        <is>
          <t>Media file</t>
        </is>
      </c>
      <c r="E2826" t="inlineStr">
        <is>
          <t>player #1:C:/Users/manuel.felline/Documents/BEHAVIOR BTBR/NOR second cohort/BTBR/test/c7_m4.mp4</t>
        </is>
      </c>
      <c r="F2826" t="n">
        <v>-8.766999999999999</v>
      </c>
      <c r="G2826" t="n">
        <v>577.266</v>
      </c>
      <c r="H2826" t="n">
        <v>636.766</v>
      </c>
      <c r="I2826" t="n">
        <v>30</v>
      </c>
      <c r="J2826" t="inlineStr">
        <is>
          <t>BTBR</t>
        </is>
      </c>
      <c r="K2826" t="inlineStr">
        <is>
          <t>Male</t>
        </is>
      </c>
      <c r="L2826" t="inlineStr">
        <is>
          <t>No focal subject</t>
        </is>
      </c>
      <c r="M2826" t="n">
        <v>71.63200000000001</v>
      </c>
      <c r="N2826" t="inlineStr">
        <is>
          <t>Explore_N</t>
        </is>
      </c>
      <c r="O2826" t="inlineStr">
        <is>
          <t>Novelty</t>
        </is>
      </c>
      <c r="P2826" t="inlineStr">
        <is>
          <t>STATE</t>
        </is>
      </c>
      <c r="Q2826" t="n">
        <v>40.7</v>
      </c>
      <c r="R2826" t="n">
        <v>43.5</v>
      </c>
      <c r="S2826" t="n">
        <v>2.8</v>
      </c>
      <c r="T2826" t="inlineStr">
        <is>
          <t>C:/Users/manuel.felline/Documents/BEHAVIOR BTBR/NOR second cohort/BTBR/test/c7_m4.mp4</t>
        </is>
      </c>
      <c r="U2826" t="n">
        <v>1484</v>
      </c>
      <c r="V2826" t="n">
        <v>1568</v>
      </c>
      <c r="W2826" t="n">
        <v/>
      </c>
      <c r="X2826" t="n">
        <v/>
      </c>
      <c r="Y2826" t="n">
        <v/>
      </c>
      <c r="Z2826" t="n">
        <v/>
      </c>
      <c r="AA2826">
        <f>SUMIFS($S$2:S2826,$A$2:A2826,A2826,$N$2:N2826,"Explore*")</f>
        <v/>
      </c>
      <c r="AB2826">
        <f>IF(AND(LEFT(N2826,7)="Explore",(AA2826-IF(LEFT(N2826,7)="Explore",S2826,0))&lt;10),"SI","NO")</f>
        <v/>
      </c>
    </row>
    <row r="2827">
      <c r="A2827" t="inlineStr">
        <is>
          <t>c7m4_test</t>
        </is>
      </c>
      <c r="B2827" t="inlineStr">
        <is>
          <t>2026-05-20 11:14:24.582</t>
        </is>
      </c>
      <c r="C2827" t="n">
        <v/>
      </c>
      <c r="D2827" t="inlineStr">
        <is>
          <t>Media file</t>
        </is>
      </c>
      <c r="E2827" t="inlineStr">
        <is>
          <t>player #1:C:/Users/manuel.felline/Documents/BEHAVIOR BTBR/NOR second cohort/BTBR/test/c7_m4.mp4</t>
        </is>
      </c>
      <c r="F2827" t="n">
        <v>-8.766999999999999</v>
      </c>
      <c r="G2827" t="n">
        <v>577.266</v>
      </c>
      <c r="H2827" t="n">
        <v>636.766</v>
      </c>
      <c r="I2827" t="n">
        <v>30</v>
      </c>
      <c r="J2827" t="inlineStr">
        <is>
          <t>BTBR</t>
        </is>
      </c>
      <c r="K2827" t="inlineStr">
        <is>
          <t>Male</t>
        </is>
      </c>
      <c r="L2827" t="inlineStr">
        <is>
          <t>No focal subject</t>
        </is>
      </c>
      <c r="M2827" t="n">
        <v>71.63200000000001</v>
      </c>
      <c r="N2827" t="inlineStr">
        <is>
          <t>Explore_F</t>
        </is>
      </c>
      <c r="O2827" t="inlineStr">
        <is>
          <t>Familiar</t>
        </is>
      </c>
      <c r="P2827" t="inlineStr">
        <is>
          <t>STATE</t>
        </is>
      </c>
      <c r="Q2827" t="n">
        <v>50</v>
      </c>
      <c r="R2827" t="n">
        <v>50.7</v>
      </c>
      <c r="S2827" t="n">
        <v>0.7</v>
      </c>
      <c r="T2827" t="inlineStr">
        <is>
          <t>C:/Users/manuel.felline/Documents/BEHAVIOR BTBR/NOR second cohort/BTBR/test/c7_m4.mp4</t>
        </is>
      </c>
      <c r="U2827" t="n">
        <v>1763</v>
      </c>
      <c r="V2827" t="n">
        <v>1784</v>
      </c>
      <c r="W2827" t="n">
        <v/>
      </c>
      <c r="X2827" t="n">
        <v/>
      </c>
      <c r="Y2827" t="n">
        <v/>
      </c>
      <c r="Z2827" t="n">
        <v/>
      </c>
      <c r="AA2827">
        <f>SUMIFS($S$2:S2827,$A$2:A2827,A2827,$N$2:N2827,"Explore*")</f>
        <v/>
      </c>
      <c r="AB2827">
        <f>IF(AND(LEFT(N2827,7)="Explore",(AA2827-IF(LEFT(N2827,7)="Explore",S2827,0))&lt;10),"SI","NO")</f>
        <v/>
      </c>
    </row>
    <row r="2828">
      <c r="A2828" t="inlineStr">
        <is>
          <t>c7m4_test</t>
        </is>
      </c>
      <c r="B2828" t="inlineStr">
        <is>
          <t>2026-05-20 11:14:24.582</t>
        </is>
      </c>
      <c r="C2828" t="n">
        <v/>
      </c>
      <c r="D2828" t="inlineStr">
        <is>
          <t>Media file</t>
        </is>
      </c>
      <c r="E2828" t="inlineStr">
        <is>
          <t>player #1:C:/Users/manuel.felline/Documents/BEHAVIOR BTBR/NOR second cohort/BTBR/test/c7_m4.mp4</t>
        </is>
      </c>
      <c r="F2828" t="n">
        <v>-8.766999999999999</v>
      </c>
      <c r="G2828" t="n">
        <v>577.266</v>
      </c>
      <c r="H2828" t="n">
        <v>636.766</v>
      </c>
      <c r="I2828" t="n">
        <v>30</v>
      </c>
      <c r="J2828" t="inlineStr">
        <is>
          <t>BTBR</t>
        </is>
      </c>
      <c r="K2828" t="inlineStr">
        <is>
          <t>Male</t>
        </is>
      </c>
      <c r="L2828" t="inlineStr">
        <is>
          <t>No focal subject</t>
        </is>
      </c>
      <c r="M2828" t="n">
        <v>71.63200000000001</v>
      </c>
      <c r="N2828" t="inlineStr">
        <is>
          <t>Explore_F</t>
        </is>
      </c>
      <c r="O2828" t="inlineStr">
        <is>
          <t>Familiar</t>
        </is>
      </c>
      <c r="P2828" t="inlineStr">
        <is>
          <t>STATE</t>
        </is>
      </c>
      <c r="Q2828" t="n">
        <v>63.366</v>
      </c>
      <c r="R2828" t="n">
        <v>63.933</v>
      </c>
      <c r="S2828" t="n">
        <v>0.5669999999999999</v>
      </c>
      <c r="T2828" t="inlineStr">
        <is>
          <t>C:/Users/manuel.felline/Documents/BEHAVIOR BTBR/NOR second cohort/BTBR/test/c7_m4.mp4</t>
        </is>
      </c>
      <c r="U2828" t="n">
        <v>2164</v>
      </c>
      <c r="V2828" t="n">
        <v>2181</v>
      </c>
      <c r="W2828" t="n">
        <v/>
      </c>
      <c r="X2828" t="n">
        <v/>
      </c>
      <c r="Y2828" t="n">
        <v/>
      </c>
      <c r="Z2828" t="n">
        <v/>
      </c>
      <c r="AA2828">
        <f>SUMIFS($S$2:S2828,$A$2:A2828,A2828,$N$2:N2828,"Explore*")</f>
        <v/>
      </c>
      <c r="AB2828">
        <f>IF(AND(LEFT(N2828,7)="Explore",(AA2828-IF(LEFT(N2828,7)="Explore",S2828,0))&lt;10),"SI","NO")</f>
        <v/>
      </c>
    </row>
    <row r="2829">
      <c r="A2829" t="inlineStr">
        <is>
          <t>c7m4_test</t>
        </is>
      </c>
      <c r="B2829" t="inlineStr">
        <is>
          <t>2026-05-20 11:14:24.582</t>
        </is>
      </c>
      <c r="C2829" t="n">
        <v/>
      </c>
      <c r="D2829" t="inlineStr">
        <is>
          <t>Media file</t>
        </is>
      </c>
      <c r="E2829" t="inlineStr">
        <is>
          <t>player #1:C:/Users/manuel.felline/Documents/BEHAVIOR BTBR/NOR second cohort/BTBR/test/c7_m4.mp4</t>
        </is>
      </c>
      <c r="F2829" t="n">
        <v>-8.766999999999999</v>
      </c>
      <c r="G2829" t="n">
        <v>577.266</v>
      </c>
      <c r="H2829" t="n">
        <v>636.766</v>
      </c>
      <c r="I2829" t="n">
        <v>30</v>
      </c>
      <c r="J2829" t="inlineStr">
        <is>
          <t>BTBR</t>
        </is>
      </c>
      <c r="K2829" t="inlineStr">
        <is>
          <t>Male</t>
        </is>
      </c>
      <c r="L2829" t="inlineStr">
        <is>
          <t>No focal subject</t>
        </is>
      </c>
      <c r="M2829" t="n">
        <v>71.63200000000001</v>
      </c>
      <c r="N2829" t="inlineStr">
        <is>
          <t>Explore_F</t>
        </is>
      </c>
      <c r="O2829" t="inlineStr">
        <is>
          <t>Familiar</t>
        </is>
      </c>
      <c r="P2829" t="inlineStr">
        <is>
          <t>STATE</t>
        </is>
      </c>
      <c r="Q2829" t="n">
        <v>69.76600000000001</v>
      </c>
      <c r="R2829" t="n">
        <v>70.533</v>
      </c>
      <c r="S2829" t="n">
        <v>0.767</v>
      </c>
      <c r="T2829" t="inlineStr">
        <is>
          <t>C:/Users/manuel.felline/Documents/BEHAVIOR BTBR/NOR second cohort/BTBR/test/c7_m4.mp4</t>
        </is>
      </c>
      <c r="U2829" t="n">
        <v>2356</v>
      </c>
      <c r="V2829" t="n">
        <v>2379</v>
      </c>
      <c r="W2829" t="n">
        <v/>
      </c>
      <c r="X2829" t="n">
        <v/>
      </c>
      <c r="Y2829" t="n">
        <v/>
      </c>
      <c r="Z2829" t="n">
        <v/>
      </c>
      <c r="AA2829">
        <f>SUMIFS($S$2:S2829,$A$2:A2829,A2829,$N$2:N2829,"Explore*")</f>
        <v/>
      </c>
      <c r="AB2829">
        <f>IF(AND(LEFT(N2829,7)="Explore",(AA2829-IF(LEFT(N2829,7)="Explore",S2829,0))&lt;10),"SI","NO")</f>
        <v/>
      </c>
    </row>
    <row r="2830">
      <c r="A2830" t="inlineStr">
        <is>
          <t>c7m4_test</t>
        </is>
      </c>
      <c r="B2830" t="inlineStr">
        <is>
          <t>2026-05-20 11:14:24.582</t>
        </is>
      </c>
      <c r="C2830" t="n">
        <v/>
      </c>
      <c r="D2830" t="inlineStr">
        <is>
          <t>Media file</t>
        </is>
      </c>
      <c r="E2830" t="inlineStr">
        <is>
          <t>player #1:C:/Users/manuel.felline/Documents/BEHAVIOR BTBR/NOR second cohort/BTBR/test/c7_m4.mp4</t>
        </is>
      </c>
      <c r="F2830" t="n">
        <v>-8.766999999999999</v>
      </c>
      <c r="G2830" t="n">
        <v>577.266</v>
      </c>
      <c r="H2830" t="n">
        <v>636.766</v>
      </c>
      <c r="I2830" t="n">
        <v>30</v>
      </c>
      <c r="J2830" t="inlineStr">
        <is>
          <t>BTBR</t>
        </is>
      </c>
      <c r="K2830" t="inlineStr">
        <is>
          <t>Male</t>
        </is>
      </c>
      <c r="L2830" t="inlineStr">
        <is>
          <t>No focal subject</t>
        </is>
      </c>
      <c r="M2830" t="n">
        <v>71.63200000000001</v>
      </c>
      <c r="N2830" t="inlineStr">
        <is>
          <t>Explore_N</t>
        </is>
      </c>
      <c r="O2830" t="inlineStr">
        <is>
          <t>Novelty</t>
        </is>
      </c>
      <c r="P2830" t="inlineStr">
        <is>
          <t>STATE</t>
        </is>
      </c>
      <c r="Q2830" t="n">
        <v>71.93300000000001</v>
      </c>
      <c r="R2830" t="n">
        <v>72.566</v>
      </c>
      <c r="S2830" t="n">
        <v>0.633</v>
      </c>
      <c r="T2830" t="inlineStr">
        <is>
          <t>C:/Users/manuel.felline/Documents/BEHAVIOR BTBR/NOR second cohort/BTBR/test/c7_m4.mp4</t>
        </is>
      </c>
      <c r="U2830" t="n">
        <v>2421</v>
      </c>
      <c r="V2830" t="n">
        <v>2440</v>
      </c>
      <c r="W2830" t="n">
        <v/>
      </c>
      <c r="X2830" t="n">
        <v/>
      </c>
      <c r="Y2830" t="n">
        <v/>
      </c>
      <c r="Z2830" t="n">
        <v/>
      </c>
      <c r="AA2830">
        <f>SUMIFS($S$2:S2830,$A$2:A2830,A2830,$N$2:N2830,"Explore*")</f>
        <v/>
      </c>
      <c r="AB2830">
        <f>IF(AND(LEFT(N2830,7)="Explore",(AA2830-IF(LEFT(N2830,7)="Explore",S2830,0))&lt;10),"SI","NO")</f>
        <v/>
      </c>
    </row>
    <row r="2831">
      <c r="A2831" t="inlineStr">
        <is>
          <t>c7m4_test</t>
        </is>
      </c>
      <c r="B2831" t="inlineStr">
        <is>
          <t>2026-05-20 11:14:24.582</t>
        </is>
      </c>
      <c r="C2831" t="n">
        <v/>
      </c>
      <c r="D2831" t="inlineStr">
        <is>
          <t>Media file</t>
        </is>
      </c>
      <c r="E2831" t="inlineStr">
        <is>
          <t>player #1:C:/Users/manuel.felline/Documents/BEHAVIOR BTBR/NOR second cohort/BTBR/test/c7_m4.mp4</t>
        </is>
      </c>
      <c r="F2831" t="n">
        <v>-8.766999999999999</v>
      </c>
      <c r="G2831" t="n">
        <v>577.266</v>
      </c>
      <c r="H2831" t="n">
        <v>636.766</v>
      </c>
      <c r="I2831" t="n">
        <v>30</v>
      </c>
      <c r="J2831" t="inlineStr">
        <is>
          <t>BTBR</t>
        </is>
      </c>
      <c r="K2831" t="inlineStr">
        <is>
          <t>Male</t>
        </is>
      </c>
      <c r="L2831" t="inlineStr">
        <is>
          <t>No focal subject</t>
        </is>
      </c>
      <c r="M2831" t="n">
        <v>71.63200000000001</v>
      </c>
      <c r="N2831" t="inlineStr">
        <is>
          <t>Explore_N</t>
        </is>
      </c>
      <c r="O2831" t="inlineStr">
        <is>
          <t>Novelty</t>
        </is>
      </c>
      <c r="P2831" t="inlineStr">
        <is>
          <t>STATE</t>
        </is>
      </c>
      <c r="Q2831" t="n">
        <v>73.033</v>
      </c>
      <c r="R2831" t="n">
        <v>74</v>
      </c>
      <c r="S2831" t="n">
        <v>0.967</v>
      </c>
      <c r="T2831" t="inlineStr">
        <is>
          <t>C:/Users/manuel.felline/Documents/BEHAVIOR BTBR/NOR second cohort/BTBR/test/c7_m4.mp4</t>
        </is>
      </c>
      <c r="U2831" t="n">
        <v>2454</v>
      </c>
      <c r="V2831" t="n">
        <v>2483</v>
      </c>
      <c r="W2831" t="n">
        <v/>
      </c>
      <c r="X2831" t="n">
        <v/>
      </c>
      <c r="Y2831" t="n">
        <v/>
      </c>
      <c r="Z2831" t="n">
        <v/>
      </c>
      <c r="AA2831">
        <f>SUMIFS($S$2:S2831,$A$2:A2831,A2831,$N$2:N2831,"Explore*")</f>
        <v/>
      </c>
      <c r="AB2831">
        <f>IF(AND(LEFT(N2831,7)="Explore",(AA2831-IF(LEFT(N2831,7)="Explore",S2831,0))&lt;10),"SI","NO")</f>
        <v/>
      </c>
    </row>
    <row r="2832">
      <c r="A2832" t="inlineStr">
        <is>
          <t>c7m4_test</t>
        </is>
      </c>
      <c r="B2832" t="inlineStr">
        <is>
          <t>2026-05-20 11:14:24.582</t>
        </is>
      </c>
      <c r="C2832" t="n">
        <v/>
      </c>
      <c r="D2832" t="inlineStr">
        <is>
          <t>Media file</t>
        </is>
      </c>
      <c r="E2832" t="inlineStr">
        <is>
          <t>player #1:C:/Users/manuel.felline/Documents/BEHAVIOR BTBR/NOR second cohort/BTBR/test/c7_m4.mp4</t>
        </is>
      </c>
      <c r="F2832" t="n">
        <v>-8.766999999999999</v>
      </c>
      <c r="G2832" t="n">
        <v>577.266</v>
      </c>
      <c r="H2832" t="n">
        <v>636.766</v>
      </c>
      <c r="I2832" t="n">
        <v>30</v>
      </c>
      <c r="J2832" t="inlineStr">
        <is>
          <t>BTBR</t>
        </is>
      </c>
      <c r="K2832" t="inlineStr">
        <is>
          <t>Male</t>
        </is>
      </c>
      <c r="L2832" t="inlineStr">
        <is>
          <t>No focal subject</t>
        </is>
      </c>
      <c r="M2832" t="n">
        <v>71.63200000000001</v>
      </c>
      <c r="N2832" t="inlineStr">
        <is>
          <t>Explore_F</t>
        </is>
      </c>
      <c r="O2832" t="inlineStr">
        <is>
          <t>Familiar</t>
        </is>
      </c>
      <c r="P2832" t="inlineStr">
        <is>
          <t>STATE</t>
        </is>
      </c>
      <c r="Q2832" t="n">
        <v>75.366</v>
      </c>
      <c r="R2832" t="n">
        <v>76.033</v>
      </c>
      <c r="S2832" t="n">
        <v>0.667</v>
      </c>
      <c r="T2832" t="inlineStr">
        <is>
          <t>C:/Users/manuel.felline/Documents/BEHAVIOR BTBR/NOR second cohort/BTBR/test/c7_m4.mp4</t>
        </is>
      </c>
      <c r="U2832" t="n">
        <v>2524</v>
      </c>
      <c r="V2832" t="n">
        <v>2544</v>
      </c>
      <c r="W2832" t="n">
        <v/>
      </c>
      <c r="X2832" t="n">
        <v/>
      </c>
      <c r="Y2832" t="n">
        <v/>
      </c>
      <c r="Z2832" t="n">
        <v/>
      </c>
      <c r="AA2832">
        <f>SUMIFS($S$2:S2832,$A$2:A2832,A2832,$N$2:N2832,"Explore*")</f>
        <v/>
      </c>
      <c r="AB2832">
        <f>IF(AND(LEFT(N2832,7)="Explore",(AA2832-IF(LEFT(N2832,7)="Explore",S2832,0))&lt;10),"SI","NO")</f>
        <v/>
      </c>
    </row>
    <row r="2833">
      <c r="A2833" t="inlineStr">
        <is>
          <t>c7m4_test</t>
        </is>
      </c>
      <c r="B2833" t="inlineStr">
        <is>
          <t>2026-05-20 11:14:24.582</t>
        </is>
      </c>
      <c r="C2833" t="n">
        <v/>
      </c>
      <c r="D2833" t="inlineStr">
        <is>
          <t>Media file</t>
        </is>
      </c>
      <c r="E2833" t="inlineStr">
        <is>
          <t>player #1:C:/Users/manuel.felline/Documents/BEHAVIOR BTBR/NOR second cohort/BTBR/test/c7_m4.mp4</t>
        </is>
      </c>
      <c r="F2833" t="n">
        <v>-8.766999999999999</v>
      </c>
      <c r="G2833" t="n">
        <v>577.266</v>
      </c>
      <c r="H2833" t="n">
        <v>636.766</v>
      </c>
      <c r="I2833" t="n">
        <v>30</v>
      </c>
      <c r="J2833" t="inlineStr">
        <is>
          <t>BTBR</t>
        </is>
      </c>
      <c r="K2833" t="inlineStr">
        <is>
          <t>Male</t>
        </is>
      </c>
      <c r="L2833" t="inlineStr">
        <is>
          <t>No focal subject</t>
        </is>
      </c>
      <c r="M2833" t="n">
        <v>71.63200000000001</v>
      </c>
      <c r="N2833" t="inlineStr">
        <is>
          <t>Explore_N</t>
        </is>
      </c>
      <c r="O2833" t="inlineStr">
        <is>
          <t>Novelty</t>
        </is>
      </c>
      <c r="P2833" t="inlineStr">
        <is>
          <t>STATE</t>
        </is>
      </c>
      <c r="Q2833" t="n">
        <v>83.43300000000001</v>
      </c>
      <c r="R2833" t="n">
        <v>85.09999999999999</v>
      </c>
      <c r="S2833" t="n">
        <v>1.667</v>
      </c>
      <c r="T2833" t="inlineStr">
        <is>
          <t>C:/Users/manuel.felline/Documents/BEHAVIOR BTBR/NOR second cohort/BTBR/test/c7_m4.mp4</t>
        </is>
      </c>
      <c r="U2833" t="n">
        <v>2766</v>
      </c>
      <c r="V2833" t="n">
        <v>2816</v>
      </c>
      <c r="W2833" t="n">
        <v/>
      </c>
      <c r="X2833" t="n">
        <v/>
      </c>
      <c r="Y2833" t="n">
        <v/>
      </c>
      <c r="Z2833" t="n">
        <v/>
      </c>
      <c r="AA2833">
        <f>SUMIFS($S$2:S2833,$A$2:A2833,A2833,$N$2:N2833,"Explore*")</f>
        <v/>
      </c>
      <c r="AB2833">
        <f>IF(AND(LEFT(N2833,7)="Explore",(AA2833-IF(LEFT(N2833,7)="Explore",S2833,0))&lt;10),"SI","NO")</f>
        <v/>
      </c>
    </row>
    <row r="2834">
      <c r="A2834" t="inlineStr">
        <is>
          <t>c7m4_test</t>
        </is>
      </c>
      <c r="B2834" t="inlineStr">
        <is>
          <t>2026-05-20 11:14:24.582</t>
        </is>
      </c>
      <c r="C2834" t="n">
        <v/>
      </c>
      <c r="D2834" t="inlineStr">
        <is>
          <t>Media file</t>
        </is>
      </c>
      <c r="E2834" t="inlineStr">
        <is>
          <t>player #1:C:/Users/manuel.felline/Documents/BEHAVIOR BTBR/NOR second cohort/BTBR/test/c7_m4.mp4</t>
        </is>
      </c>
      <c r="F2834" t="n">
        <v>-8.766999999999999</v>
      </c>
      <c r="G2834" t="n">
        <v>577.266</v>
      </c>
      <c r="H2834" t="n">
        <v>636.766</v>
      </c>
      <c r="I2834" t="n">
        <v>30</v>
      </c>
      <c r="J2834" t="inlineStr">
        <is>
          <t>BTBR</t>
        </is>
      </c>
      <c r="K2834" t="inlineStr">
        <is>
          <t>Male</t>
        </is>
      </c>
      <c r="L2834" t="inlineStr">
        <is>
          <t>No focal subject</t>
        </is>
      </c>
      <c r="M2834" t="n">
        <v>71.63200000000001</v>
      </c>
      <c r="N2834" t="inlineStr">
        <is>
          <t>Explore_F</t>
        </is>
      </c>
      <c r="O2834" t="inlineStr">
        <is>
          <t>Familiar</t>
        </is>
      </c>
      <c r="P2834" t="inlineStr">
        <is>
          <t>STATE</t>
        </is>
      </c>
      <c r="Q2834" t="n">
        <v>85.866</v>
      </c>
      <c r="R2834" t="n">
        <v>86.40000000000001</v>
      </c>
      <c r="S2834" t="n">
        <v>0.534</v>
      </c>
      <c r="T2834" t="inlineStr">
        <is>
          <t>C:/Users/manuel.felline/Documents/BEHAVIOR BTBR/NOR second cohort/BTBR/test/c7_m4.mp4</t>
        </is>
      </c>
      <c r="U2834" t="n">
        <v>2839</v>
      </c>
      <c r="V2834" t="n">
        <v>2855</v>
      </c>
      <c r="W2834" t="n">
        <v/>
      </c>
      <c r="X2834" t="n">
        <v/>
      </c>
      <c r="Y2834" t="n">
        <v/>
      </c>
      <c r="Z2834" t="n">
        <v/>
      </c>
      <c r="AA2834">
        <f>SUMIFS($S$2:S2834,$A$2:A2834,A2834,$N$2:N2834,"Explore*")</f>
        <v/>
      </c>
      <c r="AB2834">
        <f>IF(AND(LEFT(N2834,7)="Explore",(AA2834-IF(LEFT(N2834,7)="Explore",S2834,0))&lt;10),"SI","NO")</f>
        <v/>
      </c>
    </row>
    <row r="2835">
      <c r="A2835" t="inlineStr">
        <is>
          <t>c7m4_test</t>
        </is>
      </c>
      <c r="B2835" t="inlineStr">
        <is>
          <t>2026-05-20 11:14:24.582</t>
        </is>
      </c>
      <c r="C2835" t="n">
        <v/>
      </c>
      <c r="D2835" t="inlineStr">
        <is>
          <t>Media file</t>
        </is>
      </c>
      <c r="E2835" t="inlineStr">
        <is>
          <t>player #1:C:/Users/manuel.felline/Documents/BEHAVIOR BTBR/NOR second cohort/BTBR/test/c7_m4.mp4</t>
        </is>
      </c>
      <c r="F2835" t="n">
        <v>-8.766999999999999</v>
      </c>
      <c r="G2835" t="n">
        <v>577.266</v>
      </c>
      <c r="H2835" t="n">
        <v>636.766</v>
      </c>
      <c r="I2835" t="n">
        <v>30</v>
      </c>
      <c r="J2835" t="inlineStr">
        <is>
          <t>BTBR</t>
        </is>
      </c>
      <c r="K2835" t="inlineStr">
        <is>
          <t>Male</t>
        </is>
      </c>
      <c r="L2835" t="inlineStr">
        <is>
          <t>No focal subject</t>
        </is>
      </c>
      <c r="M2835" t="n">
        <v>71.63200000000001</v>
      </c>
      <c r="N2835" t="inlineStr">
        <is>
          <t>Explore_N</t>
        </is>
      </c>
      <c r="O2835" t="inlineStr">
        <is>
          <t>Novelty</t>
        </is>
      </c>
      <c r="P2835" t="inlineStr">
        <is>
          <t>STATE</t>
        </is>
      </c>
      <c r="Q2835" t="n">
        <v>87.233</v>
      </c>
      <c r="R2835" t="n">
        <v>88.633</v>
      </c>
      <c r="S2835" t="n">
        <v>1.4</v>
      </c>
      <c r="T2835" t="inlineStr">
        <is>
          <t>C:/Users/manuel.felline/Documents/BEHAVIOR BTBR/NOR second cohort/BTBR/test/c7_m4.mp4</t>
        </is>
      </c>
      <c r="U2835" t="n">
        <v>2880</v>
      </c>
      <c r="V2835" t="n">
        <v>2922</v>
      </c>
      <c r="W2835" t="n">
        <v/>
      </c>
      <c r="X2835" t="n">
        <v/>
      </c>
      <c r="Y2835" t="n">
        <v/>
      </c>
      <c r="Z2835" t="n">
        <v/>
      </c>
      <c r="AA2835">
        <f>SUMIFS($S$2:S2835,$A$2:A2835,A2835,$N$2:N2835,"Explore*")</f>
        <v/>
      </c>
      <c r="AB2835">
        <f>IF(AND(LEFT(N2835,7)="Explore",(AA2835-IF(LEFT(N2835,7)="Explore",S2835,0))&lt;10),"SI","NO")</f>
        <v/>
      </c>
    </row>
    <row r="2836">
      <c r="A2836" t="inlineStr">
        <is>
          <t>c7m4_test</t>
        </is>
      </c>
      <c r="B2836" t="inlineStr">
        <is>
          <t>2026-05-20 11:14:24.582</t>
        </is>
      </c>
      <c r="C2836" t="n">
        <v/>
      </c>
      <c r="D2836" t="inlineStr">
        <is>
          <t>Media file</t>
        </is>
      </c>
      <c r="E2836" t="inlineStr">
        <is>
          <t>player #1:C:/Users/manuel.felline/Documents/BEHAVIOR BTBR/NOR second cohort/BTBR/test/c7_m4.mp4</t>
        </is>
      </c>
      <c r="F2836" t="n">
        <v>-8.766999999999999</v>
      </c>
      <c r="G2836" t="n">
        <v>577.266</v>
      </c>
      <c r="H2836" t="n">
        <v>636.766</v>
      </c>
      <c r="I2836" t="n">
        <v>30</v>
      </c>
      <c r="J2836" t="inlineStr">
        <is>
          <t>BTBR</t>
        </is>
      </c>
      <c r="K2836" t="inlineStr">
        <is>
          <t>Male</t>
        </is>
      </c>
      <c r="L2836" t="inlineStr">
        <is>
          <t>No focal subject</t>
        </is>
      </c>
      <c r="M2836" t="n">
        <v>71.63200000000001</v>
      </c>
      <c r="N2836" t="inlineStr">
        <is>
          <t>Explore_F</t>
        </is>
      </c>
      <c r="O2836" t="inlineStr">
        <is>
          <t>Familiar</t>
        </is>
      </c>
      <c r="P2836" t="inlineStr">
        <is>
          <t>STATE</t>
        </is>
      </c>
      <c r="Q2836" t="n">
        <v>92.633</v>
      </c>
      <c r="R2836" t="n">
        <v>93.366</v>
      </c>
      <c r="S2836" t="n">
        <v>0.733</v>
      </c>
      <c r="T2836" t="inlineStr">
        <is>
          <t>C:/Users/manuel.felline/Documents/BEHAVIOR BTBR/NOR second cohort/BTBR/test/c7_m4.mp4</t>
        </is>
      </c>
      <c r="U2836" t="n">
        <v>3042</v>
      </c>
      <c r="V2836" t="n">
        <v>3064</v>
      </c>
      <c r="W2836" t="n">
        <v/>
      </c>
      <c r="X2836" t="n">
        <v/>
      </c>
      <c r="Y2836" t="n">
        <v/>
      </c>
      <c r="Z2836" t="n">
        <v/>
      </c>
      <c r="AA2836">
        <f>SUMIFS($S$2:S2836,$A$2:A2836,A2836,$N$2:N2836,"Explore*")</f>
        <v/>
      </c>
      <c r="AB2836">
        <f>IF(AND(LEFT(N2836,7)="Explore",(AA2836-IF(LEFT(N2836,7)="Explore",S2836,0))&lt;10),"SI","NO")</f>
        <v/>
      </c>
    </row>
    <row r="2837">
      <c r="A2837" t="inlineStr">
        <is>
          <t>c7m4_test</t>
        </is>
      </c>
      <c r="B2837" t="inlineStr">
        <is>
          <t>2026-05-20 11:14:24.582</t>
        </is>
      </c>
      <c r="C2837" t="n">
        <v/>
      </c>
      <c r="D2837" t="inlineStr">
        <is>
          <t>Media file</t>
        </is>
      </c>
      <c r="E2837" t="inlineStr">
        <is>
          <t>player #1:C:/Users/manuel.felline/Documents/BEHAVIOR BTBR/NOR second cohort/BTBR/test/c7_m4.mp4</t>
        </is>
      </c>
      <c r="F2837" t="n">
        <v>-8.766999999999999</v>
      </c>
      <c r="G2837" t="n">
        <v>577.266</v>
      </c>
      <c r="H2837" t="n">
        <v>636.766</v>
      </c>
      <c r="I2837" t="n">
        <v>30</v>
      </c>
      <c r="J2837" t="inlineStr">
        <is>
          <t>BTBR</t>
        </is>
      </c>
      <c r="K2837" t="inlineStr">
        <is>
          <t>Male</t>
        </is>
      </c>
      <c r="L2837" t="inlineStr">
        <is>
          <t>No focal subject</t>
        </is>
      </c>
      <c r="M2837" t="n">
        <v>71.63200000000001</v>
      </c>
      <c r="N2837" t="inlineStr">
        <is>
          <t>Explore_N</t>
        </is>
      </c>
      <c r="O2837" t="inlineStr">
        <is>
          <t>Novelty</t>
        </is>
      </c>
      <c r="P2837" t="inlineStr">
        <is>
          <t>STATE</t>
        </is>
      </c>
      <c r="Q2837" t="n">
        <v>96.26600000000001</v>
      </c>
      <c r="R2837" t="n">
        <v>98.2</v>
      </c>
      <c r="S2837" t="n">
        <v>1.934</v>
      </c>
      <c r="T2837" t="inlineStr">
        <is>
          <t>C:/Users/manuel.felline/Documents/BEHAVIOR BTBR/NOR second cohort/BTBR/test/c7_m4.mp4</t>
        </is>
      </c>
      <c r="U2837" t="n">
        <v>3151</v>
      </c>
      <c r="V2837" t="n">
        <v>3209</v>
      </c>
      <c r="W2837" t="n">
        <v/>
      </c>
      <c r="X2837" t="n">
        <v/>
      </c>
      <c r="Y2837" t="n">
        <v/>
      </c>
      <c r="Z2837" t="n">
        <v/>
      </c>
      <c r="AA2837">
        <f>SUMIFS($S$2:S2837,$A$2:A2837,A2837,$N$2:N2837,"Explore*")</f>
        <v/>
      </c>
      <c r="AB2837">
        <f>IF(AND(LEFT(N2837,7)="Explore",(AA2837-IF(LEFT(N2837,7)="Explore",S2837,0))&lt;10),"SI","NO")</f>
        <v/>
      </c>
    </row>
    <row r="2838">
      <c r="A2838" t="inlineStr">
        <is>
          <t>c7m4_test</t>
        </is>
      </c>
      <c r="B2838" t="inlineStr">
        <is>
          <t>2026-05-20 11:14:24.582</t>
        </is>
      </c>
      <c r="C2838" t="n">
        <v/>
      </c>
      <c r="D2838" t="inlineStr">
        <is>
          <t>Media file</t>
        </is>
      </c>
      <c r="E2838" t="inlineStr">
        <is>
          <t>player #1:C:/Users/manuel.felline/Documents/BEHAVIOR BTBR/NOR second cohort/BTBR/test/c7_m4.mp4</t>
        </is>
      </c>
      <c r="F2838" t="n">
        <v>-8.766999999999999</v>
      </c>
      <c r="G2838" t="n">
        <v>577.266</v>
      </c>
      <c r="H2838" t="n">
        <v>636.766</v>
      </c>
      <c r="I2838" t="n">
        <v>30</v>
      </c>
      <c r="J2838" t="inlineStr">
        <is>
          <t>BTBR</t>
        </is>
      </c>
      <c r="K2838" t="inlineStr">
        <is>
          <t>Male</t>
        </is>
      </c>
      <c r="L2838" t="inlineStr">
        <is>
          <t>No focal subject</t>
        </is>
      </c>
      <c r="M2838" t="n">
        <v>71.63200000000001</v>
      </c>
      <c r="N2838" t="inlineStr">
        <is>
          <t>Explore_N</t>
        </is>
      </c>
      <c r="O2838" t="inlineStr">
        <is>
          <t>Novelty</t>
        </is>
      </c>
      <c r="P2838" t="inlineStr">
        <is>
          <t>STATE</t>
        </is>
      </c>
      <c r="Q2838" t="n">
        <v>101.933</v>
      </c>
      <c r="R2838" t="n">
        <v>103.333</v>
      </c>
      <c r="S2838" t="n">
        <v>1.4</v>
      </c>
      <c r="T2838" t="inlineStr">
        <is>
          <t>C:/Users/manuel.felline/Documents/BEHAVIOR BTBR/NOR second cohort/BTBR/test/c7_m4.mp4</t>
        </is>
      </c>
      <c r="U2838" t="n">
        <v>3321</v>
      </c>
      <c r="V2838" t="n">
        <v>3363</v>
      </c>
      <c r="W2838" t="n">
        <v/>
      </c>
      <c r="X2838" t="n">
        <v/>
      </c>
      <c r="Y2838" t="n">
        <v/>
      </c>
      <c r="Z2838" t="n">
        <v/>
      </c>
      <c r="AA2838">
        <f>SUMIFS($S$2:S2838,$A$2:A2838,A2838,$N$2:N2838,"Explore*")</f>
        <v/>
      </c>
      <c r="AB2838">
        <f>IF(AND(LEFT(N2838,7)="Explore",(AA2838-IF(LEFT(N2838,7)="Explore",S2838,0))&lt;10),"SI","NO")</f>
        <v/>
      </c>
    </row>
    <row r="2839">
      <c r="A2839" t="inlineStr">
        <is>
          <t>c7m4_test</t>
        </is>
      </c>
      <c r="B2839" t="inlineStr">
        <is>
          <t>2026-05-20 11:14:24.582</t>
        </is>
      </c>
      <c r="C2839" t="n">
        <v/>
      </c>
      <c r="D2839" t="inlineStr">
        <is>
          <t>Media file</t>
        </is>
      </c>
      <c r="E2839" t="inlineStr">
        <is>
          <t>player #1:C:/Users/manuel.felline/Documents/BEHAVIOR BTBR/NOR second cohort/BTBR/test/c7_m4.mp4</t>
        </is>
      </c>
      <c r="F2839" t="n">
        <v>-8.766999999999999</v>
      </c>
      <c r="G2839" t="n">
        <v>577.266</v>
      </c>
      <c r="H2839" t="n">
        <v>636.766</v>
      </c>
      <c r="I2839" t="n">
        <v>30</v>
      </c>
      <c r="J2839" t="inlineStr">
        <is>
          <t>BTBR</t>
        </is>
      </c>
      <c r="K2839" t="inlineStr">
        <is>
          <t>Male</t>
        </is>
      </c>
      <c r="L2839" t="inlineStr">
        <is>
          <t>No focal subject</t>
        </is>
      </c>
      <c r="M2839" t="n">
        <v>71.63200000000001</v>
      </c>
      <c r="N2839" t="inlineStr">
        <is>
          <t>Explore_F</t>
        </is>
      </c>
      <c r="O2839" t="inlineStr">
        <is>
          <t>Familiar</t>
        </is>
      </c>
      <c r="P2839" t="inlineStr">
        <is>
          <t>STATE</t>
        </is>
      </c>
      <c r="Q2839" t="n">
        <v>104.5</v>
      </c>
      <c r="R2839" t="n">
        <v>105.733</v>
      </c>
      <c r="S2839" t="n">
        <v>1.233</v>
      </c>
      <c r="T2839" t="inlineStr">
        <is>
          <t>C:/Users/manuel.felline/Documents/BEHAVIOR BTBR/NOR second cohort/BTBR/test/c7_m4.mp4</t>
        </is>
      </c>
      <c r="U2839" t="n">
        <v>3398</v>
      </c>
      <c r="V2839" t="n">
        <v>3435</v>
      </c>
      <c r="W2839" t="n">
        <v/>
      </c>
      <c r="X2839" t="n">
        <v/>
      </c>
      <c r="Y2839" t="n">
        <v/>
      </c>
      <c r="Z2839" t="n">
        <v/>
      </c>
      <c r="AA2839">
        <f>SUMIFS($S$2:S2839,$A$2:A2839,A2839,$N$2:N2839,"Explore*")</f>
        <v/>
      </c>
      <c r="AB2839">
        <f>IF(AND(LEFT(N2839,7)="Explore",(AA2839-IF(LEFT(N2839,7)="Explore",S2839,0))&lt;10),"SI","NO")</f>
        <v/>
      </c>
    </row>
    <row r="2840">
      <c r="A2840" t="inlineStr">
        <is>
          <t>c7m4_test</t>
        </is>
      </c>
      <c r="B2840" t="inlineStr">
        <is>
          <t>2026-05-20 11:14:24.582</t>
        </is>
      </c>
      <c r="C2840" t="n">
        <v/>
      </c>
      <c r="D2840" t="inlineStr">
        <is>
          <t>Media file</t>
        </is>
      </c>
      <c r="E2840" t="inlineStr">
        <is>
          <t>player #1:C:/Users/manuel.felline/Documents/BEHAVIOR BTBR/NOR second cohort/BTBR/test/c7_m4.mp4</t>
        </is>
      </c>
      <c r="F2840" t="n">
        <v>-8.766999999999999</v>
      </c>
      <c r="G2840" t="n">
        <v>577.266</v>
      </c>
      <c r="H2840" t="n">
        <v>636.766</v>
      </c>
      <c r="I2840" t="n">
        <v>30</v>
      </c>
      <c r="J2840" t="inlineStr">
        <is>
          <t>BTBR</t>
        </is>
      </c>
      <c r="K2840" t="inlineStr">
        <is>
          <t>Male</t>
        </is>
      </c>
      <c r="L2840" t="inlineStr">
        <is>
          <t>No focal subject</t>
        </is>
      </c>
      <c r="M2840" t="n">
        <v>71.63200000000001</v>
      </c>
      <c r="N2840" t="inlineStr">
        <is>
          <t>Explore_N</t>
        </is>
      </c>
      <c r="O2840" t="inlineStr">
        <is>
          <t>Novelty</t>
        </is>
      </c>
      <c r="P2840" t="inlineStr">
        <is>
          <t>STATE</t>
        </is>
      </c>
      <c r="Q2840" t="n">
        <v>121.366</v>
      </c>
      <c r="R2840" t="n">
        <v>121.733</v>
      </c>
      <c r="S2840" t="n">
        <v>0.367</v>
      </c>
      <c r="T2840" t="inlineStr">
        <is>
          <t>C:/Users/manuel.felline/Documents/BEHAVIOR BTBR/NOR second cohort/BTBR/test/c7_m4.mp4</t>
        </is>
      </c>
      <c r="U2840" t="n">
        <v>3904</v>
      </c>
      <c r="V2840" t="n">
        <v>3915</v>
      </c>
      <c r="W2840" t="n">
        <v/>
      </c>
      <c r="X2840" t="n">
        <v/>
      </c>
      <c r="Y2840" t="n">
        <v/>
      </c>
      <c r="Z2840" t="n">
        <v/>
      </c>
      <c r="AA2840">
        <f>SUMIFS($S$2:S2840,$A$2:A2840,A2840,$N$2:N2840,"Explore*")</f>
        <v/>
      </c>
      <c r="AB2840">
        <f>IF(AND(LEFT(N2840,7)="Explore",(AA2840-IF(LEFT(N2840,7)="Explore",S2840,0))&lt;10),"SI","NO")</f>
        <v/>
      </c>
    </row>
    <row r="2841">
      <c r="A2841" t="inlineStr">
        <is>
          <t>c7m4_test</t>
        </is>
      </c>
      <c r="B2841" t="inlineStr">
        <is>
          <t>2026-05-20 11:14:24.582</t>
        </is>
      </c>
      <c r="C2841" t="n">
        <v/>
      </c>
      <c r="D2841" t="inlineStr">
        <is>
          <t>Media file</t>
        </is>
      </c>
      <c r="E2841" t="inlineStr">
        <is>
          <t>player #1:C:/Users/manuel.felline/Documents/BEHAVIOR BTBR/NOR second cohort/BTBR/test/c7_m4.mp4</t>
        </is>
      </c>
      <c r="F2841" t="n">
        <v>-8.766999999999999</v>
      </c>
      <c r="G2841" t="n">
        <v>577.266</v>
      </c>
      <c r="H2841" t="n">
        <v>636.766</v>
      </c>
      <c r="I2841" t="n">
        <v>30</v>
      </c>
      <c r="J2841" t="inlineStr">
        <is>
          <t>BTBR</t>
        </is>
      </c>
      <c r="K2841" t="inlineStr">
        <is>
          <t>Male</t>
        </is>
      </c>
      <c r="L2841" t="inlineStr">
        <is>
          <t>No focal subject</t>
        </is>
      </c>
      <c r="M2841" t="n">
        <v>71.63200000000001</v>
      </c>
      <c r="N2841" t="inlineStr">
        <is>
          <t>Explore_N</t>
        </is>
      </c>
      <c r="O2841" t="inlineStr">
        <is>
          <t>Novelty</t>
        </is>
      </c>
      <c r="P2841" t="inlineStr">
        <is>
          <t>STATE</t>
        </is>
      </c>
      <c r="Q2841" t="n">
        <v>122.2</v>
      </c>
      <c r="R2841" t="n">
        <v>125.4</v>
      </c>
      <c r="S2841" t="n">
        <v>3.2</v>
      </c>
      <c r="T2841" t="inlineStr">
        <is>
          <t>C:/Users/manuel.felline/Documents/BEHAVIOR BTBR/NOR second cohort/BTBR/test/c7_m4.mp4</t>
        </is>
      </c>
      <c r="U2841" t="n">
        <v>3929</v>
      </c>
      <c r="V2841" t="n">
        <v>4025</v>
      </c>
      <c r="W2841" t="n">
        <v/>
      </c>
      <c r="X2841" t="n">
        <v/>
      </c>
      <c r="Y2841" t="n">
        <v/>
      </c>
      <c r="Z2841" t="n">
        <v/>
      </c>
      <c r="AA2841">
        <f>SUMIFS($S$2:S2841,$A$2:A2841,A2841,$N$2:N2841,"Explore*")</f>
        <v/>
      </c>
      <c r="AB2841">
        <f>IF(AND(LEFT(N2841,7)="Explore",(AA2841-IF(LEFT(N2841,7)="Explore",S2841,0))&lt;10),"SI","NO")</f>
        <v/>
      </c>
    </row>
    <row r="2842">
      <c r="A2842" t="inlineStr">
        <is>
          <t>c7m4_test</t>
        </is>
      </c>
      <c r="B2842" t="inlineStr">
        <is>
          <t>2026-05-20 11:14:24.582</t>
        </is>
      </c>
      <c r="C2842" t="n">
        <v/>
      </c>
      <c r="D2842" t="inlineStr">
        <is>
          <t>Media file</t>
        </is>
      </c>
      <c r="E2842" t="inlineStr">
        <is>
          <t>player #1:C:/Users/manuel.felline/Documents/BEHAVIOR BTBR/NOR second cohort/BTBR/test/c7_m4.mp4</t>
        </is>
      </c>
      <c r="F2842" t="n">
        <v>-8.766999999999999</v>
      </c>
      <c r="G2842" t="n">
        <v>577.266</v>
      </c>
      <c r="H2842" t="n">
        <v>636.766</v>
      </c>
      <c r="I2842" t="n">
        <v>30</v>
      </c>
      <c r="J2842" t="inlineStr">
        <is>
          <t>BTBR</t>
        </is>
      </c>
      <c r="K2842" t="inlineStr">
        <is>
          <t>Male</t>
        </is>
      </c>
      <c r="L2842" t="inlineStr">
        <is>
          <t>No focal subject</t>
        </is>
      </c>
      <c r="M2842" t="n">
        <v>71.63200000000001</v>
      </c>
      <c r="N2842" t="inlineStr">
        <is>
          <t>Explore_N</t>
        </is>
      </c>
      <c r="O2842" t="inlineStr">
        <is>
          <t>Novelty</t>
        </is>
      </c>
      <c r="P2842" t="inlineStr">
        <is>
          <t>STATE</t>
        </is>
      </c>
      <c r="Q2842" t="n">
        <v>126.7</v>
      </c>
      <c r="R2842" t="n">
        <v>127.733</v>
      </c>
      <c r="S2842" t="n">
        <v>1.033</v>
      </c>
      <c r="T2842" t="inlineStr">
        <is>
          <t>C:/Users/manuel.felline/Documents/BEHAVIOR BTBR/NOR second cohort/BTBR/test/c7_m4.mp4</t>
        </is>
      </c>
      <c r="U2842" t="n">
        <v>4064</v>
      </c>
      <c r="V2842" t="n">
        <v>4095</v>
      </c>
      <c r="W2842" t="n">
        <v/>
      </c>
      <c r="X2842" t="n">
        <v/>
      </c>
      <c r="Y2842" t="n">
        <v/>
      </c>
      <c r="Z2842" t="n">
        <v/>
      </c>
      <c r="AA2842">
        <f>SUMIFS($S$2:S2842,$A$2:A2842,A2842,$N$2:N2842,"Explore*")</f>
        <v/>
      </c>
      <c r="AB2842">
        <f>IF(AND(LEFT(N2842,7)="Explore",(AA2842-IF(LEFT(N2842,7)="Explore",S2842,0))&lt;10),"SI","NO")</f>
        <v/>
      </c>
    </row>
    <row r="2843">
      <c r="A2843" t="inlineStr">
        <is>
          <t>c7m4_test</t>
        </is>
      </c>
      <c r="B2843" t="inlineStr">
        <is>
          <t>2026-05-20 11:14:24.582</t>
        </is>
      </c>
      <c r="C2843" t="n">
        <v/>
      </c>
      <c r="D2843" t="inlineStr">
        <is>
          <t>Media file</t>
        </is>
      </c>
      <c r="E2843" t="inlineStr">
        <is>
          <t>player #1:C:/Users/manuel.felline/Documents/BEHAVIOR BTBR/NOR second cohort/BTBR/test/c7_m4.mp4</t>
        </is>
      </c>
      <c r="F2843" t="n">
        <v>-8.766999999999999</v>
      </c>
      <c r="G2843" t="n">
        <v>577.266</v>
      </c>
      <c r="H2843" t="n">
        <v>636.766</v>
      </c>
      <c r="I2843" t="n">
        <v>30</v>
      </c>
      <c r="J2843" t="inlineStr">
        <is>
          <t>BTBR</t>
        </is>
      </c>
      <c r="K2843" t="inlineStr">
        <is>
          <t>Male</t>
        </is>
      </c>
      <c r="L2843" t="inlineStr">
        <is>
          <t>No focal subject</t>
        </is>
      </c>
      <c r="M2843" t="n">
        <v>71.63200000000001</v>
      </c>
      <c r="N2843" t="inlineStr">
        <is>
          <t>Explore_F</t>
        </is>
      </c>
      <c r="O2843" t="inlineStr">
        <is>
          <t>Familiar</t>
        </is>
      </c>
      <c r="P2843" t="inlineStr">
        <is>
          <t>STATE</t>
        </is>
      </c>
      <c r="Q2843" t="n">
        <v>129.1</v>
      </c>
      <c r="R2843" t="n">
        <v>129.566</v>
      </c>
      <c r="S2843" t="n">
        <v>0.466</v>
      </c>
      <c r="T2843" t="inlineStr">
        <is>
          <t>C:/Users/manuel.felline/Documents/BEHAVIOR BTBR/NOR second cohort/BTBR/test/c7_m4.mp4</t>
        </is>
      </c>
      <c r="U2843" t="n">
        <v>4136</v>
      </c>
      <c r="V2843" t="n">
        <v>4150</v>
      </c>
      <c r="W2843" t="n">
        <v/>
      </c>
      <c r="X2843" t="n">
        <v/>
      </c>
      <c r="Y2843" t="n">
        <v/>
      </c>
      <c r="Z2843" t="n">
        <v/>
      </c>
      <c r="AA2843">
        <f>SUMIFS($S$2:S2843,$A$2:A2843,A2843,$N$2:N2843,"Explore*")</f>
        <v/>
      </c>
      <c r="AB2843">
        <f>IF(AND(LEFT(N2843,7)="Explore",(AA2843-IF(LEFT(N2843,7)="Explore",S2843,0))&lt;10),"SI","NO")</f>
        <v/>
      </c>
    </row>
    <row r="2844">
      <c r="A2844" t="inlineStr">
        <is>
          <t>c7m4_test</t>
        </is>
      </c>
      <c r="B2844" t="inlineStr">
        <is>
          <t>2026-05-20 11:14:24.582</t>
        </is>
      </c>
      <c r="C2844" t="n">
        <v/>
      </c>
      <c r="D2844" t="inlineStr">
        <is>
          <t>Media file</t>
        </is>
      </c>
      <c r="E2844" t="inlineStr">
        <is>
          <t>player #1:C:/Users/manuel.felline/Documents/BEHAVIOR BTBR/NOR second cohort/BTBR/test/c7_m4.mp4</t>
        </is>
      </c>
      <c r="F2844" t="n">
        <v>-8.766999999999999</v>
      </c>
      <c r="G2844" t="n">
        <v>577.266</v>
      </c>
      <c r="H2844" t="n">
        <v>636.766</v>
      </c>
      <c r="I2844" t="n">
        <v>30</v>
      </c>
      <c r="J2844" t="inlineStr">
        <is>
          <t>BTBR</t>
        </is>
      </c>
      <c r="K2844" t="inlineStr">
        <is>
          <t>Male</t>
        </is>
      </c>
      <c r="L2844" t="inlineStr">
        <is>
          <t>No focal subject</t>
        </is>
      </c>
      <c r="M2844" t="n">
        <v>71.63200000000001</v>
      </c>
      <c r="N2844" t="inlineStr">
        <is>
          <t>Explore_N</t>
        </is>
      </c>
      <c r="O2844" t="inlineStr">
        <is>
          <t>Novelty</t>
        </is>
      </c>
      <c r="P2844" t="inlineStr">
        <is>
          <t>STATE</t>
        </is>
      </c>
      <c r="Q2844" t="n">
        <v>135.266</v>
      </c>
      <c r="R2844" t="n">
        <v>136.433</v>
      </c>
      <c r="S2844" t="n">
        <v>1.167</v>
      </c>
      <c r="T2844" t="inlineStr">
        <is>
          <t>C:/Users/manuel.felline/Documents/BEHAVIOR BTBR/NOR second cohort/BTBR/test/c7_m4.mp4</t>
        </is>
      </c>
      <c r="U2844" t="n">
        <v>4321</v>
      </c>
      <c r="V2844" t="n">
        <v>4356</v>
      </c>
      <c r="W2844" t="n">
        <v/>
      </c>
      <c r="X2844" t="n">
        <v/>
      </c>
      <c r="Y2844" t="n">
        <v/>
      </c>
      <c r="Z2844" t="n">
        <v/>
      </c>
      <c r="AA2844">
        <f>SUMIFS($S$2:S2844,$A$2:A2844,A2844,$N$2:N2844,"Explore*")</f>
        <v/>
      </c>
      <c r="AB2844">
        <f>IF(AND(LEFT(N2844,7)="Explore",(AA2844-IF(LEFT(N2844,7)="Explore",S2844,0))&lt;10),"SI","NO")</f>
        <v/>
      </c>
    </row>
    <row r="2845">
      <c r="A2845" t="inlineStr">
        <is>
          <t>c7m4_test</t>
        </is>
      </c>
      <c r="B2845" t="inlineStr">
        <is>
          <t>2026-05-20 11:14:24.582</t>
        </is>
      </c>
      <c r="C2845" t="n">
        <v/>
      </c>
      <c r="D2845" t="inlineStr">
        <is>
          <t>Media file</t>
        </is>
      </c>
      <c r="E2845" t="inlineStr">
        <is>
          <t>player #1:C:/Users/manuel.felline/Documents/BEHAVIOR BTBR/NOR second cohort/BTBR/test/c7_m4.mp4</t>
        </is>
      </c>
      <c r="F2845" t="n">
        <v>-8.766999999999999</v>
      </c>
      <c r="G2845" t="n">
        <v>577.266</v>
      </c>
      <c r="H2845" t="n">
        <v>636.766</v>
      </c>
      <c r="I2845" t="n">
        <v>30</v>
      </c>
      <c r="J2845" t="inlineStr">
        <is>
          <t>BTBR</t>
        </is>
      </c>
      <c r="K2845" t="inlineStr">
        <is>
          <t>Male</t>
        </is>
      </c>
      <c r="L2845" t="inlineStr">
        <is>
          <t>No focal subject</t>
        </is>
      </c>
      <c r="M2845" t="n">
        <v>71.63200000000001</v>
      </c>
      <c r="N2845" t="inlineStr">
        <is>
          <t>Explore_N</t>
        </is>
      </c>
      <c r="O2845" t="inlineStr">
        <is>
          <t>Novelty</t>
        </is>
      </c>
      <c r="P2845" t="inlineStr">
        <is>
          <t>STATE</t>
        </is>
      </c>
      <c r="Q2845" t="n">
        <v>137.366</v>
      </c>
      <c r="R2845" t="n">
        <v>138.566</v>
      </c>
      <c r="S2845" t="n">
        <v>1.2</v>
      </c>
      <c r="T2845" t="inlineStr">
        <is>
          <t>C:/Users/manuel.felline/Documents/BEHAVIOR BTBR/NOR second cohort/BTBR/test/c7_m4.mp4</t>
        </is>
      </c>
      <c r="U2845" t="n">
        <v>4384</v>
      </c>
      <c r="V2845" t="n">
        <v>4420</v>
      </c>
      <c r="W2845" t="n">
        <v/>
      </c>
      <c r="X2845" t="n">
        <v/>
      </c>
      <c r="Y2845" t="n">
        <v/>
      </c>
      <c r="Z2845" t="n">
        <v/>
      </c>
      <c r="AA2845">
        <f>SUMIFS($S$2:S2845,$A$2:A2845,A2845,$N$2:N2845,"Explore*")</f>
        <v/>
      </c>
      <c r="AB2845">
        <f>IF(AND(LEFT(N2845,7)="Explore",(AA2845-IF(LEFT(N2845,7)="Explore",S2845,0))&lt;10),"SI","NO")</f>
        <v/>
      </c>
    </row>
    <row r="2846">
      <c r="A2846" t="inlineStr">
        <is>
          <t>c7m4_test</t>
        </is>
      </c>
      <c r="B2846" t="inlineStr">
        <is>
          <t>2026-05-20 11:14:24.582</t>
        </is>
      </c>
      <c r="C2846" t="n">
        <v/>
      </c>
      <c r="D2846" t="inlineStr">
        <is>
          <t>Media file</t>
        </is>
      </c>
      <c r="E2846" t="inlineStr">
        <is>
          <t>player #1:C:/Users/manuel.felline/Documents/BEHAVIOR BTBR/NOR second cohort/BTBR/test/c7_m4.mp4</t>
        </is>
      </c>
      <c r="F2846" t="n">
        <v>-8.766999999999999</v>
      </c>
      <c r="G2846" t="n">
        <v>577.266</v>
      </c>
      <c r="H2846" t="n">
        <v>636.766</v>
      </c>
      <c r="I2846" t="n">
        <v>30</v>
      </c>
      <c r="J2846" t="inlineStr">
        <is>
          <t>BTBR</t>
        </is>
      </c>
      <c r="K2846" t="inlineStr">
        <is>
          <t>Male</t>
        </is>
      </c>
      <c r="L2846" t="inlineStr">
        <is>
          <t>No focal subject</t>
        </is>
      </c>
      <c r="M2846" t="n">
        <v>71.63200000000001</v>
      </c>
      <c r="N2846" t="inlineStr">
        <is>
          <t>Explore_F</t>
        </is>
      </c>
      <c r="O2846" t="inlineStr">
        <is>
          <t>Familiar</t>
        </is>
      </c>
      <c r="P2846" t="inlineStr">
        <is>
          <t>STATE</t>
        </is>
      </c>
      <c r="Q2846" t="n">
        <v>139.8</v>
      </c>
      <c r="R2846" t="n">
        <v>141.133</v>
      </c>
      <c r="S2846" t="n">
        <v>1.333</v>
      </c>
      <c r="T2846" t="inlineStr">
        <is>
          <t>C:/Users/manuel.felline/Documents/BEHAVIOR BTBR/NOR second cohort/BTBR/test/c7_m4.mp4</t>
        </is>
      </c>
      <c r="U2846" t="n">
        <v>4457</v>
      </c>
      <c r="V2846" t="n">
        <v>4497</v>
      </c>
      <c r="W2846" t="n">
        <v/>
      </c>
      <c r="X2846" t="n">
        <v/>
      </c>
      <c r="Y2846" t="n">
        <v/>
      </c>
      <c r="Z2846" t="n">
        <v/>
      </c>
      <c r="AA2846">
        <f>SUMIFS($S$2:S2846,$A$2:A2846,A2846,$N$2:N2846,"Explore*")</f>
        <v/>
      </c>
      <c r="AB2846">
        <f>IF(AND(LEFT(N2846,7)="Explore",(AA2846-IF(LEFT(N2846,7)="Explore",S2846,0))&lt;10),"SI","NO")</f>
        <v/>
      </c>
    </row>
    <row r="2847">
      <c r="A2847" t="inlineStr">
        <is>
          <t>c7m4_test</t>
        </is>
      </c>
      <c r="B2847" t="inlineStr">
        <is>
          <t>2026-05-20 11:14:24.582</t>
        </is>
      </c>
      <c r="C2847" t="n">
        <v/>
      </c>
      <c r="D2847" t="inlineStr">
        <is>
          <t>Media file</t>
        </is>
      </c>
      <c r="E2847" t="inlineStr">
        <is>
          <t>player #1:C:/Users/manuel.felline/Documents/BEHAVIOR BTBR/NOR second cohort/BTBR/test/c7_m4.mp4</t>
        </is>
      </c>
      <c r="F2847" t="n">
        <v>-8.766999999999999</v>
      </c>
      <c r="G2847" t="n">
        <v>577.266</v>
      </c>
      <c r="H2847" t="n">
        <v>636.766</v>
      </c>
      <c r="I2847" t="n">
        <v>30</v>
      </c>
      <c r="J2847" t="inlineStr">
        <is>
          <t>BTBR</t>
        </is>
      </c>
      <c r="K2847" t="inlineStr">
        <is>
          <t>Male</t>
        </is>
      </c>
      <c r="L2847" t="inlineStr">
        <is>
          <t>No focal subject</t>
        </is>
      </c>
      <c r="M2847" t="n">
        <v>71.63200000000001</v>
      </c>
      <c r="N2847" t="inlineStr">
        <is>
          <t>Explore_N</t>
        </is>
      </c>
      <c r="O2847" t="inlineStr">
        <is>
          <t>Novelty</t>
        </is>
      </c>
      <c r="P2847" t="inlineStr">
        <is>
          <t>STATE</t>
        </is>
      </c>
      <c r="Q2847" t="n">
        <v>142.6</v>
      </c>
      <c r="R2847" t="n">
        <v>143.166</v>
      </c>
      <c r="S2847" t="n">
        <v>0.5659999999999999</v>
      </c>
      <c r="T2847" t="inlineStr">
        <is>
          <t>C:/Users/manuel.felline/Documents/BEHAVIOR BTBR/NOR second cohort/BTBR/test/c7_m4.mp4</t>
        </is>
      </c>
      <c r="U2847" t="n">
        <v>4541</v>
      </c>
      <c r="V2847" t="n">
        <v>4558</v>
      </c>
      <c r="W2847" t="n">
        <v/>
      </c>
      <c r="X2847" t="n">
        <v/>
      </c>
      <c r="Y2847" t="n">
        <v/>
      </c>
      <c r="Z2847" t="n">
        <v/>
      </c>
      <c r="AA2847">
        <f>SUMIFS($S$2:S2847,$A$2:A2847,A2847,$N$2:N2847,"Explore*")</f>
        <v/>
      </c>
      <c r="AB2847">
        <f>IF(AND(LEFT(N2847,7)="Explore",(AA2847-IF(LEFT(N2847,7)="Explore",S2847,0))&lt;10),"SI","NO")</f>
        <v/>
      </c>
    </row>
    <row r="2848">
      <c r="A2848" t="inlineStr">
        <is>
          <t>c7m4_test</t>
        </is>
      </c>
      <c r="B2848" t="inlineStr">
        <is>
          <t>2026-05-20 11:14:24.582</t>
        </is>
      </c>
      <c r="C2848" t="n">
        <v/>
      </c>
      <c r="D2848" t="inlineStr">
        <is>
          <t>Media file</t>
        </is>
      </c>
      <c r="E2848" t="inlineStr">
        <is>
          <t>player #1:C:/Users/manuel.felline/Documents/BEHAVIOR BTBR/NOR second cohort/BTBR/test/c7_m4.mp4</t>
        </is>
      </c>
      <c r="F2848" t="n">
        <v>-8.766999999999999</v>
      </c>
      <c r="G2848" t="n">
        <v>577.266</v>
      </c>
      <c r="H2848" t="n">
        <v>636.766</v>
      </c>
      <c r="I2848" t="n">
        <v>30</v>
      </c>
      <c r="J2848" t="inlineStr">
        <is>
          <t>BTBR</t>
        </is>
      </c>
      <c r="K2848" t="inlineStr">
        <is>
          <t>Male</t>
        </is>
      </c>
      <c r="L2848" t="inlineStr">
        <is>
          <t>No focal subject</t>
        </is>
      </c>
      <c r="M2848" t="n">
        <v>71.63200000000001</v>
      </c>
      <c r="N2848" t="inlineStr">
        <is>
          <t>Explore_N</t>
        </is>
      </c>
      <c r="O2848" t="inlineStr">
        <is>
          <t>Novelty</t>
        </is>
      </c>
      <c r="P2848" t="inlineStr">
        <is>
          <t>STATE</t>
        </is>
      </c>
      <c r="Q2848" t="n">
        <v>158.533</v>
      </c>
      <c r="R2848" t="n">
        <v>159.166</v>
      </c>
      <c r="S2848" t="n">
        <v>0.633</v>
      </c>
      <c r="T2848" t="inlineStr">
        <is>
          <t>C:/Users/manuel.felline/Documents/BEHAVIOR BTBR/NOR second cohort/BTBR/test/c7_m4.mp4</t>
        </is>
      </c>
      <c r="U2848" t="n">
        <v>5019</v>
      </c>
      <c r="V2848" t="n">
        <v>5038</v>
      </c>
      <c r="W2848" t="n">
        <v/>
      </c>
      <c r="X2848" t="n">
        <v/>
      </c>
      <c r="Y2848" t="n">
        <v/>
      </c>
      <c r="Z2848" t="n">
        <v/>
      </c>
      <c r="AA2848">
        <f>SUMIFS($S$2:S2848,$A$2:A2848,A2848,$N$2:N2848,"Explore*")</f>
        <v/>
      </c>
      <c r="AB2848">
        <f>IF(AND(LEFT(N2848,7)="Explore",(AA2848-IF(LEFT(N2848,7)="Explore",S2848,0))&lt;10),"SI","NO")</f>
        <v/>
      </c>
    </row>
    <row r="2849">
      <c r="A2849" t="inlineStr">
        <is>
          <t>c7m4_test</t>
        </is>
      </c>
      <c r="B2849" t="inlineStr">
        <is>
          <t>2026-05-20 11:14:24.582</t>
        </is>
      </c>
      <c r="C2849" t="n">
        <v/>
      </c>
      <c r="D2849" t="inlineStr">
        <is>
          <t>Media file</t>
        </is>
      </c>
      <c r="E2849" t="inlineStr">
        <is>
          <t>player #1:C:/Users/manuel.felline/Documents/BEHAVIOR BTBR/NOR second cohort/BTBR/test/c7_m4.mp4</t>
        </is>
      </c>
      <c r="F2849" t="n">
        <v>-8.766999999999999</v>
      </c>
      <c r="G2849" t="n">
        <v>577.266</v>
      </c>
      <c r="H2849" t="n">
        <v>636.766</v>
      </c>
      <c r="I2849" t="n">
        <v>30</v>
      </c>
      <c r="J2849" t="inlineStr">
        <is>
          <t>BTBR</t>
        </is>
      </c>
      <c r="K2849" t="inlineStr">
        <is>
          <t>Male</t>
        </is>
      </c>
      <c r="L2849" t="inlineStr">
        <is>
          <t>No focal subject</t>
        </is>
      </c>
      <c r="M2849" t="n">
        <v>71.63200000000001</v>
      </c>
      <c r="N2849" t="inlineStr">
        <is>
          <t>Explore_F</t>
        </is>
      </c>
      <c r="O2849" t="inlineStr">
        <is>
          <t>Familiar</t>
        </is>
      </c>
      <c r="P2849" t="inlineStr">
        <is>
          <t>STATE</t>
        </is>
      </c>
      <c r="Q2849" t="n">
        <v>160.699</v>
      </c>
      <c r="R2849" t="n">
        <v>161.199</v>
      </c>
      <c r="S2849" t="n">
        <v>0.5</v>
      </c>
      <c r="T2849" t="inlineStr">
        <is>
          <t>C:/Users/manuel.felline/Documents/BEHAVIOR BTBR/NOR second cohort/BTBR/test/c7_m4.mp4</t>
        </is>
      </c>
      <c r="U2849" t="n">
        <v>5084</v>
      </c>
      <c r="V2849" t="n">
        <v>5099</v>
      </c>
      <c r="W2849" t="n">
        <v/>
      </c>
      <c r="X2849" t="n">
        <v/>
      </c>
      <c r="Y2849" t="n">
        <v/>
      </c>
      <c r="Z2849" t="n">
        <v/>
      </c>
      <c r="AA2849">
        <f>SUMIFS($S$2:S2849,$A$2:A2849,A2849,$N$2:N2849,"Explore*")</f>
        <v/>
      </c>
      <c r="AB2849">
        <f>IF(AND(LEFT(N2849,7)="Explore",(AA2849-IF(LEFT(N2849,7)="Explore",S2849,0))&lt;10),"SI","NO")</f>
        <v/>
      </c>
    </row>
    <row r="2850">
      <c r="A2850" t="inlineStr">
        <is>
          <t>c7m4_test</t>
        </is>
      </c>
      <c r="B2850" t="inlineStr">
        <is>
          <t>2026-05-20 11:14:24.582</t>
        </is>
      </c>
      <c r="C2850" t="n">
        <v/>
      </c>
      <c r="D2850" t="inlineStr">
        <is>
          <t>Media file</t>
        </is>
      </c>
      <c r="E2850" t="inlineStr">
        <is>
          <t>player #1:C:/Users/manuel.felline/Documents/BEHAVIOR BTBR/NOR second cohort/BTBR/test/c7_m4.mp4</t>
        </is>
      </c>
      <c r="F2850" t="n">
        <v>-8.766999999999999</v>
      </c>
      <c r="G2850" t="n">
        <v>577.266</v>
      </c>
      <c r="H2850" t="n">
        <v>636.766</v>
      </c>
      <c r="I2850" t="n">
        <v>30</v>
      </c>
      <c r="J2850" t="inlineStr">
        <is>
          <t>BTBR</t>
        </is>
      </c>
      <c r="K2850" t="inlineStr">
        <is>
          <t>Male</t>
        </is>
      </c>
      <c r="L2850" t="inlineStr">
        <is>
          <t>No focal subject</t>
        </is>
      </c>
      <c r="M2850" t="n">
        <v>71.63200000000001</v>
      </c>
      <c r="N2850" t="inlineStr">
        <is>
          <t>Explore_N</t>
        </is>
      </c>
      <c r="O2850" t="inlineStr">
        <is>
          <t>Novelty</t>
        </is>
      </c>
      <c r="P2850" t="inlineStr">
        <is>
          <t>STATE</t>
        </is>
      </c>
      <c r="Q2850" t="n">
        <v>175.399</v>
      </c>
      <c r="R2850" t="n">
        <v>176.433</v>
      </c>
      <c r="S2850" t="n">
        <v>1.034</v>
      </c>
      <c r="T2850" t="inlineStr">
        <is>
          <t>C:/Users/manuel.felline/Documents/BEHAVIOR BTBR/NOR second cohort/BTBR/test/c7_m4.mp4</t>
        </is>
      </c>
      <c r="U2850" t="n">
        <v>5525</v>
      </c>
      <c r="V2850" t="n">
        <v>5556</v>
      </c>
      <c r="W2850" t="n">
        <v/>
      </c>
      <c r="X2850" t="n">
        <v/>
      </c>
      <c r="Y2850" t="n">
        <v/>
      </c>
      <c r="Z2850" t="n">
        <v/>
      </c>
      <c r="AA2850">
        <f>SUMIFS($S$2:S2850,$A$2:A2850,A2850,$N$2:N2850,"Explore*")</f>
        <v/>
      </c>
      <c r="AB2850">
        <f>IF(AND(LEFT(N2850,7)="Explore",(AA2850-IF(LEFT(N2850,7)="Explore",S2850,0))&lt;10),"SI","NO")</f>
        <v/>
      </c>
    </row>
    <row r="2851">
      <c r="A2851" t="inlineStr">
        <is>
          <t>c7m4_test</t>
        </is>
      </c>
      <c r="B2851" t="inlineStr">
        <is>
          <t>2026-05-20 11:14:24.582</t>
        </is>
      </c>
      <c r="C2851" t="n">
        <v/>
      </c>
      <c r="D2851" t="inlineStr">
        <is>
          <t>Media file</t>
        </is>
      </c>
      <c r="E2851" t="inlineStr">
        <is>
          <t>player #1:C:/Users/manuel.felline/Documents/BEHAVIOR BTBR/NOR second cohort/BTBR/test/c7_m4.mp4</t>
        </is>
      </c>
      <c r="F2851" t="n">
        <v>-8.766999999999999</v>
      </c>
      <c r="G2851" t="n">
        <v>577.266</v>
      </c>
      <c r="H2851" t="n">
        <v>636.766</v>
      </c>
      <c r="I2851" t="n">
        <v>30</v>
      </c>
      <c r="J2851" t="inlineStr">
        <is>
          <t>BTBR</t>
        </is>
      </c>
      <c r="K2851" t="inlineStr">
        <is>
          <t>Male</t>
        </is>
      </c>
      <c r="L2851" t="inlineStr">
        <is>
          <t>No focal subject</t>
        </is>
      </c>
      <c r="M2851" t="n">
        <v>71.63200000000001</v>
      </c>
      <c r="N2851" t="inlineStr">
        <is>
          <t>Explore_F</t>
        </is>
      </c>
      <c r="O2851" t="inlineStr">
        <is>
          <t>Familiar</t>
        </is>
      </c>
      <c r="P2851" t="inlineStr">
        <is>
          <t>STATE</t>
        </is>
      </c>
      <c r="Q2851" t="n">
        <v>179.099</v>
      </c>
      <c r="R2851" t="n">
        <v>179.533</v>
      </c>
      <c r="S2851" t="n">
        <v>0.434</v>
      </c>
      <c r="T2851" t="inlineStr">
        <is>
          <t>C:/Users/manuel.felline/Documents/BEHAVIOR BTBR/NOR second cohort/BTBR/test/c7_m4.mp4</t>
        </is>
      </c>
      <c r="U2851" t="n">
        <v>5636</v>
      </c>
      <c r="V2851" t="n">
        <v>5649</v>
      </c>
      <c r="W2851" t="n">
        <v/>
      </c>
      <c r="X2851" t="n">
        <v/>
      </c>
      <c r="Y2851" t="n">
        <v/>
      </c>
      <c r="Z2851" t="n">
        <v/>
      </c>
      <c r="AA2851">
        <f>SUMIFS($S$2:S2851,$A$2:A2851,A2851,$N$2:N2851,"Explore*")</f>
        <v/>
      </c>
      <c r="AB2851">
        <f>IF(AND(LEFT(N2851,7)="Explore",(AA2851-IF(LEFT(N2851,7)="Explore",S2851,0))&lt;10),"SI","NO")</f>
        <v/>
      </c>
    </row>
    <row r="2852">
      <c r="A2852" t="inlineStr">
        <is>
          <t>c7m4_test</t>
        </is>
      </c>
      <c r="B2852" t="inlineStr">
        <is>
          <t>2026-05-20 11:14:24.582</t>
        </is>
      </c>
      <c r="C2852" t="n">
        <v/>
      </c>
      <c r="D2852" t="inlineStr">
        <is>
          <t>Media file</t>
        </is>
      </c>
      <c r="E2852" t="inlineStr">
        <is>
          <t>player #1:C:/Users/manuel.felline/Documents/BEHAVIOR BTBR/NOR second cohort/BTBR/test/c7_m4.mp4</t>
        </is>
      </c>
      <c r="F2852" t="n">
        <v>-8.766999999999999</v>
      </c>
      <c r="G2852" t="n">
        <v>577.266</v>
      </c>
      <c r="H2852" t="n">
        <v>636.766</v>
      </c>
      <c r="I2852" t="n">
        <v>30</v>
      </c>
      <c r="J2852" t="inlineStr">
        <is>
          <t>BTBR</t>
        </is>
      </c>
      <c r="K2852" t="inlineStr">
        <is>
          <t>Male</t>
        </is>
      </c>
      <c r="L2852" t="inlineStr">
        <is>
          <t>No focal subject</t>
        </is>
      </c>
      <c r="M2852" t="n">
        <v>71.63200000000001</v>
      </c>
      <c r="N2852" t="inlineStr">
        <is>
          <t>Explore_F</t>
        </is>
      </c>
      <c r="O2852" t="inlineStr">
        <is>
          <t>Familiar</t>
        </is>
      </c>
      <c r="P2852" t="inlineStr">
        <is>
          <t>STATE</t>
        </is>
      </c>
      <c r="Q2852" t="n">
        <v>189.399</v>
      </c>
      <c r="R2852" t="n">
        <v>189.899</v>
      </c>
      <c r="S2852" t="n">
        <v>0.5</v>
      </c>
      <c r="T2852" t="inlineStr">
        <is>
          <t>C:/Users/manuel.felline/Documents/BEHAVIOR BTBR/NOR second cohort/BTBR/test/c7_m4.mp4</t>
        </is>
      </c>
      <c r="U2852" t="n">
        <v>5945</v>
      </c>
      <c r="V2852" t="n">
        <v>5960</v>
      </c>
      <c r="W2852" t="n">
        <v/>
      </c>
      <c r="X2852" t="n">
        <v/>
      </c>
      <c r="Y2852" t="n">
        <v/>
      </c>
      <c r="Z2852" t="n">
        <v/>
      </c>
      <c r="AA2852">
        <f>SUMIFS($S$2:S2852,$A$2:A2852,A2852,$N$2:N2852,"Explore*")</f>
        <v/>
      </c>
      <c r="AB2852">
        <f>IF(AND(LEFT(N2852,7)="Explore",(AA2852-IF(LEFT(N2852,7)="Explore",S2852,0))&lt;10),"SI","NO")</f>
        <v/>
      </c>
    </row>
    <row r="2853">
      <c r="A2853" t="inlineStr">
        <is>
          <t>c7m4_test</t>
        </is>
      </c>
      <c r="B2853" t="inlineStr">
        <is>
          <t>2026-05-20 11:14:24.582</t>
        </is>
      </c>
      <c r="C2853" t="n">
        <v/>
      </c>
      <c r="D2853" t="inlineStr">
        <is>
          <t>Media file</t>
        </is>
      </c>
      <c r="E2853" t="inlineStr">
        <is>
          <t>player #1:C:/Users/manuel.felline/Documents/BEHAVIOR BTBR/NOR second cohort/BTBR/test/c7_m4.mp4</t>
        </is>
      </c>
      <c r="F2853" t="n">
        <v>-8.766999999999999</v>
      </c>
      <c r="G2853" t="n">
        <v>577.266</v>
      </c>
      <c r="H2853" t="n">
        <v>636.766</v>
      </c>
      <c r="I2853" t="n">
        <v>30</v>
      </c>
      <c r="J2853" t="inlineStr">
        <is>
          <t>BTBR</t>
        </is>
      </c>
      <c r="K2853" t="inlineStr">
        <is>
          <t>Male</t>
        </is>
      </c>
      <c r="L2853" t="inlineStr">
        <is>
          <t>No focal subject</t>
        </is>
      </c>
      <c r="M2853" t="n">
        <v>71.63200000000001</v>
      </c>
      <c r="N2853" t="inlineStr">
        <is>
          <t>Explore_N</t>
        </is>
      </c>
      <c r="O2853" t="inlineStr">
        <is>
          <t>Novelty</t>
        </is>
      </c>
      <c r="P2853" t="inlineStr">
        <is>
          <t>STATE</t>
        </is>
      </c>
      <c r="Q2853" t="n">
        <v>190.766</v>
      </c>
      <c r="R2853" t="n">
        <v>195.466</v>
      </c>
      <c r="S2853" t="n">
        <v>4.7</v>
      </c>
      <c r="T2853" t="inlineStr">
        <is>
          <t>C:/Users/manuel.felline/Documents/BEHAVIOR BTBR/NOR second cohort/BTBR/test/c7_m4.mp4</t>
        </is>
      </c>
      <c r="U2853" t="n">
        <v>5986</v>
      </c>
      <c r="V2853" t="n">
        <v>6127</v>
      </c>
      <c r="W2853" t="n">
        <v/>
      </c>
      <c r="X2853" t="n">
        <v/>
      </c>
      <c r="Y2853" t="n">
        <v/>
      </c>
      <c r="Z2853" t="n">
        <v/>
      </c>
      <c r="AA2853">
        <f>SUMIFS($S$2:S2853,$A$2:A2853,A2853,$N$2:N2853,"Explore*")</f>
        <v/>
      </c>
      <c r="AB2853">
        <f>IF(AND(LEFT(N2853,7)="Explore",(AA2853-IF(LEFT(N2853,7)="Explore",S2853,0))&lt;10),"SI","NO")</f>
        <v/>
      </c>
    </row>
    <row r="2854">
      <c r="A2854" t="inlineStr">
        <is>
          <t>c7m4_test</t>
        </is>
      </c>
      <c r="B2854" t="inlineStr">
        <is>
          <t>2026-05-20 11:14:24.582</t>
        </is>
      </c>
      <c r="C2854" t="n">
        <v/>
      </c>
      <c r="D2854" t="inlineStr">
        <is>
          <t>Media file</t>
        </is>
      </c>
      <c r="E2854" t="inlineStr">
        <is>
          <t>player #1:C:/Users/manuel.felline/Documents/BEHAVIOR BTBR/NOR second cohort/BTBR/test/c7_m4.mp4</t>
        </is>
      </c>
      <c r="F2854" t="n">
        <v>-8.766999999999999</v>
      </c>
      <c r="G2854" t="n">
        <v>577.266</v>
      </c>
      <c r="H2854" t="n">
        <v>636.766</v>
      </c>
      <c r="I2854" t="n">
        <v>30</v>
      </c>
      <c r="J2854" t="inlineStr">
        <is>
          <t>BTBR</t>
        </is>
      </c>
      <c r="K2854" t="inlineStr">
        <is>
          <t>Male</t>
        </is>
      </c>
      <c r="L2854" t="inlineStr">
        <is>
          <t>No focal subject</t>
        </is>
      </c>
      <c r="M2854" t="n">
        <v>71.63200000000001</v>
      </c>
      <c r="N2854" t="inlineStr">
        <is>
          <t>Explore_N</t>
        </is>
      </c>
      <c r="O2854" t="inlineStr">
        <is>
          <t>Novelty</t>
        </is>
      </c>
      <c r="P2854" t="inlineStr">
        <is>
          <t>STATE</t>
        </is>
      </c>
      <c r="Q2854" t="n">
        <v>197.933</v>
      </c>
      <c r="R2854" t="n">
        <v>199.299</v>
      </c>
      <c r="S2854" t="n">
        <v>1.366</v>
      </c>
      <c r="T2854" t="inlineStr">
        <is>
          <t>C:/Users/manuel.felline/Documents/BEHAVIOR BTBR/NOR second cohort/BTBR/test/c7_m4.mp4</t>
        </is>
      </c>
      <c r="U2854" t="n">
        <v>6201</v>
      </c>
      <c r="V2854" t="n">
        <v>6242</v>
      </c>
      <c r="W2854" t="n">
        <v/>
      </c>
      <c r="X2854" t="n">
        <v/>
      </c>
      <c r="Y2854" t="n">
        <v/>
      </c>
      <c r="Z2854" t="n">
        <v/>
      </c>
      <c r="AA2854">
        <f>SUMIFS($S$2:S2854,$A$2:A2854,A2854,$N$2:N2854,"Explore*")</f>
        <v/>
      </c>
      <c r="AB2854">
        <f>IF(AND(LEFT(N2854,7)="Explore",(AA2854-IF(LEFT(N2854,7)="Explore",S2854,0))&lt;10),"SI","NO")</f>
        <v/>
      </c>
    </row>
    <row r="2855">
      <c r="A2855" t="inlineStr">
        <is>
          <t>c7m4_test</t>
        </is>
      </c>
      <c r="B2855" t="inlineStr">
        <is>
          <t>2026-05-20 11:14:24.582</t>
        </is>
      </c>
      <c r="C2855" t="n">
        <v/>
      </c>
      <c r="D2855" t="inlineStr">
        <is>
          <t>Media file</t>
        </is>
      </c>
      <c r="E2855" t="inlineStr">
        <is>
          <t>player #1:C:/Users/manuel.felline/Documents/BEHAVIOR BTBR/NOR second cohort/BTBR/test/c7_m4.mp4</t>
        </is>
      </c>
      <c r="F2855" t="n">
        <v>-8.766999999999999</v>
      </c>
      <c r="G2855" t="n">
        <v>577.266</v>
      </c>
      <c r="H2855" t="n">
        <v>636.766</v>
      </c>
      <c r="I2855" t="n">
        <v>30</v>
      </c>
      <c r="J2855" t="inlineStr">
        <is>
          <t>BTBR</t>
        </is>
      </c>
      <c r="K2855" t="inlineStr">
        <is>
          <t>Male</t>
        </is>
      </c>
      <c r="L2855" t="inlineStr">
        <is>
          <t>No focal subject</t>
        </is>
      </c>
      <c r="M2855" t="n">
        <v>71.63200000000001</v>
      </c>
      <c r="N2855" t="inlineStr">
        <is>
          <t>Explore_N</t>
        </is>
      </c>
      <c r="O2855" t="inlineStr">
        <is>
          <t>Novelty</t>
        </is>
      </c>
      <c r="P2855" t="inlineStr">
        <is>
          <t>STATE</t>
        </is>
      </c>
      <c r="Q2855" t="n">
        <v>208.466</v>
      </c>
      <c r="R2855" t="n">
        <v>210.133</v>
      </c>
      <c r="S2855" t="n">
        <v>1.667</v>
      </c>
      <c r="T2855" t="inlineStr">
        <is>
          <t>C:/Users/manuel.felline/Documents/BEHAVIOR BTBR/NOR second cohort/BTBR/test/c7_m4.mp4</t>
        </is>
      </c>
      <c r="U2855" t="n">
        <v>6517</v>
      </c>
      <c r="V2855" t="n">
        <v>6567</v>
      </c>
      <c r="W2855" t="n">
        <v/>
      </c>
      <c r="X2855" t="n">
        <v/>
      </c>
      <c r="Y2855" t="n">
        <v/>
      </c>
      <c r="Z2855" t="n">
        <v/>
      </c>
      <c r="AA2855">
        <f>SUMIFS($S$2:S2855,$A$2:A2855,A2855,$N$2:N2855,"Explore*")</f>
        <v/>
      </c>
      <c r="AB2855">
        <f>IF(AND(LEFT(N2855,7)="Explore",(AA2855-IF(LEFT(N2855,7)="Explore",S2855,0))&lt;10),"SI","NO")</f>
        <v/>
      </c>
    </row>
    <row r="2856">
      <c r="A2856" t="inlineStr">
        <is>
          <t>c7m4_test</t>
        </is>
      </c>
      <c r="B2856" t="inlineStr">
        <is>
          <t>2026-05-20 11:14:24.582</t>
        </is>
      </c>
      <c r="C2856" t="n">
        <v/>
      </c>
      <c r="D2856" t="inlineStr">
        <is>
          <t>Media file</t>
        </is>
      </c>
      <c r="E2856" t="inlineStr">
        <is>
          <t>player #1:C:/Users/manuel.felline/Documents/BEHAVIOR BTBR/NOR second cohort/BTBR/test/c7_m4.mp4</t>
        </is>
      </c>
      <c r="F2856" t="n">
        <v>-8.766999999999999</v>
      </c>
      <c r="G2856" t="n">
        <v>577.266</v>
      </c>
      <c r="H2856" t="n">
        <v>636.766</v>
      </c>
      <c r="I2856" t="n">
        <v>30</v>
      </c>
      <c r="J2856" t="inlineStr">
        <is>
          <t>BTBR</t>
        </is>
      </c>
      <c r="K2856" t="inlineStr">
        <is>
          <t>Male</t>
        </is>
      </c>
      <c r="L2856" t="inlineStr">
        <is>
          <t>No focal subject</t>
        </is>
      </c>
      <c r="M2856" t="n">
        <v>71.63200000000001</v>
      </c>
      <c r="N2856" t="inlineStr">
        <is>
          <t>Explore_N</t>
        </is>
      </c>
      <c r="O2856" t="inlineStr">
        <is>
          <t>Novelty</t>
        </is>
      </c>
      <c r="P2856" t="inlineStr">
        <is>
          <t>STATE</t>
        </is>
      </c>
      <c r="Q2856" t="n">
        <v>213.666</v>
      </c>
      <c r="R2856" t="n">
        <v>215.199</v>
      </c>
      <c r="S2856" t="n">
        <v>1.533</v>
      </c>
      <c r="T2856" t="inlineStr">
        <is>
          <t>C:/Users/manuel.felline/Documents/BEHAVIOR BTBR/NOR second cohort/BTBR/test/c7_m4.mp4</t>
        </is>
      </c>
      <c r="U2856" t="n">
        <v>6673</v>
      </c>
      <c r="V2856" t="n">
        <v>6719</v>
      </c>
      <c r="W2856" t="n">
        <v/>
      </c>
      <c r="X2856" t="n">
        <v/>
      </c>
      <c r="Y2856" t="n">
        <v/>
      </c>
      <c r="Z2856" t="n">
        <v/>
      </c>
      <c r="AA2856">
        <f>SUMIFS($S$2:S2856,$A$2:A2856,A2856,$N$2:N2856,"Explore*")</f>
        <v/>
      </c>
      <c r="AB2856">
        <f>IF(AND(LEFT(N2856,7)="Explore",(AA2856-IF(LEFT(N2856,7)="Explore",S2856,0))&lt;10),"SI","NO")</f>
        <v/>
      </c>
    </row>
    <row r="2857">
      <c r="A2857" t="inlineStr">
        <is>
          <t>c7m4_test</t>
        </is>
      </c>
      <c r="B2857" t="inlineStr">
        <is>
          <t>2026-05-20 11:14:24.582</t>
        </is>
      </c>
      <c r="C2857" t="n">
        <v/>
      </c>
      <c r="D2857" t="inlineStr">
        <is>
          <t>Media file</t>
        </is>
      </c>
      <c r="E2857" t="inlineStr">
        <is>
          <t>player #1:C:/Users/manuel.felline/Documents/BEHAVIOR BTBR/NOR second cohort/BTBR/test/c7_m4.mp4</t>
        </is>
      </c>
      <c r="F2857" t="n">
        <v>-8.766999999999999</v>
      </c>
      <c r="G2857" t="n">
        <v>577.266</v>
      </c>
      <c r="H2857" t="n">
        <v>636.766</v>
      </c>
      <c r="I2857" t="n">
        <v>30</v>
      </c>
      <c r="J2857" t="inlineStr">
        <is>
          <t>BTBR</t>
        </is>
      </c>
      <c r="K2857" t="inlineStr">
        <is>
          <t>Male</t>
        </is>
      </c>
      <c r="L2857" t="inlineStr">
        <is>
          <t>No focal subject</t>
        </is>
      </c>
      <c r="M2857" t="n">
        <v>71.63200000000001</v>
      </c>
      <c r="N2857" t="inlineStr">
        <is>
          <t>Explore_F</t>
        </is>
      </c>
      <c r="O2857" t="inlineStr">
        <is>
          <t>Familiar</t>
        </is>
      </c>
      <c r="P2857" t="inlineStr">
        <is>
          <t>STATE</t>
        </is>
      </c>
      <c r="Q2857" t="n">
        <v>216.366</v>
      </c>
      <c r="R2857" t="n">
        <v>216.733</v>
      </c>
      <c r="S2857" t="n">
        <v>0.367</v>
      </c>
      <c r="T2857" t="inlineStr">
        <is>
          <t>C:/Users/manuel.felline/Documents/BEHAVIOR BTBR/NOR second cohort/BTBR/test/c7_m4.mp4</t>
        </is>
      </c>
      <c r="U2857" t="n">
        <v>6754</v>
      </c>
      <c r="V2857" t="n">
        <v>6765</v>
      </c>
      <c r="W2857" t="n">
        <v/>
      </c>
      <c r="X2857" t="n">
        <v/>
      </c>
      <c r="Y2857" t="n">
        <v/>
      </c>
      <c r="Z2857" t="n">
        <v/>
      </c>
      <c r="AA2857">
        <f>SUMIFS($S$2:S2857,$A$2:A2857,A2857,$N$2:N2857,"Explore*")</f>
        <v/>
      </c>
      <c r="AB2857">
        <f>IF(AND(LEFT(N2857,7)="Explore",(AA2857-IF(LEFT(N2857,7)="Explore",S2857,0))&lt;10),"SI","NO")</f>
        <v/>
      </c>
    </row>
    <row r="2858">
      <c r="A2858" t="inlineStr">
        <is>
          <t>c7m4_test</t>
        </is>
      </c>
      <c r="B2858" t="inlineStr">
        <is>
          <t>2026-05-20 11:14:24.582</t>
        </is>
      </c>
      <c r="C2858" t="n">
        <v/>
      </c>
      <c r="D2858" t="inlineStr">
        <is>
          <t>Media file</t>
        </is>
      </c>
      <c r="E2858" t="inlineStr">
        <is>
          <t>player #1:C:/Users/manuel.felline/Documents/BEHAVIOR BTBR/NOR second cohort/BTBR/test/c7_m4.mp4</t>
        </is>
      </c>
      <c r="F2858" t="n">
        <v>-8.766999999999999</v>
      </c>
      <c r="G2858" t="n">
        <v>577.266</v>
      </c>
      <c r="H2858" t="n">
        <v>636.766</v>
      </c>
      <c r="I2858" t="n">
        <v>30</v>
      </c>
      <c r="J2858" t="inlineStr">
        <is>
          <t>BTBR</t>
        </is>
      </c>
      <c r="K2858" t="inlineStr">
        <is>
          <t>Male</t>
        </is>
      </c>
      <c r="L2858" t="inlineStr">
        <is>
          <t>No focal subject</t>
        </is>
      </c>
      <c r="M2858" t="n">
        <v>71.63200000000001</v>
      </c>
      <c r="N2858" t="inlineStr">
        <is>
          <t>Explore_N</t>
        </is>
      </c>
      <c r="O2858" t="inlineStr">
        <is>
          <t>Novelty</t>
        </is>
      </c>
      <c r="P2858" t="inlineStr">
        <is>
          <t>STATE</t>
        </is>
      </c>
      <c r="Q2858" t="n">
        <v>236.366</v>
      </c>
      <c r="R2858" t="n">
        <v>237.066</v>
      </c>
      <c r="S2858" t="n">
        <v>0.7</v>
      </c>
      <c r="T2858" t="inlineStr">
        <is>
          <t>C:/Users/manuel.felline/Documents/BEHAVIOR BTBR/NOR second cohort/BTBR/test/c7_m4.mp4</t>
        </is>
      </c>
      <c r="U2858" t="n">
        <v>7354</v>
      </c>
      <c r="V2858" t="n">
        <v>7375</v>
      </c>
      <c r="W2858" t="n">
        <v/>
      </c>
      <c r="X2858" t="n">
        <v/>
      </c>
      <c r="Y2858" t="n">
        <v/>
      </c>
      <c r="Z2858" t="n">
        <v/>
      </c>
      <c r="AA2858">
        <f>SUMIFS($S$2:S2858,$A$2:A2858,A2858,$N$2:N2858,"Explore*")</f>
        <v/>
      </c>
      <c r="AB2858">
        <f>IF(AND(LEFT(N2858,7)="Explore",(AA2858-IF(LEFT(N2858,7)="Explore",S2858,0))&lt;10),"SI","NO")</f>
        <v/>
      </c>
    </row>
    <row r="2859">
      <c r="A2859" t="inlineStr">
        <is>
          <t>c7m4_test</t>
        </is>
      </c>
      <c r="B2859" t="inlineStr">
        <is>
          <t>2026-05-20 11:14:24.582</t>
        </is>
      </c>
      <c r="C2859" t="n">
        <v/>
      </c>
      <c r="D2859" t="inlineStr">
        <is>
          <t>Media file</t>
        </is>
      </c>
      <c r="E2859" t="inlineStr">
        <is>
          <t>player #1:C:/Users/manuel.felline/Documents/BEHAVIOR BTBR/NOR second cohort/BTBR/test/c7_m4.mp4</t>
        </is>
      </c>
      <c r="F2859" t="n">
        <v>-8.766999999999999</v>
      </c>
      <c r="G2859" t="n">
        <v>577.266</v>
      </c>
      <c r="H2859" t="n">
        <v>636.766</v>
      </c>
      <c r="I2859" t="n">
        <v>30</v>
      </c>
      <c r="J2859" t="inlineStr">
        <is>
          <t>BTBR</t>
        </is>
      </c>
      <c r="K2859" t="inlineStr">
        <is>
          <t>Male</t>
        </is>
      </c>
      <c r="L2859" t="inlineStr">
        <is>
          <t>No focal subject</t>
        </is>
      </c>
      <c r="M2859" t="n">
        <v>71.63200000000001</v>
      </c>
      <c r="N2859" t="inlineStr">
        <is>
          <t>Explore_F</t>
        </is>
      </c>
      <c r="O2859" t="inlineStr">
        <is>
          <t>Familiar</t>
        </is>
      </c>
      <c r="P2859" t="inlineStr">
        <is>
          <t>STATE</t>
        </is>
      </c>
      <c r="Q2859" t="n">
        <v>240.533</v>
      </c>
      <c r="R2859" t="n">
        <v>240.899</v>
      </c>
      <c r="S2859" t="n">
        <v>0.366</v>
      </c>
      <c r="T2859" t="inlineStr">
        <is>
          <t>C:/Users/manuel.felline/Documents/BEHAVIOR BTBR/NOR second cohort/BTBR/test/c7_m4.mp4</t>
        </is>
      </c>
      <c r="U2859" t="n">
        <v>7479</v>
      </c>
      <c r="V2859" t="n">
        <v>7490</v>
      </c>
      <c r="W2859" t="n">
        <v/>
      </c>
      <c r="X2859" t="n">
        <v/>
      </c>
      <c r="Y2859" t="n">
        <v/>
      </c>
      <c r="Z2859" t="n">
        <v/>
      </c>
      <c r="AA2859">
        <f>SUMIFS($S$2:S2859,$A$2:A2859,A2859,$N$2:N2859,"Explore*")</f>
        <v/>
      </c>
      <c r="AB2859">
        <f>IF(AND(LEFT(N2859,7)="Explore",(AA2859-IF(LEFT(N2859,7)="Explore",S2859,0))&lt;10),"SI","NO")</f>
        <v/>
      </c>
    </row>
    <row r="2860">
      <c r="A2860" t="inlineStr">
        <is>
          <t>c7m4_test</t>
        </is>
      </c>
      <c r="B2860" t="inlineStr">
        <is>
          <t>2026-05-20 11:14:24.582</t>
        </is>
      </c>
      <c r="C2860" t="n">
        <v/>
      </c>
      <c r="D2860" t="inlineStr">
        <is>
          <t>Media file</t>
        </is>
      </c>
      <c r="E2860" t="inlineStr">
        <is>
          <t>player #1:C:/Users/manuel.felline/Documents/BEHAVIOR BTBR/NOR second cohort/BTBR/test/c7_m4.mp4</t>
        </is>
      </c>
      <c r="F2860" t="n">
        <v>-8.766999999999999</v>
      </c>
      <c r="G2860" t="n">
        <v>577.266</v>
      </c>
      <c r="H2860" t="n">
        <v>636.766</v>
      </c>
      <c r="I2860" t="n">
        <v>30</v>
      </c>
      <c r="J2860" t="inlineStr">
        <is>
          <t>BTBR</t>
        </is>
      </c>
      <c r="K2860" t="inlineStr">
        <is>
          <t>Male</t>
        </is>
      </c>
      <c r="L2860" t="inlineStr">
        <is>
          <t>No focal subject</t>
        </is>
      </c>
      <c r="M2860" t="n">
        <v>71.63200000000001</v>
      </c>
      <c r="N2860" t="inlineStr">
        <is>
          <t>Explore_N</t>
        </is>
      </c>
      <c r="O2860" t="inlineStr">
        <is>
          <t>Novelty</t>
        </is>
      </c>
      <c r="P2860" t="inlineStr">
        <is>
          <t>STATE</t>
        </is>
      </c>
      <c r="Q2860" t="n">
        <v>247.966</v>
      </c>
      <c r="R2860" t="n">
        <v>250.066</v>
      </c>
      <c r="S2860" t="n">
        <v>2.1</v>
      </c>
      <c r="T2860" t="inlineStr">
        <is>
          <t>C:/Users/manuel.felline/Documents/BEHAVIOR BTBR/NOR second cohort/BTBR/test/c7_m4.mp4</t>
        </is>
      </c>
      <c r="U2860" t="n">
        <v>7702</v>
      </c>
      <c r="V2860" t="n">
        <v>7765</v>
      </c>
      <c r="W2860" t="n">
        <v/>
      </c>
      <c r="X2860" t="n">
        <v/>
      </c>
      <c r="Y2860" t="n">
        <v/>
      </c>
      <c r="Z2860" t="n">
        <v/>
      </c>
      <c r="AA2860">
        <f>SUMIFS($S$2:S2860,$A$2:A2860,A2860,$N$2:N2860,"Explore*")</f>
        <v/>
      </c>
      <c r="AB2860">
        <f>IF(AND(LEFT(N2860,7)="Explore",(AA2860-IF(LEFT(N2860,7)="Explore",S2860,0))&lt;10),"SI","NO")</f>
        <v/>
      </c>
    </row>
    <row r="2861">
      <c r="A2861" t="inlineStr">
        <is>
          <t>c7m4_test</t>
        </is>
      </c>
      <c r="B2861" t="inlineStr">
        <is>
          <t>2026-05-20 11:14:24.582</t>
        </is>
      </c>
      <c r="C2861" t="n">
        <v/>
      </c>
      <c r="D2861" t="inlineStr">
        <is>
          <t>Media file</t>
        </is>
      </c>
      <c r="E2861" t="inlineStr">
        <is>
          <t>player #1:C:/Users/manuel.felline/Documents/BEHAVIOR BTBR/NOR second cohort/BTBR/test/c7_m4.mp4</t>
        </is>
      </c>
      <c r="F2861" t="n">
        <v>-8.766999999999999</v>
      </c>
      <c r="G2861" t="n">
        <v>577.266</v>
      </c>
      <c r="H2861" t="n">
        <v>636.766</v>
      </c>
      <c r="I2861" t="n">
        <v>30</v>
      </c>
      <c r="J2861" t="inlineStr">
        <is>
          <t>BTBR</t>
        </is>
      </c>
      <c r="K2861" t="inlineStr">
        <is>
          <t>Male</t>
        </is>
      </c>
      <c r="L2861" t="inlineStr">
        <is>
          <t>No focal subject</t>
        </is>
      </c>
      <c r="M2861" t="n">
        <v>71.63200000000001</v>
      </c>
      <c r="N2861" t="inlineStr">
        <is>
          <t>Explore_F</t>
        </is>
      </c>
      <c r="O2861" t="inlineStr">
        <is>
          <t>Familiar</t>
        </is>
      </c>
      <c r="P2861" t="inlineStr">
        <is>
          <t>STATE</t>
        </is>
      </c>
      <c r="Q2861" t="n">
        <v>250.733</v>
      </c>
      <c r="R2861" t="n">
        <v>251.599</v>
      </c>
      <c r="S2861" t="n">
        <v>0.866</v>
      </c>
      <c r="T2861" t="inlineStr">
        <is>
          <t>C:/Users/manuel.felline/Documents/BEHAVIOR BTBR/NOR second cohort/BTBR/test/c7_m4.mp4</t>
        </is>
      </c>
      <c r="U2861" t="n">
        <v>7785</v>
      </c>
      <c r="V2861" t="n">
        <v>7811</v>
      </c>
      <c r="W2861" t="n">
        <v/>
      </c>
      <c r="X2861" t="n">
        <v/>
      </c>
      <c r="Y2861" t="n">
        <v/>
      </c>
      <c r="Z2861" t="n">
        <v/>
      </c>
      <c r="AA2861">
        <f>SUMIFS($S$2:S2861,$A$2:A2861,A2861,$N$2:N2861,"Explore*")</f>
        <v/>
      </c>
      <c r="AB2861">
        <f>IF(AND(LEFT(N2861,7)="Explore",(AA2861-IF(LEFT(N2861,7)="Explore",S2861,0))&lt;10),"SI","NO")</f>
        <v/>
      </c>
    </row>
    <row r="2862">
      <c r="A2862" t="inlineStr">
        <is>
          <t>c7m4_test</t>
        </is>
      </c>
      <c r="B2862" t="inlineStr">
        <is>
          <t>2026-05-20 11:14:24.582</t>
        </is>
      </c>
      <c r="C2862" t="n">
        <v/>
      </c>
      <c r="D2862" t="inlineStr">
        <is>
          <t>Media file</t>
        </is>
      </c>
      <c r="E2862" t="inlineStr">
        <is>
          <t>player #1:C:/Users/manuel.felline/Documents/BEHAVIOR BTBR/NOR second cohort/BTBR/test/c7_m4.mp4</t>
        </is>
      </c>
      <c r="F2862" t="n">
        <v>-8.766999999999999</v>
      </c>
      <c r="G2862" t="n">
        <v>577.266</v>
      </c>
      <c r="H2862" t="n">
        <v>636.766</v>
      </c>
      <c r="I2862" t="n">
        <v>30</v>
      </c>
      <c r="J2862" t="inlineStr">
        <is>
          <t>BTBR</t>
        </is>
      </c>
      <c r="K2862" t="inlineStr">
        <is>
          <t>Male</t>
        </is>
      </c>
      <c r="L2862" t="inlineStr">
        <is>
          <t>No focal subject</t>
        </is>
      </c>
      <c r="M2862" t="n">
        <v>71.63200000000001</v>
      </c>
      <c r="N2862" t="inlineStr">
        <is>
          <t>Explore_F</t>
        </is>
      </c>
      <c r="O2862" t="inlineStr">
        <is>
          <t>Familiar</t>
        </is>
      </c>
      <c r="P2862" t="inlineStr">
        <is>
          <t>STATE</t>
        </is>
      </c>
      <c r="Q2862" t="n">
        <v>252.566</v>
      </c>
      <c r="R2862" t="n">
        <v>253.399</v>
      </c>
      <c r="S2862" t="n">
        <v>0.833</v>
      </c>
      <c r="T2862" t="inlineStr">
        <is>
          <t>C:/Users/manuel.felline/Documents/BEHAVIOR BTBR/NOR second cohort/BTBR/test/c7_m4.mp4</t>
        </is>
      </c>
      <c r="U2862" t="n">
        <v>7840</v>
      </c>
      <c r="V2862" t="n">
        <v>7865</v>
      </c>
      <c r="W2862" t="n">
        <v/>
      </c>
      <c r="X2862" t="n">
        <v/>
      </c>
      <c r="Y2862" t="n">
        <v/>
      </c>
      <c r="Z2862" t="n">
        <v/>
      </c>
      <c r="AA2862">
        <f>SUMIFS($S$2:S2862,$A$2:A2862,A2862,$N$2:N2862,"Explore*")</f>
        <v/>
      </c>
      <c r="AB2862">
        <f>IF(AND(LEFT(N2862,7)="Explore",(AA2862-IF(LEFT(N2862,7)="Explore",S2862,0))&lt;10),"SI","NO")</f>
        <v/>
      </c>
    </row>
    <row r="2863">
      <c r="A2863" t="inlineStr">
        <is>
          <t>c7m4_test</t>
        </is>
      </c>
      <c r="B2863" t="inlineStr">
        <is>
          <t>2026-05-20 11:14:24.582</t>
        </is>
      </c>
      <c r="C2863" t="n">
        <v/>
      </c>
      <c r="D2863" t="inlineStr">
        <is>
          <t>Media file</t>
        </is>
      </c>
      <c r="E2863" t="inlineStr">
        <is>
          <t>player #1:C:/Users/manuel.felline/Documents/BEHAVIOR BTBR/NOR second cohort/BTBR/test/c7_m4.mp4</t>
        </is>
      </c>
      <c r="F2863" t="n">
        <v>-8.766999999999999</v>
      </c>
      <c r="G2863" t="n">
        <v>577.266</v>
      </c>
      <c r="H2863" t="n">
        <v>636.766</v>
      </c>
      <c r="I2863" t="n">
        <v>30</v>
      </c>
      <c r="J2863" t="inlineStr">
        <is>
          <t>BTBR</t>
        </is>
      </c>
      <c r="K2863" t="inlineStr">
        <is>
          <t>Male</t>
        </is>
      </c>
      <c r="L2863" t="inlineStr">
        <is>
          <t>No focal subject</t>
        </is>
      </c>
      <c r="M2863" t="n">
        <v>71.63200000000001</v>
      </c>
      <c r="N2863" t="inlineStr">
        <is>
          <t>Explore_N</t>
        </is>
      </c>
      <c r="O2863" t="inlineStr">
        <is>
          <t>Novelty</t>
        </is>
      </c>
      <c r="P2863" t="inlineStr">
        <is>
          <t>STATE</t>
        </is>
      </c>
      <c r="Q2863" t="n">
        <v>254.333</v>
      </c>
      <c r="R2863" t="n">
        <v>255.166</v>
      </c>
      <c r="S2863" t="n">
        <v>0.833</v>
      </c>
      <c r="T2863" t="inlineStr">
        <is>
          <t>C:/Users/manuel.felline/Documents/BEHAVIOR BTBR/NOR second cohort/BTBR/test/c7_m4.mp4</t>
        </is>
      </c>
      <c r="U2863" t="n">
        <v>7893</v>
      </c>
      <c r="V2863" t="n">
        <v>7918</v>
      </c>
      <c r="W2863" t="n">
        <v/>
      </c>
      <c r="X2863" t="n">
        <v/>
      </c>
      <c r="Y2863" t="n">
        <v/>
      </c>
      <c r="Z2863" t="n">
        <v/>
      </c>
      <c r="AA2863">
        <f>SUMIFS($S$2:S2863,$A$2:A2863,A2863,$N$2:N2863,"Explore*")</f>
        <v/>
      </c>
      <c r="AB2863">
        <f>IF(AND(LEFT(N2863,7)="Explore",(AA2863-IF(LEFT(N2863,7)="Explore",S2863,0))&lt;10),"SI","NO")</f>
        <v/>
      </c>
    </row>
    <row r="2864">
      <c r="A2864" t="inlineStr">
        <is>
          <t>c7m4_test</t>
        </is>
      </c>
      <c r="B2864" t="inlineStr">
        <is>
          <t>2026-05-20 11:14:24.582</t>
        </is>
      </c>
      <c r="C2864" t="n">
        <v/>
      </c>
      <c r="D2864" t="inlineStr">
        <is>
          <t>Media file</t>
        </is>
      </c>
      <c r="E2864" t="inlineStr">
        <is>
          <t>player #1:C:/Users/manuel.felline/Documents/BEHAVIOR BTBR/NOR second cohort/BTBR/test/c7_m4.mp4</t>
        </is>
      </c>
      <c r="F2864" t="n">
        <v>-8.766999999999999</v>
      </c>
      <c r="G2864" t="n">
        <v>577.266</v>
      </c>
      <c r="H2864" t="n">
        <v>636.766</v>
      </c>
      <c r="I2864" t="n">
        <v>30</v>
      </c>
      <c r="J2864" t="inlineStr">
        <is>
          <t>BTBR</t>
        </is>
      </c>
      <c r="K2864" t="inlineStr">
        <is>
          <t>Male</t>
        </is>
      </c>
      <c r="L2864" t="inlineStr">
        <is>
          <t>No focal subject</t>
        </is>
      </c>
      <c r="M2864" t="n">
        <v>71.63200000000001</v>
      </c>
      <c r="N2864" t="inlineStr">
        <is>
          <t>Explore_F</t>
        </is>
      </c>
      <c r="O2864" t="inlineStr">
        <is>
          <t>Familiar</t>
        </is>
      </c>
      <c r="P2864" t="inlineStr">
        <is>
          <t>STATE</t>
        </is>
      </c>
      <c r="Q2864" t="n">
        <v>282.499</v>
      </c>
      <c r="R2864" t="n">
        <v>282.899</v>
      </c>
      <c r="S2864" t="n">
        <v>0.4</v>
      </c>
      <c r="T2864" t="inlineStr">
        <is>
          <t>C:/Users/manuel.felline/Documents/BEHAVIOR BTBR/NOR second cohort/BTBR/test/c7_m4.mp4</t>
        </is>
      </c>
      <c r="U2864" t="n">
        <v>8738</v>
      </c>
      <c r="V2864" t="n">
        <v>8750</v>
      </c>
      <c r="W2864" t="n">
        <v/>
      </c>
      <c r="X2864" t="n">
        <v/>
      </c>
      <c r="Y2864" t="n">
        <v/>
      </c>
      <c r="Z2864" t="n">
        <v/>
      </c>
      <c r="AA2864">
        <f>SUMIFS($S$2:S2864,$A$2:A2864,A2864,$N$2:N2864,"Explore*")</f>
        <v/>
      </c>
      <c r="AB2864">
        <f>IF(AND(LEFT(N2864,7)="Explore",(AA2864-IF(LEFT(N2864,7)="Explore",S2864,0))&lt;10),"SI","NO")</f>
        <v/>
      </c>
    </row>
    <row r="2865">
      <c r="A2865" t="inlineStr">
        <is>
          <t>c7m4_test</t>
        </is>
      </c>
      <c r="B2865" t="inlineStr">
        <is>
          <t>2026-05-20 11:14:24.582</t>
        </is>
      </c>
      <c r="C2865" t="n">
        <v/>
      </c>
      <c r="D2865" t="inlineStr">
        <is>
          <t>Media file</t>
        </is>
      </c>
      <c r="E2865" t="inlineStr">
        <is>
          <t>player #1:C:/Users/manuel.felline/Documents/BEHAVIOR BTBR/NOR second cohort/BTBR/test/c7_m4.mp4</t>
        </is>
      </c>
      <c r="F2865" t="n">
        <v>-8.766999999999999</v>
      </c>
      <c r="G2865" t="n">
        <v>577.266</v>
      </c>
      <c r="H2865" t="n">
        <v>636.766</v>
      </c>
      <c r="I2865" t="n">
        <v>30</v>
      </c>
      <c r="J2865" t="inlineStr">
        <is>
          <t>BTBR</t>
        </is>
      </c>
      <c r="K2865" t="inlineStr">
        <is>
          <t>Male</t>
        </is>
      </c>
      <c r="L2865" t="inlineStr">
        <is>
          <t>No focal subject</t>
        </is>
      </c>
      <c r="M2865" t="n">
        <v>71.63200000000001</v>
      </c>
      <c r="N2865" t="inlineStr">
        <is>
          <t>Explore_N</t>
        </is>
      </c>
      <c r="O2865" t="inlineStr">
        <is>
          <t>Novelty</t>
        </is>
      </c>
      <c r="P2865" t="inlineStr">
        <is>
          <t>STATE</t>
        </is>
      </c>
      <c r="Q2865" t="n">
        <v>290.733</v>
      </c>
      <c r="R2865" t="n">
        <v>291.466</v>
      </c>
      <c r="S2865" t="n">
        <v>0.733</v>
      </c>
      <c r="T2865" t="inlineStr">
        <is>
          <t>C:/Users/manuel.felline/Documents/BEHAVIOR BTBR/NOR second cohort/BTBR/test/c7_m4.mp4</t>
        </is>
      </c>
      <c r="U2865" t="n">
        <v>8985</v>
      </c>
      <c r="V2865" t="n">
        <v>9007</v>
      </c>
      <c r="W2865" t="n">
        <v/>
      </c>
      <c r="X2865" t="n">
        <v/>
      </c>
      <c r="Y2865" t="n">
        <v/>
      </c>
      <c r="Z2865" t="n">
        <v/>
      </c>
      <c r="AA2865">
        <f>SUMIFS($S$2:S2865,$A$2:A2865,A2865,$N$2:N2865,"Explore*")</f>
        <v/>
      </c>
      <c r="AB2865">
        <f>IF(AND(LEFT(N2865,7)="Explore",(AA2865-IF(LEFT(N2865,7)="Explore",S2865,0))&lt;10),"SI","NO")</f>
        <v/>
      </c>
    </row>
    <row r="2866">
      <c r="A2866" t="inlineStr">
        <is>
          <t>c7m4_test</t>
        </is>
      </c>
      <c r="B2866" t="inlineStr">
        <is>
          <t>2026-05-20 11:14:24.582</t>
        </is>
      </c>
      <c r="C2866" t="n">
        <v/>
      </c>
      <c r="D2866" t="inlineStr">
        <is>
          <t>Media file</t>
        </is>
      </c>
      <c r="E2866" t="inlineStr">
        <is>
          <t>player #1:C:/Users/manuel.felline/Documents/BEHAVIOR BTBR/NOR second cohort/BTBR/test/c7_m4.mp4</t>
        </is>
      </c>
      <c r="F2866" t="n">
        <v>-8.766999999999999</v>
      </c>
      <c r="G2866" t="n">
        <v>577.266</v>
      </c>
      <c r="H2866" t="n">
        <v>636.766</v>
      </c>
      <c r="I2866" t="n">
        <v>30</v>
      </c>
      <c r="J2866" t="inlineStr">
        <is>
          <t>BTBR</t>
        </is>
      </c>
      <c r="K2866" t="inlineStr">
        <is>
          <t>Male</t>
        </is>
      </c>
      <c r="L2866" t="inlineStr">
        <is>
          <t>No focal subject</t>
        </is>
      </c>
      <c r="M2866" t="n">
        <v>71.63200000000001</v>
      </c>
      <c r="N2866" t="inlineStr">
        <is>
          <t>Explore_F</t>
        </is>
      </c>
      <c r="O2866" t="inlineStr">
        <is>
          <t>Familiar</t>
        </is>
      </c>
      <c r="P2866" t="inlineStr">
        <is>
          <t>STATE</t>
        </is>
      </c>
      <c r="Q2866" t="n">
        <v>292.533</v>
      </c>
      <c r="R2866" t="n">
        <v>293.133</v>
      </c>
      <c r="S2866" t="n">
        <v>0.6</v>
      </c>
      <c r="T2866" t="inlineStr">
        <is>
          <t>C:/Users/manuel.felline/Documents/BEHAVIOR BTBR/NOR second cohort/BTBR/test/c7_m4.mp4</t>
        </is>
      </c>
      <c r="U2866" t="n">
        <v>9039</v>
      </c>
      <c r="V2866" t="n">
        <v>9057</v>
      </c>
      <c r="W2866" t="n">
        <v/>
      </c>
      <c r="X2866" t="n">
        <v/>
      </c>
      <c r="Y2866" t="n">
        <v/>
      </c>
      <c r="Z2866" t="n">
        <v/>
      </c>
      <c r="AA2866">
        <f>SUMIFS($S$2:S2866,$A$2:A2866,A2866,$N$2:N2866,"Explore*")</f>
        <v/>
      </c>
      <c r="AB2866">
        <f>IF(AND(LEFT(N2866,7)="Explore",(AA2866-IF(LEFT(N2866,7)="Explore",S2866,0))&lt;10),"SI","NO")</f>
        <v/>
      </c>
    </row>
    <row r="2867">
      <c r="A2867" t="inlineStr">
        <is>
          <t>c7m4_test</t>
        </is>
      </c>
      <c r="B2867" t="inlineStr">
        <is>
          <t>2026-05-20 11:14:24.582</t>
        </is>
      </c>
      <c r="C2867" t="n">
        <v/>
      </c>
      <c r="D2867" t="inlineStr">
        <is>
          <t>Media file</t>
        </is>
      </c>
      <c r="E2867" t="inlineStr">
        <is>
          <t>player #1:C:/Users/manuel.felline/Documents/BEHAVIOR BTBR/NOR second cohort/BTBR/test/c7_m4.mp4</t>
        </is>
      </c>
      <c r="F2867" t="n">
        <v>-8.766999999999999</v>
      </c>
      <c r="G2867" t="n">
        <v>577.266</v>
      </c>
      <c r="H2867" t="n">
        <v>636.766</v>
      </c>
      <c r="I2867" t="n">
        <v>30</v>
      </c>
      <c r="J2867" t="inlineStr">
        <is>
          <t>BTBR</t>
        </is>
      </c>
      <c r="K2867" t="inlineStr">
        <is>
          <t>Male</t>
        </is>
      </c>
      <c r="L2867" t="inlineStr">
        <is>
          <t>No focal subject</t>
        </is>
      </c>
      <c r="M2867" t="n">
        <v>71.63200000000001</v>
      </c>
      <c r="N2867" t="inlineStr">
        <is>
          <t>Explore_N</t>
        </is>
      </c>
      <c r="O2867" t="inlineStr">
        <is>
          <t>Novelty</t>
        </is>
      </c>
      <c r="P2867" t="inlineStr">
        <is>
          <t>STATE</t>
        </is>
      </c>
      <c r="Q2867" t="n">
        <v>303.666</v>
      </c>
      <c r="R2867" t="n">
        <v>306.166</v>
      </c>
      <c r="S2867" t="n">
        <v>2.5</v>
      </c>
      <c r="T2867" t="inlineStr">
        <is>
          <t>C:/Users/manuel.felline/Documents/BEHAVIOR BTBR/NOR second cohort/BTBR/test/c7_m4.mp4</t>
        </is>
      </c>
      <c r="U2867" t="n">
        <v>9373</v>
      </c>
      <c r="V2867" t="n">
        <v>9448</v>
      </c>
      <c r="W2867" t="n">
        <v/>
      </c>
      <c r="X2867" t="n">
        <v/>
      </c>
      <c r="Y2867" t="n">
        <v/>
      </c>
      <c r="Z2867" t="n">
        <v/>
      </c>
      <c r="AA2867">
        <f>SUMIFS($S$2:S2867,$A$2:A2867,A2867,$N$2:N2867,"Explore*")</f>
        <v/>
      </c>
      <c r="AB2867">
        <f>IF(AND(LEFT(N2867,7)="Explore",(AA2867-IF(LEFT(N2867,7)="Explore",S2867,0))&lt;10),"SI","NO")</f>
        <v/>
      </c>
    </row>
    <row r="2868">
      <c r="A2868" t="inlineStr">
        <is>
          <t>c7m4_test</t>
        </is>
      </c>
      <c r="B2868" t="inlineStr">
        <is>
          <t>2026-05-20 11:14:24.582</t>
        </is>
      </c>
      <c r="C2868" t="n">
        <v/>
      </c>
      <c r="D2868" t="inlineStr">
        <is>
          <t>Media file</t>
        </is>
      </c>
      <c r="E2868" t="inlineStr">
        <is>
          <t>player #1:C:/Users/manuel.felline/Documents/BEHAVIOR BTBR/NOR second cohort/BTBR/test/c7_m4.mp4</t>
        </is>
      </c>
      <c r="F2868" t="n">
        <v>-8.766999999999999</v>
      </c>
      <c r="G2868" t="n">
        <v>577.266</v>
      </c>
      <c r="H2868" t="n">
        <v>636.766</v>
      </c>
      <c r="I2868" t="n">
        <v>30</v>
      </c>
      <c r="J2868" t="inlineStr">
        <is>
          <t>BTBR</t>
        </is>
      </c>
      <c r="K2868" t="inlineStr">
        <is>
          <t>Male</t>
        </is>
      </c>
      <c r="L2868" t="inlineStr">
        <is>
          <t>No focal subject</t>
        </is>
      </c>
      <c r="M2868" t="n">
        <v>71.63200000000001</v>
      </c>
      <c r="N2868" t="inlineStr">
        <is>
          <t>Explore_N</t>
        </is>
      </c>
      <c r="O2868" t="inlineStr">
        <is>
          <t>Novelty</t>
        </is>
      </c>
      <c r="P2868" t="inlineStr">
        <is>
          <t>STATE</t>
        </is>
      </c>
      <c r="Q2868" t="n">
        <v>307.733</v>
      </c>
      <c r="R2868" t="n">
        <v>309.266</v>
      </c>
      <c r="S2868" t="n">
        <v>1.533</v>
      </c>
      <c r="T2868" t="inlineStr">
        <is>
          <t>C:/Users/manuel.felline/Documents/BEHAVIOR BTBR/NOR second cohort/BTBR/test/c7_m4.mp4</t>
        </is>
      </c>
      <c r="U2868" t="n">
        <v>9495</v>
      </c>
      <c r="V2868" t="n">
        <v>9541</v>
      </c>
      <c r="W2868" t="n">
        <v/>
      </c>
      <c r="X2868" t="n">
        <v/>
      </c>
      <c r="Y2868" t="n">
        <v/>
      </c>
      <c r="Z2868" t="n">
        <v/>
      </c>
      <c r="AA2868">
        <f>SUMIFS($S$2:S2868,$A$2:A2868,A2868,$N$2:N2868,"Explore*")</f>
        <v/>
      </c>
      <c r="AB2868">
        <f>IF(AND(LEFT(N2868,7)="Explore",(AA2868-IF(LEFT(N2868,7)="Explore",S2868,0))&lt;10),"SI","NO")</f>
        <v/>
      </c>
    </row>
    <row r="2869">
      <c r="A2869" t="inlineStr">
        <is>
          <t>c7m4_test</t>
        </is>
      </c>
      <c r="B2869" t="inlineStr">
        <is>
          <t>2026-05-20 11:14:24.582</t>
        </is>
      </c>
      <c r="C2869" t="n">
        <v/>
      </c>
      <c r="D2869" t="inlineStr">
        <is>
          <t>Media file</t>
        </is>
      </c>
      <c r="E2869" t="inlineStr">
        <is>
          <t>player #1:C:/Users/manuel.felline/Documents/BEHAVIOR BTBR/NOR second cohort/BTBR/test/c7_m4.mp4</t>
        </is>
      </c>
      <c r="F2869" t="n">
        <v>-8.766999999999999</v>
      </c>
      <c r="G2869" t="n">
        <v>577.266</v>
      </c>
      <c r="H2869" t="n">
        <v>636.766</v>
      </c>
      <c r="I2869" t="n">
        <v>30</v>
      </c>
      <c r="J2869" t="inlineStr">
        <is>
          <t>BTBR</t>
        </is>
      </c>
      <c r="K2869" t="inlineStr">
        <is>
          <t>Male</t>
        </is>
      </c>
      <c r="L2869" t="inlineStr">
        <is>
          <t>No focal subject</t>
        </is>
      </c>
      <c r="M2869" t="n">
        <v>71.63200000000001</v>
      </c>
      <c r="N2869" t="inlineStr">
        <is>
          <t>Explore_N</t>
        </is>
      </c>
      <c r="O2869" t="inlineStr">
        <is>
          <t>Novelty</t>
        </is>
      </c>
      <c r="P2869" t="inlineStr">
        <is>
          <t>STATE</t>
        </is>
      </c>
      <c r="Q2869" t="n">
        <v>321.033</v>
      </c>
      <c r="R2869" t="n">
        <v>322.099</v>
      </c>
      <c r="S2869" t="n">
        <v>1.066</v>
      </c>
      <c r="T2869" t="inlineStr">
        <is>
          <t>C:/Users/manuel.felline/Documents/BEHAVIOR BTBR/NOR second cohort/BTBR/test/c7_m4.mp4</t>
        </is>
      </c>
      <c r="U2869" t="n">
        <v>9894</v>
      </c>
      <c r="V2869" t="n">
        <v>9926</v>
      </c>
      <c r="W2869" t="n">
        <v/>
      </c>
      <c r="X2869" t="n">
        <v/>
      </c>
      <c r="Y2869" t="n">
        <v/>
      </c>
      <c r="Z2869" t="n">
        <v/>
      </c>
      <c r="AA2869">
        <f>SUMIFS($S$2:S2869,$A$2:A2869,A2869,$N$2:N2869,"Explore*")</f>
        <v/>
      </c>
      <c r="AB2869">
        <f>IF(AND(LEFT(N2869,7)="Explore",(AA2869-IF(LEFT(N2869,7)="Explore",S2869,0))&lt;10),"SI","NO")</f>
        <v/>
      </c>
    </row>
    <row r="2870">
      <c r="A2870" t="inlineStr">
        <is>
          <t>c7m4_test</t>
        </is>
      </c>
      <c r="B2870" t="inlineStr">
        <is>
          <t>2026-05-20 11:14:24.582</t>
        </is>
      </c>
      <c r="C2870" t="n">
        <v/>
      </c>
      <c r="D2870" t="inlineStr">
        <is>
          <t>Media file</t>
        </is>
      </c>
      <c r="E2870" t="inlineStr">
        <is>
          <t>player #1:C:/Users/manuel.felline/Documents/BEHAVIOR BTBR/NOR second cohort/BTBR/test/c7_m4.mp4</t>
        </is>
      </c>
      <c r="F2870" t="n">
        <v>-8.766999999999999</v>
      </c>
      <c r="G2870" t="n">
        <v>577.266</v>
      </c>
      <c r="H2870" t="n">
        <v>636.766</v>
      </c>
      <c r="I2870" t="n">
        <v>30</v>
      </c>
      <c r="J2870" t="inlineStr">
        <is>
          <t>BTBR</t>
        </is>
      </c>
      <c r="K2870" t="inlineStr">
        <is>
          <t>Male</t>
        </is>
      </c>
      <c r="L2870" t="inlineStr">
        <is>
          <t>No focal subject</t>
        </is>
      </c>
      <c r="M2870" t="n">
        <v>71.63200000000001</v>
      </c>
      <c r="N2870" t="inlineStr">
        <is>
          <t>Explore_N</t>
        </is>
      </c>
      <c r="O2870" t="inlineStr">
        <is>
          <t>Novelty</t>
        </is>
      </c>
      <c r="P2870" t="inlineStr">
        <is>
          <t>STATE</t>
        </is>
      </c>
      <c r="Q2870" t="n">
        <v>333.699</v>
      </c>
      <c r="R2870" t="n">
        <v>334.266</v>
      </c>
      <c r="S2870" t="n">
        <v>0.5669999999999999</v>
      </c>
      <c r="T2870" t="inlineStr">
        <is>
          <t>C:/Users/manuel.felline/Documents/BEHAVIOR BTBR/NOR second cohort/BTBR/test/c7_m4.mp4</t>
        </is>
      </c>
      <c r="U2870" t="n">
        <v>10274</v>
      </c>
      <c r="V2870" t="n">
        <v>10291</v>
      </c>
      <c r="W2870" t="n">
        <v/>
      </c>
      <c r="X2870" t="n">
        <v/>
      </c>
      <c r="Y2870" t="n">
        <v/>
      </c>
      <c r="Z2870" t="n">
        <v/>
      </c>
      <c r="AA2870">
        <f>SUMIFS($S$2:S2870,$A$2:A2870,A2870,$N$2:N2870,"Explore*")</f>
        <v/>
      </c>
      <c r="AB2870">
        <f>IF(AND(LEFT(N2870,7)="Explore",(AA2870-IF(LEFT(N2870,7)="Explore",S2870,0))&lt;10),"SI","NO")</f>
        <v/>
      </c>
    </row>
    <row r="2871">
      <c r="A2871" t="inlineStr">
        <is>
          <t>c7m4_test</t>
        </is>
      </c>
      <c r="B2871" t="inlineStr">
        <is>
          <t>2026-05-20 11:14:24.582</t>
        </is>
      </c>
      <c r="C2871" t="n">
        <v/>
      </c>
      <c r="D2871" t="inlineStr">
        <is>
          <t>Media file</t>
        </is>
      </c>
      <c r="E2871" t="inlineStr">
        <is>
          <t>player #1:C:/Users/manuel.felline/Documents/BEHAVIOR BTBR/NOR second cohort/BTBR/test/c7_m4.mp4</t>
        </is>
      </c>
      <c r="F2871" t="n">
        <v>-8.766999999999999</v>
      </c>
      <c r="G2871" t="n">
        <v>577.266</v>
      </c>
      <c r="H2871" t="n">
        <v>636.766</v>
      </c>
      <c r="I2871" t="n">
        <v>30</v>
      </c>
      <c r="J2871" t="inlineStr">
        <is>
          <t>BTBR</t>
        </is>
      </c>
      <c r="K2871" t="inlineStr">
        <is>
          <t>Male</t>
        </is>
      </c>
      <c r="L2871" t="inlineStr">
        <is>
          <t>No focal subject</t>
        </is>
      </c>
      <c r="M2871" t="n">
        <v>71.63200000000001</v>
      </c>
      <c r="N2871" t="inlineStr">
        <is>
          <t>Explore_F</t>
        </is>
      </c>
      <c r="O2871" t="inlineStr">
        <is>
          <t>Familiar</t>
        </is>
      </c>
      <c r="P2871" t="inlineStr">
        <is>
          <t>STATE</t>
        </is>
      </c>
      <c r="Q2871" t="n">
        <v>350.133</v>
      </c>
      <c r="R2871" t="n">
        <v>350.499</v>
      </c>
      <c r="S2871" t="n">
        <v>0.366</v>
      </c>
      <c r="T2871" t="inlineStr">
        <is>
          <t>C:/Users/manuel.felline/Documents/BEHAVIOR BTBR/NOR second cohort/BTBR/test/c7_m4.mp4</t>
        </is>
      </c>
      <c r="U2871" t="n">
        <v>10767</v>
      </c>
      <c r="V2871" t="n">
        <v>10778</v>
      </c>
      <c r="W2871" t="n">
        <v/>
      </c>
      <c r="X2871" t="n">
        <v/>
      </c>
      <c r="Y2871" t="n">
        <v/>
      </c>
      <c r="Z2871" t="n">
        <v/>
      </c>
      <c r="AA2871">
        <f>SUMIFS($S$2:S2871,$A$2:A2871,A2871,$N$2:N2871,"Explore*")</f>
        <v/>
      </c>
      <c r="AB2871">
        <f>IF(AND(LEFT(N2871,7)="Explore",(AA2871-IF(LEFT(N2871,7)="Explore",S2871,0))&lt;10),"SI","NO")</f>
        <v/>
      </c>
    </row>
    <row r="2872">
      <c r="A2872" t="inlineStr">
        <is>
          <t>c7m4_test</t>
        </is>
      </c>
      <c r="B2872" t="inlineStr">
        <is>
          <t>2026-05-20 11:14:24.582</t>
        </is>
      </c>
      <c r="C2872" t="n">
        <v/>
      </c>
      <c r="D2872" t="inlineStr">
        <is>
          <t>Media file</t>
        </is>
      </c>
      <c r="E2872" t="inlineStr">
        <is>
          <t>player #1:C:/Users/manuel.felline/Documents/BEHAVIOR BTBR/NOR second cohort/BTBR/test/c7_m4.mp4</t>
        </is>
      </c>
      <c r="F2872" t="n">
        <v>-8.766999999999999</v>
      </c>
      <c r="G2872" t="n">
        <v>577.266</v>
      </c>
      <c r="H2872" t="n">
        <v>636.766</v>
      </c>
      <c r="I2872" t="n">
        <v>30</v>
      </c>
      <c r="J2872" t="inlineStr">
        <is>
          <t>BTBR</t>
        </is>
      </c>
      <c r="K2872" t="inlineStr">
        <is>
          <t>Male</t>
        </is>
      </c>
      <c r="L2872" t="inlineStr">
        <is>
          <t>No focal subject</t>
        </is>
      </c>
      <c r="M2872" t="n">
        <v>71.63200000000001</v>
      </c>
      <c r="N2872" t="inlineStr">
        <is>
          <t>Explore_N</t>
        </is>
      </c>
      <c r="O2872" t="inlineStr">
        <is>
          <t>Novelty</t>
        </is>
      </c>
      <c r="P2872" t="inlineStr">
        <is>
          <t>STATE</t>
        </is>
      </c>
      <c r="Q2872" t="n">
        <v>361.999</v>
      </c>
      <c r="R2872" t="n">
        <v>362.699</v>
      </c>
      <c r="S2872" t="n">
        <v>0.7</v>
      </c>
      <c r="T2872" t="inlineStr">
        <is>
          <t>C:/Users/manuel.felline/Documents/BEHAVIOR BTBR/NOR second cohort/BTBR/test/c7_m4.mp4</t>
        </is>
      </c>
      <c r="U2872" t="n">
        <v>11123</v>
      </c>
      <c r="V2872" t="n">
        <v>11144</v>
      </c>
      <c r="W2872" t="n">
        <v/>
      </c>
      <c r="X2872" t="n">
        <v/>
      </c>
      <c r="Y2872" t="n">
        <v/>
      </c>
      <c r="Z2872" t="n">
        <v/>
      </c>
      <c r="AA2872">
        <f>SUMIFS($S$2:S2872,$A$2:A2872,A2872,$N$2:N2872,"Explore*")</f>
        <v/>
      </c>
      <c r="AB2872">
        <f>IF(AND(LEFT(N2872,7)="Explore",(AA2872-IF(LEFT(N2872,7)="Explore",S2872,0))&lt;10),"SI","NO")</f>
        <v/>
      </c>
    </row>
    <row r="2873">
      <c r="A2873" t="inlineStr">
        <is>
          <t>c7m4_test</t>
        </is>
      </c>
      <c r="B2873" t="inlineStr">
        <is>
          <t>2026-05-20 11:14:24.582</t>
        </is>
      </c>
      <c r="C2873" t="n">
        <v/>
      </c>
      <c r="D2873" t="inlineStr">
        <is>
          <t>Media file</t>
        </is>
      </c>
      <c r="E2873" t="inlineStr">
        <is>
          <t>player #1:C:/Users/manuel.felline/Documents/BEHAVIOR BTBR/NOR second cohort/BTBR/test/c7_m4.mp4</t>
        </is>
      </c>
      <c r="F2873" t="n">
        <v>-8.766999999999999</v>
      </c>
      <c r="G2873" t="n">
        <v>577.266</v>
      </c>
      <c r="H2873" t="n">
        <v>636.766</v>
      </c>
      <c r="I2873" t="n">
        <v>30</v>
      </c>
      <c r="J2873" t="inlineStr">
        <is>
          <t>BTBR</t>
        </is>
      </c>
      <c r="K2873" t="inlineStr">
        <is>
          <t>Male</t>
        </is>
      </c>
      <c r="L2873" t="inlineStr">
        <is>
          <t>No focal subject</t>
        </is>
      </c>
      <c r="M2873" t="n">
        <v>71.63200000000001</v>
      </c>
      <c r="N2873" t="inlineStr">
        <is>
          <t>Explore_F</t>
        </is>
      </c>
      <c r="O2873" t="inlineStr">
        <is>
          <t>Familiar</t>
        </is>
      </c>
      <c r="P2873" t="inlineStr">
        <is>
          <t>STATE</t>
        </is>
      </c>
      <c r="Q2873" t="n">
        <v>374.799</v>
      </c>
      <c r="R2873" t="n">
        <v>375.199</v>
      </c>
      <c r="S2873" t="n">
        <v>0.4</v>
      </c>
      <c r="T2873" t="inlineStr">
        <is>
          <t>C:/Users/manuel.felline/Documents/BEHAVIOR BTBR/NOR second cohort/BTBR/test/c7_m4.mp4</t>
        </is>
      </c>
      <c r="U2873" t="n">
        <v>11507</v>
      </c>
      <c r="V2873" t="n">
        <v>11519</v>
      </c>
      <c r="W2873" t="n">
        <v/>
      </c>
      <c r="X2873" t="n">
        <v/>
      </c>
      <c r="Y2873" t="n">
        <v/>
      </c>
      <c r="Z2873" t="n">
        <v/>
      </c>
      <c r="AA2873">
        <f>SUMIFS($S$2:S2873,$A$2:A2873,A2873,$N$2:N2873,"Explore*")</f>
        <v/>
      </c>
      <c r="AB2873">
        <f>IF(AND(LEFT(N2873,7)="Explore",(AA2873-IF(LEFT(N2873,7)="Explore",S2873,0))&lt;10),"SI","NO")</f>
        <v/>
      </c>
    </row>
    <row r="2874">
      <c r="A2874" t="inlineStr">
        <is>
          <t>c7m4_test</t>
        </is>
      </c>
      <c r="B2874" t="inlineStr">
        <is>
          <t>2026-05-20 11:14:24.582</t>
        </is>
      </c>
      <c r="C2874" t="n">
        <v/>
      </c>
      <c r="D2874" t="inlineStr">
        <is>
          <t>Media file</t>
        </is>
      </c>
      <c r="E2874" t="inlineStr">
        <is>
          <t>player #1:C:/Users/manuel.felline/Documents/BEHAVIOR BTBR/NOR second cohort/BTBR/test/c7_m4.mp4</t>
        </is>
      </c>
      <c r="F2874" t="n">
        <v>-8.766999999999999</v>
      </c>
      <c r="G2874" t="n">
        <v>577.266</v>
      </c>
      <c r="H2874" t="n">
        <v>636.766</v>
      </c>
      <c r="I2874" t="n">
        <v>30</v>
      </c>
      <c r="J2874" t="inlineStr">
        <is>
          <t>BTBR</t>
        </is>
      </c>
      <c r="K2874" t="inlineStr">
        <is>
          <t>Male</t>
        </is>
      </c>
      <c r="L2874" t="inlineStr">
        <is>
          <t>No focal subject</t>
        </is>
      </c>
      <c r="M2874" t="n">
        <v>71.63200000000001</v>
      </c>
      <c r="N2874" t="inlineStr">
        <is>
          <t>Explore_N</t>
        </is>
      </c>
      <c r="O2874" t="inlineStr">
        <is>
          <t>Novelty</t>
        </is>
      </c>
      <c r="P2874" t="inlineStr">
        <is>
          <t>STATE</t>
        </is>
      </c>
      <c r="Q2874" t="n">
        <v>397.599</v>
      </c>
      <c r="R2874" t="n">
        <v>398.133</v>
      </c>
      <c r="S2874" t="n">
        <v>0.534</v>
      </c>
      <c r="T2874" t="inlineStr">
        <is>
          <t>C:/Users/manuel.felline/Documents/BEHAVIOR BTBR/NOR second cohort/BTBR/test/c7_m4.mp4</t>
        </is>
      </c>
      <c r="U2874" t="n">
        <v>12191</v>
      </c>
      <c r="V2874" t="n">
        <v>12207</v>
      </c>
      <c r="W2874" t="n">
        <v/>
      </c>
      <c r="X2874" t="n">
        <v/>
      </c>
      <c r="Y2874" t="n">
        <v/>
      </c>
      <c r="Z2874" t="n">
        <v/>
      </c>
      <c r="AA2874">
        <f>SUMIFS($S$2:S2874,$A$2:A2874,A2874,$N$2:N2874,"Explore*")</f>
        <v/>
      </c>
      <c r="AB2874">
        <f>IF(AND(LEFT(N2874,7)="Explore",(AA2874-IF(LEFT(N2874,7)="Explore",S2874,0))&lt;10),"SI","NO")</f>
        <v/>
      </c>
    </row>
    <row r="2875">
      <c r="A2875" t="inlineStr">
        <is>
          <t>c7m4_test</t>
        </is>
      </c>
      <c r="B2875" t="inlineStr">
        <is>
          <t>2026-05-20 11:14:24.582</t>
        </is>
      </c>
      <c r="C2875" t="n">
        <v/>
      </c>
      <c r="D2875" t="inlineStr">
        <is>
          <t>Media file</t>
        </is>
      </c>
      <c r="E2875" t="inlineStr">
        <is>
          <t>player #1:C:/Users/manuel.felline/Documents/BEHAVIOR BTBR/NOR second cohort/BTBR/test/c7_m4.mp4</t>
        </is>
      </c>
      <c r="F2875" t="n">
        <v>-8.766999999999999</v>
      </c>
      <c r="G2875" t="n">
        <v>577.266</v>
      </c>
      <c r="H2875" t="n">
        <v>636.766</v>
      </c>
      <c r="I2875" t="n">
        <v>30</v>
      </c>
      <c r="J2875" t="inlineStr">
        <is>
          <t>BTBR</t>
        </is>
      </c>
      <c r="K2875" t="inlineStr">
        <is>
          <t>Male</t>
        </is>
      </c>
      <c r="L2875" t="inlineStr">
        <is>
          <t>No focal subject</t>
        </is>
      </c>
      <c r="M2875" t="n">
        <v>71.63200000000001</v>
      </c>
      <c r="N2875" t="inlineStr">
        <is>
          <t>Explore_F</t>
        </is>
      </c>
      <c r="O2875" t="inlineStr">
        <is>
          <t>Familiar</t>
        </is>
      </c>
      <c r="P2875" t="inlineStr">
        <is>
          <t>STATE</t>
        </is>
      </c>
      <c r="Q2875" t="n">
        <v>410.566</v>
      </c>
      <c r="R2875" t="n">
        <v>410.966</v>
      </c>
      <c r="S2875" t="n">
        <v>0.4</v>
      </c>
      <c r="T2875" t="inlineStr">
        <is>
          <t>C:/Users/manuel.felline/Documents/BEHAVIOR BTBR/NOR second cohort/BTBR/test/c7_m4.mp4</t>
        </is>
      </c>
      <c r="U2875" t="n">
        <v>12580</v>
      </c>
      <c r="V2875" t="n">
        <v>12592</v>
      </c>
      <c r="W2875" t="n">
        <v/>
      </c>
      <c r="X2875" t="n">
        <v/>
      </c>
      <c r="Y2875" t="n">
        <v/>
      </c>
      <c r="Z2875" t="n">
        <v/>
      </c>
      <c r="AA2875">
        <f>SUMIFS($S$2:S2875,$A$2:A2875,A2875,$N$2:N2875,"Explore*")</f>
        <v/>
      </c>
      <c r="AB2875">
        <f>IF(AND(LEFT(N2875,7)="Explore",(AA2875-IF(LEFT(N2875,7)="Explore",S2875,0))&lt;10),"SI","NO")</f>
        <v/>
      </c>
    </row>
    <row r="2876">
      <c r="A2876" t="inlineStr">
        <is>
          <t>c7m4_test</t>
        </is>
      </c>
      <c r="B2876" t="inlineStr">
        <is>
          <t>2026-05-20 11:14:24.582</t>
        </is>
      </c>
      <c r="C2876" t="n">
        <v/>
      </c>
      <c r="D2876" t="inlineStr">
        <is>
          <t>Media file</t>
        </is>
      </c>
      <c r="E2876" t="inlineStr">
        <is>
          <t>player #1:C:/Users/manuel.felline/Documents/BEHAVIOR BTBR/NOR second cohort/BTBR/test/c7_m4.mp4</t>
        </is>
      </c>
      <c r="F2876" t="n">
        <v>-8.766999999999999</v>
      </c>
      <c r="G2876" t="n">
        <v>577.266</v>
      </c>
      <c r="H2876" t="n">
        <v>636.766</v>
      </c>
      <c r="I2876" t="n">
        <v>30</v>
      </c>
      <c r="J2876" t="inlineStr">
        <is>
          <t>BTBR</t>
        </is>
      </c>
      <c r="K2876" t="inlineStr">
        <is>
          <t>Male</t>
        </is>
      </c>
      <c r="L2876" t="inlineStr">
        <is>
          <t>No focal subject</t>
        </is>
      </c>
      <c r="M2876" t="n">
        <v>71.63200000000001</v>
      </c>
      <c r="N2876" t="inlineStr">
        <is>
          <t>Explore_N</t>
        </is>
      </c>
      <c r="O2876" t="inlineStr">
        <is>
          <t>Novelty</t>
        </is>
      </c>
      <c r="P2876" t="inlineStr">
        <is>
          <t>STATE</t>
        </is>
      </c>
      <c r="Q2876" t="n">
        <v>425.899</v>
      </c>
      <c r="R2876" t="n">
        <v>427.533</v>
      </c>
      <c r="S2876" t="n">
        <v>1.634</v>
      </c>
      <c r="T2876" t="inlineStr">
        <is>
          <t>C:/Users/manuel.felline/Documents/BEHAVIOR BTBR/NOR second cohort/BTBR/test/c7_m4.mp4</t>
        </is>
      </c>
      <c r="U2876" t="n">
        <v>13040</v>
      </c>
      <c r="V2876" t="n">
        <v>13089</v>
      </c>
      <c r="W2876" t="n">
        <v/>
      </c>
      <c r="X2876" t="n">
        <v/>
      </c>
      <c r="Y2876" t="n">
        <v/>
      </c>
      <c r="Z2876" t="n">
        <v/>
      </c>
      <c r="AA2876">
        <f>SUMIFS($S$2:S2876,$A$2:A2876,A2876,$N$2:N2876,"Explore*")</f>
        <v/>
      </c>
      <c r="AB2876">
        <f>IF(AND(LEFT(N2876,7)="Explore",(AA2876-IF(LEFT(N2876,7)="Explore",S2876,0))&lt;10),"SI","NO")</f>
        <v/>
      </c>
    </row>
    <row r="2877">
      <c r="A2877" t="inlineStr">
        <is>
          <t>c7m4_test</t>
        </is>
      </c>
      <c r="B2877" t="inlineStr">
        <is>
          <t>2026-05-20 11:14:24.582</t>
        </is>
      </c>
      <c r="C2877" t="n">
        <v/>
      </c>
      <c r="D2877" t="inlineStr">
        <is>
          <t>Media file</t>
        </is>
      </c>
      <c r="E2877" t="inlineStr">
        <is>
          <t>player #1:C:/Users/manuel.felline/Documents/BEHAVIOR BTBR/NOR second cohort/BTBR/test/c7_m4.mp4</t>
        </is>
      </c>
      <c r="F2877" t="n">
        <v>-8.766999999999999</v>
      </c>
      <c r="G2877" t="n">
        <v>577.266</v>
      </c>
      <c r="H2877" t="n">
        <v>636.766</v>
      </c>
      <c r="I2877" t="n">
        <v>30</v>
      </c>
      <c r="J2877" t="inlineStr">
        <is>
          <t>BTBR</t>
        </is>
      </c>
      <c r="K2877" t="inlineStr">
        <is>
          <t>Male</t>
        </is>
      </c>
      <c r="L2877" t="inlineStr">
        <is>
          <t>No focal subject</t>
        </is>
      </c>
      <c r="M2877" t="n">
        <v>71.63200000000001</v>
      </c>
      <c r="N2877" t="inlineStr">
        <is>
          <t>Explore_F</t>
        </is>
      </c>
      <c r="O2877" t="inlineStr">
        <is>
          <t>Familiar</t>
        </is>
      </c>
      <c r="P2877" t="inlineStr">
        <is>
          <t>STATE</t>
        </is>
      </c>
      <c r="Q2877" t="n">
        <v>439.299</v>
      </c>
      <c r="R2877" t="n">
        <v>439.833</v>
      </c>
      <c r="S2877" t="n">
        <v>0.534</v>
      </c>
      <c r="T2877" t="inlineStr">
        <is>
          <t>C:/Users/manuel.felline/Documents/BEHAVIOR BTBR/NOR second cohort/BTBR/test/c7_m4.mp4</t>
        </is>
      </c>
      <c r="U2877" t="n">
        <v>13442</v>
      </c>
      <c r="V2877" t="n">
        <v>13458</v>
      </c>
      <c r="W2877" t="n">
        <v/>
      </c>
      <c r="X2877" t="n">
        <v/>
      </c>
      <c r="Y2877" t="n">
        <v/>
      </c>
      <c r="Z2877" t="n">
        <v/>
      </c>
      <c r="AA2877">
        <f>SUMIFS($S$2:S2877,$A$2:A2877,A2877,$N$2:N2877,"Explore*")</f>
        <v/>
      </c>
      <c r="AB2877">
        <f>IF(AND(LEFT(N2877,7)="Explore",(AA2877-IF(LEFT(N2877,7)="Explore",S2877,0))&lt;10),"SI","NO")</f>
        <v/>
      </c>
    </row>
    <row r="2878">
      <c r="A2878" t="inlineStr">
        <is>
          <t>c7m4_test</t>
        </is>
      </c>
      <c r="B2878" t="inlineStr">
        <is>
          <t>2026-05-20 11:14:24.582</t>
        </is>
      </c>
      <c r="C2878" t="n">
        <v/>
      </c>
      <c r="D2878" t="inlineStr">
        <is>
          <t>Media file</t>
        </is>
      </c>
      <c r="E2878" t="inlineStr">
        <is>
          <t>player #1:C:/Users/manuel.felline/Documents/BEHAVIOR BTBR/NOR second cohort/BTBR/test/c7_m4.mp4</t>
        </is>
      </c>
      <c r="F2878" t="n">
        <v>-8.766999999999999</v>
      </c>
      <c r="G2878" t="n">
        <v>577.266</v>
      </c>
      <c r="H2878" t="n">
        <v>636.766</v>
      </c>
      <c r="I2878" t="n">
        <v>30</v>
      </c>
      <c r="J2878" t="inlineStr">
        <is>
          <t>BTBR</t>
        </is>
      </c>
      <c r="K2878" t="inlineStr">
        <is>
          <t>Male</t>
        </is>
      </c>
      <c r="L2878" t="inlineStr">
        <is>
          <t>No focal subject</t>
        </is>
      </c>
      <c r="M2878" t="n">
        <v>71.63200000000001</v>
      </c>
      <c r="N2878" t="inlineStr">
        <is>
          <t>Explore_F</t>
        </is>
      </c>
      <c r="O2878" t="inlineStr">
        <is>
          <t>Familiar</t>
        </is>
      </c>
      <c r="P2878" t="inlineStr">
        <is>
          <t>STATE</t>
        </is>
      </c>
      <c r="Q2878" t="n">
        <v>463.499</v>
      </c>
      <c r="R2878" t="n">
        <v>463.999</v>
      </c>
      <c r="S2878" t="n">
        <v>0.5</v>
      </c>
      <c r="T2878" t="inlineStr">
        <is>
          <t>C:/Users/manuel.felline/Documents/BEHAVIOR BTBR/NOR second cohort/BTBR/test/c7_m4.mp4</t>
        </is>
      </c>
      <c r="U2878" t="n">
        <v>14168</v>
      </c>
      <c r="V2878" t="n">
        <v>14183</v>
      </c>
      <c r="W2878" t="n">
        <v/>
      </c>
      <c r="X2878" t="n">
        <v/>
      </c>
      <c r="Y2878" t="n">
        <v/>
      </c>
      <c r="Z2878" t="n">
        <v/>
      </c>
      <c r="AA2878">
        <f>SUMIFS($S$2:S2878,$A$2:A2878,A2878,$N$2:N2878,"Explore*")</f>
        <v/>
      </c>
      <c r="AB2878">
        <f>IF(AND(LEFT(N2878,7)="Explore",(AA2878-IF(LEFT(N2878,7)="Explore",S2878,0))&lt;10),"SI","NO")</f>
        <v/>
      </c>
    </row>
    <row r="2879">
      <c r="A2879" t="inlineStr">
        <is>
          <t>c7m4_test</t>
        </is>
      </c>
      <c r="B2879" t="inlineStr">
        <is>
          <t>2026-05-20 11:14:24.582</t>
        </is>
      </c>
      <c r="C2879" t="n">
        <v/>
      </c>
      <c r="D2879" t="inlineStr">
        <is>
          <t>Media file</t>
        </is>
      </c>
      <c r="E2879" t="inlineStr">
        <is>
          <t>player #1:C:/Users/manuel.felline/Documents/BEHAVIOR BTBR/NOR second cohort/BTBR/test/c7_m4.mp4</t>
        </is>
      </c>
      <c r="F2879" t="n">
        <v>-8.766999999999999</v>
      </c>
      <c r="G2879" t="n">
        <v>577.266</v>
      </c>
      <c r="H2879" t="n">
        <v>636.766</v>
      </c>
      <c r="I2879" t="n">
        <v>30</v>
      </c>
      <c r="J2879" t="inlineStr">
        <is>
          <t>BTBR</t>
        </is>
      </c>
      <c r="K2879" t="inlineStr">
        <is>
          <t>Male</t>
        </is>
      </c>
      <c r="L2879" t="inlineStr">
        <is>
          <t>No focal subject</t>
        </is>
      </c>
      <c r="M2879" t="n">
        <v>71.63200000000001</v>
      </c>
      <c r="N2879" t="inlineStr">
        <is>
          <t>Explore_N</t>
        </is>
      </c>
      <c r="O2879" t="inlineStr">
        <is>
          <t>Novelty</t>
        </is>
      </c>
      <c r="P2879" t="inlineStr">
        <is>
          <t>STATE</t>
        </is>
      </c>
      <c r="Q2879" t="n">
        <v>473.799</v>
      </c>
      <c r="R2879" t="n">
        <v>474.499</v>
      </c>
      <c r="S2879" t="n">
        <v>0.7</v>
      </c>
      <c r="T2879" t="inlineStr">
        <is>
          <t>C:/Users/manuel.felline/Documents/BEHAVIOR BTBR/NOR second cohort/BTBR/test/c7_m4.mp4</t>
        </is>
      </c>
      <c r="U2879" t="n">
        <v>14477</v>
      </c>
      <c r="V2879" t="n">
        <v>14498</v>
      </c>
      <c r="W2879" t="n">
        <v/>
      </c>
      <c r="X2879" t="n">
        <v/>
      </c>
      <c r="Y2879" t="n">
        <v/>
      </c>
      <c r="Z2879" t="n">
        <v/>
      </c>
      <c r="AA2879">
        <f>SUMIFS($S$2:S2879,$A$2:A2879,A2879,$N$2:N2879,"Explore*")</f>
        <v/>
      </c>
      <c r="AB2879">
        <f>IF(AND(LEFT(N2879,7)="Explore",(AA2879-IF(LEFT(N2879,7)="Explore",S2879,0))&lt;10),"SI","NO")</f>
        <v/>
      </c>
    </row>
    <row r="2880">
      <c r="A2880" t="inlineStr">
        <is>
          <t>c7m4_test</t>
        </is>
      </c>
      <c r="B2880" t="inlineStr">
        <is>
          <t>2026-05-20 11:14:24.582</t>
        </is>
      </c>
      <c r="C2880" t="n">
        <v/>
      </c>
      <c r="D2880" t="inlineStr">
        <is>
          <t>Media file</t>
        </is>
      </c>
      <c r="E2880" t="inlineStr">
        <is>
          <t>player #1:C:/Users/manuel.felline/Documents/BEHAVIOR BTBR/NOR second cohort/BTBR/test/c7_m4.mp4</t>
        </is>
      </c>
      <c r="F2880" t="n">
        <v>-8.766999999999999</v>
      </c>
      <c r="G2880" t="n">
        <v>577.266</v>
      </c>
      <c r="H2880" t="n">
        <v>636.766</v>
      </c>
      <c r="I2880" t="n">
        <v>30</v>
      </c>
      <c r="J2880" t="inlineStr">
        <is>
          <t>BTBR</t>
        </is>
      </c>
      <c r="K2880" t="inlineStr">
        <is>
          <t>Male</t>
        </is>
      </c>
      <c r="L2880" t="inlineStr">
        <is>
          <t>No focal subject</t>
        </is>
      </c>
      <c r="M2880" t="n">
        <v>71.63200000000001</v>
      </c>
      <c r="N2880" t="inlineStr">
        <is>
          <t>Explore_F</t>
        </is>
      </c>
      <c r="O2880" t="inlineStr">
        <is>
          <t>Familiar</t>
        </is>
      </c>
      <c r="P2880" t="inlineStr">
        <is>
          <t>STATE</t>
        </is>
      </c>
      <c r="Q2880" t="n">
        <v>483.499</v>
      </c>
      <c r="R2880" t="n">
        <v>483.899</v>
      </c>
      <c r="S2880" t="n">
        <v>0.4</v>
      </c>
      <c r="T2880" t="inlineStr">
        <is>
          <t>C:/Users/manuel.felline/Documents/BEHAVIOR BTBR/NOR second cohort/BTBR/test/c7_m4.mp4</t>
        </is>
      </c>
      <c r="U2880" t="n">
        <v>14768</v>
      </c>
      <c r="V2880" t="n">
        <v>14780</v>
      </c>
      <c r="W2880" t="n">
        <v/>
      </c>
      <c r="X2880" t="n">
        <v/>
      </c>
      <c r="Y2880" t="n">
        <v/>
      </c>
      <c r="Z2880" t="n">
        <v/>
      </c>
      <c r="AA2880">
        <f>SUMIFS($S$2:S2880,$A$2:A2880,A2880,$N$2:N2880,"Explore*")</f>
        <v/>
      </c>
      <c r="AB2880">
        <f>IF(AND(LEFT(N2880,7)="Explore",(AA2880-IF(LEFT(N2880,7)="Explore",S2880,0))&lt;10),"SI","NO")</f>
        <v/>
      </c>
    </row>
    <row r="2881">
      <c r="A2881" t="inlineStr">
        <is>
          <t>c7m4_test</t>
        </is>
      </c>
      <c r="B2881" t="inlineStr">
        <is>
          <t>2026-05-20 11:14:24.582</t>
        </is>
      </c>
      <c r="C2881" t="n">
        <v/>
      </c>
      <c r="D2881" t="inlineStr">
        <is>
          <t>Media file</t>
        </is>
      </c>
      <c r="E2881" t="inlineStr">
        <is>
          <t>player #1:C:/Users/manuel.felline/Documents/BEHAVIOR BTBR/NOR second cohort/BTBR/test/c7_m4.mp4</t>
        </is>
      </c>
      <c r="F2881" t="n">
        <v>-8.766999999999999</v>
      </c>
      <c r="G2881" t="n">
        <v>577.266</v>
      </c>
      <c r="H2881" t="n">
        <v>636.766</v>
      </c>
      <c r="I2881" t="n">
        <v>30</v>
      </c>
      <c r="J2881" t="inlineStr">
        <is>
          <t>BTBR</t>
        </is>
      </c>
      <c r="K2881" t="inlineStr">
        <is>
          <t>Male</t>
        </is>
      </c>
      <c r="L2881" t="inlineStr">
        <is>
          <t>No focal subject</t>
        </is>
      </c>
      <c r="M2881" t="n">
        <v>71.63200000000001</v>
      </c>
      <c r="N2881" t="inlineStr">
        <is>
          <t>Explore_N</t>
        </is>
      </c>
      <c r="O2881" t="inlineStr">
        <is>
          <t>Novelty</t>
        </is>
      </c>
      <c r="P2881" t="inlineStr">
        <is>
          <t>STATE</t>
        </is>
      </c>
      <c r="Q2881" t="n">
        <v>500.632</v>
      </c>
      <c r="R2881" t="n">
        <v>502.532</v>
      </c>
      <c r="S2881" t="n">
        <v>1.9</v>
      </c>
      <c r="T2881" t="inlineStr">
        <is>
          <t>C:/Users/manuel.felline/Documents/BEHAVIOR BTBR/NOR second cohort/BTBR/test/c7_m4.mp4</t>
        </is>
      </c>
      <c r="U2881" t="n">
        <v>15282</v>
      </c>
      <c r="V2881" t="n">
        <v>15339</v>
      </c>
      <c r="W2881" t="n">
        <v/>
      </c>
      <c r="X2881" t="n">
        <v/>
      </c>
      <c r="Y2881" t="n">
        <v/>
      </c>
      <c r="Z2881" t="n">
        <v/>
      </c>
      <c r="AA2881">
        <f>SUMIFS($S$2:S2881,$A$2:A2881,A2881,$N$2:N2881,"Explore*")</f>
        <v/>
      </c>
      <c r="AB2881">
        <f>IF(AND(LEFT(N2881,7)="Explore",(AA2881-IF(LEFT(N2881,7)="Explore",S2881,0))&lt;10),"SI","NO")</f>
        <v/>
      </c>
    </row>
    <row r="2882">
      <c r="A2882" t="inlineStr">
        <is>
          <t>c7m4_test</t>
        </is>
      </c>
      <c r="B2882" t="inlineStr">
        <is>
          <t>2026-05-20 11:14:24.582</t>
        </is>
      </c>
      <c r="C2882" t="n">
        <v/>
      </c>
      <c r="D2882" t="inlineStr">
        <is>
          <t>Media file</t>
        </is>
      </c>
      <c r="E2882" t="inlineStr">
        <is>
          <t>player #1:C:/Users/manuel.felline/Documents/BEHAVIOR BTBR/NOR second cohort/BTBR/test/c7_m4.mp4</t>
        </is>
      </c>
      <c r="F2882" t="n">
        <v>-8.766999999999999</v>
      </c>
      <c r="G2882" t="n">
        <v>577.266</v>
      </c>
      <c r="H2882" t="n">
        <v>636.766</v>
      </c>
      <c r="I2882" t="n">
        <v>30</v>
      </c>
      <c r="J2882" t="inlineStr">
        <is>
          <t>BTBR</t>
        </is>
      </c>
      <c r="K2882" t="inlineStr">
        <is>
          <t>Male</t>
        </is>
      </c>
      <c r="L2882" t="inlineStr">
        <is>
          <t>No focal subject</t>
        </is>
      </c>
      <c r="M2882" t="n">
        <v>71.63200000000001</v>
      </c>
      <c r="N2882" t="inlineStr">
        <is>
          <t>Explore_F</t>
        </is>
      </c>
      <c r="O2882" t="inlineStr">
        <is>
          <t>Familiar</t>
        </is>
      </c>
      <c r="P2882" t="inlineStr">
        <is>
          <t>STATE</t>
        </is>
      </c>
      <c r="Q2882" t="n">
        <v>525.099</v>
      </c>
      <c r="R2882" t="n">
        <v>525.6319999999999</v>
      </c>
      <c r="S2882" t="n">
        <v>0.533</v>
      </c>
      <c r="T2882" t="inlineStr">
        <is>
          <t>C:/Users/manuel.felline/Documents/BEHAVIOR BTBR/NOR second cohort/BTBR/test/c7_m4.mp4</t>
        </is>
      </c>
      <c r="U2882" t="n">
        <v>16016</v>
      </c>
      <c r="V2882" t="n">
        <v>16032</v>
      </c>
      <c r="W2882" t="n">
        <v/>
      </c>
      <c r="X2882" t="n">
        <v/>
      </c>
      <c r="Y2882" t="n">
        <v/>
      </c>
      <c r="Z2882" t="n">
        <v/>
      </c>
      <c r="AA2882">
        <f>SUMIFS($S$2:S2882,$A$2:A2882,A2882,$N$2:N2882,"Explore*")</f>
        <v/>
      </c>
      <c r="AB2882">
        <f>IF(AND(LEFT(N2882,7)="Explore",(AA2882-IF(LEFT(N2882,7)="Explore",S2882,0))&lt;10),"SI","NO")</f>
        <v/>
      </c>
    </row>
    <row r="2883">
      <c r="A2883" t="inlineStr">
        <is>
          <t>c7m4_test</t>
        </is>
      </c>
      <c r="B2883" t="inlineStr">
        <is>
          <t>2026-05-20 11:14:24.582</t>
        </is>
      </c>
      <c r="C2883" t="n">
        <v/>
      </c>
      <c r="D2883" t="inlineStr">
        <is>
          <t>Media file</t>
        </is>
      </c>
      <c r="E2883" t="inlineStr">
        <is>
          <t>player #1:C:/Users/manuel.felline/Documents/BEHAVIOR BTBR/NOR second cohort/BTBR/test/c7_m4.mp4</t>
        </is>
      </c>
      <c r="F2883" t="n">
        <v>-8.766999999999999</v>
      </c>
      <c r="G2883" t="n">
        <v>577.266</v>
      </c>
      <c r="H2883" t="n">
        <v>636.766</v>
      </c>
      <c r="I2883" t="n">
        <v>30</v>
      </c>
      <c r="J2883" t="inlineStr">
        <is>
          <t>BTBR</t>
        </is>
      </c>
      <c r="K2883" t="inlineStr">
        <is>
          <t>Male</t>
        </is>
      </c>
      <c r="L2883" t="inlineStr">
        <is>
          <t>No focal subject</t>
        </is>
      </c>
      <c r="M2883" t="n">
        <v>71.63200000000001</v>
      </c>
      <c r="N2883" t="inlineStr">
        <is>
          <t>Explore_F</t>
        </is>
      </c>
      <c r="O2883" t="inlineStr">
        <is>
          <t>Familiar</t>
        </is>
      </c>
      <c r="P2883" t="inlineStr">
        <is>
          <t>STATE</t>
        </is>
      </c>
      <c r="Q2883" t="n">
        <v>547.899</v>
      </c>
      <c r="R2883" t="n">
        <v>548.499</v>
      </c>
      <c r="S2883" t="n">
        <v>0.6</v>
      </c>
      <c r="T2883" t="inlineStr">
        <is>
          <t>C:/Users/manuel.felline/Documents/BEHAVIOR BTBR/NOR second cohort/BTBR/test/c7_m4.mp4</t>
        </is>
      </c>
      <c r="U2883" t="n">
        <v>16700</v>
      </c>
      <c r="V2883" t="n">
        <v>16718</v>
      </c>
      <c r="W2883" t="n">
        <v/>
      </c>
      <c r="X2883" t="n">
        <v/>
      </c>
      <c r="Y2883" t="n">
        <v/>
      </c>
      <c r="Z2883" t="n">
        <v/>
      </c>
      <c r="AA2883">
        <f>SUMIFS($S$2:S2883,$A$2:A2883,A2883,$N$2:N2883,"Explore*")</f>
        <v/>
      </c>
      <c r="AB2883">
        <f>IF(AND(LEFT(N2883,7)="Explore",(AA2883-IF(LEFT(N2883,7)="Explore",S2883,0))&lt;10),"SI","NO")</f>
        <v/>
      </c>
    </row>
    <row r="2884">
      <c r="A2884" t="inlineStr">
        <is>
          <t>c7m4_test</t>
        </is>
      </c>
      <c r="B2884" t="inlineStr">
        <is>
          <t>2026-05-20 11:14:24.582</t>
        </is>
      </c>
      <c r="C2884" t="n">
        <v/>
      </c>
      <c r="D2884" t="inlineStr">
        <is>
          <t>Media file</t>
        </is>
      </c>
      <c r="E2884" t="inlineStr">
        <is>
          <t>player #1:C:/Users/manuel.felline/Documents/BEHAVIOR BTBR/NOR second cohort/BTBR/test/c7_m4.mp4</t>
        </is>
      </c>
      <c r="F2884" t="n">
        <v>-8.766999999999999</v>
      </c>
      <c r="G2884" t="n">
        <v>577.266</v>
      </c>
      <c r="H2884" t="n">
        <v>636.766</v>
      </c>
      <c r="I2884" t="n">
        <v>30</v>
      </c>
      <c r="J2884" t="inlineStr">
        <is>
          <t>BTBR</t>
        </is>
      </c>
      <c r="K2884" t="inlineStr">
        <is>
          <t>Male</t>
        </is>
      </c>
      <c r="L2884" t="inlineStr">
        <is>
          <t>No focal subject</t>
        </is>
      </c>
      <c r="M2884" t="n">
        <v>71.63200000000001</v>
      </c>
      <c r="N2884" t="inlineStr">
        <is>
          <t>Explore_N</t>
        </is>
      </c>
      <c r="O2884" t="inlineStr">
        <is>
          <t>Novelty</t>
        </is>
      </c>
      <c r="P2884" t="inlineStr">
        <is>
          <t>STATE</t>
        </is>
      </c>
      <c r="Q2884" t="n">
        <v>578.766</v>
      </c>
      <c r="R2884" t="n">
        <v>579.432</v>
      </c>
      <c r="S2884" t="n">
        <v>0.666</v>
      </c>
      <c r="T2884" t="inlineStr">
        <is>
          <t>C:/Users/manuel.felline/Documents/BEHAVIOR BTBR/NOR second cohort/BTBR/test/c7_m4.mp4</t>
        </is>
      </c>
      <c r="U2884" t="n">
        <v>17626</v>
      </c>
      <c r="V2884" t="n">
        <v>17646</v>
      </c>
      <c r="W2884" t="n">
        <v/>
      </c>
      <c r="X2884" t="n">
        <v/>
      </c>
      <c r="Y2884" t="n">
        <v/>
      </c>
      <c r="Z2884" t="n">
        <v/>
      </c>
      <c r="AA2884">
        <f>SUMIFS($S$2:S2884,$A$2:A2884,A2884,$N$2:N2884,"Explore*")</f>
        <v/>
      </c>
      <c r="AB2884">
        <f>IF(AND(LEFT(N2884,7)="Explore",(AA2884-IF(LEFT(N2884,7)="Explore",S2884,0))&lt;10),"SI","NO")</f>
        <v/>
      </c>
    </row>
    <row r="2885">
      <c r="A2885" t="inlineStr">
        <is>
          <t>c7m5_test</t>
        </is>
      </c>
      <c r="B2885" t="inlineStr">
        <is>
          <t>2026-06-17 17:12:38.848</t>
        </is>
      </c>
      <c r="C2885" t="n">
        <v/>
      </c>
      <c r="D2885" t="inlineStr">
        <is>
          <t>Media file</t>
        </is>
      </c>
      <c r="E2885" t="inlineStr">
        <is>
          <t>player #1:C:/Users/manuel.felline/Documents/BEHAVIOR BTBR/NOR second cohort/BTBR/test/c7_m5.mp4</t>
        </is>
      </c>
      <c r="F2885" t="n">
        <v>-10.967</v>
      </c>
      <c r="G2885" t="n">
        <v>576.6660000000001</v>
      </c>
      <c r="H2885" t="n">
        <v>645.433</v>
      </c>
      <c r="I2885" t="n">
        <v>30</v>
      </c>
      <c r="J2885" t="inlineStr">
        <is>
          <t>BTBR</t>
        </is>
      </c>
      <c r="K2885" t="inlineStr">
        <is>
          <t>Male</t>
        </is>
      </c>
      <c r="L2885" t="inlineStr">
        <is>
          <t>No focal subject</t>
        </is>
      </c>
      <c r="M2885" t="n">
        <v>62.77</v>
      </c>
      <c r="N2885" t="inlineStr">
        <is>
          <t>Explore_N</t>
        </is>
      </c>
      <c r="O2885" t="inlineStr">
        <is>
          <t>Novelty</t>
        </is>
      </c>
      <c r="P2885" t="inlineStr">
        <is>
          <t>STATE</t>
        </is>
      </c>
      <c r="Q2885" t="n">
        <v>2.166</v>
      </c>
      <c r="R2885" t="n">
        <v>3.4</v>
      </c>
      <c r="S2885" t="n">
        <v>1.234</v>
      </c>
      <c r="T2885" t="inlineStr">
        <is>
          <t>C:/Users/manuel.felline/Documents/BEHAVIOR BTBR/NOR second cohort/BTBR/test/c7_m5.mp4</t>
        </is>
      </c>
      <c r="U2885" t="n">
        <v>393</v>
      </c>
      <c r="V2885" t="n">
        <v>430</v>
      </c>
      <c r="W2885" t="n">
        <v/>
      </c>
      <c r="X2885" t="n">
        <v/>
      </c>
      <c r="Y2885" t="n">
        <v/>
      </c>
      <c r="Z2885" t="n">
        <v/>
      </c>
      <c r="AA2885">
        <f>SUMIFS($S$2:S2885,$A$2:A2885,A2885,$N$2:N2885,"Explore*")</f>
        <v/>
      </c>
      <c r="AB2885">
        <f>IF(AND(LEFT(N2885,7)="Explore",(AA2885-IF(LEFT(N2885,7)="Explore",S2885,0))&lt;10),"SI","NO")</f>
        <v/>
      </c>
    </row>
    <row r="2886">
      <c r="A2886" t="inlineStr">
        <is>
          <t>c7m5_test</t>
        </is>
      </c>
      <c r="B2886" t="inlineStr">
        <is>
          <t>2026-06-17 17:12:38.848</t>
        </is>
      </c>
      <c r="C2886" t="n">
        <v/>
      </c>
      <c r="D2886" t="inlineStr">
        <is>
          <t>Media file</t>
        </is>
      </c>
      <c r="E2886" t="inlineStr">
        <is>
          <t>player #1:C:/Users/manuel.felline/Documents/BEHAVIOR BTBR/NOR second cohort/BTBR/test/c7_m5.mp4</t>
        </is>
      </c>
      <c r="F2886" t="n">
        <v>-10.967</v>
      </c>
      <c r="G2886" t="n">
        <v>576.6660000000001</v>
      </c>
      <c r="H2886" t="n">
        <v>645.433</v>
      </c>
      <c r="I2886" t="n">
        <v>30</v>
      </c>
      <c r="J2886" t="inlineStr">
        <is>
          <t>BTBR</t>
        </is>
      </c>
      <c r="K2886" t="inlineStr">
        <is>
          <t>Male</t>
        </is>
      </c>
      <c r="L2886" t="inlineStr">
        <is>
          <t>No focal subject</t>
        </is>
      </c>
      <c r="M2886" t="n">
        <v>62.77</v>
      </c>
      <c r="N2886" t="inlineStr">
        <is>
          <t>Explore_F</t>
        </is>
      </c>
      <c r="O2886" t="inlineStr">
        <is>
          <t>Familiar</t>
        </is>
      </c>
      <c r="P2886" t="inlineStr">
        <is>
          <t>STATE</t>
        </is>
      </c>
      <c r="Q2886" t="n">
        <v>6.8</v>
      </c>
      <c r="R2886" t="n">
        <v>7.466</v>
      </c>
      <c r="S2886" t="n">
        <v>0.666</v>
      </c>
      <c r="T2886" t="inlineStr">
        <is>
          <t>C:/Users/manuel.felline/Documents/BEHAVIOR BTBR/NOR second cohort/BTBR/test/c7_m5.mp4</t>
        </is>
      </c>
      <c r="U2886" t="n">
        <v>532</v>
      </c>
      <c r="V2886" t="n">
        <v>552</v>
      </c>
      <c r="W2886" t="n">
        <v/>
      </c>
      <c r="X2886" t="n">
        <v/>
      </c>
      <c r="Y2886" t="n">
        <v/>
      </c>
      <c r="Z2886" t="n">
        <v/>
      </c>
      <c r="AA2886">
        <f>SUMIFS($S$2:S2886,$A$2:A2886,A2886,$N$2:N2886,"Explore*")</f>
        <v/>
      </c>
      <c r="AB2886">
        <f>IF(AND(LEFT(N2886,7)="Explore",(AA2886-IF(LEFT(N2886,7)="Explore",S2886,0))&lt;10),"SI","NO")</f>
        <v/>
      </c>
    </row>
    <row r="2887">
      <c r="A2887" t="inlineStr">
        <is>
          <t>c7m5_test</t>
        </is>
      </c>
      <c r="B2887" t="inlineStr">
        <is>
          <t>2026-06-17 17:12:38.848</t>
        </is>
      </c>
      <c r="C2887" t="n">
        <v/>
      </c>
      <c r="D2887" t="inlineStr">
        <is>
          <t>Media file</t>
        </is>
      </c>
      <c r="E2887" t="inlineStr">
        <is>
          <t>player #1:C:/Users/manuel.felline/Documents/BEHAVIOR BTBR/NOR second cohort/BTBR/test/c7_m5.mp4</t>
        </is>
      </c>
      <c r="F2887" t="n">
        <v>-10.967</v>
      </c>
      <c r="G2887" t="n">
        <v>576.6660000000001</v>
      </c>
      <c r="H2887" t="n">
        <v>645.433</v>
      </c>
      <c r="I2887" t="n">
        <v>30</v>
      </c>
      <c r="J2887" t="inlineStr">
        <is>
          <t>BTBR</t>
        </is>
      </c>
      <c r="K2887" t="inlineStr">
        <is>
          <t>Male</t>
        </is>
      </c>
      <c r="L2887" t="inlineStr">
        <is>
          <t>No focal subject</t>
        </is>
      </c>
      <c r="M2887" t="n">
        <v>62.77</v>
      </c>
      <c r="N2887" t="inlineStr">
        <is>
          <t>Explore_N</t>
        </is>
      </c>
      <c r="O2887" t="inlineStr">
        <is>
          <t>Novelty</t>
        </is>
      </c>
      <c r="P2887" t="inlineStr">
        <is>
          <t>STATE</t>
        </is>
      </c>
      <c r="Q2887" t="n">
        <v>8.366</v>
      </c>
      <c r="R2887" t="n">
        <v>9.465999999999999</v>
      </c>
      <c r="S2887" t="n">
        <v>1.1</v>
      </c>
      <c r="T2887" t="inlineStr">
        <is>
          <t>C:/Users/manuel.felline/Documents/BEHAVIOR BTBR/NOR second cohort/BTBR/test/c7_m5.mp4</t>
        </is>
      </c>
      <c r="U2887" t="n">
        <v>578</v>
      </c>
      <c r="V2887" t="n">
        <v>611</v>
      </c>
      <c r="W2887" t="n">
        <v/>
      </c>
      <c r="X2887" t="n">
        <v/>
      </c>
      <c r="Y2887" t="n">
        <v/>
      </c>
      <c r="Z2887" t="n">
        <v/>
      </c>
      <c r="AA2887">
        <f>SUMIFS($S$2:S2887,$A$2:A2887,A2887,$N$2:N2887,"Explore*")</f>
        <v/>
      </c>
      <c r="AB2887">
        <f>IF(AND(LEFT(N2887,7)="Explore",(AA2887-IF(LEFT(N2887,7)="Explore",S2887,0))&lt;10),"SI","NO")</f>
        <v/>
      </c>
    </row>
    <row r="2888">
      <c r="A2888" t="inlineStr">
        <is>
          <t>c7m5_test</t>
        </is>
      </c>
      <c r="B2888" t="inlineStr">
        <is>
          <t>2026-06-17 17:12:38.848</t>
        </is>
      </c>
      <c r="C2888" t="n">
        <v/>
      </c>
      <c r="D2888" t="inlineStr">
        <is>
          <t>Media file</t>
        </is>
      </c>
      <c r="E2888" t="inlineStr">
        <is>
          <t>player #1:C:/Users/manuel.felline/Documents/BEHAVIOR BTBR/NOR second cohort/BTBR/test/c7_m5.mp4</t>
        </is>
      </c>
      <c r="F2888" t="n">
        <v>-10.967</v>
      </c>
      <c r="G2888" t="n">
        <v>576.6660000000001</v>
      </c>
      <c r="H2888" t="n">
        <v>645.433</v>
      </c>
      <c r="I2888" t="n">
        <v>30</v>
      </c>
      <c r="J2888" t="inlineStr">
        <is>
          <t>BTBR</t>
        </is>
      </c>
      <c r="K2888" t="inlineStr">
        <is>
          <t>Male</t>
        </is>
      </c>
      <c r="L2888" t="inlineStr">
        <is>
          <t>No focal subject</t>
        </is>
      </c>
      <c r="M2888" t="n">
        <v>62.77</v>
      </c>
      <c r="N2888" t="inlineStr">
        <is>
          <t>Explore_N</t>
        </is>
      </c>
      <c r="O2888" t="inlineStr">
        <is>
          <t>Novelty</t>
        </is>
      </c>
      <c r="P2888" t="inlineStr">
        <is>
          <t>STATE</t>
        </is>
      </c>
      <c r="Q2888" t="n">
        <v>12.066</v>
      </c>
      <c r="R2888" t="n">
        <v>12.966</v>
      </c>
      <c r="S2888" t="n">
        <v>0.9</v>
      </c>
      <c r="T2888" t="inlineStr">
        <is>
          <t>C:/Users/manuel.felline/Documents/BEHAVIOR BTBR/NOR second cohort/BTBR/test/c7_m5.mp4</t>
        </is>
      </c>
      <c r="U2888" t="n">
        <v>689</v>
      </c>
      <c r="V2888" t="n">
        <v>716</v>
      </c>
      <c r="W2888" t="n">
        <v/>
      </c>
      <c r="X2888" t="n">
        <v/>
      </c>
      <c r="Y2888" t="n">
        <v/>
      </c>
      <c r="Z2888" t="n">
        <v/>
      </c>
      <c r="AA2888">
        <f>SUMIFS($S$2:S2888,$A$2:A2888,A2888,$N$2:N2888,"Explore*")</f>
        <v/>
      </c>
      <c r="AB2888">
        <f>IF(AND(LEFT(N2888,7)="Explore",(AA2888-IF(LEFT(N2888,7)="Explore",S2888,0))&lt;10),"SI","NO")</f>
        <v/>
      </c>
    </row>
    <row r="2889">
      <c r="A2889" t="inlineStr">
        <is>
          <t>c7m5_test</t>
        </is>
      </c>
      <c r="B2889" t="inlineStr">
        <is>
          <t>2026-06-17 17:12:38.848</t>
        </is>
      </c>
      <c r="C2889" t="n">
        <v/>
      </c>
      <c r="D2889" t="inlineStr">
        <is>
          <t>Media file</t>
        </is>
      </c>
      <c r="E2889" t="inlineStr">
        <is>
          <t>player #1:C:/Users/manuel.felline/Documents/BEHAVIOR BTBR/NOR second cohort/BTBR/test/c7_m5.mp4</t>
        </is>
      </c>
      <c r="F2889" t="n">
        <v>-10.967</v>
      </c>
      <c r="G2889" t="n">
        <v>576.6660000000001</v>
      </c>
      <c r="H2889" t="n">
        <v>645.433</v>
      </c>
      <c r="I2889" t="n">
        <v>30</v>
      </c>
      <c r="J2889" t="inlineStr">
        <is>
          <t>BTBR</t>
        </is>
      </c>
      <c r="K2889" t="inlineStr">
        <is>
          <t>Male</t>
        </is>
      </c>
      <c r="L2889" t="inlineStr">
        <is>
          <t>No focal subject</t>
        </is>
      </c>
      <c r="M2889" t="n">
        <v>62.77</v>
      </c>
      <c r="N2889" t="inlineStr">
        <is>
          <t>Explore_F</t>
        </is>
      </c>
      <c r="O2889" t="inlineStr">
        <is>
          <t>Familiar</t>
        </is>
      </c>
      <c r="P2889" t="inlineStr">
        <is>
          <t>STATE</t>
        </is>
      </c>
      <c r="Q2889" t="n">
        <v>17.6</v>
      </c>
      <c r="R2889" t="n">
        <v>18.6</v>
      </c>
      <c r="S2889" t="n">
        <v>1</v>
      </c>
      <c r="T2889" t="inlineStr">
        <is>
          <t>C:/Users/manuel.felline/Documents/BEHAVIOR BTBR/NOR second cohort/BTBR/test/c7_m5.mp4</t>
        </is>
      </c>
      <c r="U2889" t="n">
        <v>855</v>
      </c>
      <c r="V2889" t="n">
        <v>885</v>
      </c>
      <c r="W2889" t="n">
        <v/>
      </c>
      <c r="X2889" t="n">
        <v/>
      </c>
      <c r="Y2889" t="n">
        <v/>
      </c>
      <c r="Z2889" t="n">
        <v/>
      </c>
      <c r="AA2889">
        <f>SUMIFS($S$2:S2889,$A$2:A2889,A2889,$N$2:N2889,"Explore*")</f>
        <v/>
      </c>
      <c r="AB2889">
        <f>IF(AND(LEFT(N2889,7)="Explore",(AA2889-IF(LEFT(N2889,7)="Explore",S2889,0))&lt;10),"SI","NO")</f>
        <v/>
      </c>
    </row>
    <row r="2890">
      <c r="A2890" t="inlineStr">
        <is>
          <t>c7m5_test</t>
        </is>
      </c>
      <c r="B2890" t="inlineStr">
        <is>
          <t>2026-06-17 17:12:38.848</t>
        </is>
      </c>
      <c r="C2890" t="n">
        <v/>
      </c>
      <c r="D2890" t="inlineStr">
        <is>
          <t>Media file</t>
        </is>
      </c>
      <c r="E2890" t="inlineStr">
        <is>
          <t>player #1:C:/Users/manuel.felline/Documents/BEHAVIOR BTBR/NOR second cohort/BTBR/test/c7_m5.mp4</t>
        </is>
      </c>
      <c r="F2890" t="n">
        <v>-10.967</v>
      </c>
      <c r="G2890" t="n">
        <v>576.6660000000001</v>
      </c>
      <c r="H2890" t="n">
        <v>645.433</v>
      </c>
      <c r="I2890" t="n">
        <v>30</v>
      </c>
      <c r="J2890" t="inlineStr">
        <is>
          <t>BTBR</t>
        </is>
      </c>
      <c r="K2890" t="inlineStr">
        <is>
          <t>Male</t>
        </is>
      </c>
      <c r="L2890" t="inlineStr">
        <is>
          <t>No focal subject</t>
        </is>
      </c>
      <c r="M2890" t="n">
        <v>62.77</v>
      </c>
      <c r="N2890" t="inlineStr">
        <is>
          <t>Explore_N</t>
        </is>
      </c>
      <c r="O2890" t="inlineStr">
        <is>
          <t>Novelty</t>
        </is>
      </c>
      <c r="P2890" t="inlineStr">
        <is>
          <t>STATE</t>
        </is>
      </c>
      <c r="Q2890" t="n">
        <v>29.533</v>
      </c>
      <c r="R2890" t="n">
        <v>30.333</v>
      </c>
      <c r="S2890" t="n">
        <v>0.8</v>
      </c>
      <c r="T2890" t="inlineStr">
        <is>
          <t>C:/Users/manuel.felline/Documents/BEHAVIOR BTBR/NOR second cohort/BTBR/test/c7_m5.mp4</t>
        </is>
      </c>
      <c r="U2890" t="n">
        <v>1212</v>
      </c>
      <c r="V2890" t="n">
        <v>1236</v>
      </c>
      <c r="W2890" t="n">
        <v/>
      </c>
      <c r="X2890" t="n">
        <v/>
      </c>
      <c r="Y2890" t="n">
        <v/>
      </c>
      <c r="Z2890" t="n">
        <v/>
      </c>
      <c r="AA2890">
        <f>SUMIFS($S$2:S2890,$A$2:A2890,A2890,$N$2:N2890,"Explore*")</f>
        <v/>
      </c>
      <c r="AB2890">
        <f>IF(AND(LEFT(N2890,7)="Explore",(AA2890-IF(LEFT(N2890,7)="Explore",S2890,0))&lt;10),"SI","NO")</f>
        <v/>
      </c>
    </row>
    <row r="2891">
      <c r="A2891" t="inlineStr">
        <is>
          <t>c7m5_test</t>
        </is>
      </c>
      <c r="B2891" t="inlineStr">
        <is>
          <t>2026-06-17 17:12:38.848</t>
        </is>
      </c>
      <c r="C2891" t="n">
        <v/>
      </c>
      <c r="D2891" t="inlineStr">
        <is>
          <t>Media file</t>
        </is>
      </c>
      <c r="E2891" t="inlineStr">
        <is>
          <t>player #1:C:/Users/manuel.felline/Documents/BEHAVIOR BTBR/NOR second cohort/BTBR/test/c7_m5.mp4</t>
        </is>
      </c>
      <c r="F2891" t="n">
        <v>-10.967</v>
      </c>
      <c r="G2891" t="n">
        <v>576.6660000000001</v>
      </c>
      <c r="H2891" t="n">
        <v>645.433</v>
      </c>
      <c r="I2891" t="n">
        <v>30</v>
      </c>
      <c r="J2891" t="inlineStr">
        <is>
          <t>BTBR</t>
        </is>
      </c>
      <c r="K2891" t="inlineStr">
        <is>
          <t>Male</t>
        </is>
      </c>
      <c r="L2891" t="inlineStr">
        <is>
          <t>No focal subject</t>
        </is>
      </c>
      <c r="M2891" t="n">
        <v>62.77</v>
      </c>
      <c r="N2891" t="inlineStr">
        <is>
          <t>Explore_F</t>
        </is>
      </c>
      <c r="O2891" t="inlineStr">
        <is>
          <t>Familiar</t>
        </is>
      </c>
      <c r="P2891" t="inlineStr">
        <is>
          <t>STATE</t>
        </is>
      </c>
      <c r="Q2891" t="n">
        <v>33.366</v>
      </c>
      <c r="R2891" t="n">
        <v>34</v>
      </c>
      <c r="S2891" t="n">
        <v>0.634</v>
      </c>
      <c r="T2891" t="inlineStr">
        <is>
          <t>C:/Users/manuel.felline/Documents/BEHAVIOR BTBR/NOR second cohort/BTBR/test/c7_m5.mp4</t>
        </is>
      </c>
      <c r="U2891" t="n">
        <v>1327</v>
      </c>
      <c r="V2891" t="n">
        <v>1345</v>
      </c>
      <c r="W2891" t="n">
        <v/>
      </c>
      <c r="X2891" t="n">
        <v/>
      </c>
      <c r="Y2891" t="n">
        <v/>
      </c>
      <c r="Z2891" t="n">
        <v/>
      </c>
      <c r="AA2891">
        <f>SUMIFS($S$2:S2891,$A$2:A2891,A2891,$N$2:N2891,"Explore*")</f>
        <v/>
      </c>
      <c r="AB2891">
        <f>IF(AND(LEFT(N2891,7)="Explore",(AA2891-IF(LEFT(N2891,7)="Explore",S2891,0))&lt;10),"SI","NO")</f>
        <v/>
      </c>
    </row>
    <row r="2892">
      <c r="A2892" t="inlineStr">
        <is>
          <t>c7m5_test</t>
        </is>
      </c>
      <c r="B2892" t="inlineStr">
        <is>
          <t>2026-06-17 17:12:38.848</t>
        </is>
      </c>
      <c r="C2892" t="n">
        <v/>
      </c>
      <c r="D2892" t="inlineStr">
        <is>
          <t>Media file</t>
        </is>
      </c>
      <c r="E2892" t="inlineStr">
        <is>
          <t>player #1:C:/Users/manuel.felline/Documents/BEHAVIOR BTBR/NOR second cohort/BTBR/test/c7_m5.mp4</t>
        </is>
      </c>
      <c r="F2892" t="n">
        <v>-10.967</v>
      </c>
      <c r="G2892" t="n">
        <v>576.6660000000001</v>
      </c>
      <c r="H2892" t="n">
        <v>645.433</v>
      </c>
      <c r="I2892" t="n">
        <v>30</v>
      </c>
      <c r="J2892" t="inlineStr">
        <is>
          <t>BTBR</t>
        </is>
      </c>
      <c r="K2892" t="inlineStr">
        <is>
          <t>Male</t>
        </is>
      </c>
      <c r="L2892" t="inlineStr">
        <is>
          <t>No focal subject</t>
        </is>
      </c>
      <c r="M2892" t="n">
        <v>62.77</v>
      </c>
      <c r="N2892" t="inlineStr">
        <is>
          <t>Explore_N</t>
        </is>
      </c>
      <c r="O2892" t="inlineStr">
        <is>
          <t>Novelty</t>
        </is>
      </c>
      <c r="P2892" t="inlineStr">
        <is>
          <t>STATE</t>
        </is>
      </c>
      <c r="Q2892" t="n">
        <v>36.133</v>
      </c>
      <c r="R2892" t="n">
        <v>37</v>
      </c>
      <c r="S2892" t="n">
        <v>0.867</v>
      </c>
      <c r="T2892" t="inlineStr">
        <is>
          <t>C:/Users/manuel.felline/Documents/BEHAVIOR BTBR/NOR second cohort/BTBR/test/c7_m5.mp4</t>
        </is>
      </c>
      <c r="U2892" t="n">
        <v>1409</v>
      </c>
      <c r="V2892" t="n">
        <v>1435</v>
      </c>
      <c r="W2892" t="n">
        <v/>
      </c>
      <c r="X2892" t="n">
        <v/>
      </c>
      <c r="Y2892" t="n">
        <v/>
      </c>
      <c r="Z2892" t="n">
        <v/>
      </c>
      <c r="AA2892">
        <f>SUMIFS($S$2:S2892,$A$2:A2892,A2892,$N$2:N2892,"Explore*")</f>
        <v/>
      </c>
      <c r="AB2892">
        <f>IF(AND(LEFT(N2892,7)="Explore",(AA2892-IF(LEFT(N2892,7)="Explore",S2892,0))&lt;10),"SI","NO")</f>
        <v/>
      </c>
    </row>
    <row r="2893">
      <c r="A2893" t="inlineStr">
        <is>
          <t>c7m5_test</t>
        </is>
      </c>
      <c r="B2893" t="inlineStr">
        <is>
          <t>2026-06-17 17:12:38.848</t>
        </is>
      </c>
      <c r="C2893" t="n">
        <v/>
      </c>
      <c r="D2893" t="inlineStr">
        <is>
          <t>Media file</t>
        </is>
      </c>
      <c r="E2893" t="inlineStr">
        <is>
          <t>player #1:C:/Users/manuel.felline/Documents/BEHAVIOR BTBR/NOR second cohort/BTBR/test/c7_m5.mp4</t>
        </is>
      </c>
      <c r="F2893" t="n">
        <v>-10.967</v>
      </c>
      <c r="G2893" t="n">
        <v>576.6660000000001</v>
      </c>
      <c r="H2893" t="n">
        <v>645.433</v>
      </c>
      <c r="I2893" t="n">
        <v>30</v>
      </c>
      <c r="J2893" t="inlineStr">
        <is>
          <t>BTBR</t>
        </is>
      </c>
      <c r="K2893" t="inlineStr">
        <is>
          <t>Male</t>
        </is>
      </c>
      <c r="L2893" t="inlineStr">
        <is>
          <t>No focal subject</t>
        </is>
      </c>
      <c r="M2893" t="n">
        <v>62.77</v>
      </c>
      <c r="N2893" t="inlineStr">
        <is>
          <t>Explore_F</t>
        </is>
      </c>
      <c r="O2893" t="inlineStr">
        <is>
          <t>Familiar</t>
        </is>
      </c>
      <c r="P2893" t="inlineStr">
        <is>
          <t>STATE</t>
        </is>
      </c>
      <c r="Q2893" t="n">
        <v>37.633</v>
      </c>
      <c r="R2893" t="n">
        <v>38.166</v>
      </c>
      <c r="S2893" t="n">
        <v>0.533</v>
      </c>
      <c r="T2893" t="inlineStr">
        <is>
          <t>C:/Users/manuel.felline/Documents/BEHAVIOR BTBR/NOR second cohort/BTBR/test/c7_m5.mp4</t>
        </is>
      </c>
      <c r="U2893" t="n">
        <v>1454</v>
      </c>
      <c r="V2893" t="n">
        <v>1470</v>
      </c>
      <c r="W2893" t="n">
        <v/>
      </c>
      <c r="X2893" t="n">
        <v/>
      </c>
      <c r="Y2893" t="n">
        <v/>
      </c>
      <c r="Z2893" t="n">
        <v/>
      </c>
      <c r="AA2893">
        <f>SUMIFS($S$2:S2893,$A$2:A2893,A2893,$N$2:N2893,"Explore*")</f>
        <v/>
      </c>
      <c r="AB2893">
        <f>IF(AND(LEFT(N2893,7)="Explore",(AA2893-IF(LEFT(N2893,7)="Explore",S2893,0))&lt;10),"SI","NO")</f>
        <v/>
      </c>
    </row>
    <row r="2894">
      <c r="A2894" t="inlineStr">
        <is>
          <t>c7m5_test</t>
        </is>
      </c>
      <c r="B2894" t="inlineStr">
        <is>
          <t>2026-06-17 17:12:38.848</t>
        </is>
      </c>
      <c r="C2894" t="n">
        <v/>
      </c>
      <c r="D2894" t="inlineStr">
        <is>
          <t>Media file</t>
        </is>
      </c>
      <c r="E2894" t="inlineStr">
        <is>
          <t>player #1:C:/Users/manuel.felline/Documents/BEHAVIOR BTBR/NOR second cohort/BTBR/test/c7_m5.mp4</t>
        </is>
      </c>
      <c r="F2894" t="n">
        <v>-10.967</v>
      </c>
      <c r="G2894" t="n">
        <v>576.6660000000001</v>
      </c>
      <c r="H2894" t="n">
        <v>645.433</v>
      </c>
      <c r="I2894" t="n">
        <v>30</v>
      </c>
      <c r="J2894" t="inlineStr">
        <is>
          <t>BTBR</t>
        </is>
      </c>
      <c r="K2894" t="inlineStr">
        <is>
          <t>Male</t>
        </is>
      </c>
      <c r="L2894" t="inlineStr">
        <is>
          <t>No focal subject</t>
        </is>
      </c>
      <c r="M2894" t="n">
        <v>62.77</v>
      </c>
      <c r="N2894" t="inlineStr">
        <is>
          <t>Explore_N</t>
        </is>
      </c>
      <c r="O2894" t="inlineStr">
        <is>
          <t>Novelty</t>
        </is>
      </c>
      <c r="P2894" t="inlineStr">
        <is>
          <t>STATE</t>
        </is>
      </c>
      <c r="Q2894" t="n">
        <v>45.1</v>
      </c>
      <c r="R2894" t="n">
        <v>46.033</v>
      </c>
      <c r="S2894" t="n">
        <v>0.9330000000000001</v>
      </c>
      <c r="T2894" t="inlineStr">
        <is>
          <t>C:/Users/manuel.felline/Documents/BEHAVIOR BTBR/NOR second cohort/BTBR/test/c7_m5.mp4</t>
        </is>
      </c>
      <c r="U2894" t="n">
        <v>1678</v>
      </c>
      <c r="V2894" t="n">
        <v>1706</v>
      </c>
      <c r="W2894" t="n">
        <v/>
      </c>
      <c r="X2894" t="n">
        <v/>
      </c>
      <c r="Y2894" t="n">
        <v/>
      </c>
      <c r="Z2894" t="n">
        <v/>
      </c>
      <c r="AA2894">
        <f>SUMIFS($S$2:S2894,$A$2:A2894,A2894,$N$2:N2894,"Explore*")</f>
        <v/>
      </c>
      <c r="AB2894">
        <f>IF(AND(LEFT(N2894,7)="Explore",(AA2894-IF(LEFT(N2894,7)="Explore",S2894,0))&lt;10),"SI","NO")</f>
        <v/>
      </c>
    </row>
    <row r="2895">
      <c r="A2895" t="inlineStr">
        <is>
          <t>c7m5_test</t>
        </is>
      </c>
      <c r="B2895" t="inlineStr">
        <is>
          <t>2026-06-17 17:12:38.848</t>
        </is>
      </c>
      <c r="C2895" t="n">
        <v/>
      </c>
      <c r="D2895" t="inlineStr">
        <is>
          <t>Media file</t>
        </is>
      </c>
      <c r="E2895" t="inlineStr">
        <is>
          <t>player #1:C:/Users/manuel.felline/Documents/BEHAVIOR BTBR/NOR second cohort/BTBR/test/c7_m5.mp4</t>
        </is>
      </c>
      <c r="F2895" t="n">
        <v>-10.967</v>
      </c>
      <c r="G2895" t="n">
        <v>576.6660000000001</v>
      </c>
      <c r="H2895" t="n">
        <v>645.433</v>
      </c>
      <c r="I2895" t="n">
        <v>30</v>
      </c>
      <c r="J2895" t="inlineStr">
        <is>
          <t>BTBR</t>
        </is>
      </c>
      <c r="K2895" t="inlineStr">
        <is>
          <t>Male</t>
        </is>
      </c>
      <c r="L2895" t="inlineStr">
        <is>
          <t>No focal subject</t>
        </is>
      </c>
      <c r="M2895" t="n">
        <v>62.77</v>
      </c>
      <c r="N2895" t="inlineStr">
        <is>
          <t>Explore_N</t>
        </is>
      </c>
      <c r="O2895" t="inlineStr">
        <is>
          <t>Novelty</t>
        </is>
      </c>
      <c r="P2895" t="inlineStr">
        <is>
          <t>STATE</t>
        </is>
      </c>
      <c r="Q2895" t="n">
        <v>47.066</v>
      </c>
      <c r="R2895" t="n">
        <v>49.3</v>
      </c>
      <c r="S2895" t="n">
        <v>2.234</v>
      </c>
      <c r="T2895" t="inlineStr">
        <is>
          <t>C:/Users/manuel.felline/Documents/BEHAVIOR BTBR/NOR second cohort/BTBR/test/c7_m5.mp4</t>
        </is>
      </c>
      <c r="U2895" t="n">
        <v>1736</v>
      </c>
      <c r="V2895" t="n">
        <v>1803</v>
      </c>
      <c r="W2895" t="n">
        <v/>
      </c>
      <c r="X2895" t="n">
        <v/>
      </c>
      <c r="Y2895" t="n">
        <v/>
      </c>
      <c r="Z2895" t="n">
        <v/>
      </c>
      <c r="AA2895">
        <f>SUMIFS($S$2:S2895,$A$2:A2895,A2895,$N$2:N2895,"Explore*")</f>
        <v/>
      </c>
      <c r="AB2895">
        <f>IF(AND(LEFT(N2895,7)="Explore",(AA2895-IF(LEFT(N2895,7)="Explore",S2895,0))&lt;10),"SI","NO")</f>
        <v/>
      </c>
    </row>
    <row r="2896">
      <c r="A2896" t="inlineStr">
        <is>
          <t>c7m5_test</t>
        </is>
      </c>
      <c r="B2896" t="inlineStr">
        <is>
          <t>2026-06-17 17:12:38.848</t>
        </is>
      </c>
      <c r="C2896" t="n">
        <v/>
      </c>
      <c r="D2896" t="inlineStr">
        <is>
          <t>Media file</t>
        </is>
      </c>
      <c r="E2896" t="inlineStr">
        <is>
          <t>player #1:C:/Users/manuel.felline/Documents/BEHAVIOR BTBR/NOR second cohort/BTBR/test/c7_m5.mp4</t>
        </is>
      </c>
      <c r="F2896" t="n">
        <v>-10.967</v>
      </c>
      <c r="G2896" t="n">
        <v>576.6660000000001</v>
      </c>
      <c r="H2896" t="n">
        <v>645.433</v>
      </c>
      <c r="I2896" t="n">
        <v>30</v>
      </c>
      <c r="J2896" t="inlineStr">
        <is>
          <t>BTBR</t>
        </is>
      </c>
      <c r="K2896" t="inlineStr">
        <is>
          <t>Male</t>
        </is>
      </c>
      <c r="L2896" t="inlineStr">
        <is>
          <t>No focal subject</t>
        </is>
      </c>
      <c r="M2896" t="n">
        <v>62.77</v>
      </c>
      <c r="N2896" t="inlineStr">
        <is>
          <t>Explore_N</t>
        </is>
      </c>
      <c r="O2896" t="inlineStr">
        <is>
          <t>Novelty</t>
        </is>
      </c>
      <c r="P2896" t="inlineStr">
        <is>
          <t>STATE</t>
        </is>
      </c>
      <c r="Q2896" t="n">
        <v>50.266</v>
      </c>
      <c r="R2896" t="n">
        <v>52.733</v>
      </c>
      <c r="S2896" t="n">
        <v>2.467</v>
      </c>
      <c r="T2896" t="inlineStr">
        <is>
          <t>C:/Users/manuel.felline/Documents/BEHAVIOR BTBR/NOR second cohort/BTBR/test/c7_m5.mp4</t>
        </is>
      </c>
      <c r="U2896" t="n">
        <v>1832</v>
      </c>
      <c r="V2896" t="n">
        <v>1906</v>
      </c>
      <c r="W2896" t="n">
        <v/>
      </c>
      <c r="X2896" t="n">
        <v/>
      </c>
      <c r="Y2896" t="n">
        <v/>
      </c>
      <c r="Z2896" t="n">
        <v/>
      </c>
      <c r="AA2896">
        <f>SUMIFS($S$2:S2896,$A$2:A2896,A2896,$N$2:N2896,"Explore*")</f>
        <v/>
      </c>
      <c r="AB2896">
        <f>IF(AND(LEFT(N2896,7)="Explore",(AA2896-IF(LEFT(N2896,7)="Explore",S2896,0))&lt;10),"SI","NO")</f>
        <v/>
      </c>
    </row>
    <row r="2897">
      <c r="A2897" t="inlineStr">
        <is>
          <t>c7m5_test</t>
        </is>
      </c>
      <c r="B2897" t="inlineStr">
        <is>
          <t>2026-06-17 17:12:38.848</t>
        </is>
      </c>
      <c r="C2897" t="n">
        <v/>
      </c>
      <c r="D2897" t="inlineStr">
        <is>
          <t>Media file</t>
        </is>
      </c>
      <c r="E2897" t="inlineStr">
        <is>
          <t>player #1:C:/Users/manuel.felline/Documents/BEHAVIOR BTBR/NOR second cohort/BTBR/test/c7_m5.mp4</t>
        </is>
      </c>
      <c r="F2897" t="n">
        <v>-10.967</v>
      </c>
      <c r="G2897" t="n">
        <v>576.6660000000001</v>
      </c>
      <c r="H2897" t="n">
        <v>645.433</v>
      </c>
      <c r="I2897" t="n">
        <v>30</v>
      </c>
      <c r="J2897" t="inlineStr">
        <is>
          <t>BTBR</t>
        </is>
      </c>
      <c r="K2897" t="inlineStr">
        <is>
          <t>Male</t>
        </is>
      </c>
      <c r="L2897" t="inlineStr">
        <is>
          <t>No focal subject</t>
        </is>
      </c>
      <c r="M2897" t="n">
        <v>62.77</v>
      </c>
      <c r="N2897" t="inlineStr">
        <is>
          <t>Explore_N</t>
        </is>
      </c>
      <c r="O2897" t="inlineStr">
        <is>
          <t>Novelty</t>
        </is>
      </c>
      <c r="P2897" t="inlineStr">
        <is>
          <t>STATE</t>
        </is>
      </c>
      <c r="Q2897" t="n">
        <v>55.733</v>
      </c>
      <c r="R2897" t="n">
        <v>56.466</v>
      </c>
      <c r="S2897" t="n">
        <v>0.733</v>
      </c>
      <c r="T2897" t="inlineStr">
        <is>
          <t>C:/Users/manuel.felline/Documents/BEHAVIOR BTBR/NOR second cohort/BTBR/test/c7_m5.mp4</t>
        </is>
      </c>
      <c r="U2897" t="n">
        <v>1996</v>
      </c>
      <c r="V2897" t="n">
        <v>2018</v>
      </c>
      <c r="W2897" t="n">
        <v/>
      </c>
      <c r="X2897" t="n">
        <v/>
      </c>
      <c r="Y2897" t="n">
        <v/>
      </c>
      <c r="Z2897" t="n">
        <v/>
      </c>
      <c r="AA2897">
        <f>SUMIFS($S$2:S2897,$A$2:A2897,A2897,$N$2:N2897,"Explore*")</f>
        <v/>
      </c>
      <c r="AB2897">
        <f>IF(AND(LEFT(N2897,7)="Explore",(AA2897-IF(LEFT(N2897,7)="Explore",S2897,0))&lt;10),"SI","NO")</f>
        <v/>
      </c>
    </row>
    <row r="2898">
      <c r="A2898" t="inlineStr">
        <is>
          <t>c7m5_test</t>
        </is>
      </c>
      <c r="B2898" t="inlineStr">
        <is>
          <t>2026-06-17 17:12:38.848</t>
        </is>
      </c>
      <c r="C2898" t="n">
        <v/>
      </c>
      <c r="D2898" t="inlineStr">
        <is>
          <t>Media file</t>
        </is>
      </c>
      <c r="E2898" t="inlineStr">
        <is>
          <t>player #1:C:/Users/manuel.felline/Documents/BEHAVIOR BTBR/NOR second cohort/BTBR/test/c7_m5.mp4</t>
        </is>
      </c>
      <c r="F2898" t="n">
        <v>-10.967</v>
      </c>
      <c r="G2898" t="n">
        <v>576.6660000000001</v>
      </c>
      <c r="H2898" t="n">
        <v>645.433</v>
      </c>
      <c r="I2898" t="n">
        <v>30</v>
      </c>
      <c r="J2898" t="inlineStr">
        <is>
          <t>BTBR</t>
        </is>
      </c>
      <c r="K2898" t="inlineStr">
        <is>
          <t>Male</t>
        </is>
      </c>
      <c r="L2898" t="inlineStr">
        <is>
          <t>No focal subject</t>
        </is>
      </c>
      <c r="M2898" t="n">
        <v>62.77</v>
      </c>
      <c r="N2898" t="inlineStr">
        <is>
          <t>Explore_N</t>
        </is>
      </c>
      <c r="O2898" t="inlineStr">
        <is>
          <t>Novelty</t>
        </is>
      </c>
      <c r="P2898" t="inlineStr">
        <is>
          <t>STATE</t>
        </is>
      </c>
      <c r="Q2898" t="n">
        <v>57.1</v>
      </c>
      <c r="R2898" t="n">
        <v>58.533</v>
      </c>
      <c r="S2898" t="n">
        <v>1.433</v>
      </c>
      <c r="T2898" t="inlineStr">
        <is>
          <t>C:/Users/manuel.felline/Documents/BEHAVIOR BTBR/NOR second cohort/BTBR/test/c7_m5.mp4</t>
        </is>
      </c>
      <c r="U2898" t="n">
        <v>2037</v>
      </c>
      <c r="V2898" t="n">
        <v>2080</v>
      </c>
      <c r="W2898" t="n">
        <v/>
      </c>
      <c r="X2898" t="n">
        <v/>
      </c>
      <c r="Y2898" t="n">
        <v/>
      </c>
      <c r="Z2898" t="n">
        <v/>
      </c>
      <c r="AA2898">
        <f>SUMIFS($S$2:S2898,$A$2:A2898,A2898,$N$2:N2898,"Explore*")</f>
        <v/>
      </c>
      <c r="AB2898">
        <f>IF(AND(LEFT(N2898,7)="Explore",(AA2898-IF(LEFT(N2898,7)="Explore",S2898,0))&lt;10),"SI","NO")</f>
        <v/>
      </c>
    </row>
    <row r="2899">
      <c r="A2899" t="inlineStr">
        <is>
          <t>c7m5_test</t>
        </is>
      </c>
      <c r="B2899" t="inlineStr">
        <is>
          <t>2026-06-17 17:12:38.848</t>
        </is>
      </c>
      <c r="C2899" t="n">
        <v/>
      </c>
      <c r="D2899" t="inlineStr">
        <is>
          <t>Media file</t>
        </is>
      </c>
      <c r="E2899" t="inlineStr">
        <is>
          <t>player #1:C:/Users/manuel.felline/Documents/BEHAVIOR BTBR/NOR second cohort/BTBR/test/c7_m5.mp4</t>
        </is>
      </c>
      <c r="F2899" t="n">
        <v>-10.967</v>
      </c>
      <c r="G2899" t="n">
        <v>576.6660000000001</v>
      </c>
      <c r="H2899" t="n">
        <v>645.433</v>
      </c>
      <c r="I2899" t="n">
        <v>30</v>
      </c>
      <c r="J2899" t="inlineStr">
        <is>
          <t>BTBR</t>
        </is>
      </c>
      <c r="K2899" t="inlineStr">
        <is>
          <t>Male</t>
        </is>
      </c>
      <c r="L2899" t="inlineStr">
        <is>
          <t>No focal subject</t>
        </is>
      </c>
      <c r="M2899" t="n">
        <v>62.77</v>
      </c>
      <c r="N2899" t="inlineStr">
        <is>
          <t>Explore_F</t>
        </is>
      </c>
      <c r="O2899" t="inlineStr">
        <is>
          <t>Familiar</t>
        </is>
      </c>
      <c r="P2899" t="inlineStr">
        <is>
          <t>STATE</t>
        </is>
      </c>
      <c r="Q2899" t="n">
        <v>62.1</v>
      </c>
      <c r="R2899" t="n">
        <v>63.633</v>
      </c>
      <c r="S2899" t="n">
        <v>1.533</v>
      </c>
      <c r="T2899" t="inlineStr">
        <is>
          <t>C:/Users/manuel.felline/Documents/BEHAVIOR BTBR/NOR second cohort/BTBR/test/c7_m5.mp4</t>
        </is>
      </c>
      <c r="U2899" t="n">
        <v>2186</v>
      </c>
      <c r="V2899" t="n">
        <v>2232</v>
      </c>
      <c r="W2899" t="n">
        <v/>
      </c>
      <c r="X2899" t="n">
        <v/>
      </c>
      <c r="Y2899" t="n">
        <v/>
      </c>
      <c r="Z2899" t="n">
        <v/>
      </c>
      <c r="AA2899">
        <f>SUMIFS($S$2:S2899,$A$2:A2899,A2899,$N$2:N2899,"Explore*")</f>
        <v/>
      </c>
      <c r="AB2899">
        <f>IF(AND(LEFT(N2899,7)="Explore",(AA2899-IF(LEFT(N2899,7)="Explore",S2899,0))&lt;10),"SI","NO")</f>
        <v/>
      </c>
    </row>
    <row r="2900">
      <c r="A2900" t="inlineStr">
        <is>
          <t>c7m5_test</t>
        </is>
      </c>
      <c r="B2900" t="inlineStr">
        <is>
          <t>2026-06-17 17:12:38.848</t>
        </is>
      </c>
      <c r="C2900" t="n">
        <v/>
      </c>
      <c r="D2900" t="inlineStr">
        <is>
          <t>Media file</t>
        </is>
      </c>
      <c r="E2900" t="inlineStr">
        <is>
          <t>player #1:C:/Users/manuel.felline/Documents/BEHAVIOR BTBR/NOR second cohort/BTBR/test/c7_m5.mp4</t>
        </is>
      </c>
      <c r="F2900" t="n">
        <v>-10.967</v>
      </c>
      <c r="G2900" t="n">
        <v>576.6660000000001</v>
      </c>
      <c r="H2900" t="n">
        <v>645.433</v>
      </c>
      <c r="I2900" t="n">
        <v>30</v>
      </c>
      <c r="J2900" t="inlineStr">
        <is>
          <t>BTBR</t>
        </is>
      </c>
      <c r="K2900" t="inlineStr">
        <is>
          <t>Male</t>
        </is>
      </c>
      <c r="L2900" t="inlineStr">
        <is>
          <t>No focal subject</t>
        </is>
      </c>
      <c r="M2900" t="n">
        <v>62.77</v>
      </c>
      <c r="N2900" t="inlineStr">
        <is>
          <t>Explore_N</t>
        </is>
      </c>
      <c r="O2900" t="inlineStr">
        <is>
          <t>Novelty</t>
        </is>
      </c>
      <c r="P2900" t="inlineStr">
        <is>
          <t>STATE</t>
        </is>
      </c>
      <c r="Q2900" t="n">
        <v>69.3</v>
      </c>
      <c r="R2900" t="n">
        <v>70.166</v>
      </c>
      <c r="S2900" t="n">
        <v>0.866</v>
      </c>
      <c r="T2900" t="inlineStr">
        <is>
          <t>C:/Users/manuel.felline/Documents/BEHAVIOR BTBR/NOR second cohort/BTBR/test/c7_m5.mp4</t>
        </is>
      </c>
      <c r="U2900" t="n">
        <v>2402</v>
      </c>
      <c r="V2900" t="n">
        <v>2428</v>
      </c>
      <c r="W2900" t="n">
        <v/>
      </c>
      <c r="X2900" t="n">
        <v/>
      </c>
      <c r="Y2900" t="n">
        <v/>
      </c>
      <c r="Z2900" t="n">
        <v/>
      </c>
      <c r="AA2900">
        <f>SUMIFS($S$2:S2900,$A$2:A2900,A2900,$N$2:N2900,"Explore*")</f>
        <v/>
      </c>
      <c r="AB2900">
        <f>IF(AND(LEFT(N2900,7)="Explore",(AA2900-IF(LEFT(N2900,7)="Explore",S2900,0))&lt;10),"SI","NO")</f>
        <v/>
      </c>
    </row>
    <row r="2901">
      <c r="A2901" t="inlineStr">
        <is>
          <t>c7m5_test</t>
        </is>
      </c>
      <c r="B2901" t="inlineStr">
        <is>
          <t>2026-06-17 17:12:38.848</t>
        </is>
      </c>
      <c r="C2901" t="n">
        <v/>
      </c>
      <c r="D2901" t="inlineStr">
        <is>
          <t>Media file</t>
        </is>
      </c>
      <c r="E2901" t="inlineStr">
        <is>
          <t>player #1:C:/Users/manuel.felline/Documents/BEHAVIOR BTBR/NOR second cohort/BTBR/test/c7_m5.mp4</t>
        </is>
      </c>
      <c r="F2901" t="n">
        <v>-10.967</v>
      </c>
      <c r="G2901" t="n">
        <v>576.6660000000001</v>
      </c>
      <c r="H2901" t="n">
        <v>645.433</v>
      </c>
      <c r="I2901" t="n">
        <v>30</v>
      </c>
      <c r="J2901" t="inlineStr">
        <is>
          <t>BTBR</t>
        </is>
      </c>
      <c r="K2901" t="inlineStr">
        <is>
          <t>Male</t>
        </is>
      </c>
      <c r="L2901" t="inlineStr">
        <is>
          <t>No focal subject</t>
        </is>
      </c>
      <c r="M2901" t="n">
        <v>62.77</v>
      </c>
      <c r="N2901" t="inlineStr">
        <is>
          <t>Explore_F</t>
        </is>
      </c>
      <c r="O2901" t="inlineStr">
        <is>
          <t>Familiar</t>
        </is>
      </c>
      <c r="P2901" t="inlineStr">
        <is>
          <t>STATE</t>
        </is>
      </c>
      <c r="Q2901" t="n">
        <v>74</v>
      </c>
      <c r="R2901" t="n">
        <v>75.333</v>
      </c>
      <c r="S2901" t="n">
        <v>1.333</v>
      </c>
      <c r="T2901" t="inlineStr">
        <is>
          <t>C:/Users/manuel.felline/Documents/BEHAVIOR BTBR/NOR second cohort/BTBR/test/c7_m5.mp4</t>
        </is>
      </c>
      <c r="U2901" t="n">
        <v>2542</v>
      </c>
      <c r="V2901" t="n">
        <v>2582</v>
      </c>
      <c r="W2901" t="n">
        <v/>
      </c>
      <c r="X2901" t="n">
        <v/>
      </c>
      <c r="Y2901" t="n">
        <v/>
      </c>
      <c r="Z2901" t="n">
        <v/>
      </c>
      <c r="AA2901">
        <f>SUMIFS($S$2:S2901,$A$2:A2901,A2901,$N$2:N2901,"Explore*")</f>
        <v/>
      </c>
      <c r="AB2901">
        <f>IF(AND(LEFT(N2901,7)="Explore",(AA2901-IF(LEFT(N2901,7)="Explore",S2901,0))&lt;10),"SI","NO")</f>
        <v/>
      </c>
    </row>
    <row r="2902">
      <c r="A2902" t="inlineStr">
        <is>
          <t>c7m5_test</t>
        </is>
      </c>
      <c r="B2902" t="inlineStr">
        <is>
          <t>2026-06-17 17:12:38.848</t>
        </is>
      </c>
      <c r="C2902" t="n">
        <v/>
      </c>
      <c r="D2902" t="inlineStr">
        <is>
          <t>Media file</t>
        </is>
      </c>
      <c r="E2902" t="inlineStr">
        <is>
          <t>player #1:C:/Users/manuel.felline/Documents/BEHAVIOR BTBR/NOR second cohort/BTBR/test/c7_m5.mp4</t>
        </is>
      </c>
      <c r="F2902" t="n">
        <v>-10.967</v>
      </c>
      <c r="G2902" t="n">
        <v>576.6660000000001</v>
      </c>
      <c r="H2902" t="n">
        <v>645.433</v>
      </c>
      <c r="I2902" t="n">
        <v>30</v>
      </c>
      <c r="J2902" t="inlineStr">
        <is>
          <t>BTBR</t>
        </is>
      </c>
      <c r="K2902" t="inlineStr">
        <is>
          <t>Male</t>
        </is>
      </c>
      <c r="L2902" t="inlineStr">
        <is>
          <t>No focal subject</t>
        </is>
      </c>
      <c r="M2902" t="n">
        <v>62.77</v>
      </c>
      <c r="N2902" t="inlineStr">
        <is>
          <t>Explore_N</t>
        </is>
      </c>
      <c r="O2902" t="inlineStr">
        <is>
          <t>Novelty</t>
        </is>
      </c>
      <c r="P2902" t="inlineStr">
        <is>
          <t>STATE</t>
        </is>
      </c>
      <c r="Q2902" t="n">
        <v>81.26600000000001</v>
      </c>
      <c r="R2902" t="n">
        <v>82.2</v>
      </c>
      <c r="S2902" t="n">
        <v>0.9340000000000001</v>
      </c>
      <c r="T2902" t="inlineStr">
        <is>
          <t>C:/Users/manuel.felline/Documents/BEHAVIOR BTBR/NOR second cohort/BTBR/test/c7_m5.mp4</t>
        </is>
      </c>
      <c r="U2902" t="n">
        <v>2760</v>
      </c>
      <c r="V2902" t="n">
        <v>2788</v>
      </c>
      <c r="W2902" t="n">
        <v/>
      </c>
      <c r="X2902" t="n">
        <v/>
      </c>
      <c r="Y2902" t="n">
        <v/>
      </c>
      <c r="Z2902" t="n">
        <v/>
      </c>
      <c r="AA2902">
        <f>SUMIFS($S$2:S2902,$A$2:A2902,A2902,$N$2:N2902,"Explore*")</f>
        <v/>
      </c>
      <c r="AB2902">
        <f>IF(AND(LEFT(N2902,7)="Explore",(AA2902-IF(LEFT(N2902,7)="Explore",S2902,0))&lt;10),"SI","NO")</f>
        <v/>
      </c>
    </row>
    <row r="2903">
      <c r="A2903" t="inlineStr">
        <is>
          <t>c7m5_test</t>
        </is>
      </c>
      <c r="B2903" t="inlineStr">
        <is>
          <t>2026-06-17 17:12:38.848</t>
        </is>
      </c>
      <c r="C2903" t="n">
        <v/>
      </c>
      <c r="D2903" t="inlineStr">
        <is>
          <t>Media file</t>
        </is>
      </c>
      <c r="E2903" t="inlineStr">
        <is>
          <t>player #1:C:/Users/manuel.felline/Documents/BEHAVIOR BTBR/NOR second cohort/BTBR/test/c7_m5.mp4</t>
        </is>
      </c>
      <c r="F2903" t="n">
        <v>-10.967</v>
      </c>
      <c r="G2903" t="n">
        <v>576.6660000000001</v>
      </c>
      <c r="H2903" t="n">
        <v>645.433</v>
      </c>
      <c r="I2903" t="n">
        <v>30</v>
      </c>
      <c r="J2903" t="inlineStr">
        <is>
          <t>BTBR</t>
        </is>
      </c>
      <c r="K2903" t="inlineStr">
        <is>
          <t>Male</t>
        </is>
      </c>
      <c r="L2903" t="inlineStr">
        <is>
          <t>No focal subject</t>
        </is>
      </c>
      <c r="M2903" t="n">
        <v>62.77</v>
      </c>
      <c r="N2903" t="inlineStr">
        <is>
          <t>Explore_F</t>
        </is>
      </c>
      <c r="O2903" t="inlineStr">
        <is>
          <t>Familiar</t>
        </is>
      </c>
      <c r="P2903" t="inlineStr">
        <is>
          <t>STATE</t>
        </is>
      </c>
      <c r="Q2903" t="n">
        <v>82.90000000000001</v>
      </c>
      <c r="R2903" t="n">
        <v>83.5</v>
      </c>
      <c r="S2903" t="n">
        <v>0.6</v>
      </c>
      <c r="T2903" t="inlineStr">
        <is>
          <t>C:/Users/manuel.felline/Documents/BEHAVIOR BTBR/NOR second cohort/BTBR/test/c7_m5.mp4</t>
        </is>
      </c>
      <c r="U2903" t="n">
        <v>2809</v>
      </c>
      <c r="V2903" t="n">
        <v>2827</v>
      </c>
      <c r="W2903" t="n">
        <v/>
      </c>
      <c r="X2903" t="n">
        <v/>
      </c>
      <c r="Y2903" t="n">
        <v/>
      </c>
      <c r="Z2903" t="n">
        <v/>
      </c>
      <c r="AA2903">
        <f>SUMIFS($S$2:S2903,$A$2:A2903,A2903,$N$2:N2903,"Explore*")</f>
        <v/>
      </c>
      <c r="AB2903">
        <f>IF(AND(LEFT(N2903,7)="Explore",(AA2903-IF(LEFT(N2903,7)="Explore",S2903,0))&lt;10),"SI","NO")</f>
        <v/>
      </c>
    </row>
    <row r="2904">
      <c r="A2904" t="inlineStr">
        <is>
          <t>c7m5_test</t>
        </is>
      </c>
      <c r="B2904" t="inlineStr">
        <is>
          <t>2026-06-17 17:12:38.848</t>
        </is>
      </c>
      <c r="C2904" t="n">
        <v/>
      </c>
      <c r="D2904" t="inlineStr">
        <is>
          <t>Media file</t>
        </is>
      </c>
      <c r="E2904" t="inlineStr">
        <is>
          <t>player #1:C:/Users/manuel.felline/Documents/BEHAVIOR BTBR/NOR second cohort/BTBR/test/c7_m5.mp4</t>
        </is>
      </c>
      <c r="F2904" t="n">
        <v>-10.967</v>
      </c>
      <c r="G2904" t="n">
        <v>576.6660000000001</v>
      </c>
      <c r="H2904" t="n">
        <v>645.433</v>
      </c>
      <c r="I2904" t="n">
        <v>30</v>
      </c>
      <c r="J2904" t="inlineStr">
        <is>
          <t>BTBR</t>
        </is>
      </c>
      <c r="K2904" t="inlineStr">
        <is>
          <t>Male</t>
        </is>
      </c>
      <c r="L2904" t="inlineStr">
        <is>
          <t>No focal subject</t>
        </is>
      </c>
      <c r="M2904" t="n">
        <v>62.77</v>
      </c>
      <c r="N2904" t="inlineStr">
        <is>
          <t>Explore_N</t>
        </is>
      </c>
      <c r="O2904" t="inlineStr">
        <is>
          <t>Novelty</t>
        </is>
      </c>
      <c r="P2904" t="inlineStr">
        <is>
          <t>STATE</t>
        </is>
      </c>
      <c r="Q2904" t="n">
        <v>86.46599999999999</v>
      </c>
      <c r="R2904" t="n">
        <v>88.833</v>
      </c>
      <c r="S2904" t="n">
        <v>2.367</v>
      </c>
      <c r="T2904" t="inlineStr">
        <is>
          <t>C:/Users/manuel.felline/Documents/BEHAVIOR BTBR/NOR second cohort/BTBR/test/c7_m5.mp4</t>
        </is>
      </c>
      <c r="U2904" t="n">
        <v>2915</v>
      </c>
      <c r="V2904" t="n">
        <v>2986</v>
      </c>
      <c r="W2904" t="n">
        <v/>
      </c>
      <c r="X2904" t="n">
        <v/>
      </c>
      <c r="Y2904" t="n">
        <v/>
      </c>
      <c r="Z2904" t="n">
        <v/>
      </c>
      <c r="AA2904">
        <f>SUMIFS($S$2:S2904,$A$2:A2904,A2904,$N$2:N2904,"Explore*")</f>
        <v/>
      </c>
      <c r="AB2904">
        <f>IF(AND(LEFT(N2904,7)="Explore",(AA2904-IF(LEFT(N2904,7)="Explore",S2904,0))&lt;10),"SI","NO")</f>
        <v/>
      </c>
    </row>
    <row r="2905">
      <c r="A2905" t="inlineStr">
        <is>
          <t>c7m5_test</t>
        </is>
      </c>
      <c r="B2905" t="inlineStr">
        <is>
          <t>2026-06-17 17:12:38.848</t>
        </is>
      </c>
      <c r="C2905" t="n">
        <v/>
      </c>
      <c r="D2905" t="inlineStr">
        <is>
          <t>Media file</t>
        </is>
      </c>
      <c r="E2905" t="inlineStr">
        <is>
          <t>player #1:C:/Users/manuel.felline/Documents/BEHAVIOR BTBR/NOR second cohort/BTBR/test/c7_m5.mp4</t>
        </is>
      </c>
      <c r="F2905" t="n">
        <v>-10.967</v>
      </c>
      <c r="G2905" t="n">
        <v>576.6660000000001</v>
      </c>
      <c r="H2905" t="n">
        <v>645.433</v>
      </c>
      <c r="I2905" t="n">
        <v>30</v>
      </c>
      <c r="J2905" t="inlineStr">
        <is>
          <t>BTBR</t>
        </is>
      </c>
      <c r="K2905" t="inlineStr">
        <is>
          <t>Male</t>
        </is>
      </c>
      <c r="L2905" t="inlineStr">
        <is>
          <t>No focal subject</t>
        </is>
      </c>
      <c r="M2905" t="n">
        <v>62.77</v>
      </c>
      <c r="N2905" t="inlineStr">
        <is>
          <t>Explore_F</t>
        </is>
      </c>
      <c r="O2905" t="inlineStr">
        <is>
          <t>Familiar</t>
        </is>
      </c>
      <c r="P2905" t="inlineStr">
        <is>
          <t>STATE</t>
        </is>
      </c>
      <c r="Q2905" t="n">
        <v>90.96599999999999</v>
      </c>
      <c r="R2905" t="n">
        <v>91.8</v>
      </c>
      <c r="S2905" t="n">
        <v>0.834</v>
      </c>
      <c r="T2905" t="inlineStr">
        <is>
          <t>C:/Users/manuel.felline/Documents/BEHAVIOR BTBR/NOR second cohort/BTBR/test/c7_m5.mp4</t>
        </is>
      </c>
      <c r="U2905" t="n">
        <v>3050</v>
      </c>
      <c r="V2905" t="n">
        <v>3075</v>
      </c>
      <c r="W2905" t="n">
        <v/>
      </c>
      <c r="X2905" t="n">
        <v/>
      </c>
      <c r="Y2905" t="n">
        <v/>
      </c>
      <c r="Z2905" t="n">
        <v/>
      </c>
      <c r="AA2905">
        <f>SUMIFS($S$2:S2905,$A$2:A2905,A2905,$N$2:N2905,"Explore*")</f>
        <v/>
      </c>
      <c r="AB2905">
        <f>IF(AND(LEFT(N2905,7)="Explore",(AA2905-IF(LEFT(N2905,7)="Explore",S2905,0))&lt;10),"SI","NO")</f>
        <v/>
      </c>
    </row>
    <row r="2906">
      <c r="A2906" t="inlineStr">
        <is>
          <t>c7m5_test</t>
        </is>
      </c>
      <c r="B2906" t="inlineStr">
        <is>
          <t>2026-06-17 17:12:38.848</t>
        </is>
      </c>
      <c r="C2906" t="n">
        <v/>
      </c>
      <c r="D2906" t="inlineStr">
        <is>
          <t>Media file</t>
        </is>
      </c>
      <c r="E2906" t="inlineStr">
        <is>
          <t>player #1:C:/Users/manuel.felline/Documents/BEHAVIOR BTBR/NOR second cohort/BTBR/test/c7_m5.mp4</t>
        </is>
      </c>
      <c r="F2906" t="n">
        <v>-10.967</v>
      </c>
      <c r="G2906" t="n">
        <v>576.6660000000001</v>
      </c>
      <c r="H2906" t="n">
        <v>645.433</v>
      </c>
      <c r="I2906" t="n">
        <v>30</v>
      </c>
      <c r="J2906" t="inlineStr">
        <is>
          <t>BTBR</t>
        </is>
      </c>
      <c r="K2906" t="inlineStr">
        <is>
          <t>Male</t>
        </is>
      </c>
      <c r="L2906" t="inlineStr">
        <is>
          <t>No focal subject</t>
        </is>
      </c>
      <c r="M2906" t="n">
        <v>62.77</v>
      </c>
      <c r="N2906" t="inlineStr">
        <is>
          <t>Explore_N</t>
        </is>
      </c>
      <c r="O2906" t="inlineStr">
        <is>
          <t>Novelty</t>
        </is>
      </c>
      <c r="P2906" t="inlineStr">
        <is>
          <t>STATE</t>
        </is>
      </c>
      <c r="Q2906" t="n">
        <v>96.46599999999999</v>
      </c>
      <c r="R2906" t="n">
        <v>97.2</v>
      </c>
      <c r="S2906" t="n">
        <v>0.734</v>
      </c>
      <c r="T2906" t="inlineStr">
        <is>
          <t>C:/Users/manuel.felline/Documents/BEHAVIOR BTBR/NOR second cohort/BTBR/test/c7_m5.mp4</t>
        </is>
      </c>
      <c r="U2906" t="n">
        <v>3215</v>
      </c>
      <c r="V2906" t="n">
        <v>3237</v>
      </c>
      <c r="W2906" t="n">
        <v/>
      </c>
      <c r="X2906" t="n">
        <v/>
      </c>
      <c r="Y2906" t="n">
        <v/>
      </c>
      <c r="Z2906" t="n">
        <v/>
      </c>
      <c r="AA2906">
        <f>SUMIFS($S$2:S2906,$A$2:A2906,A2906,$N$2:N2906,"Explore*")</f>
        <v/>
      </c>
      <c r="AB2906">
        <f>IF(AND(LEFT(N2906,7)="Explore",(AA2906-IF(LEFT(N2906,7)="Explore",S2906,0))&lt;10),"SI","NO")</f>
        <v/>
      </c>
    </row>
    <row r="2907">
      <c r="A2907" t="inlineStr">
        <is>
          <t>c7m5_test</t>
        </is>
      </c>
      <c r="B2907" t="inlineStr">
        <is>
          <t>2026-06-17 17:12:38.848</t>
        </is>
      </c>
      <c r="C2907" t="n">
        <v/>
      </c>
      <c r="D2907" t="inlineStr">
        <is>
          <t>Media file</t>
        </is>
      </c>
      <c r="E2907" t="inlineStr">
        <is>
          <t>player #1:C:/Users/manuel.felline/Documents/BEHAVIOR BTBR/NOR second cohort/BTBR/test/c7_m5.mp4</t>
        </is>
      </c>
      <c r="F2907" t="n">
        <v>-10.967</v>
      </c>
      <c r="G2907" t="n">
        <v>576.6660000000001</v>
      </c>
      <c r="H2907" t="n">
        <v>645.433</v>
      </c>
      <c r="I2907" t="n">
        <v>30</v>
      </c>
      <c r="J2907" t="inlineStr">
        <is>
          <t>BTBR</t>
        </is>
      </c>
      <c r="K2907" t="inlineStr">
        <is>
          <t>Male</t>
        </is>
      </c>
      <c r="L2907" t="inlineStr">
        <is>
          <t>No focal subject</t>
        </is>
      </c>
      <c r="M2907" t="n">
        <v>62.77</v>
      </c>
      <c r="N2907" t="inlineStr">
        <is>
          <t>Explore_N</t>
        </is>
      </c>
      <c r="O2907" t="inlineStr">
        <is>
          <t>Novelty</t>
        </is>
      </c>
      <c r="P2907" t="inlineStr">
        <is>
          <t>STATE</t>
        </is>
      </c>
      <c r="Q2907" t="n">
        <v>98.333</v>
      </c>
      <c r="R2907" t="n">
        <v>102.066</v>
      </c>
      <c r="S2907" t="n">
        <v>3.733</v>
      </c>
      <c r="T2907" t="inlineStr">
        <is>
          <t>C:/Users/manuel.felline/Documents/BEHAVIOR BTBR/NOR second cohort/BTBR/test/c7_m5.mp4</t>
        </is>
      </c>
      <c r="U2907" t="n">
        <v>3270</v>
      </c>
      <c r="V2907" t="n">
        <v>3382</v>
      </c>
      <c r="W2907" t="n">
        <v/>
      </c>
      <c r="X2907" t="n">
        <v/>
      </c>
      <c r="Y2907" t="n">
        <v/>
      </c>
      <c r="Z2907" t="n">
        <v/>
      </c>
      <c r="AA2907">
        <f>SUMIFS($S$2:S2907,$A$2:A2907,A2907,$N$2:N2907,"Explore*")</f>
        <v/>
      </c>
      <c r="AB2907">
        <f>IF(AND(LEFT(N2907,7)="Explore",(AA2907-IF(LEFT(N2907,7)="Explore",S2907,0))&lt;10),"SI","NO")</f>
        <v/>
      </c>
    </row>
    <row r="2908">
      <c r="A2908" t="inlineStr">
        <is>
          <t>c7m5_test</t>
        </is>
      </c>
      <c r="B2908" t="inlineStr">
        <is>
          <t>2026-06-17 17:12:38.848</t>
        </is>
      </c>
      <c r="C2908" t="n">
        <v/>
      </c>
      <c r="D2908" t="inlineStr">
        <is>
          <t>Media file</t>
        </is>
      </c>
      <c r="E2908" t="inlineStr">
        <is>
          <t>player #1:C:/Users/manuel.felline/Documents/BEHAVIOR BTBR/NOR second cohort/BTBR/test/c7_m5.mp4</t>
        </is>
      </c>
      <c r="F2908" t="n">
        <v>-10.967</v>
      </c>
      <c r="G2908" t="n">
        <v>576.6660000000001</v>
      </c>
      <c r="H2908" t="n">
        <v>645.433</v>
      </c>
      <c r="I2908" t="n">
        <v>30</v>
      </c>
      <c r="J2908" t="inlineStr">
        <is>
          <t>BTBR</t>
        </is>
      </c>
      <c r="K2908" t="inlineStr">
        <is>
          <t>Male</t>
        </is>
      </c>
      <c r="L2908" t="inlineStr">
        <is>
          <t>No focal subject</t>
        </is>
      </c>
      <c r="M2908" t="n">
        <v>62.77</v>
      </c>
      <c r="N2908" t="inlineStr">
        <is>
          <t>Explore_F</t>
        </is>
      </c>
      <c r="O2908" t="inlineStr">
        <is>
          <t>Familiar</t>
        </is>
      </c>
      <c r="P2908" t="inlineStr">
        <is>
          <t>STATE</t>
        </is>
      </c>
      <c r="Q2908" t="n">
        <v>108.8</v>
      </c>
      <c r="R2908" t="n">
        <v>109.433</v>
      </c>
      <c r="S2908" t="n">
        <v>0.633</v>
      </c>
      <c r="T2908" t="inlineStr">
        <is>
          <t>C:/Users/manuel.felline/Documents/BEHAVIOR BTBR/NOR second cohort/BTBR/test/c7_m5.mp4</t>
        </is>
      </c>
      <c r="U2908" t="n">
        <v>3584</v>
      </c>
      <c r="V2908" t="n">
        <v>3603</v>
      </c>
      <c r="W2908" t="n">
        <v/>
      </c>
      <c r="X2908" t="n">
        <v/>
      </c>
      <c r="Y2908" t="n">
        <v/>
      </c>
      <c r="Z2908" t="n">
        <v/>
      </c>
      <c r="AA2908">
        <f>SUMIFS($S$2:S2908,$A$2:A2908,A2908,$N$2:N2908,"Explore*")</f>
        <v/>
      </c>
      <c r="AB2908">
        <f>IF(AND(LEFT(N2908,7)="Explore",(AA2908-IF(LEFT(N2908,7)="Explore",S2908,0))&lt;10),"SI","NO")</f>
        <v/>
      </c>
    </row>
    <row r="2909">
      <c r="A2909" t="inlineStr">
        <is>
          <t>c7m5_test</t>
        </is>
      </c>
      <c r="B2909" t="inlineStr">
        <is>
          <t>2026-06-17 17:12:38.848</t>
        </is>
      </c>
      <c r="C2909" t="n">
        <v/>
      </c>
      <c r="D2909" t="inlineStr">
        <is>
          <t>Media file</t>
        </is>
      </c>
      <c r="E2909" t="inlineStr">
        <is>
          <t>player #1:C:/Users/manuel.felline/Documents/BEHAVIOR BTBR/NOR second cohort/BTBR/test/c7_m5.mp4</t>
        </is>
      </c>
      <c r="F2909" t="n">
        <v>-10.967</v>
      </c>
      <c r="G2909" t="n">
        <v>576.6660000000001</v>
      </c>
      <c r="H2909" t="n">
        <v>645.433</v>
      </c>
      <c r="I2909" t="n">
        <v>30</v>
      </c>
      <c r="J2909" t="inlineStr">
        <is>
          <t>BTBR</t>
        </is>
      </c>
      <c r="K2909" t="inlineStr">
        <is>
          <t>Male</t>
        </is>
      </c>
      <c r="L2909" t="inlineStr">
        <is>
          <t>No focal subject</t>
        </is>
      </c>
      <c r="M2909" t="n">
        <v>62.77</v>
      </c>
      <c r="N2909" t="inlineStr">
        <is>
          <t>Explore_N</t>
        </is>
      </c>
      <c r="O2909" t="inlineStr">
        <is>
          <t>Novelty</t>
        </is>
      </c>
      <c r="P2909" t="inlineStr">
        <is>
          <t>STATE</t>
        </is>
      </c>
      <c r="Q2909" t="n">
        <v>112.533</v>
      </c>
      <c r="R2909" t="n">
        <v>114.566</v>
      </c>
      <c r="S2909" t="n">
        <v>2.033</v>
      </c>
      <c r="T2909" t="inlineStr">
        <is>
          <t>C:/Users/manuel.felline/Documents/BEHAVIOR BTBR/NOR second cohort/BTBR/test/c7_m5.mp4</t>
        </is>
      </c>
      <c r="U2909" t="n">
        <v>3696</v>
      </c>
      <c r="V2909" t="n">
        <v>3756</v>
      </c>
      <c r="W2909" t="n">
        <v/>
      </c>
      <c r="X2909" t="n">
        <v/>
      </c>
      <c r="Y2909" t="n">
        <v/>
      </c>
      <c r="Z2909" t="n">
        <v/>
      </c>
      <c r="AA2909">
        <f>SUMIFS($S$2:S2909,$A$2:A2909,A2909,$N$2:N2909,"Explore*")</f>
        <v/>
      </c>
      <c r="AB2909">
        <f>IF(AND(LEFT(N2909,7)="Explore",(AA2909-IF(LEFT(N2909,7)="Explore",S2909,0))&lt;10),"SI","NO")</f>
        <v/>
      </c>
    </row>
    <row r="2910">
      <c r="A2910" t="inlineStr">
        <is>
          <t>c7m5_test</t>
        </is>
      </c>
      <c r="B2910" t="inlineStr">
        <is>
          <t>2026-06-17 17:12:38.848</t>
        </is>
      </c>
      <c r="C2910" t="n">
        <v/>
      </c>
      <c r="D2910" t="inlineStr">
        <is>
          <t>Media file</t>
        </is>
      </c>
      <c r="E2910" t="inlineStr">
        <is>
          <t>player #1:C:/Users/manuel.felline/Documents/BEHAVIOR BTBR/NOR second cohort/BTBR/test/c7_m5.mp4</t>
        </is>
      </c>
      <c r="F2910" t="n">
        <v>-10.967</v>
      </c>
      <c r="G2910" t="n">
        <v>576.6660000000001</v>
      </c>
      <c r="H2910" t="n">
        <v>645.433</v>
      </c>
      <c r="I2910" t="n">
        <v>30</v>
      </c>
      <c r="J2910" t="inlineStr">
        <is>
          <t>BTBR</t>
        </is>
      </c>
      <c r="K2910" t="inlineStr">
        <is>
          <t>Male</t>
        </is>
      </c>
      <c r="L2910" t="inlineStr">
        <is>
          <t>No focal subject</t>
        </is>
      </c>
      <c r="M2910" t="n">
        <v>62.77</v>
      </c>
      <c r="N2910" t="inlineStr">
        <is>
          <t>Explore_F</t>
        </is>
      </c>
      <c r="O2910" t="inlineStr">
        <is>
          <t>Familiar</t>
        </is>
      </c>
      <c r="P2910" t="inlineStr">
        <is>
          <t>STATE</t>
        </is>
      </c>
      <c r="Q2910" t="n">
        <v>122.966</v>
      </c>
      <c r="R2910" t="n">
        <v>123.5</v>
      </c>
      <c r="S2910" t="n">
        <v>0.534</v>
      </c>
      <c r="T2910" t="inlineStr">
        <is>
          <t>C:/Users/manuel.felline/Documents/BEHAVIOR BTBR/NOR second cohort/BTBR/test/c7_m5.mp4</t>
        </is>
      </c>
      <c r="U2910" t="n">
        <v>4008</v>
      </c>
      <c r="V2910" t="n">
        <v>4023</v>
      </c>
      <c r="W2910" t="n">
        <v/>
      </c>
      <c r="X2910" t="n">
        <v/>
      </c>
      <c r="Y2910" t="n">
        <v/>
      </c>
      <c r="Z2910" t="n">
        <v/>
      </c>
      <c r="AA2910">
        <f>SUMIFS($S$2:S2910,$A$2:A2910,A2910,$N$2:N2910,"Explore*")</f>
        <v/>
      </c>
      <c r="AB2910">
        <f>IF(AND(LEFT(N2910,7)="Explore",(AA2910-IF(LEFT(N2910,7)="Explore",S2910,0))&lt;10),"SI","NO")</f>
        <v/>
      </c>
    </row>
    <row r="2911">
      <c r="A2911" t="inlineStr">
        <is>
          <t>c7m5_test</t>
        </is>
      </c>
      <c r="B2911" t="inlineStr">
        <is>
          <t>2026-06-17 17:12:38.848</t>
        </is>
      </c>
      <c r="C2911" t="n">
        <v/>
      </c>
      <c r="D2911" t="inlineStr">
        <is>
          <t>Media file</t>
        </is>
      </c>
      <c r="E2911" t="inlineStr">
        <is>
          <t>player #1:C:/Users/manuel.felline/Documents/BEHAVIOR BTBR/NOR second cohort/BTBR/test/c7_m5.mp4</t>
        </is>
      </c>
      <c r="F2911" t="n">
        <v>-10.967</v>
      </c>
      <c r="G2911" t="n">
        <v>576.6660000000001</v>
      </c>
      <c r="H2911" t="n">
        <v>645.433</v>
      </c>
      <c r="I2911" t="n">
        <v>30</v>
      </c>
      <c r="J2911" t="inlineStr">
        <is>
          <t>BTBR</t>
        </is>
      </c>
      <c r="K2911" t="inlineStr">
        <is>
          <t>Male</t>
        </is>
      </c>
      <c r="L2911" t="inlineStr">
        <is>
          <t>No focal subject</t>
        </is>
      </c>
      <c r="M2911" t="n">
        <v>62.77</v>
      </c>
      <c r="N2911" t="inlineStr">
        <is>
          <t>Explore_N</t>
        </is>
      </c>
      <c r="O2911" t="inlineStr">
        <is>
          <t>Novelty</t>
        </is>
      </c>
      <c r="P2911" t="inlineStr">
        <is>
          <t>STATE</t>
        </is>
      </c>
      <c r="Q2911" t="n">
        <v>127.033</v>
      </c>
      <c r="R2911" t="n">
        <v>129.4</v>
      </c>
      <c r="S2911" t="n">
        <v>2.367</v>
      </c>
      <c r="T2911" t="inlineStr">
        <is>
          <t>C:/Users/manuel.felline/Documents/BEHAVIOR BTBR/NOR second cohort/BTBR/test/c7_m5.mp4</t>
        </is>
      </c>
      <c r="U2911" t="n">
        <v>4129</v>
      </c>
      <c r="V2911" t="n">
        <v>4200</v>
      </c>
      <c r="W2911" t="n">
        <v/>
      </c>
      <c r="X2911" t="n">
        <v/>
      </c>
      <c r="Y2911" t="n">
        <v/>
      </c>
      <c r="Z2911" t="n">
        <v/>
      </c>
      <c r="AA2911">
        <f>SUMIFS($S$2:S2911,$A$2:A2911,A2911,$N$2:N2911,"Explore*")</f>
        <v/>
      </c>
      <c r="AB2911">
        <f>IF(AND(LEFT(N2911,7)="Explore",(AA2911-IF(LEFT(N2911,7)="Explore",S2911,0))&lt;10),"SI","NO")</f>
        <v/>
      </c>
    </row>
    <row r="2912">
      <c r="A2912" t="inlineStr">
        <is>
          <t>c7m5_test</t>
        </is>
      </c>
      <c r="B2912" t="inlineStr">
        <is>
          <t>2026-06-17 17:12:38.848</t>
        </is>
      </c>
      <c r="C2912" t="n">
        <v/>
      </c>
      <c r="D2912" t="inlineStr">
        <is>
          <t>Media file</t>
        </is>
      </c>
      <c r="E2912" t="inlineStr">
        <is>
          <t>player #1:C:/Users/manuel.felline/Documents/BEHAVIOR BTBR/NOR second cohort/BTBR/test/c7_m5.mp4</t>
        </is>
      </c>
      <c r="F2912" t="n">
        <v>-10.967</v>
      </c>
      <c r="G2912" t="n">
        <v>576.6660000000001</v>
      </c>
      <c r="H2912" t="n">
        <v>645.433</v>
      </c>
      <c r="I2912" t="n">
        <v>30</v>
      </c>
      <c r="J2912" t="inlineStr">
        <is>
          <t>BTBR</t>
        </is>
      </c>
      <c r="K2912" t="inlineStr">
        <is>
          <t>Male</t>
        </is>
      </c>
      <c r="L2912" t="inlineStr">
        <is>
          <t>No focal subject</t>
        </is>
      </c>
      <c r="M2912" t="n">
        <v>62.77</v>
      </c>
      <c r="N2912" t="inlineStr">
        <is>
          <t>Explore_N</t>
        </is>
      </c>
      <c r="O2912" t="inlineStr">
        <is>
          <t>Novelty</t>
        </is>
      </c>
      <c r="P2912" t="inlineStr">
        <is>
          <t>STATE</t>
        </is>
      </c>
      <c r="Q2912" t="n">
        <v>132.9</v>
      </c>
      <c r="R2912" t="n">
        <v>133.466</v>
      </c>
      <c r="S2912" t="n">
        <v>0.5659999999999999</v>
      </c>
      <c r="T2912" t="inlineStr">
        <is>
          <t>C:/Users/manuel.felline/Documents/BEHAVIOR BTBR/NOR second cohort/BTBR/test/c7_m5.mp4</t>
        </is>
      </c>
      <c r="U2912" t="n">
        <v>4305</v>
      </c>
      <c r="V2912" t="n">
        <v>4322</v>
      </c>
      <c r="W2912" t="n">
        <v/>
      </c>
      <c r="X2912" t="n">
        <v/>
      </c>
      <c r="Y2912" t="n">
        <v/>
      </c>
      <c r="Z2912" t="n">
        <v/>
      </c>
      <c r="AA2912">
        <f>SUMIFS($S$2:S2912,$A$2:A2912,A2912,$N$2:N2912,"Explore*")</f>
        <v/>
      </c>
      <c r="AB2912">
        <f>IF(AND(LEFT(N2912,7)="Explore",(AA2912-IF(LEFT(N2912,7)="Explore",S2912,0))&lt;10),"SI","NO")</f>
        <v/>
      </c>
    </row>
    <row r="2913">
      <c r="A2913" t="inlineStr">
        <is>
          <t>c7m5_test</t>
        </is>
      </c>
      <c r="B2913" t="inlineStr">
        <is>
          <t>2026-06-17 17:12:38.848</t>
        </is>
      </c>
      <c r="C2913" t="n">
        <v/>
      </c>
      <c r="D2913" t="inlineStr">
        <is>
          <t>Media file</t>
        </is>
      </c>
      <c r="E2913" t="inlineStr">
        <is>
          <t>player #1:C:/Users/manuel.felline/Documents/BEHAVIOR BTBR/NOR second cohort/BTBR/test/c7_m5.mp4</t>
        </is>
      </c>
      <c r="F2913" t="n">
        <v>-10.967</v>
      </c>
      <c r="G2913" t="n">
        <v>576.6660000000001</v>
      </c>
      <c r="H2913" t="n">
        <v>645.433</v>
      </c>
      <c r="I2913" t="n">
        <v>30</v>
      </c>
      <c r="J2913" t="inlineStr">
        <is>
          <t>BTBR</t>
        </is>
      </c>
      <c r="K2913" t="inlineStr">
        <is>
          <t>Male</t>
        </is>
      </c>
      <c r="L2913" t="inlineStr">
        <is>
          <t>No focal subject</t>
        </is>
      </c>
      <c r="M2913" t="n">
        <v>62.77</v>
      </c>
      <c r="N2913" t="inlineStr">
        <is>
          <t>Explore_F</t>
        </is>
      </c>
      <c r="O2913" t="inlineStr">
        <is>
          <t>Familiar</t>
        </is>
      </c>
      <c r="P2913" t="inlineStr">
        <is>
          <t>STATE</t>
        </is>
      </c>
      <c r="Q2913" t="n">
        <v>134.3</v>
      </c>
      <c r="R2913" t="n">
        <v>134.733</v>
      </c>
      <c r="S2913" t="n">
        <v>0.433</v>
      </c>
      <c r="T2913" t="inlineStr">
        <is>
          <t>C:/Users/manuel.felline/Documents/BEHAVIOR BTBR/NOR second cohort/BTBR/test/c7_m5.mp4</t>
        </is>
      </c>
      <c r="U2913" t="n">
        <v>4347</v>
      </c>
      <c r="V2913" t="n">
        <v>4360</v>
      </c>
      <c r="W2913" t="n">
        <v/>
      </c>
      <c r="X2913" t="n">
        <v/>
      </c>
      <c r="Y2913" t="n">
        <v/>
      </c>
      <c r="Z2913" t="n">
        <v/>
      </c>
      <c r="AA2913">
        <f>SUMIFS($S$2:S2913,$A$2:A2913,A2913,$N$2:N2913,"Explore*")</f>
        <v/>
      </c>
      <c r="AB2913">
        <f>IF(AND(LEFT(N2913,7)="Explore",(AA2913-IF(LEFT(N2913,7)="Explore",S2913,0))&lt;10),"SI","NO")</f>
        <v/>
      </c>
    </row>
    <row r="2914">
      <c r="A2914" t="inlineStr">
        <is>
          <t>c7m5_test</t>
        </is>
      </c>
      <c r="B2914" t="inlineStr">
        <is>
          <t>2026-06-17 17:12:38.848</t>
        </is>
      </c>
      <c r="C2914" t="n">
        <v/>
      </c>
      <c r="D2914" t="inlineStr">
        <is>
          <t>Media file</t>
        </is>
      </c>
      <c r="E2914" t="inlineStr">
        <is>
          <t>player #1:C:/Users/manuel.felline/Documents/BEHAVIOR BTBR/NOR second cohort/BTBR/test/c7_m5.mp4</t>
        </is>
      </c>
      <c r="F2914" t="n">
        <v>-10.967</v>
      </c>
      <c r="G2914" t="n">
        <v>576.6660000000001</v>
      </c>
      <c r="H2914" t="n">
        <v>645.433</v>
      </c>
      <c r="I2914" t="n">
        <v>30</v>
      </c>
      <c r="J2914" t="inlineStr">
        <is>
          <t>BTBR</t>
        </is>
      </c>
      <c r="K2914" t="inlineStr">
        <is>
          <t>Male</t>
        </is>
      </c>
      <c r="L2914" t="inlineStr">
        <is>
          <t>No focal subject</t>
        </is>
      </c>
      <c r="M2914" t="n">
        <v>62.77</v>
      </c>
      <c r="N2914" t="inlineStr">
        <is>
          <t>Explore_F</t>
        </is>
      </c>
      <c r="O2914" t="inlineStr">
        <is>
          <t>Familiar</t>
        </is>
      </c>
      <c r="P2914" t="inlineStr">
        <is>
          <t>STATE</t>
        </is>
      </c>
      <c r="Q2914" t="n">
        <v>141.866</v>
      </c>
      <c r="R2914" t="n">
        <v>142.3</v>
      </c>
      <c r="S2914" t="n">
        <v>0.434</v>
      </c>
      <c r="T2914" t="inlineStr">
        <is>
          <t>C:/Users/manuel.felline/Documents/BEHAVIOR BTBR/NOR second cohort/BTBR/test/c7_m5.mp4</t>
        </is>
      </c>
      <c r="U2914" t="n">
        <v>4573</v>
      </c>
      <c r="V2914" t="n">
        <v>4586</v>
      </c>
      <c r="W2914" t="n">
        <v/>
      </c>
      <c r="X2914" t="n">
        <v/>
      </c>
      <c r="Y2914" t="n">
        <v/>
      </c>
      <c r="Z2914" t="n">
        <v/>
      </c>
      <c r="AA2914">
        <f>SUMIFS($S$2:S2914,$A$2:A2914,A2914,$N$2:N2914,"Explore*")</f>
        <v/>
      </c>
      <c r="AB2914">
        <f>IF(AND(LEFT(N2914,7)="Explore",(AA2914-IF(LEFT(N2914,7)="Explore",S2914,0))&lt;10),"SI","NO")</f>
        <v/>
      </c>
    </row>
    <row r="2915">
      <c r="A2915" t="inlineStr">
        <is>
          <t>c7m5_test</t>
        </is>
      </c>
      <c r="B2915" t="inlineStr">
        <is>
          <t>2026-06-17 17:12:38.848</t>
        </is>
      </c>
      <c r="C2915" t="n">
        <v/>
      </c>
      <c r="D2915" t="inlineStr">
        <is>
          <t>Media file</t>
        </is>
      </c>
      <c r="E2915" t="inlineStr">
        <is>
          <t>player #1:C:/Users/manuel.felline/Documents/BEHAVIOR BTBR/NOR second cohort/BTBR/test/c7_m5.mp4</t>
        </is>
      </c>
      <c r="F2915" t="n">
        <v>-10.967</v>
      </c>
      <c r="G2915" t="n">
        <v>576.6660000000001</v>
      </c>
      <c r="H2915" t="n">
        <v>645.433</v>
      </c>
      <c r="I2915" t="n">
        <v>30</v>
      </c>
      <c r="J2915" t="inlineStr">
        <is>
          <t>BTBR</t>
        </is>
      </c>
      <c r="K2915" t="inlineStr">
        <is>
          <t>Male</t>
        </is>
      </c>
      <c r="L2915" t="inlineStr">
        <is>
          <t>No focal subject</t>
        </is>
      </c>
      <c r="M2915" t="n">
        <v>62.77</v>
      </c>
      <c r="N2915" t="inlineStr">
        <is>
          <t>Explore_N</t>
        </is>
      </c>
      <c r="O2915" t="inlineStr">
        <is>
          <t>Novelty</t>
        </is>
      </c>
      <c r="P2915" t="inlineStr">
        <is>
          <t>STATE</t>
        </is>
      </c>
      <c r="Q2915" t="n">
        <v>146.266</v>
      </c>
      <c r="R2915" t="n">
        <v>149</v>
      </c>
      <c r="S2915" t="n">
        <v>2.734</v>
      </c>
      <c r="T2915" t="inlineStr">
        <is>
          <t>C:/Users/manuel.felline/Documents/BEHAVIOR BTBR/NOR second cohort/BTBR/test/c7_m5.mp4</t>
        </is>
      </c>
      <c r="U2915" t="n">
        <v>4705</v>
      </c>
      <c r="V2915" t="n">
        <v>4786</v>
      </c>
      <c r="W2915" t="n">
        <v/>
      </c>
      <c r="X2915" t="n">
        <v/>
      </c>
      <c r="Y2915" t="n">
        <v/>
      </c>
      <c r="Z2915" t="n">
        <v/>
      </c>
      <c r="AA2915">
        <f>SUMIFS($S$2:S2915,$A$2:A2915,A2915,$N$2:N2915,"Explore*")</f>
        <v/>
      </c>
      <c r="AB2915">
        <f>IF(AND(LEFT(N2915,7)="Explore",(AA2915-IF(LEFT(N2915,7)="Explore",S2915,0))&lt;10),"SI","NO")</f>
        <v/>
      </c>
    </row>
    <row r="2916">
      <c r="A2916" t="inlineStr">
        <is>
          <t>c7m5_test</t>
        </is>
      </c>
      <c r="B2916" t="inlineStr">
        <is>
          <t>2026-06-17 17:12:38.848</t>
        </is>
      </c>
      <c r="C2916" t="n">
        <v/>
      </c>
      <c r="D2916" t="inlineStr">
        <is>
          <t>Media file</t>
        </is>
      </c>
      <c r="E2916" t="inlineStr">
        <is>
          <t>player #1:C:/Users/manuel.felline/Documents/BEHAVIOR BTBR/NOR second cohort/BTBR/test/c7_m5.mp4</t>
        </is>
      </c>
      <c r="F2916" t="n">
        <v>-10.967</v>
      </c>
      <c r="G2916" t="n">
        <v>576.6660000000001</v>
      </c>
      <c r="H2916" t="n">
        <v>645.433</v>
      </c>
      <c r="I2916" t="n">
        <v>30</v>
      </c>
      <c r="J2916" t="inlineStr">
        <is>
          <t>BTBR</t>
        </is>
      </c>
      <c r="K2916" t="inlineStr">
        <is>
          <t>Male</t>
        </is>
      </c>
      <c r="L2916" t="inlineStr">
        <is>
          <t>No focal subject</t>
        </is>
      </c>
      <c r="M2916" t="n">
        <v>62.77</v>
      </c>
      <c r="N2916" t="inlineStr">
        <is>
          <t>Explore_N</t>
        </is>
      </c>
      <c r="O2916" t="inlineStr">
        <is>
          <t>Novelty</t>
        </is>
      </c>
      <c r="P2916" t="inlineStr">
        <is>
          <t>STATE</t>
        </is>
      </c>
      <c r="Q2916" t="n">
        <v>151.999</v>
      </c>
      <c r="R2916" t="n">
        <v>152.966</v>
      </c>
      <c r="S2916" t="n">
        <v>0.967</v>
      </c>
      <c r="T2916" t="inlineStr">
        <is>
          <t>C:/Users/manuel.felline/Documents/BEHAVIOR BTBR/NOR second cohort/BTBR/test/c7_m5.mp4</t>
        </is>
      </c>
      <c r="U2916" t="n">
        <v>4876</v>
      </c>
      <c r="V2916" t="n">
        <v>4905</v>
      </c>
      <c r="W2916" t="n">
        <v/>
      </c>
      <c r="X2916" t="n">
        <v/>
      </c>
      <c r="Y2916" t="n">
        <v/>
      </c>
      <c r="Z2916" t="n">
        <v/>
      </c>
      <c r="AA2916">
        <f>SUMIFS($S$2:S2916,$A$2:A2916,A2916,$N$2:N2916,"Explore*")</f>
        <v/>
      </c>
      <c r="AB2916">
        <f>IF(AND(LEFT(N2916,7)="Explore",(AA2916-IF(LEFT(N2916,7)="Explore",S2916,0))&lt;10),"SI","NO")</f>
        <v/>
      </c>
    </row>
    <row r="2917">
      <c r="A2917" t="inlineStr">
        <is>
          <t>c7m5_test</t>
        </is>
      </c>
      <c r="B2917" t="inlineStr">
        <is>
          <t>2026-06-17 17:12:38.848</t>
        </is>
      </c>
      <c r="C2917" t="n">
        <v/>
      </c>
      <c r="D2917" t="inlineStr">
        <is>
          <t>Media file</t>
        </is>
      </c>
      <c r="E2917" t="inlineStr">
        <is>
          <t>player #1:C:/Users/manuel.felline/Documents/BEHAVIOR BTBR/NOR second cohort/BTBR/test/c7_m5.mp4</t>
        </is>
      </c>
      <c r="F2917" t="n">
        <v>-10.967</v>
      </c>
      <c r="G2917" t="n">
        <v>576.6660000000001</v>
      </c>
      <c r="H2917" t="n">
        <v>645.433</v>
      </c>
      <c r="I2917" t="n">
        <v>30</v>
      </c>
      <c r="J2917" t="inlineStr">
        <is>
          <t>BTBR</t>
        </is>
      </c>
      <c r="K2917" t="inlineStr">
        <is>
          <t>Male</t>
        </is>
      </c>
      <c r="L2917" t="inlineStr">
        <is>
          <t>No focal subject</t>
        </is>
      </c>
      <c r="M2917" t="n">
        <v>62.77</v>
      </c>
      <c r="N2917" t="inlineStr">
        <is>
          <t>Explore_F</t>
        </is>
      </c>
      <c r="O2917" t="inlineStr">
        <is>
          <t>Familiar</t>
        </is>
      </c>
      <c r="P2917" t="inlineStr">
        <is>
          <t>STATE</t>
        </is>
      </c>
      <c r="Q2917" t="n">
        <v>154.666</v>
      </c>
      <c r="R2917" t="n">
        <v>155.099</v>
      </c>
      <c r="S2917" t="n">
        <v>0.433</v>
      </c>
      <c r="T2917" t="inlineStr">
        <is>
          <t>C:/Users/manuel.felline/Documents/BEHAVIOR BTBR/NOR second cohort/BTBR/test/c7_m5.mp4</t>
        </is>
      </c>
      <c r="U2917" t="n">
        <v>4956</v>
      </c>
      <c r="V2917" t="n">
        <v>4969</v>
      </c>
      <c r="W2917" t="n">
        <v/>
      </c>
      <c r="X2917" t="n">
        <v/>
      </c>
      <c r="Y2917" t="n">
        <v/>
      </c>
      <c r="Z2917" t="n">
        <v/>
      </c>
      <c r="AA2917">
        <f>SUMIFS($S$2:S2917,$A$2:A2917,A2917,$N$2:N2917,"Explore*")</f>
        <v/>
      </c>
      <c r="AB2917">
        <f>IF(AND(LEFT(N2917,7)="Explore",(AA2917-IF(LEFT(N2917,7)="Explore",S2917,0))&lt;10),"SI","NO")</f>
        <v/>
      </c>
    </row>
    <row r="2918">
      <c r="A2918" t="inlineStr">
        <is>
          <t>c7m5_test</t>
        </is>
      </c>
      <c r="B2918" t="inlineStr">
        <is>
          <t>2026-06-17 17:12:38.848</t>
        </is>
      </c>
      <c r="C2918" t="n">
        <v/>
      </c>
      <c r="D2918" t="inlineStr">
        <is>
          <t>Media file</t>
        </is>
      </c>
      <c r="E2918" t="inlineStr">
        <is>
          <t>player #1:C:/Users/manuel.felline/Documents/BEHAVIOR BTBR/NOR second cohort/BTBR/test/c7_m5.mp4</t>
        </is>
      </c>
      <c r="F2918" t="n">
        <v>-10.967</v>
      </c>
      <c r="G2918" t="n">
        <v>576.6660000000001</v>
      </c>
      <c r="H2918" t="n">
        <v>645.433</v>
      </c>
      <c r="I2918" t="n">
        <v>30</v>
      </c>
      <c r="J2918" t="inlineStr">
        <is>
          <t>BTBR</t>
        </is>
      </c>
      <c r="K2918" t="inlineStr">
        <is>
          <t>Male</t>
        </is>
      </c>
      <c r="L2918" t="inlineStr">
        <is>
          <t>No focal subject</t>
        </is>
      </c>
      <c r="M2918" t="n">
        <v>62.77</v>
      </c>
      <c r="N2918" t="inlineStr">
        <is>
          <t>Explore_N</t>
        </is>
      </c>
      <c r="O2918" t="inlineStr">
        <is>
          <t>Novelty</t>
        </is>
      </c>
      <c r="P2918" t="inlineStr">
        <is>
          <t>STATE</t>
        </is>
      </c>
      <c r="Q2918" t="n">
        <v>159.299</v>
      </c>
      <c r="R2918" t="n">
        <v>161.733</v>
      </c>
      <c r="S2918" t="n">
        <v>2.434</v>
      </c>
      <c r="T2918" t="inlineStr">
        <is>
          <t>C:/Users/manuel.felline/Documents/BEHAVIOR BTBR/NOR second cohort/BTBR/test/c7_m5.mp4</t>
        </is>
      </c>
      <c r="U2918" t="n">
        <v>5095</v>
      </c>
      <c r="V2918" t="n">
        <v>5167</v>
      </c>
      <c r="W2918" t="n">
        <v/>
      </c>
      <c r="X2918" t="n">
        <v/>
      </c>
      <c r="Y2918" t="n">
        <v/>
      </c>
      <c r="Z2918" t="n">
        <v/>
      </c>
      <c r="AA2918">
        <f>SUMIFS($S$2:S2918,$A$2:A2918,A2918,$N$2:N2918,"Explore*")</f>
        <v/>
      </c>
      <c r="AB2918">
        <f>IF(AND(LEFT(N2918,7)="Explore",(AA2918-IF(LEFT(N2918,7)="Explore",S2918,0))&lt;10),"SI","NO")</f>
        <v/>
      </c>
    </row>
    <row r="2919">
      <c r="A2919" t="inlineStr">
        <is>
          <t>c7m5_test</t>
        </is>
      </c>
      <c r="B2919" t="inlineStr">
        <is>
          <t>2026-06-17 17:12:38.848</t>
        </is>
      </c>
      <c r="C2919" t="n">
        <v/>
      </c>
      <c r="D2919" t="inlineStr">
        <is>
          <t>Media file</t>
        </is>
      </c>
      <c r="E2919" t="inlineStr">
        <is>
          <t>player #1:C:/Users/manuel.felline/Documents/BEHAVIOR BTBR/NOR second cohort/BTBR/test/c7_m5.mp4</t>
        </is>
      </c>
      <c r="F2919" t="n">
        <v>-10.967</v>
      </c>
      <c r="G2919" t="n">
        <v>576.6660000000001</v>
      </c>
      <c r="H2919" t="n">
        <v>645.433</v>
      </c>
      <c r="I2919" t="n">
        <v>30</v>
      </c>
      <c r="J2919" t="inlineStr">
        <is>
          <t>BTBR</t>
        </is>
      </c>
      <c r="K2919" t="inlineStr">
        <is>
          <t>Male</t>
        </is>
      </c>
      <c r="L2919" t="inlineStr">
        <is>
          <t>No focal subject</t>
        </is>
      </c>
      <c r="M2919" t="n">
        <v>62.77</v>
      </c>
      <c r="N2919" t="inlineStr">
        <is>
          <t>Explore_F</t>
        </is>
      </c>
      <c r="O2919" t="inlineStr">
        <is>
          <t>Familiar</t>
        </is>
      </c>
      <c r="P2919" t="inlineStr">
        <is>
          <t>STATE</t>
        </is>
      </c>
      <c r="Q2919" t="n">
        <v>171.266</v>
      </c>
      <c r="R2919" t="n">
        <v>171.699</v>
      </c>
      <c r="S2919" t="n">
        <v>0.433</v>
      </c>
      <c r="T2919" t="inlineStr">
        <is>
          <t>C:/Users/manuel.felline/Documents/BEHAVIOR BTBR/NOR second cohort/BTBR/test/c7_m5.mp4</t>
        </is>
      </c>
      <c r="U2919" t="n">
        <v>5453</v>
      </c>
      <c r="V2919" t="n">
        <v>5466</v>
      </c>
      <c r="W2919" t="n">
        <v/>
      </c>
      <c r="X2919" t="n">
        <v/>
      </c>
      <c r="Y2919" t="n">
        <v/>
      </c>
      <c r="Z2919" t="n">
        <v/>
      </c>
      <c r="AA2919">
        <f>SUMIFS($S$2:S2919,$A$2:A2919,A2919,$N$2:N2919,"Explore*")</f>
        <v/>
      </c>
      <c r="AB2919">
        <f>IF(AND(LEFT(N2919,7)="Explore",(AA2919-IF(LEFT(N2919,7)="Explore",S2919,0))&lt;10),"SI","NO")</f>
        <v/>
      </c>
    </row>
    <row r="2920">
      <c r="A2920" t="inlineStr">
        <is>
          <t>c7m5_test</t>
        </is>
      </c>
      <c r="B2920" t="inlineStr">
        <is>
          <t>2026-06-17 17:12:38.848</t>
        </is>
      </c>
      <c r="C2920" t="n">
        <v/>
      </c>
      <c r="D2920" t="inlineStr">
        <is>
          <t>Media file</t>
        </is>
      </c>
      <c r="E2920" t="inlineStr">
        <is>
          <t>player #1:C:/Users/manuel.felline/Documents/BEHAVIOR BTBR/NOR second cohort/BTBR/test/c7_m5.mp4</t>
        </is>
      </c>
      <c r="F2920" t="n">
        <v>-10.967</v>
      </c>
      <c r="G2920" t="n">
        <v>576.6660000000001</v>
      </c>
      <c r="H2920" t="n">
        <v>645.433</v>
      </c>
      <c r="I2920" t="n">
        <v>30</v>
      </c>
      <c r="J2920" t="inlineStr">
        <is>
          <t>BTBR</t>
        </is>
      </c>
      <c r="K2920" t="inlineStr">
        <is>
          <t>Male</t>
        </is>
      </c>
      <c r="L2920" t="inlineStr">
        <is>
          <t>No focal subject</t>
        </is>
      </c>
      <c r="M2920" t="n">
        <v>62.77</v>
      </c>
      <c r="N2920" t="inlineStr">
        <is>
          <t>Explore_F</t>
        </is>
      </c>
      <c r="O2920" t="inlineStr">
        <is>
          <t>Familiar</t>
        </is>
      </c>
      <c r="P2920" t="inlineStr">
        <is>
          <t>STATE</t>
        </is>
      </c>
      <c r="Q2920" t="n">
        <v>178.966</v>
      </c>
      <c r="R2920" t="n">
        <v>179.399</v>
      </c>
      <c r="S2920" t="n">
        <v>0.433</v>
      </c>
      <c r="T2920" t="inlineStr">
        <is>
          <t>C:/Users/manuel.felline/Documents/BEHAVIOR BTBR/NOR second cohort/BTBR/test/c7_m5.mp4</t>
        </is>
      </c>
      <c r="U2920" t="n">
        <v>5683</v>
      </c>
      <c r="V2920" t="n">
        <v>5696</v>
      </c>
      <c r="W2920" t="n">
        <v/>
      </c>
      <c r="X2920" t="n">
        <v/>
      </c>
      <c r="Y2920" t="n">
        <v/>
      </c>
      <c r="Z2920" t="n">
        <v/>
      </c>
      <c r="AA2920">
        <f>SUMIFS($S$2:S2920,$A$2:A2920,A2920,$N$2:N2920,"Explore*")</f>
        <v/>
      </c>
      <c r="AB2920">
        <f>IF(AND(LEFT(N2920,7)="Explore",(AA2920-IF(LEFT(N2920,7)="Explore",S2920,0))&lt;10),"SI","NO")</f>
        <v/>
      </c>
    </row>
    <row r="2921">
      <c r="A2921" t="inlineStr">
        <is>
          <t>c7m5_test</t>
        </is>
      </c>
      <c r="B2921" t="inlineStr">
        <is>
          <t>2026-06-17 17:12:38.848</t>
        </is>
      </c>
      <c r="C2921" t="n">
        <v/>
      </c>
      <c r="D2921" t="inlineStr">
        <is>
          <t>Media file</t>
        </is>
      </c>
      <c r="E2921" t="inlineStr">
        <is>
          <t>player #1:C:/Users/manuel.felline/Documents/BEHAVIOR BTBR/NOR second cohort/BTBR/test/c7_m5.mp4</t>
        </is>
      </c>
      <c r="F2921" t="n">
        <v>-10.967</v>
      </c>
      <c r="G2921" t="n">
        <v>576.6660000000001</v>
      </c>
      <c r="H2921" t="n">
        <v>645.433</v>
      </c>
      <c r="I2921" t="n">
        <v>30</v>
      </c>
      <c r="J2921" t="inlineStr">
        <is>
          <t>BTBR</t>
        </is>
      </c>
      <c r="K2921" t="inlineStr">
        <is>
          <t>Male</t>
        </is>
      </c>
      <c r="L2921" t="inlineStr">
        <is>
          <t>No focal subject</t>
        </is>
      </c>
      <c r="M2921" t="n">
        <v>62.77</v>
      </c>
      <c r="N2921" t="inlineStr">
        <is>
          <t>Explore_N</t>
        </is>
      </c>
      <c r="O2921" t="inlineStr">
        <is>
          <t>Novelty</t>
        </is>
      </c>
      <c r="P2921" t="inlineStr">
        <is>
          <t>STATE</t>
        </is>
      </c>
      <c r="Q2921" t="n">
        <v>182.399</v>
      </c>
      <c r="R2921" t="n">
        <v>184.766</v>
      </c>
      <c r="S2921" t="n">
        <v>2.367</v>
      </c>
      <c r="T2921" t="inlineStr">
        <is>
          <t>C:/Users/manuel.felline/Documents/BEHAVIOR BTBR/NOR second cohort/BTBR/test/c7_m5.mp4</t>
        </is>
      </c>
      <c r="U2921" t="n">
        <v>5786</v>
      </c>
      <c r="V2921" t="n">
        <v>5857</v>
      </c>
      <c r="W2921" t="n">
        <v/>
      </c>
      <c r="X2921" t="n">
        <v/>
      </c>
      <c r="Y2921" t="n">
        <v/>
      </c>
      <c r="Z2921" t="n">
        <v/>
      </c>
      <c r="AA2921">
        <f>SUMIFS($S$2:S2921,$A$2:A2921,A2921,$N$2:N2921,"Explore*")</f>
        <v/>
      </c>
      <c r="AB2921">
        <f>IF(AND(LEFT(N2921,7)="Explore",(AA2921-IF(LEFT(N2921,7)="Explore",S2921,0))&lt;10),"SI","NO")</f>
        <v/>
      </c>
    </row>
    <row r="2922">
      <c r="A2922" t="inlineStr">
        <is>
          <t>c7m5_test</t>
        </is>
      </c>
      <c r="B2922" t="inlineStr">
        <is>
          <t>2026-06-17 17:12:38.848</t>
        </is>
      </c>
      <c r="C2922" t="n">
        <v/>
      </c>
      <c r="D2922" t="inlineStr">
        <is>
          <t>Media file</t>
        </is>
      </c>
      <c r="E2922" t="inlineStr">
        <is>
          <t>player #1:C:/Users/manuel.felline/Documents/BEHAVIOR BTBR/NOR second cohort/BTBR/test/c7_m5.mp4</t>
        </is>
      </c>
      <c r="F2922" t="n">
        <v>-10.967</v>
      </c>
      <c r="G2922" t="n">
        <v>576.6660000000001</v>
      </c>
      <c r="H2922" t="n">
        <v>645.433</v>
      </c>
      <c r="I2922" t="n">
        <v>30</v>
      </c>
      <c r="J2922" t="inlineStr">
        <is>
          <t>BTBR</t>
        </is>
      </c>
      <c r="K2922" t="inlineStr">
        <is>
          <t>Male</t>
        </is>
      </c>
      <c r="L2922" t="inlineStr">
        <is>
          <t>No focal subject</t>
        </is>
      </c>
      <c r="M2922" t="n">
        <v>62.77</v>
      </c>
      <c r="N2922" t="inlineStr">
        <is>
          <t>Explore_F</t>
        </is>
      </c>
      <c r="O2922" t="inlineStr">
        <is>
          <t>Familiar</t>
        </is>
      </c>
      <c r="P2922" t="inlineStr">
        <is>
          <t>STATE</t>
        </is>
      </c>
      <c r="Q2922" t="n">
        <v>188.799</v>
      </c>
      <c r="R2922" t="n">
        <v>189.199</v>
      </c>
      <c r="S2922" t="n">
        <v>0.4</v>
      </c>
      <c r="T2922" t="inlineStr">
        <is>
          <t>C:/Users/manuel.felline/Documents/BEHAVIOR BTBR/NOR second cohort/BTBR/test/c7_m5.mp4</t>
        </is>
      </c>
      <c r="U2922" t="n">
        <v>5977</v>
      </c>
      <c r="V2922" t="n">
        <v>5989</v>
      </c>
      <c r="W2922" t="n">
        <v/>
      </c>
      <c r="X2922" t="n">
        <v/>
      </c>
      <c r="Y2922" t="n">
        <v/>
      </c>
      <c r="Z2922" t="n">
        <v/>
      </c>
      <c r="AA2922">
        <f>SUMIFS($S$2:S2922,$A$2:A2922,A2922,$N$2:N2922,"Explore*")</f>
        <v/>
      </c>
      <c r="AB2922">
        <f>IF(AND(LEFT(N2922,7)="Explore",(AA2922-IF(LEFT(N2922,7)="Explore",S2922,0))&lt;10),"SI","NO")</f>
        <v/>
      </c>
    </row>
    <row r="2923">
      <c r="A2923" t="inlineStr">
        <is>
          <t>c7m5_test</t>
        </is>
      </c>
      <c r="B2923" t="inlineStr">
        <is>
          <t>2026-06-17 17:12:38.848</t>
        </is>
      </c>
      <c r="C2923" t="n">
        <v/>
      </c>
      <c r="D2923" t="inlineStr">
        <is>
          <t>Media file</t>
        </is>
      </c>
      <c r="E2923" t="inlineStr">
        <is>
          <t>player #1:C:/Users/manuel.felline/Documents/BEHAVIOR BTBR/NOR second cohort/BTBR/test/c7_m5.mp4</t>
        </is>
      </c>
      <c r="F2923" t="n">
        <v>-10.967</v>
      </c>
      <c r="G2923" t="n">
        <v>576.6660000000001</v>
      </c>
      <c r="H2923" t="n">
        <v>645.433</v>
      </c>
      <c r="I2923" t="n">
        <v>30</v>
      </c>
      <c r="J2923" t="inlineStr">
        <is>
          <t>BTBR</t>
        </is>
      </c>
      <c r="K2923" t="inlineStr">
        <is>
          <t>Male</t>
        </is>
      </c>
      <c r="L2923" t="inlineStr">
        <is>
          <t>No focal subject</t>
        </is>
      </c>
      <c r="M2923" t="n">
        <v>62.77</v>
      </c>
      <c r="N2923" t="inlineStr">
        <is>
          <t>Explore_F</t>
        </is>
      </c>
      <c r="O2923" t="inlineStr">
        <is>
          <t>Familiar</t>
        </is>
      </c>
      <c r="P2923" t="inlineStr">
        <is>
          <t>STATE</t>
        </is>
      </c>
      <c r="Q2923" t="n">
        <v>197.199</v>
      </c>
      <c r="R2923" t="n">
        <v>197.566</v>
      </c>
      <c r="S2923" t="n">
        <v>0.367</v>
      </c>
      <c r="T2923" t="inlineStr">
        <is>
          <t>C:/Users/manuel.felline/Documents/BEHAVIOR BTBR/NOR second cohort/BTBR/test/c7_m5.mp4</t>
        </is>
      </c>
      <c r="U2923" t="n">
        <v>6229</v>
      </c>
      <c r="V2923" t="n">
        <v>6240</v>
      </c>
      <c r="W2923" t="n">
        <v/>
      </c>
      <c r="X2923" t="n">
        <v/>
      </c>
      <c r="Y2923" t="n">
        <v/>
      </c>
      <c r="Z2923" t="n">
        <v/>
      </c>
      <c r="AA2923">
        <f>SUMIFS($S$2:S2923,$A$2:A2923,A2923,$N$2:N2923,"Explore*")</f>
        <v/>
      </c>
      <c r="AB2923">
        <f>IF(AND(LEFT(N2923,7)="Explore",(AA2923-IF(LEFT(N2923,7)="Explore",S2923,0))&lt;10),"SI","NO")</f>
        <v/>
      </c>
    </row>
    <row r="2924">
      <c r="A2924" t="inlineStr">
        <is>
          <t>c7m5_test</t>
        </is>
      </c>
      <c r="B2924" t="inlineStr">
        <is>
          <t>2026-06-17 17:12:38.848</t>
        </is>
      </c>
      <c r="C2924" t="n">
        <v/>
      </c>
      <c r="D2924" t="inlineStr">
        <is>
          <t>Media file</t>
        </is>
      </c>
      <c r="E2924" t="inlineStr">
        <is>
          <t>player #1:C:/Users/manuel.felline/Documents/BEHAVIOR BTBR/NOR second cohort/BTBR/test/c7_m5.mp4</t>
        </is>
      </c>
      <c r="F2924" t="n">
        <v>-10.967</v>
      </c>
      <c r="G2924" t="n">
        <v>576.6660000000001</v>
      </c>
      <c r="H2924" t="n">
        <v>645.433</v>
      </c>
      <c r="I2924" t="n">
        <v>30</v>
      </c>
      <c r="J2924" t="inlineStr">
        <is>
          <t>BTBR</t>
        </is>
      </c>
      <c r="K2924" t="inlineStr">
        <is>
          <t>Male</t>
        </is>
      </c>
      <c r="L2924" t="inlineStr">
        <is>
          <t>No focal subject</t>
        </is>
      </c>
      <c r="M2924" t="n">
        <v>62.77</v>
      </c>
      <c r="N2924" t="inlineStr">
        <is>
          <t>Explore_N</t>
        </is>
      </c>
      <c r="O2924" t="inlineStr">
        <is>
          <t>Novelty</t>
        </is>
      </c>
      <c r="P2924" t="inlineStr">
        <is>
          <t>STATE</t>
        </is>
      </c>
      <c r="Q2924" t="n">
        <v>261.199</v>
      </c>
      <c r="R2924" t="n">
        <v>262.066</v>
      </c>
      <c r="S2924" t="n">
        <v>0.867</v>
      </c>
      <c r="T2924" t="inlineStr">
        <is>
          <t>C:/Users/manuel.felline/Documents/BEHAVIOR BTBR/NOR second cohort/BTBR/test/c7_m5.mp4</t>
        </is>
      </c>
      <c r="U2924" t="n">
        <v>8144</v>
      </c>
      <c r="V2924" t="n">
        <v>8170</v>
      </c>
      <c r="W2924" t="n">
        <v/>
      </c>
      <c r="X2924" t="n">
        <v/>
      </c>
      <c r="Y2924" t="n">
        <v/>
      </c>
      <c r="Z2924" t="n">
        <v/>
      </c>
      <c r="AA2924">
        <f>SUMIFS($S$2:S2924,$A$2:A2924,A2924,$N$2:N2924,"Explore*")</f>
        <v/>
      </c>
      <c r="AB2924">
        <f>IF(AND(LEFT(N2924,7)="Explore",(AA2924-IF(LEFT(N2924,7)="Explore",S2924,0))&lt;10),"SI","NO")</f>
        <v/>
      </c>
    </row>
    <row r="2925">
      <c r="A2925" t="inlineStr">
        <is>
          <t>c7m5_test</t>
        </is>
      </c>
      <c r="B2925" t="inlineStr">
        <is>
          <t>2026-06-17 17:12:38.848</t>
        </is>
      </c>
      <c r="C2925" t="n">
        <v/>
      </c>
      <c r="D2925" t="inlineStr">
        <is>
          <t>Media file</t>
        </is>
      </c>
      <c r="E2925" t="inlineStr">
        <is>
          <t>player #1:C:/Users/manuel.felline/Documents/BEHAVIOR BTBR/NOR second cohort/BTBR/test/c7_m5.mp4</t>
        </is>
      </c>
      <c r="F2925" t="n">
        <v>-10.967</v>
      </c>
      <c r="G2925" t="n">
        <v>576.6660000000001</v>
      </c>
      <c r="H2925" t="n">
        <v>645.433</v>
      </c>
      <c r="I2925" t="n">
        <v>30</v>
      </c>
      <c r="J2925" t="inlineStr">
        <is>
          <t>BTBR</t>
        </is>
      </c>
      <c r="K2925" t="inlineStr">
        <is>
          <t>Male</t>
        </is>
      </c>
      <c r="L2925" t="inlineStr">
        <is>
          <t>No focal subject</t>
        </is>
      </c>
      <c r="M2925" t="n">
        <v>62.77</v>
      </c>
      <c r="N2925" t="inlineStr">
        <is>
          <t>Explore_F</t>
        </is>
      </c>
      <c r="O2925" t="inlineStr">
        <is>
          <t>Familiar</t>
        </is>
      </c>
      <c r="P2925" t="inlineStr">
        <is>
          <t>STATE</t>
        </is>
      </c>
      <c r="Q2925" t="n">
        <v>264.299</v>
      </c>
      <c r="R2925" t="n">
        <v>264.866</v>
      </c>
      <c r="S2925" t="n">
        <v>0.5669999999999999</v>
      </c>
      <c r="T2925" t="inlineStr">
        <is>
          <t>C:/Users/manuel.felline/Documents/BEHAVIOR BTBR/NOR second cohort/BTBR/test/c7_m5.mp4</t>
        </is>
      </c>
      <c r="U2925" t="n">
        <v>8236</v>
      </c>
      <c r="V2925" t="n">
        <v>8253</v>
      </c>
      <c r="W2925" t="n">
        <v/>
      </c>
      <c r="X2925" t="n">
        <v/>
      </c>
      <c r="Y2925" t="n">
        <v/>
      </c>
      <c r="Z2925" t="n">
        <v/>
      </c>
      <c r="AA2925">
        <f>SUMIFS($S$2:S2925,$A$2:A2925,A2925,$N$2:N2925,"Explore*")</f>
        <v/>
      </c>
      <c r="AB2925">
        <f>IF(AND(LEFT(N2925,7)="Explore",(AA2925-IF(LEFT(N2925,7)="Explore",S2925,0))&lt;10),"SI","NO")</f>
        <v/>
      </c>
    </row>
    <row r="2926">
      <c r="A2926" t="inlineStr">
        <is>
          <t>c7m5_test</t>
        </is>
      </c>
      <c r="B2926" t="inlineStr">
        <is>
          <t>2026-06-17 17:12:38.848</t>
        </is>
      </c>
      <c r="C2926" t="n">
        <v/>
      </c>
      <c r="D2926" t="inlineStr">
        <is>
          <t>Media file</t>
        </is>
      </c>
      <c r="E2926" t="inlineStr">
        <is>
          <t>player #1:C:/Users/manuel.felline/Documents/BEHAVIOR BTBR/NOR second cohort/BTBR/test/c7_m5.mp4</t>
        </is>
      </c>
      <c r="F2926" t="n">
        <v>-10.967</v>
      </c>
      <c r="G2926" t="n">
        <v>576.6660000000001</v>
      </c>
      <c r="H2926" t="n">
        <v>645.433</v>
      </c>
      <c r="I2926" t="n">
        <v>30</v>
      </c>
      <c r="J2926" t="inlineStr">
        <is>
          <t>BTBR</t>
        </is>
      </c>
      <c r="K2926" t="inlineStr">
        <is>
          <t>Male</t>
        </is>
      </c>
      <c r="L2926" t="inlineStr">
        <is>
          <t>No focal subject</t>
        </is>
      </c>
      <c r="M2926" t="n">
        <v>62.77</v>
      </c>
      <c r="N2926" t="inlineStr">
        <is>
          <t>Explore_F</t>
        </is>
      </c>
      <c r="O2926" t="inlineStr">
        <is>
          <t>Familiar</t>
        </is>
      </c>
      <c r="P2926" t="inlineStr">
        <is>
          <t>STATE</t>
        </is>
      </c>
      <c r="Q2926" t="n">
        <v>273.533</v>
      </c>
      <c r="R2926" t="n">
        <v>273.933</v>
      </c>
      <c r="S2926" t="n">
        <v>0.4</v>
      </c>
      <c r="T2926" t="inlineStr">
        <is>
          <t>C:/Users/manuel.felline/Documents/BEHAVIOR BTBR/NOR second cohort/BTBR/test/c7_m5.mp4</t>
        </is>
      </c>
      <c r="U2926" t="n">
        <v>8513</v>
      </c>
      <c r="V2926" t="n">
        <v>8525</v>
      </c>
      <c r="W2926" t="n">
        <v/>
      </c>
      <c r="X2926" t="n">
        <v/>
      </c>
      <c r="Y2926" t="n">
        <v/>
      </c>
      <c r="Z2926" t="n">
        <v/>
      </c>
      <c r="AA2926">
        <f>SUMIFS($S$2:S2926,$A$2:A2926,A2926,$N$2:N2926,"Explore*")</f>
        <v/>
      </c>
      <c r="AB2926">
        <f>IF(AND(LEFT(N2926,7)="Explore",(AA2926-IF(LEFT(N2926,7)="Explore",S2926,0))&lt;10),"SI","NO")</f>
        <v/>
      </c>
    </row>
    <row r="2927">
      <c r="A2927" t="inlineStr">
        <is>
          <t>c7m5_test</t>
        </is>
      </c>
      <c r="B2927" t="inlineStr">
        <is>
          <t>2026-06-17 17:12:38.848</t>
        </is>
      </c>
      <c r="C2927" t="n">
        <v/>
      </c>
      <c r="D2927" t="inlineStr">
        <is>
          <t>Media file</t>
        </is>
      </c>
      <c r="E2927" t="inlineStr">
        <is>
          <t>player #1:C:/Users/manuel.felline/Documents/BEHAVIOR BTBR/NOR second cohort/BTBR/test/c7_m5.mp4</t>
        </is>
      </c>
      <c r="F2927" t="n">
        <v>-10.967</v>
      </c>
      <c r="G2927" t="n">
        <v>576.6660000000001</v>
      </c>
      <c r="H2927" t="n">
        <v>645.433</v>
      </c>
      <c r="I2927" t="n">
        <v>30</v>
      </c>
      <c r="J2927" t="inlineStr">
        <is>
          <t>BTBR</t>
        </is>
      </c>
      <c r="K2927" t="inlineStr">
        <is>
          <t>Male</t>
        </is>
      </c>
      <c r="L2927" t="inlineStr">
        <is>
          <t>No focal subject</t>
        </is>
      </c>
      <c r="M2927" t="n">
        <v>62.77</v>
      </c>
      <c r="N2927" t="inlineStr">
        <is>
          <t>Explore_N</t>
        </is>
      </c>
      <c r="O2927" t="inlineStr">
        <is>
          <t>Novelty</t>
        </is>
      </c>
      <c r="P2927" t="inlineStr">
        <is>
          <t>STATE</t>
        </is>
      </c>
      <c r="Q2927" t="n">
        <v>279.066</v>
      </c>
      <c r="R2927" t="n">
        <v>281.966</v>
      </c>
      <c r="S2927" t="n">
        <v>2.9</v>
      </c>
      <c r="T2927" t="inlineStr">
        <is>
          <t>C:/Users/manuel.felline/Documents/BEHAVIOR BTBR/NOR second cohort/BTBR/test/c7_m5.mp4</t>
        </is>
      </c>
      <c r="U2927" t="n">
        <v>8678</v>
      </c>
      <c r="V2927" t="n">
        <v>8765</v>
      </c>
      <c r="W2927" t="n">
        <v/>
      </c>
      <c r="X2927" t="n">
        <v/>
      </c>
      <c r="Y2927" t="n">
        <v/>
      </c>
      <c r="Z2927" t="n">
        <v/>
      </c>
      <c r="AA2927">
        <f>SUMIFS($S$2:S2927,$A$2:A2927,A2927,$N$2:N2927,"Explore*")</f>
        <v/>
      </c>
      <c r="AB2927">
        <f>IF(AND(LEFT(N2927,7)="Explore",(AA2927-IF(LEFT(N2927,7)="Explore",S2927,0))&lt;10),"SI","NO")</f>
        <v/>
      </c>
    </row>
    <row r="2928">
      <c r="A2928" t="inlineStr">
        <is>
          <t>c7m5_test</t>
        </is>
      </c>
      <c r="B2928" t="inlineStr">
        <is>
          <t>2026-06-17 17:12:38.848</t>
        </is>
      </c>
      <c r="C2928" t="n">
        <v/>
      </c>
      <c r="D2928" t="inlineStr">
        <is>
          <t>Media file</t>
        </is>
      </c>
      <c r="E2928" t="inlineStr">
        <is>
          <t>player #1:C:/Users/manuel.felline/Documents/BEHAVIOR BTBR/NOR second cohort/BTBR/test/c7_m5.mp4</t>
        </is>
      </c>
      <c r="F2928" t="n">
        <v>-10.967</v>
      </c>
      <c r="G2928" t="n">
        <v>576.6660000000001</v>
      </c>
      <c r="H2928" t="n">
        <v>645.433</v>
      </c>
      <c r="I2928" t="n">
        <v>30</v>
      </c>
      <c r="J2928" t="inlineStr">
        <is>
          <t>BTBR</t>
        </is>
      </c>
      <c r="K2928" t="inlineStr">
        <is>
          <t>Male</t>
        </is>
      </c>
      <c r="L2928" t="inlineStr">
        <is>
          <t>No focal subject</t>
        </is>
      </c>
      <c r="M2928" t="n">
        <v>62.77</v>
      </c>
      <c r="N2928" t="inlineStr">
        <is>
          <t>Explore_F</t>
        </is>
      </c>
      <c r="O2928" t="inlineStr">
        <is>
          <t>Familiar</t>
        </is>
      </c>
      <c r="P2928" t="inlineStr">
        <is>
          <t>STATE</t>
        </is>
      </c>
      <c r="Q2928" t="n">
        <v>290.633</v>
      </c>
      <c r="R2928" t="n">
        <v>291.233</v>
      </c>
      <c r="S2928" t="n">
        <v>0.6</v>
      </c>
      <c r="T2928" t="inlineStr">
        <is>
          <t>C:/Users/manuel.felline/Documents/BEHAVIOR BTBR/NOR second cohort/BTBR/test/c7_m5.mp4</t>
        </is>
      </c>
      <c r="U2928" t="n">
        <v>9024</v>
      </c>
      <c r="V2928" t="n">
        <v>9042</v>
      </c>
      <c r="W2928" t="n">
        <v/>
      </c>
      <c r="X2928" t="n">
        <v/>
      </c>
      <c r="Y2928" t="n">
        <v/>
      </c>
      <c r="Z2928" t="n">
        <v/>
      </c>
      <c r="AA2928">
        <f>SUMIFS($S$2:S2928,$A$2:A2928,A2928,$N$2:N2928,"Explore*")</f>
        <v/>
      </c>
      <c r="AB2928">
        <f>IF(AND(LEFT(N2928,7)="Explore",(AA2928-IF(LEFT(N2928,7)="Explore",S2928,0))&lt;10),"SI","NO")</f>
        <v/>
      </c>
    </row>
    <row r="2929">
      <c r="A2929" t="inlineStr">
        <is>
          <t>c7m5_test</t>
        </is>
      </c>
      <c r="B2929" t="inlineStr">
        <is>
          <t>2026-06-17 17:12:38.848</t>
        </is>
      </c>
      <c r="C2929" t="n">
        <v/>
      </c>
      <c r="D2929" t="inlineStr">
        <is>
          <t>Media file</t>
        </is>
      </c>
      <c r="E2929" t="inlineStr">
        <is>
          <t>player #1:C:/Users/manuel.felline/Documents/BEHAVIOR BTBR/NOR second cohort/BTBR/test/c7_m5.mp4</t>
        </is>
      </c>
      <c r="F2929" t="n">
        <v>-10.967</v>
      </c>
      <c r="G2929" t="n">
        <v>576.6660000000001</v>
      </c>
      <c r="H2929" t="n">
        <v>645.433</v>
      </c>
      <c r="I2929" t="n">
        <v>30</v>
      </c>
      <c r="J2929" t="inlineStr">
        <is>
          <t>BTBR</t>
        </is>
      </c>
      <c r="K2929" t="inlineStr">
        <is>
          <t>Male</t>
        </is>
      </c>
      <c r="L2929" t="inlineStr">
        <is>
          <t>No focal subject</t>
        </is>
      </c>
      <c r="M2929" t="n">
        <v>62.77</v>
      </c>
      <c r="N2929" t="inlineStr">
        <is>
          <t>Explore_N</t>
        </is>
      </c>
      <c r="O2929" t="inlineStr">
        <is>
          <t>Novelty</t>
        </is>
      </c>
      <c r="P2929" t="inlineStr">
        <is>
          <t>STATE</t>
        </is>
      </c>
      <c r="Q2929" t="n">
        <v>326.166</v>
      </c>
      <c r="R2929" t="n">
        <v>326.866</v>
      </c>
      <c r="S2929" t="n">
        <v>0.7</v>
      </c>
      <c r="T2929" t="inlineStr">
        <is>
          <t>C:/Users/manuel.felline/Documents/BEHAVIOR BTBR/NOR second cohort/BTBR/test/c7_m5.mp4</t>
        </is>
      </c>
      <c r="U2929" t="n">
        <v>10088</v>
      </c>
      <c r="V2929" t="n">
        <v>10109</v>
      </c>
      <c r="W2929" t="n">
        <v/>
      </c>
      <c r="X2929" t="n">
        <v/>
      </c>
      <c r="Y2929" t="n">
        <v/>
      </c>
      <c r="Z2929" t="n">
        <v/>
      </c>
      <c r="AA2929">
        <f>SUMIFS($S$2:S2929,$A$2:A2929,A2929,$N$2:N2929,"Explore*")</f>
        <v/>
      </c>
      <c r="AB2929">
        <f>IF(AND(LEFT(N2929,7)="Explore",(AA2929-IF(LEFT(N2929,7)="Explore",S2929,0))&lt;10),"SI","NO")</f>
        <v/>
      </c>
    </row>
    <row r="2930">
      <c r="A2930" t="inlineStr">
        <is>
          <t>c7m5_test</t>
        </is>
      </c>
      <c r="B2930" t="inlineStr">
        <is>
          <t>2026-06-17 17:12:38.848</t>
        </is>
      </c>
      <c r="C2930" t="n">
        <v/>
      </c>
      <c r="D2930" t="inlineStr">
        <is>
          <t>Media file</t>
        </is>
      </c>
      <c r="E2930" t="inlineStr">
        <is>
          <t>player #1:C:/Users/manuel.felline/Documents/BEHAVIOR BTBR/NOR second cohort/BTBR/test/c7_m5.mp4</t>
        </is>
      </c>
      <c r="F2930" t="n">
        <v>-10.967</v>
      </c>
      <c r="G2930" t="n">
        <v>576.6660000000001</v>
      </c>
      <c r="H2930" t="n">
        <v>645.433</v>
      </c>
      <c r="I2930" t="n">
        <v>30</v>
      </c>
      <c r="J2930" t="inlineStr">
        <is>
          <t>BTBR</t>
        </is>
      </c>
      <c r="K2930" t="inlineStr">
        <is>
          <t>Male</t>
        </is>
      </c>
      <c r="L2930" t="inlineStr">
        <is>
          <t>No focal subject</t>
        </is>
      </c>
      <c r="M2930" t="n">
        <v>62.77</v>
      </c>
      <c r="N2930" t="inlineStr">
        <is>
          <t>Explore_F</t>
        </is>
      </c>
      <c r="O2930" t="inlineStr">
        <is>
          <t>Familiar</t>
        </is>
      </c>
      <c r="P2930" t="inlineStr">
        <is>
          <t>STATE</t>
        </is>
      </c>
      <c r="Q2930" t="n">
        <v>345.533</v>
      </c>
      <c r="R2930" t="n">
        <v>346.033</v>
      </c>
      <c r="S2930" t="n">
        <v>0.5</v>
      </c>
      <c r="T2930" t="inlineStr">
        <is>
          <t>C:/Users/manuel.felline/Documents/BEHAVIOR BTBR/NOR second cohort/BTBR/test/c7_m5.mp4</t>
        </is>
      </c>
      <c r="U2930" t="n">
        <v>10667</v>
      </c>
      <c r="V2930" t="n">
        <v>10682</v>
      </c>
      <c r="W2930" t="n">
        <v/>
      </c>
      <c r="X2930" t="n">
        <v/>
      </c>
      <c r="Y2930" t="n">
        <v/>
      </c>
      <c r="Z2930" t="n">
        <v/>
      </c>
      <c r="AA2930">
        <f>SUMIFS($S$2:S2930,$A$2:A2930,A2930,$N$2:N2930,"Explore*")</f>
        <v/>
      </c>
      <c r="AB2930">
        <f>IF(AND(LEFT(N2930,7)="Explore",(AA2930-IF(LEFT(N2930,7)="Explore",S2930,0))&lt;10),"SI","NO")</f>
        <v/>
      </c>
    </row>
    <row r="2931">
      <c r="A2931" t="inlineStr">
        <is>
          <t>c7m5_test</t>
        </is>
      </c>
      <c r="B2931" t="inlineStr">
        <is>
          <t>2026-06-17 17:12:38.848</t>
        </is>
      </c>
      <c r="C2931" t="n">
        <v/>
      </c>
      <c r="D2931" t="inlineStr">
        <is>
          <t>Media file</t>
        </is>
      </c>
      <c r="E2931" t="inlineStr">
        <is>
          <t>player #1:C:/Users/manuel.felline/Documents/BEHAVIOR BTBR/NOR second cohort/BTBR/test/c7_m5.mp4</t>
        </is>
      </c>
      <c r="F2931" t="n">
        <v>-10.967</v>
      </c>
      <c r="G2931" t="n">
        <v>576.6660000000001</v>
      </c>
      <c r="H2931" t="n">
        <v>645.433</v>
      </c>
      <c r="I2931" t="n">
        <v>30</v>
      </c>
      <c r="J2931" t="inlineStr">
        <is>
          <t>BTBR</t>
        </is>
      </c>
      <c r="K2931" t="inlineStr">
        <is>
          <t>Male</t>
        </is>
      </c>
      <c r="L2931" t="inlineStr">
        <is>
          <t>No focal subject</t>
        </is>
      </c>
      <c r="M2931" t="n">
        <v>62.77</v>
      </c>
      <c r="N2931" t="inlineStr">
        <is>
          <t>Explore_N</t>
        </is>
      </c>
      <c r="O2931" t="inlineStr">
        <is>
          <t>Novelty</t>
        </is>
      </c>
      <c r="P2931" t="inlineStr">
        <is>
          <t>STATE</t>
        </is>
      </c>
      <c r="Q2931" t="n">
        <v>351.866</v>
      </c>
      <c r="R2931" t="n">
        <v>352.833</v>
      </c>
      <c r="S2931" t="n">
        <v>0.967</v>
      </c>
      <c r="T2931" t="inlineStr">
        <is>
          <t>C:/Users/manuel.felline/Documents/BEHAVIOR BTBR/NOR second cohort/BTBR/test/c7_m5.mp4</t>
        </is>
      </c>
      <c r="U2931" t="n">
        <v>10857</v>
      </c>
      <c r="V2931" t="n">
        <v>10885</v>
      </c>
      <c r="W2931" t="n">
        <v/>
      </c>
      <c r="X2931" t="n">
        <v/>
      </c>
      <c r="Y2931" t="n">
        <v/>
      </c>
      <c r="Z2931" t="n">
        <v/>
      </c>
      <c r="AA2931">
        <f>SUMIFS($S$2:S2931,$A$2:A2931,A2931,$N$2:N2931,"Explore*")</f>
        <v/>
      </c>
      <c r="AB2931">
        <f>IF(AND(LEFT(N2931,7)="Explore",(AA2931-IF(LEFT(N2931,7)="Explore",S2931,0))&lt;10),"SI","NO")</f>
        <v/>
      </c>
    </row>
    <row r="2932">
      <c r="A2932" t="inlineStr">
        <is>
          <t>c7m5_test</t>
        </is>
      </c>
      <c r="B2932" t="inlineStr">
        <is>
          <t>2026-06-17 17:12:38.848</t>
        </is>
      </c>
      <c r="C2932" t="n">
        <v/>
      </c>
      <c r="D2932" t="inlineStr">
        <is>
          <t>Media file</t>
        </is>
      </c>
      <c r="E2932" t="inlineStr">
        <is>
          <t>player #1:C:/Users/manuel.felline/Documents/BEHAVIOR BTBR/NOR second cohort/BTBR/test/c7_m5.mp4</t>
        </is>
      </c>
      <c r="F2932" t="n">
        <v>-10.967</v>
      </c>
      <c r="G2932" t="n">
        <v>576.6660000000001</v>
      </c>
      <c r="H2932" t="n">
        <v>645.433</v>
      </c>
      <c r="I2932" t="n">
        <v>30</v>
      </c>
      <c r="J2932" t="inlineStr">
        <is>
          <t>BTBR</t>
        </is>
      </c>
      <c r="K2932" t="inlineStr">
        <is>
          <t>Male</t>
        </is>
      </c>
      <c r="L2932" t="inlineStr">
        <is>
          <t>No focal subject</t>
        </is>
      </c>
      <c r="M2932" t="n">
        <v>62.77</v>
      </c>
      <c r="N2932" t="inlineStr">
        <is>
          <t>Explore_F</t>
        </is>
      </c>
      <c r="O2932" t="inlineStr">
        <is>
          <t>Familiar</t>
        </is>
      </c>
      <c r="P2932" t="inlineStr">
        <is>
          <t>STATE</t>
        </is>
      </c>
      <c r="Q2932" t="n">
        <v>354.166</v>
      </c>
      <c r="R2932" t="n">
        <v>354.599</v>
      </c>
      <c r="S2932" t="n">
        <v>0.433</v>
      </c>
      <c r="T2932" t="inlineStr">
        <is>
          <t>C:/Users/manuel.felline/Documents/BEHAVIOR BTBR/NOR second cohort/BTBR/test/c7_m5.mp4</t>
        </is>
      </c>
      <c r="U2932" t="n">
        <v>10925</v>
      </c>
      <c r="V2932" t="n">
        <v>10938</v>
      </c>
      <c r="W2932" t="n">
        <v/>
      </c>
      <c r="X2932" t="n">
        <v/>
      </c>
      <c r="Y2932" t="n">
        <v/>
      </c>
      <c r="Z2932" t="n">
        <v/>
      </c>
      <c r="AA2932">
        <f>SUMIFS($S$2:S2932,$A$2:A2932,A2932,$N$2:N2932,"Explore*")</f>
        <v/>
      </c>
      <c r="AB2932">
        <f>IF(AND(LEFT(N2932,7)="Explore",(AA2932-IF(LEFT(N2932,7)="Explore",S2932,0))&lt;10),"SI","NO")</f>
        <v/>
      </c>
    </row>
    <row r="2933">
      <c r="A2933" t="inlineStr">
        <is>
          <t>c7m5_test</t>
        </is>
      </c>
      <c r="B2933" t="inlineStr">
        <is>
          <t>2026-06-17 17:12:38.848</t>
        </is>
      </c>
      <c r="C2933" t="n">
        <v/>
      </c>
      <c r="D2933" t="inlineStr">
        <is>
          <t>Media file</t>
        </is>
      </c>
      <c r="E2933" t="inlineStr">
        <is>
          <t>player #1:C:/Users/manuel.felline/Documents/BEHAVIOR BTBR/NOR second cohort/BTBR/test/c7_m5.mp4</t>
        </is>
      </c>
      <c r="F2933" t="n">
        <v>-10.967</v>
      </c>
      <c r="G2933" t="n">
        <v>576.6660000000001</v>
      </c>
      <c r="H2933" t="n">
        <v>645.433</v>
      </c>
      <c r="I2933" t="n">
        <v>30</v>
      </c>
      <c r="J2933" t="inlineStr">
        <is>
          <t>BTBR</t>
        </is>
      </c>
      <c r="K2933" t="inlineStr">
        <is>
          <t>Male</t>
        </is>
      </c>
      <c r="L2933" t="inlineStr">
        <is>
          <t>No focal subject</t>
        </is>
      </c>
      <c r="M2933" t="n">
        <v>62.77</v>
      </c>
      <c r="N2933" t="inlineStr">
        <is>
          <t>Explore_F</t>
        </is>
      </c>
      <c r="O2933" t="inlineStr">
        <is>
          <t>Familiar</t>
        </is>
      </c>
      <c r="P2933" t="inlineStr">
        <is>
          <t>STATE</t>
        </is>
      </c>
      <c r="Q2933" t="n">
        <v>387.699</v>
      </c>
      <c r="R2933" t="n">
        <v>388.099</v>
      </c>
      <c r="S2933" t="n">
        <v>0.4</v>
      </c>
      <c r="T2933" t="inlineStr">
        <is>
          <t>C:/Users/manuel.felline/Documents/BEHAVIOR BTBR/NOR second cohort/BTBR/test/c7_m5.mp4</t>
        </is>
      </c>
      <c r="U2933" t="n">
        <v>11929</v>
      </c>
      <c r="V2933" t="n">
        <v>11941</v>
      </c>
      <c r="W2933" t="n">
        <v/>
      </c>
      <c r="X2933" t="n">
        <v/>
      </c>
      <c r="Y2933" t="n">
        <v/>
      </c>
      <c r="Z2933" t="n">
        <v/>
      </c>
      <c r="AA2933">
        <f>SUMIFS($S$2:S2933,$A$2:A2933,A2933,$N$2:N2933,"Explore*")</f>
        <v/>
      </c>
      <c r="AB2933">
        <f>IF(AND(LEFT(N2933,7)="Explore",(AA2933-IF(LEFT(N2933,7)="Explore",S2933,0))&lt;10),"SI","NO")</f>
        <v/>
      </c>
    </row>
    <row r="2934">
      <c r="A2934" t="inlineStr">
        <is>
          <t>c7m5_test</t>
        </is>
      </c>
      <c r="B2934" t="inlineStr">
        <is>
          <t>2026-06-17 17:12:38.848</t>
        </is>
      </c>
      <c r="C2934" t="n">
        <v/>
      </c>
      <c r="D2934" t="inlineStr">
        <is>
          <t>Media file</t>
        </is>
      </c>
      <c r="E2934" t="inlineStr">
        <is>
          <t>player #1:C:/Users/manuel.felline/Documents/BEHAVIOR BTBR/NOR second cohort/BTBR/test/c7_m5.mp4</t>
        </is>
      </c>
      <c r="F2934" t="n">
        <v>-10.967</v>
      </c>
      <c r="G2934" t="n">
        <v>576.6660000000001</v>
      </c>
      <c r="H2934" t="n">
        <v>645.433</v>
      </c>
      <c r="I2934" t="n">
        <v>30</v>
      </c>
      <c r="J2934" t="inlineStr">
        <is>
          <t>BTBR</t>
        </is>
      </c>
      <c r="K2934" t="inlineStr">
        <is>
          <t>Male</t>
        </is>
      </c>
      <c r="L2934" t="inlineStr">
        <is>
          <t>No focal subject</t>
        </is>
      </c>
      <c r="M2934" t="n">
        <v>62.77</v>
      </c>
      <c r="N2934" t="inlineStr">
        <is>
          <t>Explore_N</t>
        </is>
      </c>
      <c r="O2934" t="inlineStr">
        <is>
          <t>Novelty</t>
        </is>
      </c>
      <c r="P2934" t="inlineStr">
        <is>
          <t>STATE</t>
        </is>
      </c>
      <c r="Q2934" t="n">
        <v>415.433</v>
      </c>
      <c r="R2934" t="n">
        <v>416.666</v>
      </c>
      <c r="S2934" t="n">
        <v>1.233</v>
      </c>
      <c r="T2934" t="inlineStr">
        <is>
          <t>C:/Users/manuel.felline/Documents/BEHAVIOR BTBR/NOR second cohort/BTBR/test/c7_m5.mp4</t>
        </is>
      </c>
      <c r="U2934" t="n">
        <v>12759</v>
      </c>
      <c r="V2934" t="n">
        <v>12795</v>
      </c>
      <c r="W2934" t="n">
        <v/>
      </c>
      <c r="X2934" t="n">
        <v/>
      </c>
      <c r="Y2934" t="n">
        <v/>
      </c>
      <c r="Z2934" t="n">
        <v/>
      </c>
      <c r="AA2934">
        <f>SUMIFS($S$2:S2934,$A$2:A2934,A2934,$N$2:N2934,"Explore*")</f>
        <v/>
      </c>
      <c r="AB2934">
        <f>IF(AND(LEFT(N2934,7)="Explore",(AA2934-IF(LEFT(N2934,7)="Explore",S2934,0))&lt;10),"SI","NO")</f>
        <v/>
      </c>
    </row>
    <row r="2935">
      <c r="A2935" t="inlineStr">
        <is>
          <t>c7m5_test</t>
        </is>
      </c>
      <c r="B2935" t="inlineStr">
        <is>
          <t>2026-06-17 17:12:38.848</t>
        </is>
      </c>
      <c r="C2935" t="n">
        <v/>
      </c>
      <c r="D2935" t="inlineStr">
        <is>
          <t>Media file</t>
        </is>
      </c>
      <c r="E2935" t="inlineStr">
        <is>
          <t>player #1:C:/Users/manuel.felline/Documents/BEHAVIOR BTBR/NOR second cohort/BTBR/test/c7_m5.mp4</t>
        </is>
      </c>
      <c r="F2935" t="n">
        <v>-10.967</v>
      </c>
      <c r="G2935" t="n">
        <v>576.6660000000001</v>
      </c>
      <c r="H2935" t="n">
        <v>645.433</v>
      </c>
      <c r="I2935" t="n">
        <v>30</v>
      </c>
      <c r="J2935" t="inlineStr">
        <is>
          <t>BTBR</t>
        </is>
      </c>
      <c r="K2935" t="inlineStr">
        <is>
          <t>Male</t>
        </is>
      </c>
      <c r="L2935" t="inlineStr">
        <is>
          <t>No focal subject</t>
        </is>
      </c>
      <c r="M2935" t="n">
        <v>62.77</v>
      </c>
      <c r="N2935" t="inlineStr">
        <is>
          <t>Explore_F</t>
        </is>
      </c>
      <c r="O2935" t="inlineStr">
        <is>
          <t>Familiar</t>
        </is>
      </c>
      <c r="P2935" t="inlineStr">
        <is>
          <t>STATE</t>
        </is>
      </c>
      <c r="Q2935" t="n">
        <v>428.033</v>
      </c>
      <c r="R2935" t="n">
        <v>428.466</v>
      </c>
      <c r="S2935" t="n">
        <v>0.433</v>
      </c>
      <c r="T2935" t="inlineStr">
        <is>
          <t>C:/Users/manuel.felline/Documents/BEHAVIOR BTBR/NOR second cohort/BTBR/test/c7_m5.mp4</t>
        </is>
      </c>
      <c r="U2935" t="n">
        <v>13136</v>
      </c>
      <c r="V2935" t="n">
        <v>13149</v>
      </c>
      <c r="W2935" t="n">
        <v/>
      </c>
      <c r="X2935" t="n">
        <v/>
      </c>
      <c r="Y2935" t="n">
        <v/>
      </c>
      <c r="Z2935" t="n">
        <v/>
      </c>
      <c r="AA2935">
        <f>SUMIFS($S$2:S2935,$A$2:A2935,A2935,$N$2:N2935,"Explore*")</f>
        <v/>
      </c>
      <c r="AB2935">
        <f>IF(AND(LEFT(N2935,7)="Explore",(AA2935-IF(LEFT(N2935,7)="Explore",S2935,0))&lt;10),"SI","NO")</f>
        <v/>
      </c>
    </row>
    <row r="2936">
      <c r="A2936" t="inlineStr">
        <is>
          <t>c7m5_test</t>
        </is>
      </c>
      <c r="B2936" t="inlineStr">
        <is>
          <t>2026-06-17 17:12:38.848</t>
        </is>
      </c>
      <c r="C2936" t="n">
        <v/>
      </c>
      <c r="D2936" t="inlineStr">
        <is>
          <t>Media file</t>
        </is>
      </c>
      <c r="E2936" t="inlineStr">
        <is>
          <t>player #1:C:/Users/manuel.felline/Documents/BEHAVIOR BTBR/NOR second cohort/BTBR/test/c7_m5.mp4</t>
        </is>
      </c>
      <c r="F2936" t="n">
        <v>-10.967</v>
      </c>
      <c r="G2936" t="n">
        <v>576.6660000000001</v>
      </c>
      <c r="H2936" t="n">
        <v>645.433</v>
      </c>
      <c r="I2936" t="n">
        <v>30</v>
      </c>
      <c r="J2936" t="inlineStr">
        <is>
          <t>BTBR</t>
        </is>
      </c>
      <c r="K2936" t="inlineStr">
        <is>
          <t>Male</t>
        </is>
      </c>
      <c r="L2936" t="inlineStr">
        <is>
          <t>No focal subject</t>
        </is>
      </c>
      <c r="M2936" t="n">
        <v>62.77</v>
      </c>
      <c r="N2936" t="inlineStr">
        <is>
          <t>Explore_F</t>
        </is>
      </c>
      <c r="O2936" t="inlineStr">
        <is>
          <t>Familiar</t>
        </is>
      </c>
      <c r="P2936" t="inlineStr">
        <is>
          <t>STATE</t>
        </is>
      </c>
      <c r="Q2936" t="n">
        <v>459.933</v>
      </c>
      <c r="R2936" t="n">
        <v>460.466</v>
      </c>
      <c r="S2936" t="n">
        <v>0.533</v>
      </c>
      <c r="T2936" t="inlineStr">
        <is>
          <t>C:/Users/manuel.felline/Documents/BEHAVIOR BTBR/NOR second cohort/BTBR/test/c7_m5.mp4</t>
        </is>
      </c>
      <c r="U2936" t="n">
        <v>14090</v>
      </c>
      <c r="V2936" t="n">
        <v>14106</v>
      </c>
      <c r="W2936" t="n">
        <v/>
      </c>
      <c r="X2936" t="n">
        <v/>
      </c>
      <c r="Y2936" t="n">
        <v/>
      </c>
      <c r="Z2936" t="n">
        <v/>
      </c>
      <c r="AA2936">
        <f>SUMIFS($S$2:S2936,$A$2:A2936,A2936,$N$2:N2936,"Explore*")</f>
        <v/>
      </c>
      <c r="AB2936">
        <f>IF(AND(LEFT(N2936,7)="Explore",(AA2936-IF(LEFT(N2936,7)="Explore",S2936,0))&lt;10),"SI","NO")</f>
        <v/>
      </c>
    </row>
    <row r="2937">
      <c r="A2937" t="inlineStr">
        <is>
          <t>c7m5_test</t>
        </is>
      </c>
      <c r="B2937" t="inlineStr">
        <is>
          <t>2026-06-17 17:12:38.848</t>
        </is>
      </c>
      <c r="C2937" t="n">
        <v/>
      </c>
      <c r="D2937" t="inlineStr">
        <is>
          <t>Media file</t>
        </is>
      </c>
      <c r="E2937" t="inlineStr">
        <is>
          <t>player #1:C:/Users/manuel.felline/Documents/BEHAVIOR BTBR/NOR second cohort/BTBR/test/c7_m5.mp4</t>
        </is>
      </c>
      <c r="F2937" t="n">
        <v>-10.967</v>
      </c>
      <c r="G2937" t="n">
        <v>576.6660000000001</v>
      </c>
      <c r="H2937" t="n">
        <v>645.433</v>
      </c>
      <c r="I2937" t="n">
        <v>30</v>
      </c>
      <c r="J2937" t="inlineStr">
        <is>
          <t>BTBR</t>
        </is>
      </c>
      <c r="K2937" t="inlineStr">
        <is>
          <t>Male</t>
        </is>
      </c>
      <c r="L2937" t="inlineStr">
        <is>
          <t>No focal subject</t>
        </is>
      </c>
      <c r="M2937" t="n">
        <v>62.77</v>
      </c>
      <c r="N2937" t="inlineStr">
        <is>
          <t>Explore_F</t>
        </is>
      </c>
      <c r="O2937" t="inlineStr">
        <is>
          <t>Familiar</t>
        </is>
      </c>
      <c r="P2937" t="inlineStr">
        <is>
          <t>STATE</t>
        </is>
      </c>
      <c r="Q2937" t="n">
        <v>474.299</v>
      </c>
      <c r="R2937" t="n">
        <v>474.733</v>
      </c>
      <c r="S2937" t="n">
        <v>0.434</v>
      </c>
      <c r="T2937" t="inlineStr">
        <is>
          <t>C:/Users/manuel.felline/Documents/BEHAVIOR BTBR/NOR second cohort/BTBR/test/c7_m5.mp4</t>
        </is>
      </c>
      <c r="U2937" t="n">
        <v>14520</v>
      </c>
      <c r="V2937" t="n">
        <v>14533</v>
      </c>
      <c r="W2937" t="n">
        <v/>
      </c>
      <c r="X2937" t="n">
        <v/>
      </c>
      <c r="Y2937" t="n">
        <v/>
      </c>
      <c r="Z2937" t="n">
        <v/>
      </c>
      <c r="AA2937">
        <f>SUMIFS($S$2:S2937,$A$2:A2937,A2937,$N$2:N2937,"Explore*")</f>
        <v/>
      </c>
      <c r="AB2937">
        <f>IF(AND(LEFT(N2937,7)="Explore",(AA2937-IF(LEFT(N2937,7)="Explore",S2937,0))&lt;10),"SI","NO")</f>
        <v/>
      </c>
    </row>
    <row r="2938">
      <c r="A2938" t="inlineStr">
        <is>
          <t>c7m5_test</t>
        </is>
      </c>
      <c r="B2938" t="inlineStr">
        <is>
          <t>2026-06-17 17:12:38.848</t>
        </is>
      </c>
      <c r="C2938" t="n">
        <v/>
      </c>
      <c r="D2938" t="inlineStr">
        <is>
          <t>Media file</t>
        </is>
      </c>
      <c r="E2938" t="inlineStr">
        <is>
          <t>player #1:C:/Users/manuel.felline/Documents/BEHAVIOR BTBR/NOR second cohort/BTBR/test/c7_m5.mp4</t>
        </is>
      </c>
      <c r="F2938" t="n">
        <v>-10.967</v>
      </c>
      <c r="G2938" t="n">
        <v>576.6660000000001</v>
      </c>
      <c r="H2938" t="n">
        <v>645.433</v>
      </c>
      <c r="I2938" t="n">
        <v>30</v>
      </c>
      <c r="J2938" t="inlineStr">
        <is>
          <t>BTBR</t>
        </is>
      </c>
      <c r="K2938" t="inlineStr">
        <is>
          <t>Male</t>
        </is>
      </c>
      <c r="L2938" t="inlineStr">
        <is>
          <t>No focal subject</t>
        </is>
      </c>
      <c r="M2938" t="n">
        <v>62.77</v>
      </c>
      <c r="N2938" t="inlineStr">
        <is>
          <t>Explore_N</t>
        </is>
      </c>
      <c r="O2938" t="inlineStr">
        <is>
          <t>Novelty</t>
        </is>
      </c>
      <c r="P2938" t="inlineStr">
        <is>
          <t>STATE</t>
        </is>
      </c>
      <c r="Q2938" t="n">
        <v>484.632</v>
      </c>
      <c r="R2938" t="n">
        <v>487.166</v>
      </c>
      <c r="S2938" t="n">
        <v>2.534</v>
      </c>
      <c r="T2938" t="inlineStr">
        <is>
          <t>C:/Users/manuel.felline/Documents/BEHAVIOR BTBR/NOR second cohort/BTBR/test/c7_m5.mp4</t>
        </is>
      </c>
      <c r="U2938" t="n">
        <v>14829</v>
      </c>
      <c r="V2938" t="n">
        <v>14905</v>
      </c>
      <c r="W2938" t="n">
        <v/>
      </c>
      <c r="X2938" t="n">
        <v/>
      </c>
      <c r="Y2938" t="n">
        <v/>
      </c>
      <c r="Z2938" t="n">
        <v/>
      </c>
      <c r="AA2938">
        <f>SUMIFS($S$2:S2938,$A$2:A2938,A2938,$N$2:N2938,"Explore*")</f>
        <v/>
      </c>
      <c r="AB2938">
        <f>IF(AND(LEFT(N2938,7)="Explore",(AA2938-IF(LEFT(N2938,7)="Explore",S2938,0))&lt;10),"SI","NO")</f>
        <v/>
      </c>
    </row>
    <row r="2939">
      <c r="A2939" t="inlineStr">
        <is>
          <t>c7m5_test</t>
        </is>
      </c>
      <c r="B2939" t="inlineStr">
        <is>
          <t>2026-06-17 17:12:38.848</t>
        </is>
      </c>
      <c r="C2939" t="n">
        <v/>
      </c>
      <c r="D2939" t="inlineStr">
        <is>
          <t>Media file</t>
        </is>
      </c>
      <c r="E2939" t="inlineStr">
        <is>
          <t>player #1:C:/Users/manuel.felline/Documents/BEHAVIOR BTBR/NOR second cohort/BTBR/test/c7_m5.mp4</t>
        </is>
      </c>
      <c r="F2939" t="n">
        <v>-10.967</v>
      </c>
      <c r="G2939" t="n">
        <v>576.6660000000001</v>
      </c>
      <c r="H2939" t="n">
        <v>645.433</v>
      </c>
      <c r="I2939" t="n">
        <v>30</v>
      </c>
      <c r="J2939" t="inlineStr">
        <is>
          <t>BTBR</t>
        </is>
      </c>
      <c r="K2939" t="inlineStr">
        <is>
          <t>Male</t>
        </is>
      </c>
      <c r="L2939" t="inlineStr">
        <is>
          <t>No focal subject</t>
        </is>
      </c>
      <c r="M2939" t="n">
        <v>62.77</v>
      </c>
      <c r="N2939" t="inlineStr">
        <is>
          <t>Explore_N</t>
        </is>
      </c>
      <c r="O2939" t="inlineStr">
        <is>
          <t>Novelty</t>
        </is>
      </c>
      <c r="P2939" t="inlineStr">
        <is>
          <t>STATE</t>
        </is>
      </c>
      <c r="Q2939" t="n">
        <v>489.199</v>
      </c>
      <c r="R2939" t="n">
        <v>490.299</v>
      </c>
      <c r="S2939" t="n">
        <v>1.1</v>
      </c>
      <c r="T2939" t="inlineStr">
        <is>
          <t>C:/Users/manuel.felline/Documents/BEHAVIOR BTBR/NOR second cohort/BTBR/test/c7_m5.mp4</t>
        </is>
      </c>
      <c r="U2939" t="n">
        <v>14966</v>
      </c>
      <c r="V2939" t="n">
        <v>14999</v>
      </c>
      <c r="W2939" t="n">
        <v/>
      </c>
      <c r="X2939" t="n">
        <v/>
      </c>
      <c r="Y2939" t="n">
        <v/>
      </c>
      <c r="Z2939" t="n">
        <v/>
      </c>
      <c r="AA2939">
        <f>SUMIFS($S$2:S2939,$A$2:A2939,A2939,$N$2:N2939,"Explore*")</f>
        <v/>
      </c>
      <c r="AB2939">
        <f>IF(AND(LEFT(N2939,7)="Explore",(AA2939-IF(LEFT(N2939,7)="Explore",S2939,0))&lt;10),"SI","NO")</f>
        <v/>
      </c>
    </row>
    <row r="2940">
      <c r="A2940" t="inlineStr">
        <is>
          <t>c7m5_test</t>
        </is>
      </c>
      <c r="B2940" t="inlineStr">
        <is>
          <t>2026-06-17 17:12:38.848</t>
        </is>
      </c>
      <c r="C2940" t="n">
        <v/>
      </c>
      <c r="D2940" t="inlineStr">
        <is>
          <t>Media file</t>
        </is>
      </c>
      <c r="E2940" t="inlineStr">
        <is>
          <t>player #1:C:/Users/manuel.felline/Documents/BEHAVIOR BTBR/NOR second cohort/BTBR/test/c7_m5.mp4</t>
        </is>
      </c>
      <c r="F2940" t="n">
        <v>-10.967</v>
      </c>
      <c r="G2940" t="n">
        <v>576.6660000000001</v>
      </c>
      <c r="H2940" t="n">
        <v>645.433</v>
      </c>
      <c r="I2940" t="n">
        <v>30</v>
      </c>
      <c r="J2940" t="inlineStr">
        <is>
          <t>BTBR</t>
        </is>
      </c>
      <c r="K2940" t="inlineStr">
        <is>
          <t>Male</t>
        </is>
      </c>
      <c r="L2940" t="inlineStr">
        <is>
          <t>No focal subject</t>
        </is>
      </c>
      <c r="M2940" t="n">
        <v>62.77</v>
      </c>
      <c r="N2940" t="inlineStr">
        <is>
          <t>Explore_F</t>
        </is>
      </c>
      <c r="O2940" t="inlineStr">
        <is>
          <t>Familiar</t>
        </is>
      </c>
      <c r="P2940" t="inlineStr">
        <is>
          <t>STATE</t>
        </is>
      </c>
      <c r="Q2940" t="n">
        <v>506.866</v>
      </c>
      <c r="R2940" t="n">
        <v>507.332</v>
      </c>
      <c r="S2940" t="n">
        <v>0.466</v>
      </c>
      <c r="T2940" t="inlineStr">
        <is>
          <t>C:/Users/manuel.felline/Documents/BEHAVIOR BTBR/NOR second cohort/BTBR/test/c7_m5.mp4</t>
        </is>
      </c>
      <c r="U2940" t="n">
        <v>15494</v>
      </c>
      <c r="V2940" t="n">
        <v>15508</v>
      </c>
      <c r="W2940" t="n">
        <v/>
      </c>
      <c r="X2940" t="n">
        <v/>
      </c>
      <c r="Y2940" t="n">
        <v/>
      </c>
      <c r="Z2940" t="n">
        <v/>
      </c>
      <c r="AA2940">
        <f>SUMIFS($S$2:S2940,$A$2:A2940,A2940,$N$2:N2940,"Explore*")</f>
        <v/>
      </c>
      <c r="AB2940">
        <f>IF(AND(LEFT(N2940,7)="Explore",(AA2940-IF(LEFT(N2940,7)="Explore",S2940,0))&lt;10),"SI","NO")</f>
        <v/>
      </c>
    </row>
    <row r="2941">
      <c r="A2941" t="inlineStr">
        <is>
          <t>c7m5_test</t>
        </is>
      </c>
      <c r="B2941" t="inlineStr">
        <is>
          <t>2026-06-17 17:12:38.848</t>
        </is>
      </c>
      <c r="C2941" t="n">
        <v/>
      </c>
      <c r="D2941" t="inlineStr">
        <is>
          <t>Media file</t>
        </is>
      </c>
      <c r="E2941" t="inlineStr">
        <is>
          <t>player #1:C:/Users/manuel.felline/Documents/BEHAVIOR BTBR/NOR second cohort/BTBR/test/c7_m5.mp4</t>
        </is>
      </c>
      <c r="F2941" t="n">
        <v>-10.967</v>
      </c>
      <c r="G2941" t="n">
        <v>576.6660000000001</v>
      </c>
      <c r="H2941" t="n">
        <v>645.433</v>
      </c>
      <c r="I2941" t="n">
        <v>30</v>
      </c>
      <c r="J2941" t="inlineStr">
        <is>
          <t>BTBR</t>
        </is>
      </c>
      <c r="K2941" t="inlineStr">
        <is>
          <t>Male</t>
        </is>
      </c>
      <c r="L2941" t="inlineStr">
        <is>
          <t>No focal subject</t>
        </is>
      </c>
      <c r="M2941" t="n">
        <v>62.77</v>
      </c>
      <c r="N2941" t="inlineStr">
        <is>
          <t>Explore_F</t>
        </is>
      </c>
      <c r="O2941" t="inlineStr">
        <is>
          <t>Familiar</t>
        </is>
      </c>
      <c r="P2941" t="inlineStr">
        <is>
          <t>STATE</t>
        </is>
      </c>
      <c r="Q2941" t="n">
        <v>526.932</v>
      </c>
      <c r="R2941" t="n">
        <v>527.432</v>
      </c>
      <c r="S2941" t="n">
        <v>0.5</v>
      </c>
      <c r="T2941" t="inlineStr">
        <is>
          <t>C:/Users/manuel.felline/Documents/BEHAVIOR BTBR/NOR second cohort/BTBR/test/c7_m5.mp4</t>
        </is>
      </c>
      <c r="U2941" t="n">
        <v>16095</v>
      </c>
      <c r="V2941" t="n">
        <v>16110</v>
      </c>
      <c r="W2941" t="n">
        <v/>
      </c>
      <c r="X2941" t="n">
        <v/>
      </c>
      <c r="Y2941" t="n">
        <v/>
      </c>
      <c r="Z2941" t="n">
        <v/>
      </c>
      <c r="AA2941">
        <f>SUMIFS($S$2:S2941,$A$2:A2941,A2941,$N$2:N2941,"Explore*")</f>
        <v/>
      </c>
      <c r="AB2941">
        <f>IF(AND(LEFT(N2941,7)="Explore",(AA2941-IF(LEFT(N2941,7)="Explore",S2941,0))&lt;10),"SI","NO")</f>
        <v/>
      </c>
    </row>
    <row r="2942">
      <c r="A2942" t="inlineStr">
        <is>
          <t>c7m5_test</t>
        </is>
      </c>
      <c r="B2942" t="inlineStr">
        <is>
          <t>2026-06-17 17:12:38.848</t>
        </is>
      </c>
      <c r="C2942" t="n">
        <v/>
      </c>
      <c r="D2942" t="inlineStr">
        <is>
          <t>Media file</t>
        </is>
      </c>
      <c r="E2942" t="inlineStr">
        <is>
          <t>player #1:C:/Users/manuel.felline/Documents/BEHAVIOR BTBR/NOR second cohort/BTBR/test/c7_m5.mp4</t>
        </is>
      </c>
      <c r="F2942" t="n">
        <v>-10.967</v>
      </c>
      <c r="G2942" t="n">
        <v>576.6660000000001</v>
      </c>
      <c r="H2942" t="n">
        <v>645.433</v>
      </c>
      <c r="I2942" t="n">
        <v>30</v>
      </c>
      <c r="J2942" t="inlineStr">
        <is>
          <t>BTBR</t>
        </is>
      </c>
      <c r="K2942" t="inlineStr">
        <is>
          <t>Male</t>
        </is>
      </c>
      <c r="L2942" t="inlineStr">
        <is>
          <t>No focal subject</t>
        </is>
      </c>
      <c r="M2942" t="n">
        <v>62.77</v>
      </c>
      <c r="N2942" t="inlineStr">
        <is>
          <t>Explore_F</t>
        </is>
      </c>
      <c r="O2942" t="inlineStr">
        <is>
          <t>Familiar</t>
        </is>
      </c>
      <c r="P2942" t="inlineStr">
        <is>
          <t>STATE</t>
        </is>
      </c>
      <c r="Q2942" t="n">
        <v>561.599</v>
      </c>
      <c r="R2942" t="n">
        <v>562.066</v>
      </c>
      <c r="S2942" t="n">
        <v>0.467</v>
      </c>
      <c r="T2942" t="inlineStr">
        <is>
          <t>C:/Users/manuel.felline/Documents/BEHAVIOR BTBR/NOR second cohort/BTBR/test/c7_m5.mp4</t>
        </is>
      </c>
      <c r="U2942" t="n">
        <v>17132</v>
      </c>
      <c r="V2942" t="n">
        <v>17146</v>
      </c>
      <c r="W2942" t="n">
        <v/>
      </c>
      <c r="X2942" t="n">
        <v/>
      </c>
      <c r="Y2942" t="n">
        <v/>
      </c>
      <c r="Z2942" t="n">
        <v/>
      </c>
      <c r="AA2942">
        <f>SUMIFS($S$2:S2942,$A$2:A2942,A2942,$N$2:N2942,"Explore*")</f>
        <v/>
      </c>
      <c r="AB2942">
        <f>IF(AND(LEFT(N2942,7)="Explore",(AA2942-IF(LEFT(N2942,7)="Explore",S2942,0))&lt;10),"SI","NO")</f>
        <v/>
      </c>
    </row>
    <row r="2943">
      <c r="A2943" t="inlineStr">
        <is>
          <t>c7m5_test</t>
        </is>
      </c>
      <c r="B2943" t="inlineStr">
        <is>
          <t>2026-06-17 17:12:38.848</t>
        </is>
      </c>
      <c r="C2943" t="n">
        <v/>
      </c>
      <c r="D2943" t="inlineStr">
        <is>
          <t>Media file</t>
        </is>
      </c>
      <c r="E2943" t="inlineStr">
        <is>
          <t>player #1:C:/Users/manuel.felline/Documents/BEHAVIOR BTBR/NOR second cohort/BTBR/test/c7_m5.mp4</t>
        </is>
      </c>
      <c r="F2943" t="n">
        <v>-10.967</v>
      </c>
      <c r="G2943" t="n">
        <v>576.6660000000001</v>
      </c>
      <c r="H2943" t="n">
        <v>645.433</v>
      </c>
      <c r="I2943" t="n">
        <v>30</v>
      </c>
      <c r="J2943" t="inlineStr">
        <is>
          <t>BTBR</t>
        </is>
      </c>
      <c r="K2943" t="inlineStr">
        <is>
          <t>Male</t>
        </is>
      </c>
      <c r="L2943" t="inlineStr">
        <is>
          <t>No focal subject</t>
        </is>
      </c>
      <c r="M2943" t="n">
        <v>62.77</v>
      </c>
      <c r="N2943" t="inlineStr">
        <is>
          <t>Explore_F</t>
        </is>
      </c>
      <c r="O2943" t="inlineStr">
        <is>
          <t>Familiar</t>
        </is>
      </c>
      <c r="P2943" t="inlineStr">
        <is>
          <t>STATE</t>
        </is>
      </c>
      <c r="Q2943" t="n">
        <v>578.1319999999999</v>
      </c>
      <c r="R2943" t="n">
        <v>578.832</v>
      </c>
      <c r="S2943" t="n">
        <v>0.7</v>
      </c>
      <c r="T2943" t="inlineStr">
        <is>
          <t>C:/Users/manuel.felline/Documents/BEHAVIOR BTBR/NOR second cohort/BTBR/test/c7_m5.mp4</t>
        </is>
      </c>
      <c r="U2943" t="n">
        <v>17627</v>
      </c>
      <c r="V2943" t="n">
        <v>17648</v>
      </c>
      <c r="W2943" t="n">
        <v/>
      </c>
      <c r="X2943" t="n">
        <v/>
      </c>
      <c r="Y2943" t="n">
        <v/>
      </c>
      <c r="Z2943" t="n">
        <v/>
      </c>
      <c r="AA2943">
        <f>SUMIFS($S$2:S2943,$A$2:A2943,A2943,$N$2:N2943,"Explore*")</f>
        <v/>
      </c>
      <c r="AB2943">
        <f>IF(AND(LEFT(N2943,7)="Explore",(AA2943-IF(LEFT(N2943,7)="Explore",S2943,0))&lt;10),"SI","NO")</f>
        <v/>
      </c>
    </row>
    <row r="2944">
      <c r="A2944" t="inlineStr">
        <is>
          <t>c7m6_test</t>
        </is>
      </c>
      <c r="B2944" t="inlineStr">
        <is>
          <t>2026-06-18 11:12:30.011</t>
        </is>
      </c>
      <c r="C2944" t="n">
        <v/>
      </c>
      <c r="D2944" t="inlineStr">
        <is>
          <t>Media file</t>
        </is>
      </c>
      <c r="E2944" t="inlineStr">
        <is>
          <t>player #1:C:/Users/manuel.felline/Documents/BEHAVIOR BTBR/NOR second cohort/BTBR/test/c7_m6.mp4</t>
        </is>
      </c>
      <c r="F2944" t="n">
        <v>-18.4</v>
      </c>
      <c r="G2944" t="n">
        <v>569.499</v>
      </c>
      <c r="H2944" t="n">
        <v>649.133</v>
      </c>
      <c r="I2944" t="n">
        <v>30</v>
      </c>
      <c r="J2944" t="inlineStr">
        <is>
          <t>BTBR</t>
        </is>
      </c>
      <c r="K2944" t="inlineStr">
        <is>
          <t>Male</t>
        </is>
      </c>
      <c r="L2944" t="inlineStr">
        <is>
          <t>No focal subject</t>
        </is>
      </c>
      <c r="M2944" t="n">
        <v>71.404</v>
      </c>
      <c r="N2944" t="inlineStr">
        <is>
          <t>Explore_F</t>
        </is>
      </c>
      <c r="O2944" t="inlineStr">
        <is>
          <t>Familiar</t>
        </is>
      </c>
      <c r="P2944" t="inlineStr">
        <is>
          <t>STATE</t>
        </is>
      </c>
      <c r="Q2944" t="n">
        <v>7.567</v>
      </c>
      <c r="R2944" t="n">
        <v>9.233000000000001</v>
      </c>
      <c r="S2944" t="n">
        <v>1.666</v>
      </c>
      <c r="T2944" t="inlineStr">
        <is>
          <t>C:/Users/manuel.felline/Documents/BEHAVIOR BTBR/NOR second cohort/BTBR/test/c7_m6.mp4</t>
        </is>
      </c>
      <c r="U2944" t="n">
        <v>778</v>
      </c>
      <c r="V2944" t="n">
        <v>827</v>
      </c>
      <c r="W2944" t="n">
        <v/>
      </c>
      <c r="X2944" t="n">
        <v/>
      </c>
      <c r="Y2944" t="n">
        <v/>
      </c>
      <c r="Z2944" t="n">
        <v/>
      </c>
      <c r="AA2944">
        <f>SUMIFS($S$2:S2944,$A$2:A2944,A2944,$N$2:N2944,"Explore*")</f>
        <v/>
      </c>
      <c r="AB2944">
        <f>IF(AND(LEFT(N2944,7)="Explore",(AA2944-IF(LEFT(N2944,7)="Explore",S2944,0))&lt;10),"SI","NO")</f>
        <v/>
      </c>
    </row>
    <row r="2945">
      <c r="A2945" t="inlineStr">
        <is>
          <t>c7m6_test</t>
        </is>
      </c>
      <c r="B2945" t="inlineStr">
        <is>
          <t>2026-06-18 11:12:30.011</t>
        </is>
      </c>
      <c r="C2945" t="n">
        <v/>
      </c>
      <c r="D2945" t="inlineStr">
        <is>
          <t>Media file</t>
        </is>
      </c>
      <c r="E2945" t="inlineStr">
        <is>
          <t>player #1:C:/Users/manuel.felline/Documents/BEHAVIOR BTBR/NOR second cohort/BTBR/test/c7_m6.mp4</t>
        </is>
      </c>
      <c r="F2945" t="n">
        <v>-18.4</v>
      </c>
      <c r="G2945" t="n">
        <v>569.499</v>
      </c>
      <c r="H2945" t="n">
        <v>649.133</v>
      </c>
      <c r="I2945" t="n">
        <v>30</v>
      </c>
      <c r="J2945" t="inlineStr">
        <is>
          <t>BTBR</t>
        </is>
      </c>
      <c r="K2945" t="inlineStr">
        <is>
          <t>Male</t>
        </is>
      </c>
      <c r="L2945" t="inlineStr">
        <is>
          <t>No focal subject</t>
        </is>
      </c>
      <c r="M2945" t="n">
        <v>71.404</v>
      </c>
      <c r="N2945" t="inlineStr">
        <is>
          <t>Explore_N</t>
        </is>
      </c>
      <c r="O2945" t="inlineStr">
        <is>
          <t>Novelty</t>
        </is>
      </c>
      <c r="P2945" t="inlineStr">
        <is>
          <t>STATE</t>
        </is>
      </c>
      <c r="Q2945" t="n">
        <v>22.667</v>
      </c>
      <c r="R2945" t="n">
        <v>23.7</v>
      </c>
      <c r="S2945" t="n">
        <v>1.033</v>
      </c>
      <c r="T2945" t="inlineStr">
        <is>
          <t>C:/Users/manuel.felline/Documents/BEHAVIOR BTBR/NOR second cohort/BTBR/test/c7_m6.mp4</t>
        </is>
      </c>
      <c r="U2945" t="n">
        <v>1230</v>
      </c>
      <c r="V2945" t="n">
        <v>1261</v>
      </c>
      <c r="W2945" t="n">
        <v/>
      </c>
      <c r="X2945" t="n">
        <v/>
      </c>
      <c r="Y2945" t="n">
        <v/>
      </c>
      <c r="Z2945" t="n">
        <v/>
      </c>
      <c r="AA2945">
        <f>SUMIFS($S$2:S2945,$A$2:A2945,A2945,$N$2:N2945,"Explore*")</f>
        <v/>
      </c>
      <c r="AB2945">
        <f>IF(AND(LEFT(N2945,7)="Explore",(AA2945-IF(LEFT(N2945,7)="Explore",S2945,0))&lt;10),"SI","NO")</f>
        <v/>
      </c>
    </row>
    <row r="2946">
      <c r="A2946" t="inlineStr">
        <is>
          <t>c7m6_test</t>
        </is>
      </c>
      <c r="B2946" t="inlineStr">
        <is>
          <t>2026-06-18 11:12:30.011</t>
        </is>
      </c>
      <c r="C2946" t="n">
        <v/>
      </c>
      <c r="D2946" t="inlineStr">
        <is>
          <t>Media file</t>
        </is>
      </c>
      <c r="E2946" t="inlineStr">
        <is>
          <t>player #1:C:/Users/manuel.felline/Documents/BEHAVIOR BTBR/NOR second cohort/BTBR/test/c7_m6.mp4</t>
        </is>
      </c>
      <c r="F2946" t="n">
        <v>-18.4</v>
      </c>
      <c r="G2946" t="n">
        <v>569.499</v>
      </c>
      <c r="H2946" t="n">
        <v>649.133</v>
      </c>
      <c r="I2946" t="n">
        <v>30</v>
      </c>
      <c r="J2946" t="inlineStr">
        <is>
          <t>BTBR</t>
        </is>
      </c>
      <c r="K2946" t="inlineStr">
        <is>
          <t>Male</t>
        </is>
      </c>
      <c r="L2946" t="inlineStr">
        <is>
          <t>No focal subject</t>
        </is>
      </c>
      <c r="M2946" t="n">
        <v>71.404</v>
      </c>
      <c r="N2946" t="inlineStr">
        <is>
          <t>Explore_N</t>
        </is>
      </c>
      <c r="O2946" t="inlineStr">
        <is>
          <t>Novelty</t>
        </is>
      </c>
      <c r="P2946" t="inlineStr">
        <is>
          <t>STATE</t>
        </is>
      </c>
      <c r="Q2946" t="n">
        <v>26.067</v>
      </c>
      <c r="R2946" t="n">
        <v>27.167</v>
      </c>
      <c r="S2946" t="n">
        <v>1.1</v>
      </c>
      <c r="T2946" t="inlineStr">
        <is>
          <t>C:/Users/manuel.felline/Documents/BEHAVIOR BTBR/NOR second cohort/BTBR/test/c7_m6.mp4</t>
        </is>
      </c>
      <c r="U2946" t="n">
        <v>1331</v>
      </c>
      <c r="V2946" t="n">
        <v>1364</v>
      </c>
      <c r="W2946" t="n">
        <v/>
      </c>
      <c r="X2946" t="n">
        <v/>
      </c>
      <c r="Y2946" t="n">
        <v/>
      </c>
      <c r="Z2946" t="n">
        <v/>
      </c>
      <c r="AA2946">
        <f>SUMIFS($S$2:S2946,$A$2:A2946,A2946,$N$2:N2946,"Explore*")</f>
        <v/>
      </c>
      <c r="AB2946">
        <f>IF(AND(LEFT(N2946,7)="Explore",(AA2946-IF(LEFT(N2946,7)="Explore",S2946,0))&lt;10),"SI","NO")</f>
        <v/>
      </c>
    </row>
    <row r="2947">
      <c r="A2947" t="inlineStr">
        <is>
          <t>c7m6_test</t>
        </is>
      </c>
      <c r="B2947" t="inlineStr">
        <is>
          <t>2026-06-18 11:12:30.011</t>
        </is>
      </c>
      <c r="C2947" t="n">
        <v/>
      </c>
      <c r="D2947" t="inlineStr">
        <is>
          <t>Media file</t>
        </is>
      </c>
      <c r="E2947" t="inlineStr">
        <is>
          <t>player #1:C:/Users/manuel.felline/Documents/BEHAVIOR BTBR/NOR second cohort/BTBR/test/c7_m6.mp4</t>
        </is>
      </c>
      <c r="F2947" t="n">
        <v>-18.4</v>
      </c>
      <c r="G2947" t="n">
        <v>569.499</v>
      </c>
      <c r="H2947" t="n">
        <v>649.133</v>
      </c>
      <c r="I2947" t="n">
        <v>30</v>
      </c>
      <c r="J2947" t="inlineStr">
        <is>
          <t>BTBR</t>
        </is>
      </c>
      <c r="K2947" t="inlineStr">
        <is>
          <t>Male</t>
        </is>
      </c>
      <c r="L2947" t="inlineStr">
        <is>
          <t>No focal subject</t>
        </is>
      </c>
      <c r="M2947" t="n">
        <v>71.404</v>
      </c>
      <c r="N2947" t="inlineStr">
        <is>
          <t>Explore_F</t>
        </is>
      </c>
      <c r="O2947" t="inlineStr">
        <is>
          <t>Familiar</t>
        </is>
      </c>
      <c r="P2947" t="inlineStr">
        <is>
          <t>STATE</t>
        </is>
      </c>
      <c r="Q2947" t="n">
        <v>28.133</v>
      </c>
      <c r="R2947" t="n">
        <v>28.633</v>
      </c>
      <c r="S2947" t="n">
        <v>0.5</v>
      </c>
      <c r="T2947" t="inlineStr">
        <is>
          <t>C:/Users/manuel.felline/Documents/BEHAVIOR BTBR/NOR second cohort/BTBR/test/c7_m6.mp4</t>
        </is>
      </c>
      <c r="U2947" t="n">
        <v>1393</v>
      </c>
      <c r="V2947" t="n">
        <v>1408</v>
      </c>
      <c r="W2947" t="n">
        <v/>
      </c>
      <c r="X2947" t="n">
        <v/>
      </c>
      <c r="Y2947" t="n">
        <v/>
      </c>
      <c r="Z2947" t="n">
        <v/>
      </c>
      <c r="AA2947">
        <f>SUMIFS($S$2:S2947,$A$2:A2947,A2947,$N$2:N2947,"Explore*")</f>
        <v/>
      </c>
      <c r="AB2947">
        <f>IF(AND(LEFT(N2947,7)="Explore",(AA2947-IF(LEFT(N2947,7)="Explore",S2947,0))&lt;10),"SI","NO")</f>
        <v/>
      </c>
    </row>
    <row r="2948">
      <c r="A2948" t="inlineStr">
        <is>
          <t>c7m6_test</t>
        </is>
      </c>
      <c r="B2948" t="inlineStr">
        <is>
          <t>2026-06-18 11:12:30.011</t>
        </is>
      </c>
      <c r="C2948" t="n">
        <v/>
      </c>
      <c r="D2948" t="inlineStr">
        <is>
          <t>Media file</t>
        </is>
      </c>
      <c r="E2948" t="inlineStr">
        <is>
          <t>player #1:C:/Users/manuel.felline/Documents/BEHAVIOR BTBR/NOR second cohort/BTBR/test/c7_m6.mp4</t>
        </is>
      </c>
      <c r="F2948" t="n">
        <v>-18.4</v>
      </c>
      <c r="G2948" t="n">
        <v>569.499</v>
      </c>
      <c r="H2948" t="n">
        <v>649.133</v>
      </c>
      <c r="I2948" t="n">
        <v>30</v>
      </c>
      <c r="J2948" t="inlineStr">
        <is>
          <t>BTBR</t>
        </is>
      </c>
      <c r="K2948" t="inlineStr">
        <is>
          <t>Male</t>
        </is>
      </c>
      <c r="L2948" t="inlineStr">
        <is>
          <t>No focal subject</t>
        </is>
      </c>
      <c r="M2948" t="n">
        <v>71.404</v>
      </c>
      <c r="N2948" t="inlineStr">
        <is>
          <t>Explore_F</t>
        </is>
      </c>
      <c r="O2948" t="inlineStr">
        <is>
          <t>Familiar</t>
        </is>
      </c>
      <c r="P2948" t="inlineStr">
        <is>
          <t>STATE</t>
        </is>
      </c>
      <c r="Q2948" t="n">
        <v>37.4</v>
      </c>
      <c r="R2948" t="n">
        <v>38.2</v>
      </c>
      <c r="S2948" t="n">
        <v>0.8</v>
      </c>
      <c r="T2948" t="inlineStr">
        <is>
          <t>C:/Users/manuel.felline/Documents/BEHAVIOR BTBR/NOR second cohort/BTBR/test/c7_m6.mp4</t>
        </is>
      </c>
      <c r="U2948" t="n">
        <v>1671</v>
      </c>
      <c r="V2948" t="n">
        <v>1695</v>
      </c>
      <c r="W2948" t="n">
        <v/>
      </c>
      <c r="X2948" t="n">
        <v/>
      </c>
      <c r="Y2948" t="n">
        <v/>
      </c>
      <c r="Z2948" t="n">
        <v/>
      </c>
      <c r="AA2948">
        <f>SUMIFS($S$2:S2948,$A$2:A2948,A2948,$N$2:N2948,"Explore*")</f>
        <v/>
      </c>
      <c r="AB2948">
        <f>IF(AND(LEFT(N2948,7)="Explore",(AA2948-IF(LEFT(N2948,7)="Explore",S2948,0))&lt;10),"SI","NO")</f>
        <v/>
      </c>
    </row>
    <row r="2949">
      <c r="A2949" t="inlineStr">
        <is>
          <t>c7m6_test</t>
        </is>
      </c>
      <c r="B2949" t="inlineStr">
        <is>
          <t>2026-06-18 11:12:30.011</t>
        </is>
      </c>
      <c r="C2949" t="n">
        <v/>
      </c>
      <c r="D2949" t="inlineStr">
        <is>
          <t>Media file</t>
        </is>
      </c>
      <c r="E2949" t="inlineStr">
        <is>
          <t>player #1:C:/Users/manuel.felline/Documents/BEHAVIOR BTBR/NOR second cohort/BTBR/test/c7_m6.mp4</t>
        </is>
      </c>
      <c r="F2949" t="n">
        <v>-18.4</v>
      </c>
      <c r="G2949" t="n">
        <v>569.499</v>
      </c>
      <c r="H2949" t="n">
        <v>649.133</v>
      </c>
      <c r="I2949" t="n">
        <v>30</v>
      </c>
      <c r="J2949" t="inlineStr">
        <is>
          <t>BTBR</t>
        </is>
      </c>
      <c r="K2949" t="inlineStr">
        <is>
          <t>Male</t>
        </is>
      </c>
      <c r="L2949" t="inlineStr">
        <is>
          <t>No focal subject</t>
        </is>
      </c>
      <c r="M2949" t="n">
        <v>71.404</v>
      </c>
      <c r="N2949" t="inlineStr">
        <is>
          <t>Explore_F</t>
        </is>
      </c>
      <c r="O2949" t="inlineStr">
        <is>
          <t>Familiar</t>
        </is>
      </c>
      <c r="P2949" t="inlineStr">
        <is>
          <t>STATE</t>
        </is>
      </c>
      <c r="Q2949" t="n">
        <v>40.4</v>
      </c>
      <c r="R2949" t="n">
        <v>40.833</v>
      </c>
      <c r="S2949" t="n">
        <v>0.433</v>
      </c>
      <c r="T2949" t="inlineStr">
        <is>
          <t>C:/Users/manuel.felline/Documents/BEHAVIOR BTBR/NOR second cohort/BTBR/test/c7_m6.mp4</t>
        </is>
      </c>
      <c r="U2949" t="n">
        <v>1761</v>
      </c>
      <c r="V2949" t="n">
        <v>1774</v>
      </c>
      <c r="W2949" t="n">
        <v/>
      </c>
      <c r="X2949" t="n">
        <v/>
      </c>
      <c r="Y2949" t="n">
        <v/>
      </c>
      <c r="Z2949" t="n">
        <v/>
      </c>
      <c r="AA2949">
        <f>SUMIFS($S$2:S2949,$A$2:A2949,A2949,$N$2:N2949,"Explore*")</f>
        <v/>
      </c>
      <c r="AB2949">
        <f>IF(AND(LEFT(N2949,7)="Explore",(AA2949-IF(LEFT(N2949,7)="Explore",S2949,0))&lt;10),"SI","NO")</f>
        <v/>
      </c>
    </row>
    <row r="2950">
      <c r="A2950" t="inlineStr">
        <is>
          <t>c7m6_test</t>
        </is>
      </c>
      <c r="B2950" t="inlineStr">
        <is>
          <t>2026-06-18 11:12:30.011</t>
        </is>
      </c>
      <c r="C2950" t="n">
        <v/>
      </c>
      <c r="D2950" t="inlineStr">
        <is>
          <t>Media file</t>
        </is>
      </c>
      <c r="E2950" t="inlineStr">
        <is>
          <t>player #1:C:/Users/manuel.felline/Documents/BEHAVIOR BTBR/NOR second cohort/BTBR/test/c7_m6.mp4</t>
        </is>
      </c>
      <c r="F2950" t="n">
        <v>-18.4</v>
      </c>
      <c r="G2950" t="n">
        <v>569.499</v>
      </c>
      <c r="H2950" t="n">
        <v>649.133</v>
      </c>
      <c r="I2950" t="n">
        <v>30</v>
      </c>
      <c r="J2950" t="inlineStr">
        <is>
          <t>BTBR</t>
        </is>
      </c>
      <c r="K2950" t="inlineStr">
        <is>
          <t>Male</t>
        </is>
      </c>
      <c r="L2950" t="inlineStr">
        <is>
          <t>No focal subject</t>
        </is>
      </c>
      <c r="M2950" t="n">
        <v>71.404</v>
      </c>
      <c r="N2950" t="inlineStr">
        <is>
          <t>Explore_N</t>
        </is>
      </c>
      <c r="O2950" t="inlineStr">
        <is>
          <t>Novelty</t>
        </is>
      </c>
      <c r="P2950" t="inlineStr">
        <is>
          <t>STATE</t>
        </is>
      </c>
      <c r="Q2950" t="n">
        <v>44</v>
      </c>
      <c r="R2950" t="n">
        <v>46.167</v>
      </c>
      <c r="S2950" t="n">
        <v>2.167</v>
      </c>
      <c r="T2950" t="inlineStr">
        <is>
          <t>C:/Users/manuel.felline/Documents/BEHAVIOR BTBR/NOR second cohort/BTBR/test/c7_m6.mp4</t>
        </is>
      </c>
      <c r="U2950" t="n">
        <v>1868</v>
      </c>
      <c r="V2950" t="n">
        <v>1933</v>
      </c>
      <c r="W2950" t="n">
        <v/>
      </c>
      <c r="X2950" t="n">
        <v/>
      </c>
      <c r="Y2950" t="n">
        <v/>
      </c>
      <c r="Z2950" t="n">
        <v/>
      </c>
      <c r="AA2950">
        <f>SUMIFS($S$2:S2950,$A$2:A2950,A2950,$N$2:N2950,"Explore*")</f>
        <v/>
      </c>
      <c r="AB2950">
        <f>IF(AND(LEFT(N2950,7)="Explore",(AA2950-IF(LEFT(N2950,7)="Explore",S2950,0))&lt;10),"SI","NO")</f>
        <v/>
      </c>
    </row>
    <row r="2951">
      <c r="A2951" t="inlineStr">
        <is>
          <t>c7m6_test</t>
        </is>
      </c>
      <c r="B2951" t="inlineStr">
        <is>
          <t>2026-06-18 11:12:30.011</t>
        </is>
      </c>
      <c r="C2951" t="n">
        <v/>
      </c>
      <c r="D2951" t="inlineStr">
        <is>
          <t>Media file</t>
        </is>
      </c>
      <c r="E2951" t="inlineStr">
        <is>
          <t>player #1:C:/Users/manuel.felline/Documents/BEHAVIOR BTBR/NOR second cohort/BTBR/test/c7_m6.mp4</t>
        </is>
      </c>
      <c r="F2951" t="n">
        <v>-18.4</v>
      </c>
      <c r="G2951" t="n">
        <v>569.499</v>
      </c>
      <c r="H2951" t="n">
        <v>649.133</v>
      </c>
      <c r="I2951" t="n">
        <v>30</v>
      </c>
      <c r="J2951" t="inlineStr">
        <is>
          <t>BTBR</t>
        </is>
      </c>
      <c r="K2951" t="inlineStr">
        <is>
          <t>Male</t>
        </is>
      </c>
      <c r="L2951" t="inlineStr">
        <is>
          <t>No focal subject</t>
        </is>
      </c>
      <c r="M2951" t="n">
        <v>71.404</v>
      </c>
      <c r="N2951" t="inlineStr">
        <is>
          <t>Explore_F</t>
        </is>
      </c>
      <c r="O2951" t="inlineStr">
        <is>
          <t>Familiar</t>
        </is>
      </c>
      <c r="P2951" t="inlineStr">
        <is>
          <t>STATE</t>
        </is>
      </c>
      <c r="Q2951" t="n">
        <v>49.833</v>
      </c>
      <c r="R2951" t="n">
        <v>50.2</v>
      </c>
      <c r="S2951" t="n">
        <v>0.367</v>
      </c>
      <c r="T2951" t="inlineStr">
        <is>
          <t>C:/Users/manuel.felline/Documents/BEHAVIOR BTBR/NOR second cohort/BTBR/test/c7_m6.mp4</t>
        </is>
      </c>
      <c r="U2951" t="n">
        <v>2043</v>
      </c>
      <c r="V2951" t="n">
        <v>2054</v>
      </c>
      <c r="W2951" t="n">
        <v/>
      </c>
      <c r="X2951" t="n">
        <v/>
      </c>
      <c r="Y2951" t="n">
        <v/>
      </c>
      <c r="Z2951" t="n">
        <v/>
      </c>
      <c r="AA2951">
        <f>SUMIFS($S$2:S2951,$A$2:A2951,A2951,$N$2:N2951,"Explore*")</f>
        <v/>
      </c>
      <c r="AB2951">
        <f>IF(AND(LEFT(N2951,7)="Explore",(AA2951-IF(LEFT(N2951,7)="Explore",S2951,0))&lt;10),"SI","NO")</f>
        <v/>
      </c>
    </row>
    <row r="2952">
      <c r="A2952" t="inlineStr">
        <is>
          <t>c7m6_test</t>
        </is>
      </c>
      <c r="B2952" t="inlineStr">
        <is>
          <t>2026-06-18 11:12:30.011</t>
        </is>
      </c>
      <c r="C2952" t="n">
        <v/>
      </c>
      <c r="D2952" t="inlineStr">
        <is>
          <t>Media file</t>
        </is>
      </c>
      <c r="E2952" t="inlineStr">
        <is>
          <t>player #1:C:/Users/manuel.felline/Documents/BEHAVIOR BTBR/NOR second cohort/BTBR/test/c7_m6.mp4</t>
        </is>
      </c>
      <c r="F2952" t="n">
        <v>-18.4</v>
      </c>
      <c r="G2952" t="n">
        <v>569.499</v>
      </c>
      <c r="H2952" t="n">
        <v>649.133</v>
      </c>
      <c r="I2952" t="n">
        <v>30</v>
      </c>
      <c r="J2952" t="inlineStr">
        <is>
          <t>BTBR</t>
        </is>
      </c>
      <c r="K2952" t="inlineStr">
        <is>
          <t>Male</t>
        </is>
      </c>
      <c r="L2952" t="inlineStr">
        <is>
          <t>No focal subject</t>
        </is>
      </c>
      <c r="M2952" t="n">
        <v>71.404</v>
      </c>
      <c r="N2952" t="inlineStr">
        <is>
          <t>Explore_F</t>
        </is>
      </c>
      <c r="O2952" t="inlineStr">
        <is>
          <t>Familiar</t>
        </is>
      </c>
      <c r="P2952" t="inlineStr">
        <is>
          <t>STATE</t>
        </is>
      </c>
      <c r="Q2952" t="n">
        <v>51.333</v>
      </c>
      <c r="R2952" t="n">
        <v>51.767</v>
      </c>
      <c r="S2952" t="n">
        <v>0.434</v>
      </c>
      <c r="T2952" t="inlineStr">
        <is>
          <t>C:/Users/manuel.felline/Documents/BEHAVIOR BTBR/NOR second cohort/BTBR/test/c7_m6.mp4</t>
        </is>
      </c>
      <c r="U2952" t="n">
        <v>2088</v>
      </c>
      <c r="V2952" t="n">
        <v>2101</v>
      </c>
      <c r="W2952" t="n">
        <v/>
      </c>
      <c r="X2952" t="n">
        <v/>
      </c>
      <c r="Y2952" t="n">
        <v/>
      </c>
      <c r="Z2952" t="n">
        <v/>
      </c>
      <c r="AA2952">
        <f>SUMIFS($S$2:S2952,$A$2:A2952,A2952,$N$2:N2952,"Explore*")</f>
        <v/>
      </c>
      <c r="AB2952">
        <f>IF(AND(LEFT(N2952,7)="Explore",(AA2952-IF(LEFT(N2952,7)="Explore",S2952,0))&lt;10),"SI","NO")</f>
        <v/>
      </c>
    </row>
    <row r="2953">
      <c r="A2953" t="inlineStr">
        <is>
          <t>c7m6_test</t>
        </is>
      </c>
      <c r="B2953" t="inlineStr">
        <is>
          <t>2026-06-18 11:12:30.011</t>
        </is>
      </c>
      <c r="C2953" t="n">
        <v/>
      </c>
      <c r="D2953" t="inlineStr">
        <is>
          <t>Media file</t>
        </is>
      </c>
      <c r="E2953" t="inlineStr">
        <is>
          <t>player #1:C:/Users/manuel.felline/Documents/BEHAVIOR BTBR/NOR second cohort/BTBR/test/c7_m6.mp4</t>
        </is>
      </c>
      <c r="F2953" t="n">
        <v>-18.4</v>
      </c>
      <c r="G2953" t="n">
        <v>569.499</v>
      </c>
      <c r="H2953" t="n">
        <v>649.133</v>
      </c>
      <c r="I2953" t="n">
        <v>30</v>
      </c>
      <c r="J2953" t="inlineStr">
        <is>
          <t>BTBR</t>
        </is>
      </c>
      <c r="K2953" t="inlineStr">
        <is>
          <t>Male</t>
        </is>
      </c>
      <c r="L2953" t="inlineStr">
        <is>
          <t>No focal subject</t>
        </is>
      </c>
      <c r="M2953" t="n">
        <v>71.404</v>
      </c>
      <c r="N2953" t="inlineStr">
        <is>
          <t>Explore_N</t>
        </is>
      </c>
      <c r="O2953" t="inlineStr">
        <is>
          <t>Novelty</t>
        </is>
      </c>
      <c r="P2953" t="inlineStr">
        <is>
          <t>STATE</t>
        </is>
      </c>
      <c r="Q2953" t="n">
        <v>56.267</v>
      </c>
      <c r="R2953" t="n">
        <v>57.767</v>
      </c>
      <c r="S2953" t="n">
        <v>1.5</v>
      </c>
      <c r="T2953" t="inlineStr">
        <is>
          <t>C:/Users/manuel.felline/Documents/BEHAVIOR BTBR/NOR second cohort/BTBR/test/c7_m6.mp4</t>
        </is>
      </c>
      <c r="U2953" t="n">
        <v>2236</v>
      </c>
      <c r="V2953" t="n">
        <v>2281</v>
      </c>
      <c r="W2953" t="n">
        <v/>
      </c>
      <c r="X2953" t="n">
        <v/>
      </c>
      <c r="Y2953" t="n">
        <v/>
      </c>
      <c r="Z2953" t="n">
        <v/>
      </c>
      <c r="AA2953">
        <f>SUMIFS($S$2:S2953,$A$2:A2953,A2953,$N$2:N2953,"Explore*")</f>
        <v/>
      </c>
      <c r="AB2953">
        <f>IF(AND(LEFT(N2953,7)="Explore",(AA2953-IF(LEFT(N2953,7)="Explore",S2953,0))&lt;10),"SI","NO")</f>
        <v/>
      </c>
    </row>
    <row r="2954">
      <c r="A2954" t="inlineStr">
        <is>
          <t>c7m6_test</t>
        </is>
      </c>
      <c r="B2954" t="inlineStr">
        <is>
          <t>2026-06-18 11:12:30.011</t>
        </is>
      </c>
      <c r="C2954" t="n">
        <v/>
      </c>
      <c r="D2954" t="inlineStr">
        <is>
          <t>Media file</t>
        </is>
      </c>
      <c r="E2954" t="inlineStr">
        <is>
          <t>player #1:C:/Users/manuel.felline/Documents/BEHAVIOR BTBR/NOR second cohort/BTBR/test/c7_m6.mp4</t>
        </is>
      </c>
      <c r="F2954" t="n">
        <v>-18.4</v>
      </c>
      <c r="G2954" t="n">
        <v>569.499</v>
      </c>
      <c r="H2954" t="n">
        <v>649.133</v>
      </c>
      <c r="I2954" t="n">
        <v>30</v>
      </c>
      <c r="J2954" t="inlineStr">
        <is>
          <t>BTBR</t>
        </is>
      </c>
      <c r="K2954" t="inlineStr">
        <is>
          <t>Male</t>
        </is>
      </c>
      <c r="L2954" t="inlineStr">
        <is>
          <t>No focal subject</t>
        </is>
      </c>
      <c r="M2954" t="n">
        <v>71.404</v>
      </c>
      <c r="N2954" t="inlineStr">
        <is>
          <t>Explore_F</t>
        </is>
      </c>
      <c r="O2954" t="inlineStr">
        <is>
          <t>Familiar</t>
        </is>
      </c>
      <c r="P2954" t="inlineStr">
        <is>
          <t>STATE</t>
        </is>
      </c>
      <c r="Q2954" t="n">
        <v>58.433</v>
      </c>
      <c r="R2954" t="n">
        <v>58.833</v>
      </c>
      <c r="S2954" t="n">
        <v>0.4</v>
      </c>
      <c r="T2954" t="inlineStr">
        <is>
          <t>C:/Users/manuel.felline/Documents/BEHAVIOR BTBR/NOR second cohort/BTBR/test/c7_m6.mp4</t>
        </is>
      </c>
      <c r="U2954" t="n">
        <v>2301</v>
      </c>
      <c r="V2954" t="n">
        <v>2313</v>
      </c>
      <c r="W2954" t="n">
        <v/>
      </c>
      <c r="X2954" t="n">
        <v/>
      </c>
      <c r="Y2954" t="n">
        <v/>
      </c>
      <c r="Z2954" t="n">
        <v/>
      </c>
      <c r="AA2954">
        <f>SUMIFS($S$2:S2954,$A$2:A2954,A2954,$N$2:N2954,"Explore*")</f>
        <v/>
      </c>
      <c r="AB2954">
        <f>IF(AND(LEFT(N2954,7)="Explore",(AA2954-IF(LEFT(N2954,7)="Explore",S2954,0))&lt;10),"SI","NO")</f>
        <v/>
      </c>
    </row>
    <row r="2955">
      <c r="A2955" t="inlineStr">
        <is>
          <t>c7m6_test</t>
        </is>
      </c>
      <c r="B2955" t="inlineStr">
        <is>
          <t>2026-06-18 11:12:30.011</t>
        </is>
      </c>
      <c r="C2955" t="n">
        <v/>
      </c>
      <c r="D2955" t="inlineStr">
        <is>
          <t>Media file</t>
        </is>
      </c>
      <c r="E2955" t="inlineStr">
        <is>
          <t>player #1:C:/Users/manuel.felline/Documents/BEHAVIOR BTBR/NOR second cohort/BTBR/test/c7_m6.mp4</t>
        </is>
      </c>
      <c r="F2955" t="n">
        <v>-18.4</v>
      </c>
      <c r="G2955" t="n">
        <v>569.499</v>
      </c>
      <c r="H2955" t="n">
        <v>649.133</v>
      </c>
      <c r="I2955" t="n">
        <v>30</v>
      </c>
      <c r="J2955" t="inlineStr">
        <is>
          <t>BTBR</t>
        </is>
      </c>
      <c r="K2955" t="inlineStr">
        <is>
          <t>Male</t>
        </is>
      </c>
      <c r="L2955" t="inlineStr">
        <is>
          <t>No focal subject</t>
        </is>
      </c>
      <c r="M2955" t="n">
        <v>71.404</v>
      </c>
      <c r="N2955" t="inlineStr">
        <is>
          <t>Explore_F</t>
        </is>
      </c>
      <c r="O2955" t="inlineStr">
        <is>
          <t>Familiar</t>
        </is>
      </c>
      <c r="P2955" t="inlineStr">
        <is>
          <t>STATE</t>
        </is>
      </c>
      <c r="Q2955" t="n">
        <v>69.833</v>
      </c>
      <c r="R2955" t="n">
        <v>70.167</v>
      </c>
      <c r="S2955" t="n">
        <v>0.334</v>
      </c>
      <c r="T2955" t="inlineStr">
        <is>
          <t>C:/Users/manuel.felline/Documents/BEHAVIOR BTBR/NOR second cohort/BTBR/test/c7_m6.mp4</t>
        </is>
      </c>
      <c r="U2955" t="n">
        <v>2642</v>
      </c>
      <c r="V2955" t="n">
        <v>2652</v>
      </c>
      <c r="W2955" t="n">
        <v/>
      </c>
      <c r="X2955" t="n">
        <v/>
      </c>
      <c r="Y2955" t="n">
        <v/>
      </c>
      <c r="Z2955" t="n">
        <v/>
      </c>
      <c r="AA2955">
        <f>SUMIFS($S$2:S2955,$A$2:A2955,A2955,$N$2:N2955,"Explore*")</f>
        <v/>
      </c>
      <c r="AB2955">
        <f>IF(AND(LEFT(N2955,7)="Explore",(AA2955-IF(LEFT(N2955,7)="Explore",S2955,0))&lt;10),"SI","NO")</f>
        <v/>
      </c>
    </row>
    <row r="2956">
      <c r="A2956" t="inlineStr">
        <is>
          <t>c7m6_test</t>
        </is>
      </c>
      <c r="B2956" t="inlineStr">
        <is>
          <t>2026-06-18 11:12:30.011</t>
        </is>
      </c>
      <c r="C2956" t="n">
        <v/>
      </c>
      <c r="D2956" t="inlineStr">
        <is>
          <t>Media file</t>
        </is>
      </c>
      <c r="E2956" t="inlineStr">
        <is>
          <t>player #1:C:/Users/manuel.felline/Documents/BEHAVIOR BTBR/NOR second cohort/BTBR/test/c7_m6.mp4</t>
        </is>
      </c>
      <c r="F2956" t="n">
        <v>-18.4</v>
      </c>
      <c r="G2956" t="n">
        <v>569.499</v>
      </c>
      <c r="H2956" t="n">
        <v>649.133</v>
      </c>
      <c r="I2956" t="n">
        <v>30</v>
      </c>
      <c r="J2956" t="inlineStr">
        <is>
          <t>BTBR</t>
        </is>
      </c>
      <c r="K2956" t="inlineStr">
        <is>
          <t>Male</t>
        </is>
      </c>
      <c r="L2956" t="inlineStr">
        <is>
          <t>No focal subject</t>
        </is>
      </c>
      <c r="M2956" t="n">
        <v>71.404</v>
      </c>
      <c r="N2956" t="inlineStr">
        <is>
          <t>Explore_N</t>
        </is>
      </c>
      <c r="O2956" t="inlineStr">
        <is>
          <t>Novelty</t>
        </is>
      </c>
      <c r="P2956" t="inlineStr">
        <is>
          <t>STATE</t>
        </is>
      </c>
      <c r="Q2956" t="n">
        <v>78.833</v>
      </c>
      <c r="R2956" t="n">
        <v>79.767</v>
      </c>
      <c r="S2956" t="n">
        <v>0.9340000000000001</v>
      </c>
      <c r="T2956" t="inlineStr">
        <is>
          <t>C:/Users/manuel.felline/Documents/BEHAVIOR BTBR/NOR second cohort/BTBR/test/c7_m6.mp4</t>
        </is>
      </c>
      <c r="U2956" t="n">
        <v>2912</v>
      </c>
      <c r="V2956" t="n">
        <v>2939</v>
      </c>
      <c r="W2956" t="n">
        <v/>
      </c>
      <c r="X2956" t="n">
        <v/>
      </c>
      <c r="Y2956" t="n">
        <v/>
      </c>
      <c r="Z2956" t="n">
        <v/>
      </c>
      <c r="AA2956">
        <f>SUMIFS($S$2:S2956,$A$2:A2956,A2956,$N$2:N2956,"Explore*")</f>
        <v/>
      </c>
      <c r="AB2956">
        <f>IF(AND(LEFT(N2956,7)="Explore",(AA2956-IF(LEFT(N2956,7)="Explore",S2956,0))&lt;10),"SI","NO")</f>
        <v/>
      </c>
    </row>
    <row r="2957">
      <c r="A2957" t="inlineStr">
        <is>
          <t>c7m6_test</t>
        </is>
      </c>
      <c r="B2957" t="inlineStr">
        <is>
          <t>2026-06-18 11:12:30.011</t>
        </is>
      </c>
      <c r="C2957" t="n">
        <v/>
      </c>
      <c r="D2957" t="inlineStr">
        <is>
          <t>Media file</t>
        </is>
      </c>
      <c r="E2957" t="inlineStr">
        <is>
          <t>player #1:C:/Users/manuel.felline/Documents/BEHAVIOR BTBR/NOR second cohort/BTBR/test/c7_m6.mp4</t>
        </is>
      </c>
      <c r="F2957" t="n">
        <v>-18.4</v>
      </c>
      <c r="G2957" t="n">
        <v>569.499</v>
      </c>
      <c r="H2957" t="n">
        <v>649.133</v>
      </c>
      <c r="I2957" t="n">
        <v>30</v>
      </c>
      <c r="J2957" t="inlineStr">
        <is>
          <t>BTBR</t>
        </is>
      </c>
      <c r="K2957" t="inlineStr">
        <is>
          <t>Male</t>
        </is>
      </c>
      <c r="L2957" t="inlineStr">
        <is>
          <t>No focal subject</t>
        </is>
      </c>
      <c r="M2957" t="n">
        <v>71.404</v>
      </c>
      <c r="N2957" t="inlineStr">
        <is>
          <t>Explore_N</t>
        </is>
      </c>
      <c r="O2957" t="inlineStr">
        <is>
          <t>Novelty</t>
        </is>
      </c>
      <c r="P2957" t="inlineStr">
        <is>
          <t>STATE</t>
        </is>
      </c>
      <c r="Q2957" t="n">
        <v>82.867</v>
      </c>
      <c r="R2957" t="n">
        <v>84.167</v>
      </c>
      <c r="S2957" t="n">
        <v>1.3</v>
      </c>
      <c r="T2957" t="inlineStr">
        <is>
          <t>C:/Users/manuel.felline/Documents/BEHAVIOR BTBR/NOR second cohort/BTBR/test/c7_m6.mp4</t>
        </is>
      </c>
      <c r="U2957" t="n">
        <v>3032</v>
      </c>
      <c r="V2957" t="n">
        <v>3071</v>
      </c>
      <c r="W2957" t="n">
        <v/>
      </c>
      <c r="X2957" t="n">
        <v/>
      </c>
      <c r="Y2957" t="n">
        <v/>
      </c>
      <c r="Z2957" t="n">
        <v/>
      </c>
      <c r="AA2957">
        <f>SUMIFS($S$2:S2957,$A$2:A2957,A2957,$N$2:N2957,"Explore*")</f>
        <v/>
      </c>
      <c r="AB2957">
        <f>IF(AND(LEFT(N2957,7)="Explore",(AA2957-IF(LEFT(N2957,7)="Explore",S2957,0))&lt;10),"SI","NO")</f>
        <v/>
      </c>
    </row>
    <row r="2958">
      <c r="A2958" t="inlineStr">
        <is>
          <t>c7m6_test</t>
        </is>
      </c>
      <c r="B2958" t="inlineStr">
        <is>
          <t>2026-06-18 11:12:30.011</t>
        </is>
      </c>
      <c r="C2958" t="n">
        <v/>
      </c>
      <c r="D2958" t="inlineStr">
        <is>
          <t>Media file</t>
        </is>
      </c>
      <c r="E2958" t="inlineStr">
        <is>
          <t>player #1:C:/Users/manuel.felline/Documents/BEHAVIOR BTBR/NOR second cohort/BTBR/test/c7_m6.mp4</t>
        </is>
      </c>
      <c r="F2958" t="n">
        <v>-18.4</v>
      </c>
      <c r="G2958" t="n">
        <v>569.499</v>
      </c>
      <c r="H2958" t="n">
        <v>649.133</v>
      </c>
      <c r="I2958" t="n">
        <v>30</v>
      </c>
      <c r="J2958" t="inlineStr">
        <is>
          <t>BTBR</t>
        </is>
      </c>
      <c r="K2958" t="inlineStr">
        <is>
          <t>Male</t>
        </is>
      </c>
      <c r="L2958" t="inlineStr">
        <is>
          <t>No focal subject</t>
        </is>
      </c>
      <c r="M2958" t="n">
        <v>71.404</v>
      </c>
      <c r="N2958" t="inlineStr">
        <is>
          <t>Explore_F</t>
        </is>
      </c>
      <c r="O2958" t="inlineStr">
        <is>
          <t>Familiar</t>
        </is>
      </c>
      <c r="P2958" t="inlineStr">
        <is>
          <t>STATE</t>
        </is>
      </c>
      <c r="Q2958" t="n">
        <v>84.733</v>
      </c>
      <c r="R2958" t="n">
        <v>85.167</v>
      </c>
      <c r="S2958" t="n">
        <v>0.434</v>
      </c>
      <c r="T2958" t="inlineStr">
        <is>
          <t>C:/Users/manuel.felline/Documents/BEHAVIOR BTBR/NOR second cohort/BTBR/test/c7_m6.mp4</t>
        </is>
      </c>
      <c r="U2958" t="n">
        <v>3088</v>
      </c>
      <c r="V2958" t="n">
        <v>3101</v>
      </c>
      <c r="W2958" t="n">
        <v/>
      </c>
      <c r="X2958" t="n">
        <v/>
      </c>
      <c r="Y2958" t="n">
        <v/>
      </c>
      <c r="Z2958" t="n">
        <v/>
      </c>
      <c r="AA2958">
        <f>SUMIFS($S$2:S2958,$A$2:A2958,A2958,$N$2:N2958,"Explore*")</f>
        <v/>
      </c>
      <c r="AB2958">
        <f>IF(AND(LEFT(N2958,7)="Explore",(AA2958-IF(LEFT(N2958,7)="Explore",S2958,0))&lt;10),"SI","NO")</f>
        <v/>
      </c>
    </row>
    <row r="2959">
      <c r="A2959" t="inlineStr">
        <is>
          <t>c7m6_test</t>
        </is>
      </c>
      <c r="B2959" t="inlineStr">
        <is>
          <t>2026-06-18 11:12:30.011</t>
        </is>
      </c>
      <c r="C2959" t="n">
        <v/>
      </c>
      <c r="D2959" t="inlineStr">
        <is>
          <t>Media file</t>
        </is>
      </c>
      <c r="E2959" t="inlineStr">
        <is>
          <t>player #1:C:/Users/manuel.felline/Documents/BEHAVIOR BTBR/NOR second cohort/BTBR/test/c7_m6.mp4</t>
        </is>
      </c>
      <c r="F2959" t="n">
        <v>-18.4</v>
      </c>
      <c r="G2959" t="n">
        <v>569.499</v>
      </c>
      <c r="H2959" t="n">
        <v>649.133</v>
      </c>
      <c r="I2959" t="n">
        <v>30</v>
      </c>
      <c r="J2959" t="inlineStr">
        <is>
          <t>BTBR</t>
        </is>
      </c>
      <c r="K2959" t="inlineStr">
        <is>
          <t>Male</t>
        </is>
      </c>
      <c r="L2959" t="inlineStr">
        <is>
          <t>No focal subject</t>
        </is>
      </c>
      <c r="M2959" t="n">
        <v>71.404</v>
      </c>
      <c r="N2959" t="inlineStr">
        <is>
          <t>Explore_N</t>
        </is>
      </c>
      <c r="O2959" t="inlineStr">
        <is>
          <t>Novelty</t>
        </is>
      </c>
      <c r="P2959" t="inlineStr">
        <is>
          <t>STATE</t>
        </is>
      </c>
      <c r="Q2959" t="n">
        <v>107.333</v>
      </c>
      <c r="R2959" t="n">
        <v>108.2</v>
      </c>
      <c r="S2959" t="n">
        <v>0.867</v>
      </c>
      <c r="T2959" t="inlineStr">
        <is>
          <t>C:/Users/manuel.felline/Documents/BEHAVIOR BTBR/NOR second cohort/BTBR/test/c7_m6.mp4</t>
        </is>
      </c>
      <c r="U2959" t="n">
        <v>3765</v>
      </c>
      <c r="V2959" t="n">
        <v>3791</v>
      </c>
      <c r="W2959" t="n">
        <v/>
      </c>
      <c r="X2959" t="n">
        <v/>
      </c>
      <c r="Y2959" t="n">
        <v/>
      </c>
      <c r="Z2959" t="n">
        <v/>
      </c>
      <c r="AA2959">
        <f>SUMIFS($S$2:S2959,$A$2:A2959,A2959,$N$2:N2959,"Explore*")</f>
        <v/>
      </c>
      <c r="AB2959">
        <f>IF(AND(LEFT(N2959,7)="Explore",(AA2959-IF(LEFT(N2959,7)="Explore",S2959,0))&lt;10),"SI","NO")</f>
        <v/>
      </c>
    </row>
    <row r="2960">
      <c r="A2960" t="inlineStr">
        <is>
          <t>c7m6_test</t>
        </is>
      </c>
      <c r="B2960" t="inlineStr">
        <is>
          <t>2026-06-18 11:12:30.011</t>
        </is>
      </c>
      <c r="C2960" t="n">
        <v/>
      </c>
      <c r="D2960" t="inlineStr">
        <is>
          <t>Media file</t>
        </is>
      </c>
      <c r="E2960" t="inlineStr">
        <is>
          <t>player #1:C:/Users/manuel.felline/Documents/BEHAVIOR BTBR/NOR second cohort/BTBR/test/c7_m6.mp4</t>
        </is>
      </c>
      <c r="F2960" t="n">
        <v>-18.4</v>
      </c>
      <c r="G2960" t="n">
        <v>569.499</v>
      </c>
      <c r="H2960" t="n">
        <v>649.133</v>
      </c>
      <c r="I2960" t="n">
        <v>30</v>
      </c>
      <c r="J2960" t="inlineStr">
        <is>
          <t>BTBR</t>
        </is>
      </c>
      <c r="K2960" t="inlineStr">
        <is>
          <t>Male</t>
        </is>
      </c>
      <c r="L2960" t="inlineStr">
        <is>
          <t>No focal subject</t>
        </is>
      </c>
      <c r="M2960" t="n">
        <v>71.404</v>
      </c>
      <c r="N2960" t="inlineStr">
        <is>
          <t>Explore_F</t>
        </is>
      </c>
      <c r="O2960" t="inlineStr">
        <is>
          <t>Familiar</t>
        </is>
      </c>
      <c r="P2960" t="inlineStr">
        <is>
          <t>STATE</t>
        </is>
      </c>
      <c r="Q2960" t="n">
        <v>115.267</v>
      </c>
      <c r="R2960" t="n">
        <v>115.667</v>
      </c>
      <c r="S2960" t="n">
        <v>0.4</v>
      </c>
      <c r="T2960" t="inlineStr">
        <is>
          <t>C:/Users/manuel.felline/Documents/BEHAVIOR BTBR/NOR second cohort/BTBR/test/c7_m6.mp4</t>
        </is>
      </c>
      <c r="U2960" t="n">
        <v>4002</v>
      </c>
      <c r="V2960" t="n">
        <v>4014</v>
      </c>
      <c r="W2960" t="n">
        <v/>
      </c>
      <c r="X2960" t="n">
        <v/>
      </c>
      <c r="Y2960" t="n">
        <v/>
      </c>
      <c r="Z2960" t="n">
        <v/>
      </c>
      <c r="AA2960">
        <f>SUMIFS($S$2:S2960,$A$2:A2960,A2960,$N$2:N2960,"Explore*")</f>
        <v/>
      </c>
      <c r="AB2960">
        <f>IF(AND(LEFT(N2960,7)="Explore",(AA2960-IF(LEFT(N2960,7)="Explore",S2960,0))&lt;10),"SI","NO")</f>
        <v/>
      </c>
    </row>
    <row r="2961">
      <c r="A2961" t="inlineStr">
        <is>
          <t>c7m6_test</t>
        </is>
      </c>
      <c r="B2961" t="inlineStr">
        <is>
          <t>2026-06-18 11:12:30.011</t>
        </is>
      </c>
      <c r="C2961" t="n">
        <v/>
      </c>
      <c r="D2961" t="inlineStr">
        <is>
          <t>Media file</t>
        </is>
      </c>
      <c r="E2961" t="inlineStr">
        <is>
          <t>player #1:C:/Users/manuel.felline/Documents/BEHAVIOR BTBR/NOR second cohort/BTBR/test/c7_m6.mp4</t>
        </is>
      </c>
      <c r="F2961" t="n">
        <v>-18.4</v>
      </c>
      <c r="G2961" t="n">
        <v>569.499</v>
      </c>
      <c r="H2961" t="n">
        <v>649.133</v>
      </c>
      <c r="I2961" t="n">
        <v>30</v>
      </c>
      <c r="J2961" t="inlineStr">
        <is>
          <t>BTBR</t>
        </is>
      </c>
      <c r="K2961" t="inlineStr">
        <is>
          <t>Male</t>
        </is>
      </c>
      <c r="L2961" t="inlineStr">
        <is>
          <t>No focal subject</t>
        </is>
      </c>
      <c r="M2961" t="n">
        <v>71.404</v>
      </c>
      <c r="N2961" t="inlineStr">
        <is>
          <t>Explore_N</t>
        </is>
      </c>
      <c r="O2961" t="inlineStr">
        <is>
          <t>Novelty</t>
        </is>
      </c>
      <c r="P2961" t="inlineStr">
        <is>
          <t>STATE</t>
        </is>
      </c>
      <c r="Q2961" t="n">
        <v>117.167</v>
      </c>
      <c r="R2961" t="n">
        <v>119.133</v>
      </c>
      <c r="S2961" t="n">
        <v>1.966</v>
      </c>
      <c r="T2961" t="inlineStr">
        <is>
          <t>C:/Users/manuel.felline/Documents/BEHAVIOR BTBR/NOR second cohort/BTBR/test/c7_m6.mp4</t>
        </is>
      </c>
      <c r="U2961" t="n">
        <v>4059</v>
      </c>
      <c r="V2961" t="n">
        <v>4118</v>
      </c>
      <c r="W2961" t="n">
        <v/>
      </c>
      <c r="X2961" t="n">
        <v/>
      </c>
      <c r="Y2961" t="n">
        <v/>
      </c>
      <c r="Z2961" t="n">
        <v/>
      </c>
      <c r="AA2961">
        <f>SUMIFS($S$2:S2961,$A$2:A2961,A2961,$N$2:N2961,"Explore*")</f>
        <v/>
      </c>
      <c r="AB2961">
        <f>IF(AND(LEFT(N2961,7)="Explore",(AA2961-IF(LEFT(N2961,7)="Explore",S2961,0))&lt;10),"SI","NO")</f>
        <v/>
      </c>
    </row>
    <row r="2962">
      <c r="A2962" t="inlineStr">
        <is>
          <t>c7m6_test</t>
        </is>
      </c>
      <c r="B2962" t="inlineStr">
        <is>
          <t>2026-06-18 11:12:30.011</t>
        </is>
      </c>
      <c r="C2962" t="n">
        <v/>
      </c>
      <c r="D2962" t="inlineStr">
        <is>
          <t>Media file</t>
        </is>
      </c>
      <c r="E2962" t="inlineStr">
        <is>
          <t>player #1:C:/Users/manuel.felline/Documents/BEHAVIOR BTBR/NOR second cohort/BTBR/test/c7_m6.mp4</t>
        </is>
      </c>
      <c r="F2962" t="n">
        <v>-18.4</v>
      </c>
      <c r="G2962" t="n">
        <v>569.499</v>
      </c>
      <c r="H2962" t="n">
        <v>649.133</v>
      </c>
      <c r="I2962" t="n">
        <v>30</v>
      </c>
      <c r="J2962" t="inlineStr">
        <is>
          <t>BTBR</t>
        </is>
      </c>
      <c r="K2962" t="inlineStr">
        <is>
          <t>Male</t>
        </is>
      </c>
      <c r="L2962" t="inlineStr">
        <is>
          <t>No focal subject</t>
        </is>
      </c>
      <c r="M2962" t="n">
        <v>71.404</v>
      </c>
      <c r="N2962" t="inlineStr">
        <is>
          <t>Explore_N</t>
        </is>
      </c>
      <c r="O2962" t="inlineStr">
        <is>
          <t>Novelty</t>
        </is>
      </c>
      <c r="P2962" t="inlineStr">
        <is>
          <t>STATE</t>
        </is>
      </c>
      <c r="Q2962" t="n">
        <v>121.6</v>
      </c>
      <c r="R2962" t="n">
        <v>122.267</v>
      </c>
      <c r="S2962" t="n">
        <v>0.667</v>
      </c>
      <c r="T2962" t="inlineStr">
        <is>
          <t>C:/Users/manuel.felline/Documents/BEHAVIOR BTBR/NOR second cohort/BTBR/test/c7_m6.mp4</t>
        </is>
      </c>
      <c r="U2962" t="n">
        <v>4192</v>
      </c>
      <c r="V2962" t="n">
        <v>4212</v>
      </c>
      <c r="W2962" t="n">
        <v/>
      </c>
      <c r="X2962" t="n">
        <v/>
      </c>
      <c r="Y2962" t="n">
        <v/>
      </c>
      <c r="Z2962" t="n">
        <v/>
      </c>
      <c r="AA2962">
        <f>SUMIFS($S$2:S2962,$A$2:A2962,A2962,$N$2:N2962,"Explore*")</f>
        <v/>
      </c>
      <c r="AB2962">
        <f>IF(AND(LEFT(N2962,7)="Explore",(AA2962-IF(LEFT(N2962,7)="Explore",S2962,0))&lt;10),"SI","NO")</f>
        <v/>
      </c>
    </row>
    <row r="2963">
      <c r="A2963" t="inlineStr">
        <is>
          <t>c7m6_test</t>
        </is>
      </c>
      <c r="B2963" t="inlineStr">
        <is>
          <t>2026-06-18 11:12:30.011</t>
        </is>
      </c>
      <c r="C2963" t="n">
        <v/>
      </c>
      <c r="D2963" t="inlineStr">
        <is>
          <t>Media file</t>
        </is>
      </c>
      <c r="E2963" t="inlineStr">
        <is>
          <t>player #1:C:/Users/manuel.felline/Documents/BEHAVIOR BTBR/NOR second cohort/BTBR/test/c7_m6.mp4</t>
        </is>
      </c>
      <c r="F2963" t="n">
        <v>-18.4</v>
      </c>
      <c r="G2963" t="n">
        <v>569.499</v>
      </c>
      <c r="H2963" t="n">
        <v>649.133</v>
      </c>
      <c r="I2963" t="n">
        <v>30</v>
      </c>
      <c r="J2963" t="inlineStr">
        <is>
          <t>BTBR</t>
        </is>
      </c>
      <c r="K2963" t="inlineStr">
        <is>
          <t>Male</t>
        </is>
      </c>
      <c r="L2963" t="inlineStr">
        <is>
          <t>No focal subject</t>
        </is>
      </c>
      <c r="M2963" t="n">
        <v>71.404</v>
      </c>
      <c r="N2963" t="inlineStr">
        <is>
          <t>Explore_N</t>
        </is>
      </c>
      <c r="O2963" t="inlineStr">
        <is>
          <t>Novelty</t>
        </is>
      </c>
      <c r="P2963" t="inlineStr">
        <is>
          <t>STATE</t>
        </is>
      </c>
      <c r="Q2963" t="n">
        <v>132.033</v>
      </c>
      <c r="R2963" t="n">
        <v>133.233</v>
      </c>
      <c r="S2963" t="n">
        <v>1.2</v>
      </c>
      <c r="T2963" t="inlineStr">
        <is>
          <t>C:/Users/manuel.felline/Documents/BEHAVIOR BTBR/NOR second cohort/BTBR/test/c7_m6.mp4</t>
        </is>
      </c>
      <c r="U2963" t="n">
        <v>4505</v>
      </c>
      <c r="V2963" t="n">
        <v>4540</v>
      </c>
      <c r="W2963" t="n">
        <v/>
      </c>
      <c r="X2963" t="n">
        <v/>
      </c>
      <c r="Y2963" t="n">
        <v/>
      </c>
      <c r="Z2963" t="n">
        <v/>
      </c>
      <c r="AA2963">
        <f>SUMIFS($S$2:S2963,$A$2:A2963,A2963,$N$2:N2963,"Explore*")</f>
        <v/>
      </c>
      <c r="AB2963">
        <f>IF(AND(LEFT(N2963,7)="Explore",(AA2963-IF(LEFT(N2963,7)="Explore",S2963,0))&lt;10),"SI","NO")</f>
        <v/>
      </c>
    </row>
    <row r="2964">
      <c r="A2964" t="inlineStr">
        <is>
          <t>c7m6_test</t>
        </is>
      </c>
      <c r="B2964" t="inlineStr">
        <is>
          <t>2026-06-18 11:12:30.011</t>
        </is>
      </c>
      <c r="C2964" t="n">
        <v/>
      </c>
      <c r="D2964" t="inlineStr">
        <is>
          <t>Media file</t>
        </is>
      </c>
      <c r="E2964" t="inlineStr">
        <is>
          <t>player #1:C:/Users/manuel.felline/Documents/BEHAVIOR BTBR/NOR second cohort/BTBR/test/c7_m6.mp4</t>
        </is>
      </c>
      <c r="F2964" t="n">
        <v>-18.4</v>
      </c>
      <c r="G2964" t="n">
        <v>569.499</v>
      </c>
      <c r="H2964" t="n">
        <v>649.133</v>
      </c>
      <c r="I2964" t="n">
        <v>30</v>
      </c>
      <c r="J2964" t="inlineStr">
        <is>
          <t>BTBR</t>
        </is>
      </c>
      <c r="K2964" t="inlineStr">
        <is>
          <t>Male</t>
        </is>
      </c>
      <c r="L2964" t="inlineStr">
        <is>
          <t>No focal subject</t>
        </is>
      </c>
      <c r="M2964" t="n">
        <v>71.404</v>
      </c>
      <c r="N2964" t="inlineStr">
        <is>
          <t>Explore_F</t>
        </is>
      </c>
      <c r="O2964" t="inlineStr">
        <is>
          <t>Familiar</t>
        </is>
      </c>
      <c r="P2964" t="inlineStr">
        <is>
          <t>STATE</t>
        </is>
      </c>
      <c r="Q2964" t="n">
        <v>134.1</v>
      </c>
      <c r="R2964" t="n">
        <v>134.467</v>
      </c>
      <c r="S2964" t="n">
        <v>0.367</v>
      </c>
      <c r="T2964" t="inlineStr">
        <is>
          <t>C:/Users/manuel.felline/Documents/BEHAVIOR BTBR/NOR second cohort/BTBR/test/c7_m6.mp4</t>
        </is>
      </c>
      <c r="U2964" t="n">
        <v>4566</v>
      </c>
      <c r="V2964" t="n">
        <v>4577</v>
      </c>
      <c r="W2964" t="n">
        <v/>
      </c>
      <c r="X2964" t="n">
        <v/>
      </c>
      <c r="Y2964" t="n">
        <v/>
      </c>
      <c r="Z2964" t="n">
        <v/>
      </c>
      <c r="AA2964">
        <f>SUMIFS($S$2:S2964,$A$2:A2964,A2964,$N$2:N2964,"Explore*")</f>
        <v/>
      </c>
      <c r="AB2964">
        <f>IF(AND(LEFT(N2964,7)="Explore",(AA2964-IF(LEFT(N2964,7)="Explore",S2964,0))&lt;10),"SI","NO")</f>
        <v/>
      </c>
    </row>
    <row r="2965">
      <c r="A2965" t="inlineStr">
        <is>
          <t>c7m6_test</t>
        </is>
      </c>
      <c r="B2965" t="inlineStr">
        <is>
          <t>2026-06-18 11:12:30.011</t>
        </is>
      </c>
      <c r="C2965" t="n">
        <v/>
      </c>
      <c r="D2965" t="inlineStr">
        <is>
          <t>Media file</t>
        </is>
      </c>
      <c r="E2965" t="inlineStr">
        <is>
          <t>player #1:C:/Users/manuel.felline/Documents/BEHAVIOR BTBR/NOR second cohort/BTBR/test/c7_m6.mp4</t>
        </is>
      </c>
      <c r="F2965" t="n">
        <v>-18.4</v>
      </c>
      <c r="G2965" t="n">
        <v>569.499</v>
      </c>
      <c r="H2965" t="n">
        <v>649.133</v>
      </c>
      <c r="I2965" t="n">
        <v>30</v>
      </c>
      <c r="J2965" t="inlineStr">
        <is>
          <t>BTBR</t>
        </is>
      </c>
      <c r="K2965" t="inlineStr">
        <is>
          <t>Male</t>
        </is>
      </c>
      <c r="L2965" t="inlineStr">
        <is>
          <t>No focal subject</t>
        </is>
      </c>
      <c r="M2965" t="n">
        <v>71.404</v>
      </c>
      <c r="N2965" t="inlineStr">
        <is>
          <t>Explore_N</t>
        </is>
      </c>
      <c r="O2965" t="inlineStr">
        <is>
          <t>Novelty</t>
        </is>
      </c>
      <c r="P2965" t="inlineStr">
        <is>
          <t>STATE</t>
        </is>
      </c>
      <c r="Q2965" t="n">
        <v>141.633</v>
      </c>
      <c r="R2965" t="n">
        <v>142.067</v>
      </c>
      <c r="S2965" t="n">
        <v>0.434</v>
      </c>
      <c r="T2965" t="inlineStr">
        <is>
          <t>C:/Users/manuel.felline/Documents/BEHAVIOR BTBR/NOR second cohort/BTBR/test/c7_m6.mp4</t>
        </is>
      </c>
      <c r="U2965" t="n">
        <v>4792</v>
      </c>
      <c r="V2965" t="n">
        <v>4805</v>
      </c>
      <c r="W2965" t="n">
        <v/>
      </c>
      <c r="X2965" t="n">
        <v/>
      </c>
      <c r="Y2965" t="n">
        <v/>
      </c>
      <c r="Z2965" t="n">
        <v/>
      </c>
      <c r="AA2965">
        <f>SUMIFS($S$2:S2965,$A$2:A2965,A2965,$N$2:N2965,"Explore*")</f>
        <v/>
      </c>
      <c r="AB2965">
        <f>IF(AND(LEFT(N2965,7)="Explore",(AA2965-IF(LEFT(N2965,7)="Explore",S2965,0))&lt;10),"SI","NO")</f>
        <v/>
      </c>
    </row>
    <row r="2966">
      <c r="A2966" t="inlineStr">
        <is>
          <t>c7m6_test</t>
        </is>
      </c>
      <c r="B2966" t="inlineStr">
        <is>
          <t>2026-06-18 11:12:30.011</t>
        </is>
      </c>
      <c r="C2966" t="n">
        <v/>
      </c>
      <c r="D2966" t="inlineStr">
        <is>
          <t>Media file</t>
        </is>
      </c>
      <c r="E2966" t="inlineStr">
        <is>
          <t>player #1:C:/Users/manuel.felline/Documents/BEHAVIOR BTBR/NOR second cohort/BTBR/test/c7_m6.mp4</t>
        </is>
      </c>
      <c r="F2966" t="n">
        <v>-18.4</v>
      </c>
      <c r="G2966" t="n">
        <v>569.499</v>
      </c>
      <c r="H2966" t="n">
        <v>649.133</v>
      </c>
      <c r="I2966" t="n">
        <v>30</v>
      </c>
      <c r="J2966" t="inlineStr">
        <is>
          <t>BTBR</t>
        </is>
      </c>
      <c r="K2966" t="inlineStr">
        <is>
          <t>Male</t>
        </is>
      </c>
      <c r="L2966" t="inlineStr">
        <is>
          <t>No focal subject</t>
        </is>
      </c>
      <c r="M2966" t="n">
        <v>71.404</v>
      </c>
      <c r="N2966" t="inlineStr">
        <is>
          <t>Explore_F</t>
        </is>
      </c>
      <c r="O2966" t="inlineStr">
        <is>
          <t>Familiar</t>
        </is>
      </c>
      <c r="P2966" t="inlineStr">
        <is>
          <t>STATE</t>
        </is>
      </c>
      <c r="Q2966" t="n">
        <v>144.433</v>
      </c>
      <c r="R2966" t="n">
        <v>144.766</v>
      </c>
      <c r="S2966" t="n">
        <v>0.333</v>
      </c>
      <c r="T2966" t="inlineStr">
        <is>
          <t>C:/Users/manuel.felline/Documents/BEHAVIOR BTBR/NOR second cohort/BTBR/test/c7_m6.mp4</t>
        </is>
      </c>
      <c r="U2966" t="n">
        <v>4876</v>
      </c>
      <c r="V2966" t="n">
        <v>4886</v>
      </c>
      <c r="W2966" t="n">
        <v/>
      </c>
      <c r="X2966" t="n">
        <v/>
      </c>
      <c r="Y2966" t="n">
        <v/>
      </c>
      <c r="Z2966" t="n">
        <v/>
      </c>
      <c r="AA2966">
        <f>SUMIFS($S$2:S2966,$A$2:A2966,A2966,$N$2:N2966,"Explore*")</f>
        <v/>
      </c>
      <c r="AB2966">
        <f>IF(AND(LEFT(N2966,7)="Explore",(AA2966-IF(LEFT(N2966,7)="Explore",S2966,0))&lt;10),"SI","NO")</f>
        <v/>
      </c>
    </row>
    <row r="2967">
      <c r="A2967" t="inlineStr">
        <is>
          <t>c7m6_test</t>
        </is>
      </c>
      <c r="B2967" t="inlineStr">
        <is>
          <t>2026-06-18 11:12:30.011</t>
        </is>
      </c>
      <c r="C2967" t="n">
        <v/>
      </c>
      <c r="D2967" t="inlineStr">
        <is>
          <t>Media file</t>
        </is>
      </c>
      <c r="E2967" t="inlineStr">
        <is>
          <t>player #1:C:/Users/manuel.felline/Documents/BEHAVIOR BTBR/NOR second cohort/BTBR/test/c7_m6.mp4</t>
        </is>
      </c>
      <c r="F2967" t="n">
        <v>-18.4</v>
      </c>
      <c r="G2967" t="n">
        <v>569.499</v>
      </c>
      <c r="H2967" t="n">
        <v>649.133</v>
      </c>
      <c r="I2967" t="n">
        <v>30</v>
      </c>
      <c r="J2967" t="inlineStr">
        <is>
          <t>BTBR</t>
        </is>
      </c>
      <c r="K2967" t="inlineStr">
        <is>
          <t>Male</t>
        </is>
      </c>
      <c r="L2967" t="inlineStr">
        <is>
          <t>No focal subject</t>
        </is>
      </c>
      <c r="M2967" t="n">
        <v>71.404</v>
      </c>
      <c r="N2967" t="inlineStr">
        <is>
          <t>Explore_N</t>
        </is>
      </c>
      <c r="O2967" t="inlineStr">
        <is>
          <t>Novelty</t>
        </is>
      </c>
      <c r="P2967" t="inlineStr">
        <is>
          <t>STATE</t>
        </is>
      </c>
      <c r="Q2967" t="n">
        <v>148.4</v>
      </c>
      <c r="R2967" t="n">
        <v>149.933</v>
      </c>
      <c r="S2967" t="n">
        <v>1.533</v>
      </c>
      <c r="T2967" t="inlineStr">
        <is>
          <t>C:/Users/manuel.felline/Documents/BEHAVIOR BTBR/NOR second cohort/BTBR/test/c7_m6.mp4</t>
        </is>
      </c>
      <c r="U2967" t="n">
        <v>4995</v>
      </c>
      <c r="V2967" t="n">
        <v>5041</v>
      </c>
      <c r="W2967" t="n">
        <v/>
      </c>
      <c r="X2967" t="n">
        <v/>
      </c>
      <c r="Y2967" t="n">
        <v/>
      </c>
      <c r="Z2967" t="n">
        <v/>
      </c>
      <c r="AA2967">
        <f>SUMIFS($S$2:S2967,$A$2:A2967,A2967,$N$2:N2967,"Explore*")</f>
        <v/>
      </c>
      <c r="AB2967">
        <f>IF(AND(LEFT(N2967,7)="Explore",(AA2967-IF(LEFT(N2967,7)="Explore",S2967,0))&lt;10),"SI","NO")</f>
        <v/>
      </c>
    </row>
    <row r="2968">
      <c r="A2968" t="inlineStr">
        <is>
          <t>c7m6_test</t>
        </is>
      </c>
      <c r="B2968" t="inlineStr">
        <is>
          <t>2026-06-18 11:12:30.011</t>
        </is>
      </c>
      <c r="C2968" t="n">
        <v/>
      </c>
      <c r="D2968" t="inlineStr">
        <is>
          <t>Media file</t>
        </is>
      </c>
      <c r="E2968" t="inlineStr">
        <is>
          <t>player #1:C:/Users/manuel.felline/Documents/BEHAVIOR BTBR/NOR second cohort/BTBR/test/c7_m6.mp4</t>
        </is>
      </c>
      <c r="F2968" t="n">
        <v>-18.4</v>
      </c>
      <c r="G2968" t="n">
        <v>569.499</v>
      </c>
      <c r="H2968" t="n">
        <v>649.133</v>
      </c>
      <c r="I2968" t="n">
        <v>30</v>
      </c>
      <c r="J2968" t="inlineStr">
        <is>
          <t>BTBR</t>
        </is>
      </c>
      <c r="K2968" t="inlineStr">
        <is>
          <t>Male</t>
        </is>
      </c>
      <c r="L2968" t="inlineStr">
        <is>
          <t>No focal subject</t>
        </is>
      </c>
      <c r="M2968" t="n">
        <v>71.404</v>
      </c>
      <c r="N2968" t="inlineStr">
        <is>
          <t>Explore_F</t>
        </is>
      </c>
      <c r="O2968" t="inlineStr">
        <is>
          <t>Familiar</t>
        </is>
      </c>
      <c r="P2968" t="inlineStr">
        <is>
          <t>STATE</t>
        </is>
      </c>
      <c r="Q2968" t="n">
        <v>154.866</v>
      </c>
      <c r="R2968" t="n">
        <v>155.266</v>
      </c>
      <c r="S2968" t="n">
        <v>0.4</v>
      </c>
      <c r="T2968" t="inlineStr">
        <is>
          <t>C:/Users/manuel.felline/Documents/BEHAVIOR BTBR/NOR second cohort/BTBR/test/c7_m6.mp4</t>
        </is>
      </c>
      <c r="U2968" t="n">
        <v>5188</v>
      </c>
      <c r="V2968" t="n">
        <v>5200</v>
      </c>
      <c r="W2968" t="n">
        <v/>
      </c>
      <c r="X2968" t="n">
        <v/>
      </c>
      <c r="Y2968" t="n">
        <v/>
      </c>
      <c r="Z2968" t="n">
        <v/>
      </c>
      <c r="AA2968">
        <f>SUMIFS($S$2:S2968,$A$2:A2968,A2968,$N$2:N2968,"Explore*")</f>
        <v/>
      </c>
      <c r="AB2968">
        <f>IF(AND(LEFT(N2968,7)="Explore",(AA2968-IF(LEFT(N2968,7)="Explore",S2968,0))&lt;10),"SI","NO")</f>
        <v/>
      </c>
    </row>
    <row r="2969">
      <c r="A2969" t="inlineStr">
        <is>
          <t>c7m6_test</t>
        </is>
      </c>
      <c r="B2969" t="inlineStr">
        <is>
          <t>2026-06-18 11:12:30.011</t>
        </is>
      </c>
      <c r="C2969" t="n">
        <v/>
      </c>
      <c r="D2969" t="inlineStr">
        <is>
          <t>Media file</t>
        </is>
      </c>
      <c r="E2969" t="inlineStr">
        <is>
          <t>player #1:C:/Users/manuel.felline/Documents/BEHAVIOR BTBR/NOR second cohort/BTBR/test/c7_m6.mp4</t>
        </is>
      </c>
      <c r="F2969" t="n">
        <v>-18.4</v>
      </c>
      <c r="G2969" t="n">
        <v>569.499</v>
      </c>
      <c r="H2969" t="n">
        <v>649.133</v>
      </c>
      <c r="I2969" t="n">
        <v>30</v>
      </c>
      <c r="J2969" t="inlineStr">
        <is>
          <t>BTBR</t>
        </is>
      </c>
      <c r="K2969" t="inlineStr">
        <is>
          <t>Male</t>
        </is>
      </c>
      <c r="L2969" t="inlineStr">
        <is>
          <t>No focal subject</t>
        </is>
      </c>
      <c r="M2969" t="n">
        <v>71.404</v>
      </c>
      <c r="N2969" t="inlineStr">
        <is>
          <t>Explore_N</t>
        </is>
      </c>
      <c r="O2969" t="inlineStr">
        <is>
          <t>Novelty</t>
        </is>
      </c>
      <c r="P2969" t="inlineStr">
        <is>
          <t>STATE</t>
        </is>
      </c>
      <c r="Q2969" t="n">
        <v>159.166</v>
      </c>
      <c r="R2969" t="n">
        <v>161.5</v>
      </c>
      <c r="S2969" t="n">
        <v>2.334</v>
      </c>
      <c r="T2969" t="inlineStr">
        <is>
          <t>C:/Users/manuel.felline/Documents/BEHAVIOR BTBR/NOR second cohort/BTBR/test/c7_m6.mp4</t>
        </is>
      </c>
      <c r="U2969" t="n">
        <v>5317</v>
      </c>
      <c r="V2969" t="n">
        <v>5387</v>
      </c>
      <c r="W2969" t="n">
        <v/>
      </c>
      <c r="X2969" t="n">
        <v/>
      </c>
      <c r="Y2969" t="n">
        <v/>
      </c>
      <c r="Z2969" t="n">
        <v/>
      </c>
      <c r="AA2969">
        <f>SUMIFS($S$2:S2969,$A$2:A2969,A2969,$N$2:N2969,"Explore*")</f>
        <v/>
      </c>
      <c r="AB2969">
        <f>IF(AND(LEFT(N2969,7)="Explore",(AA2969-IF(LEFT(N2969,7)="Explore",S2969,0))&lt;10),"SI","NO")</f>
        <v/>
      </c>
    </row>
    <row r="2970">
      <c r="A2970" t="inlineStr">
        <is>
          <t>c7m6_test</t>
        </is>
      </c>
      <c r="B2970" t="inlineStr">
        <is>
          <t>2026-06-18 11:12:30.011</t>
        </is>
      </c>
      <c r="C2970" t="n">
        <v/>
      </c>
      <c r="D2970" t="inlineStr">
        <is>
          <t>Media file</t>
        </is>
      </c>
      <c r="E2970" t="inlineStr">
        <is>
          <t>player #1:C:/Users/manuel.felline/Documents/BEHAVIOR BTBR/NOR second cohort/BTBR/test/c7_m6.mp4</t>
        </is>
      </c>
      <c r="F2970" t="n">
        <v>-18.4</v>
      </c>
      <c r="G2970" t="n">
        <v>569.499</v>
      </c>
      <c r="H2970" t="n">
        <v>649.133</v>
      </c>
      <c r="I2970" t="n">
        <v>30</v>
      </c>
      <c r="J2970" t="inlineStr">
        <is>
          <t>BTBR</t>
        </is>
      </c>
      <c r="K2970" t="inlineStr">
        <is>
          <t>Male</t>
        </is>
      </c>
      <c r="L2970" t="inlineStr">
        <is>
          <t>No focal subject</t>
        </is>
      </c>
      <c r="M2970" t="n">
        <v>71.404</v>
      </c>
      <c r="N2970" t="inlineStr">
        <is>
          <t>Explore_F</t>
        </is>
      </c>
      <c r="O2970" t="inlineStr">
        <is>
          <t>Familiar</t>
        </is>
      </c>
      <c r="P2970" t="inlineStr">
        <is>
          <t>STATE</t>
        </is>
      </c>
      <c r="Q2970" t="n">
        <v>169.266</v>
      </c>
      <c r="R2970" t="n">
        <v>169.6</v>
      </c>
      <c r="S2970" t="n">
        <v>0.334</v>
      </c>
      <c r="T2970" t="inlineStr">
        <is>
          <t>C:/Users/manuel.felline/Documents/BEHAVIOR BTBR/NOR second cohort/BTBR/test/c7_m6.mp4</t>
        </is>
      </c>
      <c r="U2970" t="n">
        <v>5619</v>
      </c>
      <c r="V2970" t="n">
        <v>5629</v>
      </c>
      <c r="W2970" t="n">
        <v/>
      </c>
      <c r="X2970" t="n">
        <v/>
      </c>
      <c r="Y2970" t="n">
        <v/>
      </c>
      <c r="Z2970" t="n">
        <v/>
      </c>
      <c r="AA2970">
        <f>SUMIFS($S$2:S2970,$A$2:A2970,A2970,$N$2:N2970,"Explore*")</f>
        <v/>
      </c>
      <c r="AB2970">
        <f>IF(AND(LEFT(N2970,7)="Explore",(AA2970-IF(LEFT(N2970,7)="Explore",S2970,0))&lt;10),"SI","NO")</f>
        <v/>
      </c>
    </row>
    <row r="2971">
      <c r="A2971" t="inlineStr">
        <is>
          <t>c7m6_test</t>
        </is>
      </c>
      <c r="B2971" t="inlineStr">
        <is>
          <t>2026-06-18 11:12:30.011</t>
        </is>
      </c>
      <c r="C2971" t="n">
        <v/>
      </c>
      <c r="D2971" t="inlineStr">
        <is>
          <t>Media file</t>
        </is>
      </c>
      <c r="E2971" t="inlineStr">
        <is>
          <t>player #1:C:/Users/manuel.felline/Documents/BEHAVIOR BTBR/NOR second cohort/BTBR/test/c7_m6.mp4</t>
        </is>
      </c>
      <c r="F2971" t="n">
        <v>-18.4</v>
      </c>
      <c r="G2971" t="n">
        <v>569.499</v>
      </c>
      <c r="H2971" t="n">
        <v>649.133</v>
      </c>
      <c r="I2971" t="n">
        <v>30</v>
      </c>
      <c r="J2971" t="inlineStr">
        <is>
          <t>BTBR</t>
        </is>
      </c>
      <c r="K2971" t="inlineStr">
        <is>
          <t>Male</t>
        </is>
      </c>
      <c r="L2971" t="inlineStr">
        <is>
          <t>No focal subject</t>
        </is>
      </c>
      <c r="M2971" t="n">
        <v>71.404</v>
      </c>
      <c r="N2971" t="inlineStr">
        <is>
          <t>Explore_N</t>
        </is>
      </c>
      <c r="O2971" t="inlineStr">
        <is>
          <t>Novelty</t>
        </is>
      </c>
      <c r="P2971" t="inlineStr">
        <is>
          <t>STATE</t>
        </is>
      </c>
      <c r="Q2971" t="n">
        <v>172.133</v>
      </c>
      <c r="R2971" t="n">
        <v>172.966</v>
      </c>
      <c r="S2971" t="n">
        <v>0.833</v>
      </c>
      <c r="T2971" t="inlineStr">
        <is>
          <t>C:/Users/manuel.felline/Documents/BEHAVIOR BTBR/NOR second cohort/BTBR/test/c7_m6.mp4</t>
        </is>
      </c>
      <c r="U2971" t="n">
        <v>5705</v>
      </c>
      <c r="V2971" t="n">
        <v>5730</v>
      </c>
      <c r="W2971" t="n">
        <v/>
      </c>
      <c r="X2971" t="n">
        <v/>
      </c>
      <c r="Y2971" t="n">
        <v/>
      </c>
      <c r="Z2971" t="n">
        <v/>
      </c>
      <c r="AA2971">
        <f>SUMIFS($S$2:S2971,$A$2:A2971,A2971,$N$2:N2971,"Explore*")</f>
        <v/>
      </c>
      <c r="AB2971">
        <f>IF(AND(LEFT(N2971,7)="Explore",(AA2971-IF(LEFT(N2971,7)="Explore",S2971,0))&lt;10),"SI","NO")</f>
        <v/>
      </c>
    </row>
    <row r="2972">
      <c r="A2972" t="inlineStr">
        <is>
          <t>c7m6_test</t>
        </is>
      </c>
      <c r="B2972" t="inlineStr">
        <is>
          <t>2026-06-18 11:12:30.011</t>
        </is>
      </c>
      <c r="C2972" t="n">
        <v/>
      </c>
      <c r="D2972" t="inlineStr">
        <is>
          <t>Media file</t>
        </is>
      </c>
      <c r="E2972" t="inlineStr">
        <is>
          <t>player #1:C:/Users/manuel.felline/Documents/BEHAVIOR BTBR/NOR second cohort/BTBR/test/c7_m6.mp4</t>
        </is>
      </c>
      <c r="F2972" t="n">
        <v>-18.4</v>
      </c>
      <c r="G2972" t="n">
        <v>569.499</v>
      </c>
      <c r="H2972" t="n">
        <v>649.133</v>
      </c>
      <c r="I2972" t="n">
        <v>30</v>
      </c>
      <c r="J2972" t="inlineStr">
        <is>
          <t>BTBR</t>
        </is>
      </c>
      <c r="K2972" t="inlineStr">
        <is>
          <t>Male</t>
        </is>
      </c>
      <c r="L2972" t="inlineStr">
        <is>
          <t>No focal subject</t>
        </is>
      </c>
      <c r="M2972" t="n">
        <v>71.404</v>
      </c>
      <c r="N2972" t="inlineStr">
        <is>
          <t>Explore_N</t>
        </is>
      </c>
      <c r="O2972" t="inlineStr">
        <is>
          <t>Novelty</t>
        </is>
      </c>
      <c r="P2972" t="inlineStr">
        <is>
          <t>STATE</t>
        </is>
      </c>
      <c r="Q2972" t="n">
        <v>175.4</v>
      </c>
      <c r="R2972" t="n">
        <v>187.866</v>
      </c>
      <c r="S2972" t="n">
        <v>12.466</v>
      </c>
      <c r="T2972" t="inlineStr">
        <is>
          <t>C:/Users/manuel.felline/Documents/BEHAVIOR BTBR/NOR second cohort/BTBR/test/c7_m6.mp4</t>
        </is>
      </c>
      <c r="U2972" t="n">
        <v>5803</v>
      </c>
      <c r="V2972" t="n">
        <v>6176</v>
      </c>
      <c r="W2972" t="n">
        <v/>
      </c>
      <c r="X2972" t="n">
        <v/>
      </c>
      <c r="Y2972" t="n">
        <v/>
      </c>
      <c r="Z2972" t="n">
        <v/>
      </c>
      <c r="AA2972">
        <f>SUMIFS($S$2:S2972,$A$2:A2972,A2972,$N$2:N2972,"Explore*")</f>
        <v/>
      </c>
      <c r="AB2972">
        <f>IF(AND(LEFT(N2972,7)="Explore",(AA2972-IF(LEFT(N2972,7)="Explore",S2972,0))&lt;10),"SI","NO")</f>
        <v/>
      </c>
    </row>
    <row r="2973">
      <c r="A2973" t="inlineStr">
        <is>
          <t>c7m6_test</t>
        </is>
      </c>
      <c r="B2973" t="inlineStr">
        <is>
          <t>2026-06-18 11:12:30.011</t>
        </is>
      </c>
      <c r="C2973" t="n">
        <v/>
      </c>
      <c r="D2973" t="inlineStr">
        <is>
          <t>Media file</t>
        </is>
      </c>
      <c r="E2973" t="inlineStr">
        <is>
          <t>player #1:C:/Users/manuel.felline/Documents/BEHAVIOR BTBR/NOR second cohort/BTBR/test/c7_m6.mp4</t>
        </is>
      </c>
      <c r="F2973" t="n">
        <v>-18.4</v>
      </c>
      <c r="G2973" t="n">
        <v>569.499</v>
      </c>
      <c r="H2973" t="n">
        <v>649.133</v>
      </c>
      <c r="I2973" t="n">
        <v>30</v>
      </c>
      <c r="J2973" t="inlineStr">
        <is>
          <t>BTBR</t>
        </is>
      </c>
      <c r="K2973" t="inlineStr">
        <is>
          <t>Male</t>
        </is>
      </c>
      <c r="L2973" t="inlineStr">
        <is>
          <t>No focal subject</t>
        </is>
      </c>
      <c r="M2973" t="n">
        <v>71.404</v>
      </c>
      <c r="N2973" t="inlineStr">
        <is>
          <t>Explore_F</t>
        </is>
      </c>
      <c r="O2973" t="inlineStr">
        <is>
          <t>Familiar</t>
        </is>
      </c>
      <c r="P2973" t="inlineStr">
        <is>
          <t>STATE</t>
        </is>
      </c>
      <c r="Q2973" t="n">
        <v>192.366</v>
      </c>
      <c r="R2973" t="n">
        <v>192.766</v>
      </c>
      <c r="S2973" t="n">
        <v>0.4</v>
      </c>
      <c r="T2973" t="inlineStr">
        <is>
          <t>C:/Users/manuel.felline/Documents/BEHAVIOR BTBR/NOR second cohort/BTBR/test/c7_m6.mp4</t>
        </is>
      </c>
      <c r="U2973" t="n">
        <v>6311</v>
      </c>
      <c r="V2973" t="n">
        <v>6323</v>
      </c>
      <c r="W2973" t="n">
        <v/>
      </c>
      <c r="X2973" t="n">
        <v/>
      </c>
      <c r="Y2973" t="n">
        <v/>
      </c>
      <c r="Z2973" t="n">
        <v/>
      </c>
      <c r="AA2973">
        <f>SUMIFS($S$2:S2973,$A$2:A2973,A2973,$N$2:N2973,"Explore*")</f>
        <v/>
      </c>
      <c r="AB2973">
        <f>IF(AND(LEFT(N2973,7)="Explore",(AA2973-IF(LEFT(N2973,7)="Explore",S2973,0))&lt;10),"SI","NO")</f>
        <v/>
      </c>
    </row>
    <row r="2974">
      <c r="A2974" t="inlineStr">
        <is>
          <t>c7m6_test</t>
        </is>
      </c>
      <c r="B2974" t="inlineStr">
        <is>
          <t>2026-06-18 11:12:30.011</t>
        </is>
      </c>
      <c r="C2974" t="n">
        <v/>
      </c>
      <c r="D2974" t="inlineStr">
        <is>
          <t>Media file</t>
        </is>
      </c>
      <c r="E2974" t="inlineStr">
        <is>
          <t>player #1:C:/Users/manuel.felline/Documents/BEHAVIOR BTBR/NOR second cohort/BTBR/test/c7_m6.mp4</t>
        </is>
      </c>
      <c r="F2974" t="n">
        <v>-18.4</v>
      </c>
      <c r="G2974" t="n">
        <v>569.499</v>
      </c>
      <c r="H2974" t="n">
        <v>649.133</v>
      </c>
      <c r="I2974" t="n">
        <v>30</v>
      </c>
      <c r="J2974" t="inlineStr">
        <is>
          <t>BTBR</t>
        </is>
      </c>
      <c r="K2974" t="inlineStr">
        <is>
          <t>Male</t>
        </is>
      </c>
      <c r="L2974" t="inlineStr">
        <is>
          <t>No focal subject</t>
        </is>
      </c>
      <c r="M2974" t="n">
        <v>71.404</v>
      </c>
      <c r="N2974" t="inlineStr">
        <is>
          <t>Explore_F</t>
        </is>
      </c>
      <c r="O2974" t="inlineStr">
        <is>
          <t>Familiar</t>
        </is>
      </c>
      <c r="P2974" t="inlineStr">
        <is>
          <t>STATE</t>
        </is>
      </c>
      <c r="Q2974" t="n">
        <v>195.333</v>
      </c>
      <c r="R2974" t="n">
        <v>195.9</v>
      </c>
      <c r="S2974" t="n">
        <v>0.5669999999999999</v>
      </c>
      <c r="T2974" t="inlineStr">
        <is>
          <t>C:/Users/manuel.felline/Documents/BEHAVIOR BTBR/NOR second cohort/BTBR/test/c7_m6.mp4</t>
        </is>
      </c>
      <c r="U2974" t="n">
        <v>6400</v>
      </c>
      <c r="V2974" t="n">
        <v>6417</v>
      </c>
      <c r="W2974" t="n">
        <v/>
      </c>
      <c r="X2974" t="n">
        <v/>
      </c>
      <c r="Y2974" t="n">
        <v/>
      </c>
      <c r="Z2974" t="n">
        <v/>
      </c>
      <c r="AA2974">
        <f>SUMIFS($S$2:S2974,$A$2:A2974,A2974,$N$2:N2974,"Explore*")</f>
        <v/>
      </c>
      <c r="AB2974">
        <f>IF(AND(LEFT(N2974,7)="Explore",(AA2974-IF(LEFT(N2974,7)="Explore",S2974,0))&lt;10),"SI","NO")</f>
        <v/>
      </c>
    </row>
    <row r="2975">
      <c r="A2975" t="inlineStr">
        <is>
          <t>c7m6_test</t>
        </is>
      </c>
      <c r="B2975" t="inlineStr">
        <is>
          <t>2026-06-18 11:12:30.011</t>
        </is>
      </c>
      <c r="C2975" t="n">
        <v/>
      </c>
      <c r="D2975" t="inlineStr">
        <is>
          <t>Media file</t>
        </is>
      </c>
      <c r="E2975" t="inlineStr">
        <is>
          <t>player #1:C:/Users/manuel.felline/Documents/BEHAVIOR BTBR/NOR second cohort/BTBR/test/c7_m6.mp4</t>
        </is>
      </c>
      <c r="F2975" t="n">
        <v>-18.4</v>
      </c>
      <c r="G2975" t="n">
        <v>569.499</v>
      </c>
      <c r="H2975" t="n">
        <v>649.133</v>
      </c>
      <c r="I2975" t="n">
        <v>30</v>
      </c>
      <c r="J2975" t="inlineStr">
        <is>
          <t>BTBR</t>
        </is>
      </c>
      <c r="K2975" t="inlineStr">
        <is>
          <t>Male</t>
        </is>
      </c>
      <c r="L2975" t="inlineStr">
        <is>
          <t>No focal subject</t>
        </is>
      </c>
      <c r="M2975" t="n">
        <v>71.404</v>
      </c>
      <c r="N2975" t="inlineStr">
        <is>
          <t>Explore_N</t>
        </is>
      </c>
      <c r="O2975" t="inlineStr">
        <is>
          <t>Novelty</t>
        </is>
      </c>
      <c r="P2975" t="inlineStr">
        <is>
          <t>STATE</t>
        </is>
      </c>
      <c r="Q2975" t="n">
        <v>198.733</v>
      </c>
      <c r="R2975" t="n">
        <v>200.433</v>
      </c>
      <c r="S2975" t="n">
        <v>1.7</v>
      </c>
      <c r="T2975" t="inlineStr">
        <is>
          <t>C:/Users/manuel.felline/Documents/BEHAVIOR BTBR/NOR second cohort/BTBR/test/c7_m6.mp4</t>
        </is>
      </c>
      <c r="U2975" t="n">
        <v>6502</v>
      </c>
      <c r="V2975" t="n">
        <v>6553</v>
      </c>
      <c r="W2975" t="n">
        <v/>
      </c>
      <c r="X2975" t="n">
        <v/>
      </c>
      <c r="Y2975" t="n">
        <v/>
      </c>
      <c r="Z2975" t="n">
        <v/>
      </c>
      <c r="AA2975">
        <f>SUMIFS($S$2:S2975,$A$2:A2975,A2975,$N$2:N2975,"Explore*")</f>
        <v/>
      </c>
      <c r="AB2975">
        <f>IF(AND(LEFT(N2975,7)="Explore",(AA2975-IF(LEFT(N2975,7)="Explore",S2975,0))&lt;10),"SI","NO")</f>
        <v/>
      </c>
    </row>
    <row r="2976">
      <c r="A2976" t="inlineStr">
        <is>
          <t>c7m6_test</t>
        </is>
      </c>
      <c r="B2976" t="inlineStr">
        <is>
          <t>2026-06-18 11:12:30.011</t>
        </is>
      </c>
      <c r="C2976" t="n">
        <v/>
      </c>
      <c r="D2976" t="inlineStr">
        <is>
          <t>Media file</t>
        </is>
      </c>
      <c r="E2976" t="inlineStr">
        <is>
          <t>player #1:C:/Users/manuel.felline/Documents/BEHAVIOR BTBR/NOR second cohort/BTBR/test/c7_m6.mp4</t>
        </is>
      </c>
      <c r="F2976" t="n">
        <v>-18.4</v>
      </c>
      <c r="G2976" t="n">
        <v>569.499</v>
      </c>
      <c r="H2976" t="n">
        <v>649.133</v>
      </c>
      <c r="I2976" t="n">
        <v>30</v>
      </c>
      <c r="J2976" t="inlineStr">
        <is>
          <t>BTBR</t>
        </is>
      </c>
      <c r="K2976" t="inlineStr">
        <is>
          <t>Male</t>
        </is>
      </c>
      <c r="L2976" t="inlineStr">
        <is>
          <t>No focal subject</t>
        </is>
      </c>
      <c r="M2976" t="n">
        <v>71.404</v>
      </c>
      <c r="N2976" t="inlineStr">
        <is>
          <t>Explore_N</t>
        </is>
      </c>
      <c r="O2976" t="inlineStr">
        <is>
          <t>Novelty</t>
        </is>
      </c>
      <c r="P2976" t="inlineStr">
        <is>
          <t>STATE</t>
        </is>
      </c>
      <c r="Q2976" t="n">
        <v>201.333</v>
      </c>
      <c r="R2976" t="n">
        <v>202.033</v>
      </c>
      <c r="S2976" t="n">
        <v>0.7</v>
      </c>
      <c r="T2976" t="inlineStr">
        <is>
          <t>C:/Users/manuel.felline/Documents/BEHAVIOR BTBR/NOR second cohort/BTBR/test/c7_m6.mp4</t>
        </is>
      </c>
      <c r="U2976" t="n">
        <v>6580</v>
      </c>
      <c r="V2976" t="n">
        <v>6601</v>
      </c>
      <c r="W2976" t="n">
        <v/>
      </c>
      <c r="X2976" t="n">
        <v/>
      </c>
      <c r="Y2976" t="n">
        <v/>
      </c>
      <c r="Z2976" t="n">
        <v/>
      </c>
      <c r="AA2976">
        <f>SUMIFS($S$2:S2976,$A$2:A2976,A2976,$N$2:N2976,"Explore*")</f>
        <v/>
      </c>
      <c r="AB2976">
        <f>IF(AND(LEFT(N2976,7)="Explore",(AA2976-IF(LEFT(N2976,7)="Explore",S2976,0))&lt;10),"SI","NO")</f>
        <v/>
      </c>
    </row>
    <row r="2977">
      <c r="A2977" t="inlineStr">
        <is>
          <t>c7m6_test</t>
        </is>
      </c>
      <c r="B2977" t="inlineStr">
        <is>
          <t>2026-06-18 11:12:30.011</t>
        </is>
      </c>
      <c r="C2977" t="n">
        <v/>
      </c>
      <c r="D2977" t="inlineStr">
        <is>
          <t>Media file</t>
        </is>
      </c>
      <c r="E2977" t="inlineStr">
        <is>
          <t>player #1:C:/Users/manuel.felline/Documents/BEHAVIOR BTBR/NOR second cohort/BTBR/test/c7_m6.mp4</t>
        </is>
      </c>
      <c r="F2977" t="n">
        <v>-18.4</v>
      </c>
      <c r="G2977" t="n">
        <v>569.499</v>
      </c>
      <c r="H2977" t="n">
        <v>649.133</v>
      </c>
      <c r="I2977" t="n">
        <v>30</v>
      </c>
      <c r="J2977" t="inlineStr">
        <is>
          <t>BTBR</t>
        </is>
      </c>
      <c r="K2977" t="inlineStr">
        <is>
          <t>Male</t>
        </is>
      </c>
      <c r="L2977" t="inlineStr">
        <is>
          <t>No focal subject</t>
        </is>
      </c>
      <c r="M2977" t="n">
        <v>71.404</v>
      </c>
      <c r="N2977" t="inlineStr">
        <is>
          <t>Explore_F</t>
        </is>
      </c>
      <c r="O2977" t="inlineStr">
        <is>
          <t>Familiar</t>
        </is>
      </c>
      <c r="P2977" t="inlineStr">
        <is>
          <t>STATE</t>
        </is>
      </c>
      <c r="Q2977" t="n">
        <v>207.266</v>
      </c>
      <c r="R2977" t="n">
        <v>207.733</v>
      </c>
      <c r="S2977" t="n">
        <v>0.467</v>
      </c>
      <c r="T2977" t="inlineStr">
        <is>
          <t>C:/Users/manuel.felline/Documents/BEHAVIOR BTBR/NOR second cohort/BTBR/test/c7_m6.mp4</t>
        </is>
      </c>
      <c r="U2977" t="n">
        <v>6757</v>
      </c>
      <c r="V2977" t="n">
        <v>6771</v>
      </c>
      <c r="W2977" t="n">
        <v/>
      </c>
      <c r="X2977" t="n">
        <v/>
      </c>
      <c r="Y2977" t="n">
        <v/>
      </c>
      <c r="Z2977" t="n">
        <v/>
      </c>
      <c r="AA2977">
        <f>SUMIFS($S$2:S2977,$A$2:A2977,A2977,$N$2:N2977,"Explore*")</f>
        <v/>
      </c>
      <c r="AB2977">
        <f>IF(AND(LEFT(N2977,7)="Explore",(AA2977-IF(LEFT(N2977,7)="Explore",S2977,0))&lt;10),"SI","NO")</f>
        <v/>
      </c>
    </row>
    <row r="2978">
      <c r="A2978" t="inlineStr">
        <is>
          <t>c7m6_test</t>
        </is>
      </c>
      <c r="B2978" t="inlineStr">
        <is>
          <t>2026-06-18 11:12:30.011</t>
        </is>
      </c>
      <c r="C2978" t="n">
        <v/>
      </c>
      <c r="D2978" t="inlineStr">
        <is>
          <t>Media file</t>
        </is>
      </c>
      <c r="E2978" t="inlineStr">
        <is>
          <t>player #1:C:/Users/manuel.felline/Documents/BEHAVIOR BTBR/NOR second cohort/BTBR/test/c7_m6.mp4</t>
        </is>
      </c>
      <c r="F2978" t="n">
        <v>-18.4</v>
      </c>
      <c r="G2978" t="n">
        <v>569.499</v>
      </c>
      <c r="H2978" t="n">
        <v>649.133</v>
      </c>
      <c r="I2978" t="n">
        <v>30</v>
      </c>
      <c r="J2978" t="inlineStr">
        <is>
          <t>BTBR</t>
        </is>
      </c>
      <c r="K2978" t="inlineStr">
        <is>
          <t>Male</t>
        </is>
      </c>
      <c r="L2978" t="inlineStr">
        <is>
          <t>No focal subject</t>
        </is>
      </c>
      <c r="M2978" t="n">
        <v>71.404</v>
      </c>
      <c r="N2978" t="inlineStr">
        <is>
          <t>Explore_N</t>
        </is>
      </c>
      <c r="O2978" t="inlineStr">
        <is>
          <t>Novelty</t>
        </is>
      </c>
      <c r="P2978" t="inlineStr">
        <is>
          <t>STATE</t>
        </is>
      </c>
      <c r="Q2978" t="n">
        <v>212.766</v>
      </c>
      <c r="R2978" t="n">
        <v>213.566</v>
      </c>
      <c r="S2978" t="n">
        <v>0.8</v>
      </c>
      <c r="T2978" t="inlineStr">
        <is>
          <t>C:/Users/manuel.felline/Documents/BEHAVIOR BTBR/NOR second cohort/BTBR/test/c7_m6.mp4</t>
        </is>
      </c>
      <c r="U2978" t="n">
        <v>6922</v>
      </c>
      <c r="V2978" t="n">
        <v>6946</v>
      </c>
      <c r="W2978" t="n">
        <v/>
      </c>
      <c r="X2978" t="n">
        <v/>
      </c>
      <c r="Y2978" t="n">
        <v/>
      </c>
      <c r="Z2978" t="n">
        <v/>
      </c>
      <c r="AA2978">
        <f>SUMIFS($S$2:S2978,$A$2:A2978,A2978,$N$2:N2978,"Explore*")</f>
        <v/>
      </c>
      <c r="AB2978">
        <f>IF(AND(LEFT(N2978,7)="Explore",(AA2978-IF(LEFT(N2978,7)="Explore",S2978,0))&lt;10),"SI","NO")</f>
        <v/>
      </c>
    </row>
    <row r="2979">
      <c r="A2979" t="inlineStr">
        <is>
          <t>c7m6_test</t>
        </is>
      </c>
      <c r="B2979" t="inlineStr">
        <is>
          <t>2026-06-18 11:12:30.011</t>
        </is>
      </c>
      <c r="C2979" t="n">
        <v/>
      </c>
      <c r="D2979" t="inlineStr">
        <is>
          <t>Media file</t>
        </is>
      </c>
      <c r="E2979" t="inlineStr">
        <is>
          <t>player #1:C:/Users/manuel.felline/Documents/BEHAVIOR BTBR/NOR second cohort/BTBR/test/c7_m6.mp4</t>
        </is>
      </c>
      <c r="F2979" t="n">
        <v>-18.4</v>
      </c>
      <c r="G2979" t="n">
        <v>569.499</v>
      </c>
      <c r="H2979" t="n">
        <v>649.133</v>
      </c>
      <c r="I2979" t="n">
        <v>30</v>
      </c>
      <c r="J2979" t="inlineStr">
        <is>
          <t>BTBR</t>
        </is>
      </c>
      <c r="K2979" t="inlineStr">
        <is>
          <t>Male</t>
        </is>
      </c>
      <c r="L2979" t="inlineStr">
        <is>
          <t>No focal subject</t>
        </is>
      </c>
      <c r="M2979" t="n">
        <v>71.404</v>
      </c>
      <c r="N2979" t="inlineStr">
        <is>
          <t>Explore_N</t>
        </is>
      </c>
      <c r="O2979" t="inlineStr">
        <is>
          <t>Novelty</t>
        </is>
      </c>
      <c r="P2979" t="inlineStr">
        <is>
          <t>STATE</t>
        </is>
      </c>
      <c r="Q2979" t="n">
        <v>226.866</v>
      </c>
      <c r="R2979" t="n">
        <v>227.933</v>
      </c>
      <c r="S2979" t="n">
        <v>1.067</v>
      </c>
      <c r="T2979" t="inlineStr">
        <is>
          <t>C:/Users/manuel.felline/Documents/BEHAVIOR BTBR/NOR second cohort/BTBR/test/c7_m6.mp4</t>
        </is>
      </c>
      <c r="U2979" t="n">
        <v>7344</v>
      </c>
      <c r="V2979" t="n">
        <v>7377</v>
      </c>
      <c r="W2979" t="n">
        <v/>
      </c>
      <c r="X2979" t="n">
        <v/>
      </c>
      <c r="Y2979" t="n">
        <v/>
      </c>
      <c r="Z2979" t="n">
        <v/>
      </c>
      <c r="AA2979">
        <f>SUMIFS($S$2:S2979,$A$2:A2979,A2979,$N$2:N2979,"Explore*")</f>
        <v/>
      </c>
      <c r="AB2979">
        <f>IF(AND(LEFT(N2979,7)="Explore",(AA2979-IF(LEFT(N2979,7)="Explore",S2979,0))&lt;10),"SI","NO")</f>
        <v/>
      </c>
    </row>
    <row r="2980">
      <c r="A2980" t="inlineStr">
        <is>
          <t>c7m6_test</t>
        </is>
      </c>
      <c r="B2980" t="inlineStr">
        <is>
          <t>2026-06-18 11:12:30.011</t>
        </is>
      </c>
      <c r="C2980" t="n">
        <v/>
      </c>
      <c r="D2980" t="inlineStr">
        <is>
          <t>Media file</t>
        </is>
      </c>
      <c r="E2980" t="inlineStr">
        <is>
          <t>player #1:C:/Users/manuel.felline/Documents/BEHAVIOR BTBR/NOR second cohort/BTBR/test/c7_m6.mp4</t>
        </is>
      </c>
      <c r="F2980" t="n">
        <v>-18.4</v>
      </c>
      <c r="G2980" t="n">
        <v>569.499</v>
      </c>
      <c r="H2980" t="n">
        <v>649.133</v>
      </c>
      <c r="I2980" t="n">
        <v>30</v>
      </c>
      <c r="J2980" t="inlineStr">
        <is>
          <t>BTBR</t>
        </is>
      </c>
      <c r="K2980" t="inlineStr">
        <is>
          <t>Male</t>
        </is>
      </c>
      <c r="L2980" t="inlineStr">
        <is>
          <t>No focal subject</t>
        </is>
      </c>
      <c r="M2980" t="n">
        <v>71.404</v>
      </c>
      <c r="N2980" t="inlineStr">
        <is>
          <t>Explore_N</t>
        </is>
      </c>
      <c r="O2980" t="inlineStr">
        <is>
          <t>Novelty</t>
        </is>
      </c>
      <c r="P2980" t="inlineStr">
        <is>
          <t>STATE</t>
        </is>
      </c>
      <c r="Q2980" t="n">
        <v>239.233</v>
      </c>
      <c r="R2980" t="n">
        <v>240.333</v>
      </c>
      <c r="S2980" t="n">
        <v>1.1</v>
      </c>
      <c r="T2980" t="inlineStr">
        <is>
          <t>C:/Users/manuel.felline/Documents/BEHAVIOR BTBR/NOR second cohort/BTBR/test/c7_m6.mp4</t>
        </is>
      </c>
      <c r="U2980" t="n">
        <v>7714</v>
      </c>
      <c r="V2980" t="n">
        <v>7747</v>
      </c>
      <c r="W2980" t="n">
        <v/>
      </c>
      <c r="X2980" t="n">
        <v/>
      </c>
      <c r="Y2980" t="n">
        <v/>
      </c>
      <c r="Z2980" t="n">
        <v/>
      </c>
      <c r="AA2980">
        <f>SUMIFS($S$2:S2980,$A$2:A2980,A2980,$N$2:N2980,"Explore*")</f>
        <v/>
      </c>
      <c r="AB2980">
        <f>IF(AND(LEFT(N2980,7)="Explore",(AA2980-IF(LEFT(N2980,7)="Explore",S2980,0))&lt;10),"SI","NO")</f>
        <v/>
      </c>
    </row>
    <row r="2981">
      <c r="A2981" t="inlineStr">
        <is>
          <t>c7m6_test</t>
        </is>
      </c>
      <c r="B2981" t="inlineStr">
        <is>
          <t>2026-06-18 11:12:30.011</t>
        </is>
      </c>
      <c r="C2981" t="n">
        <v/>
      </c>
      <c r="D2981" t="inlineStr">
        <is>
          <t>Media file</t>
        </is>
      </c>
      <c r="E2981" t="inlineStr">
        <is>
          <t>player #1:C:/Users/manuel.felline/Documents/BEHAVIOR BTBR/NOR second cohort/BTBR/test/c7_m6.mp4</t>
        </is>
      </c>
      <c r="F2981" t="n">
        <v>-18.4</v>
      </c>
      <c r="G2981" t="n">
        <v>569.499</v>
      </c>
      <c r="H2981" t="n">
        <v>649.133</v>
      </c>
      <c r="I2981" t="n">
        <v>30</v>
      </c>
      <c r="J2981" t="inlineStr">
        <is>
          <t>BTBR</t>
        </is>
      </c>
      <c r="K2981" t="inlineStr">
        <is>
          <t>Male</t>
        </is>
      </c>
      <c r="L2981" t="inlineStr">
        <is>
          <t>No focal subject</t>
        </is>
      </c>
      <c r="M2981" t="n">
        <v>71.404</v>
      </c>
      <c r="N2981" t="inlineStr">
        <is>
          <t>Explore_F</t>
        </is>
      </c>
      <c r="O2981" t="inlineStr">
        <is>
          <t>Familiar</t>
        </is>
      </c>
      <c r="P2981" t="inlineStr">
        <is>
          <t>STATE</t>
        </is>
      </c>
      <c r="Q2981" t="n">
        <v>240.933</v>
      </c>
      <c r="R2981" t="n">
        <v>241.3</v>
      </c>
      <c r="S2981" t="n">
        <v>0.367</v>
      </c>
      <c r="T2981" t="inlineStr">
        <is>
          <t>C:/Users/manuel.felline/Documents/BEHAVIOR BTBR/NOR second cohort/BTBR/test/c7_m6.mp4</t>
        </is>
      </c>
      <c r="U2981" t="n">
        <v>7765</v>
      </c>
      <c r="V2981" t="n">
        <v>7776</v>
      </c>
      <c r="W2981" t="n">
        <v/>
      </c>
      <c r="X2981" t="n">
        <v/>
      </c>
      <c r="Y2981" t="n">
        <v/>
      </c>
      <c r="Z2981" t="n">
        <v/>
      </c>
      <c r="AA2981">
        <f>SUMIFS($S$2:S2981,$A$2:A2981,A2981,$N$2:N2981,"Explore*")</f>
        <v/>
      </c>
      <c r="AB2981">
        <f>IF(AND(LEFT(N2981,7)="Explore",(AA2981-IF(LEFT(N2981,7)="Explore",S2981,0))&lt;10),"SI","NO")</f>
        <v/>
      </c>
    </row>
    <row r="2982">
      <c r="A2982" t="inlineStr">
        <is>
          <t>c7m6_test</t>
        </is>
      </c>
      <c r="B2982" t="inlineStr">
        <is>
          <t>2026-06-18 11:12:30.011</t>
        </is>
      </c>
      <c r="C2982" t="n">
        <v/>
      </c>
      <c r="D2982" t="inlineStr">
        <is>
          <t>Media file</t>
        </is>
      </c>
      <c r="E2982" t="inlineStr">
        <is>
          <t>player #1:C:/Users/manuel.felline/Documents/BEHAVIOR BTBR/NOR second cohort/BTBR/test/c7_m6.mp4</t>
        </is>
      </c>
      <c r="F2982" t="n">
        <v>-18.4</v>
      </c>
      <c r="G2982" t="n">
        <v>569.499</v>
      </c>
      <c r="H2982" t="n">
        <v>649.133</v>
      </c>
      <c r="I2982" t="n">
        <v>30</v>
      </c>
      <c r="J2982" t="inlineStr">
        <is>
          <t>BTBR</t>
        </is>
      </c>
      <c r="K2982" t="inlineStr">
        <is>
          <t>Male</t>
        </is>
      </c>
      <c r="L2982" t="inlineStr">
        <is>
          <t>No focal subject</t>
        </is>
      </c>
      <c r="M2982" t="n">
        <v>71.404</v>
      </c>
      <c r="N2982" t="inlineStr">
        <is>
          <t>Explore_N</t>
        </is>
      </c>
      <c r="O2982" t="inlineStr">
        <is>
          <t>Novelty</t>
        </is>
      </c>
      <c r="P2982" t="inlineStr">
        <is>
          <t>STATE</t>
        </is>
      </c>
      <c r="Q2982" t="n">
        <v>248.566</v>
      </c>
      <c r="R2982" t="n">
        <v>251.266</v>
      </c>
      <c r="S2982" t="n">
        <v>2.7</v>
      </c>
      <c r="T2982" t="inlineStr">
        <is>
          <t>C:/Users/manuel.felline/Documents/BEHAVIOR BTBR/NOR second cohort/BTBR/test/c7_m6.mp4</t>
        </is>
      </c>
      <c r="U2982" t="n">
        <v>7994</v>
      </c>
      <c r="V2982" t="n">
        <v>8075</v>
      </c>
      <c r="W2982" t="n">
        <v/>
      </c>
      <c r="X2982" t="n">
        <v/>
      </c>
      <c r="Y2982" t="n">
        <v/>
      </c>
      <c r="Z2982" t="n">
        <v/>
      </c>
      <c r="AA2982">
        <f>SUMIFS($S$2:S2982,$A$2:A2982,A2982,$N$2:N2982,"Explore*")</f>
        <v/>
      </c>
      <c r="AB2982">
        <f>IF(AND(LEFT(N2982,7)="Explore",(AA2982-IF(LEFT(N2982,7)="Explore",S2982,0))&lt;10),"SI","NO")</f>
        <v/>
      </c>
    </row>
    <row r="2983">
      <c r="A2983" t="inlineStr">
        <is>
          <t>c7m6_test</t>
        </is>
      </c>
      <c r="B2983" t="inlineStr">
        <is>
          <t>2026-06-18 11:12:30.011</t>
        </is>
      </c>
      <c r="C2983" t="n">
        <v/>
      </c>
      <c r="D2983" t="inlineStr">
        <is>
          <t>Media file</t>
        </is>
      </c>
      <c r="E2983" t="inlineStr">
        <is>
          <t>player #1:C:/Users/manuel.felline/Documents/BEHAVIOR BTBR/NOR second cohort/BTBR/test/c7_m6.mp4</t>
        </is>
      </c>
      <c r="F2983" t="n">
        <v>-18.4</v>
      </c>
      <c r="G2983" t="n">
        <v>569.499</v>
      </c>
      <c r="H2983" t="n">
        <v>649.133</v>
      </c>
      <c r="I2983" t="n">
        <v>30</v>
      </c>
      <c r="J2983" t="inlineStr">
        <is>
          <t>BTBR</t>
        </is>
      </c>
      <c r="K2983" t="inlineStr">
        <is>
          <t>Male</t>
        </is>
      </c>
      <c r="L2983" t="inlineStr">
        <is>
          <t>No focal subject</t>
        </is>
      </c>
      <c r="M2983" t="n">
        <v>71.404</v>
      </c>
      <c r="N2983" t="inlineStr">
        <is>
          <t>Explore_F</t>
        </is>
      </c>
      <c r="O2983" t="inlineStr">
        <is>
          <t>Familiar</t>
        </is>
      </c>
      <c r="P2983" t="inlineStr">
        <is>
          <t>STATE</t>
        </is>
      </c>
      <c r="Q2983" t="n">
        <v>252.466</v>
      </c>
      <c r="R2983" t="n">
        <v>253.033</v>
      </c>
      <c r="S2983" t="n">
        <v>0.5669999999999999</v>
      </c>
      <c r="T2983" t="inlineStr">
        <is>
          <t>C:/Users/manuel.felline/Documents/BEHAVIOR BTBR/NOR second cohort/BTBR/test/c7_m6.mp4</t>
        </is>
      </c>
      <c r="U2983" t="n">
        <v>8111</v>
      </c>
      <c r="V2983" t="n">
        <v>8128</v>
      </c>
      <c r="W2983" t="n">
        <v/>
      </c>
      <c r="X2983" t="n">
        <v/>
      </c>
      <c r="Y2983" t="n">
        <v/>
      </c>
      <c r="Z2983" t="n">
        <v/>
      </c>
      <c r="AA2983">
        <f>SUMIFS($S$2:S2983,$A$2:A2983,A2983,$N$2:N2983,"Explore*")</f>
        <v/>
      </c>
      <c r="AB2983">
        <f>IF(AND(LEFT(N2983,7)="Explore",(AA2983-IF(LEFT(N2983,7)="Explore",S2983,0))&lt;10),"SI","NO")</f>
        <v/>
      </c>
    </row>
    <row r="2984">
      <c r="A2984" t="inlineStr">
        <is>
          <t>c7m6_test</t>
        </is>
      </c>
      <c r="B2984" t="inlineStr">
        <is>
          <t>2026-06-18 11:12:30.011</t>
        </is>
      </c>
      <c r="C2984" t="n">
        <v/>
      </c>
      <c r="D2984" t="inlineStr">
        <is>
          <t>Media file</t>
        </is>
      </c>
      <c r="E2984" t="inlineStr">
        <is>
          <t>player #1:C:/Users/manuel.felline/Documents/BEHAVIOR BTBR/NOR second cohort/BTBR/test/c7_m6.mp4</t>
        </is>
      </c>
      <c r="F2984" t="n">
        <v>-18.4</v>
      </c>
      <c r="G2984" t="n">
        <v>569.499</v>
      </c>
      <c r="H2984" t="n">
        <v>649.133</v>
      </c>
      <c r="I2984" t="n">
        <v>30</v>
      </c>
      <c r="J2984" t="inlineStr">
        <is>
          <t>BTBR</t>
        </is>
      </c>
      <c r="K2984" t="inlineStr">
        <is>
          <t>Male</t>
        </is>
      </c>
      <c r="L2984" t="inlineStr">
        <is>
          <t>No focal subject</t>
        </is>
      </c>
      <c r="M2984" t="n">
        <v>71.404</v>
      </c>
      <c r="N2984" t="inlineStr">
        <is>
          <t>Explore_N</t>
        </is>
      </c>
      <c r="O2984" t="inlineStr">
        <is>
          <t>Novelty</t>
        </is>
      </c>
      <c r="P2984" t="inlineStr">
        <is>
          <t>STATE</t>
        </is>
      </c>
      <c r="Q2984" t="n">
        <v>258.033</v>
      </c>
      <c r="R2984" t="n">
        <v>258.433</v>
      </c>
      <c r="S2984" t="n">
        <v>0.4</v>
      </c>
      <c r="T2984" t="inlineStr">
        <is>
          <t>C:/Users/manuel.felline/Documents/BEHAVIOR BTBR/NOR second cohort/BTBR/test/c7_m6.mp4</t>
        </is>
      </c>
      <c r="U2984" t="n">
        <v>8277</v>
      </c>
      <c r="V2984" t="n">
        <v>8289</v>
      </c>
      <c r="W2984" t="n">
        <v/>
      </c>
      <c r="X2984" t="n">
        <v/>
      </c>
      <c r="Y2984" t="n">
        <v/>
      </c>
      <c r="Z2984" t="n">
        <v/>
      </c>
      <c r="AA2984">
        <f>SUMIFS($S$2:S2984,$A$2:A2984,A2984,$N$2:N2984,"Explore*")</f>
        <v/>
      </c>
      <c r="AB2984">
        <f>IF(AND(LEFT(N2984,7)="Explore",(AA2984-IF(LEFT(N2984,7)="Explore",S2984,0))&lt;10),"SI","NO")</f>
        <v/>
      </c>
    </row>
    <row r="2985">
      <c r="A2985" t="inlineStr">
        <is>
          <t>c7m6_test</t>
        </is>
      </c>
      <c r="B2985" t="inlineStr">
        <is>
          <t>2026-06-18 11:12:30.011</t>
        </is>
      </c>
      <c r="C2985" t="n">
        <v/>
      </c>
      <c r="D2985" t="inlineStr">
        <is>
          <t>Media file</t>
        </is>
      </c>
      <c r="E2985" t="inlineStr">
        <is>
          <t>player #1:C:/Users/manuel.felline/Documents/BEHAVIOR BTBR/NOR second cohort/BTBR/test/c7_m6.mp4</t>
        </is>
      </c>
      <c r="F2985" t="n">
        <v>-18.4</v>
      </c>
      <c r="G2985" t="n">
        <v>569.499</v>
      </c>
      <c r="H2985" t="n">
        <v>649.133</v>
      </c>
      <c r="I2985" t="n">
        <v>30</v>
      </c>
      <c r="J2985" t="inlineStr">
        <is>
          <t>BTBR</t>
        </is>
      </c>
      <c r="K2985" t="inlineStr">
        <is>
          <t>Male</t>
        </is>
      </c>
      <c r="L2985" t="inlineStr">
        <is>
          <t>No focal subject</t>
        </is>
      </c>
      <c r="M2985" t="n">
        <v>71.404</v>
      </c>
      <c r="N2985" t="inlineStr">
        <is>
          <t>Explore_N</t>
        </is>
      </c>
      <c r="O2985" t="inlineStr">
        <is>
          <t>Novelty</t>
        </is>
      </c>
      <c r="P2985" t="inlineStr">
        <is>
          <t>STATE</t>
        </is>
      </c>
      <c r="Q2985" t="n">
        <v>265.666</v>
      </c>
      <c r="R2985" t="n">
        <v>266.3</v>
      </c>
      <c r="S2985" t="n">
        <v>0.634</v>
      </c>
      <c r="T2985" t="inlineStr">
        <is>
          <t>C:/Users/manuel.felline/Documents/BEHAVIOR BTBR/NOR second cohort/BTBR/test/c7_m6.mp4</t>
        </is>
      </c>
      <c r="U2985" t="n">
        <v>8506</v>
      </c>
      <c r="V2985" t="n">
        <v>8525</v>
      </c>
      <c r="W2985" t="n">
        <v/>
      </c>
      <c r="X2985" t="n">
        <v/>
      </c>
      <c r="Y2985" t="n">
        <v/>
      </c>
      <c r="Z2985" t="n">
        <v/>
      </c>
      <c r="AA2985">
        <f>SUMIFS($S$2:S2985,$A$2:A2985,A2985,$N$2:N2985,"Explore*")</f>
        <v/>
      </c>
      <c r="AB2985">
        <f>IF(AND(LEFT(N2985,7)="Explore",(AA2985-IF(LEFT(N2985,7)="Explore",S2985,0))&lt;10),"SI","NO")</f>
        <v/>
      </c>
    </row>
    <row r="2986">
      <c r="A2986" t="inlineStr">
        <is>
          <t>c7m6_test</t>
        </is>
      </c>
      <c r="B2986" t="inlineStr">
        <is>
          <t>2026-06-18 11:12:30.011</t>
        </is>
      </c>
      <c r="C2986" t="n">
        <v/>
      </c>
      <c r="D2986" t="inlineStr">
        <is>
          <t>Media file</t>
        </is>
      </c>
      <c r="E2986" t="inlineStr">
        <is>
          <t>player #1:C:/Users/manuel.felline/Documents/BEHAVIOR BTBR/NOR second cohort/BTBR/test/c7_m6.mp4</t>
        </is>
      </c>
      <c r="F2986" t="n">
        <v>-18.4</v>
      </c>
      <c r="G2986" t="n">
        <v>569.499</v>
      </c>
      <c r="H2986" t="n">
        <v>649.133</v>
      </c>
      <c r="I2986" t="n">
        <v>30</v>
      </c>
      <c r="J2986" t="inlineStr">
        <is>
          <t>BTBR</t>
        </is>
      </c>
      <c r="K2986" t="inlineStr">
        <is>
          <t>Male</t>
        </is>
      </c>
      <c r="L2986" t="inlineStr">
        <is>
          <t>No focal subject</t>
        </is>
      </c>
      <c r="M2986" t="n">
        <v>71.404</v>
      </c>
      <c r="N2986" t="inlineStr">
        <is>
          <t>Explore_F</t>
        </is>
      </c>
      <c r="O2986" t="inlineStr">
        <is>
          <t>Familiar</t>
        </is>
      </c>
      <c r="P2986" t="inlineStr">
        <is>
          <t>STATE</t>
        </is>
      </c>
      <c r="Q2986" t="n">
        <v>269.833</v>
      </c>
      <c r="R2986" t="n">
        <v>270.266</v>
      </c>
      <c r="S2986" t="n">
        <v>0.433</v>
      </c>
      <c r="T2986" t="inlineStr">
        <is>
          <t>C:/Users/manuel.felline/Documents/BEHAVIOR BTBR/NOR second cohort/BTBR/test/c7_m6.mp4</t>
        </is>
      </c>
      <c r="U2986" t="n">
        <v>8631</v>
      </c>
      <c r="V2986" t="n">
        <v>8644</v>
      </c>
      <c r="W2986" t="n">
        <v/>
      </c>
      <c r="X2986" t="n">
        <v/>
      </c>
      <c r="Y2986" t="n">
        <v/>
      </c>
      <c r="Z2986" t="n">
        <v/>
      </c>
      <c r="AA2986">
        <f>SUMIFS($S$2:S2986,$A$2:A2986,A2986,$N$2:N2986,"Explore*")</f>
        <v/>
      </c>
      <c r="AB2986">
        <f>IF(AND(LEFT(N2986,7)="Explore",(AA2986-IF(LEFT(N2986,7)="Explore",S2986,0))&lt;10),"SI","NO")</f>
        <v/>
      </c>
    </row>
    <row r="2987">
      <c r="A2987" t="inlineStr">
        <is>
          <t>c7m6_test</t>
        </is>
      </c>
      <c r="B2987" t="inlineStr">
        <is>
          <t>2026-06-18 11:12:30.011</t>
        </is>
      </c>
      <c r="C2987" t="n">
        <v/>
      </c>
      <c r="D2987" t="inlineStr">
        <is>
          <t>Media file</t>
        </is>
      </c>
      <c r="E2987" t="inlineStr">
        <is>
          <t>player #1:C:/Users/manuel.felline/Documents/BEHAVIOR BTBR/NOR second cohort/BTBR/test/c7_m6.mp4</t>
        </is>
      </c>
      <c r="F2987" t="n">
        <v>-18.4</v>
      </c>
      <c r="G2987" t="n">
        <v>569.499</v>
      </c>
      <c r="H2987" t="n">
        <v>649.133</v>
      </c>
      <c r="I2987" t="n">
        <v>30</v>
      </c>
      <c r="J2987" t="inlineStr">
        <is>
          <t>BTBR</t>
        </is>
      </c>
      <c r="K2987" t="inlineStr">
        <is>
          <t>Male</t>
        </is>
      </c>
      <c r="L2987" t="inlineStr">
        <is>
          <t>No focal subject</t>
        </is>
      </c>
      <c r="M2987" t="n">
        <v>71.404</v>
      </c>
      <c r="N2987" t="inlineStr">
        <is>
          <t>Explore_N</t>
        </is>
      </c>
      <c r="O2987" t="inlineStr">
        <is>
          <t>Novelty</t>
        </is>
      </c>
      <c r="P2987" t="inlineStr">
        <is>
          <t>STATE</t>
        </is>
      </c>
      <c r="Q2987" t="n">
        <v>284.633</v>
      </c>
      <c r="R2987" t="n">
        <v>285.233</v>
      </c>
      <c r="S2987" t="n">
        <v>0.6</v>
      </c>
      <c r="T2987" t="inlineStr">
        <is>
          <t>C:/Users/manuel.felline/Documents/BEHAVIOR BTBR/NOR second cohort/BTBR/test/c7_m6.mp4</t>
        </is>
      </c>
      <c r="U2987" t="n">
        <v>9074</v>
      </c>
      <c r="V2987" t="n">
        <v>9092</v>
      </c>
      <c r="W2987" t="n">
        <v/>
      </c>
      <c r="X2987" t="n">
        <v/>
      </c>
      <c r="Y2987" t="n">
        <v/>
      </c>
      <c r="Z2987" t="n">
        <v/>
      </c>
      <c r="AA2987">
        <f>SUMIFS($S$2:S2987,$A$2:A2987,A2987,$N$2:N2987,"Explore*")</f>
        <v/>
      </c>
      <c r="AB2987">
        <f>IF(AND(LEFT(N2987,7)="Explore",(AA2987-IF(LEFT(N2987,7)="Explore",S2987,0))&lt;10),"SI","NO")</f>
        <v/>
      </c>
    </row>
    <row r="2988">
      <c r="A2988" t="inlineStr">
        <is>
          <t>c7m6_test</t>
        </is>
      </c>
      <c r="B2988" t="inlineStr">
        <is>
          <t>2026-06-18 11:12:30.011</t>
        </is>
      </c>
      <c r="C2988" t="n">
        <v/>
      </c>
      <c r="D2988" t="inlineStr">
        <is>
          <t>Media file</t>
        </is>
      </c>
      <c r="E2988" t="inlineStr">
        <is>
          <t>player #1:C:/Users/manuel.felline/Documents/BEHAVIOR BTBR/NOR second cohort/BTBR/test/c7_m6.mp4</t>
        </is>
      </c>
      <c r="F2988" t="n">
        <v>-18.4</v>
      </c>
      <c r="G2988" t="n">
        <v>569.499</v>
      </c>
      <c r="H2988" t="n">
        <v>649.133</v>
      </c>
      <c r="I2988" t="n">
        <v>30</v>
      </c>
      <c r="J2988" t="inlineStr">
        <is>
          <t>BTBR</t>
        </is>
      </c>
      <c r="K2988" t="inlineStr">
        <is>
          <t>Male</t>
        </is>
      </c>
      <c r="L2988" t="inlineStr">
        <is>
          <t>No focal subject</t>
        </is>
      </c>
      <c r="M2988" t="n">
        <v>71.404</v>
      </c>
      <c r="N2988" t="inlineStr">
        <is>
          <t>Explore_N</t>
        </is>
      </c>
      <c r="O2988" t="inlineStr">
        <is>
          <t>Novelty</t>
        </is>
      </c>
      <c r="P2988" t="inlineStr">
        <is>
          <t>STATE</t>
        </is>
      </c>
      <c r="Q2988" t="n">
        <v>314.666</v>
      </c>
      <c r="R2988" t="n">
        <v>316.833</v>
      </c>
      <c r="S2988" t="n">
        <v>2.167</v>
      </c>
      <c r="T2988" t="inlineStr">
        <is>
          <t>C:/Users/manuel.felline/Documents/BEHAVIOR BTBR/NOR second cohort/BTBR/test/c7_m6.mp4</t>
        </is>
      </c>
      <c r="U2988" t="n">
        <v>9973</v>
      </c>
      <c r="V2988" t="n">
        <v>10038</v>
      </c>
      <c r="W2988" t="n">
        <v/>
      </c>
      <c r="X2988" t="n">
        <v/>
      </c>
      <c r="Y2988" t="n">
        <v/>
      </c>
      <c r="Z2988" t="n">
        <v/>
      </c>
      <c r="AA2988">
        <f>SUMIFS($S$2:S2988,$A$2:A2988,A2988,$N$2:N2988,"Explore*")</f>
        <v/>
      </c>
      <c r="AB2988">
        <f>IF(AND(LEFT(N2988,7)="Explore",(AA2988-IF(LEFT(N2988,7)="Explore",S2988,0))&lt;10),"SI","NO")</f>
        <v/>
      </c>
    </row>
    <row r="2989">
      <c r="A2989" t="inlineStr">
        <is>
          <t>c7m6_test</t>
        </is>
      </c>
      <c r="B2989" t="inlineStr">
        <is>
          <t>2026-06-18 11:12:30.011</t>
        </is>
      </c>
      <c r="C2989" t="n">
        <v/>
      </c>
      <c r="D2989" t="inlineStr">
        <is>
          <t>Media file</t>
        </is>
      </c>
      <c r="E2989" t="inlineStr">
        <is>
          <t>player #1:C:/Users/manuel.felline/Documents/BEHAVIOR BTBR/NOR second cohort/BTBR/test/c7_m6.mp4</t>
        </is>
      </c>
      <c r="F2989" t="n">
        <v>-18.4</v>
      </c>
      <c r="G2989" t="n">
        <v>569.499</v>
      </c>
      <c r="H2989" t="n">
        <v>649.133</v>
      </c>
      <c r="I2989" t="n">
        <v>30</v>
      </c>
      <c r="J2989" t="inlineStr">
        <is>
          <t>BTBR</t>
        </is>
      </c>
      <c r="K2989" t="inlineStr">
        <is>
          <t>Male</t>
        </is>
      </c>
      <c r="L2989" t="inlineStr">
        <is>
          <t>No focal subject</t>
        </is>
      </c>
      <c r="M2989" t="n">
        <v>71.404</v>
      </c>
      <c r="N2989" t="inlineStr">
        <is>
          <t>Explore_F</t>
        </is>
      </c>
      <c r="O2989" t="inlineStr">
        <is>
          <t>Familiar</t>
        </is>
      </c>
      <c r="P2989" t="inlineStr">
        <is>
          <t>STATE</t>
        </is>
      </c>
      <c r="Q2989" t="n">
        <v>318.466</v>
      </c>
      <c r="R2989" t="n">
        <v>318.9</v>
      </c>
      <c r="S2989" t="n">
        <v>0.434</v>
      </c>
      <c r="T2989" t="inlineStr">
        <is>
          <t>C:/Users/manuel.felline/Documents/BEHAVIOR BTBR/NOR second cohort/BTBR/test/c7_m6.mp4</t>
        </is>
      </c>
      <c r="U2989" t="n">
        <v>10087</v>
      </c>
      <c r="V2989" t="n">
        <v>10100</v>
      </c>
      <c r="W2989" t="n">
        <v/>
      </c>
      <c r="X2989" t="n">
        <v/>
      </c>
      <c r="Y2989" t="n">
        <v/>
      </c>
      <c r="Z2989" t="n">
        <v/>
      </c>
      <c r="AA2989">
        <f>SUMIFS($S$2:S2989,$A$2:A2989,A2989,$N$2:N2989,"Explore*")</f>
        <v/>
      </c>
      <c r="AB2989">
        <f>IF(AND(LEFT(N2989,7)="Explore",(AA2989-IF(LEFT(N2989,7)="Explore",S2989,0))&lt;10),"SI","NO")</f>
        <v/>
      </c>
    </row>
    <row r="2990">
      <c r="A2990" t="inlineStr">
        <is>
          <t>c7m6_test</t>
        </is>
      </c>
      <c r="B2990" t="inlineStr">
        <is>
          <t>2026-06-18 11:12:30.011</t>
        </is>
      </c>
      <c r="C2990" t="n">
        <v/>
      </c>
      <c r="D2990" t="inlineStr">
        <is>
          <t>Media file</t>
        </is>
      </c>
      <c r="E2990" t="inlineStr">
        <is>
          <t>player #1:C:/Users/manuel.felline/Documents/BEHAVIOR BTBR/NOR second cohort/BTBR/test/c7_m6.mp4</t>
        </is>
      </c>
      <c r="F2990" t="n">
        <v>-18.4</v>
      </c>
      <c r="G2990" t="n">
        <v>569.499</v>
      </c>
      <c r="H2990" t="n">
        <v>649.133</v>
      </c>
      <c r="I2990" t="n">
        <v>30</v>
      </c>
      <c r="J2990" t="inlineStr">
        <is>
          <t>BTBR</t>
        </is>
      </c>
      <c r="K2990" t="inlineStr">
        <is>
          <t>Male</t>
        </is>
      </c>
      <c r="L2990" t="inlineStr">
        <is>
          <t>No focal subject</t>
        </is>
      </c>
      <c r="M2990" t="n">
        <v>71.404</v>
      </c>
      <c r="N2990" t="inlineStr">
        <is>
          <t>Explore_F</t>
        </is>
      </c>
      <c r="O2990" t="inlineStr">
        <is>
          <t>Familiar</t>
        </is>
      </c>
      <c r="P2990" t="inlineStr">
        <is>
          <t>STATE</t>
        </is>
      </c>
      <c r="Q2990" t="n">
        <v>337.833</v>
      </c>
      <c r="R2990" t="n">
        <v>338.266</v>
      </c>
      <c r="S2990" t="n">
        <v>0.433</v>
      </c>
      <c r="T2990" t="inlineStr">
        <is>
          <t>C:/Users/manuel.felline/Documents/BEHAVIOR BTBR/NOR second cohort/BTBR/test/c7_m6.mp4</t>
        </is>
      </c>
      <c r="U2990" t="n">
        <v>10667</v>
      </c>
      <c r="V2990" t="n">
        <v>10681</v>
      </c>
      <c r="W2990" t="n">
        <v/>
      </c>
      <c r="X2990" t="n">
        <v/>
      </c>
      <c r="Y2990" t="n">
        <v/>
      </c>
      <c r="Z2990" t="n">
        <v/>
      </c>
      <c r="AA2990">
        <f>SUMIFS($S$2:S2990,$A$2:A2990,A2990,$N$2:N2990,"Explore*")</f>
        <v/>
      </c>
      <c r="AB2990">
        <f>IF(AND(LEFT(N2990,7)="Explore",(AA2990-IF(LEFT(N2990,7)="Explore",S2990,0))&lt;10),"SI","NO")</f>
        <v/>
      </c>
    </row>
    <row r="2991">
      <c r="A2991" t="inlineStr">
        <is>
          <t>c7m6_test</t>
        </is>
      </c>
      <c r="B2991" t="inlineStr">
        <is>
          <t>2026-06-18 11:12:30.011</t>
        </is>
      </c>
      <c r="C2991" t="n">
        <v/>
      </c>
      <c r="D2991" t="inlineStr">
        <is>
          <t>Media file</t>
        </is>
      </c>
      <c r="E2991" t="inlineStr">
        <is>
          <t>player #1:C:/Users/manuel.felline/Documents/BEHAVIOR BTBR/NOR second cohort/BTBR/test/c7_m6.mp4</t>
        </is>
      </c>
      <c r="F2991" t="n">
        <v>-18.4</v>
      </c>
      <c r="G2991" t="n">
        <v>569.499</v>
      </c>
      <c r="H2991" t="n">
        <v>649.133</v>
      </c>
      <c r="I2991" t="n">
        <v>30</v>
      </c>
      <c r="J2991" t="inlineStr">
        <is>
          <t>BTBR</t>
        </is>
      </c>
      <c r="K2991" t="inlineStr">
        <is>
          <t>Male</t>
        </is>
      </c>
      <c r="L2991" t="inlineStr">
        <is>
          <t>No focal subject</t>
        </is>
      </c>
      <c r="M2991" t="n">
        <v>71.404</v>
      </c>
      <c r="N2991" t="inlineStr">
        <is>
          <t>Explore_F</t>
        </is>
      </c>
      <c r="O2991" t="inlineStr">
        <is>
          <t>Familiar</t>
        </is>
      </c>
      <c r="P2991" t="inlineStr">
        <is>
          <t>STATE</t>
        </is>
      </c>
      <c r="Q2991" t="n">
        <v>348.866</v>
      </c>
      <c r="R2991" t="n">
        <v>349.333</v>
      </c>
      <c r="S2991" t="n">
        <v>0.467</v>
      </c>
      <c r="T2991" t="inlineStr">
        <is>
          <t>C:/Users/manuel.felline/Documents/BEHAVIOR BTBR/NOR second cohort/BTBR/test/c7_m6.mp4</t>
        </is>
      </c>
      <c r="U2991" t="n">
        <v>10997</v>
      </c>
      <c r="V2991" t="n">
        <v>11011</v>
      </c>
      <c r="W2991" t="n">
        <v/>
      </c>
      <c r="X2991" t="n">
        <v/>
      </c>
      <c r="Y2991" t="n">
        <v/>
      </c>
      <c r="Z2991" t="n">
        <v/>
      </c>
      <c r="AA2991">
        <f>SUMIFS($S$2:S2991,$A$2:A2991,A2991,$N$2:N2991,"Explore*")</f>
        <v/>
      </c>
      <c r="AB2991">
        <f>IF(AND(LEFT(N2991,7)="Explore",(AA2991-IF(LEFT(N2991,7)="Explore",S2991,0))&lt;10),"SI","NO")</f>
        <v/>
      </c>
    </row>
    <row r="2992">
      <c r="A2992" t="inlineStr">
        <is>
          <t>c7m6_test</t>
        </is>
      </c>
      <c r="B2992" t="inlineStr">
        <is>
          <t>2026-06-18 11:12:30.011</t>
        </is>
      </c>
      <c r="C2992" t="n">
        <v/>
      </c>
      <c r="D2992" t="inlineStr">
        <is>
          <t>Media file</t>
        </is>
      </c>
      <c r="E2992" t="inlineStr">
        <is>
          <t>player #1:C:/Users/manuel.felline/Documents/BEHAVIOR BTBR/NOR second cohort/BTBR/test/c7_m6.mp4</t>
        </is>
      </c>
      <c r="F2992" t="n">
        <v>-18.4</v>
      </c>
      <c r="G2992" t="n">
        <v>569.499</v>
      </c>
      <c r="H2992" t="n">
        <v>649.133</v>
      </c>
      <c r="I2992" t="n">
        <v>30</v>
      </c>
      <c r="J2992" t="inlineStr">
        <is>
          <t>BTBR</t>
        </is>
      </c>
      <c r="K2992" t="inlineStr">
        <is>
          <t>Male</t>
        </is>
      </c>
      <c r="L2992" t="inlineStr">
        <is>
          <t>No focal subject</t>
        </is>
      </c>
      <c r="M2992" t="n">
        <v>71.404</v>
      </c>
      <c r="N2992" t="inlineStr">
        <is>
          <t>Explore_N</t>
        </is>
      </c>
      <c r="O2992" t="inlineStr">
        <is>
          <t>Novelty</t>
        </is>
      </c>
      <c r="P2992" t="inlineStr">
        <is>
          <t>STATE</t>
        </is>
      </c>
      <c r="Q2992" t="n">
        <v>353.666</v>
      </c>
      <c r="R2992" t="n">
        <v>355.233</v>
      </c>
      <c r="S2992" t="n">
        <v>1.567</v>
      </c>
      <c r="T2992" t="inlineStr">
        <is>
          <t>C:/Users/manuel.felline/Documents/BEHAVIOR BTBR/NOR second cohort/BTBR/test/c7_m6.mp4</t>
        </is>
      </c>
      <c r="U2992" t="n">
        <v>11141</v>
      </c>
      <c r="V2992" t="n">
        <v>11188</v>
      </c>
      <c r="W2992" t="n">
        <v/>
      </c>
      <c r="X2992" t="n">
        <v/>
      </c>
      <c r="Y2992" t="n">
        <v/>
      </c>
      <c r="Z2992" t="n">
        <v/>
      </c>
      <c r="AA2992">
        <f>SUMIFS($S$2:S2992,$A$2:A2992,A2992,$N$2:N2992,"Explore*")</f>
        <v/>
      </c>
      <c r="AB2992">
        <f>IF(AND(LEFT(N2992,7)="Explore",(AA2992-IF(LEFT(N2992,7)="Explore",S2992,0))&lt;10),"SI","NO")</f>
        <v/>
      </c>
    </row>
    <row r="2993">
      <c r="A2993" t="inlineStr">
        <is>
          <t>c7m6_test</t>
        </is>
      </c>
      <c r="B2993" t="inlineStr">
        <is>
          <t>2026-06-18 11:12:30.011</t>
        </is>
      </c>
      <c r="C2993" t="n">
        <v/>
      </c>
      <c r="D2993" t="inlineStr">
        <is>
          <t>Media file</t>
        </is>
      </c>
      <c r="E2993" t="inlineStr">
        <is>
          <t>player #1:C:/Users/manuel.felline/Documents/BEHAVIOR BTBR/NOR second cohort/BTBR/test/c7_m6.mp4</t>
        </is>
      </c>
      <c r="F2993" t="n">
        <v>-18.4</v>
      </c>
      <c r="G2993" t="n">
        <v>569.499</v>
      </c>
      <c r="H2993" t="n">
        <v>649.133</v>
      </c>
      <c r="I2993" t="n">
        <v>30</v>
      </c>
      <c r="J2993" t="inlineStr">
        <is>
          <t>BTBR</t>
        </is>
      </c>
      <c r="K2993" t="inlineStr">
        <is>
          <t>Male</t>
        </is>
      </c>
      <c r="L2993" t="inlineStr">
        <is>
          <t>No focal subject</t>
        </is>
      </c>
      <c r="M2993" t="n">
        <v>71.404</v>
      </c>
      <c r="N2993" t="inlineStr">
        <is>
          <t>Explore_N</t>
        </is>
      </c>
      <c r="O2993" t="inlineStr">
        <is>
          <t>Novelty</t>
        </is>
      </c>
      <c r="P2993" t="inlineStr">
        <is>
          <t>STATE</t>
        </is>
      </c>
      <c r="Q2993" t="n">
        <v>356.466</v>
      </c>
      <c r="R2993" t="n">
        <v>357.666</v>
      </c>
      <c r="S2993" t="n">
        <v>1.2</v>
      </c>
      <c r="T2993" t="inlineStr">
        <is>
          <t>C:/Users/manuel.felline/Documents/BEHAVIOR BTBR/NOR second cohort/BTBR/test/c7_m6.mp4</t>
        </is>
      </c>
      <c r="U2993" t="n">
        <v>11225</v>
      </c>
      <c r="V2993" t="n">
        <v>11261</v>
      </c>
      <c r="W2993" t="n">
        <v/>
      </c>
      <c r="X2993" t="n">
        <v/>
      </c>
      <c r="Y2993" t="n">
        <v/>
      </c>
      <c r="Z2993" t="n">
        <v/>
      </c>
      <c r="AA2993">
        <f>SUMIFS($S$2:S2993,$A$2:A2993,A2993,$N$2:N2993,"Explore*")</f>
        <v/>
      </c>
      <c r="AB2993">
        <f>IF(AND(LEFT(N2993,7)="Explore",(AA2993-IF(LEFT(N2993,7)="Explore",S2993,0))&lt;10),"SI","NO")</f>
        <v/>
      </c>
    </row>
    <row r="2994">
      <c r="A2994" t="inlineStr">
        <is>
          <t>c7m6_test</t>
        </is>
      </c>
      <c r="B2994" t="inlineStr">
        <is>
          <t>2026-06-18 11:12:30.011</t>
        </is>
      </c>
      <c r="C2994" t="n">
        <v/>
      </c>
      <c r="D2994" t="inlineStr">
        <is>
          <t>Media file</t>
        </is>
      </c>
      <c r="E2994" t="inlineStr">
        <is>
          <t>player #1:C:/Users/manuel.felline/Documents/BEHAVIOR BTBR/NOR second cohort/BTBR/test/c7_m6.mp4</t>
        </is>
      </c>
      <c r="F2994" t="n">
        <v>-18.4</v>
      </c>
      <c r="G2994" t="n">
        <v>569.499</v>
      </c>
      <c r="H2994" t="n">
        <v>649.133</v>
      </c>
      <c r="I2994" t="n">
        <v>30</v>
      </c>
      <c r="J2994" t="inlineStr">
        <is>
          <t>BTBR</t>
        </is>
      </c>
      <c r="K2994" t="inlineStr">
        <is>
          <t>Male</t>
        </is>
      </c>
      <c r="L2994" t="inlineStr">
        <is>
          <t>No focal subject</t>
        </is>
      </c>
      <c r="M2994" t="n">
        <v>71.404</v>
      </c>
      <c r="N2994" t="inlineStr">
        <is>
          <t>Explore_F</t>
        </is>
      </c>
      <c r="O2994" t="inlineStr">
        <is>
          <t>Familiar</t>
        </is>
      </c>
      <c r="P2994" t="inlineStr">
        <is>
          <t>STATE</t>
        </is>
      </c>
      <c r="Q2994" t="n">
        <v>370.966</v>
      </c>
      <c r="R2994" t="n">
        <v>371.366</v>
      </c>
      <c r="S2994" t="n">
        <v>0.4</v>
      </c>
      <c r="T2994" t="inlineStr">
        <is>
          <t>C:/Users/manuel.felline/Documents/BEHAVIOR BTBR/NOR second cohort/BTBR/test/c7_m6.mp4</t>
        </is>
      </c>
      <c r="U2994" t="n">
        <v>11659</v>
      </c>
      <c r="V2994" t="n">
        <v>11671</v>
      </c>
      <c r="W2994" t="n">
        <v/>
      </c>
      <c r="X2994" t="n">
        <v/>
      </c>
      <c r="Y2994" t="n">
        <v/>
      </c>
      <c r="Z2994" t="n">
        <v/>
      </c>
      <c r="AA2994">
        <f>SUMIFS($S$2:S2994,$A$2:A2994,A2994,$N$2:N2994,"Explore*")</f>
        <v/>
      </c>
      <c r="AB2994">
        <f>IF(AND(LEFT(N2994,7)="Explore",(AA2994-IF(LEFT(N2994,7)="Explore",S2994,0))&lt;10),"SI","NO")</f>
        <v/>
      </c>
    </row>
    <row r="2995">
      <c r="A2995" t="inlineStr">
        <is>
          <t>c7m6_test</t>
        </is>
      </c>
      <c r="B2995" t="inlineStr">
        <is>
          <t>2026-06-18 11:12:30.011</t>
        </is>
      </c>
      <c r="C2995" t="n">
        <v/>
      </c>
      <c r="D2995" t="inlineStr">
        <is>
          <t>Media file</t>
        </is>
      </c>
      <c r="E2995" t="inlineStr">
        <is>
          <t>player #1:C:/Users/manuel.felline/Documents/BEHAVIOR BTBR/NOR second cohort/BTBR/test/c7_m6.mp4</t>
        </is>
      </c>
      <c r="F2995" t="n">
        <v>-18.4</v>
      </c>
      <c r="G2995" t="n">
        <v>569.499</v>
      </c>
      <c r="H2995" t="n">
        <v>649.133</v>
      </c>
      <c r="I2995" t="n">
        <v>30</v>
      </c>
      <c r="J2995" t="inlineStr">
        <is>
          <t>BTBR</t>
        </is>
      </c>
      <c r="K2995" t="inlineStr">
        <is>
          <t>Male</t>
        </is>
      </c>
      <c r="L2995" t="inlineStr">
        <is>
          <t>No focal subject</t>
        </is>
      </c>
      <c r="M2995" t="n">
        <v>71.404</v>
      </c>
      <c r="N2995" t="inlineStr">
        <is>
          <t>Explore_N</t>
        </is>
      </c>
      <c r="O2995" t="inlineStr">
        <is>
          <t>Novelty</t>
        </is>
      </c>
      <c r="P2995" t="inlineStr">
        <is>
          <t>STATE</t>
        </is>
      </c>
      <c r="Q2995" t="n">
        <v>382.266</v>
      </c>
      <c r="R2995" t="n">
        <v>383.233</v>
      </c>
      <c r="S2995" t="n">
        <v>0.967</v>
      </c>
      <c r="T2995" t="inlineStr">
        <is>
          <t>C:/Users/manuel.felline/Documents/BEHAVIOR BTBR/NOR second cohort/BTBR/test/c7_m6.mp4</t>
        </is>
      </c>
      <c r="U2995" t="n">
        <v>11997</v>
      </c>
      <c r="V2995" t="n">
        <v>12026</v>
      </c>
      <c r="W2995" t="n">
        <v/>
      </c>
      <c r="X2995" t="n">
        <v/>
      </c>
      <c r="Y2995" t="n">
        <v/>
      </c>
      <c r="Z2995" t="n">
        <v/>
      </c>
      <c r="AA2995">
        <f>SUMIFS($S$2:S2995,$A$2:A2995,A2995,$N$2:N2995,"Explore*")</f>
        <v/>
      </c>
      <c r="AB2995">
        <f>IF(AND(LEFT(N2995,7)="Explore",(AA2995-IF(LEFT(N2995,7)="Explore",S2995,0))&lt;10),"SI","NO")</f>
        <v/>
      </c>
    </row>
    <row r="2996">
      <c r="A2996" t="inlineStr">
        <is>
          <t>c7m6_test</t>
        </is>
      </c>
      <c r="B2996" t="inlineStr">
        <is>
          <t>2026-06-18 11:12:30.011</t>
        </is>
      </c>
      <c r="C2996" t="n">
        <v/>
      </c>
      <c r="D2996" t="inlineStr">
        <is>
          <t>Media file</t>
        </is>
      </c>
      <c r="E2996" t="inlineStr">
        <is>
          <t>player #1:C:/Users/manuel.felline/Documents/BEHAVIOR BTBR/NOR second cohort/BTBR/test/c7_m6.mp4</t>
        </is>
      </c>
      <c r="F2996" t="n">
        <v>-18.4</v>
      </c>
      <c r="G2996" t="n">
        <v>569.499</v>
      </c>
      <c r="H2996" t="n">
        <v>649.133</v>
      </c>
      <c r="I2996" t="n">
        <v>30</v>
      </c>
      <c r="J2996" t="inlineStr">
        <is>
          <t>BTBR</t>
        </is>
      </c>
      <c r="K2996" t="inlineStr">
        <is>
          <t>Male</t>
        </is>
      </c>
      <c r="L2996" t="inlineStr">
        <is>
          <t>No focal subject</t>
        </is>
      </c>
      <c r="M2996" t="n">
        <v>71.404</v>
      </c>
      <c r="N2996" t="inlineStr">
        <is>
          <t>Explore_F</t>
        </is>
      </c>
      <c r="O2996" t="inlineStr">
        <is>
          <t>Familiar</t>
        </is>
      </c>
      <c r="P2996" t="inlineStr">
        <is>
          <t>STATE</t>
        </is>
      </c>
      <c r="Q2996" t="n">
        <v>393.733</v>
      </c>
      <c r="R2996" t="n">
        <v>394.166</v>
      </c>
      <c r="S2996" t="n">
        <v>0.433</v>
      </c>
      <c r="T2996" t="inlineStr">
        <is>
          <t>C:/Users/manuel.felline/Documents/BEHAVIOR BTBR/NOR second cohort/BTBR/test/c7_m6.mp4</t>
        </is>
      </c>
      <c r="U2996" t="n">
        <v>12341</v>
      </c>
      <c r="V2996" t="n">
        <v>12354</v>
      </c>
      <c r="W2996" t="n">
        <v/>
      </c>
      <c r="X2996" t="n">
        <v/>
      </c>
      <c r="Y2996" t="n">
        <v/>
      </c>
      <c r="Z2996" t="n">
        <v/>
      </c>
      <c r="AA2996">
        <f>SUMIFS($S$2:S2996,$A$2:A2996,A2996,$N$2:N2996,"Explore*")</f>
        <v/>
      </c>
      <c r="AB2996">
        <f>IF(AND(LEFT(N2996,7)="Explore",(AA2996-IF(LEFT(N2996,7)="Explore",S2996,0))&lt;10),"SI","NO")</f>
        <v/>
      </c>
    </row>
    <row r="2997">
      <c r="A2997" t="inlineStr">
        <is>
          <t>c7m6_test</t>
        </is>
      </c>
      <c r="B2997" t="inlineStr">
        <is>
          <t>2026-06-18 11:12:30.011</t>
        </is>
      </c>
      <c r="C2997" t="n">
        <v/>
      </c>
      <c r="D2997" t="inlineStr">
        <is>
          <t>Media file</t>
        </is>
      </c>
      <c r="E2997" t="inlineStr">
        <is>
          <t>player #1:C:/Users/manuel.felline/Documents/BEHAVIOR BTBR/NOR second cohort/BTBR/test/c7_m6.mp4</t>
        </is>
      </c>
      <c r="F2997" t="n">
        <v>-18.4</v>
      </c>
      <c r="G2997" t="n">
        <v>569.499</v>
      </c>
      <c r="H2997" t="n">
        <v>649.133</v>
      </c>
      <c r="I2997" t="n">
        <v>30</v>
      </c>
      <c r="J2997" t="inlineStr">
        <is>
          <t>BTBR</t>
        </is>
      </c>
      <c r="K2997" t="inlineStr">
        <is>
          <t>Male</t>
        </is>
      </c>
      <c r="L2997" t="inlineStr">
        <is>
          <t>No focal subject</t>
        </is>
      </c>
      <c r="M2997" t="n">
        <v>71.404</v>
      </c>
      <c r="N2997" t="inlineStr">
        <is>
          <t>Explore_N</t>
        </is>
      </c>
      <c r="O2997" t="inlineStr">
        <is>
          <t>Novelty</t>
        </is>
      </c>
      <c r="P2997" t="inlineStr">
        <is>
          <t>STATE</t>
        </is>
      </c>
      <c r="Q2997" t="n">
        <v>398.2</v>
      </c>
      <c r="R2997" t="n">
        <v>398.533</v>
      </c>
      <c r="S2997" t="n">
        <v>0.333</v>
      </c>
      <c r="T2997" t="inlineStr">
        <is>
          <t>C:/Users/manuel.felline/Documents/BEHAVIOR BTBR/NOR second cohort/BTBR/test/c7_m6.mp4</t>
        </is>
      </c>
      <c r="U2997" t="n">
        <v>12475</v>
      </c>
      <c r="V2997" t="n">
        <v>12485</v>
      </c>
      <c r="W2997" t="n">
        <v/>
      </c>
      <c r="X2997" t="n">
        <v/>
      </c>
      <c r="Y2997" t="n">
        <v/>
      </c>
      <c r="Z2997" t="n">
        <v/>
      </c>
      <c r="AA2997">
        <f>SUMIFS($S$2:S2997,$A$2:A2997,A2997,$N$2:N2997,"Explore*")</f>
        <v/>
      </c>
      <c r="AB2997">
        <f>IF(AND(LEFT(N2997,7)="Explore",(AA2997-IF(LEFT(N2997,7)="Explore",S2997,0))&lt;10),"SI","NO")</f>
        <v/>
      </c>
    </row>
    <row r="2998">
      <c r="A2998" t="inlineStr">
        <is>
          <t>c7m6_test</t>
        </is>
      </c>
      <c r="B2998" t="inlineStr">
        <is>
          <t>2026-06-18 11:12:30.011</t>
        </is>
      </c>
      <c r="C2998" t="n">
        <v/>
      </c>
      <c r="D2998" t="inlineStr">
        <is>
          <t>Media file</t>
        </is>
      </c>
      <c r="E2998" t="inlineStr">
        <is>
          <t>player #1:C:/Users/manuel.felline/Documents/BEHAVIOR BTBR/NOR second cohort/BTBR/test/c7_m6.mp4</t>
        </is>
      </c>
      <c r="F2998" t="n">
        <v>-18.4</v>
      </c>
      <c r="G2998" t="n">
        <v>569.499</v>
      </c>
      <c r="H2998" t="n">
        <v>649.133</v>
      </c>
      <c r="I2998" t="n">
        <v>30</v>
      </c>
      <c r="J2998" t="inlineStr">
        <is>
          <t>BTBR</t>
        </is>
      </c>
      <c r="K2998" t="inlineStr">
        <is>
          <t>Male</t>
        </is>
      </c>
      <c r="L2998" t="inlineStr">
        <is>
          <t>No focal subject</t>
        </is>
      </c>
      <c r="M2998" t="n">
        <v>71.404</v>
      </c>
      <c r="N2998" t="inlineStr">
        <is>
          <t>Explore_F</t>
        </is>
      </c>
      <c r="O2998" t="inlineStr">
        <is>
          <t>Familiar</t>
        </is>
      </c>
      <c r="P2998" t="inlineStr">
        <is>
          <t>STATE</t>
        </is>
      </c>
      <c r="Q2998" t="n">
        <v>402.9</v>
      </c>
      <c r="R2998" t="n">
        <v>403.266</v>
      </c>
      <c r="S2998" t="n">
        <v>0.366</v>
      </c>
      <c r="T2998" t="inlineStr">
        <is>
          <t>C:/Users/manuel.felline/Documents/BEHAVIOR BTBR/NOR second cohort/BTBR/test/c7_m6.mp4</t>
        </is>
      </c>
      <c r="U2998" t="n">
        <v>12615</v>
      </c>
      <c r="V2998" t="n">
        <v>12626</v>
      </c>
      <c r="W2998" t="n">
        <v/>
      </c>
      <c r="X2998" t="n">
        <v/>
      </c>
      <c r="Y2998" t="n">
        <v/>
      </c>
      <c r="Z2998" t="n">
        <v/>
      </c>
      <c r="AA2998">
        <f>SUMIFS($S$2:S2998,$A$2:A2998,A2998,$N$2:N2998,"Explore*")</f>
        <v/>
      </c>
      <c r="AB2998">
        <f>IF(AND(LEFT(N2998,7)="Explore",(AA2998-IF(LEFT(N2998,7)="Explore",S2998,0))&lt;10),"SI","NO")</f>
        <v/>
      </c>
    </row>
    <row r="2999">
      <c r="A2999" t="inlineStr">
        <is>
          <t>c7m6_test</t>
        </is>
      </c>
      <c r="B2999" t="inlineStr">
        <is>
          <t>2026-06-18 11:12:30.011</t>
        </is>
      </c>
      <c r="C2999" t="n">
        <v/>
      </c>
      <c r="D2999" t="inlineStr">
        <is>
          <t>Media file</t>
        </is>
      </c>
      <c r="E2999" t="inlineStr">
        <is>
          <t>player #1:C:/Users/manuel.felline/Documents/BEHAVIOR BTBR/NOR second cohort/BTBR/test/c7_m6.mp4</t>
        </is>
      </c>
      <c r="F2999" t="n">
        <v>-18.4</v>
      </c>
      <c r="G2999" t="n">
        <v>569.499</v>
      </c>
      <c r="H2999" t="n">
        <v>649.133</v>
      </c>
      <c r="I2999" t="n">
        <v>30</v>
      </c>
      <c r="J2999" t="inlineStr">
        <is>
          <t>BTBR</t>
        </is>
      </c>
      <c r="K2999" t="inlineStr">
        <is>
          <t>Male</t>
        </is>
      </c>
      <c r="L2999" t="inlineStr">
        <is>
          <t>No focal subject</t>
        </is>
      </c>
      <c r="M2999" t="n">
        <v>71.404</v>
      </c>
      <c r="N2999" t="inlineStr">
        <is>
          <t>Explore_N</t>
        </is>
      </c>
      <c r="O2999" t="inlineStr">
        <is>
          <t>Novelty</t>
        </is>
      </c>
      <c r="P2999" t="inlineStr">
        <is>
          <t>STATE</t>
        </is>
      </c>
      <c r="Q2999" t="n">
        <v>415.533</v>
      </c>
      <c r="R2999" t="n">
        <v>417.166</v>
      </c>
      <c r="S2999" t="n">
        <v>1.633</v>
      </c>
      <c r="T2999" t="inlineStr">
        <is>
          <t>C:/Users/manuel.felline/Documents/BEHAVIOR BTBR/NOR second cohort/BTBR/test/c7_m6.mp4</t>
        </is>
      </c>
      <c r="U2999" t="n">
        <v>12994</v>
      </c>
      <c r="V2999" t="n">
        <v>13042</v>
      </c>
      <c r="W2999" t="n">
        <v/>
      </c>
      <c r="X2999" t="n">
        <v/>
      </c>
      <c r="Y2999" t="n">
        <v/>
      </c>
      <c r="Z2999" t="n">
        <v/>
      </c>
      <c r="AA2999">
        <f>SUMIFS($S$2:S2999,$A$2:A2999,A2999,$N$2:N2999,"Explore*")</f>
        <v/>
      </c>
      <c r="AB2999">
        <f>IF(AND(LEFT(N2999,7)="Explore",(AA2999-IF(LEFT(N2999,7)="Explore",S2999,0))&lt;10),"SI","NO")</f>
        <v/>
      </c>
    </row>
    <row r="3000">
      <c r="A3000" t="inlineStr">
        <is>
          <t>c7m6_test</t>
        </is>
      </c>
      <c r="B3000" t="inlineStr">
        <is>
          <t>2026-06-18 11:12:30.011</t>
        </is>
      </c>
      <c r="C3000" t="n">
        <v/>
      </c>
      <c r="D3000" t="inlineStr">
        <is>
          <t>Media file</t>
        </is>
      </c>
      <c r="E3000" t="inlineStr">
        <is>
          <t>player #1:C:/Users/manuel.felline/Documents/BEHAVIOR BTBR/NOR second cohort/BTBR/test/c7_m6.mp4</t>
        </is>
      </c>
      <c r="F3000" t="n">
        <v>-18.4</v>
      </c>
      <c r="G3000" t="n">
        <v>569.499</v>
      </c>
      <c r="H3000" t="n">
        <v>649.133</v>
      </c>
      <c r="I3000" t="n">
        <v>30</v>
      </c>
      <c r="J3000" t="inlineStr">
        <is>
          <t>BTBR</t>
        </is>
      </c>
      <c r="K3000" t="inlineStr">
        <is>
          <t>Male</t>
        </is>
      </c>
      <c r="L3000" t="inlineStr">
        <is>
          <t>No focal subject</t>
        </is>
      </c>
      <c r="M3000" t="n">
        <v>71.404</v>
      </c>
      <c r="N3000" t="inlineStr">
        <is>
          <t>Explore_F</t>
        </is>
      </c>
      <c r="O3000" t="inlineStr">
        <is>
          <t>Familiar</t>
        </is>
      </c>
      <c r="P3000" t="inlineStr">
        <is>
          <t>STATE</t>
        </is>
      </c>
      <c r="Q3000" t="n">
        <v>426.666</v>
      </c>
      <c r="R3000" t="n">
        <v>427.033</v>
      </c>
      <c r="S3000" t="n">
        <v>0.367</v>
      </c>
      <c r="T3000" t="inlineStr">
        <is>
          <t>C:/Users/manuel.felline/Documents/BEHAVIOR BTBR/NOR second cohort/BTBR/test/c7_m6.mp4</t>
        </is>
      </c>
      <c r="U3000" t="n">
        <v>13327</v>
      </c>
      <c r="V3000" t="n">
        <v>13338</v>
      </c>
      <c r="W3000" t="n">
        <v/>
      </c>
      <c r="X3000" t="n">
        <v/>
      </c>
      <c r="Y3000" t="n">
        <v/>
      </c>
      <c r="Z3000" t="n">
        <v/>
      </c>
      <c r="AA3000">
        <f>SUMIFS($S$2:S3000,$A$2:A3000,A3000,$N$2:N3000,"Explore*")</f>
        <v/>
      </c>
      <c r="AB3000">
        <f>IF(AND(LEFT(N3000,7)="Explore",(AA3000-IF(LEFT(N3000,7)="Explore",S3000,0))&lt;10),"SI","NO")</f>
        <v/>
      </c>
    </row>
    <row r="3001">
      <c r="A3001" t="inlineStr">
        <is>
          <t>c7m6_test</t>
        </is>
      </c>
      <c r="B3001" t="inlineStr">
        <is>
          <t>2026-06-18 11:12:30.011</t>
        </is>
      </c>
      <c r="C3001" t="n">
        <v/>
      </c>
      <c r="D3001" t="inlineStr">
        <is>
          <t>Media file</t>
        </is>
      </c>
      <c r="E3001" t="inlineStr">
        <is>
          <t>player #1:C:/Users/manuel.felline/Documents/BEHAVIOR BTBR/NOR second cohort/BTBR/test/c7_m6.mp4</t>
        </is>
      </c>
      <c r="F3001" t="n">
        <v>-18.4</v>
      </c>
      <c r="G3001" t="n">
        <v>569.499</v>
      </c>
      <c r="H3001" t="n">
        <v>649.133</v>
      </c>
      <c r="I3001" t="n">
        <v>30</v>
      </c>
      <c r="J3001" t="inlineStr">
        <is>
          <t>BTBR</t>
        </is>
      </c>
      <c r="K3001" t="inlineStr">
        <is>
          <t>Male</t>
        </is>
      </c>
      <c r="L3001" t="inlineStr">
        <is>
          <t>No focal subject</t>
        </is>
      </c>
      <c r="M3001" t="n">
        <v>71.404</v>
      </c>
      <c r="N3001" t="inlineStr">
        <is>
          <t>Explore_F</t>
        </is>
      </c>
      <c r="O3001" t="inlineStr">
        <is>
          <t>Familiar</t>
        </is>
      </c>
      <c r="P3001" t="inlineStr">
        <is>
          <t>STATE</t>
        </is>
      </c>
      <c r="Q3001" t="n">
        <v>435.5</v>
      </c>
      <c r="R3001" t="n">
        <v>435.833</v>
      </c>
      <c r="S3001" t="n">
        <v>0.333</v>
      </c>
      <c r="T3001" t="inlineStr">
        <is>
          <t>C:/Users/manuel.felline/Documents/BEHAVIOR BTBR/NOR second cohort/BTBR/test/c7_m6.mp4</t>
        </is>
      </c>
      <c r="U3001" t="n">
        <v>13591</v>
      </c>
      <c r="V3001" t="n">
        <v>13601</v>
      </c>
      <c r="W3001" t="n">
        <v/>
      </c>
      <c r="X3001" t="n">
        <v/>
      </c>
      <c r="Y3001" t="n">
        <v/>
      </c>
      <c r="Z3001" t="n">
        <v/>
      </c>
      <c r="AA3001">
        <f>SUMIFS($S$2:S3001,$A$2:A3001,A3001,$N$2:N3001,"Explore*")</f>
        <v/>
      </c>
      <c r="AB3001">
        <f>IF(AND(LEFT(N3001,7)="Explore",(AA3001-IF(LEFT(N3001,7)="Explore",S3001,0))&lt;10),"SI","NO")</f>
        <v/>
      </c>
    </row>
    <row r="3002">
      <c r="A3002" t="inlineStr">
        <is>
          <t>c7m6_test</t>
        </is>
      </c>
      <c r="B3002" t="inlineStr">
        <is>
          <t>2026-06-18 11:12:30.011</t>
        </is>
      </c>
      <c r="C3002" t="n">
        <v/>
      </c>
      <c r="D3002" t="inlineStr">
        <is>
          <t>Media file</t>
        </is>
      </c>
      <c r="E3002" t="inlineStr">
        <is>
          <t>player #1:C:/Users/manuel.felline/Documents/BEHAVIOR BTBR/NOR second cohort/BTBR/test/c7_m6.mp4</t>
        </is>
      </c>
      <c r="F3002" t="n">
        <v>-18.4</v>
      </c>
      <c r="G3002" t="n">
        <v>569.499</v>
      </c>
      <c r="H3002" t="n">
        <v>649.133</v>
      </c>
      <c r="I3002" t="n">
        <v>30</v>
      </c>
      <c r="J3002" t="inlineStr">
        <is>
          <t>BTBR</t>
        </is>
      </c>
      <c r="K3002" t="inlineStr">
        <is>
          <t>Male</t>
        </is>
      </c>
      <c r="L3002" t="inlineStr">
        <is>
          <t>No focal subject</t>
        </is>
      </c>
      <c r="M3002" t="n">
        <v>71.404</v>
      </c>
      <c r="N3002" t="inlineStr">
        <is>
          <t>Explore_N</t>
        </is>
      </c>
      <c r="O3002" t="inlineStr">
        <is>
          <t>Novelty</t>
        </is>
      </c>
      <c r="P3002" t="inlineStr">
        <is>
          <t>STATE</t>
        </is>
      </c>
      <c r="Q3002" t="n">
        <v>438.8</v>
      </c>
      <c r="R3002" t="n">
        <v>439.966</v>
      </c>
      <c r="S3002" t="n">
        <v>1.166</v>
      </c>
      <c r="T3002" t="inlineStr">
        <is>
          <t>C:/Users/manuel.felline/Documents/BEHAVIOR BTBR/NOR second cohort/BTBR/test/c7_m6.mp4</t>
        </is>
      </c>
      <c r="U3002" t="n">
        <v>13690</v>
      </c>
      <c r="V3002" t="n">
        <v>13725</v>
      </c>
      <c r="W3002" t="n">
        <v/>
      </c>
      <c r="X3002" t="n">
        <v/>
      </c>
      <c r="Y3002" t="n">
        <v/>
      </c>
      <c r="Z3002" t="n">
        <v/>
      </c>
      <c r="AA3002">
        <f>SUMIFS($S$2:S3002,$A$2:A3002,A3002,$N$2:N3002,"Explore*")</f>
        <v/>
      </c>
      <c r="AB3002">
        <f>IF(AND(LEFT(N3002,7)="Explore",(AA3002-IF(LEFT(N3002,7)="Explore",S3002,0))&lt;10),"SI","NO")</f>
        <v/>
      </c>
    </row>
    <row r="3003">
      <c r="A3003" t="inlineStr">
        <is>
          <t>c7m6_test</t>
        </is>
      </c>
      <c r="B3003" t="inlineStr">
        <is>
          <t>2026-06-18 11:12:30.011</t>
        </is>
      </c>
      <c r="C3003" t="n">
        <v/>
      </c>
      <c r="D3003" t="inlineStr">
        <is>
          <t>Media file</t>
        </is>
      </c>
      <c r="E3003" t="inlineStr">
        <is>
          <t>player #1:C:/Users/manuel.felline/Documents/BEHAVIOR BTBR/NOR second cohort/BTBR/test/c7_m6.mp4</t>
        </is>
      </c>
      <c r="F3003" t="n">
        <v>-18.4</v>
      </c>
      <c r="G3003" t="n">
        <v>569.499</v>
      </c>
      <c r="H3003" t="n">
        <v>649.133</v>
      </c>
      <c r="I3003" t="n">
        <v>30</v>
      </c>
      <c r="J3003" t="inlineStr">
        <is>
          <t>BTBR</t>
        </is>
      </c>
      <c r="K3003" t="inlineStr">
        <is>
          <t>Male</t>
        </is>
      </c>
      <c r="L3003" t="inlineStr">
        <is>
          <t>No focal subject</t>
        </is>
      </c>
      <c r="M3003" t="n">
        <v>71.404</v>
      </c>
      <c r="N3003" t="inlineStr">
        <is>
          <t>Explore_F</t>
        </is>
      </c>
      <c r="O3003" t="inlineStr">
        <is>
          <t>Familiar</t>
        </is>
      </c>
      <c r="P3003" t="inlineStr">
        <is>
          <t>STATE</t>
        </is>
      </c>
      <c r="Q3003" t="n">
        <v>443.1</v>
      </c>
      <c r="R3003" t="n">
        <v>443.6</v>
      </c>
      <c r="S3003" t="n">
        <v>0.5</v>
      </c>
      <c r="T3003" t="inlineStr">
        <is>
          <t>C:/Users/manuel.felline/Documents/BEHAVIOR BTBR/NOR second cohort/BTBR/test/c7_m6.mp4</t>
        </is>
      </c>
      <c r="U3003" t="n">
        <v>13819</v>
      </c>
      <c r="V3003" t="n">
        <v>13834</v>
      </c>
      <c r="W3003" t="n">
        <v/>
      </c>
      <c r="X3003" t="n">
        <v/>
      </c>
      <c r="Y3003" t="n">
        <v/>
      </c>
      <c r="Z3003" t="n">
        <v/>
      </c>
      <c r="AA3003">
        <f>SUMIFS($S$2:S3003,$A$2:A3003,A3003,$N$2:N3003,"Explore*")</f>
        <v/>
      </c>
      <c r="AB3003">
        <f>IF(AND(LEFT(N3003,7)="Explore",(AA3003-IF(LEFT(N3003,7)="Explore",S3003,0))&lt;10),"SI","NO")</f>
        <v/>
      </c>
    </row>
    <row r="3004">
      <c r="A3004" t="inlineStr">
        <is>
          <t>c7m6_test</t>
        </is>
      </c>
      <c r="B3004" t="inlineStr">
        <is>
          <t>2026-06-18 11:12:30.011</t>
        </is>
      </c>
      <c r="C3004" t="n">
        <v/>
      </c>
      <c r="D3004" t="inlineStr">
        <is>
          <t>Media file</t>
        </is>
      </c>
      <c r="E3004" t="inlineStr">
        <is>
          <t>player #1:C:/Users/manuel.felline/Documents/BEHAVIOR BTBR/NOR second cohort/BTBR/test/c7_m6.mp4</t>
        </is>
      </c>
      <c r="F3004" t="n">
        <v>-18.4</v>
      </c>
      <c r="G3004" t="n">
        <v>569.499</v>
      </c>
      <c r="H3004" t="n">
        <v>649.133</v>
      </c>
      <c r="I3004" t="n">
        <v>30</v>
      </c>
      <c r="J3004" t="inlineStr">
        <is>
          <t>BTBR</t>
        </is>
      </c>
      <c r="K3004" t="inlineStr">
        <is>
          <t>Male</t>
        </is>
      </c>
      <c r="L3004" t="inlineStr">
        <is>
          <t>No focal subject</t>
        </is>
      </c>
      <c r="M3004" t="n">
        <v>71.404</v>
      </c>
      <c r="N3004" t="inlineStr">
        <is>
          <t>Explore_N</t>
        </is>
      </c>
      <c r="O3004" t="inlineStr">
        <is>
          <t>Novelty</t>
        </is>
      </c>
      <c r="P3004" t="inlineStr">
        <is>
          <t>STATE</t>
        </is>
      </c>
      <c r="Q3004" t="n">
        <v>446.166</v>
      </c>
      <c r="R3004" t="n">
        <v>446.666</v>
      </c>
      <c r="S3004" t="n">
        <v>0.5</v>
      </c>
      <c r="T3004" t="inlineStr">
        <is>
          <t>C:/Users/manuel.felline/Documents/BEHAVIOR BTBR/NOR second cohort/BTBR/test/c7_m6.mp4</t>
        </is>
      </c>
      <c r="U3004" t="n">
        <v>13911</v>
      </c>
      <c r="V3004" t="n">
        <v>13926</v>
      </c>
      <c r="W3004" t="n">
        <v/>
      </c>
      <c r="X3004" t="n">
        <v/>
      </c>
      <c r="Y3004" t="n">
        <v/>
      </c>
      <c r="Z3004" t="n">
        <v/>
      </c>
      <c r="AA3004">
        <f>SUMIFS($S$2:S3004,$A$2:A3004,A3004,$N$2:N3004,"Explore*")</f>
        <v/>
      </c>
      <c r="AB3004">
        <f>IF(AND(LEFT(N3004,7)="Explore",(AA3004-IF(LEFT(N3004,7)="Explore",S3004,0))&lt;10),"SI","NO")</f>
        <v/>
      </c>
    </row>
    <row r="3005">
      <c r="A3005" t="inlineStr">
        <is>
          <t>c7m6_test</t>
        </is>
      </c>
      <c r="B3005" t="inlineStr">
        <is>
          <t>2026-06-18 11:12:30.011</t>
        </is>
      </c>
      <c r="C3005" t="n">
        <v/>
      </c>
      <c r="D3005" t="inlineStr">
        <is>
          <t>Media file</t>
        </is>
      </c>
      <c r="E3005" t="inlineStr">
        <is>
          <t>player #1:C:/Users/manuel.felline/Documents/BEHAVIOR BTBR/NOR second cohort/BTBR/test/c7_m6.mp4</t>
        </is>
      </c>
      <c r="F3005" t="n">
        <v>-18.4</v>
      </c>
      <c r="G3005" t="n">
        <v>569.499</v>
      </c>
      <c r="H3005" t="n">
        <v>649.133</v>
      </c>
      <c r="I3005" t="n">
        <v>30</v>
      </c>
      <c r="J3005" t="inlineStr">
        <is>
          <t>BTBR</t>
        </is>
      </c>
      <c r="K3005" t="inlineStr">
        <is>
          <t>Male</t>
        </is>
      </c>
      <c r="L3005" t="inlineStr">
        <is>
          <t>No focal subject</t>
        </is>
      </c>
      <c r="M3005" t="n">
        <v>71.404</v>
      </c>
      <c r="N3005" t="inlineStr">
        <is>
          <t>Explore_N</t>
        </is>
      </c>
      <c r="O3005" t="inlineStr">
        <is>
          <t>Novelty</t>
        </is>
      </c>
      <c r="P3005" t="inlineStr">
        <is>
          <t>STATE</t>
        </is>
      </c>
      <c r="Q3005" t="n">
        <v>452.933</v>
      </c>
      <c r="R3005" t="n">
        <v>454.033</v>
      </c>
      <c r="S3005" t="n">
        <v>1.1</v>
      </c>
      <c r="T3005" t="inlineStr">
        <is>
          <t>C:/Users/manuel.felline/Documents/BEHAVIOR BTBR/NOR second cohort/BTBR/test/c7_m6.mp4</t>
        </is>
      </c>
      <c r="U3005" t="n">
        <v>14113</v>
      </c>
      <c r="V3005" t="n">
        <v>14146</v>
      </c>
      <c r="W3005" t="n">
        <v/>
      </c>
      <c r="X3005" t="n">
        <v/>
      </c>
      <c r="Y3005" t="n">
        <v/>
      </c>
      <c r="Z3005" t="n">
        <v/>
      </c>
      <c r="AA3005">
        <f>SUMIFS($S$2:S3005,$A$2:A3005,A3005,$N$2:N3005,"Explore*")</f>
        <v/>
      </c>
      <c r="AB3005">
        <f>IF(AND(LEFT(N3005,7)="Explore",(AA3005-IF(LEFT(N3005,7)="Explore",S3005,0))&lt;10),"SI","NO")</f>
        <v/>
      </c>
    </row>
    <row r="3006">
      <c r="A3006" t="inlineStr">
        <is>
          <t>c7m6_test</t>
        </is>
      </c>
      <c r="B3006" t="inlineStr">
        <is>
          <t>2026-06-18 11:12:30.011</t>
        </is>
      </c>
      <c r="C3006" t="n">
        <v/>
      </c>
      <c r="D3006" t="inlineStr">
        <is>
          <t>Media file</t>
        </is>
      </c>
      <c r="E3006" t="inlineStr">
        <is>
          <t>player #1:C:/Users/manuel.felline/Documents/BEHAVIOR BTBR/NOR second cohort/BTBR/test/c7_m6.mp4</t>
        </is>
      </c>
      <c r="F3006" t="n">
        <v>-18.4</v>
      </c>
      <c r="G3006" t="n">
        <v>569.499</v>
      </c>
      <c r="H3006" t="n">
        <v>649.133</v>
      </c>
      <c r="I3006" t="n">
        <v>30</v>
      </c>
      <c r="J3006" t="inlineStr">
        <is>
          <t>BTBR</t>
        </is>
      </c>
      <c r="K3006" t="inlineStr">
        <is>
          <t>Male</t>
        </is>
      </c>
      <c r="L3006" t="inlineStr">
        <is>
          <t>No focal subject</t>
        </is>
      </c>
      <c r="M3006" t="n">
        <v>71.404</v>
      </c>
      <c r="N3006" t="inlineStr">
        <is>
          <t>Explore_F</t>
        </is>
      </c>
      <c r="O3006" t="inlineStr">
        <is>
          <t>Familiar</t>
        </is>
      </c>
      <c r="P3006" t="inlineStr">
        <is>
          <t>STATE</t>
        </is>
      </c>
      <c r="Q3006" t="n">
        <v>457.333</v>
      </c>
      <c r="R3006" t="n">
        <v>458.2</v>
      </c>
      <c r="S3006" t="n">
        <v>0.867</v>
      </c>
      <c r="T3006" t="inlineStr">
        <is>
          <t>C:/Users/manuel.felline/Documents/BEHAVIOR BTBR/NOR second cohort/BTBR/test/c7_m6.mp4</t>
        </is>
      </c>
      <c r="U3006" t="n">
        <v>14245</v>
      </c>
      <c r="V3006" t="n">
        <v>14271</v>
      </c>
      <c r="W3006" t="n">
        <v/>
      </c>
      <c r="X3006" t="n">
        <v/>
      </c>
      <c r="Y3006" t="n">
        <v/>
      </c>
      <c r="Z3006" t="n">
        <v/>
      </c>
      <c r="AA3006">
        <f>SUMIFS($S$2:S3006,$A$2:A3006,A3006,$N$2:N3006,"Explore*")</f>
        <v/>
      </c>
      <c r="AB3006">
        <f>IF(AND(LEFT(N3006,7)="Explore",(AA3006-IF(LEFT(N3006,7)="Explore",S3006,0))&lt;10),"SI","NO")</f>
        <v/>
      </c>
    </row>
    <row r="3007">
      <c r="A3007" t="inlineStr">
        <is>
          <t>c7m6_test</t>
        </is>
      </c>
      <c r="B3007" t="inlineStr">
        <is>
          <t>2026-06-18 11:12:30.011</t>
        </is>
      </c>
      <c r="C3007" t="n">
        <v/>
      </c>
      <c r="D3007" t="inlineStr">
        <is>
          <t>Media file</t>
        </is>
      </c>
      <c r="E3007" t="inlineStr">
        <is>
          <t>player #1:C:/Users/manuel.felline/Documents/BEHAVIOR BTBR/NOR second cohort/BTBR/test/c7_m6.mp4</t>
        </is>
      </c>
      <c r="F3007" t="n">
        <v>-18.4</v>
      </c>
      <c r="G3007" t="n">
        <v>569.499</v>
      </c>
      <c r="H3007" t="n">
        <v>649.133</v>
      </c>
      <c r="I3007" t="n">
        <v>30</v>
      </c>
      <c r="J3007" t="inlineStr">
        <is>
          <t>BTBR</t>
        </is>
      </c>
      <c r="K3007" t="inlineStr">
        <is>
          <t>Male</t>
        </is>
      </c>
      <c r="L3007" t="inlineStr">
        <is>
          <t>No focal subject</t>
        </is>
      </c>
      <c r="M3007" t="n">
        <v>71.404</v>
      </c>
      <c r="N3007" t="inlineStr">
        <is>
          <t>Explore_F</t>
        </is>
      </c>
      <c r="O3007" t="inlineStr">
        <is>
          <t>Familiar</t>
        </is>
      </c>
      <c r="P3007" t="inlineStr">
        <is>
          <t>STATE</t>
        </is>
      </c>
      <c r="Q3007" t="n">
        <v>464.533</v>
      </c>
      <c r="R3007" t="n">
        <v>465.033</v>
      </c>
      <c r="S3007" t="n">
        <v>0.5</v>
      </c>
      <c r="T3007" t="inlineStr">
        <is>
          <t>C:/Users/manuel.felline/Documents/BEHAVIOR BTBR/NOR second cohort/BTBR/test/c7_m6.mp4</t>
        </is>
      </c>
      <c r="U3007" t="n">
        <v>14461</v>
      </c>
      <c r="V3007" t="n">
        <v>14476</v>
      </c>
      <c r="W3007" t="n">
        <v/>
      </c>
      <c r="X3007" t="n">
        <v/>
      </c>
      <c r="Y3007" t="n">
        <v/>
      </c>
      <c r="Z3007" t="n">
        <v/>
      </c>
      <c r="AA3007">
        <f>SUMIFS($S$2:S3007,$A$2:A3007,A3007,$N$2:N3007,"Explore*")</f>
        <v/>
      </c>
      <c r="AB3007">
        <f>IF(AND(LEFT(N3007,7)="Explore",(AA3007-IF(LEFT(N3007,7)="Explore",S3007,0))&lt;10),"SI","NO")</f>
        <v/>
      </c>
    </row>
    <row r="3008">
      <c r="A3008" t="inlineStr">
        <is>
          <t>c7m6_test</t>
        </is>
      </c>
      <c r="B3008" t="inlineStr">
        <is>
          <t>2026-06-18 11:12:30.011</t>
        </is>
      </c>
      <c r="C3008" t="n">
        <v/>
      </c>
      <c r="D3008" t="inlineStr">
        <is>
          <t>Media file</t>
        </is>
      </c>
      <c r="E3008" t="inlineStr">
        <is>
          <t>player #1:C:/Users/manuel.felline/Documents/BEHAVIOR BTBR/NOR second cohort/BTBR/test/c7_m6.mp4</t>
        </is>
      </c>
      <c r="F3008" t="n">
        <v>-18.4</v>
      </c>
      <c r="G3008" t="n">
        <v>569.499</v>
      </c>
      <c r="H3008" t="n">
        <v>649.133</v>
      </c>
      <c r="I3008" t="n">
        <v>30</v>
      </c>
      <c r="J3008" t="inlineStr">
        <is>
          <t>BTBR</t>
        </is>
      </c>
      <c r="K3008" t="inlineStr">
        <is>
          <t>Male</t>
        </is>
      </c>
      <c r="L3008" t="inlineStr">
        <is>
          <t>No focal subject</t>
        </is>
      </c>
      <c r="M3008" t="n">
        <v>71.404</v>
      </c>
      <c r="N3008" t="inlineStr">
        <is>
          <t>Explore_N</t>
        </is>
      </c>
      <c r="O3008" t="inlineStr">
        <is>
          <t>Novelty</t>
        </is>
      </c>
      <c r="P3008" t="inlineStr">
        <is>
          <t>STATE</t>
        </is>
      </c>
      <c r="Q3008" t="n">
        <v>467.066</v>
      </c>
      <c r="R3008" t="n">
        <v>468.4</v>
      </c>
      <c r="S3008" t="n">
        <v>1.334</v>
      </c>
      <c r="T3008" t="inlineStr">
        <is>
          <t>C:/Users/manuel.felline/Documents/BEHAVIOR BTBR/NOR second cohort/BTBR/test/c7_m6.mp4</t>
        </is>
      </c>
      <c r="U3008" t="n">
        <v>14537</v>
      </c>
      <c r="V3008" t="n">
        <v>14577</v>
      </c>
      <c r="W3008" t="n">
        <v/>
      </c>
      <c r="X3008" t="n">
        <v/>
      </c>
      <c r="Y3008" t="n">
        <v/>
      </c>
      <c r="Z3008" t="n">
        <v/>
      </c>
      <c r="AA3008">
        <f>SUMIFS($S$2:S3008,$A$2:A3008,A3008,$N$2:N3008,"Explore*")</f>
        <v/>
      </c>
      <c r="AB3008">
        <f>IF(AND(LEFT(N3008,7)="Explore",(AA3008-IF(LEFT(N3008,7)="Explore",S3008,0))&lt;10),"SI","NO")</f>
        <v/>
      </c>
    </row>
    <row r="3009">
      <c r="A3009" t="inlineStr">
        <is>
          <t>c7m6_test</t>
        </is>
      </c>
      <c r="B3009" t="inlineStr">
        <is>
          <t>2026-06-18 11:12:30.011</t>
        </is>
      </c>
      <c r="C3009" t="n">
        <v/>
      </c>
      <c r="D3009" t="inlineStr">
        <is>
          <t>Media file</t>
        </is>
      </c>
      <c r="E3009" t="inlineStr">
        <is>
          <t>player #1:C:/Users/manuel.felline/Documents/BEHAVIOR BTBR/NOR second cohort/BTBR/test/c7_m6.mp4</t>
        </is>
      </c>
      <c r="F3009" t="n">
        <v>-18.4</v>
      </c>
      <c r="G3009" t="n">
        <v>569.499</v>
      </c>
      <c r="H3009" t="n">
        <v>649.133</v>
      </c>
      <c r="I3009" t="n">
        <v>30</v>
      </c>
      <c r="J3009" t="inlineStr">
        <is>
          <t>BTBR</t>
        </is>
      </c>
      <c r="K3009" t="inlineStr">
        <is>
          <t>Male</t>
        </is>
      </c>
      <c r="L3009" t="inlineStr">
        <is>
          <t>No focal subject</t>
        </is>
      </c>
      <c r="M3009" t="n">
        <v>71.404</v>
      </c>
      <c r="N3009" t="inlineStr">
        <is>
          <t>Explore_F</t>
        </is>
      </c>
      <c r="O3009" t="inlineStr">
        <is>
          <t>Familiar</t>
        </is>
      </c>
      <c r="P3009" t="inlineStr">
        <is>
          <t>STATE</t>
        </is>
      </c>
      <c r="Q3009" t="n">
        <v>474.466</v>
      </c>
      <c r="R3009" t="n">
        <v>474.799</v>
      </c>
      <c r="S3009" t="n">
        <v>0.333</v>
      </c>
      <c r="T3009" t="inlineStr">
        <is>
          <t>C:/Users/manuel.felline/Documents/BEHAVIOR BTBR/NOR second cohort/BTBR/test/c7_m6.mp4</t>
        </is>
      </c>
      <c r="U3009" t="n">
        <v>14758</v>
      </c>
      <c r="V3009" t="n">
        <v>14768</v>
      </c>
      <c r="W3009" t="n">
        <v/>
      </c>
      <c r="X3009" t="n">
        <v/>
      </c>
      <c r="Y3009" t="n">
        <v/>
      </c>
      <c r="Z3009" t="n">
        <v/>
      </c>
      <c r="AA3009">
        <f>SUMIFS($S$2:S3009,$A$2:A3009,A3009,$N$2:N3009,"Explore*")</f>
        <v/>
      </c>
      <c r="AB3009">
        <f>IF(AND(LEFT(N3009,7)="Explore",(AA3009-IF(LEFT(N3009,7)="Explore",S3009,0))&lt;10),"SI","NO")</f>
        <v/>
      </c>
    </row>
    <row r="3010">
      <c r="A3010" t="inlineStr">
        <is>
          <t>c7m6_test</t>
        </is>
      </c>
      <c r="B3010" t="inlineStr">
        <is>
          <t>2026-06-18 11:12:30.011</t>
        </is>
      </c>
      <c r="C3010" t="n">
        <v/>
      </c>
      <c r="D3010" t="inlineStr">
        <is>
          <t>Media file</t>
        </is>
      </c>
      <c r="E3010" t="inlineStr">
        <is>
          <t>player #1:C:/Users/manuel.felline/Documents/BEHAVIOR BTBR/NOR second cohort/BTBR/test/c7_m6.mp4</t>
        </is>
      </c>
      <c r="F3010" t="n">
        <v>-18.4</v>
      </c>
      <c r="G3010" t="n">
        <v>569.499</v>
      </c>
      <c r="H3010" t="n">
        <v>649.133</v>
      </c>
      <c r="I3010" t="n">
        <v>30</v>
      </c>
      <c r="J3010" t="inlineStr">
        <is>
          <t>BTBR</t>
        </is>
      </c>
      <c r="K3010" t="inlineStr">
        <is>
          <t>Male</t>
        </is>
      </c>
      <c r="L3010" t="inlineStr">
        <is>
          <t>No focal subject</t>
        </is>
      </c>
      <c r="M3010" t="n">
        <v>71.404</v>
      </c>
      <c r="N3010" t="inlineStr">
        <is>
          <t>Explore_N</t>
        </is>
      </c>
      <c r="O3010" t="inlineStr">
        <is>
          <t>Novelty</t>
        </is>
      </c>
      <c r="P3010" t="inlineStr">
        <is>
          <t>STATE</t>
        </is>
      </c>
      <c r="Q3010" t="n">
        <v>483.699</v>
      </c>
      <c r="R3010" t="n">
        <v>484.399</v>
      </c>
      <c r="S3010" t="n">
        <v>0.7</v>
      </c>
      <c r="T3010" t="inlineStr">
        <is>
          <t>C:/Users/manuel.felline/Documents/BEHAVIOR BTBR/NOR second cohort/BTBR/test/c7_m6.mp4</t>
        </is>
      </c>
      <c r="U3010" t="n">
        <v>15035</v>
      </c>
      <c r="V3010" t="n">
        <v>15056</v>
      </c>
      <c r="W3010" t="n">
        <v/>
      </c>
      <c r="X3010" t="n">
        <v/>
      </c>
      <c r="Y3010" t="n">
        <v/>
      </c>
      <c r="Z3010" t="n">
        <v/>
      </c>
      <c r="AA3010">
        <f>SUMIFS($S$2:S3010,$A$2:A3010,A3010,$N$2:N3010,"Explore*")</f>
        <v/>
      </c>
      <c r="AB3010">
        <f>IF(AND(LEFT(N3010,7)="Explore",(AA3010-IF(LEFT(N3010,7)="Explore",S3010,0))&lt;10),"SI","NO")</f>
        <v/>
      </c>
    </row>
    <row r="3011">
      <c r="A3011" t="inlineStr">
        <is>
          <t>c7m6_test</t>
        </is>
      </c>
      <c r="B3011" t="inlineStr">
        <is>
          <t>2026-06-18 11:12:30.011</t>
        </is>
      </c>
      <c r="C3011" t="n">
        <v/>
      </c>
      <c r="D3011" t="inlineStr">
        <is>
          <t>Media file</t>
        </is>
      </c>
      <c r="E3011" t="inlineStr">
        <is>
          <t>player #1:C:/Users/manuel.felline/Documents/BEHAVIOR BTBR/NOR second cohort/BTBR/test/c7_m6.mp4</t>
        </is>
      </c>
      <c r="F3011" t="n">
        <v>-18.4</v>
      </c>
      <c r="G3011" t="n">
        <v>569.499</v>
      </c>
      <c r="H3011" t="n">
        <v>649.133</v>
      </c>
      <c r="I3011" t="n">
        <v>30</v>
      </c>
      <c r="J3011" t="inlineStr">
        <is>
          <t>BTBR</t>
        </is>
      </c>
      <c r="K3011" t="inlineStr">
        <is>
          <t>Male</t>
        </is>
      </c>
      <c r="L3011" t="inlineStr">
        <is>
          <t>No focal subject</t>
        </is>
      </c>
      <c r="M3011" t="n">
        <v>71.404</v>
      </c>
      <c r="N3011" t="inlineStr">
        <is>
          <t>Explore_F</t>
        </is>
      </c>
      <c r="O3011" t="inlineStr">
        <is>
          <t>Familiar</t>
        </is>
      </c>
      <c r="P3011" t="inlineStr">
        <is>
          <t>STATE</t>
        </is>
      </c>
      <c r="Q3011" t="n">
        <v>493.633</v>
      </c>
      <c r="R3011" t="n">
        <v>494.066</v>
      </c>
      <c r="S3011" t="n">
        <v>0.433</v>
      </c>
      <c r="T3011" t="inlineStr">
        <is>
          <t>C:/Users/manuel.felline/Documents/BEHAVIOR BTBR/NOR second cohort/BTBR/test/c7_m6.mp4</t>
        </is>
      </c>
      <c r="U3011" t="n">
        <v>15332</v>
      </c>
      <c r="V3011" t="n">
        <v>15345</v>
      </c>
      <c r="W3011" t="n">
        <v/>
      </c>
      <c r="X3011" t="n">
        <v/>
      </c>
      <c r="Y3011" t="n">
        <v/>
      </c>
      <c r="Z3011" t="n">
        <v/>
      </c>
      <c r="AA3011">
        <f>SUMIFS($S$2:S3011,$A$2:A3011,A3011,$N$2:N3011,"Explore*")</f>
        <v/>
      </c>
      <c r="AB3011">
        <f>IF(AND(LEFT(N3011,7)="Explore",(AA3011-IF(LEFT(N3011,7)="Explore",S3011,0))&lt;10),"SI","NO")</f>
        <v/>
      </c>
    </row>
    <row r="3012">
      <c r="A3012" t="inlineStr">
        <is>
          <t>c7m6_test</t>
        </is>
      </c>
      <c r="B3012" t="inlineStr">
        <is>
          <t>2026-06-18 11:12:30.011</t>
        </is>
      </c>
      <c r="C3012" t="n">
        <v/>
      </c>
      <c r="D3012" t="inlineStr">
        <is>
          <t>Media file</t>
        </is>
      </c>
      <c r="E3012" t="inlineStr">
        <is>
          <t>player #1:C:/Users/manuel.felline/Documents/BEHAVIOR BTBR/NOR second cohort/BTBR/test/c7_m6.mp4</t>
        </is>
      </c>
      <c r="F3012" t="n">
        <v>-18.4</v>
      </c>
      <c r="G3012" t="n">
        <v>569.499</v>
      </c>
      <c r="H3012" t="n">
        <v>649.133</v>
      </c>
      <c r="I3012" t="n">
        <v>30</v>
      </c>
      <c r="J3012" t="inlineStr">
        <is>
          <t>BTBR</t>
        </is>
      </c>
      <c r="K3012" t="inlineStr">
        <is>
          <t>Male</t>
        </is>
      </c>
      <c r="L3012" t="inlineStr">
        <is>
          <t>No focal subject</t>
        </is>
      </c>
      <c r="M3012" t="n">
        <v>71.404</v>
      </c>
      <c r="N3012" t="inlineStr">
        <is>
          <t>Explore_F</t>
        </is>
      </c>
      <c r="O3012" t="inlineStr">
        <is>
          <t>Familiar</t>
        </is>
      </c>
      <c r="P3012" t="inlineStr">
        <is>
          <t>STATE</t>
        </is>
      </c>
      <c r="Q3012" t="n">
        <v>510.066</v>
      </c>
      <c r="R3012" t="n">
        <v>510.399</v>
      </c>
      <c r="S3012" t="n">
        <v>0.333</v>
      </c>
      <c r="T3012" t="inlineStr">
        <is>
          <t>C:/Users/manuel.felline/Documents/BEHAVIOR BTBR/NOR second cohort/BTBR/test/c7_m6.mp4</t>
        </is>
      </c>
      <c r="U3012" t="n">
        <v>15824</v>
      </c>
      <c r="V3012" t="n">
        <v>15834</v>
      </c>
      <c r="W3012" t="n">
        <v/>
      </c>
      <c r="X3012" t="n">
        <v/>
      </c>
      <c r="Y3012" t="n">
        <v/>
      </c>
      <c r="Z3012" t="n">
        <v/>
      </c>
      <c r="AA3012">
        <f>SUMIFS($S$2:S3012,$A$2:A3012,A3012,$N$2:N3012,"Explore*")</f>
        <v/>
      </c>
      <c r="AB3012">
        <f>IF(AND(LEFT(N3012,7)="Explore",(AA3012-IF(LEFT(N3012,7)="Explore",S3012,0))&lt;10),"SI","NO")</f>
        <v/>
      </c>
    </row>
    <row r="3013">
      <c r="A3013" t="inlineStr">
        <is>
          <t>c7m6_test</t>
        </is>
      </c>
      <c r="B3013" t="inlineStr">
        <is>
          <t>2026-06-18 11:12:30.011</t>
        </is>
      </c>
      <c r="C3013" t="n">
        <v/>
      </c>
      <c r="D3013" t="inlineStr">
        <is>
          <t>Media file</t>
        </is>
      </c>
      <c r="E3013" t="inlineStr">
        <is>
          <t>player #1:C:/Users/manuel.felline/Documents/BEHAVIOR BTBR/NOR second cohort/BTBR/test/c7_m6.mp4</t>
        </is>
      </c>
      <c r="F3013" t="n">
        <v>-18.4</v>
      </c>
      <c r="G3013" t="n">
        <v>569.499</v>
      </c>
      <c r="H3013" t="n">
        <v>649.133</v>
      </c>
      <c r="I3013" t="n">
        <v>30</v>
      </c>
      <c r="J3013" t="inlineStr">
        <is>
          <t>BTBR</t>
        </is>
      </c>
      <c r="K3013" t="inlineStr">
        <is>
          <t>Male</t>
        </is>
      </c>
      <c r="L3013" t="inlineStr">
        <is>
          <t>No focal subject</t>
        </is>
      </c>
      <c r="M3013" t="n">
        <v>71.404</v>
      </c>
      <c r="N3013" t="inlineStr">
        <is>
          <t>Explore_N</t>
        </is>
      </c>
      <c r="O3013" t="inlineStr">
        <is>
          <t>Novelty</t>
        </is>
      </c>
      <c r="P3013" t="inlineStr">
        <is>
          <t>STATE</t>
        </is>
      </c>
      <c r="Q3013" t="n">
        <v>514.999</v>
      </c>
      <c r="R3013" t="n">
        <v>515.499</v>
      </c>
      <c r="S3013" t="n">
        <v>0.5</v>
      </c>
      <c r="T3013" t="inlineStr">
        <is>
          <t>C:/Users/manuel.felline/Documents/BEHAVIOR BTBR/NOR second cohort/BTBR/test/c7_m6.mp4</t>
        </is>
      </c>
      <c r="U3013" t="n">
        <v>15972</v>
      </c>
      <c r="V3013" t="n">
        <v>15987</v>
      </c>
      <c r="W3013" t="n">
        <v/>
      </c>
      <c r="X3013" t="n">
        <v/>
      </c>
      <c r="Y3013" t="n">
        <v/>
      </c>
      <c r="Z3013" t="n">
        <v/>
      </c>
      <c r="AA3013">
        <f>SUMIFS($S$2:S3013,$A$2:A3013,A3013,$N$2:N3013,"Explore*")</f>
        <v/>
      </c>
      <c r="AB3013">
        <f>IF(AND(LEFT(N3013,7)="Explore",(AA3013-IF(LEFT(N3013,7)="Explore",S3013,0))&lt;10),"SI","NO")</f>
        <v/>
      </c>
    </row>
    <row r="3014">
      <c r="A3014" t="inlineStr">
        <is>
          <t>c7m6_test</t>
        </is>
      </c>
      <c r="B3014" t="inlineStr">
        <is>
          <t>2026-06-18 11:12:30.011</t>
        </is>
      </c>
      <c r="C3014" t="n">
        <v/>
      </c>
      <c r="D3014" t="inlineStr">
        <is>
          <t>Media file</t>
        </is>
      </c>
      <c r="E3014" t="inlineStr">
        <is>
          <t>player #1:C:/Users/manuel.felline/Documents/BEHAVIOR BTBR/NOR second cohort/BTBR/test/c7_m6.mp4</t>
        </is>
      </c>
      <c r="F3014" t="n">
        <v>-18.4</v>
      </c>
      <c r="G3014" t="n">
        <v>569.499</v>
      </c>
      <c r="H3014" t="n">
        <v>649.133</v>
      </c>
      <c r="I3014" t="n">
        <v>30</v>
      </c>
      <c r="J3014" t="inlineStr">
        <is>
          <t>BTBR</t>
        </is>
      </c>
      <c r="K3014" t="inlineStr">
        <is>
          <t>Male</t>
        </is>
      </c>
      <c r="L3014" t="inlineStr">
        <is>
          <t>No focal subject</t>
        </is>
      </c>
      <c r="M3014" t="n">
        <v>71.404</v>
      </c>
      <c r="N3014" t="inlineStr">
        <is>
          <t>Explore_N</t>
        </is>
      </c>
      <c r="O3014" t="inlineStr">
        <is>
          <t>Novelty</t>
        </is>
      </c>
      <c r="P3014" t="inlineStr">
        <is>
          <t>STATE</t>
        </is>
      </c>
      <c r="Q3014" t="n">
        <v>534.466</v>
      </c>
      <c r="R3014" t="n">
        <v>534.966</v>
      </c>
      <c r="S3014" t="n">
        <v>0.5</v>
      </c>
      <c r="T3014" t="inlineStr">
        <is>
          <t>C:/Users/manuel.felline/Documents/BEHAVIOR BTBR/NOR second cohort/BTBR/test/c7_m6.mp4</t>
        </is>
      </c>
      <c r="U3014" t="n">
        <v>16555</v>
      </c>
      <c r="V3014" t="n">
        <v>16570</v>
      </c>
      <c r="W3014" t="n">
        <v/>
      </c>
      <c r="X3014" t="n">
        <v/>
      </c>
      <c r="Y3014" t="n">
        <v/>
      </c>
      <c r="Z3014" t="n">
        <v/>
      </c>
      <c r="AA3014">
        <f>SUMIFS($S$2:S3014,$A$2:A3014,A3014,$N$2:N3014,"Explore*")</f>
        <v/>
      </c>
      <c r="AB3014">
        <f>IF(AND(LEFT(N3014,7)="Explore",(AA3014-IF(LEFT(N3014,7)="Explore",S3014,0))&lt;10),"SI","NO")</f>
        <v/>
      </c>
    </row>
    <row r="3015">
      <c r="A3015" t="inlineStr">
        <is>
          <t>c7m6_test</t>
        </is>
      </c>
      <c r="B3015" t="inlineStr">
        <is>
          <t>2026-06-18 11:12:30.011</t>
        </is>
      </c>
      <c r="C3015" t="n">
        <v/>
      </c>
      <c r="D3015" t="inlineStr">
        <is>
          <t>Media file</t>
        </is>
      </c>
      <c r="E3015" t="inlineStr">
        <is>
          <t>player #1:C:/Users/manuel.felline/Documents/BEHAVIOR BTBR/NOR second cohort/BTBR/test/c7_m6.mp4</t>
        </is>
      </c>
      <c r="F3015" t="n">
        <v>-18.4</v>
      </c>
      <c r="G3015" t="n">
        <v>569.499</v>
      </c>
      <c r="H3015" t="n">
        <v>649.133</v>
      </c>
      <c r="I3015" t="n">
        <v>30</v>
      </c>
      <c r="J3015" t="inlineStr">
        <is>
          <t>BTBR</t>
        </is>
      </c>
      <c r="K3015" t="inlineStr">
        <is>
          <t>Male</t>
        </is>
      </c>
      <c r="L3015" t="inlineStr">
        <is>
          <t>No focal subject</t>
        </is>
      </c>
      <c r="M3015" t="n">
        <v>71.404</v>
      </c>
      <c r="N3015" t="inlineStr">
        <is>
          <t>Explore_F</t>
        </is>
      </c>
      <c r="O3015" t="inlineStr">
        <is>
          <t>Familiar</t>
        </is>
      </c>
      <c r="P3015" t="inlineStr">
        <is>
          <t>STATE</t>
        </is>
      </c>
      <c r="Q3015" t="n">
        <v>538.1660000000001</v>
      </c>
      <c r="R3015" t="n">
        <v>538.533</v>
      </c>
      <c r="S3015" t="n">
        <v>0.367</v>
      </c>
      <c r="T3015" t="inlineStr">
        <is>
          <t>C:/Users/manuel.felline/Documents/BEHAVIOR BTBR/NOR second cohort/BTBR/test/c7_m6.mp4</t>
        </is>
      </c>
      <c r="U3015" t="n">
        <v>16666</v>
      </c>
      <c r="V3015" t="n">
        <v>16677</v>
      </c>
      <c r="W3015" t="n">
        <v/>
      </c>
      <c r="X3015" t="n">
        <v/>
      </c>
      <c r="Y3015" t="n">
        <v/>
      </c>
      <c r="Z3015" t="n">
        <v/>
      </c>
      <c r="AA3015">
        <f>SUMIFS($S$2:S3015,$A$2:A3015,A3015,$N$2:N3015,"Explore*")</f>
        <v/>
      </c>
      <c r="AB3015">
        <f>IF(AND(LEFT(N3015,7)="Explore",(AA3015-IF(LEFT(N3015,7)="Explore",S3015,0))&lt;10),"SI","NO")</f>
        <v/>
      </c>
    </row>
    <row r="3016">
      <c r="A3016" t="inlineStr">
        <is>
          <t>c7m6_test</t>
        </is>
      </c>
      <c r="B3016" t="inlineStr">
        <is>
          <t>2026-06-18 11:12:30.011</t>
        </is>
      </c>
      <c r="C3016" t="n">
        <v/>
      </c>
      <c r="D3016" t="inlineStr">
        <is>
          <t>Media file</t>
        </is>
      </c>
      <c r="E3016" t="inlineStr">
        <is>
          <t>player #1:C:/Users/manuel.felline/Documents/BEHAVIOR BTBR/NOR second cohort/BTBR/test/c7_m6.mp4</t>
        </is>
      </c>
      <c r="F3016" t="n">
        <v>-18.4</v>
      </c>
      <c r="G3016" t="n">
        <v>569.499</v>
      </c>
      <c r="H3016" t="n">
        <v>649.133</v>
      </c>
      <c r="I3016" t="n">
        <v>30</v>
      </c>
      <c r="J3016" t="inlineStr">
        <is>
          <t>BTBR</t>
        </is>
      </c>
      <c r="K3016" t="inlineStr">
        <is>
          <t>Male</t>
        </is>
      </c>
      <c r="L3016" t="inlineStr">
        <is>
          <t>No focal subject</t>
        </is>
      </c>
      <c r="M3016" t="n">
        <v>71.404</v>
      </c>
      <c r="N3016" t="inlineStr">
        <is>
          <t>Explore_F</t>
        </is>
      </c>
      <c r="O3016" t="inlineStr">
        <is>
          <t>Familiar</t>
        </is>
      </c>
      <c r="P3016" t="inlineStr">
        <is>
          <t>STATE</t>
        </is>
      </c>
      <c r="Q3016" t="n">
        <v>550.2329999999999</v>
      </c>
      <c r="R3016" t="n">
        <v>550.633</v>
      </c>
      <c r="S3016" t="n">
        <v>0.4</v>
      </c>
      <c r="T3016" t="inlineStr">
        <is>
          <t>C:/Users/manuel.felline/Documents/BEHAVIOR BTBR/NOR second cohort/BTBR/test/c7_m6.mp4</t>
        </is>
      </c>
      <c r="U3016" t="n">
        <v>17027</v>
      </c>
      <c r="V3016" t="n">
        <v>17039</v>
      </c>
      <c r="W3016" t="n">
        <v/>
      </c>
      <c r="X3016" t="n">
        <v/>
      </c>
      <c r="Y3016" t="n">
        <v/>
      </c>
      <c r="Z3016" t="n">
        <v/>
      </c>
      <c r="AA3016">
        <f>SUMIFS($S$2:S3016,$A$2:A3016,A3016,$N$2:N3016,"Explore*")</f>
        <v/>
      </c>
      <c r="AB3016">
        <f>IF(AND(LEFT(N3016,7)="Explore",(AA3016-IF(LEFT(N3016,7)="Explore",S3016,0))&lt;10),"SI","NO")</f>
        <v/>
      </c>
    </row>
    <row r="3017">
      <c r="A3017" t="inlineStr">
        <is>
          <t>c7m6_test</t>
        </is>
      </c>
      <c r="B3017" t="inlineStr">
        <is>
          <t>2026-06-18 11:12:30.011</t>
        </is>
      </c>
      <c r="C3017" t="n">
        <v/>
      </c>
      <c r="D3017" t="inlineStr">
        <is>
          <t>Media file</t>
        </is>
      </c>
      <c r="E3017" t="inlineStr">
        <is>
          <t>player #1:C:/Users/manuel.felline/Documents/BEHAVIOR BTBR/NOR second cohort/BTBR/test/c7_m6.mp4</t>
        </is>
      </c>
      <c r="F3017" t="n">
        <v>-18.4</v>
      </c>
      <c r="G3017" t="n">
        <v>569.499</v>
      </c>
      <c r="H3017" t="n">
        <v>649.133</v>
      </c>
      <c r="I3017" t="n">
        <v>30</v>
      </c>
      <c r="J3017" t="inlineStr">
        <is>
          <t>BTBR</t>
        </is>
      </c>
      <c r="K3017" t="inlineStr">
        <is>
          <t>Male</t>
        </is>
      </c>
      <c r="L3017" t="inlineStr">
        <is>
          <t>No focal subject</t>
        </is>
      </c>
      <c r="M3017" t="n">
        <v>71.404</v>
      </c>
      <c r="N3017" t="inlineStr">
        <is>
          <t>Explore_F</t>
        </is>
      </c>
      <c r="O3017" t="inlineStr">
        <is>
          <t>Familiar</t>
        </is>
      </c>
      <c r="P3017" t="inlineStr">
        <is>
          <t>STATE</t>
        </is>
      </c>
      <c r="Q3017" t="n">
        <v>559.766</v>
      </c>
      <c r="R3017" t="n">
        <v>560.1660000000001</v>
      </c>
      <c r="S3017" t="n">
        <v>0.4</v>
      </c>
      <c r="T3017" t="inlineStr">
        <is>
          <t>C:/Users/manuel.felline/Documents/BEHAVIOR BTBR/NOR second cohort/BTBR/test/c7_m6.mp4</t>
        </is>
      </c>
      <c r="U3017" t="n">
        <v>17312</v>
      </c>
      <c r="V3017" t="n">
        <v>17324</v>
      </c>
      <c r="W3017" t="n">
        <v/>
      </c>
      <c r="X3017" t="n">
        <v/>
      </c>
      <c r="Y3017" t="n">
        <v/>
      </c>
      <c r="Z3017" t="n">
        <v/>
      </c>
      <c r="AA3017">
        <f>SUMIFS($S$2:S3017,$A$2:A3017,A3017,$N$2:N3017,"Explore*")</f>
        <v/>
      </c>
      <c r="AB3017">
        <f>IF(AND(LEFT(N3017,7)="Explore",(AA3017-IF(LEFT(N3017,7)="Explore",S3017,0))&lt;10),"SI","NO")</f>
        <v/>
      </c>
    </row>
    <row r="3018">
      <c r="A3018" t="inlineStr">
        <is>
          <t>c7m6_test</t>
        </is>
      </c>
      <c r="B3018" t="inlineStr">
        <is>
          <t>2026-06-18 11:12:30.011</t>
        </is>
      </c>
      <c r="C3018" t="n">
        <v/>
      </c>
      <c r="D3018" t="inlineStr">
        <is>
          <t>Media file</t>
        </is>
      </c>
      <c r="E3018" t="inlineStr">
        <is>
          <t>player #1:C:/Users/manuel.felline/Documents/BEHAVIOR BTBR/NOR second cohort/BTBR/test/c7_m6.mp4</t>
        </is>
      </c>
      <c r="F3018" t="n">
        <v>-18.4</v>
      </c>
      <c r="G3018" t="n">
        <v>569.499</v>
      </c>
      <c r="H3018" t="n">
        <v>649.133</v>
      </c>
      <c r="I3018" t="n">
        <v>30</v>
      </c>
      <c r="J3018" t="inlineStr">
        <is>
          <t>BTBR</t>
        </is>
      </c>
      <c r="K3018" t="inlineStr">
        <is>
          <t>Male</t>
        </is>
      </c>
      <c r="L3018" t="inlineStr">
        <is>
          <t>No focal subject</t>
        </is>
      </c>
      <c r="M3018" t="n">
        <v>71.404</v>
      </c>
      <c r="N3018" t="inlineStr">
        <is>
          <t>Explore_F</t>
        </is>
      </c>
      <c r="O3018" t="inlineStr">
        <is>
          <t>Familiar</t>
        </is>
      </c>
      <c r="P3018" t="inlineStr">
        <is>
          <t>STATE</t>
        </is>
      </c>
      <c r="Q3018" t="n">
        <v>576.7329999999999</v>
      </c>
      <c r="R3018" t="n">
        <v>577.066</v>
      </c>
      <c r="S3018" t="n">
        <v>0.333</v>
      </c>
      <c r="T3018" t="inlineStr">
        <is>
          <t>C:/Users/manuel.felline/Documents/BEHAVIOR BTBR/NOR second cohort/BTBR/test/c7_m6.mp4</t>
        </is>
      </c>
      <c r="U3018" t="n">
        <v>17820</v>
      </c>
      <c r="V3018" t="n">
        <v>17830</v>
      </c>
      <c r="W3018" t="n">
        <v/>
      </c>
      <c r="X3018" t="n">
        <v/>
      </c>
      <c r="Y3018" t="n">
        <v/>
      </c>
      <c r="Z3018" t="n">
        <v/>
      </c>
      <c r="AA3018">
        <f>SUMIFS($S$2:S3018,$A$2:A3018,A3018,$N$2:N3018,"Explore*")</f>
        <v/>
      </c>
      <c r="AB3018">
        <f>IF(AND(LEFT(N3018,7)="Explore",(AA3018-IF(LEFT(N3018,7)="Explore",S3018,0))&lt;10),"SI","NO")</f>
        <v/>
      </c>
    </row>
    <row r="3019">
      <c r="A3019" t="inlineStr">
        <is>
          <t>c10f1_test</t>
        </is>
      </c>
      <c r="B3019" t="inlineStr">
        <is>
          <t>2026-06-19 16:24:54.976</t>
        </is>
      </c>
      <c r="C3019" t="n">
        <v/>
      </c>
      <c r="D3019" t="inlineStr">
        <is>
          <t>Media file</t>
        </is>
      </c>
      <c r="E3019" t="inlineStr">
        <is>
          <t>player #1:C:/Users/manuel.felline/Documents/BEHAVIOR BTBR/NOR second cohort/BTBR/test/c10_f1.mp4</t>
        </is>
      </c>
      <c r="F3019" t="n">
        <v>-15.867</v>
      </c>
      <c r="G3019" t="n">
        <v>580.099</v>
      </c>
      <c r="H3019" t="n">
        <v>629.566</v>
      </c>
      <c r="I3019" t="n">
        <v>30</v>
      </c>
      <c r="J3019" t="inlineStr">
        <is>
          <t>BTBR</t>
        </is>
      </c>
      <c r="K3019" t="inlineStr">
        <is>
          <t xml:space="preserve"> Female</t>
        </is>
      </c>
      <c r="L3019" t="inlineStr">
        <is>
          <t>No focal subject</t>
        </is>
      </c>
      <c r="M3019" t="n">
        <v>42.765</v>
      </c>
      <c r="N3019" t="inlineStr">
        <is>
          <t>Explore_N</t>
        </is>
      </c>
      <c r="O3019" t="inlineStr">
        <is>
          <t>Novelty</t>
        </is>
      </c>
      <c r="P3019" t="inlineStr">
        <is>
          <t>STATE</t>
        </is>
      </c>
      <c r="Q3019" t="n">
        <v>4</v>
      </c>
      <c r="R3019" t="n">
        <v>4.733</v>
      </c>
      <c r="S3019" t="n">
        <v>0.733</v>
      </c>
      <c r="T3019" t="inlineStr">
        <is>
          <t>C:/Users/manuel.felline/Documents/BEHAVIOR BTBR/NOR second cohort/BTBR/test/c10_f1.mp4</t>
        </is>
      </c>
      <c r="U3019" t="n">
        <v>596</v>
      </c>
      <c r="V3019" t="n">
        <v>618</v>
      </c>
      <c r="W3019" t="n">
        <v/>
      </c>
      <c r="X3019" t="n">
        <v/>
      </c>
      <c r="Y3019" t="n">
        <v/>
      </c>
      <c r="Z3019" t="n">
        <v/>
      </c>
      <c r="AA3019">
        <f>SUMIFS($S$2:S3019,$A$2:A3019,A3019,$N$2:N3019,"Explore*")</f>
        <v/>
      </c>
      <c r="AB3019">
        <f>IF(AND(LEFT(N3019,7)="Explore",(AA3019-IF(LEFT(N3019,7)="Explore",S3019,0))&lt;10),"SI","NO")</f>
        <v/>
      </c>
    </row>
    <row r="3020">
      <c r="A3020" t="inlineStr">
        <is>
          <t>c10f1_test</t>
        </is>
      </c>
      <c r="B3020" t="inlineStr">
        <is>
          <t>2026-06-19 16:24:54.976</t>
        </is>
      </c>
      <c r="C3020" t="n">
        <v/>
      </c>
      <c r="D3020" t="inlineStr">
        <is>
          <t>Media file</t>
        </is>
      </c>
      <c r="E3020" t="inlineStr">
        <is>
          <t>player #1:C:/Users/manuel.felline/Documents/BEHAVIOR BTBR/NOR second cohort/BTBR/test/c10_f1.mp4</t>
        </is>
      </c>
      <c r="F3020" t="n">
        <v>-15.867</v>
      </c>
      <c r="G3020" t="n">
        <v>580.099</v>
      </c>
      <c r="H3020" t="n">
        <v>629.566</v>
      </c>
      <c r="I3020" t="n">
        <v>30</v>
      </c>
      <c r="J3020" t="inlineStr">
        <is>
          <t>BTBR</t>
        </is>
      </c>
      <c r="K3020" t="inlineStr">
        <is>
          <t xml:space="preserve"> Female</t>
        </is>
      </c>
      <c r="L3020" t="inlineStr">
        <is>
          <t>No focal subject</t>
        </is>
      </c>
      <c r="M3020" t="n">
        <v>42.765</v>
      </c>
      <c r="N3020" t="inlineStr">
        <is>
          <t>Explore_F</t>
        </is>
      </c>
      <c r="O3020" t="inlineStr">
        <is>
          <t>Familiar</t>
        </is>
      </c>
      <c r="P3020" t="inlineStr">
        <is>
          <t>STATE</t>
        </is>
      </c>
      <c r="Q3020" t="n">
        <v>7.633</v>
      </c>
      <c r="R3020" t="n">
        <v>8.532999999999999</v>
      </c>
      <c r="S3020" t="n">
        <v>0.9</v>
      </c>
      <c r="T3020" t="inlineStr">
        <is>
          <t>C:/Users/manuel.felline/Documents/BEHAVIOR BTBR/NOR second cohort/BTBR/test/c10_f1.mp4</t>
        </is>
      </c>
      <c r="U3020" t="n">
        <v>705</v>
      </c>
      <c r="V3020" t="n">
        <v>732</v>
      </c>
      <c r="W3020" t="n">
        <v/>
      </c>
      <c r="X3020" t="n">
        <v/>
      </c>
      <c r="Y3020" t="n">
        <v/>
      </c>
      <c r="Z3020" t="n">
        <v/>
      </c>
      <c r="AA3020">
        <f>SUMIFS($S$2:S3020,$A$2:A3020,A3020,$N$2:N3020,"Explore*")</f>
        <v/>
      </c>
      <c r="AB3020">
        <f>IF(AND(LEFT(N3020,7)="Explore",(AA3020-IF(LEFT(N3020,7)="Explore",S3020,0))&lt;10),"SI","NO")</f>
        <v/>
      </c>
    </row>
    <row r="3021">
      <c r="A3021" t="inlineStr">
        <is>
          <t>c10f1_test</t>
        </is>
      </c>
      <c r="B3021" t="inlineStr">
        <is>
          <t>2026-06-19 16:24:54.976</t>
        </is>
      </c>
      <c r="C3021" t="n">
        <v/>
      </c>
      <c r="D3021" t="inlineStr">
        <is>
          <t>Media file</t>
        </is>
      </c>
      <c r="E3021" t="inlineStr">
        <is>
          <t>player #1:C:/Users/manuel.felline/Documents/BEHAVIOR BTBR/NOR second cohort/BTBR/test/c10_f1.mp4</t>
        </is>
      </c>
      <c r="F3021" t="n">
        <v>-15.867</v>
      </c>
      <c r="G3021" t="n">
        <v>580.099</v>
      </c>
      <c r="H3021" t="n">
        <v>629.566</v>
      </c>
      <c r="I3021" t="n">
        <v>30</v>
      </c>
      <c r="J3021" t="inlineStr">
        <is>
          <t>BTBR</t>
        </is>
      </c>
      <c r="K3021" t="inlineStr">
        <is>
          <t xml:space="preserve"> Female</t>
        </is>
      </c>
      <c r="L3021" t="inlineStr">
        <is>
          <t>No focal subject</t>
        </is>
      </c>
      <c r="M3021" t="n">
        <v>42.765</v>
      </c>
      <c r="N3021" t="inlineStr">
        <is>
          <t>Explore_F</t>
        </is>
      </c>
      <c r="O3021" t="inlineStr">
        <is>
          <t>Familiar</t>
        </is>
      </c>
      <c r="P3021" t="inlineStr">
        <is>
          <t>STATE</t>
        </is>
      </c>
      <c r="Q3021" t="n">
        <v>24.9</v>
      </c>
      <c r="R3021" t="n">
        <v>25.366</v>
      </c>
      <c r="S3021" t="n">
        <v>0.466</v>
      </c>
      <c r="T3021" t="inlineStr">
        <is>
          <t>C:/Users/manuel.felline/Documents/BEHAVIOR BTBR/NOR second cohort/BTBR/test/c10_f1.mp4</t>
        </is>
      </c>
      <c r="U3021" t="n">
        <v>1223</v>
      </c>
      <c r="V3021" t="n">
        <v>1237</v>
      </c>
      <c r="W3021" t="n">
        <v/>
      </c>
      <c r="X3021" t="n">
        <v/>
      </c>
      <c r="Y3021" t="n">
        <v/>
      </c>
      <c r="Z3021" t="n">
        <v/>
      </c>
      <c r="AA3021">
        <f>SUMIFS($S$2:S3021,$A$2:A3021,A3021,$N$2:N3021,"Explore*")</f>
        <v/>
      </c>
      <c r="AB3021">
        <f>IF(AND(LEFT(N3021,7)="Explore",(AA3021-IF(LEFT(N3021,7)="Explore",S3021,0))&lt;10),"SI","NO")</f>
        <v/>
      </c>
    </row>
    <row r="3022">
      <c r="A3022" t="inlineStr">
        <is>
          <t>c10f1_test</t>
        </is>
      </c>
      <c r="B3022" t="inlineStr">
        <is>
          <t>2026-06-19 16:24:54.976</t>
        </is>
      </c>
      <c r="C3022" t="n">
        <v/>
      </c>
      <c r="D3022" t="inlineStr">
        <is>
          <t>Media file</t>
        </is>
      </c>
      <c r="E3022" t="inlineStr">
        <is>
          <t>player #1:C:/Users/manuel.felline/Documents/BEHAVIOR BTBR/NOR second cohort/BTBR/test/c10_f1.mp4</t>
        </is>
      </c>
      <c r="F3022" t="n">
        <v>-15.867</v>
      </c>
      <c r="G3022" t="n">
        <v>580.099</v>
      </c>
      <c r="H3022" t="n">
        <v>629.566</v>
      </c>
      <c r="I3022" t="n">
        <v>30</v>
      </c>
      <c r="J3022" t="inlineStr">
        <is>
          <t>BTBR</t>
        </is>
      </c>
      <c r="K3022" t="inlineStr">
        <is>
          <t xml:space="preserve"> Female</t>
        </is>
      </c>
      <c r="L3022" t="inlineStr">
        <is>
          <t>No focal subject</t>
        </is>
      </c>
      <c r="M3022" t="n">
        <v>42.765</v>
      </c>
      <c r="N3022" t="inlineStr">
        <is>
          <t>Explore_N</t>
        </is>
      </c>
      <c r="O3022" t="inlineStr">
        <is>
          <t>Novelty</t>
        </is>
      </c>
      <c r="P3022" t="inlineStr">
        <is>
          <t>STATE</t>
        </is>
      </c>
      <c r="Q3022" t="n">
        <v>53.6</v>
      </c>
      <c r="R3022" t="n">
        <v>55.566</v>
      </c>
      <c r="S3022" t="n">
        <v>1.966</v>
      </c>
      <c r="T3022" t="inlineStr">
        <is>
          <t>C:/Users/manuel.felline/Documents/BEHAVIOR BTBR/NOR second cohort/BTBR/test/c10_f1.mp4</t>
        </is>
      </c>
      <c r="U3022" t="n">
        <v>2084</v>
      </c>
      <c r="V3022" t="n">
        <v>2143</v>
      </c>
      <c r="W3022" t="n">
        <v/>
      </c>
      <c r="X3022" t="n">
        <v/>
      </c>
      <c r="Y3022" t="n">
        <v/>
      </c>
      <c r="Z3022" t="n">
        <v/>
      </c>
      <c r="AA3022">
        <f>SUMIFS($S$2:S3022,$A$2:A3022,A3022,$N$2:N3022,"Explore*")</f>
        <v/>
      </c>
      <c r="AB3022">
        <f>IF(AND(LEFT(N3022,7)="Explore",(AA3022-IF(LEFT(N3022,7)="Explore",S3022,0))&lt;10),"SI","NO")</f>
        <v/>
      </c>
    </row>
    <row r="3023">
      <c r="A3023" t="inlineStr">
        <is>
          <t>c10f1_test</t>
        </is>
      </c>
      <c r="B3023" t="inlineStr">
        <is>
          <t>2026-06-19 16:24:54.976</t>
        </is>
      </c>
      <c r="C3023" t="n">
        <v/>
      </c>
      <c r="D3023" t="inlineStr">
        <is>
          <t>Media file</t>
        </is>
      </c>
      <c r="E3023" t="inlineStr">
        <is>
          <t>player #1:C:/Users/manuel.felline/Documents/BEHAVIOR BTBR/NOR second cohort/BTBR/test/c10_f1.mp4</t>
        </is>
      </c>
      <c r="F3023" t="n">
        <v>-15.867</v>
      </c>
      <c r="G3023" t="n">
        <v>580.099</v>
      </c>
      <c r="H3023" t="n">
        <v>629.566</v>
      </c>
      <c r="I3023" t="n">
        <v>30</v>
      </c>
      <c r="J3023" t="inlineStr">
        <is>
          <t>BTBR</t>
        </is>
      </c>
      <c r="K3023" t="inlineStr">
        <is>
          <t xml:space="preserve"> Female</t>
        </is>
      </c>
      <c r="L3023" t="inlineStr">
        <is>
          <t>No focal subject</t>
        </is>
      </c>
      <c r="M3023" t="n">
        <v>42.765</v>
      </c>
      <c r="N3023" t="inlineStr">
        <is>
          <t>Explore_N</t>
        </is>
      </c>
      <c r="O3023" t="inlineStr">
        <is>
          <t>Novelty</t>
        </is>
      </c>
      <c r="P3023" t="inlineStr">
        <is>
          <t>STATE</t>
        </is>
      </c>
      <c r="Q3023" t="n">
        <v>58.633</v>
      </c>
      <c r="R3023" t="n">
        <v>61</v>
      </c>
      <c r="S3023" t="n">
        <v>2.367</v>
      </c>
      <c r="T3023" t="inlineStr">
        <is>
          <t>C:/Users/manuel.felline/Documents/BEHAVIOR BTBR/NOR second cohort/BTBR/test/c10_f1.mp4</t>
        </is>
      </c>
      <c r="U3023" t="n">
        <v>2235</v>
      </c>
      <c r="V3023" t="n">
        <v>2306</v>
      </c>
      <c r="W3023" t="n">
        <v/>
      </c>
      <c r="X3023" t="n">
        <v/>
      </c>
      <c r="Y3023" t="n">
        <v/>
      </c>
      <c r="Z3023" t="n">
        <v/>
      </c>
      <c r="AA3023">
        <f>SUMIFS($S$2:S3023,$A$2:A3023,A3023,$N$2:N3023,"Explore*")</f>
        <v/>
      </c>
      <c r="AB3023">
        <f>IF(AND(LEFT(N3023,7)="Explore",(AA3023-IF(LEFT(N3023,7)="Explore",S3023,0))&lt;10),"SI","NO")</f>
        <v/>
      </c>
    </row>
    <row r="3024">
      <c r="A3024" t="inlineStr">
        <is>
          <t>c10f1_test</t>
        </is>
      </c>
      <c r="B3024" t="inlineStr">
        <is>
          <t>2026-06-19 16:24:54.976</t>
        </is>
      </c>
      <c r="C3024" t="n">
        <v/>
      </c>
      <c r="D3024" t="inlineStr">
        <is>
          <t>Media file</t>
        </is>
      </c>
      <c r="E3024" t="inlineStr">
        <is>
          <t>player #1:C:/Users/manuel.felline/Documents/BEHAVIOR BTBR/NOR second cohort/BTBR/test/c10_f1.mp4</t>
        </is>
      </c>
      <c r="F3024" t="n">
        <v>-15.867</v>
      </c>
      <c r="G3024" t="n">
        <v>580.099</v>
      </c>
      <c r="H3024" t="n">
        <v>629.566</v>
      </c>
      <c r="I3024" t="n">
        <v>30</v>
      </c>
      <c r="J3024" t="inlineStr">
        <is>
          <t>BTBR</t>
        </is>
      </c>
      <c r="K3024" t="inlineStr">
        <is>
          <t xml:space="preserve"> Female</t>
        </is>
      </c>
      <c r="L3024" t="inlineStr">
        <is>
          <t>No focal subject</t>
        </is>
      </c>
      <c r="M3024" t="n">
        <v>42.765</v>
      </c>
      <c r="N3024" t="inlineStr">
        <is>
          <t>Explore_F</t>
        </is>
      </c>
      <c r="O3024" t="inlineStr">
        <is>
          <t>Familiar</t>
        </is>
      </c>
      <c r="P3024" t="inlineStr">
        <is>
          <t>STATE</t>
        </is>
      </c>
      <c r="Q3024" t="n">
        <v>62.766</v>
      </c>
      <c r="R3024" t="n">
        <v>63.5</v>
      </c>
      <c r="S3024" t="n">
        <v>0.734</v>
      </c>
      <c r="T3024" t="inlineStr">
        <is>
          <t>C:/Users/manuel.felline/Documents/BEHAVIOR BTBR/NOR second cohort/BTBR/test/c10_f1.mp4</t>
        </is>
      </c>
      <c r="U3024" t="n">
        <v>2359</v>
      </c>
      <c r="V3024" t="n">
        <v>2381</v>
      </c>
      <c r="W3024" t="n">
        <v/>
      </c>
      <c r="X3024" t="n">
        <v/>
      </c>
      <c r="Y3024" t="n">
        <v/>
      </c>
      <c r="Z3024" t="n">
        <v/>
      </c>
      <c r="AA3024">
        <f>SUMIFS($S$2:S3024,$A$2:A3024,A3024,$N$2:N3024,"Explore*")</f>
        <v/>
      </c>
      <c r="AB3024">
        <f>IF(AND(LEFT(N3024,7)="Explore",(AA3024-IF(LEFT(N3024,7)="Explore",S3024,0))&lt;10),"SI","NO")</f>
        <v/>
      </c>
    </row>
    <row r="3025">
      <c r="A3025" t="inlineStr">
        <is>
          <t>c10f1_test</t>
        </is>
      </c>
      <c r="B3025" t="inlineStr">
        <is>
          <t>2026-06-19 16:24:54.976</t>
        </is>
      </c>
      <c r="C3025" t="n">
        <v/>
      </c>
      <c r="D3025" t="inlineStr">
        <is>
          <t>Media file</t>
        </is>
      </c>
      <c r="E3025" t="inlineStr">
        <is>
          <t>player #1:C:/Users/manuel.felline/Documents/BEHAVIOR BTBR/NOR second cohort/BTBR/test/c10_f1.mp4</t>
        </is>
      </c>
      <c r="F3025" t="n">
        <v>-15.867</v>
      </c>
      <c r="G3025" t="n">
        <v>580.099</v>
      </c>
      <c r="H3025" t="n">
        <v>629.566</v>
      </c>
      <c r="I3025" t="n">
        <v>30</v>
      </c>
      <c r="J3025" t="inlineStr">
        <is>
          <t>BTBR</t>
        </is>
      </c>
      <c r="K3025" t="inlineStr">
        <is>
          <t xml:space="preserve"> Female</t>
        </is>
      </c>
      <c r="L3025" t="inlineStr">
        <is>
          <t>No focal subject</t>
        </is>
      </c>
      <c r="M3025" t="n">
        <v>42.765</v>
      </c>
      <c r="N3025" t="inlineStr">
        <is>
          <t>Explore_N</t>
        </is>
      </c>
      <c r="O3025" t="inlineStr">
        <is>
          <t>Novelty</t>
        </is>
      </c>
      <c r="P3025" t="inlineStr">
        <is>
          <t>STATE</t>
        </is>
      </c>
      <c r="Q3025" t="n">
        <v>64.96599999999999</v>
      </c>
      <c r="R3025" t="n">
        <v>65.733</v>
      </c>
      <c r="S3025" t="n">
        <v>0.767</v>
      </c>
      <c r="T3025" t="inlineStr">
        <is>
          <t>C:/Users/manuel.felline/Documents/BEHAVIOR BTBR/NOR second cohort/BTBR/test/c10_f1.mp4</t>
        </is>
      </c>
      <c r="U3025" t="n">
        <v>2425</v>
      </c>
      <c r="V3025" t="n">
        <v>2448</v>
      </c>
      <c r="W3025" t="n">
        <v/>
      </c>
      <c r="X3025" t="n">
        <v/>
      </c>
      <c r="Y3025" t="n">
        <v/>
      </c>
      <c r="Z3025" t="n">
        <v/>
      </c>
      <c r="AA3025">
        <f>SUMIFS($S$2:S3025,$A$2:A3025,A3025,$N$2:N3025,"Explore*")</f>
        <v/>
      </c>
      <c r="AB3025">
        <f>IF(AND(LEFT(N3025,7)="Explore",(AA3025-IF(LEFT(N3025,7)="Explore",S3025,0))&lt;10),"SI","NO")</f>
        <v/>
      </c>
    </row>
    <row r="3026">
      <c r="A3026" t="inlineStr">
        <is>
          <t>c10f1_test</t>
        </is>
      </c>
      <c r="B3026" t="inlineStr">
        <is>
          <t>2026-06-19 16:24:54.976</t>
        </is>
      </c>
      <c r="C3026" t="n">
        <v/>
      </c>
      <c r="D3026" t="inlineStr">
        <is>
          <t>Media file</t>
        </is>
      </c>
      <c r="E3026" t="inlineStr">
        <is>
          <t>player #1:C:/Users/manuel.felline/Documents/BEHAVIOR BTBR/NOR second cohort/BTBR/test/c10_f1.mp4</t>
        </is>
      </c>
      <c r="F3026" t="n">
        <v>-15.867</v>
      </c>
      <c r="G3026" t="n">
        <v>580.099</v>
      </c>
      <c r="H3026" t="n">
        <v>629.566</v>
      </c>
      <c r="I3026" t="n">
        <v>30</v>
      </c>
      <c r="J3026" t="inlineStr">
        <is>
          <t>BTBR</t>
        </is>
      </c>
      <c r="K3026" t="inlineStr">
        <is>
          <t xml:space="preserve"> Female</t>
        </is>
      </c>
      <c r="L3026" t="inlineStr">
        <is>
          <t>No focal subject</t>
        </is>
      </c>
      <c r="M3026" t="n">
        <v>42.765</v>
      </c>
      <c r="N3026" t="inlineStr">
        <is>
          <t>Explore_F</t>
        </is>
      </c>
      <c r="O3026" t="inlineStr">
        <is>
          <t>Familiar</t>
        </is>
      </c>
      <c r="P3026" t="inlineStr">
        <is>
          <t>STATE</t>
        </is>
      </c>
      <c r="Q3026" t="n">
        <v>84.26600000000001</v>
      </c>
      <c r="R3026" t="n">
        <v>84.666</v>
      </c>
      <c r="S3026" t="n">
        <v>0.4</v>
      </c>
      <c r="T3026" t="inlineStr">
        <is>
          <t>C:/Users/manuel.felline/Documents/BEHAVIOR BTBR/NOR second cohort/BTBR/test/c10_f1.mp4</t>
        </is>
      </c>
      <c r="U3026" t="n">
        <v>3004</v>
      </c>
      <c r="V3026" t="n">
        <v>3016</v>
      </c>
      <c r="W3026" t="n">
        <v/>
      </c>
      <c r="X3026" t="n">
        <v/>
      </c>
      <c r="Y3026" t="n">
        <v/>
      </c>
      <c r="Z3026" t="n">
        <v/>
      </c>
      <c r="AA3026">
        <f>SUMIFS($S$2:S3026,$A$2:A3026,A3026,$N$2:N3026,"Explore*")</f>
        <v/>
      </c>
      <c r="AB3026">
        <f>IF(AND(LEFT(N3026,7)="Explore",(AA3026-IF(LEFT(N3026,7)="Explore",S3026,0))&lt;10),"SI","NO")</f>
        <v/>
      </c>
    </row>
    <row r="3027">
      <c r="A3027" t="inlineStr">
        <is>
          <t>c10f1_test</t>
        </is>
      </c>
      <c r="B3027" t="inlineStr">
        <is>
          <t>2026-06-19 16:24:54.976</t>
        </is>
      </c>
      <c r="C3027" t="n">
        <v/>
      </c>
      <c r="D3027" t="inlineStr">
        <is>
          <t>Media file</t>
        </is>
      </c>
      <c r="E3027" t="inlineStr">
        <is>
          <t>player #1:C:/Users/manuel.felline/Documents/BEHAVIOR BTBR/NOR second cohort/BTBR/test/c10_f1.mp4</t>
        </is>
      </c>
      <c r="F3027" t="n">
        <v>-15.867</v>
      </c>
      <c r="G3027" t="n">
        <v>580.099</v>
      </c>
      <c r="H3027" t="n">
        <v>629.566</v>
      </c>
      <c r="I3027" t="n">
        <v>30</v>
      </c>
      <c r="J3027" t="inlineStr">
        <is>
          <t>BTBR</t>
        </is>
      </c>
      <c r="K3027" t="inlineStr">
        <is>
          <t xml:space="preserve"> Female</t>
        </is>
      </c>
      <c r="L3027" t="inlineStr">
        <is>
          <t>No focal subject</t>
        </is>
      </c>
      <c r="M3027" t="n">
        <v>42.765</v>
      </c>
      <c r="N3027" t="inlineStr">
        <is>
          <t>Explore_N</t>
        </is>
      </c>
      <c r="O3027" t="inlineStr">
        <is>
          <t>Novelty</t>
        </is>
      </c>
      <c r="P3027" t="inlineStr">
        <is>
          <t>STATE</t>
        </is>
      </c>
      <c r="Q3027" t="n">
        <v>90.7</v>
      </c>
      <c r="R3027" t="n">
        <v>91.46599999999999</v>
      </c>
      <c r="S3027" t="n">
        <v>0.766</v>
      </c>
      <c r="T3027" t="inlineStr">
        <is>
          <t>C:/Users/manuel.felline/Documents/BEHAVIOR BTBR/NOR second cohort/BTBR/test/c10_f1.mp4</t>
        </is>
      </c>
      <c r="U3027" t="n">
        <v>3197</v>
      </c>
      <c r="V3027" t="n">
        <v>3220</v>
      </c>
      <c r="W3027" t="n">
        <v/>
      </c>
      <c r="X3027" t="n">
        <v/>
      </c>
      <c r="Y3027" t="n">
        <v/>
      </c>
      <c r="Z3027" t="n">
        <v/>
      </c>
      <c r="AA3027">
        <f>SUMIFS($S$2:S3027,$A$2:A3027,A3027,$N$2:N3027,"Explore*")</f>
        <v/>
      </c>
      <c r="AB3027">
        <f>IF(AND(LEFT(N3027,7)="Explore",(AA3027-IF(LEFT(N3027,7)="Explore",S3027,0))&lt;10),"SI","NO")</f>
        <v/>
      </c>
    </row>
    <row r="3028">
      <c r="A3028" t="inlineStr">
        <is>
          <t>c10f1_test</t>
        </is>
      </c>
      <c r="B3028" t="inlineStr">
        <is>
          <t>2026-06-19 16:24:54.976</t>
        </is>
      </c>
      <c r="C3028" t="n">
        <v/>
      </c>
      <c r="D3028" t="inlineStr">
        <is>
          <t>Media file</t>
        </is>
      </c>
      <c r="E3028" t="inlineStr">
        <is>
          <t>player #1:C:/Users/manuel.felline/Documents/BEHAVIOR BTBR/NOR second cohort/BTBR/test/c10_f1.mp4</t>
        </is>
      </c>
      <c r="F3028" t="n">
        <v>-15.867</v>
      </c>
      <c r="G3028" t="n">
        <v>580.099</v>
      </c>
      <c r="H3028" t="n">
        <v>629.566</v>
      </c>
      <c r="I3028" t="n">
        <v>30</v>
      </c>
      <c r="J3028" t="inlineStr">
        <is>
          <t>BTBR</t>
        </is>
      </c>
      <c r="K3028" t="inlineStr">
        <is>
          <t xml:space="preserve"> Female</t>
        </is>
      </c>
      <c r="L3028" t="inlineStr">
        <is>
          <t>No focal subject</t>
        </is>
      </c>
      <c r="M3028" t="n">
        <v>42.765</v>
      </c>
      <c r="N3028" t="inlineStr">
        <is>
          <t>Explore_F</t>
        </is>
      </c>
      <c r="O3028" t="inlineStr">
        <is>
          <t>Familiar</t>
        </is>
      </c>
      <c r="P3028" t="inlineStr">
        <is>
          <t>STATE</t>
        </is>
      </c>
      <c r="Q3028" t="n">
        <v>92.2</v>
      </c>
      <c r="R3028" t="n">
        <v>92.566</v>
      </c>
      <c r="S3028" t="n">
        <v>0.366</v>
      </c>
      <c r="T3028" t="inlineStr">
        <is>
          <t>C:/Users/manuel.felline/Documents/BEHAVIOR BTBR/NOR second cohort/BTBR/test/c10_f1.mp4</t>
        </is>
      </c>
      <c r="U3028" t="n">
        <v>3242</v>
      </c>
      <c r="V3028" t="n">
        <v>3253</v>
      </c>
      <c r="W3028" t="n">
        <v/>
      </c>
      <c r="X3028" t="n">
        <v/>
      </c>
      <c r="Y3028" t="n">
        <v/>
      </c>
      <c r="Z3028" t="n">
        <v/>
      </c>
      <c r="AA3028">
        <f>SUMIFS($S$2:S3028,$A$2:A3028,A3028,$N$2:N3028,"Explore*")</f>
        <v/>
      </c>
      <c r="AB3028">
        <f>IF(AND(LEFT(N3028,7)="Explore",(AA3028-IF(LEFT(N3028,7)="Explore",S3028,0))&lt;10),"SI","NO")</f>
        <v/>
      </c>
    </row>
    <row r="3029">
      <c r="A3029" t="inlineStr">
        <is>
          <t>c10f1_test</t>
        </is>
      </c>
      <c r="B3029" t="inlineStr">
        <is>
          <t>2026-06-19 16:24:54.976</t>
        </is>
      </c>
      <c r="C3029" t="n">
        <v/>
      </c>
      <c r="D3029" t="inlineStr">
        <is>
          <t>Media file</t>
        </is>
      </c>
      <c r="E3029" t="inlineStr">
        <is>
          <t>player #1:C:/Users/manuel.felline/Documents/BEHAVIOR BTBR/NOR second cohort/BTBR/test/c10_f1.mp4</t>
        </is>
      </c>
      <c r="F3029" t="n">
        <v>-15.867</v>
      </c>
      <c r="G3029" t="n">
        <v>580.099</v>
      </c>
      <c r="H3029" t="n">
        <v>629.566</v>
      </c>
      <c r="I3029" t="n">
        <v>30</v>
      </c>
      <c r="J3029" t="inlineStr">
        <is>
          <t>BTBR</t>
        </is>
      </c>
      <c r="K3029" t="inlineStr">
        <is>
          <t xml:space="preserve"> Female</t>
        </is>
      </c>
      <c r="L3029" t="inlineStr">
        <is>
          <t>No focal subject</t>
        </is>
      </c>
      <c r="M3029" t="n">
        <v>42.765</v>
      </c>
      <c r="N3029" t="inlineStr">
        <is>
          <t>Explore_N</t>
        </is>
      </c>
      <c r="O3029" t="inlineStr">
        <is>
          <t>Novelty</t>
        </is>
      </c>
      <c r="P3029" t="inlineStr">
        <is>
          <t>STATE</t>
        </is>
      </c>
      <c r="Q3029" t="n">
        <v>101.7</v>
      </c>
      <c r="R3029" t="n">
        <v>102.2</v>
      </c>
      <c r="S3029" t="n">
        <v>0.5</v>
      </c>
      <c r="T3029" t="inlineStr">
        <is>
          <t>C:/Users/manuel.felline/Documents/BEHAVIOR BTBR/NOR second cohort/BTBR/test/c10_f1.mp4</t>
        </is>
      </c>
      <c r="U3029" t="n">
        <v>3527</v>
      </c>
      <c r="V3029" t="n">
        <v>3542</v>
      </c>
      <c r="W3029" t="n">
        <v/>
      </c>
      <c r="X3029" t="n">
        <v/>
      </c>
      <c r="Y3029" t="n">
        <v/>
      </c>
      <c r="Z3029" t="n">
        <v/>
      </c>
      <c r="AA3029">
        <f>SUMIFS($S$2:S3029,$A$2:A3029,A3029,$N$2:N3029,"Explore*")</f>
        <v/>
      </c>
      <c r="AB3029">
        <f>IF(AND(LEFT(N3029,7)="Explore",(AA3029-IF(LEFT(N3029,7)="Explore",S3029,0))&lt;10),"SI","NO")</f>
        <v/>
      </c>
    </row>
    <row r="3030">
      <c r="A3030" t="inlineStr">
        <is>
          <t>c10f1_test</t>
        </is>
      </c>
      <c r="B3030" t="inlineStr">
        <is>
          <t>2026-06-19 16:24:54.976</t>
        </is>
      </c>
      <c r="C3030" t="n">
        <v/>
      </c>
      <c r="D3030" t="inlineStr">
        <is>
          <t>Media file</t>
        </is>
      </c>
      <c r="E3030" t="inlineStr">
        <is>
          <t>player #1:C:/Users/manuel.felline/Documents/BEHAVIOR BTBR/NOR second cohort/BTBR/test/c10_f1.mp4</t>
        </is>
      </c>
      <c r="F3030" t="n">
        <v>-15.867</v>
      </c>
      <c r="G3030" t="n">
        <v>580.099</v>
      </c>
      <c r="H3030" t="n">
        <v>629.566</v>
      </c>
      <c r="I3030" t="n">
        <v>30</v>
      </c>
      <c r="J3030" t="inlineStr">
        <is>
          <t>BTBR</t>
        </is>
      </c>
      <c r="K3030" t="inlineStr">
        <is>
          <t xml:space="preserve"> Female</t>
        </is>
      </c>
      <c r="L3030" t="inlineStr">
        <is>
          <t>No focal subject</t>
        </is>
      </c>
      <c r="M3030" t="n">
        <v>42.765</v>
      </c>
      <c r="N3030" t="inlineStr">
        <is>
          <t>Explore_F</t>
        </is>
      </c>
      <c r="O3030" t="inlineStr">
        <is>
          <t>Familiar</t>
        </is>
      </c>
      <c r="P3030" t="inlineStr">
        <is>
          <t>STATE</t>
        </is>
      </c>
      <c r="Q3030" t="n">
        <v>103</v>
      </c>
      <c r="R3030" t="n">
        <v>103.4</v>
      </c>
      <c r="S3030" t="n">
        <v>0.4</v>
      </c>
      <c r="T3030" t="inlineStr">
        <is>
          <t>C:/Users/manuel.felline/Documents/BEHAVIOR BTBR/NOR second cohort/BTBR/test/c10_f1.mp4</t>
        </is>
      </c>
      <c r="U3030" t="n">
        <v>3566</v>
      </c>
      <c r="V3030" t="n">
        <v>3578</v>
      </c>
      <c r="W3030" t="n">
        <v/>
      </c>
      <c r="X3030" t="n">
        <v/>
      </c>
      <c r="Y3030" t="n">
        <v/>
      </c>
      <c r="Z3030" t="n">
        <v/>
      </c>
      <c r="AA3030">
        <f>SUMIFS($S$2:S3030,$A$2:A3030,A3030,$N$2:N3030,"Explore*")</f>
        <v/>
      </c>
      <c r="AB3030">
        <f>IF(AND(LEFT(N3030,7)="Explore",(AA3030-IF(LEFT(N3030,7)="Explore",S3030,0))&lt;10),"SI","NO")</f>
        <v/>
      </c>
    </row>
    <row r="3031">
      <c r="A3031" t="inlineStr">
        <is>
          <t>c10f1_test</t>
        </is>
      </c>
      <c r="B3031" t="inlineStr">
        <is>
          <t>2026-06-19 16:24:54.976</t>
        </is>
      </c>
      <c r="C3031" t="n">
        <v/>
      </c>
      <c r="D3031" t="inlineStr">
        <is>
          <t>Media file</t>
        </is>
      </c>
      <c r="E3031" t="inlineStr">
        <is>
          <t>player #1:C:/Users/manuel.felline/Documents/BEHAVIOR BTBR/NOR second cohort/BTBR/test/c10_f1.mp4</t>
        </is>
      </c>
      <c r="F3031" t="n">
        <v>-15.867</v>
      </c>
      <c r="G3031" t="n">
        <v>580.099</v>
      </c>
      <c r="H3031" t="n">
        <v>629.566</v>
      </c>
      <c r="I3031" t="n">
        <v>30</v>
      </c>
      <c r="J3031" t="inlineStr">
        <is>
          <t>BTBR</t>
        </is>
      </c>
      <c r="K3031" t="inlineStr">
        <is>
          <t xml:space="preserve"> Female</t>
        </is>
      </c>
      <c r="L3031" t="inlineStr">
        <is>
          <t>No focal subject</t>
        </is>
      </c>
      <c r="M3031" t="n">
        <v>42.765</v>
      </c>
      <c r="N3031" t="inlineStr">
        <is>
          <t>Explore_F</t>
        </is>
      </c>
      <c r="O3031" t="inlineStr">
        <is>
          <t>Familiar</t>
        </is>
      </c>
      <c r="P3031" t="inlineStr">
        <is>
          <t>STATE</t>
        </is>
      </c>
      <c r="Q3031" t="n">
        <v>113</v>
      </c>
      <c r="R3031" t="n">
        <v>113.333</v>
      </c>
      <c r="S3031" t="n">
        <v>0.333</v>
      </c>
      <c r="T3031" t="inlineStr">
        <is>
          <t>C:/Users/manuel.felline/Documents/BEHAVIOR BTBR/NOR second cohort/BTBR/test/c10_f1.mp4</t>
        </is>
      </c>
      <c r="U3031" t="n">
        <v>3866</v>
      </c>
      <c r="V3031" t="n">
        <v>3876</v>
      </c>
      <c r="W3031" t="n">
        <v/>
      </c>
      <c r="X3031" t="n">
        <v/>
      </c>
      <c r="Y3031" t="n">
        <v/>
      </c>
      <c r="Z3031" t="n">
        <v/>
      </c>
      <c r="AA3031">
        <f>SUMIFS($S$2:S3031,$A$2:A3031,A3031,$N$2:N3031,"Explore*")</f>
        <v/>
      </c>
      <c r="AB3031">
        <f>IF(AND(LEFT(N3031,7)="Explore",(AA3031-IF(LEFT(N3031,7)="Explore",S3031,0))&lt;10),"SI","NO")</f>
        <v/>
      </c>
    </row>
    <row r="3032">
      <c r="A3032" t="inlineStr">
        <is>
          <t>c10f1_test</t>
        </is>
      </c>
      <c r="B3032" t="inlineStr">
        <is>
          <t>2026-06-19 16:24:54.976</t>
        </is>
      </c>
      <c r="C3032" t="n">
        <v/>
      </c>
      <c r="D3032" t="inlineStr">
        <is>
          <t>Media file</t>
        </is>
      </c>
      <c r="E3032" t="inlineStr">
        <is>
          <t>player #1:C:/Users/manuel.felline/Documents/BEHAVIOR BTBR/NOR second cohort/BTBR/test/c10_f1.mp4</t>
        </is>
      </c>
      <c r="F3032" t="n">
        <v>-15.867</v>
      </c>
      <c r="G3032" t="n">
        <v>580.099</v>
      </c>
      <c r="H3032" t="n">
        <v>629.566</v>
      </c>
      <c r="I3032" t="n">
        <v>30</v>
      </c>
      <c r="J3032" t="inlineStr">
        <is>
          <t>BTBR</t>
        </is>
      </c>
      <c r="K3032" t="inlineStr">
        <is>
          <t xml:space="preserve"> Female</t>
        </is>
      </c>
      <c r="L3032" t="inlineStr">
        <is>
          <t>No focal subject</t>
        </is>
      </c>
      <c r="M3032" t="n">
        <v>42.765</v>
      </c>
      <c r="N3032" t="inlineStr">
        <is>
          <t>Explore_F</t>
        </is>
      </c>
      <c r="O3032" t="inlineStr">
        <is>
          <t>Familiar</t>
        </is>
      </c>
      <c r="P3032" t="inlineStr">
        <is>
          <t>STATE</t>
        </is>
      </c>
      <c r="Q3032" t="n">
        <v>127.1</v>
      </c>
      <c r="R3032" t="n">
        <v>127.5</v>
      </c>
      <c r="S3032" t="n">
        <v>0.4</v>
      </c>
      <c r="T3032" t="inlineStr">
        <is>
          <t>C:/Users/manuel.felline/Documents/BEHAVIOR BTBR/NOR second cohort/BTBR/test/c10_f1.mp4</t>
        </is>
      </c>
      <c r="U3032" t="n">
        <v>4288</v>
      </c>
      <c r="V3032" t="n">
        <v>4300</v>
      </c>
      <c r="W3032" t="n">
        <v/>
      </c>
      <c r="X3032" t="n">
        <v/>
      </c>
      <c r="Y3032" t="n">
        <v/>
      </c>
      <c r="Z3032" t="n">
        <v/>
      </c>
      <c r="AA3032">
        <f>SUMIFS($S$2:S3032,$A$2:A3032,A3032,$N$2:N3032,"Explore*")</f>
        <v/>
      </c>
      <c r="AB3032">
        <f>IF(AND(LEFT(N3032,7)="Explore",(AA3032-IF(LEFT(N3032,7)="Explore",S3032,0))&lt;10),"SI","NO")</f>
        <v/>
      </c>
    </row>
    <row r="3033">
      <c r="A3033" t="inlineStr">
        <is>
          <t>c10f1_test</t>
        </is>
      </c>
      <c r="B3033" t="inlineStr">
        <is>
          <t>2026-06-19 16:24:54.976</t>
        </is>
      </c>
      <c r="C3033" t="n">
        <v/>
      </c>
      <c r="D3033" t="inlineStr">
        <is>
          <t>Media file</t>
        </is>
      </c>
      <c r="E3033" t="inlineStr">
        <is>
          <t>player #1:C:/Users/manuel.felline/Documents/BEHAVIOR BTBR/NOR second cohort/BTBR/test/c10_f1.mp4</t>
        </is>
      </c>
      <c r="F3033" t="n">
        <v>-15.867</v>
      </c>
      <c r="G3033" t="n">
        <v>580.099</v>
      </c>
      <c r="H3033" t="n">
        <v>629.566</v>
      </c>
      <c r="I3033" t="n">
        <v>30</v>
      </c>
      <c r="J3033" t="inlineStr">
        <is>
          <t>BTBR</t>
        </is>
      </c>
      <c r="K3033" t="inlineStr">
        <is>
          <t xml:space="preserve"> Female</t>
        </is>
      </c>
      <c r="L3033" t="inlineStr">
        <is>
          <t>No focal subject</t>
        </is>
      </c>
      <c r="M3033" t="n">
        <v>42.765</v>
      </c>
      <c r="N3033" t="inlineStr">
        <is>
          <t>Explore_F</t>
        </is>
      </c>
      <c r="O3033" t="inlineStr">
        <is>
          <t>Familiar</t>
        </is>
      </c>
      <c r="P3033" t="inlineStr">
        <is>
          <t>STATE</t>
        </is>
      </c>
      <c r="Q3033" t="n">
        <v>143.933</v>
      </c>
      <c r="R3033" t="n">
        <v>144.266</v>
      </c>
      <c r="S3033" t="n">
        <v>0.333</v>
      </c>
      <c r="T3033" t="inlineStr">
        <is>
          <t>C:/Users/manuel.felline/Documents/BEHAVIOR BTBR/NOR second cohort/BTBR/test/c10_f1.mp4</t>
        </is>
      </c>
      <c r="U3033" t="n">
        <v>4793</v>
      </c>
      <c r="V3033" t="n">
        <v>4803</v>
      </c>
      <c r="W3033" t="n">
        <v/>
      </c>
      <c r="X3033" t="n">
        <v/>
      </c>
      <c r="Y3033" t="n">
        <v/>
      </c>
      <c r="Z3033" t="n">
        <v/>
      </c>
      <c r="AA3033">
        <f>SUMIFS($S$2:S3033,$A$2:A3033,A3033,$N$2:N3033,"Explore*")</f>
        <v/>
      </c>
      <c r="AB3033">
        <f>IF(AND(LEFT(N3033,7)="Explore",(AA3033-IF(LEFT(N3033,7)="Explore",S3033,0))&lt;10),"SI","NO")</f>
        <v/>
      </c>
    </row>
    <row r="3034">
      <c r="A3034" t="inlineStr">
        <is>
          <t>c10f1_test</t>
        </is>
      </c>
      <c r="B3034" t="inlineStr">
        <is>
          <t>2026-06-19 16:24:54.976</t>
        </is>
      </c>
      <c r="C3034" t="n">
        <v/>
      </c>
      <c r="D3034" t="inlineStr">
        <is>
          <t>Media file</t>
        </is>
      </c>
      <c r="E3034" t="inlineStr">
        <is>
          <t>player #1:C:/Users/manuel.felline/Documents/BEHAVIOR BTBR/NOR second cohort/BTBR/test/c10_f1.mp4</t>
        </is>
      </c>
      <c r="F3034" t="n">
        <v>-15.867</v>
      </c>
      <c r="G3034" t="n">
        <v>580.099</v>
      </c>
      <c r="H3034" t="n">
        <v>629.566</v>
      </c>
      <c r="I3034" t="n">
        <v>30</v>
      </c>
      <c r="J3034" t="inlineStr">
        <is>
          <t>BTBR</t>
        </is>
      </c>
      <c r="K3034" t="inlineStr">
        <is>
          <t xml:space="preserve"> Female</t>
        </is>
      </c>
      <c r="L3034" t="inlineStr">
        <is>
          <t>No focal subject</t>
        </is>
      </c>
      <c r="M3034" t="n">
        <v>42.765</v>
      </c>
      <c r="N3034" t="inlineStr">
        <is>
          <t>Explore_N</t>
        </is>
      </c>
      <c r="O3034" t="inlineStr">
        <is>
          <t>Novelty</t>
        </is>
      </c>
      <c r="P3034" t="inlineStr">
        <is>
          <t>STATE</t>
        </is>
      </c>
      <c r="Q3034" t="n">
        <v>160.299</v>
      </c>
      <c r="R3034" t="n">
        <v>161.133</v>
      </c>
      <c r="S3034" t="n">
        <v>0.834</v>
      </c>
      <c r="T3034" t="inlineStr">
        <is>
          <t>C:/Users/manuel.felline/Documents/BEHAVIOR BTBR/NOR second cohort/BTBR/test/c10_f1.mp4</t>
        </is>
      </c>
      <c r="U3034" t="n">
        <v>5284</v>
      </c>
      <c r="V3034" t="n">
        <v>5310</v>
      </c>
      <c r="W3034" t="n">
        <v/>
      </c>
      <c r="X3034" t="n">
        <v/>
      </c>
      <c r="Y3034" t="n">
        <v/>
      </c>
      <c r="Z3034" t="n">
        <v/>
      </c>
      <c r="AA3034">
        <f>SUMIFS($S$2:S3034,$A$2:A3034,A3034,$N$2:N3034,"Explore*")</f>
        <v/>
      </c>
      <c r="AB3034">
        <f>IF(AND(LEFT(N3034,7)="Explore",(AA3034-IF(LEFT(N3034,7)="Explore",S3034,0))&lt;10),"SI","NO")</f>
        <v/>
      </c>
    </row>
    <row r="3035">
      <c r="A3035" t="inlineStr">
        <is>
          <t>c10f1_test</t>
        </is>
      </c>
      <c r="B3035" t="inlineStr">
        <is>
          <t>2026-06-19 16:24:54.976</t>
        </is>
      </c>
      <c r="C3035" t="n">
        <v/>
      </c>
      <c r="D3035" t="inlineStr">
        <is>
          <t>Media file</t>
        </is>
      </c>
      <c r="E3035" t="inlineStr">
        <is>
          <t>player #1:C:/Users/manuel.felline/Documents/BEHAVIOR BTBR/NOR second cohort/BTBR/test/c10_f1.mp4</t>
        </is>
      </c>
      <c r="F3035" t="n">
        <v>-15.867</v>
      </c>
      <c r="G3035" t="n">
        <v>580.099</v>
      </c>
      <c r="H3035" t="n">
        <v>629.566</v>
      </c>
      <c r="I3035" t="n">
        <v>30</v>
      </c>
      <c r="J3035" t="inlineStr">
        <is>
          <t>BTBR</t>
        </is>
      </c>
      <c r="K3035" t="inlineStr">
        <is>
          <t xml:space="preserve"> Female</t>
        </is>
      </c>
      <c r="L3035" t="inlineStr">
        <is>
          <t>No focal subject</t>
        </is>
      </c>
      <c r="M3035" t="n">
        <v>42.765</v>
      </c>
      <c r="N3035" t="inlineStr">
        <is>
          <t>Explore_N</t>
        </is>
      </c>
      <c r="O3035" t="inlineStr">
        <is>
          <t>Novelty</t>
        </is>
      </c>
      <c r="P3035" t="inlineStr">
        <is>
          <t>STATE</t>
        </is>
      </c>
      <c r="Q3035" t="n">
        <v>161.766</v>
      </c>
      <c r="R3035" t="n">
        <v>162.466</v>
      </c>
      <c r="S3035" t="n">
        <v>0.7</v>
      </c>
      <c r="T3035" t="inlineStr">
        <is>
          <t>C:/Users/manuel.felline/Documents/BEHAVIOR BTBR/NOR second cohort/BTBR/test/c10_f1.mp4</t>
        </is>
      </c>
      <c r="U3035" t="n">
        <v>5328</v>
      </c>
      <c r="V3035" t="n">
        <v>5349</v>
      </c>
      <c r="W3035" t="n">
        <v/>
      </c>
      <c r="X3035" t="n">
        <v/>
      </c>
      <c r="Y3035" t="n">
        <v/>
      </c>
      <c r="Z3035" t="n">
        <v/>
      </c>
      <c r="AA3035">
        <f>SUMIFS($S$2:S3035,$A$2:A3035,A3035,$N$2:N3035,"Explore*")</f>
        <v/>
      </c>
      <c r="AB3035">
        <f>IF(AND(LEFT(N3035,7)="Explore",(AA3035-IF(LEFT(N3035,7)="Explore",S3035,0))&lt;10),"SI","NO")</f>
        <v/>
      </c>
    </row>
    <row r="3036">
      <c r="A3036" t="inlineStr">
        <is>
          <t>c10f1_test</t>
        </is>
      </c>
      <c r="B3036" t="inlineStr">
        <is>
          <t>2026-06-19 16:24:54.976</t>
        </is>
      </c>
      <c r="C3036" t="n">
        <v/>
      </c>
      <c r="D3036" t="inlineStr">
        <is>
          <t>Media file</t>
        </is>
      </c>
      <c r="E3036" t="inlineStr">
        <is>
          <t>player #1:C:/Users/manuel.felline/Documents/BEHAVIOR BTBR/NOR second cohort/BTBR/test/c10_f1.mp4</t>
        </is>
      </c>
      <c r="F3036" t="n">
        <v>-15.867</v>
      </c>
      <c r="G3036" t="n">
        <v>580.099</v>
      </c>
      <c r="H3036" t="n">
        <v>629.566</v>
      </c>
      <c r="I3036" t="n">
        <v>30</v>
      </c>
      <c r="J3036" t="inlineStr">
        <is>
          <t>BTBR</t>
        </is>
      </c>
      <c r="K3036" t="inlineStr">
        <is>
          <t xml:space="preserve"> Female</t>
        </is>
      </c>
      <c r="L3036" t="inlineStr">
        <is>
          <t>No focal subject</t>
        </is>
      </c>
      <c r="M3036" t="n">
        <v>42.765</v>
      </c>
      <c r="N3036" t="inlineStr">
        <is>
          <t>Explore_F</t>
        </is>
      </c>
      <c r="O3036" t="inlineStr">
        <is>
          <t>Familiar</t>
        </is>
      </c>
      <c r="P3036" t="inlineStr">
        <is>
          <t>STATE</t>
        </is>
      </c>
      <c r="Q3036" t="n">
        <v>169.266</v>
      </c>
      <c r="R3036" t="n">
        <v>169.699</v>
      </c>
      <c r="S3036" t="n">
        <v>0.433</v>
      </c>
      <c r="T3036" t="inlineStr">
        <is>
          <t>C:/Users/manuel.felline/Documents/BEHAVIOR BTBR/NOR second cohort/BTBR/test/c10_f1.mp4</t>
        </is>
      </c>
      <c r="U3036" t="n">
        <v>5553</v>
      </c>
      <c r="V3036" t="n">
        <v>5566</v>
      </c>
      <c r="W3036" t="n">
        <v/>
      </c>
      <c r="X3036" t="n">
        <v/>
      </c>
      <c r="Y3036" t="n">
        <v/>
      </c>
      <c r="Z3036" t="n">
        <v/>
      </c>
      <c r="AA3036">
        <f>SUMIFS($S$2:S3036,$A$2:A3036,A3036,$N$2:N3036,"Explore*")</f>
        <v/>
      </c>
      <c r="AB3036">
        <f>IF(AND(LEFT(N3036,7)="Explore",(AA3036-IF(LEFT(N3036,7)="Explore",S3036,0))&lt;10),"SI","NO")</f>
        <v/>
      </c>
    </row>
    <row r="3037">
      <c r="A3037" t="inlineStr">
        <is>
          <t>c10f1_test</t>
        </is>
      </c>
      <c r="B3037" t="inlineStr">
        <is>
          <t>2026-06-19 16:24:54.976</t>
        </is>
      </c>
      <c r="C3037" t="n">
        <v/>
      </c>
      <c r="D3037" t="inlineStr">
        <is>
          <t>Media file</t>
        </is>
      </c>
      <c r="E3037" t="inlineStr">
        <is>
          <t>player #1:C:/Users/manuel.felline/Documents/BEHAVIOR BTBR/NOR second cohort/BTBR/test/c10_f1.mp4</t>
        </is>
      </c>
      <c r="F3037" t="n">
        <v>-15.867</v>
      </c>
      <c r="G3037" t="n">
        <v>580.099</v>
      </c>
      <c r="H3037" t="n">
        <v>629.566</v>
      </c>
      <c r="I3037" t="n">
        <v>30</v>
      </c>
      <c r="J3037" t="inlineStr">
        <is>
          <t>BTBR</t>
        </is>
      </c>
      <c r="K3037" t="inlineStr">
        <is>
          <t xml:space="preserve"> Female</t>
        </is>
      </c>
      <c r="L3037" t="inlineStr">
        <is>
          <t>No focal subject</t>
        </is>
      </c>
      <c r="M3037" t="n">
        <v>42.765</v>
      </c>
      <c r="N3037" t="inlineStr">
        <is>
          <t>Explore_N</t>
        </is>
      </c>
      <c r="O3037" t="inlineStr">
        <is>
          <t>Novelty</t>
        </is>
      </c>
      <c r="P3037" t="inlineStr">
        <is>
          <t>STATE</t>
        </is>
      </c>
      <c r="Q3037" t="n">
        <v>174.199</v>
      </c>
      <c r="R3037" t="n">
        <v>174.766</v>
      </c>
      <c r="S3037" t="n">
        <v>0.5669999999999999</v>
      </c>
      <c r="T3037" t="inlineStr">
        <is>
          <t>C:/Users/manuel.felline/Documents/BEHAVIOR BTBR/NOR second cohort/BTBR/test/c10_f1.mp4</t>
        </is>
      </c>
      <c r="U3037" t="n">
        <v>5701</v>
      </c>
      <c r="V3037" t="n">
        <v>5718</v>
      </c>
      <c r="W3037" t="n">
        <v/>
      </c>
      <c r="X3037" t="n">
        <v/>
      </c>
      <c r="Y3037" t="n">
        <v/>
      </c>
      <c r="Z3037" t="n">
        <v/>
      </c>
      <c r="AA3037">
        <f>SUMIFS($S$2:S3037,$A$2:A3037,A3037,$N$2:N3037,"Explore*")</f>
        <v/>
      </c>
      <c r="AB3037">
        <f>IF(AND(LEFT(N3037,7)="Explore",(AA3037-IF(LEFT(N3037,7)="Explore",S3037,0))&lt;10),"SI","NO")</f>
        <v/>
      </c>
    </row>
    <row r="3038">
      <c r="A3038" t="inlineStr">
        <is>
          <t>c10f1_test</t>
        </is>
      </c>
      <c r="B3038" t="inlineStr">
        <is>
          <t>2026-06-19 16:24:54.976</t>
        </is>
      </c>
      <c r="C3038" t="n">
        <v/>
      </c>
      <c r="D3038" t="inlineStr">
        <is>
          <t>Media file</t>
        </is>
      </c>
      <c r="E3038" t="inlineStr">
        <is>
          <t>player #1:C:/Users/manuel.felline/Documents/BEHAVIOR BTBR/NOR second cohort/BTBR/test/c10_f1.mp4</t>
        </is>
      </c>
      <c r="F3038" t="n">
        <v>-15.867</v>
      </c>
      <c r="G3038" t="n">
        <v>580.099</v>
      </c>
      <c r="H3038" t="n">
        <v>629.566</v>
      </c>
      <c r="I3038" t="n">
        <v>30</v>
      </c>
      <c r="J3038" t="inlineStr">
        <is>
          <t>BTBR</t>
        </is>
      </c>
      <c r="K3038" t="inlineStr">
        <is>
          <t xml:space="preserve"> Female</t>
        </is>
      </c>
      <c r="L3038" t="inlineStr">
        <is>
          <t>No focal subject</t>
        </is>
      </c>
      <c r="M3038" t="n">
        <v>42.765</v>
      </c>
      <c r="N3038" t="inlineStr">
        <is>
          <t>Explore_F</t>
        </is>
      </c>
      <c r="O3038" t="inlineStr">
        <is>
          <t>Familiar</t>
        </is>
      </c>
      <c r="P3038" t="inlineStr">
        <is>
          <t>STATE</t>
        </is>
      </c>
      <c r="Q3038" t="n">
        <v>181.299</v>
      </c>
      <c r="R3038" t="n">
        <v>181.666</v>
      </c>
      <c r="S3038" t="n">
        <v>0.367</v>
      </c>
      <c r="T3038" t="inlineStr">
        <is>
          <t>C:/Users/manuel.felline/Documents/BEHAVIOR BTBR/NOR second cohort/BTBR/test/c10_f1.mp4</t>
        </is>
      </c>
      <c r="U3038" t="n">
        <v>5914</v>
      </c>
      <c r="V3038" t="n">
        <v>5925</v>
      </c>
      <c r="W3038" t="n">
        <v/>
      </c>
      <c r="X3038" t="n">
        <v/>
      </c>
      <c r="Y3038" t="n">
        <v/>
      </c>
      <c r="Z3038" t="n">
        <v/>
      </c>
      <c r="AA3038">
        <f>SUMIFS($S$2:S3038,$A$2:A3038,A3038,$N$2:N3038,"Explore*")</f>
        <v/>
      </c>
      <c r="AB3038">
        <f>IF(AND(LEFT(N3038,7)="Explore",(AA3038-IF(LEFT(N3038,7)="Explore",S3038,0))&lt;10),"SI","NO")</f>
        <v/>
      </c>
    </row>
    <row r="3039">
      <c r="A3039" t="inlineStr">
        <is>
          <t>c10f1_test</t>
        </is>
      </c>
      <c r="B3039" t="inlineStr">
        <is>
          <t>2026-06-19 16:24:54.976</t>
        </is>
      </c>
      <c r="C3039" t="n">
        <v/>
      </c>
      <c r="D3039" t="inlineStr">
        <is>
          <t>Media file</t>
        </is>
      </c>
      <c r="E3039" t="inlineStr">
        <is>
          <t>player #1:C:/Users/manuel.felline/Documents/BEHAVIOR BTBR/NOR second cohort/BTBR/test/c10_f1.mp4</t>
        </is>
      </c>
      <c r="F3039" t="n">
        <v>-15.867</v>
      </c>
      <c r="G3039" t="n">
        <v>580.099</v>
      </c>
      <c r="H3039" t="n">
        <v>629.566</v>
      </c>
      <c r="I3039" t="n">
        <v>30</v>
      </c>
      <c r="J3039" t="inlineStr">
        <is>
          <t>BTBR</t>
        </is>
      </c>
      <c r="K3039" t="inlineStr">
        <is>
          <t xml:space="preserve"> Female</t>
        </is>
      </c>
      <c r="L3039" t="inlineStr">
        <is>
          <t>No focal subject</t>
        </is>
      </c>
      <c r="M3039" t="n">
        <v>42.765</v>
      </c>
      <c r="N3039" t="inlineStr">
        <is>
          <t>Explore_N</t>
        </is>
      </c>
      <c r="O3039" t="inlineStr">
        <is>
          <t>Novelty</t>
        </is>
      </c>
      <c r="P3039" t="inlineStr">
        <is>
          <t>STATE</t>
        </is>
      </c>
      <c r="Q3039" t="n">
        <v>200.066</v>
      </c>
      <c r="R3039" t="n">
        <v>200.566</v>
      </c>
      <c r="S3039" t="n">
        <v>0.5</v>
      </c>
      <c r="T3039" t="inlineStr">
        <is>
          <t>C:/Users/manuel.felline/Documents/BEHAVIOR BTBR/NOR second cohort/BTBR/test/c10_f1.mp4</t>
        </is>
      </c>
      <c r="U3039" t="n">
        <v>6477</v>
      </c>
      <c r="V3039" t="n">
        <v>6492</v>
      </c>
      <c r="W3039" t="n">
        <v/>
      </c>
      <c r="X3039" t="n">
        <v/>
      </c>
      <c r="Y3039" t="n">
        <v/>
      </c>
      <c r="Z3039" t="n">
        <v/>
      </c>
      <c r="AA3039">
        <f>SUMIFS($S$2:S3039,$A$2:A3039,A3039,$N$2:N3039,"Explore*")</f>
        <v/>
      </c>
      <c r="AB3039">
        <f>IF(AND(LEFT(N3039,7)="Explore",(AA3039-IF(LEFT(N3039,7)="Explore",S3039,0))&lt;10),"SI","NO")</f>
        <v/>
      </c>
    </row>
    <row r="3040">
      <c r="A3040" t="inlineStr">
        <is>
          <t>c10f1_test</t>
        </is>
      </c>
      <c r="B3040" t="inlineStr">
        <is>
          <t>2026-06-19 16:24:54.976</t>
        </is>
      </c>
      <c r="C3040" t="n">
        <v/>
      </c>
      <c r="D3040" t="inlineStr">
        <is>
          <t>Media file</t>
        </is>
      </c>
      <c r="E3040" t="inlineStr">
        <is>
          <t>player #1:C:/Users/manuel.felline/Documents/BEHAVIOR BTBR/NOR second cohort/BTBR/test/c10_f1.mp4</t>
        </is>
      </c>
      <c r="F3040" t="n">
        <v>-15.867</v>
      </c>
      <c r="G3040" t="n">
        <v>580.099</v>
      </c>
      <c r="H3040" t="n">
        <v>629.566</v>
      </c>
      <c r="I3040" t="n">
        <v>30</v>
      </c>
      <c r="J3040" t="inlineStr">
        <is>
          <t>BTBR</t>
        </is>
      </c>
      <c r="K3040" t="inlineStr">
        <is>
          <t xml:space="preserve"> Female</t>
        </is>
      </c>
      <c r="L3040" t="inlineStr">
        <is>
          <t>No focal subject</t>
        </is>
      </c>
      <c r="M3040" t="n">
        <v>42.765</v>
      </c>
      <c r="N3040" t="inlineStr">
        <is>
          <t>Explore_F</t>
        </is>
      </c>
      <c r="O3040" t="inlineStr">
        <is>
          <t>Familiar</t>
        </is>
      </c>
      <c r="P3040" t="inlineStr">
        <is>
          <t>STATE</t>
        </is>
      </c>
      <c r="Q3040" t="n">
        <v>205.766</v>
      </c>
      <c r="R3040" t="n">
        <v>206.166</v>
      </c>
      <c r="S3040" t="n">
        <v>0.4</v>
      </c>
      <c r="T3040" t="inlineStr">
        <is>
          <t>C:/Users/manuel.felline/Documents/BEHAVIOR BTBR/NOR second cohort/BTBR/test/c10_f1.mp4</t>
        </is>
      </c>
      <c r="U3040" t="n">
        <v>6648</v>
      </c>
      <c r="V3040" t="n">
        <v>6660</v>
      </c>
      <c r="W3040" t="n">
        <v/>
      </c>
      <c r="X3040" t="n">
        <v/>
      </c>
      <c r="Y3040" t="n">
        <v/>
      </c>
      <c r="Z3040" t="n">
        <v/>
      </c>
      <c r="AA3040">
        <f>SUMIFS($S$2:S3040,$A$2:A3040,A3040,$N$2:N3040,"Explore*")</f>
        <v/>
      </c>
      <c r="AB3040">
        <f>IF(AND(LEFT(N3040,7)="Explore",(AA3040-IF(LEFT(N3040,7)="Explore",S3040,0))&lt;10),"SI","NO")</f>
        <v/>
      </c>
    </row>
    <row r="3041">
      <c r="A3041" t="inlineStr">
        <is>
          <t>c10f1_test</t>
        </is>
      </c>
      <c r="B3041" t="inlineStr">
        <is>
          <t>2026-06-19 16:24:54.976</t>
        </is>
      </c>
      <c r="C3041" t="n">
        <v/>
      </c>
      <c r="D3041" t="inlineStr">
        <is>
          <t>Media file</t>
        </is>
      </c>
      <c r="E3041" t="inlineStr">
        <is>
          <t>player #1:C:/Users/manuel.felline/Documents/BEHAVIOR BTBR/NOR second cohort/BTBR/test/c10_f1.mp4</t>
        </is>
      </c>
      <c r="F3041" t="n">
        <v>-15.867</v>
      </c>
      <c r="G3041" t="n">
        <v>580.099</v>
      </c>
      <c r="H3041" t="n">
        <v>629.566</v>
      </c>
      <c r="I3041" t="n">
        <v>30</v>
      </c>
      <c r="J3041" t="inlineStr">
        <is>
          <t>BTBR</t>
        </is>
      </c>
      <c r="K3041" t="inlineStr">
        <is>
          <t xml:space="preserve"> Female</t>
        </is>
      </c>
      <c r="L3041" t="inlineStr">
        <is>
          <t>No focal subject</t>
        </is>
      </c>
      <c r="M3041" t="n">
        <v>42.765</v>
      </c>
      <c r="N3041" t="inlineStr">
        <is>
          <t>Explore_N</t>
        </is>
      </c>
      <c r="O3041" t="inlineStr">
        <is>
          <t>Novelty</t>
        </is>
      </c>
      <c r="P3041" t="inlineStr">
        <is>
          <t>STATE</t>
        </is>
      </c>
      <c r="Q3041" t="n">
        <v>233.266</v>
      </c>
      <c r="R3041" t="n">
        <v>234.366</v>
      </c>
      <c r="S3041" t="n">
        <v>1.1</v>
      </c>
      <c r="T3041" t="inlineStr">
        <is>
          <t>C:/Users/manuel.felline/Documents/BEHAVIOR BTBR/NOR second cohort/BTBR/test/c10_f1.mp4</t>
        </is>
      </c>
      <c r="U3041" t="n">
        <v>7473</v>
      </c>
      <c r="V3041" t="n">
        <v>7506</v>
      </c>
      <c r="W3041" t="n">
        <v/>
      </c>
      <c r="X3041" t="n">
        <v/>
      </c>
      <c r="Y3041" t="n">
        <v/>
      </c>
      <c r="Z3041" t="n">
        <v/>
      </c>
      <c r="AA3041">
        <f>SUMIFS($S$2:S3041,$A$2:A3041,A3041,$N$2:N3041,"Explore*")</f>
        <v/>
      </c>
      <c r="AB3041">
        <f>IF(AND(LEFT(N3041,7)="Explore",(AA3041-IF(LEFT(N3041,7)="Explore",S3041,0))&lt;10),"SI","NO")</f>
        <v/>
      </c>
    </row>
    <row r="3042">
      <c r="A3042" t="inlineStr">
        <is>
          <t>c10f1_test</t>
        </is>
      </c>
      <c r="B3042" t="inlineStr">
        <is>
          <t>2026-06-19 16:24:54.976</t>
        </is>
      </c>
      <c r="C3042" t="n">
        <v/>
      </c>
      <c r="D3042" t="inlineStr">
        <is>
          <t>Media file</t>
        </is>
      </c>
      <c r="E3042" t="inlineStr">
        <is>
          <t>player #1:C:/Users/manuel.felline/Documents/BEHAVIOR BTBR/NOR second cohort/BTBR/test/c10_f1.mp4</t>
        </is>
      </c>
      <c r="F3042" t="n">
        <v>-15.867</v>
      </c>
      <c r="G3042" t="n">
        <v>580.099</v>
      </c>
      <c r="H3042" t="n">
        <v>629.566</v>
      </c>
      <c r="I3042" t="n">
        <v>30</v>
      </c>
      <c r="J3042" t="inlineStr">
        <is>
          <t>BTBR</t>
        </is>
      </c>
      <c r="K3042" t="inlineStr">
        <is>
          <t xml:space="preserve"> Female</t>
        </is>
      </c>
      <c r="L3042" t="inlineStr">
        <is>
          <t>No focal subject</t>
        </is>
      </c>
      <c r="M3042" t="n">
        <v>42.765</v>
      </c>
      <c r="N3042" t="inlineStr">
        <is>
          <t>Explore_F</t>
        </is>
      </c>
      <c r="O3042" t="inlineStr">
        <is>
          <t>Familiar</t>
        </is>
      </c>
      <c r="P3042" t="inlineStr">
        <is>
          <t>STATE</t>
        </is>
      </c>
      <c r="Q3042" t="n">
        <v>236.666</v>
      </c>
      <c r="R3042" t="n">
        <v>237.133</v>
      </c>
      <c r="S3042" t="n">
        <v>0.467</v>
      </c>
      <c r="T3042" t="inlineStr">
        <is>
          <t>C:/Users/manuel.felline/Documents/BEHAVIOR BTBR/NOR second cohort/BTBR/test/c10_f1.mp4</t>
        </is>
      </c>
      <c r="U3042" t="n">
        <v>7575</v>
      </c>
      <c r="V3042" t="n">
        <v>7589</v>
      </c>
      <c r="W3042" t="n">
        <v/>
      </c>
      <c r="X3042" t="n">
        <v/>
      </c>
      <c r="Y3042" t="n">
        <v/>
      </c>
      <c r="Z3042" t="n">
        <v/>
      </c>
      <c r="AA3042">
        <f>SUMIFS($S$2:S3042,$A$2:A3042,A3042,$N$2:N3042,"Explore*")</f>
        <v/>
      </c>
      <c r="AB3042">
        <f>IF(AND(LEFT(N3042,7)="Explore",(AA3042-IF(LEFT(N3042,7)="Explore",S3042,0))&lt;10),"SI","NO")</f>
        <v/>
      </c>
    </row>
    <row r="3043">
      <c r="A3043" t="inlineStr">
        <is>
          <t>c10f1_test</t>
        </is>
      </c>
      <c r="B3043" t="inlineStr">
        <is>
          <t>2026-06-19 16:24:54.976</t>
        </is>
      </c>
      <c r="C3043" t="n">
        <v/>
      </c>
      <c r="D3043" t="inlineStr">
        <is>
          <t>Media file</t>
        </is>
      </c>
      <c r="E3043" t="inlineStr">
        <is>
          <t>player #1:C:/Users/manuel.felline/Documents/BEHAVIOR BTBR/NOR second cohort/BTBR/test/c10_f1.mp4</t>
        </is>
      </c>
      <c r="F3043" t="n">
        <v>-15.867</v>
      </c>
      <c r="G3043" t="n">
        <v>580.099</v>
      </c>
      <c r="H3043" t="n">
        <v>629.566</v>
      </c>
      <c r="I3043" t="n">
        <v>30</v>
      </c>
      <c r="J3043" t="inlineStr">
        <is>
          <t>BTBR</t>
        </is>
      </c>
      <c r="K3043" t="inlineStr">
        <is>
          <t xml:space="preserve"> Female</t>
        </is>
      </c>
      <c r="L3043" t="inlineStr">
        <is>
          <t>No focal subject</t>
        </is>
      </c>
      <c r="M3043" t="n">
        <v>42.765</v>
      </c>
      <c r="N3043" t="inlineStr">
        <is>
          <t>Explore_F</t>
        </is>
      </c>
      <c r="O3043" t="inlineStr">
        <is>
          <t>Familiar</t>
        </is>
      </c>
      <c r="P3043" t="inlineStr">
        <is>
          <t>STATE</t>
        </is>
      </c>
      <c r="Q3043" t="n">
        <v>242.566</v>
      </c>
      <c r="R3043" t="n">
        <v>243.199</v>
      </c>
      <c r="S3043" t="n">
        <v>0.633</v>
      </c>
      <c r="T3043" t="inlineStr">
        <is>
          <t>C:/Users/manuel.felline/Documents/BEHAVIOR BTBR/NOR second cohort/BTBR/test/c10_f1.mp4</t>
        </is>
      </c>
      <c r="U3043" t="n">
        <v>7752</v>
      </c>
      <c r="V3043" t="n">
        <v>7771</v>
      </c>
      <c r="W3043" t="n">
        <v/>
      </c>
      <c r="X3043" t="n">
        <v/>
      </c>
      <c r="Y3043" t="n">
        <v/>
      </c>
      <c r="Z3043" t="n">
        <v/>
      </c>
      <c r="AA3043">
        <f>SUMIFS($S$2:S3043,$A$2:A3043,A3043,$N$2:N3043,"Explore*")</f>
        <v/>
      </c>
      <c r="AB3043">
        <f>IF(AND(LEFT(N3043,7)="Explore",(AA3043-IF(LEFT(N3043,7)="Explore",S3043,0))&lt;10),"SI","NO")</f>
        <v/>
      </c>
    </row>
    <row r="3044">
      <c r="A3044" t="inlineStr">
        <is>
          <t>c10f1_test</t>
        </is>
      </c>
      <c r="B3044" t="inlineStr">
        <is>
          <t>2026-06-19 16:24:54.976</t>
        </is>
      </c>
      <c r="C3044" t="n">
        <v/>
      </c>
      <c r="D3044" t="inlineStr">
        <is>
          <t>Media file</t>
        </is>
      </c>
      <c r="E3044" t="inlineStr">
        <is>
          <t>player #1:C:/Users/manuel.felline/Documents/BEHAVIOR BTBR/NOR second cohort/BTBR/test/c10_f1.mp4</t>
        </is>
      </c>
      <c r="F3044" t="n">
        <v>-15.867</v>
      </c>
      <c r="G3044" t="n">
        <v>580.099</v>
      </c>
      <c r="H3044" t="n">
        <v>629.566</v>
      </c>
      <c r="I3044" t="n">
        <v>30</v>
      </c>
      <c r="J3044" t="inlineStr">
        <is>
          <t>BTBR</t>
        </is>
      </c>
      <c r="K3044" t="inlineStr">
        <is>
          <t xml:space="preserve"> Female</t>
        </is>
      </c>
      <c r="L3044" t="inlineStr">
        <is>
          <t>No focal subject</t>
        </is>
      </c>
      <c r="M3044" t="n">
        <v>42.765</v>
      </c>
      <c r="N3044" t="inlineStr">
        <is>
          <t>Explore_N</t>
        </is>
      </c>
      <c r="O3044" t="inlineStr">
        <is>
          <t>Novelty</t>
        </is>
      </c>
      <c r="P3044" t="inlineStr">
        <is>
          <t>STATE</t>
        </is>
      </c>
      <c r="Q3044" t="n">
        <v>271.533</v>
      </c>
      <c r="R3044" t="n">
        <v>272.066</v>
      </c>
      <c r="S3044" t="n">
        <v>0.533</v>
      </c>
      <c r="T3044" t="inlineStr">
        <is>
          <t>C:/Users/manuel.felline/Documents/BEHAVIOR BTBR/NOR second cohort/BTBR/test/c10_f1.mp4</t>
        </is>
      </c>
      <c r="U3044" t="n">
        <v>8622</v>
      </c>
      <c r="V3044" t="n">
        <v>8637</v>
      </c>
      <c r="W3044" t="n">
        <v/>
      </c>
      <c r="X3044" t="n">
        <v/>
      </c>
      <c r="Y3044" t="n">
        <v/>
      </c>
      <c r="Z3044" t="n">
        <v/>
      </c>
      <c r="AA3044">
        <f>SUMIFS($S$2:S3044,$A$2:A3044,A3044,$N$2:N3044,"Explore*")</f>
        <v/>
      </c>
      <c r="AB3044">
        <f>IF(AND(LEFT(N3044,7)="Explore",(AA3044-IF(LEFT(N3044,7)="Explore",S3044,0))&lt;10),"SI","NO")</f>
        <v/>
      </c>
    </row>
    <row r="3045">
      <c r="A3045" t="inlineStr">
        <is>
          <t>c10f1_test</t>
        </is>
      </c>
      <c r="B3045" t="inlineStr">
        <is>
          <t>2026-06-19 16:24:54.976</t>
        </is>
      </c>
      <c r="C3045" t="n">
        <v/>
      </c>
      <c r="D3045" t="inlineStr">
        <is>
          <t>Media file</t>
        </is>
      </c>
      <c r="E3045" t="inlineStr">
        <is>
          <t>player #1:C:/Users/manuel.felline/Documents/BEHAVIOR BTBR/NOR second cohort/BTBR/test/c10_f1.mp4</t>
        </is>
      </c>
      <c r="F3045" t="n">
        <v>-15.867</v>
      </c>
      <c r="G3045" t="n">
        <v>580.099</v>
      </c>
      <c r="H3045" t="n">
        <v>629.566</v>
      </c>
      <c r="I3045" t="n">
        <v>30</v>
      </c>
      <c r="J3045" t="inlineStr">
        <is>
          <t>BTBR</t>
        </is>
      </c>
      <c r="K3045" t="inlineStr">
        <is>
          <t xml:space="preserve"> Female</t>
        </is>
      </c>
      <c r="L3045" t="inlineStr">
        <is>
          <t>No focal subject</t>
        </is>
      </c>
      <c r="M3045" t="n">
        <v>42.765</v>
      </c>
      <c r="N3045" t="inlineStr">
        <is>
          <t>Explore_F</t>
        </is>
      </c>
      <c r="O3045" t="inlineStr">
        <is>
          <t>Familiar</t>
        </is>
      </c>
      <c r="P3045" t="inlineStr">
        <is>
          <t>STATE</t>
        </is>
      </c>
      <c r="Q3045" t="n">
        <v>280.699</v>
      </c>
      <c r="R3045" t="n">
        <v>281.066</v>
      </c>
      <c r="S3045" t="n">
        <v>0.367</v>
      </c>
      <c r="T3045" t="inlineStr">
        <is>
          <t>C:/Users/manuel.felline/Documents/BEHAVIOR BTBR/NOR second cohort/BTBR/test/c10_f1.mp4</t>
        </is>
      </c>
      <c r="U3045" t="n">
        <v>8896</v>
      </c>
      <c r="V3045" t="n">
        <v>8907</v>
      </c>
      <c r="W3045" t="n">
        <v/>
      </c>
      <c r="X3045" t="n">
        <v/>
      </c>
      <c r="Y3045" t="n">
        <v/>
      </c>
      <c r="Z3045" t="n">
        <v/>
      </c>
      <c r="AA3045">
        <f>SUMIFS($S$2:S3045,$A$2:A3045,A3045,$N$2:N3045,"Explore*")</f>
        <v/>
      </c>
      <c r="AB3045">
        <f>IF(AND(LEFT(N3045,7)="Explore",(AA3045-IF(LEFT(N3045,7)="Explore",S3045,0))&lt;10),"SI","NO")</f>
        <v/>
      </c>
    </row>
    <row r="3046">
      <c r="A3046" t="inlineStr">
        <is>
          <t>c10f1_test</t>
        </is>
      </c>
      <c r="B3046" t="inlineStr">
        <is>
          <t>2026-06-19 16:24:54.976</t>
        </is>
      </c>
      <c r="C3046" t="n">
        <v/>
      </c>
      <c r="D3046" t="inlineStr">
        <is>
          <t>Media file</t>
        </is>
      </c>
      <c r="E3046" t="inlineStr">
        <is>
          <t>player #1:C:/Users/manuel.felline/Documents/BEHAVIOR BTBR/NOR second cohort/BTBR/test/c10_f1.mp4</t>
        </is>
      </c>
      <c r="F3046" t="n">
        <v>-15.867</v>
      </c>
      <c r="G3046" t="n">
        <v>580.099</v>
      </c>
      <c r="H3046" t="n">
        <v>629.566</v>
      </c>
      <c r="I3046" t="n">
        <v>30</v>
      </c>
      <c r="J3046" t="inlineStr">
        <is>
          <t>BTBR</t>
        </is>
      </c>
      <c r="K3046" t="inlineStr">
        <is>
          <t xml:space="preserve"> Female</t>
        </is>
      </c>
      <c r="L3046" t="inlineStr">
        <is>
          <t>No focal subject</t>
        </is>
      </c>
      <c r="M3046" t="n">
        <v>42.765</v>
      </c>
      <c r="N3046" t="inlineStr">
        <is>
          <t>Explore_N</t>
        </is>
      </c>
      <c r="O3046" t="inlineStr">
        <is>
          <t>Novelty</t>
        </is>
      </c>
      <c r="P3046" t="inlineStr">
        <is>
          <t>STATE</t>
        </is>
      </c>
      <c r="Q3046" t="n">
        <v>286.733</v>
      </c>
      <c r="R3046" t="n">
        <v>287.533</v>
      </c>
      <c r="S3046" t="n">
        <v>0.8</v>
      </c>
      <c r="T3046" t="inlineStr">
        <is>
          <t>C:/Users/manuel.felline/Documents/BEHAVIOR BTBR/NOR second cohort/BTBR/test/c10_f1.mp4</t>
        </is>
      </c>
      <c r="U3046" t="n">
        <v>9077</v>
      </c>
      <c r="V3046" t="n">
        <v>9101</v>
      </c>
      <c r="W3046" t="n">
        <v/>
      </c>
      <c r="X3046" t="n">
        <v/>
      </c>
      <c r="Y3046" t="n">
        <v/>
      </c>
      <c r="Z3046" t="n">
        <v/>
      </c>
      <c r="AA3046">
        <f>SUMIFS($S$2:S3046,$A$2:A3046,A3046,$N$2:N3046,"Explore*")</f>
        <v/>
      </c>
      <c r="AB3046">
        <f>IF(AND(LEFT(N3046,7)="Explore",(AA3046-IF(LEFT(N3046,7)="Explore",S3046,0))&lt;10),"SI","NO")</f>
        <v/>
      </c>
    </row>
    <row r="3047">
      <c r="A3047" t="inlineStr">
        <is>
          <t>c10f1_test</t>
        </is>
      </c>
      <c r="B3047" t="inlineStr">
        <is>
          <t>2026-06-19 16:24:54.976</t>
        </is>
      </c>
      <c r="C3047" t="n">
        <v/>
      </c>
      <c r="D3047" t="inlineStr">
        <is>
          <t>Media file</t>
        </is>
      </c>
      <c r="E3047" t="inlineStr">
        <is>
          <t>player #1:C:/Users/manuel.felline/Documents/BEHAVIOR BTBR/NOR second cohort/BTBR/test/c10_f1.mp4</t>
        </is>
      </c>
      <c r="F3047" t="n">
        <v>-15.867</v>
      </c>
      <c r="G3047" t="n">
        <v>580.099</v>
      </c>
      <c r="H3047" t="n">
        <v>629.566</v>
      </c>
      <c r="I3047" t="n">
        <v>30</v>
      </c>
      <c r="J3047" t="inlineStr">
        <is>
          <t>BTBR</t>
        </is>
      </c>
      <c r="K3047" t="inlineStr">
        <is>
          <t xml:space="preserve"> Female</t>
        </is>
      </c>
      <c r="L3047" t="inlineStr">
        <is>
          <t>No focal subject</t>
        </is>
      </c>
      <c r="M3047" t="n">
        <v>42.765</v>
      </c>
      <c r="N3047" t="inlineStr">
        <is>
          <t>Explore_F</t>
        </is>
      </c>
      <c r="O3047" t="inlineStr">
        <is>
          <t>Familiar</t>
        </is>
      </c>
      <c r="P3047" t="inlineStr">
        <is>
          <t>STATE</t>
        </is>
      </c>
      <c r="Q3047" t="n">
        <v>291.299</v>
      </c>
      <c r="R3047" t="n">
        <v>291.666</v>
      </c>
      <c r="S3047" t="n">
        <v>0.367</v>
      </c>
      <c r="T3047" t="inlineStr">
        <is>
          <t>C:/Users/manuel.felline/Documents/BEHAVIOR BTBR/NOR second cohort/BTBR/test/c10_f1.mp4</t>
        </is>
      </c>
      <c r="U3047" t="n">
        <v>9214</v>
      </c>
      <c r="V3047" t="n">
        <v>9225</v>
      </c>
      <c r="W3047" t="n">
        <v/>
      </c>
      <c r="X3047" t="n">
        <v/>
      </c>
      <c r="Y3047" t="n">
        <v/>
      </c>
      <c r="Z3047" t="n">
        <v/>
      </c>
      <c r="AA3047">
        <f>SUMIFS($S$2:S3047,$A$2:A3047,A3047,$N$2:N3047,"Explore*")</f>
        <v/>
      </c>
      <c r="AB3047">
        <f>IF(AND(LEFT(N3047,7)="Explore",(AA3047-IF(LEFT(N3047,7)="Explore",S3047,0))&lt;10),"SI","NO")</f>
        <v/>
      </c>
    </row>
    <row r="3048">
      <c r="A3048" t="inlineStr">
        <is>
          <t>c10f1_test</t>
        </is>
      </c>
      <c r="B3048" t="inlineStr">
        <is>
          <t>2026-06-19 16:24:54.976</t>
        </is>
      </c>
      <c r="C3048" t="n">
        <v/>
      </c>
      <c r="D3048" t="inlineStr">
        <is>
          <t>Media file</t>
        </is>
      </c>
      <c r="E3048" t="inlineStr">
        <is>
          <t>player #1:C:/Users/manuel.felline/Documents/BEHAVIOR BTBR/NOR second cohort/BTBR/test/c10_f1.mp4</t>
        </is>
      </c>
      <c r="F3048" t="n">
        <v>-15.867</v>
      </c>
      <c r="G3048" t="n">
        <v>580.099</v>
      </c>
      <c r="H3048" t="n">
        <v>629.566</v>
      </c>
      <c r="I3048" t="n">
        <v>30</v>
      </c>
      <c r="J3048" t="inlineStr">
        <is>
          <t>BTBR</t>
        </is>
      </c>
      <c r="K3048" t="inlineStr">
        <is>
          <t xml:space="preserve"> Female</t>
        </is>
      </c>
      <c r="L3048" t="inlineStr">
        <is>
          <t>No focal subject</t>
        </is>
      </c>
      <c r="M3048" t="n">
        <v>42.765</v>
      </c>
      <c r="N3048" t="inlineStr">
        <is>
          <t>Explore_N</t>
        </is>
      </c>
      <c r="O3048" t="inlineStr">
        <is>
          <t>Novelty</t>
        </is>
      </c>
      <c r="P3048" t="inlineStr">
        <is>
          <t>STATE</t>
        </is>
      </c>
      <c r="Q3048" t="n">
        <v>314.499</v>
      </c>
      <c r="R3048" t="n">
        <v>315.733</v>
      </c>
      <c r="S3048" t="n">
        <v>1.234</v>
      </c>
      <c r="T3048" t="inlineStr">
        <is>
          <t>C:/Users/manuel.felline/Documents/BEHAVIOR BTBR/NOR second cohort/BTBR/test/c10_f1.mp4</t>
        </is>
      </c>
      <c r="U3048" t="n">
        <v>9910</v>
      </c>
      <c r="V3048" t="n">
        <v>9947</v>
      </c>
      <c r="W3048" t="n">
        <v/>
      </c>
      <c r="X3048" t="n">
        <v/>
      </c>
      <c r="Y3048" t="n">
        <v/>
      </c>
      <c r="Z3048" t="n">
        <v/>
      </c>
      <c r="AA3048">
        <f>SUMIFS($S$2:S3048,$A$2:A3048,A3048,$N$2:N3048,"Explore*")</f>
        <v/>
      </c>
      <c r="AB3048">
        <f>IF(AND(LEFT(N3048,7)="Explore",(AA3048-IF(LEFT(N3048,7)="Explore",S3048,0))&lt;10),"SI","NO")</f>
        <v/>
      </c>
    </row>
    <row r="3049">
      <c r="A3049" t="inlineStr">
        <is>
          <t>c10f1_test</t>
        </is>
      </c>
      <c r="B3049" t="inlineStr">
        <is>
          <t>2026-06-19 16:24:54.976</t>
        </is>
      </c>
      <c r="C3049" t="n">
        <v/>
      </c>
      <c r="D3049" t="inlineStr">
        <is>
          <t>Media file</t>
        </is>
      </c>
      <c r="E3049" t="inlineStr">
        <is>
          <t>player #1:C:/Users/manuel.felline/Documents/BEHAVIOR BTBR/NOR second cohort/BTBR/test/c10_f1.mp4</t>
        </is>
      </c>
      <c r="F3049" t="n">
        <v>-15.867</v>
      </c>
      <c r="G3049" t="n">
        <v>580.099</v>
      </c>
      <c r="H3049" t="n">
        <v>629.566</v>
      </c>
      <c r="I3049" t="n">
        <v>30</v>
      </c>
      <c r="J3049" t="inlineStr">
        <is>
          <t>BTBR</t>
        </is>
      </c>
      <c r="K3049" t="inlineStr">
        <is>
          <t xml:space="preserve"> Female</t>
        </is>
      </c>
      <c r="L3049" t="inlineStr">
        <is>
          <t>No focal subject</t>
        </is>
      </c>
      <c r="M3049" t="n">
        <v>42.765</v>
      </c>
      <c r="N3049" t="inlineStr">
        <is>
          <t>Explore_N</t>
        </is>
      </c>
      <c r="O3049" t="inlineStr">
        <is>
          <t>Novelty</t>
        </is>
      </c>
      <c r="P3049" t="inlineStr">
        <is>
          <t>STATE</t>
        </is>
      </c>
      <c r="Q3049" t="n">
        <v>316.533</v>
      </c>
      <c r="R3049" t="n">
        <v>317.433</v>
      </c>
      <c r="S3049" t="n">
        <v>0.9</v>
      </c>
      <c r="T3049" t="inlineStr">
        <is>
          <t>C:/Users/manuel.felline/Documents/BEHAVIOR BTBR/NOR second cohort/BTBR/test/c10_f1.mp4</t>
        </is>
      </c>
      <c r="U3049" t="n">
        <v>9971</v>
      </c>
      <c r="V3049" t="n">
        <v>9998</v>
      </c>
      <c r="W3049" t="n">
        <v/>
      </c>
      <c r="X3049" t="n">
        <v/>
      </c>
      <c r="Y3049" t="n">
        <v/>
      </c>
      <c r="Z3049" t="n">
        <v/>
      </c>
      <c r="AA3049">
        <f>SUMIFS($S$2:S3049,$A$2:A3049,A3049,$N$2:N3049,"Explore*")</f>
        <v/>
      </c>
      <c r="AB3049">
        <f>IF(AND(LEFT(N3049,7)="Explore",(AA3049-IF(LEFT(N3049,7)="Explore",S3049,0))&lt;10),"SI","NO")</f>
        <v/>
      </c>
    </row>
    <row r="3050">
      <c r="A3050" t="inlineStr">
        <is>
          <t>c10f1_test</t>
        </is>
      </c>
      <c r="B3050" t="inlineStr">
        <is>
          <t>2026-06-19 16:24:54.976</t>
        </is>
      </c>
      <c r="C3050" t="n">
        <v/>
      </c>
      <c r="D3050" t="inlineStr">
        <is>
          <t>Media file</t>
        </is>
      </c>
      <c r="E3050" t="inlineStr">
        <is>
          <t>player #1:C:/Users/manuel.felline/Documents/BEHAVIOR BTBR/NOR second cohort/BTBR/test/c10_f1.mp4</t>
        </is>
      </c>
      <c r="F3050" t="n">
        <v>-15.867</v>
      </c>
      <c r="G3050" t="n">
        <v>580.099</v>
      </c>
      <c r="H3050" t="n">
        <v>629.566</v>
      </c>
      <c r="I3050" t="n">
        <v>30</v>
      </c>
      <c r="J3050" t="inlineStr">
        <is>
          <t>BTBR</t>
        </is>
      </c>
      <c r="K3050" t="inlineStr">
        <is>
          <t xml:space="preserve"> Female</t>
        </is>
      </c>
      <c r="L3050" t="inlineStr">
        <is>
          <t>No focal subject</t>
        </is>
      </c>
      <c r="M3050" t="n">
        <v>42.765</v>
      </c>
      <c r="N3050" t="inlineStr">
        <is>
          <t>Explore_F</t>
        </is>
      </c>
      <c r="O3050" t="inlineStr">
        <is>
          <t>Familiar</t>
        </is>
      </c>
      <c r="P3050" t="inlineStr">
        <is>
          <t>STATE</t>
        </is>
      </c>
      <c r="Q3050" t="n">
        <v>318.433</v>
      </c>
      <c r="R3050" t="n">
        <v>318.933</v>
      </c>
      <c r="S3050" t="n">
        <v>0.5</v>
      </c>
      <c r="T3050" t="inlineStr">
        <is>
          <t>C:/Users/manuel.felline/Documents/BEHAVIOR BTBR/NOR second cohort/BTBR/test/c10_f1.mp4</t>
        </is>
      </c>
      <c r="U3050" t="n">
        <v>10028</v>
      </c>
      <c r="V3050" t="n">
        <v>10043</v>
      </c>
      <c r="W3050" t="n">
        <v/>
      </c>
      <c r="X3050" t="n">
        <v/>
      </c>
      <c r="Y3050" t="n">
        <v/>
      </c>
      <c r="Z3050" t="n">
        <v/>
      </c>
      <c r="AA3050">
        <f>SUMIFS($S$2:S3050,$A$2:A3050,A3050,$N$2:N3050,"Explore*")</f>
        <v/>
      </c>
      <c r="AB3050">
        <f>IF(AND(LEFT(N3050,7)="Explore",(AA3050-IF(LEFT(N3050,7)="Explore",S3050,0))&lt;10),"SI","NO")</f>
        <v/>
      </c>
    </row>
    <row r="3051">
      <c r="A3051" t="inlineStr">
        <is>
          <t>c10f1_test</t>
        </is>
      </c>
      <c r="B3051" t="inlineStr">
        <is>
          <t>2026-06-19 16:24:54.976</t>
        </is>
      </c>
      <c r="C3051" t="n">
        <v/>
      </c>
      <c r="D3051" t="inlineStr">
        <is>
          <t>Media file</t>
        </is>
      </c>
      <c r="E3051" t="inlineStr">
        <is>
          <t>player #1:C:/Users/manuel.felline/Documents/BEHAVIOR BTBR/NOR second cohort/BTBR/test/c10_f1.mp4</t>
        </is>
      </c>
      <c r="F3051" t="n">
        <v>-15.867</v>
      </c>
      <c r="G3051" t="n">
        <v>580.099</v>
      </c>
      <c r="H3051" t="n">
        <v>629.566</v>
      </c>
      <c r="I3051" t="n">
        <v>30</v>
      </c>
      <c r="J3051" t="inlineStr">
        <is>
          <t>BTBR</t>
        </is>
      </c>
      <c r="K3051" t="inlineStr">
        <is>
          <t xml:space="preserve"> Female</t>
        </is>
      </c>
      <c r="L3051" t="inlineStr">
        <is>
          <t>No focal subject</t>
        </is>
      </c>
      <c r="M3051" t="n">
        <v>42.765</v>
      </c>
      <c r="N3051" t="inlineStr">
        <is>
          <t>Explore_N</t>
        </is>
      </c>
      <c r="O3051" t="inlineStr">
        <is>
          <t>Novelty</t>
        </is>
      </c>
      <c r="P3051" t="inlineStr">
        <is>
          <t>STATE</t>
        </is>
      </c>
      <c r="Q3051" t="n">
        <v>323.533</v>
      </c>
      <c r="R3051" t="n">
        <v>324.266</v>
      </c>
      <c r="S3051" t="n">
        <v>0.733</v>
      </c>
      <c r="T3051" t="inlineStr">
        <is>
          <t>C:/Users/manuel.felline/Documents/BEHAVIOR BTBR/NOR second cohort/BTBR/test/c10_f1.mp4</t>
        </is>
      </c>
      <c r="U3051" t="n">
        <v>10181</v>
      </c>
      <c r="V3051" t="n">
        <v>10203</v>
      </c>
      <c r="W3051" t="n">
        <v/>
      </c>
      <c r="X3051" t="n">
        <v/>
      </c>
      <c r="Y3051" t="n">
        <v/>
      </c>
      <c r="Z3051" t="n">
        <v/>
      </c>
      <c r="AA3051">
        <f>SUMIFS($S$2:S3051,$A$2:A3051,A3051,$N$2:N3051,"Explore*")</f>
        <v/>
      </c>
      <c r="AB3051">
        <f>IF(AND(LEFT(N3051,7)="Explore",(AA3051-IF(LEFT(N3051,7)="Explore",S3051,0))&lt;10),"SI","NO")</f>
        <v/>
      </c>
    </row>
    <row r="3052">
      <c r="A3052" t="inlineStr">
        <is>
          <t>c10f1_test</t>
        </is>
      </c>
      <c r="B3052" t="inlineStr">
        <is>
          <t>2026-06-19 16:24:54.976</t>
        </is>
      </c>
      <c r="C3052" t="n">
        <v/>
      </c>
      <c r="D3052" t="inlineStr">
        <is>
          <t>Media file</t>
        </is>
      </c>
      <c r="E3052" t="inlineStr">
        <is>
          <t>player #1:C:/Users/manuel.felline/Documents/BEHAVIOR BTBR/NOR second cohort/BTBR/test/c10_f1.mp4</t>
        </is>
      </c>
      <c r="F3052" t="n">
        <v>-15.867</v>
      </c>
      <c r="G3052" t="n">
        <v>580.099</v>
      </c>
      <c r="H3052" t="n">
        <v>629.566</v>
      </c>
      <c r="I3052" t="n">
        <v>30</v>
      </c>
      <c r="J3052" t="inlineStr">
        <is>
          <t>BTBR</t>
        </is>
      </c>
      <c r="K3052" t="inlineStr">
        <is>
          <t xml:space="preserve"> Female</t>
        </is>
      </c>
      <c r="L3052" t="inlineStr">
        <is>
          <t>No focal subject</t>
        </is>
      </c>
      <c r="M3052" t="n">
        <v>42.765</v>
      </c>
      <c r="N3052" t="inlineStr">
        <is>
          <t>Explore_F</t>
        </is>
      </c>
      <c r="O3052" t="inlineStr">
        <is>
          <t>Familiar</t>
        </is>
      </c>
      <c r="P3052" t="inlineStr">
        <is>
          <t>STATE</t>
        </is>
      </c>
      <c r="Q3052" t="n">
        <v>339.766</v>
      </c>
      <c r="R3052" t="n">
        <v>340.733</v>
      </c>
      <c r="S3052" t="n">
        <v>0.967</v>
      </c>
      <c r="T3052" t="inlineStr">
        <is>
          <t>C:/Users/manuel.felline/Documents/BEHAVIOR BTBR/NOR second cohort/BTBR/test/c10_f1.mp4</t>
        </is>
      </c>
      <c r="U3052" t="n">
        <v>10668</v>
      </c>
      <c r="V3052" t="n">
        <v>10697</v>
      </c>
      <c r="W3052" t="n">
        <v/>
      </c>
      <c r="X3052" t="n">
        <v/>
      </c>
      <c r="Y3052" t="n">
        <v/>
      </c>
      <c r="Z3052" t="n">
        <v/>
      </c>
      <c r="AA3052">
        <f>SUMIFS($S$2:S3052,$A$2:A3052,A3052,$N$2:N3052,"Explore*")</f>
        <v/>
      </c>
      <c r="AB3052">
        <f>IF(AND(LEFT(N3052,7)="Explore",(AA3052-IF(LEFT(N3052,7)="Explore",S3052,0))&lt;10),"SI","NO")</f>
        <v/>
      </c>
    </row>
    <row r="3053">
      <c r="A3053" t="inlineStr">
        <is>
          <t>c10f1_test</t>
        </is>
      </c>
      <c r="B3053" t="inlineStr">
        <is>
          <t>2026-06-19 16:24:54.976</t>
        </is>
      </c>
      <c r="C3053" t="n">
        <v/>
      </c>
      <c r="D3053" t="inlineStr">
        <is>
          <t>Media file</t>
        </is>
      </c>
      <c r="E3053" t="inlineStr">
        <is>
          <t>player #1:C:/Users/manuel.felline/Documents/BEHAVIOR BTBR/NOR second cohort/BTBR/test/c10_f1.mp4</t>
        </is>
      </c>
      <c r="F3053" t="n">
        <v>-15.867</v>
      </c>
      <c r="G3053" t="n">
        <v>580.099</v>
      </c>
      <c r="H3053" t="n">
        <v>629.566</v>
      </c>
      <c r="I3053" t="n">
        <v>30</v>
      </c>
      <c r="J3053" t="inlineStr">
        <is>
          <t>BTBR</t>
        </is>
      </c>
      <c r="K3053" t="inlineStr">
        <is>
          <t xml:space="preserve"> Female</t>
        </is>
      </c>
      <c r="L3053" t="inlineStr">
        <is>
          <t>No focal subject</t>
        </is>
      </c>
      <c r="M3053" t="n">
        <v>42.765</v>
      </c>
      <c r="N3053" t="inlineStr">
        <is>
          <t>Explore_N</t>
        </is>
      </c>
      <c r="O3053" t="inlineStr">
        <is>
          <t>Novelty</t>
        </is>
      </c>
      <c r="P3053" t="inlineStr">
        <is>
          <t>STATE</t>
        </is>
      </c>
      <c r="Q3053" t="n">
        <v>343.533</v>
      </c>
      <c r="R3053" t="n">
        <v>344.566</v>
      </c>
      <c r="S3053" t="n">
        <v>1.033</v>
      </c>
      <c r="T3053" t="inlineStr">
        <is>
          <t>C:/Users/manuel.felline/Documents/BEHAVIOR BTBR/NOR second cohort/BTBR/test/c10_f1.mp4</t>
        </is>
      </c>
      <c r="U3053" t="n">
        <v>10781</v>
      </c>
      <c r="V3053" t="n">
        <v>10812</v>
      </c>
      <c r="W3053" t="n">
        <v/>
      </c>
      <c r="X3053" t="n">
        <v/>
      </c>
      <c r="Y3053" t="n">
        <v/>
      </c>
      <c r="Z3053" t="n">
        <v/>
      </c>
      <c r="AA3053">
        <f>SUMIFS($S$2:S3053,$A$2:A3053,A3053,$N$2:N3053,"Explore*")</f>
        <v/>
      </c>
      <c r="AB3053">
        <f>IF(AND(LEFT(N3053,7)="Explore",(AA3053-IF(LEFT(N3053,7)="Explore",S3053,0))&lt;10),"SI","NO")</f>
        <v/>
      </c>
    </row>
    <row r="3054">
      <c r="A3054" t="inlineStr">
        <is>
          <t>c10f1_test</t>
        </is>
      </c>
      <c r="B3054" t="inlineStr">
        <is>
          <t>2026-06-19 16:24:54.976</t>
        </is>
      </c>
      <c r="C3054" t="n">
        <v/>
      </c>
      <c r="D3054" t="inlineStr">
        <is>
          <t>Media file</t>
        </is>
      </c>
      <c r="E3054" t="inlineStr">
        <is>
          <t>player #1:C:/Users/manuel.felline/Documents/BEHAVIOR BTBR/NOR second cohort/BTBR/test/c10_f1.mp4</t>
        </is>
      </c>
      <c r="F3054" t="n">
        <v>-15.867</v>
      </c>
      <c r="G3054" t="n">
        <v>580.099</v>
      </c>
      <c r="H3054" t="n">
        <v>629.566</v>
      </c>
      <c r="I3054" t="n">
        <v>30</v>
      </c>
      <c r="J3054" t="inlineStr">
        <is>
          <t>BTBR</t>
        </is>
      </c>
      <c r="K3054" t="inlineStr">
        <is>
          <t xml:space="preserve"> Female</t>
        </is>
      </c>
      <c r="L3054" t="inlineStr">
        <is>
          <t>No focal subject</t>
        </is>
      </c>
      <c r="M3054" t="n">
        <v>42.765</v>
      </c>
      <c r="N3054" t="inlineStr">
        <is>
          <t>Explore_F</t>
        </is>
      </c>
      <c r="O3054" t="inlineStr">
        <is>
          <t>Familiar</t>
        </is>
      </c>
      <c r="P3054" t="inlineStr">
        <is>
          <t>STATE</t>
        </is>
      </c>
      <c r="Q3054" t="n">
        <v>351.566</v>
      </c>
      <c r="R3054" t="n">
        <v>351.933</v>
      </c>
      <c r="S3054" t="n">
        <v>0.367</v>
      </c>
      <c r="T3054" t="inlineStr">
        <is>
          <t>C:/Users/manuel.felline/Documents/BEHAVIOR BTBR/NOR second cohort/BTBR/test/c10_f1.mp4</t>
        </is>
      </c>
      <c r="U3054" t="n">
        <v>11022</v>
      </c>
      <c r="V3054" t="n">
        <v>11033</v>
      </c>
      <c r="W3054" t="n">
        <v/>
      </c>
      <c r="X3054" t="n">
        <v/>
      </c>
      <c r="Y3054" t="n">
        <v/>
      </c>
      <c r="Z3054" t="n">
        <v/>
      </c>
      <c r="AA3054">
        <f>SUMIFS($S$2:S3054,$A$2:A3054,A3054,$N$2:N3054,"Explore*")</f>
        <v/>
      </c>
      <c r="AB3054">
        <f>IF(AND(LEFT(N3054,7)="Explore",(AA3054-IF(LEFT(N3054,7)="Explore",S3054,0))&lt;10),"SI","NO")</f>
        <v/>
      </c>
    </row>
    <row r="3055">
      <c r="A3055" t="inlineStr">
        <is>
          <t>c10f1_test</t>
        </is>
      </c>
      <c r="B3055" t="inlineStr">
        <is>
          <t>2026-06-19 16:24:54.976</t>
        </is>
      </c>
      <c r="C3055" t="n">
        <v/>
      </c>
      <c r="D3055" t="inlineStr">
        <is>
          <t>Media file</t>
        </is>
      </c>
      <c r="E3055" t="inlineStr">
        <is>
          <t>player #1:C:/Users/manuel.felline/Documents/BEHAVIOR BTBR/NOR second cohort/BTBR/test/c10_f1.mp4</t>
        </is>
      </c>
      <c r="F3055" t="n">
        <v>-15.867</v>
      </c>
      <c r="G3055" t="n">
        <v>580.099</v>
      </c>
      <c r="H3055" t="n">
        <v>629.566</v>
      </c>
      <c r="I3055" t="n">
        <v>30</v>
      </c>
      <c r="J3055" t="inlineStr">
        <is>
          <t>BTBR</t>
        </is>
      </c>
      <c r="K3055" t="inlineStr">
        <is>
          <t xml:space="preserve"> Female</t>
        </is>
      </c>
      <c r="L3055" t="inlineStr">
        <is>
          <t>No focal subject</t>
        </is>
      </c>
      <c r="M3055" t="n">
        <v>42.765</v>
      </c>
      <c r="N3055" t="inlineStr">
        <is>
          <t>Explore_N</t>
        </is>
      </c>
      <c r="O3055" t="inlineStr">
        <is>
          <t>Novelty</t>
        </is>
      </c>
      <c r="P3055" t="inlineStr">
        <is>
          <t>STATE</t>
        </is>
      </c>
      <c r="Q3055" t="n">
        <v>365.066</v>
      </c>
      <c r="R3055" t="n">
        <v>365.399</v>
      </c>
      <c r="S3055" t="n">
        <v>0.333</v>
      </c>
      <c r="T3055" t="inlineStr">
        <is>
          <t>C:/Users/manuel.felline/Documents/BEHAVIOR BTBR/NOR second cohort/BTBR/test/c10_f1.mp4</t>
        </is>
      </c>
      <c r="U3055" t="n">
        <v>11427</v>
      </c>
      <c r="V3055" t="n">
        <v>11437</v>
      </c>
      <c r="W3055" t="n">
        <v/>
      </c>
      <c r="X3055" t="n">
        <v/>
      </c>
      <c r="Y3055" t="n">
        <v/>
      </c>
      <c r="Z3055" t="n">
        <v/>
      </c>
      <c r="AA3055">
        <f>SUMIFS($S$2:S3055,$A$2:A3055,A3055,$N$2:N3055,"Explore*")</f>
        <v/>
      </c>
      <c r="AB3055">
        <f>IF(AND(LEFT(N3055,7)="Explore",(AA3055-IF(LEFT(N3055,7)="Explore",S3055,0))&lt;10),"SI","NO")</f>
        <v/>
      </c>
    </row>
    <row r="3056">
      <c r="A3056" t="inlineStr">
        <is>
          <t>c10f1_test</t>
        </is>
      </c>
      <c r="B3056" t="inlineStr">
        <is>
          <t>2026-06-19 16:24:54.976</t>
        </is>
      </c>
      <c r="C3056" t="n">
        <v/>
      </c>
      <c r="D3056" t="inlineStr">
        <is>
          <t>Media file</t>
        </is>
      </c>
      <c r="E3056" t="inlineStr">
        <is>
          <t>player #1:C:/Users/manuel.felline/Documents/BEHAVIOR BTBR/NOR second cohort/BTBR/test/c10_f1.mp4</t>
        </is>
      </c>
      <c r="F3056" t="n">
        <v>-15.867</v>
      </c>
      <c r="G3056" t="n">
        <v>580.099</v>
      </c>
      <c r="H3056" t="n">
        <v>629.566</v>
      </c>
      <c r="I3056" t="n">
        <v>30</v>
      </c>
      <c r="J3056" t="inlineStr">
        <is>
          <t>BTBR</t>
        </is>
      </c>
      <c r="K3056" t="inlineStr">
        <is>
          <t xml:space="preserve"> Female</t>
        </is>
      </c>
      <c r="L3056" t="inlineStr">
        <is>
          <t>No focal subject</t>
        </is>
      </c>
      <c r="M3056" t="n">
        <v>42.765</v>
      </c>
      <c r="N3056" t="inlineStr">
        <is>
          <t>Explore_N</t>
        </is>
      </c>
      <c r="O3056" t="inlineStr">
        <is>
          <t>Novelty</t>
        </is>
      </c>
      <c r="P3056" t="inlineStr">
        <is>
          <t>STATE</t>
        </is>
      </c>
      <c r="Q3056" t="n">
        <v>377.466</v>
      </c>
      <c r="R3056" t="n">
        <v>377.833</v>
      </c>
      <c r="S3056" t="n">
        <v>0.367</v>
      </c>
      <c r="T3056" t="inlineStr">
        <is>
          <t>C:/Users/manuel.felline/Documents/BEHAVIOR BTBR/NOR second cohort/BTBR/test/c10_f1.mp4</t>
        </is>
      </c>
      <c r="U3056" t="n">
        <v>11799</v>
      </c>
      <c r="V3056" t="n">
        <v>11810</v>
      </c>
      <c r="W3056" t="n">
        <v/>
      </c>
      <c r="X3056" t="n">
        <v/>
      </c>
      <c r="Y3056" t="n">
        <v/>
      </c>
      <c r="Z3056" t="n">
        <v/>
      </c>
      <c r="AA3056">
        <f>SUMIFS($S$2:S3056,$A$2:A3056,A3056,$N$2:N3056,"Explore*")</f>
        <v/>
      </c>
      <c r="AB3056">
        <f>IF(AND(LEFT(N3056,7)="Explore",(AA3056-IF(LEFT(N3056,7)="Explore",S3056,0))&lt;10),"SI","NO")</f>
        <v/>
      </c>
    </row>
    <row r="3057">
      <c r="A3057" t="inlineStr">
        <is>
          <t>c10f1_test</t>
        </is>
      </c>
      <c r="B3057" t="inlineStr">
        <is>
          <t>2026-06-19 16:24:54.976</t>
        </is>
      </c>
      <c r="C3057" t="n">
        <v/>
      </c>
      <c r="D3057" t="inlineStr">
        <is>
          <t>Media file</t>
        </is>
      </c>
      <c r="E3057" t="inlineStr">
        <is>
          <t>player #1:C:/Users/manuel.felline/Documents/BEHAVIOR BTBR/NOR second cohort/BTBR/test/c10_f1.mp4</t>
        </is>
      </c>
      <c r="F3057" t="n">
        <v>-15.867</v>
      </c>
      <c r="G3057" t="n">
        <v>580.099</v>
      </c>
      <c r="H3057" t="n">
        <v>629.566</v>
      </c>
      <c r="I3057" t="n">
        <v>30</v>
      </c>
      <c r="J3057" t="inlineStr">
        <is>
          <t>BTBR</t>
        </is>
      </c>
      <c r="K3057" t="inlineStr">
        <is>
          <t xml:space="preserve"> Female</t>
        </is>
      </c>
      <c r="L3057" t="inlineStr">
        <is>
          <t>No focal subject</t>
        </is>
      </c>
      <c r="M3057" t="n">
        <v>42.765</v>
      </c>
      <c r="N3057" t="inlineStr">
        <is>
          <t>Explore_F</t>
        </is>
      </c>
      <c r="O3057" t="inlineStr">
        <is>
          <t>Familiar</t>
        </is>
      </c>
      <c r="P3057" t="inlineStr">
        <is>
          <t>STATE</t>
        </is>
      </c>
      <c r="Q3057" t="n">
        <v>400.399</v>
      </c>
      <c r="R3057" t="n">
        <v>400.899</v>
      </c>
      <c r="S3057" t="n">
        <v>0.5</v>
      </c>
      <c r="T3057" t="inlineStr">
        <is>
          <t>C:/Users/manuel.felline/Documents/BEHAVIOR BTBR/NOR second cohort/BTBR/test/c10_f1.mp4</t>
        </is>
      </c>
      <c r="U3057" t="n">
        <v>12486</v>
      </c>
      <c r="V3057" t="n">
        <v>12502</v>
      </c>
      <c r="W3057" t="n">
        <v/>
      </c>
      <c r="X3057" t="n">
        <v/>
      </c>
      <c r="Y3057" t="n">
        <v/>
      </c>
      <c r="Z3057" t="n">
        <v/>
      </c>
      <c r="AA3057">
        <f>SUMIFS($S$2:S3057,$A$2:A3057,A3057,$N$2:N3057,"Explore*")</f>
        <v/>
      </c>
      <c r="AB3057">
        <f>IF(AND(LEFT(N3057,7)="Explore",(AA3057-IF(LEFT(N3057,7)="Explore",S3057,0))&lt;10),"SI","NO")</f>
        <v/>
      </c>
    </row>
    <row r="3058">
      <c r="A3058" t="inlineStr">
        <is>
          <t>c10f1_test</t>
        </is>
      </c>
      <c r="B3058" t="inlineStr">
        <is>
          <t>2026-06-19 16:24:54.976</t>
        </is>
      </c>
      <c r="C3058" t="n">
        <v/>
      </c>
      <c r="D3058" t="inlineStr">
        <is>
          <t>Media file</t>
        </is>
      </c>
      <c r="E3058" t="inlineStr">
        <is>
          <t>player #1:C:/Users/manuel.felline/Documents/BEHAVIOR BTBR/NOR second cohort/BTBR/test/c10_f1.mp4</t>
        </is>
      </c>
      <c r="F3058" t="n">
        <v>-15.867</v>
      </c>
      <c r="G3058" t="n">
        <v>580.099</v>
      </c>
      <c r="H3058" t="n">
        <v>629.566</v>
      </c>
      <c r="I3058" t="n">
        <v>30</v>
      </c>
      <c r="J3058" t="inlineStr">
        <is>
          <t>BTBR</t>
        </is>
      </c>
      <c r="K3058" t="inlineStr">
        <is>
          <t xml:space="preserve"> Female</t>
        </is>
      </c>
      <c r="L3058" t="inlineStr">
        <is>
          <t>No focal subject</t>
        </is>
      </c>
      <c r="M3058" t="n">
        <v>42.765</v>
      </c>
      <c r="N3058" t="inlineStr">
        <is>
          <t>Explore_N</t>
        </is>
      </c>
      <c r="O3058" t="inlineStr">
        <is>
          <t>Novelty</t>
        </is>
      </c>
      <c r="P3058" t="inlineStr">
        <is>
          <t>STATE</t>
        </is>
      </c>
      <c r="Q3058" t="n">
        <v>404.733</v>
      </c>
      <c r="R3058" t="n">
        <v>405.199</v>
      </c>
      <c r="S3058" t="n">
        <v>0.466</v>
      </c>
      <c r="T3058" t="inlineStr">
        <is>
          <t>C:/Users/manuel.felline/Documents/BEHAVIOR BTBR/NOR second cohort/BTBR/test/c10_f1.mp4</t>
        </is>
      </c>
      <c r="U3058" t="n">
        <v>12616</v>
      </c>
      <c r="V3058" t="n">
        <v>12630</v>
      </c>
      <c r="W3058" t="n">
        <v/>
      </c>
      <c r="X3058" t="n">
        <v/>
      </c>
      <c r="Y3058" t="n">
        <v/>
      </c>
      <c r="Z3058" t="n">
        <v/>
      </c>
      <c r="AA3058">
        <f>SUMIFS($S$2:S3058,$A$2:A3058,A3058,$N$2:N3058,"Explore*")</f>
        <v/>
      </c>
      <c r="AB3058">
        <f>IF(AND(LEFT(N3058,7)="Explore",(AA3058-IF(LEFT(N3058,7)="Explore",S3058,0))&lt;10),"SI","NO")</f>
        <v/>
      </c>
    </row>
    <row r="3059">
      <c r="A3059" t="inlineStr">
        <is>
          <t>c10f1_test</t>
        </is>
      </c>
      <c r="B3059" t="inlineStr">
        <is>
          <t>2026-06-19 16:24:54.976</t>
        </is>
      </c>
      <c r="C3059" t="n">
        <v/>
      </c>
      <c r="D3059" t="inlineStr">
        <is>
          <t>Media file</t>
        </is>
      </c>
      <c r="E3059" t="inlineStr">
        <is>
          <t>player #1:C:/Users/manuel.felline/Documents/BEHAVIOR BTBR/NOR second cohort/BTBR/test/c10_f1.mp4</t>
        </is>
      </c>
      <c r="F3059" t="n">
        <v>-15.867</v>
      </c>
      <c r="G3059" t="n">
        <v>580.099</v>
      </c>
      <c r="H3059" t="n">
        <v>629.566</v>
      </c>
      <c r="I3059" t="n">
        <v>30</v>
      </c>
      <c r="J3059" t="inlineStr">
        <is>
          <t>BTBR</t>
        </is>
      </c>
      <c r="K3059" t="inlineStr">
        <is>
          <t xml:space="preserve"> Female</t>
        </is>
      </c>
      <c r="L3059" t="inlineStr">
        <is>
          <t>No focal subject</t>
        </is>
      </c>
      <c r="M3059" t="n">
        <v>42.765</v>
      </c>
      <c r="N3059" t="inlineStr">
        <is>
          <t>Explore_N</t>
        </is>
      </c>
      <c r="O3059" t="inlineStr">
        <is>
          <t>Novelty</t>
        </is>
      </c>
      <c r="P3059" t="inlineStr">
        <is>
          <t>STATE</t>
        </is>
      </c>
      <c r="Q3059" t="n">
        <v>412.599</v>
      </c>
      <c r="R3059" t="n">
        <v>417.066</v>
      </c>
      <c r="S3059" t="n">
        <v>4.467</v>
      </c>
      <c r="T3059" t="inlineStr">
        <is>
          <t>C:/Users/manuel.felline/Documents/BEHAVIOR BTBR/NOR second cohort/BTBR/test/c10_f1.mp4</t>
        </is>
      </c>
      <c r="U3059" t="n">
        <v>12852</v>
      </c>
      <c r="V3059" t="n">
        <v>12986</v>
      </c>
      <c r="W3059" t="n">
        <v/>
      </c>
      <c r="X3059" t="n">
        <v/>
      </c>
      <c r="Y3059" t="n">
        <v/>
      </c>
      <c r="Z3059" t="n">
        <v/>
      </c>
      <c r="AA3059">
        <f>SUMIFS($S$2:S3059,$A$2:A3059,A3059,$N$2:N3059,"Explore*")</f>
        <v/>
      </c>
      <c r="AB3059">
        <f>IF(AND(LEFT(N3059,7)="Explore",(AA3059-IF(LEFT(N3059,7)="Explore",S3059,0))&lt;10),"SI","NO")</f>
        <v/>
      </c>
    </row>
    <row r="3060">
      <c r="A3060" t="inlineStr">
        <is>
          <t>c10f1_test</t>
        </is>
      </c>
      <c r="B3060" t="inlineStr">
        <is>
          <t>2026-06-19 16:24:54.976</t>
        </is>
      </c>
      <c r="C3060" t="n">
        <v/>
      </c>
      <c r="D3060" t="inlineStr">
        <is>
          <t>Media file</t>
        </is>
      </c>
      <c r="E3060" t="inlineStr">
        <is>
          <t>player #1:C:/Users/manuel.felline/Documents/BEHAVIOR BTBR/NOR second cohort/BTBR/test/c10_f1.mp4</t>
        </is>
      </c>
      <c r="F3060" t="n">
        <v>-15.867</v>
      </c>
      <c r="G3060" t="n">
        <v>580.099</v>
      </c>
      <c r="H3060" t="n">
        <v>629.566</v>
      </c>
      <c r="I3060" t="n">
        <v>30</v>
      </c>
      <c r="J3060" t="inlineStr">
        <is>
          <t>BTBR</t>
        </is>
      </c>
      <c r="K3060" t="inlineStr">
        <is>
          <t xml:space="preserve"> Female</t>
        </is>
      </c>
      <c r="L3060" t="inlineStr">
        <is>
          <t>No focal subject</t>
        </is>
      </c>
      <c r="M3060" t="n">
        <v>42.765</v>
      </c>
      <c r="N3060" t="inlineStr">
        <is>
          <t>Explore_N</t>
        </is>
      </c>
      <c r="O3060" t="inlineStr">
        <is>
          <t>Novelty</t>
        </is>
      </c>
      <c r="P3060" t="inlineStr">
        <is>
          <t>STATE</t>
        </is>
      </c>
      <c r="Q3060" t="n">
        <v>420.399</v>
      </c>
      <c r="R3060" t="n">
        <v>420.966</v>
      </c>
      <c r="S3060" t="n">
        <v>0.5669999999999999</v>
      </c>
      <c r="T3060" t="inlineStr">
        <is>
          <t>C:/Users/manuel.felline/Documents/BEHAVIOR BTBR/NOR second cohort/BTBR/test/c10_f1.mp4</t>
        </is>
      </c>
      <c r="U3060" t="n">
        <v>13086</v>
      </c>
      <c r="V3060" t="n">
        <v>13103</v>
      </c>
      <c r="W3060" t="n">
        <v/>
      </c>
      <c r="X3060" t="n">
        <v/>
      </c>
      <c r="Y3060" t="n">
        <v/>
      </c>
      <c r="Z3060" t="n">
        <v/>
      </c>
      <c r="AA3060">
        <f>SUMIFS($S$2:S3060,$A$2:A3060,A3060,$N$2:N3060,"Explore*")</f>
        <v/>
      </c>
      <c r="AB3060">
        <f>IF(AND(LEFT(N3060,7)="Explore",(AA3060-IF(LEFT(N3060,7)="Explore",S3060,0))&lt;10),"SI","NO")</f>
        <v/>
      </c>
    </row>
    <row r="3061">
      <c r="A3061" t="inlineStr">
        <is>
          <t>c10f1_test</t>
        </is>
      </c>
      <c r="B3061" t="inlineStr">
        <is>
          <t>2026-06-19 16:24:54.976</t>
        </is>
      </c>
      <c r="C3061" t="n">
        <v/>
      </c>
      <c r="D3061" t="inlineStr">
        <is>
          <t>Media file</t>
        </is>
      </c>
      <c r="E3061" t="inlineStr">
        <is>
          <t>player #1:C:/Users/manuel.felline/Documents/BEHAVIOR BTBR/NOR second cohort/BTBR/test/c10_f1.mp4</t>
        </is>
      </c>
      <c r="F3061" t="n">
        <v>-15.867</v>
      </c>
      <c r="G3061" t="n">
        <v>580.099</v>
      </c>
      <c r="H3061" t="n">
        <v>629.566</v>
      </c>
      <c r="I3061" t="n">
        <v>30</v>
      </c>
      <c r="J3061" t="inlineStr">
        <is>
          <t>BTBR</t>
        </is>
      </c>
      <c r="K3061" t="inlineStr">
        <is>
          <t xml:space="preserve"> Female</t>
        </is>
      </c>
      <c r="L3061" t="inlineStr">
        <is>
          <t>No focal subject</t>
        </is>
      </c>
      <c r="M3061" t="n">
        <v>42.765</v>
      </c>
      <c r="N3061" t="inlineStr">
        <is>
          <t>Explore_F</t>
        </is>
      </c>
      <c r="O3061" t="inlineStr">
        <is>
          <t>Familiar</t>
        </is>
      </c>
      <c r="P3061" t="inlineStr">
        <is>
          <t>STATE</t>
        </is>
      </c>
      <c r="Q3061" t="n">
        <v>427.633</v>
      </c>
      <c r="R3061" t="n">
        <v>428.266</v>
      </c>
      <c r="S3061" t="n">
        <v>0.633</v>
      </c>
      <c r="T3061" t="inlineStr">
        <is>
          <t>C:/Users/manuel.felline/Documents/BEHAVIOR BTBR/NOR second cohort/BTBR/test/c10_f1.mp4</t>
        </is>
      </c>
      <c r="U3061" t="n">
        <v>13303</v>
      </c>
      <c r="V3061" t="n">
        <v>13322</v>
      </c>
      <c r="W3061" t="n">
        <v/>
      </c>
      <c r="X3061" t="n">
        <v/>
      </c>
      <c r="Y3061" t="n">
        <v/>
      </c>
      <c r="Z3061" t="n">
        <v/>
      </c>
      <c r="AA3061">
        <f>SUMIFS($S$2:S3061,$A$2:A3061,A3061,$N$2:N3061,"Explore*")</f>
        <v/>
      </c>
      <c r="AB3061">
        <f>IF(AND(LEFT(N3061,7)="Explore",(AA3061-IF(LEFT(N3061,7)="Explore",S3061,0))&lt;10),"SI","NO")</f>
        <v/>
      </c>
    </row>
    <row r="3062">
      <c r="A3062" t="inlineStr">
        <is>
          <t>c10f1_test</t>
        </is>
      </c>
      <c r="B3062" t="inlineStr">
        <is>
          <t>2026-06-19 16:24:54.976</t>
        </is>
      </c>
      <c r="C3062" t="n">
        <v/>
      </c>
      <c r="D3062" t="inlineStr">
        <is>
          <t>Media file</t>
        </is>
      </c>
      <c r="E3062" t="inlineStr">
        <is>
          <t>player #1:C:/Users/manuel.felline/Documents/BEHAVIOR BTBR/NOR second cohort/BTBR/test/c10_f1.mp4</t>
        </is>
      </c>
      <c r="F3062" t="n">
        <v>-15.867</v>
      </c>
      <c r="G3062" t="n">
        <v>580.099</v>
      </c>
      <c r="H3062" t="n">
        <v>629.566</v>
      </c>
      <c r="I3062" t="n">
        <v>30</v>
      </c>
      <c r="J3062" t="inlineStr">
        <is>
          <t>BTBR</t>
        </is>
      </c>
      <c r="K3062" t="inlineStr">
        <is>
          <t xml:space="preserve"> Female</t>
        </is>
      </c>
      <c r="L3062" t="inlineStr">
        <is>
          <t>No focal subject</t>
        </is>
      </c>
      <c r="M3062" t="n">
        <v>42.765</v>
      </c>
      <c r="N3062" t="inlineStr">
        <is>
          <t>Explore_N</t>
        </is>
      </c>
      <c r="O3062" t="inlineStr">
        <is>
          <t>Novelty</t>
        </is>
      </c>
      <c r="P3062" t="inlineStr">
        <is>
          <t>STATE</t>
        </is>
      </c>
      <c r="Q3062" t="n">
        <v>429.233</v>
      </c>
      <c r="R3062" t="n">
        <v>431.266</v>
      </c>
      <c r="S3062" t="n">
        <v>2.033</v>
      </c>
      <c r="T3062" t="inlineStr">
        <is>
          <t>C:/Users/manuel.felline/Documents/BEHAVIOR BTBR/NOR second cohort/BTBR/test/c10_f1.mp4</t>
        </is>
      </c>
      <c r="U3062" t="n">
        <v>13351</v>
      </c>
      <c r="V3062" t="n">
        <v>13412</v>
      </c>
      <c r="W3062" t="n">
        <v/>
      </c>
      <c r="X3062" t="n">
        <v/>
      </c>
      <c r="Y3062" t="n">
        <v/>
      </c>
      <c r="Z3062" t="n">
        <v/>
      </c>
      <c r="AA3062">
        <f>SUMIFS($S$2:S3062,$A$2:A3062,A3062,$N$2:N3062,"Explore*")</f>
        <v/>
      </c>
      <c r="AB3062">
        <f>IF(AND(LEFT(N3062,7)="Explore",(AA3062-IF(LEFT(N3062,7)="Explore",S3062,0))&lt;10),"SI","NO")</f>
        <v/>
      </c>
    </row>
    <row r="3063">
      <c r="A3063" t="inlineStr">
        <is>
          <t>c10f1_test</t>
        </is>
      </c>
      <c r="B3063" t="inlineStr">
        <is>
          <t>2026-06-19 16:24:54.976</t>
        </is>
      </c>
      <c r="C3063" t="n">
        <v/>
      </c>
      <c r="D3063" t="inlineStr">
        <is>
          <t>Media file</t>
        </is>
      </c>
      <c r="E3063" t="inlineStr">
        <is>
          <t>player #1:C:/Users/manuel.felline/Documents/BEHAVIOR BTBR/NOR second cohort/BTBR/test/c10_f1.mp4</t>
        </is>
      </c>
      <c r="F3063" t="n">
        <v>-15.867</v>
      </c>
      <c r="G3063" t="n">
        <v>580.099</v>
      </c>
      <c r="H3063" t="n">
        <v>629.566</v>
      </c>
      <c r="I3063" t="n">
        <v>30</v>
      </c>
      <c r="J3063" t="inlineStr">
        <is>
          <t>BTBR</t>
        </is>
      </c>
      <c r="K3063" t="inlineStr">
        <is>
          <t xml:space="preserve"> Female</t>
        </is>
      </c>
      <c r="L3063" t="inlineStr">
        <is>
          <t>No focal subject</t>
        </is>
      </c>
      <c r="M3063" t="n">
        <v>42.765</v>
      </c>
      <c r="N3063" t="inlineStr">
        <is>
          <t>Explore_N</t>
        </is>
      </c>
      <c r="O3063" t="inlineStr">
        <is>
          <t>Novelty</t>
        </is>
      </c>
      <c r="P3063" t="inlineStr">
        <is>
          <t>STATE</t>
        </is>
      </c>
      <c r="Q3063" t="n">
        <v>432.099</v>
      </c>
      <c r="R3063" t="n">
        <v>432.533</v>
      </c>
      <c r="S3063" t="n">
        <v>0.434</v>
      </c>
      <c r="T3063" t="inlineStr">
        <is>
          <t>C:/Users/manuel.felline/Documents/BEHAVIOR BTBR/NOR second cohort/BTBR/test/c10_f1.mp4</t>
        </is>
      </c>
      <c r="U3063" t="n">
        <v>13437</v>
      </c>
      <c r="V3063" t="n">
        <v>13450</v>
      </c>
      <c r="W3063" t="n">
        <v/>
      </c>
      <c r="X3063" t="n">
        <v/>
      </c>
      <c r="Y3063" t="n">
        <v/>
      </c>
      <c r="Z3063" t="n">
        <v/>
      </c>
      <c r="AA3063">
        <f>SUMIFS($S$2:S3063,$A$2:A3063,A3063,$N$2:N3063,"Explore*")</f>
        <v/>
      </c>
      <c r="AB3063">
        <f>IF(AND(LEFT(N3063,7)="Explore",(AA3063-IF(LEFT(N3063,7)="Explore",S3063,0))&lt;10),"SI","NO")</f>
        <v/>
      </c>
    </row>
    <row r="3064">
      <c r="A3064" t="inlineStr">
        <is>
          <t>c10f1_test</t>
        </is>
      </c>
      <c r="B3064" t="inlineStr">
        <is>
          <t>2026-06-19 16:24:54.976</t>
        </is>
      </c>
      <c r="C3064" t="n">
        <v/>
      </c>
      <c r="D3064" t="inlineStr">
        <is>
          <t>Media file</t>
        </is>
      </c>
      <c r="E3064" t="inlineStr">
        <is>
          <t>player #1:C:/Users/manuel.felline/Documents/BEHAVIOR BTBR/NOR second cohort/BTBR/test/c10_f1.mp4</t>
        </is>
      </c>
      <c r="F3064" t="n">
        <v>-15.867</v>
      </c>
      <c r="G3064" t="n">
        <v>580.099</v>
      </c>
      <c r="H3064" t="n">
        <v>629.566</v>
      </c>
      <c r="I3064" t="n">
        <v>30</v>
      </c>
      <c r="J3064" t="inlineStr">
        <is>
          <t>BTBR</t>
        </is>
      </c>
      <c r="K3064" t="inlineStr">
        <is>
          <t xml:space="preserve"> Female</t>
        </is>
      </c>
      <c r="L3064" t="inlineStr">
        <is>
          <t>No focal subject</t>
        </is>
      </c>
      <c r="M3064" t="n">
        <v>42.765</v>
      </c>
      <c r="N3064" t="inlineStr">
        <is>
          <t>Explore_N</t>
        </is>
      </c>
      <c r="O3064" t="inlineStr">
        <is>
          <t>Novelty</t>
        </is>
      </c>
      <c r="P3064" t="inlineStr">
        <is>
          <t>STATE</t>
        </is>
      </c>
      <c r="Q3064" t="n">
        <v>436.366</v>
      </c>
      <c r="R3064" t="n">
        <v>436.999</v>
      </c>
      <c r="S3064" t="n">
        <v>0.633</v>
      </c>
      <c r="T3064" t="inlineStr">
        <is>
          <t>C:/Users/manuel.felline/Documents/BEHAVIOR BTBR/NOR second cohort/BTBR/test/c10_f1.mp4</t>
        </is>
      </c>
      <c r="U3064" t="n">
        <v>13565</v>
      </c>
      <c r="V3064" t="n">
        <v>13584</v>
      </c>
      <c r="W3064" t="n">
        <v/>
      </c>
      <c r="X3064" t="n">
        <v/>
      </c>
      <c r="Y3064" t="n">
        <v/>
      </c>
      <c r="Z3064" t="n">
        <v/>
      </c>
      <c r="AA3064">
        <f>SUMIFS($S$2:S3064,$A$2:A3064,A3064,$N$2:N3064,"Explore*")</f>
        <v/>
      </c>
      <c r="AB3064">
        <f>IF(AND(LEFT(N3064,7)="Explore",(AA3064-IF(LEFT(N3064,7)="Explore",S3064,0))&lt;10),"SI","NO")</f>
        <v/>
      </c>
    </row>
    <row r="3065">
      <c r="A3065" t="inlineStr">
        <is>
          <t>c10f1_test</t>
        </is>
      </c>
      <c r="B3065" t="inlineStr">
        <is>
          <t>2026-06-19 16:24:54.976</t>
        </is>
      </c>
      <c r="C3065" t="n">
        <v/>
      </c>
      <c r="D3065" t="inlineStr">
        <is>
          <t>Media file</t>
        </is>
      </c>
      <c r="E3065" t="inlineStr">
        <is>
          <t>player #1:C:/Users/manuel.felline/Documents/BEHAVIOR BTBR/NOR second cohort/BTBR/test/c10_f1.mp4</t>
        </is>
      </c>
      <c r="F3065" t="n">
        <v>-15.867</v>
      </c>
      <c r="G3065" t="n">
        <v>580.099</v>
      </c>
      <c r="H3065" t="n">
        <v>629.566</v>
      </c>
      <c r="I3065" t="n">
        <v>30</v>
      </c>
      <c r="J3065" t="inlineStr">
        <is>
          <t>BTBR</t>
        </is>
      </c>
      <c r="K3065" t="inlineStr">
        <is>
          <t xml:space="preserve"> Female</t>
        </is>
      </c>
      <c r="L3065" t="inlineStr">
        <is>
          <t>No focal subject</t>
        </is>
      </c>
      <c r="M3065" t="n">
        <v>42.765</v>
      </c>
      <c r="N3065" t="inlineStr">
        <is>
          <t>Explore_F</t>
        </is>
      </c>
      <c r="O3065" t="inlineStr">
        <is>
          <t>Familiar</t>
        </is>
      </c>
      <c r="P3065" t="inlineStr">
        <is>
          <t>STATE</t>
        </is>
      </c>
      <c r="Q3065" t="n">
        <v>437.866</v>
      </c>
      <c r="R3065" t="n">
        <v>438.366</v>
      </c>
      <c r="S3065" t="n">
        <v>0.5</v>
      </c>
      <c r="T3065" t="inlineStr">
        <is>
          <t>C:/Users/manuel.felline/Documents/BEHAVIOR BTBR/NOR second cohort/BTBR/test/c10_f1.mp4</t>
        </is>
      </c>
      <c r="U3065" t="n">
        <v>13610</v>
      </c>
      <c r="V3065" t="n">
        <v>13625</v>
      </c>
      <c r="W3065" t="n">
        <v/>
      </c>
      <c r="X3065" t="n">
        <v/>
      </c>
      <c r="Y3065" t="n">
        <v/>
      </c>
      <c r="Z3065" t="n">
        <v/>
      </c>
      <c r="AA3065">
        <f>SUMIFS($S$2:S3065,$A$2:A3065,A3065,$N$2:N3065,"Explore*")</f>
        <v/>
      </c>
      <c r="AB3065">
        <f>IF(AND(LEFT(N3065,7)="Explore",(AA3065-IF(LEFT(N3065,7)="Explore",S3065,0))&lt;10),"SI","NO")</f>
        <v/>
      </c>
    </row>
    <row r="3066">
      <c r="A3066" t="inlineStr">
        <is>
          <t>c10f1_test</t>
        </is>
      </c>
      <c r="B3066" t="inlineStr">
        <is>
          <t>2026-06-19 16:24:54.976</t>
        </is>
      </c>
      <c r="C3066" t="n">
        <v/>
      </c>
      <c r="D3066" t="inlineStr">
        <is>
          <t>Media file</t>
        </is>
      </c>
      <c r="E3066" t="inlineStr">
        <is>
          <t>player #1:C:/Users/manuel.felline/Documents/BEHAVIOR BTBR/NOR second cohort/BTBR/test/c10_f1.mp4</t>
        </is>
      </c>
      <c r="F3066" t="n">
        <v>-15.867</v>
      </c>
      <c r="G3066" t="n">
        <v>580.099</v>
      </c>
      <c r="H3066" t="n">
        <v>629.566</v>
      </c>
      <c r="I3066" t="n">
        <v>30</v>
      </c>
      <c r="J3066" t="inlineStr">
        <is>
          <t>BTBR</t>
        </is>
      </c>
      <c r="K3066" t="inlineStr">
        <is>
          <t xml:space="preserve"> Female</t>
        </is>
      </c>
      <c r="L3066" t="inlineStr">
        <is>
          <t>No focal subject</t>
        </is>
      </c>
      <c r="M3066" t="n">
        <v>42.765</v>
      </c>
      <c r="N3066" t="inlineStr">
        <is>
          <t>Explore_N</t>
        </is>
      </c>
      <c r="O3066" t="inlineStr">
        <is>
          <t>Novelty</t>
        </is>
      </c>
      <c r="P3066" t="inlineStr">
        <is>
          <t>STATE</t>
        </is>
      </c>
      <c r="Q3066" t="n">
        <v>448.366</v>
      </c>
      <c r="R3066" t="n">
        <v>449.033</v>
      </c>
      <c r="S3066" t="n">
        <v>0.667</v>
      </c>
      <c r="T3066" t="inlineStr">
        <is>
          <t>C:/Users/manuel.felline/Documents/BEHAVIOR BTBR/NOR second cohort/BTBR/test/c10_f1.mp4</t>
        </is>
      </c>
      <c r="U3066" t="n">
        <v>13925</v>
      </c>
      <c r="V3066" t="n">
        <v>13945</v>
      </c>
      <c r="W3066" t="n">
        <v/>
      </c>
      <c r="X3066" t="n">
        <v/>
      </c>
      <c r="Y3066" t="n">
        <v/>
      </c>
      <c r="Z3066" t="n">
        <v/>
      </c>
      <c r="AA3066">
        <f>SUMIFS($S$2:S3066,$A$2:A3066,A3066,$N$2:N3066,"Explore*")</f>
        <v/>
      </c>
      <c r="AB3066">
        <f>IF(AND(LEFT(N3066,7)="Explore",(AA3066-IF(LEFT(N3066,7)="Explore",S3066,0))&lt;10),"SI","NO")</f>
        <v/>
      </c>
    </row>
    <row r="3067">
      <c r="A3067" t="inlineStr">
        <is>
          <t>c10f1_test</t>
        </is>
      </c>
      <c r="B3067" t="inlineStr">
        <is>
          <t>2026-06-19 16:24:54.976</t>
        </is>
      </c>
      <c r="C3067" t="n">
        <v/>
      </c>
      <c r="D3067" t="inlineStr">
        <is>
          <t>Media file</t>
        </is>
      </c>
      <c r="E3067" t="inlineStr">
        <is>
          <t>player #1:C:/Users/manuel.felline/Documents/BEHAVIOR BTBR/NOR second cohort/BTBR/test/c10_f1.mp4</t>
        </is>
      </c>
      <c r="F3067" t="n">
        <v>-15.867</v>
      </c>
      <c r="G3067" t="n">
        <v>580.099</v>
      </c>
      <c r="H3067" t="n">
        <v>629.566</v>
      </c>
      <c r="I3067" t="n">
        <v>30</v>
      </c>
      <c r="J3067" t="inlineStr">
        <is>
          <t>BTBR</t>
        </is>
      </c>
      <c r="K3067" t="inlineStr">
        <is>
          <t xml:space="preserve"> Female</t>
        </is>
      </c>
      <c r="L3067" t="inlineStr">
        <is>
          <t>No focal subject</t>
        </is>
      </c>
      <c r="M3067" t="n">
        <v>42.765</v>
      </c>
      <c r="N3067" t="inlineStr">
        <is>
          <t>Explore_F</t>
        </is>
      </c>
      <c r="O3067" t="inlineStr">
        <is>
          <t>Familiar</t>
        </is>
      </c>
      <c r="P3067" t="inlineStr">
        <is>
          <t>STATE</t>
        </is>
      </c>
      <c r="Q3067" t="n">
        <v>468.566</v>
      </c>
      <c r="R3067" t="n">
        <v>468.999</v>
      </c>
      <c r="S3067" t="n">
        <v>0.433</v>
      </c>
      <c r="T3067" t="inlineStr">
        <is>
          <t>C:/Users/manuel.felline/Documents/BEHAVIOR BTBR/NOR second cohort/BTBR/test/c10_f1.mp4</t>
        </is>
      </c>
      <c r="U3067" t="n">
        <v>14531</v>
      </c>
      <c r="V3067" t="n">
        <v>14544</v>
      </c>
      <c r="W3067" t="n">
        <v/>
      </c>
      <c r="X3067" t="n">
        <v/>
      </c>
      <c r="Y3067" t="n">
        <v/>
      </c>
      <c r="Z3067" t="n">
        <v/>
      </c>
      <c r="AA3067">
        <f>SUMIFS($S$2:S3067,$A$2:A3067,A3067,$N$2:N3067,"Explore*")</f>
        <v/>
      </c>
      <c r="AB3067">
        <f>IF(AND(LEFT(N3067,7)="Explore",(AA3067-IF(LEFT(N3067,7)="Explore",S3067,0))&lt;10),"SI","NO")</f>
        <v/>
      </c>
    </row>
    <row r="3068">
      <c r="A3068" t="inlineStr">
        <is>
          <t>c10f1_test</t>
        </is>
      </c>
      <c r="B3068" t="inlineStr">
        <is>
          <t>2026-06-19 16:24:54.976</t>
        </is>
      </c>
      <c r="C3068" t="n">
        <v/>
      </c>
      <c r="D3068" t="inlineStr">
        <is>
          <t>Media file</t>
        </is>
      </c>
      <c r="E3068" t="inlineStr">
        <is>
          <t>player #1:C:/Users/manuel.felline/Documents/BEHAVIOR BTBR/NOR second cohort/BTBR/test/c10_f1.mp4</t>
        </is>
      </c>
      <c r="F3068" t="n">
        <v>-15.867</v>
      </c>
      <c r="G3068" t="n">
        <v>580.099</v>
      </c>
      <c r="H3068" t="n">
        <v>629.566</v>
      </c>
      <c r="I3068" t="n">
        <v>30</v>
      </c>
      <c r="J3068" t="inlineStr">
        <is>
          <t>BTBR</t>
        </is>
      </c>
      <c r="K3068" t="inlineStr">
        <is>
          <t xml:space="preserve"> Female</t>
        </is>
      </c>
      <c r="L3068" t="inlineStr">
        <is>
          <t>No focal subject</t>
        </is>
      </c>
      <c r="M3068" t="n">
        <v>42.765</v>
      </c>
      <c r="N3068" t="inlineStr">
        <is>
          <t>Explore_N</t>
        </is>
      </c>
      <c r="O3068" t="inlineStr">
        <is>
          <t>Novelty</t>
        </is>
      </c>
      <c r="P3068" t="inlineStr">
        <is>
          <t>STATE</t>
        </is>
      </c>
      <c r="Q3068" t="n">
        <v>479.399</v>
      </c>
      <c r="R3068" t="n">
        <v>479.799</v>
      </c>
      <c r="S3068" t="n">
        <v>0.4</v>
      </c>
      <c r="T3068" t="inlineStr">
        <is>
          <t>C:/Users/manuel.felline/Documents/BEHAVIOR BTBR/NOR second cohort/BTBR/test/c10_f1.mp4</t>
        </is>
      </c>
      <c r="U3068" t="n">
        <v>14856</v>
      </c>
      <c r="V3068" t="n">
        <v>14868</v>
      </c>
      <c r="W3068" t="n">
        <v/>
      </c>
      <c r="X3068" t="n">
        <v/>
      </c>
      <c r="Y3068" t="n">
        <v/>
      </c>
      <c r="Z3068" t="n">
        <v/>
      </c>
      <c r="AA3068">
        <f>SUMIFS($S$2:S3068,$A$2:A3068,A3068,$N$2:N3068,"Explore*")</f>
        <v/>
      </c>
      <c r="AB3068">
        <f>IF(AND(LEFT(N3068,7)="Explore",(AA3068-IF(LEFT(N3068,7)="Explore",S3068,0))&lt;10),"SI","NO")</f>
        <v/>
      </c>
    </row>
    <row r="3069">
      <c r="A3069" t="inlineStr">
        <is>
          <t>c10f1_test</t>
        </is>
      </c>
      <c r="B3069" t="inlineStr">
        <is>
          <t>2026-06-19 16:24:54.976</t>
        </is>
      </c>
      <c r="C3069" t="n">
        <v/>
      </c>
      <c r="D3069" t="inlineStr">
        <is>
          <t>Media file</t>
        </is>
      </c>
      <c r="E3069" t="inlineStr">
        <is>
          <t>player #1:C:/Users/manuel.felline/Documents/BEHAVIOR BTBR/NOR second cohort/BTBR/test/c10_f1.mp4</t>
        </is>
      </c>
      <c r="F3069" t="n">
        <v>-15.867</v>
      </c>
      <c r="G3069" t="n">
        <v>580.099</v>
      </c>
      <c r="H3069" t="n">
        <v>629.566</v>
      </c>
      <c r="I3069" t="n">
        <v>30</v>
      </c>
      <c r="J3069" t="inlineStr">
        <is>
          <t>BTBR</t>
        </is>
      </c>
      <c r="K3069" t="inlineStr">
        <is>
          <t xml:space="preserve"> Female</t>
        </is>
      </c>
      <c r="L3069" t="inlineStr">
        <is>
          <t>No focal subject</t>
        </is>
      </c>
      <c r="M3069" t="n">
        <v>42.765</v>
      </c>
      <c r="N3069" t="inlineStr">
        <is>
          <t>Explore_F</t>
        </is>
      </c>
      <c r="O3069" t="inlineStr">
        <is>
          <t>Familiar</t>
        </is>
      </c>
      <c r="P3069" t="inlineStr">
        <is>
          <t>STATE</t>
        </is>
      </c>
      <c r="Q3069" t="n">
        <v>483.799</v>
      </c>
      <c r="R3069" t="n">
        <v>484.099</v>
      </c>
      <c r="S3069" t="n">
        <v>0.3</v>
      </c>
      <c r="T3069" t="inlineStr">
        <is>
          <t>C:/Users/manuel.felline/Documents/BEHAVIOR BTBR/NOR second cohort/BTBR/test/c10_f1.mp4</t>
        </is>
      </c>
      <c r="U3069" t="n">
        <v>14988</v>
      </c>
      <c r="V3069" t="n">
        <v>14997</v>
      </c>
      <c r="W3069" t="n">
        <v/>
      </c>
      <c r="X3069" t="n">
        <v/>
      </c>
      <c r="Y3069" t="n">
        <v/>
      </c>
      <c r="Z3069" t="n">
        <v/>
      </c>
      <c r="AA3069">
        <f>SUMIFS($S$2:S3069,$A$2:A3069,A3069,$N$2:N3069,"Explore*")</f>
        <v/>
      </c>
      <c r="AB3069">
        <f>IF(AND(LEFT(N3069,7)="Explore",(AA3069-IF(LEFT(N3069,7)="Explore",S3069,0))&lt;10),"SI","NO")</f>
        <v/>
      </c>
    </row>
    <row r="3070">
      <c r="A3070" t="inlineStr">
        <is>
          <t>c10f1_test</t>
        </is>
      </c>
      <c r="B3070" t="inlineStr">
        <is>
          <t>2026-06-19 16:24:54.976</t>
        </is>
      </c>
      <c r="C3070" t="n">
        <v/>
      </c>
      <c r="D3070" t="inlineStr">
        <is>
          <t>Media file</t>
        </is>
      </c>
      <c r="E3070" t="inlineStr">
        <is>
          <t>player #1:C:/Users/manuel.felline/Documents/BEHAVIOR BTBR/NOR second cohort/BTBR/test/c10_f1.mp4</t>
        </is>
      </c>
      <c r="F3070" t="n">
        <v>-15.867</v>
      </c>
      <c r="G3070" t="n">
        <v>580.099</v>
      </c>
      <c r="H3070" t="n">
        <v>629.566</v>
      </c>
      <c r="I3070" t="n">
        <v>30</v>
      </c>
      <c r="J3070" t="inlineStr">
        <is>
          <t>BTBR</t>
        </is>
      </c>
      <c r="K3070" t="inlineStr">
        <is>
          <t xml:space="preserve"> Female</t>
        </is>
      </c>
      <c r="L3070" t="inlineStr">
        <is>
          <t>No focal subject</t>
        </is>
      </c>
      <c r="M3070" t="n">
        <v>42.765</v>
      </c>
      <c r="N3070" t="inlineStr">
        <is>
          <t>Explore_N</t>
        </is>
      </c>
      <c r="O3070" t="inlineStr">
        <is>
          <t>Novelty</t>
        </is>
      </c>
      <c r="P3070" t="inlineStr">
        <is>
          <t>STATE</t>
        </is>
      </c>
      <c r="Q3070" t="n">
        <v>500.599</v>
      </c>
      <c r="R3070" t="n">
        <v>501.499</v>
      </c>
      <c r="S3070" t="n">
        <v>0.9</v>
      </c>
      <c r="T3070" t="inlineStr">
        <is>
          <t>C:/Users/manuel.felline/Documents/BEHAVIOR BTBR/NOR second cohort/BTBR/test/c10_f1.mp4</t>
        </is>
      </c>
      <c r="U3070" t="n">
        <v>15492</v>
      </c>
      <c r="V3070" t="n">
        <v>15519</v>
      </c>
      <c r="W3070" t="n">
        <v/>
      </c>
      <c r="X3070" t="n">
        <v/>
      </c>
      <c r="Y3070" t="n">
        <v/>
      </c>
      <c r="Z3070" t="n">
        <v/>
      </c>
      <c r="AA3070">
        <f>SUMIFS($S$2:S3070,$A$2:A3070,A3070,$N$2:N3070,"Explore*")</f>
        <v/>
      </c>
      <c r="AB3070">
        <f>IF(AND(LEFT(N3070,7)="Explore",(AA3070-IF(LEFT(N3070,7)="Explore",S3070,0))&lt;10),"SI","NO")</f>
        <v/>
      </c>
    </row>
    <row r="3071">
      <c r="A3071" t="inlineStr">
        <is>
          <t>c10f1_test</t>
        </is>
      </c>
      <c r="B3071" t="inlineStr">
        <is>
          <t>2026-06-19 16:24:54.976</t>
        </is>
      </c>
      <c r="C3071" t="n">
        <v/>
      </c>
      <c r="D3071" t="inlineStr">
        <is>
          <t>Media file</t>
        </is>
      </c>
      <c r="E3071" t="inlineStr">
        <is>
          <t>player #1:C:/Users/manuel.felline/Documents/BEHAVIOR BTBR/NOR second cohort/BTBR/test/c10_f1.mp4</t>
        </is>
      </c>
      <c r="F3071" t="n">
        <v>-15.867</v>
      </c>
      <c r="G3071" t="n">
        <v>580.099</v>
      </c>
      <c r="H3071" t="n">
        <v>629.566</v>
      </c>
      <c r="I3071" t="n">
        <v>30</v>
      </c>
      <c r="J3071" t="inlineStr">
        <is>
          <t>BTBR</t>
        </is>
      </c>
      <c r="K3071" t="inlineStr">
        <is>
          <t xml:space="preserve"> Female</t>
        </is>
      </c>
      <c r="L3071" t="inlineStr">
        <is>
          <t>No focal subject</t>
        </is>
      </c>
      <c r="M3071" t="n">
        <v>42.765</v>
      </c>
      <c r="N3071" t="inlineStr">
        <is>
          <t>Explore_N</t>
        </is>
      </c>
      <c r="O3071" t="inlineStr">
        <is>
          <t>Novelty</t>
        </is>
      </c>
      <c r="P3071" t="inlineStr">
        <is>
          <t>STATE</t>
        </is>
      </c>
      <c r="Q3071" t="n">
        <v>502.432</v>
      </c>
      <c r="R3071" t="n">
        <v>503.132</v>
      </c>
      <c r="S3071" t="n">
        <v>0.7</v>
      </c>
      <c r="T3071" t="inlineStr">
        <is>
          <t>C:/Users/manuel.felline/Documents/BEHAVIOR BTBR/NOR second cohort/BTBR/test/c10_f1.mp4</t>
        </is>
      </c>
      <c r="U3071" t="n">
        <v>15547</v>
      </c>
      <c r="V3071" t="n">
        <v>15568</v>
      </c>
      <c r="W3071" t="n">
        <v/>
      </c>
      <c r="X3071" t="n">
        <v/>
      </c>
      <c r="Y3071" t="n">
        <v/>
      </c>
      <c r="Z3071" t="n">
        <v/>
      </c>
      <c r="AA3071">
        <f>SUMIFS($S$2:S3071,$A$2:A3071,A3071,$N$2:N3071,"Explore*")</f>
        <v/>
      </c>
      <c r="AB3071">
        <f>IF(AND(LEFT(N3071,7)="Explore",(AA3071-IF(LEFT(N3071,7)="Explore",S3071,0))&lt;10),"SI","NO")</f>
        <v/>
      </c>
    </row>
    <row r="3072">
      <c r="A3072" t="inlineStr">
        <is>
          <t>c10f1_test</t>
        </is>
      </c>
      <c r="B3072" t="inlineStr">
        <is>
          <t>2026-06-19 16:24:54.976</t>
        </is>
      </c>
      <c r="C3072" t="n">
        <v/>
      </c>
      <c r="D3072" t="inlineStr">
        <is>
          <t>Media file</t>
        </is>
      </c>
      <c r="E3072" t="inlineStr">
        <is>
          <t>player #1:C:/Users/manuel.felline/Documents/BEHAVIOR BTBR/NOR second cohort/BTBR/test/c10_f1.mp4</t>
        </is>
      </c>
      <c r="F3072" t="n">
        <v>-15.867</v>
      </c>
      <c r="G3072" t="n">
        <v>580.099</v>
      </c>
      <c r="H3072" t="n">
        <v>629.566</v>
      </c>
      <c r="I3072" t="n">
        <v>30</v>
      </c>
      <c r="J3072" t="inlineStr">
        <is>
          <t>BTBR</t>
        </is>
      </c>
      <c r="K3072" t="inlineStr">
        <is>
          <t xml:space="preserve"> Female</t>
        </is>
      </c>
      <c r="L3072" t="inlineStr">
        <is>
          <t>No focal subject</t>
        </is>
      </c>
      <c r="M3072" t="n">
        <v>42.765</v>
      </c>
      <c r="N3072" t="inlineStr">
        <is>
          <t>Explore_F</t>
        </is>
      </c>
      <c r="O3072" t="inlineStr">
        <is>
          <t>Familiar</t>
        </is>
      </c>
      <c r="P3072" t="inlineStr">
        <is>
          <t>STATE</t>
        </is>
      </c>
      <c r="Q3072" t="n">
        <v>507.366</v>
      </c>
      <c r="R3072" t="n">
        <v>507.832</v>
      </c>
      <c r="S3072" t="n">
        <v>0.466</v>
      </c>
      <c r="T3072" t="inlineStr">
        <is>
          <t>C:/Users/manuel.felline/Documents/BEHAVIOR BTBR/NOR second cohort/BTBR/test/c10_f1.mp4</t>
        </is>
      </c>
      <c r="U3072" t="n">
        <v>15695</v>
      </c>
      <c r="V3072" t="n">
        <v>15709</v>
      </c>
      <c r="W3072" t="n">
        <v/>
      </c>
      <c r="X3072" t="n">
        <v/>
      </c>
      <c r="Y3072" t="n">
        <v/>
      </c>
      <c r="Z3072" t="n">
        <v/>
      </c>
      <c r="AA3072">
        <f>SUMIFS($S$2:S3072,$A$2:A3072,A3072,$N$2:N3072,"Explore*")</f>
        <v/>
      </c>
      <c r="AB3072">
        <f>IF(AND(LEFT(N3072,7)="Explore",(AA3072-IF(LEFT(N3072,7)="Explore",S3072,0))&lt;10),"SI","NO")</f>
        <v/>
      </c>
    </row>
    <row r="3073">
      <c r="A3073" t="inlineStr">
        <is>
          <t>c10f1_test</t>
        </is>
      </c>
      <c r="B3073" t="inlineStr">
        <is>
          <t>2026-06-19 16:24:54.976</t>
        </is>
      </c>
      <c r="C3073" t="n">
        <v/>
      </c>
      <c r="D3073" t="inlineStr">
        <is>
          <t>Media file</t>
        </is>
      </c>
      <c r="E3073" t="inlineStr">
        <is>
          <t>player #1:C:/Users/manuel.felline/Documents/BEHAVIOR BTBR/NOR second cohort/BTBR/test/c10_f1.mp4</t>
        </is>
      </c>
      <c r="F3073" t="n">
        <v>-15.867</v>
      </c>
      <c r="G3073" t="n">
        <v>580.099</v>
      </c>
      <c r="H3073" t="n">
        <v>629.566</v>
      </c>
      <c r="I3073" t="n">
        <v>30</v>
      </c>
      <c r="J3073" t="inlineStr">
        <is>
          <t>BTBR</t>
        </is>
      </c>
      <c r="K3073" t="inlineStr">
        <is>
          <t xml:space="preserve"> Female</t>
        </is>
      </c>
      <c r="L3073" t="inlineStr">
        <is>
          <t>No focal subject</t>
        </is>
      </c>
      <c r="M3073" t="n">
        <v>42.765</v>
      </c>
      <c r="N3073" t="inlineStr">
        <is>
          <t>Explore_F</t>
        </is>
      </c>
      <c r="O3073" t="inlineStr">
        <is>
          <t>Familiar</t>
        </is>
      </c>
      <c r="P3073" t="inlineStr">
        <is>
          <t>STATE</t>
        </is>
      </c>
      <c r="Q3073" t="n">
        <v>518.6660000000001</v>
      </c>
      <c r="R3073" t="n">
        <v>519.032</v>
      </c>
      <c r="S3073" t="n">
        <v>0.366</v>
      </c>
      <c r="T3073" t="inlineStr">
        <is>
          <t>C:/Users/manuel.felline/Documents/BEHAVIOR BTBR/NOR second cohort/BTBR/test/c10_f1.mp4</t>
        </is>
      </c>
      <c r="U3073" t="n">
        <v>16034</v>
      </c>
      <c r="V3073" t="n">
        <v>16045</v>
      </c>
      <c r="W3073" t="n">
        <v/>
      </c>
      <c r="X3073" t="n">
        <v/>
      </c>
      <c r="Y3073" t="n">
        <v/>
      </c>
      <c r="Z3073" t="n">
        <v/>
      </c>
      <c r="AA3073">
        <f>SUMIFS($S$2:S3073,$A$2:A3073,A3073,$N$2:N3073,"Explore*")</f>
        <v/>
      </c>
      <c r="AB3073">
        <f>IF(AND(LEFT(N3073,7)="Explore",(AA3073-IF(LEFT(N3073,7)="Explore",S3073,0))&lt;10),"SI","NO")</f>
        <v/>
      </c>
    </row>
    <row r="3074">
      <c r="A3074" t="inlineStr">
        <is>
          <t>c10f1_test</t>
        </is>
      </c>
      <c r="B3074" t="inlineStr">
        <is>
          <t>2026-06-19 16:24:54.976</t>
        </is>
      </c>
      <c r="C3074" t="n">
        <v/>
      </c>
      <c r="D3074" t="inlineStr">
        <is>
          <t>Media file</t>
        </is>
      </c>
      <c r="E3074" t="inlineStr">
        <is>
          <t>player #1:C:/Users/manuel.felline/Documents/BEHAVIOR BTBR/NOR second cohort/BTBR/test/c10_f1.mp4</t>
        </is>
      </c>
      <c r="F3074" t="n">
        <v>-15.867</v>
      </c>
      <c r="G3074" t="n">
        <v>580.099</v>
      </c>
      <c r="H3074" t="n">
        <v>629.566</v>
      </c>
      <c r="I3074" t="n">
        <v>30</v>
      </c>
      <c r="J3074" t="inlineStr">
        <is>
          <t>BTBR</t>
        </is>
      </c>
      <c r="K3074" t="inlineStr">
        <is>
          <t xml:space="preserve"> Female</t>
        </is>
      </c>
      <c r="L3074" t="inlineStr">
        <is>
          <t>No focal subject</t>
        </is>
      </c>
      <c r="M3074" t="n">
        <v>42.765</v>
      </c>
      <c r="N3074" t="inlineStr">
        <is>
          <t>Explore_N</t>
        </is>
      </c>
      <c r="O3074" t="inlineStr">
        <is>
          <t>Novelty</t>
        </is>
      </c>
      <c r="P3074" t="inlineStr">
        <is>
          <t>STATE</t>
        </is>
      </c>
      <c r="Q3074" t="n">
        <v>522.899</v>
      </c>
      <c r="R3074" t="n">
        <v>523.466</v>
      </c>
      <c r="S3074" t="n">
        <v>0.5669999999999999</v>
      </c>
      <c r="T3074" t="inlineStr">
        <is>
          <t>C:/Users/manuel.felline/Documents/BEHAVIOR BTBR/NOR second cohort/BTBR/test/c10_f1.mp4</t>
        </is>
      </c>
      <c r="U3074" t="n">
        <v>16161</v>
      </c>
      <c r="V3074" t="n">
        <v>16178</v>
      </c>
      <c r="W3074" t="n">
        <v/>
      </c>
      <c r="X3074" t="n">
        <v/>
      </c>
      <c r="Y3074" t="n">
        <v/>
      </c>
      <c r="Z3074" t="n">
        <v/>
      </c>
      <c r="AA3074">
        <f>SUMIFS($S$2:S3074,$A$2:A3074,A3074,$N$2:N3074,"Explore*")</f>
        <v/>
      </c>
      <c r="AB3074">
        <f>IF(AND(LEFT(N3074,7)="Explore",(AA3074-IF(LEFT(N3074,7)="Explore",S3074,0))&lt;10),"SI","NO")</f>
        <v/>
      </c>
    </row>
    <row r="3075">
      <c r="A3075" t="inlineStr">
        <is>
          <t>c10f1_test</t>
        </is>
      </c>
      <c r="B3075" t="inlineStr">
        <is>
          <t>2026-06-19 16:24:54.976</t>
        </is>
      </c>
      <c r="C3075" t="n">
        <v/>
      </c>
      <c r="D3075" t="inlineStr">
        <is>
          <t>Media file</t>
        </is>
      </c>
      <c r="E3075" t="inlineStr">
        <is>
          <t>player #1:C:/Users/manuel.felline/Documents/BEHAVIOR BTBR/NOR second cohort/BTBR/test/c10_f1.mp4</t>
        </is>
      </c>
      <c r="F3075" t="n">
        <v>-15.867</v>
      </c>
      <c r="G3075" t="n">
        <v>580.099</v>
      </c>
      <c r="H3075" t="n">
        <v>629.566</v>
      </c>
      <c r="I3075" t="n">
        <v>30</v>
      </c>
      <c r="J3075" t="inlineStr">
        <is>
          <t>BTBR</t>
        </is>
      </c>
      <c r="K3075" t="inlineStr">
        <is>
          <t xml:space="preserve"> Female</t>
        </is>
      </c>
      <c r="L3075" t="inlineStr">
        <is>
          <t>No focal subject</t>
        </is>
      </c>
      <c r="M3075" t="n">
        <v>42.765</v>
      </c>
      <c r="N3075" t="inlineStr">
        <is>
          <t>Explore_F</t>
        </is>
      </c>
      <c r="O3075" t="inlineStr">
        <is>
          <t>Familiar</t>
        </is>
      </c>
      <c r="P3075" t="inlineStr">
        <is>
          <t>STATE</t>
        </is>
      </c>
      <c r="Q3075" t="n">
        <v>524.532</v>
      </c>
      <c r="R3075" t="n">
        <v>524.899</v>
      </c>
      <c r="S3075" t="n">
        <v>0.367</v>
      </c>
      <c r="T3075" t="inlineStr">
        <is>
          <t>C:/Users/manuel.felline/Documents/BEHAVIOR BTBR/NOR second cohort/BTBR/test/c10_f1.mp4</t>
        </is>
      </c>
      <c r="U3075" t="n">
        <v>16210</v>
      </c>
      <c r="V3075" t="n">
        <v>16221</v>
      </c>
      <c r="W3075" t="n">
        <v/>
      </c>
      <c r="X3075" t="n">
        <v/>
      </c>
      <c r="Y3075" t="n">
        <v/>
      </c>
      <c r="Z3075" t="n">
        <v/>
      </c>
      <c r="AA3075">
        <f>SUMIFS($S$2:S3075,$A$2:A3075,A3075,$N$2:N3075,"Explore*")</f>
        <v/>
      </c>
      <c r="AB3075">
        <f>IF(AND(LEFT(N3075,7)="Explore",(AA3075-IF(LEFT(N3075,7)="Explore",S3075,0))&lt;10),"SI","NO")</f>
        <v/>
      </c>
    </row>
    <row r="3076">
      <c r="A3076" t="inlineStr">
        <is>
          <t>c10f1_test</t>
        </is>
      </c>
      <c r="B3076" t="inlineStr">
        <is>
          <t>2026-06-19 16:24:54.976</t>
        </is>
      </c>
      <c r="C3076" t="n">
        <v/>
      </c>
      <c r="D3076" t="inlineStr">
        <is>
          <t>Media file</t>
        </is>
      </c>
      <c r="E3076" t="inlineStr">
        <is>
          <t>player #1:C:/Users/manuel.felline/Documents/BEHAVIOR BTBR/NOR second cohort/BTBR/test/c10_f1.mp4</t>
        </is>
      </c>
      <c r="F3076" t="n">
        <v>-15.867</v>
      </c>
      <c r="G3076" t="n">
        <v>580.099</v>
      </c>
      <c r="H3076" t="n">
        <v>629.566</v>
      </c>
      <c r="I3076" t="n">
        <v>30</v>
      </c>
      <c r="J3076" t="inlineStr">
        <is>
          <t>BTBR</t>
        </is>
      </c>
      <c r="K3076" t="inlineStr">
        <is>
          <t xml:space="preserve"> Female</t>
        </is>
      </c>
      <c r="L3076" t="inlineStr">
        <is>
          <t>No focal subject</t>
        </is>
      </c>
      <c r="M3076" t="n">
        <v>42.765</v>
      </c>
      <c r="N3076" t="inlineStr">
        <is>
          <t>Explore_N</t>
        </is>
      </c>
      <c r="O3076" t="inlineStr">
        <is>
          <t>Novelty</t>
        </is>
      </c>
      <c r="P3076" t="inlineStr">
        <is>
          <t>STATE</t>
        </is>
      </c>
      <c r="Q3076" t="n">
        <v>527.699</v>
      </c>
      <c r="R3076" t="n">
        <v>527.966</v>
      </c>
      <c r="S3076" t="n">
        <v>0.267</v>
      </c>
      <c r="T3076" t="inlineStr">
        <is>
          <t>C:/Users/manuel.felline/Documents/BEHAVIOR BTBR/NOR second cohort/BTBR/test/c10_f1.mp4</t>
        </is>
      </c>
      <c r="U3076" t="n">
        <v>16305</v>
      </c>
      <c r="V3076" t="n">
        <v>16313</v>
      </c>
      <c r="W3076" t="n">
        <v/>
      </c>
      <c r="X3076" t="n">
        <v/>
      </c>
      <c r="Y3076" t="n">
        <v/>
      </c>
      <c r="Z3076" t="n">
        <v/>
      </c>
      <c r="AA3076">
        <f>SUMIFS($S$2:S3076,$A$2:A3076,A3076,$N$2:N3076,"Explore*")</f>
        <v/>
      </c>
      <c r="AB3076">
        <f>IF(AND(LEFT(N3076,7)="Explore",(AA3076-IF(LEFT(N3076,7)="Explore",S3076,0))&lt;10),"SI","NO")</f>
        <v/>
      </c>
    </row>
    <row r="3077">
      <c r="A3077" t="inlineStr">
        <is>
          <t>c10f1_test</t>
        </is>
      </c>
      <c r="B3077" t="inlineStr">
        <is>
          <t>2026-06-19 16:24:54.976</t>
        </is>
      </c>
      <c r="C3077" t="n">
        <v/>
      </c>
      <c r="D3077" t="inlineStr">
        <is>
          <t>Media file</t>
        </is>
      </c>
      <c r="E3077" t="inlineStr">
        <is>
          <t>player #1:C:/Users/manuel.felline/Documents/BEHAVIOR BTBR/NOR second cohort/BTBR/test/c10_f1.mp4</t>
        </is>
      </c>
      <c r="F3077" t="n">
        <v>-15.867</v>
      </c>
      <c r="G3077" t="n">
        <v>580.099</v>
      </c>
      <c r="H3077" t="n">
        <v>629.566</v>
      </c>
      <c r="I3077" t="n">
        <v>30</v>
      </c>
      <c r="J3077" t="inlineStr">
        <is>
          <t>BTBR</t>
        </is>
      </c>
      <c r="K3077" t="inlineStr">
        <is>
          <t xml:space="preserve"> Female</t>
        </is>
      </c>
      <c r="L3077" t="inlineStr">
        <is>
          <t>No focal subject</t>
        </is>
      </c>
      <c r="M3077" t="n">
        <v>42.765</v>
      </c>
      <c r="N3077" t="inlineStr">
        <is>
          <t>Explore_F</t>
        </is>
      </c>
      <c r="O3077" t="inlineStr">
        <is>
          <t>Familiar</t>
        </is>
      </c>
      <c r="P3077" t="inlineStr">
        <is>
          <t>STATE</t>
        </is>
      </c>
      <c r="Q3077" t="n">
        <v>531.532</v>
      </c>
      <c r="R3077" t="n">
        <v>531.832</v>
      </c>
      <c r="S3077" t="n">
        <v>0.3</v>
      </c>
      <c r="T3077" t="inlineStr">
        <is>
          <t>C:/Users/manuel.felline/Documents/BEHAVIOR BTBR/NOR second cohort/BTBR/test/c10_f1.mp4</t>
        </is>
      </c>
      <c r="U3077" t="n">
        <v>16420</v>
      </c>
      <c r="V3077" t="n">
        <v>16429</v>
      </c>
      <c r="W3077" t="n">
        <v/>
      </c>
      <c r="X3077" t="n">
        <v/>
      </c>
      <c r="Y3077" t="n">
        <v/>
      </c>
      <c r="Z3077" t="n">
        <v/>
      </c>
      <c r="AA3077">
        <f>SUMIFS($S$2:S3077,$A$2:A3077,A3077,$N$2:N3077,"Explore*")</f>
        <v/>
      </c>
      <c r="AB3077">
        <f>IF(AND(LEFT(N3077,7)="Explore",(AA3077-IF(LEFT(N3077,7)="Explore",S3077,0))&lt;10),"SI","NO")</f>
        <v/>
      </c>
    </row>
    <row r="3078">
      <c r="A3078" t="inlineStr">
        <is>
          <t>c10f1_test</t>
        </is>
      </c>
      <c r="B3078" t="inlineStr">
        <is>
          <t>2026-06-19 16:24:54.976</t>
        </is>
      </c>
      <c r="C3078" t="n">
        <v/>
      </c>
      <c r="D3078" t="inlineStr">
        <is>
          <t>Media file</t>
        </is>
      </c>
      <c r="E3078" t="inlineStr">
        <is>
          <t>player #1:C:/Users/manuel.felline/Documents/BEHAVIOR BTBR/NOR second cohort/BTBR/test/c10_f1.mp4</t>
        </is>
      </c>
      <c r="F3078" t="n">
        <v>-15.867</v>
      </c>
      <c r="G3078" t="n">
        <v>580.099</v>
      </c>
      <c r="H3078" t="n">
        <v>629.566</v>
      </c>
      <c r="I3078" t="n">
        <v>30</v>
      </c>
      <c r="J3078" t="inlineStr">
        <is>
          <t>BTBR</t>
        </is>
      </c>
      <c r="K3078" t="inlineStr">
        <is>
          <t xml:space="preserve"> Female</t>
        </is>
      </c>
      <c r="L3078" t="inlineStr">
        <is>
          <t>No focal subject</t>
        </is>
      </c>
      <c r="M3078" t="n">
        <v>42.765</v>
      </c>
      <c r="N3078" t="inlineStr">
        <is>
          <t>Explore_N</t>
        </is>
      </c>
      <c r="O3078" t="inlineStr">
        <is>
          <t>Novelty</t>
        </is>
      </c>
      <c r="P3078" t="inlineStr">
        <is>
          <t>STATE</t>
        </is>
      </c>
      <c r="Q3078" t="n">
        <v>571.366</v>
      </c>
      <c r="R3078" t="n">
        <v>571.832</v>
      </c>
      <c r="S3078" t="n">
        <v>0.466</v>
      </c>
      <c r="T3078" t="inlineStr">
        <is>
          <t>C:/Users/manuel.felline/Documents/BEHAVIOR BTBR/NOR second cohort/BTBR/test/c10_f1.mp4</t>
        </is>
      </c>
      <c r="U3078" t="n">
        <v>17615</v>
      </c>
      <c r="V3078" t="n">
        <v>17629</v>
      </c>
      <c r="W3078" t="n">
        <v/>
      </c>
      <c r="X3078" t="n">
        <v/>
      </c>
      <c r="Y3078" t="n">
        <v/>
      </c>
      <c r="Z3078" t="n">
        <v/>
      </c>
      <c r="AA3078">
        <f>SUMIFS($S$2:S3078,$A$2:A3078,A3078,$N$2:N3078,"Explore*")</f>
        <v/>
      </c>
      <c r="AB3078">
        <f>IF(AND(LEFT(N3078,7)="Explore",(AA3078-IF(LEFT(N3078,7)="Explore",S3078,0))&lt;10),"SI","NO")</f>
        <v/>
      </c>
    </row>
    <row r="3079">
      <c r="A3079" t="inlineStr">
        <is>
          <t>c10f1_test</t>
        </is>
      </c>
      <c r="B3079" t="inlineStr">
        <is>
          <t>2026-06-19 16:24:54.976</t>
        </is>
      </c>
      <c r="C3079" t="n">
        <v/>
      </c>
      <c r="D3079" t="inlineStr">
        <is>
          <t>Media file</t>
        </is>
      </c>
      <c r="E3079" t="inlineStr">
        <is>
          <t>player #1:C:/Users/manuel.felline/Documents/BEHAVIOR BTBR/NOR second cohort/BTBR/test/c10_f1.mp4</t>
        </is>
      </c>
      <c r="F3079" t="n">
        <v>-15.867</v>
      </c>
      <c r="G3079" t="n">
        <v>580.099</v>
      </c>
      <c r="H3079" t="n">
        <v>629.566</v>
      </c>
      <c r="I3079" t="n">
        <v>30</v>
      </c>
      <c r="J3079" t="inlineStr">
        <is>
          <t>BTBR</t>
        </is>
      </c>
      <c r="K3079" t="inlineStr">
        <is>
          <t xml:space="preserve"> Female</t>
        </is>
      </c>
      <c r="L3079" t="inlineStr">
        <is>
          <t>No focal subject</t>
        </is>
      </c>
      <c r="M3079" t="n">
        <v>42.765</v>
      </c>
      <c r="N3079" t="inlineStr">
        <is>
          <t>Explore_F</t>
        </is>
      </c>
      <c r="O3079" t="inlineStr">
        <is>
          <t>Familiar</t>
        </is>
      </c>
      <c r="P3079" t="inlineStr">
        <is>
          <t>STATE</t>
        </is>
      </c>
      <c r="Q3079" t="n">
        <v>583.699</v>
      </c>
      <c r="R3079" t="n">
        <v>584.099</v>
      </c>
      <c r="S3079" t="n">
        <v>0.4</v>
      </c>
      <c r="T3079" t="inlineStr">
        <is>
          <t>C:/Users/manuel.felline/Documents/BEHAVIOR BTBR/NOR second cohort/BTBR/test/c10_f1.mp4</t>
        </is>
      </c>
      <c r="U3079" t="n">
        <v>17985</v>
      </c>
      <c r="V3079" t="n">
        <v>17997</v>
      </c>
      <c r="W3079" t="n">
        <v/>
      </c>
      <c r="X3079" t="n">
        <v/>
      </c>
      <c r="Y3079" t="n">
        <v/>
      </c>
      <c r="Z3079" t="n">
        <v/>
      </c>
      <c r="AA3079">
        <f>SUMIFS($S$2:S3079,$A$2:A3079,A3079,$N$2:N3079,"Explore*")</f>
        <v/>
      </c>
      <c r="AB3079">
        <f>IF(AND(LEFT(N3079,7)="Explore",(AA3079-IF(LEFT(N3079,7)="Explore",S3079,0))&lt;10),"SI","NO")</f>
        <v/>
      </c>
    </row>
    <row r="3080">
      <c r="A3080" t="inlineStr">
        <is>
          <t>c10f2_test</t>
        </is>
      </c>
      <c r="B3080" t="inlineStr">
        <is>
          <t>2026-06-23 16:16:46.732</t>
        </is>
      </c>
      <c r="C3080" t="n">
        <v/>
      </c>
      <c r="D3080" t="inlineStr">
        <is>
          <t>Media file</t>
        </is>
      </c>
      <c r="E3080" t="inlineStr">
        <is>
          <t>player #1:C:/Users/manuel.felline/Documents/BEHAVIOR BTBR/NOR second cohort/BTBR/test/c10_f2.mp4</t>
        </is>
      </c>
      <c r="F3080" t="n">
        <v>-13.067</v>
      </c>
      <c r="G3080" t="n">
        <v>448.333</v>
      </c>
      <c r="H3080" t="n">
        <v>630.7329999999999</v>
      </c>
      <c r="I3080" t="n">
        <v>30</v>
      </c>
      <c r="J3080" t="inlineStr">
        <is>
          <t>BTBR</t>
        </is>
      </c>
      <c r="K3080" t="inlineStr">
        <is>
          <t xml:space="preserve"> Female</t>
        </is>
      </c>
      <c r="L3080" t="inlineStr">
        <is>
          <t>No focal subject</t>
        </is>
      </c>
      <c r="M3080" t="n">
        <v>23.698</v>
      </c>
      <c r="N3080" t="inlineStr">
        <is>
          <t>Explore_F</t>
        </is>
      </c>
      <c r="O3080" t="inlineStr">
        <is>
          <t>Familiar</t>
        </is>
      </c>
      <c r="P3080" t="inlineStr">
        <is>
          <t>STATE</t>
        </is>
      </c>
      <c r="Q3080" t="n">
        <v>102.333</v>
      </c>
      <c r="R3080" t="n">
        <v>103.3</v>
      </c>
      <c r="S3080" t="n">
        <v>0.967</v>
      </c>
      <c r="T3080" t="inlineStr">
        <is>
          <t>C:/Users/manuel.felline/Documents/BEHAVIOR BTBR/NOR second cohort/BTBR/test/c10_f2.mp4</t>
        </is>
      </c>
      <c r="U3080" t="n">
        <v>3461</v>
      </c>
      <c r="V3080" t="n">
        <v>3490</v>
      </c>
      <c r="W3080" t="n">
        <v/>
      </c>
      <c r="X3080" t="n">
        <v/>
      </c>
      <c r="Y3080" t="n">
        <v/>
      </c>
      <c r="Z3080" t="n">
        <v/>
      </c>
      <c r="AA3080">
        <f>SUMIFS($S$2:S3080,$A$2:A3080,A3080,$N$2:N3080,"Explore*")</f>
        <v/>
      </c>
      <c r="AB3080">
        <f>IF(AND(LEFT(N3080,7)="Explore",(AA3080-IF(LEFT(N3080,7)="Explore",S3080,0))&lt;10),"SI","NO")</f>
        <v/>
      </c>
    </row>
    <row r="3081">
      <c r="A3081" t="inlineStr">
        <is>
          <t>c10f2_test</t>
        </is>
      </c>
      <c r="B3081" t="inlineStr">
        <is>
          <t>2026-06-23 16:16:46.732</t>
        </is>
      </c>
      <c r="C3081" t="n">
        <v/>
      </c>
      <c r="D3081" t="inlineStr">
        <is>
          <t>Media file</t>
        </is>
      </c>
      <c r="E3081" t="inlineStr">
        <is>
          <t>player #1:C:/Users/manuel.felline/Documents/BEHAVIOR BTBR/NOR second cohort/BTBR/test/c10_f2.mp4</t>
        </is>
      </c>
      <c r="F3081" t="n">
        <v>-13.067</v>
      </c>
      <c r="G3081" t="n">
        <v>448.333</v>
      </c>
      <c r="H3081" t="n">
        <v>630.7329999999999</v>
      </c>
      <c r="I3081" t="n">
        <v>30</v>
      </c>
      <c r="J3081" t="inlineStr">
        <is>
          <t>BTBR</t>
        </is>
      </c>
      <c r="K3081" t="inlineStr">
        <is>
          <t xml:space="preserve"> Female</t>
        </is>
      </c>
      <c r="L3081" t="inlineStr">
        <is>
          <t>No focal subject</t>
        </is>
      </c>
      <c r="M3081" t="n">
        <v>23.698</v>
      </c>
      <c r="N3081" t="inlineStr">
        <is>
          <t>Explore_N</t>
        </is>
      </c>
      <c r="O3081" t="inlineStr">
        <is>
          <t>Novelty</t>
        </is>
      </c>
      <c r="P3081" t="inlineStr">
        <is>
          <t>STATE</t>
        </is>
      </c>
      <c r="Q3081" t="n">
        <v>104</v>
      </c>
      <c r="R3081" t="n">
        <v>106</v>
      </c>
      <c r="S3081" t="n">
        <v>2</v>
      </c>
      <c r="T3081" t="inlineStr">
        <is>
          <t>C:/Users/manuel.felline/Documents/BEHAVIOR BTBR/NOR second cohort/BTBR/test/c10_f2.mp4</t>
        </is>
      </c>
      <c r="U3081" t="n">
        <v>3511</v>
      </c>
      <c r="V3081" t="n">
        <v>3571</v>
      </c>
      <c r="W3081" t="n">
        <v/>
      </c>
      <c r="X3081" t="n">
        <v/>
      </c>
      <c r="Y3081" t="n">
        <v/>
      </c>
      <c r="Z3081" t="n">
        <v/>
      </c>
      <c r="AA3081">
        <f>SUMIFS($S$2:S3081,$A$2:A3081,A3081,$N$2:N3081,"Explore*")</f>
        <v/>
      </c>
      <c r="AB3081">
        <f>IF(AND(LEFT(N3081,7)="Explore",(AA3081-IF(LEFT(N3081,7)="Explore",S3081,0))&lt;10),"SI","NO")</f>
        <v/>
      </c>
    </row>
    <row r="3082">
      <c r="A3082" t="inlineStr">
        <is>
          <t>c10f2_test</t>
        </is>
      </c>
      <c r="B3082" t="inlineStr">
        <is>
          <t>2026-06-23 16:16:46.732</t>
        </is>
      </c>
      <c r="C3082" t="n">
        <v/>
      </c>
      <c r="D3082" t="inlineStr">
        <is>
          <t>Media file</t>
        </is>
      </c>
      <c r="E3082" t="inlineStr">
        <is>
          <t>player #1:C:/Users/manuel.felline/Documents/BEHAVIOR BTBR/NOR second cohort/BTBR/test/c10_f2.mp4</t>
        </is>
      </c>
      <c r="F3082" t="n">
        <v>-13.067</v>
      </c>
      <c r="G3082" t="n">
        <v>448.333</v>
      </c>
      <c r="H3082" t="n">
        <v>630.7329999999999</v>
      </c>
      <c r="I3082" t="n">
        <v>30</v>
      </c>
      <c r="J3082" t="inlineStr">
        <is>
          <t>BTBR</t>
        </is>
      </c>
      <c r="K3082" t="inlineStr">
        <is>
          <t xml:space="preserve"> Female</t>
        </is>
      </c>
      <c r="L3082" t="inlineStr">
        <is>
          <t>No focal subject</t>
        </is>
      </c>
      <c r="M3082" t="n">
        <v>23.698</v>
      </c>
      <c r="N3082" t="inlineStr">
        <is>
          <t>Explore_F</t>
        </is>
      </c>
      <c r="O3082" t="inlineStr">
        <is>
          <t>Familiar</t>
        </is>
      </c>
      <c r="P3082" t="inlineStr">
        <is>
          <t>STATE</t>
        </is>
      </c>
      <c r="Q3082" t="n">
        <v>111.533</v>
      </c>
      <c r="R3082" t="n">
        <v>112.833</v>
      </c>
      <c r="S3082" t="n">
        <v>1.3</v>
      </c>
      <c r="T3082" t="inlineStr">
        <is>
          <t>C:/Users/manuel.felline/Documents/BEHAVIOR BTBR/NOR second cohort/BTBR/test/c10_f2.mp4</t>
        </is>
      </c>
      <c r="U3082" t="n">
        <v>3737</v>
      </c>
      <c r="V3082" t="n">
        <v>3776</v>
      </c>
      <c r="W3082" t="n">
        <v/>
      </c>
      <c r="X3082" t="n">
        <v/>
      </c>
      <c r="Y3082" t="n">
        <v/>
      </c>
      <c r="Z3082" t="n">
        <v/>
      </c>
      <c r="AA3082">
        <f>SUMIFS($S$2:S3082,$A$2:A3082,A3082,$N$2:N3082,"Explore*")</f>
        <v/>
      </c>
      <c r="AB3082">
        <f>IF(AND(LEFT(N3082,7)="Explore",(AA3082-IF(LEFT(N3082,7)="Explore",S3082,0))&lt;10),"SI","NO")</f>
        <v/>
      </c>
    </row>
    <row r="3083">
      <c r="A3083" t="inlineStr">
        <is>
          <t>c10f2_test</t>
        </is>
      </c>
      <c r="B3083" t="inlineStr">
        <is>
          <t>2026-06-23 16:16:46.732</t>
        </is>
      </c>
      <c r="C3083" t="n">
        <v/>
      </c>
      <c r="D3083" t="inlineStr">
        <is>
          <t>Media file</t>
        </is>
      </c>
      <c r="E3083" t="inlineStr">
        <is>
          <t>player #1:C:/Users/manuel.felline/Documents/BEHAVIOR BTBR/NOR second cohort/BTBR/test/c10_f2.mp4</t>
        </is>
      </c>
      <c r="F3083" t="n">
        <v>-13.067</v>
      </c>
      <c r="G3083" t="n">
        <v>448.333</v>
      </c>
      <c r="H3083" t="n">
        <v>630.7329999999999</v>
      </c>
      <c r="I3083" t="n">
        <v>30</v>
      </c>
      <c r="J3083" t="inlineStr">
        <is>
          <t>BTBR</t>
        </is>
      </c>
      <c r="K3083" t="inlineStr">
        <is>
          <t xml:space="preserve"> Female</t>
        </is>
      </c>
      <c r="L3083" t="inlineStr">
        <is>
          <t>No focal subject</t>
        </is>
      </c>
      <c r="M3083" t="n">
        <v>23.698</v>
      </c>
      <c r="N3083" t="inlineStr">
        <is>
          <t>Explore_F</t>
        </is>
      </c>
      <c r="O3083" t="inlineStr">
        <is>
          <t>Familiar</t>
        </is>
      </c>
      <c r="P3083" t="inlineStr">
        <is>
          <t>STATE</t>
        </is>
      </c>
      <c r="Q3083" t="n">
        <v>116.433</v>
      </c>
      <c r="R3083" t="n">
        <v>116.733</v>
      </c>
      <c r="S3083" t="n">
        <v>0.3</v>
      </c>
      <c r="T3083" t="inlineStr">
        <is>
          <t>C:/Users/manuel.felline/Documents/BEHAVIOR BTBR/NOR second cohort/BTBR/test/c10_f2.mp4</t>
        </is>
      </c>
      <c r="U3083" t="n">
        <v>3884</v>
      </c>
      <c r="V3083" t="n">
        <v>3893</v>
      </c>
      <c r="W3083" t="n">
        <v/>
      </c>
      <c r="X3083" t="n">
        <v/>
      </c>
      <c r="Y3083" t="n">
        <v/>
      </c>
      <c r="Z3083" t="n">
        <v/>
      </c>
      <c r="AA3083">
        <f>SUMIFS($S$2:S3083,$A$2:A3083,A3083,$N$2:N3083,"Explore*")</f>
        <v/>
      </c>
      <c r="AB3083">
        <f>IF(AND(LEFT(N3083,7)="Explore",(AA3083-IF(LEFT(N3083,7)="Explore",S3083,0))&lt;10),"SI","NO")</f>
        <v/>
      </c>
    </row>
    <row r="3084">
      <c r="A3084" t="inlineStr">
        <is>
          <t>c10f2_test</t>
        </is>
      </c>
      <c r="B3084" t="inlineStr">
        <is>
          <t>2026-06-23 16:16:46.732</t>
        </is>
      </c>
      <c r="C3084" t="n">
        <v/>
      </c>
      <c r="D3084" t="inlineStr">
        <is>
          <t>Media file</t>
        </is>
      </c>
      <c r="E3084" t="inlineStr">
        <is>
          <t>player #1:C:/Users/manuel.felline/Documents/BEHAVIOR BTBR/NOR second cohort/BTBR/test/c10_f2.mp4</t>
        </is>
      </c>
      <c r="F3084" t="n">
        <v>-13.067</v>
      </c>
      <c r="G3084" t="n">
        <v>448.333</v>
      </c>
      <c r="H3084" t="n">
        <v>630.7329999999999</v>
      </c>
      <c r="I3084" t="n">
        <v>30</v>
      </c>
      <c r="J3084" t="inlineStr">
        <is>
          <t>BTBR</t>
        </is>
      </c>
      <c r="K3084" t="inlineStr">
        <is>
          <t xml:space="preserve"> Female</t>
        </is>
      </c>
      <c r="L3084" t="inlineStr">
        <is>
          <t>No focal subject</t>
        </is>
      </c>
      <c r="M3084" t="n">
        <v>23.698</v>
      </c>
      <c r="N3084" t="inlineStr">
        <is>
          <t>Explore_N</t>
        </is>
      </c>
      <c r="O3084" t="inlineStr">
        <is>
          <t>Novelty</t>
        </is>
      </c>
      <c r="P3084" t="inlineStr">
        <is>
          <t>STATE</t>
        </is>
      </c>
      <c r="Q3084" t="n">
        <v>130.9</v>
      </c>
      <c r="R3084" t="n">
        <v>131.5</v>
      </c>
      <c r="S3084" t="n">
        <v>0.6</v>
      </c>
      <c r="T3084" t="inlineStr">
        <is>
          <t>C:/Users/manuel.felline/Documents/BEHAVIOR BTBR/NOR second cohort/BTBR/test/c10_f2.mp4</t>
        </is>
      </c>
      <c r="U3084" t="n">
        <v>4318</v>
      </c>
      <c r="V3084" t="n">
        <v>4336</v>
      </c>
      <c r="W3084" t="n">
        <v/>
      </c>
      <c r="X3084" t="n">
        <v/>
      </c>
      <c r="Y3084" t="n">
        <v/>
      </c>
      <c r="Z3084" t="n">
        <v/>
      </c>
      <c r="AA3084">
        <f>SUMIFS($S$2:S3084,$A$2:A3084,A3084,$N$2:N3084,"Explore*")</f>
        <v/>
      </c>
      <c r="AB3084">
        <f>IF(AND(LEFT(N3084,7)="Explore",(AA3084-IF(LEFT(N3084,7)="Explore",S3084,0))&lt;10),"SI","NO")</f>
        <v/>
      </c>
    </row>
    <row r="3085">
      <c r="A3085" t="inlineStr">
        <is>
          <t>c10f2_test</t>
        </is>
      </c>
      <c r="B3085" t="inlineStr">
        <is>
          <t>2026-06-23 16:16:46.732</t>
        </is>
      </c>
      <c r="C3085" t="n">
        <v/>
      </c>
      <c r="D3085" t="inlineStr">
        <is>
          <t>Media file</t>
        </is>
      </c>
      <c r="E3085" t="inlineStr">
        <is>
          <t>player #1:C:/Users/manuel.felline/Documents/BEHAVIOR BTBR/NOR second cohort/BTBR/test/c10_f2.mp4</t>
        </is>
      </c>
      <c r="F3085" t="n">
        <v>-13.067</v>
      </c>
      <c r="G3085" t="n">
        <v>448.333</v>
      </c>
      <c r="H3085" t="n">
        <v>630.7329999999999</v>
      </c>
      <c r="I3085" t="n">
        <v>30</v>
      </c>
      <c r="J3085" t="inlineStr">
        <is>
          <t>BTBR</t>
        </is>
      </c>
      <c r="K3085" t="inlineStr">
        <is>
          <t xml:space="preserve"> Female</t>
        </is>
      </c>
      <c r="L3085" t="inlineStr">
        <is>
          <t>No focal subject</t>
        </is>
      </c>
      <c r="M3085" t="n">
        <v>23.698</v>
      </c>
      <c r="N3085" t="inlineStr">
        <is>
          <t>Explore_F</t>
        </is>
      </c>
      <c r="O3085" t="inlineStr">
        <is>
          <t>Familiar</t>
        </is>
      </c>
      <c r="P3085" t="inlineStr">
        <is>
          <t>STATE</t>
        </is>
      </c>
      <c r="Q3085" t="n">
        <v>133</v>
      </c>
      <c r="R3085" t="n">
        <v>133.8</v>
      </c>
      <c r="S3085" t="n">
        <v>0.8</v>
      </c>
      <c r="T3085" t="inlineStr">
        <is>
          <t>C:/Users/manuel.felline/Documents/BEHAVIOR BTBR/NOR second cohort/BTBR/test/c10_f2.mp4</t>
        </is>
      </c>
      <c r="U3085" t="n">
        <v>4381</v>
      </c>
      <c r="V3085" t="n">
        <v>4405</v>
      </c>
      <c r="W3085" t="n">
        <v/>
      </c>
      <c r="X3085" t="n">
        <v/>
      </c>
      <c r="Y3085" t="n">
        <v/>
      </c>
      <c r="Z3085" t="n">
        <v/>
      </c>
      <c r="AA3085">
        <f>SUMIFS($S$2:S3085,$A$2:A3085,A3085,$N$2:N3085,"Explore*")</f>
        <v/>
      </c>
      <c r="AB3085">
        <f>IF(AND(LEFT(N3085,7)="Explore",(AA3085-IF(LEFT(N3085,7)="Explore",S3085,0))&lt;10),"SI","NO")</f>
        <v/>
      </c>
    </row>
    <row r="3086">
      <c r="A3086" t="inlineStr">
        <is>
          <t>c10f2_test</t>
        </is>
      </c>
      <c r="B3086" t="inlineStr">
        <is>
          <t>2026-06-23 16:16:46.732</t>
        </is>
      </c>
      <c r="C3086" t="n">
        <v/>
      </c>
      <c r="D3086" t="inlineStr">
        <is>
          <t>Media file</t>
        </is>
      </c>
      <c r="E3086" t="inlineStr">
        <is>
          <t>player #1:C:/Users/manuel.felline/Documents/BEHAVIOR BTBR/NOR second cohort/BTBR/test/c10_f2.mp4</t>
        </is>
      </c>
      <c r="F3086" t="n">
        <v>-13.067</v>
      </c>
      <c r="G3086" t="n">
        <v>448.333</v>
      </c>
      <c r="H3086" t="n">
        <v>630.7329999999999</v>
      </c>
      <c r="I3086" t="n">
        <v>30</v>
      </c>
      <c r="J3086" t="inlineStr">
        <is>
          <t>BTBR</t>
        </is>
      </c>
      <c r="K3086" t="inlineStr">
        <is>
          <t xml:space="preserve"> Female</t>
        </is>
      </c>
      <c r="L3086" t="inlineStr">
        <is>
          <t>No focal subject</t>
        </is>
      </c>
      <c r="M3086" t="n">
        <v>23.698</v>
      </c>
      <c r="N3086" t="inlineStr">
        <is>
          <t>Explore_N</t>
        </is>
      </c>
      <c r="O3086" t="inlineStr">
        <is>
          <t>Novelty</t>
        </is>
      </c>
      <c r="P3086" t="inlineStr">
        <is>
          <t>STATE</t>
        </is>
      </c>
      <c r="Q3086" t="n">
        <v>134.333</v>
      </c>
      <c r="R3086" t="n">
        <v>135.233</v>
      </c>
      <c r="S3086" t="n">
        <v>0.9</v>
      </c>
      <c r="T3086" t="inlineStr">
        <is>
          <t>C:/Users/manuel.felline/Documents/BEHAVIOR BTBR/NOR second cohort/BTBR/test/c10_f2.mp4</t>
        </is>
      </c>
      <c r="U3086" t="n">
        <v>4421</v>
      </c>
      <c r="V3086" t="n">
        <v>4448</v>
      </c>
      <c r="W3086" t="n">
        <v/>
      </c>
      <c r="X3086" t="n">
        <v/>
      </c>
      <c r="Y3086" t="n">
        <v/>
      </c>
      <c r="Z3086" t="n">
        <v/>
      </c>
      <c r="AA3086">
        <f>SUMIFS($S$2:S3086,$A$2:A3086,A3086,$N$2:N3086,"Explore*")</f>
        <v/>
      </c>
      <c r="AB3086">
        <f>IF(AND(LEFT(N3086,7)="Explore",(AA3086-IF(LEFT(N3086,7)="Explore",S3086,0))&lt;10),"SI","NO")</f>
        <v/>
      </c>
    </row>
    <row r="3087">
      <c r="A3087" t="inlineStr">
        <is>
          <t>c10f2_test</t>
        </is>
      </c>
      <c r="B3087" t="inlineStr">
        <is>
          <t>2026-06-23 16:16:46.732</t>
        </is>
      </c>
      <c r="C3087" t="n">
        <v/>
      </c>
      <c r="D3087" t="inlineStr">
        <is>
          <t>Media file</t>
        </is>
      </c>
      <c r="E3087" t="inlineStr">
        <is>
          <t>player #1:C:/Users/manuel.felline/Documents/BEHAVIOR BTBR/NOR second cohort/BTBR/test/c10_f2.mp4</t>
        </is>
      </c>
      <c r="F3087" t="n">
        <v>-13.067</v>
      </c>
      <c r="G3087" t="n">
        <v>448.333</v>
      </c>
      <c r="H3087" t="n">
        <v>630.7329999999999</v>
      </c>
      <c r="I3087" t="n">
        <v>30</v>
      </c>
      <c r="J3087" t="inlineStr">
        <is>
          <t>BTBR</t>
        </is>
      </c>
      <c r="K3087" t="inlineStr">
        <is>
          <t xml:space="preserve"> Female</t>
        </is>
      </c>
      <c r="L3087" t="inlineStr">
        <is>
          <t>No focal subject</t>
        </is>
      </c>
      <c r="M3087" t="n">
        <v>23.698</v>
      </c>
      <c r="N3087" t="inlineStr">
        <is>
          <t>Explore_F</t>
        </is>
      </c>
      <c r="O3087" t="inlineStr">
        <is>
          <t>Familiar</t>
        </is>
      </c>
      <c r="P3087" t="inlineStr">
        <is>
          <t>STATE</t>
        </is>
      </c>
      <c r="Q3087" t="n">
        <v>151.433</v>
      </c>
      <c r="R3087" t="n">
        <v>151.699</v>
      </c>
      <c r="S3087" t="n">
        <v>0.266</v>
      </c>
      <c r="T3087" t="inlineStr">
        <is>
          <t>C:/Users/manuel.felline/Documents/BEHAVIOR BTBR/NOR second cohort/BTBR/test/c10_f2.mp4</t>
        </is>
      </c>
      <c r="U3087" t="n">
        <v>4934</v>
      </c>
      <c r="V3087" t="n">
        <v>4942</v>
      </c>
      <c r="W3087" t="n">
        <v/>
      </c>
      <c r="X3087" t="n">
        <v/>
      </c>
      <c r="Y3087" t="n">
        <v/>
      </c>
      <c r="Z3087" t="n">
        <v/>
      </c>
      <c r="AA3087">
        <f>SUMIFS($S$2:S3087,$A$2:A3087,A3087,$N$2:N3087,"Explore*")</f>
        <v/>
      </c>
      <c r="AB3087">
        <f>IF(AND(LEFT(N3087,7)="Explore",(AA3087-IF(LEFT(N3087,7)="Explore",S3087,0))&lt;10),"SI","NO")</f>
        <v/>
      </c>
    </row>
    <row r="3088">
      <c r="A3088" t="inlineStr">
        <is>
          <t>c10f2_test</t>
        </is>
      </c>
      <c r="B3088" t="inlineStr">
        <is>
          <t>2026-06-23 16:16:46.732</t>
        </is>
      </c>
      <c r="C3088" t="n">
        <v/>
      </c>
      <c r="D3088" t="inlineStr">
        <is>
          <t>Media file</t>
        </is>
      </c>
      <c r="E3088" t="inlineStr">
        <is>
          <t>player #1:C:/Users/manuel.felline/Documents/BEHAVIOR BTBR/NOR second cohort/BTBR/test/c10_f2.mp4</t>
        </is>
      </c>
      <c r="F3088" t="n">
        <v>-13.067</v>
      </c>
      <c r="G3088" t="n">
        <v>448.333</v>
      </c>
      <c r="H3088" t="n">
        <v>630.7329999999999</v>
      </c>
      <c r="I3088" t="n">
        <v>30</v>
      </c>
      <c r="J3088" t="inlineStr">
        <is>
          <t>BTBR</t>
        </is>
      </c>
      <c r="K3088" t="inlineStr">
        <is>
          <t xml:space="preserve"> Female</t>
        </is>
      </c>
      <c r="L3088" t="inlineStr">
        <is>
          <t>No focal subject</t>
        </is>
      </c>
      <c r="M3088" t="n">
        <v>23.698</v>
      </c>
      <c r="N3088" t="inlineStr">
        <is>
          <t>Explore_F</t>
        </is>
      </c>
      <c r="O3088" t="inlineStr">
        <is>
          <t>Familiar</t>
        </is>
      </c>
      <c r="P3088" t="inlineStr">
        <is>
          <t>STATE</t>
        </is>
      </c>
      <c r="Q3088" t="n">
        <v>155.233</v>
      </c>
      <c r="R3088" t="n">
        <v>155.566</v>
      </c>
      <c r="S3088" t="n">
        <v>0.333</v>
      </c>
      <c r="T3088" t="inlineStr">
        <is>
          <t>C:/Users/manuel.felline/Documents/BEHAVIOR BTBR/NOR second cohort/BTBR/test/c10_f2.mp4</t>
        </is>
      </c>
      <c r="U3088" t="n">
        <v>5048</v>
      </c>
      <c r="V3088" t="n">
        <v>5058</v>
      </c>
      <c r="W3088" t="n">
        <v/>
      </c>
      <c r="X3088" t="n">
        <v/>
      </c>
      <c r="Y3088" t="n">
        <v/>
      </c>
      <c r="Z3088" t="n">
        <v/>
      </c>
      <c r="AA3088">
        <f>SUMIFS($S$2:S3088,$A$2:A3088,A3088,$N$2:N3088,"Explore*")</f>
        <v/>
      </c>
      <c r="AB3088">
        <f>IF(AND(LEFT(N3088,7)="Explore",(AA3088-IF(LEFT(N3088,7)="Explore",S3088,0))&lt;10),"SI","NO")</f>
        <v/>
      </c>
    </row>
    <row r="3089">
      <c r="A3089" t="inlineStr">
        <is>
          <t>c10f2_test</t>
        </is>
      </c>
      <c r="B3089" t="inlineStr">
        <is>
          <t>2026-06-23 16:16:46.732</t>
        </is>
      </c>
      <c r="C3089" t="n">
        <v/>
      </c>
      <c r="D3089" t="inlineStr">
        <is>
          <t>Media file</t>
        </is>
      </c>
      <c r="E3089" t="inlineStr">
        <is>
          <t>player #1:C:/Users/manuel.felline/Documents/BEHAVIOR BTBR/NOR second cohort/BTBR/test/c10_f2.mp4</t>
        </is>
      </c>
      <c r="F3089" t="n">
        <v>-13.067</v>
      </c>
      <c r="G3089" t="n">
        <v>448.333</v>
      </c>
      <c r="H3089" t="n">
        <v>630.7329999999999</v>
      </c>
      <c r="I3089" t="n">
        <v>30</v>
      </c>
      <c r="J3089" t="inlineStr">
        <is>
          <t>BTBR</t>
        </is>
      </c>
      <c r="K3089" t="inlineStr">
        <is>
          <t xml:space="preserve"> Female</t>
        </is>
      </c>
      <c r="L3089" t="inlineStr">
        <is>
          <t>No focal subject</t>
        </is>
      </c>
      <c r="M3089" t="n">
        <v>23.698</v>
      </c>
      <c r="N3089" t="inlineStr">
        <is>
          <t>Explore_N</t>
        </is>
      </c>
      <c r="O3089" t="inlineStr">
        <is>
          <t>Novelty</t>
        </is>
      </c>
      <c r="P3089" t="inlineStr">
        <is>
          <t>STATE</t>
        </is>
      </c>
      <c r="Q3089" t="n">
        <v>158.066</v>
      </c>
      <c r="R3089" t="n">
        <v>160.266</v>
      </c>
      <c r="S3089" t="n">
        <v>2.2</v>
      </c>
      <c r="T3089" t="inlineStr">
        <is>
          <t>C:/Users/manuel.felline/Documents/BEHAVIOR BTBR/NOR second cohort/BTBR/test/c10_f2.mp4</t>
        </is>
      </c>
      <c r="U3089" t="n">
        <v>5133</v>
      </c>
      <c r="V3089" t="n">
        <v>5199</v>
      </c>
      <c r="W3089" t="n">
        <v/>
      </c>
      <c r="X3089" t="n">
        <v/>
      </c>
      <c r="Y3089" t="n">
        <v/>
      </c>
      <c r="Z3089" t="n">
        <v/>
      </c>
      <c r="AA3089">
        <f>SUMIFS($S$2:S3089,$A$2:A3089,A3089,$N$2:N3089,"Explore*")</f>
        <v/>
      </c>
      <c r="AB3089">
        <f>IF(AND(LEFT(N3089,7)="Explore",(AA3089-IF(LEFT(N3089,7)="Explore",S3089,0))&lt;10),"SI","NO")</f>
        <v/>
      </c>
    </row>
    <row r="3090">
      <c r="A3090" t="inlineStr">
        <is>
          <t>c10f2_test</t>
        </is>
      </c>
      <c r="B3090" t="inlineStr">
        <is>
          <t>2026-06-23 16:16:46.732</t>
        </is>
      </c>
      <c r="C3090" t="n">
        <v/>
      </c>
      <c r="D3090" t="inlineStr">
        <is>
          <t>Media file</t>
        </is>
      </c>
      <c r="E3090" t="inlineStr">
        <is>
          <t>player #1:C:/Users/manuel.felline/Documents/BEHAVIOR BTBR/NOR second cohort/BTBR/test/c10_f2.mp4</t>
        </is>
      </c>
      <c r="F3090" t="n">
        <v>-13.067</v>
      </c>
      <c r="G3090" t="n">
        <v>448.333</v>
      </c>
      <c r="H3090" t="n">
        <v>630.7329999999999</v>
      </c>
      <c r="I3090" t="n">
        <v>30</v>
      </c>
      <c r="J3090" t="inlineStr">
        <is>
          <t>BTBR</t>
        </is>
      </c>
      <c r="K3090" t="inlineStr">
        <is>
          <t xml:space="preserve"> Female</t>
        </is>
      </c>
      <c r="L3090" t="inlineStr">
        <is>
          <t>No focal subject</t>
        </is>
      </c>
      <c r="M3090" t="n">
        <v>23.698</v>
      </c>
      <c r="N3090" t="inlineStr">
        <is>
          <t>Explore_N</t>
        </is>
      </c>
      <c r="O3090" t="inlineStr">
        <is>
          <t>Novelty</t>
        </is>
      </c>
      <c r="P3090" t="inlineStr">
        <is>
          <t>STATE</t>
        </is>
      </c>
      <c r="Q3090" t="n">
        <v>169.999</v>
      </c>
      <c r="R3090" t="n">
        <v>171.566</v>
      </c>
      <c r="S3090" t="n">
        <v>1.567</v>
      </c>
      <c r="T3090" t="inlineStr">
        <is>
          <t>C:/Users/manuel.felline/Documents/BEHAVIOR BTBR/NOR second cohort/BTBR/test/c10_f2.mp4</t>
        </is>
      </c>
      <c r="U3090" t="n">
        <v>5491</v>
      </c>
      <c r="V3090" t="n">
        <v>5538</v>
      </c>
      <c r="W3090" t="n">
        <v/>
      </c>
      <c r="X3090" t="n">
        <v/>
      </c>
      <c r="Y3090" t="n">
        <v/>
      </c>
      <c r="Z3090" t="n">
        <v/>
      </c>
      <c r="AA3090">
        <f>SUMIFS($S$2:S3090,$A$2:A3090,A3090,$N$2:N3090,"Explore*")</f>
        <v/>
      </c>
      <c r="AB3090">
        <f>IF(AND(LEFT(N3090,7)="Explore",(AA3090-IF(LEFT(N3090,7)="Explore",S3090,0))&lt;10),"SI","NO")</f>
        <v/>
      </c>
    </row>
    <row r="3091">
      <c r="A3091" t="inlineStr">
        <is>
          <t>c10f2_test</t>
        </is>
      </c>
      <c r="B3091" t="inlineStr">
        <is>
          <t>2026-06-23 16:16:46.732</t>
        </is>
      </c>
      <c r="C3091" t="n">
        <v/>
      </c>
      <c r="D3091" t="inlineStr">
        <is>
          <t>Media file</t>
        </is>
      </c>
      <c r="E3091" t="inlineStr">
        <is>
          <t>player #1:C:/Users/manuel.felline/Documents/BEHAVIOR BTBR/NOR second cohort/BTBR/test/c10_f2.mp4</t>
        </is>
      </c>
      <c r="F3091" t="n">
        <v>-13.067</v>
      </c>
      <c r="G3091" t="n">
        <v>448.333</v>
      </c>
      <c r="H3091" t="n">
        <v>630.7329999999999</v>
      </c>
      <c r="I3091" t="n">
        <v>30</v>
      </c>
      <c r="J3091" t="inlineStr">
        <is>
          <t>BTBR</t>
        </is>
      </c>
      <c r="K3091" t="inlineStr">
        <is>
          <t xml:space="preserve"> Female</t>
        </is>
      </c>
      <c r="L3091" t="inlineStr">
        <is>
          <t>No focal subject</t>
        </is>
      </c>
      <c r="M3091" t="n">
        <v>23.698</v>
      </c>
      <c r="N3091" t="inlineStr">
        <is>
          <t>Explore_N</t>
        </is>
      </c>
      <c r="O3091" t="inlineStr">
        <is>
          <t>Novelty</t>
        </is>
      </c>
      <c r="P3091" t="inlineStr">
        <is>
          <t>STATE</t>
        </is>
      </c>
      <c r="Q3091" t="n">
        <v>178.366</v>
      </c>
      <c r="R3091" t="n">
        <v>178.999</v>
      </c>
      <c r="S3091" t="n">
        <v>0.633</v>
      </c>
      <c r="T3091" t="inlineStr">
        <is>
          <t>C:/Users/manuel.felline/Documents/BEHAVIOR BTBR/NOR second cohort/BTBR/test/c10_f2.mp4</t>
        </is>
      </c>
      <c r="U3091" t="n">
        <v>5742</v>
      </c>
      <c r="V3091" t="n">
        <v>5761</v>
      </c>
      <c r="W3091" t="n">
        <v/>
      </c>
      <c r="X3091" t="n">
        <v/>
      </c>
      <c r="Y3091" t="n">
        <v/>
      </c>
      <c r="Z3091" t="n">
        <v/>
      </c>
      <c r="AA3091">
        <f>SUMIFS($S$2:S3091,$A$2:A3091,A3091,$N$2:N3091,"Explore*")</f>
        <v/>
      </c>
      <c r="AB3091">
        <f>IF(AND(LEFT(N3091,7)="Explore",(AA3091-IF(LEFT(N3091,7)="Explore",S3091,0))&lt;10),"SI","NO")</f>
        <v/>
      </c>
    </row>
    <row r="3092">
      <c r="A3092" t="inlineStr">
        <is>
          <t>c10f2_test</t>
        </is>
      </c>
      <c r="B3092" t="inlineStr">
        <is>
          <t>2026-06-23 16:16:46.732</t>
        </is>
      </c>
      <c r="C3092" t="n">
        <v/>
      </c>
      <c r="D3092" t="inlineStr">
        <is>
          <t>Media file</t>
        </is>
      </c>
      <c r="E3092" t="inlineStr">
        <is>
          <t>player #1:C:/Users/manuel.felline/Documents/BEHAVIOR BTBR/NOR second cohort/BTBR/test/c10_f2.mp4</t>
        </is>
      </c>
      <c r="F3092" t="n">
        <v>-13.067</v>
      </c>
      <c r="G3092" t="n">
        <v>448.333</v>
      </c>
      <c r="H3092" t="n">
        <v>630.7329999999999</v>
      </c>
      <c r="I3092" t="n">
        <v>30</v>
      </c>
      <c r="J3092" t="inlineStr">
        <is>
          <t>BTBR</t>
        </is>
      </c>
      <c r="K3092" t="inlineStr">
        <is>
          <t xml:space="preserve"> Female</t>
        </is>
      </c>
      <c r="L3092" t="inlineStr">
        <is>
          <t>No focal subject</t>
        </is>
      </c>
      <c r="M3092" t="n">
        <v>23.698</v>
      </c>
      <c r="N3092" t="inlineStr">
        <is>
          <t>Explore_F</t>
        </is>
      </c>
      <c r="O3092" t="inlineStr">
        <is>
          <t>Familiar</t>
        </is>
      </c>
      <c r="P3092" t="inlineStr">
        <is>
          <t>STATE</t>
        </is>
      </c>
      <c r="Q3092" t="n">
        <v>181.399</v>
      </c>
      <c r="R3092" t="n">
        <v>181.699</v>
      </c>
      <c r="S3092" t="n">
        <v>0.3</v>
      </c>
      <c r="T3092" t="inlineStr">
        <is>
          <t>C:/Users/manuel.felline/Documents/BEHAVIOR BTBR/NOR second cohort/BTBR/test/c10_f2.mp4</t>
        </is>
      </c>
      <c r="U3092" t="n">
        <v>5833</v>
      </c>
      <c r="V3092" t="n">
        <v>5842</v>
      </c>
      <c r="W3092" t="n">
        <v/>
      </c>
      <c r="X3092" t="n">
        <v/>
      </c>
      <c r="Y3092" t="n">
        <v/>
      </c>
      <c r="Z3092" t="n">
        <v/>
      </c>
      <c r="AA3092">
        <f>SUMIFS($S$2:S3092,$A$2:A3092,A3092,$N$2:N3092,"Explore*")</f>
        <v/>
      </c>
      <c r="AB3092">
        <f>IF(AND(LEFT(N3092,7)="Explore",(AA3092-IF(LEFT(N3092,7)="Explore",S3092,0))&lt;10),"SI","NO")</f>
        <v/>
      </c>
    </row>
    <row r="3093">
      <c r="A3093" t="inlineStr">
        <is>
          <t>c10f2_test</t>
        </is>
      </c>
      <c r="B3093" t="inlineStr">
        <is>
          <t>2026-06-23 16:16:46.732</t>
        </is>
      </c>
      <c r="C3093" t="n">
        <v/>
      </c>
      <c r="D3093" t="inlineStr">
        <is>
          <t>Media file</t>
        </is>
      </c>
      <c r="E3093" t="inlineStr">
        <is>
          <t>player #1:C:/Users/manuel.felline/Documents/BEHAVIOR BTBR/NOR second cohort/BTBR/test/c10_f2.mp4</t>
        </is>
      </c>
      <c r="F3093" t="n">
        <v>-13.067</v>
      </c>
      <c r="G3093" t="n">
        <v>448.333</v>
      </c>
      <c r="H3093" t="n">
        <v>630.7329999999999</v>
      </c>
      <c r="I3093" t="n">
        <v>30</v>
      </c>
      <c r="J3093" t="inlineStr">
        <is>
          <t>BTBR</t>
        </is>
      </c>
      <c r="K3093" t="inlineStr">
        <is>
          <t xml:space="preserve"> Female</t>
        </is>
      </c>
      <c r="L3093" t="inlineStr">
        <is>
          <t>No focal subject</t>
        </is>
      </c>
      <c r="M3093" t="n">
        <v>23.698</v>
      </c>
      <c r="N3093" t="inlineStr">
        <is>
          <t>Explore_N</t>
        </is>
      </c>
      <c r="O3093" t="inlineStr">
        <is>
          <t>Novelty</t>
        </is>
      </c>
      <c r="P3093" t="inlineStr">
        <is>
          <t>STATE</t>
        </is>
      </c>
      <c r="Q3093" t="n">
        <v>206.399</v>
      </c>
      <c r="R3093" t="n">
        <v>206.799</v>
      </c>
      <c r="S3093" t="n">
        <v>0.4</v>
      </c>
      <c r="T3093" t="inlineStr">
        <is>
          <t>C:/Users/manuel.felline/Documents/BEHAVIOR BTBR/NOR second cohort/BTBR/test/c10_f2.mp4</t>
        </is>
      </c>
      <c r="U3093" t="n">
        <v>6583</v>
      </c>
      <c r="V3093" t="n">
        <v>6595</v>
      </c>
      <c r="W3093" t="n">
        <v/>
      </c>
      <c r="X3093" t="n">
        <v/>
      </c>
      <c r="Y3093" t="n">
        <v/>
      </c>
      <c r="Z3093" t="n">
        <v/>
      </c>
      <c r="AA3093">
        <f>SUMIFS($S$2:S3093,$A$2:A3093,A3093,$N$2:N3093,"Explore*")</f>
        <v/>
      </c>
      <c r="AB3093">
        <f>IF(AND(LEFT(N3093,7)="Explore",(AA3093-IF(LEFT(N3093,7)="Explore",S3093,0))&lt;10),"SI","NO")</f>
        <v/>
      </c>
    </row>
    <row r="3094">
      <c r="A3094" t="inlineStr">
        <is>
          <t>c10f2_test</t>
        </is>
      </c>
      <c r="B3094" t="inlineStr">
        <is>
          <t>2026-06-23 16:16:46.732</t>
        </is>
      </c>
      <c r="C3094" t="n">
        <v/>
      </c>
      <c r="D3094" t="inlineStr">
        <is>
          <t>Media file</t>
        </is>
      </c>
      <c r="E3094" t="inlineStr">
        <is>
          <t>player #1:C:/Users/manuel.felline/Documents/BEHAVIOR BTBR/NOR second cohort/BTBR/test/c10_f2.mp4</t>
        </is>
      </c>
      <c r="F3094" t="n">
        <v>-13.067</v>
      </c>
      <c r="G3094" t="n">
        <v>448.333</v>
      </c>
      <c r="H3094" t="n">
        <v>630.7329999999999</v>
      </c>
      <c r="I3094" t="n">
        <v>30</v>
      </c>
      <c r="J3094" t="inlineStr">
        <is>
          <t>BTBR</t>
        </is>
      </c>
      <c r="K3094" t="inlineStr">
        <is>
          <t xml:space="preserve"> Female</t>
        </is>
      </c>
      <c r="L3094" t="inlineStr">
        <is>
          <t>No focal subject</t>
        </is>
      </c>
      <c r="M3094" t="n">
        <v>23.698</v>
      </c>
      <c r="N3094" t="inlineStr">
        <is>
          <t>Explore_F</t>
        </is>
      </c>
      <c r="O3094" t="inlineStr">
        <is>
          <t>Familiar</t>
        </is>
      </c>
      <c r="P3094" t="inlineStr">
        <is>
          <t>STATE</t>
        </is>
      </c>
      <c r="Q3094" t="n">
        <v>211.799</v>
      </c>
      <c r="R3094" t="n">
        <v>212.099</v>
      </c>
      <c r="S3094" t="n">
        <v>0.3</v>
      </c>
      <c r="T3094" t="inlineStr">
        <is>
          <t>C:/Users/manuel.felline/Documents/BEHAVIOR BTBR/NOR second cohort/BTBR/test/c10_f2.mp4</t>
        </is>
      </c>
      <c r="U3094" t="n">
        <v>6745</v>
      </c>
      <c r="V3094" t="n">
        <v>6754</v>
      </c>
      <c r="W3094" t="n">
        <v/>
      </c>
      <c r="X3094" t="n">
        <v/>
      </c>
      <c r="Y3094" t="n">
        <v/>
      </c>
      <c r="Z3094" t="n">
        <v/>
      </c>
      <c r="AA3094">
        <f>SUMIFS($S$2:S3094,$A$2:A3094,A3094,$N$2:N3094,"Explore*")</f>
        <v/>
      </c>
      <c r="AB3094">
        <f>IF(AND(LEFT(N3094,7)="Explore",(AA3094-IF(LEFT(N3094,7)="Explore",S3094,0))&lt;10),"SI","NO")</f>
        <v/>
      </c>
    </row>
    <row r="3095">
      <c r="A3095" t="inlineStr">
        <is>
          <t>c10f2_test</t>
        </is>
      </c>
      <c r="B3095" t="inlineStr">
        <is>
          <t>2026-06-23 16:16:46.732</t>
        </is>
      </c>
      <c r="C3095" t="n">
        <v/>
      </c>
      <c r="D3095" t="inlineStr">
        <is>
          <t>Media file</t>
        </is>
      </c>
      <c r="E3095" t="inlineStr">
        <is>
          <t>player #1:C:/Users/manuel.felline/Documents/BEHAVIOR BTBR/NOR second cohort/BTBR/test/c10_f2.mp4</t>
        </is>
      </c>
      <c r="F3095" t="n">
        <v>-13.067</v>
      </c>
      <c r="G3095" t="n">
        <v>448.333</v>
      </c>
      <c r="H3095" t="n">
        <v>630.7329999999999</v>
      </c>
      <c r="I3095" t="n">
        <v>30</v>
      </c>
      <c r="J3095" t="inlineStr">
        <is>
          <t>BTBR</t>
        </is>
      </c>
      <c r="K3095" t="inlineStr">
        <is>
          <t xml:space="preserve"> Female</t>
        </is>
      </c>
      <c r="L3095" t="inlineStr">
        <is>
          <t>No focal subject</t>
        </is>
      </c>
      <c r="M3095" t="n">
        <v>23.698</v>
      </c>
      <c r="N3095" t="inlineStr">
        <is>
          <t>Explore_N</t>
        </is>
      </c>
      <c r="O3095" t="inlineStr">
        <is>
          <t>Novelty</t>
        </is>
      </c>
      <c r="P3095" t="inlineStr">
        <is>
          <t>STATE</t>
        </is>
      </c>
      <c r="Q3095" t="n">
        <v>219.133</v>
      </c>
      <c r="R3095" t="n">
        <v>219.733</v>
      </c>
      <c r="S3095" t="n">
        <v>0.6</v>
      </c>
      <c r="T3095" t="inlineStr">
        <is>
          <t>C:/Users/manuel.felline/Documents/BEHAVIOR BTBR/NOR second cohort/BTBR/test/c10_f2.mp4</t>
        </is>
      </c>
      <c r="U3095" t="n">
        <v>6965</v>
      </c>
      <c r="V3095" t="n">
        <v>6983</v>
      </c>
      <c r="W3095" t="n">
        <v/>
      </c>
      <c r="X3095" t="n">
        <v/>
      </c>
      <c r="Y3095" t="n">
        <v/>
      </c>
      <c r="Z3095" t="n">
        <v/>
      </c>
      <c r="AA3095">
        <f>SUMIFS($S$2:S3095,$A$2:A3095,A3095,$N$2:N3095,"Explore*")</f>
        <v/>
      </c>
      <c r="AB3095">
        <f>IF(AND(LEFT(N3095,7)="Explore",(AA3095-IF(LEFT(N3095,7)="Explore",S3095,0))&lt;10),"SI","NO")</f>
        <v/>
      </c>
    </row>
    <row r="3096">
      <c r="A3096" t="inlineStr">
        <is>
          <t>c10f2_test</t>
        </is>
      </c>
      <c r="B3096" t="inlineStr">
        <is>
          <t>2026-06-23 16:16:46.732</t>
        </is>
      </c>
      <c r="C3096" t="n">
        <v/>
      </c>
      <c r="D3096" t="inlineStr">
        <is>
          <t>Media file</t>
        </is>
      </c>
      <c r="E3096" t="inlineStr">
        <is>
          <t>player #1:C:/Users/manuel.felline/Documents/BEHAVIOR BTBR/NOR second cohort/BTBR/test/c10_f2.mp4</t>
        </is>
      </c>
      <c r="F3096" t="n">
        <v>-13.067</v>
      </c>
      <c r="G3096" t="n">
        <v>448.333</v>
      </c>
      <c r="H3096" t="n">
        <v>630.7329999999999</v>
      </c>
      <c r="I3096" t="n">
        <v>30</v>
      </c>
      <c r="J3096" t="inlineStr">
        <is>
          <t>BTBR</t>
        </is>
      </c>
      <c r="K3096" t="inlineStr">
        <is>
          <t xml:space="preserve"> Female</t>
        </is>
      </c>
      <c r="L3096" t="inlineStr">
        <is>
          <t>No focal subject</t>
        </is>
      </c>
      <c r="M3096" t="n">
        <v>23.698</v>
      </c>
      <c r="N3096" t="inlineStr">
        <is>
          <t>Explore_F</t>
        </is>
      </c>
      <c r="O3096" t="inlineStr">
        <is>
          <t>Familiar</t>
        </is>
      </c>
      <c r="P3096" t="inlineStr">
        <is>
          <t>STATE</t>
        </is>
      </c>
      <c r="Q3096" t="n">
        <v>220.266</v>
      </c>
      <c r="R3096" t="n">
        <v>221.166</v>
      </c>
      <c r="S3096" t="n">
        <v>0.9</v>
      </c>
      <c r="T3096" t="inlineStr">
        <is>
          <t>C:/Users/manuel.felline/Documents/BEHAVIOR BTBR/NOR second cohort/BTBR/test/c10_f2.mp4</t>
        </is>
      </c>
      <c r="U3096" t="n">
        <v>6999</v>
      </c>
      <c r="V3096" t="n">
        <v>7026</v>
      </c>
      <c r="W3096" t="n">
        <v/>
      </c>
      <c r="X3096" t="n">
        <v/>
      </c>
      <c r="Y3096" t="n">
        <v/>
      </c>
      <c r="Z3096" t="n">
        <v/>
      </c>
      <c r="AA3096">
        <f>SUMIFS($S$2:S3096,$A$2:A3096,A3096,$N$2:N3096,"Explore*")</f>
        <v/>
      </c>
      <c r="AB3096">
        <f>IF(AND(LEFT(N3096,7)="Explore",(AA3096-IF(LEFT(N3096,7)="Explore",S3096,0))&lt;10),"SI","NO")</f>
        <v/>
      </c>
    </row>
    <row r="3097">
      <c r="A3097" t="inlineStr">
        <is>
          <t>c10f2_test</t>
        </is>
      </c>
      <c r="B3097" t="inlineStr">
        <is>
          <t>2026-06-23 16:16:46.732</t>
        </is>
      </c>
      <c r="C3097" t="n">
        <v/>
      </c>
      <c r="D3097" t="inlineStr">
        <is>
          <t>Media file</t>
        </is>
      </c>
      <c r="E3097" t="inlineStr">
        <is>
          <t>player #1:C:/Users/manuel.felline/Documents/BEHAVIOR BTBR/NOR second cohort/BTBR/test/c10_f2.mp4</t>
        </is>
      </c>
      <c r="F3097" t="n">
        <v>-13.067</v>
      </c>
      <c r="G3097" t="n">
        <v>448.333</v>
      </c>
      <c r="H3097" t="n">
        <v>630.7329999999999</v>
      </c>
      <c r="I3097" t="n">
        <v>30</v>
      </c>
      <c r="J3097" t="inlineStr">
        <is>
          <t>BTBR</t>
        </is>
      </c>
      <c r="K3097" t="inlineStr">
        <is>
          <t xml:space="preserve"> Female</t>
        </is>
      </c>
      <c r="L3097" t="inlineStr">
        <is>
          <t>No focal subject</t>
        </is>
      </c>
      <c r="M3097" t="n">
        <v>23.698</v>
      </c>
      <c r="N3097" t="inlineStr">
        <is>
          <t>Explore_F</t>
        </is>
      </c>
      <c r="O3097" t="inlineStr">
        <is>
          <t>Familiar</t>
        </is>
      </c>
      <c r="P3097" t="inlineStr">
        <is>
          <t>STATE</t>
        </is>
      </c>
      <c r="Q3097" t="n">
        <v>240.033</v>
      </c>
      <c r="R3097" t="n">
        <v>240.366</v>
      </c>
      <c r="S3097" t="n">
        <v>0.333</v>
      </c>
      <c r="T3097" t="inlineStr">
        <is>
          <t>C:/Users/manuel.felline/Documents/BEHAVIOR BTBR/NOR second cohort/BTBR/test/c10_f2.mp4</t>
        </is>
      </c>
      <c r="U3097" t="n">
        <v>7593</v>
      </c>
      <c r="V3097" t="n">
        <v>7602</v>
      </c>
      <c r="W3097" t="n">
        <v/>
      </c>
      <c r="X3097" t="n">
        <v/>
      </c>
      <c r="Y3097" t="n">
        <v/>
      </c>
      <c r="Z3097" t="n">
        <v/>
      </c>
      <c r="AA3097">
        <f>SUMIFS($S$2:S3097,$A$2:A3097,A3097,$N$2:N3097,"Explore*")</f>
        <v/>
      </c>
      <c r="AB3097">
        <f>IF(AND(LEFT(N3097,7)="Explore",(AA3097-IF(LEFT(N3097,7)="Explore",S3097,0))&lt;10),"SI","NO")</f>
        <v/>
      </c>
    </row>
    <row r="3098">
      <c r="A3098" t="inlineStr">
        <is>
          <t>c10f2_test</t>
        </is>
      </c>
      <c r="B3098" t="inlineStr">
        <is>
          <t>2026-06-23 16:16:46.732</t>
        </is>
      </c>
      <c r="C3098" t="n">
        <v/>
      </c>
      <c r="D3098" t="inlineStr">
        <is>
          <t>Media file</t>
        </is>
      </c>
      <c r="E3098" t="inlineStr">
        <is>
          <t>player #1:C:/Users/manuel.felline/Documents/BEHAVIOR BTBR/NOR second cohort/BTBR/test/c10_f2.mp4</t>
        </is>
      </c>
      <c r="F3098" t="n">
        <v>-13.067</v>
      </c>
      <c r="G3098" t="n">
        <v>448.333</v>
      </c>
      <c r="H3098" t="n">
        <v>630.7329999999999</v>
      </c>
      <c r="I3098" t="n">
        <v>30</v>
      </c>
      <c r="J3098" t="inlineStr">
        <is>
          <t>BTBR</t>
        </is>
      </c>
      <c r="K3098" t="inlineStr">
        <is>
          <t xml:space="preserve"> Female</t>
        </is>
      </c>
      <c r="L3098" t="inlineStr">
        <is>
          <t>No focal subject</t>
        </is>
      </c>
      <c r="M3098" t="n">
        <v>23.698</v>
      </c>
      <c r="N3098" t="inlineStr">
        <is>
          <t>Explore_N</t>
        </is>
      </c>
      <c r="O3098" t="inlineStr">
        <is>
          <t>Novelty</t>
        </is>
      </c>
      <c r="P3098" t="inlineStr">
        <is>
          <t>STATE</t>
        </is>
      </c>
      <c r="Q3098" t="n">
        <v>281.833</v>
      </c>
      <c r="R3098" t="n">
        <v>283.033</v>
      </c>
      <c r="S3098" t="n">
        <v>1.2</v>
      </c>
      <c r="T3098" t="inlineStr">
        <is>
          <t>C:/Users/manuel.felline/Documents/BEHAVIOR BTBR/NOR second cohort/BTBR/test/c10_f2.mp4</t>
        </is>
      </c>
      <c r="U3098" t="n">
        <v>8846</v>
      </c>
      <c r="V3098" t="n">
        <v>8882</v>
      </c>
      <c r="W3098" t="n">
        <v/>
      </c>
      <c r="X3098" t="n">
        <v/>
      </c>
      <c r="Y3098" t="n">
        <v/>
      </c>
      <c r="Z3098" t="n">
        <v/>
      </c>
      <c r="AA3098">
        <f>SUMIFS($S$2:S3098,$A$2:A3098,A3098,$N$2:N3098,"Explore*")</f>
        <v/>
      </c>
      <c r="AB3098">
        <f>IF(AND(LEFT(N3098,7)="Explore",(AA3098-IF(LEFT(N3098,7)="Explore",S3098,0))&lt;10),"SI","NO")</f>
        <v/>
      </c>
    </row>
    <row r="3099">
      <c r="A3099" t="inlineStr">
        <is>
          <t>c10f2_test</t>
        </is>
      </c>
      <c r="B3099" t="inlineStr">
        <is>
          <t>2026-06-23 16:16:46.732</t>
        </is>
      </c>
      <c r="C3099" t="n">
        <v/>
      </c>
      <c r="D3099" t="inlineStr">
        <is>
          <t>Media file</t>
        </is>
      </c>
      <c r="E3099" t="inlineStr">
        <is>
          <t>player #1:C:/Users/manuel.felline/Documents/BEHAVIOR BTBR/NOR second cohort/BTBR/test/c10_f2.mp4</t>
        </is>
      </c>
      <c r="F3099" t="n">
        <v>-13.067</v>
      </c>
      <c r="G3099" t="n">
        <v>448.333</v>
      </c>
      <c r="H3099" t="n">
        <v>630.7329999999999</v>
      </c>
      <c r="I3099" t="n">
        <v>30</v>
      </c>
      <c r="J3099" t="inlineStr">
        <is>
          <t>BTBR</t>
        </is>
      </c>
      <c r="K3099" t="inlineStr">
        <is>
          <t xml:space="preserve"> Female</t>
        </is>
      </c>
      <c r="L3099" t="inlineStr">
        <is>
          <t>No focal subject</t>
        </is>
      </c>
      <c r="M3099" t="n">
        <v>23.698</v>
      </c>
      <c r="N3099" t="inlineStr">
        <is>
          <t>Explore_N</t>
        </is>
      </c>
      <c r="O3099" t="inlineStr">
        <is>
          <t>Novelty</t>
        </is>
      </c>
      <c r="P3099" t="inlineStr">
        <is>
          <t>STATE</t>
        </is>
      </c>
      <c r="Q3099" t="n">
        <v>287.599</v>
      </c>
      <c r="R3099" t="n">
        <v>287.999</v>
      </c>
      <c r="S3099" t="n">
        <v>0.4</v>
      </c>
      <c r="T3099" t="inlineStr">
        <is>
          <t>C:/Users/manuel.felline/Documents/BEHAVIOR BTBR/NOR second cohort/BTBR/test/c10_f2.mp4</t>
        </is>
      </c>
      <c r="U3099" t="n">
        <v>9019</v>
      </c>
      <c r="V3099" t="n">
        <v>9031</v>
      </c>
      <c r="W3099" t="n">
        <v/>
      </c>
      <c r="X3099" t="n">
        <v/>
      </c>
      <c r="Y3099" t="n">
        <v/>
      </c>
      <c r="Z3099" t="n">
        <v/>
      </c>
      <c r="AA3099">
        <f>SUMIFS($S$2:S3099,$A$2:A3099,A3099,$N$2:N3099,"Explore*")</f>
        <v/>
      </c>
      <c r="AB3099">
        <f>IF(AND(LEFT(N3099,7)="Explore",(AA3099-IF(LEFT(N3099,7)="Explore",S3099,0))&lt;10),"SI","NO")</f>
        <v/>
      </c>
    </row>
    <row r="3100">
      <c r="A3100" t="inlineStr">
        <is>
          <t>c10f2_test</t>
        </is>
      </c>
      <c r="B3100" t="inlineStr">
        <is>
          <t>2026-06-23 16:16:46.732</t>
        </is>
      </c>
      <c r="C3100" t="n">
        <v/>
      </c>
      <c r="D3100" t="inlineStr">
        <is>
          <t>Media file</t>
        </is>
      </c>
      <c r="E3100" t="inlineStr">
        <is>
          <t>player #1:C:/Users/manuel.felline/Documents/BEHAVIOR BTBR/NOR second cohort/BTBR/test/c10_f2.mp4</t>
        </is>
      </c>
      <c r="F3100" t="n">
        <v>-13.067</v>
      </c>
      <c r="G3100" t="n">
        <v>448.333</v>
      </c>
      <c r="H3100" t="n">
        <v>630.7329999999999</v>
      </c>
      <c r="I3100" t="n">
        <v>30</v>
      </c>
      <c r="J3100" t="inlineStr">
        <is>
          <t>BTBR</t>
        </is>
      </c>
      <c r="K3100" t="inlineStr">
        <is>
          <t xml:space="preserve"> Female</t>
        </is>
      </c>
      <c r="L3100" t="inlineStr">
        <is>
          <t>No focal subject</t>
        </is>
      </c>
      <c r="M3100" t="n">
        <v>23.698</v>
      </c>
      <c r="N3100" t="inlineStr">
        <is>
          <t>Explore_F</t>
        </is>
      </c>
      <c r="O3100" t="inlineStr">
        <is>
          <t>Familiar</t>
        </is>
      </c>
      <c r="P3100" t="inlineStr">
        <is>
          <t>STATE</t>
        </is>
      </c>
      <c r="Q3100" t="n">
        <v>295.699</v>
      </c>
      <c r="R3100" t="n">
        <v>295.966</v>
      </c>
      <c r="S3100" t="n">
        <v>0.267</v>
      </c>
      <c r="T3100" t="inlineStr">
        <is>
          <t>C:/Users/manuel.felline/Documents/BEHAVIOR BTBR/NOR second cohort/BTBR/test/c10_f2.mp4</t>
        </is>
      </c>
      <c r="U3100" t="n">
        <v>9262</v>
      </c>
      <c r="V3100" t="n">
        <v>9270</v>
      </c>
      <c r="W3100" t="n">
        <v/>
      </c>
      <c r="X3100" t="n">
        <v/>
      </c>
      <c r="Y3100" t="n">
        <v/>
      </c>
      <c r="Z3100" t="n">
        <v/>
      </c>
      <c r="AA3100">
        <f>SUMIFS($S$2:S3100,$A$2:A3100,A3100,$N$2:N3100,"Explore*")</f>
        <v/>
      </c>
      <c r="AB3100">
        <f>IF(AND(LEFT(N3100,7)="Explore",(AA3100-IF(LEFT(N3100,7)="Explore",S3100,0))&lt;10),"SI","NO")</f>
        <v/>
      </c>
    </row>
    <row r="3101">
      <c r="A3101" t="inlineStr">
        <is>
          <t>c10f2_test</t>
        </is>
      </c>
      <c r="B3101" t="inlineStr">
        <is>
          <t>2026-06-23 16:16:46.732</t>
        </is>
      </c>
      <c r="C3101" t="n">
        <v/>
      </c>
      <c r="D3101" t="inlineStr">
        <is>
          <t>Media file</t>
        </is>
      </c>
      <c r="E3101" t="inlineStr">
        <is>
          <t>player #1:C:/Users/manuel.felline/Documents/BEHAVIOR BTBR/NOR second cohort/BTBR/test/c10_f2.mp4</t>
        </is>
      </c>
      <c r="F3101" t="n">
        <v>-13.067</v>
      </c>
      <c r="G3101" t="n">
        <v>448.333</v>
      </c>
      <c r="H3101" t="n">
        <v>630.7329999999999</v>
      </c>
      <c r="I3101" t="n">
        <v>30</v>
      </c>
      <c r="J3101" t="inlineStr">
        <is>
          <t>BTBR</t>
        </is>
      </c>
      <c r="K3101" t="inlineStr">
        <is>
          <t xml:space="preserve"> Female</t>
        </is>
      </c>
      <c r="L3101" t="inlineStr">
        <is>
          <t>No focal subject</t>
        </is>
      </c>
      <c r="M3101" t="n">
        <v>23.698</v>
      </c>
      <c r="N3101" t="inlineStr">
        <is>
          <t>Explore_N</t>
        </is>
      </c>
      <c r="O3101" t="inlineStr">
        <is>
          <t>Novelty</t>
        </is>
      </c>
      <c r="P3101" t="inlineStr">
        <is>
          <t>STATE</t>
        </is>
      </c>
      <c r="Q3101" t="n">
        <v>303.799</v>
      </c>
      <c r="R3101" t="n">
        <v>304.299</v>
      </c>
      <c r="S3101" t="n">
        <v>0.5</v>
      </c>
      <c r="T3101" t="inlineStr">
        <is>
          <t>C:/Users/manuel.felline/Documents/BEHAVIOR BTBR/NOR second cohort/BTBR/test/c10_f2.mp4</t>
        </is>
      </c>
      <c r="U3101" t="n">
        <v>9505</v>
      </c>
      <c r="V3101" t="n">
        <v>9520</v>
      </c>
      <c r="W3101" t="n">
        <v/>
      </c>
      <c r="X3101" t="n">
        <v/>
      </c>
      <c r="Y3101" t="n">
        <v/>
      </c>
      <c r="Z3101" t="n">
        <v/>
      </c>
      <c r="AA3101">
        <f>SUMIFS($S$2:S3101,$A$2:A3101,A3101,$N$2:N3101,"Explore*")</f>
        <v/>
      </c>
      <c r="AB3101">
        <f>IF(AND(LEFT(N3101,7)="Explore",(AA3101-IF(LEFT(N3101,7)="Explore",S3101,0))&lt;10),"SI","NO")</f>
        <v/>
      </c>
    </row>
    <row r="3102">
      <c r="A3102" t="inlineStr">
        <is>
          <t>c10f2_test</t>
        </is>
      </c>
      <c r="B3102" t="inlineStr">
        <is>
          <t>2026-06-23 16:16:46.732</t>
        </is>
      </c>
      <c r="C3102" t="n">
        <v/>
      </c>
      <c r="D3102" t="inlineStr">
        <is>
          <t>Media file</t>
        </is>
      </c>
      <c r="E3102" t="inlineStr">
        <is>
          <t>player #1:C:/Users/manuel.felline/Documents/BEHAVIOR BTBR/NOR second cohort/BTBR/test/c10_f2.mp4</t>
        </is>
      </c>
      <c r="F3102" t="n">
        <v>-13.067</v>
      </c>
      <c r="G3102" t="n">
        <v>448.333</v>
      </c>
      <c r="H3102" t="n">
        <v>630.7329999999999</v>
      </c>
      <c r="I3102" t="n">
        <v>30</v>
      </c>
      <c r="J3102" t="inlineStr">
        <is>
          <t>BTBR</t>
        </is>
      </c>
      <c r="K3102" t="inlineStr">
        <is>
          <t xml:space="preserve"> Female</t>
        </is>
      </c>
      <c r="L3102" t="inlineStr">
        <is>
          <t>No focal subject</t>
        </is>
      </c>
      <c r="M3102" t="n">
        <v>23.698</v>
      </c>
      <c r="N3102" t="inlineStr">
        <is>
          <t>Explore_N</t>
        </is>
      </c>
      <c r="O3102" t="inlineStr">
        <is>
          <t>Novelty</t>
        </is>
      </c>
      <c r="P3102" t="inlineStr">
        <is>
          <t>STATE</t>
        </is>
      </c>
      <c r="Q3102" t="n">
        <v>348.499</v>
      </c>
      <c r="R3102" t="n">
        <v>348.799</v>
      </c>
      <c r="S3102" t="n">
        <v>0.3</v>
      </c>
      <c r="T3102" t="inlineStr">
        <is>
          <t>C:/Users/manuel.felline/Documents/BEHAVIOR BTBR/NOR second cohort/BTBR/test/c10_f2.mp4</t>
        </is>
      </c>
      <c r="U3102" t="n">
        <v>10845</v>
      </c>
      <c r="V3102" t="n">
        <v>10854</v>
      </c>
      <c r="W3102" t="n">
        <v/>
      </c>
      <c r="X3102" t="n">
        <v/>
      </c>
      <c r="Y3102" t="n">
        <v/>
      </c>
      <c r="Z3102" t="n">
        <v/>
      </c>
      <c r="AA3102">
        <f>SUMIFS($S$2:S3102,$A$2:A3102,A3102,$N$2:N3102,"Explore*")</f>
        <v/>
      </c>
      <c r="AB3102">
        <f>IF(AND(LEFT(N3102,7)="Explore",(AA3102-IF(LEFT(N3102,7)="Explore",S3102,0))&lt;10),"SI","NO")</f>
        <v/>
      </c>
    </row>
    <row r="3103">
      <c r="A3103" t="inlineStr">
        <is>
          <t>c10f2_test</t>
        </is>
      </c>
      <c r="B3103" t="inlineStr">
        <is>
          <t>2026-06-23 16:16:46.732</t>
        </is>
      </c>
      <c r="C3103" t="n">
        <v/>
      </c>
      <c r="D3103" t="inlineStr">
        <is>
          <t>Media file</t>
        </is>
      </c>
      <c r="E3103" t="inlineStr">
        <is>
          <t>player #1:C:/Users/manuel.felline/Documents/BEHAVIOR BTBR/NOR second cohort/BTBR/test/c10_f2.mp4</t>
        </is>
      </c>
      <c r="F3103" t="n">
        <v>-13.067</v>
      </c>
      <c r="G3103" t="n">
        <v>448.333</v>
      </c>
      <c r="H3103" t="n">
        <v>630.7329999999999</v>
      </c>
      <c r="I3103" t="n">
        <v>30</v>
      </c>
      <c r="J3103" t="inlineStr">
        <is>
          <t>BTBR</t>
        </is>
      </c>
      <c r="K3103" t="inlineStr">
        <is>
          <t xml:space="preserve"> Female</t>
        </is>
      </c>
      <c r="L3103" t="inlineStr">
        <is>
          <t>No focal subject</t>
        </is>
      </c>
      <c r="M3103" t="n">
        <v>23.698</v>
      </c>
      <c r="N3103" t="inlineStr">
        <is>
          <t>Explore_N</t>
        </is>
      </c>
      <c r="O3103" t="inlineStr">
        <is>
          <t>Novelty</t>
        </is>
      </c>
      <c r="P3103" t="inlineStr">
        <is>
          <t>STATE</t>
        </is>
      </c>
      <c r="Q3103" t="n">
        <v>388.099</v>
      </c>
      <c r="R3103" t="n">
        <v>389.266</v>
      </c>
      <c r="S3103" t="n">
        <v>1.167</v>
      </c>
      <c r="T3103" t="inlineStr">
        <is>
          <t>C:/Users/manuel.felline/Documents/BEHAVIOR BTBR/NOR second cohort/BTBR/test/c10_f2.mp4</t>
        </is>
      </c>
      <c r="U3103" t="n">
        <v>12033</v>
      </c>
      <c r="V3103" t="n">
        <v>12068</v>
      </c>
      <c r="W3103" t="n">
        <v/>
      </c>
      <c r="X3103" t="n">
        <v/>
      </c>
      <c r="Y3103" t="n">
        <v/>
      </c>
      <c r="Z3103" t="n">
        <v/>
      </c>
      <c r="AA3103">
        <f>SUMIFS($S$2:S3103,$A$2:A3103,A3103,$N$2:N3103,"Explore*")</f>
        <v/>
      </c>
      <c r="AB3103">
        <f>IF(AND(LEFT(N3103,7)="Explore",(AA3103-IF(LEFT(N3103,7)="Explore",S3103,0))&lt;10),"SI","NO")</f>
        <v/>
      </c>
    </row>
    <row r="3104">
      <c r="A3104" t="inlineStr">
        <is>
          <t>c10f2_test</t>
        </is>
      </c>
      <c r="B3104" t="inlineStr">
        <is>
          <t>2026-06-23 16:16:46.732</t>
        </is>
      </c>
      <c r="C3104" t="n">
        <v/>
      </c>
      <c r="D3104" t="inlineStr">
        <is>
          <t>Media file</t>
        </is>
      </c>
      <c r="E3104" t="inlineStr">
        <is>
          <t>player #1:C:/Users/manuel.felline/Documents/BEHAVIOR BTBR/NOR second cohort/BTBR/test/c10_f2.mp4</t>
        </is>
      </c>
      <c r="F3104" t="n">
        <v>-13.067</v>
      </c>
      <c r="G3104" t="n">
        <v>448.333</v>
      </c>
      <c r="H3104" t="n">
        <v>630.7329999999999</v>
      </c>
      <c r="I3104" t="n">
        <v>30</v>
      </c>
      <c r="J3104" t="inlineStr">
        <is>
          <t>BTBR</t>
        </is>
      </c>
      <c r="K3104" t="inlineStr">
        <is>
          <t xml:space="preserve"> Female</t>
        </is>
      </c>
      <c r="L3104" t="inlineStr">
        <is>
          <t>No focal subject</t>
        </is>
      </c>
      <c r="M3104" t="n">
        <v>23.698</v>
      </c>
      <c r="N3104" t="inlineStr">
        <is>
          <t>Explore_N</t>
        </is>
      </c>
      <c r="O3104" t="inlineStr">
        <is>
          <t>Novelty</t>
        </is>
      </c>
      <c r="P3104" t="inlineStr">
        <is>
          <t>STATE</t>
        </is>
      </c>
      <c r="Q3104" t="n">
        <v>409.533</v>
      </c>
      <c r="R3104" t="n">
        <v>409.966</v>
      </c>
      <c r="S3104" t="n">
        <v>0.433</v>
      </c>
      <c r="T3104" t="inlineStr">
        <is>
          <t>C:/Users/manuel.felline/Documents/BEHAVIOR BTBR/NOR second cohort/BTBR/test/c10_f2.mp4</t>
        </is>
      </c>
      <c r="U3104" t="n">
        <v>12676</v>
      </c>
      <c r="V3104" t="n">
        <v>12689</v>
      </c>
      <c r="W3104" t="n">
        <v/>
      </c>
      <c r="X3104" t="n">
        <v/>
      </c>
      <c r="Y3104" t="n">
        <v/>
      </c>
      <c r="Z3104" t="n">
        <v/>
      </c>
      <c r="AA3104">
        <f>SUMIFS($S$2:S3104,$A$2:A3104,A3104,$N$2:N3104,"Explore*")</f>
        <v/>
      </c>
      <c r="AB3104">
        <f>IF(AND(LEFT(N3104,7)="Explore",(AA3104-IF(LEFT(N3104,7)="Explore",S3104,0))&lt;10),"SI","NO")</f>
        <v/>
      </c>
    </row>
    <row r="3105">
      <c r="A3105" t="inlineStr">
        <is>
          <t>c10f2_test</t>
        </is>
      </c>
      <c r="B3105" t="inlineStr">
        <is>
          <t>2026-06-23 16:16:46.732</t>
        </is>
      </c>
      <c r="C3105" t="n">
        <v/>
      </c>
      <c r="D3105" t="inlineStr">
        <is>
          <t>Media file</t>
        </is>
      </c>
      <c r="E3105" t="inlineStr">
        <is>
          <t>player #1:C:/Users/manuel.felline/Documents/BEHAVIOR BTBR/NOR second cohort/BTBR/test/c10_f2.mp4</t>
        </is>
      </c>
      <c r="F3105" t="n">
        <v>-13.067</v>
      </c>
      <c r="G3105" t="n">
        <v>448.333</v>
      </c>
      <c r="H3105" t="n">
        <v>630.7329999999999</v>
      </c>
      <c r="I3105" t="n">
        <v>30</v>
      </c>
      <c r="J3105" t="inlineStr">
        <is>
          <t>BTBR</t>
        </is>
      </c>
      <c r="K3105" t="inlineStr">
        <is>
          <t xml:space="preserve"> Female</t>
        </is>
      </c>
      <c r="L3105" t="inlineStr">
        <is>
          <t>No focal subject</t>
        </is>
      </c>
      <c r="M3105" t="n">
        <v>23.698</v>
      </c>
      <c r="N3105" t="inlineStr">
        <is>
          <t>Explore_F</t>
        </is>
      </c>
      <c r="O3105" t="inlineStr">
        <is>
          <t>Familiar</t>
        </is>
      </c>
      <c r="P3105" t="inlineStr">
        <is>
          <t>STATE</t>
        </is>
      </c>
      <c r="Q3105" t="n">
        <v>416.466</v>
      </c>
      <c r="R3105" t="n">
        <v>416.933</v>
      </c>
      <c r="S3105" t="n">
        <v>0.467</v>
      </c>
      <c r="T3105" t="inlineStr">
        <is>
          <t>C:/Users/manuel.felline/Documents/BEHAVIOR BTBR/NOR second cohort/BTBR/test/c10_f2.mp4</t>
        </is>
      </c>
      <c r="U3105" t="n">
        <v>12884</v>
      </c>
      <c r="V3105" t="n">
        <v>12898</v>
      </c>
      <c r="W3105" t="n">
        <v/>
      </c>
      <c r="X3105" t="n">
        <v/>
      </c>
      <c r="Y3105" t="n">
        <v/>
      </c>
      <c r="Z3105" t="n">
        <v/>
      </c>
      <c r="AA3105">
        <f>SUMIFS($S$2:S3105,$A$2:A3105,A3105,$N$2:N3105,"Explore*")</f>
        <v/>
      </c>
      <c r="AB3105">
        <f>IF(AND(LEFT(N3105,7)="Explore",(AA3105-IF(LEFT(N3105,7)="Explore",S3105,0))&lt;10),"SI","NO")</f>
        <v/>
      </c>
    </row>
    <row r="3106">
      <c r="A3106" t="inlineStr">
        <is>
          <t>c10f2_test</t>
        </is>
      </c>
      <c r="B3106" t="inlineStr">
        <is>
          <t>2026-06-23 16:16:46.732</t>
        </is>
      </c>
      <c r="C3106" t="n">
        <v/>
      </c>
      <c r="D3106" t="inlineStr">
        <is>
          <t>Media file</t>
        </is>
      </c>
      <c r="E3106" t="inlineStr">
        <is>
          <t>player #1:C:/Users/manuel.felline/Documents/BEHAVIOR BTBR/NOR second cohort/BTBR/test/c10_f2.mp4</t>
        </is>
      </c>
      <c r="F3106" t="n">
        <v>-13.067</v>
      </c>
      <c r="G3106" t="n">
        <v>448.333</v>
      </c>
      <c r="H3106" t="n">
        <v>630.7329999999999</v>
      </c>
      <c r="I3106" t="n">
        <v>30</v>
      </c>
      <c r="J3106" t="inlineStr">
        <is>
          <t>BTBR</t>
        </is>
      </c>
      <c r="K3106" t="inlineStr">
        <is>
          <t xml:space="preserve"> Female</t>
        </is>
      </c>
      <c r="L3106" t="inlineStr">
        <is>
          <t>No focal subject</t>
        </is>
      </c>
      <c r="M3106" t="n">
        <v>23.698</v>
      </c>
      <c r="N3106" t="inlineStr">
        <is>
          <t>Explore_N</t>
        </is>
      </c>
      <c r="O3106" t="inlineStr">
        <is>
          <t>Novelty</t>
        </is>
      </c>
      <c r="P3106" t="inlineStr">
        <is>
          <t>STATE</t>
        </is>
      </c>
      <c r="Q3106" t="n">
        <v>436.933</v>
      </c>
      <c r="R3106" t="n">
        <v>437.166</v>
      </c>
      <c r="S3106" t="n">
        <v>0.233</v>
      </c>
      <c r="T3106" t="inlineStr">
        <is>
          <t>C:/Users/manuel.felline/Documents/BEHAVIOR BTBR/NOR second cohort/BTBR/test/c10_f2.mp4</t>
        </is>
      </c>
      <c r="U3106" t="n">
        <v>13498</v>
      </c>
      <c r="V3106" t="n">
        <v>13505</v>
      </c>
      <c r="W3106" t="n">
        <v/>
      </c>
      <c r="X3106" t="n">
        <v/>
      </c>
      <c r="Y3106" t="n">
        <v/>
      </c>
      <c r="Z3106" t="n">
        <v/>
      </c>
      <c r="AA3106">
        <f>SUMIFS($S$2:S3106,$A$2:A3106,A3106,$N$2:N3106,"Explore*")</f>
        <v/>
      </c>
      <c r="AB3106">
        <f>IF(AND(LEFT(N3106,7)="Explore",(AA3106-IF(LEFT(N3106,7)="Explore",S3106,0))&lt;10),"SI","NO")</f>
        <v/>
      </c>
    </row>
    <row r="3107">
      <c r="A3107" t="inlineStr">
        <is>
          <t>c10f2_test</t>
        </is>
      </c>
      <c r="B3107" t="inlineStr">
        <is>
          <t>2026-06-23 16:16:46.732</t>
        </is>
      </c>
      <c r="C3107" t="n">
        <v/>
      </c>
      <c r="D3107" t="inlineStr">
        <is>
          <t>Media file</t>
        </is>
      </c>
      <c r="E3107" t="inlineStr">
        <is>
          <t>player #1:C:/Users/manuel.felline/Documents/BEHAVIOR BTBR/NOR second cohort/BTBR/test/c10_f2.mp4</t>
        </is>
      </c>
      <c r="F3107" t="n">
        <v>-13.067</v>
      </c>
      <c r="G3107" t="n">
        <v>448.333</v>
      </c>
      <c r="H3107" t="n">
        <v>630.7329999999999</v>
      </c>
      <c r="I3107" t="n">
        <v>30</v>
      </c>
      <c r="J3107" t="inlineStr">
        <is>
          <t>BTBR</t>
        </is>
      </c>
      <c r="K3107" t="inlineStr">
        <is>
          <t xml:space="preserve"> Female</t>
        </is>
      </c>
      <c r="L3107" t="inlineStr">
        <is>
          <t>No focal subject</t>
        </is>
      </c>
      <c r="M3107" t="n">
        <v>23.698</v>
      </c>
      <c r="N3107" t="inlineStr">
        <is>
          <t>Explore_N</t>
        </is>
      </c>
      <c r="O3107" t="inlineStr">
        <is>
          <t>Novelty</t>
        </is>
      </c>
      <c r="P3107" t="inlineStr">
        <is>
          <t>STATE</t>
        </is>
      </c>
      <c r="Q3107" t="n">
        <v>444.766</v>
      </c>
      <c r="R3107" t="n">
        <v>445.599</v>
      </c>
      <c r="S3107" t="n">
        <v>0.833</v>
      </c>
      <c r="T3107" t="inlineStr">
        <is>
          <t>C:/Users/manuel.felline/Documents/BEHAVIOR BTBR/NOR second cohort/BTBR/test/c10_f2.mp4</t>
        </is>
      </c>
      <c r="U3107" t="n">
        <v>13733</v>
      </c>
      <c r="V3107" t="n">
        <v>13758</v>
      </c>
      <c r="W3107" t="n">
        <v/>
      </c>
      <c r="X3107" t="n">
        <v/>
      </c>
      <c r="Y3107" t="n">
        <v/>
      </c>
      <c r="Z3107" t="n">
        <v/>
      </c>
      <c r="AA3107">
        <f>SUMIFS($S$2:S3107,$A$2:A3107,A3107,$N$2:N3107,"Explore*")</f>
        <v/>
      </c>
      <c r="AB3107">
        <f>IF(AND(LEFT(N3107,7)="Explore",(AA3107-IF(LEFT(N3107,7)="Explore",S3107,0))&lt;10),"SI","NO")</f>
        <v/>
      </c>
    </row>
    <row r="3108">
      <c r="A3108" t="inlineStr">
        <is>
          <t>c10f2_test</t>
        </is>
      </c>
      <c r="B3108" t="inlineStr">
        <is>
          <t>2026-06-23 16:16:46.732</t>
        </is>
      </c>
      <c r="C3108" t="n">
        <v/>
      </c>
      <c r="D3108" t="inlineStr">
        <is>
          <t>Media file</t>
        </is>
      </c>
      <c r="E3108" t="inlineStr">
        <is>
          <t>player #1:C:/Users/manuel.felline/Documents/BEHAVIOR BTBR/NOR second cohort/BTBR/test/c10_f2.mp4</t>
        </is>
      </c>
      <c r="F3108" t="n">
        <v>-13.067</v>
      </c>
      <c r="G3108" t="n">
        <v>448.333</v>
      </c>
      <c r="H3108" t="n">
        <v>630.7329999999999</v>
      </c>
      <c r="I3108" t="n">
        <v>30</v>
      </c>
      <c r="J3108" t="inlineStr">
        <is>
          <t>BTBR</t>
        </is>
      </c>
      <c r="K3108" t="inlineStr">
        <is>
          <t xml:space="preserve"> Female</t>
        </is>
      </c>
      <c r="L3108" t="inlineStr">
        <is>
          <t>No focal subject</t>
        </is>
      </c>
      <c r="M3108" t="n">
        <v>23.698</v>
      </c>
      <c r="N3108" t="inlineStr">
        <is>
          <t>Explore_F</t>
        </is>
      </c>
      <c r="O3108" t="inlineStr">
        <is>
          <t>Familiar</t>
        </is>
      </c>
      <c r="P3108" t="inlineStr">
        <is>
          <t>STATE</t>
        </is>
      </c>
      <c r="Q3108" t="n">
        <v>457.799</v>
      </c>
      <c r="R3108" t="n">
        <v>458.366</v>
      </c>
      <c r="S3108" t="n">
        <v>0.5669999999999999</v>
      </c>
      <c r="T3108" t="inlineStr">
        <is>
          <t>C:/Users/manuel.felline/Documents/BEHAVIOR BTBR/NOR second cohort/BTBR/test/c10_f2.mp4</t>
        </is>
      </c>
      <c r="U3108" t="n">
        <v>14124</v>
      </c>
      <c r="V3108" t="n">
        <v>14141</v>
      </c>
      <c r="W3108" t="n">
        <v/>
      </c>
      <c r="X3108" t="n">
        <v/>
      </c>
      <c r="Y3108" t="n">
        <v/>
      </c>
      <c r="Z3108" t="n">
        <v/>
      </c>
      <c r="AA3108">
        <f>SUMIFS($S$2:S3108,$A$2:A3108,A3108,$N$2:N3108,"Explore*")</f>
        <v/>
      </c>
      <c r="AB3108">
        <f>IF(AND(LEFT(N3108,7)="Explore",(AA3108-IF(LEFT(N3108,7)="Explore",S3108,0))&lt;10),"SI","NO")</f>
        <v/>
      </c>
    </row>
    <row r="3109">
      <c r="A3109" t="inlineStr">
        <is>
          <t>c10f2_test</t>
        </is>
      </c>
      <c r="B3109" t="inlineStr">
        <is>
          <t>2026-06-23 16:16:46.732</t>
        </is>
      </c>
      <c r="C3109" t="n">
        <v/>
      </c>
      <c r="D3109" t="inlineStr">
        <is>
          <t>Media file</t>
        </is>
      </c>
      <c r="E3109" t="inlineStr">
        <is>
          <t>player #1:C:/Users/manuel.felline/Documents/BEHAVIOR BTBR/NOR second cohort/BTBR/test/c10_f2.mp4</t>
        </is>
      </c>
      <c r="F3109" t="n">
        <v>-13.067</v>
      </c>
      <c r="G3109" t="n">
        <v>448.333</v>
      </c>
      <c r="H3109" t="n">
        <v>630.7329999999999</v>
      </c>
      <c r="I3109" t="n">
        <v>30</v>
      </c>
      <c r="J3109" t="inlineStr">
        <is>
          <t>BTBR</t>
        </is>
      </c>
      <c r="K3109" t="inlineStr">
        <is>
          <t xml:space="preserve"> Female</t>
        </is>
      </c>
      <c r="L3109" t="inlineStr">
        <is>
          <t>No focal subject</t>
        </is>
      </c>
      <c r="M3109" t="n">
        <v>23.698</v>
      </c>
      <c r="N3109" t="inlineStr">
        <is>
          <t>Explore_F</t>
        </is>
      </c>
      <c r="O3109" t="inlineStr">
        <is>
          <t>Familiar</t>
        </is>
      </c>
      <c r="P3109" t="inlineStr">
        <is>
          <t>STATE</t>
        </is>
      </c>
      <c r="Q3109" t="n">
        <v>474.133</v>
      </c>
      <c r="R3109" t="n">
        <v>474.799</v>
      </c>
      <c r="S3109" t="n">
        <v>0.666</v>
      </c>
      <c r="T3109" t="inlineStr">
        <is>
          <t>C:/Users/manuel.felline/Documents/BEHAVIOR BTBR/NOR second cohort/BTBR/test/c10_f2.mp4</t>
        </is>
      </c>
      <c r="U3109" t="n">
        <v>14614</v>
      </c>
      <c r="V3109" t="n">
        <v>14634</v>
      </c>
      <c r="W3109" t="n">
        <v/>
      </c>
      <c r="X3109" t="n">
        <v/>
      </c>
      <c r="Y3109" t="n">
        <v/>
      </c>
      <c r="Z3109" t="n">
        <v/>
      </c>
      <c r="AA3109">
        <f>SUMIFS($S$2:S3109,$A$2:A3109,A3109,$N$2:N3109,"Explore*")</f>
        <v/>
      </c>
      <c r="AB3109">
        <f>IF(AND(LEFT(N3109,7)="Explore",(AA3109-IF(LEFT(N3109,7)="Explore",S3109,0))&lt;10),"SI","NO")</f>
        <v/>
      </c>
    </row>
    <row r="3110">
      <c r="A3110" t="inlineStr">
        <is>
          <t>c10f2_test</t>
        </is>
      </c>
      <c r="B3110" t="inlineStr">
        <is>
          <t>2026-06-23 16:16:46.732</t>
        </is>
      </c>
      <c r="C3110" t="n">
        <v/>
      </c>
      <c r="D3110" t="inlineStr">
        <is>
          <t>Media file</t>
        </is>
      </c>
      <c r="E3110" t="inlineStr">
        <is>
          <t>player #1:C:/Users/manuel.felline/Documents/BEHAVIOR BTBR/NOR second cohort/BTBR/test/c10_f2.mp4</t>
        </is>
      </c>
      <c r="F3110" t="n">
        <v>-13.067</v>
      </c>
      <c r="G3110" t="n">
        <v>448.333</v>
      </c>
      <c r="H3110" t="n">
        <v>630.7329999999999</v>
      </c>
      <c r="I3110" t="n">
        <v>30</v>
      </c>
      <c r="J3110" t="inlineStr">
        <is>
          <t>BTBR</t>
        </is>
      </c>
      <c r="K3110" t="inlineStr">
        <is>
          <t xml:space="preserve"> Female</t>
        </is>
      </c>
      <c r="L3110" t="inlineStr">
        <is>
          <t>No focal subject</t>
        </is>
      </c>
      <c r="M3110" t="n">
        <v>23.698</v>
      </c>
      <c r="N3110" t="inlineStr">
        <is>
          <t>Explore_N</t>
        </is>
      </c>
      <c r="O3110" t="inlineStr">
        <is>
          <t>Novelty</t>
        </is>
      </c>
      <c r="P3110" t="inlineStr">
        <is>
          <t>STATE</t>
        </is>
      </c>
      <c r="Q3110" t="n">
        <v>517.099</v>
      </c>
      <c r="R3110" t="n">
        <v>517.399</v>
      </c>
      <c r="S3110" t="n">
        <v>0.3</v>
      </c>
      <c r="T3110" t="inlineStr">
        <is>
          <t>C:/Users/manuel.felline/Documents/BEHAVIOR BTBR/NOR second cohort/BTBR/test/c10_f2.mp4</t>
        </is>
      </c>
      <c r="U3110" t="n">
        <v>15902</v>
      </c>
      <c r="V3110" t="n">
        <v>15911</v>
      </c>
      <c r="W3110" t="n">
        <v/>
      </c>
      <c r="X3110" t="n">
        <v/>
      </c>
      <c r="Y3110" t="n">
        <v/>
      </c>
      <c r="Z3110" t="n">
        <v/>
      </c>
      <c r="AA3110">
        <f>SUMIFS($S$2:S3110,$A$2:A3110,A3110,$N$2:N3110,"Explore*")</f>
        <v/>
      </c>
      <c r="AB3110">
        <f>IF(AND(LEFT(N3110,7)="Explore",(AA3110-IF(LEFT(N3110,7)="Explore",S3110,0))&lt;10),"SI","NO")</f>
        <v/>
      </c>
    </row>
    <row r="3111">
      <c r="A3111" t="inlineStr">
        <is>
          <t>c10f2_test</t>
        </is>
      </c>
      <c r="B3111" t="inlineStr">
        <is>
          <t>2026-06-23 16:16:46.732</t>
        </is>
      </c>
      <c r="C3111" t="n">
        <v/>
      </c>
      <c r="D3111" t="inlineStr">
        <is>
          <t>Media file</t>
        </is>
      </c>
      <c r="E3111" t="inlineStr">
        <is>
          <t>player #1:C:/Users/manuel.felline/Documents/BEHAVIOR BTBR/NOR second cohort/BTBR/test/c10_f2.mp4</t>
        </is>
      </c>
      <c r="F3111" t="n">
        <v>-13.067</v>
      </c>
      <c r="G3111" t="n">
        <v>448.333</v>
      </c>
      <c r="H3111" t="n">
        <v>630.7329999999999</v>
      </c>
      <c r="I3111" t="n">
        <v>30</v>
      </c>
      <c r="J3111" t="inlineStr">
        <is>
          <t>BTBR</t>
        </is>
      </c>
      <c r="K3111" t="inlineStr">
        <is>
          <t xml:space="preserve"> Female</t>
        </is>
      </c>
      <c r="L3111" t="inlineStr">
        <is>
          <t>No focal subject</t>
        </is>
      </c>
      <c r="M3111" t="n">
        <v>23.698</v>
      </c>
      <c r="N3111" t="inlineStr">
        <is>
          <t>Explore_F</t>
        </is>
      </c>
      <c r="O3111" t="inlineStr">
        <is>
          <t>Familiar</t>
        </is>
      </c>
      <c r="P3111" t="inlineStr">
        <is>
          <t>STATE</t>
        </is>
      </c>
      <c r="Q3111" t="n">
        <v>518.766</v>
      </c>
      <c r="R3111" t="n">
        <v>519.1660000000001</v>
      </c>
      <c r="S3111" t="n">
        <v>0.4</v>
      </c>
      <c r="T3111" t="inlineStr">
        <is>
          <t>C:/Users/manuel.felline/Documents/BEHAVIOR BTBR/NOR second cohort/BTBR/test/c10_f2.mp4</t>
        </is>
      </c>
      <c r="U3111" t="n">
        <v>15952</v>
      </c>
      <c r="V3111" t="n">
        <v>15964</v>
      </c>
      <c r="W3111" t="n">
        <v/>
      </c>
      <c r="X3111" t="n">
        <v/>
      </c>
      <c r="Y3111" t="n">
        <v/>
      </c>
      <c r="Z3111" t="n">
        <v/>
      </c>
      <c r="AA3111">
        <f>SUMIFS($S$2:S3111,$A$2:A3111,A3111,$N$2:N3111,"Explore*")</f>
        <v/>
      </c>
      <c r="AB3111">
        <f>IF(AND(LEFT(N3111,7)="Explore",(AA3111-IF(LEFT(N3111,7)="Explore",S3111,0))&lt;10),"SI","NO")</f>
        <v/>
      </c>
    </row>
    <row r="3112">
      <c r="A3112" t="inlineStr">
        <is>
          <t>c10f2_test</t>
        </is>
      </c>
      <c r="B3112" t="inlineStr">
        <is>
          <t>2026-06-23 16:16:46.732</t>
        </is>
      </c>
      <c r="C3112" t="n">
        <v/>
      </c>
      <c r="D3112" t="inlineStr">
        <is>
          <t>Media file</t>
        </is>
      </c>
      <c r="E3112" t="inlineStr">
        <is>
          <t>player #1:C:/Users/manuel.felline/Documents/BEHAVIOR BTBR/NOR second cohort/BTBR/test/c10_f2.mp4</t>
        </is>
      </c>
      <c r="F3112" t="n">
        <v>-13.067</v>
      </c>
      <c r="G3112" t="n">
        <v>448.333</v>
      </c>
      <c r="H3112" t="n">
        <v>630.7329999999999</v>
      </c>
      <c r="I3112" t="n">
        <v>30</v>
      </c>
      <c r="J3112" t="inlineStr">
        <is>
          <t>BTBR</t>
        </is>
      </c>
      <c r="K3112" t="inlineStr">
        <is>
          <t xml:space="preserve"> Female</t>
        </is>
      </c>
      <c r="L3112" t="inlineStr">
        <is>
          <t>No focal subject</t>
        </is>
      </c>
      <c r="M3112" t="n">
        <v>23.698</v>
      </c>
      <c r="N3112" t="inlineStr">
        <is>
          <t>Explore_N</t>
        </is>
      </c>
      <c r="O3112" t="inlineStr">
        <is>
          <t>Novelty</t>
        </is>
      </c>
      <c r="P3112" t="inlineStr">
        <is>
          <t>STATE</t>
        </is>
      </c>
      <c r="Q3112" t="n">
        <v>522.066</v>
      </c>
      <c r="R3112" t="n">
        <v>522.532</v>
      </c>
      <c r="S3112" t="n">
        <v>0.466</v>
      </c>
      <c r="T3112" t="inlineStr">
        <is>
          <t>C:/Users/manuel.felline/Documents/BEHAVIOR BTBR/NOR second cohort/BTBR/test/c10_f2.mp4</t>
        </is>
      </c>
      <c r="U3112" t="n">
        <v>16051</v>
      </c>
      <c r="V3112" t="n">
        <v>16065</v>
      </c>
      <c r="W3112" t="n">
        <v/>
      </c>
      <c r="X3112" t="n">
        <v/>
      </c>
      <c r="Y3112" t="n">
        <v/>
      </c>
      <c r="Z3112" t="n">
        <v/>
      </c>
      <c r="AA3112">
        <f>SUMIFS($S$2:S3112,$A$2:A3112,A3112,$N$2:N3112,"Explore*")</f>
        <v/>
      </c>
      <c r="AB3112">
        <f>IF(AND(LEFT(N3112,7)="Explore",(AA3112-IF(LEFT(N3112,7)="Explore",S3112,0))&lt;10),"SI","NO")</f>
        <v/>
      </c>
    </row>
    <row r="3113">
      <c r="A3113" t="inlineStr">
        <is>
          <t>c10f2_test</t>
        </is>
      </c>
      <c r="B3113" t="inlineStr">
        <is>
          <t>2026-06-23 16:16:46.732</t>
        </is>
      </c>
      <c r="C3113" t="n">
        <v/>
      </c>
      <c r="D3113" t="inlineStr">
        <is>
          <t>Media file</t>
        </is>
      </c>
      <c r="E3113" t="inlineStr">
        <is>
          <t>player #1:C:/Users/manuel.felline/Documents/BEHAVIOR BTBR/NOR second cohort/BTBR/test/c10_f2.mp4</t>
        </is>
      </c>
      <c r="F3113" t="n">
        <v>-13.067</v>
      </c>
      <c r="G3113" t="n">
        <v>448.333</v>
      </c>
      <c r="H3113" t="n">
        <v>630.7329999999999</v>
      </c>
      <c r="I3113" t="n">
        <v>30</v>
      </c>
      <c r="J3113" t="inlineStr">
        <is>
          <t>BTBR</t>
        </is>
      </c>
      <c r="K3113" t="inlineStr">
        <is>
          <t xml:space="preserve"> Female</t>
        </is>
      </c>
      <c r="L3113" t="inlineStr">
        <is>
          <t>No focal subject</t>
        </is>
      </c>
      <c r="M3113" t="n">
        <v>23.698</v>
      </c>
      <c r="N3113" t="inlineStr">
        <is>
          <t>Explore_N</t>
        </is>
      </c>
      <c r="O3113" t="inlineStr">
        <is>
          <t>Novelty</t>
        </is>
      </c>
      <c r="P3113" t="inlineStr">
        <is>
          <t>STATE</t>
        </is>
      </c>
      <c r="Q3113" t="n">
        <v>549.866</v>
      </c>
      <c r="R3113" t="n">
        <v>550.6660000000001</v>
      </c>
      <c r="S3113" t="n">
        <v>0.8</v>
      </c>
      <c r="T3113" t="inlineStr">
        <is>
          <t>C:/Users/manuel.felline/Documents/BEHAVIOR BTBR/NOR second cohort/BTBR/test/c10_f2.mp4</t>
        </is>
      </c>
      <c r="U3113" t="n">
        <v>16885</v>
      </c>
      <c r="V3113" t="n">
        <v>16909</v>
      </c>
      <c r="W3113" t="n">
        <v/>
      </c>
      <c r="X3113" t="n">
        <v/>
      </c>
      <c r="Y3113" t="n">
        <v/>
      </c>
      <c r="Z3113" t="n">
        <v/>
      </c>
      <c r="AA3113">
        <f>SUMIFS($S$2:S3113,$A$2:A3113,A3113,$N$2:N3113,"Explore*")</f>
        <v/>
      </c>
      <c r="AB3113">
        <f>IF(AND(LEFT(N3113,7)="Explore",(AA3113-IF(LEFT(N3113,7)="Explore",S3113,0))&lt;10),"SI","NO")</f>
        <v/>
      </c>
    </row>
    <row r="3114">
      <c r="A3114" t="inlineStr">
        <is>
          <t>c10f3_test</t>
        </is>
      </c>
      <c r="B3114" t="inlineStr">
        <is>
          <t>2026-06-25 15:17:59.557</t>
        </is>
      </c>
      <c r="C3114" t="n">
        <v/>
      </c>
      <c r="D3114" t="inlineStr">
        <is>
          <t>Media file</t>
        </is>
      </c>
      <c r="E3114" t="inlineStr">
        <is>
          <t>player #1:C:/Users/manuel.felline/Documents/BEHAVIOR BTBR/NOR second cohort/BTBR/test/c10_f3.mp4</t>
        </is>
      </c>
      <c r="F3114" t="n">
        <v>-7.667</v>
      </c>
      <c r="G3114" t="n">
        <v>574.7329999999999</v>
      </c>
      <c r="H3114" t="n">
        <v>623.133</v>
      </c>
      <c r="I3114" t="n">
        <v>30</v>
      </c>
      <c r="J3114" t="inlineStr">
        <is>
          <t>BTBR</t>
        </is>
      </c>
      <c r="K3114" t="inlineStr">
        <is>
          <t xml:space="preserve"> Female</t>
        </is>
      </c>
      <c r="L3114" t="inlineStr">
        <is>
          <t>No focal subject</t>
        </is>
      </c>
      <c r="M3114" t="n">
        <v>53.634</v>
      </c>
      <c r="N3114" t="inlineStr">
        <is>
          <t>Explore_N</t>
        </is>
      </c>
      <c r="O3114" t="inlineStr">
        <is>
          <t>Novelty</t>
        </is>
      </c>
      <c r="P3114" t="inlineStr">
        <is>
          <t>STATE</t>
        </is>
      </c>
      <c r="Q3114" t="n">
        <v>7.233</v>
      </c>
      <c r="R3114" t="n">
        <v>9</v>
      </c>
      <c r="S3114" t="n">
        <v>1.767</v>
      </c>
      <c r="T3114" t="inlineStr">
        <is>
          <t>C:/Users/manuel.felline/Documents/BEHAVIOR BTBR/NOR second cohort/BTBR/test/c10_f3.mp4</t>
        </is>
      </c>
      <c r="U3114" t="n">
        <v>447</v>
      </c>
      <c r="V3114" t="n">
        <v>500</v>
      </c>
      <c r="W3114" t="n">
        <v/>
      </c>
      <c r="X3114" t="n">
        <v/>
      </c>
      <c r="Y3114" t="n">
        <v/>
      </c>
      <c r="Z3114" t="n">
        <v/>
      </c>
      <c r="AA3114">
        <f>SUMIFS($S$2:S3114,$A$2:A3114,A3114,$N$2:N3114,"Explore*")</f>
        <v/>
      </c>
      <c r="AB3114">
        <f>IF(AND(LEFT(N3114,7)="Explore",(AA3114-IF(LEFT(N3114,7)="Explore",S3114,0))&lt;10),"SI","NO")</f>
        <v/>
      </c>
    </row>
    <row r="3115">
      <c r="A3115" t="inlineStr">
        <is>
          <t>c10f3_test</t>
        </is>
      </c>
      <c r="B3115" t="inlineStr">
        <is>
          <t>2026-06-25 15:17:59.557</t>
        </is>
      </c>
      <c r="C3115" t="n">
        <v/>
      </c>
      <c r="D3115" t="inlineStr">
        <is>
          <t>Media file</t>
        </is>
      </c>
      <c r="E3115" t="inlineStr">
        <is>
          <t>player #1:C:/Users/manuel.felline/Documents/BEHAVIOR BTBR/NOR second cohort/BTBR/test/c10_f3.mp4</t>
        </is>
      </c>
      <c r="F3115" t="n">
        <v>-7.667</v>
      </c>
      <c r="G3115" t="n">
        <v>574.7329999999999</v>
      </c>
      <c r="H3115" t="n">
        <v>623.133</v>
      </c>
      <c r="I3115" t="n">
        <v>30</v>
      </c>
      <c r="J3115" t="inlineStr">
        <is>
          <t>BTBR</t>
        </is>
      </c>
      <c r="K3115" t="inlineStr">
        <is>
          <t xml:space="preserve"> Female</t>
        </is>
      </c>
      <c r="L3115" t="inlineStr">
        <is>
          <t>No focal subject</t>
        </is>
      </c>
      <c r="M3115" t="n">
        <v>53.634</v>
      </c>
      <c r="N3115" t="inlineStr">
        <is>
          <t>Explore_F</t>
        </is>
      </c>
      <c r="O3115" t="inlineStr">
        <is>
          <t>Familiar</t>
        </is>
      </c>
      <c r="P3115" t="inlineStr">
        <is>
          <t>STATE</t>
        </is>
      </c>
      <c r="Q3115" t="n">
        <v>11.366</v>
      </c>
      <c r="R3115" t="n">
        <v>12.2</v>
      </c>
      <c r="S3115" t="n">
        <v>0.834</v>
      </c>
      <c r="T3115" t="inlineStr">
        <is>
          <t>C:/Users/manuel.felline/Documents/BEHAVIOR BTBR/NOR second cohort/BTBR/test/c10_f3.mp4</t>
        </is>
      </c>
      <c r="U3115" t="n">
        <v>571</v>
      </c>
      <c r="V3115" t="n">
        <v>596</v>
      </c>
      <c r="W3115" t="n">
        <v/>
      </c>
      <c r="X3115" t="n">
        <v/>
      </c>
      <c r="Y3115" t="n">
        <v/>
      </c>
      <c r="Z3115" t="n">
        <v/>
      </c>
      <c r="AA3115">
        <f>SUMIFS($S$2:S3115,$A$2:A3115,A3115,$N$2:N3115,"Explore*")</f>
        <v/>
      </c>
      <c r="AB3115">
        <f>IF(AND(LEFT(N3115,7)="Explore",(AA3115-IF(LEFT(N3115,7)="Explore",S3115,0))&lt;10),"SI","NO")</f>
        <v/>
      </c>
    </row>
    <row r="3116">
      <c r="A3116" t="inlineStr">
        <is>
          <t>c10f3_test</t>
        </is>
      </c>
      <c r="B3116" t="inlineStr">
        <is>
          <t>2026-06-25 15:17:59.557</t>
        </is>
      </c>
      <c r="C3116" t="n">
        <v/>
      </c>
      <c r="D3116" t="inlineStr">
        <is>
          <t>Media file</t>
        </is>
      </c>
      <c r="E3116" t="inlineStr">
        <is>
          <t>player #1:C:/Users/manuel.felline/Documents/BEHAVIOR BTBR/NOR second cohort/BTBR/test/c10_f3.mp4</t>
        </is>
      </c>
      <c r="F3116" t="n">
        <v>-7.667</v>
      </c>
      <c r="G3116" t="n">
        <v>574.7329999999999</v>
      </c>
      <c r="H3116" t="n">
        <v>623.133</v>
      </c>
      <c r="I3116" t="n">
        <v>30</v>
      </c>
      <c r="J3116" t="inlineStr">
        <is>
          <t>BTBR</t>
        </is>
      </c>
      <c r="K3116" t="inlineStr">
        <is>
          <t xml:space="preserve"> Female</t>
        </is>
      </c>
      <c r="L3116" t="inlineStr">
        <is>
          <t>No focal subject</t>
        </is>
      </c>
      <c r="M3116" t="n">
        <v>53.634</v>
      </c>
      <c r="N3116" t="inlineStr">
        <is>
          <t>Explore_N</t>
        </is>
      </c>
      <c r="O3116" t="inlineStr">
        <is>
          <t>Novelty</t>
        </is>
      </c>
      <c r="P3116" t="inlineStr">
        <is>
          <t>STATE</t>
        </is>
      </c>
      <c r="Q3116" t="n">
        <v>13.4</v>
      </c>
      <c r="R3116" t="n">
        <v>14.633</v>
      </c>
      <c r="S3116" t="n">
        <v>1.233</v>
      </c>
      <c r="T3116" t="inlineStr">
        <is>
          <t>C:/Users/manuel.felline/Documents/BEHAVIOR BTBR/NOR second cohort/BTBR/test/c10_f3.mp4</t>
        </is>
      </c>
      <c r="U3116" t="n">
        <v>632</v>
      </c>
      <c r="V3116" t="n">
        <v>669</v>
      </c>
      <c r="W3116" t="n">
        <v/>
      </c>
      <c r="X3116" t="n">
        <v/>
      </c>
      <c r="Y3116" t="n">
        <v/>
      </c>
      <c r="Z3116" t="n">
        <v/>
      </c>
      <c r="AA3116">
        <f>SUMIFS($S$2:S3116,$A$2:A3116,A3116,$N$2:N3116,"Explore*")</f>
        <v/>
      </c>
      <c r="AB3116">
        <f>IF(AND(LEFT(N3116,7)="Explore",(AA3116-IF(LEFT(N3116,7)="Explore",S3116,0))&lt;10),"SI","NO")</f>
        <v/>
      </c>
    </row>
    <row r="3117">
      <c r="A3117" t="inlineStr">
        <is>
          <t>c10f3_test</t>
        </is>
      </c>
      <c r="B3117" t="inlineStr">
        <is>
          <t>2026-06-25 15:17:59.557</t>
        </is>
      </c>
      <c r="C3117" t="n">
        <v/>
      </c>
      <c r="D3117" t="inlineStr">
        <is>
          <t>Media file</t>
        </is>
      </c>
      <c r="E3117" t="inlineStr">
        <is>
          <t>player #1:C:/Users/manuel.felline/Documents/BEHAVIOR BTBR/NOR second cohort/BTBR/test/c10_f3.mp4</t>
        </is>
      </c>
      <c r="F3117" t="n">
        <v>-7.667</v>
      </c>
      <c r="G3117" t="n">
        <v>574.7329999999999</v>
      </c>
      <c r="H3117" t="n">
        <v>623.133</v>
      </c>
      <c r="I3117" t="n">
        <v>30</v>
      </c>
      <c r="J3117" t="inlineStr">
        <is>
          <t>BTBR</t>
        </is>
      </c>
      <c r="K3117" t="inlineStr">
        <is>
          <t xml:space="preserve"> Female</t>
        </is>
      </c>
      <c r="L3117" t="inlineStr">
        <is>
          <t>No focal subject</t>
        </is>
      </c>
      <c r="M3117" t="n">
        <v>53.634</v>
      </c>
      <c r="N3117" t="inlineStr">
        <is>
          <t>Explore_N</t>
        </is>
      </c>
      <c r="O3117" t="inlineStr">
        <is>
          <t>Novelty</t>
        </is>
      </c>
      <c r="P3117" t="inlineStr">
        <is>
          <t>STATE</t>
        </is>
      </c>
      <c r="Q3117" t="n">
        <v>17.4</v>
      </c>
      <c r="R3117" t="n">
        <v>17.866</v>
      </c>
      <c r="S3117" t="n">
        <v>0.466</v>
      </c>
      <c r="T3117" t="inlineStr">
        <is>
          <t>C:/Users/manuel.felline/Documents/BEHAVIOR BTBR/NOR second cohort/BTBR/test/c10_f3.mp4</t>
        </is>
      </c>
      <c r="U3117" t="n">
        <v>752</v>
      </c>
      <c r="V3117" t="n">
        <v>766</v>
      </c>
      <c r="W3117" t="n">
        <v/>
      </c>
      <c r="X3117" t="n">
        <v/>
      </c>
      <c r="Y3117" t="n">
        <v/>
      </c>
      <c r="Z3117" t="n">
        <v/>
      </c>
      <c r="AA3117">
        <f>SUMIFS($S$2:S3117,$A$2:A3117,A3117,$N$2:N3117,"Explore*")</f>
        <v/>
      </c>
      <c r="AB3117">
        <f>IF(AND(LEFT(N3117,7)="Explore",(AA3117-IF(LEFT(N3117,7)="Explore",S3117,0))&lt;10),"SI","NO")</f>
        <v/>
      </c>
    </row>
    <row r="3118">
      <c r="A3118" t="inlineStr">
        <is>
          <t>c10f3_test</t>
        </is>
      </c>
      <c r="B3118" t="inlineStr">
        <is>
          <t>2026-06-25 15:17:59.557</t>
        </is>
      </c>
      <c r="C3118" t="n">
        <v/>
      </c>
      <c r="D3118" t="inlineStr">
        <is>
          <t>Media file</t>
        </is>
      </c>
      <c r="E3118" t="inlineStr">
        <is>
          <t>player #1:C:/Users/manuel.felline/Documents/BEHAVIOR BTBR/NOR second cohort/BTBR/test/c10_f3.mp4</t>
        </is>
      </c>
      <c r="F3118" t="n">
        <v>-7.667</v>
      </c>
      <c r="G3118" t="n">
        <v>574.7329999999999</v>
      </c>
      <c r="H3118" t="n">
        <v>623.133</v>
      </c>
      <c r="I3118" t="n">
        <v>30</v>
      </c>
      <c r="J3118" t="inlineStr">
        <is>
          <t>BTBR</t>
        </is>
      </c>
      <c r="K3118" t="inlineStr">
        <is>
          <t xml:space="preserve"> Female</t>
        </is>
      </c>
      <c r="L3118" t="inlineStr">
        <is>
          <t>No focal subject</t>
        </is>
      </c>
      <c r="M3118" t="n">
        <v>53.634</v>
      </c>
      <c r="N3118" t="inlineStr">
        <is>
          <t>Explore_F</t>
        </is>
      </c>
      <c r="O3118" t="inlineStr">
        <is>
          <t>Familiar</t>
        </is>
      </c>
      <c r="P3118" t="inlineStr">
        <is>
          <t>STATE</t>
        </is>
      </c>
      <c r="Q3118" t="n">
        <v>19.833</v>
      </c>
      <c r="R3118" t="n">
        <v>20.166</v>
      </c>
      <c r="S3118" t="n">
        <v>0.333</v>
      </c>
      <c r="T3118" t="inlineStr">
        <is>
          <t>C:/Users/manuel.felline/Documents/BEHAVIOR BTBR/NOR second cohort/BTBR/test/c10_f3.mp4</t>
        </is>
      </c>
      <c r="U3118" t="n">
        <v>825</v>
      </c>
      <c r="V3118" t="n">
        <v>835</v>
      </c>
      <c r="W3118" t="n">
        <v/>
      </c>
      <c r="X3118" t="n">
        <v/>
      </c>
      <c r="Y3118" t="n">
        <v/>
      </c>
      <c r="Z3118" t="n">
        <v/>
      </c>
      <c r="AA3118">
        <f>SUMIFS($S$2:S3118,$A$2:A3118,A3118,$N$2:N3118,"Explore*")</f>
        <v/>
      </c>
      <c r="AB3118">
        <f>IF(AND(LEFT(N3118,7)="Explore",(AA3118-IF(LEFT(N3118,7)="Explore",S3118,0))&lt;10),"SI","NO")</f>
        <v/>
      </c>
    </row>
    <row r="3119">
      <c r="A3119" t="inlineStr">
        <is>
          <t>c10f3_test</t>
        </is>
      </c>
      <c r="B3119" t="inlineStr">
        <is>
          <t>2026-06-25 15:17:59.557</t>
        </is>
      </c>
      <c r="C3119" t="n">
        <v/>
      </c>
      <c r="D3119" t="inlineStr">
        <is>
          <t>Media file</t>
        </is>
      </c>
      <c r="E3119" t="inlineStr">
        <is>
          <t>player #1:C:/Users/manuel.felline/Documents/BEHAVIOR BTBR/NOR second cohort/BTBR/test/c10_f3.mp4</t>
        </is>
      </c>
      <c r="F3119" t="n">
        <v>-7.667</v>
      </c>
      <c r="G3119" t="n">
        <v>574.7329999999999</v>
      </c>
      <c r="H3119" t="n">
        <v>623.133</v>
      </c>
      <c r="I3119" t="n">
        <v>30</v>
      </c>
      <c r="J3119" t="inlineStr">
        <is>
          <t>BTBR</t>
        </is>
      </c>
      <c r="K3119" t="inlineStr">
        <is>
          <t xml:space="preserve"> Female</t>
        </is>
      </c>
      <c r="L3119" t="inlineStr">
        <is>
          <t>No focal subject</t>
        </is>
      </c>
      <c r="M3119" t="n">
        <v>53.634</v>
      </c>
      <c r="N3119" t="inlineStr">
        <is>
          <t>Explore_N</t>
        </is>
      </c>
      <c r="O3119" t="inlineStr">
        <is>
          <t>Novelty</t>
        </is>
      </c>
      <c r="P3119" t="inlineStr">
        <is>
          <t>STATE</t>
        </is>
      </c>
      <c r="Q3119" t="n">
        <v>24.066</v>
      </c>
      <c r="R3119" t="n">
        <v>25.8</v>
      </c>
      <c r="S3119" t="n">
        <v>1.734</v>
      </c>
      <c r="T3119" t="inlineStr">
        <is>
          <t>C:/Users/manuel.felline/Documents/BEHAVIOR BTBR/NOR second cohort/BTBR/test/c10_f3.mp4</t>
        </is>
      </c>
      <c r="U3119" t="n">
        <v>952</v>
      </c>
      <c r="V3119" t="n">
        <v>1004</v>
      </c>
      <c r="W3119" t="n">
        <v/>
      </c>
      <c r="X3119" t="n">
        <v/>
      </c>
      <c r="Y3119" t="n">
        <v/>
      </c>
      <c r="Z3119" t="n">
        <v/>
      </c>
      <c r="AA3119">
        <f>SUMIFS($S$2:S3119,$A$2:A3119,A3119,$N$2:N3119,"Explore*")</f>
        <v/>
      </c>
      <c r="AB3119">
        <f>IF(AND(LEFT(N3119,7)="Explore",(AA3119-IF(LEFT(N3119,7)="Explore",S3119,0))&lt;10),"SI","NO")</f>
        <v/>
      </c>
    </row>
    <row r="3120">
      <c r="A3120" t="inlineStr">
        <is>
          <t>c10f3_test</t>
        </is>
      </c>
      <c r="B3120" t="inlineStr">
        <is>
          <t>2026-06-25 15:17:59.557</t>
        </is>
      </c>
      <c r="C3120" t="n">
        <v/>
      </c>
      <c r="D3120" t="inlineStr">
        <is>
          <t>Media file</t>
        </is>
      </c>
      <c r="E3120" t="inlineStr">
        <is>
          <t>player #1:C:/Users/manuel.felline/Documents/BEHAVIOR BTBR/NOR second cohort/BTBR/test/c10_f3.mp4</t>
        </is>
      </c>
      <c r="F3120" t="n">
        <v>-7.667</v>
      </c>
      <c r="G3120" t="n">
        <v>574.7329999999999</v>
      </c>
      <c r="H3120" t="n">
        <v>623.133</v>
      </c>
      <c r="I3120" t="n">
        <v>30</v>
      </c>
      <c r="J3120" t="inlineStr">
        <is>
          <t>BTBR</t>
        </is>
      </c>
      <c r="K3120" t="inlineStr">
        <is>
          <t xml:space="preserve"> Female</t>
        </is>
      </c>
      <c r="L3120" t="inlineStr">
        <is>
          <t>No focal subject</t>
        </is>
      </c>
      <c r="M3120" t="n">
        <v>53.634</v>
      </c>
      <c r="N3120" t="inlineStr">
        <is>
          <t>Explore_F</t>
        </is>
      </c>
      <c r="O3120" t="inlineStr">
        <is>
          <t>Familiar</t>
        </is>
      </c>
      <c r="P3120" t="inlineStr">
        <is>
          <t>STATE</t>
        </is>
      </c>
      <c r="Q3120" t="n">
        <v>29</v>
      </c>
      <c r="R3120" t="n">
        <v>30.033</v>
      </c>
      <c r="S3120" t="n">
        <v>1.033</v>
      </c>
      <c r="T3120" t="inlineStr">
        <is>
          <t>C:/Users/manuel.felline/Documents/BEHAVIOR BTBR/NOR second cohort/BTBR/test/c10_f3.mp4</t>
        </is>
      </c>
      <c r="U3120" t="n">
        <v>1099</v>
      </c>
      <c r="V3120" t="n">
        <v>1130</v>
      </c>
      <c r="W3120" t="n">
        <v/>
      </c>
      <c r="X3120" t="n">
        <v/>
      </c>
      <c r="Y3120" t="n">
        <v/>
      </c>
      <c r="Z3120" t="n">
        <v/>
      </c>
      <c r="AA3120">
        <f>SUMIFS($S$2:S3120,$A$2:A3120,A3120,$N$2:N3120,"Explore*")</f>
        <v/>
      </c>
      <c r="AB3120">
        <f>IF(AND(LEFT(N3120,7)="Explore",(AA3120-IF(LEFT(N3120,7)="Explore",S3120,0))&lt;10),"SI","NO")</f>
        <v/>
      </c>
    </row>
    <row r="3121">
      <c r="A3121" t="inlineStr">
        <is>
          <t>c10f3_test</t>
        </is>
      </c>
      <c r="B3121" t="inlineStr">
        <is>
          <t>2026-06-25 15:17:59.557</t>
        </is>
      </c>
      <c r="C3121" t="n">
        <v/>
      </c>
      <c r="D3121" t="inlineStr">
        <is>
          <t>Media file</t>
        </is>
      </c>
      <c r="E3121" t="inlineStr">
        <is>
          <t>player #1:C:/Users/manuel.felline/Documents/BEHAVIOR BTBR/NOR second cohort/BTBR/test/c10_f3.mp4</t>
        </is>
      </c>
      <c r="F3121" t="n">
        <v>-7.667</v>
      </c>
      <c r="G3121" t="n">
        <v>574.7329999999999</v>
      </c>
      <c r="H3121" t="n">
        <v>623.133</v>
      </c>
      <c r="I3121" t="n">
        <v>30</v>
      </c>
      <c r="J3121" t="inlineStr">
        <is>
          <t>BTBR</t>
        </is>
      </c>
      <c r="K3121" t="inlineStr">
        <is>
          <t xml:space="preserve"> Female</t>
        </is>
      </c>
      <c r="L3121" t="inlineStr">
        <is>
          <t>No focal subject</t>
        </is>
      </c>
      <c r="M3121" t="n">
        <v>53.634</v>
      </c>
      <c r="N3121" t="inlineStr">
        <is>
          <t>Explore_N</t>
        </is>
      </c>
      <c r="O3121" t="inlineStr">
        <is>
          <t>Novelty</t>
        </is>
      </c>
      <c r="P3121" t="inlineStr">
        <is>
          <t>STATE</t>
        </is>
      </c>
      <c r="Q3121" t="n">
        <v>32.066</v>
      </c>
      <c r="R3121" t="n">
        <v>34.1</v>
      </c>
      <c r="S3121" t="n">
        <v>2.034</v>
      </c>
      <c r="T3121" t="inlineStr">
        <is>
          <t>C:/Users/manuel.felline/Documents/BEHAVIOR BTBR/NOR second cohort/BTBR/test/c10_f3.mp4</t>
        </is>
      </c>
      <c r="U3121" t="n">
        <v>1191</v>
      </c>
      <c r="V3121" t="n">
        <v>1252</v>
      </c>
      <c r="W3121" t="n">
        <v/>
      </c>
      <c r="X3121" t="n">
        <v/>
      </c>
      <c r="Y3121" t="n">
        <v/>
      </c>
      <c r="Z3121" t="n">
        <v/>
      </c>
      <c r="AA3121">
        <f>SUMIFS($S$2:S3121,$A$2:A3121,A3121,$N$2:N3121,"Explore*")</f>
        <v/>
      </c>
      <c r="AB3121">
        <f>IF(AND(LEFT(N3121,7)="Explore",(AA3121-IF(LEFT(N3121,7)="Explore",S3121,0))&lt;10),"SI","NO")</f>
        <v/>
      </c>
    </row>
    <row r="3122">
      <c r="A3122" t="inlineStr">
        <is>
          <t>c10f3_test</t>
        </is>
      </c>
      <c r="B3122" t="inlineStr">
        <is>
          <t>2026-06-25 15:17:59.557</t>
        </is>
      </c>
      <c r="C3122" t="n">
        <v/>
      </c>
      <c r="D3122" t="inlineStr">
        <is>
          <t>Media file</t>
        </is>
      </c>
      <c r="E3122" t="inlineStr">
        <is>
          <t>player #1:C:/Users/manuel.felline/Documents/BEHAVIOR BTBR/NOR second cohort/BTBR/test/c10_f3.mp4</t>
        </is>
      </c>
      <c r="F3122" t="n">
        <v>-7.667</v>
      </c>
      <c r="G3122" t="n">
        <v>574.7329999999999</v>
      </c>
      <c r="H3122" t="n">
        <v>623.133</v>
      </c>
      <c r="I3122" t="n">
        <v>30</v>
      </c>
      <c r="J3122" t="inlineStr">
        <is>
          <t>BTBR</t>
        </is>
      </c>
      <c r="K3122" t="inlineStr">
        <is>
          <t xml:space="preserve"> Female</t>
        </is>
      </c>
      <c r="L3122" t="inlineStr">
        <is>
          <t>No focal subject</t>
        </is>
      </c>
      <c r="M3122" t="n">
        <v>53.634</v>
      </c>
      <c r="N3122" t="inlineStr">
        <is>
          <t>Explore_N</t>
        </is>
      </c>
      <c r="O3122" t="inlineStr">
        <is>
          <t>Novelty</t>
        </is>
      </c>
      <c r="P3122" t="inlineStr">
        <is>
          <t>STATE</t>
        </is>
      </c>
      <c r="Q3122" t="n">
        <v>37.566</v>
      </c>
      <c r="R3122" t="n">
        <v>38.066</v>
      </c>
      <c r="S3122" t="n">
        <v>0.5</v>
      </c>
      <c r="T3122" t="inlineStr">
        <is>
          <t>C:/Users/manuel.felline/Documents/BEHAVIOR BTBR/NOR second cohort/BTBR/test/c10_f3.mp4</t>
        </is>
      </c>
      <c r="U3122" t="n">
        <v>1356</v>
      </c>
      <c r="V3122" t="n">
        <v>1371</v>
      </c>
      <c r="W3122" t="n">
        <v/>
      </c>
      <c r="X3122" t="n">
        <v/>
      </c>
      <c r="Y3122" t="n">
        <v/>
      </c>
      <c r="Z3122" t="n">
        <v/>
      </c>
      <c r="AA3122">
        <f>SUMIFS($S$2:S3122,$A$2:A3122,A3122,$N$2:N3122,"Explore*")</f>
        <v/>
      </c>
      <c r="AB3122">
        <f>IF(AND(LEFT(N3122,7)="Explore",(AA3122-IF(LEFT(N3122,7)="Explore",S3122,0))&lt;10),"SI","NO")</f>
        <v/>
      </c>
    </row>
    <row r="3123">
      <c r="A3123" t="inlineStr">
        <is>
          <t>c10f3_test</t>
        </is>
      </c>
      <c r="B3123" t="inlineStr">
        <is>
          <t>2026-06-25 15:17:59.557</t>
        </is>
      </c>
      <c r="C3123" t="n">
        <v/>
      </c>
      <c r="D3123" t="inlineStr">
        <is>
          <t>Media file</t>
        </is>
      </c>
      <c r="E3123" t="inlineStr">
        <is>
          <t>player #1:C:/Users/manuel.felline/Documents/BEHAVIOR BTBR/NOR second cohort/BTBR/test/c10_f3.mp4</t>
        </is>
      </c>
      <c r="F3123" t="n">
        <v>-7.667</v>
      </c>
      <c r="G3123" t="n">
        <v>574.7329999999999</v>
      </c>
      <c r="H3123" t="n">
        <v>623.133</v>
      </c>
      <c r="I3123" t="n">
        <v>30</v>
      </c>
      <c r="J3123" t="inlineStr">
        <is>
          <t>BTBR</t>
        </is>
      </c>
      <c r="K3123" t="inlineStr">
        <is>
          <t xml:space="preserve"> Female</t>
        </is>
      </c>
      <c r="L3123" t="inlineStr">
        <is>
          <t>No focal subject</t>
        </is>
      </c>
      <c r="M3123" t="n">
        <v>53.634</v>
      </c>
      <c r="N3123" t="inlineStr">
        <is>
          <t>Explore_F</t>
        </is>
      </c>
      <c r="O3123" t="inlineStr">
        <is>
          <t>Familiar</t>
        </is>
      </c>
      <c r="P3123" t="inlineStr">
        <is>
          <t>STATE</t>
        </is>
      </c>
      <c r="Q3123" t="n">
        <v>38.7</v>
      </c>
      <c r="R3123" t="n">
        <v>39.666</v>
      </c>
      <c r="S3123" t="n">
        <v>0.966</v>
      </c>
      <c r="T3123" t="inlineStr">
        <is>
          <t>C:/Users/manuel.felline/Documents/BEHAVIOR BTBR/NOR second cohort/BTBR/test/c10_f3.mp4</t>
        </is>
      </c>
      <c r="U3123" t="n">
        <v>1390</v>
      </c>
      <c r="V3123" t="n">
        <v>1420</v>
      </c>
      <c r="W3123" t="n">
        <v/>
      </c>
      <c r="X3123" t="n">
        <v/>
      </c>
      <c r="Y3123" t="n">
        <v/>
      </c>
      <c r="Z3123" t="n">
        <v/>
      </c>
      <c r="AA3123">
        <f>SUMIFS($S$2:S3123,$A$2:A3123,A3123,$N$2:N3123,"Explore*")</f>
        <v/>
      </c>
      <c r="AB3123">
        <f>IF(AND(LEFT(N3123,7)="Explore",(AA3123-IF(LEFT(N3123,7)="Explore",S3123,0))&lt;10),"SI","NO")</f>
        <v/>
      </c>
    </row>
    <row r="3124">
      <c r="A3124" t="inlineStr">
        <is>
          <t>c10f3_test</t>
        </is>
      </c>
      <c r="B3124" t="inlineStr">
        <is>
          <t>2026-06-25 15:17:59.557</t>
        </is>
      </c>
      <c r="C3124" t="n">
        <v/>
      </c>
      <c r="D3124" t="inlineStr">
        <is>
          <t>Media file</t>
        </is>
      </c>
      <c r="E3124" t="inlineStr">
        <is>
          <t>player #1:C:/Users/manuel.felline/Documents/BEHAVIOR BTBR/NOR second cohort/BTBR/test/c10_f3.mp4</t>
        </is>
      </c>
      <c r="F3124" t="n">
        <v>-7.667</v>
      </c>
      <c r="G3124" t="n">
        <v>574.7329999999999</v>
      </c>
      <c r="H3124" t="n">
        <v>623.133</v>
      </c>
      <c r="I3124" t="n">
        <v>30</v>
      </c>
      <c r="J3124" t="inlineStr">
        <is>
          <t>BTBR</t>
        </is>
      </c>
      <c r="K3124" t="inlineStr">
        <is>
          <t xml:space="preserve"> Female</t>
        </is>
      </c>
      <c r="L3124" t="inlineStr">
        <is>
          <t>No focal subject</t>
        </is>
      </c>
      <c r="M3124" t="n">
        <v>53.634</v>
      </c>
      <c r="N3124" t="inlineStr">
        <is>
          <t>Explore_F</t>
        </is>
      </c>
      <c r="O3124" t="inlineStr">
        <is>
          <t>Familiar</t>
        </is>
      </c>
      <c r="P3124" t="inlineStr">
        <is>
          <t>STATE</t>
        </is>
      </c>
      <c r="Q3124" t="n">
        <v>46.7</v>
      </c>
      <c r="R3124" t="n">
        <v>47.933</v>
      </c>
      <c r="S3124" t="n">
        <v>1.233</v>
      </c>
      <c r="T3124" t="inlineStr">
        <is>
          <t>C:/Users/manuel.felline/Documents/BEHAVIOR BTBR/NOR second cohort/BTBR/test/c10_f3.mp4</t>
        </is>
      </c>
      <c r="U3124" t="n">
        <v>1630</v>
      </c>
      <c r="V3124" t="n">
        <v>1667</v>
      </c>
      <c r="W3124" t="n">
        <v/>
      </c>
      <c r="X3124" t="n">
        <v/>
      </c>
      <c r="Y3124" t="n">
        <v/>
      </c>
      <c r="Z3124" t="n">
        <v/>
      </c>
      <c r="AA3124">
        <f>SUMIFS($S$2:S3124,$A$2:A3124,A3124,$N$2:N3124,"Explore*")</f>
        <v/>
      </c>
      <c r="AB3124">
        <f>IF(AND(LEFT(N3124,7)="Explore",(AA3124-IF(LEFT(N3124,7)="Explore",S3124,0))&lt;10),"SI","NO")</f>
        <v/>
      </c>
    </row>
    <row r="3125">
      <c r="A3125" t="inlineStr">
        <is>
          <t>c10f3_test</t>
        </is>
      </c>
      <c r="B3125" t="inlineStr">
        <is>
          <t>2026-06-25 15:17:59.557</t>
        </is>
      </c>
      <c r="C3125" t="n">
        <v/>
      </c>
      <c r="D3125" t="inlineStr">
        <is>
          <t>Media file</t>
        </is>
      </c>
      <c r="E3125" t="inlineStr">
        <is>
          <t>player #1:C:/Users/manuel.felline/Documents/BEHAVIOR BTBR/NOR second cohort/BTBR/test/c10_f3.mp4</t>
        </is>
      </c>
      <c r="F3125" t="n">
        <v>-7.667</v>
      </c>
      <c r="G3125" t="n">
        <v>574.7329999999999</v>
      </c>
      <c r="H3125" t="n">
        <v>623.133</v>
      </c>
      <c r="I3125" t="n">
        <v>30</v>
      </c>
      <c r="J3125" t="inlineStr">
        <is>
          <t>BTBR</t>
        </is>
      </c>
      <c r="K3125" t="inlineStr">
        <is>
          <t xml:space="preserve"> Female</t>
        </is>
      </c>
      <c r="L3125" t="inlineStr">
        <is>
          <t>No focal subject</t>
        </is>
      </c>
      <c r="M3125" t="n">
        <v>53.634</v>
      </c>
      <c r="N3125" t="inlineStr">
        <is>
          <t>Explore_N</t>
        </is>
      </c>
      <c r="O3125" t="inlineStr">
        <is>
          <t>Novelty</t>
        </is>
      </c>
      <c r="P3125" t="inlineStr">
        <is>
          <t>STATE</t>
        </is>
      </c>
      <c r="Q3125" t="n">
        <v>55.666</v>
      </c>
      <c r="R3125" t="n">
        <v>57.3</v>
      </c>
      <c r="S3125" t="n">
        <v>1.634</v>
      </c>
      <c r="T3125" t="inlineStr">
        <is>
          <t>C:/Users/manuel.felline/Documents/BEHAVIOR BTBR/NOR second cohort/BTBR/test/c10_f3.mp4</t>
        </is>
      </c>
      <c r="U3125" t="n">
        <v>1899</v>
      </c>
      <c r="V3125" t="n">
        <v>1948</v>
      </c>
      <c r="W3125" t="n">
        <v/>
      </c>
      <c r="X3125" t="n">
        <v/>
      </c>
      <c r="Y3125" t="n">
        <v/>
      </c>
      <c r="Z3125" t="n">
        <v/>
      </c>
      <c r="AA3125">
        <f>SUMIFS($S$2:S3125,$A$2:A3125,A3125,$N$2:N3125,"Explore*")</f>
        <v/>
      </c>
      <c r="AB3125">
        <f>IF(AND(LEFT(N3125,7)="Explore",(AA3125-IF(LEFT(N3125,7)="Explore",S3125,0))&lt;10),"SI","NO")</f>
        <v/>
      </c>
    </row>
    <row r="3126">
      <c r="A3126" t="inlineStr">
        <is>
          <t>c10f3_test</t>
        </is>
      </c>
      <c r="B3126" t="inlineStr">
        <is>
          <t>2026-06-25 15:17:59.557</t>
        </is>
      </c>
      <c r="C3126" t="n">
        <v/>
      </c>
      <c r="D3126" t="inlineStr">
        <is>
          <t>Media file</t>
        </is>
      </c>
      <c r="E3126" t="inlineStr">
        <is>
          <t>player #1:C:/Users/manuel.felline/Documents/BEHAVIOR BTBR/NOR second cohort/BTBR/test/c10_f3.mp4</t>
        </is>
      </c>
      <c r="F3126" t="n">
        <v>-7.667</v>
      </c>
      <c r="G3126" t="n">
        <v>574.7329999999999</v>
      </c>
      <c r="H3126" t="n">
        <v>623.133</v>
      </c>
      <c r="I3126" t="n">
        <v>30</v>
      </c>
      <c r="J3126" t="inlineStr">
        <is>
          <t>BTBR</t>
        </is>
      </c>
      <c r="K3126" t="inlineStr">
        <is>
          <t xml:space="preserve"> Female</t>
        </is>
      </c>
      <c r="L3126" t="inlineStr">
        <is>
          <t>No focal subject</t>
        </is>
      </c>
      <c r="M3126" t="n">
        <v>53.634</v>
      </c>
      <c r="N3126" t="inlineStr">
        <is>
          <t>Explore_N</t>
        </is>
      </c>
      <c r="O3126" t="inlineStr">
        <is>
          <t>Novelty</t>
        </is>
      </c>
      <c r="P3126" t="inlineStr">
        <is>
          <t>STATE</t>
        </is>
      </c>
      <c r="Q3126" t="n">
        <v>60.566</v>
      </c>
      <c r="R3126" t="n">
        <v>61.733</v>
      </c>
      <c r="S3126" t="n">
        <v>1.167</v>
      </c>
      <c r="T3126" t="inlineStr">
        <is>
          <t>C:/Users/manuel.felline/Documents/BEHAVIOR BTBR/NOR second cohort/BTBR/test/c10_f3.mp4</t>
        </is>
      </c>
      <c r="U3126" t="n">
        <v>2046</v>
      </c>
      <c r="V3126" t="n">
        <v>2081</v>
      </c>
      <c r="W3126" t="n">
        <v/>
      </c>
      <c r="X3126" t="n">
        <v/>
      </c>
      <c r="Y3126" t="n">
        <v/>
      </c>
      <c r="Z3126" t="n">
        <v/>
      </c>
      <c r="AA3126">
        <f>SUMIFS($S$2:S3126,$A$2:A3126,A3126,$N$2:N3126,"Explore*")</f>
        <v/>
      </c>
      <c r="AB3126">
        <f>IF(AND(LEFT(N3126,7)="Explore",(AA3126-IF(LEFT(N3126,7)="Explore",S3126,0))&lt;10),"SI","NO")</f>
        <v/>
      </c>
    </row>
    <row r="3127">
      <c r="A3127" t="inlineStr">
        <is>
          <t>c10f3_test</t>
        </is>
      </c>
      <c r="B3127" t="inlineStr">
        <is>
          <t>2026-06-25 15:17:59.557</t>
        </is>
      </c>
      <c r="C3127" t="n">
        <v/>
      </c>
      <c r="D3127" t="inlineStr">
        <is>
          <t>Media file</t>
        </is>
      </c>
      <c r="E3127" t="inlineStr">
        <is>
          <t>player #1:C:/Users/manuel.felline/Documents/BEHAVIOR BTBR/NOR second cohort/BTBR/test/c10_f3.mp4</t>
        </is>
      </c>
      <c r="F3127" t="n">
        <v>-7.667</v>
      </c>
      <c r="G3127" t="n">
        <v>574.7329999999999</v>
      </c>
      <c r="H3127" t="n">
        <v>623.133</v>
      </c>
      <c r="I3127" t="n">
        <v>30</v>
      </c>
      <c r="J3127" t="inlineStr">
        <is>
          <t>BTBR</t>
        </is>
      </c>
      <c r="K3127" t="inlineStr">
        <is>
          <t xml:space="preserve"> Female</t>
        </is>
      </c>
      <c r="L3127" t="inlineStr">
        <is>
          <t>No focal subject</t>
        </is>
      </c>
      <c r="M3127" t="n">
        <v>53.634</v>
      </c>
      <c r="N3127" t="inlineStr">
        <is>
          <t>Explore_N</t>
        </is>
      </c>
      <c r="O3127" t="inlineStr">
        <is>
          <t>Novelty</t>
        </is>
      </c>
      <c r="P3127" t="inlineStr">
        <is>
          <t>STATE</t>
        </is>
      </c>
      <c r="Q3127" t="n">
        <v>63.766</v>
      </c>
      <c r="R3127" t="n">
        <v>65.033</v>
      </c>
      <c r="S3127" t="n">
        <v>1.267</v>
      </c>
      <c r="T3127" t="inlineStr">
        <is>
          <t>C:/Users/manuel.felline/Documents/BEHAVIOR BTBR/NOR second cohort/BTBR/test/c10_f3.mp4</t>
        </is>
      </c>
      <c r="U3127" t="n">
        <v>2142</v>
      </c>
      <c r="V3127" t="n">
        <v>2180</v>
      </c>
      <c r="W3127" t="n">
        <v/>
      </c>
      <c r="X3127" t="n">
        <v/>
      </c>
      <c r="Y3127" t="n">
        <v/>
      </c>
      <c r="Z3127" t="n">
        <v/>
      </c>
      <c r="AA3127">
        <f>SUMIFS($S$2:S3127,$A$2:A3127,A3127,$N$2:N3127,"Explore*")</f>
        <v/>
      </c>
      <c r="AB3127">
        <f>IF(AND(LEFT(N3127,7)="Explore",(AA3127-IF(LEFT(N3127,7)="Explore",S3127,0))&lt;10),"SI","NO")</f>
        <v/>
      </c>
    </row>
    <row r="3128">
      <c r="A3128" t="inlineStr">
        <is>
          <t>c10f3_test</t>
        </is>
      </c>
      <c r="B3128" t="inlineStr">
        <is>
          <t>2026-06-25 15:17:59.557</t>
        </is>
      </c>
      <c r="C3128" t="n">
        <v/>
      </c>
      <c r="D3128" t="inlineStr">
        <is>
          <t>Media file</t>
        </is>
      </c>
      <c r="E3128" t="inlineStr">
        <is>
          <t>player #1:C:/Users/manuel.felline/Documents/BEHAVIOR BTBR/NOR second cohort/BTBR/test/c10_f3.mp4</t>
        </is>
      </c>
      <c r="F3128" t="n">
        <v>-7.667</v>
      </c>
      <c r="G3128" t="n">
        <v>574.7329999999999</v>
      </c>
      <c r="H3128" t="n">
        <v>623.133</v>
      </c>
      <c r="I3128" t="n">
        <v>30</v>
      </c>
      <c r="J3128" t="inlineStr">
        <is>
          <t>BTBR</t>
        </is>
      </c>
      <c r="K3128" t="inlineStr">
        <is>
          <t xml:space="preserve"> Female</t>
        </is>
      </c>
      <c r="L3128" t="inlineStr">
        <is>
          <t>No focal subject</t>
        </is>
      </c>
      <c r="M3128" t="n">
        <v>53.634</v>
      </c>
      <c r="N3128" t="inlineStr">
        <is>
          <t>Explore_N</t>
        </is>
      </c>
      <c r="O3128" t="inlineStr">
        <is>
          <t>Novelty</t>
        </is>
      </c>
      <c r="P3128" t="inlineStr">
        <is>
          <t>STATE</t>
        </is>
      </c>
      <c r="Q3128" t="n">
        <v>72.7</v>
      </c>
      <c r="R3128" t="n">
        <v>75.59999999999999</v>
      </c>
      <c r="S3128" t="n">
        <v>2.9</v>
      </c>
      <c r="T3128" t="inlineStr">
        <is>
          <t>C:/Users/manuel.felline/Documents/BEHAVIOR BTBR/NOR second cohort/BTBR/test/c10_f3.mp4</t>
        </is>
      </c>
      <c r="U3128" t="n">
        <v>2410</v>
      </c>
      <c r="V3128" t="n">
        <v>2497</v>
      </c>
      <c r="W3128" t="n">
        <v/>
      </c>
      <c r="X3128" t="n">
        <v/>
      </c>
      <c r="Y3128" t="n">
        <v/>
      </c>
      <c r="Z3128" t="n">
        <v/>
      </c>
      <c r="AA3128">
        <f>SUMIFS($S$2:S3128,$A$2:A3128,A3128,$N$2:N3128,"Explore*")</f>
        <v/>
      </c>
      <c r="AB3128">
        <f>IF(AND(LEFT(N3128,7)="Explore",(AA3128-IF(LEFT(N3128,7)="Explore",S3128,0))&lt;10),"SI","NO")</f>
        <v/>
      </c>
    </row>
    <row r="3129">
      <c r="A3129" t="inlineStr">
        <is>
          <t>c10f3_test</t>
        </is>
      </c>
      <c r="B3129" t="inlineStr">
        <is>
          <t>2026-06-25 15:17:59.557</t>
        </is>
      </c>
      <c r="C3129" t="n">
        <v/>
      </c>
      <c r="D3129" t="inlineStr">
        <is>
          <t>Media file</t>
        </is>
      </c>
      <c r="E3129" t="inlineStr">
        <is>
          <t>player #1:C:/Users/manuel.felline/Documents/BEHAVIOR BTBR/NOR second cohort/BTBR/test/c10_f3.mp4</t>
        </is>
      </c>
      <c r="F3129" t="n">
        <v>-7.667</v>
      </c>
      <c r="G3129" t="n">
        <v>574.7329999999999</v>
      </c>
      <c r="H3129" t="n">
        <v>623.133</v>
      </c>
      <c r="I3129" t="n">
        <v>30</v>
      </c>
      <c r="J3129" t="inlineStr">
        <is>
          <t>BTBR</t>
        </is>
      </c>
      <c r="K3129" t="inlineStr">
        <is>
          <t xml:space="preserve"> Female</t>
        </is>
      </c>
      <c r="L3129" t="inlineStr">
        <is>
          <t>No focal subject</t>
        </is>
      </c>
      <c r="M3129" t="n">
        <v>53.634</v>
      </c>
      <c r="N3129" t="inlineStr">
        <is>
          <t>Explore_F</t>
        </is>
      </c>
      <c r="O3129" t="inlineStr">
        <is>
          <t>Familiar</t>
        </is>
      </c>
      <c r="P3129" t="inlineStr">
        <is>
          <t>STATE</t>
        </is>
      </c>
      <c r="Q3129" t="n">
        <v>78.633</v>
      </c>
      <c r="R3129" t="n">
        <v>79.59999999999999</v>
      </c>
      <c r="S3129" t="n">
        <v>0.967</v>
      </c>
      <c r="T3129" t="inlineStr">
        <is>
          <t>C:/Users/manuel.felline/Documents/BEHAVIOR BTBR/NOR second cohort/BTBR/test/c10_f3.mp4</t>
        </is>
      </c>
      <c r="U3129" t="n">
        <v>2588</v>
      </c>
      <c r="V3129" t="n">
        <v>2617</v>
      </c>
      <c r="W3129" t="n">
        <v/>
      </c>
      <c r="X3129" t="n">
        <v/>
      </c>
      <c r="Y3129" t="n">
        <v/>
      </c>
      <c r="Z3129" t="n">
        <v/>
      </c>
      <c r="AA3129">
        <f>SUMIFS($S$2:S3129,$A$2:A3129,A3129,$N$2:N3129,"Explore*")</f>
        <v/>
      </c>
      <c r="AB3129">
        <f>IF(AND(LEFT(N3129,7)="Explore",(AA3129-IF(LEFT(N3129,7)="Explore",S3129,0))&lt;10),"SI","NO")</f>
        <v/>
      </c>
    </row>
    <row r="3130">
      <c r="A3130" t="inlineStr">
        <is>
          <t>c10f3_test</t>
        </is>
      </c>
      <c r="B3130" t="inlineStr">
        <is>
          <t>2026-06-25 15:17:59.557</t>
        </is>
      </c>
      <c r="C3130" t="n">
        <v/>
      </c>
      <c r="D3130" t="inlineStr">
        <is>
          <t>Media file</t>
        </is>
      </c>
      <c r="E3130" t="inlineStr">
        <is>
          <t>player #1:C:/Users/manuel.felline/Documents/BEHAVIOR BTBR/NOR second cohort/BTBR/test/c10_f3.mp4</t>
        </is>
      </c>
      <c r="F3130" t="n">
        <v>-7.667</v>
      </c>
      <c r="G3130" t="n">
        <v>574.7329999999999</v>
      </c>
      <c r="H3130" t="n">
        <v>623.133</v>
      </c>
      <c r="I3130" t="n">
        <v>30</v>
      </c>
      <c r="J3130" t="inlineStr">
        <is>
          <t>BTBR</t>
        </is>
      </c>
      <c r="K3130" t="inlineStr">
        <is>
          <t xml:space="preserve"> Female</t>
        </is>
      </c>
      <c r="L3130" t="inlineStr">
        <is>
          <t>No focal subject</t>
        </is>
      </c>
      <c r="M3130" t="n">
        <v>53.634</v>
      </c>
      <c r="N3130" t="inlineStr">
        <is>
          <t>Explore_F</t>
        </is>
      </c>
      <c r="O3130" t="inlineStr">
        <is>
          <t>Familiar</t>
        </is>
      </c>
      <c r="P3130" t="inlineStr">
        <is>
          <t>STATE</t>
        </is>
      </c>
      <c r="Q3130" t="n">
        <v>101.366</v>
      </c>
      <c r="R3130" t="n">
        <v>101.866</v>
      </c>
      <c r="S3130" t="n">
        <v>0.5</v>
      </c>
      <c r="T3130" t="inlineStr">
        <is>
          <t>C:/Users/manuel.felline/Documents/BEHAVIOR BTBR/NOR second cohort/BTBR/test/c10_f3.mp4</t>
        </is>
      </c>
      <c r="U3130" t="n">
        <v>3269</v>
      </c>
      <c r="V3130" t="n">
        <v>3284</v>
      </c>
      <c r="W3130" t="n">
        <v/>
      </c>
      <c r="X3130" t="n">
        <v/>
      </c>
      <c r="Y3130" t="n">
        <v/>
      </c>
      <c r="Z3130" t="n">
        <v/>
      </c>
      <c r="AA3130">
        <f>SUMIFS($S$2:S3130,$A$2:A3130,A3130,$N$2:N3130,"Explore*")</f>
        <v/>
      </c>
      <c r="AB3130">
        <f>IF(AND(LEFT(N3130,7)="Explore",(AA3130-IF(LEFT(N3130,7)="Explore",S3130,0))&lt;10),"SI","NO")</f>
        <v/>
      </c>
    </row>
    <row r="3131">
      <c r="A3131" t="inlineStr">
        <is>
          <t>c10f3_test</t>
        </is>
      </c>
      <c r="B3131" t="inlineStr">
        <is>
          <t>2026-06-25 15:17:59.557</t>
        </is>
      </c>
      <c r="C3131" t="n">
        <v/>
      </c>
      <c r="D3131" t="inlineStr">
        <is>
          <t>Media file</t>
        </is>
      </c>
      <c r="E3131" t="inlineStr">
        <is>
          <t>player #1:C:/Users/manuel.felline/Documents/BEHAVIOR BTBR/NOR second cohort/BTBR/test/c10_f3.mp4</t>
        </is>
      </c>
      <c r="F3131" t="n">
        <v>-7.667</v>
      </c>
      <c r="G3131" t="n">
        <v>574.7329999999999</v>
      </c>
      <c r="H3131" t="n">
        <v>623.133</v>
      </c>
      <c r="I3131" t="n">
        <v>30</v>
      </c>
      <c r="J3131" t="inlineStr">
        <is>
          <t>BTBR</t>
        </is>
      </c>
      <c r="K3131" t="inlineStr">
        <is>
          <t xml:space="preserve"> Female</t>
        </is>
      </c>
      <c r="L3131" t="inlineStr">
        <is>
          <t>No focal subject</t>
        </is>
      </c>
      <c r="M3131" t="n">
        <v>53.634</v>
      </c>
      <c r="N3131" t="inlineStr">
        <is>
          <t>Explore_N</t>
        </is>
      </c>
      <c r="O3131" t="inlineStr">
        <is>
          <t>Novelty</t>
        </is>
      </c>
      <c r="P3131" t="inlineStr">
        <is>
          <t>STATE</t>
        </is>
      </c>
      <c r="Q3131" t="n">
        <v>102.633</v>
      </c>
      <c r="R3131" t="n">
        <v>103.833</v>
      </c>
      <c r="S3131" t="n">
        <v>1.2</v>
      </c>
      <c r="T3131" t="inlineStr">
        <is>
          <t>C:/Users/manuel.felline/Documents/BEHAVIOR BTBR/NOR second cohort/BTBR/test/c10_f3.mp4</t>
        </is>
      </c>
      <c r="U3131" t="n">
        <v>3307</v>
      </c>
      <c r="V3131" t="n">
        <v>3343</v>
      </c>
      <c r="W3131" t="n">
        <v/>
      </c>
      <c r="X3131" t="n">
        <v/>
      </c>
      <c r="Y3131" t="n">
        <v/>
      </c>
      <c r="Z3131" t="n">
        <v/>
      </c>
      <c r="AA3131">
        <f>SUMIFS($S$2:S3131,$A$2:A3131,A3131,$N$2:N3131,"Explore*")</f>
        <v/>
      </c>
      <c r="AB3131">
        <f>IF(AND(LEFT(N3131,7)="Explore",(AA3131-IF(LEFT(N3131,7)="Explore",S3131,0))&lt;10),"SI","NO")</f>
        <v/>
      </c>
    </row>
    <row r="3132">
      <c r="A3132" t="inlineStr">
        <is>
          <t>c10f3_test</t>
        </is>
      </c>
      <c r="B3132" t="inlineStr">
        <is>
          <t>2026-06-25 15:17:59.557</t>
        </is>
      </c>
      <c r="C3132" t="n">
        <v/>
      </c>
      <c r="D3132" t="inlineStr">
        <is>
          <t>Media file</t>
        </is>
      </c>
      <c r="E3132" t="inlineStr">
        <is>
          <t>player #1:C:/Users/manuel.felline/Documents/BEHAVIOR BTBR/NOR second cohort/BTBR/test/c10_f3.mp4</t>
        </is>
      </c>
      <c r="F3132" t="n">
        <v>-7.667</v>
      </c>
      <c r="G3132" t="n">
        <v>574.7329999999999</v>
      </c>
      <c r="H3132" t="n">
        <v>623.133</v>
      </c>
      <c r="I3132" t="n">
        <v>30</v>
      </c>
      <c r="J3132" t="inlineStr">
        <is>
          <t>BTBR</t>
        </is>
      </c>
      <c r="K3132" t="inlineStr">
        <is>
          <t xml:space="preserve"> Female</t>
        </is>
      </c>
      <c r="L3132" t="inlineStr">
        <is>
          <t>No focal subject</t>
        </is>
      </c>
      <c r="M3132" t="n">
        <v>53.634</v>
      </c>
      <c r="N3132" t="inlineStr">
        <is>
          <t>Explore_F</t>
        </is>
      </c>
      <c r="O3132" t="inlineStr">
        <is>
          <t>Familiar</t>
        </is>
      </c>
      <c r="P3132" t="inlineStr">
        <is>
          <t>STATE</t>
        </is>
      </c>
      <c r="Q3132" t="n">
        <v>114.966</v>
      </c>
      <c r="R3132" t="n">
        <v>115.7</v>
      </c>
      <c r="S3132" t="n">
        <v>0.734</v>
      </c>
      <c r="T3132" t="inlineStr">
        <is>
          <t>C:/Users/manuel.felline/Documents/BEHAVIOR BTBR/NOR second cohort/BTBR/test/c10_f3.mp4</t>
        </is>
      </c>
      <c r="U3132" t="n">
        <v>3677</v>
      </c>
      <c r="V3132" t="n">
        <v>3699</v>
      </c>
      <c r="W3132" t="n">
        <v/>
      </c>
      <c r="X3132" t="n">
        <v/>
      </c>
      <c r="Y3132" t="n">
        <v/>
      </c>
      <c r="Z3132" t="n">
        <v/>
      </c>
      <c r="AA3132">
        <f>SUMIFS($S$2:S3132,$A$2:A3132,A3132,$N$2:N3132,"Explore*")</f>
        <v/>
      </c>
      <c r="AB3132">
        <f>IF(AND(LEFT(N3132,7)="Explore",(AA3132-IF(LEFT(N3132,7)="Explore",S3132,0))&lt;10),"SI","NO")</f>
        <v/>
      </c>
    </row>
    <row r="3133">
      <c r="A3133" t="inlineStr">
        <is>
          <t>c10f3_test</t>
        </is>
      </c>
      <c r="B3133" t="inlineStr">
        <is>
          <t>2026-06-25 15:17:59.557</t>
        </is>
      </c>
      <c r="C3133" t="n">
        <v/>
      </c>
      <c r="D3133" t="inlineStr">
        <is>
          <t>Media file</t>
        </is>
      </c>
      <c r="E3133" t="inlineStr">
        <is>
          <t>player #1:C:/Users/manuel.felline/Documents/BEHAVIOR BTBR/NOR second cohort/BTBR/test/c10_f3.mp4</t>
        </is>
      </c>
      <c r="F3133" t="n">
        <v>-7.667</v>
      </c>
      <c r="G3133" t="n">
        <v>574.7329999999999</v>
      </c>
      <c r="H3133" t="n">
        <v>623.133</v>
      </c>
      <c r="I3133" t="n">
        <v>30</v>
      </c>
      <c r="J3133" t="inlineStr">
        <is>
          <t>BTBR</t>
        </is>
      </c>
      <c r="K3133" t="inlineStr">
        <is>
          <t xml:space="preserve"> Female</t>
        </is>
      </c>
      <c r="L3133" t="inlineStr">
        <is>
          <t>No focal subject</t>
        </is>
      </c>
      <c r="M3133" t="n">
        <v>53.634</v>
      </c>
      <c r="N3133" t="inlineStr">
        <is>
          <t>Explore_N</t>
        </is>
      </c>
      <c r="O3133" t="inlineStr">
        <is>
          <t>Novelty</t>
        </is>
      </c>
      <c r="P3133" t="inlineStr">
        <is>
          <t>STATE</t>
        </is>
      </c>
      <c r="Q3133" t="n">
        <v>127.9</v>
      </c>
      <c r="R3133" t="n">
        <v>129.9</v>
      </c>
      <c r="S3133" t="n">
        <v>2</v>
      </c>
      <c r="T3133" t="inlineStr">
        <is>
          <t>C:/Users/manuel.felline/Documents/BEHAVIOR BTBR/NOR second cohort/BTBR/test/c10_f3.mp4</t>
        </is>
      </c>
      <c r="U3133" t="n">
        <v>4065</v>
      </c>
      <c r="V3133" t="n">
        <v>4125</v>
      </c>
      <c r="W3133" t="n">
        <v/>
      </c>
      <c r="X3133" t="n">
        <v/>
      </c>
      <c r="Y3133" t="n">
        <v/>
      </c>
      <c r="Z3133" t="n">
        <v/>
      </c>
      <c r="AA3133">
        <f>SUMIFS($S$2:S3133,$A$2:A3133,A3133,$N$2:N3133,"Explore*")</f>
        <v/>
      </c>
      <c r="AB3133">
        <f>IF(AND(LEFT(N3133,7)="Explore",(AA3133-IF(LEFT(N3133,7)="Explore",S3133,0))&lt;10),"SI","NO")</f>
        <v/>
      </c>
    </row>
    <row r="3134">
      <c r="A3134" t="inlineStr">
        <is>
          <t>c10f3_test</t>
        </is>
      </c>
      <c r="B3134" t="inlineStr">
        <is>
          <t>2026-06-25 15:17:59.557</t>
        </is>
      </c>
      <c r="C3134" t="n">
        <v/>
      </c>
      <c r="D3134" t="inlineStr">
        <is>
          <t>Media file</t>
        </is>
      </c>
      <c r="E3134" t="inlineStr">
        <is>
          <t>player #1:C:/Users/manuel.felline/Documents/BEHAVIOR BTBR/NOR second cohort/BTBR/test/c10_f3.mp4</t>
        </is>
      </c>
      <c r="F3134" t="n">
        <v>-7.667</v>
      </c>
      <c r="G3134" t="n">
        <v>574.7329999999999</v>
      </c>
      <c r="H3134" t="n">
        <v>623.133</v>
      </c>
      <c r="I3134" t="n">
        <v>30</v>
      </c>
      <c r="J3134" t="inlineStr">
        <is>
          <t>BTBR</t>
        </is>
      </c>
      <c r="K3134" t="inlineStr">
        <is>
          <t xml:space="preserve"> Female</t>
        </is>
      </c>
      <c r="L3134" t="inlineStr">
        <is>
          <t>No focal subject</t>
        </is>
      </c>
      <c r="M3134" t="n">
        <v>53.634</v>
      </c>
      <c r="N3134" t="inlineStr">
        <is>
          <t>Explore_F</t>
        </is>
      </c>
      <c r="O3134" t="inlineStr">
        <is>
          <t>Familiar</t>
        </is>
      </c>
      <c r="P3134" t="inlineStr">
        <is>
          <t>STATE</t>
        </is>
      </c>
      <c r="Q3134" t="n">
        <v>131.8</v>
      </c>
      <c r="R3134" t="n">
        <v>133.8</v>
      </c>
      <c r="S3134" t="n">
        <v>2</v>
      </c>
      <c r="T3134" t="inlineStr">
        <is>
          <t>C:/Users/manuel.felline/Documents/BEHAVIOR BTBR/NOR second cohort/BTBR/test/c10_f3.mp4</t>
        </is>
      </c>
      <c r="U3134" t="n">
        <v>4182</v>
      </c>
      <c r="V3134" t="n">
        <v>4242</v>
      </c>
      <c r="W3134" t="n">
        <v/>
      </c>
      <c r="X3134" t="n">
        <v/>
      </c>
      <c r="Y3134" t="n">
        <v/>
      </c>
      <c r="Z3134" t="n">
        <v/>
      </c>
      <c r="AA3134">
        <f>SUMIFS($S$2:S3134,$A$2:A3134,A3134,$N$2:N3134,"Explore*")</f>
        <v/>
      </c>
      <c r="AB3134">
        <f>IF(AND(LEFT(N3134,7)="Explore",(AA3134-IF(LEFT(N3134,7)="Explore",S3134,0))&lt;10),"SI","NO")</f>
        <v/>
      </c>
    </row>
    <row r="3135">
      <c r="A3135" t="inlineStr">
        <is>
          <t>c10f3_test</t>
        </is>
      </c>
      <c r="B3135" t="inlineStr">
        <is>
          <t>2026-06-25 15:17:59.557</t>
        </is>
      </c>
      <c r="C3135" t="n">
        <v/>
      </c>
      <c r="D3135" t="inlineStr">
        <is>
          <t>Media file</t>
        </is>
      </c>
      <c r="E3135" t="inlineStr">
        <is>
          <t>player #1:C:/Users/manuel.felline/Documents/BEHAVIOR BTBR/NOR second cohort/BTBR/test/c10_f3.mp4</t>
        </is>
      </c>
      <c r="F3135" t="n">
        <v>-7.667</v>
      </c>
      <c r="G3135" t="n">
        <v>574.7329999999999</v>
      </c>
      <c r="H3135" t="n">
        <v>623.133</v>
      </c>
      <c r="I3135" t="n">
        <v>30</v>
      </c>
      <c r="J3135" t="inlineStr">
        <is>
          <t>BTBR</t>
        </is>
      </c>
      <c r="K3135" t="inlineStr">
        <is>
          <t xml:space="preserve"> Female</t>
        </is>
      </c>
      <c r="L3135" t="inlineStr">
        <is>
          <t>No focal subject</t>
        </is>
      </c>
      <c r="M3135" t="n">
        <v>53.634</v>
      </c>
      <c r="N3135" t="inlineStr">
        <is>
          <t>Explore_N</t>
        </is>
      </c>
      <c r="O3135" t="inlineStr">
        <is>
          <t>Novelty</t>
        </is>
      </c>
      <c r="P3135" t="inlineStr">
        <is>
          <t>STATE</t>
        </is>
      </c>
      <c r="Q3135" t="n">
        <v>134.4</v>
      </c>
      <c r="R3135" t="n">
        <v>135.533</v>
      </c>
      <c r="S3135" t="n">
        <v>1.133</v>
      </c>
      <c r="T3135" t="inlineStr">
        <is>
          <t>C:/Users/manuel.felline/Documents/BEHAVIOR BTBR/NOR second cohort/BTBR/test/c10_f3.mp4</t>
        </is>
      </c>
      <c r="U3135" t="n">
        <v>4260</v>
      </c>
      <c r="V3135" t="n">
        <v>4294</v>
      </c>
      <c r="W3135" t="n">
        <v/>
      </c>
      <c r="X3135" t="n">
        <v/>
      </c>
      <c r="Y3135" t="n">
        <v/>
      </c>
      <c r="Z3135" t="n">
        <v/>
      </c>
      <c r="AA3135">
        <f>SUMIFS($S$2:S3135,$A$2:A3135,A3135,$N$2:N3135,"Explore*")</f>
        <v/>
      </c>
      <c r="AB3135">
        <f>IF(AND(LEFT(N3135,7)="Explore",(AA3135-IF(LEFT(N3135,7)="Explore",S3135,0))&lt;10),"SI","NO")</f>
        <v/>
      </c>
    </row>
    <row r="3136">
      <c r="A3136" t="inlineStr">
        <is>
          <t>c10f3_test</t>
        </is>
      </c>
      <c r="B3136" t="inlineStr">
        <is>
          <t>2026-06-25 15:17:59.557</t>
        </is>
      </c>
      <c r="C3136" t="n">
        <v/>
      </c>
      <c r="D3136" t="inlineStr">
        <is>
          <t>Media file</t>
        </is>
      </c>
      <c r="E3136" t="inlineStr">
        <is>
          <t>player #1:C:/Users/manuel.felline/Documents/BEHAVIOR BTBR/NOR second cohort/BTBR/test/c10_f3.mp4</t>
        </is>
      </c>
      <c r="F3136" t="n">
        <v>-7.667</v>
      </c>
      <c r="G3136" t="n">
        <v>574.7329999999999</v>
      </c>
      <c r="H3136" t="n">
        <v>623.133</v>
      </c>
      <c r="I3136" t="n">
        <v>30</v>
      </c>
      <c r="J3136" t="inlineStr">
        <is>
          <t>BTBR</t>
        </is>
      </c>
      <c r="K3136" t="inlineStr">
        <is>
          <t xml:space="preserve"> Female</t>
        </is>
      </c>
      <c r="L3136" t="inlineStr">
        <is>
          <t>No focal subject</t>
        </is>
      </c>
      <c r="M3136" t="n">
        <v>53.634</v>
      </c>
      <c r="N3136" t="inlineStr">
        <is>
          <t>Explore_N</t>
        </is>
      </c>
      <c r="O3136" t="inlineStr">
        <is>
          <t>Novelty</t>
        </is>
      </c>
      <c r="P3136" t="inlineStr">
        <is>
          <t>STATE</t>
        </is>
      </c>
      <c r="Q3136" t="n">
        <v>147.866</v>
      </c>
      <c r="R3136" t="n">
        <v>149</v>
      </c>
      <c r="S3136" t="n">
        <v>1.134</v>
      </c>
      <c r="T3136" t="inlineStr">
        <is>
          <t>C:/Users/manuel.felline/Documents/BEHAVIOR BTBR/NOR second cohort/BTBR/test/c10_f3.mp4</t>
        </is>
      </c>
      <c r="U3136" t="n">
        <v>4664</v>
      </c>
      <c r="V3136" t="n">
        <v>4698</v>
      </c>
      <c r="W3136" t="n">
        <v/>
      </c>
      <c r="X3136" t="n">
        <v/>
      </c>
      <c r="Y3136" t="n">
        <v/>
      </c>
      <c r="Z3136" t="n">
        <v/>
      </c>
      <c r="AA3136">
        <f>SUMIFS($S$2:S3136,$A$2:A3136,A3136,$N$2:N3136,"Explore*")</f>
        <v/>
      </c>
      <c r="AB3136">
        <f>IF(AND(LEFT(N3136,7)="Explore",(AA3136-IF(LEFT(N3136,7)="Explore",S3136,0))&lt;10),"SI","NO")</f>
        <v/>
      </c>
    </row>
    <row r="3137">
      <c r="A3137" t="inlineStr">
        <is>
          <t>c10f3_test</t>
        </is>
      </c>
      <c r="B3137" t="inlineStr">
        <is>
          <t>2026-06-25 15:17:59.557</t>
        </is>
      </c>
      <c r="C3137" t="n">
        <v/>
      </c>
      <c r="D3137" t="inlineStr">
        <is>
          <t>Media file</t>
        </is>
      </c>
      <c r="E3137" t="inlineStr">
        <is>
          <t>player #1:C:/Users/manuel.felline/Documents/BEHAVIOR BTBR/NOR second cohort/BTBR/test/c10_f3.mp4</t>
        </is>
      </c>
      <c r="F3137" t="n">
        <v>-7.667</v>
      </c>
      <c r="G3137" t="n">
        <v>574.7329999999999</v>
      </c>
      <c r="H3137" t="n">
        <v>623.133</v>
      </c>
      <c r="I3137" t="n">
        <v>30</v>
      </c>
      <c r="J3137" t="inlineStr">
        <is>
          <t>BTBR</t>
        </is>
      </c>
      <c r="K3137" t="inlineStr">
        <is>
          <t xml:space="preserve"> Female</t>
        </is>
      </c>
      <c r="L3137" t="inlineStr">
        <is>
          <t>No focal subject</t>
        </is>
      </c>
      <c r="M3137" t="n">
        <v>53.634</v>
      </c>
      <c r="N3137" t="inlineStr">
        <is>
          <t>Explore_N</t>
        </is>
      </c>
      <c r="O3137" t="inlineStr">
        <is>
          <t>Novelty</t>
        </is>
      </c>
      <c r="P3137" t="inlineStr">
        <is>
          <t>STATE</t>
        </is>
      </c>
      <c r="Q3137" t="n">
        <v>165.133</v>
      </c>
      <c r="R3137" t="n">
        <v>165.499</v>
      </c>
      <c r="S3137" t="n">
        <v>0.366</v>
      </c>
      <c r="T3137" t="inlineStr">
        <is>
          <t>C:/Users/manuel.felline/Documents/BEHAVIOR BTBR/NOR second cohort/BTBR/test/c10_f3.mp4</t>
        </is>
      </c>
      <c r="U3137" t="n">
        <v>5182</v>
      </c>
      <c r="V3137" t="n">
        <v>5193</v>
      </c>
      <c r="W3137" t="n">
        <v/>
      </c>
      <c r="X3137" t="n">
        <v/>
      </c>
      <c r="Y3137" t="n">
        <v/>
      </c>
      <c r="Z3137" t="n">
        <v/>
      </c>
      <c r="AA3137">
        <f>SUMIFS($S$2:S3137,$A$2:A3137,A3137,$N$2:N3137,"Explore*")</f>
        <v/>
      </c>
      <c r="AB3137">
        <f>IF(AND(LEFT(N3137,7)="Explore",(AA3137-IF(LEFT(N3137,7)="Explore",S3137,0))&lt;10),"SI","NO")</f>
        <v/>
      </c>
    </row>
    <row r="3138">
      <c r="A3138" t="inlineStr">
        <is>
          <t>c10f3_test</t>
        </is>
      </c>
      <c r="B3138" t="inlineStr">
        <is>
          <t>2026-06-25 15:17:59.557</t>
        </is>
      </c>
      <c r="C3138" t="n">
        <v/>
      </c>
      <c r="D3138" t="inlineStr">
        <is>
          <t>Media file</t>
        </is>
      </c>
      <c r="E3138" t="inlineStr">
        <is>
          <t>player #1:C:/Users/manuel.felline/Documents/BEHAVIOR BTBR/NOR second cohort/BTBR/test/c10_f3.mp4</t>
        </is>
      </c>
      <c r="F3138" t="n">
        <v>-7.667</v>
      </c>
      <c r="G3138" t="n">
        <v>574.7329999999999</v>
      </c>
      <c r="H3138" t="n">
        <v>623.133</v>
      </c>
      <c r="I3138" t="n">
        <v>30</v>
      </c>
      <c r="J3138" t="inlineStr">
        <is>
          <t>BTBR</t>
        </is>
      </c>
      <c r="K3138" t="inlineStr">
        <is>
          <t xml:space="preserve"> Female</t>
        </is>
      </c>
      <c r="L3138" t="inlineStr">
        <is>
          <t>No focal subject</t>
        </is>
      </c>
      <c r="M3138" t="n">
        <v>53.634</v>
      </c>
      <c r="N3138" t="inlineStr">
        <is>
          <t>Explore_F</t>
        </is>
      </c>
      <c r="O3138" t="inlineStr">
        <is>
          <t>Familiar</t>
        </is>
      </c>
      <c r="P3138" t="inlineStr">
        <is>
          <t>STATE</t>
        </is>
      </c>
      <c r="Q3138" t="n">
        <v>181.033</v>
      </c>
      <c r="R3138" t="n">
        <v>181.833</v>
      </c>
      <c r="S3138" t="n">
        <v>0.8</v>
      </c>
      <c r="T3138" t="inlineStr">
        <is>
          <t>C:/Users/manuel.felline/Documents/BEHAVIOR BTBR/NOR second cohort/BTBR/test/c10_f3.mp4</t>
        </is>
      </c>
      <c r="U3138" t="n">
        <v>5659</v>
      </c>
      <c r="V3138" t="n">
        <v>5682</v>
      </c>
      <c r="W3138" t="n">
        <v/>
      </c>
      <c r="X3138" t="n">
        <v/>
      </c>
      <c r="Y3138" t="n">
        <v/>
      </c>
      <c r="Z3138" t="n">
        <v/>
      </c>
      <c r="AA3138">
        <f>SUMIFS($S$2:S3138,$A$2:A3138,A3138,$N$2:N3138,"Explore*")</f>
        <v/>
      </c>
      <c r="AB3138">
        <f>IF(AND(LEFT(N3138,7)="Explore",(AA3138-IF(LEFT(N3138,7)="Explore",S3138,0))&lt;10),"SI","NO")</f>
        <v/>
      </c>
    </row>
    <row r="3139">
      <c r="A3139" t="inlineStr">
        <is>
          <t>c10f3_test</t>
        </is>
      </c>
      <c r="B3139" t="inlineStr">
        <is>
          <t>2026-06-25 15:17:59.557</t>
        </is>
      </c>
      <c r="C3139" t="n">
        <v/>
      </c>
      <c r="D3139" t="inlineStr">
        <is>
          <t>Media file</t>
        </is>
      </c>
      <c r="E3139" t="inlineStr">
        <is>
          <t>player #1:C:/Users/manuel.felline/Documents/BEHAVIOR BTBR/NOR second cohort/BTBR/test/c10_f3.mp4</t>
        </is>
      </c>
      <c r="F3139" t="n">
        <v>-7.667</v>
      </c>
      <c r="G3139" t="n">
        <v>574.7329999999999</v>
      </c>
      <c r="H3139" t="n">
        <v>623.133</v>
      </c>
      <c r="I3139" t="n">
        <v>30</v>
      </c>
      <c r="J3139" t="inlineStr">
        <is>
          <t>BTBR</t>
        </is>
      </c>
      <c r="K3139" t="inlineStr">
        <is>
          <t xml:space="preserve"> Female</t>
        </is>
      </c>
      <c r="L3139" t="inlineStr">
        <is>
          <t>No focal subject</t>
        </is>
      </c>
      <c r="M3139" t="n">
        <v>53.634</v>
      </c>
      <c r="N3139" t="inlineStr">
        <is>
          <t>Explore_N</t>
        </is>
      </c>
      <c r="O3139" t="inlineStr">
        <is>
          <t>Novelty</t>
        </is>
      </c>
      <c r="P3139" t="inlineStr">
        <is>
          <t>STATE</t>
        </is>
      </c>
      <c r="Q3139" t="n">
        <v>188.966</v>
      </c>
      <c r="R3139" t="n">
        <v>190.099</v>
      </c>
      <c r="S3139" t="n">
        <v>1.133</v>
      </c>
      <c r="T3139" t="inlineStr">
        <is>
          <t>C:/Users/manuel.felline/Documents/BEHAVIOR BTBR/NOR second cohort/BTBR/test/c10_f3.mp4</t>
        </is>
      </c>
      <c r="U3139" t="n">
        <v>5896</v>
      </c>
      <c r="V3139" t="n">
        <v>5930</v>
      </c>
      <c r="W3139" t="n">
        <v/>
      </c>
      <c r="X3139" t="n">
        <v/>
      </c>
      <c r="Y3139" t="n">
        <v/>
      </c>
      <c r="Z3139" t="n">
        <v/>
      </c>
      <c r="AA3139">
        <f>SUMIFS($S$2:S3139,$A$2:A3139,A3139,$N$2:N3139,"Explore*")</f>
        <v/>
      </c>
      <c r="AB3139">
        <f>IF(AND(LEFT(N3139,7)="Explore",(AA3139-IF(LEFT(N3139,7)="Explore",S3139,0))&lt;10),"SI","NO")</f>
        <v/>
      </c>
    </row>
    <row r="3140">
      <c r="A3140" t="inlineStr">
        <is>
          <t>c10f3_test</t>
        </is>
      </c>
      <c r="B3140" t="inlineStr">
        <is>
          <t>2026-06-25 15:17:59.557</t>
        </is>
      </c>
      <c r="C3140" t="n">
        <v/>
      </c>
      <c r="D3140" t="inlineStr">
        <is>
          <t>Media file</t>
        </is>
      </c>
      <c r="E3140" t="inlineStr">
        <is>
          <t>player #1:C:/Users/manuel.felline/Documents/BEHAVIOR BTBR/NOR second cohort/BTBR/test/c10_f3.mp4</t>
        </is>
      </c>
      <c r="F3140" t="n">
        <v>-7.667</v>
      </c>
      <c r="G3140" t="n">
        <v>574.7329999999999</v>
      </c>
      <c r="H3140" t="n">
        <v>623.133</v>
      </c>
      <c r="I3140" t="n">
        <v>30</v>
      </c>
      <c r="J3140" t="inlineStr">
        <is>
          <t>BTBR</t>
        </is>
      </c>
      <c r="K3140" t="inlineStr">
        <is>
          <t xml:space="preserve"> Female</t>
        </is>
      </c>
      <c r="L3140" t="inlineStr">
        <is>
          <t>No focal subject</t>
        </is>
      </c>
      <c r="M3140" t="n">
        <v>53.634</v>
      </c>
      <c r="N3140" t="inlineStr">
        <is>
          <t>Explore_F</t>
        </is>
      </c>
      <c r="O3140" t="inlineStr">
        <is>
          <t>Familiar</t>
        </is>
      </c>
      <c r="P3140" t="inlineStr">
        <is>
          <t>STATE</t>
        </is>
      </c>
      <c r="Q3140" t="n">
        <v>221.099</v>
      </c>
      <c r="R3140" t="n">
        <v>221.966</v>
      </c>
      <c r="S3140" t="n">
        <v>0.867</v>
      </c>
      <c r="T3140" t="inlineStr">
        <is>
          <t>C:/Users/manuel.felline/Documents/BEHAVIOR BTBR/NOR second cohort/BTBR/test/c10_f3.mp4</t>
        </is>
      </c>
      <c r="U3140" t="n">
        <v>6860</v>
      </c>
      <c r="V3140" t="n">
        <v>6886</v>
      </c>
      <c r="W3140" t="n">
        <v/>
      </c>
      <c r="X3140" t="n">
        <v/>
      </c>
      <c r="Y3140" t="n">
        <v/>
      </c>
      <c r="Z3140" t="n">
        <v/>
      </c>
      <c r="AA3140">
        <f>SUMIFS($S$2:S3140,$A$2:A3140,A3140,$N$2:N3140,"Explore*")</f>
        <v/>
      </c>
      <c r="AB3140">
        <f>IF(AND(LEFT(N3140,7)="Explore",(AA3140-IF(LEFT(N3140,7)="Explore",S3140,0))&lt;10),"SI","NO")</f>
        <v/>
      </c>
    </row>
    <row r="3141">
      <c r="A3141" t="inlineStr">
        <is>
          <t>c10f3_test</t>
        </is>
      </c>
      <c r="B3141" t="inlineStr">
        <is>
          <t>2026-06-25 15:17:59.557</t>
        </is>
      </c>
      <c r="C3141" t="n">
        <v/>
      </c>
      <c r="D3141" t="inlineStr">
        <is>
          <t>Media file</t>
        </is>
      </c>
      <c r="E3141" t="inlineStr">
        <is>
          <t>player #1:C:/Users/manuel.felline/Documents/BEHAVIOR BTBR/NOR second cohort/BTBR/test/c10_f3.mp4</t>
        </is>
      </c>
      <c r="F3141" t="n">
        <v>-7.667</v>
      </c>
      <c r="G3141" t="n">
        <v>574.7329999999999</v>
      </c>
      <c r="H3141" t="n">
        <v>623.133</v>
      </c>
      <c r="I3141" t="n">
        <v>30</v>
      </c>
      <c r="J3141" t="inlineStr">
        <is>
          <t>BTBR</t>
        </is>
      </c>
      <c r="K3141" t="inlineStr">
        <is>
          <t xml:space="preserve"> Female</t>
        </is>
      </c>
      <c r="L3141" t="inlineStr">
        <is>
          <t>No focal subject</t>
        </is>
      </c>
      <c r="M3141" t="n">
        <v>53.634</v>
      </c>
      <c r="N3141" t="inlineStr">
        <is>
          <t>Explore_N</t>
        </is>
      </c>
      <c r="O3141" t="inlineStr">
        <is>
          <t>Novelty</t>
        </is>
      </c>
      <c r="P3141" t="inlineStr">
        <is>
          <t>STATE</t>
        </is>
      </c>
      <c r="Q3141" t="n">
        <v>224.899</v>
      </c>
      <c r="R3141" t="n">
        <v>227.199</v>
      </c>
      <c r="S3141" t="n">
        <v>2.3</v>
      </c>
      <c r="T3141" t="inlineStr">
        <is>
          <t>C:/Users/manuel.felline/Documents/BEHAVIOR BTBR/NOR second cohort/BTBR/test/c10_f3.mp4</t>
        </is>
      </c>
      <c r="U3141" t="n">
        <v>6974</v>
      </c>
      <c r="V3141" t="n">
        <v>7043</v>
      </c>
      <c r="W3141" t="n">
        <v/>
      </c>
      <c r="X3141" t="n">
        <v/>
      </c>
      <c r="Y3141" t="n">
        <v/>
      </c>
      <c r="Z3141" t="n">
        <v/>
      </c>
      <c r="AA3141">
        <f>SUMIFS($S$2:S3141,$A$2:A3141,A3141,$N$2:N3141,"Explore*")</f>
        <v/>
      </c>
      <c r="AB3141">
        <f>IF(AND(LEFT(N3141,7)="Explore",(AA3141-IF(LEFT(N3141,7)="Explore",S3141,0))&lt;10),"SI","NO")</f>
        <v/>
      </c>
    </row>
    <row r="3142">
      <c r="A3142" t="inlineStr">
        <is>
          <t>c10f3_test</t>
        </is>
      </c>
      <c r="B3142" t="inlineStr">
        <is>
          <t>2026-06-25 15:17:59.557</t>
        </is>
      </c>
      <c r="C3142" t="n">
        <v/>
      </c>
      <c r="D3142" t="inlineStr">
        <is>
          <t>Media file</t>
        </is>
      </c>
      <c r="E3142" t="inlineStr">
        <is>
          <t>player #1:C:/Users/manuel.felline/Documents/BEHAVIOR BTBR/NOR second cohort/BTBR/test/c10_f3.mp4</t>
        </is>
      </c>
      <c r="F3142" t="n">
        <v>-7.667</v>
      </c>
      <c r="G3142" t="n">
        <v>574.7329999999999</v>
      </c>
      <c r="H3142" t="n">
        <v>623.133</v>
      </c>
      <c r="I3142" t="n">
        <v>30</v>
      </c>
      <c r="J3142" t="inlineStr">
        <is>
          <t>BTBR</t>
        </is>
      </c>
      <c r="K3142" t="inlineStr">
        <is>
          <t xml:space="preserve"> Female</t>
        </is>
      </c>
      <c r="L3142" t="inlineStr">
        <is>
          <t>No focal subject</t>
        </is>
      </c>
      <c r="M3142" t="n">
        <v>53.634</v>
      </c>
      <c r="N3142" t="inlineStr">
        <is>
          <t>Explore_F</t>
        </is>
      </c>
      <c r="O3142" t="inlineStr">
        <is>
          <t>Familiar</t>
        </is>
      </c>
      <c r="P3142" t="inlineStr">
        <is>
          <t>STATE</t>
        </is>
      </c>
      <c r="Q3142" t="n">
        <v>231.533</v>
      </c>
      <c r="R3142" t="n">
        <v>232.033</v>
      </c>
      <c r="S3142" t="n">
        <v>0.5</v>
      </c>
      <c r="T3142" t="inlineStr">
        <is>
          <t>C:/Users/manuel.felline/Documents/BEHAVIOR BTBR/NOR second cohort/BTBR/test/c10_f3.mp4</t>
        </is>
      </c>
      <c r="U3142" t="n">
        <v>7173</v>
      </c>
      <c r="V3142" t="n">
        <v>7188</v>
      </c>
      <c r="W3142" t="n">
        <v/>
      </c>
      <c r="X3142" t="n">
        <v/>
      </c>
      <c r="Y3142" t="n">
        <v/>
      </c>
      <c r="Z3142" t="n">
        <v/>
      </c>
      <c r="AA3142">
        <f>SUMIFS($S$2:S3142,$A$2:A3142,A3142,$N$2:N3142,"Explore*")</f>
        <v/>
      </c>
      <c r="AB3142">
        <f>IF(AND(LEFT(N3142,7)="Explore",(AA3142-IF(LEFT(N3142,7)="Explore",S3142,0))&lt;10),"SI","NO")</f>
        <v/>
      </c>
    </row>
    <row r="3143">
      <c r="A3143" t="inlineStr">
        <is>
          <t>c10f3_test</t>
        </is>
      </c>
      <c r="B3143" t="inlineStr">
        <is>
          <t>2026-06-25 15:17:59.557</t>
        </is>
      </c>
      <c r="C3143" t="n">
        <v/>
      </c>
      <c r="D3143" t="inlineStr">
        <is>
          <t>Media file</t>
        </is>
      </c>
      <c r="E3143" t="inlineStr">
        <is>
          <t>player #1:C:/Users/manuel.felline/Documents/BEHAVIOR BTBR/NOR second cohort/BTBR/test/c10_f3.mp4</t>
        </is>
      </c>
      <c r="F3143" t="n">
        <v>-7.667</v>
      </c>
      <c r="G3143" t="n">
        <v>574.7329999999999</v>
      </c>
      <c r="H3143" t="n">
        <v>623.133</v>
      </c>
      <c r="I3143" t="n">
        <v>30</v>
      </c>
      <c r="J3143" t="inlineStr">
        <is>
          <t>BTBR</t>
        </is>
      </c>
      <c r="K3143" t="inlineStr">
        <is>
          <t xml:space="preserve"> Female</t>
        </is>
      </c>
      <c r="L3143" t="inlineStr">
        <is>
          <t>No focal subject</t>
        </is>
      </c>
      <c r="M3143" t="n">
        <v>53.634</v>
      </c>
      <c r="N3143" t="inlineStr">
        <is>
          <t>Explore_N</t>
        </is>
      </c>
      <c r="O3143" t="inlineStr">
        <is>
          <t>Novelty</t>
        </is>
      </c>
      <c r="P3143" t="inlineStr">
        <is>
          <t>STATE</t>
        </is>
      </c>
      <c r="Q3143" t="n">
        <v>243.666</v>
      </c>
      <c r="R3143" t="n">
        <v>245.033</v>
      </c>
      <c r="S3143" t="n">
        <v>1.367</v>
      </c>
      <c r="T3143" t="inlineStr">
        <is>
          <t>C:/Users/manuel.felline/Documents/BEHAVIOR BTBR/NOR second cohort/BTBR/test/c10_f3.mp4</t>
        </is>
      </c>
      <c r="U3143" t="n">
        <v>7537</v>
      </c>
      <c r="V3143" t="n">
        <v>7578</v>
      </c>
      <c r="W3143" t="n">
        <v/>
      </c>
      <c r="X3143" t="n">
        <v/>
      </c>
      <c r="Y3143" t="n">
        <v/>
      </c>
      <c r="Z3143" t="n">
        <v/>
      </c>
      <c r="AA3143">
        <f>SUMIFS($S$2:S3143,$A$2:A3143,A3143,$N$2:N3143,"Explore*")</f>
        <v/>
      </c>
      <c r="AB3143">
        <f>IF(AND(LEFT(N3143,7)="Explore",(AA3143-IF(LEFT(N3143,7)="Explore",S3143,0))&lt;10),"SI","NO")</f>
        <v/>
      </c>
    </row>
    <row r="3144">
      <c r="A3144" t="inlineStr">
        <is>
          <t>c10f3_test</t>
        </is>
      </c>
      <c r="B3144" t="inlineStr">
        <is>
          <t>2026-06-25 15:17:59.557</t>
        </is>
      </c>
      <c r="C3144" t="n">
        <v/>
      </c>
      <c r="D3144" t="inlineStr">
        <is>
          <t>Media file</t>
        </is>
      </c>
      <c r="E3144" t="inlineStr">
        <is>
          <t>player #1:C:/Users/manuel.felline/Documents/BEHAVIOR BTBR/NOR second cohort/BTBR/test/c10_f3.mp4</t>
        </is>
      </c>
      <c r="F3144" t="n">
        <v>-7.667</v>
      </c>
      <c r="G3144" t="n">
        <v>574.7329999999999</v>
      </c>
      <c r="H3144" t="n">
        <v>623.133</v>
      </c>
      <c r="I3144" t="n">
        <v>30</v>
      </c>
      <c r="J3144" t="inlineStr">
        <is>
          <t>BTBR</t>
        </is>
      </c>
      <c r="K3144" t="inlineStr">
        <is>
          <t xml:space="preserve"> Female</t>
        </is>
      </c>
      <c r="L3144" t="inlineStr">
        <is>
          <t>No focal subject</t>
        </is>
      </c>
      <c r="M3144" t="n">
        <v>53.634</v>
      </c>
      <c r="N3144" t="inlineStr">
        <is>
          <t>Explore_F</t>
        </is>
      </c>
      <c r="O3144" t="inlineStr">
        <is>
          <t>Familiar</t>
        </is>
      </c>
      <c r="P3144" t="inlineStr">
        <is>
          <t>STATE</t>
        </is>
      </c>
      <c r="Q3144" t="n">
        <v>251.466</v>
      </c>
      <c r="R3144" t="n">
        <v>251.799</v>
      </c>
      <c r="S3144" t="n">
        <v>0.333</v>
      </c>
      <c r="T3144" t="inlineStr">
        <is>
          <t>C:/Users/manuel.felline/Documents/BEHAVIOR BTBR/NOR second cohort/BTBR/test/c10_f3.mp4</t>
        </is>
      </c>
      <c r="U3144" t="n">
        <v>7770</v>
      </c>
      <c r="V3144" t="n">
        <v>7780</v>
      </c>
      <c r="W3144" t="n">
        <v/>
      </c>
      <c r="X3144" t="n">
        <v/>
      </c>
      <c r="Y3144" t="n">
        <v/>
      </c>
      <c r="Z3144" t="n">
        <v/>
      </c>
      <c r="AA3144">
        <f>SUMIFS($S$2:S3144,$A$2:A3144,A3144,$N$2:N3144,"Explore*")</f>
        <v/>
      </c>
      <c r="AB3144">
        <f>IF(AND(LEFT(N3144,7)="Explore",(AA3144-IF(LEFT(N3144,7)="Explore",S3144,0))&lt;10),"SI","NO")</f>
        <v/>
      </c>
    </row>
    <row r="3145">
      <c r="A3145" t="inlineStr">
        <is>
          <t>c10f3_test</t>
        </is>
      </c>
      <c r="B3145" t="inlineStr">
        <is>
          <t>2026-06-25 15:17:59.557</t>
        </is>
      </c>
      <c r="C3145" t="n">
        <v/>
      </c>
      <c r="D3145" t="inlineStr">
        <is>
          <t>Media file</t>
        </is>
      </c>
      <c r="E3145" t="inlineStr">
        <is>
          <t>player #1:C:/Users/manuel.felline/Documents/BEHAVIOR BTBR/NOR second cohort/BTBR/test/c10_f3.mp4</t>
        </is>
      </c>
      <c r="F3145" t="n">
        <v>-7.667</v>
      </c>
      <c r="G3145" t="n">
        <v>574.7329999999999</v>
      </c>
      <c r="H3145" t="n">
        <v>623.133</v>
      </c>
      <c r="I3145" t="n">
        <v>30</v>
      </c>
      <c r="J3145" t="inlineStr">
        <is>
          <t>BTBR</t>
        </is>
      </c>
      <c r="K3145" t="inlineStr">
        <is>
          <t xml:space="preserve"> Female</t>
        </is>
      </c>
      <c r="L3145" t="inlineStr">
        <is>
          <t>No focal subject</t>
        </is>
      </c>
      <c r="M3145" t="n">
        <v>53.634</v>
      </c>
      <c r="N3145" t="inlineStr">
        <is>
          <t>Explore_F</t>
        </is>
      </c>
      <c r="O3145" t="inlineStr">
        <is>
          <t>Familiar</t>
        </is>
      </c>
      <c r="P3145" t="inlineStr">
        <is>
          <t>STATE</t>
        </is>
      </c>
      <c r="Q3145" t="n">
        <v>268.266</v>
      </c>
      <c r="R3145" t="n">
        <v>268.966</v>
      </c>
      <c r="S3145" t="n">
        <v>0.7</v>
      </c>
      <c r="T3145" t="inlineStr">
        <is>
          <t>C:/Users/manuel.felline/Documents/BEHAVIOR BTBR/NOR second cohort/BTBR/test/c10_f3.mp4</t>
        </is>
      </c>
      <c r="U3145" t="n">
        <v>8274</v>
      </c>
      <c r="V3145" t="n">
        <v>8295</v>
      </c>
      <c r="W3145" t="n">
        <v/>
      </c>
      <c r="X3145" t="n">
        <v/>
      </c>
      <c r="Y3145" t="n">
        <v/>
      </c>
      <c r="Z3145" t="n">
        <v/>
      </c>
      <c r="AA3145">
        <f>SUMIFS($S$2:S3145,$A$2:A3145,A3145,$N$2:N3145,"Explore*")</f>
        <v/>
      </c>
      <c r="AB3145">
        <f>IF(AND(LEFT(N3145,7)="Explore",(AA3145-IF(LEFT(N3145,7)="Explore",S3145,0))&lt;10),"SI","NO")</f>
        <v/>
      </c>
    </row>
    <row r="3146">
      <c r="A3146" t="inlineStr">
        <is>
          <t>c10f3_test</t>
        </is>
      </c>
      <c r="B3146" t="inlineStr">
        <is>
          <t>2026-06-25 15:17:59.557</t>
        </is>
      </c>
      <c r="C3146" t="n">
        <v/>
      </c>
      <c r="D3146" t="inlineStr">
        <is>
          <t>Media file</t>
        </is>
      </c>
      <c r="E3146" t="inlineStr">
        <is>
          <t>player #1:C:/Users/manuel.felline/Documents/BEHAVIOR BTBR/NOR second cohort/BTBR/test/c10_f3.mp4</t>
        </is>
      </c>
      <c r="F3146" t="n">
        <v>-7.667</v>
      </c>
      <c r="G3146" t="n">
        <v>574.7329999999999</v>
      </c>
      <c r="H3146" t="n">
        <v>623.133</v>
      </c>
      <c r="I3146" t="n">
        <v>30</v>
      </c>
      <c r="J3146" t="inlineStr">
        <is>
          <t>BTBR</t>
        </is>
      </c>
      <c r="K3146" t="inlineStr">
        <is>
          <t xml:space="preserve"> Female</t>
        </is>
      </c>
      <c r="L3146" t="inlineStr">
        <is>
          <t>No focal subject</t>
        </is>
      </c>
      <c r="M3146" t="n">
        <v>53.634</v>
      </c>
      <c r="N3146" t="inlineStr">
        <is>
          <t>Explore_N</t>
        </is>
      </c>
      <c r="O3146" t="inlineStr">
        <is>
          <t>Novelty</t>
        </is>
      </c>
      <c r="P3146" t="inlineStr">
        <is>
          <t>STATE</t>
        </is>
      </c>
      <c r="Q3146" t="n">
        <v>274.033</v>
      </c>
      <c r="R3146" t="n">
        <v>274.899</v>
      </c>
      <c r="S3146" t="n">
        <v>0.866</v>
      </c>
      <c r="T3146" t="inlineStr">
        <is>
          <t>C:/Users/manuel.felline/Documents/BEHAVIOR BTBR/NOR second cohort/BTBR/test/c10_f3.mp4</t>
        </is>
      </c>
      <c r="U3146" t="n">
        <v>8447</v>
      </c>
      <c r="V3146" t="n">
        <v>8473</v>
      </c>
      <c r="W3146" t="n">
        <v/>
      </c>
      <c r="X3146" t="n">
        <v/>
      </c>
      <c r="Y3146" t="n">
        <v/>
      </c>
      <c r="Z3146" t="n">
        <v/>
      </c>
      <c r="AA3146">
        <f>SUMIFS($S$2:S3146,$A$2:A3146,A3146,$N$2:N3146,"Explore*")</f>
        <v/>
      </c>
      <c r="AB3146">
        <f>IF(AND(LEFT(N3146,7)="Explore",(AA3146-IF(LEFT(N3146,7)="Explore",S3146,0))&lt;10),"SI","NO")</f>
        <v/>
      </c>
    </row>
    <row r="3147">
      <c r="A3147" t="inlineStr">
        <is>
          <t>c10f3_test</t>
        </is>
      </c>
      <c r="B3147" t="inlineStr">
        <is>
          <t>2026-06-25 15:17:59.557</t>
        </is>
      </c>
      <c r="C3147" t="n">
        <v/>
      </c>
      <c r="D3147" t="inlineStr">
        <is>
          <t>Media file</t>
        </is>
      </c>
      <c r="E3147" t="inlineStr">
        <is>
          <t>player #1:C:/Users/manuel.felline/Documents/BEHAVIOR BTBR/NOR second cohort/BTBR/test/c10_f3.mp4</t>
        </is>
      </c>
      <c r="F3147" t="n">
        <v>-7.667</v>
      </c>
      <c r="G3147" t="n">
        <v>574.7329999999999</v>
      </c>
      <c r="H3147" t="n">
        <v>623.133</v>
      </c>
      <c r="I3147" t="n">
        <v>30</v>
      </c>
      <c r="J3147" t="inlineStr">
        <is>
          <t>BTBR</t>
        </is>
      </c>
      <c r="K3147" t="inlineStr">
        <is>
          <t xml:space="preserve"> Female</t>
        </is>
      </c>
      <c r="L3147" t="inlineStr">
        <is>
          <t>No focal subject</t>
        </is>
      </c>
      <c r="M3147" t="n">
        <v>53.634</v>
      </c>
      <c r="N3147" t="inlineStr">
        <is>
          <t>Explore_N</t>
        </is>
      </c>
      <c r="O3147" t="inlineStr">
        <is>
          <t>Novelty</t>
        </is>
      </c>
      <c r="P3147" t="inlineStr">
        <is>
          <t>STATE</t>
        </is>
      </c>
      <c r="Q3147" t="n">
        <v>275.899</v>
      </c>
      <c r="R3147" t="n">
        <v>277.233</v>
      </c>
      <c r="S3147" t="n">
        <v>1.334</v>
      </c>
      <c r="T3147" t="inlineStr">
        <is>
          <t>C:/Users/manuel.felline/Documents/BEHAVIOR BTBR/NOR second cohort/BTBR/test/c10_f3.mp4</t>
        </is>
      </c>
      <c r="U3147" t="n">
        <v>8503</v>
      </c>
      <c r="V3147" t="n">
        <v>8543</v>
      </c>
      <c r="W3147" t="n">
        <v/>
      </c>
      <c r="X3147" t="n">
        <v/>
      </c>
      <c r="Y3147" t="n">
        <v/>
      </c>
      <c r="Z3147" t="n">
        <v/>
      </c>
      <c r="AA3147">
        <f>SUMIFS($S$2:S3147,$A$2:A3147,A3147,$N$2:N3147,"Explore*")</f>
        <v/>
      </c>
      <c r="AB3147">
        <f>IF(AND(LEFT(N3147,7)="Explore",(AA3147-IF(LEFT(N3147,7)="Explore",S3147,0))&lt;10),"SI","NO")</f>
        <v/>
      </c>
    </row>
    <row r="3148">
      <c r="A3148" t="inlineStr">
        <is>
          <t>c10f3_test</t>
        </is>
      </c>
      <c r="B3148" t="inlineStr">
        <is>
          <t>2026-06-25 15:17:59.557</t>
        </is>
      </c>
      <c r="C3148" t="n">
        <v/>
      </c>
      <c r="D3148" t="inlineStr">
        <is>
          <t>Media file</t>
        </is>
      </c>
      <c r="E3148" t="inlineStr">
        <is>
          <t>player #1:C:/Users/manuel.felline/Documents/BEHAVIOR BTBR/NOR second cohort/BTBR/test/c10_f3.mp4</t>
        </is>
      </c>
      <c r="F3148" t="n">
        <v>-7.667</v>
      </c>
      <c r="G3148" t="n">
        <v>574.7329999999999</v>
      </c>
      <c r="H3148" t="n">
        <v>623.133</v>
      </c>
      <c r="I3148" t="n">
        <v>30</v>
      </c>
      <c r="J3148" t="inlineStr">
        <is>
          <t>BTBR</t>
        </is>
      </c>
      <c r="K3148" t="inlineStr">
        <is>
          <t xml:space="preserve"> Female</t>
        </is>
      </c>
      <c r="L3148" t="inlineStr">
        <is>
          <t>No focal subject</t>
        </is>
      </c>
      <c r="M3148" t="n">
        <v>53.634</v>
      </c>
      <c r="N3148" t="inlineStr">
        <is>
          <t>Explore_F</t>
        </is>
      </c>
      <c r="O3148" t="inlineStr">
        <is>
          <t>Familiar</t>
        </is>
      </c>
      <c r="P3148" t="inlineStr">
        <is>
          <t>STATE</t>
        </is>
      </c>
      <c r="Q3148" t="n">
        <v>286.699</v>
      </c>
      <c r="R3148" t="n">
        <v>287.166</v>
      </c>
      <c r="S3148" t="n">
        <v>0.467</v>
      </c>
      <c r="T3148" t="inlineStr">
        <is>
          <t>C:/Users/manuel.felline/Documents/BEHAVIOR BTBR/NOR second cohort/BTBR/test/c10_f3.mp4</t>
        </is>
      </c>
      <c r="U3148" t="n">
        <v>8827</v>
      </c>
      <c r="V3148" t="n">
        <v>8841</v>
      </c>
      <c r="W3148" t="n">
        <v/>
      </c>
      <c r="X3148" t="n">
        <v/>
      </c>
      <c r="Y3148" t="n">
        <v/>
      </c>
      <c r="Z3148" t="n">
        <v/>
      </c>
      <c r="AA3148">
        <f>SUMIFS($S$2:S3148,$A$2:A3148,A3148,$N$2:N3148,"Explore*")</f>
        <v/>
      </c>
      <c r="AB3148">
        <f>IF(AND(LEFT(N3148,7)="Explore",(AA3148-IF(LEFT(N3148,7)="Explore",S3148,0))&lt;10),"SI","NO")</f>
        <v/>
      </c>
    </row>
    <row r="3149">
      <c r="A3149" t="inlineStr">
        <is>
          <t>c10f3_test</t>
        </is>
      </c>
      <c r="B3149" t="inlineStr">
        <is>
          <t>2026-06-25 15:17:59.557</t>
        </is>
      </c>
      <c r="C3149" t="n">
        <v/>
      </c>
      <c r="D3149" t="inlineStr">
        <is>
          <t>Media file</t>
        </is>
      </c>
      <c r="E3149" t="inlineStr">
        <is>
          <t>player #1:C:/Users/manuel.felline/Documents/BEHAVIOR BTBR/NOR second cohort/BTBR/test/c10_f3.mp4</t>
        </is>
      </c>
      <c r="F3149" t="n">
        <v>-7.667</v>
      </c>
      <c r="G3149" t="n">
        <v>574.7329999999999</v>
      </c>
      <c r="H3149" t="n">
        <v>623.133</v>
      </c>
      <c r="I3149" t="n">
        <v>30</v>
      </c>
      <c r="J3149" t="inlineStr">
        <is>
          <t>BTBR</t>
        </is>
      </c>
      <c r="K3149" t="inlineStr">
        <is>
          <t xml:space="preserve"> Female</t>
        </is>
      </c>
      <c r="L3149" t="inlineStr">
        <is>
          <t>No focal subject</t>
        </is>
      </c>
      <c r="M3149" t="n">
        <v>53.634</v>
      </c>
      <c r="N3149" t="inlineStr">
        <is>
          <t>Explore_N</t>
        </is>
      </c>
      <c r="O3149" t="inlineStr">
        <is>
          <t>Novelty</t>
        </is>
      </c>
      <c r="P3149" t="inlineStr">
        <is>
          <t>STATE</t>
        </is>
      </c>
      <c r="Q3149" t="n">
        <v>293.499</v>
      </c>
      <c r="R3149" t="n">
        <v>294.266</v>
      </c>
      <c r="S3149" t="n">
        <v>0.767</v>
      </c>
      <c r="T3149" t="inlineStr">
        <is>
          <t>C:/Users/manuel.felline/Documents/BEHAVIOR BTBR/NOR second cohort/BTBR/test/c10_f3.mp4</t>
        </is>
      </c>
      <c r="U3149" t="n">
        <v>9031</v>
      </c>
      <c r="V3149" t="n">
        <v>9054</v>
      </c>
      <c r="W3149" t="n">
        <v/>
      </c>
      <c r="X3149" t="n">
        <v/>
      </c>
      <c r="Y3149" t="n">
        <v/>
      </c>
      <c r="Z3149" t="n">
        <v/>
      </c>
      <c r="AA3149">
        <f>SUMIFS($S$2:S3149,$A$2:A3149,A3149,$N$2:N3149,"Explore*")</f>
        <v/>
      </c>
      <c r="AB3149">
        <f>IF(AND(LEFT(N3149,7)="Explore",(AA3149-IF(LEFT(N3149,7)="Explore",S3149,0))&lt;10),"SI","NO")</f>
        <v/>
      </c>
    </row>
    <row r="3150">
      <c r="A3150" t="inlineStr">
        <is>
          <t>c10f3_test</t>
        </is>
      </c>
      <c r="B3150" t="inlineStr">
        <is>
          <t>2026-06-25 15:17:59.557</t>
        </is>
      </c>
      <c r="C3150" t="n">
        <v/>
      </c>
      <c r="D3150" t="inlineStr">
        <is>
          <t>Media file</t>
        </is>
      </c>
      <c r="E3150" t="inlineStr">
        <is>
          <t>player #1:C:/Users/manuel.felline/Documents/BEHAVIOR BTBR/NOR second cohort/BTBR/test/c10_f3.mp4</t>
        </is>
      </c>
      <c r="F3150" t="n">
        <v>-7.667</v>
      </c>
      <c r="G3150" t="n">
        <v>574.7329999999999</v>
      </c>
      <c r="H3150" t="n">
        <v>623.133</v>
      </c>
      <c r="I3150" t="n">
        <v>30</v>
      </c>
      <c r="J3150" t="inlineStr">
        <is>
          <t>BTBR</t>
        </is>
      </c>
      <c r="K3150" t="inlineStr">
        <is>
          <t xml:space="preserve"> Female</t>
        </is>
      </c>
      <c r="L3150" t="inlineStr">
        <is>
          <t>No focal subject</t>
        </is>
      </c>
      <c r="M3150" t="n">
        <v>53.634</v>
      </c>
      <c r="N3150" t="inlineStr">
        <is>
          <t>Explore_N</t>
        </is>
      </c>
      <c r="O3150" t="inlineStr">
        <is>
          <t>Novelty</t>
        </is>
      </c>
      <c r="P3150" t="inlineStr">
        <is>
          <t>STATE</t>
        </is>
      </c>
      <c r="Q3150" t="n">
        <v>329.999</v>
      </c>
      <c r="R3150" t="n">
        <v>330.799</v>
      </c>
      <c r="S3150" t="n">
        <v>0.8</v>
      </c>
      <c r="T3150" t="inlineStr">
        <is>
          <t>C:/Users/manuel.felline/Documents/BEHAVIOR BTBR/NOR second cohort/BTBR/test/c10_f3.mp4</t>
        </is>
      </c>
      <c r="U3150" t="n">
        <v>10125</v>
      </c>
      <c r="V3150" t="n">
        <v>10149</v>
      </c>
      <c r="W3150" t="n">
        <v/>
      </c>
      <c r="X3150" t="n">
        <v/>
      </c>
      <c r="Y3150" t="n">
        <v/>
      </c>
      <c r="Z3150" t="n">
        <v/>
      </c>
      <c r="AA3150">
        <f>SUMIFS($S$2:S3150,$A$2:A3150,A3150,$N$2:N3150,"Explore*")</f>
        <v/>
      </c>
      <c r="AB3150">
        <f>IF(AND(LEFT(N3150,7)="Explore",(AA3150-IF(LEFT(N3150,7)="Explore",S3150,0))&lt;10),"SI","NO")</f>
        <v/>
      </c>
    </row>
    <row r="3151">
      <c r="A3151" t="inlineStr">
        <is>
          <t>c10f3_test</t>
        </is>
      </c>
      <c r="B3151" t="inlineStr">
        <is>
          <t>2026-06-25 15:17:59.557</t>
        </is>
      </c>
      <c r="C3151" t="n">
        <v/>
      </c>
      <c r="D3151" t="inlineStr">
        <is>
          <t>Media file</t>
        </is>
      </c>
      <c r="E3151" t="inlineStr">
        <is>
          <t>player #1:C:/Users/manuel.felline/Documents/BEHAVIOR BTBR/NOR second cohort/BTBR/test/c10_f3.mp4</t>
        </is>
      </c>
      <c r="F3151" t="n">
        <v>-7.667</v>
      </c>
      <c r="G3151" t="n">
        <v>574.7329999999999</v>
      </c>
      <c r="H3151" t="n">
        <v>623.133</v>
      </c>
      <c r="I3151" t="n">
        <v>30</v>
      </c>
      <c r="J3151" t="inlineStr">
        <is>
          <t>BTBR</t>
        </is>
      </c>
      <c r="K3151" t="inlineStr">
        <is>
          <t xml:space="preserve"> Female</t>
        </is>
      </c>
      <c r="L3151" t="inlineStr">
        <is>
          <t>No focal subject</t>
        </is>
      </c>
      <c r="M3151" t="n">
        <v>53.634</v>
      </c>
      <c r="N3151" t="inlineStr">
        <is>
          <t>Explore_F</t>
        </is>
      </c>
      <c r="O3151" t="inlineStr">
        <is>
          <t>Familiar</t>
        </is>
      </c>
      <c r="P3151" t="inlineStr">
        <is>
          <t>STATE</t>
        </is>
      </c>
      <c r="Q3151" t="n">
        <v>342.633</v>
      </c>
      <c r="R3151" t="n">
        <v>343.099</v>
      </c>
      <c r="S3151" t="n">
        <v>0.466</v>
      </c>
      <c r="T3151" t="inlineStr">
        <is>
          <t>C:/Users/manuel.felline/Documents/BEHAVIOR BTBR/NOR second cohort/BTBR/test/c10_f3.mp4</t>
        </is>
      </c>
      <c r="U3151" t="n">
        <v>10504</v>
      </c>
      <c r="V3151" t="n">
        <v>10518</v>
      </c>
      <c r="W3151" t="n">
        <v/>
      </c>
      <c r="X3151" t="n">
        <v/>
      </c>
      <c r="Y3151" t="n">
        <v/>
      </c>
      <c r="Z3151" t="n">
        <v/>
      </c>
      <c r="AA3151">
        <f>SUMIFS($S$2:S3151,$A$2:A3151,A3151,$N$2:N3151,"Explore*")</f>
        <v/>
      </c>
      <c r="AB3151">
        <f>IF(AND(LEFT(N3151,7)="Explore",(AA3151-IF(LEFT(N3151,7)="Explore",S3151,0))&lt;10),"SI","NO")</f>
        <v/>
      </c>
    </row>
    <row r="3152">
      <c r="A3152" t="inlineStr">
        <is>
          <t>c10f3_test</t>
        </is>
      </c>
      <c r="B3152" t="inlineStr">
        <is>
          <t>2026-06-25 15:17:59.557</t>
        </is>
      </c>
      <c r="C3152" t="n">
        <v/>
      </c>
      <c r="D3152" t="inlineStr">
        <is>
          <t>Media file</t>
        </is>
      </c>
      <c r="E3152" t="inlineStr">
        <is>
          <t>player #1:C:/Users/manuel.felline/Documents/BEHAVIOR BTBR/NOR second cohort/BTBR/test/c10_f3.mp4</t>
        </is>
      </c>
      <c r="F3152" t="n">
        <v>-7.667</v>
      </c>
      <c r="G3152" t="n">
        <v>574.7329999999999</v>
      </c>
      <c r="H3152" t="n">
        <v>623.133</v>
      </c>
      <c r="I3152" t="n">
        <v>30</v>
      </c>
      <c r="J3152" t="inlineStr">
        <is>
          <t>BTBR</t>
        </is>
      </c>
      <c r="K3152" t="inlineStr">
        <is>
          <t xml:space="preserve"> Female</t>
        </is>
      </c>
      <c r="L3152" t="inlineStr">
        <is>
          <t>No focal subject</t>
        </is>
      </c>
      <c r="M3152" t="n">
        <v>53.634</v>
      </c>
      <c r="N3152" t="inlineStr">
        <is>
          <t>Explore_N</t>
        </is>
      </c>
      <c r="O3152" t="inlineStr">
        <is>
          <t>Novelty</t>
        </is>
      </c>
      <c r="P3152" t="inlineStr">
        <is>
          <t>STATE</t>
        </is>
      </c>
      <c r="Q3152" t="n">
        <v>352.399</v>
      </c>
      <c r="R3152" t="n">
        <v>355.466</v>
      </c>
      <c r="S3152" t="n">
        <v>3.067</v>
      </c>
      <c r="T3152" t="inlineStr">
        <is>
          <t>C:/Users/manuel.felline/Documents/BEHAVIOR BTBR/NOR second cohort/BTBR/test/c10_f3.mp4</t>
        </is>
      </c>
      <c r="U3152" t="n">
        <v>10797</v>
      </c>
      <c r="V3152" t="n">
        <v>10889</v>
      </c>
      <c r="W3152" t="n">
        <v/>
      </c>
      <c r="X3152" t="n">
        <v/>
      </c>
      <c r="Y3152" t="n">
        <v/>
      </c>
      <c r="Z3152" t="n">
        <v/>
      </c>
      <c r="AA3152">
        <f>SUMIFS($S$2:S3152,$A$2:A3152,A3152,$N$2:N3152,"Explore*")</f>
        <v/>
      </c>
      <c r="AB3152">
        <f>IF(AND(LEFT(N3152,7)="Explore",(AA3152-IF(LEFT(N3152,7)="Explore",S3152,0))&lt;10),"SI","NO")</f>
        <v/>
      </c>
    </row>
    <row r="3153">
      <c r="A3153" t="inlineStr">
        <is>
          <t>c10f3_test</t>
        </is>
      </c>
      <c r="B3153" t="inlineStr">
        <is>
          <t>2026-06-25 15:17:59.557</t>
        </is>
      </c>
      <c r="C3153" t="n">
        <v/>
      </c>
      <c r="D3153" t="inlineStr">
        <is>
          <t>Media file</t>
        </is>
      </c>
      <c r="E3153" t="inlineStr">
        <is>
          <t>player #1:C:/Users/manuel.felline/Documents/BEHAVIOR BTBR/NOR second cohort/BTBR/test/c10_f3.mp4</t>
        </is>
      </c>
      <c r="F3153" t="n">
        <v>-7.667</v>
      </c>
      <c r="G3153" t="n">
        <v>574.7329999999999</v>
      </c>
      <c r="H3153" t="n">
        <v>623.133</v>
      </c>
      <c r="I3153" t="n">
        <v>30</v>
      </c>
      <c r="J3153" t="inlineStr">
        <is>
          <t>BTBR</t>
        </is>
      </c>
      <c r="K3153" t="inlineStr">
        <is>
          <t xml:space="preserve"> Female</t>
        </is>
      </c>
      <c r="L3153" t="inlineStr">
        <is>
          <t>No focal subject</t>
        </is>
      </c>
      <c r="M3153" t="n">
        <v>53.634</v>
      </c>
      <c r="N3153" t="inlineStr">
        <is>
          <t>Explore_N</t>
        </is>
      </c>
      <c r="O3153" t="inlineStr">
        <is>
          <t>Novelty</t>
        </is>
      </c>
      <c r="P3153" t="inlineStr">
        <is>
          <t>STATE</t>
        </is>
      </c>
      <c r="Q3153" t="n">
        <v>375.766</v>
      </c>
      <c r="R3153" t="n">
        <v>376.799</v>
      </c>
      <c r="S3153" t="n">
        <v>1.033</v>
      </c>
      <c r="T3153" t="inlineStr">
        <is>
          <t>C:/Users/manuel.felline/Documents/BEHAVIOR BTBR/NOR second cohort/BTBR/test/c10_f3.mp4</t>
        </is>
      </c>
      <c r="U3153" t="n">
        <v>11498</v>
      </c>
      <c r="V3153" t="n">
        <v>11529</v>
      </c>
      <c r="W3153" t="n">
        <v/>
      </c>
      <c r="X3153" t="n">
        <v/>
      </c>
      <c r="Y3153" t="n">
        <v/>
      </c>
      <c r="Z3153" t="n">
        <v/>
      </c>
      <c r="AA3153">
        <f>SUMIFS($S$2:S3153,$A$2:A3153,A3153,$N$2:N3153,"Explore*")</f>
        <v/>
      </c>
      <c r="AB3153">
        <f>IF(AND(LEFT(N3153,7)="Explore",(AA3153-IF(LEFT(N3153,7)="Explore",S3153,0))&lt;10),"SI","NO")</f>
        <v/>
      </c>
    </row>
    <row r="3154">
      <c r="A3154" t="inlineStr">
        <is>
          <t>c10f3_test</t>
        </is>
      </c>
      <c r="B3154" t="inlineStr">
        <is>
          <t>2026-06-25 15:17:59.557</t>
        </is>
      </c>
      <c r="C3154" t="n">
        <v/>
      </c>
      <c r="D3154" t="inlineStr">
        <is>
          <t>Media file</t>
        </is>
      </c>
      <c r="E3154" t="inlineStr">
        <is>
          <t>player #1:C:/Users/manuel.felline/Documents/BEHAVIOR BTBR/NOR second cohort/BTBR/test/c10_f3.mp4</t>
        </is>
      </c>
      <c r="F3154" t="n">
        <v>-7.667</v>
      </c>
      <c r="G3154" t="n">
        <v>574.7329999999999</v>
      </c>
      <c r="H3154" t="n">
        <v>623.133</v>
      </c>
      <c r="I3154" t="n">
        <v>30</v>
      </c>
      <c r="J3154" t="inlineStr">
        <is>
          <t>BTBR</t>
        </is>
      </c>
      <c r="K3154" t="inlineStr">
        <is>
          <t xml:space="preserve"> Female</t>
        </is>
      </c>
      <c r="L3154" t="inlineStr">
        <is>
          <t>No focal subject</t>
        </is>
      </c>
      <c r="M3154" t="n">
        <v>53.634</v>
      </c>
      <c r="N3154" t="inlineStr">
        <is>
          <t>Explore_F</t>
        </is>
      </c>
      <c r="O3154" t="inlineStr">
        <is>
          <t>Familiar</t>
        </is>
      </c>
      <c r="P3154" t="inlineStr">
        <is>
          <t>STATE</t>
        </is>
      </c>
      <c r="Q3154" t="n">
        <v>383.199</v>
      </c>
      <c r="R3154" t="n">
        <v>383.699</v>
      </c>
      <c r="S3154" t="n">
        <v>0.5</v>
      </c>
      <c r="T3154" t="inlineStr">
        <is>
          <t>C:/Users/manuel.felline/Documents/BEHAVIOR BTBR/NOR second cohort/BTBR/test/c10_f3.mp4</t>
        </is>
      </c>
      <c r="U3154" t="n">
        <v>11721</v>
      </c>
      <c r="V3154" t="n">
        <v>11736</v>
      </c>
      <c r="W3154" t="n">
        <v/>
      </c>
      <c r="X3154" t="n">
        <v/>
      </c>
      <c r="Y3154" t="n">
        <v/>
      </c>
      <c r="Z3154" t="n">
        <v/>
      </c>
      <c r="AA3154">
        <f>SUMIFS($S$2:S3154,$A$2:A3154,A3154,$N$2:N3154,"Explore*")</f>
        <v/>
      </c>
      <c r="AB3154">
        <f>IF(AND(LEFT(N3154,7)="Explore",(AA3154-IF(LEFT(N3154,7)="Explore",S3154,0))&lt;10),"SI","NO")</f>
        <v/>
      </c>
    </row>
    <row r="3155">
      <c r="A3155" t="inlineStr">
        <is>
          <t>c10f3_test</t>
        </is>
      </c>
      <c r="B3155" t="inlineStr">
        <is>
          <t>2026-06-25 15:17:59.557</t>
        </is>
      </c>
      <c r="C3155" t="n">
        <v/>
      </c>
      <c r="D3155" t="inlineStr">
        <is>
          <t>Media file</t>
        </is>
      </c>
      <c r="E3155" t="inlineStr">
        <is>
          <t>player #1:C:/Users/manuel.felline/Documents/BEHAVIOR BTBR/NOR second cohort/BTBR/test/c10_f3.mp4</t>
        </is>
      </c>
      <c r="F3155" t="n">
        <v>-7.667</v>
      </c>
      <c r="G3155" t="n">
        <v>574.7329999999999</v>
      </c>
      <c r="H3155" t="n">
        <v>623.133</v>
      </c>
      <c r="I3155" t="n">
        <v>30</v>
      </c>
      <c r="J3155" t="inlineStr">
        <is>
          <t>BTBR</t>
        </is>
      </c>
      <c r="K3155" t="inlineStr">
        <is>
          <t xml:space="preserve"> Female</t>
        </is>
      </c>
      <c r="L3155" t="inlineStr">
        <is>
          <t>No focal subject</t>
        </is>
      </c>
      <c r="M3155" t="n">
        <v>53.634</v>
      </c>
      <c r="N3155" t="inlineStr">
        <is>
          <t>Explore_F</t>
        </is>
      </c>
      <c r="O3155" t="inlineStr">
        <is>
          <t>Familiar</t>
        </is>
      </c>
      <c r="P3155" t="inlineStr">
        <is>
          <t>STATE</t>
        </is>
      </c>
      <c r="Q3155" t="n">
        <v>424.333</v>
      </c>
      <c r="R3155" t="n">
        <v>424.933</v>
      </c>
      <c r="S3155" t="n">
        <v>0.6</v>
      </c>
      <c r="T3155" t="inlineStr">
        <is>
          <t>C:/Users/manuel.felline/Documents/BEHAVIOR BTBR/NOR second cohort/BTBR/test/c10_f3.mp4</t>
        </is>
      </c>
      <c r="U3155" t="n">
        <v>12954</v>
      </c>
      <c r="V3155" t="n">
        <v>12972</v>
      </c>
      <c r="W3155" t="n">
        <v/>
      </c>
      <c r="X3155" t="n">
        <v/>
      </c>
      <c r="Y3155" t="n">
        <v/>
      </c>
      <c r="Z3155" t="n">
        <v/>
      </c>
      <c r="AA3155">
        <f>SUMIFS($S$2:S3155,$A$2:A3155,A3155,$N$2:N3155,"Explore*")</f>
        <v/>
      </c>
      <c r="AB3155">
        <f>IF(AND(LEFT(N3155,7)="Explore",(AA3155-IF(LEFT(N3155,7)="Explore",S3155,0))&lt;10),"SI","NO")</f>
        <v/>
      </c>
    </row>
    <row r="3156">
      <c r="A3156" t="inlineStr">
        <is>
          <t>c10f3_test</t>
        </is>
      </c>
      <c r="B3156" t="inlineStr">
        <is>
          <t>2026-06-25 15:17:59.557</t>
        </is>
      </c>
      <c r="C3156" t="n">
        <v/>
      </c>
      <c r="D3156" t="inlineStr">
        <is>
          <t>Media file</t>
        </is>
      </c>
      <c r="E3156" t="inlineStr">
        <is>
          <t>player #1:C:/Users/manuel.felline/Documents/BEHAVIOR BTBR/NOR second cohort/BTBR/test/c10_f3.mp4</t>
        </is>
      </c>
      <c r="F3156" t="n">
        <v>-7.667</v>
      </c>
      <c r="G3156" t="n">
        <v>574.7329999999999</v>
      </c>
      <c r="H3156" t="n">
        <v>623.133</v>
      </c>
      <c r="I3156" t="n">
        <v>30</v>
      </c>
      <c r="J3156" t="inlineStr">
        <is>
          <t>BTBR</t>
        </is>
      </c>
      <c r="K3156" t="inlineStr">
        <is>
          <t xml:space="preserve"> Female</t>
        </is>
      </c>
      <c r="L3156" t="inlineStr">
        <is>
          <t>No focal subject</t>
        </is>
      </c>
      <c r="M3156" t="n">
        <v>53.634</v>
      </c>
      <c r="N3156" t="inlineStr">
        <is>
          <t>Explore_F</t>
        </is>
      </c>
      <c r="O3156" t="inlineStr">
        <is>
          <t>Familiar</t>
        </is>
      </c>
      <c r="P3156" t="inlineStr">
        <is>
          <t>STATE</t>
        </is>
      </c>
      <c r="Q3156" t="n">
        <v>439.033</v>
      </c>
      <c r="R3156" t="n">
        <v>439.466</v>
      </c>
      <c r="S3156" t="n">
        <v>0.433</v>
      </c>
      <c r="T3156" t="inlineStr">
        <is>
          <t>C:/Users/manuel.felline/Documents/BEHAVIOR BTBR/NOR second cohort/BTBR/test/c10_f3.mp4</t>
        </is>
      </c>
      <c r="U3156" t="n">
        <v>13395</v>
      </c>
      <c r="V3156" t="n">
        <v>13408</v>
      </c>
      <c r="W3156" t="n">
        <v/>
      </c>
      <c r="X3156" t="n">
        <v/>
      </c>
      <c r="Y3156" t="n">
        <v/>
      </c>
      <c r="Z3156" t="n">
        <v/>
      </c>
      <c r="AA3156">
        <f>SUMIFS($S$2:S3156,$A$2:A3156,A3156,$N$2:N3156,"Explore*")</f>
        <v/>
      </c>
      <c r="AB3156">
        <f>IF(AND(LEFT(N3156,7)="Explore",(AA3156-IF(LEFT(N3156,7)="Explore",S3156,0))&lt;10),"SI","NO")</f>
        <v/>
      </c>
    </row>
    <row r="3157">
      <c r="A3157" t="inlineStr">
        <is>
          <t>c10f3_test</t>
        </is>
      </c>
      <c r="B3157" t="inlineStr">
        <is>
          <t>2026-06-25 15:17:59.557</t>
        </is>
      </c>
      <c r="C3157" t="n">
        <v/>
      </c>
      <c r="D3157" t="inlineStr">
        <is>
          <t>Media file</t>
        </is>
      </c>
      <c r="E3157" t="inlineStr">
        <is>
          <t>player #1:C:/Users/manuel.felline/Documents/BEHAVIOR BTBR/NOR second cohort/BTBR/test/c10_f3.mp4</t>
        </is>
      </c>
      <c r="F3157" t="n">
        <v>-7.667</v>
      </c>
      <c r="G3157" t="n">
        <v>574.7329999999999</v>
      </c>
      <c r="H3157" t="n">
        <v>623.133</v>
      </c>
      <c r="I3157" t="n">
        <v>30</v>
      </c>
      <c r="J3157" t="inlineStr">
        <is>
          <t>BTBR</t>
        </is>
      </c>
      <c r="K3157" t="inlineStr">
        <is>
          <t xml:space="preserve"> Female</t>
        </is>
      </c>
      <c r="L3157" t="inlineStr">
        <is>
          <t>No focal subject</t>
        </is>
      </c>
      <c r="M3157" t="n">
        <v>53.634</v>
      </c>
      <c r="N3157" t="inlineStr">
        <is>
          <t>Explore_N</t>
        </is>
      </c>
      <c r="O3157" t="inlineStr">
        <is>
          <t>Novelty</t>
        </is>
      </c>
      <c r="P3157" t="inlineStr">
        <is>
          <t>STATE</t>
        </is>
      </c>
      <c r="Q3157" t="n">
        <v>462.333</v>
      </c>
      <c r="R3157" t="n">
        <v>462.633</v>
      </c>
      <c r="S3157" t="n">
        <v>0.3</v>
      </c>
      <c r="T3157" t="inlineStr">
        <is>
          <t>C:/Users/manuel.felline/Documents/BEHAVIOR BTBR/NOR second cohort/BTBR/test/c10_f3.mp4</t>
        </is>
      </c>
      <c r="U3157" t="n">
        <v>14094</v>
      </c>
      <c r="V3157" t="n">
        <v>14102</v>
      </c>
      <c r="W3157" t="n">
        <v/>
      </c>
      <c r="X3157" t="n">
        <v/>
      </c>
      <c r="Y3157" t="n">
        <v/>
      </c>
      <c r="Z3157" t="n">
        <v/>
      </c>
      <c r="AA3157">
        <f>SUMIFS($S$2:S3157,$A$2:A3157,A3157,$N$2:N3157,"Explore*")</f>
        <v/>
      </c>
      <c r="AB3157">
        <f>IF(AND(LEFT(N3157,7)="Explore",(AA3157-IF(LEFT(N3157,7)="Explore",S3157,0))&lt;10),"SI","NO")</f>
        <v/>
      </c>
    </row>
    <row r="3158">
      <c r="A3158" t="inlineStr">
        <is>
          <t>c10f3_test</t>
        </is>
      </c>
      <c r="B3158" t="inlineStr">
        <is>
          <t>2026-06-25 15:17:59.557</t>
        </is>
      </c>
      <c r="C3158" t="n">
        <v/>
      </c>
      <c r="D3158" t="inlineStr">
        <is>
          <t>Media file</t>
        </is>
      </c>
      <c r="E3158" t="inlineStr">
        <is>
          <t>player #1:C:/Users/manuel.felline/Documents/BEHAVIOR BTBR/NOR second cohort/BTBR/test/c10_f3.mp4</t>
        </is>
      </c>
      <c r="F3158" t="n">
        <v>-7.667</v>
      </c>
      <c r="G3158" t="n">
        <v>574.7329999999999</v>
      </c>
      <c r="H3158" t="n">
        <v>623.133</v>
      </c>
      <c r="I3158" t="n">
        <v>30</v>
      </c>
      <c r="J3158" t="inlineStr">
        <is>
          <t>BTBR</t>
        </is>
      </c>
      <c r="K3158" t="inlineStr">
        <is>
          <t xml:space="preserve"> Female</t>
        </is>
      </c>
      <c r="L3158" t="inlineStr">
        <is>
          <t>No focal subject</t>
        </is>
      </c>
      <c r="M3158" t="n">
        <v>53.634</v>
      </c>
      <c r="N3158" t="inlineStr">
        <is>
          <t>Explore_N</t>
        </is>
      </c>
      <c r="O3158" t="inlineStr">
        <is>
          <t>Novelty</t>
        </is>
      </c>
      <c r="P3158" t="inlineStr">
        <is>
          <t>STATE</t>
        </is>
      </c>
      <c r="Q3158" t="n">
        <v>471.633</v>
      </c>
      <c r="R3158" t="n">
        <v>472.666</v>
      </c>
      <c r="S3158" t="n">
        <v>1.033</v>
      </c>
      <c r="T3158" t="inlineStr">
        <is>
          <t>C:/Users/manuel.felline/Documents/BEHAVIOR BTBR/NOR second cohort/BTBR/test/c10_f3.mp4</t>
        </is>
      </c>
      <c r="U3158" t="n">
        <v>14372</v>
      </c>
      <c r="V3158" t="n">
        <v>14403</v>
      </c>
      <c r="W3158" t="n">
        <v/>
      </c>
      <c r="X3158" t="n">
        <v/>
      </c>
      <c r="Y3158" t="n">
        <v/>
      </c>
      <c r="Z3158" t="n">
        <v/>
      </c>
      <c r="AA3158">
        <f>SUMIFS($S$2:S3158,$A$2:A3158,A3158,$N$2:N3158,"Explore*")</f>
        <v/>
      </c>
      <c r="AB3158">
        <f>IF(AND(LEFT(N3158,7)="Explore",(AA3158-IF(LEFT(N3158,7)="Explore",S3158,0))&lt;10),"SI","NO")</f>
        <v/>
      </c>
    </row>
    <row r="3159">
      <c r="A3159" t="inlineStr">
        <is>
          <t>c10f3_test</t>
        </is>
      </c>
      <c r="B3159" t="inlineStr">
        <is>
          <t>2026-06-25 15:17:59.557</t>
        </is>
      </c>
      <c r="C3159" t="n">
        <v/>
      </c>
      <c r="D3159" t="inlineStr">
        <is>
          <t>Media file</t>
        </is>
      </c>
      <c r="E3159" t="inlineStr">
        <is>
          <t>player #1:C:/Users/manuel.felline/Documents/BEHAVIOR BTBR/NOR second cohort/BTBR/test/c10_f3.mp4</t>
        </is>
      </c>
      <c r="F3159" t="n">
        <v>-7.667</v>
      </c>
      <c r="G3159" t="n">
        <v>574.7329999999999</v>
      </c>
      <c r="H3159" t="n">
        <v>623.133</v>
      </c>
      <c r="I3159" t="n">
        <v>30</v>
      </c>
      <c r="J3159" t="inlineStr">
        <is>
          <t>BTBR</t>
        </is>
      </c>
      <c r="K3159" t="inlineStr">
        <is>
          <t xml:space="preserve"> Female</t>
        </is>
      </c>
      <c r="L3159" t="inlineStr">
        <is>
          <t>No focal subject</t>
        </is>
      </c>
      <c r="M3159" t="n">
        <v>53.634</v>
      </c>
      <c r="N3159" t="inlineStr">
        <is>
          <t>Explore_N</t>
        </is>
      </c>
      <c r="O3159" t="inlineStr">
        <is>
          <t>Novelty</t>
        </is>
      </c>
      <c r="P3159" t="inlineStr">
        <is>
          <t>STATE</t>
        </is>
      </c>
      <c r="Q3159" t="n">
        <v>477.099</v>
      </c>
      <c r="R3159" t="n">
        <v>478.199</v>
      </c>
      <c r="S3159" t="n">
        <v>1.1</v>
      </c>
      <c r="T3159" t="inlineStr">
        <is>
          <t>C:/Users/manuel.felline/Documents/BEHAVIOR BTBR/NOR second cohort/BTBR/test/c10_f3.mp4</t>
        </is>
      </c>
      <c r="U3159" t="n">
        <v>14536</v>
      </c>
      <c r="V3159" t="n">
        <v>14569</v>
      </c>
      <c r="W3159" t="n">
        <v/>
      </c>
      <c r="X3159" t="n">
        <v/>
      </c>
      <c r="Y3159" t="n">
        <v/>
      </c>
      <c r="Z3159" t="n">
        <v/>
      </c>
      <c r="AA3159">
        <f>SUMIFS($S$2:S3159,$A$2:A3159,A3159,$N$2:N3159,"Explore*")</f>
        <v/>
      </c>
      <c r="AB3159">
        <f>IF(AND(LEFT(N3159,7)="Explore",(AA3159-IF(LEFT(N3159,7)="Explore",S3159,0))&lt;10),"SI","NO")</f>
        <v/>
      </c>
    </row>
    <row r="3160">
      <c r="A3160" t="inlineStr">
        <is>
          <t>c10f3_test</t>
        </is>
      </c>
      <c r="B3160" t="inlineStr">
        <is>
          <t>2026-06-25 15:17:59.557</t>
        </is>
      </c>
      <c r="C3160" t="n">
        <v/>
      </c>
      <c r="D3160" t="inlineStr">
        <is>
          <t>Media file</t>
        </is>
      </c>
      <c r="E3160" t="inlineStr">
        <is>
          <t>player #1:C:/Users/manuel.felline/Documents/BEHAVIOR BTBR/NOR second cohort/BTBR/test/c10_f3.mp4</t>
        </is>
      </c>
      <c r="F3160" t="n">
        <v>-7.667</v>
      </c>
      <c r="G3160" t="n">
        <v>574.7329999999999</v>
      </c>
      <c r="H3160" t="n">
        <v>623.133</v>
      </c>
      <c r="I3160" t="n">
        <v>30</v>
      </c>
      <c r="J3160" t="inlineStr">
        <is>
          <t>BTBR</t>
        </is>
      </c>
      <c r="K3160" t="inlineStr">
        <is>
          <t xml:space="preserve"> Female</t>
        </is>
      </c>
      <c r="L3160" t="inlineStr">
        <is>
          <t>No focal subject</t>
        </is>
      </c>
      <c r="M3160" t="n">
        <v>53.634</v>
      </c>
      <c r="N3160" t="inlineStr">
        <is>
          <t>Explore_F</t>
        </is>
      </c>
      <c r="O3160" t="inlineStr">
        <is>
          <t>Familiar</t>
        </is>
      </c>
      <c r="P3160" t="inlineStr">
        <is>
          <t>STATE</t>
        </is>
      </c>
      <c r="Q3160" t="n">
        <v>491.632</v>
      </c>
      <c r="R3160" t="n">
        <v>492.232</v>
      </c>
      <c r="S3160" t="n">
        <v>0.6</v>
      </c>
      <c r="T3160" t="inlineStr">
        <is>
          <t>C:/Users/manuel.felline/Documents/BEHAVIOR BTBR/NOR second cohort/BTBR/test/c10_f3.mp4</t>
        </is>
      </c>
      <c r="U3160" t="n">
        <v>14972</v>
      </c>
      <c r="V3160" t="n">
        <v>14990</v>
      </c>
      <c r="W3160" t="n">
        <v/>
      </c>
      <c r="X3160" t="n">
        <v/>
      </c>
      <c r="Y3160" t="n">
        <v/>
      </c>
      <c r="Z3160" t="n">
        <v/>
      </c>
      <c r="AA3160">
        <f>SUMIFS($S$2:S3160,$A$2:A3160,A3160,$N$2:N3160,"Explore*")</f>
        <v/>
      </c>
      <c r="AB3160">
        <f>IF(AND(LEFT(N3160,7)="Explore",(AA3160-IF(LEFT(N3160,7)="Explore",S3160,0))&lt;10),"SI","NO")</f>
        <v/>
      </c>
    </row>
    <row r="3161">
      <c r="A3161" t="inlineStr">
        <is>
          <t>c10f3_test</t>
        </is>
      </c>
      <c r="B3161" t="inlineStr">
        <is>
          <t>2026-06-25 15:17:59.557</t>
        </is>
      </c>
      <c r="C3161" t="n">
        <v/>
      </c>
      <c r="D3161" t="inlineStr">
        <is>
          <t>Media file</t>
        </is>
      </c>
      <c r="E3161" t="inlineStr">
        <is>
          <t>player #1:C:/Users/manuel.felline/Documents/BEHAVIOR BTBR/NOR second cohort/BTBR/test/c10_f3.mp4</t>
        </is>
      </c>
      <c r="F3161" t="n">
        <v>-7.667</v>
      </c>
      <c r="G3161" t="n">
        <v>574.7329999999999</v>
      </c>
      <c r="H3161" t="n">
        <v>623.133</v>
      </c>
      <c r="I3161" t="n">
        <v>30</v>
      </c>
      <c r="J3161" t="inlineStr">
        <is>
          <t>BTBR</t>
        </is>
      </c>
      <c r="K3161" t="inlineStr">
        <is>
          <t xml:space="preserve"> Female</t>
        </is>
      </c>
      <c r="L3161" t="inlineStr">
        <is>
          <t>No focal subject</t>
        </is>
      </c>
      <c r="M3161" t="n">
        <v>53.634</v>
      </c>
      <c r="N3161" t="inlineStr">
        <is>
          <t>Explore_F</t>
        </is>
      </c>
      <c r="O3161" t="inlineStr">
        <is>
          <t>Familiar</t>
        </is>
      </c>
      <c r="P3161" t="inlineStr">
        <is>
          <t>STATE</t>
        </is>
      </c>
      <c r="Q3161" t="n">
        <v>515.799</v>
      </c>
      <c r="R3161" t="n">
        <v>516.332</v>
      </c>
      <c r="S3161" t="n">
        <v>0.533</v>
      </c>
      <c r="T3161" t="inlineStr">
        <is>
          <t>C:/Users/manuel.felline/Documents/BEHAVIOR BTBR/NOR second cohort/BTBR/test/c10_f3.mp4</t>
        </is>
      </c>
      <c r="U3161" t="n">
        <v>15697</v>
      </c>
      <c r="V3161" t="n">
        <v>15713</v>
      </c>
      <c r="W3161" t="n">
        <v/>
      </c>
      <c r="X3161" t="n">
        <v/>
      </c>
      <c r="Y3161" t="n">
        <v/>
      </c>
      <c r="Z3161" t="n">
        <v/>
      </c>
      <c r="AA3161">
        <f>SUMIFS($S$2:S3161,$A$2:A3161,A3161,$N$2:N3161,"Explore*")</f>
        <v/>
      </c>
      <c r="AB3161">
        <f>IF(AND(LEFT(N3161,7)="Explore",(AA3161-IF(LEFT(N3161,7)="Explore",S3161,0))&lt;10),"SI","NO")</f>
        <v/>
      </c>
    </row>
    <row r="3162">
      <c r="A3162" t="inlineStr">
        <is>
          <t>c10f3_test</t>
        </is>
      </c>
      <c r="B3162" t="inlineStr">
        <is>
          <t>2026-06-25 15:17:59.557</t>
        </is>
      </c>
      <c r="C3162" t="n">
        <v/>
      </c>
      <c r="D3162" t="inlineStr">
        <is>
          <t>Media file</t>
        </is>
      </c>
      <c r="E3162" t="inlineStr">
        <is>
          <t>player #1:C:/Users/manuel.felline/Documents/BEHAVIOR BTBR/NOR second cohort/BTBR/test/c10_f3.mp4</t>
        </is>
      </c>
      <c r="F3162" t="n">
        <v>-7.667</v>
      </c>
      <c r="G3162" t="n">
        <v>574.7329999999999</v>
      </c>
      <c r="H3162" t="n">
        <v>623.133</v>
      </c>
      <c r="I3162" t="n">
        <v>30</v>
      </c>
      <c r="J3162" t="inlineStr">
        <is>
          <t>BTBR</t>
        </is>
      </c>
      <c r="K3162" t="inlineStr">
        <is>
          <t xml:space="preserve"> Female</t>
        </is>
      </c>
      <c r="L3162" t="inlineStr">
        <is>
          <t>No focal subject</t>
        </is>
      </c>
      <c r="M3162" t="n">
        <v>53.634</v>
      </c>
      <c r="N3162" t="inlineStr">
        <is>
          <t>Explore_F</t>
        </is>
      </c>
      <c r="O3162" t="inlineStr">
        <is>
          <t>Familiar</t>
        </is>
      </c>
      <c r="P3162" t="inlineStr">
        <is>
          <t>STATE</t>
        </is>
      </c>
      <c r="Q3162" t="n">
        <v>535.966</v>
      </c>
      <c r="R3162" t="n">
        <v>536.432</v>
      </c>
      <c r="S3162" t="n">
        <v>0.466</v>
      </c>
      <c r="T3162" t="inlineStr">
        <is>
          <t>C:/Users/manuel.felline/Documents/BEHAVIOR BTBR/NOR second cohort/BTBR/test/c10_f3.mp4</t>
        </is>
      </c>
      <c r="U3162" t="n">
        <v>16301</v>
      </c>
      <c r="V3162" t="n">
        <v>16315</v>
      </c>
      <c r="W3162" t="n">
        <v/>
      </c>
      <c r="X3162" t="n">
        <v/>
      </c>
      <c r="Y3162" t="n">
        <v/>
      </c>
      <c r="Z3162" t="n">
        <v/>
      </c>
      <c r="AA3162">
        <f>SUMIFS($S$2:S3162,$A$2:A3162,A3162,$N$2:N3162,"Explore*")</f>
        <v/>
      </c>
      <c r="AB3162">
        <f>IF(AND(LEFT(N3162,7)="Explore",(AA3162-IF(LEFT(N3162,7)="Explore",S3162,0))&lt;10),"SI","NO")</f>
        <v/>
      </c>
    </row>
    <row r="3163">
      <c r="A3163" t="inlineStr">
        <is>
          <t>c10f3_test</t>
        </is>
      </c>
      <c r="B3163" t="inlineStr">
        <is>
          <t>2026-06-25 15:17:59.557</t>
        </is>
      </c>
      <c r="C3163" t="n">
        <v/>
      </c>
      <c r="D3163" t="inlineStr">
        <is>
          <t>Media file</t>
        </is>
      </c>
      <c r="E3163" t="inlineStr">
        <is>
          <t>player #1:C:/Users/manuel.felline/Documents/BEHAVIOR BTBR/NOR second cohort/BTBR/test/c10_f3.mp4</t>
        </is>
      </c>
      <c r="F3163" t="n">
        <v>-7.667</v>
      </c>
      <c r="G3163" t="n">
        <v>574.7329999999999</v>
      </c>
      <c r="H3163" t="n">
        <v>623.133</v>
      </c>
      <c r="I3163" t="n">
        <v>30</v>
      </c>
      <c r="J3163" t="inlineStr">
        <is>
          <t>BTBR</t>
        </is>
      </c>
      <c r="K3163" t="inlineStr">
        <is>
          <t xml:space="preserve"> Female</t>
        </is>
      </c>
      <c r="L3163" t="inlineStr">
        <is>
          <t>No focal subject</t>
        </is>
      </c>
      <c r="M3163" t="n">
        <v>53.634</v>
      </c>
      <c r="N3163" t="inlineStr">
        <is>
          <t>Explore_N</t>
        </is>
      </c>
      <c r="O3163" t="inlineStr">
        <is>
          <t>Novelty</t>
        </is>
      </c>
      <c r="P3163" t="inlineStr">
        <is>
          <t>STATE</t>
        </is>
      </c>
      <c r="Q3163" t="n">
        <v>577.599</v>
      </c>
      <c r="R3163" t="n">
        <v>578.866</v>
      </c>
      <c r="S3163" t="n">
        <v>1.267</v>
      </c>
      <c r="T3163" t="inlineStr">
        <is>
          <t>C:/Users/manuel.felline/Documents/BEHAVIOR BTBR/NOR second cohort/BTBR/test/c10_f3.mp4</t>
        </is>
      </c>
      <c r="U3163" t="n">
        <v>17550</v>
      </c>
      <c r="V3163" t="n">
        <v>17588</v>
      </c>
      <c r="W3163" t="n">
        <v/>
      </c>
      <c r="X3163" t="n">
        <v/>
      </c>
      <c r="Y3163" t="n">
        <v/>
      </c>
      <c r="Z3163" t="n">
        <v/>
      </c>
      <c r="AA3163">
        <f>SUMIFS($S$2:S3163,$A$2:A3163,A3163,$N$2:N3163,"Explore*")</f>
        <v/>
      </c>
      <c r="AB3163">
        <f>IF(AND(LEFT(N3163,7)="Explore",(AA3163-IF(LEFT(N3163,7)="Explore",S3163,0))&lt;10),"SI","NO")</f>
        <v/>
      </c>
    </row>
    <row r="3164">
      <c r="A3164" t="inlineStr">
        <is>
          <t>c10f3_test</t>
        </is>
      </c>
      <c r="B3164" t="inlineStr">
        <is>
          <t>2026-06-25 15:17:59.557</t>
        </is>
      </c>
      <c r="C3164" t="n">
        <v/>
      </c>
      <c r="D3164" t="inlineStr">
        <is>
          <t>Media file</t>
        </is>
      </c>
      <c r="E3164" t="inlineStr">
        <is>
          <t>player #1:C:/Users/manuel.felline/Documents/BEHAVIOR BTBR/NOR second cohort/BTBR/test/c10_f3.mp4</t>
        </is>
      </c>
      <c r="F3164" t="n">
        <v>-7.667</v>
      </c>
      <c r="G3164" t="n">
        <v>574.7329999999999</v>
      </c>
      <c r="H3164" t="n">
        <v>623.133</v>
      </c>
      <c r="I3164" t="n">
        <v>30</v>
      </c>
      <c r="J3164" t="inlineStr">
        <is>
          <t>BTBR</t>
        </is>
      </c>
      <c r="K3164" t="inlineStr">
        <is>
          <t xml:space="preserve"> Female</t>
        </is>
      </c>
      <c r="L3164" t="inlineStr">
        <is>
          <t>No focal subject</t>
        </is>
      </c>
      <c r="M3164" t="n">
        <v>53.634</v>
      </c>
      <c r="N3164" t="inlineStr">
        <is>
          <t>Explore_N</t>
        </is>
      </c>
      <c r="O3164" t="inlineStr">
        <is>
          <t>Novelty</t>
        </is>
      </c>
      <c r="P3164" t="inlineStr">
        <is>
          <t>STATE</t>
        </is>
      </c>
      <c r="Q3164" t="n">
        <v>581.099</v>
      </c>
      <c r="R3164" t="n">
        <v>581.966</v>
      </c>
      <c r="S3164" t="n">
        <v>0.867</v>
      </c>
      <c r="T3164" t="inlineStr">
        <is>
          <t>C:/Users/manuel.felline/Documents/BEHAVIOR BTBR/NOR second cohort/BTBR/test/c10_f3.mp4</t>
        </is>
      </c>
      <c r="U3164" t="n">
        <v>17655</v>
      </c>
      <c r="V3164" t="n">
        <v>17681</v>
      </c>
      <c r="W3164" t="n">
        <v/>
      </c>
      <c r="X3164" t="n">
        <v/>
      </c>
      <c r="Y3164" t="n">
        <v/>
      </c>
      <c r="Z3164" t="n">
        <v/>
      </c>
      <c r="AA3164">
        <f>SUMIFS($S$2:S3164,$A$2:A3164,A3164,$N$2:N3164,"Explore*")</f>
        <v/>
      </c>
      <c r="AB3164">
        <f>IF(AND(LEFT(N3164,7)="Explore",(AA3164-IF(LEFT(N3164,7)="Explore",S3164,0))&lt;10),"SI","NO")</f>
        <v/>
      </c>
    </row>
    <row r="3165">
      <c r="A3165" t="inlineStr">
        <is>
          <t>c10f4_test</t>
        </is>
      </c>
      <c r="B3165" t="inlineStr">
        <is>
          <t>2026-06-25 16:03:23.428</t>
        </is>
      </c>
      <c r="C3165" t="n">
        <v/>
      </c>
      <c r="D3165" t="inlineStr">
        <is>
          <t>Media file</t>
        </is>
      </c>
      <c r="E3165" t="inlineStr">
        <is>
          <t>player #1:C:/Users/manuel.felline/Documents/BEHAVIOR BTBR/NOR second cohort/BTBR/test/c10_f4.mp4</t>
        </is>
      </c>
      <c r="F3165" t="n">
        <v>-6.933</v>
      </c>
      <c r="G3165" t="n">
        <v>579.5</v>
      </c>
      <c r="H3165" t="n">
        <v>622.7329999999999</v>
      </c>
      <c r="I3165" t="n">
        <v>30</v>
      </c>
      <c r="J3165" t="inlineStr">
        <is>
          <t>BTBR</t>
        </is>
      </c>
      <c r="K3165" t="inlineStr">
        <is>
          <t xml:space="preserve"> Female</t>
        </is>
      </c>
      <c r="L3165" t="inlineStr">
        <is>
          <t>No focal subject</t>
        </is>
      </c>
      <c r="M3165" t="n">
        <v>35.698</v>
      </c>
      <c r="N3165" t="inlineStr">
        <is>
          <t>Explore_F</t>
        </is>
      </c>
      <c r="O3165" t="inlineStr">
        <is>
          <t>Familiar</t>
        </is>
      </c>
      <c r="P3165" t="inlineStr">
        <is>
          <t>STATE</t>
        </is>
      </c>
      <c r="Q3165" t="n">
        <v>1</v>
      </c>
      <c r="R3165" t="n">
        <v>1.867</v>
      </c>
      <c r="S3165" t="n">
        <v>0.867</v>
      </c>
      <c r="T3165" t="inlineStr">
        <is>
          <t>C:/Users/manuel.felline/Documents/BEHAVIOR BTBR/NOR second cohort/BTBR/test/c10_f4.mp4</t>
        </is>
      </c>
      <c r="U3165" t="n">
        <v>238</v>
      </c>
      <c r="V3165" t="n">
        <v>264</v>
      </c>
      <c r="W3165" t="n">
        <v/>
      </c>
      <c r="X3165" t="n">
        <v/>
      </c>
      <c r="Y3165" t="n">
        <v/>
      </c>
      <c r="Z3165" t="n">
        <v/>
      </c>
      <c r="AA3165">
        <f>SUMIFS($S$2:S3165,$A$2:A3165,A3165,$N$2:N3165,"Explore*")</f>
        <v/>
      </c>
      <c r="AB3165">
        <f>IF(AND(LEFT(N3165,7)="Explore",(AA3165-IF(LEFT(N3165,7)="Explore",S3165,0))&lt;10),"SI","NO")</f>
        <v/>
      </c>
    </row>
    <row r="3166">
      <c r="A3166" t="inlineStr">
        <is>
          <t>c10f4_test</t>
        </is>
      </c>
      <c r="B3166" t="inlineStr">
        <is>
          <t>2026-06-25 16:03:23.428</t>
        </is>
      </c>
      <c r="C3166" t="n">
        <v/>
      </c>
      <c r="D3166" t="inlineStr">
        <is>
          <t>Media file</t>
        </is>
      </c>
      <c r="E3166" t="inlineStr">
        <is>
          <t>player #1:C:/Users/manuel.felline/Documents/BEHAVIOR BTBR/NOR second cohort/BTBR/test/c10_f4.mp4</t>
        </is>
      </c>
      <c r="F3166" t="n">
        <v>-6.933</v>
      </c>
      <c r="G3166" t="n">
        <v>579.5</v>
      </c>
      <c r="H3166" t="n">
        <v>622.7329999999999</v>
      </c>
      <c r="I3166" t="n">
        <v>30</v>
      </c>
      <c r="J3166" t="inlineStr">
        <is>
          <t>BTBR</t>
        </is>
      </c>
      <c r="K3166" t="inlineStr">
        <is>
          <t xml:space="preserve"> Female</t>
        </is>
      </c>
      <c r="L3166" t="inlineStr">
        <is>
          <t>No focal subject</t>
        </is>
      </c>
      <c r="M3166" t="n">
        <v>35.698</v>
      </c>
      <c r="N3166" t="inlineStr">
        <is>
          <t>Explore_N</t>
        </is>
      </c>
      <c r="O3166" t="inlineStr">
        <is>
          <t>Novelty</t>
        </is>
      </c>
      <c r="P3166" t="inlineStr">
        <is>
          <t>STATE</t>
        </is>
      </c>
      <c r="Q3166" t="n">
        <v>7.467</v>
      </c>
      <c r="R3166" t="n">
        <v>8.334</v>
      </c>
      <c r="S3166" t="n">
        <v>0.867</v>
      </c>
      <c r="T3166" t="inlineStr">
        <is>
          <t>C:/Users/manuel.felline/Documents/BEHAVIOR BTBR/NOR second cohort/BTBR/test/c10_f4.mp4</t>
        </is>
      </c>
      <c r="U3166" t="n">
        <v>432</v>
      </c>
      <c r="V3166" t="n">
        <v>458</v>
      </c>
      <c r="W3166" t="n">
        <v/>
      </c>
      <c r="X3166" t="n">
        <v/>
      </c>
      <c r="Y3166" t="n">
        <v/>
      </c>
      <c r="Z3166" t="n">
        <v/>
      </c>
      <c r="AA3166">
        <f>SUMIFS($S$2:S3166,$A$2:A3166,A3166,$N$2:N3166,"Explore*")</f>
        <v/>
      </c>
      <c r="AB3166">
        <f>IF(AND(LEFT(N3166,7)="Explore",(AA3166-IF(LEFT(N3166,7)="Explore",S3166,0))&lt;10),"SI","NO")</f>
        <v/>
      </c>
    </row>
    <row r="3167">
      <c r="A3167" t="inlineStr">
        <is>
          <t>c10f4_test</t>
        </is>
      </c>
      <c r="B3167" t="inlineStr">
        <is>
          <t>2026-06-25 16:03:23.428</t>
        </is>
      </c>
      <c r="C3167" t="n">
        <v/>
      </c>
      <c r="D3167" t="inlineStr">
        <is>
          <t>Media file</t>
        </is>
      </c>
      <c r="E3167" t="inlineStr">
        <is>
          <t>player #1:C:/Users/manuel.felline/Documents/BEHAVIOR BTBR/NOR second cohort/BTBR/test/c10_f4.mp4</t>
        </is>
      </c>
      <c r="F3167" t="n">
        <v>-6.933</v>
      </c>
      <c r="G3167" t="n">
        <v>579.5</v>
      </c>
      <c r="H3167" t="n">
        <v>622.7329999999999</v>
      </c>
      <c r="I3167" t="n">
        <v>30</v>
      </c>
      <c r="J3167" t="inlineStr">
        <is>
          <t>BTBR</t>
        </is>
      </c>
      <c r="K3167" t="inlineStr">
        <is>
          <t xml:space="preserve"> Female</t>
        </is>
      </c>
      <c r="L3167" t="inlineStr">
        <is>
          <t>No focal subject</t>
        </is>
      </c>
      <c r="M3167" t="n">
        <v>35.698</v>
      </c>
      <c r="N3167" t="inlineStr">
        <is>
          <t>Explore_F</t>
        </is>
      </c>
      <c r="O3167" t="inlineStr">
        <is>
          <t>Familiar</t>
        </is>
      </c>
      <c r="P3167" t="inlineStr">
        <is>
          <t>STATE</t>
        </is>
      </c>
      <c r="Q3167" t="n">
        <v>21.967</v>
      </c>
      <c r="R3167" t="n">
        <v>22.467</v>
      </c>
      <c r="S3167" t="n">
        <v>0.5</v>
      </c>
      <c r="T3167" t="inlineStr">
        <is>
          <t>C:/Users/manuel.felline/Documents/BEHAVIOR BTBR/NOR second cohort/BTBR/test/c10_f4.mp4</t>
        </is>
      </c>
      <c r="U3167" t="n">
        <v>867</v>
      </c>
      <c r="V3167" t="n">
        <v>882</v>
      </c>
      <c r="W3167" t="n">
        <v/>
      </c>
      <c r="X3167" t="n">
        <v/>
      </c>
      <c r="Y3167" t="n">
        <v/>
      </c>
      <c r="Z3167" t="n">
        <v/>
      </c>
      <c r="AA3167">
        <f>SUMIFS($S$2:S3167,$A$2:A3167,A3167,$N$2:N3167,"Explore*")</f>
        <v/>
      </c>
      <c r="AB3167">
        <f>IF(AND(LEFT(N3167,7)="Explore",(AA3167-IF(LEFT(N3167,7)="Explore",S3167,0))&lt;10),"SI","NO")</f>
        <v/>
      </c>
    </row>
    <row r="3168">
      <c r="A3168" t="inlineStr">
        <is>
          <t>c10f4_test</t>
        </is>
      </c>
      <c r="B3168" t="inlineStr">
        <is>
          <t>2026-06-25 16:03:23.428</t>
        </is>
      </c>
      <c r="C3168" t="n">
        <v/>
      </c>
      <c r="D3168" t="inlineStr">
        <is>
          <t>Media file</t>
        </is>
      </c>
      <c r="E3168" t="inlineStr">
        <is>
          <t>player #1:C:/Users/manuel.felline/Documents/BEHAVIOR BTBR/NOR second cohort/BTBR/test/c10_f4.mp4</t>
        </is>
      </c>
      <c r="F3168" t="n">
        <v>-6.933</v>
      </c>
      <c r="G3168" t="n">
        <v>579.5</v>
      </c>
      <c r="H3168" t="n">
        <v>622.7329999999999</v>
      </c>
      <c r="I3168" t="n">
        <v>30</v>
      </c>
      <c r="J3168" t="inlineStr">
        <is>
          <t>BTBR</t>
        </is>
      </c>
      <c r="K3168" t="inlineStr">
        <is>
          <t xml:space="preserve"> Female</t>
        </is>
      </c>
      <c r="L3168" t="inlineStr">
        <is>
          <t>No focal subject</t>
        </is>
      </c>
      <c r="M3168" t="n">
        <v>35.698</v>
      </c>
      <c r="N3168" t="inlineStr">
        <is>
          <t>Explore_N</t>
        </is>
      </c>
      <c r="O3168" t="inlineStr">
        <is>
          <t>Novelty</t>
        </is>
      </c>
      <c r="P3168" t="inlineStr">
        <is>
          <t>STATE</t>
        </is>
      </c>
      <c r="Q3168" t="n">
        <v>23.1</v>
      </c>
      <c r="R3168" t="n">
        <v>24.334</v>
      </c>
      <c r="S3168" t="n">
        <v>1.234</v>
      </c>
      <c r="T3168" t="inlineStr">
        <is>
          <t>C:/Users/manuel.felline/Documents/BEHAVIOR BTBR/NOR second cohort/BTBR/test/c10_f4.mp4</t>
        </is>
      </c>
      <c r="U3168" t="n">
        <v>901</v>
      </c>
      <c r="V3168" t="n">
        <v>938</v>
      </c>
      <c r="W3168" t="n">
        <v/>
      </c>
      <c r="X3168" t="n">
        <v/>
      </c>
      <c r="Y3168" t="n">
        <v/>
      </c>
      <c r="Z3168" t="n">
        <v/>
      </c>
      <c r="AA3168">
        <f>SUMIFS($S$2:S3168,$A$2:A3168,A3168,$N$2:N3168,"Explore*")</f>
        <v/>
      </c>
      <c r="AB3168">
        <f>IF(AND(LEFT(N3168,7)="Explore",(AA3168-IF(LEFT(N3168,7)="Explore",S3168,0))&lt;10),"SI","NO")</f>
        <v/>
      </c>
    </row>
    <row r="3169">
      <c r="A3169" t="inlineStr">
        <is>
          <t>c10f4_test</t>
        </is>
      </c>
      <c r="B3169" t="inlineStr">
        <is>
          <t>2026-06-25 16:03:23.428</t>
        </is>
      </c>
      <c r="C3169" t="n">
        <v/>
      </c>
      <c r="D3169" t="inlineStr">
        <is>
          <t>Media file</t>
        </is>
      </c>
      <c r="E3169" t="inlineStr">
        <is>
          <t>player #1:C:/Users/manuel.felline/Documents/BEHAVIOR BTBR/NOR second cohort/BTBR/test/c10_f4.mp4</t>
        </is>
      </c>
      <c r="F3169" t="n">
        <v>-6.933</v>
      </c>
      <c r="G3169" t="n">
        <v>579.5</v>
      </c>
      <c r="H3169" t="n">
        <v>622.7329999999999</v>
      </c>
      <c r="I3169" t="n">
        <v>30</v>
      </c>
      <c r="J3169" t="inlineStr">
        <is>
          <t>BTBR</t>
        </is>
      </c>
      <c r="K3169" t="inlineStr">
        <is>
          <t xml:space="preserve"> Female</t>
        </is>
      </c>
      <c r="L3169" t="inlineStr">
        <is>
          <t>No focal subject</t>
        </is>
      </c>
      <c r="M3169" t="n">
        <v>35.698</v>
      </c>
      <c r="N3169" t="inlineStr">
        <is>
          <t>Explore_N</t>
        </is>
      </c>
      <c r="O3169" t="inlineStr">
        <is>
          <t>Novelty</t>
        </is>
      </c>
      <c r="P3169" t="inlineStr">
        <is>
          <t>STATE</t>
        </is>
      </c>
      <c r="Q3169" t="n">
        <v>32.267</v>
      </c>
      <c r="R3169" t="n">
        <v>32.667</v>
      </c>
      <c r="S3169" t="n">
        <v>0.4</v>
      </c>
      <c r="T3169" t="inlineStr">
        <is>
          <t>C:/Users/manuel.felline/Documents/BEHAVIOR BTBR/NOR second cohort/BTBR/test/c10_f4.mp4</t>
        </is>
      </c>
      <c r="U3169" t="n">
        <v>1176</v>
      </c>
      <c r="V3169" t="n">
        <v>1188</v>
      </c>
      <c r="W3169" t="n">
        <v/>
      </c>
      <c r="X3169" t="n">
        <v/>
      </c>
      <c r="Y3169" t="n">
        <v/>
      </c>
      <c r="Z3169" t="n">
        <v/>
      </c>
      <c r="AA3169">
        <f>SUMIFS($S$2:S3169,$A$2:A3169,A3169,$N$2:N3169,"Explore*")</f>
        <v/>
      </c>
      <c r="AB3169">
        <f>IF(AND(LEFT(N3169,7)="Explore",(AA3169-IF(LEFT(N3169,7)="Explore",S3169,0))&lt;10),"SI","NO")</f>
        <v/>
      </c>
    </row>
    <row r="3170">
      <c r="A3170" t="inlineStr">
        <is>
          <t>c10f4_test</t>
        </is>
      </c>
      <c r="B3170" t="inlineStr">
        <is>
          <t>2026-06-25 16:03:23.428</t>
        </is>
      </c>
      <c r="C3170" t="n">
        <v/>
      </c>
      <c r="D3170" t="inlineStr">
        <is>
          <t>Media file</t>
        </is>
      </c>
      <c r="E3170" t="inlineStr">
        <is>
          <t>player #1:C:/Users/manuel.felline/Documents/BEHAVIOR BTBR/NOR second cohort/BTBR/test/c10_f4.mp4</t>
        </is>
      </c>
      <c r="F3170" t="n">
        <v>-6.933</v>
      </c>
      <c r="G3170" t="n">
        <v>579.5</v>
      </c>
      <c r="H3170" t="n">
        <v>622.7329999999999</v>
      </c>
      <c r="I3170" t="n">
        <v>30</v>
      </c>
      <c r="J3170" t="inlineStr">
        <is>
          <t>BTBR</t>
        </is>
      </c>
      <c r="K3170" t="inlineStr">
        <is>
          <t xml:space="preserve"> Female</t>
        </is>
      </c>
      <c r="L3170" t="inlineStr">
        <is>
          <t>No focal subject</t>
        </is>
      </c>
      <c r="M3170" t="n">
        <v>35.698</v>
      </c>
      <c r="N3170" t="inlineStr">
        <is>
          <t>Explore_F</t>
        </is>
      </c>
      <c r="O3170" t="inlineStr">
        <is>
          <t>Familiar</t>
        </is>
      </c>
      <c r="P3170" t="inlineStr">
        <is>
          <t>STATE</t>
        </is>
      </c>
      <c r="Q3170" t="n">
        <v>34.167</v>
      </c>
      <c r="R3170" t="n">
        <v>35.134</v>
      </c>
      <c r="S3170" t="n">
        <v>0.967</v>
      </c>
      <c r="T3170" t="inlineStr">
        <is>
          <t>C:/Users/manuel.felline/Documents/BEHAVIOR BTBR/NOR second cohort/BTBR/test/c10_f4.mp4</t>
        </is>
      </c>
      <c r="U3170" t="n">
        <v>1233</v>
      </c>
      <c r="V3170" t="n">
        <v>1262</v>
      </c>
      <c r="W3170" t="n">
        <v/>
      </c>
      <c r="X3170" t="n">
        <v/>
      </c>
      <c r="Y3170" t="n">
        <v/>
      </c>
      <c r="Z3170" t="n">
        <v/>
      </c>
      <c r="AA3170">
        <f>SUMIFS($S$2:S3170,$A$2:A3170,A3170,$N$2:N3170,"Explore*")</f>
        <v/>
      </c>
      <c r="AB3170">
        <f>IF(AND(LEFT(N3170,7)="Explore",(AA3170-IF(LEFT(N3170,7)="Explore",S3170,0))&lt;10),"SI","NO")</f>
        <v/>
      </c>
    </row>
    <row r="3171">
      <c r="A3171" t="inlineStr">
        <is>
          <t>c10f4_test</t>
        </is>
      </c>
      <c r="B3171" t="inlineStr">
        <is>
          <t>2026-06-25 16:03:23.428</t>
        </is>
      </c>
      <c r="C3171" t="n">
        <v/>
      </c>
      <c r="D3171" t="inlineStr">
        <is>
          <t>Media file</t>
        </is>
      </c>
      <c r="E3171" t="inlineStr">
        <is>
          <t>player #1:C:/Users/manuel.felline/Documents/BEHAVIOR BTBR/NOR second cohort/BTBR/test/c10_f4.mp4</t>
        </is>
      </c>
      <c r="F3171" t="n">
        <v>-6.933</v>
      </c>
      <c r="G3171" t="n">
        <v>579.5</v>
      </c>
      <c r="H3171" t="n">
        <v>622.7329999999999</v>
      </c>
      <c r="I3171" t="n">
        <v>30</v>
      </c>
      <c r="J3171" t="inlineStr">
        <is>
          <t>BTBR</t>
        </is>
      </c>
      <c r="K3171" t="inlineStr">
        <is>
          <t xml:space="preserve"> Female</t>
        </is>
      </c>
      <c r="L3171" t="inlineStr">
        <is>
          <t>No focal subject</t>
        </is>
      </c>
      <c r="M3171" t="n">
        <v>35.698</v>
      </c>
      <c r="N3171" t="inlineStr">
        <is>
          <t>Explore_F</t>
        </is>
      </c>
      <c r="O3171" t="inlineStr">
        <is>
          <t>Familiar</t>
        </is>
      </c>
      <c r="P3171" t="inlineStr">
        <is>
          <t>STATE</t>
        </is>
      </c>
      <c r="Q3171" t="n">
        <v>47.634</v>
      </c>
      <c r="R3171" t="n">
        <v>48.3</v>
      </c>
      <c r="S3171" t="n">
        <v>0.666</v>
      </c>
      <c r="T3171" t="inlineStr">
        <is>
          <t>C:/Users/manuel.felline/Documents/BEHAVIOR BTBR/NOR second cohort/BTBR/test/c10_f4.mp4</t>
        </is>
      </c>
      <c r="U3171" t="n">
        <v>1637</v>
      </c>
      <c r="V3171" t="n">
        <v>1657</v>
      </c>
      <c r="W3171" t="n">
        <v/>
      </c>
      <c r="X3171" t="n">
        <v/>
      </c>
      <c r="Y3171" t="n">
        <v/>
      </c>
      <c r="Z3171" t="n">
        <v/>
      </c>
      <c r="AA3171">
        <f>SUMIFS($S$2:S3171,$A$2:A3171,A3171,$N$2:N3171,"Explore*")</f>
        <v/>
      </c>
      <c r="AB3171">
        <f>IF(AND(LEFT(N3171,7)="Explore",(AA3171-IF(LEFT(N3171,7)="Explore",S3171,0))&lt;10),"SI","NO")</f>
        <v/>
      </c>
    </row>
    <row r="3172">
      <c r="A3172" t="inlineStr">
        <is>
          <t>c10f4_test</t>
        </is>
      </c>
      <c r="B3172" t="inlineStr">
        <is>
          <t>2026-06-25 16:03:23.428</t>
        </is>
      </c>
      <c r="C3172" t="n">
        <v/>
      </c>
      <c r="D3172" t="inlineStr">
        <is>
          <t>Media file</t>
        </is>
      </c>
      <c r="E3172" t="inlineStr">
        <is>
          <t>player #1:C:/Users/manuel.felline/Documents/BEHAVIOR BTBR/NOR second cohort/BTBR/test/c10_f4.mp4</t>
        </is>
      </c>
      <c r="F3172" t="n">
        <v>-6.933</v>
      </c>
      <c r="G3172" t="n">
        <v>579.5</v>
      </c>
      <c r="H3172" t="n">
        <v>622.7329999999999</v>
      </c>
      <c r="I3172" t="n">
        <v>30</v>
      </c>
      <c r="J3172" t="inlineStr">
        <is>
          <t>BTBR</t>
        </is>
      </c>
      <c r="K3172" t="inlineStr">
        <is>
          <t xml:space="preserve"> Female</t>
        </is>
      </c>
      <c r="L3172" t="inlineStr">
        <is>
          <t>No focal subject</t>
        </is>
      </c>
      <c r="M3172" t="n">
        <v>35.698</v>
      </c>
      <c r="N3172" t="inlineStr">
        <is>
          <t>Explore_F</t>
        </is>
      </c>
      <c r="O3172" t="inlineStr">
        <is>
          <t>Familiar</t>
        </is>
      </c>
      <c r="P3172" t="inlineStr">
        <is>
          <t>STATE</t>
        </is>
      </c>
      <c r="Q3172" t="n">
        <v>51.134</v>
      </c>
      <c r="R3172" t="n">
        <v>51.767</v>
      </c>
      <c r="S3172" t="n">
        <v>0.633</v>
      </c>
      <c r="T3172" t="inlineStr">
        <is>
          <t>C:/Users/manuel.felline/Documents/BEHAVIOR BTBR/NOR second cohort/BTBR/test/c10_f4.mp4</t>
        </is>
      </c>
      <c r="U3172" t="n">
        <v>1742</v>
      </c>
      <c r="V3172" t="n">
        <v>1761</v>
      </c>
      <c r="W3172" t="n">
        <v/>
      </c>
      <c r="X3172" t="n">
        <v/>
      </c>
      <c r="Y3172" t="n">
        <v/>
      </c>
      <c r="Z3172" t="n">
        <v/>
      </c>
      <c r="AA3172">
        <f>SUMIFS($S$2:S3172,$A$2:A3172,A3172,$N$2:N3172,"Explore*")</f>
        <v/>
      </c>
      <c r="AB3172">
        <f>IF(AND(LEFT(N3172,7)="Explore",(AA3172-IF(LEFT(N3172,7)="Explore",S3172,0))&lt;10),"SI","NO")</f>
        <v/>
      </c>
    </row>
    <row r="3173">
      <c r="A3173" t="inlineStr">
        <is>
          <t>c10f4_test</t>
        </is>
      </c>
      <c r="B3173" t="inlineStr">
        <is>
          <t>2026-06-25 16:03:23.428</t>
        </is>
      </c>
      <c r="C3173" t="n">
        <v/>
      </c>
      <c r="D3173" t="inlineStr">
        <is>
          <t>Media file</t>
        </is>
      </c>
      <c r="E3173" t="inlineStr">
        <is>
          <t>player #1:C:/Users/manuel.felline/Documents/BEHAVIOR BTBR/NOR second cohort/BTBR/test/c10_f4.mp4</t>
        </is>
      </c>
      <c r="F3173" t="n">
        <v>-6.933</v>
      </c>
      <c r="G3173" t="n">
        <v>579.5</v>
      </c>
      <c r="H3173" t="n">
        <v>622.7329999999999</v>
      </c>
      <c r="I3173" t="n">
        <v>30</v>
      </c>
      <c r="J3173" t="inlineStr">
        <is>
          <t>BTBR</t>
        </is>
      </c>
      <c r="K3173" t="inlineStr">
        <is>
          <t xml:space="preserve"> Female</t>
        </is>
      </c>
      <c r="L3173" t="inlineStr">
        <is>
          <t>No focal subject</t>
        </is>
      </c>
      <c r="M3173" t="n">
        <v>35.698</v>
      </c>
      <c r="N3173" t="inlineStr">
        <is>
          <t>Explore_F</t>
        </is>
      </c>
      <c r="O3173" t="inlineStr">
        <is>
          <t>Familiar</t>
        </is>
      </c>
      <c r="P3173" t="inlineStr">
        <is>
          <t>STATE</t>
        </is>
      </c>
      <c r="Q3173" t="n">
        <v>54.8</v>
      </c>
      <c r="R3173" t="n">
        <v>55.267</v>
      </c>
      <c r="S3173" t="n">
        <v>0.467</v>
      </c>
      <c r="T3173" t="inlineStr">
        <is>
          <t>C:/Users/manuel.felline/Documents/BEHAVIOR BTBR/NOR second cohort/BTBR/test/c10_f4.mp4</t>
        </is>
      </c>
      <c r="U3173" t="n">
        <v>1852</v>
      </c>
      <c r="V3173" t="n">
        <v>1866</v>
      </c>
      <c r="W3173" t="n">
        <v/>
      </c>
      <c r="X3173" t="n">
        <v/>
      </c>
      <c r="Y3173" t="n">
        <v/>
      </c>
      <c r="Z3173" t="n">
        <v/>
      </c>
      <c r="AA3173">
        <f>SUMIFS($S$2:S3173,$A$2:A3173,A3173,$N$2:N3173,"Explore*")</f>
        <v/>
      </c>
      <c r="AB3173">
        <f>IF(AND(LEFT(N3173,7)="Explore",(AA3173-IF(LEFT(N3173,7)="Explore",S3173,0))&lt;10),"SI","NO")</f>
        <v/>
      </c>
    </row>
    <row r="3174">
      <c r="A3174" t="inlineStr">
        <is>
          <t>c10f4_test</t>
        </is>
      </c>
      <c r="B3174" t="inlineStr">
        <is>
          <t>2026-06-25 16:03:23.428</t>
        </is>
      </c>
      <c r="C3174" t="n">
        <v/>
      </c>
      <c r="D3174" t="inlineStr">
        <is>
          <t>Media file</t>
        </is>
      </c>
      <c r="E3174" t="inlineStr">
        <is>
          <t>player #1:C:/Users/manuel.felline/Documents/BEHAVIOR BTBR/NOR second cohort/BTBR/test/c10_f4.mp4</t>
        </is>
      </c>
      <c r="F3174" t="n">
        <v>-6.933</v>
      </c>
      <c r="G3174" t="n">
        <v>579.5</v>
      </c>
      <c r="H3174" t="n">
        <v>622.7329999999999</v>
      </c>
      <c r="I3174" t="n">
        <v>30</v>
      </c>
      <c r="J3174" t="inlineStr">
        <is>
          <t>BTBR</t>
        </is>
      </c>
      <c r="K3174" t="inlineStr">
        <is>
          <t xml:space="preserve"> Female</t>
        </is>
      </c>
      <c r="L3174" t="inlineStr">
        <is>
          <t>No focal subject</t>
        </is>
      </c>
      <c r="M3174" t="n">
        <v>35.698</v>
      </c>
      <c r="N3174" t="inlineStr">
        <is>
          <t>Explore_F</t>
        </is>
      </c>
      <c r="O3174" t="inlineStr">
        <is>
          <t>Familiar</t>
        </is>
      </c>
      <c r="P3174" t="inlineStr">
        <is>
          <t>STATE</t>
        </is>
      </c>
      <c r="Q3174" t="n">
        <v>60.934</v>
      </c>
      <c r="R3174" t="n">
        <v>62.234</v>
      </c>
      <c r="S3174" t="n">
        <v>1.3</v>
      </c>
      <c r="T3174" t="inlineStr">
        <is>
          <t>C:/Users/manuel.felline/Documents/BEHAVIOR BTBR/NOR second cohort/BTBR/test/c10_f4.mp4</t>
        </is>
      </c>
      <c r="U3174" t="n">
        <v>2036</v>
      </c>
      <c r="V3174" t="n">
        <v>2075</v>
      </c>
      <c r="W3174" t="n">
        <v/>
      </c>
      <c r="X3174" t="n">
        <v/>
      </c>
      <c r="Y3174" t="n">
        <v/>
      </c>
      <c r="Z3174" t="n">
        <v/>
      </c>
      <c r="AA3174">
        <f>SUMIFS($S$2:S3174,$A$2:A3174,A3174,$N$2:N3174,"Explore*")</f>
        <v/>
      </c>
      <c r="AB3174">
        <f>IF(AND(LEFT(N3174,7)="Explore",(AA3174-IF(LEFT(N3174,7)="Explore",S3174,0))&lt;10),"SI","NO")</f>
        <v/>
      </c>
    </row>
    <row r="3175">
      <c r="A3175" t="inlineStr">
        <is>
          <t>c10f4_test</t>
        </is>
      </c>
      <c r="B3175" t="inlineStr">
        <is>
          <t>2026-06-25 16:03:23.428</t>
        </is>
      </c>
      <c r="C3175" t="n">
        <v/>
      </c>
      <c r="D3175" t="inlineStr">
        <is>
          <t>Media file</t>
        </is>
      </c>
      <c r="E3175" t="inlineStr">
        <is>
          <t>player #1:C:/Users/manuel.felline/Documents/BEHAVIOR BTBR/NOR second cohort/BTBR/test/c10_f4.mp4</t>
        </is>
      </c>
      <c r="F3175" t="n">
        <v>-6.933</v>
      </c>
      <c r="G3175" t="n">
        <v>579.5</v>
      </c>
      <c r="H3175" t="n">
        <v>622.7329999999999</v>
      </c>
      <c r="I3175" t="n">
        <v>30</v>
      </c>
      <c r="J3175" t="inlineStr">
        <is>
          <t>BTBR</t>
        </is>
      </c>
      <c r="K3175" t="inlineStr">
        <is>
          <t xml:space="preserve"> Female</t>
        </is>
      </c>
      <c r="L3175" t="inlineStr">
        <is>
          <t>No focal subject</t>
        </is>
      </c>
      <c r="M3175" t="n">
        <v>35.698</v>
      </c>
      <c r="N3175" t="inlineStr">
        <is>
          <t>Explore_N</t>
        </is>
      </c>
      <c r="O3175" t="inlineStr">
        <is>
          <t>Novelty</t>
        </is>
      </c>
      <c r="P3175" t="inlineStr">
        <is>
          <t>STATE</t>
        </is>
      </c>
      <c r="Q3175" t="n">
        <v>62.734</v>
      </c>
      <c r="R3175" t="n">
        <v>64.59999999999999</v>
      </c>
      <c r="S3175" t="n">
        <v>1.866</v>
      </c>
      <c r="T3175" t="inlineStr">
        <is>
          <t>C:/Users/manuel.felline/Documents/BEHAVIOR BTBR/NOR second cohort/BTBR/test/c10_f4.mp4</t>
        </is>
      </c>
      <c r="U3175" t="n">
        <v>2090</v>
      </c>
      <c r="V3175" t="n">
        <v>2146</v>
      </c>
      <c r="W3175" t="n">
        <v/>
      </c>
      <c r="X3175" t="n">
        <v/>
      </c>
      <c r="Y3175" t="n">
        <v/>
      </c>
      <c r="Z3175" t="n">
        <v/>
      </c>
      <c r="AA3175">
        <f>SUMIFS($S$2:S3175,$A$2:A3175,A3175,$N$2:N3175,"Explore*")</f>
        <v/>
      </c>
      <c r="AB3175">
        <f>IF(AND(LEFT(N3175,7)="Explore",(AA3175-IF(LEFT(N3175,7)="Explore",S3175,0))&lt;10),"SI","NO")</f>
        <v/>
      </c>
    </row>
    <row r="3176">
      <c r="A3176" t="inlineStr">
        <is>
          <t>c10f4_test</t>
        </is>
      </c>
      <c r="B3176" t="inlineStr">
        <is>
          <t>2026-06-25 16:03:23.428</t>
        </is>
      </c>
      <c r="C3176" t="n">
        <v/>
      </c>
      <c r="D3176" t="inlineStr">
        <is>
          <t>Media file</t>
        </is>
      </c>
      <c r="E3176" t="inlineStr">
        <is>
          <t>player #1:C:/Users/manuel.felline/Documents/BEHAVIOR BTBR/NOR second cohort/BTBR/test/c10_f4.mp4</t>
        </is>
      </c>
      <c r="F3176" t="n">
        <v>-6.933</v>
      </c>
      <c r="G3176" t="n">
        <v>579.5</v>
      </c>
      <c r="H3176" t="n">
        <v>622.7329999999999</v>
      </c>
      <c r="I3176" t="n">
        <v>30</v>
      </c>
      <c r="J3176" t="inlineStr">
        <is>
          <t>BTBR</t>
        </is>
      </c>
      <c r="K3176" t="inlineStr">
        <is>
          <t xml:space="preserve"> Female</t>
        </is>
      </c>
      <c r="L3176" t="inlineStr">
        <is>
          <t>No focal subject</t>
        </is>
      </c>
      <c r="M3176" t="n">
        <v>35.698</v>
      </c>
      <c r="N3176" t="inlineStr">
        <is>
          <t>Explore_F</t>
        </is>
      </c>
      <c r="O3176" t="inlineStr">
        <is>
          <t>Familiar</t>
        </is>
      </c>
      <c r="P3176" t="inlineStr">
        <is>
          <t>STATE</t>
        </is>
      </c>
      <c r="Q3176" t="n">
        <v>69.73399999999999</v>
      </c>
      <c r="R3176" t="n">
        <v>70.367</v>
      </c>
      <c r="S3176" t="n">
        <v>0.633</v>
      </c>
      <c r="T3176" t="inlineStr">
        <is>
          <t>C:/Users/manuel.felline/Documents/BEHAVIOR BTBR/NOR second cohort/BTBR/test/c10_f4.mp4</t>
        </is>
      </c>
      <c r="U3176" t="n">
        <v>2299</v>
      </c>
      <c r="V3176" t="n">
        <v>2318</v>
      </c>
      <c r="W3176" t="n">
        <v/>
      </c>
      <c r="X3176" t="n">
        <v/>
      </c>
      <c r="Y3176" t="n">
        <v/>
      </c>
      <c r="Z3176" t="n">
        <v/>
      </c>
      <c r="AA3176">
        <f>SUMIFS($S$2:S3176,$A$2:A3176,A3176,$N$2:N3176,"Explore*")</f>
        <v/>
      </c>
      <c r="AB3176">
        <f>IF(AND(LEFT(N3176,7)="Explore",(AA3176-IF(LEFT(N3176,7)="Explore",S3176,0))&lt;10),"SI","NO")</f>
        <v/>
      </c>
    </row>
    <row r="3177">
      <c r="A3177" t="inlineStr">
        <is>
          <t>c10f4_test</t>
        </is>
      </c>
      <c r="B3177" t="inlineStr">
        <is>
          <t>2026-06-25 16:03:23.428</t>
        </is>
      </c>
      <c r="C3177" t="n">
        <v/>
      </c>
      <c r="D3177" t="inlineStr">
        <is>
          <t>Media file</t>
        </is>
      </c>
      <c r="E3177" t="inlineStr">
        <is>
          <t>player #1:C:/Users/manuel.felline/Documents/BEHAVIOR BTBR/NOR second cohort/BTBR/test/c10_f4.mp4</t>
        </is>
      </c>
      <c r="F3177" t="n">
        <v>-6.933</v>
      </c>
      <c r="G3177" t="n">
        <v>579.5</v>
      </c>
      <c r="H3177" t="n">
        <v>622.7329999999999</v>
      </c>
      <c r="I3177" t="n">
        <v>30</v>
      </c>
      <c r="J3177" t="inlineStr">
        <is>
          <t>BTBR</t>
        </is>
      </c>
      <c r="K3177" t="inlineStr">
        <is>
          <t xml:space="preserve"> Female</t>
        </is>
      </c>
      <c r="L3177" t="inlineStr">
        <is>
          <t>No focal subject</t>
        </is>
      </c>
      <c r="M3177" t="n">
        <v>35.698</v>
      </c>
      <c r="N3177" t="inlineStr">
        <is>
          <t>Explore_N</t>
        </is>
      </c>
      <c r="O3177" t="inlineStr">
        <is>
          <t>Novelty</t>
        </is>
      </c>
      <c r="P3177" t="inlineStr">
        <is>
          <t>STATE</t>
        </is>
      </c>
      <c r="Q3177" t="n">
        <v>70.8</v>
      </c>
      <c r="R3177" t="n">
        <v>71.23399999999999</v>
      </c>
      <c r="S3177" t="n">
        <v>0.434</v>
      </c>
      <c r="T3177" t="inlineStr">
        <is>
          <t>C:/Users/manuel.felline/Documents/BEHAVIOR BTBR/NOR second cohort/BTBR/test/c10_f4.mp4</t>
        </is>
      </c>
      <c r="U3177" t="n">
        <v>2331</v>
      </c>
      <c r="V3177" t="n">
        <v>2344</v>
      </c>
      <c r="W3177" t="n">
        <v/>
      </c>
      <c r="X3177" t="n">
        <v/>
      </c>
      <c r="Y3177" t="n">
        <v/>
      </c>
      <c r="Z3177" t="n">
        <v/>
      </c>
      <c r="AA3177">
        <f>SUMIFS($S$2:S3177,$A$2:A3177,A3177,$N$2:N3177,"Explore*")</f>
        <v/>
      </c>
      <c r="AB3177">
        <f>IF(AND(LEFT(N3177,7)="Explore",(AA3177-IF(LEFT(N3177,7)="Explore",S3177,0))&lt;10),"SI","NO")</f>
        <v/>
      </c>
    </row>
    <row r="3178">
      <c r="A3178" t="inlineStr">
        <is>
          <t>c10f4_test</t>
        </is>
      </c>
      <c r="B3178" t="inlineStr">
        <is>
          <t>2026-06-25 16:03:23.428</t>
        </is>
      </c>
      <c r="C3178" t="n">
        <v/>
      </c>
      <c r="D3178" t="inlineStr">
        <is>
          <t>Media file</t>
        </is>
      </c>
      <c r="E3178" t="inlineStr">
        <is>
          <t>player #1:C:/Users/manuel.felline/Documents/BEHAVIOR BTBR/NOR second cohort/BTBR/test/c10_f4.mp4</t>
        </is>
      </c>
      <c r="F3178" t="n">
        <v>-6.933</v>
      </c>
      <c r="G3178" t="n">
        <v>579.5</v>
      </c>
      <c r="H3178" t="n">
        <v>622.7329999999999</v>
      </c>
      <c r="I3178" t="n">
        <v>30</v>
      </c>
      <c r="J3178" t="inlineStr">
        <is>
          <t>BTBR</t>
        </is>
      </c>
      <c r="K3178" t="inlineStr">
        <is>
          <t xml:space="preserve"> Female</t>
        </is>
      </c>
      <c r="L3178" t="inlineStr">
        <is>
          <t>No focal subject</t>
        </is>
      </c>
      <c r="M3178" t="n">
        <v>35.698</v>
      </c>
      <c r="N3178" t="inlineStr">
        <is>
          <t>Explore_F</t>
        </is>
      </c>
      <c r="O3178" t="inlineStr">
        <is>
          <t>Familiar</t>
        </is>
      </c>
      <c r="P3178" t="inlineStr">
        <is>
          <t>STATE</t>
        </is>
      </c>
      <c r="Q3178" t="n">
        <v>100.834</v>
      </c>
      <c r="R3178" t="n">
        <v>101.134</v>
      </c>
      <c r="S3178" t="n">
        <v>0.3</v>
      </c>
      <c r="T3178" t="inlineStr">
        <is>
          <t>C:/Users/manuel.felline/Documents/BEHAVIOR BTBR/NOR second cohort/BTBR/test/c10_f4.mp4</t>
        </is>
      </c>
      <c r="U3178" t="n">
        <v>3232</v>
      </c>
      <c r="V3178" t="n">
        <v>3241</v>
      </c>
      <c r="W3178" t="n">
        <v/>
      </c>
      <c r="X3178" t="n">
        <v/>
      </c>
      <c r="Y3178" t="n">
        <v/>
      </c>
      <c r="Z3178" t="n">
        <v/>
      </c>
      <c r="AA3178">
        <f>SUMIFS($S$2:S3178,$A$2:A3178,A3178,$N$2:N3178,"Explore*")</f>
        <v/>
      </c>
      <c r="AB3178">
        <f>IF(AND(LEFT(N3178,7)="Explore",(AA3178-IF(LEFT(N3178,7)="Explore",S3178,0))&lt;10),"SI","NO")</f>
        <v/>
      </c>
    </row>
    <row r="3179">
      <c r="A3179" t="inlineStr">
        <is>
          <t>c10f4_test</t>
        </is>
      </c>
      <c r="B3179" t="inlineStr">
        <is>
          <t>2026-06-25 16:03:23.428</t>
        </is>
      </c>
      <c r="C3179" t="n">
        <v/>
      </c>
      <c r="D3179" t="inlineStr">
        <is>
          <t>Media file</t>
        </is>
      </c>
      <c r="E3179" t="inlineStr">
        <is>
          <t>player #1:C:/Users/manuel.felline/Documents/BEHAVIOR BTBR/NOR second cohort/BTBR/test/c10_f4.mp4</t>
        </is>
      </c>
      <c r="F3179" t="n">
        <v>-6.933</v>
      </c>
      <c r="G3179" t="n">
        <v>579.5</v>
      </c>
      <c r="H3179" t="n">
        <v>622.7329999999999</v>
      </c>
      <c r="I3179" t="n">
        <v>30</v>
      </c>
      <c r="J3179" t="inlineStr">
        <is>
          <t>BTBR</t>
        </is>
      </c>
      <c r="K3179" t="inlineStr">
        <is>
          <t xml:space="preserve"> Female</t>
        </is>
      </c>
      <c r="L3179" t="inlineStr">
        <is>
          <t>No focal subject</t>
        </is>
      </c>
      <c r="M3179" t="n">
        <v>35.698</v>
      </c>
      <c r="N3179" t="inlineStr">
        <is>
          <t>Explore_N</t>
        </is>
      </c>
      <c r="O3179" t="inlineStr">
        <is>
          <t>Novelty</t>
        </is>
      </c>
      <c r="P3179" t="inlineStr">
        <is>
          <t>STATE</t>
        </is>
      </c>
      <c r="Q3179" t="n">
        <v>114.334</v>
      </c>
      <c r="R3179" t="n">
        <v>115.934</v>
      </c>
      <c r="S3179" t="n">
        <v>1.6</v>
      </c>
      <c r="T3179" t="inlineStr">
        <is>
          <t>C:/Users/manuel.felline/Documents/BEHAVIOR BTBR/NOR second cohort/BTBR/test/c10_f4.mp4</t>
        </is>
      </c>
      <c r="U3179" t="n">
        <v>3637</v>
      </c>
      <c r="V3179" t="n">
        <v>3685</v>
      </c>
      <c r="W3179" t="n">
        <v/>
      </c>
      <c r="X3179" t="n">
        <v/>
      </c>
      <c r="Y3179" t="n">
        <v/>
      </c>
      <c r="Z3179" t="n">
        <v/>
      </c>
      <c r="AA3179">
        <f>SUMIFS($S$2:S3179,$A$2:A3179,A3179,$N$2:N3179,"Explore*")</f>
        <v/>
      </c>
      <c r="AB3179">
        <f>IF(AND(LEFT(N3179,7)="Explore",(AA3179-IF(LEFT(N3179,7)="Explore",S3179,0))&lt;10),"SI","NO")</f>
        <v/>
      </c>
    </row>
    <row r="3180">
      <c r="A3180" t="inlineStr">
        <is>
          <t>c10f4_test</t>
        </is>
      </c>
      <c r="B3180" t="inlineStr">
        <is>
          <t>2026-06-25 16:03:23.428</t>
        </is>
      </c>
      <c r="C3180" t="n">
        <v/>
      </c>
      <c r="D3180" t="inlineStr">
        <is>
          <t>Media file</t>
        </is>
      </c>
      <c r="E3180" t="inlineStr">
        <is>
          <t>player #1:C:/Users/manuel.felline/Documents/BEHAVIOR BTBR/NOR second cohort/BTBR/test/c10_f4.mp4</t>
        </is>
      </c>
      <c r="F3180" t="n">
        <v>-6.933</v>
      </c>
      <c r="G3180" t="n">
        <v>579.5</v>
      </c>
      <c r="H3180" t="n">
        <v>622.7329999999999</v>
      </c>
      <c r="I3180" t="n">
        <v>30</v>
      </c>
      <c r="J3180" t="inlineStr">
        <is>
          <t>BTBR</t>
        </is>
      </c>
      <c r="K3180" t="inlineStr">
        <is>
          <t xml:space="preserve"> Female</t>
        </is>
      </c>
      <c r="L3180" t="inlineStr">
        <is>
          <t>No focal subject</t>
        </is>
      </c>
      <c r="M3180" t="n">
        <v>35.698</v>
      </c>
      <c r="N3180" t="inlineStr">
        <is>
          <t>Explore_N</t>
        </is>
      </c>
      <c r="O3180" t="inlineStr">
        <is>
          <t>Novelty</t>
        </is>
      </c>
      <c r="P3180" t="inlineStr">
        <is>
          <t>STATE</t>
        </is>
      </c>
      <c r="Q3180" t="n">
        <v>119.834</v>
      </c>
      <c r="R3180" t="n">
        <v>121.367</v>
      </c>
      <c r="S3180" t="n">
        <v>1.533</v>
      </c>
      <c r="T3180" t="inlineStr">
        <is>
          <t>C:/Users/manuel.felline/Documents/BEHAVIOR BTBR/NOR second cohort/BTBR/test/c10_f4.mp4</t>
        </is>
      </c>
      <c r="U3180" t="n">
        <v>3802</v>
      </c>
      <c r="V3180" t="n">
        <v>3848</v>
      </c>
      <c r="W3180" t="n">
        <v/>
      </c>
      <c r="X3180" t="n">
        <v/>
      </c>
      <c r="Y3180" t="n">
        <v/>
      </c>
      <c r="Z3180" t="n">
        <v/>
      </c>
      <c r="AA3180">
        <f>SUMIFS($S$2:S3180,$A$2:A3180,A3180,$N$2:N3180,"Explore*")</f>
        <v/>
      </c>
      <c r="AB3180">
        <f>IF(AND(LEFT(N3180,7)="Explore",(AA3180-IF(LEFT(N3180,7)="Explore",S3180,0))&lt;10),"SI","NO")</f>
        <v/>
      </c>
    </row>
    <row r="3181">
      <c r="A3181" t="inlineStr">
        <is>
          <t>c10f4_test</t>
        </is>
      </c>
      <c r="B3181" t="inlineStr">
        <is>
          <t>2026-06-25 16:03:23.428</t>
        </is>
      </c>
      <c r="C3181" t="n">
        <v/>
      </c>
      <c r="D3181" t="inlineStr">
        <is>
          <t>Media file</t>
        </is>
      </c>
      <c r="E3181" t="inlineStr">
        <is>
          <t>player #1:C:/Users/manuel.felline/Documents/BEHAVIOR BTBR/NOR second cohort/BTBR/test/c10_f4.mp4</t>
        </is>
      </c>
      <c r="F3181" t="n">
        <v>-6.933</v>
      </c>
      <c r="G3181" t="n">
        <v>579.5</v>
      </c>
      <c r="H3181" t="n">
        <v>622.7329999999999</v>
      </c>
      <c r="I3181" t="n">
        <v>30</v>
      </c>
      <c r="J3181" t="inlineStr">
        <is>
          <t>BTBR</t>
        </is>
      </c>
      <c r="K3181" t="inlineStr">
        <is>
          <t xml:space="preserve"> Female</t>
        </is>
      </c>
      <c r="L3181" t="inlineStr">
        <is>
          <t>No focal subject</t>
        </is>
      </c>
      <c r="M3181" t="n">
        <v>35.698</v>
      </c>
      <c r="N3181" t="inlineStr">
        <is>
          <t>Explore_F</t>
        </is>
      </c>
      <c r="O3181" t="inlineStr">
        <is>
          <t>Familiar</t>
        </is>
      </c>
      <c r="P3181" t="inlineStr">
        <is>
          <t>STATE</t>
        </is>
      </c>
      <c r="Q3181" t="n">
        <v>124.767</v>
      </c>
      <c r="R3181" t="n">
        <v>125.667</v>
      </c>
      <c r="S3181" t="n">
        <v>0.9</v>
      </c>
      <c r="T3181" t="inlineStr">
        <is>
          <t>C:/Users/manuel.felline/Documents/BEHAVIOR BTBR/NOR second cohort/BTBR/test/c10_f4.mp4</t>
        </is>
      </c>
      <c r="U3181" t="n">
        <v>3951</v>
      </c>
      <c r="V3181" t="n">
        <v>3977</v>
      </c>
      <c r="W3181" t="n">
        <v/>
      </c>
      <c r="X3181" t="n">
        <v/>
      </c>
      <c r="Y3181" t="n">
        <v/>
      </c>
      <c r="Z3181" t="n">
        <v/>
      </c>
      <c r="AA3181">
        <f>SUMIFS($S$2:S3181,$A$2:A3181,A3181,$N$2:N3181,"Explore*")</f>
        <v/>
      </c>
      <c r="AB3181">
        <f>IF(AND(LEFT(N3181,7)="Explore",(AA3181-IF(LEFT(N3181,7)="Explore",S3181,0))&lt;10),"SI","NO")</f>
        <v/>
      </c>
    </row>
    <row r="3182">
      <c r="A3182" t="inlineStr">
        <is>
          <t>c10f4_test</t>
        </is>
      </c>
      <c r="B3182" t="inlineStr">
        <is>
          <t>2026-06-25 16:03:23.428</t>
        </is>
      </c>
      <c r="C3182" t="n">
        <v/>
      </c>
      <c r="D3182" t="inlineStr">
        <is>
          <t>Media file</t>
        </is>
      </c>
      <c r="E3182" t="inlineStr">
        <is>
          <t>player #1:C:/Users/manuel.felline/Documents/BEHAVIOR BTBR/NOR second cohort/BTBR/test/c10_f4.mp4</t>
        </is>
      </c>
      <c r="F3182" t="n">
        <v>-6.933</v>
      </c>
      <c r="G3182" t="n">
        <v>579.5</v>
      </c>
      <c r="H3182" t="n">
        <v>622.7329999999999</v>
      </c>
      <c r="I3182" t="n">
        <v>30</v>
      </c>
      <c r="J3182" t="inlineStr">
        <is>
          <t>BTBR</t>
        </is>
      </c>
      <c r="K3182" t="inlineStr">
        <is>
          <t xml:space="preserve"> Female</t>
        </is>
      </c>
      <c r="L3182" t="inlineStr">
        <is>
          <t>No focal subject</t>
        </is>
      </c>
      <c r="M3182" t="n">
        <v>35.698</v>
      </c>
      <c r="N3182" t="inlineStr">
        <is>
          <t>Explore_N</t>
        </is>
      </c>
      <c r="O3182" t="inlineStr">
        <is>
          <t>Novelty</t>
        </is>
      </c>
      <c r="P3182" t="inlineStr">
        <is>
          <t>STATE</t>
        </is>
      </c>
      <c r="Q3182" t="n">
        <v>137.5</v>
      </c>
      <c r="R3182" t="n">
        <v>137.967</v>
      </c>
      <c r="S3182" t="n">
        <v>0.467</v>
      </c>
      <c r="T3182" t="inlineStr">
        <is>
          <t>C:/Users/manuel.felline/Documents/BEHAVIOR BTBR/NOR second cohort/BTBR/test/c10_f4.mp4</t>
        </is>
      </c>
      <c r="U3182" t="n">
        <v>4332</v>
      </c>
      <c r="V3182" t="n">
        <v>4346</v>
      </c>
      <c r="W3182" t="n">
        <v/>
      </c>
      <c r="X3182" t="n">
        <v/>
      </c>
      <c r="Y3182" t="n">
        <v/>
      </c>
      <c r="Z3182" t="n">
        <v/>
      </c>
      <c r="AA3182">
        <f>SUMIFS($S$2:S3182,$A$2:A3182,A3182,$N$2:N3182,"Explore*")</f>
        <v/>
      </c>
      <c r="AB3182">
        <f>IF(AND(LEFT(N3182,7)="Explore",(AA3182-IF(LEFT(N3182,7)="Explore",S3182,0))&lt;10),"SI","NO")</f>
        <v/>
      </c>
    </row>
    <row r="3183">
      <c r="A3183" t="inlineStr">
        <is>
          <t>c10f4_test</t>
        </is>
      </c>
      <c r="B3183" t="inlineStr">
        <is>
          <t>2026-06-25 16:03:23.428</t>
        </is>
      </c>
      <c r="C3183" t="n">
        <v/>
      </c>
      <c r="D3183" t="inlineStr">
        <is>
          <t>Media file</t>
        </is>
      </c>
      <c r="E3183" t="inlineStr">
        <is>
          <t>player #1:C:/Users/manuel.felline/Documents/BEHAVIOR BTBR/NOR second cohort/BTBR/test/c10_f4.mp4</t>
        </is>
      </c>
      <c r="F3183" t="n">
        <v>-6.933</v>
      </c>
      <c r="G3183" t="n">
        <v>579.5</v>
      </c>
      <c r="H3183" t="n">
        <v>622.7329999999999</v>
      </c>
      <c r="I3183" t="n">
        <v>30</v>
      </c>
      <c r="J3183" t="inlineStr">
        <is>
          <t>BTBR</t>
        </is>
      </c>
      <c r="K3183" t="inlineStr">
        <is>
          <t xml:space="preserve"> Female</t>
        </is>
      </c>
      <c r="L3183" t="inlineStr">
        <is>
          <t>No focal subject</t>
        </is>
      </c>
      <c r="M3183" t="n">
        <v>35.698</v>
      </c>
      <c r="N3183" t="inlineStr">
        <is>
          <t>Explore_F</t>
        </is>
      </c>
      <c r="O3183" t="inlineStr">
        <is>
          <t>Familiar</t>
        </is>
      </c>
      <c r="P3183" t="inlineStr">
        <is>
          <t>STATE</t>
        </is>
      </c>
      <c r="Q3183" t="n">
        <v>138.567</v>
      </c>
      <c r="R3183" t="n">
        <v>139.3</v>
      </c>
      <c r="S3183" t="n">
        <v>0.733</v>
      </c>
      <c r="T3183" t="inlineStr">
        <is>
          <t>C:/Users/manuel.felline/Documents/BEHAVIOR BTBR/NOR second cohort/BTBR/test/c10_f4.mp4</t>
        </is>
      </c>
      <c r="U3183" t="n">
        <v>4364</v>
      </c>
      <c r="V3183" t="n">
        <v>4386</v>
      </c>
      <c r="W3183" t="n">
        <v/>
      </c>
      <c r="X3183" t="n">
        <v/>
      </c>
      <c r="Y3183" t="n">
        <v/>
      </c>
      <c r="Z3183" t="n">
        <v/>
      </c>
      <c r="AA3183">
        <f>SUMIFS($S$2:S3183,$A$2:A3183,A3183,$N$2:N3183,"Explore*")</f>
        <v/>
      </c>
      <c r="AB3183">
        <f>IF(AND(LEFT(N3183,7)="Explore",(AA3183-IF(LEFT(N3183,7)="Explore",S3183,0))&lt;10),"SI","NO")</f>
        <v/>
      </c>
    </row>
    <row r="3184">
      <c r="A3184" t="inlineStr">
        <is>
          <t>c10f4_test</t>
        </is>
      </c>
      <c r="B3184" t="inlineStr">
        <is>
          <t>2026-06-25 16:03:23.428</t>
        </is>
      </c>
      <c r="C3184" t="n">
        <v/>
      </c>
      <c r="D3184" t="inlineStr">
        <is>
          <t>Media file</t>
        </is>
      </c>
      <c r="E3184" t="inlineStr">
        <is>
          <t>player #1:C:/Users/manuel.felline/Documents/BEHAVIOR BTBR/NOR second cohort/BTBR/test/c10_f4.mp4</t>
        </is>
      </c>
      <c r="F3184" t="n">
        <v>-6.933</v>
      </c>
      <c r="G3184" t="n">
        <v>579.5</v>
      </c>
      <c r="H3184" t="n">
        <v>622.7329999999999</v>
      </c>
      <c r="I3184" t="n">
        <v>30</v>
      </c>
      <c r="J3184" t="inlineStr">
        <is>
          <t>BTBR</t>
        </is>
      </c>
      <c r="K3184" t="inlineStr">
        <is>
          <t xml:space="preserve"> Female</t>
        </is>
      </c>
      <c r="L3184" t="inlineStr">
        <is>
          <t>No focal subject</t>
        </is>
      </c>
      <c r="M3184" t="n">
        <v>35.698</v>
      </c>
      <c r="N3184" t="inlineStr">
        <is>
          <t>Explore_F</t>
        </is>
      </c>
      <c r="O3184" t="inlineStr">
        <is>
          <t>Familiar</t>
        </is>
      </c>
      <c r="P3184" t="inlineStr">
        <is>
          <t>STATE</t>
        </is>
      </c>
      <c r="Q3184" t="n">
        <v>180.4</v>
      </c>
      <c r="R3184" t="n">
        <v>181.067</v>
      </c>
      <c r="S3184" t="n">
        <v>0.667</v>
      </c>
      <c r="T3184" t="inlineStr">
        <is>
          <t>C:/Users/manuel.felline/Documents/BEHAVIOR BTBR/NOR second cohort/BTBR/test/c10_f4.mp4</t>
        </is>
      </c>
      <c r="U3184" t="n">
        <v>5619</v>
      </c>
      <c r="V3184" t="n">
        <v>5639</v>
      </c>
      <c r="W3184" t="n">
        <v/>
      </c>
      <c r="X3184" t="n">
        <v/>
      </c>
      <c r="Y3184" t="n">
        <v/>
      </c>
      <c r="Z3184" t="n">
        <v/>
      </c>
      <c r="AA3184">
        <f>SUMIFS($S$2:S3184,$A$2:A3184,A3184,$N$2:N3184,"Explore*")</f>
        <v/>
      </c>
      <c r="AB3184">
        <f>IF(AND(LEFT(N3184,7)="Explore",(AA3184-IF(LEFT(N3184,7)="Explore",S3184,0))&lt;10),"SI","NO")</f>
        <v/>
      </c>
    </row>
    <row r="3185">
      <c r="A3185" t="inlineStr">
        <is>
          <t>c10f4_test</t>
        </is>
      </c>
      <c r="B3185" t="inlineStr">
        <is>
          <t>2026-06-25 16:03:23.428</t>
        </is>
      </c>
      <c r="C3185" t="n">
        <v/>
      </c>
      <c r="D3185" t="inlineStr">
        <is>
          <t>Media file</t>
        </is>
      </c>
      <c r="E3185" t="inlineStr">
        <is>
          <t>player #1:C:/Users/manuel.felline/Documents/BEHAVIOR BTBR/NOR second cohort/BTBR/test/c10_f4.mp4</t>
        </is>
      </c>
      <c r="F3185" t="n">
        <v>-6.933</v>
      </c>
      <c r="G3185" t="n">
        <v>579.5</v>
      </c>
      <c r="H3185" t="n">
        <v>622.7329999999999</v>
      </c>
      <c r="I3185" t="n">
        <v>30</v>
      </c>
      <c r="J3185" t="inlineStr">
        <is>
          <t>BTBR</t>
        </is>
      </c>
      <c r="K3185" t="inlineStr">
        <is>
          <t xml:space="preserve"> Female</t>
        </is>
      </c>
      <c r="L3185" t="inlineStr">
        <is>
          <t>No focal subject</t>
        </is>
      </c>
      <c r="M3185" t="n">
        <v>35.698</v>
      </c>
      <c r="N3185" t="inlineStr">
        <is>
          <t>Explore_N</t>
        </is>
      </c>
      <c r="O3185" t="inlineStr">
        <is>
          <t>Novelty</t>
        </is>
      </c>
      <c r="P3185" t="inlineStr">
        <is>
          <t>STATE</t>
        </is>
      </c>
      <c r="Q3185" t="n">
        <v>181.967</v>
      </c>
      <c r="R3185" t="n">
        <v>183.533</v>
      </c>
      <c r="S3185" t="n">
        <v>1.566</v>
      </c>
      <c r="T3185" t="inlineStr">
        <is>
          <t>C:/Users/manuel.felline/Documents/BEHAVIOR BTBR/NOR second cohort/BTBR/test/c10_f4.mp4</t>
        </is>
      </c>
      <c r="U3185" t="n">
        <v>5666</v>
      </c>
      <c r="V3185" t="n">
        <v>5713</v>
      </c>
      <c r="W3185" t="n">
        <v/>
      </c>
      <c r="X3185" t="n">
        <v/>
      </c>
      <c r="Y3185" t="n">
        <v/>
      </c>
      <c r="Z3185" t="n">
        <v/>
      </c>
      <c r="AA3185">
        <f>SUMIFS($S$2:S3185,$A$2:A3185,A3185,$N$2:N3185,"Explore*")</f>
        <v/>
      </c>
      <c r="AB3185">
        <f>IF(AND(LEFT(N3185,7)="Explore",(AA3185-IF(LEFT(N3185,7)="Explore",S3185,0))&lt;10),"SI","NO")</f>
        <v/>
      </c>
    </row>
    <row r="3186">
      <c r="A3186" t="inlineStr">
        <is>
          <t>c10f4_test</t>
        </is>
      </c>
      <c r="B3186" t="inlineStr">
        <is>
          <t>2026-06-25 16:03:23.428</t>
        </is>
      </c>
      <c r="C3186" t="n">
        <v/>
      </c>
      <c r="D3186" t="inlineStr">
        <is>
          <t>Media file</t>
        </is>
      </c>
      <c r="E3186" t="inlineStr">
        <is>
          <t>player #1:C:/Users/manuel.felline/Documents/BEHAVIOR BTBR/NOR second cohort/BTBR/test/c10_f4.mp4</t>
        </is>
      </c>
      <c r="F3186" t="n">
        <v>-6.933</v>
      </c>
      <c r="G3186" t="n">
        <v>579.5</v>
      </c>
      <c r="H3186" t="n">
        <v>622.7329999999999</v>
      </c>
      <c r="I3186" t="n">
        <v>30</v>
      </c>
      <c r="J3186" t="inlineStr">
        <is>
          <t>BTBR</t>
        </is>
      </c>
      <c r="K3186" t="inlineStr">
        <is>
          <t xml:space="preserve"> Female</t>
        </is>
      </c>
      <c r="L3186" t="inlineStr">
        <is>
          <t>No focal subject</t>
        </is>
      </c>
      <c r="M3186" t="n">
        <v>35.698</v>
      </c>
      <c r="N3186" t="inlineStr">
        <is>
          <t>Explore_F</t>
        </is>
      </c>
      <c r="O3186" t="inlineStr">
        <is>
          <t>Familiar</t>
        </is>
      </c>
      <c r="P3186" t="inlineStr">
        <is>
          <t>STATE</t>
        </is>
      </c>
      <c r="Q3186" t="n">
        <v>188.767</v>
      </c>
      <c r="R3186" t="n">
        <v>189.2</v>
      </c>
      <c r="S3186" t="n">
        <v>0.433</v>
      </c>
      <c r="T3186" t="inlineStr">
        <is>
          <t>C:/Users/manuel.felline/Documents/BEHAVIOR BTBR/NOR second cohort/BTBR/test/c10_f4.mp4</t>
        </is>
      </c>
      <c r="U3186" t="n">
        <v>5870</v>
      </c>
      <c r="V3186" t="n">
        <v>5883</v>
      </c>
      <c r="W3186" t="n">
        <v/>
      </c>
      <c r="X3186" t="n">
        <v/>
      </c>
      <c r="Y3186" t="n">
        <v/>
      </c>
      <c r="Z3186" t="n">
        <v/>
      </c>
      <c r="AA3186">
        <f>SUMIFS($S$2:S3186,$A$2:A3186,A3186,$N$2:N3186,"Explore*")</f>
        <v/>
      </c>
      <c r="AB3186">
        <f>IF(AND(LEFT(N3186,7)="Explore",(AA3186-IF(LEFT(N3186,7)="Explore",S3186,0))&lt;10),"SI","NO")</f>
        <v/>
      </c>
    </row>
    <row r="3187">
      <c r="A3187" t="inlineStr">
        <is>
          <t>c10f4_test</t>
        </is>
      </c>
      <c r="B3187" t="inlineStr">
        <is>
          <t>2026-06-25 16:03:23.428</t>
        </is>
      </c>
      <c r="C3187" t="n">
        <v/>
      </c>
      <c r="D3187" t="inlineStr">
        <is>
          <t>Media file</t>
        </is>
      </c>
      <c r="E3187" t="inlineStr">
        <is>
          <t>player #1:C:/Users/manuel.felline/Documents/BEHAVIOR BTBR/NOR second cohort/BTBR/test/c10_f4.mp4</t>
        </is>
      </c>
      <c r="F3187" t="n">
        <v>-6.933</v>
      </c>
      <c r="G3187" t="n">
        <v>579.5</v>
      </c>
      <c r="H3187" t="n">
        <v>622.7329999999999</v>
      </c>
      <c r="I3187" t="n">
        <v>30</v>
      </c>
      <c r="J3187" t="inlineStr">
        <is>
          <t>BTBR</t>
        </is>
      </c>
      <c r="K3187" t="inlineStr">
        <is>
          <t xml:space="preserve"> Female</t>
        </is>
      </c>
      <c r="L3187" t="inlineStr">
        <is>
          <t>No focal subject</t>
        </is>
      </c>
      <c r="M3187" t="n">
        <v>35.698</v>
      </c>
      <c r="N3187" t="inlineStr">
        <is>
          <t>Explore_F</t>
        </is>
      </c>
      <c r="O3187" t="inlineStr">
        <is>
          <t>Familiar</t>
        </is>
      </c>
      <c r="P3187" t="inlineStr">
        <is>
          <t>STATE</t>
        </is>
      </c>
      <c r="Q3187" t="n">
        <v>203.767</v>
      </c>
      <c r="R3187" t="n">
        <v>204.433</v>
      </c>
      <c r="S3187" t="n">
        <v>0.666</v>
      </c>
      <c r="T3187" t="inlineStr">
        <is>
          <t>C:/Users/manuel.felline/Documents/BEHAVIOR BTBR/NOR second cohort/BTBR/test/c10_f4.mp4</t>
        </is>
      </c>
      <c r="U3187" t="n">
        <v>6320</v>
      </c>
      <c r="V3187" t="n">
        <v>6340</v>
      </c>
      <c r="W3187" t="n">
        <v/>
      </c>
      <c r="X3187" t="n">
        <v/>
      </c>
      <c r="Y3187" t="n">
        <v/>
      </c>
      <c r="Z3187" t="n">
        <v/>
      </c>
      <c r="AA3187">
        <f>SUMIFS($S$2:S3187,$A$2:A3187,A3187,$N$2:N3187,"Explore*")</f>
        <v/>
      </c>
      <c r="AB3187">
        <f>IF(AND(LEFT(N3187,7)="Explore",(AA3187-IF(LEFT(N3187,7)="Explore",S3187,0))&lt;10),"SI","NO")</f>
        <v/>
      </c>
    </row>
    <row r="3188">
      <c r="A3188" t="inlineStr">
        <is>
          <t>c10f4_test</t>
        </is>
      </c>
      <c r="B3188" t="inlineStr">
        <is>
          <t>2026-06-25 16:03:23.428</t>
        </is>
      </c>
      <c r="C3188" t="n">
        <v/>
      </c>
      <c r="D3188" t="inlineStr">
        <is>
          <t>Media file</t>
        </is>
      </c>
      <c r="E3188" t="inlineStr">
        <is>
          <t>player #1:C:/Users/manuel.felline/Documents/BEHAVIOR BTBR/NOR second cohort/BTBR/test/c10_f4.mp4</t>
        </is>
      </c>
      <c r="F3188" t="n">
        <v>-6.933</v>
      </c>
      <c r="G3188" t="n">
        <v>579.5</v>
      </c>
      <c r="H3188" t="n">
        <v>622.7329999999999</v>
      </c>
      <c r="I3188" t="n">
        <v>30</v>
      </c>
      <c r="J3188" t="inlineStr">
        <is>
          <t>BTBR</t>
        </is>
      </c>
      <c r="K3188" t="inlineStr">
        <is>
          <t xml:space="preserve"> Female</t>
        </is>
      </c>
      <c r="L3188" t="inlineStr">
        <is>
          <t>No focal subject</t>
        </is>
      </c>
      <c r="M3188" t="n">
        <v>35.698</v>
      </c>
      <c r="N3188" t="inlineStr">
        <is>
          <t>Explore_N</t>
        </is>
      </c>
      <c r="O3188" t="inlineStr">
        <is>
          <t>Novelty</t>
        </is>
      </c>
      <c r="P3188" t="inlineStr">
        <is>
          <t>STATE</t>
        </is>
      </c>
      <c r="Q3188" t="n">
        <v>230.933</v>
      </c>
      <c r="R3188" t="n">
        <v>231.633</v>
      </c>
      <c r="S3188" t="n">
        <v>0.7</v>
      </c>
      <c r="T3188" t="inlineStr">
        <is>
          <t>C:/Users/manuel.felline/Documents/BEHAVIOR BTBR/NOR second cohort/BTBR/test/c10_f4.mp4</t>
        </is>
      </c>
      <c r="U3188" t="n">
        <v>7134</v>
      </c>
      <c r="V3188" t="n">
        <v>7155</v>
      </c>
      <c r="W3188" t="n">
        <v/>
      </c>
      <c r="X3188" t="n">
        <v/>
      </c>
      <c r="Y3188" t="n">
        <v/>
      </c>
      <c r="Z3188" t="n">
        <v/>
      </c>
      <c r="AA3188">
        <f>SUMIFS($S$2:S3188,$A$2:A3188,A3188,$N$2:N3188,"Explore*")</f>
        <v/>
      </c>
      <c r="AB3188">
        <f>IF(AND(LEFT(N3188,7)="Explore",(AA3188-IF(LEFT(N3188,7)="Explore",S3188,0))&lt;10),"SI","NO")</f>
        <v/>
      </c>
    </row>
    <row r="3189">
      <c r="A3189" t="inlineStr">
        <is>
          <t>c10f4_test</t>
        </is>
      </c>
      <c r="B3189" t="inlineStr">
        <is>
          <t>2026-06-25 16:03:23.428</t>
        </is>
      </c>
      <c r="C3189" t="n">
        <v/>
      </c>
      <c r="D3189" t="inlineStr">
        <is>
          <t>Media file</t>
        </is>
      </c>
      <c r="E3189" t="inlineStr">
        <is>
          <t>player #1:C:/Users/manuel.felline/Documents/BEHAVIOR BTBR/NOR second cohort/BTBR/test/c10_f4.mp4</t>
        </is>
      </c>
      <c r="F3189" t="n">
        <v>-6.933</v>
      </c>
      <c r="G3189" t="n">
        <v>579.5</v>
      </c>
      <c r="H3189" t="n">
        <v>622.7329999999999</v>
      </c>
      <c r="I3189" t="n">
        <v>30</v>
      </c>
      <c r="J3189" t="inlineStr">
        <is>
          <t>BTBR</t>
        </is>
      </c>
      <c r="K3189" t="inlineStr">
        <is>
          <t xml:space="preserve"> Female</t>
        </is>
      </c>
      <c r="L3189" t="inlineStr">
        <is>
          <t>No focal subject</t>
        </is>
      </c>
      <c r="M3189" t="n">
        <v>35.698</v>
      </c>
      <c r="N3189" t="inlineStr">
        <is>
          <t>Explore_F</t>
        </is>
      </c>
      <c r="O3189" t="inlineStr">
        <is>
          <t>Familiar</t>
        </is>
      </c>
      <c r="P3189" t="inlineStr">
        <is>
          <t>STATE</t>
        </is>
      </c>
      <c r="Q3189" t="n">
        <v>240.5</v>
      </c>
      <c r="R3189" t="n">
        <v>240.967</v>
      </c>
      <c r="S3189" t="n">
        <v>0.467</v>
      </c>
      <c r="T3189" t="inlineStr">
        <is>
          <t>C:/Users/manuel.felline/Documents/BEHAVIOR BTBR/NOR second cohort/BTBR/test/c10_f4.mp4</t>
        </is>
      </c>
      <c r="U3189" t="n">
        <v>7421</v>
      </c>
      <c r="V3189" t="n">
        <v>7435</v>
      </c>
      <c r="W3189" t="n">
        <v/>
      </c>
      <c r="X3189" t="n">
        <v/>
      </c>
      <c r="Y3189" t="n">
        <v/>
      </c>
      <c r="Z3189" t="n">
        <v/>
      </c>
      <c r="AA3189">
        <f>SUMIFS($S$2:S3189,$A$2:A3189,A3189,$N$2:N3189,"Explore*")</f>
        <v/>
      </c>
      <c r="AB3189">
        <f>IF(AND(LEFT(N3189,7)="Explore",(AA3189-IF(LEFT(N3189,7)="Explore",S3189,0))&lt;10),"SI","NO")</f>
        <v/>
      </c>
    </row>
    <row r="3190">
      <c r="A3190" t="inlineStr">
        <is>
          <t>c10f4_test</t>
        </is>
      </c>
      <c r="B3190" t="inlineStr">
        <is>
          <t>2026-06-25 16:03:23.428</t>
        </is>
      </c>
      <c r="C3190" t="n">
        <v/>
      </c>
      <c r="D3190" t="inlineStr">
        <is>
          <t>Media file</t>
        </is>
      </c>
      <c r="E3190" t="inlineStr">
        <is>
          <t>player #1:C:/Users/manuel.felline/Documents/BEHAVIOR BTBR/NOR second cohort/BTBR/test/c10_f4.mp4</t>
        </is>
      </c>
      <c r="F3190" t="n">
        <v>-6.933</v>
      </c>
      <c r="G3190" t="n">
        <v>579.5</v>
      </c>
      <c r="H3190" t="n">
        <v>622.7329999999999</v>
      </c>
      <c r="I3190" t="n">
        <v>30</v>
      </c>
      <c r="J3190" t="inlineStr">
        <is>
          <t>BTBR</t>
        </is>
      </c>
      <c r="K3190" t="inlineStr">
        <is>
          <t xml:space="preserve"> Female</t>
        </is>
      </c>
      <c r="L3190" t="inlineStr">
        <is>
          <t>No focal subject</t>
        </is>
      </c>
      <c r="M3190" t="n">
        <v>35.698</v>
      </c>
      <c r="N3190" t="inlineStr">
        <is>
          <t>Explore_N</t>
        </is>
      </c>
      <c r="O3190" t="inlineStr">
        <is>
          <t>Novelty</t>
        </is>
      </c>
      <c r="P3190" t="inlineStr">
        <is>
          <t>STATE</t>
        </is>
      </c>
      <c r="Q3190" t="n">
        <v>249.567</v>
      </c>
      <c r="R3190" t="n">
        <v>250.4</v>
      </c>
      <c r="S3190" t="n">
        <v>0.833</v>
      </c>
      <c r="T3190" t="inlineStr">
        <is>
          <t>C:/Users/manuel.felline/Documents/BEHAVIOR BTBR/NOR second cohort/BTBR/test/c10_f4.mp4</t>
        </is>
      </c>
      <c r="U3190" t="n">
        <v>7693</v>
      </c>
      <c r="V3190" t="n">
        <v>7718</v>
      </c>
      <c r="W3190" t="n">
        <v/>
      </c>
      <c r="X3190" t="n">
        <v/>
      </c>
      <c r="Y3190" t="n">
        <v/>
      </c>
      <c r="Z3190" t="n">
        <v/>
      </c>
      <c r="AA3190">
        <f>SUMIFS($S$2:S3190,$A$2:A3190,A3190,$N$2:N3190,"Explore*")</f>
        <v/>
      </c>
      <c r="AB3190">
        <f>IF(AND(LEFT(N3190,7)="Explore",(AA3190-IF(LEFT(N3190,7)="Explore",S3190,0))&lt;10),"SI","NO")</f>
        <v/>
      </c>
    </row>
    <row r="3191">
      <c r="A3191" t="inlineStr">
        <is>
          <t>c10f4_test</t>
        </is>
      </c>
      <c r="B3191" t="inlineStr">
        <is>
          <t>2026-06-25 16:03:23.428</t>
        </is>
      </c>
      <c r="C3191" t="n">
        <v/>
      </c>
      <c r="D3191" t="inlineStr">
        <is>
          <t>Media file</t>
        </is>
      </c>
      <c r="E3191" t="inlineStr">
        <is>
          <t>player #1:C:/Users/manuel.felline/Documents/BEHAVIOR BTBR/NOR second cohort/BTBR/test/c10_f4.mp4</t>
        </is>
      </c>
      <c r="F3191" t="n">
        <v>-6.933</v>
      </c>
      <c r="G3191" t="n">
        <v>579.5</v>
      </c>
      <c r="H3191" t="n">
        <v>622.7329999999999</v>
      </c>
      <c r="I3191" t="n">
        <v>30</v>
      </c>
      <c r="J3191" t="inlineStr">
        <is>
          <t>BTBR</t>
        </is>
      </c>
      <c r="K3191" t="inlineStr">
        <is>
          <t xml:space="preserve"> Female</t>
        </is>
      </c>
      <c r="L3191" t="inlineStr">
        <is>
          <t>No focal subject</t>
        </is>
      </c>
      <c r="M3191" t="n">
        <v>35.698</v>
      </c>
      <c r="N3191" t="inlineStr">
        <is>
          <t>Explore_F</t>
        </is>
      </c>
      <c r="O3191" t="inlineStr">
        <is>
          <t>Familiar</t>
        </is>
      </c>
      <c r="P3191" t="inlineStr">
        <is>
          <t>STATE</t>
        </is>
      </c>
      <c r="Q3191" t="n">
        <v>266.3</v>
      </c>
      <c r="R3191" t="n">
        <v>267.7</v>
      </c>
      <c r="S3191" t="n">
        <v>1.4</v>
      </c>
      <c r="T3191" t="inlineStr">
        <is>
          <t>C:/Users/manuel.felline/Documents/BEHAVIOR BTBR/NOR second cohort/BTBR/test/c10_f4.mp4</t>
        </is>
      </c>
      <c r="U3191" t="n">
        <v>8195</v>
      </c>
      <c r="V3191" t="n">
        <v>8237</v>
      </c>
      <c r="W3191" t="n">
        <v/>
      </c>
      <c r="X3191" t="n">
        <v/>
      </c>
      <c r="Y3191" t="n">
        <v/>
      </c>
      <c r="Z3191" t="n">
        <v/>
      </c>
      <c r="AA3191">
        <f>SUMIFS($S$2:S3191,$A$2:A3191,A3191,$N$2:N3191,"Explore*")</f>
        <v/>
      </c>
      <c r="AB3191">
        <f>IF(AND(LEFT(N3191,7)="Explore",(AA3191-IF(LEFT(N3191,7)="Explore",S3191,0))&lt;10),"SI","NO")</f>
        <v/>
      </c>
    </row>
    <row r="3192">
      <c r="A3192" t="inlineStr">
        <is>
          <t>c10f4_test</t>
        </is>
      </c>
      <c r="B3192" t="inlineStr">
        <is>
          <t>2026-06-25 16:03:23.428</t>
        </is>
      </c>
      <c r="C3192" t="n">
        <v/>
      </c>
      <c r="D3192" t="inlineStr">
        <is>
          <t>Media file</t>
        </is>
      </c>
      <c r="E3192" t="inlineStr">
        <is>
          <t>player #1:C:/Users/manuel.felline/Documents/BEHAVIOR BTBR/NOR second cohort/BTBR/test/c10_f4.mp4</t>
        </is>
      </c>
      <c r="F3192" t="n">
        <v>-6.933</v>
      </c>
      <c r="G3192" t="n">
        <v>579.5</v>
      </c>
      <c r="H3192" t="n">
        <v>622.7329999999999</v>
      </c>
      <c r="I3192" t="n">
        <v>30</v>
      </c>
      <c r="J3192" t="inlineStr">
        <is>
          <t>BTBR</t>
        </is>
      </c>
      <c r="K3192" t="inlineStr">
        <is>
          <t xml:space="preserve"> Female</t>
        </is>
      </c>
      <c r="L3192" t="inlineStr">
        <is>
          <t>No focal subject</t>
        </is>
      </c>
      <c r="M3192" t="n">
        <v>35.698</v>
      </c>
      <c r="N3192" t="inlineStr">
        <is>
          <t>Explore_N</t>
        </is>
      </c>
      <c r="O3192" t="inlineStr">
        <is>
          <t>Novelty</t>
        </is>
      </c>
      <c r="P3192" t="inlineStr">
        <is>
          <t>STATE</t>
        </is>
      </c>
      <c r="Q3192" t="n">
        <v>268.4</v>
      </c>
      <c r="R3192" t="n">
        <v>269.667</v>
      </c>
      <c r="S3192" t="n">
        <v>1.267</v>
      </c>
      <c r="T3192" t="inlineStr">
        <is>
          <t>C:/Users/manuel.felline/Documents/BEHAVIOR BTBR/NOR second cohort/BTBR/test/c10_f4.mp4</t>
        </is>
      </c>
      <c r="U3192" t="n">
        <v>8258</v>
      </c>
      <c r="V3192" t="n">
        <v>8296</v>
      </c>
      <c r="W3192" t="n">
        <v/>
      </c>
      <c r="X3192" t="n">
        <v/>
      </c>
      <c r="Y3192" t="n">
        <v/>
      </c>
      <c r="Z3192" t="n">
        <v/>
      </c>
      <c r="AA3192">
        <f>SUMIFS($S$2:S3192,$A$2:A3192,A3192,$N$2:N3192,"Explore*")</f>
        <v/>
      </c>
      <c r="AB3192">
        <f>IF(AND(LEFT(N3192,7)="Explore",(AA3192-IF(LEFT(N3192,7)="Explore",S3192,0))&lt;10),"SI","NO")</f>
        <v/>
      </c>
    </row>
    <row r="3193">
      <c r="A3193" t="inlineStr">
        <is>
          <t>c10f4_test</t>
        </is>
      </c>
      <c r="B3193" t="inlineStr">
        <is>
          <t>2026-06-25 16:03:23.428</t>
        </is>
      </c>
      <c r="C3193" t="n">
        <v/>
      </c>
      <c r="D3193" t="inlineStr">
        <is>
          <t>Media file</t>
        </is>
      </c>
      <c r="E3193" t="inlineStr">
        <is>
          <t>player #1:C:/Users/manuel.felline/Documents/BEHAVIOR BTBR/NOR second cohort/BTBR/test/c10_f4.mp4</t>
        </is>
      </c>
      <c r="F3193" t="n">
        <v>-6.933</v>
      </c>
      <c r="G3193" t="n">
        <v>579.5</v>
      </c>
      <c r="H3193" t="n">
        <v>622.7329999999999</v>
      </c>
      <c r="I3193" t="n">
        <v>30</v>
      </c>
      <c r="J3193" t="inlineStr">
        <is>
          <t>BTBR</t>
        </is>
      </c>
      <c r="K3193" t="inlineStr">
        <is>
          <t xml:space="preserve"> Female</t>
        </is>
      </c>
      <c r="L3193" t="inlineStr">
        <is>
          <t>No focal subject</t>
        </is>
      </c>
      <c r="M3193" t="n">
        <v>35.698</v>
      </c>
      <c r="N3193" t="inlineStr">
        <is>
          <t>Explore_N</t>
        </is>
      </c>
      <c r="O3193" t="inlineStr">
        <is>
          <t>Novelty</t>
        </is>
      </c>
      <c r="P3193" t="inlineStr">
        <is>
          <t>STATE</t>
        </is>
      </c>
      <c r="Q3193" t="n">
        <v>281.733</v>
      </c>
      <c r="R3193" t="n">
        <v>282.5</v>
      </c>
      <c r="S3193" t="n">
        <v>0.767</v>
      </c>
      <c r="T3193" t="inlineStr">
        <is>
          <t>C:/Users/manuel.felline/Documents/BEHAVIOR BTBR/NOR second cohort/BTBR/test/c10_f4.mp4</t>
        </is>
      </c>
      <c r="U3193" t="n">
        <v>8658</v>
      </c>
      <c r="V3193" t="n">
        <v>8681</v>
      </c>
      <c r="W3193" t="n">
        <v/>
      </c>
      <c r="X3193" t="n">
        <v/>
      </c>
      <c r="Y3193" t="n">
        <v/>
      </c>
      <c r="Z3193" t="n">
        <v/>
      </c>
      <c r="AA3193">
        <f>SUMIFS($S$2:S3193,$A$2:A3193,A3193,$N$2:N3193,"Explore*")</f>
        <v/>
      </c>
      <c r="AB3193">
        <f>IF(AND(LEFT(N3193,7)="Explore",(AA3193-IF(LEFT(N3193,7)="Explore",S3193,0))&lt;10),"SI","NO")</f>
        <v/>
      </c>
    </row>
    <row r="3194">
      <c r="A3194" t="inlineStr">
        <is>
          <t>c10f4_test</t>
        </is>
      </c>
      <c r="B3194" t="inlineStr">
        <is>
          <t>2026-06-25 16:03:23.428</t>
        </is>
      </c>
      <c r="C3194" t="n">
        <v/>
      </c>
      <c r="D3194" t="inlineStr">
        <is>
          <t>Media file</t>
        </is>
      </c>
      <c r="E3194" t="inlineStr">
        <is>
          <t>player #1:C:/Users/manuel.felline/Documents/BEHAVIOR BTBR/NOR second cohort/BTBR/test/c10_f4.mp4</t>
        </is>
      </c>
      <c r="F3194" t="n">
        <v>-6.933</v>
      </c>
      <c r="G3194" t="n">
        <v>579.5</v>
      </c>
      <c r="H3194" t="n">
        <v>622.7329999999999</v>
      </c>
      <c r="I3194" t="n">
        <v>30</v>
      </c>
      <c r="J3194" t="inlineStr">
        <is>
          <t>BTBR</t>
        </is>
      </c>
      <c r="K3194" t="inlineStr">
        <is>
          <t xml:space="preserve"> Female</t>
        </is>
      </c>
      <c r="L3194" t="inlineStr">
        <is>
          <t>No focal subject</t>
        </is>
      </c>
      <c r="M3194" t="n">
        <v>35.698</v>
      </c>
      <c r="N3194" t="inlineStr">
        <is>
          <t>Explore_N</t>
        </is>
      </c>
      <c r="O3194" t="inlineStr">
        <is>
          <t>Novelty</t>
        </is>
      </c>
      <c r="P3194" t="inlineStr">
        <is>
          <t>STATE</t>
        </is>
      </c>
      <c r="Q3194" t="n">
        <v>299.767</v>
      </c>
      <c r="R3194" t="n">
        <v>300.7</v>
      </c>
      <c r="S3194" t="n">
        <v>0.9330000000000001</v>
      </c>
      <c r="T3194" t="inlineStr">
        <is>
          <t>C:/Users/manuel.felline/Documents/BEHAVIOR BTBR/NOR second cohort/BTBR/test/c10_f4.mp4</t>
        </is>
      </c>
      <c r="U3194" t="n">
        <v>9199</v>
      </c>
      <c r="V3194" t="n">
        <v>9227</v>
      </c>
      <c r="W3194" t="n">
        <v/>
      </c>
      <c r="X3194" t="n">
        <v/>
      </c>
      <c r="Y3194" t="n">
        <v/>
      </c>
      <c r="Z3194" t="n">
        <v/>
      </c>
      <c r="AA3194">
        <f>SUMIFS($S$2:S3194,$A$2:A3194,A3194,$N$2:N3194,"Explore*")</f>
        <v/>
      </c>
      <c r="AB3194">
        <f>IF(AND(LEFT(N3194,7)="Explore",(AA3194-IF(LEFT(N3194,7)="Explore",S3194,0))&lt;10),"SI","NO")</f>
        <v/>
      </c>
    </row>
    <row r="3195">
      <c r="A3195" t="inlineStr">
        <is>
          <t>c10f4_test</t>
        </is>
      </c>
      <c r="B3195" t="inlineStr">
        <is>
          <t>2026-06-25 16:03:23.428</t>
        </is>
      </c>
      <c r="C3195" t="n">
        <v/>
      </c>
      <c r="D3195" t="inlineStr">
        <is>
          <t>Media file</t>
        </is>
      </c>
      <c r="E3195" t="inlineStr">
        <is>
          <t>player #1:C:/Users/manuel.felline/Documents/BEHAVIOR BTBR/NOR second cohort/BTBR/test/c10_f4.mp4</t>
        </is>
      </c>
      <c r="F3195" t="n">
        <v>-6.933</v>
      </c>
      <c r="G3195" t="n">
        <v>579.5</v>
      </c>
      <c r="H3195" t="n">
        <v>622.7329999999999</v>
      </c>
      <c r="I3195" t="n">
        <v>30</v>
      </c>
      <c r="J3195" t="inlineStr">
        <is>
          <t>BTBR</t>
        </is>
      </c>
      <c r="K3195" t="inlineStr">
        <is>
          <t xml:space="preserve"> Female</t>
        </is>
      </c>
      <c r="L3195" t="inlineStr">
        <is>
          <t>No focal subject</t>
        </is>
      </c>
      <c r="M3195" t="n">
        <v>35.698</v>
      </c>
      <c r="N3195" t="inlineStr">
        <is>
          <t>Explore_F</t>
        </is>
      </c>
      <c r="O3195" t="inlineStr">
        <is>
          <t>Familiar</t>
        </is>
      </c>
      <c r="P3195" t="inlineStr">
        <is>
          <t>STATE</t>
        </is>
      </c>
      <c r="Q3195" t="n">
        <v>346.167</v>
      </c>
      <c r="R3195" t="n">
        <v>346.667</v>
      </c>
      <c r="S3195" t="n">
        <v>0.5</v>
      </c>
      <c r="T3195" t="inlineStr">
        <is>
          <t>C:/Users/manuel.felline/Documents/BEHAVIOR BTBR/NOR second cohort/BTBR/test/c10_f4.mp4</t>
        </is>
      </c>
      <c r="U3195" t="n">
        <v>10591</v>
      </c>
      <c r="V3195" t="n">
        <v>10606</v>
      </c>
      <c r="W3195" t="n">
        <v/>
      </c>
      <c r="X3195" t="n">
        <v/>
      </c>
      <c r="Y3195" t="n">
        <v/>
      </c>
      <c r="Z3195" t="n">
        <v/>
      </c>
      <c r="AA3195">
        <f>SUMIFS($S$2:S3195,$A$2:A3195,A3195,$N$2:N3195,"Explore*")</f>
        <v/>
      </c>
      <c r="AB3195">
        <f>IF(AND(LEFT(N3195,7)="Explore",(AA3195-IF(LEFT(N3195,7)="Explore",S3195,0))&lt;10),"SI","NO")</f>
        <v/>
      </c>
    </row>
    <row r="3196">
      <c r="A3196" t="inlineStr">
        <is>
          <t>c10f4_test</t>
        </is>
      </c>
      <c r="B3196" t="inlineStr">
        <is>
          <t>2026-06-25 16:03:23.428</t>
        </is>
      </c>
      <c r="C3196" t="n">
        <v/>
      </c>
      <c r="D3196" t="inlineStr">
        <is>
          <t>Media file</t>
        </is>
      </c>
      <c r="E3196" t="inlineStr">
        <is>
          <t>player #1:C:/Users/manuel.felline/Documents/BEHAVIOR BTBR/NOR second cohort/BTBR/test/c10_f4.mp4</t>
        </is>
      </c>
      <c r="F3196" t="n">
        <v>-6.933</v>
      </c>
      <c r="G3196" t="n">
        <v>579.5</v>
      </c>
      <c r="H3196" t="n">
        <v>622.7329999999999</v>
      </c>
      <c r="I3196" t="n">
        <v>30</v>
      </c>
      <c r="J3196" t="inlineStr">
        <is>
          <t>BTBR</t>
        </is>
      </c>
      <c r="K3196" t="inlineStr">
        <is>
          <t xml:space="preserve"> Female</t>
        </is>
      </c>
      <c r="L3196" t="inlineStr">
        <is>
          <t>No focal subject</t>
        </is>
      </c>
      <c r="M3196" t="n">
        <v>35.698</v>
      </c>
      <c r="N3196" t="inlineStr">
        <is>
          <t>Explore_N</t>
        </is>
      </c>
      <c r="O3196" t="inlineStr">
        <is>
          <t>Novelty</t>
        </is>
      </c>
      <c r="P3196" t="inlineStr">
        <is>
          <t>STATE</t>
        </is>
      </c>
      <c r="Q3196" t="n">
        <v>349.5</v>
      </c>
      <c r="R3196" t="n">
        <v>350.133</v>
      </c>
      <c r="S3196" t="n">
        <v>0.633</v>
      </c>
      <c r="T3196" t="inlineStr">
        <is>
          <t>C:/Users/manuel.felline/Documents/BEHAVIOR BTBR/NOR second cohort/BTBR/test/c10_f4.mp4</t>
        </is>
      </c>
      <c r="U3196" t="n">
        <v>10692</v>
      </c>
      <c r="V3196" t="n">
        <v>10710</v>
      </c>
      <c r="W3196" t="n">
        <v/>
      </c>
      <c r="X3196" t="n">
        <v/>
      </c>
      <c r="Y3196" t="n">
        <v/>
      </c>
      <c r="Z3196" t="n">
        <v/>
      </c>
      <c r="AA3196">
        <f>SUMIFS($S$2:S3196,$A$2:A3196,A3196,$N$2:N3196,"Explore*")</f>
        <v/>
      </c>
      <c r="AB3196">
        <f>IF(AND(LEFT(N3196,7)="Explore",(AA3196-IF(LEFT(N3196,7)="Explore",S3196,0))&lt;10),"SI","NO")</f>
        <v/>
      </c>
    </row>
    <row r="3197">
      <c r="A3197" t="inlineStr">
        <is>
          <t>c10f4_test</t>
        </is>
      </c>
      <c r="B3197" t="inlineStr">
        <is>
          <t>2026-06-25 16:03:23.428</t>
        </is>
      </c>
      <c r="C3197" t="n">
        <v/>
      </c>
      <c r="D3197" t="inlineStr">
        <is>
          <t>Media file</t>
        </is>
      </c>
      <c r="E3197" t="inlineStr">
        <is>
          <t>player #1:C:/Users/manuel.felline/Documents/BEHAVIOR BTBR/NOR second cohort/BTBR/test/c10_f4.mp4</t>
        </is>
      </c>
      <c r="F3197" t="n">
        <v>-6.933</v>
      </c>
      <c r="G3197" t="n">
        <v>579.5</v>
      </c>
      <c r="H3197" t="n">
        <v>622.7329999999999</v>
      </c>
      <c r="I3197" t="n">
        <v>30</v>
      </c>
      <c r="J3197" t="inlineStr">
        <is>
          <t>BTBR</t>
        </is>
      </c>
      <c r="K3197" t="inlineStr">
        <is>
          <t xml:space="preserve"> Female</t>
        </is>
      </c>
      <c r="L3197" t="inlineStr">
        <is>
          <t>No focal subject</t>
        </is>
      </c>
      <c r="M3197" t="n">
        <v>35.698</v>
      </c>
      <c r="N3197" t="inlineStr">
        <is>
          <t>Explore_F</t>
        </is>
      </c>
      <c r="O3197" t="inlineStr">
        <is>
          <t>Familiar</t>
        </is>
      </c>
      <c r="P3197" t="inlineStr">
        <is>
          <t>STATE</t>
        </is>
      </c>
      <c r="Q3197" t="n">
        <v>368.033</v>
      </c>
      <c r="R3197" t="n">
        <v>368.467</v>
      </c>
      <c r="S3197" t="n">
        <v>0.434</v>
      </c>
      <c r="T3197" t="inlineStr">
        <is>
          <t>C:/Users/manuel.felline/Documents/BEHAVIOR BTBR/NOR second cohort/BTBR/test/c10_f4.mp4</t>
        </is>
      </c>
      <c r="U3197" t="n">
        <v>11246</v>
      </c>
      <c r="V3197" t="n">
        <v>11259</v>
      </c>
      <c r="W3197" t="n">
        <v/>
      </c>
      <c r="X3197" t="n">
        <v/>
      </c>
      <c r="Y3197" t="n">
        <v/>
      </c>
      <c r="Z3197" t="n">
        <v/>
      </c>
      <c r="AA3197">
        <f>SUMIFS($S$2:S3197,$A$2:A3197,A3197,$N$2:N3197,"Explore*")</f>
        <v/>
      </c>
      <c r="AB3197">
        <f>IF(AND(LEFT(N3197,7)="Explore",(AA3197-IF(LEFT(N3197,7)="Explore",S3197,0))&lt;10),"SI","NO")</f>
        <v/>
      </c>
    </row>
    <row r="3198">
      <c r="A3198" t="inlineStr">
        <is>
          <t>c10f4_test</t>
        </is>
      </c>
      <c r="B3198" t="inlineStr">
        <is>
          <t>2026-06-25 16:03:23.428</t>
        </is>
      </c>
      <c r="C3198" t="n">
        <v/>
      </c>
      <c r="D3198" t="inlineStr">
        <is>
          <t>Media file</t>
        </is>
      </c>
      <c r="E3198" t="inlineStr">
        <is>
          <t>player #1:C:/Users/manuel.felline/Documents/BEHAVIOR BTBR/NOR second cohort/BTBR/test/c10_f4.mp4</t>
        </is>
      </c>
      <c r="F3198" t="n">
        <v>-6.933</v>
      </c>
      <c r="G3198" t="n">
        <v>579.5</v>
      </c>
      <c r="H3198" t="n">
        <v>622.7329999999999</v>
      </c>
      <c r="I3198" t="n">
        <v>30</v>
      </c>
      <c r="J3198" t="inlineStr">
        <is>
          <t>BTBR</t>
        </is>
      </c>
      <c r="K3198" t="inlineStr">
        <is>
          <t xml:space="preserve"> Female</t>
        </is>
      </c>
      <c r="L3198" t="inlineStr">
        <is>
          <t>No focal subject</t>
        </is>
      </c>
      <c r="M3198" t="n">
        <v>35.698</v>
      </c>
      <c r="N3198" t="inlineStr">
        <is>
          <t>Explore_N</t>
        </is>
      </c>
      <c r="O3198" t="inlineStr">
        <is>
          <t>Novelty</t>
        </is>
      </c>
      <c r="P3198" t="inlineStr">
        <is>
          <t>STATE</t>
        </is>
      </c>
      <c r="Q3198" t="n">
        <v>376.433</v>
      </c>
      <c r="R3198" t="n">
        <v>376.933</v>
      </c>
      <c r="S3198" t="n">
        <v>0.5</v>
      </c>
      <c r="T3198" t="inlineStr">
        <is>
          <t>C:/Users/manuel.felline/Documents/BEHAVIOR BTBR/NOR second cohort/BTBR/test/c10_f4.mp4</t>
        </is>
      </c>
      <c r="U3198" t="n">
        <v>11498</v>
      </c>
      <c r="V3198" t="n">
        <v>11513</v>
      </c>
      <c r="W3198" t="n">
        <v/>
      </c>
      <c r="X3198" t="n">
        <v/>
      </c>
      <c r="Y3198" t="n">
        <v/>
      </c>
      <c r="Z3198" t="n">
        <v/>
      </c>
      <c r="AA3198">
        <f>SUMIFS($S$2:S3198,$A$2:A3198,A3198,$N$2:N3198,"Explore*")</f>
        <v/>
      </c>
      <c r="AB3198">
        <f>IF(AND(LEFT(N3198,7)="Explore",(AA3198-IF(LEFT(N3198,7)="Explore",S3198,0))&lt;10),"SI","NO")</f>
        <v/>
      </c>
    </row>
    <row r="3199">
      <c r="A3199" t="inlineStr">
        <is>
          <t>c10f4_test</t>
        </is>
      </c>
      <c r="B3199" t="inlineStr">
        <is>
          <t>2026-06-25 16:03:23.428</t>
        </is>
      </c>
      <c r="C3199" t="n">
        <v/>
      </c>
      <c r="D3199" t="inlineStr">
        <is>
          <t>Media file</t>
        </is>
      </c>
      <c r="E3199" t="inlineStr">
        <is>
          <t>player #1:C:/Users/manuel.felline/Documents/BEHAVIOR BTBR/NOR second cohort/BTBR/test/c10_f4.mp4</t>
        </is>
      </c>
      <c r="F3199" t="n">
        <v>-6.933</v>
      </c>
      <c r="G3199" t="n">
        <v>579.5</v>
      </c>
      <c r="H3199" t="n">
        <v>622.7329999999999</v>
      </c>
      <c r="I3199" t="n">
        <v>30</v>
      </c>
      <c r="J3199" t="inlineStr">
        <is>
          <t>BTBR</t>
        </is>
      </c>
      <c r="K3199" t="inlineStr">
        <is>
          <t xml:space="preserve"> Female</t>
        </is>
      </c>
      <c r="L3199" t="inlineStr">
        <is>
          <t>No focal subject</t>
        </is>
      </c>
      <c r="M3199" t="n">
        <v>35.698</v>
      </c>
      <c r="N3199" t="inlineStr">
        <is>
          <t>Explore_F</t>
        </is>
      </c>
      <c r="O3199" t="inlineStr">
        <is>
          <t>Familiar</t>
        </is>
      </c>
      <c r="P3199" t="inlineStr">
        <is>
          <t>STATE</t>
        </is>
      </c>
      <c r="Q3199" t="n">
        <v>398.367</v>
      </c>
      <c r="R3199" t="n">
        <v>398.833</v>
      </c>
      <c r="S3199" t="n">
        <v>0.466</v>
      </c>
      <c r="T3199" t="inlineStr">
        <is>
          <t>C:/Users/manuel.felline/Documents/BEHAVIOR BTBR/NOR second cohort/BTBR/test/c10_f4.mp4</t>
        </is>
      </c>
      <c r="U3199" t="n">
        <v>12156</v>
      </c>
      <c r="V3199" t="n">
        <v>12170</v>
      </c>
      <c r="W3199" t="n">
        <v/>
      </c>
      <c r="X3199" t="n">
        <v/>
      </c>
      <c r="Y3199" t="n">
        <v/>
      </c>
      <c r="Z3199" t="n">
        <v/>
      </c>
      <c r="AA3199">
        <f>SUMIFS($S$2:S3199,$A$2:A3199,A3199,$N$2:N3199,"Explore*")</f>
        <v/>
      </c>
      <c r="AB3199">
        <f>IF(AND(LEFT(N3199,7)="Explore",(AA3199-IF(LEFT(N3199,7)="Explore",S3199,0))&lt;10),"SI","NO")</f>
        <v/>
      </c>
    </row>
    <row r="3200">
      <c r="A3200" t="inlineStr">
        <is>
          <t>c10f4_test</t>
        </is>
      </c>
      <c r="B3200" t="inlineStr">
        <is>
          <t>2026-06-25 16:03:23.428</t>
        </is>
      </c>
      <c r="C3200" t="n">
        <v/>
      </c>
      <c r="D3200" t="inlineStr">
        <is>
          <t>Media file</t>
        </is>
      </c>
      <c r="E3200" t="inlineStr">
        <is>
          <t>player #1:C:/Users/manuel.felline/Documents/BEHAVIOR BTBR/NOR second cohort/BTBR/test/c10_f4.mp4</t>
        </is>
      </c>
      <c r="F3200" t="n">
        <v>-6.933</v>
      </c>
      <c r="G3200" t="n">
        <v>579.5</v>
      </c>
      <c r="H3200" t="n">
        <v>622.7329999999999</v>
      </c>
      <c r="I3200" t="n">
        <v>30</v>
      </c>
      <c r="J3200" t="inlineStr">
        <is>
          <t>BTBR</t>
        </is>
      </c>
      <c r="K3200" t="inlineStr">
        <is>
          <t xml:space="preserve"> Female</t>
        </is>
      </c>
      <c r="L3200" t="inlineStr">
        <is>
          <t>No focal subject</t>
        </is>
      </c>
      <c r="M3200" t="n">
        <v>35.698</v>
      </c>
      <c r="N3200" t="inlineStr">
        <is>
          <t>Explore_N</t>
        </is>
      </c>
      <c r="O3200" t="inlineStr">
        <is>
          <t>Novelty</t>
        </is>
      </c>
      <c r="P3200" t="inlineStr">
        <is>
          <t>STATE</t>
        </is>
      </c>
      <c r="Q3200" t="n">
        <v>410.467</v>
      </c>
      <c r="R3200" t="n">
        <v>411.133</v>
      </c>
      <c r="S3200" t="n">
        <v>0.666</v>
      </c>
      <c r="T3200" t="inlineStr">
        <is>
          <t>C:/Users/manuel.felline/Documents/BEHAVIOR BTBR/NOR second cohort/BTBR/test/c10_f4.mp4</t>
        </is>
      </c>
      <c r="U3200" t="n">
        <v>12519</v>
      </c>
      <c r="V3200" t="n">
        <v>12539</v>
      </c>
      <c r="W3200" t="n">
        <v/>
      </c>
      <c r="X3200" t="n">
        <v/>
      </c>
      <c r="Y3200" t="n">
        <v/>
      </c>
      <c r="Z3200" t="n">
        <v/>
      </c>
      <c r="AA3200">
        <f>SUMIFS($S$2:S3200,$A$2:A3200,A3200,$N$2:N3200,"Explore*")</f>
        <v/>
      </c>
      <c r="AB3200">
        <f>IF(AND(LEFT(N3200,7)="Explore",(AA3200-IF(LEFT(N3200,7)="Explore",S3200,0))&lt;10),"SI","NO")</f>
        <v/>
      </c>
    </row>
    <row r="3201">
      <c r="A3201" t="inlineStr">
        <is>
          <t>c10f4_test</t>
        </is>
      </c>
      <c r="B3201" t="inlineStr">
        <is>
          <t>2026-06-25 16:03:23.428</t>
        </is>
      </c>
      <c r="C3201" t="n">
        <v/>
      </c>
      <c r="D3201" t="inlineStr">
        <is>
          <t>Media file</t>
        </is>
      </c>
      <c r="E3201" t="inlineStr">
        <is>
          <t>player #1:C:/Users/manuel.felline/Documents/BEHAVIOR BTBR/NOR second cohort/BTBR/test/c10_f4.mp4</t>
        </is>
      </c>
      <c r="F3201" t="n">
        <v>-6.933</v>
      </c>
      <c r="G3201" t="n">
        <v>579.5</v>
      </c>
      <c r="H3201" t="n">
        <v>622.7329999999999</v>
      </c>
      <c r="I3201" t="n">
        <v>30</v>
      </c>
      <c r="J3201" t="inlineStr">
        <is>
          <t>BTBR</t>
        </is>
      </c>
      <c r="K3201" t="inlineStr">
        <is>
          <t xml:space="preserve"> Female</t>
        </is>
      </c>
      <c r="L3201" t="inlineStr">
        <is>
          <t>No focal subject</t>
        </is>
      </c>
      <c r="M3201" t="n">
        <v>35.698</v>
      </c>
      <c r="N3201" t="inlineStr">
        <is>
          <t>Explore_N</t>
        </is>
      </c>
      <c r="O3201" t="inlineStr">
        <is>
          <t>Novelty</t>
        </is>
      </c>
      <c r="P3201" t="inlineStr">
        <is>
          <t>STATE</t>
        </is>
      </c>
      <c r="Q3201" t="n">
        <v>432.733</v>
      </c>
      <c r="R3201" t="n">
        <v>433.133</v>
      </c>
      <c r="S3201" t="n">
        <v>0.4</v>
      </c>
      <c r="T3201" t="inlineStr">
        <is>
          <t>C:/Users/manuel.felline/Documents/BEHAVIOR BTBR/NOR second cohort/BTBR/test/c10_f4.mp4</t>
        </is>
      </c>
      <c r="U3201" t="n">
        <v>13187</v>
      </c>
      <c r="V3201" t="n">
        <v>13199</v>
      </c>
      <c r="W3201" t="n">
        <v/>
      </c>
      <c r="X3201" t="n">
        <v/>
      </c>
      <c r="Y3201" t="n">
        <v/>
      </c>
      <c r="Z3201" t="n">
        <v/>
      </c>
      <c r="AA3201">
        <f>SUMIFS($S$2:S3201,$A$2:A3201,A3201,$N$2:N3201,"Explore*")</f>
        <v/>
      </c>
      <c r="AB3201">
        <f>IF(AND(LEFT(N3201,7)="Explore",(AA3201-IF(LEFT(N3201,7)="Explore",S3201,0))&lt;10),"SI","NO")</f>
        <v/>
      </c>
    </row>
    <row r="3202">
      <c r="A3202" t="inlineStr">
        <is>
          <t>c10f4_test</t>
        </is>
      </c>
      <c r="B3202" t="inlineStr">
        <is>
          <t>2026-06-25 16:03:23.428</t>
        </is>
      </c>
      <c r="C3202" t="n">
        <v/>
      </c>
      <c r="D3202" t="inlineStr">
        <is>
          <t>Media file</t>
        </is>
      </c>
      <c r="E3202" t="inlineStr">
        <is>
          <t>player #1:C:/Users/manuel.felline/Documents/BEHAVIOR BTBR/NOR second cohort/BTBR/test/c10_f4.mp4</t>
        </is>
      </c>
      <c r="F3202" t="n">
        <v>-6.933</v>
      </c>
      <c r="G3202" t="n">
        <v>579.5</v>
      </c>
      <c r="H3202" t="n">
        <v>622.7329999999999</v>
      </c>
      <c r="I3202" t="n">
        <v>30</v>
      </c>
      <c r="J3202" t="inlineStr">
        <is>
          <t>BTBR</t>
        </is>
      </c>
      <c r="K3202" t="inlineStr">
        <is>
          <t xml:space="preserve"> Female</t>
        </is>
      </c>
      <c r="L3202" t="inlineStr">
        <is>
          <t>No focal subject</t>
        </is>
      </c>
      <c r="M3202" t="n">
        <v>35.698</v>
      </c>
      <c r="N3202" t="inlineStr">
        <is>
          <t>Explore_N</t>
        </is>
      </c>
      <c r="O3202" t="inlineStr">
        <is>
          <t>Novelty</t>
        </is>
      </c>
      <c r="P3202" t="inlineStr">
        <is>
          <t>STATE</t>
        </is>
      </c>
      <c r="Q3202" t="n">
        <v>490.933</v>
      </c>
      <c r="R3202" t="n">
        <v>491.9</v>
      </c>
      <c r="S3202" t="n">
        <v>0.967</v>
      </c>
      <c r="T3202" t="inlineStr">
        <is>
          <t>C:/Users/manuel.felline/Documents/BEHAVIOR BTBR/NOR second cohort/BTBR/test/c10_f4.mp4</t>
        </is>
      </c>
      <c r="U3202" t="n">
        <v>14933</v>
      </c>
      <c r="V3202" t="n">
        <v>14962</v>
      </c>
      <c r="W3202" t="n">
        <v/>
      </c>
      <c r="X3202" t="n">
        <v/>
      </c>
      <c r="Y3202" t="n">
        <v/>
      </c>
      <c r="Z3202" t="n">
        <v/>
      </c>
      <c r="AA3202">
        <f>SUMIFS($S$2:S3202,$A$2:A3202,A3202,$N$2:N3202,"Explore*")</f>
        <v/>
      </c>
      <c r="AB3202">
        <f>IF(AND(LEFT(N3202,7)="Explore",(AA3202-IF(LEFT(N3202,7)="Explore",S3202,0))&lt;10),"SI","NO")</f>
        <v/>
      </c>
    </row>
    <row r="3203">
      <c r="A3203" t="inlineStr">
        <is>
          <t>c10f4_test</t>
        </is>
      </c>
      <c r="B3203" t="inlineStr">
        <is>
          <t>2026-06-25 16:03:23.428</t>
        </is>
      </c>
      <c r="C3203" t="n">
        <v/>
      </c>
      <c r="D3203" t="inlineStr">
        <is>
          <t>Media file</t>
        </is>
      </c>
      <c r="E3203" t="inlineStr">
        <is>
          <t>player #1:C:/Users/manuel.felline/Documents/BEHAVIOR BTBR/NOR second cohort/BTBR/test/c10_f4.mp4</t>
        </is>
      </c>
      <c r="F3203" t="n">
        <v>-6.933</v>
      </c>
      <c r="G3203" t="n">
        <v>579.5</v>
      </c>
      <c r="H3203" t="n">
        <v>622.7329999999999</v>
      </c>
      <c r="I3203" t="n">
        <v>30</v>
      </c>
      <c r="J3203" t="inlineStr">
        <is>
          <t>BTBR</t>
        </is>
      </c>
      <c r="K3203" t="inlineStr">
        <is>
          <t xml:space="preserve"> Female</t>
        </is>
      </c>
      <c r="L3203" t="inlineStr">
        <is>
          <t>No focal subject</t>
        </is>
      </c>
      <c r="M3203" t="n">
        <v>35.698</v>
      </c>
      <c r="N3203" t="inlineStr">
        <is>
          <t>Explore_F</t>
        </is>
      </c>
      <c r="O3203" t="inlineStr">
        <is>
          <t>Familiar</t>
        </is>
      </c>
      <c r="P3203" t="inlineStr">
        <is>
          <t>STATE</t>
        </is>
      </c>
      <c r="Q3203" t="n">
        <v>493.433</v>
      </c>
      <c r="R3203" t="n">
        <v>494.633</v>
      </c>
      <c r="S3203" t="n">
        <v>1.2</v>
      </c>
      <c r="T3203" t="inlineStr">
        <is>
          <t>C:/Users/manuel.felline/Documents/BEHAVIOR BTBR/NOR second cohort/BTBR/test/c10_f4.mp4</t>
        </is>
      </c>
      <c r="U3203" t="n">
        <v>15008</v>
      </c>
      <c r="V3203" t="n">
        <v>15044</v>
      </c>
      <c r="W3203" t="n">
        <v/>
      </c>
      <c r="X3203" t="n">
        <v/>
      </c>
      <c r="Y3203" t="n">
        <v/>
      </c>
      <c r="Z3203" t="n">
        <v/>
      </c>
      <c r="AA3203">
        <f>SUMIFS($S$2:S3203,$A$2:A3203,A3203,$N$2:N3203,"Explore*")</f>
        <v/>
      </c>
      <c r="AB3203">
        <f>IF(AND(LEFT(N3203,7)="Explore",(AA3203-IF(LEFT(N3203,7)="Explore",S3203,0))&lt;10),"SI","NO")</f>
        <v/>
      </c>
    </row>
    <row r="3204">
      <c r="A3204" t="inlineStr">
        <is>
          <t>c10f4_test</t>
        </is>
      </c>
      <c r="B3204" t="inlineStr">
        <is>
          <t>2026-06-25 16:03:23.428</t>
        </is>
      </c>
      <c r="C3204" t="n">
        <v/>
      </c>
      <c r="D3204" t="inlineStr">
        <is>
          <t>Media file</t>
        </is>
      </c>
      <c r="E3204" t="inlineStr">
        <is>
          <t>player #1:C:/Users/manuel.felline/Documents/BEHAVIOR BTBR/NOR second cohort/BTBR/test/c10_f4.mp4</t>
        </is>
      </c>
      <c r="F3204" t="n">
        <v>-6.933</v>
      </c>
      <c r="G3204" t="n">
        <v>579.5</v>
      </c>
      <c r="H3204" t="n">
        <v>622.7329999999999</v>
      </c>
      <c r="I3204" t="n">
        <v>30</v>
      </c>
      <c r="J3204" t="inlineStr">
        <is>
          <t>BTBR</t>
        </is>
      </c>
      <c r="K3204" t="inlineStr">
        <is>
          <t xml:space="preserve"> Female</t>
        </is>
      </c>
      <c r="L3204" t="inlineStr">
        <is>
          <t>No focal subject</t>
        </is>
      </c>
      <c r="M3204" t="n">
        <v>35.698</v>
      </c>
      <c r="N3204" t="inlineStr">
        <is>
          <t>Explore_N</t>
        </is>
      </c>
      <c r="O3204" t="inlineStr">
        <is>
          <t>Novelty</t>
        </is>
      </c>
      <c r="P3204" t="inlineStr">
        <is>
          <t>STATE</t>
        </is>
      </c>
      <c r="Q3204" t="n">
        <v>500.733</v>
      </c>
      <c r="R3204" t="n">
        <v>501.9</v>
      </c>
      <c r="S3204" t="n">
        <v>1.167</v>
      </c>
      <c r="T3204" t="inlineStr">
        <is>
          <t>C:/Users/manuel.felline/Documents/BEHAVIOR BTBR/NOR second cohort/BTBR/test/c10_f4.mp4</t>
        </is>
      </c>
      <c r="U3204" t="n">
        <v>15227</v>
      </c>
      <c r="V3204" t="n">
        <v>15262</v>
      </c>
      <c r="W3204" t="n">
        <v/>
      </c>
      <c r="X3204" t="n">
        <v/>
      </c>
      <c r="Y3204" t="n">
        <v/>
      </c>
      <c r="Z3204" t="n">
        <v/>
      </c>
      <c r="AA3204">
        <f>SUMIFS($S$2:S3204,$A$2:A3204,A3204,$N$2:N3204,"Explore*")</f>
        <v/>
      </c>
      <c r="AB3204">
        <f>IF(AND(LEFT(N3204,7)="Explore",(AA3204-IF(LEFT(N3204,7)="Explore",S3204,0))&lt;10),"SI","NO")</f>
        <v/>
      </c>
    </row>
    <row r="3205">
      <c r="A3205" t="inlineStr">
        <is>
          <t>c10f4_test</t>
        </is>
      </c>
      <c r="B3205" t="inlineStr">
        <is>
          <t>2026-06-25 16:03:23.428</t>
        </is>
      </c>
      <c r="C3205" t="n">
        <v/>
      </c>
      <c r="D3205" t="inlineStr">
        <is>
          <t>Media file</t>
        </is>
      </c>
      <c r="E3205" t="inlineStr">
        <is>
          <t>player #1:C:/Users/manuel.felline/Documents/BEHAVIOR BTBR/NOR second cohort/BTBR/test/c10_f4.mp4</t>
        </is>
      </c>
      <c r="F3205" t="n">
        <v>-6.933</v>
      </c>
      <c r="G3205" t="n">
        <v>579.5</v>
      </c>
      <c r="H3205" t="n">
        <v>622.7329999999999</v>
      </c>
      <c r="I3205" t="n">
        <v>30</v>
      </c>
      <c r="J3205" t="inlineStr">
        <is>
          <t>BTBR</t>
        </is>
      </c>
      <c r="K3205" t="inlineStr">
        <is>
          <t xml:space="preserve"> Female</t>
        </is>
      </c>
      <c r="L3205" t="inlineStr">
        <is>
          <t>No focal subject</t>
        </is>
      </c>
      <c r="M3205" t="n">
        <v>35.698</v>
      </c>
      <c r="N3205" t="inlineStr">
        <is>
          <t>Explore_F</t>
        </is>
      </c>
      <c r="O3205" t="inlineStr">
        <is>
          <t>Familiar</t>
        </is>
      </c>
      <c r="P3205" t="inlineStr">
        <is>
          <t>STATE</t>
        </is>
      </c>
      <c r="Q3205" t="n">
        <v>517.633</v>
      </c>
      <c r="R3205" t="n">
        <v>518.133</v>
      </c>
      <c r="S3205" t="n">
        <v>0.5</v>
      </c>
      <c r="T3205" t="inlineStr">
        <is>
          <t>C:/Users/manuel.felline/Documents/BEHAVIOR BTBR/NOR second cohort/BTBR/test/c10_f4.mp4</t>
        </is>
      </c>
      <c r="U3205" t="n">
        <v>15733</v>
      </c>
      <c r="V3205" t="n">
        <v>15748</v>
      </c>
      <c r="W3205" t="n">
        <v/>
      </c>
      <c r="X3205" t="n">
        <v/>
      </c>
      <c r="Y3205" t="n">
        <v/>
      </c>
      <c r="Z3205" t="n">
        <v/>
      </c>
      <c r="AA3205">
        <f>SUMIFS($S$2:S3205,$A$2:A3205,A3205,$N$2:N3205,"Explore*")</f>
        <v/>
      </c>
      <c r="AB3205">
        <f>IF(AND(LEFT(N3205,7)="Explore",(AA3205-IF(LEFT(N3205,7)="Explore",S3205,0))&lt;10),"SI","NO")</f>
        <v/>
      </c>
    </row>
    <row r="3206">
      <c r="A3206" t="inlineStr">
        <is>
          <t>c10f4_test</t>
        </is>
      </c>
      <c r="B3206" t="inlineStr">
        <is>
          <t>2026-06-25 16:03:23.428</t>
        </is>
      </c>
      <c r="C3206" t="n">
        <v/>
      </c>
      <c r="D3206" t="inlineStr">
        <is>
          <t>Media file</t>
        </is>
      </c>
      <c r="E3206" t="inlineStr">
        <is>
          <t>player #1:C:/Users/manuel.felline/Documents/BEHAVIOR BTBR/NOR second cohort/BTBR/test/c10_f4.mp4</t>
        </is>
      </c>
      <c r="F3206" t="n">
        <v>-6.933</v>
      </c>
      <c r="G3206" t="n">
        <v>579.5</v>
      </c>
      <c r="H3206" t="n">
        <v>622.7329999999999</v>
      </c>
      <c r="I3206" t="n">
        <v>30</v>
      </c>
      <c r="J3206" t="inlineStr">
        <is>
          <t>BTBR</t>
        </is>
      </c>
      <c r="K3206" t="inlineStr">
        <is>
          <t xml:space="preserve"> Female</t>
        </is>
      </c>
      <c r="L3206" t="inlineStr">
        <is>
          <t>No focal subject</t>
        </is>
      </c>
      <c r="M3206" t="n">
        <v>35.698</v>
      </c>
      <c r="N3206" t="inlineStr">
        <is>
          <t>Explore_F</t>
        </is>
      </c>
      <c r="O3206" t="inlineStr">
        <is>
          <t>Familiar</t>
        </is>
      </c>
      <c r="P3206" t="inlineStr">
        <is>
          <t>STATE</t>
        </is>
      </c>
      <c r="Q3206" t="n">
        <v>547.3</v>
      </c>
      <c r="R3206" t="n">
        <v>548.066</v>
      </c>
      <c r="S3206" t="n">
        <v>0.766</v>
      </c>
      <c r="T3206" t="inlineStr">
        <is>
          <t>C:/Users/manuel.felline/Documents/BEHAVIOR BTBR/NOR second cohort/BTBR/test/c10_f4.mp4</t>
        </is>
      </c>
      <c r="U3206" t="n">
        <v>16623</v>
      </c>
      <c r="V3206" t="n">
        <v>16646</v>
      </c>
      <c r="W3206" t="n">
        <v/>
      </c>
      <c r="X3206" t="n">
        <v/>
      </c>
      <c r="Y3206" t="n">
        <v/>
      </c>
      <c r="Z3206" t="n">
        <v/>
      </c>
      <c r="AA3206">
        <f>SUMIFS($S$2:S3206,$A$2:A3206,A3206,$N$2:N3206,"Explore*")</f>
        <v/>
      </c>
      <c r="AB3206">
        <f>IF(AND(LEFT(N3206,7)="Explore",(AA3206-IF(LEFT(N3206,7)="Explore",S3206,0))&lt;10),"SI","NO")</f>
        <v/>
      </c>
    </row>
    <row r="3207">
      <c r="A3207" t="inlineStr">
        <is>
          <t>c10f4_test</t>
        </is>
      </c>
      <c r="B3207" t="inlineStr">
        <is>
          <t>2026-06-25 16:03:23.428</t>
        </is>
      </c>
      <c r="C3207" t="n">
        <v/>
      </c>
      <c r="D3207" t="inlineStr">
        <is>
          <t>Media file</t>
        </is>
      </c>
      <c r="E3207" t="inlineStr">
        <is>
          <t>player #1:C:/Users/manuel.felline/Documents/BEHAVIOR BTBR/NOR second cohort/BTBR/test/c10_f4.mp4</t>
        </is>
      </c>
      <c r="F3207" t="n">
        <v>-6.933</v>
      </c>
      <c r="G3207" t="n">
        <v>579.5</v>
      </c>
      <c r="H3207" t="n">
        <v>622.7329999999999</v>
      </c>
      <c r="I3207" t="n">
        <v>30</v>
      </c>
      <c r="J3207" t="inlineStr">
        <is>
          <t>BTBR</t>
        </is>
      </c>
      <c r="K3207" t="inlineStr">
        <is>
          <t xml:space="preserve"> Female</t>
        </is>
      </c>
      <c r="L3207" t="inlineStr">
        <is>
          <t>No focal subject</t>
        </is>
      </c>
      <c r="M3207" t="n">
        <v>35.698</v>
      </c>
      <c r="N3207" t="inlineStr">
        <is>
          <t>Explore_N</t>
        </is>
      </c>
      <c r="O3207" t="inlineStr">
        <is>
          <t>Novelty</t>
        </is>
      </c>
      <c r="P3207" t="inlineStr">
        <is>
          <t>STATE</t>
        </is>
      </c>
      <c r="Q3207" t="n">
        <v>550</v>
      </c>
      <c r="R3207" t="n">
        <v>550.633</v>
      </c>
      <c r="S3207" t="n">
        <v>0.633</v>
      </c>
      <c r="T3207" t="inlineStr">
        <is>
          <t>C:/Users/manuel.felline/Documents/BEHAVIOR BTBR/NOR second cohort/BTBR/test/c10_f4.mp4</t>
        </is>
      </c>
      <c r="U3207" t="n">
        <v>16704</v>
      </c>
      <c r="V3207" t="n">
        <v>16723</v>
      </c>
      <c r="W3207" t="n">
        <v/>
      </c>
      <c r="X3207" t="n">
        <v/>
      </c>
      <c r="Y3207" t="n">
        <v/>
      </c>
      <c r="Z3207" t="n">
        <v/>
      </c>
      <c r="AA3207">
        <f>SUMIFS($S$2:S3207,$A$2:A3207,A3207,$N$2:N3207,"Explore*")</f>
        <v/>
      </c>
      <c r="AB3207">
        <f>IF(AND(LEFT(N3207,7)="Explore",(AA3207-IF(LEFT(N3207,7)="Explore",S3207,0))&lt;10),"SI","NO")</f>
        <v/>
      </c>
    </row>
    <row r="3208">
      <c r="A3208" t="inlineStr">
        <is>
          <t>c10f4_test</t>
        </is>
      </c>
      <c r="B3208" t="inlineStr">
        <is>
          <t>2026-06-25 16:03:23.428</t>
        </is>
      </c>
      <c r="C3208" t="n">
        <v/>
      </c>
      <c r="D3208" t="inlineStr">
        <is>
          <t>Media file</t>
        </is>
      </c>
      <c r="E3208" t="inlineStr">
        <is>
          <t>player #1:C:/Users/manuel.felline/Documents/BEHAVIOR BTBR/NOR second cohort/BTBR/test/c10_f4.mp4</t>
        </is>
      </c>
      <c r="F3208" t="n">
        <v>-6.933</v>
      </c>
      <c r="G3208" t="n">
        <v>579.5</v>
      </c>
      <c r="H3208" t="n">
        <v>622.7329999999999</v>
      </c>
      <c r="I3208" t="n">
        <v>30</v>
      </c>
      <c r="J3208" t="inlineStr">
        <is>
          <t>BTBR</t>
        </is>
      </c>
      <c r="K3208" t="inlineStr">
        <is>
          <t xml:space="preserve"> Female</t>
        </is>
      </c>
      <c r="L3208" t="inlineStr">
        <is>
          <t>No focal subject</t>
        </is>
      </c>
      <c r="M3208" t="n">
        <v>35.698</v>
      </c>
      <c r="N3208" t="inlineStr">
        <is>
          <t>Explore_F</t>
        </is>
      </c>
      <c r="O3208" t="inlineStr">
        <is>
          <t>Familiar</t>
        </is>
      </c>
      <c r="P3208" t="inlineStr">
        <is>
          <t>STATE</t>
        </is>
      </c>
      <c r="Q3208" t="n">
        <v>574.3</v>
      </c>
      <c r="R3208" t="n">
        <v>574.6660000000001</v>
      </c>
      <c r="S3208" t="n">
        <v>0.366</v>
      </c>
      <c r="T3208" t="inlineStr">
        <is>
          <t>C:/Users/manuel.felline/Documents/BEHAVIOR BTBR/NOR second cohort/BTBR/test/c10_f4.mp4</t>
        </is>
      </c>
      <c r="U3208" t="n">
        <v>17433</v>
      </c>
      <c r="V3208" t="n">
        <v>17444</v>
      </c>
      <c r="W3208" t="n">
        <v/>
      </c>
      <c r="X3208" t="n">
        <v/>
      </c>
      <c r="Y3208" t="n">
        <v/>
      </c>
      <c r="Z3208" t="n">
        <v/>
      </c>
      <c r="AA3208">
        <f>SUMIFS($S$2:S3208,$A$2:A3208,A3208,$N$2:N3208,"Explore*")</f>
        <v/>
      </c>
      <c r="AB3208">
        <f>IF(AND(LEFT(N3208,7)="Explore",(AA3208-IF(LEFT(N3208,7)="Explore",S3208,0))&lt;10),"SI","NO")</f>
        <v/>
      </c>
    </row>
    <row r="3209">
      <c r="A3209" t="inlineStr">
        <is>
          <t>c10f4_test</t>
        </is>
      </c>
      <c r="B3209" t="inlineStr">
        <is>
          <t>2026-06-25 16:03:23.428</t>
        </is>
      </c>
      <c r="C3209" t="n">
        <v/>
      </c>
      <c r="D3209" t="inlineStr">
        <is>
          <t>Media file</t>
        </is>
      </c>
      <c r="E3209" t="inlineStr">
        <is>
          <t>player #1:C:/Users/manuel.felline/Documents/BEHAVIOR BTBR/NOR second cohort/BTBR/test/c10_f4.mp4</t>
        </is>
      </c>
      <c r="F3209" t="n">
        <v>-6.933</v>
      </c>
      <c r="G3209" t="n">
        <v>579.5</v>
      </c>
      <c r="H3209" t="n">
        <v>622.7329999999999</v>
      </c>
      <c r="I3209" t="n">
        <v>30</v>
      </c>
      <c r="J3209" t="inlineStr">
        <is>
          <t>BTBR</t>
        </is>
      </c>
      <c r="K3209" t="inlineStr">
        <is>
          <t xml:space="preserve"> Female</t>
        </is>
      </c>
      <c r="L3209" t="inlineStr">
        <is>
          <t>No focal subject</t>
        </is>
      </c>
      <c r="M3209" t="n">
        <v>35.698</v>
      </c>
      <c r="N3209" t="inlineStr">
        <is>
          <t>Explore_N</t>
        </is>
      </c>
      <c r="O3209" t="inlineStr">
        <is>
          <t>Novelty</t>
        </is>
      </c>
      <c r="P3209" t="inlineStr">
        <is>
          <t>STATE</t>
        </is>
      </c>
      <c r="Q3209" t="n">
        <v>580.066</v>
      </c>
      <c r="R3209" t="n">
        <v>580.5</v>
      </c>
      <c r="S3209" t="n">
        <v>0.434</v>
      </c>
      <c r="T3209" t="inlineStr">
        <is>
          <t>C:/Users/manuel.felline/Documents/BEHAVIOR BTBR/NOR second cohort/BTBR/test/c10_f4.mp4</t>
        </is>
      </c>
      <c r="U3209" t="n">
        <v>17606</v>
      </c>
      <c r="V3209" t="n">
        <v>17619</v>
      </c>
      <c r="W3209" t="n">
        <v/>
      </c>
      <c r="X3209" t="n">
        <v/>
      </c>
      <c r="Y3209" t="n">
        <v/>
      </c>
      <c r="Z3209" t="n">
        <v/>
      </c>
      <c r="AA3209">
        <f>SUMIFS($S$2:S3209,$A$2:A3209,A3209,$N$2:N3209,"Explore*")</f>
        <v/>
      </c>
      <c r="AB3209">
        <f>IF(AND(LEFT(N3209,7)="Explore",(AA3209-IF(LEFT(N3209,7)="Explore",S3209,0))&lt;10),"SI","NO")</f>
        <v/>
      </c>
    </row>
    <row r="3210">
      <c r="A3210" t="inlineStr">
        <is>
          <t>c10f5_test</t>
        </is>
      </c>
      <c r="B3210" t="inlineStr">
        <is>
          <t>2026-06-25 16:38:10.789</t>
        </is>
      </c>
      <c r="C3210" t="n">
        <v/>
      </c>
      <c r="D3210" t="inlineStr">
        <is>
          <t>Media file</t>
        </is>
      </c>
      <c r="E3210" t="inlineStr">
        <is>
          <t>player #1:C:/Users/manuel.felline/Documents/BEHAVIOR BTBR/NOR second cohort/BTBR/test/c10_f5.mp4</t>
        </is>
      </c>
      <c r="F3210" t="n">
        <v>-6.167</v>
      </c>
      <c r="G3210" t="n">
        <v>590.266</v>
      </c>
      <c r="H3210" t="n">
        <v>646.6660000000001</v>
      </c>
      <c r="I3210" t="n">
        <v>30</v>
      </c>
      <c r="J3210" t="inlineStr">
        <is>
          <t>BTBR</t>
        </is>
      </c>
      <c r="K3210" t="inlineStr">
        <is>
          <t xml:space="preserve"> Female</t>
        </is>
      </c>
      <c r="L3210" t="inlineStr">
        <is>
          <t>No focal subject</t>
        </is>
      </c>
      <c r="M3210" t="n">
        <v>37.701</v>
      </c>
      <c r="N3210" t="inlineStr">
        <is>
          <t>Explore_N</t>
        </is>
      </c>
      <c r="O3210" t="inlineStr">
        <is>
          <t>Novelty</t>
        </is>
      </c>
      <c r="P3210" t="inlineStr">
        <is>
          <t>STATE</t>
        </is>
      </c>
      <c r="Q3210" t="n">
        <v>0.9</v>
      </c>
      <c r="R3210" t="n">
        <v>1.333</v>
      </c>
      <c r="S3210" t="n">
        <v>0.433</v>
      </c>
      <c r="T3210" t="inlineStr">
        <is>
          <t>C:/Users/manuel.felline/Documents/BEHAVIOR BTBR/NOR second cohort/BTBR/test/c10_f5.mp4</t>
        </is>
      </c>
      <c r="U3210" t="n">
        <v>212</v>
      </c>
      <c r="V3210" t="n">
        <v>225</v>
      </c>
      <c r="W3210" t="n">
        <v/>
      </c>
      <c r="X3210" t="n">
        <v/>
      </c>
      <c r="Y3210" t="n">
        <v/>
      </c>
      <c r="Z3210" t="n">
        <v/>
      </c>
      <c r="AA3210">
        <f>SUMIFS($S$2:S3210,$A$2:A3210,A3210,$N$2:N3210,"Explore*")</f>
        <v/>
      </c>
      <c r="AB3210">
        <f>IF(AND(LEFT(N3210,7)="Explore",(AA3210-IF(LEFT(N3210,7)="Explore",S3210,0))&lt;10),"SI","NO")</f>
        <v/>
      </c>
    </row>
    <row r="3211">
      <c r="A3211" t="inlineStr">
        <is>
          <t>c10f5_test</t>
        </is>
      </c>
      <c r="B3211" t="inlineStr">
        <is>
          <t>2026-06-25 16:38:10.789</t>
        </is>
      </c>
      <c r="C3211" t="n">
        <v/>
      </c>
      <c r="D3211" t="inlineStr">
        <is>
          <t>Media file</t>
        </is>
      </c>
      <c r="E3211" t="inlineStr">
        <is>
          <t>player #1:C:/Users/manuel.felline/Documents/BEHAVIOR BTBR/NOR second cohort/BTBR/test/c10_f5.mp4</t>
        </is>
      </c>
      <c r="F3211" t="n">
        <v>-6.167</v>
      </c>
      <c r="G3211" t="n">
        <v>590.266</v>
      </c>
      <c r="H3211" t="n">
        <v>646.6660000000001</v>
      </c>
      <c r="I3211" t="n">
        <v>30</v>
      </c>
      <c r="J3211" t="inlineStr">
        <is>
          <t>BTBR</t>
        </is>
      </c>
      <c r="K3211" t="inlineStr">
        <is>
          <t xml:space="preserve"> Female</t>
        </is>
      </c>
      <c r="L3211" t="inlineStr">
        <is>
          <t>No focal subject</t>
        </is>
      </c>
      <c r="M3211" t="n">
        <v>37.701</v>
      </c>
      <c r="N3211" t="inlineStr">
        <is>
          <t>Explore_F</t>
        </is>
      </c>
      <c r="O3211" t="inlineStr">
        <is>
          <t>Familiar</t>
        </is>
      </c>
      <c r="P3211" t="inlineStr">
        <is>
          <t>STATE</t>
        </is>
      </c>
      <c r="Q3211" t="n">
        <v>20.133</v>
      </c>
      <c r="R3211" t="n">
        <v>20.833</v>
      </c>
      <c r="S3211" t="n">
        <v>0.7</v>
      </c>
      <c r="T3211" t="inlineStr">
        <is>
          <t>C:/Users/manuel.felline/Documents/BEHAVIOR BTBR/NOR second cohort/BTBR/test/c10_f5.mp4</t>
        </is>
      </c>
      <c r="U3211" t="n">
        <v>789</v>
      </c>
      <c r="V3211" t="n">
        <v>810</v>
      </c>
      <c r="W3211" t="n">
        <v/>
      </c>
      <c r="X3211" t="n">
        <v/>
      </c>
      <c r="Y3211" t="n">
        <v/>
      </c>
      <c r="Z3211" t="n">
        <v/>
      </c>
      <c r="AA3211">
        <f>SUMIFS($S$2:S3211,$A$2:A3211,A3211,$N$2:N3211,"Explore*")</f>
        <v/>
      </c>
      <c r="AB3211">
        <f>IF(AND(LEFT(N3211,7)="Explore",(AA3211-IF(LEFT(N3211,7)="Explore",S3211,0))&lt;10),"SI","NO")</f>
        <v/>
      </c>
    </row>
    <row r="3212">
      <c r="A3212" t="inlineStr">
        <is>
          <t>c10f5_test</t>
        </is>
      </c>
      <c r="B3212" t="inlineStr">
        <is>
          <t>2026-06-25 16:38:10.789</t>
        </is>
      </c>
      <c r="C3212" t="n">
        <v/>
      </c>
      <c r="D3212" t="inlineStr">
        <is>
          <t>Media file</t>
        </is>
      </c>
      <c r="E3212" t="inlineStr">
        <is>
          <t>player #1:C:/Users/manuel.felline/Documents/BEHAVIOR BTBR/NOR second cohort/BTBR/test/c10_f5.mp4</t>
        </is>
      </c>
      <c r="F3212" t="n">
        <v>-6.167</v>
      </c>
      <c r="G3212" t="n">
        <v>590.266</v>
      </c>
      <c r="H3212" t="n">
        <v>646.6660000000001</v>
      </c>
      <c r="I3212" t="n">
        <v>30</v>
      </c>
      <c r="J3212" t="inlineStr">
        <is>
          <t>BTBR</t>
        </is>
      </c>
      <c r="K3212" t="inlineStr">
        <is>
          <t xml:space="preserve"> Female</t>
        </is>
      </c>
      <c r="L3212" t="inlineStr">
        <is>
          <t>No focal subject</t>
        </is>
      </c>
      <c r="M3212" t="n">
        <v>37.701</v>
      </c>
      <c r="N3212" t="inlineStr">
        <is>
          <t>Explore_N</t>
        </is>
      </c>
      <c r="O3212" t="inlineStr">
        <is>
          <t>Novelty</t>
        </is>
      </c>
      <c r="P3212" t="inlineStr">
        <is>
          <t>STATE</t>
        </is>
      </c>
      <c r="Q3212" t="n">
        <v>28.066</v>
      </c>
      <c r="R3212" t="n">
        <v>28.533</v>
      </c>
      <c r="S3212" t="n">
        <v>0.467</v>
      </c>
      <c r="T3212" t="inlineStr">
        <is>
          <t>C:/Users/manuel.felline/Documents/BEHAVIOR BTBR/NOR second cohort/BTBR/test/c10_f5.mp4</t>
        </is>
      </c>
      <c r="U3212" t="n">
        <v>1027</v>
      </c>
      <c r="V3212" t="n">
        <v>1041</v>
      </c>
      <c r="W3212" t="n">
        <v/>
      </c>
      <c r="X3212" t="n">
        <v/>
      </c>
      <c r="Y3212" t="n">
        <v/>
      </c>
      <c r="Z3212" t="n">
        <v/>
      </c>
      <c r="AA3212">
        <f>SUMIFS($S$2:S3212,$A$2:A3212,A3212,$N$2:N3212,"Explore*")</f>
        <v/>
      </c>
      <c r="AB3212">
        <f>IF(AND(LEFT(N3212,7)="Explore",(AA3212-IF(LEFT(N3212,7)="Explore",S3212,0))&lt;10),"SI","NO")</f>
        <v/>
      </c>
    </row>
    <row r="3213">
      <c r="A3213" t="inlineStr">
        <is>
          <t>c10f5_test</t>
        </is>
      </c>
      <c r="B3213" t="inlineStr">
        <is>
          <t>2026-06-25 16:38:10.789</t>
        </is>
      </c>
      <c r="C3213" t="n">
        <v/>
      </c>
      <c r="D3213" t="inlineStr">
        <is>
          <t>Media file</t>
        </is>
      </c>
      <c r="E3213" t="inlineStr">
        <is>
          <t>player #1:C:/Users/manuel.felline/Documents/BEHAVIOR BTBR/NOR second cohort/BTBR/test/c10_f5.mp4</t>
        </is>
      </c>
      <c r="F3213" t="n">
        <v>-6.167</v>
      </c>
      <c r="G3213" t="n">
        <v>590.266</v>
      </c>
      <c r="H3213" t="n">
        <v>646.6660000000001</v>
      </c>
      <c r="I3213" t="n">
        <v>30</v>
      </c>
      <c r="J3213" t="inlineStr">
        <is>
          <t>BTBR</t>
        </is>
      </c>
      <c r="K3213" t="inlineStr">
        <is>
          <t xml:space="preserve"> Female</t>
        </is>
      </c>
      <c r="L3213" t="inlineStr">
        <is>
          <t>No focal subject</t>
        </is>
      </c>
      <c r="M3213" t="n">
        <v>37.701</v>
      </c>
      <c r="N3213" t="inlineStr">
        <is>
          <t>Explore_N</t>
        </is>
      </c>
      <c r="O3213" t="inlineStr">
        <is>
          <t>Novelty</t>
        </is>
      </c>
      <c r="P3213" t="inlineStr">
        <is>
          <t>STATE</t>
        </is>
      </c>
      <c r="Q3213" t="n">
        <v>31.733</v>
      </c>
      <c r="R3213" t="n">
        <v>33.066</v>
      </c>
      <c r="S3213" t="n">
        <v>1.333</v>
      </c>
      <c r="T3213" t="inlineStr">
        <is>
          <t>C:/Users/manuel.felline/Documents/BEHAVIOR BTBR/NOR second cohort/BTBR/test/c10_f5.mp4</t>
        </is>
      </c>
      <c r="U3213" t="n">
        <v>1137</v>
      </c>
      <c r="V3213" t="n">
        <v>1177</v>
      </c>
      <c r="W3213" t="n">
        <v/>
      </c>
      <c r="X3213" t="n">
        <v/>
      </c>
      <c r="Y3213" t="n">
        <v/>
      </c>
      <c r="Z3213" t="n">
        <v/>
      </c>
      <c r="AA3213">
        <f>SUMIFS($S$2:S3213,$A$2:A3213,A3213,$N$2:N3213,"Explore*")</f>
        <v/>
      </c>
      <c r="AB3213">
        <f>IF(AND(LEFT(N3213,7)="Explore",(AA3213-IF(LEFT(N3213,7)="Explore",S3213,0))&lt;10),"SI","NO")</f>
        <v/>
      </c>
    </row>
    <row r="3214">
      <c r="A3214" t="inlineStr">
        <is>
          <t>c10f5_test</t>
        </is>
      </c>
      <c r="B3214" t="inlineStr">
        <is>
          <t>2026-06-25 16:38:10.789</t>
        </is>
      </c>
      <c r="C3214" t="n">
        <v/>
      </c>
      <c r="D3214" t="inlineStr">
        <is>
          <t>Media file</t>
        </is>
      </c>
      <c r="E3214" t="inlineStr">
        <is>
          <t>player #1:C:/Users/manuel.felline/Documents/BEHAVIOR BTBR/NOR second cohort/BTBR/test/c10_f5.mp4</t>
        </is>
      </c>
      <c r="F3214" t="n">
        <v>-6.167</v>
      </c>
      <c r="G3214" t="n">
        <v>590.266</v>
      </c>
      <c r="H3214" t="n">
        <v>646.6660000000001</v>
      </c>
      <c r="I3214" t="n">
        <v>30</v>
      </c>
      <c r="J3214" t="inlineStr">
        <is>
          <t>BTBR</t>
        </is>
      </c>
      <c r="K3214" t="inlineStr">
        <is>
          <t xml:space="preserve"> Female</t>
        </is>
      </c>
      <c r="L3214" t="inlineStr">
        <is>
          <t>No focal subject</t>
        </is>
      </c>
      <c r="M3214" t="n">
        <v>37.701</v>
      </c>
      <c r="N3214" t="inlineStr">
        <is>
          <t>Explore_F</t>
        </is>
      </c>
      <c r="O3214" t="inlineStr">
        <is>
          <t>Familiar</t>
        </is>
      </c>
      <c r="P3214" t="inlineStr">
        <is>
          <t>STATE</t>
        </is>
      </c>
      <c r="Q3214" t="n">
        <v>33.5</v>
      </c>
      <c r="R3214" t="n">
        <v>34.4</v>
      </c>
      <c r="S3214" t="n">
        <v>0.9</v>
      </c>
      <c r="T3214" t="inlineStr">
        <is>
          <t>C:/Users/manuel.felline/Documents/BEHAVIOR BTBR/NOR second cohort/BTBR/test/c10_f5.mp4</t>
        </is>
      </c>
      <c r="U3214" t="n">
        <v>1190</v>
      </c>
      <c r="V3214" t="n">
        <v>1217</v>
      </c>
      <c r="W3214" t="n">
        <v/>
      </c>
      <c r="X3214" t="n">
        <v/>
      </c>
      <c r="Y3214" t="n">
        <v/>
      </c>
      <c r="Z3214" t="n">
        <v/>
      </c>
      <c r="AA3214">
        <f>SUMIFS($S$2:S3214,$A$2:A3214,A3214,$N$2:N3214,"Explore*")</f>
        <v/>
      </c>
      <c r="AB3214">
        <f>IF(AND(LEFT(N3214,7)="Explore",(AA3214-IF(LEFT(N3214,7)="Explore",S3214,0))&lt;10),"SI","NO")</f>
        <v/>
      </c>
    </row>
    <row r="3215">
      <c r="A3215" t="inlineStr">
        <is>
          <t>c10f5_test</t>
        </is>
      </c>
      <c r="B3215" t="inlineStr">
        <is>
          <t>2026-06-25 16:38:10.789</t>
        </is>
      </c>
      <c r="C3215" t="n">
        <v/>
      </c>
      <c r="D3215" t="inlineStr">
        <is>
          <t>Media file</t>
        </is>
      </c>
      <c r="E3215" t="inlineStr">
        <is>
          <t>player #1:C:/Users/manuel.felline/Documents/BEHAVIOR BTBR/NOR second cohort/BTBR/test/c10_f5.mp4</t>
        </is>
      </c>
      <c r="F3215" t="n">
        <v>-6.167</v>
      </c>
      <c r="G3215" t="n">
        <v>590.266</v>
      </c>
      <c r="H3215" t="n">
        <v>646.6660000000001</v>
      </c>
      <c r="I3215" t="n">
        <v>30</v>
      </c>
      <c r="J3215" t="inlineStr">
        <is>
          <t>BTBR</t>
        </is>
      </c>
      <c r="K3215" t="inlineStr">
        <is>
          <t xml:space="preserve"> Female</t>
        </is>
      </c>
      <c r="L3215" t="inlineStr">
        <is>
          <t>No focal subject</t>
        </is>
      </c>
      <c r="M3215" t="n">
        <v>37.701</v>
      </c>
      <c r="N3215" t="inlineStr">
        <is>
          <t>Explore_N</t>
        </is>
      </c>
      <c r="O3215" t="inlineStr">
        <is>
          <t>Novelty</t>
        </is>
      </c>
      <c r="P3215" t="inlineStr">
        <is>
          <t>STATE</t>
        </is>
      </c>
      <c r="Q3215" t="n">
        <v>38.466</v>
      </c>
      <c r="R3215" t="n">
        <v>40.666</v>
      </c>
      <c r="S3215" t="n">
        <v>2.2</v>
      </c>
      <c r="T3215" t="inlineStr">
        <is>
          <t>C:/Users/manuel.felline/Documents/BEHAVIOR BTBR/NOR second cohort/BTBR/test/c10_f5.mp4</t>
        </is>
      </c>
      <c r="U3215" t="n">
        <v>1339</v>
      </c>
      <c r="V3215" t="n">
        <v>1405</v>
      </c>
      <c r="W3215" t="n">
        <v/>
      </c>
      <c r="X3215" t="n">
        <v/>
      </c>
      <c r="Y3215" t="n">
        <v/>
      </c>
      <c r="Z3215" t="n">
        <v/>
      </c>
      <c r="AA3215">
        <f>SUMIFS($S$2:S3215,$A$2:A3215,A3215,$N$2:N3215,"Explore*")</f>
        <v/>
      </c>
      <c r="AB3215">
        <f>IF(AND(LEFT(N3215,7)="Explore",(AA3215-IF(LEFT(N3215,7)="Explore",S3215,0))&lt;10),"SI","NO")</f>
        <v/>
      </c>
    </row>
    <row r="3216">
      <c r="A3216" t="inlineStr">
        <is>
          <t>c10f5_test</t>
        </is>
      </c>
      <c r="B3216" t="inlineStr">
        <is>
          <t>2026-06-25 16:38:10.789</t>
        </is>
      </c>
      <c r="C3216" t="n">
        <v/>
      </c>
      <c r="D3216" t="inlineStr">
        <is>
          <t>Media file</t>
        </is>
      </c>
      <c r="E3216" t="inlineStr">
        <is>
          <t>player #1:C:/Users/manuel.felline/Documents/BEHAVIOR BTBR/NOR second cohort/BTBR/test/c10_f5.mp4</t>
        </is>
      </c>
      <c r="F3216" t="n">
        <v>-6.167</v>
      </c>
      <c r="G3216" t="n">
        <v>590.266</v>
      </c>
      <c r="H3216" t="n">
        <v>646.6660000000001</v>
      </c>
      <c r="I3216" t="n">
        <v>30</v>
      </c>
      <c r="J3216" t="inlineStr">
        <is>
          <t>BTBR</t>
        </is>
      </c>
      <c r="K3216" t="inlineStr">
        <is>
          <t xml:space="preserve"> Female</t>
        </is>
      </c>
      <c r="L3216" t="inlineStr">
        <is>
          <t>No focal subject</t>
        </is>
      </c>
      <c r="M3216" t="n">
        <v>37.701</v>
      </c>
      <c r="N3216" t="inlineStr">
        <is>
          <t>Explore_F</t>
        </is>
      </c>
      <c r="O3216" t="inlineStr">
        <is>
          <t>Familiar</t>
        </is>
      </c>
      <c r="P3216" t="inlineStr">
        <is>
          <t>STATE</t>
        </is>
      </c>
      <c r="Q3216" t="n">
        <v>42.266</v>
      </c>
      <c r="R3216" t="n">
        <v>42.633</v>
      </c>
      <c r="S3216" t="n">
        <v>0.367</v>
      </c>
      <c r="T3216" t="inlineStr">
        <is>
          <t>C:/Users/manuel.felline/Documents/BEHAVIOR BTBR/NOR second cohort/BTBR/test/c10_f5.mp4</t>
        </is>
      </c>
      <c r="U3216" t="n">
        <v>1453</v>
      </c>
      <c r="V3216" t="n">
        <v>1464</v>
      </c>
      <c r="W3216" t="n">
        <v/>
      </c>
      <c r="X3216" t="n">
        <v/>
      </c>
      <c r="Y3216" t="n">
        <v/>
      </c>
      <c r="Z3216" t="n">
        <v/>
      </c>
      <c r="AA3216">
        <f>SUMIFS($S$2:S3216,$A$2:A3216,A3216,$N$2:N3216,"Explore*")</f>
        <v/>
      </c>
      <c r="AB3216">
        <f>IF(AND(LEFT(N3216,7)="Explore",(AA3216-IF(LEFT(N3216,7)="Explore",S3216,0))&lt;10),"SI","NO")</f>
        <v/>
      </c>
    </row>
    <row r="3217">
      <c r="A3217" t="inlineStr">
        <is>
          <t>c10f5_test</t>
        </is>
      </c>
      <c r="B3217" t="inlineStr">
        <is>
          <t>2026-06-25 16:38:10.789</t>
        </is>
      </c>
      <c r="C3217" t="n">
        <v/>
      </c>
      <c r="D3217" t="inlineStr">
        <is>
          <t>Media file</t>
        </is>
      </c>
      <c r="E3217" t="inlineStr">
        <is>
          <t>player #1:C:/Users/manuel.felline/Documents/BEHAVIOR BTBR/NOR second cohort/BTBR/test/c10_f5.mp4</t>
        </is>
      </c>
      <c r="F3217" t="n">
        <v>-6.167</v>
      </c>
      <c r="G3217" t="n">
        <v>590.266</v>
      </c>
      <c r="H3217" t="n">
        <v>646.6660000000001</v>
      </c>
      <c r="I3217" t="n">
        <v>30</v>
      </c>
      <c r="J3217" t="inlineStr">
        <is>
          <t>BTBR</t>
        </is>
      </c>
      <c r="K3217" t="inlineStr">
        <is>
          <t xml:space="preserve"> Female</t>
        </is>
      </c>
      <c r="L3217" t="inlineStr">
        <is>
          <t>No focal subject</t>
        </is>
      </c>
      <c r="M3217" t="n">
        <v>37.701</v>
      </c>
      <c r="N3217" t="inlineStr">
        <is>
          <t>Explore_N</t>
        </is>
      </c>
      <c r="O3217" t="inlineStr">
        <is>
          <t>Novelty</t>
        </is>
      </c>
      <c r="P3217" t="inlineStr">
        <is>
          <t>STATE</t>
        </is>
      </c>
      <c r="Q3217" t="n">
        <v>47.566</v>
      </c>
      <c r="R3217" t="n">
        <v>48.466</v>
      </c>
      <c r="S3217" t="n">
        <v>0.9</v>
      </c>
      <c r="T3217" t="inlineStr">
        <is>
          <t>C:/Users/manuel.felline/Documents/BEHAVIOR BTBR/NOR second cohort/BTBR/test/c10_f5.mp4</t>
        </is>
      </c>
      <c r="U3217" t="n">
        <v>1612</v>
      </c>
      <c r="V3217" t="n">
        <v>1639</v>
      </c>
      <c r="W3217" t="n">
        <v/>
      </c>
      <c r="X3217" t="n">
        <v/>
      </c>
      <c r="Y3217" t="n">
        <v/>
      </c>
      <c r="Z3217" t="n">
        <v/>
      </c>
      <c r="AA3217">
        <f>SUMIFS($S$2:S3217,$A$2:A3217,A3217,$N$2:N3217,"Explore*")</f>
        <v/>
      </c>
      <c r="AB3217">
        <f>IF(AND(LEFT(N3217,7)="Explore",(AA3217-IF(LEFT(N3217,7)="Explore",S3217,0))&lt;10),"SI","NO")</f>
        <v/>
      </c>
    </row>
    <row r="3218">
      <c r="A3218" t="inlineStr">
        <is>
          <t>c10f5_test</t>
        </is>
      </c>
      <c r="B3218" t="inlineStr">
        <is>
          <t>2026-06-25 16:38:10.789</t>
        </is>
      </c>
      <c r="C3218" t="n">
        <v/>
      </c>
      <c r="D3218" t="inlineStr">
        <is>
          <t>Media file</t>
        </is>
      </c>
      <c r="E3218" t="inlineStr">
        <is>
          <t>player #1:C:/Users/manuel.felline/Documents/BEHAVIOR BTBR/NOR second cohort/BTBR/test/c10_f5.mp4</t>
        </is>
      </c>
      <c r="F3218" t="n">
        <v>-6.167</v>
      </c>
      <c r="G3218" t="n">
        <v>590.266</v>
      </c>
      <c r="H3218" t="n">
        <v>646.6660000000001</v>
      </c>
      <c r="I3218" t="n">
        <v>30</v>
      </c>
      <c r="J3218" t="inlineStr">
        <is>
          <t>BTBR</t>
        </is>
      </c>
      <c r="K3218" t="inlineStr">
        <is>
          <t xml:space="preserve"> Female</t>
        </is>
      </c>
      <c r="L3218" t="inlineStr">
        <is>
          <t>No focal subject</t>
        </is>
      </c>
      <c r="M3218" t="n">
        <v>37.701</v>
      </c>
      <c r="N3218" t="inlineStr">
        <is>
          <t>Explore_N</t>
        </is>
      </c>
      <c r="O3218" t="inlineStr">
        <is>
          <t>Novelty</t>
        </is>
      </c>
      <c r="P3218" t="inlineStr">
        <is>
          <t>STATE</t>
        </is>
      </c>
      <c r="Q3218" t="n">
        <v>50.166</v>
      </c>
      <c r="R3218" t="n">
        <v>51.766</v>
      </c>
      <c r="S3218" t="n">
        <v>1.6</v>
      </c>
      <c r="T3218" t="inlineStr">
        <is>
          <t>C:/Users/manuel.felline/Documents/BEHAVIOR BTBR/NOR second cohort/BTBR/test/c10_f5.mp4</t>
        </is>
      </c>
      <c r="U3218" t="n">
        <v>1690</v>
      </c>
      <c r="V3218" t="n">
        <v>1738</v>
      </c>
      <c r="W3218" t="n">
        <v/>
      </c>
      <c r="X3218" t="n">
        <v/>
      </c>
      <c r="Y3218" t="n">
        <v/>
      </c>
      <c r="Z3218" t="n">
        <v/>
      </c>
      <c r="AA3218">
        <f>SUMIFS($S$2:S3218,$A$2:A3218,A3218,$N$2:N3218,"Explore*")</f>
        <v/>
      </c>
      <c r="AB3218">
        <f>IF(AND(LEFT(N3218,7)="Explore",(AA3218-IF(LEFT(N3218,7)="Explore",S3218,0))&lt;10),"SI","NO")</f>
        <v/>
      </c>
    </row>
    <row r="3219">
      <c r="A3219" t="inlineStr">
        <is>
          <t>c10f5_test</t>
        </is>
      </c>
      <c r="B3219" t="inlineStr">
        <is>
          <t>2026-06-25 16:38:10.789</t>
        </is>
      </c>
      <c r="C3219" t="n">
        <v/>
      </c>
      <c r="D3219" t="inlineStr">
        <is>
          <t>Media file</t>
        </is>
      </c>
      <c r="E3219" t="inlineStr">
        <is>
          <t>player #1:C:/Users/manuel.felline/Documents/BEHAVIOR BTBR/NOR second cohort/BTBR/test/c10_f5.mp4</t>
        </is>
      </c>
      <c r="F3219" t="n">
        <v>-6.167</v>
      </c>
      <c r="G3219" t="n">
        <v>590.266</v>
      </c>
      <c r="H3219" t="n">
        <v>646.6660000000001</v>
      </c>
      <c r="I3219" t="n">
        <v>30</v>
      </c>
      <c r="J3219" t="inlineStr">
        <is>
          <t>BTBR</t>
        </is>
      </c>
      <c r="K3219" t="inlineStr">
        <is>
          <t xml:space="preserve"> Female</t>
        </is>
      </c>
      <c r="L3219" t="inlineStr">
        <is>
          <t>No focal subject</t>
        </is>
      </c>
      <c r="M3219" t="n">
        <v>37.701</v>
      </c>
      <c r="N3219" t="inlineStr">
        <is>
          <t>Explore_N</t>
        </is>
      </c>
      <c r="O3219" t="inlineStr">
        <is>
          <t>Novelty</t>
        </is>
      </c>
      <c r="P3219" t="inlineStr">
        <is>
          <t>STATE</t>
        </is>
      </c>
      <c r="Q3219" t="n">
        <v>54.8</v>
      </c>
      <c r="R3219" t="n">
        <v>56.966</v>
      </c>
      <c r="S3219" t="n">
        <v>2.166</v>
      </c>
      <c r="T3219" t="inlineStr">
        <is>
          <t>C:/Users/manuel.felline/Documents/BEHAVIOR BTBR/NOR second cohort/BTBR/test/c10_f5.mp4</t>
        </is>
      </c>
      <c r="U3219" t="n">
        <v>1829</v>
      </c>
      <c r="V3219" t="n">
        <v>1894</v>
      </c>
      <c r="W3219" t="n">
        <v/>
      </c>
      <c r="X3219" t="n">
        <v/>
      </c>
      <c r="Y3219" t="n">
        <v/>
      </c>
      <c r="Z3219" t="n">
        <v/>
      </c>
      <c r="AA3219">
        <f>SUMIFS($S$2:S3219,$A$2:A3219,A3219,$N$2:N3219,"Explore*")</f>
        <v/>
      </c>
      <c r="AB3219">
        <f>IF(AND(LEFT(N3219,7)="Explore",(AA3219-IF(LEFT(N3219,7)="Explore",S3219,0))&lt;10),"SI","NO")</f>
        <v/>
      </c>
    </row>
    <row r="3220">
      <c r="A3220" t="inlineStr">
        <is>
          <t>c10f5_test</t>
        </is>
      </c>
      <c r="B3220" t="inlineStr">
        <is>
          <t>2026-06-25 16:38:10.789</t>
        </is>
      </c>
      <c r="C3220" t="n">
        <v/>
      </c>
      <c r="D3220" t="inlineStr">
        <is>
          <t>Media file</t>
        </is>
      </c>
      <c r="E3220" t="inlineStr">
        <is>
          <t>player #1:C:/Users/manuel.felline/Documents/BEHAVIOR BTBR/NOR second cohort/BTBR/test/c10_f5.mp4</t>
        </is>
      </c>
      <c r="F3220" t="n">
        <v>-6.167</v>
      </c>
      <c r="G3220" t="n">
        <v>590.266</v>
      </c>
      <c r="H3220" t="n">
        <v>646.6660000000001</v>
      </c>
      <c r="I3220" t="n">
        <v>30</v>
      </c>
      <c r="J3220" t="inlineStr">
        <is>
          <t>BTBR</t>
        </is>
      </c>
      <c r="K3220" t="inlineStr">
        <is>
          <t xml:space="preserve"> Female</t>
        </is>
      </c>
      <c r="L3220" t="inlineStr">
        <is>
          <t>No focal subject</t>
        </is>
      </c>
      <c r="M3220" t="n">
        <v>37.701</v>
      </c>
      <c r="N3220" t="inlineStr">
        <is>
          <t>Explore_F</t>
        </is>
      </c>
      <c r="O3220" t="inlineStr">
        <is>
          <t>Familiar</t>
        </is>
      </c>
      <c r="P3220" t="inlineStr">
        <is>
          <t>STATE</t>
        </is>
      </c>
      <c r="Q3220" t="n">
        <v>59.6</v>
      </c>
      <c r="R3220" t="n">
        <v>60.2</v>
      </c>
      <c r="S3220" t="n">
        <v>0.6</v>
      </c>
      <c r="T3220" t="inlineStr">
        <is>
          <t>C:/Users/manuel.felline/Documents/BEHAVIOR BTBR/NOR second cohort/BTBR/test/c10_f5.mp4</t>
        </is>
      </c>
      <c r="U3220" t="n">
        <v>1973</v>
      </c>
      <c r="V3220" t="n">
        <v>1991</v>
      </c>
      <c r="W3220" t="n">
        <v/>
      </c>
      <c r="X3220" t="n">
        <v/>
      </c>
      <c r="Y3220" t="n">
        <v/>
      </c>
      <c r="Z3220" t="n">
        <v/>
      </c>
      <c r="AA3220">
        <f>SUMIFS($S$2:S3220,$A$2:A3220,A3220,$N$2:N3220,"Explore*")</f>
        <v/>
      </c>
      <c r="AB3220">
        <f>IF(AND(LEFT(N3220,7)="Explore",(AA3220-IF(LEFT(N3220,7)="Explore",S3220,0))&lt;10),"SI","NO")</f>
        <v/>
      </c>
    </row>
    <row r="3221">
      <c r="A3221" t="inlineStr">
        <is>
          <t>c10f5_test</t>
        </is>
      </c>
      <c r="B3221" t="inlineStr">
        <is>
          <t>2026-06-25 16:38:10.789</t>
        </is>
      </c>
      <c r="C3221" t="n">
        <v/>
      </c>
      <c r="D3221" t="inlineStr">
        <is>
          <t>Media file</t>
        </is>
      </c>
      <c r="E3221" t="inlineStr">
        <is>
          <t>player #1:C:/Users/manuel.felline/Documents/BEHAVIOR BTBR/NOR second cohort/BTBR/test/c10_f5.mp4</t>
        </is>
      </c>
      <c r="F3221" t="n">
        <v>-6.167</v>
      </c>
      <c r="G3221" t="n">
        <v>590.266</v>
      </c>
      <c r="H3221" t="n">
        <v>646.6660000000001</v>
      </c>
      <c r="I3221" t="n">
        <v>30</v>
      </c>
      <c r="J3221" t="inlineStr">
        <is>
          <t>BTBR</t>
        </is>
      </c>
      <c r="K3221" t="inlineStr">
        <is>
          <t xml:space="preserve"> Female</t>
        </is>
      </c>
      <c r="L3221" t="inlineStr">
        <is>
          <t>No focal subject</t>
        </is>
      </c>
      <c r="M3221" t="n">
        <v>37.701</v>
      </c>
      <c r="N3221" t="inlineStr">
        <is>
          <t>Explore_N</t>
        </is>
      </c>
      <c r="O3221" t="inlineStr">
        <is>
          <t>Novelty</t>
        </is>
      </c>
      <c r="P3221" t="inlineStr">
        <is>
          <t>STATE</t>
        </is>
      </c>
      <c r="Q3221" t="n">
        <v>61.166</v>
      </c>
      <c r="R3221" t="n">
        <v>62.2</v>
      </c>
      <c r="S3221" t="n">
        <v>1.034</v>
      </c>
      <c r="T3221" t="inlineStr">
        <is>
          <t>C:/Users/manuel.felline/Documents/BEHAVIOR BTBR/NOR second cohort/BTBR/test/c10_f5.mp4</t>
        </is>
      </c>
      <c r="U3221" t="n">
        <v>2020</v>
      </c>
      <c r="V3221" t="n">
        <v>2051</v>
      </c>
      <c r="W3221" t="n">
        <v/>
      </c>
      <c r="X3221" t="n">
        <v/>
      </c>
      <c r="Y3221" t="n">
        <v/>
      </c>
      <c r="Z3221" t="n">
        <v/>
      </c>
      <c r="AA3221">
        <f>SUMIFS($S$2:S3221,$A$2:A3221,A3221,$N$2:N3221,"Explore*")</f>
        <v/>
      </c>
      <c r="AB3221">
        <f>IF(AND(LEFT(N3221,7)="Explore",(AA3221-IF(LEFT(N3221,7)="Explore",S3221,0))&lt;10),"SI","NO")</f>
        <v/>
      </c>
    </row>
    <row r="3222">
      <c r="A3222" t="inlineStr">
        <is>
          <t>c10f5_test</t>
        </is>
      </c>
      <c r="B3222" t="inlineStr">
        <is>
          <t>2026-06-25 16:38:10.789</t>
        </is>
      </c>
      <c r="C3222" t="n">
        <v/>
      </c>
      <c r="D3222" t="inlineStr">
        <is>
          <t>Media file</t>
        </is>
      </c>
      <c r="E3222" t="inlineStr">
        <is>
          <t>player #1:C:/Users/manuel.felline/Documents/BEHAVIOR BTBR/NOR second cohort/BTBR/test/c10_f5.mp4</t>
        </is>
      </c>
      <c r="F3222" t="n">
        <v>-6.167</v>
      </c>
      <c r="G3222" t="n">
        <v>590.266</v>
      </c>
      <c r="H3222" t="n">
        <v>646.6660000000001</v>
      </c>
      <c r="I3222" t="n">
        <v>30</v>
      </c>
      <c r="J3222" t="inlineStr">
        <is>
          <t>BTBR</t>
        </is>
      </c>
      <c r="K3222" t="inlineStr">
        <is>
          <t xml:space="preserve"> Female</t>
        </is>
      </c>
      <c r="L3222" t="inlineStr">
        <is>
          <t>No focal subject</t>
        </is>
      </c>
      <c r="M3222" t="n">
        <v>37.701</v>
      </c>
      <c r="N3222" t="inlineStr">
        <is>
          <t>Explore_F</t>
        </is>
      </c>
      <c r="O3222" t="inlineStr">
        <is>
          <t>Familiar</t>
        </is>
      </c>
      <c r="P3222" t="inlineStr">
        <is>
          <t>STATE</t>
        </is>
      </c>
      <c r="Q3222" t="n">
        <v>65.8</v>
      </c>
      <c r="R3222" t="n">
        <v>66.833</v>
      </c>
      <c r="S3222" t="n">
        <v>1.033</v>
      </c>
      <c r="T3222" t="inlineStr">
        <is>
          <t>C:/Users/manuel.felline/Documents/BEHAVIOR BTBR/NOR second cohort/BTBR/test/c10_f5.mp4</t>
        </is>
      </c>
      <c r="U3222" t="n">
        <v>2159</v>
      </c>
      <c r="V3222" t="n">
        <v>2190</v>
      </c>
      <c r="W3222" t="n">
        <v/>
      </c>
      <c r="X3222" t="n">
        <v/>
      </c>
      <c r="Y3222" t="n">
        <v/>
      </c>
      <c r="Z3222" t="n">
        <v/>
      </c>
      <c r="AA3222">
        <f>SUMIFS($S$2:S3222,$A$2:A3222,A3222,$N$2:N3222,"Explore*")</f>
        <v/>
      </c>
      <c r="AB3222">
        <f>IF(AND(LEFT(N3222,7)="Explore",(AA3222-IF(LEFT(N3222,7)="Explore",S3222,0))&lt;10),"SI","NO")</f>
        <v/>
      </c>
    </row>
    <row r="3223">
      <c r="A3223" t="inlineStr">
        <is>
          <t>c10f5_test</t>
        </is>
      </c>
      <c r="B3223" t="inlineStr">
        <is>
          <t>2026-06-25 16:38:10.789</t>
        </is>
      </c>
      <c r="C3223" t="n">
        <v/>
      </c>
      <c r="D3223" t="inlineStr">
        <is>
          <t>Media file</t>
        </is>
      </c>
      <c r="E3223" t="inlineStr">
        <is>
          <t>player #1:C:/Users/manuel.felline/Documents/BEHAVIOR BTBR/NOR second cohort/BTBR/test/c10_f5.mp4</t>
        </is>
      </c>
      <c r="F3223" t="n">
        <v>-6.167</v>
      </c>
      <c r="G3223" t="n">
        <v>590.266</v>
      </c>
      <c r="H3223" t="n">
        <v>646.6660000000001</v>
      </c>
      <c r="I3223" t="n">
        <v>30</v>
      </c>
      <c r="J3223" t="inlineStr">
        <is>
          <t>BTBR</t>
        </is>
      </c>
      <c r="K3223" t="inlineStr">
        <is>
          <t xml:space="preserve"> Female</t>
        </is>
      </c>
      <c r="L3223" t="inlineStr">
        <is>
          <t>No focal subject</t>
        </is>
      </c>
      <c r="M3223" t="n">
        <v>37.701</v>
      </c>
      <c r="N3223" t="inlineStr">
        <is>
          <t>Explore_N</t>
        </is>
      </c>
      <c r="O3223" t="inlineStr">
        <is>
          <t>Novelty</t>
        </is>
      </c>
      <c r="P3223" t="inlineStr">
        <is>
          <t>STATE</t>
        </is>
      </c>
      <c r="Q3223" t="n">
        <v>74.46599999999999</v>
      </c>
      <c r="R3223" t="n">
        <v>75.033</v>
      </c>
      <c r="S3223" t="n">
        <v>0.5669999999999999</v>
      </c>
      <c r="T3223" t="inlineStr">
        <is>
          <t>C:/Users/manuel.felline/Documents/BEHAVIOR BTBR/NOR second cohort/BTBR/test/c10_f5.mp4</t>
        </is>
      </c>
      <c r="U3223" t="n">
        <v>2418</v>
      </c>
      <c r="V3223" t="n">
        <v>2435</v>
      </c>
      <c r="W3223" t="n">
        <v/>
      </c>
      <c r="X3223" t="n">
        <v/>
      </c>
      <c r="Y3223" t="n">
        <v/>
      </c>
      <c r="Z3223" t="n">
        <v/>
      </c>
      <c r="AA3223">
        <f>SUMIFS($S$2:S3223,$A$2:A3223,A3223,$N$2:N3223,"Explore*")</f>
        <v/>
      </c>
      <c r="AB3223">
        <f>IF(AND(LEFT(N3223,7)="Explore",(AA3223-IF(LEFT(N3223,7)="Explore",S3223,0))&lt;10),"SI","NO")</f>
        <v/>
      </c>
    </row>
    <row r="3224">
      <c r="A3224" t="inlineStr">
        <is>
          <t>c10f5_test</t>
        </is>
      </c>
      <c r="B3224" t="inlineStr">
        <is>
          <t>2026-06-25 16:38:10.789</t>
        </is>
      </c>
      <c r="C3224" t="n">
        <v/>
      </c>
      <c r="D3224" t="inlineStr">
        <is>
          <t>Media file</t>
        </is>
      </c>
      <c r="E3224" t="inlineStr">
        <is>
          <t>player #1:C:/Users/manuel.felline/Documents/BEHAVIOR BTBR/NOR second cohort/BTBR/test/c10_f5.mp4</t>
        </is>
      </c>
      <c r="F3224" t="n">
        <v>-6.167</v>
      </c>
      <c r="G3224" t="n">
        <v>590.266</v>
      </c>
      <c r="H3224" t="n">
        <v>646.6660000000001</v>
      </c>
      <c r="I3224" t="n">
        <v>30</v>
      </c>
      <c r="J3224" t="inlineStr">
        <is>
          <t>BTBR</t>
        </is>
      </c>
      <c r="K3224" t="inlineStr">
        <is>
          <t xml:space="preserve"> Female</t>
        </is>
      </c>
      <c r="L3224" t="inlineStr">
        <is>
          <t>No focal subject</t>
        </is>
      </c>
      <c r="M3224" t="n">
        <v>37.701</v>
      </c>
      <c r="N3224" t="inlineStr">
        <is>
          <t>Explore_N</t>
        </is>
      </c>
      <c r="O3224" t="inlineStr">
        <is>
          <t>Novelty</t>
        </is>
      </c>
      <c r="P3224" t="inlineStr">
        <is>
          <t>STATE</t>
        </is>
      </c>
      <c r="Q3224" t="n">
        <v>90.76600000000001</v>
      </c>
      <c r="R3224" t="n">
        <v>91.8</v>
      </c>
      <c r="S3224" t="n">
        <v>1.034</v>
      </c>
      <c r="T3224" t="inlineStr">
        <is>
          <t>C:/Users/manuel.felline/Documents/BEHAVIOR BTBR/NOR second cohort/BTBR/test/c10_f5.mp4</t>
        </is>
      </c>
      <c r="U3224" t="n">
        <v>2907</v>
      </c>
      <c r="V3224" t="n">
        <v>2938</v>
      </c>
      <c r="W3224" t="n">
        <v/>
      </c>
      <c r="X3224" t="n">
        <v/>
      </c>
      <c r="Y3224" t="n">
        <v/>
      </c>
      <c r="Z3224" t="n">
        <v/>
      </c>
      <c r="AA3224">
        <f>SUMIFS($S$2:S3224,$A$2:A3224,A3224,$N$2:N3224,"Explore*")</f>
        <v/>
      </c>
      <c r="AB3224">
        <f>IF(AND(LEFT(N3224,7)="Explore",(AA3224-IF(LEFT(N3224,7)="Explore",S3224,0))&lt;10),"SI","NO")</f>
        <v/>
      </c>
    </row>
    <row r="3225">
      <c r="A3225" t="inlineStr">
        <is>
          <t>c10f5_test</t>
        </is>
      </c>
      <c r="B3225" t="inlineStr">
        <is>
          <t>2026-06-25 16:38:10.789</t>
        </is>
      </c>
      <c r="C3225" t="n">
        <v/>
      </c>
      <c r="D3225" t="inlineStr">
        <is>
          <t>Media file</t>
        </is>
      </c>
      <c r="E3225" t="inlineStr">
        <is>
          <t>player #1:C:/Users/manuel.felline/Documents/BEHAVIOR BTBR/NOR second cohort/BTBR/test/c10_f5.mp4</t>
        </is>
      </c>
      <c r="F3225" t="n">
        <v>-6.167</v>
      </c>
      <c r="G3225" t="n">
        <v>590.266</v>
      </c>
      <c r="H3225" t="n">
        <v>646.6660000000001</v>
      </c>
      <c r="I3225" t="n">
        <v>30</v>
      </c>
      <c r="J3225" t="inlineStr">
        <is>
          <t>BTBR</t>
        </is>
      </c>
      <c r="K3225" t="inlineStr">
        <is>
          <t xml:space="preserve"> Female</t>
        </is>
      </c>
      <c r="L3225" t="inlineStr">
        <is>
          <t>No focal subject</t>
        </is>
      </c>
      <c r="M3225" t="n">
        <v>37.701</v>
      </c>
      <c r="N3225" t="inlineStr">
        <is>
          <t>Explore_F</t>
        </is>
      </c>
      <c r="O3225" t="inlineStr">
        <is>
          <t>Familiar</t>
        </is>
      </c>
      <c r="P3225" t="inlineStr">
        <is>
          <t>STATE</t>
        </is>
      </c>
      <c r="Q3225" t="n">
        <v>93.2</v>
      </c>
      <c r="R3225" t="n">
        <v>93.7</v>
      </c>
      <c r="S3225" t="n">
        <v>0.5</v>
      </c>
      <c r="T3225" t="inlineStr">
        <is>
          <t>C:/Users/manuel.felline/Documents/BEHAVIOR BTBR/NOR second cohort/BTBR/test/c10_f5.mp4</t>
        </is>
      </c>
      <c r="U3225" t="n">
        <v>2980</v>
      </c>
      <c r="V3225" t="n">
        <v>2995</v>
      </c>
      <c r="W3225" t="n">
        <v/>
      </c>
      <c r="X3225" t="n">
        <v/>
      </c>
      <c r="Y3225" t="n">
        <v/>
      </c>
      <c r="Z3225" t="n">
        <v/>
      </c>
      <c r="AA3225">
        <f>SUMIFS($S$2:S3225,$A$2:A3225,A3225,$N$2:N3225,"Explore*")</f>
        <v/>
      </c>
      <c r="AB3225">
        <f>IF(AND(LEFT(N3225,7)="Explore",(AA3225-IF(LEFT(N3225,7)="Explore",S3225,0))&lt;10),"SI","NO")</f>
        <v/>
      </c>
    </row>
    <row r="3226">
      <c r="A3226" t="inlineStr">
        <is>
          <t>c10f5_test</t>
        </is>
      </c>
      <c r="B3226" t="inlineStr">
        <is>
          <t>2026-06-25 16:38:10.789</t>
        </is>
      </c>
      <c r="C3226" t="n">
        <v/>
      </c>
      <c r="D3226" t="inlineStr">
        <is>
          <t>Media file</t>
        </is>
      </c>
      <c r="E3226" t="inlineStr">
        <is>
          <t>player #1:C:/Users/manuel.felline/Documents/BEHAVIOR BTBR/NOR second cohort/BTBR/test/c10_f5.mp4</t>
        </is>
      </c>
      <c r="F3226" t="n">
        <v>-6.167</v>
      </c>
      <c r="G3226" t="n">
        <v>590.266</v>
      </c>
      <c r="H3226" t="n">
        <v>646.6660000000001</v>
      </c>
      <c r="I3226" t="n">
        <v>30</v>
      </c>
      <c r="J3226" t="inlineStr">
        <is>
          <t>BTBR</t>
        </is>
      </c>
      <c r="K3226" t="inlineStr">
        <is>
          <t xml:space="preserve"> Female</t>
        </is>
      </c>
      <c r="L3226" t="inlineStr">
        <is>
          <t>No focal subject</t>
        </is>
      </c>
      <c r="M3226" t="n">
        <v>37.701</v>
      </c>
      <c r="N3226" t="inlineStr">
        <is>
          <t>Explore_F</t>
        </is>
      </c>
      <c r="O3226" t="inlineStr">
        <is>
          <t>Familiar</t>
        </is>
      </c>
      <c r="P3226" t="inlineStr">
        <is>
          <t>STATE</t>
        </is>
      </c>
      <c r="Q3226" t="n">
        <v>103.4</v>
      </c>
      <c r="R3226" t="n">
        <v>104.233</v>
      </c>
      <c r="S3226" t="n">
        <v>0.833</v>
      </c>
      <c r="T3226" t="inlineStr">
        <is>
          <t>C:/Users/manuel.felline/Documents/BEHAVIOR BTBR/NOR second cohort/BTBR/test/c10_f5.mp4</t>
        </is>
      </c>
      <c r="U3226" t="n">
        <v>3286</v>
      </c>
      <c r="V3226" t="n">
        <v>3311</v>
      </c>
      <c r="W3226" t="n">
        <v/>
      </c>
      <c r="X3226" t="n">
        <v/>
      </c>
      <c r="Y3226" t="n">
        <v/>
      </c>
      <c r="Z3226" t="n">
        <v/>
      </c>
      <c r="AA3226">
        <f>SUMIFS($S$2:S3226,$A$2:A3226,A3226,$N$2:N3226,"Explore*")</f>
        <v/>
      </c>
      <c r="AB3226">
        <f>IF(AND(LEFT(N3226,7)="Explore",(AA3226-IF(LEFT(N3226,7)="Explore",S3226,0))&lt;10),"SI","NO")</f>
        <v/>
      </c>
    </row>
    <row r="3227">
      <c r="A3227" t="inlineStr">
        <is>
          <t>c10f5_test</t>
        </is>
      </c>
      <c r="B3227" t="inlineStr">
        <is>
          <t>2026-06-25 16:38:10.789</t>
        </is>
      </c>
      <c r="C3227" t="n">
        <v/>
      </c>
      <c r="D3227" t="inlineStr">
        <is>
          <t>Media file</t>
        </is>
      </c>
      <c r="E3227" t="inlineStr">
        <is>
          <t>player #1:C:/Users/manuel.felline/Documents/BEHAVIOR BTBR/NOR second cohort/BTBR/test/c10_f5.mp4</t>
        </is>
      </c>
      <c r="F3227" t="n">
        <v>-6.167</v>
      </c>
      <c r="G3227" t="n">
        <v>590.266</v>
      </c>
      <c r="H3227" t="n">
        <v>646.6660000000001</v>
      </c>
      <c r="I3227" t="n">
        <v>30</v>
      </c>
      <c r="J3227" t="inlineStr">
        <is>
          <t>BTBR</t>
        </is>
      </c>
      <c r="K3227" t="inlineStr">
        <is>
          <t xml:space="preserve"> Female</t>
        </is>
      </c>
      <c r="L3227" t="inlineStr">
        <is>
          <t>No focal subject</t>
        </is>
      </c>
      <c r="M3227" t="n">
        <v>37.701</v>
      </c>
      <c r="N3227" t="inlineStr">
        <is>
          <t>Explore_N</t>
        </is>
      </c>
      <c r="O3227" t="inlineStr">
        <is>
          <t>Novelty</t>
        </is>
      </c>
      <c r="P3227" t="inlineStr">
        <is>
          <t>STATE</t>
        </is>
      </c>
      <c r="Q3227" t="n">
        <v>110.366</v>
      </c>
      <c r="R3227" t="n">
        <v>110.933</v>
      </c>
      <c r="S3227" t="n">
        <v>0.5669999999999999</v>
      </c>
      <c r="T3227" t="inlineStr">
        <is>
          <t>C:/Users/manuel.felline/Documents/BEHAVIOR BTBR/NOR second cohort/BTBR/test/c10_f5.mp4</t>
        </is>
      </c>
      <c r="U3227" t="n">
        <v>3495</v>
      </c>
      <c r="V3227" t="n">
        <v>3512</v>
      </c>
      <c r="W3227" t="n">
        <v/>
      </c>
      <c r="X3227" t="n">
        <v/>
      </c>
      <c r="Y3227" t="n">
        <v/>
      </c>
      <c r="Z3227" t="n">
        <v/>
      </c>
      <c r="AA3227">
        <f>SUMIFS($S$2:S3227,$A$2:A3227,A3227,$N$2:N3227,"Explore*")</f>
        <v/>
      </c>
      <c r="AB3227">
        <f>IF(AND(LEFT(N3227,7)="Explore",(AA3227-IF(LEFT(N3227,7)="Explore",S3227,0))&lt;10),"SI","NO")</f>
        <v/>
      </c>
    </row>
    <row r="3228">
      <c r="A3228" t="inlineStr">
        <is>
          <t>c10f5_test</t>
        </is>
      </c>
      <c r="B3228" t="inlineStr">
        <is>
          <t>2026-06-25 16:38:10.789</t>
        </is>
      </c>
      <c r="C3228" t="n">
        <v/>
      </c>
      <c r="D3228" t="inlineStr">
        <is>
          <t>Media file</t>
        </is>
      </c>
      <c r="E3228" t="inlineStr">
        <is>
          <t>player #1:C:/Users/manuel.felline/Documents/BEHAVIOR BTBR/NOR second cohort/BTBR/test/c10_f5.mp4</t>
        </is>
      </c>
      <c r="F3228" t="n">
        <v>-6.167</v>
      </c>
      <c r="G3228" t="n">
        <v>590.266</v>
      </c>
      <c r="H3228" t="n">
        <v>646.6660000000001</v>
      </c>
      <c r="I3228" t="n">
        <v>30</v>
      </c>
      <c r="J3228" t="inlineStr">
        <is>
          <t>BTBR</t>
        </is>
      </c>
      <c r="K3228" t="inlineStr">
        <is>
          <t xml:space="preserve"> Female</t>
        </is>
      </c>
      <c r="L3228" t="inlineStr">
        <is>
          <t>No focal subject</t>
        </is>
      </c>
      <c r="M3228" t="n">
        <v>37.701</v>
      </c>
      <c r="N3228" t="inlineStr">
        <is>
          <t>Explore_F</t>
        </is>
      </c>
      <c r="O3228" t="inlineStr">
        <is>
          <t>Familiar</t>
        </is>
      </c>
      <c r="P3228" t="inlineStr">
        <is>
          <t>STATE</t>
        </is>
      </c>
      <c r="Q3228" t="n">
        <v>111.966</v>
      </c>
      <c r="R3228" t="n">
        <v>112.366</v>
      </c>
      <c r="S3228" t="n">
        <v>0.4</v>
      </c>
      <c r="T3228" t="inlineStr">
        <is>
          <t>C:/Users/manuel.felline/Documents/BEHAVIOR BTBR/NOR second cohort/BTBR/test/c10_f5.mp4</t>
        </is>
      </c>
      <c r="U3228" t="n">
        <v>3543</v>
      </c>
      <c r="V3228" t="n">
        <v>3555</v>
      </c>
      <c r="W3228" t="n">
        <v/>
      </c>
      <c r="X3228" t="n">
        <v/>
      </c>
      <c r="Y3228" t="n">
        <v/>
      </c>
      <c r="Z3228" t="n">
        <v/>
      </c>
      <c r="AA3228">
        <f>SUMIFS($S$2:S3228,$A$2:A3228,A3228,$N$2:N3228,"Explore*")</f>
        <v/>
      </c>
      <c r="AB3228">
        <f>IF(AND(LEFT(N3228,7)="Explore",(AA3228-IF(LEFT(N3228,7)="Explore",S3228,0))&lt;10),"SI","NO")</f>
        <v/>
      </c>
    </row>
    <row r="3229">
      <c r="A3229" t="inlineStr">
        <is>
          <t>c10f5_test</t>
        </is>
      </c>
      <c r="B3229" t="inlineStr">
        <is>
          <t>2026-06-25 16:38:10.789</t>
        </is>
      </c>
      <c r="C3229" t="n">
        <v/>
      </c>
      <c r="D3229" t="inlineStr">
        <is>
          <t>Media file</t>
        </is>
      </c>
      <c r="E3229" t="inlineStr">
        <is>
          <t>player #1:C:/Users/manuel.felline/Documents/BEHAVIOR BTBR/NOR second cohort/BTBR/test/c10_f5.mp4</t>
        </is>
      </c>
      <c r="F3229" t="n">
        <v>-6.167</v>
      </c>
      <c r="G3229" t="n">
        <v>590.266</v>
      </c>
      <c r="H3229" t="n">
        <v>646.6660000000001</v>
      </c>
      <c r="I3229" t="n">
        <v>30</v>
      </c>
      <c r="J3229" t="inlineStr">
        <is>
          <t>BTBR</t>
        </is>
      </c>
      <c r="K3229" t="inlineStr">
        <is>
          <t xml:space="preserve"> Female</t>
        </is>
      </c>
      <c r="L3229" t="inlineStr">
        <is>
          <t>No focal subject</t>
        </is>
      </c>
      <c r="M3229" t="n">
        <v>37.701</v>
      </c>
      <c r="N3229" t="inlineStr">
        <is>
          <t>Explore_N</t>
        </is>
      </c>
      <c r="O3229" t="inlineStr">
        <is>
          <t>Novelty</t>
        </is>
      </c>
      <c r="P3229" t="inlineStr">
        <is>
          <t>STATE</t>
        </is>
      </c>
      <c r="Q3229" t="n">
        <v>125.1</v>
      </c>
      <c r="R3229" t="n">
        <v>125.566</v>
      </c>
      <c r="S3229" t="n">
        <v>0.466</v>
      </c>
      <c r="T3229" t="inlineStr">
        <is>
          <t>C:/Users/manuel.felline/Documents/BEHAVIOR BTBR/NOR second cohort/BTBR/test/c10_f5.mp4</t>
        </is>
      </c>
      <c r="U3229" t="n">
        <v>3937</v>
      </c>
      <c r="V3229" t="n">
        <v>3951</v>
      </c>
      <c r="W3229" t="n">
        <v/>
      </c>
      <c r="X3229" t="n">
        <v/>
      </c>
      <c r="Y3229" t="n">
        <v/>
      </c>
      <c r="Z3229" t="n">
        <v/>
      </c>
      <c r="AA3229">
        <f>SUMIFS($S$2:S3229,$A$2:A3229,A3229,$N$2:N3229,"Explore*")</f>
        <v/>
      </c>
      <c r="AB3229">
        <f>IF(AND(LEFT(N3229,7)="Explore",(AA3229-IF(LEFT(N3229,7)="Explore",S3229,0))&lt;10),"SI","NO")</f>
        <v/>
      </c>
    </row>
    <row r="3230">
      <c r="A3230" t="inlineStr">
        <is>
          <t>c10f5_test</t>
        </is>
      </c>
      <c r="B3230" t="inlineStr">
        <is>
          <t>2026-06-25 16:38:10.789</t>
        </is>
      </c>
      <c r="C3230" t="n">
        <v/>
      </c>
      <c r="D3230" t="inlineStr">
        <is>
          <t>Media file</t>
        </is>
      </c>
      <c r="E3230" t="inlineStr">
        <is>
          <t>player #1:C:/Users/manuel.felline/Documents/BEHAVIOR BTBR/NOR second cohort/BTBR/test/c10_f5.mp4</t>
        </is>
      </c>
      <c r="F3230" t="n">
        <v>-6.167</v>
      </c>
      <c r="G3230" t="n">
        <v>590.266</v>
      </c>
      <c r="H3230" t="n">
        <v>646.6660000000001</v>
      </c>
      <c r="I3230" t="n">
        <v>30</v>
      </c>
      <c r="J3230" t="inlineStr">
        <is>
          <t>BTBR</t>
        </is>
      </c>
      <c r="K3230" t="inlineStr">
        <is>
          <t xml:space="preserve"> Female</t>
        </is>
      </c>
      <c r="L3230" t="inlineStr">
        <is>
          <t>No focal subject</t>
        </is>
      </c>
      <c r="M3230" t="n">
        <v>37.701</v>
      </c>
      <c r="N3230" t="inlineStr">
        <is>
          <t>Explore_F</t>
        </is>
      </c>
      <c r="O3230" t="inlineStr">
        <is>
          <t>Familiar</t>
        </is>
      </c>
      <c r="P3230" t="inlineStr">
        <is>
          <t>STATE</t>
        </is>
      </c>
      <c r="Q3230" t="n">
        <v>163.266</v>
      </c>
      <c r="R3230" t="n">
        <v>163.899</v>
      </c>
      <c r="S3230" t="n">
        <v>0.633</v>
      </c>
      <c r="T3230" t="inlineStr">
        <is>
          <t>C:/Users/manuel.felline/Documents/BEHAVIOR BTBR/NOR second cohort/BTBR/test/c10_f5.mp4</t>
        </is>
      </c>
      <c r="U3230" t="n">
        <v>5082</v>
      </c>
      <c r="V3230" t="n">
        <v>5101</v>
      </c>
      <c r="W3230" t="n">
        <v/>
      </c>
      <c r="X3230" t="n">
        <v/>
      </c>
      <c r="Y3230" t="n">
        <v/>
      </c>
      <c r="Z3230" t="n">
        <v/>
      </c>
      <c r="AA3230">
        <f>SUMIFS($S$2:S3230,$A$2:A3230,A3230,$N$2:N3230,"Explore*")</f>
        <v/>
      </c>
      <c r="AB3230">
        <f>IF(AND(LEFT(N3230,7)="Explore",(AA3230-IF(LEFT(N3230,7)="Explore",S3230,0))&lt;10),"SI","NO")</f>
        <v/>
      </c>
    </row>
    <row r="3231">
      <c r="A3231" t="inlineStr">
        <is>
          <t>c10f5_test</t>
        </is>
      </c>
      <c r="B3231" t="inlineStr">
        <is>
          <t>2026-06-25 16:38:10.789</t>
        </is>
      </c>
      <c r="C3231" t="n">
        <v/>
      </c>
      <c r="D3231" t="inlineStr">
        <is>
          <t>Media file</t>
        </is>
      </c>
      <c r="E3231" t="inlineStr">
        <is>
          <t>player #1:C:/Users/manuel.felline/Documents/BEHAVIOR BTBR/NOR second cohort/BTBR/test/c10_f5.mp4</t>
        </is>
      </c>
      <c r="F3231" t="n">
        <v>-6.167</v>
      </c>
      <c r="G3231" t="n">
        <v>590.266</v>
      </c>
      <c r="H3231" t="n">
        <v>646.6660000000001</v>
      </c>
      <c r="I3231" t="n">
        <v>30</v>
      </c>
      <c r="J3231" t="inlineStr">
        <is>
          <t>BTBR</t>
        </is>
      </c>
      <c r="K3231" t="inlineStr">
        <is>
          <t xml:space="preserve"> Female</t>
        </is>
      </c>
      <c r="L3231" t="inlineStr">
        <is>
          <t>No focal subject</t>
        </is>
      </c>
      <c r="M3231" t="n">
        <v>37.701</v>
      </c>
      <c r="N3231" t="inlineStr">
        <is>
          <t>Explore_N</t>
        </is>
      </c>
      <c r="O3231" t="inlineStr">
        <is>
          <t>Novelty</t>
        </is>
      </c>
      <c r="P3231" t="inlineStr">
        <is>
          <t>STATE</t>
        </is>
      </c>
      <c r="Q3231" t="n">
        <v>172.999</v>
      </c>
      <c r="R3231" t="n">
        <v>173.366</v>
      </c>
      <c r="S3231" t="n">
        <v>0.367</v>
      </c>
      <c r="T3231" t="inlineStr">
        <is>
          <t>C:/Users/manuel.felline/Documents/BEHAVIOR BTBR/NOR second cohort/BTBR/test/c10_f5.mp4</t>
        </is>
      </c>
      <c r="U3231" t="n">
        <v>5374</v>
      </c>
      <c r="V3231" t="n">
        <v>5385</v>
      </c>
      <c r="W3231" t="n">
        <v/>
      </c>
      <c r="X3231" t="n">
        <v/>
      </c>
      <c r="Y3231" t="n">
        <v/>
      </c>
      <c r="Z3231" t="n">
        <v/>
      </c>
      <c r="AA3231">
        <f>SUMIFS($S$2:S3231,$A$2:A3231,A3231,$N$2:N3231,"Explore*")</f>
        <v/>
      </c>
      <c r="AB3231">
        <f>IF(AND(LEFT(N3231,7)="Explore",(AA3231-IF(LEFT(N3231,7)="Explore",S3231,0))&lt;10),"SI","NO")</f>
        <v/>
      </c>
    </row>
    <row r="3232">
      <c r="A3232" t="inlineStr">
        <is>
          <t>c10f5_test</t>
        </is>
      </c>
      <c r="B3232" t="inlineStr">
        <is>
          <t>2026-06-25 16:38:10.789</t>
        </is>
      </c>
      <c r="C3232" t="n">
        <v/>
      </c>
      <c r="D3232" t="inlineStr">
        <is>
          <t>Media file</t>
        </is>
      </c>
      <c r="E3232" t="inlineStr">
        <is>
          <t>player #1:C:/Users/manuel.felline/Documents/BEHAVIOR BTBR/NOR second cohort/BTBR/test/c10_f5.mp4</t>
        </is>
      </c>
      <c r="F3232" t="n">
        <v>-6.167</v>
      </c>
      <c r="G3232" t="n">
        <v>590.266</v>
      </c>
      <c r="H3232" t="n">
        <v>646.6660000000001</v>
      </c>
      <c r="I3232" t="n">
        <v>30</v>
      </c>
      <c r="J3232" t="inlineStr">
        <is>
          <t>BTBR</t>
        </is>
      </c>
      <c r="K3232" t="inlineStr">
        <is>
          <t xml:space="preserve"> Female</t>
        </is>
      </c>
      <c r="L3232" t="inlineStr">
        <is>
          <t>No focal subject</t>
        </is>
      </c>
      <c r="M3232" t="n">
        <v>37.701</v>
      </c>
      <c r="N3232" t="inlineStr">
        <is>
          <t>Explore_F</t>
        </is>
      </c>
      <c r="O3232" t="inlineStr">
        <is>
          <t>Familiar</t>
        </is>
      </c>
      <c r="P3232" t="inlineStr">
        <is>
          <t>STATE</t>
        </is>
      </c>
      <c r="Q3232" t="n">
        <v>175.666</v>
      </c>
      <c r="R3232" t="n">
        <v>175.966</v>
      </c>
      <c r="S3232" t="n">
        <v>0.3</v>
      </c>
      <c r="T3232" t="inlineStr">
        <is>
          <t>C:/Users/manuel.felline/Documents/BEHAVIOR BTBR/NOR second cohort/BTBR/test/c10_f5.mp4</t>
        </is>
      </c>
      <c r="U3232" t="n">
        <v>5454</v>
      </c>
      <c r="V3232" t="n">
        <v>5463</v>
      </c>
      <c r="W3232" t="n">
        <v/>
      </c>
      <c r="X3232" t="n">
        <v/>
      </c>
      <c r="Y3232" t="n">
        <v/>
      </c>
      <c r="Z3232" t="n">
        <v/>
      </c>
      <c r="AA3232">
        <f>SUMIFS($S$2:S3232,$A$2:A3232,A3232,$N$2:N3232,"Explore*")</f>
        <v/>
      </c>
      <c r="AB3232">
        <f>IF(AND(LEFT(N3232,7)="Explore",(AA3232-IF(LEFT(N3232,7)="Explore",S3232,0))&lt;10),"SI","NO")</f>
        <v/>
      </c>
    </row>
    <row r="3233">
      <c r="A3233" t="inlineStr">
        <is>
          <t>c10f5_test</t>
        </is>
      </c>
      <c r="B3233" t="inlineStr">
        <is>
          <t>2026-06-25 16:38:10.789</t>
        </is>
      </c>
      <c r="C3233" t="n">
        <v/>
      </c>
      <c r="D3233" t="inlineStr">
        <is>
          <t>Media file</t>
        </is>
      </c>
      <c r="E3233" t="inlineStr">
        <is>
          <t>player #1:C:/Users/manuel.felline/Documents/BEHAVIOR BTBR/NOR second cohort/BTBR/test/c10_f5.mp4</t>
        </is>
      </c>
      <c r="F3233" t="n">
        <v>-6.167</v>
      </c>
      <c r="G3233" t="n">
        <v>590.266</v>
      </c>
      <c r="H3233" t="n">
        <v>646.6660000000001</v>
      </c>
      <c r="I3233" t="n">
        <v>30</v>
      </c>
      <c r="J3233" t="inlineStr">
        <is>
          <t>BTBR</t>
        </is>
      </c>
      <c r="K3233" t="inlineStr">
        <is>
          <t xml:space="preserve"> Female</t>
        </is>
      </c>
      <c r="L3233" t="inlineStr">
        <is>
          <t>No focal subject</t>
        </is>
      </c>
      <c r="M3233" t="n">
        <v>37.701</v>
      </c>
      <c r="N3233" t="inlineStr">
        <is>
          <t>Explore_F</t>
        </is>
      </c>
      <c r="O3233" t="inlineStr">
        <is>
          <t>Familiar</t>
        </is>
      </c>
      <c r="P3233" t="inlineStr">
        <is>
          <t>STATE</t>
        </is>
      </c>
      <c r="Q3233" t="n">
        <v>176.599</v>
      </c>
      <c r="R3233" t="n">
        <v>176.866</v>
      </c>
      <c r="S3233" t="n">
        <v>0.267</v>
      </c>
      <c r="T3233" t="inlineStr">
        <is>
          <t>C:/Users/manuel.felline/Documents/BEHAVIOR BTBR/NOR second cohort/BTBR/test/c10_f5.mp4</t>
        </is>
      </c>
      <c r="U3233" t="n">
        <v>5482</v>
      </c>
      <c r="V3233" t="n">
        <v>5490</v>
      </c>
      <c r="W3233" t="n">
        <v/>
      </c>
      <c r="X3233" t="n">
        <v/>
      </c>
      <c r="Y3233" t="n">
        <v/>
      </c>
      <c r="Z3233" t="n">
        <v/>
      </c>
      <c r="AA3233">
        <f>SUMIFS($S$2:S3233,$A$2:A3233,A3233,$N$2:N3233,"Explore*")</f>
        <v/>
      </c>
      <c r="AB3233">
        <f>IF(AND(LEFT(N3233,7)="Explore",(AA3233-IF(LEFT(N3233,7)="Explore",S3233,0))&lt;10),"SI","NO")</f>
        <v/>
      </c>
    </row>
    <row r="3234">
      <c r="A3234" t="inlineStr">
        <is>
          <t>c10f5_test</t>
        </is>
      </c>
      <c r="B3234" t="inlineStr">
        <is>
          <t>2026-06-25 16:38:10.789</t>
        </is>
      </c>
      <c r="C3234" t="n">
        <v/>
      </c>
      <c r="D3234" t="inlineStr">
        <is>
          <t>Media file</t>
        </is>
      </c>
      <c r="E3234" t="inlineStr">
        <is>
          <t>player #1:C:/Users/manuel.felline/Documents/BEHAVIOR BTBR/NOR second cohort/BTBR/test/c10_f5.mp4</t>
        </is>
      </c>
      <c r="F3234" t="n">
        <v>-6.167</v>
      </c>
      <c r="G3234" t="n">
        <v>590.266</v>
      </c>
      <c r="H3234" t="n">
        <v>646.6660000000001</v>
      </c>
      <c r="I3234" t="n">
        <v>30</v>
      </c>
      <c r="J3234" t="inlineStr">
        <is>
          <t>BTBR</t>
        </is>
      </c>
      <c r="K3234" t="inlineStr">
        <is>
          <t xml:space="preserve"> Female</t>
        </is>
      </c>
      <c r="L3234" t="inlineStr">
        <is>
          <t>No focal subject</t>
        </is>
      </c>
      <c r="M3234" t="n">
        <v>37.701</v>
      </c>
      <c r="N3234" t="inlineStr">
        <is>
          <t>Explore_F</t>
        </is>
      </c>
      <c r="O3234" t="inlineStr">
        <is>
          <t>Familiar</t>
        </is>
      </c>
      <c r="P3234" t="inlineStr">
        <is>
          <t>STATE</t>
        </is>
      </c>
      <c r="Q3234" t="n">
        <v>178.166</v>
      </c>
      <c r="R3234" t="n">
        <v>178.599</v>
      </c>
      <c r="S3234" t="n">
        <v>0.433</v>
      </c>
      <c r="T3234" t="inlineStr">
        <is>
          <t>C:/Users/manuel.felline/Documents/BEHAVIOR BTBR/NOR second cohort/BTBR/test/c10_f5.mp4</t>
        </is>
      </c>
      <c r="U3234" t="n">
        <v>5529</v>
      </c>
      <c r="V3234" t="n">
        <v>5542</v>
      </c>
      <c r="W3234" t="n">
        <v/>
      </c>
      <c r="X3234" t="n">
        <v/>
      </c>
      <c r="Y3234" t="n">
        <v/>
      </c>
      <c r="Z3234" t="n">
        <v/>
      </c>
      <c r="AA3234">
        <f>SUMIFS($S$2:S3234,$A$2:A3234,A3234,$N$2:N3234,"Explore*")</f>
        <v/>
      </c>
      <c r="AB3234">
        <f>IF(AND(LEFT(N3234,7)="Explore",(AA3234-IF(LEFT(N3234,7)="Explore",S3234,0))&lt;10),"SI","NO")</f>
        <v/>
      </c>
    </row>
    <row r="3235">
      <c r="A3235" t="inlineStr">
        <is>
          <t>c10f5_test</t>
        </is>
      </c>
      <c r="B3235" t="inlineStr">
        <is>
          <t>2026-06-25 16:38:10.789</t>
        </is>
      </c>
      <c r="C3235" t="n">
        <v/>
      </c>
      <c r="D3235" t="inlineStr">
        <is>
          <t>Media file</t>
        </is>
      </c>
      <c r="E3235" t="inlineStr">
        <is>
          <t>player #1:C:/Users/manuel.felline/Documents/BEHAVIOR BTBR/NOR second cohort/BTBR/test/c10_f5.mp4</t>
        </is>
      </c>
      <c r="F3235" t="n">
        <v>-6.167</v>
      </c>
      <c r="G3235" t="n">
        <v>590.266</v>
      </c>
      <c r="H3235" t="n">
        <v>646.6660000000001</v>
      </c>
      <c r="I3235" t="n">
        <v>30</v>
      </c>
      <c r="J3235" t="inlineStr">
        <is>
          <t>BTBR</t>
        </is>
      </c>
      <c r="K3235" t="inlineStr">
        <is>
          <t xml:space="preserve"> Female</t>
        </is>
      </c>
      <c r="L3235" t="inlineStr">
        <is>
          <t>No focal subject</t>
        </is>
      </c>
      <c r="M3235" t="n">
        <v>37.701</v>
      </c>
      <c r="N3235" t="inlineStr">
        <is>
          <t>Explore_N</t>
        </is>
      </c>
      <c r="O3235" t="inlineStr">
        <is>
          <t>Novelty</t>
        </is>
      </c>
      <c r="P3235" t="inlineStr">
        <is>
          <t>STATE</t>
        </is>
      </c>
      <c r="Q3235" t="n">
        <v>189.833</v>
      </c>
      <c r="R3235" t="n">
        <v>190.799</v>
      </c>
      <c r="S3235" t="n">
        <v>0.966</v>
      </c>
      <c r="T3235" t="inlineStr">
        <is>
          <t>C:/Users/manuel.felline/Documents/BEHAVIOR BTBR/NOR second cohort/BTBR/test/c10_f5.mp4</t>
        </is>
      </c>
      <c r="U3235" t="n">
        <v>5880</v>
      </c>
      <c r="V3235" t="n">
        <v>5908</v>
      </c>
      <c r="W3235" t="n">
        <v/>
      </c>
      <c r="X3235" t="n">
        <v/>
      </c>
      <c r="Y3235" t="n">
        <v/>
      </c>
      <c r="Z3235" t="n">
        <v/>
      </c>
      <c r="AA3235">
        <f>SUMIFS($S$2:S3235,$A$2:A3235,A3235,$N$2:N3235,"Explore*")</f>
        <v/>
      </c>
      <c r="AB3235">
        <f>IF(AND(LEFT(N3235,7)="Explore",(AA3235-IF(LEFT(N3235,7)="Explore",S3235,0))&lt;10),"SI","NO")</f>
        <v/>
      </c>
    </row>
    <row r="3236">
      <c r="A3236" t="inlineStr">
        <is>
          <t>c10f5_test</t>
        </is>
      </c>
      <c r="B3236" t="inlineStr">
        <is>
          <t>2026-06-25 16:38:10.789</t>
        </is>
      </c>
      <c r="C3236" t="n">
        <v/>
      </c>
      <c r="D3236" t="inlineStr">
        <is>
          <t>Media file</t>
        </is>
      </c>
      <c r="E3236" t="inlineStr">
        <is>
          <t>player #1:C:/Users/manuel.felline/Documents/BEHAVIOR BTBR/NOR second cohort/BTBR/test/c10_f5.mp4</t>
        </is>
      </c>
      <c r="F3236" t="n">
        <v>-6.167</v>
      </c>
      <c r="G3236" t="n">
        <v>590.266</v>
      </c>
      <c r="H3236" t="n">
        <v>646.6660000000001</v>
      </c>
      <c r="I3236" t="n">
        <v>30</v>
      </c>
      <c r="J3236" t="inlineStr">
        <is>
          <t>BTBR</t>
        </is>
      </c>
      <c r="K3236" t="inlineStr">
        <is>
          <t xml:space="preserve"> Female</t>
        </is>
      </c>
      <c r="L3236" t="inlineStr">
        <is>
          <t>No focal subject</t>
        </is>
      </c>
      <c r="M3236" t="n">
        <v>37.701</v>
      </c>
      <c r="N3236" t="inlineStr">
        <is>
          <t>Explore_F</t>
        </is>
      </c>
      <c r="O3236" t="inlineStr">
        <is>
          <t>Familiar</t>
        </is>
      </c>
      <c r="P3236" t="inlineStr">
        <is>
          <t>STATE</t>
        </is>
      </c>
      <c r="Q3236" t="n">
        <v>194.166</v>
      </c>
      <c r="R3236" t="n">
        <v>194.533</v>
      </c>
      <c r="S3236" t="n">
        <v>0.367</v>
      </c>
      <c r="T3236" t="inlineStr">
        <is>
          <t>C:/Users/manuel.felline/Documents/BEHAVIOR BTBR/NOR second cohort/BTBR/test/c10_f5.mp4</t>
        </is>
      </c>
      <c r="U3236" t="n">
        <v>6009</v>
      </c>
      <c r="V3236" t="n">
        <v>6020</v>
      </c>
      <c r="W3236" t="n">
        <v/>
      </c>
      <c r="X3236" t="n">
        <v/>
      </c>
      <c r="Y3236" t="n">
        <v/>
      </c>
      <c r="Z3236" t="n">
        <v/>
      </c>
      <c r="AA3236">
        <f>SUMIFS($S$2:S3236,$A$2:A3236,A3236,$N$2:N3236,"Explore*")</f>
        <v/>
      </c>
      <c r="AB3236">
        <f>IF(AND(LEFT(N3236,7)="Explore",(AA3236-IF(LEFT(N3236,7)="Explore",S3236,0))&lt;10),"SI","NO")</f>
        <v/>
      </c>
    </row>
    <row r="3237">
      <c r="A3237" t="inlineStr">
        <is>
          <t>c10f5_test</t>
        </is>
      </c>
      <c r="B3237" t="inlineStr">
        <is>
          <t>2026-06-25 16:38:10.789</t>
        </is>
      </c>
      <c r="C3237" t="n">
        <v/>
      </c>
      <c r="D3237" t="inlineStr">
        <is>
          <t>Media file</t>
        </is>
      </c>
      <c r="E3237" t="inlineStr">
        <is>
          <t>player #1:C:/Users/manuel.felline/Documents/BEHAVIOR BTBR/NOR second cohort/BTBR/test/c10_f5.mp4</t>
        </is>
      </c>
      <c r="F3237" t="n">
        <v>-6.167</v>
      </c>
      <c r="G3237" t="n">
        <v>590.266</v>
      </c>
      <c r="H3237" t="n">
        <v>646.6660000000001</v>
      </c>
      <c r="I3237" t="n">
        <v>30</v>
      </c>
      <c r="J3237" t="inlineStr">
        <is>
          <t>BTBR</t>
        </is>
      </c>
      <c r="K3237" t="inlineStr">
        <is>
          <t xml:space="preserve"> Female</t>
        </is>
      </c>
      <c r="L3237" t="inlineStr">
        <is>
          <t>No focal subject</t>
        </is>
      </c>
      <c r="M3237" t="n">
        <v>37.701</v>
      </c>
      <c r="N3237" t="inlineStr">
        <is>
          <t>Explore_F</t>
        </is>
      </c>
      <c r="O3237" t="inlineStr">
        <is>
          <t>Familiar</t>
        </is>
      </c>
      <c r="P3237" t="inlineStr">
        <is>
          <t>STATE</t>
        </is>
      </c>
      <c r="Q3237" t="n">
        <v>258.633</v>
      </c>
      <c r="R3237" t="n">
        <v>258.999</v>
      </c>
      <c r="S3237" t="n">
        <v>0.366</v>
      </c>
      <c r="T3237" t="inlineStr">
        <is>
          <t>C:/Users/manuel.felline/Documents/BEHAVIOR BTBR/NOR second cohort/BTBR/test/c10_f5.mp4</t>
        </is>
      </c>
      <c r="U3237" t="n">
        <v>7942</v>
      </c>
      <c r="V3237" t="n">
        <v>7953</v>
      </c>
      <c r="W3237" t="n">
        <v/>
      </c>
      <c r="X3237" t="n">
        <v/>
      </c>
      <c r="Y3237" t="n">
        <v/>
      </c>
      <c r="Z3237" t="n">
        <v/>
      </c>
      <c r="AA3237">
        <f>SUMIFS($S$2:S3237,$A$2:A3237,A3237,$N$2:N3237,"Explore*")</f>
        <v/>
      </c>
      <c r="AB3237">
        <f>IF(AND(LEFT(N3237,7)="Explore",(AA3237-IF(LEFT(N3237,7)="Explore",S3237,0))&lt;10),"SI","NO")</f>
        <v/>
      </c>
    </row>
    <row r="3238">
      <c r="A3238" t="inlineStr">
        <is>
          <t>c10f5_test</t>
        </is>
      </c>
      <c r="B3238" t="inlineStr">
        <is>
          <t>2026-06-25 16:38:10.789</t>
        </is>
      </c>
      <c r="C3238" t="n">
        <v/>
      </c>
      <c r="D3238" t="inlineStr">
        <is>
          <t>Media file</t>
        </is>
      </c>
      <c r="E3238" t="inlineStr">
        <is>
          <t>player #1:C:/Users/manuel.felline/Documents/BEHAVIOR BTBR/NOR second cohort/BTBR/test/c10_f5.mp4</t>
        </is>
      </c>
      <c r="F3238" t="n">
        <v>-6.167</v>
      </c>
      <c r="G3238" t="n">
        <v>590.266</v>
      </c>
      <c r="H3238" t="n">
        <v>646.6660000000001</v>
      </c>
      <c r="I3238" t="n">
        <v>30</v>
      </c>
      <c r="J3238" t="inlineStr">
        <is>
          <t>BTBR</t>
        </is>
      </c>
      <c r="K3238" t="inlineStr">
        <is>
          <t xml:space="preserve"> Female</t>
        </is>
      </c>
      <c r="L3238" t="inlineStr">
        <is>
          <t>No focal subject</t>
        </is>
      </c>
      <c r="M3238" t="n">
        <v>37.701</v>
      </c>
      <c r="N3238" t="inlineStr">
        <is>
          <t>Explore_F</t>
        </is>
      </c>
      <c r="O3238" t="inlineStr">
        <is>
          <t>Familiar</t>
        </is>
      </c>
      <c r="P3238" t="inlineStr">
        <is>
          <t>STATE</t>
        </is>
      </c>
      <c r="Q3238" t="n">
        <v>269.099</v>
      </c>
      <c r="R3238" t="n">
        <v>269.399</v>
      </c>
      <c r="S3238" t="n">
        <v>0.3</v>
      </c>
      <c r="T3238" t="inlineStr">
        <is>
          <t>C:/Users/manuel.felline/Documents/BEHAVIOR BTBR/NOR second cohort/BTBR/test/c10_f5.mp4</t>
        </is>
      </c>
      <c r="U3238" t="n">
        <v>8256</v>
      </c>
      <c r="V3238" t="n">
        <v>8265</v>
      </c>
      <c r="W3238" t="n">
        <v/>
      </c>
      <c r="X3238" t="n">
        <v/>
      </c>
      <c r="Y3238" t="n">
        <v/>
      </c>
      <c r="Z3238" t="n">
        <v/>
      </c>
      <c r="AA3238">
        <f>SUMIFS($S$2:S3238,$A$2:A3238,A3238,$N$2:N3238,"Explore*")</f>
        <v/>
      </c>
      <c r="AB3238">
        <f>IF(AND(LEFT(N3238,7)="Explore",(AA3238-IF(LEFT(N3238,7)="Explore",S3238,0))&lt;10),"SI","NO")</f>
        <v/>
      </c>
    </row>
    <row r="3239">
      <c r="A3239" t="inlineStr">
        <is>
          <t>c10f5_test</t>
        </is>
      </c>
      <c r="B3239" t="inlineStr">
        <is>
          <t>2026-06-25 16:38:10.789</t>
        </is>
      </c>
      <c r="C3239" t="n">
        <v/>
      </c>
      <c r="D3239" t="inlineStr">
        <is>
          <t>Media file</t>
        </is>
      </c>
      <c r="E3239" t="inlineStr">
        <is>
          <t>player #1:C:/Users/manuel.felline/Documents/BEHAVIOR BTBR/NOR second cohort/BTBR/test/c10_f5.mp4</t>
        </is>
      </c>
      <c r="F3239" t="n">
        <v>-6.167</v>
      </c>
      <c r="G3239" t="n">
        <v>590.266</v>
      </c>
      <c r="H3239" t="n">
        <v>646.6660000000001</v>
      </c>
      <c r="I3239" t="n">
        <v>30</v>
      </c>
      <c r="J3239" t="inlineStr">
        <is>
          <t>BTBR</t>
        </is>
      </c>
      <c r="K3239" t="inlineStr">
        <is>
          <t xml:space="preserve"> Female</t>
        </is>
      </c>
      <c r="L3239" t="inlineStr">
        <is>
          <t>No focal subject</t>
        </is>
      </c>
      <c r="M3239" t="n">
        <v>37.701</v>
      </c>
      <c r="N3239" t="inlineStr">
        <is>
          <t>Explore_N</t>
        </is>
      </c>
      <c r="O3239" t="inlineStr">
        <is>
          <t>Novelty</t>
        </is>
      </c>
      <c r="P3239" t="inlineStr">
        <is>
          <t>STATE</t>
        </is>
      </c>
      <c r="Q3239" t="n">
        <v>283.599</v>
      </c>
      <c r="R3239" t="n">
        <v>284.999</v>
      </c>
      <c r="S3239" t="n">
        <v>1.4</v>
      </c>
      <c r="T3239" t="inlineStr">
        <is>
          <t>C:/Users/manuel.felline/Documents/BEHAVIOR BTBR/NOR second cohort/BTBR/test/c10_f5.mp4</t>
        </is>
      </c>
      <c r="U3239" t="n">
        <v>8691</v>
      </c>
      <c r="V3239" t="n">
        <v>8733</v>
      </c>
      <c r="W3239" t="n">
        <v/>
      </c>
      <c r="X3239" t="n">
        <v/>
      </c>
      <c r="Y3239" t="n">
        <v/>
      </c>
      <c r="Z3239" t="n">
        <v/>
      </c>
      <c r="AA3239">
        <f>SUMIFS($S$2:S3239,$A$2:A3239,A3239,$N$2:N3239,"Explore*")</f>
        <v/>
      </c>
      <c r="AB3239">
        <f>IF(AND(LEFT(N3239,7)="Explore",(AA3239-IF(LEFT(N3239,7)="Explore",S3239,0))&lt;10),"SI","NO")</f>
        <v/>
      </c>
    </row>
    <row r="3240">
      <c r="A3240" t="inlineStr">
        <is>
          <t>c10f5_test</t>
        </is>
      </c>
      <c r="B3240" t="inlineStr">
        <is>
          <t>2026-06-25 16:38:10.789</t>
        </is>
      </c>
      <c r="C3240" t="n">
        <v/>
      </c>
      <c r="D3240" t="inlineStr">
        <is>
          <t>Media file</t>
        </is>
      </c>
      <c r="E3240" t="inlineStr">
        <is>
          <t>player #1:C:/Users/manuel.felline/Documents/BEHAVIOR BTBR/NOR second cohort/BTBR/test/c10_f5.mp4</t>
        </is>
      </c>
      <c r="F3240" t="n">
        <v>-6.167</v>
      </c>
      <c r="G3240" t="n">
        <v>590.266</v>
      </c>
      <c r="H3240" t="n">
        <v>646.6660000000001</v>
      </c>
      <c r="I3240" t="n">
        <v>30</v>
      </c>
      <c r="J3240" t="inlineStr">
        <is>
          <t>BTBR</t>
        </is>
      </c>
      <c r="K3240" t="inlineStr">
        <is>
          <t xml:space="preserve"> Female</t>
        </is>
      </c>
      <c r="L3240" t="inlineStr">
        <is>
          <t>No focal subject</t>
        </is>
      </c>
      <c r="M3240" t="n">
        <v>37.701</v>
      </c>
      <c r="N3240" t="inlineStr">
        <is>
          <t>Explore_N</t>
        </is>
      </c>
      <c r="O3240" t="inlineStr">
        <is>
          <t>Novelty</t>
        </is>
      </c>
      <c r="P3240" t="inlineStr">
        <is>
          <t>STATE</t>
        </is>
      </c>
      <c r="Q3240" t="n">
        <v>289.466</v>
      </c>
      <c r="R3240" t="n">
        <v>290.333</v>
      </c>
      <c r="S3240" t="n">
        <v>0.867</v>
      </c>
      <c r="T3240" t="inlineStr">
        <is>
          <t>C:/Users/manuel.felline/Documents/BEHAVIOR BTBR/NOR second cohort/BTBR/test/c10_f5.mp4</t>
        </is>
      </c>
      <c r="U3240" t="n">
        <v>8867</v>
      </c>
      <c r="V3240" t="n">
        <v>8893</v>
      </c>
      <c r="W3240" t="n">
        <v/>
      </c>
      <c r="X3240" t="n">
        <v/>
      </c>
      <c r="Y3240" t="n">
        <v/>
      </c>
      <c r="Z3240" t="n">
        <v/>
      </c>
      <c r="AA3240">
        <f>SUMIFS($S$2:S3240,$A$2:A3240,A3240,$N$2:N3240,"Explore*")</f>
        <v/>
      </c>
      <c r="AB3240">
        <f>IF(AND(LEFT(N3240,7)="Explore",(AA3240-IF(LEFT(N3240,7)="Explore",S3240,0))&lt;10),"SI","NO")</f>
        <v/>
      </c>
    </row>
    <row r="3241">
      <c r="A3241" t="inlineStr">
        <is>
          <t>c10f5_test</t>
        </is>
      </c>
      <c r="B3241" t="inlineStr">
        <is>
          <t>2026-06-25 16:38:10.789</t>
        </is>
      </c>
      <c r="C3241" t="n">
        <v/>
      </c>
      <c r="D3241" t="inlineStr">
        <is>
          <t>Media file</t>
        </is>
      </c>
      <c r="E3241" t="inlineStr">
        <is>
          <t>player #1:C:/Users/manuel.felline/Documents/BEHAVIOR BTBR/NOR second cohort/BTBR/test/c10_f5.mp4</t>
        </is>
      </c>
      <c r="F3241" t="n">
        <v>-6.167</v>
      </c>
      <c r="G3241" t="n">
        <v>590.266</v>
      </c>
      <c r="H3241" t="n">
        <v>646.6660000000001</v>
      </c>
      <c r="I3241" t="n">
        <v>30</v>
      </c>
      <c r="J3241" t="inlineStr">
        <is>
          <t>BTBR</t>
        </is>
      </c>
      <c r="K3241" t="inlineStr">
        <is>
          <t xml:space="preserve"> Female</t>
        </is>
      </c>
      <c r="L3241" t="inlineStr">
        <is>
          <t>No focal subject</t>
        </is>
      </c>
      <c r="M3241" t="n">
        <v>37.701</v>
      </c>
      <c r="N3241" t="inlineStr">
        <is>
          <t>Explore_F</t>
        </is>
      </c>
      <c r="O3241" t="inlineStr">
        <is>
          <t>Familiar</t>
        </is>
      </c>
      <c r="P3241" t="inlineStr">
        <is>
          <t>STATE</t>
        </is>
      </c>
      <c r="Q3241" t="n">
        <v>312.466</v>
      </c>
      <c r="R3241" t="n">
        <v>313.099</v>
      </c>
      <c r="S3241" t="n">
        <v>0.633</v>
      </c>
      <c r="T3241" t="inlineStr">
        <is>
          <t>C:/Users/manuel.felline/Documents/BEHAVIOR BTBR/NOR second cohort/BTBR/test/c10_f5.mp4</t>
        </is>
      </c>
      <c r="U3241" t="n">
        <v>9557</v>
      </c>
      <c r="V3241" t="n">
        <v>9576</v>
      </c>
      <c r="W3241" t="n">
        <v/>
      </c>
      <c r="X3241" t="n">
        <v/>
      </c>
      <c r="Y3241" t="n">
        <v/>
      </c>
      <c r="Z3241" t="n">
        <v/>
      </c>
      <c r="AA3241">
        <f>SUMIFS($S$2:S3241,$A$2:A3241,A3241,$N$2:N3241,"Explore*")</f>
        <v/>
      </c>
      <c r="AB3241">
        <f>IF(AND(LEFT(N3241,7)="Explore",(AA3241-IF(LEFT(N3241,7)="Explore",S3241,0))&lt;10),"SI","NO")</f>
        <v/>
      </c>
    </row>
    <row r="3242">
      <c r="A3242" t="inlineStr">
        <is>
          <t>c10f5_test</t>
        </is>
      </c>
      <c r="B3242" t="inlineStr">
        <is>
          <t>2026-06-25 16:38:10.789</t>
        </is>
      </c>
      <c r="C3242" t="n">
        <v/>
      </c>
      <c r="D3242" t="inlineStr">
        <is>
          <t>Media file</t>
        </is>
      </c>
      <c r="E3242" t="inlineStr">
        <is>
          <t>player #1:C:/Users/manuel.felline/Documents/BEHAVIOR BTBR/NOR second cohort/BTBR/test/c10_f5.mp4</t>
        </is>
      </c>
      <c r="F3242" t="n">
        <v>-6.167</v>
      </c>
      <c r="G3242" t="n">
        <v>590.266</v>
      </c>
      <c r="H3242" t="n">
        <v>646.6660000000001</v>
      </c>
      <c r="I3242" t="n">
        <v>30</v>
      </c>
      <c r="J3242" t="inlineStr">
        <is>
          <t>BTBR</t>
        </is>
      </c>
      <c r="K3242" t="inlineStr">
        <is>
          <t xml:space="preserve"> Female</t>
        </is>
      </c>
      <c r="L3242" t="inlineStr">
        <is>
          <t>No focal subject</t>
        </is>
      </c>
      <c r="M3242" t="n">
        <v>37.701</v>
      </c>
      <c r="N3242" t="inlineStr">
        <is>
          <t>Explore_N</t>
        </is>
      </c>
      <c r="O3242" t="inlineStr">
        <is>
          <t>Novelty</t>
        </is>
      </c>
      <c r="P3242" t="inlineStr">
        <is>
          <t>STATE</t>
        </is>
      </c>
      <c r="Q3242" t="n">
        <v>336.966</v>
      </c>
      <c r="R3242" t="n">
        <v>337.633</v>
      </c>
      <c r="S3242" t="n">
        <v>0.667</v>
      </c>
      <c r="T3242" t="inlineStr">
        <is>
          <t>C:/Users/manuel.felline/Documents/BEHAVIOR BTBR/NOR second cohort/BTBR/test/c10_f5.mp4</t>
        </is>
      </c>
      <c r="U3242" t="n">
        <v>10292</v>
      </c>
      <c r="V3242" t="n">
        <v>10312</v>
      </c>
      <c r="W3242" t="n">
        <v/>
      </c>
      <c r="X3242" t="n">
        <v/>
      </c>
      <c r="Y3242" t="n">
        <v/>
      </c>
      <c r="Z3242" t="n">
        <v/>
      </c>
      <c r="AA3242">
        <f>SUMIFS($S$2:S3242,$A$2:A3242,A3242,$N$2:N3242,"Explore*")</f>
        <v/>
      </c>
      <c r="AB3242">
        <f>IF(AND(LEFT(N3242,7)="Explore",(AA3242-IF(LEFT(N3242,7)="Explore",S3242,0))&lt;10),"SI","NO")</f>
        <v/>
      </c>
    </row>
    <row r="3243">
      <c r="A3243" t="inlineStr">
        <is>
          <t>c10f5_test</t>
        </is>
      </c>
      <c r="B3243" t="inlineStr">
        <is>
          <t>2026-06-25 16:38:10.789</t>
        </is>
      </c>
      <c r="C3243" t="n">
        <v/>
      </c>
      <c r="D3243" t="inlineStr">
        <is>
          <t>Media file</t>
        </is>
      </c>
      <c r="E3243" t="inlineStr">
        <is>
          <t>player #1:C:/Users/manuel.felline/Documents/BEHAVIOR BTBR/NOR second cohort/BTBR/test/c10_f5.mp4</t>
        </is>
      </c>
      <c r="F3243" t="n">
        <v>-6.167</v>
      </c>
      <c r="G3243" t="n">
        <v>590.266</v>
      </c>
      <c r="H3243" t="n">
        <v>646.6660000000001</v>
      </c>
      <c r="I3243" t="n">
        <v>30</v>
      </c>
      <c r="J3243" t="inlineStr">
        <is>
          <t>BTBR</t>
        </is>
      </c>
      <c r="K3243" t="inlineStr">
        <is>
          <t xml:space="preserve"> Female</t>
        </is>
      </c>
      <c r="L3243" t="inlineStr">
        <is>
          <t>No focal subject</t>
        </is>
      </c>
      <c r="M3243" t="n">
        <v>37.701</v>
      </c>
      <c r="N3243" t="inlineStr">
        <is>
          <t>Explore_N</t>
        </is>
      </c>
      <c r="O3243" t="inlineStr">
        <is>
          <t>Novelty</t>
        </is>
      </c>
      <c r="P3243" t="inlineStr">
        <is>
          <t>STATE</t>
        </is>
      </c>
      <c r="Q3243" t="n">
        <v>339.499</v>
      </c>
      <c r="R3243" t="n">
        <v>341.199</v>
      </c>
      <c r="S3243" t="n">
        <v>1.7</v>
      </c>
      <c r="T3243" t="inlineStr">
        <is>
          <t>C:/Users/manuel.felline/Documents/BEHAVIOR BTBR/NOR second cohort/BTBR/test/c10_f5.mp4</t>
        </is>
      </c>
      <c r="U3243" t="n">
        <v>10368</v>
      </c>
      <c r="V3243" t="n">
        <v>10419</v>
      </c>
      <c r="W3243" t="n">
        <v/>
      </c>
      <c r="X3243" t="n">
        <v/>
      </c>
      <c r="Y3243" t="n">
        <v/>
      </c>
      <c r="Z3243" t="n">
        <v/>
      </c>
      <c r="AA3243">
        <f>SUMIFS($S$2:S3243,$A$2:A3243,A3243,$N$2:N3243,"Explore*")</f>
        <v/>
      </c>
      <c r="AB3243">
        <f>IF(AND(LEFT(N3243,7)="Explore",(AA3243-IF(LEFT(N3243,7)="Explore",S3243,0))&lt;10),"SI","NO")</f>
        <v/>
      </c>
    </row>
    <row r="3244">
      <c r="A3244" t="inlineStr">
        <is>
          <t>c10f5_test</t>
        </is>
      </c>
      <c r="B3244" t="inlineStr">
        <is>
          <t>2026-06-25 16:38:10.789</t>
        </is>
      </c>
      <c r="C3244" t="n">
        <v/>
      </c>
      <c r="D3244" t="inlineStr">
        <is>
          <t>Media file</t>
        </is>
      </c>
      <c r="E3244" t="inlineStr">
        <is>
          <t>player #1:C:/Users/manuel.felline/Documents/BEHAVIOR BTBR/NOR second cohort/BTBR/test/c10_f5.mp4</t>
        </is>
      </c>
      <c r="F3244" t="n">
        <v>-6.167</v>
      </c>
      <c r="G3244" t="n">
        <v>590.266</v>
      </c>
      <c r="H3244" t="n">
        <v>646.6660000000001</v>
      </c>
      <c r="I3244" t="n">
        <v>30</v>
      </c>
      <c r="J3244" t="inlineStr">
        <is>
          <t>BTBR</t>
        </is>
      </c>
      <c r="K3244" t="inlineStr">
        <is>
          <t xml:space="preserve"> Female</t>
        </is>
      </c>
      <c r="L3244" t="inlineStr">
        <is>
          <t>No focal subject</t>
        </is>
      </c>
      <c r="M3244" t="n">
        <v>37.701</v>
      </c>
      <c r="N3244" t="inlineStr">
        <is>
          <t>Explore_F</t>
        </is>
      </c>
      <c r="O3244" t="inlineStr">
        <is>
          <t>Familiar</t>
        </is>
      </c>
      <c r="P3244" t="inlineStr">
        <is>
          <t>STATE</t>
        </is>
      </c>
      <c r="Q3244" t="n">
        <v>342.999</v>
      </c>
      <c r="R3244" t="n">
        <v>343.433</v>
      </c>
      <c r="S3244" t="n">
        <v>0.434</v>
      </c>
      <c r="T3244" t="inlineStr">
        <is>
          <t>C:/Users/manuel.felline/Documents/BEHAVIOR BTBR/NOR second cohort/BTBR/test/c10_f5.mp4</t>
        </is>
      </c>
      <c r="U3244" t="n">
        <v>10473</v>
      </c>
      <c r="V3244" t="n">
        <v>10486</v>
      </c>
      <c r="W3244" t="n">
        <v/>
      </c>
      <c r="X3244" t="n">
        <v/>
      </c>
      <c r="Y3244" t="n">
        <v/>
      </c>
      <c r="Z3244" t="n">
        <v/>
      </c>
      <c r="AA3244">
        <f>SUMIFS($S$2:S3244,$A$2:A3244,A3244,$N$2:N3244,"Explore*")</f>
        <v/>
      </c>
      <c r="AB3244">
        <f>IF(AND(LEFT(N3244,7)="Explore",(AA3244-IF(LEFT(N3244,7)="Explore",S3244,0))&lt;10),"SI","NO")</f>
        <v/>
      </c>
    </row>
    <row r="3245">
      <c r="A3245" t="inlineStr">
        <is>
          <t>c10f5_test</t>
        </is>
      </c>
      <c r="B3245" t="inlineStr">
        <is>
          <t>2026-06-25 16:38:10.789</t>
        </is>
      </c>
      <c r="C3245" t="n">
        <v/>
      </c>
      <c r="D3245" t="inlineStr">
        <is>
          <t>Media file</t>
        </is>
      </c>
      <c r="E3245" t="inlineStr">
        <is>
          <t>player #1:C:/Users/manuel.felline/Documents/BEHAVIOR BTBR/NOR second cohort/BTBR/test/c10_f5.mp4</t>
        </is>
      </c>
      <c r="F3245" t="n">
        <v>-6.167</v>
      </c>
      <c r="G3245" t="n">
        <v>590.266</v>
      </c>
      <c r="H3245" t="n">
        <v>646.6660000000001</v>
      </c>
      <c r="I3245" t="n">
        <v>30</v>
      </c>
      <c r="J3245" t="inlineStr">
        <is>
          <t>BTBR</t>
        </is>
      </c>
      <c r="K3245" t="inlineStr">
        <is>
          <t xml:space="preserve"> Female</t>
        </is>
      </c>
      <c r="L3245" t="inlineStr">
        <is>
          <t>No focal subject</t>
        </is>
      </c>
      <c r="M3245" t="n">
        <v>37.701</v>
      </c>
      <c r="N3245" t="inlineStr">
        <is>
          <t>Explore_N</t>
        </is>
      </c>
      <c r="O3245" t="inlineStr">
        <is>
          <t>Novelty</t>
        </is>
      </c>
      <c r="P3245" t="inlineStr">
        <is>
          <t>STATE</t>
        </is>
      </c>
      <c r="Q3245" t="n">
        <v>351.833</v>
      </c>
      <c r="R3245" t="n">
        <v>352.799</v>
      </c>
      <c r="S3245" t="n">
        <v>0.966</v>
      </c>
      <c r="T3245" t="inlineStr">
        <is>
          <t>C:/Users/manuel.felline/Documents/BEHAVIOR BTBR/NOR second cohort/BTBR/test/c10_f5.mp4</t>
        </is>
      </c>
      <c r="U3245" t="n">
        <v>10738</v>
      </c>
      <c r="V3245" t="n">
        <v>10767</v>
      </c>
      <c r="W3245" t="n">
        <v/>
      </c>
      <c r="X3245" t="n">
        <v/>
      </c>
      <c r="Y3245" t="n">
        <v/>
      </c>
      <c r="Z3245" t="n">
        <v/>
      </c>
      <c r="AA3245">
        <f>SUMIFS($S$2:S3245,$A$2:A3245,A3245,$N$2:N3245,"Explore*")</f>
        <v/>
      </c>
      <c r="AB3245">
        <f>IF(AND(LEFT(N3245,7)="Explore",(AA3245-IF(LEFT(N3245,7)="Explore",S3245,0))&lt;10),"SI","NO")</f>
        <v/>
      </c>
    </row>
    <row r="3246">
      <c r="A3246" t="inlineStr">
        <is>
          <t>c10f5_test</t>
        </is>
      </c>
      <c r="B3246" t="inlineStr">
        <is>
          <t>2026-06-25 16:38:10.789</t>
        </is>
      </c>
      <c r="C3246" t="n">
        <v/>
      </c>
      <c r="D3246" t="inlineStr">
        <is>
          <t>Media file</t>
        </is>
      </c>
      <c r="E3246" t="inlineStr">
        <is>
          <t>player #1:C:/Users/manuel.felline/Documents/BEHAVIOR BTBR/NOR second cohort/BTBR/test/c10_f5.mp4</t>
        </is>
      </c>
      <c r="F3246" t="n">
        <v>-6.167</v>
      </c>
      <c r="G3246" t="n">
        <v>590.266</v>
      </c>
      <c r="H3246" t="n">
        <v>646.6660000000001</v>
      </c>
      <c r="I3246" t="n">
        <v>30</v>
      </c>
      <c r="J3246" t="inlineStr">
        <is>
          <t>BTBR</t>
        </is>
      </c>
      <c r="K3246" t="inlineStr">
        <is>
          <t xml:space="preserve"> Female</t>
        </is>
      </c>
      <c r="L3246" t="inlineStr">
        <is>
          <t>No focal subject</t>
        </is>
      </c>
      <c r="M3246" t="n">
        <v>37.701</v>
      </c>
      <c r="N3246" t="inlineStr">
        <is>
          <t>Explore_F</t>
        </is>
      </c>
      <c r="O3246" t="inlineStr">
        <is>
          <t>Familiar</t>
        </is>
      </c>
      <c r="P3246" t="inlineStr">
        <is>
          <t>STATE</t>
        </is>
      </c>
      <c r="Q3246" t="n">
        <v>375.166</v>
      </c>
      <c r="R3246" t="n">
        <v>375.799</v>
      </c>
      <c r="S3246" t="n">
        <v>0.633</v>
      </c>
      <c r="T3246" t="inlineStr">
        <is>
          <t>C:/Users/manuel.felline/Documents/BEHAVIOR BTBR/NOR second cohort/BTBR/test/c10_f5.mp4</t>
        </is>
      </c>
      <c r="U3246" t="n">
        <v>11437</v>
      </c>
      <c r="V3246" t="n">
        <v>11456</v>
      </c>
      <c r="W3246" t="n">
        <v/>
      </c>
      <c r="X3246" t="n">
        <v/>
      </c>
      <c r="Y3246" t="n">
        <v/>
      </c>
      <c r="Z3246" t="n">
        <v/>
      </c>
      <c r="AA3246">
        <f>SUMIFS($S$2:S3246,$A$2:A3246,A3246,$N$2:N3246,"Explore*")</f>
        <v/>
      </c>
      <c r="AB3246">
        <f>IF(AND(LEFT(N3246,7)="Explore",(AA3246-IF(LEFT(N3246,7)="Explore",S3246,0))&lt;10),"SI","NO")</f>
        <v/>
      </c>
    </row>
    <row r="3247">
      <c r="A3247" t="inlineStr">
        <is>
          <t>c10f5_test</t>
        </is>
      </c>
      <c r="B3247" t="inlineStr">
        <is>
          <t>2026-06-25 16:38:10.789</t>
        </is>
      </c>
      <c r="C3247" t="n">
        <v/>
      </c>
      <c r="D3247" t="inlineStr">
        <is>
          <t>Media file</t>
        </is>
      </c>
      <c r="E3247" t="inlineStr">
        <is>
          <t>player #1:C:/Users/manuel.felline/Documents/BEHAVIOR BTBR/NOR second cohort/BTBR/test/c10_f5.mp4</t>
        </is>
      </c>
      <c r="F3247" t="n">
        <v>-6.167</v>
      </c>
      <c r="G3247" t="n">
        <v>590.266</v>
      </c>
      <c r="H3247" t="n">
        <v>646.6660000000001</v>
      </c>
      <c r="I3247" t="n">
        <v>30</v>
      </c>
      <c r="J3247" t="inlineStr">
        <is>
          <t>BTBR</t>
        </is>
      </c>
      <c r="K3247" t="inlineStr">
        <is>
          <t xml:space="preserve"> Female</t>
        </is>
      </c>
      <c r="L3247" t="inlineStr">
        <is>
          <t>No focal subject</t>
        </is>
      </c>
      <c r="M3247" t="n">
        <v>37.701</v>
      </c>
      <c r="N3247" t="inlineStr">
        <is>
          <t>Explore_N</t>
        </is>
      </c>
      <c r="O3247" t="inlineStr">
        <is>
          <t>Novelty</t>
        </is>
      </c>
      <c r="P3247" t="inlineStr">
        <is>
          <t>STATE</t>
        </is>
      </c>
      <c r="Q3247" t="n">
        <v>389.799</v>
      </c>
      <c r="R3247" t="n">
        <v>390.599</v>
      </c>
      <c r="S3247" t="n">
        <v>0.8</v>
      </c>
      <c r="T3247" t="inlineStr">
        <is>
          <t>C:/Users/manuel.felline/Documents/BEHAVIOR BTBR/NOR second cohort/BTBR/test/c10_f5.mp4</t>
        </is>
      </c>
      <c r="U3247" t="n">
        <v>11876</v>
      </c>
      <c r="V3247" t="n">
        <v>11900</v>
      </c>
      <c r="W3247" t="n">
        <v/>
      </c>
      <c r="X3247" t="n">
        <v/>
      </c>
      <c r="Y3247" t="n">
        <v/>
      </c>
      <c r="Z3247" t="n">
        <v/>
      </c>
      <c r="AA3247">
        <f>SUMIFS($S$2:S3247,$A$2:A3247,A3247,$N$2:N3247,"Explore*")</f>
        <v/>
      </c>
      <c r="AB3247">
        <f>IF(AND(LEFT(N3247,7)="Explore",(AA3247-IF(LEFT(N3247,7)="Explore",S3247,0))&lt;10),"SI","NO")</f>
        <v/>
      </c>
    </row>
    <row r="3248">
      <c r="A3248" t="inlineStr">
        <is>
          <t>c10f5_test</t>
        </is>
      </c>
      <c r="B3248" t="inlineStr">
        <is>
          <t>2026-06-25 16:38:10.789</t>
        </is>
      </c>
      <c r="C3248" t="n">
        <v/>
      </c>
      <c r="D3248" t="inlineStr">
        <is>
          <t>Media file</t>
        </is>
      </c>
      <c r="E3248" t="inlineStr">
        <is>
          <t>player #1:C:/Users/manuel.felline/Documents/BEHAVIOR BTBR/NOR second cohort/BTBR/test/c10_f5.mp4</t>
        </is>
      </c>
      <c r="F3248" t="n">
        <v>-6.167</v>
      </c>
      <c r="G3248" t="n">
        <v>590.266</v>
      </c>
      <c r="H3248" t="n">
        <v>646.6660000000001</v>
      </c>
      <c r="I3248" t="n">
        <v>30</v>
      </c>
      <c r="J3248" t="inlineStr">
        <is>
          <t>BTBR</t>
        </is>
      </c>
      <c r="K3248" t="inlineStr">
        <is>
          <t xml:space="preserve"> Female</t>
        </is>
      </c>
      <c r="L3248" t="inlineStr">
        <is>
          <t>No focal subject</t>
        </is>
      </c>
      <c r="M3248" t="n">
        <v>37.701</v>
      </c>
      <c r="N3248" t="inlineStr">
        <is>
          <t>Explore_F</t>
        </is>
      </c>
      <c r="O3248" t="inlineStr">
        <is>
          <t>Familiar</t>
        </is>
      </c>
      <c r="P3248" t="inlineStr">
        <is>
          <t>STATE</t>
        </is>
      </c>
      <c r="Q3248" t="n">
        <v>466.799</v>
      </c>
      <c r="R3248" t="n">
        <v>467.666</v>
      </c>
      <c r="S3248" t="n">
        <v>0.867</v>
      </c>
      <c r="T3248" t="inlineStr">
        <is>
          <t>C:/Users/manuel.felline/Documents/BEHAVIOR BTBR/NOR second cohort/BTBR/test/c10_f5.mp4</t>
        </is>
      </c>
      <c r="U3248" t="n">
        <v>14186</v>
      </c>
      <c r="V3248" t="n">
        <v>14212</v>
      </c>
      <c r="W3248" t="n">
        <v/>
      </c>
      <c r="X3248" t="n">
        <v/>
      </c>
      <c r="Y3248" t="n">
        <v/>
      </c>
      <c r="Z3248" t="n">
        <v/>
      </c>
      <c r="AA3248">
        <f>SUMIFS($S$2:S3248,$A$2:A3248,A3248,$N$2:N3248,"Explore*")</f>
        <v/>
      </c>
      <c r="AB3248">
        <f>IF(AND(LEFT(N3248,7)="Explore",(AA3248-IF(LEFT(N3248,7)="Explore",S3248,0))&lt;10),"SI","NO")</f>
        <v/>
      </c>
    </row>
    <row r="3249">
      <c r="A3249" t="inlineStr">
        <is>
          <t>c10f5_test</t>
        </is>
      </c>
      <c r="B3249" t="inlineStr">
        <is>
          <t>2026-06-25 16:38:10.789</t>
        </is>
      </c>
      <c r="C3249" t="n">
        <v/>
      </c>
      <c r="D3249" t="inlineStr">
        <is>
          <t>Media file</t>
        </is>
      </c>
      <c r="E3249" t="inlineStr">
        <is>
          <t>player #1:C:/Users/manuel.felline/Documents/BEHAVIOR BTBR/NOR second cohort/BTBR/test/c10_f5.mp4</t>
        </is>
      </c>
      <c r="F3249" t="n">
        <v>-6.167</v>
      </c>
      <c r="G3249" t="n">
        <v>590.266</v>
      </c>
      <c r="H3249" t="n">
        <v>646.6660000000001</v>
      </c>
      <c r="I3249" t="n">
        <v>30</v>
      </c>
      <c r="J3249" t="inlineStr">
        <is>
          <t>BTBR</t>
        </is>
      </c>
      <c r="K3249" t="inlineStr">
        <is>
          <t xml:space="preserve"> Female</t>
        </is>
      </c>
      <c r="L3249" t="inlineStr">
        <is>
          <t>No focal subject</t>
        </is>
      </c>
      <c r="M3249" t="n">
        <v>37.701</v>
      </c>
      <c r="N3249" t="inlineStr">
        <is>
          <t>Explore_F</t>
        </is>
      </c>
      <c r="O3249" t="inlineStr">
        <is>
          <t>Familiar</t>
        </is>
      </c>
      <c r="P3249" t="inlineStr">
        <is>
          <t>STATE</t>
        </is>
      </c>
      <c r="Q3249" t="n">
        <v>490.332</v>
      </c>
      <c r="R3249" t="n">
        <v>490.766</v>
      </c>
      <c r="S3249" t="n">
        <v>0.434</v>
      </c>
      <c r="T3249" t="inlineStr">
        <is>
          <t>C:/Users/manuel.felline/Documents/BEHAVIOR BTBR/NOR second cohort/BTBR/test/c10_f5.mp4</t>
        </is>
      </c>
      <c r="U3249" t="n">
        <v>14892</v>
      </c>
      <c r="V3249" t="n">
        <v>14905</v>
      </c>
      <c r="W3249" t="n">
        <v/>
      </c>
      <c r="X3249" t="n">
        <v/>
      </c>
      <c r="Y3249" t="n">
        <v/>
      </c>
      <c r="Z3249" t="n">
        <v/>
      </c>
      <c r="AA3249">
        <f>SUMIFS($S$2:S3249,$A$2:A3249,A3249,$N$2:N3249,"Explore*")</f>
        <v/>
      </c>
      <c r="AB3249">
        <f>IF(AND(LEFT(N3249,7)="Explore",(AA3249-IF(LEFT(N3249,7)="Explore",S3249,0))&lt;10),"SI","NO")</f>
        <v/>
      </c>
    </row>
    <row r="3250">
      <c r="A3250" t="inlineStr">
        <is>
          <t>c10f5_test</t>
        </is>
      </c>
      <c r="B3250" t="inlineStr">
        <is>
          <t>2026-06-25 16:38:10.789</t>
        </is>
      </c>
      <c r="C3250" t="n">
        <v/>
      </c>
      <c r="D3250" t="inlineStr">
        <is>
          <t>Media file</t>
        </is>
      </c>
      <c r="E3250" t="inlineStr">
        <is>
          <t>player #1:C:/Users/manuel.felline/Documents/BEHAVIOR BTBR/NOR second cohort/BTBR/test/c10_f5.mp4</t>
        </is>
      </c>
      <c r="F3250" t="n">
        <v>-6.167</v>
      </c>
      <c r="G3250" t="n">
        <v>590.266</v>
      </c>
      <c r="H3250" t="n">
        <v>646.6660000000001</v>
      </c>
      <c r="I3250" t="n">
        <v>30</v>
      </c>
      <c r="J3250" t="inlineStr">
        <is>
          <t>BTBR</t>
        </is>
      </c>
      <c r="K3250" t="inlineStr">
        <is>
          <t xml:space="preserve"> Female</t>
        </is>
      </c>
      <c r="L3250" t="inlineStr">
        <is>
          <t>No focal subject</t>
        </is>
      </c>
      <c r="M3250" t="n">
        <v>37.701</v>
      </c>
      <c r="N3250" t="inlineStr">
        <is>
          <t>Explore_F</t>
        </is>
      </c>
      <c r="O3250" t="inlineStr">
        <is>
          <t>Familiar</t>
        </is>
      </c>
      <c r="P3250" t="inlineStr">
        <is>
          <t>STATE</t>
        </is>
      </c>
      <c r="Q3250" t="n">
        <v>502.466</v>
      </c>
      <c r="R3250" t="n">
        <v>502.832</v>
      </c>
      <c r="S3250" t="n">
        <v>0.366</v>
      </c>
      <c r="T3250" t="inlineStr">
        <is>
          <t>C:/Users/manuel.felline/Documents/BEHAVIOR BTBR/NOR second cohort/BTBR/test/c10_f5.mp4</t>
        </is>
      </c>
      <c r="U3250" t="n">
        <v>15256</v>
      </c>
      <c r="V3250" t="n">
        <v>15267</v>
      </c>
      <c r="W3250" t="n">
        <v/>
      </c>
      <c r="X3250" t="n">
        <v/>
      </c>
      <c r="Y3250" t="n">
        <v/>
      </c>
      <c r="Z3250" t="n">
        <v/>
      </c>
      <c r="AA3250">
        <f>SUMIFS($S$2:S3250,$A$2:A3250,A3250,$N$2:N3250,"Explore*")</f>
        <v/>
      </c>
      <c r="AB3250">
        <f>IF(AND(LEFT(N3250,7)="Explore",(AA3250-IF(LEFT(N3250,7)="Explore",S3250,0))&lt;10),"SI","NO")</f>
        <v/>
      </c>
    </row>
    <row r="3251">
      <c r="A3251" t="inlineStr">
        <is>
          <t>c10f5_test</t>
        </is>
      </c>
      <c r="B3251" t="inlineStr">
        <is>
          <t>2026-06-25 16:38:10.789</t>
        </is>
      </c>
      <c r="C3251" t="n">
        <v/>
      </c>
      <c r="D3251" t="inlineStr">
        <is>
          <t>Media file</t>
        </is>
      </c>
      <c r="E3251" t="inlineStr">
        <is>
          <t>player #1:C:/Users/manuel.felline/Documents/BEHAVIOR BTBR/NOR second cohort/BTBR/test/c10_f5.mp4</t>
        </is>
      </c>
      <c r="F3251" t="n">
        <v>-6.167</v>
      </c>
      <c r="G3251" t="n">
        <v>590.266</v>
      </c>
      <c r="H3251" t="n">
        <v>646.6660000000001</v>
      </c>
      <c r="I3251" t="n">
        <v>30</v>
      </c>
      <c r="J3251" t="inlineStr">
        <is>
          <t>BTBR</t>
        </is>
      </c>
      <c r="K3251" t="inlineStr">
        <is>
          <t xml:space="preserve"> Female</t>
        </is>
      </c>
      <c r="L3251" t="inlineStr">
        <is>
          <t>No focal subject</t>
        </is>
      </c>
      <c r="M3251" t="n">
        <v>37.701</v>
      </c>
      <c r="N3251" t="inlineStr">
        <is>
          <t>Explore_F</t>
        </is>
      </c>
      <c r="O3251" t="inlineStr">
        <is>
          <t>Familiar</t>
        </is>
      </c>
      <c r="P3251" t="inlineStr">
        <is>
          <t>STATE</t>
        </is>
      </c>
      <c r="Q3251" t="n">
        <v>516.932</v>
      </c>
      <c r="R3251" t="n">
        <v>517.299</v>
      </c>
      <c r="S3251" t="n">
        <v>0.367</v>
      </c>
      <c r="T3251" t="inlineStr">
        <is>
          <t>C:/Users/manuel.felline/Documents/BEHAVIOR BTBR/NOR second cohort/BTBR/test/c10_f5.mp4</t>
        </is>
      </c>
      <c r="U3251" t="n">
        <v>15689</v>
      </c>
      <c r="V3251" t="n">
        <v>15700</v>
      </c>
      <c r="W3251" t="n">
        <v/>
      </c>
      <c r="X3251" t="n">
        <v/>
      </c>
      <c r="Y3251" t="n">
        <v/>
      </c>
      <c r="Z3251" t="n">
        <v/>
      </c>
      <c r="AA3251">
        <f>SUMIFS($S$2:S3251,$A$2:A3251,A3251,$N$2:N3251,"Explore*")</f>
        <v/>
      </c>
      <c r="AB3251">
        <f>IF(AND(LEFT(N3251,7)="Explore",(AA3251-IF(LEFT(N3251,7)="Explore",S3251,0))&lt;10),"SI","NO")</f>
        <v/>
      </c>
    </row>
    <row r="3252">
      <c r="A3252" t="inlineStr">
        <is>
          <t>c10f5_test</t>
        </is>
      </c>
      <c r="B3252" t="inlineStr">
        <is>
          <t>2026-06-25 16:38:10.789</t>
        </is>
      </c>
      <c r="C3252" t="n">
        <v/>
      </c>
      <c r="D3252" t="inlineStr">
        <is>
          <t>Media file</t>
        </is>
      </c>
      <c r="E3252" t="inlineStr">
        <is>
          <t>player #1:C:/Users/manuel.felline/Documents/BEHAVIOR BTBR/NOR second cohort/BTBR/test/c10_f5.mp4</t>
        </is>
      </c>
      <c r="F3252" t="n">
        <v>-6.167</v>
      </c>
      <c r="G3252" t="n">
        <v>590.266</v>
      </c>
      <c r="H3252" t="n">
        <v>646.6660000000001</v>
      </c>
      <c r="I3252" t="n">
        <v>30</v>
      </c>
      <c r="J3252" t="inlineStr">
        <is>
          <t>BTBR</t>
        </is>
      </c>
      <c r="K3252" t="inlineStr">
        <is>
          <t xml:space="preserve"> Female</t>
        </is>
      </c>
      <c r="L3252" t="inlineStr">
        <is>
          <t>No focal subject</t>
        </is>
      </c>
      <c r="M3252" t="n">
        <v>37.701</v>
      </c>
      <c r="N3252" t="inlineStr">
        <is>
          <t>Explore_N</t>
        </is>
      </c>
      <c r="O3252" t="inlineStr">
        <is>
          <t>Novelty</t>
        </is>
      </c>
      <c r="P3252" t="inlineStr">
        <is>
          <t>STATE</t>
        </is>
      </c>
      <c r="Q3252" t="n">
        <v>523.232</v>
      </c>
      <c r="R3252" t="n">
        <v>524.199</v>
      </c>
      <c r="S3252" t="n">
        <v>0.967</v>
      </c>
      <c r="T3252" t="inlineStr">
        <is>
          <t>C:/Users/manuel.felline/Documents/BEHAVIOR BTBR/NOR second cohort/BTBR/test/c10_f5.mp4</t>
        </is>
      </c>
      <c r="U3252" t="n">
        <v>15878</v>
      </c>
      <c r="V3252" t="n">
        <v>15907</v>
      </c>
      <c r="W3252" t="n">
        <v/>
      </c>
      <c r="X3252" t="n">
        <v/>
      </c>
      <c r="Y3252" t="n">
        <v/>
      </c>
      <c r="Z3252" t="n">
        <v/>
      </c>
      <c r="AA3252">
        <f>SUMIFS($S$2:S3252,$A$2:A3252,A3252,$N$2:N3252,"Explore*")</f>
        <v/>
      </c>
      <c r="AB3252">
        <f>IF(AND(LEFT(N3252,7)="Explore",(AA3252-IF(LEFT(N3252,7)="Explore",S3252,0))&lt;10),"SI","NO")</f>
        <v/>
      </c>
    </row>
    <row r="3253">
      <c r="A3253" t="inlineStr">
        <is>
          <t>c10f5_test</t>
        </is>
      </c>
      <c r="B3253" t="inlineStr">
        <is>
          <t>2026-06-25 16:38:10.789</t>
        </is>
      </c>
      <c r="C3253" t="n">
        <v/>
      </c>
      <c r="D3253" t="inlineStr">
        <is>
          <t>Media file</t>
        </is>
      </c>
      <c r="E3253" t="inlineStr">
        <is>
          <t>player #1:C:/Users/manuel.felline/Documents/BEHAVIOR BTBR/NOR second cohort/BTBR/test/c10_f5.mp4</t>
        </is>
      </c>
      <c r="F3253" t="n">
        <v>-6.167</v>
      </c>
      <c r="G3253" t="n">
        <v>590.266</v>
      </c>
      <c r="H3253" t="n">
        <v>646.6660000000001</v>
      </c>
      <c r="I3253" t="n">
        <v>30</v>
      </c>
      <c r="J3253" t="inlineStr">
        <is>
          <t>BTBR</t>
        </is>
      </c>
      <c r="K3253" t="inlineStr">
        <is>
          <t xml:space="preserve"> Female</t>
        </is>
      </c>
      <c r="L3253" t="inlineStr">
        <is>
          <t>No focal subject</t>
        </is>
      </c>
      <c r="M3253" t="n">
        <v>37.701</v>
      </c>
      <c r="N3253" t="inlineStr">
        <is>
          <t>Explore_F</t>
        </is>
      </c>
      <c r="O3253" t="inlineStr">
        <is>
          <t>Familiar</t>
        </is>
      </c>
      <c r="P3253" t="inlineStr">
        <is>
          <t>STATE</t>
        </is>
      </c>
      <c r="Q3253" t="n">
        <v>538.999</v>
      </c>
      <c r="R3253" t="n">
        <v>539.332</v>
      </c>
      <c r="S3253" t="n">
        <v>0.333</v>
      </c>
      <c r="T3253" t="inlineStr">
        <is>
          <t>C:/Users/manuel.felline/Documents/BEHAVIOR BTBR/NOR second cohort/BTBR/test/c10_f5.mp4</t>
        </is>
      </c>
      <c r="U3253" t="n">
        <v>16351</v>
      </c>
      <c r="V3253" t="n">
        <v>16361</v>
      </c>
      <c r="W3253" t="n">
        <v/>
      </c>
      <c r="X3253" t="n">
        <v/>
      </c>
      <c r="Y3253" t="n">
        <v/>
      </c>
      <c r="Z3253" t="n">
        <v/>
      </c>
      <c r="AA3253">
        <f>SUMIFS($S$2:S3253,$A$2:A3253,A3253,$N$2:N3253,"Explore*")</f>
        <v/>
      </c>
      <c r="AB3253">
        <f>IF(AND(LEFT(N3253,7)="Explore",(AA3253-IF(LEFT(N3253,7)="Explore",S3253,0))&lt;10),"SI","NO")</f>
        <v/>
      </c>
    </row>
    <row r="3254">
      <c r="A3254" t="inlineStr">
        <is>
          <t>c10f5_test</t>
        </is>
      </c>
      <c r="B3254" t="inlineStr">
        <is>
          <t>2026-06-25 16:38:10.789</t>
        </is>
      </c>
      <c r="C3254" t="n">
        <v/>
      </c>
      <c r="D3254" t="inlineStr">
        <is>
          <t>Media file</t>
        </is>
      </c>
      <c r="E3254" t="inlineStr">
        <is>
          <t>player #1:C:/Users/manuel.felline/Documents/BEHAVIOR BTBR/NOR second cohort/BTBR/test/c10_f5.mp4</t>
        </is>
      </c>
      <c r="F3254" t="n">
        <v>-6.167</v>
      </c>
      <c r="G3254" t="n">
        <v>590.266</v>
      </c>
      <c r="H3254" t="n">
        <v>646.6660000000001</v>
      </c>
      <c r="I3254" t="n">
        <v>30</v>
      </c>
      <c r="J3254" t="inlineStr">
        <is>
          <t>BTBR</t>
        </is>
      </c>
      <c r="K3254" t="inlineStr">
        <is>
          <t xml:space="preserve"> Female</t>
        </is>
      </c>
      <c r="L3254" t="inlineStr">
        <is>
          <t>No focal subject</t>
        </is>
      </c>
      <c r="M3254" t="n">
        <v>37.701</v>
      </c>
      <c r="N3254" t="inlineStr">
        <is>
          <t>Explore_N</t>
        </is>
      </c>
      <c r="O3254" t="inlineStr">
        <is>
          <t>Novelty</t>
        </is>
      </c>
      <c r="P3254" t="inlineStr">
        <is>
          <t>STATE</t>
        </is>
      </c>
      <c r="Q3254" t="n">
        <v>566.499</v>
      </c>
      <c r="R3254" t="n">
        <v>568.299</v>
      </c>
      <c r="S3254" t="n">
        <v>1.8</v>
      </c>
      <c r="T3254" t="inlineStr">
        <is>
          <t>C:/Users/manuel.felline/Documents/BEHAVIOR BTBR/NOR second cohort/BTBR/test/c10_f5.mp4</t>
        </is>
      </c>
      <c r="U3254" t="n">
        <v>17176</v>
      </c>
      <c r="V3254" t="n">
        <v>17230</v>
      </c>
      <c r="W3254" t="n">
        <v/>
      </c>
      <c r="X3254" t="n">
        <v/>
      </c>
      <c r="Y3254" t="n">
        <v/>
      </c>
      <c r="Z3254" t="n">
        <v/>
      </c>
      <c r="AA3254">
        <f>SUMIFS($S$2:S3254,$A$2:A3254,A3254,$N$2:N3254,"Explore*")</f>
        <v/>
      </c>
      <c r="AB3254">
        <f>IF(AND(LEFT(N3254,7)="Explore",(AA3254-IF(LEFT(N3254,7)="Explore",S3254,0))&lt;10),"SI","NO")</f>
        <v/>
      </c>
    </row>
    <row r="3255">
      <c r="A3255" t="inlineStr">
        <is>
          <t>c10f5_test</t>
        </is>
      </c>
      <c r="B3255" t="inlineStr">
        <is>
          <t>2026-06-25 16:38:10.789</t>
        </is>
      </c>
      <c r="C3255" t="n">
        <v/>
      </c>
      <c r="D3255" t="inlineStr">
        <is>
          <t>Media file</t>
        </is>
      </c>
      <c r="E3255" t="inlineStr">
        <is>
          <t>player #1:C:/Users/manuel.felline/Documents/BEHAVIOR BTBR/NOR second cohort/BTBR/test/c10_f5.mp4</t>
        </is>
      </c>
      <c r="F3255" t="n">
        <v>-6.167</v>
      </c>
      <c r="G3255" t="n">
        <v>590.266</v>
      </c>
      <c r="H3255" t="n">
        <v>646.6660000000001</v>
      </c>
      <c r="I3255" t="n">
        <v>30</v>
      </c>
      <c r="J3255" t="inlineStr">
        <is>
          <t>BTBR</t>
        </is>
      </c>
      <c r="K3255" t="inlineStr">
        <is>
          <t xml:space="preserve"> Female</t>
        </is>
      </c>
      <c r="L3255" t="inlineStr">
        <is>
          <t>No focal subject</t>
        </is>
      </c>
      <c r="M3255" t="n">
        <v>37.701</v>
      </c>
      <c r="N3255" t="inlineStr">
        <is>
          <t>Explore_N</t>
        </is>
      </c>
      <c r="O3255" t="inlineStr">
        <is>
          <t>Novelty</t>
        </is>
      </c>
      <c r="P3255" t="inlineStr">
        <is>
          <t>STATE</t>
        </is>
      </c>
      <c r="Q3255" t="n">
        <v>576.032</v>
      </c>
      <c r="R3255" t="n">
        <v>577.1660000000001</v>
      </c>
      <c r="S3255" t="n">
        <v>1.134</v>
      </c>
      <c r="T3255" t="inlineStr">
        <is>
          <t>C:/Users/manuel.felline/Documents/BEHAVIOR BTBR/NOR second cohort/BTBR/test/c10_f5.mp4</t>
        </is>
      </c>
      <c r="U3255" t="n">
        <v>17462</v>
      </c>
      <c r="V3255" t="n">
        <v>17496</v>
      </c>
      <c r="W3255" t="n">
        <v/>
      </c>
      <c r="X3255" t="n">
        <v/>
      </c>
      <c r="Y3255" t="n">
        <v/>
      </c>
      <c r="Z3255" t="n">
        <v/>
      </c>
      <c r="AA3255">
        <f>SUMIFS($S$2:S3255,$A$2:A3255,A3255,$N$2:N3255,"Explore*")</f>
        <v/>
      </c>
      <c r="AB3255">
        <f>IF(AND(LEFT(N3255,7)="Explore",(AA3255-IF(LEFT(N3255,7)="Explore",S3255,0))&lt;10),"SI","NO")</f>
        <v/>
      </c>
    </row>
    <row r="3256">
      <c r="A3256" t="inlineStr">
        <is>
          <t>c10f5_test</t>
        </is>
      </c>
      <c r="B3256" t="inlineStr">
        <is>
          <t>2026-06-25 16:38:10.789</t>
        </is>
      </c>
      <c r="C3256" t="n">
        <v/>
      </c>
      <c r="D3256" t="inlineStr">
        <is>
          <t>Media file</t>
        </is>
      </c>
      <c r="E3256" t="inlineStr">
        <is>
          <t>player #1:C:/Users/manuel.felline/Documents/BEHAVIOR BTBR/NOR second cohort/BTBR/test/c10_f5.mp4</t>
        </is>
      </c>
      <c r="F3256" t="n">
        <v>-6.167</v>
      </c>
      <c r="G3256" t="n">
        <v>590.266</v>
      </c>
      <c r="H3256" t="n">
        <v>646.6660000000001</v>
      </c>
      <c r="I3256" t="n">
        <v>30</v>
      </c>
      <c r="J3256" t="inlineStr">
        <is>
          <t>BTBR</t>
        </is>
      </c>
      <c r="K3256" t="inlineStr">
        <is>
          <t xml:space="preserve"> Female</t>
        </is>
      </c>
      <c r="L3256" t="inlineStr">
        <is>
          <t>No focal subject</t>
        </is>
      </c>
      <c r="M3256" t="n">
        <v>37.701</v>
      </c>
      <c r="N3256" t="inlineStr">
        <is>
          <t>Explore_N</t>
        </is>
      </c>
      <c r="O3256" t="inlineStr">
        <is>
          <t>Novelty</t>
        </is>
      </c>
      <c r="P3256" t="inlineStr">
        <is>
          <t>STATE</t>
        </is>
      </c>
      <c r="Q3256" t="n">
        <v>578.6319999999999</v>
      </c>
      <c r="R3256" t="n">
        <v>579.466</v>
      </c>
      <c r="S3256" t="n">
        <v>0.834</v>
      </c>
      <c r="T3256" t="inlineStr">
        <is>
          <t>C:/Users/manuel.felline/Documents/BEHAVIOR BTBR/NOR second cohort/BTBR/test/c10_f5.mp4</t>
        </is>
      </c>
      <c r="U3256" t="n">
        <v>17540</v>
      </c>
      <c r="V3256" t="n">
        <v>17565</v>
      </c>
      <c r="W3256" t="n">
        <v/>
      </c>
      <c r="X3256" t="n">
        <v/>
      </c>
      <c r="Y3256" t="n">
        <v/>
      </c>
      <c r="Z3256" t="n">
        <v/>
      </c>
      <c r="AA3256">
        <f>SUMIFS($S$2:S3256,$A$2:A3256,A3256,$N$2:N3256,"Explore*")</f>
        <v/>
      </c>
      <c r="AB3256">
        <f>IF(AND(LEFT(N3256,7)="Explore",(AA3256-IF(LEFT(N3256,7)="Explore",S3256,0))&lt;10),"SI","NO")</f>
        <v/>
      </c>
    </row>
    <row r="3257">
      <c r="A3257" t="inlineStr">
        <is>
          <t>c10f5_test</t>
        </is>
      </c>
      <c r="B3257" t="inlineStr">
        <is>
          <t>2026-06-25 16:38:10.789</t>
        </is>
      </c>
      <c r="C3257" t="n">
        <v/>
      </c>
      <c r="D3257" t="inlineStr">
        <is>
          <t>Media file</t>
        </is>
      </c>
      <c r="E3257" t="inlineStr">
        <is>
          <t>player #1:C:/Users/manuel.felline/Documents/BEHAVIOR BTBR/NOR second cohort/BTBR/test/c10_f5.mp4</t>
        </is>
      </c>
      <c r="F3257" t="n">
        <v>-6.167</v>
      </c>
      <c r="G3257" t="n">
        <v>590.266</v>
      </c>
      <c r="H3257" t="n">
        <v>646.6660000000001</v>
      </c>
      <c r="I3257" t="n">
        <v>30</v>
      </c>
      <c r="J3257" t="inlineStr">
        <is>
          <t>BTBR</t>
        </is>
      </c>
      <c r="K3257" t="inlineStr">
        <is>
          <t xml:space="preserve"> Female</t>
        </is>
      </c>
      <c r="L3257" t="inlineStr">
        <is>
          <t>No focal subject</t>
        </is>
      </c>
      <c r="M3257" t="n">
        <v>37.701</v>
      </c>
      <c r="N3257" t="inlineStr">
        <is>
          <t>Explore_F</t>
        </is>
      </c>
      <c r="O3257" t="inlineStr">
        <is>
          <t>Familiar</t>
        </is>
      </c>
      <c r="P3257" t="inlineStr">
        <is>
          <t>STATE</t>
        </is>
      </c>
      <c r="Q3257" t="n">
        <v>590.766</v>
      </c>
      <c r="R3257" t="n">
        <v>591.1660000000001</v>
      </c>
      <c r="S3257" t="n">
        <v>0.4</v>
      </c>
      <c r="T3257" t="inlineStr">
        <is>
          <t>C:/Users/manuel.felline/Documents/BEHAVIOR BTBR/NOR second cohort/BTBR/test/c10_f5.mp4</t>
        </is>
      </c>
      <c r="U3257" t="n">
        <v>17904</v>
      </c>
      <c r="V3257" t="n">
        <v>17916</v>
      </c>
      <c r="W3257" t="n">
        <v/>
      </c>
      <c r="X3257" t="n">
        <v/>
      </c>
      <c r="Y3257" t="n">
        <v/>
      </c>
      <c r="Z3257" t="n">
        <v/>
      </c>
      <c r="AA3257">
        <f>SUMIFS($S$2:S3257,$A$2:A3257,A3257,$N$2:N3257,"Explore*")</f>
        <v/>
      </c>
      <c r="AB3257">
        <f>IF(AND(LEFT(N3257,7)="Explore",(AA3257-IF(LEFT(N3257,7)="Explore",S3257,0))&lt;10),"SI","NO")</f>
        <v/>
      </c>
    </row>
    <row r="3258">
      <c r="A3258" t="inlineStr">
        <is>
          <t>c10f6_test</t>
        </is>
      </c>
      <c r="B3258" t="inlineStr">
        <is>
          <t>2026-06-29 17:20:25.158</t>
        </is>
      </c>
      <c r="C3258" t="n">
        <v/>
      </c>
      <c r="D3258" t="inlineStr">
        <is>
          <t>Media file</t>
        </is>
      </c>
      <c r="E3258" t="inlineStr">
        <is>
          <t>player #1:C:/Users/manuel.felline/Documents/BEHAVIOR BTBR/NOR second cohort/BTBR/test/c10_f6.mp4</t>
        </is>
      </c>
      <c r="F3258" t="n">
        <v>-13.967</v>
      </c>
      <c r="G3258" t="n">
        <v>576.1660000000001</v>
      </c>
      <c r="H3258" t="n">
        <v>756.366</v>
      </c>
      <c r="I3258" t="n">
        <v>30</v>
      </c>
      <c r="J3258" t="inlineStr">
        <is>
          <t>BTBR</t>
        </is>
      </c>
      <c r="K3258" t="inlineStr">
        <is>
          <t xml:space="preserve"> Female</t>
        </is>
      </c>
      <c r="L3258" t="inlineStr">
        <is>
          <t>No focal subject</t>
        </is>
      </c>
      <c r="M3258" t="n">
        <v>56.664</v>
      </c>
      <c r="N3258" t="inlineStr">
        <is>
          <t>Explore_N</t>
        </is>
      </c>
      <c r="O3258" t="inlineStr">
        <is>
          <t>Novelty</t>
        </is>
      </c>
      <c r="P3258" t="inlineStr">
        <is>
          <t>STATE</t>
        </is>
      </c>
      <c r="Q3258" t="n">
        <v>21.566</v>
      </c>
      <c r="R3258" t="n">
        <v>22.766</v>
      </c>
      <c r="S3258" t="n">
        <v>1.2</v>
      </c>
      <c r="T3258" t="inlineStr">
        <is>
          <t>C:/Users/manuel.felline/Documents/BEHAVIOR BTBR/NOR second cohort/BTBR/test/c10_f6.mp4</t>
        </is>
      </c>
      <c r="U3258" t="n">
        <v>1066</v>
      </c>
      <c r="V3258" t="n">
        <v>1102</v>
      </c>
      <c r="W3258" t="n">
        <v/>
      </c>
      <c r="X3258" t="n">
        <v/>
      </c>
      <c r="Y3258" t="n">
        <v/>
      </c>
      <c r="Z3258" t="n">
        <v/>
      </c>
      <c r="AA3258">
        <f>SUMIFS($S$2:S3258,$A$2:A3258,A3258,$N$2:N3258,"Explore*")</f>
        <v/>
      </c>
      <c r="AB3258">
        <f>IF(AND(LEFT(N3258,7)="Explore",(AA3258-IF(LEFT(N3258,7)="Explore",S3258,0))&lt;10),"SI","NO")</f>
        <v/>
      </c>
    </row>
    <row r="3259">
      <c r="A3259" t="inlineStr">
        <is>
          <t>c10f6_test</t>
        </is>
      </c>
      <c r="B3259" t="inlineStr">
        <is>
          <t>2026-06-29 17:20:25.158</t>
        </is>
      </c>
      <c r="C3259" t="n">
        <v/>
      </c>
      <c r="D3259" t="inlineStr">
        <is>
          <t>Media file</t>
        </is>
      </c>
      <c r="E3259" t="inlineStr">
        <is>
          <t>player #1:C:/Users/manuel.felline/Documents/BEHAVIOR BTBR/NOR second cohort/BTBR/test/c10_f6.mp4</t>
        </is>
      </c>
      <c r="F3259" t="n">
        <v>-13.967</v>
      </c>
      <c r="G3259" t="n">
        <v>576.1660000000001</v>
      </c>
      <c r="H3259" t="n">
        <v>756.366</v>
      </c>
      <c r="I3259" t="n">
        <v>30</v>
      </c>
      <c r="J3259" t="inlineStr">
        <is>
          <t>BTBR</t>
        </is>
      </c>
      <c r="K3259" t="inlineStr">
        <is>
          <t xml:space="preserve"> Female</t>
        </is>
      </c>
      <c r="L3259" t="inlineStr">
        <is>
          <t>No focal subject</t>
        </is>
      </c>
      <c r="M3259" t="n">
        <v>56.664</v>
      </c>
      <c r="N3259" t="inlineStr">
        <is>
          <t>Explore_F</t>
        </is>
      </c>
      <c r="O3259" t="inlineStr">
        <is>
          <t>Familiar</t>
        </is>
      </c>
      <c r="P3259" t="inlineStr">
        <is>
          <t>STATE</t>
        </is>
      </c>
      <c r="Q3259" t="n">
        <v>28.366</v>
      </c>
      <c r="R3259" t="n">
        <v>28.633</v>
      </c>
      <c r="S3259" t="n">
        <v>0.267</v>
      </c>
      <c r="T3259" t="inlineStr">
        <is>
          <t>C:/Users/manuel.felline/Documents/BEHAVIOR BTBR/NOR second cohort/BTBR/test/c10_f6.mp4</t>
        </is>
      </c>
      <c r="U3259" t="n">
        <v>1270</v>
      </c>
      <c r="V3259" t="n">
        <v>1278</v>
      </c>
      <c r="W3259" t="n">
        <v/>
      </c>
      <c r="X3259" t="n">
        <v/>
      </c>
      <c r="Y3259" t="n">
        <v/>
      </c>
      <c r="Z3259" t="n">
        <v/>
      </c>
      <c r="AA3259">
        <f>SUMIFS($S$2:S3259,$A$2:A3259,A3259,$N$2:N3259,"Explore*")</f>
        <v/>
      </c>
      <c r="AB3259">
        <f>IF(AND(LEFT(N3259,7)="Explore",(AA3259-IF(LEFT(N3259,7)="Explore",S3259,0))&lt;10),"SI","NO")</f>
        <v/>
      </c>
    </row>
    <row r="3260">
      <c r="A3260" t="inlineStr">
        <is>
          <t>c10f6_test</t>
        </is>
      </c>
      <c r="B3260" t="inlineStr">
        <is>
          <t>2026-06-29 17:20:25.158</t>
        </is>
      </c>
      <c r="C3260" t="n">
        <v/>
      </c>
      <c r="D3260" t="inlineStr">
        <is>
          <t>Media file</t>
        </is>
      </c>
      <c r="E3260" t="inlineStr">
        <is>
          <t>player #1:C:/Users/manuel.felline/Documents/BEHAVIOR BTBR/NOR second cohort/BTBR/test/c10_f6.mp4</t>
        </is>
      </c>
      <c r="F3260" t="n">
        <v>-13.967</v>
      </c>
      <c r="G3260" t="n">
        <v>576.1660000000001</v>
      </c>
      <c r="H3260" t="n">
        <v>756.366</v>
      </c>
      <c r="I3260" t="n">
        <v>30</v>
      </c>
      <c r="J3260" t="inlineStr">
        <is>
          <t>BTBR</t>
        </is>
      </c>
      <c r="K3260" t="inlineStr">
        <is>
          <t xml:space="preserve"> Female</t>
        </is>
      </c>
      <c r="L3260" t="inlineStr">
        <is>
          <t>No focal subject</t>
        </is>
      </c>
      <c r="M3260" t="n">
        <v>56.664</v>
      </c>
      <c r="N3260" t="inlineStr">
        <is>
          <t>Explore_N</t>
        </is>
      </c>
      <c r="O3260" t="inlineStr">
        <is>
          <t>Novelty</t>
        </is>
      </c>
      <c r="P3260" t="inlineStr">
        <is>
          <t>STATE</t>
        </is>
      </c>
      <c r="Q3260" t="n">
        <v>32.833</v>
      </c>
      <c r="R3260" t="n">
        <v>33.966</v>
      </c>
      <c r="S3260" t="n">
        <v>1.133</v>
      </c>
      <c r="T3260" t="inlineStr">
        <is>
          <t>C:/Users/manuel.felline/Documents/BEHAVIOR BTBR/NOR second cohort/BTBR/test/c10_f6.mp4</t>
        </is>
      </c>
      <c r="U3260" t="n">
        <v>1404</v>
      </c>
      <c r="V3260" t="n">
        <v>1438</v>
      </c>
      <c r="W3260" t="n">
        <v/>
      </c>
      <c r="X3260" t="n">
        <v/>
      </c>
      <c r="Y3260" t="n">
        <v/>
      </c>
      <c r="Z3260" t="n">
        <v/>
      </c>
      <c r="AA3260">
        <f>SUMIFS($S$2:S3260,$A$2:A3260,A3260,$N$2:N3260,"Explore*")</f>
        <v/>
      </c>
      <c r="AB3260">
        <f>IF(AND(LEFT(N3260,7)="Explore",(AA3260-IF(LEFT(N3260,7)="Explore",S3260,0))&lt;10),"SI","NO")</f>
        <v/>
      </c>
    </row>
    <row r="3261">
      <c r="A3261" t="inlineStr">
        <is>
          <t>c10f6_test</t>
        </is>
      </c>
      <c r="B3261" t="inlineStr">
        <is>
          <t>2026-06-29 17:20:25.158</t>
        </is>
      </c>
      <c r="C3261" t="n">
        <v/>
      </c>
      <c r="D3261" t="inlineStr">
        <is>
          <t>Media file</t>
        </is>
      </c>
      <c r="E3261" t="inlineStr">
        <is>
          <t>player #1:C:/Users/manuel.felline/Documents/BEHAVIOR BTBR/NOR second cohort/BTBR/test/c10_f6.mp4</t>
        </is>
      </c>
      <c r="F3261" t="n">
        <v>-13.967</v>
      </c>
      <c r="G3261" t="n">
        <v>576.1660000000001</v>
      </c>
      <c r="H3261" t="n">
        <v>756.366</v>
      </c>
      <c r="I3261" t="n">
        <v>30</v>
      </c>
      <c r="J3261" t="inlineStr">
        <is>
          <t>BTBR</t>
        </is>
      </c>
      <c r="K3261" t="inlineStr">
        <is>
          <t xml:space="preserve"> Female</t>
        </is>
      </c>
      <c r="L3261" t="inlineStr">
        <is>
          <t>No focal subject</t>
        </is>
      </c>
      <c r="M3261" t="n">
        <v>56.664</v>
      </c>
      <c r="N3261" t="inlineStr">
        <is>
          <t>Explore_F</t>
        </is>
      </c>
      <c r="O3261" t="inlineStr">
        <is>
          <t>Familiar</t>
        </is>
      </c>
      <c r="P3261" t="inlineStr">
        <is>
          <t>STATE</t>
        </is>
      </c>
      <c r="Q3261" t="n">
        <v>34.7</v>
      </c>
      <c r="R3261" t="n">
        <v>35.3</v>
      </c>
      <c r="S3261" t="n">
        <v>0.6</v>
      </c>
      <c r="T3261" t="inlineStr">
        <is>
          <t>C:/Users/manuel.felline/Documents/BEHAVIOR BTBR/NOR second cohort/BTBR/test/c10_f6.mp4</t>
        </is>
      </c>
      <c r="U3261" t="n">
        <v>1460</v>
      </c>
      <c r="V3261" t="n">
        <v>1478</v>
      </c>
      <c r="W3261" t="n">
        <v/>
      </c>
      <c r="X3261" t="n">
        <v/>
      </c>
      <c r="Y3261" t="n">
        <v/>
      </c>
      <c r="Z3261" t="n">
        <v/>
      </c>
      <c r="AA3261">
        <f>SUMIFS($S$2:S3261,$A$2:A3261,A3261,$N$2:N3261,"Explore*")</f>
        <v/>
      </c>
      <c r="AB3261">
        <f>IF(AND(LEFT(N3261,7)="Explore",(AA3261-IF(LEFT(N3261,7)="Explore",S3261,0))&lt;10),"SI","NO")</f>
        <v/>
      </c>
    </row>
    <row r="3262">
      <c r="A3262" t="inlineStr">
        <is>
          <t>c10f6_test</t>
        </is>
      </c>
      <c r="B3262" t="inlineStr">
        <is>
          <t>2026-06-29 17:20:25.158</t>
        </is>
      </c>
      <c r="C3262" t="n">
        <v/>
      </c>
      <c r="D3262" t="inlineStr">
        <is>
          <t>Media file</t>
        </is>
      </c>
      <c r="E3262" t="inlineStr">
        <is>
          <t>player #1:C:/Users/manuel.felline/Documents/BEHAVIOR BTBR/NOR second cohort/BTBR/test/c10_f6.mp4</t>
        </is>
      </c>
      <c r="F3262" t="n">
        <v>-13.967</v>
      </c>
      <c r="G3262" t="n">
        <v>576.1660000000001</v>
      </c>
      <c r="H3262" t="n">
        <v>756.366</v>
      </c>
      <c r="I3262" t="n">
        <v>30</v>
      </c>
      <c r="J3262" t="inlineStr">
        <is>
          <t>BTBR</t>
        </is>
      </c>
      <c r="K3262" t="inlineStr">
        <is>
          <t xml:space="preserve"> Female</t>
        </is>
      </c>
      <c r="L3262" t="inlineStr">
        <is>
          <t>No focal subject</t>
        </is>
      </c>
      <c r="M3262" t="n">
        <v>56.664</v>
      </c>
      <c r="N3262" t="inlineStr">
        <is>
          <t>Explore_N</t>
        </is>
      </c>
      <c r="O3262" t="inlineStr">
        <is>
          <t>Novelty</t>
        </is>
      </c>
      <c r="P3262" t="inlineStr">
        <is>
          <t>STATE</t>
        </is>
      </c>
      <c r="Q3262" t="n">
        <v>47.033</v>
      </c>
      <c r="R3262" t="n">
        <v>47.933</v>
      </c>
      <c r="S3262" t="n">
        <v>0.9</v>
      </c>
      <c r="T3262" t="inlineStr">
        <is>
          <t>C:/Users/manuel.felline/Documents/BEHAVIOR BTBR/NOR second cohort/BTBR/test/c10_f6.mp4</t>
        </is>
      </c>
      <c r="U3262" t="n">
        <v>1830</v>
      </c>
      <c r="V3262" t="n">
        <v>1857</v>
      </c>
      <c r="W3262" t="n">
        <v/>
      </c>
      <c r="X3262" t="n">
        <v/>
      </c>
      <c r="Y3262" t="n">
        <v/>
      </c>
      <c r="Z3262" t="n">
        <v/>
      </c>
      <c r="AA3262">
        <f>SUMIFS($S$2:S3262,$A$2:A3262,A3262,$N$2:N3262,"Explore*")</f>
        <v/>
      </c>
      <c r="AB3262">
        <f>IF(AND(LEFT(N3262,7)="Explore",(AA3262-IF(LEFT(N3262,7)="Explore",S3262,0))&lt;10),"SI","NO")</f>
        <v/>
      </c>
    </row>
    <row r="3263">
      <c r="A3263" t="inlineStr">
        <is>
          <t>c10f6_test</t>
        </is>
      </c>
      <c r="B3263" t="inlineStr">
        <is>
          <t>2026-06-29 17:20:25.158</t>
        </is>
      </c>
      <c r="C3263" t="n">
        <v/>
      </c>
      <c r="D3263" t="inlineStr">
        <is>
          <t>Media file</t>
        </is>
      </c>
      <c r="E3263" t="inlineStr">
        <is>
          <t>player #1:C:/Users/manuel.felline/Documents/BEHAVIOR BTBR/NOR second cohort/BTBR/test/c10_f6.mp4</t>
        </is>
      </c>
      <c r="F3263" t="n">
        <v>-13.967</v>
      </c>
      <c r="G3263" t="n">
        <v>576.1660000000001</v>
      </c>
      <c r="H3263" t="n">
        <v>756.366</v>
      </c>
      <c r="I3263" t="n">
        <v>30</v>
      </c>
      <c r="J3263" t="inlineStr">
        <is>
          <t>BTBR</t>
        </is>
      </c>
      <c r="K3263" t="inlineStr">
        <is>
          <t xml:space="preserve"> Female</t>
        </is>
      </c>
      <c r="L3263" t="inlineStr">
        <is>
          <t>No focal subject</t>
        </is>
      </c>
      <c r="M3263" t="n">
        <v>56.664</v>
      </c>
      <c r="N3263" t="inlineStr">
        <is>
          <t>Explore_N</t>
        </is>
      </c>
      <c r="O3263" t="inlineStr">
        <is>
          <t>Novelty</t>
        </is>
      </c>
      <c r="P3263" t="inlineStr">
        <is>
          <t>STATE</t>
        </is>
      </c>
      <c r="Q3263" t="n">
        <v>53.533</v>
      </c>
      <c r="R3263" t="n">
        <v>54.866</v>
      </c>
      <c r="S3263" t="n">
        <v>1.333</v>
      </c>
      <c r="T3263" t="inlineStr">
        <is>
          <t>C:/Users/manuel.felline/Documents/BEHAVIOR BTBR/NOR second cohort/BTBR/test/c10_f6.mp4</t>
        </is>
      </c>
      <c r="U3263" t="n">
        <v>2025</v>
      </c>
      <c r="V3263" t="n">
        <v>2065</v>
      </c>
      <c r="W3263" t="n">
        <v/>
      </c>
      <c r="X3263" t="n">
        <v/>
      </c>
      <c r="Y3263" t="n">
        <v/>
      </c>
      <c r="Z3263" t="n">
        <v/>
      </c>
      <c r="AA3263">
        <f>SUMIFS($S$2:S3263,$A$2:A3263,A3263,$N$2:N3263,"Explore*")</f>
        <v/>
      </c>
      <c r="AB3263">
        <f>IF(AND(LEFT(N3263,7)="Explore",(AA3263-IF(LEFT(N3263,7)="Explore",S3263,0))&lt;10),"SI","NO")</f>
        <v/>
      </c>
    </row>
    <row r="3264">
      <c r="A3264" t="inlineStr">
        <is>
          <t>c10f6_test</t>
        </is>
      </c>
      <c r="B3264" t="inlineStr">
        <is>
          <t>2026-06-29 17:20:25.158</t>
        </is>
      </c>
      <c r="C3264" t="n">
        <v/>
      </c>
      <c r="D3264" t="inlineStr">
        <is>
          <t>Media file</t>
        </is>
      </c>
      <c r="E3264" t="inlineStr">
        <is>
          <t>player #1:C:/Users/manuel.felline/Documents/BEHAVIOR BTBR/NOR second cohort/BTBR/test/c10_f6.mp4</t>
        </is>
      </c>
      <c r="F3264" t="n">
        <v>-13.967</v>
      </c>
      <c r="G3264" t="n">
        <v>576.1660000000001</v>
      </c>
      <c r="H3264" t="n">
        <v>756.366</v>
      </c>
      <c r="I3264" t="n">
        <v>30</v>
      </c>
      <c r="J3264" t="inlineStr">
        <is>
          <t>BTBR</t>
        </is>
      </c>
      <c r="K3264" t="inlineStr">
        <is>
          <t xml:space="preserve"> Female</t>
        </is>
      </c>
      <c r="L3264" t="inlineStr">
        <is>
          <t>No focal subject</t>
        </is>
      </c>
      <c r="M3264" t="n">
        <v>56.664</v>
      </c>
      <c r="N3264" t="inlineStr">
        <is>
          <t>Explore_N</t>
        </is>
      </c>
      <c r="O3264" t="inlineStr">
        <is>
          <t>Novelty</t>
        </is>
      </c>
      <c r="P3264" t="inlineStr">
        <is>
          <t>STATE</t>
        </is>
      </c>
      <c r="Q3264" t="n">
        <v>55.833</v>
      </c>
      <c r="R3264" t="n">
        <v>57.633</v>
      </c>
      <c r="S3264" t="n">
        <v>1.8</v>
      </c>
      <c r="T3264" t="inlineStr">
        <is>
          <t>C:/Users/manuel.felline/Documents/BEHAVIOR BTBR/NOR second cohort/BTBR/test/c10_f6.mp4</t>
        </is>
      </c>
      <c r="U3264" t="n">
        <v>2094</v>
      </c>
      <c r="V3264" t="n">
        <v>2148</v>
      </c>
      <c r="W3264" t="n">
        <v/>
      </c>
      <c r="X3264" t="n">
        <v/>
      </c>
      <c r="Y3264" t="n">
        <v/>
      </c>
      <c r="Z3264" t="n">
        <v/>
      </c>
      <c r="AA3264">
        <f>SUMIFS($S$2:S3264,$A$2:A3264,A3264,$N$2:N3264,"Explore*")</f>
        <v/>
      </c>
      <c r="AB3264">
        <f>IF(AND(LEFT(N3264,7)="Explore",(AA3264-IF(LEFT(N3264,7)="Explore",S3264,0))&lt;10),"SI","NO")</f>
        <v/>
      </c>
    </row>
    <row r="3265">
      <c r="A3265" t="inlineStr">
        <is>
          <t>c10f6_test</t>
        </is>
      </c>
      <c r="B3265" t="inlineStr">
        <is>
          <t>2026-06-29 17:20:25.158</t>
        </is>
      </c>
      <c r="C3265" t="n">
        <v/>
      </c>
      <c r="D3265" t="inlineStr">
        <is>
          <t>Media file</t>
        </is>
      </c>
      <c r="E3265" t="inlineStr">
        <is>
          <t>player #1:C:/Users/manuel.felline/Documents/BEHAVIOR BTBR/NOR second cohort/BTBR/test/c10_f6.mp4</t>
        </is>
      </c>
      <c r="F3265" t="n">
        <v>-13.967</v>
      </c>
      <c r="G3265" t="n">
        <v>576.1660000000001</v>
      </c>
      <c r="H3265" t="n">
        <v>756.366</v>
      </c>
      <c r="I3265" t="n">
        <v>30</v>
      </c>
      <c r="J3265" t="inlineStr">
        <is>
          <t>BTBR</t>
        </is>
      </c>
      <c r="K3265" t="inlineStr">
        <is>
          <t xml:space="preserve"> Female</t>
        </is>
      </c>
      <c r="L3265" t="inlineStr">
        <is>
          <t>No focal subject</t>
        </is>
      </c>
      <c r="M3265" t="n">
        <v>56.664</v>
      </c>
      <c r="N3265" t="inlineStr">
        <is>
          <t>Explore_F</t>
        </is>
      </c>
      <c r="O3265" t="inlineStr">
        <is>
          <t>Familiar</t>
        </is>
      </c>
      <c r="P3265" t="inlineStr">
        <is>
          <t>STATE</t>
        </is>
      </c>
      <c r="Q3265" t="n">
        <v>59.2</v>
      </c>
      <c r="R3265" t="n">
        <v>60.2</v>
      </c>
      <c r="S3265" t="n">
        <v>1</v>
      </c>
      <c r="T3265" t="inlineStr">
        <is>
          <t>C:/Users/manuel.felline/Documents/BEHAVIOR BTBR/NOR second cohort/BTBR/test/c10_f6.mp4</t>
        </is>
      </c>
      <c r="U3265" t="n">
        <v>2195</v>
      </c>
      <c r="V3265" t="n">
        <v>2225</v>
      </c>
      <c r="W3265" t="n">
        <v/>
      </c>
      <c r="X3265" t="n">
        <v/>
      </c>
      <c r="Y3265" t="n">
        <v/>
      </c>
      <c r="Z3265" t="n">
        <v/>
      </c>
      <c r="AA3265">
        <f>SUMIFS($S$2:S3265,$A$2:A3265,A3265,$N$2:N3265,"Explore*")</f>
        <v/>
      </c>
      <c r="AB3265">
        <f>IF(AND(LEFT(N3265,7)="Explore",(AA3265-IF(LEFT(N3265,7)="Explore",S3265,0))&lt;10),"SI","NO")</f>
        <v/>
      </c>
    </row>
    <row r="3266">
      <c r="A3266" t="inlineStr">
        <is>
          <t>c10f6_test</t>
        </is>
      </c>
      <c r="B3266" t="inlineStr">
        <is>
          <t>2026-06-29 17:20:25.158</t>
        </is>
      </c>
      <c r="C3266" t="n">
        <v/>
      </c>
      <c r="D3266" t="inlineStr">
        <is>
          <t>Media file</t>
        </is>
      </c>
      <c r="E3266" t="inlineStr">
        <is>
          <t>player #1:C:/Users/manuel.felline/Documents/BEHAVIOR BTBR/NOR second cohort/BTBR/test/c10_f6.mp4</t>
        </is>
      </c>
      <c r="F3266" t="n">
        <v>-13.967</v>
      </c>
      <c r="G3266" t="n">
        <v>576.1660000000001</v>
      </c>
      <c r="H3266" t="n">
        <v>756.366</v>
      </c>
      <c r="I3266" t="n">
        <v>30</v>
      </c>
      <c r="J3266" t="inlineStr">
        <is>
          <t>BTBR</t>
        </is>
      </c>
      <c r="K3266" t="inlineStr">
        <is>
          <t xml:space="preserve"> Female</t>
        </is>
      </c>
      <c r="L3266" t="inlineStr">
        <is>
          <t>No focal subject</t>
        </is>
      </c>
      <c r="M3266" t="n">
        <v>56.664</v>
      </c>
      <c r="N3266" t="inlineStr">
        <is>
          <t>Explore_N</t>
        </is>
      </c>
      <c r="O3266" t="inlineStr">
        <is>
          <t>Novelty</t>
        </is>
      </c>
      <c r="P3266" t="inlineStr">
        <is>
          <t>STATE</t>
        </is>
      </c>
      <c r="Q3266" t="n">
        <v>60.7</v>
      </c>
      <c r="R3266" t="n">
        <v>62.266</v>
      </c>
      <c r="S3266" t="n">
        <v>1.566</v>
      </c>
      <c r="T3266" t="inlineStr">
        <is>
          <t>C:/Users/manuel.felline/Documents/BEHAVIOR BTBR/NOR second cohort/BTBR/test/c10_f6.mp4</t>
        </is>
      </c>
      <c r="U3266" t="n">
        <v>2240</v>
      </c>
      <c r="V3266" t="n">
        <v>2288</v>
      </c>
      <c r="W3266" t="n">
        <v/>
      </c>
      <c r="X3266" t="n">
        <v/>
      </c>
      <c r="Y3266" t="n">
        <v/>
      </c>
      <c r="Z3266" t="n">
        <v/>
      </c>
      <c r="AA3266">
        <f>SUMIFS($S$2:S3266,$A$2:A3266,A3266,$N$2:N3266,"Explore*")</f>
        <v/>
      </c>
      <c r="AB3266">
        <f>IF(AND(LEFT(N3266,7)="Explore",(AA3266-IF(LEFT(N3266,7)="Explore",S3266,0))&lt;10),"SI","NO")</f>
        <v/>
      </c>
    </row>
    <row r="3267">
      <c r="A3267" t="inlineStr">
        <is>
          <t>c10f6_test</t>
        </is>
      </c>
      <c r="B3267" t="inlineStr">
        <is>
          <t>2026-06-29 17:20:25.158</t>
        </is>
      </c>
      <c r="C3267" t="n">
        <v/>
      </c>
      <c r="D3267" t="inlineStr">
        <is>
          <t>Media file</t>
        </is>
      </c>
      <c r="E3267" t="inlineStr">
        <is>
          <t>player #1:C:/Users/manuel.felline/Documents/BEHAVIOR BTBR/NOR second cohort/BTBR/test/c10_f6.mp4</t>
        </is>
      </c>
      <c r="F3267" t="n">
        <v>-13.967</v>
      </c>
      <c r="G3267" t="n">
        <v>576.1660000000001</v>
      </c>
      <c r="H3267" t="n">
        <v>756.366</v>
      </c>
      <c r="I3267" t="n">
        <v>30</v>
      </c>
      <c r="J3267" t="inlineStr">
        <is>
          <t>BTBR</t>
        </is>
      </c>
      <c r="K3267" t="inlineStr">
        <is>
          <t xml:space="preserve"> Female</t>
        </is>
      </c>
      <c r="L3267" t="inlineStr">
        <is>
          <t>No focal subject</t>
        </is>
      </c>
      <c r="M3267" t="n">
        <v>56.664</v>
      </c>
      <c r="N3267" t="inlineStr">
        <is>
          <t>Explore_F</t>
        </is>
      </c>
      <c r="O3267" t="inlineStr">
        <is>
          <t>Familiar</t>
        </is>
      </c>
      <c r="P3267" t="inlineStr">
        <is>
          <t>STATE</t>
        </is>
      </c>
      <c r="Q3267" t="n">
        <v>65.76600000000001</v>
      </c>
      <c r="R3267" t="n">
        <v>66.566</v>
      </c>
      <c r="S3267" t="n">
        <v>0.8</v>
      </c>
      <c r="T3267" t="inlineStr">
        <is>
          <t>C:/Users/manuel.felline/Documents/BEHAVIOR BTBR/NOR second cohort/BTBR/test/c10_f6.mp4</t>
        </is>
      </c>
      <c r="U3267" t="n">
        <v>2392</v>
      </c>
      <c r="V3267" t="n">
        <v>2416</v>
      </c>
      <c r="W3267" t="n">
        <v/>
      </c>
      <c r="X3267" t="n">
        <v/>
      </c>
      <c r="Y3267" t="n">
        <v/>
      </c>
      <c r="Z3267" t="n">
        <v/>
      </c>
      <c r="AA3267">
        <f>SUMIFS($S$2:S3267,$A$2:A3267,A3267,$N$2:N3267,"Explore*")</f>
        <v/>
      </c>
      <c r="AB3267">
        <f>IF(AND(LEFT(N3267,7)="Explore",(AA3267-IF(LEFT(N3267,7)="Explore",S3267,0))&lt;10),"SI","NO")</f>
        <v/>
      </c>
    </row>
    <row r="3268">
      <c r="A3268" t="inlineStr">
        <is>
          <t>c10f6_test</t>
        </is>
      </c>
      <c r="B3268" t="inlineStr">
        <is>
          <t>2026-06-29 17:20:25.158</t>
        </is>
      </c>
      <c r="C3268" t="n">
        <v/>
      </c>
      <c r="D3268" t="inlineStr">
        <is>
          <t>Media file</t>
        </is>
      </c>
      <c r="E3268" t="inlineStr">
        <is>
          <t>player #1:C:/Users/manuel.felline/Documents/BEHAVIOR BTBR/NOR second cohort/BTBR/test/c10_f6.mp4</t>
        </is>
      </c>
      <c r="F3268" t="n">
        <v>-13.967</v>
      </c>
      <c r="G3268" t="n">
        <v>576.1660000000001</v>
      </c>
      <c r="H3268" t="n">
        <v>756.366</v>
      </c>
      <c r="I3268" t="n">
        <v>30</v>
      </c>
      <c r="J3268" t="inlineStr">
        <is>
          <t>BTBR</t>
        </is>
      </c>
      <c r="K3268" t="inlineStr">
        <is>
          <t xml:space="preserve"> Female</t>
        </is>
      </c>
      <c r="L3268" t="inlineStr">
        <is>
          <t>No focal subject</t>
        </is>
      </c>
      <c r="M3268" t="n">
        <v>56.664</v>
      </c>
      <c r="N3268" t="inlineStr">
        <is>
          <t>Explore_F</t>
        </is>
      </c>
      <c r="O3268" t="inlineStr">
        <is>
          <t>Familiar</t>
        </is>
      </c>
      <c r="P3268" t="inlineStr">
        <is>
          <t>STATE</t>
        </is>
      </c>
      <c r="Q3268" t="n">
        <v>73.93300000000001</v>
      </c>
      <c r="R3268" t="n">
        <v>74.833</v>
      </c>
      <c r="S3268" t="n">
        <v>0.9</v>
      </c>
      <c r="T3268" t="inlineStr">
        <is>
          <t>C:/Users/manuel.felline/Documents/BEHAVIOR BTBR/NOR second cohort/BTBR/test/c10_f6.mp4</t>
        </is>
      </c>
      <c r="U3268" t="n">
        <v>2637</v>
      </c>
      <c r="V3268" t="n">
        <v>2664</v>
      </c>
      <c r="W3268" t="n">
        <v/>
      </c>
      <c r="X3268" t="n">
        <v/>
      </c>
      <c r="Y3268" t="n">
        <v/>
      </c>
      <c r="Z3268" t="n">
        <v/>
      </c>
      <c r="AA3268">
        <f>SUMIFS($S$2:S3268,$A$2:A3268,A3268,$N$2:N3268,"Explore*")</f>
        <v/>
      </c>
      <c r="AB3268">
        <f>IF(AND(LEFT(N3268,7)="Explore",(AA3268-IF(LEFT(N3268,7)="Explore",S3268,0))&lt;10),"SI","NO")</f>
        <v/>
      </c>
    </row>
    <row r="3269">
      <c r="A3269" t="inlineStr">
        <is>
          <t>c10f6_test</t>
        </is>
      </c>
      <c r="B3269" t="inlineStr">
        <is>
          <t>2026-06-29 17:20:25.158</t>
        </is>
      </c>
      <c r="C3269" t="n">
        <v/>
      </c>
      <c r="D3269" t="inlineStr">
        <is>
          <t>Media file</t>
        </is>
      </c>
      <c r="E3269" t="inlineStr">
        <is>
          <t>player #1:C:/Users/manuel.felline/Documents/BEHAVIOR BTBR/NOR second cohort/BTBR/test/c10_f6.mp4</t>
        </is>
      </c>
      <c r="F3269" t="n">
        <v>-13.967</v>
      </c>
      <c r="G3269" t="n">
        <v>576.1660000000001</v>
      </c>
      <c r="H3269" t="n">
        <v>756.366</v>
      </c>
      <c r="I3269" t="n">
        <v>30</v>
      </c>
      <c r="J3269" t="inlineStr">
        <is>
          <t>BTBR</t>
        </is>
      </c>
      <c r="K3269" t="inlineStr">
        <is>
          <t xml:space="preserve"> Female</t>
        </is>
      </c>
      <c r="L3269" t="inlineStr">
        <is>
          <t>No focal subject</t>
        </is>
      </c>
      <c r="M3269" t="n">
        <v>56.664</v>
      </c>
      <c r="N3269" t="inlineStr">
        <is>
          <t>Explore_F</t>
        </is>
      </c>
      <c r="O3269" t="inlineStr">
        <is>
          <t>Familiar</t>
        </is>
      </c>
      <c r="P3269" t="inlineStr">
        <is>
          <t>STATE</t>
        </is>
      </c>
      <c r="Q3269" t="n">
        <v>81.366</v>
      </c>
      <c r="R3269" t="n">
        <v>81.96599999999999</v>
      </c>
      <c r="S3269" t="n">
        <v>0.6</v>
      </c>
      <c r="T3269" t="inlineStr">
        <is>
          <t>C:/Users/manuel.felline/Documents/BEHAVIOR BTBR/NOR second cohort/BTBR/test/c10_f6.mp4</t>
        </is>
      </c>
      <c r="U3269" t="n">
        <v>2860</v>
      </c>
      <c r="V3269" t="n">
        <v>2878</v>
      </c>
      <c r="W3269" t="n">
        <v/>
      </c>
      <c r="X3269" t="n">
        <v/>
      </c>
      <c r="Y3269" t="n">
        <v/>
      </c>
      <c r="Z3269" t="n">
        <v/>
      </c>
      <c r="AA3269">
        <f>SUMIFS($S$2:S3269,$A$2:A3269,A3269,$N$2:N3269,"Explore*")</f>
        <v/>
      </c>
      <c r="AB3269">
        <f>IF(AND(LEFT(N3269,7)="Explore",(AA3269-IF(LEFT(N3269,7)="Explore",S3269,0))&lt;10),"SI","NO")</f>
        <v/>
      </c>
    </row>
    <row r="3270">
      <c r="A3270" t="inlineStr">
        <is>
          <t>c10f6_test</t>
        </is>
      </c>
      <c r="B3270" t="inlineStr">
        <is>
          <t>2026-06-29 17:20:25.158</t>
        </is>
      </c>
      <c r="C3270" t="n">
        <v/>
      </c>
      <c r="D3270" t="inlineStr">
        <is>
          <t>Media file</t>
        </is>
      </c>
      <c r="E3270" t="inlineStr">
        <is>
          <t>player #1:C:/Users/manuel.felline/Documents/BEHAVIOR BTBR/NOR second cohort/BTBR/test/c10_f6.mp4</t>
        </is>
      </c>
      <c r="F3270" t="n">
        <v>-13.967</v>
      </c>
      <c r="G3270" t="n">
        <v>576.1660000000001</v>
      </c>
      <c r="H3270" t="n">
        <v>756.366</v>
      </c>
      <c r="I3270" t="n">
        <v>30</v>
      </c>
      <c r="J3270" t="inlineStr">
        <is>
          <t>BTBR</t>
        </is>
      </c>
      <c r="K3270" t="inlineStr">
        <is>
          <t xml:space="preserve"> Female</t>
        </is>
      </c>
      <c r="L3270" t="inlineStr">
        <is>
          <t>No focal subject</t>
        </is>
      </c>
      <c r="M3270" t="n">
        <v>56.664</v>
      </c>
      <c r="N3270" t="inlineStr">
        <is>
          <t>Explore_N</t>
        </is>
      </c>
      <c r="O3270" t="inlineStr">
        <is>
          <t>Novelty</t>
        </is>
      </c>
      <c r="P3270" t="inlineStr">
        <is>
          <t>STATE</t>
        </is>
      </c>
      <c r="Q3270" t="n">
        <v>87.3</v>
      </c>
      <c r="R3270" t="n">
        <v>88.76600000000001</v>
      </c>
      <c r="S3270" t="n">
        <v>1.466</v>
      </c>
      <c r="T3270" t="inlineStr">
        <is>
          <t>C:/Users/manuel.felline/Documents/BEHAVIOR BTBR/NOR second cohort/BTBR/test/c10_f6.mp4</t>
        </is>
      </c>
      <c r="U3270" t="n">
        <v>3038</v>
      </c>
      <c r="V3270" t="n">
        <v>3082</v>
      </c>
      <c r="W3270" t="n">
        <v/>
      </c>
      <c r="X3270" t="n">
        <v/>
      </c>
      <c r="Y3270" t="n">
        <v/>
      </c>
      <c r="Z3270" t="n">
        <v/>
      </c>
      <c r="AA3270">
        <f>SUMIFS($S$2:S3270,$A$2:A3270,A3270,$N$2:N3270,"Explore*")</f>
        <v/>
      </c>
      <c r="AB3270">
        <f>IF(AND(LEFT(N3270,7)="Explore",(AA3270-IF(LEFT(N3270,7)="Explore",S3270,0))&lt;10),"SI","NO")</f>
        <v/>
      </c>
    </row>
    <row r="3271">
      <c r="A3271" t="inlineStr">
        <is>
          <t>c10f6_test</t>
        </is>
      </c>
      <c r="B3271" t="inlineStr">
        <is>
          <t>2026-06-29 17:20:25.158</t>
        </is>
      </c>
      <c r="C3271" t="n">
        <v/>
      </c>
      <c r="D3271" t="inlineStr">
        <is>
          <t>Media file</t>
        </is>
      </c>
      <c r="E3271" t="inlineStr">
        <is>
          <t>player #1:C:/Users/manuel.felline/Documents/BEHAVIOR BTBR/NOR second cohort/BTBR/test/c10_f6.mp4</t>
        </is>
      </c>
      <c r="F3271" t="n">
        <v>-13.967</v>
      </c>
      <c r="G3271" t="n">
        <v>576.1660000000001</v>
      </c>
      <c r="H3271" t="n">
        <v>756.366</v>
      </c>
      <c r="I3271" t="n">
        <v>30</v>
      </c>
      <c r="J3271" t="inlineStr">
        <is>
          <t>BTBR</t>
        </is>
      </c>
      <c r="K3271" t="inlineStr">
        <is>
          <t xml:space="preserve"> Female</t>
        </is>
      </c>
      <c r="L3271" t="inlineStr">
        <is>
          <t>No focal subject</t>
        </is>
      </c>
      <c r="M3271" t="n">
        <v>56.664</v>
      </c>
      <c r="N3271" t="inlineStr">
        <is>
          <t>Explore_N</t>
        </is>
      </c>
      <c r="O3271" t="inlineStr">
        <is>
          <t>Novelty</t>
        </is>
      </c>
      <c r="P3271" t="inlineStr">
        <is>
          <t>STATE</t>
        </is>
      </c>
      <c r="Q3271" t="n">
        <v>89.733</v>
      </c>
      <c r="R3271" t="n">
        <v>90.833</v>
      </c>
      <c r="S3271" t="n">
        <v>1.1</v>
      </c>
      <c r="T3271" t="inlineStr">
        <is>
          <t>C:/Users/manuel.felline/Documents/BEHAVIOR BTBR/NOR second cohort/BTBR/test/c10_f6.mp4</t>
        </is>
      </c>
      <c r="U3271" t="n">
        <v>3111</v>
      </c>
      <c r="V3271" t="n">
        <v>3144</v>
      </c>
      <c r="W3271" t="n">
        <v/>
      </c>
      <c r="X3271" t="n">
        <v/>
      </c>
      <c r="Y3271" t="n">
        <v/>
      </c>
      <c r="Z3271" t="n">
        <v/>
      </c>
      <c r="AA3271">
        <f>SUMIFS($S$2:S3271,$A$2:A3271,A3271,$N$2:N3271,"Explore*")</f>
        <v/>
      </c>
      <c r="AB3271">
        <f>IF(AND(LEFT(N3271,7)="Explore",(AA3271-IF(LEFT(N3271,7)="Explore",S3271,0))&lt;10),"SI","NO")</f>
        <v/>
      </c>
    </row>
    <row r="3272">
      <c r="A3272" t="inlineStr">
        <is>
          <t>c10f6_test</t>
        </is>
      </c>
      <c r="B3272" t="inlineStr">
        <is>
          <t>2026-06-29 17:20:25.158</t>
        </is>
      </c>
      <c r="C3272" t="n">
        <v/>
      </c>
      <c r="D3272" t="inlineStr">
        <is>
          <t>Media file</t>
        </is>
      </c>
      <c r="E3272" t="inlineStr">
        <is>
          <t>player #1:C:/Users/manuel.felline/Documents/BEHAVIOR BTBR/NOR second cohort/BTBR/test/c10_f6.mp4</t>
        </is>
      </c>
      <c r="F3272" t="n">
        <v>-13.967</v>
      </c>
      <c r="G3272" t="n">
        <v>576.1660000000001</v>
      </c>
      <c r="H3272" t="n">
        <v>756.366</v>
      </c>
      <c r="I3272" t="n">
        <v>30</v>
      </c>
      <c r="J3272" t="inlineStr">
        <is>
          <t>BTBR</t>
        </is>
      </c>
      <c r="K3272" t="inlineStr">
        <is>
          <t xml:space="preserve"> Female</t>
        </is>
      </c>
      <c r="L3272" t="inlineStr">
        <is>
          <t>No focal subject</t>
        </is>
      </c>
      <c r="M3272" t="n">
        <v>56.664</v>
      </c>
      <c r="N3272" t="inlineStr">
        <is>
          <t>Explore_F</t>
        </is>
      </c>
      <c r="O3272" t="inlineStr">
        <is>
          <t>Familiar</t>
        </is>
      </c>
      <c r="P3272" t="inlineStr">
        <is>
          <t>STATE</t>
        </is>
      </c>
      <c r="Q3272" t="n">
        <v>91.90000000000001</v>
      </c>
      <c r="R3272" t="n">
        <v>92.833</v>
      </c>
      <c r="S3272" t="n">
        <v>0.9330000000000001</v>
      </c>
      <c r="T3272" t="inlineStr">
        <is>
          <t>C:/Users/manuel.felline/Documents/BEHAVIOR BTBR/NOR second cohort/BTBR/test/c10_f6.mp4</t>
        </is>
      </c>
      <c r="U3272" t="n">
        <v>3176</v>
      </c>
      <c r="V3272" t="n">
        <v>3204</v>
      </c>
      <c r="W3272" t="n">
        <v/>
      </c>
      <c r="X3272" t="n">
        <v/>
      </c>
      <c r="Y3272" t="n">
        <v/>
      </c>
      <c r="Z3272" t="n">
        <v/>
      </c>
      <c r="AA3272">
        <f>SUMIFS($S$2:S3272,$A$2:A3272,A3272,$N$2:N3272,"Explore*")</f>
        <v/>
      </c>
      <c r="AB3272">
        <f>IF(AND(LEFT(N3272,7)="Explore",(AA3272-IF(LEFT(N3272,7)="Explore",S3272,0))&lt;10),"SI","NO")</f>
        <v/>
      </c>
    </row>
    <row r="3273">
      <c r="A3273" t="inlineStr">
        <is>
          <t>c10f6_test</t>
        </is>
      </c>
      <c r="B3273" t="inlineStr">
        <is>
          <t>2026-06-29 17:20:25.158</t>
        </is>
      </c>
      <c r="C3273" t="n">
        <v/>
      </c>
      <c r="D3273" t="inlineStr">
        <is>
          <t>Media file</t>
        </is>
      </c>
      <c r="E3273" t="inlineStr">
        <is>
          <t>player #1:C:/Users/manuel.felline/Documents/BEHAVIOR BTBR/NOR second cohort/BTBR/test/c10_f6.mp4</t>
        </is>
      </c>
      <c r="F3273" t="n">
        <v>-13.967</v>
      </c>
      <c r="G3273" t="n">
        <v>576.1660000000001</v>
      </c>
      <c r="H3273" t="n">
        <v>756.366</v>
      </c>
      <c r="I3273" t="n">
        <v>30</v>
      </c>
      <c r="J3273" t="inlineStr">
        <is>
          <t>BTBR</t>
        </is>
      </c>
      <c r="K3273" t="inlineStr">
        <is>
          <t xml:space="preserve"> Female</t>
        </is>
      </c>
      <c r="L3273" t="inlineStr">
        <is>
          <t>No focal subject</t>
        </is>
      </c>
      <c r="M3273" t="n">
        <v>56.664</v>
      </c>
      <c r="N3273" t="inlineStr">
        <is>
          <t>Explore_N</t>
        </is>
      </c>
      <c r="O3273" t="inlineStr">
        <is>
          <t>Novelty</t>
        </is>
      </c>
      <c r="P3273" t="inlineStr">
        <is>
          <t>STATE</t>
        </is>
      </c>
      <c r="Q3273" t="n">
        <v>94.033</v>
      </c>
      <c r="R3273" t="n">
        <v>95.26600000000001</v>
      </c>
      <c r="S3273" t="n">
        <v>1.233</v>
      </c>
      <c r="T3273" t="inlineStr">
        <is>
          <t>C:/Users/manuel.felline/Documents/BEHAVIOR BTBR/NOR second cohort/BTBR/test/c10_f6.mp4</t>
        </is>
      </c>
      <c r="U3273" t="n">
        <v>3240</v>
      </c>
      <c r="V3273" t="n">
        <v>3277</v>
      </c>
      <c r="W3273" t="n">
        <v/>
      </c>
      <c r="X3273" t="n">
        <v/>
      </c>
      <c r="Y3273" t="n">
        <v/>
      </c>
      <c r="Z3273" t="n">
        <v/>
      </c>
      <c r="AA3273">
        <f>SUMIFS($S$2:S3273,$A$2:A3273,A3273,$N$2:N3273,"Explore*")</f>
        <v/>
      </c>
      <c r="AB3273">
        <f>IF(AND(LEFT(N3273,7)="Explore",(AA3273-IF(LEFT(N3273,7)="Explore",S3273,0))&lt;10),"SI","NO")</f>
        <v/>
      </c>
    </row>
    <row r="3274">
      <c r="A3274" t="inlineStr">
        <is>
          <t>c10f6_test</t>
        </is>
      </c>
      <c r="B3274" t="inlineStr">
        <is>
          <t>2026-06-29 17:20:25.158</t>
        </is>
      </c>
      <c r="C3274" t="n">
        <v/>
      </c>
      <c r="D3274" t="inlineStr">
        <is>
          <t>Media file</t>
        </is>
      </c>
      <c r="E3274" t="inlineStr">
        <is>
          <t>player #1:C:/Users/manuel.felline/Documents/BEHAVIOR BTBR/NOR second cohort/BTBR/test/c10_f6.mp4</t>
        </is>
      </c>
      <c r="F3274" t="n">
        <v>-13.967</v>
      </c>
      <c r="G3274" t="n">
        <v>576.1660000000001</v>
      </c>
      <c r="H3274" t="n">
        <v>756.366</v>
      </c>
      <c r="I3274" t="n">
        <v>30</v>
      </c>
      <c r="J3274" t="inlineStr">
        <is>
          <t>BTBR</t>
        </is>
      </c>
      <c r="K3274" t="inlineStr">
        <is>
          <t xml:space="preserve"> Female</t>
        </is>
      </c>
      <c r="L3274" t="inlineStr">
        <is>
          <t>No focal subject</t>
        </is>
      </c>
      <c r="M3274" t="n">
        <v>56.664</v>
      </c>
      <c r="N3274" t="inlineStr">
        <is>
          <t>Explore_N</t>
        </is>
      </c>
      <c r="O3274" t="inlineStr">
        <is>
          <t>Novelty</t>
        </is>
      </c>
      <c r="P3274" t="inlineStr">
        <is>
          <t>STATE</t>
        </is>
      </c>
      <c r="Q3274" t="n">
        <v>107.366</v>
      </c>
      <c r="R3274" t="n">
        <v>108.366</v>
      </c>
      <c r="S3274" t="n">
        <v>1</v>
      </c>
      <c r="T3274" t="inlineStr">
        <is>
          <t>C:/Users/manuel.felline/Documents/BEHAVIOR BTBR/NOR second cohort/BTBR/test/c10_f6.mp4</t>
        </is>
      </c>
      <c r="U3274" t="n">
        <v>3640</v>
      </c>
      <c r="V3274" t="n">
        <v>3670</v>
      </c>
      <c r="W3274" t="n">
        <v/>
      </c>
      <c r="X3274" t="n">
        <v/>
      </c>
      <c r="Y3274" t="n">
        <v/>
      </c>
      <c r="Z3274" t="n">
        <v/>
      </c>
      <c r="AA3274">
        <f>SUMIFS($S$2:S3274,$A$2:A3274,A3274,$N$2:N3274,"Explore*")</f>
        <v/>
      </c>
      <c r="AB3274">
        <f>IF(AND(LEFT(N3274,7)="Explore",(AA3274-IF(LEFT(N3274,7)="Explore",S3274,0))&lt;10),"SI","NO")</f>
        <v/>
      </c>
    </row>
    <row r="3275">
      <c r="A3275" t="inlineStr">
        <is>
          <t>c10f6_test</t>
        </is>
      </c>
      <c r="B3275" t="inlineStr">
        <is>
          <t>2026-06-29 17:20:25.158</t>
        </is>
      </c>
      <c r="C3275" t="n">
        <v/>
      </c>
      <c r="D3275" t="inlineStr">
        <is>
          <t>Media file</t>
        </is>
      </c>
      <c r="E3275" t="inlineStr">
        <is>
          <t>player #1:C:/Users/manuel.felline/Documents/BEHAVIOR BTBR/NOR second cohort/BTBR/test/c10_f6.mp4</t>
        </is>
      </c>
      <c r="F3275" t="n">
        <v>-13.967</v>
      </c>
      <c r="G3275" t="n">
        <v>576.1660000000001</v>
      </c>
      <c r="H3275" t="n">
        <v>756.366</v>
      </c>
      <c r="I3275" t="n">
        <v>30</v>
      </c>
      <c r="J3275" t="inlineStr">
        <is>
          <t>BTBR</t>
        </is>
      </c>
      <c r="K3275" t="inlineStr">
        <is>
          <t xml:space="preserve"> Female</t>
        </is>
      </c>
      <c r="L3275" t="inlineStr">
        <is>
          <t>No focal subject</t>
        </is>
      </c>
      <c r="M3275" t="n">
        <v>56.664</v>
      </c>
      <c r="N3275" t="inlineStr">
        <is>
          <t>Explore_F</t>
        </is>
      </c>
      <c r="O3275" t="inlineStr">
        <is>
          <t>Familiar</t>
        </is>
      </c>
      <c r="P3275" t="inlineStr">
        <is>
          <t>STATE</t>
        </is>
      </c>
      <c r="Q3275" t="n">
        <v>111.5</v>
      </c>
      <c r="R3275" t="n">
        <v>112.733</v>
      </c>
      <c r="S3275" t="n">
        <v>1.233</v>
      </c>
      <c r="T3275" t="inlineStr">
        <is>
          <t>C:/Users/manuel.felline/Documents/BEHAVIOR BTBR/NOR second cohort/BTBR/test/c10_f6.mp4</t>
        </is>
      </c>
      <c r="U3275" t="n">
        <v>3764</v>
      </c>
      <c r="V3275" t="n">
        <v>3801</v>
      </c>
      <c r="W3275" t="n">
        <v/>
      </c>
      <c r="X3275" t="n">
        <v/>
      </c>
      <c r="Y3275" t="n">
        <v/>
      </c>
      <c r="Z3275" t="n">
        <v/>
      </c>
      <c r="AA3275">
        <f>SUMIFS($S$2:S3275,$A$2:A3275,A3275,$N$2:N3275,"Explore*")</f>
        <v/>
      </c>
      <c r="AB3275">
        <f>IF(AND(LEFT(N3275,7)="Explore",(AA3275-IF(LEFT(N3275,7)="Explore",S3275,0))&lt;10),"SI","NO")</f>
        <v/>
      </c>
    </row>
    <row r="3276">
      <c r="A3276" t="inlineStr">
        <is>
          <t>c10f6_test</t>
        </is>
      </c>
      <c r="B3276" t="inlineStr">
        <is>
          <t>2026-06-29 17:20:25.158</t>
        </is>
      </c>
      <c r="C3276" t="n">
        <v/>
      </c>
      <c r="D3276" t="inlineStr">
        <is>
          <t>Media file</t>
        </is>
      </c>
      <c r="E3276" t="inlineStr">
        <is>
          <t>player #1:C:/Users/manuel.felline/Documents/BEHAVIOR BTBR/NOR second cohort/BTBR/test/c10_f6.mp4</t>
        </is>
      </c>
      <c r="F3276" t="n">
        <v>-13.967</v>
      </c>
      <c r="G3276" t="n">
        <v>576.1660000000001</v>
      </c>
      <c r="H3276" t="n">
        <v>756.366</v>
      </c>
      <c r="I3276" t="n">
        <v>30</v>
      </c>
      <c r="J3276" t="inlineStr">
        <is>
          <t>BTBR</t>
        </is>
      </c>
      <c r="K3276" t="inlineStr">
        <is>
          <t xml:space="preserve"> Female</t>
        </is>
      </c>
      <c r="L3276" t="inlineStr">
        <is>
          <t>No focal subject</t>
        </is>
      </c>
      <c r="M3276" t="n">
        <v>56.664</v>
      </c>
      <c r="N3276" t="inlineStr">
        <is>
          <t>Explore_F</t>
        </is>
      </c>
      <c r="O3276" t="inlineStr">
        <is>
          <t>Familiar</t>
        </is>
      </c>
      <c r="P3276" t="inlineStr">
        <is>
          <t>STATE</t>
        </is>
      </c>
      <c r="Q3276" t="n">
        <v>116.666</v>
      </c>
      <c r="R3276" t="n">
        <v>117.566</v>
      </c>
      <c r="S3276" t="n">
        <v>0.9</v>
      </c>
      <c r="T3276" t="inlineStr">
        <is>
          <t>C:/Users/manuel.felline/Documents/BEHAVIOR BTBR/NOR second cohort/BTBR/test/c10_f6.mp4</t>
        </is>
      </c>
      <c r="U3276" t="n">
        <v>3919</v>
      </c>
      <c r="V3276" t="n">
        <v>3946</v>
      </c>
      <c r="W3276" t="n">
        <v/>
      </c>
      <c r="X3276" t="n">
        <v/>
      </c>
      <c r="Y3276" t="n">
        <v/>
      </c>
      <c r="Z3276" t="n">
        <v/>
      </c>
      <c r="AA3276">
        <f>SUMIFS($S$2:S3276,$A$2:A3276,A3276,$N$2:N3276,"Explore*")</f>
        <v/>
      </c>
      <c r="AB3276">
        <f>IF(AND(LEFT(N3276,7)="Explore",(AA3276-IF(LEFT(N3276,7)="Explore",S3276,0))&lt;10),"SI","NO")</f>
        <v/>
      </c>
    </row>
    <row r="3277">
      <c r="A3277" t="inlineStr">
        <is>
          <t>c10f6_test</t>
        </is>
      </c>
      <c r="B3277" t="inlineStr">
        <is>
          <t>2026-06-29 17:20:25.158</t>
        </is>
      </c>
      <c r="C3277" t="n">
        <v/>
      </c>
      <c r="D3277" t="inlineStr">
        <is>
          <t>Media file</t>
        </is>
      </c>
      <c r="E3277" t="inlineStr">
        <is>
          <t>player #1:C:/Users/manuel.felline/Documents/BEHAVIOR BTBR/NOR second cohort/BTBR/test/c10_f6.mp4</t>
        </is>
      </c>
      <c r="F3277" t="n">
        <v>-13.967</v>
      </c>
      <c r="G3277" t="n">
        <v>576.1660000000001</v>
      </c>
      <c r="H3277" t="n">
        <v>756.366</v>
      </c>
      <c r="I3277" t="n">
        <v>30</v>
      </c>
      <c r="J3277" t="inlineStr">
        <is>
          <t>BTBR</t>
        </is>
      </c>
      <c r="K3277" t="inlineStr">
        <is>
          <t xml:space="preserve"> Female</t>
        </is>
      </c>
      <c r="L3277" t="inlineStr">
        <is>
          <t>No focal subject</t>
        </is>
      </c>
      <c r="M3277" t="n">
        <v>56.664</v>
      </c>
      <c r="N3277" t="inlineStr">
        <is>
          <t>Explore_F</t>
        </is>
      </c>
      <c r="O3277" t="inlineStr">
        <is>
          <t>Familiar</t>
        </is>
      </c>
      <c r="P3277" t="inlineStr">
        <is>
          <t>STATE</t>
        </is>
      </c>
      <c r="Q3277" t="n">
        <v>120.333</v>
      </c>
      <c r="R3277" t="n">
        <v>121.233</v>
      </c>
      <c r="S3277" t="n">
        <v>0.9</v>
      </c>
      <c r="T3277" t="inlineStr">
        <is>
          <t>C:/Users/manuel.felline/Documents/BEHAVIOR BTBR/NOR second cohort/BTBR/test/c10_f6.mp4</t>
        </is>
      </c>
      <c r="U3277" t="n">
        <v>4029</v>
      </c>
      <c r="V3277" t="n">
        <v>4056</v>
      </c>
      <c r="W3277" t="n">
        <v/>
      </c>
      <c r="X3277" t="n">
        <v/>
      </c>
      <c r="Y3277" t="n">
        <v/>
      </c>
      <c r="Z3277" t="n">
        <v/>
      </c>
      <c r="AA3277">
        <f>SUMIFS($S$2:S3277,$A$2:A3277,A3277,$N$2:N3277,"Explore*")</f>
        <v/>
      </c>
      <c r="AB3277">
        <f>IF(AND(LEFT(N3277,7)="Explore",(AA3277-IF(LEFT(N3277,7)="Explore",S3277,0))&lt;10),"SI","NO")</f>
        <v/>
      </c>
    </row>
    <row r="3278">
      <c r="A3278" t="inlineStr">
        <is>
          <t>c10f6_test</t>
        </is>
      </c>
      <c r="B3278" t="inlineStr">
        <is>
          <t>2026-06-29 17:20:25.158</t>
        </is>
      </c>
      <c r="C3278" t="n">
        <v/>
      </c>
      <c r="D3278" t="inlineStr">
        <is>
          <t>Media file</t>
        </is>
      </c>
      <c r="E3278" t="inlineStr">
        <is>
          <t>player #1:C:/Users/manuel.felline/Documents/BEHAVIOR BTBR/NOR second cohort/BTBR/test/c10_f6.mp4</t>
        </is>
      </c>
      <c r="F3278" t="n">
        <v>-13.967</v>
      </c>
      <c r="G3278" t="n">
        <v>576.1660000000001</v>
      </c>
      <c r="H3278" t="n">
        <v>756.366</v>
      </c>
      <c r="I3278" t="n">
        <v>30</v>
      </c>
      <c r="J3278" t="inlineStr">
        <is>
          <t>BTBR</t>
        </is>
      </c>
      <c r="K3278" t="inlineStr">
        <is>
          <t xml:space="preserve"> Female</t>
        </is>
      </c>
      <c r="L3278" t="inlineStr">
        <is>
          <t>No focal subject</t>
        </is>
      </c>
      <c r="M3278" t="n">
        <v>56.664</v>
      </c>
      <c r="N3278" t="inlineStr">
        <is>
          <t>Explore_N</t>
        </is>
      </c>
      <c r="O3278" t="inlineStr">
        <is>
          <t>Novelty</t>
        </is>
      </c>
      <c r="P3278" t="inlineStr">
        <is>
          <t>STATE</t>
        </is>
      </c>
      <c r="Q3278" t="n">
        <v>143.866</v>
      </c>
      <c r="R3278" t="n">
        <v>145.1</v>
      </c>
      <c r="S3278" t="n">
        <v>1.234</v>
      </c>
      <c r="T3278" t="inlineStr">
        <is>
          <t>C:/Users/manuel.felline/Documents/BEHAVIOR BTBR/NOR second cohort/BTBR/test/c10_f6.mp4</t>
        </is>
      </c>
      <c r="U3278" t="n">
        <v>4734</v>
      </c>
      <c r="V3278" t="n">
        <v>4771</v>
      </c>
      <c r="W3278" t="n">
        <v/>
      </c>
      <c r="X3278" t="n">
        <v/>
      </c>
      <c r="Y3278" t="n">
        <v/>
      </c>
      <c r="Z3278" t="n">
        <v/>
      </c>
      <c r="AA3278">
        <f>SUMIFS($S$2:S3278,$A$2:A3278,A3278,$N$2:N3278,"Explore*")</f>
        <v/>
      </c>
      <c r="AB3278">
        <f>IF(AND(LEFT(N3278,7)="Explore",(AA3278-IF(LEFT(N3278,7)="Explore",S3278,0))&lt;10),"SI","NO")</f>
        <v/>
      </c>
    </row>
    <row r="3279">
      <c r="A3279" t="inlineStr">
        <is>
          <t>c10f6_test</t>
        </is>
      </c>
      <c r="B3279" t="inlineStr">
        <is>
          <t>2026-06-29 17:20:25.158</t>
        </is>
      </c>
      <c r="C3279" t="n">
        <v/>
      </c>
      <c r="D3279" t="inlineStr">
        <is>
          <t>Media file</t>
        </is>
      </c>
      <c r="E3279" t="inlineStr">
        <is>
          <t>player #1:C:/Users/manuel.felline/Documents/BEHAVIOR BTBR/NOR second cohort/BTBR/test/c10_f6.mp4</t>
        </is>
      </c>
      <c r="F3279" t="n">
        <v>-13.967</v>
      </c>
      <c r="G3279" t="n">
        <v>576.1660000000001</v>
      </c>
      <c r="H3279" t="n">
        <v>756.366</v>
      </c>
      <c r="I3279" t="n">
        <v>30</v>
      </c>
      <c r="J3279" t="inlineStr">
        <is>
          <t>BTBR</t>
        </is>
      </c>
      <c r="K3279" t="inlineStr">
        <is>
          <t xml:space="preserve"> Female</t>
        </is>
      </c>
      <c r="L3279" t="inlineStr">
        <is>
          <t>No focal subject</t>
        </is>
      </c>
      <c r="M3279" t="n">
        <v>56.664</v>
      </c>
      <c r="N3279" t="inlineStr">
        <is>
          <t>Explore_N</t>
        </is>
      </c>
      <c r="O3279" t="inlineStr">
        <is>
          <t>Novelty</t>
        </is>
      </c>
      <c r="P3279" t="inlineStr">
        <is>
          <t>STATE</t>
        </is>
      </c>
      <c r="Q3279" t="n">
        <v>146</v>
      </c>
      <c r="R3279" t="n">
        <v>147.033</v>
      </c>
      <c r="S3279" t="n">
        <v>1.033</v>
      </c>
      <c r="T3279" t="inlineStr">
        <is>
          <t>C:/Users/manuel.felline/Documents/BEHAVIOR BTBR/NOR second cohort/BTBR/test/c10_f6.mp4</t>
        </is>
      </c>
      <c r="U3279" t="n">
        <v>4798</v>
      </c>
      <c r="V3279" t="n">
        <v>4829</v>
      </c>
      <c r="W3279" t="n">
        <v/>
      </c>
      <c r="X3279" t="n">
        <v/>
      </c>
      <c r="Y3279" t="n">
        <v/>
      </c>
      <c r="Z3279" t="n">
        <v/>
      </c>
      <c r="AA3279">
        <f>SUMIFS($S$2:S3279,$A$2:A3279,A3279,$N$2:N3279,"Explore*")</f>
        <v/>
      </c>
      <c r="AB3279">
        <f>IF(AND(LEFT(N3279,7)="Explore",(AA3279-IF(LEFT(N3279,7)="Explore",S3279,0))&lt;10),"SI","NO")</f>
        <v/>
      </c>
    </row>
    <row r="3280">
      <c r="A3280" t="inlineStr">
        <is>
          <t>c10f6_test</t>
        </is>
      </c>
      <c r="B3280" t="inlineStr">
        <is>
          <t>2026-06-29 17:20:25.158</t>
        </is>
      </c>
      <c r="C3280" t="n">
        <v/>
      </c>
      <c r="D3280" t="inlineStr">
        <is>
          <t>Media file</t>
        </is>
      </c>
      <c r="E3280" t="inlineStr">
        <is>
          <t>player #1:C:/Users/manuel.felline/Documents/BEHAVIOR BTBR/NOR second cohort/BTBR/test/c10_f6.mp4</t>
        </is>
      </c>
      <c r="F3280" t="n">
        <v>-13.967</v>
      </c>
      <c r="G3280" t="n">
        <v>576.1660000000001</v>
      </c>
      <c r="H3280" t="n">
        <v>756.366</v>
      </c>
      <c r="I3280" t="n">
        <v>30</v>
      </c>
      <c r="J3280" t="inlineStr">
        <is>
          <t>BTBR</t>
        </is>
      </c>
      <c r="K3280" t="inlineStr">
        <is>
          <t xml:space="preserve"> Female</t>
        </is>
      </c>
      <c r="L3280" t="inlineStr">
        <is>
          <t>No focal subject</t>
        </is>
      </c>
      <c r="M3280" t="n">
        <v>56.664</v>
      </c>
      <c r="N3280" t="inlineStr">
        <is>
          <t>Explore_F</t>
        </is>
      </c>
      <c r="O3280" t="inlineStr">
        <is>
          <t>Familiar</t>
        </is>
      </c>
      <c r="P3280" t="inlineStr">
        <is>
          <t>STATE</t>
        </is>
      </c>
      <c r="Q3280" t="n">
        <v>148.2</v>
      </c>
      <c r="R3280" t="n">
        <v>149.099</v>
      </c>
      <c r="S3280" t="n">
        <v>0.899</v>
      </c>
      <c r="T3280" t="inlineStr">
        <is>
          <t>C:/Users/manuel.felline/Documents/BEHAVIOR BTBR/NOR second cohort/BTBR/test/c10_f6.mp4</t>
        </is>
      </c>
      <c r="U3280" t="n">
        <v>4864</v>
      </c>
      <c r="V3280" t="n">
        <v>4891</v>
      </c>
      <c r="W3280" t="n">
        <v/>
      </c>
      <c r="X3280" t="n">
        <v/>
      </c>
      <c r="Y3280" t="n">
        <v/>
      </c>
      <c r="Z3280" t="n">
        <v/>
      </c>
      <c r="AA3280">
        <f>SUMIFS($S$2:S3280,$A$2:A3280,A3280,$N$2:N3280,"Explore*")</f>
        <v/>
      </c>
      <c r="AB3280">
        <f>IF(AND(LEFT(N3280,7)="Explore",(AA3280-IF(LEFT(N3280,7)="Explore",S3280,0))&lt;10),"SI","NO")</f>
        <v/>
      </c>
    </row>
    <row r="3281">
      <c r="A3281" t="inlineStr">
        <is>
          <t>c10f6_test</t>
        </is>
      </c>
      <c r="B3281" t="inlineStr">
        <is>
          <t>2026-06-29 17:20:25.158</t>
        </is>
      </c>
      <c r="C3281" t="n">
        <v/>
      </c>
      <c r="D3281" t="inlineStr">
        <is>
          <t>Media file</t>
        </is>
      </c>
      <c r="E3281" t="inlineStr">
        <is>
          <t>player #1:C:/Users/manuel.felline/Documents/BEHAVIOR BTBR/NOR second cohort/BTBR/test/c10_f6.mp4</t>
        </is>
      </c>
      <c r="F3281" t="n">
        <v>-13.967</v>
      </c>
      <c r="G3281" t="n">
        <v>576.1660000000001</v>
      </c>
      <c r="H3281" t="n">
        <v>756.366</v>
      </c>
      <c r="I3281" t="n">
        <v>30</v>
      </c>
      <c r="J3281" t="inlineStr">
        <is>
          <t>BTBR</t>
        </is>
      </c>
      <c r="K3281" t="inlineStr">
        <is>
          <t xml:space="preserve"> Female</t>
        </is>
      </c>
      <c r="L3281" t="inlineStr">
        <is>
          <t>No focal subject</t>
        </is>
      </c>
      <c r="M3281" t="n">
        <v>56.664</v>
      </c>
      <c r="N3281" t="inlineStr">
        <is>
          <t>Explore_N</t>
        </is>
      </c>
      <c r="O3281" t="inlineStr">
        <is>
          <t>Novelty</t>
        </is>
      </c>
      <c r="P3281" t="inlineStr">
        <is>
          <t>STATE</t>
        </is>
      </c>
      <c r="Q3281" t="n">
        <v>155.699</v>
      </c>
      <c r="R3281" t="n">
        <v>156.466</v>
      </c>
      <c r="S3281" t="n">
        <v>0.767</v>
      </c>
      <c r="T3281" t="inlineStr">
        <is>
          <t>C:/Users/manuel.felline/Documents/BEHAVIOR BTBR/NOR second cohort/BTBR/test/c10_f6.mp4</t>
        </is>
      </c>
      <c r="U3281" t="n">
        <v>5089</v>
      </c>
      <c r="V3281" t="n">
        <v>5112</v>
      </c>
      <c r="W3281" t="n">
        <v/>
      </c>
      <c r="X3281" t="n">
        <v/>
      </c>
      <c r="Y3281" t="n">
        <v/>
      </c>
      <c r="Z3281" t="n">
        <v/>
      </c>
      <c r="AA3281">
        <f>SUMIFS($S$2:S3281,$A$2:A3281,A3281,$N$2:N3281,"Explore*")</f>
        <v/>
      </c>
      <c r="AB3281">
        <f>IF(AND(LEFT(N3281,7)="Explore",(AA3281-IF(LEFT(N3281,7)="Explore",S3281,0))&lt;10),"SI","NO")</f>
        <v/>
      </c>
    </row>
    <row r="3282">
      <c r="A3282" t="inlineStr">
        <is>
          <t>c10f6_test</t>
        </is>
      </c>
      <c r="B3282" t="inlineStr">
        <is>
          <t>2026-06-29 17:20:25.158</t>
        </is>
      </c>
      <c r="C3282" t="n">
        <v/>
      </c>
      <c r="D3282" t="inlineStr">
        <is>
          <t>Media file</t>
        </is>
      </c>
      <c r="E3282" t="inlineStr">
        <is>
          <t>player #1:C:/Users/manuel.felline/Documents/BEHAVIOR BTBR/NOR second cohort/BTBR/test/c10_f6.mp4</t>
        </is>
      </c>
      <c r="F3282" t="n">
        <v>-13.967</v>
      </c>
      <c r="G3282" t="n">
        <v>576.1660000000001</v>
      </c>
      <c r="H3282" t="n">
        <v>756.366</v>
      </c>
      <c r="I3282" t="n">
        <v>30</v>
      </c>
      <c r="J3282" t="inlineStr">
        <is>
          <t>BTBR</t>
        </is>
      </c>
      <c r="K3282" t="inlineStr">
        <is>
          <t xml:space="preserve"> Female</t>
        </is>
      </c>
      <c r="L3282" t="inlineStr">
        <is>
          <t>No focal subject</t>
        </is>
      </c>
      <c r="M3282" t="n">
        <v>56.664</v>
      </c>
      <c r="N3282" t="inlineStr">
        <is>
          <t>Explore_F</t>
        </is>
      </c>
      <c r="O3282" t="inlineStr">
        <is>
          <t>Familiar</t>
        </is>
      </c>
      <c r="P3282" t="inlineStr">
        <is>
          <t>STATE</t>
        </is>
      </c>
      <c r="Q3282" t="n">
        <v>160.399</v>
      </c>
      <c r="R3282" t="n">
        <v>160.766</v>
      </c>
      <c r="S3282" t="n">
        <v>0.367</v>
      </c>
      <c r="T3282" t="inlineStr">
        <is>
          <t>C:/Users/manuel.felline/Documents/BEHAVIOR BTBR/NOR second cohort/BTBR/test/c10_f6.mp4</t>
        </is>
      </c>
      <c r="U3282" t="n">
        <v>5230</v>
      </c>
      <c r="V3282" t="n">
        <v>5241</v>
      </c>
      <c r="W3282" t="n">
        <v/>
      </c>
      <c r="X3282" t="n">
        <v/>
      </c>
      <c r="Y3282" t="n">
        <v/>
      </c>
      <c r="Z3282" t="n">
        <v/>
      </c>
      <c r="AA3282">
        <f>SUMIFS($S$2:S3282,$A$2:A3282,A3282,$N$2:N3282,"Explore*")</f>
        <v/>
      </c>
      <c r="AB3282">
        <f>IF(AND(LEFT(N3282,7)="Explore",(AA3282-IF(LEFT(N3282,7)="Explore",S3282,0))&lt;10),"SI","NO")</f>
        <v/>
      </c>
    </row>
    <row r="3283">
      <c r="A3283" t="inlineStr">
        <is>
          <t>c10f6_test</t>
        </is>
      </c>
      <c r="B3283" t="inlineStr">
        <is>
          <t>2026-06-29 17:20:25.158</t>
        </is>
      </c>
      <c r="C3283" t="n">
        <v/>
      </c>
      <c r="D3283" t="inlineStr">
        <is>
          <t>Media file</t>
        </is>
      </c>
      <c r="E3283" t="inlineStr">
        <is>
          <t>player #1:C:/Users/manuel.felline/Documents/BEHAVIOR BTBR/NOR second cohort/BTBR/test/c10_f6.mp4</t>
        </is>
      </c>
      <c r="F3283" t="n">
        <v>-13.967</v>
      </c>
      <c r="G3283" t="n">
        <v>576.1660000000001</v>
      </c>
      <c r="H3283" t="n">
        <v>756.366</v>
      </c>
      <c r="I3283" t="n">
        <v>30</v>
      </c>
      <c r="J3283" t="inlineStr">
        <is>
          <t>BTBR</t>
        </is>
      </c>
      <c r="K3283" t="inlineStr">
        <is>
          <t xml:space="preserve"> Female</t>
        </is>
      </c>
      <c r="L3283" t="inlineStr">
        <is>
          <t>No focal subject</t>
        </is>
      </c>
      <c r="M3283" t="n">
        <v>56.664</v>
      </c>
      <c r="N3283" t="inlineStr">
        <is>
          <t>Explore_F</t>
        </is>
      </c>
      <c r="O3283" t="inlineStr">
        <is>
          <t>Familiar</t>
        </is>
      </c>
      <c r="P3283" t="inlineStr">
        <is>
          <t>STATE</t>
        </is>
      </c>
      <c r="Q3283" t="n">
        <v>173.066</v>
      </c>
      <c r="R3283" t="n">
        <v>173.733</v>
      </c>
      <c r="S3283" t="n">
        <v>0.667</v>
      </c>
      <c r="T3283" t="inlineStr">
        <is>
          <t>C:/Users/manuel.felline/Documents/BEHAVIOR BTBR/NOR second cohort/BTBR/test/c10_f6.mp4</t>
        </is>
      </c>
      <c r="U3283" t="n">
        <v>5610</v>
      </c>
      <c r="V3283" t="n">
        <v>5630</v>
      </c>
      <c r="W3283" t="n">
        <v/>
      </c>
      <c r="X3283" t="n">
        <v/>
      </c>
      <c r="Y3283" t="n">
        <v/>
      </c>
      <c r="Z3283" t="n">
        <v/>
      </c>
      <c r="AA3283">
        <f>SUMIFS($S$2:S3283,$A$2:A3283,A3283,$N$2:N3283,"Explore*")</f>
        <v/>
      </c>
      <c r="AB3283">
        <f>IF(AND(LEFT(N3283,7)="Explore",(AA3283-IF(LEFT(N3283,7)="Explore",S3283,0))&lt;10),"SI","NO")</f>
        <v/>
      </c>
    </row>
    <row r="3284">
      <c r="A3284" t="inlineStr">
        <is>
          <t>c10f6_test</t>
        </is>
      </c>
      <c r="B3284" t="inlineStr">
        <is>
          <t>2026-06-29 17:20:25.158</t>
        </is>
      </c>
      <c r="C3284" t="n">
        <v/>
      </c>
      <c r="D3284" t="inlineStr">
        <is>
          <t>Media file</t>
        </is>
      </c>
      <c r="E3284" t="inlineStr">
        <is>
          <t>player #1:C:/Users/manuel.felline/Documents/BEHAVIOR BTBR/NOR second cohort/BTBR/test/c10_f6.mp4</t>
        </is>
      </c>
      <c r="F3284" t="n">
        <v>-13.967</v>
      </c>
      <c r="G3284" t="n">
        <v>576.1660000000001</v>
      </c>
      <c r="H3284" t="n">
        <v>756.366</v>
      </c>
      <c r="I3284" t="n">
        <v>30</v>
      </c>
      <c r="J3284" t="inlineStr">
        <is>
          <t>BTBR</t>
        </is>
      </c>
      <c r="K3284" t="inlineStr">
        <is>
          <t xml:space="preserve"> Female</t>
        </is>
      </c>
      <c r="L3284" t="inlineStr">
        <is>
          <t>No focal subject</t>
        </is>
      </c>
      <c r="M3284" t="n">
        <v>56.664</v>
      </c>
      <c r="N3284" t="inlineStr">
        <is>
          <t>Explore_F</t>
        </is>
      </c>
      <c r="O3284" t="inlineStr">
        <is>
          <t>Familiar</t>
        </is>
      </c>
      <c r="P3284" t="inlineStr">
        <is>
          <t>STATE</t>
        </is>
      </c>
      <c r="Q3284" t="n">
        <v>189.966</v>
      </c>
      <c r="R3284" t="n">
        <v>190.433</v>
      </c>
      <c r="S3284" t="n">
        <v>0.467</v>
      </c>
      <c r="T3284" t="inlineStr">
        <is>
          <t>C:/Users/manuel.felline/Documents/BEHAVIOR BTBR/NOR second cohort/BTBR/test/c10_f6.mp4</t>
        </is>
      </c>
      <c r="U3284" t="n">
        <v>6117</v>
      </c>
      <c r="V3284" t="n">
        <v>6131</v>
      </c>
      <c r="W3284" t="n">
        <v/>
      </c>
      <c r="X3284" t="n">
        <v/>
      </c>
      <c r="Y3284" t="n">
        <v/>
      </c>
      <c r="Z3284" t="n">
        <v/>
      </c>
      <c r="AA3284">
        <f>SUMIFS($S$2:S3284,$A$2:A3284,A3284,$N$2:N3284,"Explore*")</f>
        <v/>
      </c>
      <c r="AB3284">
        <f>IF(AND(LEFT(N3284,7)="Explore",(AA3284-IF(LEFT(N3284,7)="Explore",S3284,0))&lt;10),"SI","NO")</f>
        <v/>
      </c>
    </row>
    <row r="3285">
      <c r="A3285" t="inlineStr">
        <is>
          <t>c10f6_test</t>
        </is>
      </c>
      <c r="B3285" t="inlineStr">
        <is>
          <t>2026-06-29 17:20:25.158</t>
        </is>
      </c>
      <c r="C3285" t="n">
        <v/>
      </c>
      <c r="D3285" t="inlineStr">
        <is>
          <t>Media file</t>
        </is>
      </c>
      <c r="E3285" t="inlineStr">
        <is>
          <t>player #1:C:/Users/manuel.felline/Documents/BEHAVIOR BTBR/NOR second cohort/BTBR/test/c10_f6.mp4</t>
        </is>
      </c>
      <c r="F3285" t="n">
        <v>-13.967</v>
      </c>
      <c r="G3285" t="n">
        <v>576.1660000000001</v>
      </c>
      <c r="H3285" t="n">
        <v>756.366</v>
      </c>
      <c r="I3285" t="n">
        <v>30</v>
      </c>
      <c r="J3285" t="inlineStr">
        <is>
          <t>BTBR</t>
        </is>
      </c>
      <c r="K3285" t="inlineStr">
        <is>
          <t xml:space="preserve"> Female</t>
        </is>
      </c>
      <c r="L3285" t="inlineStr">
        <is>
          <t>No focal subject</t>
        </is>
      </c>
      <c r="M3285" t="n">
        <v>56.664</v>
      </c>
      <c r="N3285" t="inlineStr">
        <is>
          <t>Explore_N</t>
        </is>
      </c>
      <c r="O3285" t="inlineStr">
        <is>
          <t>Novelty</t>
        </is>
      </c>
      <c r="P3285" t="inlineStr">
        <is>
          <t>STATE</t>
        </is>
      </c>
      <c r="Q3285" t="n">
        <v>196.899</v>
      </c>
      <c r="R3285" t="n">
        <v>198.133</v>
      </c>
      <c r="S3285" t="n">
        <v>1.234</v>
      </c>
      <c r="T3285" t="inlineStr">
        <is>
          <t>C:/Users/manuel.felline/Documents/BEHAVIOR BTBR/NOR second cohort/BTBR/test/c10_f6.mp4</t>
        </is>
      </c>
      <c r="U3285" t="n">
        <v>6325</v>
      </c>
      <c r="V3285" t="n">
        <v>6362</v>
      </c>
      <c r="W3285" t="n">
        <v/>
      </c>
      <c r="X3285" t="n">
        <v/>
      </c>
      <c r="Y3285" t="n">
        <v/>
      </c>
      <c r="Z3285" t="n">
        <v/>
      </c>
      <c r="AA3285">
        <f>SUMIFS($S$2:S3285,$A$2:A3285,A3285,$N$2:N3285,"Explore*")</f>
        <v/>
      </c>
      <c r="AB3285">
        <f>IF(AND(LEFT(N3285,7)="Explore",(AA3285-IF(LEFT(N3285,7)="Explore",S3285,0))&lt;10),"SI","NO")</f>
        <v/>
      </c>
    </row>
    <row r="3286">
      <c r="A3286" t="inlineStr">
        <is>
          <t>c10f6_test</t>
        </is>
      </c>
      <c r="B3286" t="inlineStr">
        <is>
          <t>2026-06-29 17:20:25.158</t>
        </is>
      </c>
      <c r="C3286" t="n">
        <v/>
      </c>
      <c r="D3286" t="inlineStr">
        <is>
          <t>Media file</t>
        </is>
      </c>
      <c r="E3286" t="inlineStr">
        <is>
          <t>player #1:C:/Users/manuel.felline/Documents/BEHAVIOR BTBR/NOR second cohort/BTBR/test/c10_f6.mp4</t>
        </is>
      </c>
      <c r="F3286" t="n">
        <v>-13.967</v>
      </c>
      <c r="G3286" t="n">
        <v>576.1660000000001</v>
      </c>
      <c r="H3286" t="n">
        <v>756.366</v>
      </c>
      <c r="I3286" t="n">
        <v>30</v>
      </c>
      <c r="J3286" t="inlineStr">
        <is>
          <t>BTBR</t>
        </is>
      </c>
      <c r="K3286" t="inlineStr">
        <is>
          <t xml:space="preserve"> Female</t>
        </is>
      </c>
      <c r="L3286" t="inlineStr">
        <is>
          <t>No focal subject</t>
        </is>
      </c>
      <c r="M3286" t="n">
        <v>56.664</v>
      </c>
      <c r="N3286" t="inlineStr">
        <is>
          <t>Explore_F</t>
        </is>
      </c>
      <c r="O3286" t="inlineStr">
        <is>
          <t>Familiar</t>
        </is>
      </c>
      <c r="P3286" t="inlineStr">
        <is>
          <t>STATE</t>
        </is>
      </c>
      <c r="Q3286" t="n">
        <v>199.466</v>
      </c>
      <c r="R3286" t="n">
        <v>199.933</v>
      </c>
      <c r="S3286" t="n">
        <v>0.467</v>
      </c>
      <c r="T3286" t="inlineStr">
        <is>
          <t>C:/Users/manuel.felline/Documents/BEHAVIOR BTBR/NOR second cohort/BTBR/test/c10_f6.mp4</t>
        </is>
      </c>
      <c r="U3286" t="n">
        <v>6402</v>
      </c>
      <c r="V3286" t="n">
        <v>6416</v>
      </c>
      <c r="W3286" t="n">
        <v/>
      </c>
      <c r="X3286" t="n">
        <v/>
      </c>
      <c r="Y3286" t="n">
        <v/>
      </c>
      <c r="Z3286" t="n">
        <v/>
      </c>
      <c r="AA3286">
        <f>SUMIFS($S$2:S3286,$A$2:A3286,A3286,$N$2:N3286,"Explore*")</f>
        <v/>
      </c>
      <c r="AB3286">
        <f>IF(AND(LEFT(N3286,7)="Explore",(AA3286-IF(LEFT(N3286,7)="Explore",S3286,0))&lt;10),"SI","NO")</f>
        <v/>
      </c>
    </row>
    <row r="3287">
      <c r="A3287" t="inlineStr">
        <is>
          <t>c10f6_test</t>
        </is>
      </c>
      <c r="B3287" t="inlineStr">
        <is>
          <t>2026-06-29 17:20:25.158</t>
        </is>
      </c>
      <c r="C3287" t="n">
        <v/>
      </c>
      <c r="D3287" t="inlineStr">
        <is>
          <t>Media file</t>
        </is>
      </c>
      <c r="E3287" t="inlineStr">
        <is>
          <t>player #1:C:/Users/manuel.felline/Documents/BEHAVIOR BTBR/NOR second cohort/BTBR/test/c10_f6.mp4</t>
        </is>
      </c>
      <c r="F3287" t="n">
        <v>-13.967</v>
      </c>
      <c r="G3287" t="n">
        <v>576.1660000000001</v>
      </c>
      <c r="H3287" t="n">
        <v>756.366</v>
      </c>
      <c r="I3287" t="n">
        <v>30</v>
      </c>
      <c r="J3287" t="inlineStr">
        <is>
          <t>BTBR</t>
        </is>
      </c>
      <c r="K3287" t="inlineStr">
        <is>
          <t xml:space="preserve"> Female</t>
        </is>
      </c>
      <c r="L3287" t="inlineStr">
        <is>
          <t>No focal subject</t>
        </is>
      </c>
      <c r="M3287" t="n">
        <v>56.664</v>
      </c>
      <c r="N3287" t="inlineStr">
        <is>
          <t>Explore_N</t>
        </is>
      </c>
      <c r="O3287" t="inlineStr">
        <is>
          <t>Novelty</t>
        </is>
      </c>
      <c r="P3287" t="inlineStr">
        <is>
          <t>STATE</t>
        </is>
      </c>
      <c r="Q3287" t="n">
        <v>202.833</v>
      </c>
      <c r="R3287" t="n">
        <v>204.066</v>
      </c>
      <c r="S3287" t="n">
        <v>1.233</v>
      </c>
      <c r="T3287" t="inlineStr">
        <is>
          <t>C:/Users/manuel.felline/Documents/BEHAVIOR BTBR/NOR second cohort/BTBR/test/c10_f6.mp4</t>
        </is>
      </c>
      <c r="U3287" t="n">
        <v>6503</v>
      </c>
      <c r="V3287" t="n">
        <v>6540</v>
      </c>
      <c r="W3287" t="n">
        <v/>
      </c>
      <c r="X3287" t="n">
        <v/>
      </c>
      <c r="Y3287" t="n">
        <v/>
      </c>
      <c r="Z3287" t="n">
        <v/>
      </c>
      <c r="AA3287">
        <f>SUMIFS($S$2:S3287,$A$2:A3287,A3287,$N$2:N3287,"Explore*")</f>
        <v/>
      </c>
      <c r="AB3287">
        <f>IF(AND(LEFT(N3287,7)="Explore",(AA3287-IF(LEFT(N3287,7)="Explore",S3287,0))&lt;10),"SI","NO")</f>
        <v/>
      </c>
    </row>
    <row r="3288">
      <c r="A3288" t="inlineStr">
        <is>
          <t>c10f6_test</t>
        </is>
      </c>
      <c r="B3288" t="inlineStr">
        <is>
          <t>2026-06-29 17:20:25.158</t>
        </is>
      </c>
      <c r="C3288" t="n">
        <v/>
      </c>
      <c r="D3288" t="inlineStr">
        <is>
          <t>Media file</t>
        </is>
      </c>
      <c r="E3288" t="inlineStr">
        <is>
          <t>player #1:C:/Users/manuel.felline/Documents/BEHAVIOR BTBR/NOR second cohort/BTBR/test/c10_f6.mp4</t>
        </is>
      </c>
      <c r="F3288" t="n">
        <v>-13.967</v>
      </c>
      <c r="G3288" t="n">
        <v>576.1660000000001</v>
      </c>
      <c r="H3288" t="n">
        <v>756.366</v>
      </c>
      <c r="I3288" t="n">
        <v>30</v>
      </c>
      <c r="J3288" t="inlineStr">
        <is>
          <t>BTBR</t>
        </is>
      </c>
      <c r="K3288" t="inlineStr">
        <is>
          <t xml:space="preserve"> Female</t>
        </is>
      </c>
      <c r="L3288" t="inlineStr">
        <is>
          <t>No focal subject</t>
        </is>
      </c>
      <c r="M3288" t="n">
        <v>56.664</v>
      </c>
      <c r="N3288" t="inlineStr">
        <is>
          <t>Explore_F</t>
        </is>
      </c>
      <c r="O3288" t="inlineStr">
        <is>
          <t>Familiar</t>
        </is>
      </c>
      <c r="P3288" t="inlineStr">
        <is>
          <t>STATE</t>
        </is>
      </c>
      <c r="Q3288" t="n">
        <v>205.133</v>
      </c>
      <c r="R3288" t="n">
        <v>205.599</v>
      </c>
      <c r="S3288" t="n">
        <v>0.466</v>
      </c>
      <c r="T3288" t="inlineStr">
        <is>
          <t>C:/Users/manuel.felline/Documents/BEHAVIOR BTBR/NOR second cohort/BTBR/test/c10_f6.mp4</t>
        </is>
      </c>
      <c r="U3288" t="n">
        <v>6572</v>
      </c>
      <c r="V3288" t="n">
        <v>6586</v>
      </c>
      <c r="W3288" t="n">
        <v/>
      </c>
      <c r="X3288" t="n">
        <v/>
      </c>
      <c r="Y3288" t="n">
        <v/>
      </c>
      <c r="Z3288" t="n">
        <v/>
      </c>
      <c r="AA3288">
        <f>SUMIFS($S$2:S3288,$A$2:A3288,A3288,$N$2:N3288,"Explore*")</f>
        <v/>
      </c>
      <c r="AB3288">
        <f>IF(AND(LEFT(N3288,7)="Explore",(AA3288-IF(LEFT(N3288,7)="Explore",S3288,0))&lt;10),"SI","NO")</f>
        <v/>
      </c>
    </row>
    <row r="3289">
      <c r="A3289" t="inlineStr">
        <is>
          <t>c10f6_test</t>
        </is>
      </c>
      <c r="B3289" t="inlineStr">
        <is>
          <t>2026-06-29 17:20:25.158</t>
        </is>
      </c>
      <c r="C3289" t="n">
        <v/>
      </c>
      <c r="D3289" t="inlineStr">
        <is>
          <t>Media file</t>
        </is>
      </c>
      <c r="E3289" t="inlineStr">
        <is>
          <t>player #1:C:/Users/manuel.felline/Documents/BEHAVIOR BTBR/NOR second cohort/BTBR/test/c10_f6.mp4</t>
        </is>
      </c>
      <c r="F3289" t="n">
        <v>-13.967</v>
      </c>
      <c r="G3289" t="n">
        <v>576.1660000000001</v>
      </c>
      <c r="H3289" t="n">
        <v>756.366</v>
      </c>
      <c r="I3289" t="n">
        <v>30</v>
      </c>
      <c r="J3289" t="inlineStr">
        <is>
          <t>BTBR</t>
        </is>
      </c>
      <c r="K3289" t="inlineStr">
        <is>
          <t xml:space="preserve"> Female</t>
        </is>
      </c>
      <c r="L3289" t="inlineStr">
        <is>
          <t>No focal subject</t>
        </is>
      </c>
      <c r="M3289" t="n">
        <v>56.664</v>
      </c>
      <c r="N3289" t="inlineStr">
        <is>
          <t>Explore_N</t>
        </is>
      </c>
      <c r="O3289" t="inlineStr">
        <is>
          <t>Novelty</t>
        </is>
      </c>
      <c r="P3289" t="inlineStr">
        <is>
          <t>STATE</t>
        </is>
      </c>
      <c r="Q3289" t="n">
        <v>214.699</v>
      </c>
      <c r="R3289" t="n">
        <v>216.033</v>
      </c>
      <c r="S3289" t="n">
        <v>1.334</v>
      </c>
      <c r="T3289" t="inlineStr">
        <is>
          <t>C:/Users/manuel.felline/Documents/BEHAVIOR BTBR/NOR second cohort/BTBR/test/c10_f6.mp4</t>
        </is>
      </c>
      <c r="U3289" t="n">
        <v>6859</v>
      </c>
      <c r="V3289" t="n">
        <v>6899</v>
      </c>
      <c r="W3289" t="n">
        <v/>
      </c>
      <c r="X3289" t="n">
        <v/>
      </c>
      <c r="Y3289" t="n">
        <v/>
      </c>
      <c r="Z3289" t="n">
        <v/>
      </c>
      <c r="AA3289">
        <f>SUMIFS($S$2:S3289,$A$2:A3289,A3289,$N$2:N3289,"Explore*")</f>
        <v/>
      </c>
      <c r="AB3289">
        <f>IF(AND(LEFT(N3289,7)="Explore",(AA3289-IF(LEFT(N3289,7)="Explore",S3289,0))&lt;10),"SI","NO")</f>
        <v/>
      </c>
    </row>
    <row r="3290">
      <c r="A3290" t="inlineStr">
        <is>
          <t>c10f6_test</t>
        </is>
      </c>
      <c r="B3290" t="inlineStr">
        <is>
          <t>2026-06-29 17:20:25.158</t>
        </is>
      </c>
      <c r="C3290" t="n">
        <v/>
      </c>
      <c r="D3290" t="inlineStr">
        <is>
          <t>Media file</t>
        </is>
      </c>
      <c r="E3290" t="inlineStr">
        <is>
          <t>player #1:C:/Users/manuel.felline/Documents/BEHAVIOR BTBR/NOR second cohort/BTBR/test/c10_f6.mp4</t>
        </is>
      </c>
      <c r="F3290" t="n">
        <v>-13.967</v>
      </c>
      <c r="G3290" t="n">
        <v>576.1660000000001</v>
      </c>
      <c r="H3290" t="n">
        <v>756.366</v>
      </c>
      <c r="I3290" t="n">
        <v>30</v>
      </c>
      <c r="J3290" t="inlineStr">
        <is>
          <t>BTBR</t>
        </is>
      </c>
      <c r="K3290" t="inlineStr">
        <is>
          <t xml:space="preserve"> Female</t>
        </is>
      </c>
      <c r="L3290" t="inlineStr">
        <is>
          <t>No focal subject</t>
        </is>
      </c>
      <c r="M3290" t="n">
        <v>56.664</v>
      </c>
      <c r="N3290" t="inlineStr">
        <is>
          <t>Explore_N</t>
        </is>
      </c>
      <c r="O3290" t="inlineStr">
        <is>
          <t>Novelty</t>
        </is>
      </c>
      <c r="P3290" t="inlineStr">
        <is>
          <t>STATE</t>
        </is>
      </c>
      <c r="Q3290" t="n">
        <v>222.533</v>
      </c>
      <c r="R3290" t="n">
        <v>223.533</v>
      </c>
      <c r="S3290" t="n">
        <v>1</v>
      </c>
      <c r="T3290" t="inlineStr">
        <is>
          <t>C:/Users/manuel.felline/Documents/BEHAVIOR BTBR/NOR second cohort/BTBR/test/c10_f6.mp4</t>
        </is>
      </c>
      <c r="U3290" t="n">
        <v>7094</v>
      </c>
      <c r="V3290" t="n">
        <v>7124</v>
      </c>
      <c r="W3290" t="n">
        <v/>
      </c>
      <c r="X3290" t="n">
        <v/>
      </c>
      <c r="Y3290" t="n">
        <v/>
      </c>
      <c r="Z3290" t="n">
        <v/>
      </c>
      <c r="AA3290">
        <f>SUMIFS($S$2:S3290,$A$2:A3290,A3290,$N$2:N3290,"Explore*")</f>
        <v/>
      </c>
      <c r="AB3290">
        <f>IF(AND(LEFT(N3290,7)="Explore",(AA3290-IF(LEFT(N3290,7)="Explore",S3290,0))&lt;10),"SI","NO")</f>
        <v/>
      </c>
    </row>
    <row r="3291">
      <c r="A3291" t="inlineStr">
        <is>
          <t>c10f6_test</t>
        </is>
      </c>
      <c r="B3291" t="inlineStr">
        <is>
          <t>2026-06-29 17:20:25.158</t>
        </is>
      </c>
      <c r="C3291" t="n">
        <v/>
      </c>
      <c r="D3291" t="inlineStr">
        <is>
          <t>Media file</t>
        </is>
      </c>
      <c r="E3291" t="inlineStr">
        <is>
          <t>player #1:C:/Users/manuel.felline/Documents/BEHAVIOR BTBR/NOR second cohort/BTBR/test/c10_f6.mp4</t>
        </is>
      </c>
      <c r="F3291" t="n">
        <v>-13.967</v>
      </c>
      <c r="G3291" t="n">
        <v>576.1660000000001</v>
      </c>
      <c r="H3291" t="n">
        <v>756.366</v>
      </c>
      <c r="I3291" t="n">
        <v>30</v>
      </c>
      <c r="J3291" t="inlineStr">
        <is>
          <t>BTBR</t>
        </is>
      </c>
      <c r="K3291" t="inlineStr">
        <is>
          <t xml:space="preserve"> Female</t>
        </is>
      </c>
      <c r="L3291" t="inlineStr">
        <is>
          <t>No focal subject</t>
        </is>
      </c>
      <c r="M3291" t="n">
        <v>56.664</v>
      </c>
      <c r="N3291" t="inlineStr">
        <is>
          <t>Explore_F</t>
        </is>
      </c>
      <c r="O3291" t="inlineStr">
        <is>
          <t>Familiar</t>
        </is>
      </c>
      <c r="P3291" t="inlineStr">
        <is>
          <t>STATE</t>
        </is>
      </c>
      <c r="Q3291" t="n">
        <v>224.766</v>
      </c>
      <c r="R3291" t="n">
        <v>225.233</v>
      </c>
      <c r="S3291" t="n">
        <v>0.467</v>
      </c>
      <c r="T3291" t="inlineStr">
        <is>
          <t>C:/Users/manuel.felline/Documents/BEHAVIOR BTBR/NOR second cohort/BTBR/test/c10_f6.mp4</t>
        </is>
      </c>
      <c r="U3291" t="n">
        <v>7161</v>
      </c>
      <c r="V3291" t="n">
        <v>7175</v>
      </c>
      <c r="W3291" t="n">
        <v/>
      </c>
      <c r="X3291" t="n">
        <v/>
      </c>
      <c r="Y3291" t="n">
        <v/>
      </c>
      <c r="Z3291" t="n">
        <v/>
      </c>
      <c r="AA3291">
        <f>SUMIFS($S$2:S3291,$A$2:A3291,A3291,$N$2:N3291,"Explore*")</f>
        <v/>
      </c>
      <c r="AB3291">
        <f>IF(AND(LEFT(N3291,7)="Explore",(AA3291-IF(LEFT(N3291,7)="Explore",S3291,0))&lt;10),"SI","NO")</f>
        <v/>
      </c>
    </row>
    <row r="3292">
      <c r="A3292" t="inlineStr">
        <is>
          <t>c10f6_test</t>
        </is>
      </c>
      <c r="B3292" t="inlineStr">
        <is>
          <t>2026-06-29 17:20:25.158</t>
        </is>
      </c>
      <c r="C3292" t="n">
        <v/>
      </c>
      <c r="D3292" t="inlineStr">
        <is>
          <t>Media file</t>
        </is>
      </c>
      <c r="E3292" t="inlineStr">
        <is>
          <t>player #1:C:/Users/manuel.felline/Documents/BEHAVIOR BTBR/NOR second cohort/BTBR/test/c10_f6.mp4</t>
        </is>
      </c>
      <c r="F3292" t="n">
        <v>-13.967</v>
      </c>
      <c r="G3292" t="n">
        <v>576.1660000000001</v>
      </c>
      <c r="H3292" t="n">
        <v>756.366</v>
      </c>
      <c r="I3292" t="n">
        <v>30</v>
      </c>
      <c r="J3292" t="inlineStr">
        <is>
          <t>BTBR</t>
        </is>
      </c>
      <c r="K3292" t="inlineStr">
        <is>
          <t xml:space="preserve"> Female</t>
        </is>
      </c>
      <c r="L3292" t="inlineStr">
        <is>
          <t>No focal subject</t>
        </is>
      </c>
      <c r="M3292" t="n">
        <v>56.664</v>
      </c>
      <c r="N3292" t="inlineStr">
        <is>
          <t>Explore_N</t>
        </is>
      </c>
      <c r="O3292" t="inlineStr">
        <is>
          <t>Novelty</t>
        </is>
      </c>
      <c r="P3292" t="inlineStr">
        <is>
          <t>STATE</t>
        </is>
      </c>
      <c r="Q3292" t="n">
        <v>229.999</v>
      </c>
      <c r="R3292" t="n">
        <v>231.266</v>
      </c>
      <c r="S3292" t="n">
        <v>1.267</v>
      </c>
      <c r="T3292" t="inlineStr">
        <is>
          <t>C:/Users/manuel.felline/Documents/BEHAVIOR BTBR/NOR second cohort/BTBR/test/c10_f6.mp4</t>
        </is>
      </c>
      <c r="U3292" t="n">
        <v>7318</v>
      </c>
      <c r="V3292" t="n">
        <v>7356</v>
      </c>
      <c r="W3292" t="n">
        <v/>
      </c>
      <c r="X3292" t="n">
        <v/>
      </c>
      <c r="Y3292" t="n">
        <v/>
      </c>
      <c r="Z3292" t="n">
        <v/>
      </c>
      <c r="AA3292">
        <f>SUMIFS($S$2:S3292,$A$2:A3292,A3292,$N$2:N3292,"Explore*")</f>
        <v/>
      </c>
      <c r="AB3292">
        <f>IF(AND(LEFT(N3292,7)="Explore",(AA3292-IF(LEFT(N3292,7)="Explore",S3292,0))&lt;10),"SI","NO")</f>
        <v/>
      </c>
    </row>
    <row r="3293">
      <c r="A3293" t="inlineStr">
        <is>
          <t>c10f6_test</t>
        </is>
      </c>
      <c r="B3293" t="inlineStr">
        <is>
          <t>2026-06-29 17:20:25.158</t>
        </is>
      </c>
      <c r="C3293" t="n">
        <v/>
      </c>
      <c r="D3293" t="inlineStr">
        <is>
          <t>Media file</t>
        </is>
      </c>
      <c r="E3293" t="inlineStr">
        <is>
          <t>player #1:C:/Users/manuel.felline/Documents/BEHAVIOR BTBR/NOR second cohort/BTBR/test/c10_f6.mp4</t>
        </is>
      </c>
      <c r="F3293" t="n">
        <v>-13.967</v>
      </c>
      <c r="G3293" t="n">
        <v>576.1660000000001</v>
      </c>
      <c r="H3293" t="n">
        <v>756.366</v>
      </c>
      <c r="I3293" t="n">
        <v>30</v>
      </c>
      <c r="J3293" t="inlineStr">
        <is>
          <t>BTBR</t>
        </is>
      </c>
      <c r="K3293" t="inlineStr">
        <is>
          <t xml:space="preserve"> Female</t>
        </is>
      </c>
      <c r="L3293" t="inlineStr">
        <is>
          <t>No focal subject</t>
        </is>
      </c>
      <c r="M3293" t="n">
        <v>56.664</v>
      </c>
      <c r="N3293" t="inlineStr">
        <is>
          <t>Explore_N</t>
        </is>
      </c>
      <c r="O3293" t="inlineStr">
        <is>
          <t>Novelty</t>
        </is>
      </c>
      <c r="P3293" t="inlineStr">
        <is>
          <t>STATE</t>
        </is>
      </c>
      <c r="Q3293" t="n">
        <v>236.099</v>
      </c>
      <c r="R3293" t="n">
        <v>236.933</v>
      </c>
      <c r="S3293" t="n">
        <v>0.834</v>
      </c>
      <c r="T3293" t="inlineStr">
        <is>
          <t>C:/Users/manuel.felline/Documents/BEHAVIOR BTBR/NOR second cohort/BTBR/test/c10_f6.mp4</t>
        </is>
      </c>
      <c r="U3293" t="n">
        <v>7501</v>
      </c>
      <c r="V3293" t="n">
        <v>7526</v>
      </c>
      <c r="W3293" t="n">
        <v/>
      </c>
      <c r="X3293" t="n">
        <v/>
      </c>
      <c r="Y3293" t="n">
        <v/>
      </c>
      <c r="Z3293" t="n">
        <v/>
      </c>
      <c r="AA3293">
        <f>SUMIFS($S$2:S3293,$A$2:A3293,A3293,$N$2:N3293,"Explore*")</f>
        <v/>
      </c>
      <c r="AB3293">
        <f>IF(AND(LEFT(N3293,7)="Explore",(AA3293-IF(LEFT(N3293,7)="Explore",S3293,0))&lt;10),"SI","NO")</f>
        <v/>
      </c>
    </row>
    <row r="3294">
      <c r="A3294" t="inlineStr">
        <is>
          <t>c10f6_test</t>
        </is>
      </c>
      <c r="B3294" t="inlineStr">
        <is>
          <t>2026-06-29 17:20:25.158</t>
        </is>
      </c>
      <c r="C3294" t="n">
        <v/>
      </c>
      <c r="D3294" t="inlineStr">
        <is>
          <t>Media file</t>
        </is>
      </c>
      <c r="E3294" t="inlineStr">
        <is>
          <t>player #1:C:/Users/manuel.felline/Documents/BEHAVIOR BTBR/NOR second cohort/BTBR/test/c10_f6.mp4</t>
        </is>
      </c>
      <c r="F3294" t="n">
        <v>-13.967</v>
      </c>
      <c r="G3294" t="n">
        <v>576.1660000000001</v>
      </c>
      <c r="H3294" t="n">
        <v>756.366</v>
      </c>
      <c r="I3294" t="n">
        <v>30</v>
      </c>
      <c r="J3294" t="inlineStr">
        <is>
          <t>BTBR</t>
        </is>
      </c>
      <c r="K3294" t="inlineStr">
        <is>
          <t xml:space="preserve"> Female</t>
        </is>
      </c>
      <c r="L3294" t="inlineStr">
        <is>
          <t>No focal subject</t>
        </is>
      </c>
      <c r="M3294" t="n">
        <v>56.664</v>
      </c>
      <c r="N3294" t="inlineStr">
        <is>
          <t>Explore_F</t>
        </is>
      </c>
      <c r="O3294" t="inlineStr">
        <is>
          <t>Familiar</t>
        </is>
      </c>
      <c r="P3294" t="inlineStr">
        <is>
          <t>STATE</t>
        </is>
      </c>
      <c r="Q3294" t="n">
        <v>238.133</v>
      </c>
      <c r="R3294" t="n">
        <v>238.999</v>
      </c>
      <c r="S3294" t="n">
        <v>0.866</v>
      </c>
      <c r="T3294" t="inlineStr">
        <is>
          <t>C:/Users/manuel.felline/Documents/BEHAVIOR BTBR/NOR second cohort/BTBR/test/c10_f6.mp4</t>
        </is>
      </c>
      <c r="U3294" t="n">
        <v>7562</v>
      </c>
      <c r="V3294" t="n">
        <v>7588</v>
      </c>
      <c r="W3294" t="n">
        <v/>
      </c>
      <c r="X3294" t="n">
        <v/>
      </c>
      <c r="Y3294" t="n">
        <v/>
      </c>
      <c r="Z3294" t="n">
        <v/>
      </c>
      <c r="AA3294">
        <f>SUMIFS($S$2:S3294,$A$2:A3294,A3294,$N$2:N3294,"Explore*")</f>
        <v/>
      </c>
      <c r="AB3294">
        <f>IF(AND(LEFT(N3294,7)="Explore",(AA3294-IF(LEFT(N3294,7)="Explore",S3294,0))&lt;10),"SI","NO")</f>
        <v/>
      </c>
    </row>
    <row r="3295">
      <c r="A3295" t="inlineStr">
        <is>
          <t>c10f6_test</t>
        </is>
      </c>
      <c r="B3295" t="inlineStr">
        <is>
          <t>2026-06-29 17:20:25.158</t>
        </is>
      </c>
      <c r="C3295" t="n">
        <v/>
      </c>
      <c r="D3295" t="inlineStr">
        <is>
          <t>Media file</t>
        </is>
      </c>
      <c r="E3295" t="inlineStr">
        <is>
          <t>player #1:C:/Users/manuel.felline/Documents/BEHAVIOR BTBR/NOR second cohort/BTBR/test/c10_f6.mp4</t>
        </is>
      </c>
      <c r="F3295" t="n">
        <v>-13.967</v>
      </c>
      <c r="G3295" t="n">
        <v>576.1660000000001</v>
      </c>
      <c r="H3295" t="n">
        <v>756.366</v>
      </c>
      <c r="I3295" t="n">
        <v>30</v>
      </c>
      <c r="J3295" t="inlineStr">
        <is>
          <t>BTBR</t>
        </is>
      </c>
      <c r="K3295" t="inlineStr">
        <is>
          <t xml:space="preserve"> Female</t>
        </is>
      </c>
      <c r="L3295" t="inlineStr">
        <is>
          <t>No focal subject</t>
        </is>
      </c>
      <c r="M3295" t="n">
        <v>56.664</v>
      </c>
      <c r="N3295" t="inlineStr">
        <is>
          <t>Explore_N</t>
        </is>
      </c>
      <c r="O3295" t="inlineStr">
        <is>
          <t>Novelty</t>
        </is>
      </c>
      <c r="P3295" t="inlineStr">
        <is>
          <t>STATE</t>
        </is>
      </c>
      <c r="Q3295" t="n">
        <v>262.699</v>
      </c>
      <c r="R3295" t="n">
        <v>263.266</v>
      </c>
      <c r="S3295" t="n">
        <v>0.5669999999999999</v>
      </c>
      <c r="T3295" t="inlineStr">
        <is>
          <t>C:/Users/manuel.felline/Documents/BEHAVIOR BTBR/NOR second cohort/BTBR/test/c10_f6.mp4</t>
        </is>
      </c>
      <c r="U3295" t="n">
        <v>8299</v>
      </c>
      <c r="V3295" t="n">
        <v>8316</v>
      </c>
      <c r="W3295" t="n">
        <v/>
      </c>
      <c r="X3295" t="n">
        <v/>
      </c>
      <c r="Y3295" t="n">
        <v/>
      </c>
      <c r="Z3295" t="n">
        <v/>
      </c>
      <c r="AA3295">
        <f>SUMIFS($S$2:S3295,$A$2:A3295,A3295,$N$2:N3295,"Explore*")</f>
        <v/>
      </c>
      <c r="AB3295">
        <f>IF(AND(LEFT(N3295,7)="Explore",(AA3295-IF(LEFT(N3295,7)="Explore",S3295,0))&lt;10),"SI","NO")</f>
        <v/>
      </c>
    </row>
    <row r="3296">
      <c r="A3296" t="inlineStr">
        <is>
          <t>c10f6_test</t>
        </is>
      </c>
      <c r="B3296" t="inlineStr">
        <is>
          <t>2026-06-29 17:20:25.158</t>
        </is>
      </c>
      <c r="C3296" t="n">
        <v/>
      </c>
      <c r="D3296" t="inlineStr">
        <is>
          <t>Media file</t>
        </is>
      </c>
      <c r="E3296" t="inlineStr">
        <is>
          <t>player #1:C:/Users/manuel.felline/Documents/BEHAVIOR BTBR/NOR second cohort/BTBR/test/c10_f6.mp4</t>
        </is>
      </c>
      <c r="F3296" t="n">
        <v>-13.967</v>
      </c>
      <c r="G3296" t="n">
        <v>576.1660000000001</v>
      </c>
      <c r="H3296" t="n">
        <v>756.366</v>
      </c>
      <c r="I3296" t="n">
        <v>30</v>
      </c>
      <c r="J3296" t="inlineStr">
        <is>
          <t>BTBR</t>
        </is>
      </c>
      <c r="K3296" t="inlineStr">
        <is>
          <t xml:space="preserve"> Female</t>
        </is>
      </c>
      <c r="L3296" t="inlineStr">
        <is>
          <t>No focal subject</t>
        </is>
      </c>
      <c r="M3296" t="n">
        <v>56.664</v>
      </c>
      <c r="N3296" t="inlineStr">
        <is>
          <t>Explore_F</t>
        </is>
      </c>
      <c r="O3296" t="inlineStr">
        <is>
          <t>Familiar</t>
        </is>
      </c>
      <c r="P3296" t="inlineStr">
        <is>
          <t>STATE</t>
        </is>
      </c>
      <c r="Q3296" t="n">
        <v>263.866</v>
      </c>
      <c r="R3296" t="n">
        <v>264.766</v>
      </c>
      <c r="S3296" t="n">
        <v>0.9</v>
      </c>
      <c r="T3296" t="inlineStr">
        <is>
          <t>C:/Users/manuel.felline/Documents/BEHAVIOR BTBR/NOR second cohort/BTBR/test/c10_f6.mp4</t>
        </is>
      </c>
      <c r="U3296" t="n">
        <v>8334</v>
      </c>
      <c r="V3296" t="n">
        <v>8361</v>
      </c>
      <c r="W3296" t="n">
        <v/>
      </c>
      <c r="X3296" t="n">
        <v/>
      </c>
      <c r="Y3296" t="n">
        <v/>
      </c>
      <c r="Z3296" t="n">
        <v/>
      </c>
      <c r="AA3296">
        <f>SUMIFS($S$2:S3296,$A$2:A3296,A3296,$N$2:N3296,"Explore*")</f>
        <v/>
      </c>
      <c r="AB3296">
        <f>IF(AND(LEFT(N3296,7)="Explore",(AA3296-IF(LEFT(N3296,7)="Explore",S3296,0))&lt;10),"SI","NO")</f>
        <v/>
      </c>
    </row>
    <row r="3297">
      <c r="A3297" t="inlineStr">
        <is>
          <t>c10f6_test</t>
        </is>
      </c>
      <c r="B3297" t="inlineStr">
        <is>
          <t>2026-06-29 17:20:25.158</t>
        </is>
      </c>
      <c r="C3297" t="n">
        <v/>
      </c>
      <c r="D3297" t="inlineStr">
        <is>
          <t>Media file</t>
        </is>
      </c>
      <c r="E3297" t="inlineStr">
        <is>
          <t>player #1:C:/Users/manuel.felline/Documents/BEHAVIOR BTBR/NOR second cohort/BTBR/test/c10_f6.mp4</t>
        </is>
      </c>
      <c r="F3297" t="n">
        <v>-13.967</v>
      </c>
      <c r="G3297" t="n">
        <v>576.1660000000001</v>
      </c>
      <c r="H3297" t="n">
        <v>756.366</v>
      </c>
      <c r="I3297" t="n">
        <v>30</v>
      </c>
      <c r="J3297" t="inlineStr">
        <is>
          <t>BTBR</t>
        </is>
      </c>
      <c r="K3297" t="inlineStr">
        <is>
          <t xml:space="preserve"> Female</t>
        </is>
      </c>
      <c r="L3297" t="inlineStr">
        <is>
          <t>No focal subject</t>
        </is>
      </c>
      <c r="M3297" t="n">
        <v>56.664</v>
      </c>
      <c r="N3297" t="inlineStr">
        <is>
          <t>Explore_N</t>
        </is>
      </c>
      <c r="O3297" t="inlineStr">
        <is>
          <t>Novelty</t>
        </is>
      </c>
      <c r="P3297" t="inlineStr">
        <is>
          <t>STATE</t>
        </is>
      </c>
      <c r="Q3297" t="n">
        <v>280.333</v>
      </c>
      <c r="R3297" t="n">
        <v>281.366</v>
      </c>
      <c r="S3297" t="n">
        <v>1.033</v>
      </c>
      <c r="T3297" t="inlineStr">
        <is>
          <t>C:/Users/manuel.felline/Documents/BEHAVIOR BTBR/NOR second cohort/BTBR/test/c10_f6.mp4</t>
        </is>
      </c>
      <c r="U3297" t="n">
        <v>8828</v>
      </c>
      <c r="V3297" t="n">
        <v>8859</v>
      </c>
      <c r="W3297" t="n">
        <v/>
      </c>
      <c r="X3297" t="n">
        <v/>
      </c>
      <c r="Y3297" t="n">
        <v/>
      </c>
      <c r="Z3297" t="n">
        <v/>
      </c>
      <c r="AA3297">
        <f>SUMIFS($S$2:S3297,$A$2:A3297,A3297,$N$2:N3297,"Explore*")</f>
        <v/>
      </c>
      <c r="AB3297">
        <f>IF(AND(LEFT(N3297,7)="Explore",(AA3297-IF(LEFT(N3297,7)="Explore",S3297,0))&lt;10),"SI","NO")</f>
        <v/>
      </c>
    </row>
    <row r="3298">
      <c r="A3298" t="inlineStr">
        <is>
          <t>c10f6_test</t>
        </is>
      </c>
      <c r="B3298" t="inlineStr">
        <is>
          <t>2026-06-29 17:20:25.158</t>
        </is>
      </c>
      <c r="C3298" t="n">
        <v/>
      </c>
      <c r="D3298" t="inlineStr">
        <is>
          <t>Media file</t>
        </is>
      </c>
      <c r="E3298" t="inlineStr">
        <is>
          <t>player #1:C:/Users/manuel.felline/Documents/BEHAVIOR BTBR/NOR second cohort/BTBR/test/c10_f6.mp4</t>
        </is>
      </c>
      <c r="F3298" t="n">
        <v>-13.967</v>
      </c>
      <c r="G3298" t="n">
        <v>576.1660000000001</v>
      </c>
      <c r="H3298" t="n">
        <v>756.366</v>
      </c>
      <c r="I3298" t="n">
        <v>30</v>
      </c>
      <c r="J3298" t="inlineStr">
        <is>
          <t>BTBR</t>
        </is>
      </c>
      <c r="K3298" t="inlineStr">
        <is>
          <t xml:space="preserve"> Female</t>
        </is>
      </c>
      <c r="L3298" t="inlineStr">
        <is>
          <t>No focal subject</t>
        </is>
      </c>
      <c r="M3298" t="n">
        <v>56.664</v>
      </c>
      <c r="N3298" t="inlineStr">
        <is>
          <t>Explore_N</t>
        </is>
      </c>
      <c r="O3298" t="inlineStr">
        <is>
          <t>Novelty</t>
        </is>
      </c>
      <c r="P3298" t="inlineStr">
        <is>
          <t>STATE</t>
        </is>
      </c>
      <c r="Q3298" t="n">
        <v>295.699</v>
      </c>
      <c r="R3298" t="n">
        <v>296.633</v>
      </c>
      <c r="S3298" t="n">
        <v>0.9340000000000001</v>
      </c>
      <c r="T3298" t="inlineStr">
        <is>
          <t>C:/Users/manuel.felline/Documents/BEHAVIOR BTBR/NOR second cohort/BTBR/test/c10_f6.mp4</t>
        </is>
      </c>
      <c r="U3298" t="n">
        <v>9289</v>
      </c>
      <c r="V3298" t="n">
        <v>9317</v>
      </c>
      <c r="W3298" t="n">
        <v/>
      </c>
      <c r="X3298" t="n">
        <v/>
      </c>
      <c r="Y3298" t="n">
        <v/>
      </c>
      <c r="Z3298" t="n">
        <v/>
      </c>
      <c r="AA3298">
        <f>SUMIFS($S$2:S3298,$A$2:A3298,A3298,$N$2:N3298,"Explore*")</f>
        <v/>
      </c>
      <c r="AB3298">
        <f>IF(AND(LEFT(N3298,7)="Explore",(AA3298-IF(LEFT(N3298,7)="Explore",S3298,0))&lt;10),"SI","NO")</f>
        <v/>
      </c>
    </row>
    <row r="3299">
      <c r="A3299" t="inlineStr">
        <is>
          <t>c10f6_test</t>
        </is>
      </c>
      <c r="B3299" t="inlineStr">
        <is>
          <t>2026-06-29 17:20:25.158</t>
        </is>
      </c>
      <c r="C3299" t="n">
        <v/>
      </c>
      <c r="D3299" t="inlineStr">
        <is>
          <t>Media file</t>
        </is>
      </c>
      <c r="E3299" t="inlineStr">
        <is>
          <t>player #1:C:/Users/manuel.felline/Documents/BEHAVIOR BTBR/NOR second cohort/BTBR/test/c10_f6.mp4</t>
        </is>
      </c>
      <c r="F3299" t="n">
        <v>-13.967</v>
      </c>
      <c r="G3299" t="n">
        <v>576.1660000000001</v>
      </c>
      <c r="H3299" t="n">
        <v>756.366</v>
      </c>
      <c r="I3299" t="n">
        <v>30</v>
      </c>
      <c r="J3299" t="inlineStr">
        <is>
          <t>BTBR</t>
        </is>
      </c>
      <c r="K3299" t="inlineStr">
        <is>
          <t xml:space="preserve"> Female</t>
        </is>
      </c>
      <c r="L3299" t="inlineStr">
        <is>
          <t>No focal subject</t>
        </is>
      </c>
      <c r="M3299" t="n">
        <v>56.664</v>
      </c>
      <c r="N3299" t="inlineStr">
        <is>
          <t>Explore_N</t>
        </is>
      </c>
      <c r="O3299" t="inlineStr">
        <is>
          <t>Novelty</t>
        </is>
      </c>
      <c r="P3299" t="inlineStr">
        <is>
          <t>STATE</t>
        </is>
      </c>
      <c r="Q3299" t="n">
        <v>300.499</v>
      </c>
      <c r="R3299" t="n">
        <v>302.766</v>
      </c>
      <c r="S3299" t="n">
        <v>2.267</v>
      </c>
      <c r="T3299" t="inlineStr">
        <is>
          <t>C:/Users/manuel.felline/Documents/BEHAVIOR BTBR/NOR second cohort/BTBR/test/c10_f6.mp4</t>
        </is>
      </c>
      <c r="U3299" t="n">
        <v>9433</v>
      </c>
      <c r="V3299" t="n">
        <v>9501</v>
      </c>
      <c r="W3299" t="n">
        <v/>
      </c>
      <c r="X3299" t="n">
        <v/>
      </c>
      <c r="Y3299" t="n">
        <v/>
      </c>
      <c r="Z3299" t="n">
        <v/>
      </c>
      <c r="AA3299">
        <f>SUMIFS($S$2:S3299,$A$2:A3299,A3299,$N$2:N3299,"Explore*")</f>
        <v/>
      </c>
      <c r="AB3299">
        <f>IF(AND(LEFT(N3299,7)="Explore",(AA3299-IF(LEFT(N3299,7)="Explore",S3299,0))&lt;10),"SI","NO")</f>
        <v/>
      </c>
    </row>
    <row r="3300">
      <c r="A3300" t="inlineStr">
        <is>
          <t>c10f6_test</t>
        </is>
      </c>
      <c r="B3300" t="inlineStr">
        <is>
          <t>2026-06-29 17:20:25.158</t>
        </is>
      </c>
      <c r="C3300" t="n">
        <v/>
      </c>
      <c r="D3300" t="inlineStr">
        <is>
          <t>Media file</t>
        </is>
      </c>
      <c r="E3300" t="inlineStr">
        <is>
          <t>player #1:C:/Users/manuel.felline/Documents/BEHAVIOR BTBR/NOR second cohort/BTBR/test/c10_f6.mp4</t>
        </is>
      </c>
      <c r="F3300" t="n">
        <v>-13.967</v>
      </c>
      <c r="G3300" t="n">
        <v>576.1660000000001</v>
      </c>
      <c r="H3300" t="n">
        <v>756.366</v>
      </c>
      <c r="I3300" t="n">
        <v>30</v>
      </c>
      <c r="J3300" t="inlineStr">
        <is>
          <t>BTBR</t>
        </is>
      </c>
      <c r="K3300" t="inlineStr">
        <is>
          <t xml:space="preserve"> Female</t>
        </is>
      </c>
      <c r="L3300" t="inlineStr">
        <is>
          <t>No focal subject</t>
        </is>
      </c>
      <c r="M3300" t="n">
        <v>56.664</v>
      </c>
      <c r="N3300" t="inlineStr">
        <is>
          <t>Explore_F</t>
        </is>
      </c>
      <c r="O3300" t="inlineStr">
        <is>
          <t>Familiar</t>
        </is>
      </c>
      <c r="P3300" t="inlineStr">
        <is>
          <t>STATE</t>
        </is>
      </c>
      <c r="Q3300" t="n">
        <v>305.333</v>
      </c>
      <c r="R3300" t="n">
        <v>305.866</v>
      </c>
      <c r="S3300" t="n">
        <v>0.533</v>
      </c>
      <c r="T3300" t="inlineStr">
        <is>
          <t>C:/Users/manuel.felline/Documents/BEHAVIOR BTBR/NOR second cohort/BTBR/test/c10_f6.mp4</t>
        </is>
      </c>
      <c r="U3300" t="n">
        <v>9578</v>
      </c>
      <c r="V3300" t="n">
        <v>9594</v>
      </c>
      <c r="W3300" t="n">
        <v/>
      </c>
      <c r="X3300" t="n">
        <v/>
      </c>
      <c r="Y3300" t="n">
        <v/>
      </c>
      <c r="Z3300" t="n">
        <v/>
      </c>
      <c r="AA3300">
        <f>SUMIFS($S$2:S3300,$A$2:A3300,A3300,$N$2:N3300,"Explore*")</f>
        <v/>
      </c>
      <c r="AB3300">
        <f>IF(AND(LEFT(N3300,7)="Explore",(AA3300-IF(LEFT(N3300,7)="Explore",S3300,0))&lt;10),"SI","NO")</f>
        <v/>
      </c>
    </row>
    <row r="3301">
      <c r="A3301" t="inlineStr">
        <is>
          <t>c10f6_test</t>
        </is>
      </c>
      <c r="B3301" t="inlineStr">
        <is>
          <t>2026-06-29 17:20:25.158</t>
        </is>
      </c>
      <c r="C3301" t="n">
        <v/>
      </c>
      <c r="D3301" t="inlineStr">
        <is>
          <t>Media file</t>
        </is>
      </c>
      <c r="E3301" t="inlineStr">
        <is>
          <t>player #1:C:/Users/manuel.felline/Documents/BEHAVIOR BTBR/NOR second cohort/BTBR/test/c10_f6.mp4</t>
        </is>
      </c>
      <c r="F3301" t="n">
        <v>-13.967</v>
      </c>
      <c r="G3301" t="n">
        <v>576.1660000000001</v>
      </c>
      <c r="H3301" t="n">
        <v>756.366</v>
      </c>
      <c r="I3301" t="n">
        <v>30</v>
      </c>
      <c r="J3301" t="inlineStr">
        <is>
          <t>BTBR</t>
        </is>
      </c>
      <c r="K3301" t="inlineStr">
        <is>
          <t xml:space="preserve"> Female</t>
        </is>
      </c>
      <c r="L3301" t="inlineStr">
        <is>
          <t>No focal subject</t>
        </is>
      </c>
      <c r="M3301" t="n">
        <v>56.664</v>
      </c>
      <c r="N3301" t="inlineStr">
        <is>
          <t>Explore_F</t>
        </is>
      </c>
      <c r="O3301" t="inlineStr">
        <is>
          <t>Familiar</t>
        </is>
      </c>
      <c r="P3301" t="inlineStr">
        <is>
          <t>STATE</t>
        </is>
      </c>
      <c r="Q3301" t="n">
        <v>315.966</v>
      </c>
      <c r="R3301" t="n">
        <v>316.399</v>
      </c>
      <c r="S3301" t="n">
        <v>0.433</v>
      </c>
      <c r="T3301" t="inlineStr">
        <is>
          <t>C:/Users/manuel.felline/Documents/BEHAVIOR BTBR/NOR second cohort/BTBR/test/c10_f6.mp4</t>
        </is>
      </c>
      <c r="U3301" t="n">
        <v>9897</v>
      </c>
      <c r="V3301" t="n">
        <v>9910</v>
      </c>
      <c r="W3301" t="n">
        <v/>
      </c>
      <c r="X3301" t="n">
        <v/>
      </c>
      <c r="Y3301" t="n">
        <v/>
      </c>
      <c r="Z3301" t="n">
        <v/>
      </c>
      <c r="AA3301">
        <f>SUMIFS($S$2:S3301,$A$2:A3301,A3301,$N$2:N3301,"Explore*")</f>
        <v/>
      </c>
      <c r="AB3301">
        <f>IF(AND(LEFT(N3301,7)="Explore",(AA3301-IF(LEFT(N3301,7)="Explore",S3301,0))&lt;10),"SI","NO")</f>
        <v/>
      </c>
    </row>
    <row r="3302">
      <c r="A3302" t="inlineStr">
        <is>
          <t>c10f6_test</t>
        </is>
      </c>
      <c r="B3302" t="inlineStr">
        <is>
          <t>2026-06-29 17:20:25.158</t>
        </is>
      </c>
      <c r="C3302" t="n">
        <v/>
      </c>
      <c r="D3302" t="inlineStr">
        <is>
          <t>Media file</t>
        </is>
      </c>
      <c r="E3302" t="inlineStr">
        <is>
          <t>player #1:C:/Users/manuel.felline/Documents/BEHAVIOR BTBR/NOR second cohort/BTBR/test/c10_f6.mp4</t>
        </is>
      </c>
      <c r="F3302" t="n">
        <v>-13.967</v>
      </c>
      <c r="G3302" t="n">
        <v>576.1660000000001</v>
      </c>
      <c r="H3302" t="n">
        <v>756.366</v>
      </c>
      <c r="I3302" t="n">
        <v>30</v>
      </c>
      <c r="J3302" t="inlineStr">
        <is>
          <t>BTBR</t>
        </is>
      </c>
      <c r="K3302" t="inlineStr">
        <is>
          <t xml:space="preserve"> Female</t>
        </is>
      </c>
      <c r="L3302" t="inlineStr">
        <is>
          <t>No focal subject</t>
        </is>
      </c>
      <c r="M3302" t="n">
        <v>56.664</v>
      </c>
      <c r="N3302" t="inlineStr">
        <is>
          <t>Explore_N</t>
        </is>
      </c>
      <c r="O3302" t="inlineStr">
        <is>
          <t>Novelty</t>
        </is>
      </c>
      <c r="P3302" t="inlineStr">
        <is>
          <t>STATE</t>
        </is>
      </c>
      <c r="Q3302" t="n">
        <v>317.799</v>
      </c>
      <c r="R3302" t="n">
        <v>318.899</v>
      </c>
      <c r="S3302" t="n">
        <v>1.1</v>
      </c>
      <c r="T3302" t="inlineStr">
        <is>
          <t>C:/Users/manuel.felline/Documents/BEHAVIOR BTBR/NOR second cohort/BTBR/test/c10_f6.mp4</t>
        </is>
      </c>
      <c r="U3302" t="n">
        <v>9952</v>
      </c>
      <c r="V3302" t="n">
        <v>9985</v>
      </c>
      <c r="W3302" t="n">
        <v/>
      </c>
      <c r="X3302" t="n">
        <v/>
      </c>
      <c r="Y3302" t="n">
        <v/>
      </c>
      <c r="Z3302" t="n">
        <v/>
      </c>
      <c r="AA3302">
        <f>SUMIFS($S$2:S3302,$A$2:A3302,A3302,$N$2:N3302,"Explore*")</f>
        <v/>
      </c>
      <c r="AB3302">
        <f>IF(AND(LEFT(N3302,7)="Explore",(AA3302-IF(LEFT(N3302,7)="Explore",S3302,0))&lt;10),"SI","NO")</f>
        <v/>
      </c>
    </row>
    <row r="3303">
      <c r="A3303" t="inlineStr">
        <is>
          <t>c10f6_test</t>
        </is>
      </c>
      <c r="B3303" t="inlineStr">
        <is>
          <t>2026-06-29 17:20:25.158</t>
        </is>
      </c>
      <c r="C3303" t="n">
        <v/>
      </c>
      <c r="D3303" t="inlineStr">
        <is>
          <t>Media file</t>
        </is>
      </c>
      <c r="E3303" t="inlineStr">
        <is>
          <t>player #1:C:/Users/manuel.felline/Documents/BEHAVIOR BTBR/NOR second cohort/BTBR/test/c10_f6.mp4</t>
        </is>
      </c>
      <c r="F3303" t="n">
        <v>-13.967</v>
      </c>
      <c r="G3303" t="n">
        <v>576.1660000000001</v>
      </c>
      <c r="H3303" t="n">
        <v>756.366</v>
      </c>
      <c r="I3303" t="n">
        <v>30</v>
      </c>
      <c r="J3303" t="inlineStr">
        <is>
          <t>BTBR</t>
        </is>
      </c>
      <c r="K3303" t="inlineStr">
        <is>
          <t xml:space="preserve"> Female</t>
        </is>
      </c>
      <c r="L3303" t="inlineStr">
        <is>
          <t>No focal subject</t>
        </is>
      </c>
      <c r="M3303" t="n">
        <v>56.664</v>
      </c>
      <c r="N3303" t="inlineStr">
        <is>
          <t>Explore_F</t>
        </is>
      </c>
      <c r="O3303" t="inlineStr">
        <is>
          <t>Familiar</t>
        </is>
      </c>
      <c r="P3303" t="inlineStr">
        <is>
          <t>STATE</t>
        </is>
      </c>
      <c r="Q3303" t="n">
        <v>335.733</v>
      </c>
      <c r="R3303" t="n">
        <v>336.166</v>
      </c>
      <c r="S3303" t="n">
        <v>0.433</v>
      </c>
      <c r="T3303" t="inlineStr">
        <is>
          <t>C:/Users/manuel.felline/Documents/BEHAVIOR BTBR/NOR second cohort/BTBR/test/c10_f6.mp4</t>
        </is>
      </c>
      <c r="U3303" t="n">
        <v>10490</v>
      </c>
      <c r="V3303" t="n">
        <v>10503</v>
      </c>
      <c r="W3303" t="n">
        <v/>
      </c>
      <c r="X3303" t="n">
        <v/>
      </c>
      <c r="Y3303" t="n">
        <v/>
      </c>
      <c r="Z3303" t="n">
        <v/>
      </c>
      <c r="AA3303">
        <f>SUMIFS($S$2:S3303,$A$2:A3303,A3303,$N$2:N3303,"Explore*")</f>
        <v/>
      </c>
      <c r="AB3303">
        <f>IF(AND(LEFT(N3303,7)="Explore",(AA3303-IF(LEFT(N3303,7)="Explore",S3303,0))&lt;10),"SI","NO")</f>
        <v/>
      </c>
    </row>
    <row r="3304">
      <c r="A3304" t="inlineStr">
        <is>
          <t>c10f6_test</t>
        </is>
      </c>
      <c r="B3304" t="inlineStr">
        <is>
          <t>2026-06-29 17:20:25.158</t>
        </is>
      </c>
      <c r="C3304" t="n">
        <v/>
      </c>
      <c r="D3304" t="inlineStr">
        <is>
          <t>Media file</t>
        </is>
      </c>
      <c r="E3304" t="inlineStr">
        <is>
          <t>player #1:C:/Users/manuel.felline/Documents/BEHAVIOR BTBR/NOR second cohort/BTBR/test/c10_f6.mp4</t>
        </is>
      </c>
      <c r="F3304" t="n">
        <v>-13.967</v>
      </c>
      <c r="G3304" t="n">
        <v>576.1660000000001</v>
      </c>
      <c r="H3304" t="n">
        <v>756.366</v>
      </c>
      <c r="I3304" t="n">
        <v>30</v>
      </c>
      <c r="J3304" t="inlineStr">
        <is>
          <t>BTBR</t>
        </is>
      </c>
      <c r="K3304" t="inlineStr">
        <is>
          <t xml:space="preserve"> Female</t>
        </is>
      </c>
      <c r="L3304" t="inlineStr">
        <is>
          <t>No focal subject</t>
        </is>
      </c>
      <c r="M3304" t="n">
        <v>56.664</v>
      </c>
      <c r="N3304" t="inlineStr">
        <is>
          <t>Explore_F</t>
        </is>
      </c>
      <c r="O3304" t="inlineStr">
        <is>
          <t>Familiar</t>
        </is>
      </c>
      <c r="P3304" t="inlineStr">
        <is>
          <t>STATE</t>
        </is>
      </c>
      <c r="Q3304" t="n">
        <v>346.833</v>
      </c>
      <c r="R3304" t="n">
        <v>347.399</v>
      </c>
      <c r="S3304" t="n">
        <v>0.5659999999999999</v>
      </c>
      <c r="T3304" t="inlineStr">
        <is>
          <t>C:/Users/manuel.felline/Documents/BEHAVIOR BTBR/NOR second cohort/BTBR/test/c10_f6.mp4</t>
        </is>
      </c>
      <c r="U3304" t="n">
        <v>10824</v>
      </c>
      <c r="V3304" t="n">
        <v>10840</v>
      </c>
      <c r="W3304" t="n">
        <v/>
      </c>
      <c r="X3304" t="n">
        <v/>
      </c>
      <c r="Y3304" t="n">
        <v/>
      </c>
      <c r="Z3304" t="n">
        <v/>
      </c>
      <c r="AA3304">
        <f>SUMIFS($S$2:S3304,$A$2:A3304,A3304,$N$2:N3304,"Explore*")</f>
        <v/>
      </c>
      <c r="AB3304">
        <f>IF(AND(LEFT(N3304,7)="Explore",(AA3304-IF(LEFT(N3304,7)="Explore",S3304,0))&lt;10),"SI","NO")</f>
        <v/>
      </c>
    </row>
    <row r="3305">
      <c r="A3305" t="inlineStr">
        <is>
          <t>c10f6_test</t>
        </is>
      </c>
      <c r="B3305" t="inlineStr">
        <is>
          <t>2026-06-29 17:20:25.158</t>
        </is>
      </c>
      <c r="C3305" t="n">
        <v/>
      </c>
      <c r="D3305" t="inlineStr">
        <is>
          <t>Media file</t>
        </is>
      </c>
      <c r="E3305" t="inlineStr">
        <is>
          <t>player #1:C:/Users/manuel.felline/Documents/BEHAVIOR BTBR/NOR second cohort/BTBR/test/c10_f6.mp4</t>
        </is>
      </c>
      <c r="F3305" t="n">
        <v>-13.967</v>
      </c>
      <c r="G3305" t="n">
        <v>576.1660000000001</v>
      </c>
      <c r="H3305" t="n">
        <v>756.366</v>
      </c>
      <c r="I3305" t="n">
        <v>30</v>
      </c>
      <c r="J3305" t="inlineStr">
        <is>
          <t>BTBR</t>
        </is>
      </c>
      <c r="K3305" t="inlineStr">
        <is>
          <t xml:space="preserve"> Female</t>
        </is>
      </c>
      <c r="L3305" t="inlineStr">
        <is>
          <t>No focal subject</t>
        </is>
      </c>
      <c r="M3305" t="n">
        <v>56.664</v>
      </c>
      <c r="N3305" t="inlineStr">
        <is>
          <t>Explore_N</t>
        </is>
      </c>
      <c r="O3305" t="inlineStr">
        <is>
          <t>Novelty</t>
        </is>
      </c>
      <c r="P3305" t="inlineStr">
        <is>
          <t>STATE</t>
        </is>
      </c>
      <c r="Q3305" t="n">
        <v>351.333</v>
      </c>
      <c r="R3305" t="n">
        <v>352.199</v>
      </c>
      <c r="S3305" t="n">
        <v>0.866</v>
      </c>
      <c r="T3305" t="inlineStr">
        <is>
          <t>C:/Users/manuel.felline/Documents/BEHAVIOR BTBR/NOR second cohort/BTBR/test/c10_f6.mp4</t>
        </is>
      </c>
      <c r="U3305" t="n">
        <v>10958</v>
      </c>
      <c r="V3305" t="n">
        <v>10984</v>
      </c>
      <c r="W3305" t="n">
        <v/>
      </c>
      <c r="X3305" t="n">
        <v/>
      </c>
      <c r="Y3305" t="n">
        <v/>
      </c>
      <c r="Z3305" t="n">
        <v/>
      </c>
      <c r="AA3305">
        <f>SUMIFS($S$2:S3305,$A$2:A3305,A3305,$N$2:N3305,"Explore*")</f>
        <v/>
      </c>
      <c r="AB3305">
        <f>IF(AND(LEFT(N3305,7)="Explore",(AA3305-IF(LEFT(N3305,7)="Explore",S3305,0))&lt;10),"SI","NO")</f>
        <v/>
      </c>
    </row>
    <row r="3306">
      <c r="A3306" t="inlineStr">
        <is>
          <t>c10f6_test</t>
        </is>
      </c>
      <c r="B3306" t="inlineStr">
        <is>
          <t>2026-06-29 17:20:25.158</t>
        </is>
      </c>
      <c r="C3306" t="n">
        <v/>
      </c>
      <c r="D3306" t="inlineStr">
        <is>
          <t>Media file</t>
        </is>
      </c>
      <c r="E3306" t="inlineStr">
        <is>
          <t>player #1:C:/Users/manuel.felline/Documents/BEHAVIOR BTBR/NOR second cohort/BTBR/test/c10_f6.mp4</t>
        </is>
      </c>
      <c r="F3306" t="n">
        <v>-13.967</v>
      </c>
      <c r="G3306" t="n">
        <v>576.1660000000001</v>
      </c>
      <c r="H3306" t="n">
        <v>756.366</v>
      </c>
      <c r="I3306" t="n">
        <v>30</v>
      </c>
      <c r="J3306" t="inlineStr">
        <is>
          <t>BTBR</t>
        </is>
      </c>
      <c r="K3306" t="inlineStr">
        <is>
          <t xml:space="preserve"> Female</t>
        </is>
      </c>
      <c r="L3306" t="inlineStr">
        <is>
          <t>No focal subject</t>
        </is>
      </c>
      <c r="M3306" t="n">
        <v>56.664</v>
      </c>
      <c r="N3306" t="inlineStr">
        <is>
          <t>Explore_F</t>
        </is>
      </c>
      <c r="O3306" t="inlineStr">
        <is>
          <t>Familiar</t>
        </is>
      </c>
      <c r="P3306" t="inlineStr">
        <is>
          <t>STATE</t>
        </is>
      </c>
      <c r="Q3306" t="n">
        <v>363.366</v>
      </c>
      <c r="R3306" t="n">
        <v>363.933</v>
      </c>
      <c r="S3306" t="n">
        <v>0.5669999999999999</v>
      </c>
      <c r="T3306" t="inlineStr">
        <is>
          <t>C:/Users/manuel.felline/Documents/BEHAVIOR BTBR/NOR second cohort/BTBR/test/c10_f6.mp4</t>
        </is>
      </c>
      <c r="U3306" t="n">
        <v>11319</v>
      </c>
      <c r="V3306" t="n">
        <v>11336</v>
      </c>
      <c r="W3306" t="n">
        <v/>
      </c>
      <c r="X3306" t="n">
        <v/>
      </c>
      <c r="Y3306" t="n">
        <v/>
      </c>
      <c r="Z3306" t="n">
        <v/>
      </c>
      <c r="AA3306">
        <f>SUMIFS($S$2:S3306,$A$2:A3306,A3306,$N$2:N3306,"Explore*")</f>
        <v/>
      </c>
      <c r="AB3306">
        <f>IF(AND(LEFT(N3306,7)="Explore",(AA3306-IF(LEFT(N3306,7)="Explore",S3306,0))&lt;10),"SI","NO")</f>
        <v/>
      </c>
    </row>
    <row r="3307">
      <c r="A3307" t="inlineStr">
        <is>
          <t>c10f6_test</t>
        </is>
      </c>
      <c r="B3307" t="inlineStr">
        <is>
          <t>2026-06-29 17:20:25.158</t>
        </is>
      </c>
      <c r="C3307" t="n">
        <v/>
      </c>
      <c r="D3307" t="inlineStr">
        <is>
          <t>Media file</t>
        </is>
      </c>
      <c r="E3307" t="inlineStr">
        <is>
          <t>player #1:C:/Users/manuel.felline/Documents/BEHAVIOR BTBR/NOR second cohort/BTBR/test/c10_f6.mp4</t>
        </is>
      </c>
      <c r="F3307" t="n">
        <v>-13.967</v>
      </c>
      <c r="G3307" t="n">
        <v>576.1660000000001</v>
      </c>
      <c r="H3307" t="n">
        <v>756.366</v>
      </c>
      <c r="I3307" t="n">
        <v>30</v>
      </c>
      <c r="J3307" t="inlineStr">
        <is>
          <t>BTBR</t>
        </is>
      </c>
      <c r="K3307" t="inlineStr">
        <is>
          <t xml:space="preserve"> Female</t>
        </is>
      </c>
      <c r="L3307" t="inlineStr">
        <is>
          <t>No focal subject</t>
        </is>
      </c>
      <c r="M3307" t="n">
        <v>56.664</v>
      </c>
      <c r="N3307" t="inlineStr">
        <is>
          <t>Explore_N</t>
        </is>
      </c>
      <c r="O3307" t="inlineStr">
        <is>
          <t>Novelty</t>
        </is>
      </c>
      <c r="P3307" t="inlineStr">
        <is>
          <t>STATE</t>
        </is>
      </c>
      <c r="Q3307" t="n">
        <v>367.399</v>
      </c>
      <c r="R3307" t="n">
        <v>367.899</v>
      </c>
      <c r="S3307" t="n">
        <v>0.5</v>
      </c>
      <c r="T3307" t="inlineStr">
        <is>
          <t>C:/Users/manuel.felline/Documents/BEHAVIOR BTBR/NOR second cohort/BTBR/test/c10_f6.mp4</t>
        </is>
      </c>
      <c r="U3307" t="n">
        <v>11440</v>
      </c>
      <c r="V3307" t="n">
        <v>11455</v>
      </c>
      <c r="W3307" t="n">
        <v/>
      </c>
      <c r="X3307" t="n">
        <v/>
      </c>
      <c r="Y3307" t="n">
        <v/>
      </c>
      <c r="Z3307" t="n">
        <v/>
      </c>
      <c r="AA3307">
        <f>SUMIFS($S$2:S3307,$A$2:A3307,A3307,$N$2:N3307,"Explore*")</f>
        <v/>
      </c>
      <c r="AB3307">
        <f>IF(AND(LEFT(N3307,7)="Explore",(AA3307-IF(LEFT(N3307,7)="Explore",S3307,0))&lt;10),"SI","NO")</f>
        <v/>
      </c>
    </row>
    <row r="3308">
      <c r="A3308" t="inlineStr">
        <is>
          <t>c10f6_test</t>
        </is>
      </c>
      <c r="B3308" t="inlineStr">
        <is>
          <t>2026-06-29 17:20:25.158</t>
        </is>
      </c>
      <c r="C3308" t="n">
        <v/>
      </c>
      <c r="D3308" t="inlineStr">
        <is>
          <t>Media file</t>
        </is>
      </c>
      <c r="E3308" t="inlineStr">
        <is>
          <t>player #1:C:/Users/manuel.felline/Documents/BEHAVIOR BTBR/NOR second cohort/BTBR/test/c10_f6.mp4</t>
        </is>
      </c>
      <c r="F3308" t="n">
        <v>-13.967</v>
      </c>
      <c r="G3308" t="n">
        <v>576.1660000000001</v>
      </c>
      <c r="H3308" t="n">
        <v>756.366</v>
      </c>
      <c r="I3308" t="n">
        <v>30</v>
      </c>
      <c r="J3308" t="inlineStr">
        <is>
          <t>BTBR</t>
        </is>
      </c>
      <c r="K3308" t="inlineStr">
        <is>
          <t xml:space="preserve"> Female</t>
        </is>
      </c>
      <c r="L3308" t="inlineStr">
        <is>
          <t>No focal subject</t>
        </is>
      </c>
      <c r="M3308" t="n">
        <v>56.664</v>
      </c>
      <c r="N3308" t="inlineStr">
        <is>
          <t>Explore_N</t>
        </is>
      </c>
      <c r="O3308" t="inlineStr">
        <is>
          <t>Novelty</t>
        </is>
      </c>
      <c r="P3308" t="inlineStr">
        <is>
          <t>STATE</t>
        </is>
      </c>
      <c r="Q3308" t="n">
        <v>416.199</v>
      </c>
      <c r="R3308" t="n">
        <v>416.633</v>
      </c>
      <c r="S3308" t="n">
        <v>0.434</v>
      </c>
      <c r="T3308" t="inlineStr">
        <is>
          <t>C:/Users/manuel.felline/Documents/BEHAVIOR BTBR/NOR second cohort/BTBR/test/c10_f6.mp4</t>
        </is>
      </c>
      <c r="U3308" t="n">
        <v>12904</v>
      </c>
      <c r="V3308" t="n">
        <v>12917</v>
      </c>
      <c r="W3308" t="n">
        <v/>
      </c>
      <c r="X3308" t="n">
        <v/>
      </c>
      <c r="Y3308" t="n">
        <v/>
      </c>
      <c r="Z3308" t="n">
        <v/>
      </c>
      <c r="AA3308">
        <f>SUMIFS($S$2:S3308,$A$2:A3308,A3308,$N$2:N3308,"Explore*")</f>
        <v/>
      </c>
      <c r="AB3308">
        <f>IF(AND(LEFT(N3308,7)="Explore",(AA3308-IF(LEFT(N3308,7)="Explore",S3308,0))&lt;10),"SI","NO")</f>
        <v/>
      </c>
    </row>
    <row r="3309">
      <c r="A3309" t="inlineStr">
        <is>
          <t>c10f6_test</t>
        </is>
      </c>
      <c r="B3309" t="inlineStr">
        <is>
          <t>2026-06-29 17:20:25.158</t>
        </is>
      </c>
      <c r="C3309" t="n">
        <v/>
      </c>
      <c r="D3309" t="inlineStr">
        <is>
          <t>Media file</t>
        </is>
      </c>
      <c r="E3309" t="inlineStr">
        <is>
          <t>player #1:C:/Users/manuel.felline/Documents/BEHAVIOR BTBR/NOR second cohort/BTBR/test/c10_f6.mp4</t>
        </is>
      </c>
      <c r="F3309" t="n">
        <v>-13.967</v>
      </c>
      <c r="G3309" t="n">
        <v>576.1660000000001</v>
      </c>
      <c r="H3309" t="n">
        <v>756.366</v>
      </c>
      <c r="I3309" t="n">
        <v>30</v>
      </c>
      <c r="J3309" t="inlineStr">
        <is>
          <t>BTBR</t>
        </is>
      </c>
      <c r="K3309" t="inlineStr">
        <is>
          <t xml:space="preserve"> Female</t>
        </is>
      </c>
      <c r="L3309" t="inlineStr">
        <is>
          <t>No focal subject</t>
        </is>
      </c>
      <c r="M3309" t="n">
        <v>56.664</v>
      </c>
      <c r="N3309" t="inlineStr">
        <is>
          <t>Explore_F</t>
        </is>
      </c>
      <c r="O3309" t="inlineStr">
        <is>
          <t>Familiar</t>
        </is>
      </c>
      <c r="P3309" t="inlineStr">
        <is>
          <t>STATE</t>
        </is>
      </c>
      <c r="Q3309" t="n">
        <v>425.166</v>
      </c>
      <c r="R3309" t="n">
        <v>425.933</v>
      </c>
      <c r="S3309" t="n">
        <v>0.767</v>
      </c>
      <c r="T3309" t="inlineStr">
        <is>
          <t>C:/Users/manuel.felline/Documents/BEHAVIOR BTBR/NOR second cohort/BTBR/test/c10_f6.mp4</t>
        </is>
      </c>
      <c r="U3309" t="n">
        <v>13173</v>
      </c>
      <c r="V3309" t="n">
        <v>13196</v>
      </c>
      <c r="W3309" t="n">
        <v/>
      </c>
      <c r="X3309" t="n">
        <v/>
      </c>
      <c r="Y3309" t="n">
        <v/>
      </c>
      <c r="Z3309" t="n">
        <v/>
      </c>
      <c r="AA3309">
        <f>SUMIFS($S$2:S3309,$A$2:A3309,A3309,$N$2:N3309,"Explore*")</f>
        <v/>
      </c>
      <c r="AB3309">
        <f>IF(AND(LEFT(N3309,7)="Explore",(AA3309-IF(LEFT(N3309,7)="Explore",S3309,0))&lt;10),"SI","NO")</f>
        <v/>
      </c>
    </row>
    <row r="3310">
      <c r="A3310" t="inlineStr">
        <is>
          <t>c10f6_test</t>
        </is>
      </c>
      <c r="B3310" t="inlineStr">
        <is>
          <t>2026-06-29 17:20:25.158</t>
        </is>
      </c>
      <c r="C3310" t="n">
        <v/>
      </c>
      <c r="D3310" t="inlineStr">
        <is>
          <t>Media file</t>
        </is>
      </c>
      <c r="E3310" t="inlineStr">
        <is>
          <t>player #1:C:/Users/manuel.felline/Documents/BEHAVIOR BTBR/NOR second cohort/BTBR/test/c10_f6.mp4</t>
        </is>
      </c>
      <c r="F3310" t="n">
        <v>-13.967</v>
      </c>
      <c r="G3310" t="n">
        <v>576.1660000000001</v>
      </c>
      <c r="H3310" t="n">
        <v>756.366</v>
      </c>
      <c r="I3310" t="n">
        <v>30</v>
      </c>
      <c r="J3310" t="inlineStr">
        <is>
          <t>BTBR</t>
        </is>
      </c>
      <c r="K3310" t="inlineStr">
        <is>
          <t xml:space="preserve"> Female</t>
        </is>
      </c>
      <c r="L3310" t="inlineStr">
        <is>
          <t>No focal subject</t>
        </is>
      </c>
      <c r="M3310" t="n">
        <v>56.664</v>
      </c>
      <c r="N3310" t="inlineStr">
        <is>
          <t>Explore_F</t>
        </is>
      </c>
      <c r="O3310" t="inlineStr">
        <is>
          <t>Familiar</t>
        </is>
      </c>
      <c r="P3310" t="inlineStr">
        <is>
          <t>STATE</t>
        </is>
      </c>
      <c r="Q3310" t="n">
        <v>453.133</v>
      </c>
      <c r="R3310" t="n">
        <v>453.899</v>
      </c>
      <c r="S3310" t="n">
        <v>0.766</v>
      </c>
      <c r="T3310" t="inlineStr">
        <is>
          <t>C:/Users/manuel.felline/Documents/BEHAVIOR BTBR/NOR second cohort/BTBR/test/c10_f6.mp4</t>
        </is>
      </c>
      <c r="U3310" t="n">
        <v>14011</v>
      </c>
      <c r="V3310" t="n">
        <v>14034</v>
      </c>
      <c r="W3310" t="n">
        <v/>
      </c>
      <c r="X3310" t="n">
        <v/>
      </c>
      <c r="Y3310" t="n">
        <v/>
      </c>
      <c r="Z3310" t="n">
        <v/>
      </c>
      <c r="AA3310">
        <f>SUMIFS($S$2:S3310,$A$2:A3310,A3310,$N$2:N3310,"Explore*")</f>
        <v/>
      </c>
      <c r="AB3310">
        <f>IF(AND(LEFT(N3310,7)="Explore",(AA3310-IF(LEFT(N3310,7)="Explore",S3310,0))&lt;10),"SI","NO")</f>
        <v/>
      </c>
    </row>
    <row r="3311">
      <c r="A3311" t="inlineStr">
        <is>
          <t>c10f6_test</t>
        </is>
      </c>
      <c r="B3311" t="inlineStr">
        <is>
          <t>2026-06-29 17:20:25.158</t>
        </is>
      </c>
      <c r="C3311" t="n">
        <v/>
      </c>
      <c r="D3311" t="inlineStr">
        <is>
          <t>Media file</t>
        </is>
      </c>
      <c r="E3311" t="inlineStr">
        <is>
          <t>player #1:C:/Users/manuel.felline/Documents/BEHAVIOR BTBR/NOR second cohort/BTBR/test/c10_f6.mp4</t>
        </is>
      </c>
      <c r="F3311" t="n">
        <v>-13.967</v>
      </c>
      <c r="G3311" t="n">
        <v>576.1660000000001</v>
      </c>
      <c r="H3311" t="n">
        <v>756.366</v>
      </c>
      <c r="I3311" t="n">
        <v>30</v>
      </c>
      <c r="J3311" t="inlineStr">
        <is>
          <t>BTBR</t>
        </is>
      </c>
      <c r="K3311" t="inlineStr">
        <is>
          <t xml:space="preserve"> Female</t>
        </is>
      </c>
      <c r="L3311" t="inlineStr">
        <is>
          <t>No focal subject</t>
        </is>
      </c>
      <c r="M3311" t="n">
        <v>56.664</v>
      </c>
      <c r="N3311" t="inlineStr">
        <is>
          <t>Explore_F</t>
        </is>
      </c>
      <c r="O3311" t="inlineStr">
        <is>
          <t>Familiar</t>
        </is>
      </c>
      <c r="P3311" t="inlineStr">
        <is>
          <t>STATE</t>
        </is>
      </c>
      <c r="Q3311" t="n">
        <v>464.066</v>
      </c>
      <c r="R3311" t="n">
        <v>464.733</v>
      </c>
      <c r="S3311" t="n">
        <v>0.667</v>
      </c>
      <c r="T3311" t="inlineStr">
        <is>
          <t>C:/Users/manuel.felline/Documents/BEHAVIOR BTBR/NOR second cohort/BTBR/test/c10_f6.mp4</t>
        </is>
      </c>
      <c r="U3311" t="n">
        <v>14339</v>
      </c>
      <c r="V3311" t="n">
        <v>14359</v>
      </c>
      <c r="W3311" t="n">
        <v/>
      </c>
      <c r="X3311" t="n">
        <v/>
      </c>
      <c r="Y3311" t="n">
        <v/>
      </c>
      <c r="Z3311" t="n">
        <v/>
      </c>
      <c r="AA3311">
        <f>SUMIFS($S$2:S3311,$A$2:A3311,A3311,$N$2:N3311,"Explore*")</f>
        <v/>
      </c>
      <c r="AB3311">
        <f>IF(AND(LEFT(N3311,7)="Explore",(AA3311-IF(LEFT(N3311,7)="Explore",S3311,0))&lt;10),"SI","NO")</f>
        <v/>
      </c>
    </row>
    <row r="3312">
      <c r="A3312" t="inlineStr">
        <is>
          <t>c10f6_test</t>
        </is>
      </c>
      <c r="B3312" t="inlineStr">
        <is>
          <t>2026-06-29 17:20:25.158</t>
        </is>
      </c>
      <c r="C3312" t="n">
        <v/>
      </c>
      <c r="D3312" t="inlineStr">
        <is>
          <t>Media file</t>
        </is>
      </c>
      <c r="E3312" t="inlineStr">
        <is>
          <t>player #1:C:/Users/manuel.felline/Documents/BEHAVIOR BTBR/NOR second cohort/BTBR/test/c10_f6.mp4</t>
        </is>
      </c>
      <c r="F3312" t="n">
        <v>-13.967</v>
      </c>
      <c r="G3312" t="n">
        <v>576.1660000000001</v>
      </c>
      <c r="H3312" t="n">
        <v>756.366</v>
      </c>
      <c r="I3312" t="n">
        <v>30</v>
      </c>
      <c r="J3312" t="inlineStr">
        <is>
          <t>BTBR</t>
        </is>
      </c>
      <c r="K3312" t="inlineStr">
        <is>
          <t xml:space="preserve"> Female</t>
        </is>
      </c>
      <c r="L3312" t="inlineStr">
        <is>
          <t>No focal subject</t>
        </is>
      </c>
      <c r="M3312" t="n">
        <v>56.664</v>
      </c>
      <c r="N3312" t="inlineStr">
        <is>
          <t>Explore_N</t>
        </is>
      </c>
      <c r="O3312" t="inlineStr">
        <is>
          <t>Novelty</t>
        </is>
      </c>
      <c r="P3312" t="inlineStr">
        <is>
          <t>STATE</t>
        </is>
      </c>
      <c r="Q3312" t="n">
        <v>485.666</v>
      </c>
      <c r="R3312" t="n">
        <v>486.632</v>
      </c>
      <c r="S3312" t="n">
        <v>0.966</v>
      </c>
      <c r="T3312" t="inlineStr">
        <is>
          <t>C:/Users/manuel.felline/Documents/BEHAVIOR BTBR/NOR second cohort/BTBR/test/c10_f6.mp4</t>
        </is>
      </c>
      <c r="U3312" t="n">
        <v>14987</v>
      </c>
      <c r="V3312" t="n">
        <v>15016</v>
      </c>
      <c r="W3312" t="n">
        <v/>
      </c>
      <c r="X3312" t="n">
        <v/>
      </c>
      <c r="Y3312" t="n">
        <v/>
      </c>
      <c r="Z3312" t="n">
        <v/>
      </c>
      <c r="AA3312">
        <f>SUMIFS($S$2:S3312,$A$2:A3312,A3312,$N$2:N3312,"Explore*")</f>
        <v/>
      </c>
      <c r="AB3312">
        <f>IF(AND(LEFT(N3312,7)="Explore",(AA3312-IF(LEFT(N3312,7)="Explore",S3312,0))&lt;10),"SI","NO")</f>
        <v/>
      </c>
    </row>
    <row r="3313">
      <c r="A3313" t="inlineStr">
        <is>
          <t>c10f6_test</t>
        </is>
      </c>
      <c r="B3313" t="inlineStr">
        <is>
          <t>2026-06-29 17:20:25.158</t>
        </is>
      </c>
      <c r="C3313" t="n">
        <v/>
      </c>
      <c r="D3313" t="inlineStr">
        <is>
          <t>Media file</t>
        </is>
      </c>
      <c r="E3313" t="inlineStr">
        <is>
          <t>player #1:C:/Users/manuel.felline/Documents/BEHAVIOR BTBR/NOR second cohort/BTBR/test/c10_f6.mp4</t>
        </is>
      </c>
      <c r="F3313" t="n">
        <v>-13.967</v>
      </c>
      <c r="G3313" t="n">
        <v>576.1660000000001</v>
      </c>
      <c r="H3313" t="n">
        <v>756.366</v>
      </c>
      <c r="I3313" t="n">
        <v>30</v>
      </c>
      <c r="J3313" t="inlineStr">
        <is>
          <t>BTBR</t>
        </is>
      </c>
      <c r="K3313" t="inlineStr">
        <is>
          <t xml:space="preserve"> Female</t>
        </is>
      </c>
      <c r="L3313" t="inlineStr">
        <is>
          <t>No focal subject</t>
        </is>
      </c>
      <c r="M3313" t="n">
        <v>56.664</v>
      </c>
      <c r="N3313" t="inlineStr">
        <is>
          <t>Explore_N</t>
        </is>
      </c>
      <c r="O3313" t="inlineStr">
        <is>
          <t>Novelty</t>
        </is>
      </c>
      <c r="P3313" t="inlineStr">
        <is>
          <t>STATE</t>
        </is>
      </c>
      <c r="Q3313" t="n">
        <v>507.899</v>
      </c>
      <c r="R3313" t="n">
        <v>508.966</v>
      </c>
      <c r="S3313" t="n">
        <v>1.067</v>
      </c>
      <c r="T3313" t="inlineStr">
        <is>
          <t>C:/Users/manuel.felline/Documents/BEHAVIOR BTBR/NOR second cohort/BTBR/test/c10_f6.mp4</t>
        </is>
      </c>
      <c r="U3313" t="n">
        <v>15654</v>
      </c>
      <c r="V3313" t="n">
        <v>15686</v>
      </c>
      <c r="W3313" t="n">
        <v/>
      </c>
      <c r="X3313" t="n">
        <v/>
      </c>
      <c r="Y3313" t="n">
        <v/>
      </c>
      <c r="Z3313" t="n">
        <v/>
      </c>
      <c r="AA3313">
        <f>SUMIFS($S$2:S3313,$A$2:A3313,A3313,$N$2:N3313,"Explore*")</f>
        <v/>
      </c>
      <c r="AB3313">
        <f>IF(AND(LEFT(N3313,7)="Explore",(AA3313-IF(LEFT(N3313,7)="Explore",S3313,0))&lt;10),"SI","NO")</f>
        <v/>
      </c>
    </row>
    <row r="3314">
      <c r="A3314" t="inlineStr">
        <is>
          <t>c10f6_test</t>
        </is>
      </c>
      <c r="B3314" t="inlineStr">
        <is>
          <t>2026-06-29 17:20:25.158</t>
        </is>
      </c>
      <c r="C3314" t="n">
        <v/>
      </c>
      <c r="D3314" t="inlineStr">
        <is>
          <t>Media file</t>
        </is>
      </c>
      <c r="E3314" t="inlineStr">
        <is>
          <t>player #1:C:/Users/manuel.felline/Documents/BEHAVIOR BTBR/NOR second cohort/BTBR/test/c10_f6.mp4</t>
        </is>
      </c>
      <c r="F3314" t="n">
        <v>-13.967</v>
      </c>
      <c r="G3314" t="n">
        <v>576.1660000000001</v>
      </c>
      <c r="H3314" t="n">
        <v>756.366</v>
      </c>
      <c r="I3314" t="n">
        <v>30</v>
      </c>
      <c r="J3314" t="inlineStr">
        <is>
          <t>BTBR</t>
        </is>
      </c>
      <c r="K3314" t="inlineStr">
        <is>
          <t xml:space="preserve"> Female</t>
        </is>
      </c>
      <c r="L3314" t="inlineStr">
        <is>
          <t>No focal subject</t>
        </is>
      </c>
      <c r="M3314" t="n">
        <v>56.664</v>
      </c>
      <c r="N3314" t="inlineStr">
        <is>
          <t>Explore_F</t>
        </is>
      </c>
      <c r="O3314" t="inlineStr">
        <is>
          <t>Familiar</t>
        </is>
      </c>
      <c r="P3314" t="inlineStr">
        <is>
          <t>STATE</t>
        </is>
      </c>
      <c r="Q3314" t="n">
        <v>512.466</v>
      </c>
      <c r="R3314" t="n">
        <v>512.899</v>
      </c>
      <c r="S3314" t="n">
        <v>0.433</v>
      </c>
      <c r="T3314" t="inlineStr">
        <is>
          <t>C:/Users/manuel.felline/Documents/BEHAVIOR BTBR/NOR second cohort/BTBR/test/c10_f6.mp4</t>
        </is>
      </c>
      <c r="U3314" t="n">
        <v>15791</v>
      </c>
      <c r="V3314" t="n">
        <v>15804</v>
      </c>
      <c r="W3314" t="n">
        <v/>
      </c>
      <c r="X3314" t="n">
        <v/>
      </c>
      <c r="Y3314" t="n">
        <v/>
      </c>
      <c r="Z3314" t="n">
        <v/>
      </c>
      <c r="AA3314">
        <f>SUMIFS($S$2:S3314,$A$2:A3314,A3314,$N$2:N3314,"Explore*")</f>
        <v/>
      </c>
      <c r="AB3314">
        <f>IF(AND(LEFT(N3314,7)="Explore",(AA3314-IF(LEFT(N3314,7)="Explore",S3314,0))&lt;10),"SI","NO")</f>
        <v/>
      </c>
    </row>
    <row r="3315">
      <c r="A3315" t="inlineStr">
        <is>
          <t>c10f6_test</t>
        </is>
      </c>
      <c r="B3315" t="inlineStr">
        <is>
          <t>2026-06-29 17:20:25.158</t>
        </is>
      </c>
      <c r="C3315" t="n">
        <v/>
      </c>
      <c r="D3315" t="inlineStr">
        <is>
          <t>Media file</t>
        </is>
      </c>
      <c r="E3315" t="inlineStr">
        <is>
          <t>player #1:C:/Users/manuel.felline/Documents/BEHAVIOR BTBR/NOR second cohort/BTBR/test/c10_f6.mp4</t>
        </is>
      </c>
      <c r="F3315" t="n">
        <v>-13.967</v>
      </c>
      <c r="G3315" t="n">
        <v>576.1660000000001</v>
      </c>
      <c r="H3315" t="n">
        <v>756.366</v>
      </c>
      <c r="I3315" t="n">
        <v>30</v>
      </c>
      <c r="J3315" t="inlineStr">
        <is>
          <t>BTBR</t>
        </is>
      </c>
      <c r="K3315" t="inlineStr">
        <is>
          <t xml:space="preserve"> Female</t>
        </is>
      </c>
      <c r="L3315" t="inlineStr">
        <is>
          <t>No focal subject</t>
        </is>
      </c>
      <c r="M3315" t="n">
        <v>56.664</v>
      </c>
      <c r="N3315" t="inlineStr">
        <is>
          <t>Explore_N</t>
        </is>
      </c>
      <c r="O3315" t="inlineStr">
        <is>
          <t>Novelty</t>
        </is>
      </c>
      <c r="P3315" t="inlineStr">
        <is>
          <t>STATE</t>
        </is>
      </c>
      <c r="Q3315" t="n">
        <v>520.866</v>
      </c>
      <c r="R3315" t="n">
        <v>523.099</v>
      </c>
      <c r="S3315" t="n">
        <v>2.233</v>
      </c>
      <c r="T3315" t="inlineStr">
        <is>
          <t>C:/Users/manuel.felline/Documents/BEHAVIOR BTBR/NOR second cohort/BTBR/test/c10_f6.mp4</t>
        </is>
      </c>
      <c r="U3315" t="n">
        <v>16043</v>
      </c>
      <c r="V3315" t="n">
        <v>16110</v>
      </c>
      <c r="W3315" t="n">
        <v/>
      </c>
      <c r="X3315" t="n">
        <v/>
      </c>
      <c r="Y3315" t="n">
        <v/>
      </c>
      <c r="Z3315" t="n">
        <v/>
      </c>
      <c r="AA3315">
        <f>SUMIFS($S$2:S3315,$A$2:A3315,A3315,$N$2:N3315,"Explore*")</f>
        <v/>
      </c>
      <c r="AB3315">
        <f>IF(AND(LEFT(N3315,7)="Explore",(AA3315-IF(LEFT(N3315,7)="Explore",S3315,0))&lt;10),"SI","NO")</f>
        <v/>
      </c>
    </row>
    <row r="3316">
      <c r="A3316" t="inlineStr">
        <is>
          <t>c10f6_test</t>
        </is>
      </c>
      <c r="B3316" t="inlineStr">
        <is>
          <t>2026-06-29 17:20:25.158</t>
        </is>
      </c>
      <c r="C3316" t="n">
        <v/>
      </c>
      <c r="D3316" t="inlineStr">
        <is>
          <t>Media file</t>
        </is>
      </c>
      <c r="E3316" t="inlineStr">
        <is>
          <t>player #1:C:/Users/manuel.felline/Documents/BEHAVIOR BTBR/NOR second cohort/BTBR/test/c10_f6.mp4</t>
        </is>
      </c>
      <c r="F3316" t="n">
        <v>-13.967</v>
      </c>
      <c r="G3316" t="n">
        <v>576.1660000000001</v>
      </c>
      <c r="H3316" t="n">
        <v>756.366</v>
      </c>
      <c r="I3316" t="n">
        <v>30</v>
      </c>
      <c r="J3316" t="inlineStr">
        <is>
          <t>BTBR</t>
        </is>
      </c>
      <c r="K3316" t="inlineStr">
        <is>
          <t xml:space="preserve"> Female</t>
        </is>
      </c>
      <c r="L3316" t="inlineStr">
        <is>
          <t>No focal subject</t>
        </is>
      </c>
      <c r="M3316" t="n">
        <v>56.664</v>
      </c>
      <c r="N3316" t="inlineStr">
        <is>
          <t>Explore_N</t>
        </is>
      </c>
      <c r="O3316" t="inlineStr">
        <is>
          <t>Novelty</t>
        </is>
      </c>
      <c r="P3316" t="inlineStr">
        <is>
          <t>STATE</t>
        </is>
      </c>
      <c r="Q3316" t="n">
        <v>526.699</v>
      </c>
      <c r="R3316" t="n">
        <v>527.732</v>
      </c>
      <c r="S3316" t="n">
        <v>1.033</v>
      </c>
      <c r="T3316" t="inlineStr">
        <is>
          <t>C:/Users/manuel.felline/Documents/BEHAVIOR BTBR/NOR second cohort/BTBR/test/c10_f6.mp4</t>
        </is>
      </c>
      <c r="U3316" t="n">
        <v>16218</v>
      </c>
      <c r="V3316" t="n">
        <v>16249</v>
      </c>
      <c r="W3316" t="n">
        <v/>
      </c>
      <c r="X3316" t="n">
        <v/>
      </c>
      <c r="Y3316" t="n">
        <v/>
      </c>
      <c r="Z3316" t="n">
        <v/>
      </c>
      <c r="AA3316">
        <f>SUMIFS($S$2:S3316,$A$2:A3316,A3316,$N$2:N3316,"Explore*")</f>
        <v/>
      </c>
      <c r="AB3316">
        <f>IF(AND(LEFT(N3316,7)="Explore",(AA3316-IF(LEFT(N3316,7)="Explore",S3316,0))&lt;10),"SI","NO")</f>
        <v/>
      </c>
    </row>
    <row r="3317">
      <c r="A3317" t="inlineStr">
        <is>
          <t>c10f6_test</t>
        </is>
      </c>
      <c r="B3317" t="inlineStr">
        <is>
          <t>2026-06-29 17:20:25.158</t>
        </is>
      </c>
      <c r="C3317" t="n">
        <v/>
      </c>
      <c r="D3317" t="inlineStr">
        <is>
          <t>Media file</t>
        </is>
      </c>
      <c r="E3317" t="inlineStr">
        <is>
          <t>player #1:C:/Users/manuel.felline/Documents/BEHAVIOR BTBR/NOR second cohort/BTBR/test/c10_f6.mp4</t>
        </is>
      </c>
      <c r="F3317" t="n">
        <v>-13.967</v>
      </c>
      <c r="G3317" t="n">
        <v>576.1660000000001</v>
      </c>
      <c r="H3317" t="n">
        <v>756.366</v>
      </c>
      <c r="I3317" t="n">
        <v>30</v>
      </c>
      <c r="J3317" t="inlineStr">
        <is>
          <t>BTBR</t>
        </is>
      </c>
      <c r="K3317" t="inlineStr">
        <is>
          <t xml:space="preserve"> Female</t>
        </is>
      </c>
      <c r="L3317" t="inlineStr">
        <is>
          <t>No focal subject</t>
        </is>
      </c>
      <c r="M3317" t="n">
        <v>56.664</v>
      </c>
      <c r="N3317" t="inlineStr">
        <is>
          <t>Explore_N</t>
        </is>
      </c>
      <c r="O3317" t="inlineStr">
        <is>
          <t>Novelty</t>
        </is>
      </c>
      <c r="P3317" t="inlineStr">
        <is>
          <t>STATE</t>
        </is>
      </c>
      <c r="Q3317" t="n">
        <v>560.099</v>
      </c>
      <c r="R3317" t="n">
        <v>560.866</v>
      </c>
      <c r="S3317" t="n">
        <v>0.767</v>
      </c>
      <c r="T3317" t="inlineStr">
        <is>
          <t>C:/Users/manuel.felline/Documents/BEHAVIOR BTBR/NOR second cohort/BTBR/test/c10_f6.mp4</t>
        </is>
      </c>
      <c r="U3317" t="n">
        <v>17220</v>
      </c>
      <c r="V3317" t="n">
        <v>17243</v>
      </c>
      <c r="W3317" t="n">
        <v/>
      </c>
      <c r="X3317" t="n">
        <v/>
      </c>
      <c r="Y3317" t="n">
        <v/>
      </c>
      <c r="Z3317" t="n">
        <v/>
      </c>
      <c r="AA3317">
        <f>SUMIFS($S$2:S3317,$A$2:A3317,A3317,$N$2:N3317,"Explore*")</f>
        <v/>
      </c>
      <c r="AB3317">
        <f>IF(AND(LEFT(N3317,7)="Explore",(AA3317-IF(LEFT(N3317,7)="Explore",S3317,0))&lt;10),"SI","NO")</f>
        <v/>
      </c>
    </row>
    <row r="3318">
      <c r="A3318" t="inlineStr">
        <is>
          <t>c10f6_test</t>
        </is>
      </c>
      <c r="B3318" t="inlineStr">
        <is>
          <t>2026-06-29 17:20:25.158</t>
        </is>
      </c>
      <c r="C3318" t="n">
        <v/>
      </c>
      <c r="D3318" t="inlineStr">
        <is>
          <t>Media file</t>
        </is>
      </c>
      <c r="E3318" t="inlineStr">
        <is>
          <t>player #1:C:/Users/manuel.felline/Documents/BEHAVIOR BTBR/NOR second cohort/BTBR/test/c10_f6.mp4</t>
        </is>
      </c>
      <c r="F3318" t="n">
        <v>-13.967</v>
      </c>
      <c r="G3318" t="n">
        <v>576.1660000000001</v>
      </c>
      <c r="H3318" t="n">
        <v>756.366</v>
      </c>
      <c r="I3318" t="n">
        <v>30</v>
      </c>
      <c r="J3318" t="inlineStr">
        <is>
          <t>BTBR</t>
        </is>
      </c>
      <c r="K3318" t="inlineStr">
        <is>
          <t xml:space="preserve"> Female</t>
        </is>
      </c>
      <c r="L3318" t="inlineStr">
        <is>
          <t>No focal subject</t>
        </is>
      </c>
      <c r="M3318" t="n">
        <v>56.664</v>
      </c>
      <c r="N3318" t="inlineStr">
        <is>
          <t>Explore_N</t>
        </is>
      </c>
      <c r="O3318" t="inlineStr">
        <is>
          <t>Novelty</t>
        </is>
      </c>
      <c r="P3318" t="inlineStr">
        <is>
          <t>STATE</t>
        </is>
      </c>
      <c r="Q3318" t="n">
        <v>595.299</v>
      </c>
      <c r="R3318" t="n">
        <v>596.1319999999999</v>
      </c>
      <c r="S3318" t="n">
        <v>0.833</v>
      </c>
      <c r="T3318" t="inlineStr">
        <is>
          <t>C:/Users/manuel.felline/Documents/BEHAVIOR BTBR/NOR second cohort/BTBR/test/c10_f6.mp4</t>
        </is>
      </c>
      <c r="U3318" t="n">
        <v>18276</v>
      </c>
      <c r="V3318" t="n">
        <v>18301</v>
      </c>
      <c r="W3318" t="n">
        <v/>
      </c>
      <c r="X3318" t="n">
        <v/>
      </c>
      <c r="Y3318" t="n">
        <v/>
      </c>
      <c r="Z3318" t="n">
        <v/>
      </c>
      <c r="AA3318">
        <f>SUMIFS($S$2:S3318,$A$2:A3318,A3318,$N$2:N3318,"Explore*")</f>
        <v/>
      </c>
      <c r="AB3318">
        <f>IF(AND(LEFT(N3318,7)="Explore",(AA3318-IF(LEFT(N3318,7)="Explore",S3318,0))&lt;10),"SI","NO")</f>
        <v/>
      </c>
    </row>
    <row r="3319">
      <c r="A3319" t="inlineStr">
        <is>
          <t>c10f6_test</t>
        </is>
      </c>
      <c r="B3319" t="inlineStr">
        <is>
          <t>2026-06-29 17:20:25.158</t>
        </is>
      </c>
      <c r="C3319" t="n">
        <v/>
      </c>
      <c r="D3319" t="inlineStr">
        <is>
          <t>Media file</t>
        </is>
      </c>
      <c r="E3319" t="inlineStr">
        <is>
          <t>player #1:C:/Users/manuel.felline/Documents/BEHAVIOR BTBR/NOR second cohort/BTBR/test/c10_f6.mp4</t>
        </is>
      </c>
      <c r="F3319" t="n">
        <v>-13.967</v>
      </c>
      <c r="G3319" t="n">
        <v>576.1660000000001</v>
      </c>
      <c r="H3319" t="n">
        <v>756.366</v>
      </c>
      <c r="I3319" t="n">
        <v>30</v>
      </c>
      <c r="J3319" t="inlineStr">
        <is>
          <t>BTBR</t>
        </is>
      </c>
      <c r="K3319" t="inlineStr">
        <is>
          <t xml:space="preserve"> Female</t>
        </is>
      </c>
      <c r="L3319" t="inlineStr">
        <is>
          <t>No focal subject</t>
        </is>
      </c>
      <c r="M3319" t="n">
        <v>56.664</v>
      </c>
      <c r="N3319" t="inlineStr">
        <is>
          <t>Explore_F</t>
        </is>
      </c>
      <c r="O3319" t="inlineStr">
        <is>
          <t>Familiar</t>
        </is>
      </c>
      <c r="P3319" t="inlineStr">
        <is>
          <t>STATE</t>
        </is>
      </c>
      <c r="Q3319" t="n">
        <v>597.199</v>
      </c>
      <c r="R3319" t="n">
        <v>597.732</v>
      </c>
      <c r="S3319" t="n">
        <v>0.533</v>
      </c>
      <c r="T3319" t="inlineStr">
        <is>
          <t>C:/Users/manuel.felline/Documents/BEHAVIOR BTBR/NOR second cohort/BTBR/test/c10_f6.mp4</t>
        </is>
      </c>
      <c r="U3319" t="n">
        <v>18333</v>
      </c>
      <c r="V3319" t="n">
        <v>18349</v>
      </c>
      <c r="W3319" t="n">
        <v/>
      </c>
      <c r="X3319" t="n">
        <v/>
      </c>
      <c r="Y3319" t="n">
        <v/>
      </c>
      <c r="Z3319" t="n">
        <v/>
      </c>
      <c r="AA3319">
        <f>SUMIFS($S$2:S3319,$A$2:A3319,A3319,$N$2:N3319,"Explore*")</f>
        <v/>
      </c>
      <c r="AB3319">
        <f>IF(AND(LEFT(N3319,7)="Explore",(AA3319-IF(LEFT(N3319,7)="Explore",S3319,0))&lt;10),"SI","NO")</f>
        <v/>
      </c>
    </row>
    <row r="3320">
      <c r="A3320" t="inlineStr">
        <is>
          <t>c16f3_test</t>
        </is>
      </c>
      <c r="B3320" t="inlineStr">
        <is>
          <t>2026-06-30 10:57:56.193</t>
        </is>
      </c>
      <c r="C3320" t="n">
        <v/>
      </c>
      <c r="D3320" t="inlineStr">
        <is>
          <t>Media file</t>
        </is>
      </c>
      <c r="E3320" t="inlineStr">
        <is>
          <t>player #1:C:/Users/manuel.felline/Documents/BEHAVIOR BTBR/NOR second cohort/BTBR/test/c16_f3.mp4</t>
        </is>
      </c>
      <c r="F3320" t="n">
        <v>-14.6</v>
      </c>
      <c r="G3320" t="n">
        <v>561.999</v>
      </c>
      <c r="H3320" t="n">
        <v>637.533</v>
      </c>
      <c r="I3320" t="n">
        <v>30</v>
      </c>
      <c r="J3320" t="inlineStr">
        <is>
          <t>BTBR</t>
        </is>
      </c>
      <c r="K3320" t="inlineStr">
        <is>
          <t xml:space="preserve"> Female</t>
        </is>
      </c>
      <c r="L3320" t="inlineStr">
        <is>
          <t>No focal subject</t>
        </is>
      </c>
      <c r="M3320" t="n">
        <v>30.902</v>
      </c>
      <c r="N3320" t="inlineStr">
        <is>
          <t>Explore_F</t>
        </is>
      </c>
      <c r="O3320" t="inlineStr">
        <is>
          <t>Familiar</t>
        </is>
      </c>
      <c r="P3320" t="inlineStr">
        <is>
          <t>STATE</t>
        </is>
      </c>
      <c r="Q3320" t="n">
        <v>5.8</v>
      </c>
      <c r="R3320" t="n">
        <v>7.067</v>
      </c>
      <c r="S3320" t="n">
        <v>1.267</v>
      </c>
      <c r="T3320" t="inlineStr">
        <is>
          <t>C:/Users/manuel.felline/Documents/BEHAVIOR BTBR/NOR second cohort/BTBR/test/c16_f3.mp4</t>
        </is>
      </c>
      <c r="U3320" t="n">
        <v>612</v>
      </c>
      <c r="V3320" t="n">
        <v>650</v>
      </c>
      <c r="W3320" t="n">
        <v/>
      </c>
      <c r="X3320" t="n">
        <v/>
      </c>
      <c r="Y3320" t="n">
        <v/>
      </c>
      <c r="Z3320" t="n">
        <v/>
      </c>
      <c r="AA3320">
        <f>SUMIFS($S$2:S3320,$A$2:A3320,A3320,$N$2:N3320,"Explore*")</f>
        <v/>
      </c>
      <c r="AB3320">
        <f>IF(AND(LEFT(N3320,7)="Explore",(AA3320-IF(LEFT(N3320,7)="Explore",S3320,0))&lt;10),"SI","NO")</f>
        <v/>
      </c>
    </row>
    <row r="3321">
      <c r="A3321" t="inlineStr">
        <is>
          <t>c16f3_test</t>
        </is>
      </c>
      <c r="B3321" t="inlineStr">
        <is>
          <t>2026-06-30 10:57:56.193</t>
        </is>
      </c>
      <c r="C3321" t="n">
        <v/>
      </c>
      <c r="D3321" t="inlineStr">
        <is>
          <t>Media file</t>
        </is>
      </c>
      <c r="E3321" t="inlineStr">
        <is>
          <t>player #1:C:/Users/manuel.felline/Documents/BEHAVIOR BTBR/NOR second cohort/BTBR/test/c16_f3.mp4</t>
        </is>
      </c>
      <c r="F3321" t="n">
        <v>-14.6</v>
      </c>
      <c r="G3321" t="n">
        <v>561.999</v>
      </c>
      <c r="H3321" t="n">
        <v>637.533</v>
      </c>
      <c r="I3321" t="n">
        <v>30</v>
      </c>
      <c r="J3321" t="inlineStr">
        <is>
          <t>BTBR</t>
        </is>
      </c>
      <c r="K3321" t="inlineStr">
        <is>
          <t xml:space="preserve"> Female</t>
        </is>
      </c>
      <c r="L3321" t="inlineStr">
        <is>
          <t>No focal subject</t>
        </is>
      </c>
      <c r="M3321" t="n">
        <v>30.902</v>
      </c>
      <c r="N3321" t="inlineStr">
        <is>
          <t>Explore_F</t>
        </is>
      </c>
      <c r="O3321" t="inlineStr">
        <is>
          <t>Familiar</t>
        </is>
      </c>
      <c r="P3321" t="inlineStr">
        <is>
          <t>STATE</t>
        </is>
      </c>
      <c r="Q3321" t="n">
        <v>13.8</v>
      </c>
      <c r="R3321" t="n">
        <v>14.267</v>
      </c>
      <c r="S3321" t="n">
        <v>0.467</v>
      </c>
      <c r="T3321" t="inlineStr">
        <is>
          <t>C:/Users/manuel.felline/Documents/BEHAVIOR BTBR/NOR second cohort/BTBR/test/c16_f3.mp4</t>
        </is>
      </c>
      <c r="U3321" t="n">
        <v>852</v>
      </c>
      <c r="V3321" t="n">
        <v>866</v>
      </c>
      <c r="W3321" t="n">
        <v/>
      </c>
      <c r="X3321" t="n">
        <v/>
      </c>
      <c r="Y3321" t="n">
        <v/>
      </c>
      <c r="Z3321" t="n">
        <v/>
      </c>
      <c r="AA3321">
        <f>SUMIFS($S$2:S3321,$A$2:A3321,A3321,$N$2:N3321,"Explore*")</f>
        <v/>
      </c>
      <c r="AB3321">
        <f>IF(AND(LEFT(N3321,7)="Explore",(AA3321-IF(LEFT(N3321,7)="Explore",S3321,0))&lt;10),"SI","NO")</f>
        <v/>
      </c>
    </row>
    <row r="3322">
      <c r="A3322" t="inlineStr">
        <is>
          <t>c16f3_test</t>
        </is>
      </c>
      <c r="B3322" t="inlineStr">
        <is>
          <t>2026-06-30 10:57:56.193</t>
        </is>
      </c>
      <c r="C3322" t="n">
        <v/>
      </c>
      <c r="D3322" t="inlineStr">
        <is>
          <t>Media file</t>
        </is>
      </c>
      <c r="E3322" t="inlineStr">
        <is>
          <t>player #1:C:/Users/manuel.felline/Documents/BEHAVIOR BTBR/NOR second cohort/BTBR/test/c16_f3.mp4</t>
        </is>
      </c>
      <c r="F3322" t="n">
        <v>-14.6</v>
      </c>
      <c r="G3322" t="n">
        <v>561.999</v>
      </c>
      <c r="H3322" t="n">
        <v>637.533</v>
      </c>
      <c r="I3322" t="n">
        <v>30</v>
      </c>
      <c r="J3322" t="inlineStr">
        <is>
          <t>BTBR</t>
        </is>
      </c>
      <c r="K3322" t="inlineStr">
        <is>
          <t xml:space="preserve"> Female</t>
        </is>
      </c>
      <c r="L3322" t="inlineStr">
        <is>
          <t>No focal subject</t>
        </is>
      </c>
      <c r="M3322" t="n">
        <v>30.902</v>
      </c>
      <c r="N3322" t="inlineStr">
        <is>
          <t>Explore_N</t>
        </is>
      </c>
      <c r="O3322" t="inlineStr">
        <is>
          <t>Novelty</t>
        </is>
      </c>
      <c r="P3322" t="inlineStr">
        <is>
          <t>STATE</t>
        </is>
      </c>
      <c r="Q3322" t="n">
        <v>28.633</v>
      </c>
      <c r="R3322" t="n">
        <v>30.3</v>
      </c>
      <c r="S3322" t="n">
        <v>1.667</v>
      </c>
      <c r="T3322" t="inlineStr">
        <is>
          <t>C:/Users/manuel.felline/Documents/BEHAVIOR BTBR/NOR second cohort/BTBR/test/c16_f3.mp4</t>
        </is>
      </c>
      <c r="U3322" t="n">
        <v>1297</v>
      </c>
      <c r="V3322" t="n">
        <v>1347</v>
      </c>
      <c r="W3322" t="n">
        <v/>
      </c>
      <c r="X3322" t="n">
        <v/>
      </c>
      <c r="Y3322" t="n">
        <v/>
      </c>
      <c r="Z3322" t="n">
        <v/>
      </c>
      <c r="AA3322">
        <f>SUMIFS($S$2:S3322,$A$2:A3322,A3322,$N$2:N3322,"Explore*")</f>
        <v/>
      </c>
      <c r="AB3322">
        <f>IF(AND(LEFT(N3322,7)="Explore",(AA3322-IF(LEFT(N3322,7)="Explore",S3322,0))&lt;10),"SI","NO")</f>
        <v/>
      </c>
    </row>
    <row r="3323">
      <c r="A3323" t="inlineStr">
        <is>
          <t>c16f3_test</t>
        </is>
      </c>
      <c r="B3323" t="inlineStr">
        <is>
          <t>2026-06-30 10:57:56.193</t>
        </is>
      </c>
      <c r="C3323" t="n">
        <v/>
      </c>
      <c r="D3323" t="inlineStr">
        <is>
          <t>Media file</t>
        </is>
      </c>
      <c r="E3323" t="inlineStr">
        <is>
          <t>player #1:C:/Users/manuel.felline/Documents/BEHAVIOR BTBR/NOR second cohort/BTBR/test/c16_f3.mp4</t>
        </is>
      </c>
      <c r="F3323" t="n">
        <v>-14.6</v>
      </c>
      <c r="G3323" t="n">
        <v>561.999</v>
      </c>
      <c r="H3323" t="n">
        <v>637.533</v>
      </c>
      <c r="I3323" t="n">
        <v>30</v>
      </c>
      <c r="J3323" t="inlineStr">
        <is>
          <t>BTBR</t>
        </is>
      </c>
      <c r="K3323" t="inlineStr">
        <is>
          <t xml:space="preserve"> Female</t>
        </is>
      </c>
      <c r="L3323" t="inlineStr">
        <is>
          <t>No focal subject</t>
        </is>
      </c>
      <c r="M3323" t="n">
        <v>30.902</v>
      </c>
      <c r="N3323" t="inlineStr">
        <is>
          <t>Explore_F</t>
        </is>
      </c>
      <c r="O3323" t="inlineStr">
        <is>
          <t>Familiar</t>
        </is>
      </c>
      <c r="P3323" t="inlineStr">
        <is>
          <t>STATE</t>
        </is>
      </c>
      <c r="Q3323" t="n">
        <v>31.833</v>
      </c>
      <c r="R3323" t="n">
        <v>32.2</v>
      </c>
      <c r="S3323" t="n">
        <v>0.367</v>
      </c>
      <c r="T3323" t="inlineStr">
        <is>
          <t>C:/Users/manuel.felline/Documents/BEHAVIOR BTBR/NOR second cohort/BTBR/test/c16_f3.mp4</t>
        </is>
      </c>
      <c r="U3323" t="n">
        <v>1393</v>
      </c>
      <c r="V3323" t="n">
        <v>1404</v>
      </c>
      <c r="W3323" t="n">
        <v/>
      </c>
      <c r="X3323" t="n">
        <v/>
      </c>
      <c r="Y3323" t="n">
        <v/>
      </c>
      <c r="Z3323" t="n">
        <v/>
      </c>
      <c r="AA3323">
        <f>SUMIFS($S$2:S3323,$A$2:A3323,A3323,$N$2:N3323,"Explore*")</f>
        <v/>
      </c>
      <c r="AB3323">
        <f>IF(AND(LEFT(N3323,7)="Explore",(AA3323-IF(LEFT(N3323,7)="Explore",S3323,0))&lt;10),"SI","NO")</f>
        <v/>
      </c>
    </row>
    <row r="3324">
      <c r="A3324" t="inlineStr">
        <is>
          <t>c16f3_test</t>
        </is>
      </c>
      <c r="B3324" t="inlineStr">
        <is>
          <t>2026-06-30 10:57:56.193</t>
        </is>
      </c>
      <c r="C3324" t="n">
        <v/>
      </c>
      <c r="D3324" t="inlineStr">
        <is>
          <t>Media file</t>
        </is>
      </c>
      <c r="E3324" t="inlineStr">
        <is>
          <t>player #1:C:/Users/manuel.felline/Documents/BEHAVIOR BTBR/NOR second cohort/BTBR/test/c16_f3.mp4</t>
        </is>
      </c>
      <c r="F3324" t="n">
        <v>-14.6</v>
      </c>
      <c r="G3324" t="n">
        <v>561.999</v>
      </c>
      <c r="H3324" t="n">
        <v>637.533</v>
      </c>
      <c r="I3324" t="n">
        <v>30</v>
      </c>
      <c r="J3324" t="inlineStr">
        <is>
          <t>BTBR</t>
        </is>
      </c>
      <c r="K3324" t="inlineStr">
        <is>
          <t xml:space="preserve"> Female</t>
        </is>
      </c>
      <c r="L3324" t="inlineStr">
        <is>
          <t>No focal subject</t>
        </is>
      </c>
      <c r="M3324" t="n">
        <v>30.902</v>
      </c>
      <c r="N3324" t="inlineStr">
        <is>
          <t>Explore_F</t>
        </is>
      </c>
      <c r="O3324" t="inlineStr">
        <is>
          <t>Familiar</t>
        </is>
      </c>
      <c r="P3324" t="inlineStr">
        <is>
          <t>STATE</t>
        </is>
      </c>
      <c r="Q3324" t="n">
        <v>41.133</v>
      </c>
      <c r="R3324" t="n">
        <v>41.467</v>
      </c>
      <c r="S3324" t="n">
        <v>0.334</v>
      </c>
      <c r="T3324" t="inlineStr">
        <is>
          <t>C:/Users/manuel.felline/Documents/BEHAVIOR BTBR/NOR second cohort/BTBR/test/c16_f3.mp4</t>
        </is>
      </c>
      <c r="U3324" t="n">
        <v>1672</v>
      </c>
      <c r="V3324" t="n">
        <v>1682</v>
      </c>
      <c r="W3324" t="n">
        <v/>
      </c>
      <c r="X3324" t="n">
        <v/>
      </c>
      <c r="Y3324" t="n">
        <v/>
      </c>
      <c r="Z3324" t="n">
        <v/>
      </c>
      <c r="AA3324">
        <f>SUMIFS($S$2:S3324,$A$2:A3324,A3324,$N$2:N3324,"Explore*")</f>
        <v/>
      </c>
      <c r="AB3324">
        <f>IF(AND(LEFT(N3324,7)="Explore",(AA3324-IF(LEFT(N3324,7)="Explore",S3324,0))&lt;10),"SI","NO")</f>
        <v/>
      </c>
    </row>
    <row r="3325">
      <c r="A3325" t="inlineStr">
        <is>
          <t>c16f3_test</t>
        </is>
      </c>
      <c r="B3325" t="inlineStr">
        <is>
          <t>2026-06-30 10:57:56.193</t>
        </is>
      </c>
      <c r="C3325" t="n">
        <v/>
      </c>
      <c r="D3325" t="inlineStr">
        <is>
          <t>Media file</t>
        </is>
      </c>
      <c r="E3325" t="inlineStr">
        <is>
          <t>player #1:C:/Users/manuel.felline/Documents/BEHAVIOR BTBR/NOR second cohort/BTBR/test/c16_f3.mp4</t>
        </is>
      </c>
      <c r="F3325" t="n">
        <v>-14.6</v>
      </c>
      <c r="G3325" t="n">
        <v>561.999</v>
      </c>
      <c r="H3325" t="n">
        <v>637.533</v>
      </c>
      <c r="I3325" t="n">
        <v>30</v>
      </c>
      <c r="J3325" t="inlineStr">
        <is>
          <t>BTBR</t>
        </is>
      </c>
      <c r="K3325" t="inlineStr">
        <is>
          <t xml:space="preserve"> Female</t>
        </is>
      </c>
      <c r="L3325" t="inlineStr">
        <is>
          <t>No focal subject</t>
        </is>
      </c>
      <c r="M3325" t="n">
        <v>30.902</v>
      </c>
      <c r="N3325" t="inlineStr">
        <is>
          <t>Explore_N</t>
        </is>
      </c>
      <c r="O3325" t="inlineStr">
        <is>
          <t>Novelty</t>
        </is>
      </c>
      <c r="P3325" t="inlineStr">
        <is>
          <t>STATE</t>
        </is>
      </c>
      <c r="Q3325" t="n">
        <v>54</v>
      </c>
      <c r="R3325" t="n">
        <v>54.6</v>
      </c>
      <c r="S3325" t="n">
        <v>0.6</v>
      </c>
      <c r="T3325" t="inlineStr">
        <is>
          <t>C:/Users/manuel.felline/Documents/BEHAVIOR BTBR/NOR second cohort/BTBR/test/c16_f3.mp4</t>
        </is>
      </c>
      <c r="U3325" t="n">
        <v>2058</v>
      </c>
      <c r="V3325" t="n">
        <v>2076</v>
      </c>
      <c r="W3325" t="n">
        <v/>
      </c>
      <c r="X3325" t="n">
        <v/>
      </c>
      <c r="Y3325" t="n">
        <v/>
      </c>
      <c r="Z3325" t="n">
        <v/>
      </c>
      <c r="AA3325">
        <f>SUMIFS($S$2:S3325,$A$2:A3325,A3325,$N$2:N3325,"Explore*")</f>
        <v/>
      </c>
      <c r="AB3325">
        <f>IF(AND(LEFT(N3325,7)="Explore",(AA3325-IF(LEFT(N3325,7)="Explore",S3325,0))&lt;10),"SI","NO")</f>
        <v/>
      </c>
    </row>
    <row r="3326">
      <c r="A3326" t="inlineStr">
        <is>
          <t>c16f3_test</t>
        </is>
      </c>
      <c r="B3326" t="inlineStr">
        <is>
          <t>2026-06-30 10:57:56.193</t>
        </is>
      </c>
      <c r="C3326" t="n">
        <v/>
      </c>
      <c r="D3326" t="inlineStr">
        <is>
          <t>Media file</t>
        </is>
      </c>
      <c r="E3326" t="inlineStr">
        <is>
          <t>player #1:C:/Users/manuel.felline/Documents/BEHAVIOR BTBR/NOR second cohort/BTBR/test/c16_f3.mp4</t>
        </is>
      </c>
      <c r="F3326" t="n">
        <v>-14.6</v>
      </c>
      <c r="G3326" t="n">
        <v>561.999</v>
      </c>
      <c r="H3326" t="n">
        <v>637.533</v>
      </c>
      <c r="I3326" t="n">
        <v>30</v>
      </c>
      <c r="J3326" t="inlineStr">
        <is>
          <t>BTBR</t>
        </is>
      </c>
      <c r="K3326" t="inlineStr">
        <is>
          <t xml:space="preserve"> Female</t>
        </is>
      </c>
      <c r="L3326" t="inlineStr">
        <is>
          <t>No focal subject</t>
        </is>
      </c>
      <c r="M3326" t="n">
        <v>30.902</v>
      </c>
      <c r="N3326" t="inlineStr">
        <is>
          <t>Explore_F</t>
        </is>
      </c>
      <c r="O3326" t="inlineStr">
        <is>
          <t>Familiar</t>
        </is>
      </c>
      <c r="P3326" t="inlineStr">
        <is>
          <t>STATE</t>
        </is>
      </c>
      <c r="Q3326" t="n">
        <v>57.867</v>
      </c>
      <c r="R3326" t="n">
        <v>58.267</v>
      </c>
      <c r="S3326" t="n">
        <v>0.4</v>
      </c>
      <c r="T3326" t="inlineStr">
        <is>
          <t>C:/Users/manuel.felline/Documents/BEHAVIOR BTBR/NOR second cohort/BTBR/test/c16_f3.mp4</t>
        </is>
      </c>
      <c r="U3326" t="n">
        <v>2174</v>
      </c>
      <c r="V3326" t="n">
        <v>2186</v>
      </c>
      <c r="W3326" t="n">
        <v/>
      </c>
      <c r="X3326" t="n">
        <v/>
      </c>
      <c r="Y3326" t="n">
        <v/>
      </c>
      <c r="Z3326" t="n">
        <v/>
      </c>
      <c r="AA3326">
        <f>SUMIFS($S$2:S3326,$A$2:A3326,A3326,$N$2:N3326,"Explore*")</f>
        <v/>
      </c>
      <c r="AB3326">
        <f>IF(AND(LEFT(N3326,7)="Explore",(AA3326-IF(LEFT(N3326,7)="Explore",S3326,0))&lt;10),"SI","NO")</f>
        <v/>
      </c>
    </row>
    <row r="3327">
      <c r="A3327" t="inlineStr">
        <is>
          <t>c16f3_test</t>
        </is>
      </c>
      <c r="B3327" t="inlineStr">
        <is>
          <t>2026-06-30 10:57:56.193</t>
        </is>
      </c>
      <c r="C3327" t="n">
        <v/>
      </c>
      <c r="D3327" t="inlineStr">
        <is>
          <t>Media file</t>
        </is>
      </c>
      <c r="E3327" t="inlineStr">
        <is>
          <t>player #1:C:/Users/manuel.felline/Documents/BEHAVIOR BTBR/NOR second cohort/BTBR/test/c16_f3.mp4</t>
        </is>
      </c>
      <c r="F3327" t="n">
        <v>-14.6</v>
      </c>
      <c r="G3327" t="n">
        <v>561.999</v>
      </c>
      <c r="H3327" t="n">
        <v>637.533</v>
      </c>
      <c r="I3327" t="n">
        <v>30</v>
      </c>
      <c r="J3327" t="inlineStr">
        <is>
          <t>BTBR</t>
        </is>
      </c>
      <c r="K3327" t="inlineStr">
        <is>
          <t xml:space="preserve"> Female</t>
        </is>
      </c>
      <c r="L3327" t="inlineStr">
        <is>
          <t>No focal subject</t>
        </is>
      </c>
      <c r="M3327" t="n">
        <v>30.902</v>
      </c>
      <c r="N3327" t="inlineStr">
        <is>
          <t>Explore_N</t>
        </is>
      </c>
      <c r="O3327" t="inlineStr">
        <is>
          <t>Novelty</t>
        </is>
      </c>
      <c r="P3327" t="inlineStr">
        <is>
          <t>STATE</t>
        </is>
      </c>
      <c r="Q3327" t="n">
        <v>58.867</v>
      </c>
      <c r="R3327" t="n">
        <v>60.067</v>
      </c>
      <c r="S3327" t="n">
        <v>1.2</v>
      </c>
      <c r="T3327" t="inlineStr">
        <is>
          <t>C:/Users/manuel.felline/Documents/BEHAVIOR BTBR/NOR second cohort/BTBR/test/c16_f3.mp4</t>
        </is>
      </c>
      <c r="U3327" t="n">
        <v>2204</v>
      </c>
      <c r="V3327" t="n">
        <v>2240</v>
      </c>
      <c r="W3327" t="n">
        <v/>
      </c>
      <c r="X3327" t="n">
        <v/>
      </c>
      <c r="Y3327" t="n">
        <v/>
      </c>
      <c r="Z3327" t="n">
        <v/>
      </c>
      <c r="AA3327">
        <f>SUMIFS($S$2:S3327,$A$2:A3327,A3327,$N$2:N3327,"Explore*")</f>
        <v/>
      </c>
      <c r="AB3327">
        <f>IF(AND(LEFT(N3327,7)="Explore",(AA3327-IF(LEFT(N3327,7)="Explore",S3327,0))&lt;10),"SI","NO")</f>
        <v/>
      </c>
    </row>
    <row r="3328">
      <c r="A3328" t="inlineStr">
        <is>
          <t>c16f3_test</t>
        </is>
      </c>
      <c r="B3328" t="inlineStr">
        <is>
          <t>2026-06-30 10:57:56.193</t>
        </is>
      </c>
      <c r="C3328" t="n">
        <v/>
      </c>
      <c r="D3328" t="inlineStr">
        <is>
          <t>Media file</t>
        </is>
      </c>
      <c r="E3328" t="inlineStr">
        <is>
          <t>player #1:C:/Users/manuel.felline/Documents/BEHAVIOR BTBR/NOR second cohort/BTBR/test/c16_f3.mp4</t>
        </is>
      </c>
      <c r="F3328" t="n">
        <v>-14.6</v>
      </c>
      <c r="G3328" t="n">
        <v>561.999</v>
      </c>
      <c r="H3328" t="n">
        <v>637.533</v>
      </c>
      <c r="I3328" t="n">
        <v>30</v>
      </c>
      <c r="J3328" t="inlineStr">
        <is>
          <t>BTBR</t>
        </is>
      </c>
      <c r="K3328" t="inlineStr">
        <is>
          <t xml:space="preserve"> Female</t>
        </is>
      </c>
      <c r="L3328" t="inlineStr">
        <is>
          <t>No focal subject</t>
        </is>
      </c>
      <c r="M3328" t="n">
        <v>30.902</v>
      </c>
      <c r="N3328" t="inlineStr">
        <is>
          <t>Explore_N</t>
        </is>
      </c>
      <c r="O3328" t="inlineStr">
        <is>
          <t>Novelty</t>
        </is>
      </c>
      <c r="P3328" t="inlineStr">
        <is>
          <t>STATE</t>
        </is>
      </c>
      <c r="Q3328" t="n">
        <v>62.2</v>
      </c>
      <c r="R3328" t="n">
        <v>62.633</v>
      </c>
      <c r="S3328" t="n">
        <v>0.433</v>
      </c>
      <c r="T3328" t="inlineStr">
        <is>
          <t>C:/Users/manuel.felline/Documents/BEHAVIOR BTBR/NOR second cohort/BTBR/test/c16_f3.mp4</t>
        </is>
      </c>
      <c r="U3328" t="n">
        <v>2304</v>
      </c>
      <c r="V3328" t="n">
        <v>2317</v>
      </c>
      <c r="W3328" t="n">
        <v/>
      </c>
      <c r="X3328" t="n">
        <v/>
      </c>
      <c r="Y3328" t="n">
        <v/>
      </c>
      <c r="Z3328" t="n">
        <v/>
      </c>
      <c r="AA3328">
        <f>SUMIFS($S$2:S3328,$A$2:A3328,A3328,$N$2:N3328,"Explore*")</f>
        <v/>
      </c>
      <c r="AB3328">
        <f>IF(AND(LEFT(N3328,7)="Explore",(AA3328-IF(LEFT(N3328,7)="Explore",S3328,0))&lt;10),"SI","NO")</f>
        <v/>
      </c>
    </row>
    <row r="3329">
      <c r="A3329" t="inlineStr">
        <is>
          <t>c16f3_test</t>
        </is>
      </c>
      <c r="B3329" t="inlineStr">
        <is>
          <t>2026-06-30 10:57:56.193</t>
        </is>
      </c>
      <c r="C3329" t="n">
        <v/>
      </c>
      <c r="D3329" t="inlineStr">
        <is>
          <t>Media file</t>
        </is>
      </c>
      <c r="E3329" t="inlineStr">
        <is>
          <t>player #1:C:/Users/manuel.felline/Documents/BEHAVIOR BTBR/NOR second cohort/BTBR/test/c16_f3.mp4</t>
        </is>
      </c>
      <c r="F3329" t="n">
        <v>-14.6</v>
      </c>
      <c r="G3329" t="n">
        <v>561.999</v>
      </c>
      <c r="H3329" t="n">
        <v>637.533</v>
      </c>
      <c r="I3329" t="n">
        <v>30</v>
      </c>
      <c r="J3329" t="inlineStr">
        <is>
          <t>BTBR</t>
        </is>
      </c>
      <c r="K3329" t="inlineStr">
        <is>
          <t xml:space="preserve"> Female</t>
        </is>
      </c>
      <c r="L3329" t="inlineStr">
        <is>
          <t>No focal subject</t>
        </is>
      </c>
      <c r="M3329" t="n">
        <v>30.902</v>
      </c>
      <c r="N3329" t="inlineStr">
        <is>
          <t>Explore_F</t>
        </is>
      </c>
      <c r="O3329" t="inlineStr">
        <is>
          <t>Familiar</t>
        </is>
      </c>
      <c r="P3329" t="inlineStr">
        <is>
          <t>STATE</t>
        </is>
      </c>
      <c r="Q3329" t="n">
        <v>66.09999999999999</v>
      </c>
      <c r="R3329" t="n">
        <v>66.5</v>
      </c>
      <c r="S3329" t="n">
        <v>0.4</v>
      </c>
      <c r="T3329" t="inlineStr">
        <is>
          <t>C:/Users/manuel.felline/Documents/BEHAVIOR BTBR/NOR second cohort/BTBR/test/c16_f3.mp4</t>
        </is>
      </c>
      <c r="U3329" t="n">
        <v>2421</v>
      </c>
      <c r="V3329" t="n">
        <v>2433</v>
      </c>
      <c r="W3329" t="n">
        <v/>
      </c>
      <c r="X3329" t="n">
        <v/>
      </c>
      <c r="Y3329" t="n">
        <v/>
      </c>
      <c r="Z3329" t="n">
        <v/>
      </c>
      <c r="AA3329">
        <f>SUMIFS($S$2:S3329,$A$2:A3329,A3329,$N$2:N3329,"Explore*")</f>
        <v/>
      </c>
      <c r="AB3329">
        <f>IF(AND(LEFT(N3329,7)="Explore",(AA3329-IF(LEFT(N3329,7)="Explore",S3329,0))&lt;10),"SI","NO")</f>
        <v/>
      </c>
    </row>
    <row r="3330">
      <c r="A3330" t="inlineStr">
        <is>
          <t>c16f3_test</t>
        </is>
      </c>
      <c r="B3330" t="inlineStr">
        <is>
          <t>2026-06-30 10:57:56.193</t>
        </is>
      </c>
      <c r="C3330" t="n">
        <v/>
      </c>
      <c r="D3330" t="inlineStr">
        <is>
          <t>Media file</t>
        </is>
      </c>
      <c r="E3330" t="inlineStr">
        <is>
          <t>player #1:C:/Users/manuel.felline/Documents/BEHAVIOR BTBR/NOR second cohort/BTBR/test/c16_f3.mp4</t>
        </is>
      </c>
      <c r="F3330" t="n">
        <v>-14.6</v>
      </c>
      <c r="G3330" t="n">
        <v>561.999</v>
      </c>
      <c r="H3330" t="n">
        <v>637.533</v>
      </c>
      <c r="I3330" t="n">
        <v>30</v>
      </c>
      <c r="J3330" t="inlineStr">
        <is>
          <t>BTBR</t>
        </is>
      </c>
      <c r="K3330" t="inlineStr">
        <is>
          <t xml:space="preserve"> Female</t>
        </is>
      </c>
      <c r="L3330" t="inlineStr">
        <is>
          <t>No focal subject</t>
        </is>
      </c>
      <c r="M3330" t="n">
        <v>30.902</v>
      </c>
      <c r="N3330" t="inlineStr">
        <is>
          <t>Explore_N</t>
        </is>
      </c>
      <c r="O3330" t="inlineStr">
        <is>
          <t>Novelty</t>
        </is>
      </c>
      <c r="P3330" t="inlineStr">
        <is>
          <t>STATE</t>
        </is>
      </c>
      <c r="Q3330" t="n">
        <v>72.133</v>
      </c>
      <c r="R3330" t="n">
        <v>72.833</v>
      </c>
      <c r="S3330" t="n">
        <v>0.7</v>
      </c>
      <c r="T3330" t="inlineStr">
        <is>
          <t>C:/Users/manuel.felline/Documents/BEHAVIOR BTBR/NOR second cohort/BTBR/test/c16_f3.mp4</t>
        </is>
      </c>
      <c r="U3330" t="n">
        <v>2602</v>
      </c>
      <c r="V3330" t="n">
        <v>2623</v>
      </c>
      <c r="W3330" t="n">
        <v/>
      </c>
      <c r="X3330" t="n">
        <v/>
      </c>
      <c r="Y3330" t="n">
        <v/>
      </c>
      <c r="Z3330" t="n">
        <v/>
      </c>
      <c r="AA3330">
        <f>SUMIFS($S$2:S3330,$A$2:A3330,A3330,$N$2:N3330,"Explore*")</f>
        <v/>
      </c>
      <c r="AB3330">
        <f>IF(AND(LEFT(N3330,7)="Explore",(AA3330-IF(LEFT(N3330,7)="Explore",S3330,0))&lt;10),"SI","NO")</f>
        <v/>
      </c>
    </row>
    <row r="3331">
      <c r="A3331" t="inlineStr">
        <is>
          <t>c16f3_test</t>
        </is>
      </c>
      <c r="B3331" t="inlineStr">
        <is>
          <t>2026-06-30 10:57:56.193</t>
        </is>
      </c>
      <c r="C3331" t="n">
        <v/>
      </c>
      <c r="D3331" t="inlineStr">
        <is>
          <t>Media file</t>
        </is>
      </c>
      <c r="E3331" t="inlineStr">
        <is>
          <t>player #1:C:/Users/manuel.felline/Documents/BEHAVIOR BTBR/NOR second cohort/BTBR/test/c16_f3.mp4</t>
        </is>
      </c>
      <c r="F3331" t="n">
        <v>-14.6</v>
      </c>
      <c r="G3331" t="n">
        <v>561.999</v>
      </c>
      <c r="H3331" t="n">
        <v>637.533</v>
      </c>
      <c r="I3331" t="n">
        <v>30</v>
      </c>
      <c r="J3331" t="inlineStr">
        <is>
          <t>BTBR</t>
        </is>
      </c>
      <c r="K3331" t="inlineStr">
        <is>
          <t xml:space="preserve"> Female</t>
        </is>
      </c>
      <c r="L3331" t="inlineStr">
        <is>
          <t>No focal subject</t>
        </is>
      </c>
      <c r="M3331" t="n">
        <v>30.902</v>
      </c>
      <c r="N3331" t="inlineStr">
        <is>
          <t>Explore_N</t>
        </is>
      </c>
      <c r="O3331" t="inlineStr">
        <is>
          <t>Novelty</t>
        </is>
      </c>
      <c r="P3331" t="inlineStr">
        <is>
          <t>STATE</t>
        </is>
      </c>
      <c r="Q3331" t="n">
        <v>77.167</v>
      </c>
      <c r="R3331" t="n">
        <v>77.8</v>
      </c>
      <c r="S3331" t="n">
        <v>0.633</v>
      </c>
      <c r="T3331" t="inlineStr">
        <is>
          <t>C:/Users/manuel.felline/Documents/BEHAVIOR BTBR/NOR second cohort/BTBR/test/c16_f3.mp4</t>
        </is>
      </c>
      <c r="U3331" t="n">
        <v>2753</v>
      </c>
      <c r="V3331" t="n">
        <v>2772</v>
      </c>
      <c r="W3331" t="n">
        <v/>
      </c>
      <c r="X3331" t="n">
        <v/>
      </c>
      <c r="Y3331" t="n">
        <v/>
      </c>
      <c r="Z3331" t="n">
        <v/>
      </c>
      <c r="AA3331">
        <f>SUMIFS($S$2:S3331,$A$2:A3331,A3331,$N$2:N3331,"Explore*")</f>
        <v/>
      </c>
      <c r="AB3331">
        <f>IF(AND(LEFT(N3331,7)="Explore",(AA3331-IF(LEFT(N3331,7)="Explore",S3331,0))&lt;10),"SI","NO")</f>
        <v/>
      </c>
    </row>
    <row r="3332">
      <c r="A3332" t="inlineStr">
        <is>
          <t>c16f3_test</t>
        </is>
      </c>
      <c r="B3332" t="inlineStr">
        <is>
          <t>2026-06-30 10:57:56.193</t>
        </is>
      </c>
      <c r="C3332" t="n">
        <v/>
      </c>
      <c r="D3332" t="inlineStr">
        <is>
          <t>Media file</t>
        </is>
      </c>
      <c r="E3332" t="inlineStr">
        <is>
          <t>player #1:C:/Users/manuel.felline/Documents/BEHAVIOR BTBR/NOR second cohort/BTBR/test/c16_f3.mp4</t>
        </is>
      </c>
      <c r="F3332" t="n">
        <v>-14.6</v>
      </c>
      <c r="G3332" t="n">
        <v>561.999</v>
      </c>
      <c r="H3332" t="n">
        <v>637.533</v>
      </c>
      <c r="I3332" t="n">
        <v>30</v>
      </c>
      <c r="J3332" t="inlineStr">
        <is>
          <t>BTBR</t>
        </is>
      </c>
      <c r="K3332" t="inlineStr">
        <is>
          <t xml:space="preserve"> Female</t>
        </is>
      </c>
      <c r="L3332" t="inlineStr">
        <is>
          <t>No focal subject</t>
        </is>
      </c>
      <c r="M3332" t="n">
        <v>30.902</v>
      </c>
      <c r="N3332" t="inlineStr">
        <is>
          <t>Explore_F</t>
        </is>
      </c>
      <c r="O3332" t="inlineStr">
        <is>
          <t>Familiar</t>
        </is>
      </c>
      <c r="P3332" t="inlineStr">
        <is>
          <t>STATE</t>
        </is>
      </c>
      <c r="Q3332" t="n">
        <v>79.467</v>
      </c>
      <c r="R3332" t="n">
        <v>79.833</v>
      </c>
      <c r="S3332" t="n">
        <v>0.366</v>
      </c>
      <c r="T3332" t="inlineStr">
        <is>
          <t>C:/Users/manuel.felline/Documents/BEHAVIOR BTBR/NOR second cohort/BTBR/test/c16_f3.mp4</t>
        </is>
      </c>
      <c r="U3332" t="n">
        <v>2822</v>
      </c>
      <c r="V3332" t="n">
        <v>2833</v>
      </c>
      <c r="W3332" t="n">
        <v/>
      </c>
      <c r="X3332" t="n">
        <v/>
      </c>
      <c r="Y3332" t="n">
        <v/>
      </c>
      <c r="Z3332" t="n">
        <v/>
      </c>
      <c r="AA3332">
        <f>SUMIFS($S$2:S3332,$A$2:A3332,A3332,$N$2:N3332,"Explore*")</f>
        <v/>
      </c>
      <c r="AB3332">
        <f>IF(AND(LEFT(N3332,7)="Explore",(AA3332-IF(LEFT(N3332,7)="Explore",S3332,0))&lt;10),"SI","NO")</f>
        <v/>
      </c>
    </row>
    <row r="3333">
      <c r="A3333" t="inlineStr">
        <is>
          <t>c16f3_test</t>
        </is>
      </c>
      <c r="B3333" t="inlineStr">
        <is>
          <t>2026-06-30 10:57:56.193</t>
        </is>
      </c>
      <c r="C3333" t="n">
        <v/>
      </c>
      <c r="D3333" t="inlineStr">
        <is>
          <t>Media file</t>
        </is>
      </c>
      <c r="E3333" t="inlineStr">
        <is>
          <t>player #1:C:/Users/manuel.felline/Documents/BEHAVIOR BTBR/NOR second cohort/BTBR/test/c16_f3.mp4</t>
        </is>
      </c>
      <c r="F3333" t="n">
        <v>-14.6</v>
      </c>
      <c r="G3333" t="n">
        <v>561.999</v>
      </c>
      <c r="H3333" t="n">
        <v>637.533</v>
      </c>
      <c r="I3333" t="n">
        <v>30</v>
      </c>
      <c r="J3333" t="inlineStr">
        <is>
          <t>BTBR</t>
        </is>
      </c>
      <c r="K3333" t="inlineStr">
        <is>
          <t xml:space="preserve"> Female</t>
        </is>
      </c>
      <c r="L3333" t="inlineStr">
        <is>
          <t>No focal subject</t>
        </is>
      </c>
      <c r="M3333" t="n">
        <v>30.902</v>
      </c>
      <c r="N3333" t="inlineStr">
        <is>
          <t>Explore_N</t>
        </is>
      </c>
      <c r="O3333" t="inlineStr">
        <is>
          <t>Novelty</t>
        </is>
      </c>
      <c r="P3333" t="inlineStr">
        <is>
          <t>STATE</t>
        </is>
      </c>
      <c r="Q3333" t="n">
        <v>83.233</v>
      </c>
      <c r="R3333" t="n">
        <v>84</v>
      </c>
      <c r="S3333" t="n">
        <v>0.767</v>
      </c>
      <c r="T3333" t="inlineStr">
        <is>
          <t>C:/Users/manuel.felline/Documents/BEHAVIOR BTBR/NOR second cohort/BTBR/test/c16_f3.mp4</t>
        </is>
      </c>
      <c r="U3333" t="n">
        <v>2935</v>
      </c>
      <c r="V3333" t="n">
        <v>2958</v>
      </c>
      <c r="W3333" t="n">
        <v/>
      </c>
      <c r="X3333" t="n">
        <v/>
      </c>
      <c r="Y3333" t="n">
        <v/>
      </c>
      <c r="Z3333" t="n">
        <v/>
      </c>
      <c r="AA3333">
        <f>SUMIFS($S$2:S3333,$A$2:A3333,A3333,$N$2:N3333,"Explore*")</f>
        <v/>
      </c>
      <c r="AB3333">
        <f>IF(AND(LEFT(N3333,7)="Explore",(AA3333-IF(LEFT(N3333,7)="Explore",S3333,0))&lt;10),"SI","NO")</f>
        <v/>
      </c>
    </row>
    <row r="3334">
      <c r="A3334" t="inlineStr">
        <is>
          <t>c16f3_test</t>
        </is>
      </c>
      <c r="B3334" t="inlineStr">
        <is>
          <t>2026-06-30 10:57:56.193</t>
        </is>
      </c>
      <c r="C3334" t="n">
        <v/>
      </c>
      <c r="D3334" t="inlineStr">
        <is>
          <t>Media file</t>
        </is>
      </c>
      <c r="E3334" t="inlineStr">
        <is>
          <t>player #1:C:/Users/manuel.felline/Documents/BEHAVIOR BTBR/NOR second cohort/BTBR/test/c16_f3.mp4</t>
        </is>
      </c>
      <c r="F3334" t="n">
        <v>-14.6</v>
      </c>
      <c r="G3334" t="n">
        <v>561.999</v>
      </c>
      <c r="H3334" t="n">
        <v>637.533</v>
      </c>
      <c r="I3334" t="n">
        <v>30</v>
      </c>
      <c r="J3334" t="inlineStr">
        <is>
          <t>BTBR</t>
        </is>
      </c>
      <c r="K3334" t="inlineStr">
        <is>
          <t xml:space="preserve"> Female</t>
        </is>
      </c>
      <c r="L3334" t="inlineStr">
        <is>
          <t>No focal subject</t>
        </is>
      </c>
      <c r="M3334" t="n">
        <v>30.902</v>
      </c>
      <c r="N3334" t="inlineStr">
        <is>
          <t>Explore_F</t>
        </is>
      </c>
      <c r="O3334" t="inlineStr">
        <is>
          <t>Familiar</t>
        </is>
      </c>
      <c r="P3334" t="inlineStr">
        <is>
          <t>STATE</t>
        </is>
      </c>
      <c r="Q3334" t="n">
        <v>85.033</v>
      </c>
      <c r="R3334" t="n">
        <v>85.5</v>
      </c>
      <c r="S3334" t="n">
        <v>0.467</v>
      </c>
      <c r="T3334" t="inlineStr">
        <is>
          <t>C:/Users/manuel.felline/Documents/BEHAVIOR BTBR/NOR second cohort/BTBR/test/c16_f3.mp4</t>
        </is>
      </c>
      <c r="U3334" t="n">
        <v>2989</v>
      </c>
      <c r="V3334" t="n">
        <v>3003</v>
      </c>
      <c r="W3334" t="n">
        <v/>
      </c>
      <c r="X3334" t="n">
        <v/>
      </c>
      <c r="Y3334" t="n">
        <v/>
      </c>
      <c r="Z3334" t="n">
        <v/>
      </c>
      <c r="AA3334">
        <f>SUMIFS($S$2:S3334,$A$2:A3334,A3334,$N$2:N3334,"Explore*")</f>
        <v/>
      </c>
      <c r="AB3334">
        <f>IF(AND(LEFT(N3334,7)="Explore",(AA3334-IF(LEFT(N3334,7)="Explore",S3334,0))&lt;10),"SI","NO")</f>
        <v/>
      </c>
    </row>
    <row r="3335">
      <c r="A3335" t="inlineStr">
        <is>
          <t>c16f3_test</t>
        </is>
      </c>
      <c r="B3335" t="inlineStr">
        <is>
          <t>2026-06-30 10:57:56.193</t>
        </is>
      </c>
      <c r="C3335" t="n">
        <v/>
      </c>
      <c r="D3335" t="inlineStr">
        <is>
          <t>Media file</t>
        </is>
      </c>
      <c r="E3335" t="inlineStr">
        <is>
          <t>player #1:C:/Users/manuel.felline/Documents/BEHAVIOR BTBR/NOR second cohort/BTBR/test/c16_f3.mp4</t>
        </is>
      </c>
      <c r="F3335" t="n">
        <v>-14.6</v>
      </c>
      <c r="G3335" t="n">
        <v>561.999</v>
      </c>
      <c r="H3335" t="n">
        <v>637.533</v>
      </c>
      <c r="I3335" t="n">
        <v>30</v>
      </c>
      <c r="J3335" t="inlineStr">
        <is>
          <t>BTBR</t>
        </is>
      </c>
      <c r="K3335" t="inlineStr">
        <is>
          <t xml:space="preserve"> Female</t>
        </is>
      </c>
      <c r="L3335" t="inlineStr">
        <is>
          <t>No focal subject</t>
        </is>
      </c>
      <c r="M3335" t="n">
        <v>30.902</v>
      </c>
      <c r="N3335" t="inlineStr">
        <is>
          <t>Explore_F</t>
        </is>
      </c>
      <c r="O3335" t="inlineStr">
        <is>
          <t>Familiar</t>
        </is>
      </c>
      <c r="P3335" t="inlineStr">
        <is>
          <t>STATE</t>
        </is>
      </c>
      <c r="Q3335" t="n">
        <v>100.767</v>
      </c>
      <c r="R3335" t="n">
        <v>101.133</v>
      </c>
      <c r="S3335" t="n">
        <v>0.366</v>
      </c>
      <c r="T3335" t="inlineStr">
        <is>
          <t>C:/Users/manuel.felline/Documents/BEHAVIOR BTBR/NOR second cohort/BTBR/test/c16_f3.mp4</t>
        </is>
      </c>
      <c r="U3335" t="n">
        <v>3460</v>
      </c>
      <c r="V3335" t="n">
        <v>3471</v>
      </c>
      <c r="W3335" t="n">
        <v/>
      </c>
      <c r="X3335" t="n">
        <v/>
      </c>
      <c r="Y3335" t="n">
        <v/>
      </c>
      <c r="Z3335" t="n">
        <v/>
      </c>
      <c r="AA3335">
        <f>SUMIFS($S$2:S3335,$A$2:A3335,A3335,$N$2:N3335,"Explore*")</f>
        <v/>
      </c>
      <c r="AB3335">
        <f>IF(AND(LEFT(N3335,7)="Explore",(AA3335-IF(LEFT(N3335,7)="Explore",S3335,0))&lt;10),"SI","NO")</f>
        <v/>
      </c>
    </row>
    <row r="3336">
      <c r="A3336" t="inlineStr">
        <is>
          <t>c16f3_test</t>
        </is>
      </c>
      <c r="B3336" t="inlineStr">
        <is>
          <t>2026-06-30 10:57:56.193</t>
        </is>
      </c>
      <c r="C3336" t="n">
        <v/>
      </c>
      <c r="D3336" t="inlineStr">
        <is>
          <t>Media file</t>
        </is>
      </c>
      <c r="E3336" t="inlineStr">
        <is>
          <t>player #1:C:/Users/manuel.felline/Documents/BEHAVIOR BTBR/NOR second cohort/BTBR/test/c16_f3.mp4</t>
        </is>
      </c>
      <c r="F3336" t="n">
        <v>-14.6</v>
      </c>
      <c r="G3336" t="n">
        <v>561.999</v>
      </c>
      <c r="H3336" t="n">
        <v>637.533</v>
      </c>
      <c r="I3336" t="n">
        <v>30</v>
      </c>
      <c r="J3336" t="inlineStr">
        <is>
          <t>BTBR</t>
        </is>
      </c>
      <c r="K3336" t="inlineStr">
        <is>
          <t xml:space="preserve"> Female</t>
        </is>
      </c>
      <c r="L3336" t="inlineStr">
        <is>
          <t>No focal subject</t>
        </is>
      </c>
      <c r="M3336" t="n">
        <v>30.902</v>
      </c>
      <c r="N3336" t="inlineStr">
        <is>
          <t>Explore_N</t>
        </is>
      </c>
      <c r="O3336" t="inlineStr">
        <is>
          <t>Novelty</t>
        </is>
      </c>
      <c r="P3336" t="inlineStr">
        <is>
          <t>STATE</t>
        </is>
      </c>
      <c r="Q3336" t="n">
        <v>106.5</v>
      </c>
      <c r="R3336" t="n">
        <v>108.733</v>
      </c>
      <c r="S3336" t="n">
        <v>2.233</v>
      </c>
      <c r="T3336" t="inlineStr">
        <is>
          <t>C:/Users/manuel.felline/Documents/BEHAVIOR BTBR/NOR second cohort/BTBR/test/c16_f3.mp4</t>
        </is>
      </c>
      <c r="U3336" t="n">
        <v>3632</v>
      </c>
      <c r="V3336" t="n">
        <v>3699</v>
      </c>
      <c r="W3336" t="n">
        <v/>
      </c>
      <c r="X3336" t="n">
        <v/>
      </c>
      <c r="Y3336" t="n">
        <v/>
      </c>
      <c r="Z3336" t="n">
        <v/>
      </c>
      <c r="AA3336">
        <f>SUMIFS($S$2:S3336,$A$2:A3336,A3336,$N$2:N3336,"Explore*")</f>
        <v/>
      </c>
      <c r="AB3336">
        <f>IF(AND(LEFT(N3336,7)="Explore",(AA3336-IF(LEFT(N3336,7)="Explore",S3336,0))&lt;10),"SI","NO")</f>
        <v/>
      </c>
    </row>
    <row r="3337">
      <c r="A3337" t="inlineStr">
        <is>
          <t>c16f3_test</t>
        </is>
      </c>
      <c r="B3337" t="inlineStr">
        <is>
          <t>2026-06-30 10:57:56.193</t>
        </is>
      </c>
      <c r="C3337" t="n">
        <v/>
      </c>
      <c r="D3337" t="inlineStr">
        <is>
          <t>Media file</t>
        </is>
      </c>
      <c r="E3337" t="inlineStr">
        <is>
          <t>player #1:C:/Users/manuel.felline/Documents/BEHAVIOR BTBR/NOR second cohort/BTBR/test/c16_f3.mp4</t>
        </is>
      </c>
      <c r="F3337" t="n">
        <v>-14.6</v>
      </c>
      <c r="G3337" t="n">
        <v>561.999</v>
      </c>
      <c r="H3337" t="n">
        <v>637.533</v>
      </c>
      <c r="I3337" t="n">
        <v>30</v>
      </c>
      <c r="J3337" t="inlineStr">
        <is>
          <t>BTBR</t>
        </is>
      </c>
      <c r="K3337" t="inlineStr">
        <is>
          <t xml:space="preserve"> Female</t>
        </is>
      </c>
      <c r="L3337" t="inlineStr">
        <is>
          <t>No focal subject</t>
        </is>
      </c>
      <c r="M3337" t="n">
        <v>30.902</v>
      </c>
      <c r="N3337" t="inlineStr">
        <is>
          <t>Explore_F</t>
        </is>
      </c>
      <c r="O3337" t="inlineStr">
        <is>
          <t>Familiar</t>
        </is>
      </c>
      <c r="P3337" t="inlineStr">
        <is>
          <t>STATE</t>
        </is>
      </c>
      <c r="Q3337" t="n">
        <v>113.233</v>
      </c>
      <c r="R3337" t="n">
        <v>114.3</v>
      </c>
      <c r="S3337" t="n">
        <v>1.067</v>
      </c>
      <c r="T3337" t="inlineStr">
        <is>
          <t>C:/Users/manuel.felline/Documents/BEHAVIOR BTBR/NOR second cohort/BTBR/test/c16_f3.mp4</t>
        </is>
      </c>
      <c r="U3337" t="n">
        <v>3834</v>
      </c>
      <c r="V3337" t="n">
        <v>3866</v>
      </c>
      <c r="W3337" t="n">
        <v/>
      </c>
      <c r="X3337" t="n">
        <v/>
      </c>
      <c r="Y3337" t="n">
        <v/>
      </c>
      <c r="Z3337" t="n">
        <v/>
      </c>
      <c r="AA3337">
        <f>SUMIFS($S$2:S3337,$A$2:A3337,A3337,$N$2:N3337,"Explore*")</f>
        <v/>
      </c>
      <c r="AB3337">
        <f>IF(AND(LEFT(N3337,7)="Explore",(AA3337-IF(LEFT(N3337,7)="Explore",S3337,0))&lt;10),"SI","NO")</f>
        <v/>
      </c>
    </row>
    <row r="3338">
      <c r="A3338" t="inlineStr">
        <is>
          <t>c16f3_test</t>
        </is>
      </c>
      <c r="B3338" t="inlineStr">
        <is>
          <t>2026-06-30 10:57:56.193</t>
        </is>
      </c>
      <c r="C3338" t="n">
        <v/>
      </c>
      <c r="D3338" t="inlineStr">
        <is>
          <t>Media file</t>
        </is>
      </c>
      <c r="E3338" t="inlineStr">
        <is>
          <t>player #1:C:/Users/manuel.felline/Documents/BEHAVIOR BTBR/NOR second cohort/BTBR/test/c16_f3.mp4</t>
        </is>
      </c>
      <c r="F3338" t="n">
        <v>-14.6</v>
      </c>
      <c r="G3338" t="n">
        <v>561.999</v>
      </c>
      <c r="H3338" t="n">
        <v>637.533</v>
      </c>
      <c r="I3338" t="n">
        <v>30</v>
      </c>
      <c r="J3338" t="inlineStr">
        <is>
          <t>BTBR</t>
        </is>
      </c>
      <c r="K3338" t="inlineStr">
        <is>
          <t xml:space="preserve"> Female</t>
        </is>
      </c>
      <c r="L3338" t="inlineStr">
        <is>
          <t>No focal subject</t>
        </is>
      </c>
      <c r="M3338" t="n">
        <v>30.902</v>
      </c>
      <c r="N3338" t="inlineStr">
        <is>
          <t>Explore_N</t>
        </is>
      </c>
      <c r="O3338" t="inlineStr">
        <is>
          <t>Novelty</t>
        </is>
      </c>
      <c r="P3338" t="inlineStr">
        <is>
          <t>STATE</t>
        </is>
      </c>
      <c r="Q3338" t="n">
        <v>118.3</v>
      </c>
      <c r="R3338" t="n">
        <v>118.933</v>
      </c>
      <c r="S3338" t="n">
        <v>0.633</v>
      </c>
      <c r="T3338" t="inlineStr">
        <is>
          <t>C:/Users/manuel.felline/Documents/BEHAVIOR BTBR/NOR second cohort/BTBR/test/c16_f3.mp4</t>
        </is>
      </c>
      <c r="U3338" t="n">
        <v>3986</v>
      </c>
      <c r="V3338" t="n">
        <v>4005</v>
      </c>
      <c r="W3338" t="n">
        <v/>
      </c>
      <c r="X3338" t="n">
        <v/>
      </c>
      <c r="Y3338" t="n">
        <v/>
      </c>
      <c r="Z3338" t="n">
        <v/>
      </c>
      <c r="AA3338">
        <f>SUMIFS($S$2:S3338,$A$2:A3338,A3338,$N$2:N3338,"Explore*")</f>
        <v/>
      </c>
      <c r="AB3338">
        <f>IF(AND(LEFT(N3338,7)="Explore",(AA3338-IF(LEFT(N3338,7)="Explore",S3338,0))&lt;10),"SI","NO")</f>
        <v/>
      </c>
    </row>
    <row r="3339">
      <c r="A3339" t="inlineStr">
        <is>
          <t>c16f3_test</t>
        </is>
      </c>
      <c r="B3339" t="inlineStr">
        <is>
          <t>2026-06-30 10:57:56.193</t>
        </is>
      </c>
      <c r="C3339" t="n">
        <v/>
      </c>
      <c r="D3339" t="inlineStr">
        <is>
          <t>Media file</t>
        </is>
      </c>
      <c r="E3339" t="inlineStr">
        <is>
          <t>player #1:C:/Users/manuel.felline/Documents/BEHAVIOR BTBR/NOR second cohort/BTBR/test/c16_f3.mp4</t>
        </is>
      </c>
      <c r="F3339" t="n">
        <v>-14.6</v>
      </c>
      <c r="G3339" t="n">
        <v>561.999</v>
      </c>
      <c r="H3339" t="n">
        <v>637.533</v>
      </c>
      <c r="I3339" t="n">
        <v>30</v>
      </c>
      <c r="J3339" t="inlineStr">
        <is>
          <t>BTBR</t>
        </is>
      </c>
      <c r="K3339" t="inlineStr">
        <is>
          <t xml:space="preserve"> Female</t>
        </is>
      </c>
      <c r="L3339" t="inlineStr">
        <is>
          <t>No focal subject</t>
        </is>
      </c>
      <c r="M3339" t="n">
        <v>30.902</v>
      </c>
      <c r="N3339" t="inlineStr">
        <is>
          <t>Explore_F</t>
        </is>
      </c>
      <c r="O3339" t="inlineStr">
        <is>
          <t>Familiar</t>
        </is>
      </c>
      <c r="P3339" t="inlineStr">
        <is>
          <t>STATE</t>
        </is>
      </c>
      <c r="Q3339" t="n">
        <v>121.9</v>
      </c>
      <c r="R3339" t="n">
        <v>122.2</v>
      </c>
      <c r="S3339" t="n">
        <v>0.3</v>
      </c>
      <c r="T3339" t="inlineStr">
        <is>
          <t>C:/Users/manuel.felline/Documents/BEHAVIOR BTBR/NOR second cohort/BTBR/test/c16_f3.mp4</t>
        </is>
      </c>
      <c r="U3339" t="n">
        <v>4094</v>
      </c>
      <c r="V3339" t="n">
        <v>4103</v>
      </c>
      <c r="W3339" t="n">
        <v/>
      </c>
      <c r="X3339" t="n">
        <v/>
      </c>
      <c r="Y3339" t="n">
        <v/>
      </c>
      <c r="Z3339" t="n">
        <v/>
      </c>
      <c r="AA3339">
        <f>SUMIFS($S$2:S3339,$A$2:A3339,A3339,$N$2:N3339,"Explore*")</f>
        <v/>
      </c>
      <c r="AB3339">
        <f>IF(AND(LEFT(N3339,7)="Explore",(AA3339-IF(LEFT(N3339,7)="Explore",S3339,0))&lt;10),"SI","NO")</f>
        <v/>
      </c>
    </row>
    <row r="3340">
      <c r="A3340" t="inlineStr">
        <is>
          <t>c16f3_test</t>
        </is>
      </c>
      <c r="B3340" t="inlineStr">
        <is>
          <t>2026-06-30 10:57:56.193</t>
        </is>
      </c>
      <c r="C3340" t="n">
        <v/>
      </c>
      <c r="D3340" t="inlineStr">
        <is>
          <t>Media file</t>
        </is>
      </c>
      <c r="E3340" t="inlineStr">
        <is>
          <t>player #1:C:/Users/manuel.felline/Documents/BEHAVIOR BTBR/NOR second cohort/BTBR/test/c16_f3.mp4</t>
        </is>
      </c>
      <c r="F3340" t="n">
        <v>-14.6</v>
      </c>
      <c r="G3340" t="n">
        <v>561.999</v>
      </c>
      <c r="H3340" t="n">
        <v>637.533</v>
      </c>
      <c r="I3340" t="n">
        <v>30</v>
      </c>
      <c r="J3340" t="inlineStr">
        <is>
          <t>BTBR</t>
        </is>
      </c>
      <c r="K3340" t="inlineStr">
        <is>
          <t xml:space="preserve"> Female</t>
        </is>
      </c>
      <c r="L3340" t="inlineStr">
        <is>
          <t>No focal subject</t>
        </is>
      </c>
      <c r="M3340" t="n">
        <v>30.902</v>
      </c>
      <c r="N3340" t="inlineStr">
        <is>
          <t>Explore_N</t>
        </is>
      </c>
      <c r="O3340" t="inlineStr">
        <is>
          <t>Novelty</t>
        </is>
      </c>
      <c r="P3340" t="inlineStr">
        <is>
          <t>STATE</t>
        </is>
      </c>
      <c r="Q3340" t="n">
        <v>144.133</v>
      </c>
      <c r="R3340" t="n">
        <v>144.467</v>
      </c>
      <c r="S3340" t="n">
        <v>0.334</v>
      </c>
      <c r="T3340" t="inlineStr">
        <is>
          <t>C:/Users/manuel.felline/Documents/BEHAVIOR BTBR/NOR second cohort/BTBR/test/c16_f3.mp4</t>
        </is>
      </c>
      <c r="U3340" t="n">
        <v>4761</v>
      </c>
      <c r="V3340" t="n">
        <v>4771</v>
      </c>
      <c r="W3340" t="n">
        <v/>
      </c>
      <c r="X3340" t="n">
        <v/>
      </c>
      <c r="Y3340" t="n">
        <v/>
      </c>
      <c r="Z3340" t="n">
        <v/>
      </c>
      <c r="AA3340">
        <f>SUMIFS($S$2:S3340,$A$2:A3340,A3340,$N$2:N3340,"Explore*")</f>
        <v/>
      </c>
      <c r="AB3340">
        <f>IF(AND(LEFT(N3340,7)="Explore",(AA3340-IF(LEFT(N3340,7)="Explore",S3340,0))&lt;10),"SI","NO")</f>
        <v/>
      </c>
    </row>
    <row r="3341">
      <c r="A3341" t="inlineStr">
        <is>
          <t>c16f3_test</t>
        </is>
      </c>
      <c r="B3341" t="inlineStr">
        <is>
          <t>2026-06-30 10:57:56.193</t>
        </is>
      </c>
      <c r="C3341" t="n">
        <v/>
      </c>
      <c r="D3341" t="inlineStr">
        <is>
          <t>Media file</t>
        </is>
      </c>
      <c r="E3341" t="inlineStr">
        <is>
          <t>player #1:C:/Users/manuel.felline/Documents/BEHAVIOR BTBR/NOR second cohort/BTBR/test/c16_f3.mp4</t>
        </is>
      </c>
      <c r="F3341" t="n">
        <v>-14.6</v>
      </c>
      <c r="G3341" t="n">
        <v>561.999</v>
      </c>
      <c r="H3341" t="n">
        <v>637.533</v>
      </c>
      <c r="I3341" t="n">
        <v>30</v>
      </c>
      <c r="J3341" t="inlineStr">
        <is>
          <t>BTBR</t>
        </is>
      </c>
      <c r="K3341" t="inlineStr">
        <is>
          <t xml:space="preserve"> Female</t>
        </is>
      </c>
      <c r="L3341" t="inlineStr">
        <is>
          <t>No focal subject</t>
        </is>
      </c>
      <c r="M3341" t="n">
        <v>30.902</v>
      </c>
      <c r="N3341" t="inlineStr">
        <is>
          <t>Explore_F</t>
        </is>
      </c>
      <c r="O3341" t="inlineStr">
        <is>
          <t>Familiar</t>
        </is>
      </c>
      <c r="P3341" t="inlineStr">
        <is>
          <t>STATE</t>
        </is>
      </c>
      <c r="Q3341" t="n">
        <v>148.866</v>
      </c>
      <c r="R3341" t="n">
        <v>149.8</v>
      </c>
      <c r="S3341" t="n">
        <v>0.9340000000000001</v>
      </c>
      <c r="T3341" t="inlineStr">
        <is>
          <t>C:/Users/manuel.felline/Documents/BEHAVIOR BTBR/NOR second cohort/BTBR/test/c16_f3.mp4</t>
        </is>
      </c>
      <c r="U3341" t="n">
        <v>4903</v>
      </c>
      <c r="V3341" t="n">
        <v>4931</v>
      </c>
      <c r="W3341" t="n">
        <v/>
      </c>
      <c r="X3341" t="n">
        <v/>
      </c>
      <c r="Y3341" t="n">
        <v/>
      </c>
      <c r="Z3341" t="n">
        <v/>
      </c>
      <c r="AA3341">
        <f>SUMIFS($S$2:S3341,$A$2:A3341,A3341,$N$2:N3341,"Explore*")</f>
        <v/>
      </c>
      <c r="AB3341">
        <f>IF(AND(LEFT(N3341,7)="Explore",(AA3341-IF(LEFT(N3341,7)="Explore",S3341,0))&lt;10),"SI","NO")</f>
        <v/>
      </c>
    </row>
    <row r="3342">
      <c r="A3342" t="inlineStr">
        <is>
          <t>c16f3_test</t>
        </is>
      </c>
      <c r="B3342" t="inlineStr">
        <is>
          <t>2026-06-30 10:57:56.193</t>
        </is>
      </c>
      <c r="C3342" t="n">
        <v/>
      </c>
      <c r="D3342" t="inlineStr">
        <is>
          <t>Media file</t>
        </is>
      </c>
      <c r="E3342" t="inlineStr">
        <is>
          <t>player #1:C:/Users/manuel.felline/Documents/BEHAVIOR BTBR/NOR second cohort/BTBR/test/c16_f3.mp4</t>
        </is>
      </c>
      <c r="F3342" t="n">
        <v>-14.6</v>
      </c>
      <c r="G3342" t="n">
        <v>561.999</v>
      </c>
      <c r="H3342" t="n">
        <v>637.533</v>
      </c>
      <c r="I3342" t="n">
        <v>30</v>
      </c>
      <c r="J3342" t="inlineStr">
        <is>
          <t>BTBR</t>
        </is>
      </c>
      <c r="K3342" t="inlineStr">
        <is>
          <t xml:space="preserve"> Female</t>
        </is>
      </c>
      <c r="L3342" t="inlineStr">
        <is>
          <t>No focal subject</t>
        </is>
      </c>
      <c r="M3342" t="n">
        <v>30.902</v>
      </c>
      <c r="N3342" t="inlineStr">
        <is>
          <t>Explore_F</t>
        </is>
      </c>
      <c r="O3342" t="inlineStr">
        <is>
          <t>Familiar</t>
        </is>
      </c>
      <c r="P3342" t="inlineStr">
        <is>
          <t>STATE</t>
        </is>
      </c>
      <c r="Q3342" t="n">
        <v>150.266</v>
      </c>
      <c r="R3342" t="n">
        <v>150.666</v>
      </c>
      <c r="S3342" t="n">
        <v>0.4</v>
      </c>
      <c r="T3342" t="inlineStr">
        <is>
          <t>C:/Users/manuel.felline/Documents/BEHAVIOR BTBR/NOR second cohort/BTBR/test/c16_f3.mp4</t>
        </is>
      </c>
      <c r="U3342" t="n">
        <v>4945</v>
      </c>
      <c r="V3342" t="n">
        <v>4957</v>
      </c>
      <c r="W3342" t="n">
        <v/>
      </c>
      <c r="X3342" t="n">
        <v/>
      </c>
      <c r="Y3342" t="n">
        <v/>
      </c>
      <c r="Z3342" t="n">
        <v/>
      </c>
      <c r="AA3342">
        <f>SUMIFS($S$2:S3342,$A$2:A3342,A3342,$N$2:N3342,"Explore*")</f>
        <v/>
      </c>
      <c r="AB3342">
        <f>IF(AND(LEFT(N3342,7)="Explore",(AA3342-IF(LEFT(N3342,7)="Explore",S3342,0))&lt;10),"SI","NO")</f>
        <v/>
      </c>
    </row>
    <row r="3343">
      <c r="A3343" t="inlineStr">
        <is>
          <t>c16f3_test</t>
        </is>
      </c>
      <c r="B3343" t="inlineStr">
        <is>
          <t>2026-06-30 10:57:56.193</t>
        </is>
      </c>
      <c r="C3343" t="n">
        <v/>
      </c>
      <c r="D3343" t="inlineStr">
        <is>
          <t>Media file</t>
        </is>
      </c>
      <c r="E3343" t="inlineStr">
        <is>
          <t>player #1:C:/Users/manuel.felline/Documents/BEHAVIOR BTBR/NOR second cohort/BTBR/test/c16_f3.mp4</t>
        </is>
      </c>
      <c r="F3343" t="n">
        <v>-14.6</v>
      </c>
      <c r="G3343" t="n">
        <v>561.999</v>
      </c>
      <c r="H3343" t="n">
        <v>637.533</v>
      </c>
      <c r="I3343" t="n">
        <v>30</v>
      </c>
      <c r="J3343" t="inlineStr">
        <is>
          <t>BTBR</t>
        </is>
      </c>
      <c r="K3343" t="inlineStr">
        <is>
          <t xml:space="preserve"> Female</t>
        </is>
      </c>
      <c r="L3343" t="inlineStr">
        <is>
          <t>No focal subject</t>
        </is>
      </c>
      <c r="M3343" t="n">
        <v>30.902</v>
      </c>
      <c r="N3343" t="inlineStr">
        <is>
          <t>Explore_N</t>
        </is>
      </c>
      <c r="O3343" t="inlineStr">
        <is>
          <t>Novelty</t>
        </is>
      </c>
      <c r="P3343" t="inlineStr">
        <is>
          <t>STATE</t>
        </is>
      </c>
      <c r="Q3343" t="n">
        <v>160.633</v>
      </c>
      <c r="R3343" t="n">
        <v>160.966</v>
      </c>
      <c r="S3343" t="n">
        <v>0.333</v>
      </c>
      <c r="T3343" t="inlineStr">
        <is>
          <t>C:/Users/manuel.felline/Documents/BEHAVIOR BTBR/NOR second cohort/BTBR/test/c16_f3.mp4</t>
        </is>
      </c>
      <c r="U3343" t="n">
        <v>5256</v>
      </c>
      <c r="V3343" t="n">
        <v>5266</v>
      </c>
      <c r="W3343" t="n">
        <v/>
      </c>
      <c r="X3343" t="n">
        <v/>
      </c>
      <c r="Y3343" t="n">
        <v/>
      </c>
      <c r="Z3343" t="n">
        <v/>
      </c>
      <c r="AA3343">
        <f>SUMIFS($S$2:S3343,$A$2:A3343,A3343,$N$2:N3343,"Explore*")</f>
        <v/>
      </c>
      <c r="AB3343">
        <f>IF(AND(LEFT(N3343,7)="Explore",(AA3343-IF(LEFT(N3343,7)="Explore",S3343,0))&lt;10),"SI","NO")</f>
        <v/>
      </c>
    </row>
    <row r="3344">
      <c r="A3344" t="inlineStr">
        <is>
          <t>c16f3_test</t>
        </is>
      </c>
      <c r="B3344" t="inlineStr">
        <is>
          <t>2026-06-30 10:57:56.193</t>
        </is>
      </c>
      <c r="C3344" t="n">
        <v/>
      </c>
      <c r="D3344" t="inlineStr">
        <is>
          <t>Media file</t>
        </is>
      </c>
      <c r="E3344" t="inlineStr">
        <is>
          <t>player #1:C:/Users/manuel.felline/Documents/BEHAVIOR BTBR/NOR second cohort/BTBR/test/c16_f3.mp4</t>
        </is>
      </c>
      <c r="F3344" t="n">
        <v>-14.6</v>
      </c>
      <c r="G3344" t="n">
        <v>561.999</v>
      </c>
      <c r="H3344" t="n">
        <v>637.533</v>
      </c>
      <c r="I3344" t="n">
        <v>30</v>
      </c>
      <c r="J3344" t="inlineStr">
        <is>
          <t>BTBR</t>
        </is>
      </c>
      <c r="K3344" t="inlineStr">
        <is>
          <t xml:space="preserve"> Female</t>
        </is>
      </c>
      <c r="L3344" t="inlineStr">
        <is>
          <t>No focal subject</t>
        </is>
      </c>
      <c r="M3344" t="n">
        <v>30.902</v>
      </c>
      <c r="N3344" t="inlineStr">
        <is>
          <t>Explore_F</t>
        </is>
      </c>
      <c r="O3344" t="inlineStr">
        <is>
          <t>Familiar</t>
        </is>
      </c>
      <c r="P3344" t="inlineStr">
        <is>
          <t>STATE</t>
        </is>
      </c>
      <c r="Q3344" t="n">
        <v>170.866</v>
      </c>
      <c r="R3344" t="n">
        <v>171.2</v>
      </c>
      <c r="S3344" t="n">
        <v>0.334</v>
      </c>
      <c r="T3344" t="inlineStr">
        <is>
          <t>C:/Users/manuel.felline/Documents/BEHAVIOR BTBR/NOR second cohort/BTBR/test/c16_f3.mp4</t>
        </is>
      </c>
      <c r="U3344" t="n">
        <v>5564</v>
      </c>
      <c r="V3344" t="n">
        <v>5573</v>
      </c>
      <c r="W3344" t="n">
        <v/>
      </c>
      <c r="X3344" t="n">
        <v/>
      </c>
      <c r="Y3344" t="n">
        <v/>
      </c>
      <c r="Z3344" t="n">
        <v/>
      </c>
      <c r="AA3344">
        <f>SUMIFS($S$2:S3344,$A$2:A3344,A3344,$N$2:N3344,"Explore*")</f>
        <v/>
      </c>
      <c r="AB3344">
        <f>IF(AND(LEFT(N3344,7)="Explore",(AA3344-IF(LEFT(N3344,7)="Explore",S3344,0))&lt;10),"SI","NO")</f>
        <v/>
      </c>
    </row>
    <row r="3345">
      <c r="A3345" t="inlineStr">
        <is>
          <t>c16f3_test</t>
        </is>
      </c>
      <c r="B3345" t="inlineStr">
        <is>
          <t>2026-06-30 10:57:56.193</t>
        </is>
      </c>
      <c r="C3345" t="n">
        <v/>
      </c>
      <c r="D3345" t="inlineStr">
        <is>
          <t>Media file</t>
        </is>
      </c>
      <c r="E3345" t="inlineStr">
        <is>
          <t>player #1:C:/Users/manuel.felline/Documents/BEHAVIOR BTBR/NOR second cohort/BTBR/test/c16_f3.mp4</t>
        </is>
      </c>
      <c r="F3345" t="n">
        <v>-14.6</v>
      </c>
      <c r="G3345" t="n">
        <v>561.999</v>
      </c>
      <c r="H3345" t="n">
        <v>637.533</v>
      </c>
      <c r="I3345" t="n">
        <v>30</v>
      </c>
      <c r="J3345" t="inlineStr">
        <is>
          <t>BTBR</t>
        </is>
      </c>
      <c r="K3345" t="inlineStr">
        <is>
          <t xml:space="preserve"> Female</t>
        </is>
      </c>
      <c r="L3345" t="inlineStr">
        <is>
          <t>No focal subject</t>
        </is>
      </c>
      <c r="M3345" t="n">
        <v>30.902</v>
      </c>
      <c r="N3345" t="inlineStr">
        <is>
          <t>Explore_N</t>
        </is>
      </c>
      <c r="O3345" t="inlineStr">
        <is>
          <t>Novelty</t>
        </is>
      </c>
      <c r="P3345" t="inlineStr">
        <is>
          <t>STATE</t>
        </is>
      </c>
      <c r="Q3345" t="n">
        <v>174.866</v>
      </c>
      <c r="R3345" t="n">
        <v>175.166</v>
      </c>
      <c r="S3345" t="n">
        <v>0.3</v>
      </c>
      <c r="T3345" t="inlineStr">
        <is>
          <t>C:/Users/manuel.felline/Documents/BEHAVIOR BTBR/NOR second cohort/BTBR/test/c16_f3.mp4</t>
        </is>
      </c>
      <c r="U3345" t="n">
        <v>5683</v>
      </c>
      <c r="V3345" t="n">
        <v>5692</v>
      </c>
      <c r="W3345" t="n">
        <v/>
      </c>
      <c r="X3345" t="n">
        <v/>
      </c>
      <c r="Y3345" t="n">
        <v/>
      </c>
      <c r="Z3345" t="n">
        <v/>
      </c>
      <c r="AA3345">
        <f>SUMIFS($S$2:S3345,$A$2:A3345,A3345,$N$2:N3345,"Explore*")</f>
        <v/>
      </c>
      <c r="AB3345">
        <f>IF(AND(LEFT(N3345,7)="Explore",(AA3345-IF(LEFT(N3345,7)="Explore",S3345,0))&lt;10),"SI","NO")</f>
        <v/>
      </c>
    </row>
    <row r="3346">
      <c r="A3346" t="inlineStr">
        <is>
          <t>c16f3_test</t>
        </is>
      </c>
      <c r="B3346" t="inlineStr">
        <is>
          <t>2026-06-30 10:57:56.193</t>
        </is>
      </c>
      <c r="C3346" t="n">
        <v/>
      </c>
      <c r="D3346" t="inlineStr">
        <is>
          <t>Media file</t>
        </is>
      </c>
      <c r="E3346" t="inlineStr">
        <is>
          <t>player #1:C:/Users/manuel.felline/Documents/BEHAVIOR BTBR/NOR second cohort/BTBR/test/c16_f3.mp4</t>
        </is>
      </c>
      <c r="F3346" t="n">
        <v>-14.6</v>
      </c>
      <c r="G3346" t="n">
        <v>561.999</v>
      </c>
      <c r="H3346" t="n">
        <v>637.533</v>
      </c>
      <c r="I3346" t="n">
        <v>30</v>
      </c>
      <c r="J3346" t="inlineStr">
        <is>
          <t>BTBR</t>
        </is>
      </c>
      <c r="K3346" t="inlineStr">
        <is>
          <t xml:space="preserve"> Female</t>
        </is>
      </c>
      <c r="L3346" t="inlineStr">
        <is>
          <t>No focal subject</t>
        </is>
      </c>
      <c r="M3346" t="n">
        <v>30.902</v>
      </c>
      <c r="N3346" t="inlineStr">
        <is>
          <t>Explore_N</t>
        </is>
      </c>
      <c r="O3346" t="inlineStr">
        <is>
          <t>Novelty</t>
        </is>
      </c>
      <c r="P3346" t="inlineStr">
        <is>
          <t>STATE</t>
        </is>
      </c>
      <c r="Q3346" t="n">
        <v>195.766</v>
      </c>
      <c r="R3346" t="n">
        <v>196.666</v>
      </c>
      <c r="S3346" t="n">
        <v>0.9</v>
      </c>
      <c r="T3346" t="inlineStr">
        <is>
          <t>C:/Users/manuel.felline/Documents/BEHAVIOR BTBR/NOR second cohort/BTBR/test/c16_f3.mp4</t>
        </is>
      </c>
      <c r="U3346" t="n">
        <v>6310</v>
      </c>
      <c r="V3346" t="n">
        <v>6337</v>
      </c>
      <c r="W3346" t="n">
        <v/>
      </c>
      <c r="X3346" t="n">
        <v/>
      </c>
      <c r="Y3346" t="n">
        <v/>
      </c>
      <c r="Z3346" t="n">
        <v/>
      </c>
      <c r="AA3346">
        <f>SUMIFS($S$2:S3346,$A$2:A3346,A3346,$N$2:N3346,"Explore*")</f>
        <v/>
      </c>
      <c r="AB3346">
        <f>IF(AND(LEFT(N3346,7)="Explore",(AA3346-IF(LEFT(N3346,7)="Explore",S3346,0))&lt;10),"SI","NO")</f>
        <v/>
      </c>
    </row>
    <row r="3347">
      <c r="A3347" t="inlineStr">
        <is>
          <t>c16f3_test</t>
        </is>
      </c>
      <c r="B3347" t="inlineStr">
        <is>
          <t>2026-06-30 10:57:56.193</t>
        </is>
      </c>
      <c r="C3347" t="n">
        <v/>
      </c>
      <c r="D3347" t="inlineStr">
        <is>
          <t>Media file</t>
        </is>
      </c>
      <c r="E3347" t="inlineStr">
        <is>
          <t>player #1:C:/Users/manuel.felline/Documents/BEHAVIOR BTBR/NOR second cohort/BTBR/test/c16_f3.mp4</t>
        </is>
      </c>
      <c r="F3347" t="n">
        <v>-14.6</v>
      </c>
      <c r="G3347" t="n">
        <v>561.999</v>
      </c>
      <c r="H3347" t="n">
        <v>637.533</v>
      </c>
      <c r="I3347" t="n">
        <v>30</v>
      </c>
      <c r="J3347" t="inlineStr">
        <is>
          <t>BTBR</t>
        </is>
      </c>
      <c r="K3347" t="inlineStr">
        <is>
          <t xml:space="preserve"> Female</t>
        </is>
      </c>
      <c r="L3347" t="inlineStr">
        <is>
          <t>No focal subject</t>
        </is>
      </c>
      <c r="M3347" t="n">
        <v>30.902</v>
      </c>
      <c r="N3347" t="inlineStr">
        <is>
          <t>Explore_F</t>
        </is>
      </c>
      <c r="O3347" t="inlineStr">
        <is>
          <t>Familiar</t>
        </is>
      </c>
      <c r="P3347" t="inlineStr">
        <is>
          <t>STATE</t>
        </is>
      </c>
      <c r="Q3347" t="n">
        <v>215.066</v>
      </c>
      <c r="R3347" t="n">
        <v>215.6</v>
      </c>
      <c r="S3347" t="n">
        <v>0.534</v>
      </c>
      <c r="T3347" t="inlineStr">
        <is>
          <t>C:/Users/manuel.felline/Documents/BEHAVIOR BTBR/NOR second cohort/BTBR/test/c16_f3.mp4</t>
        </is>
      </c>
      <c r="U3347" t="n">
        <v>6889</v>
      </c>
      <c r="V3347" t="n">
        <v>6905</v>
      </c>
      <c r="W3347" t="n">
        <v/>
      </c>
      <c r="X3347" t="n">
        <v/>
      </c>
      <c r="Y3347" t="n">
        <v/>
      </c>
      <c r="Z3347" t="n">
        <v/>
      </c>
      <c r="AA3347">
        <f>SUMIFS($S$2:S3347,$A$2:A3347,A3347,$N$2:N3347,"Explore*")</f>
        <v/>
      </c>
      <c r="AB3347">
        <f>IF(AND(LEFT(N3347,7)="Explore",(AA3347-IF(LEFT(N3347,7)="Explore",S3347,0))&lt;10),"SI","NO")</f>
        <v/>
      </c>
    </row>
    <row r="3348">
      <c r="A3348" t="inlineStr">
        <is>
          <t>c16f3_test</t>
        </is>
      </c>
      <c r="B3348" t="inlineStr">
        <is>
          <t>2026-06-30 10:57:56.193</t>
        </is>
      </c>
      <c r="C3348" t="n">
        <v/>
      </c>
      <c r="D3348" t="inlineStr">
        <is>
          <t>Media file</t>
        </is>
      </c>
      <c r="E3348" t="inlineStr">
        <is>
          <t>player #1:C:/Users/manuel.felline/Documents/BEHAVIOR BTBR/NOR second cohort/BTBR/test/c16_f3.mp4</t>
        </is>
      </c>
      <c r="F3348" t="n">
        <v>-14.6</v>
      </c>
      <c r="G3348" t="n">
        <v>561.999</v>
      </c>
      <c r="H3348" t="n">
        <v>637.533</v>
      </c>
      <c r="I3348" t="n">
        <v>30</v>
      </c>
      <c r="J3348" t="inlineStr">
        <is>
          <t>BTBR</t>
        </is>
      </c>
      <c r="K3348" t="inlineStr">
        <is>
          <t xml:space="preserve"> Female</t>
        </is>
      </c>
      <c r="L3348" t="inlineStr">
        <is>
          <t>No focal subject</t>
        </is>
      </c>
      <c r="M3348" t="n">
        <v>30.902</v>
      </c>
      <c r="N3348" t="inlineStr">
        <is>
          <t>Explore_F</t>
        </is>
      </c>
      <c r="O3348" t="inlineStr">
        <is>
          <t>Familiar</t>
        </is>
      </c>
      <c r="P3348" t="inlineStr">
        <is>
          <t>STATE</t>
        </is>
      </c>
      <c r="Q3348" t="n">
        <v>227.933</v>
      </c>
      <c r="R3348" t="n">
        <v>228.333</v>
      </c>
      <c r="S3348" t="n">
        <v>0.4</v>
      </c>
      <c r="T3348" t="inlineStr">
        <is>
          <t>C:/Users/manuel.felline/Documents/BEHAVIOR BTBR/NOR second cohort/BTBR/test/c16_f3.mp4</t>
        </is>
      </c>
      <c r="U3348" t="n">
        <v>7275</v>
      </c>
      <c r="V3348" t="n">
        <v>7287</v>
      </c>
      <c r="W3348" t="n">
        <v/>
      </c>
      <c r="X3348" t="n">
        <v/>
      </c>
      <c r="Y3348" t="n">
        <v/>
      </c>
      <c r="Z3348" t="n">
        <v/>
      </c>
      <c r="AA3348">
        <f>SUMIFS($S$2:S3348,$A$2:A3348,A3348,$N$2:N3348,"Explore*")</f>
        <v/>
      </c>
      <c r="AB3348">
        <f>IF(AND(LEFT(N3348,7)="Explore",(AA3348-IF(LEFT(N3348,7)="Explore",S3348,0))&lt;10),"SI","NO")</f>
        <v/>
      </c>
    </row>
    <row r="3349">
      <c r="A3349" t="inlineStr">
        <is>
          <t>c16f3_test</t>
        </is>
      </c>
      <c r="B3349" t="inlineStr">
        <is>
          <t>2026-06-30 10:57:56.193</t>
        </is>
      </c>
      <c r="C3349" t="n">
        <v/>
      </c>
      <c r="D3349" t="inlineStr">
        <is>
          <t>Media file</t>
        </is>
      </c>
      <c r="E3349" t="inlineStr">
        <is>
          <t>player #1:C:/Users/manuel.felline/Documents/BEHAVIOR BTBR/NOR second cohort/BTBR/test/c16_f3.mp4</t>
        </is>
      </c>
      <c r="F3349" t="n">
        <v>-14.6</v>
      </c>
      <c r="G3349" t="n">
        <v>561.999</v>
      </c>
      <c r="H3349" t="n">
        <v>637.533</v>
      </c>
      <c r="I3349" t="n">
        <v>30</v>
      </c>
      <c r="J3349" t="inlineStr">
        <is>
          <t>BTBR</t>
        </is>
      </c>
      <c r="K3349" t="inlineStr">
        <is>
          <t xml:space="preserve"> Female</t>
        </is>
      </c>
      <c r="L3349" t="inlineStr">
        <is>
          <t>No focal subject</t>
        </is>
      </c>
      <c r="M3349" t="n">
        <v>30.902</v>
      </c>
      <c r="N3349" t="inlineStr">
        <is>
          <t>Explore_N</t>
        </is>
      </c>
      <c r="O3349" t="inlineStr">
        <is>
          <t>Novelty</t>
        </is>
      </c>
      <c r="P3349" t="inlineStr">
        <is>
          <t>STATE</t>
        </is>
      </c>
      <c r="Q3349" t="n">
        <v>252.1</v>
      </c>
      <c r="R3349" t="n">
        <v>252.866</v>
      </c>
      <c r="S3349" t="n">
        <v>0.766</v>
      </c>
      <c r="T3349" t="inlineStr">
        <is>
          <t>C:/Users/manuel.felline/Documents/BEHAVIOR BTBR/NOR second cohort/BTBR/test/c16_f3.mp4</t>
        </is>
      </c>
      <c r="U3349" t="n">
        <v>8000</v>
      </c>
      <c r="V3349" t="n">
        <v>8023</v>
      </c>
      <c r="W3349" t="n">
        <v/>
      </c>
      <c r="X3349" t="n">
        <v/>
      </c>
      <c r="Y3349" t="n">
        <v/>
      </c>
      <c r="Z3349" t="n">
        <v/>
      </c>
      <c r="AA3349">
        <f>SUMIFS($S$2:S3349,$A$2:A3349,A3349,$N$2:N3349,"Explore*")</f>
        <v/>
      </c>
      <c r="AB3349">
        <f>IF(AND(LEFT(N3349,7)="Explore",(AA3349-IF(LEFT(N3349,7)="Explore",S3349,0))&lt;10),"SI","NO")</f>
        <v/>
      </c>
    </row>
    <row r="3350">
      <c r="A3350" t="inlineStr">
        <is>
          <t>c16f3_test</t>
        </is>
      </c>
      <c r="B3350" t="inlineStr">
        <is>
          <t>2026-06-30 10:57:56.193</t>
        </is>
      </c>
      <c r="C3350" t="n">
        <v/>
      </c>
      <c r="D3350" t="inlineStr">
        <is>
          <t>Media file</t>
        </is>
      </c>
      <c r="E3350" t="inlineStr">
        <is>
          <t>player #1:C:/Users/manuel.felline/Documents/BEHAVIOR BTBR/NOR second cohort/BTBR/test/c16_f3.mp4</t>
        </is>
      </c>
      <c r="F3350" t="n">
        <v>-14.6</v>
      </c>
      <c r="G3350" t="n">
        <v>561.999</v>
      </c>
      <c r="H3350" t="n">
        <v>637.533</v>
      </c>
      <c r="I3350" t="n">
        <v>30</v>
      </c>
      <c r="J3350" t="inlineStr">
        <is>
          <t>BTBR</t>
        </is>
      </c>
      <c r="K3350" t="inlineStr">
        <is>
          <t xml:space="preserve"> Female</t>
        </is>
      </c>
      <c r="L3350" t="inlineStr">
        <is>
          <t>No focal subject</t>
        </is>
      </c>
      <c r="M3350" t="n">
        <v>30.902</v>
      </c>
      <c r="N3350" t="inlineStr">
        <is>
          <t>Explore_F</t>
        </is>
      </c>
      <c r="O3350" t="inlineStr">
        <is>
          <t>Familiar</t>
        </is>
      </c>
      <c r="P3350" t="inlineStr">
        <is>
          <t>STATE</t>
        </is>
      </c>
      <c r="Q3350" t="n">
        <v>255.366</v>
      </c>
      <c r="R3350" t="n">
        <v>255.666</v>
      </c>
      <c r="S3350" t="n">
        <v>0.3</v>
      </c>
      <c r="T3350" t="inlineStr">
        <is>
          <t>C:/Users/manuel.felline/Documents/BEHAVIOR BTBR/NOR second cohort/BTBR/test/c16_f3.mp4</t>
        </is>
      </c>
      <c r="U3350" t="n">
        <v>8098</v>
      </c>
      <c r="V3350" t="n">
        <v>8107</v>
      </c>
      <c r="W3350" t="n">
        <v/>
      </c>
      <c r="X3350" t="n">
        <v/>
      </c>
      <c r="Y3350" t="n">
        <v/>
      </c>
      <c r="Z3350" t="n">
        <v/>
      </c>
      <c r="AA3350">
        <f>SUMIFS($S$2:S3350,$A$2:A3350,A3350,$N$2:N3350,"Explore*")</f>
        <v/>
      </c>
      <c r="AB3350">
        <f>IF(AND(LEFT(N3350,7)="Explore",(AA3350-IF(LEFT(N3350,7)="Explore",S3350,0))&lt;10),"SI","NO")</f>
        <v/>
      </c>
    </row>
    <row r="3351">
      <c r="A3351" t="inlineStr">
        <is>
          <t>c16f3_test</t>
        </is>
      </c>
      <c r="B3351" t="inlineStr">
        <is>
          <t>2026-06-30 10:57:56.193</t>
        </is>
      </c>
      <c r="C3351" t="n">
        <v/>
      </c>
      <c r="D3351" t="inlineStr">
        <is>
          <t>Media file</t>
        </is>
      </c>
      <c r="E3351" t="inlineStr">
        <is>
          <t>player #1:C:/Users/manuel.felline/Documents/BEHAVIOR BTBR/NOR second cohort/BTBR/test/c16_f3.mp4</t>
        </is>
      </c>
      <c r="F3351" t="n">
        <v>-14.6</v>
      </c>
      <c r="G3351" t="n">
        <v>561.999</v>
      </c>
      <c r="H3351" t="n">
        <v>637.533</v>
      </c>
      <c r="I3351" t="n">
        <v>30</v>
      </c>
      <c r="J3351" t="inlineStr">
        <is>
          <t>BTBR</t>
        </is>
      </c>
      <c r="K3351" t="inlineStr">
        <is>
          <t xml:space="preserve"> Female</t>
        </is>
      </c>
      <c r="L3351" t="inlineStr">
        <is>
          <t>No focal subject</t>
        </is>
      </c>
      <c r="M3351" t="n">
        <v>30.902</v>
      </c>
      <c r="N3351" t="inlineStr">
        <is>
          <t>Explore_N</t>
        </is>
      </c>
      <c r="O3351" t="inlineStr">
        <is>
          <t>Novelty</t>
        </is>
      </c>
      <c r="P3351" t="inlineStr">
        <is>
          <t>STATE</t>
        </is>
      </c>
      <c r="Q3351" t="n">
        <v>262.566</v>
      </c>
      <c r="R3351" t="n">
        <v>263.033</v>
      </c>
      <c r="S3351" t="n">
        <v>0.467</v>
      </c>
      <c r="T3351" t="inlineStr">
        <is>
          <t>C:/Users/manuel.felline/Documents/BEHAVIOR BTBR/NOR second cohort/BTBR/test/c16_f3.mp4</t>
        </is>
      </c>
      <c r="U3351" t="n">
        <v>8314</v>
      </c>
      <c r="V3351" t="n">
        <v>8328</v>
      </c>
      <c r="W3351" t="n">
        <v/>
      </c>
      <c r="X3351" t="n">
        <v/>
      </c>
      <c r="Y3351" t="n">
        <v/>
      </c>
      <c r="Z3351" t="n">
        <v/>
      </c>
      <c r="AA3351">
        <f>SUMIFS($S$2:S3351,$A$2:A3351,A3351,$N$2:N3351,"Explore*")</f>
        <v/>
      </c>
      <c r="AB3351">
        <f>IF(AND(LEFT(N3351,7)="Explore",(AA3351-IF(LEFT(N3351,7)="Explore",S3351,0))&lt;10),"SI","NO")</f>
        <v/>
      </c>
    </row>
    <row r="3352">
      <c r="A3352" t="inlineStr">
        <is>
          <t>c16f3_test</t>
        </is>
      </c>
      <c r="B3352" t="inlineStr">
        <is>
          <t>2026-06-30 10:57:56.193</t>
        </is>
      </c>
      <c r="C3352" t="n">
        <v/>
      </c>
      <c r="D3352" t="inlineStr">
        <is>
          <t>Media file</t>
        </is>
      </c>
      <c r="E3352" t="inlineStr">
        <is>
          <t>player #1:C:/Users/manuel.felline/Documents/BEHAVIOR BTBR/NOR second cohort/BTBR/test/c16_f3.mp4</t>
        </is>
      </c>
      <c r="F3352" t="n">
        <v>-14.6</v>
      </c>
      <c r="G3352" t="n">
        <v>561.999</v>
      </c>
      <c r="H3352" t="n">
        <v>637.533</v>
      </c>
      <c r="I3352" t="n">
        <v>30</v>
      </c>
      <c r="J3352" t="inlineStr">
        <is>
          <t>BTBR</t>
        </is>
      </c>
      <c r="K3352" t="inlineStr">
        <is>
          <t xml:space="preserve"> Female</t>
        </is>
      </c>
      <c r="L3352" t="inlineStr">
        <is>
          <t>No focal subject</t>
        </is>
      </c>
      <c r="M3352" t="n">
        <v>30.902</v>
      </c>
      <c r="N3352" t="inlineStr">
        <is>
          <t>Explore_F</t>
        </is>
      </c>
      <c r="O3352" t="inlineStr">
        <is>
          <t>Familiar</t>
        </is>
      </c>
      <c r="P3352" t="inlineStr">
        <is>
          <t>STATE</t>
        </is>
      </c>
      <c r="Q3352" t="n">
        <v>272.866</v>
      </c>
      <c r="R3352" t="n">
        <v>273.266</v>
      </c>
      <c r="S3352" t="n">
        <v>0.4</v>
      </c>
      <c r="T3352" t="inlineStr">
        <is>
          <t>C:/Users/manuel.felline/Documents/BEHAVIOR BTBR/NOR second cohort/BTBR/test/c16_f3.mp4</t>
        </is>
      </c>
      <c r="U3352" t="n">
        <v>8623</v>
      </c>
      <c r="V3352" t="n">
        <v>8635</v>
      </c>
      <c r="W3352" t="n">
        <v/>
      </c>
      <c r="X3352" t="n">
        <v/>
      </c>
      <c r="Y3352" t="n">
        <v/>
      </c>
      <c r="Z3352" t="n">
        <v/>
      </c>
      <c r="AA3352">
        <f>SUMIFS($S$2:S3352,$A$2:A3352,A3352,$N$2:N3352,"Explore*")</f>
        <v/>
      </c>
      <c r="AB3352">
        <f>IF(AND(LEFT(N3352,7)="Explore",(AA3352-IF(LEFT(N3352,7)="Explore",S3352,0))&lt;10),"SI","NO")</f>
        <v/>
      </c>
    </row>
    <row r="3353">
      <c r="A3353" t="inlineStr">
        <is>
          <t>c16f3_test</t>
        </is>
      </c>
      <c r="B3353" t="inlineStr">
        <is>
          <t>2026-06-30 10:57:56.193</t>
        </is>
      </c>
      <c r="C3353" t="n">
        <v/>
      </c>
      <c r="D3353" t="inlineStr">
        <is>
          <t>Media file</t>
        </is>
      </c>
      <c r="E3353" t="inlineStr">
        <is>
          <t>player #1:C:/Users/manuel.felline/Documents/BEHAVIOR BTBR/NOR second cohort/BTBR/test/c16_f3.mp4</t>
        </is>
      </c>
      <c r="F3353" t="n">
        <v>-14.6</v>
      </c>
      <c r="G3353" t="n">
        <v>561.999</v>
      </c>
      <c r="H3353" t="n">
        <v>637.533</v>
      </c>
      <c r="I3353" t="n">
        <v>30</v>
      </c>
      <c r="J3353" t="inlineStr">
        <is>
          <t>BTBR</t>
        </is>
      </c>
      <c r="K3353" t="inlineStr">
        <is>
          <t xml:space="preserve"> Female</t>
        </is>
      </c>
      <c r="L3353" t="inlineStr">
        <is>
          <t>No focal subject</t>
        </is>
      </c>
      <c r="M3353" t="n">
        <v>30.902</v>
      </c>
      <c r="N3353" t="inlineStr">
        <is>
          <t>Explore_N</t>
        </is>
      </c>
      <c r="O3353" t="inlineStr">
        <is>
          <t>Novelty</t>
        </is>
      </c>
      <c r="P3353" t="inlineStr">
        <is>
          <t>STATE</t>
        </is>
      </c>
      <c r="Q3353" t="n">
        <v>281.533</v>
      </c>
      <c r="R3353" t="n">
        <v>281.966</v>
      </c>
      <c r="S3353" t="n">
        <v>0.433</v>
      </c>
      <c r="T3353" t="inlineStr">
        <is>
          <t>C:/Users/manuel.felline/Documents/BEHAVIOR BTBR/NOR second cohort/BTBR/test/c16_f3.mp4</t>
        </is>
      </c>
      <c r="U3353" t="n">
        <v>8883</v>
      </c>
      <c r="V3353" t="n">
        <v>8896</v>
      </c>
      <c r="W3353" t="n">
        <v/>
      </c>
      <c r="X3353" t="n">
        <v/>
      </c>
      <c r="Y3353" t="n">
        <v/>
      </c>
      <c r="Z3353" t="n">
        <v/>
      </c>
      <c r="AA3353">
        <f>SUMIFS($S$2:S3353,$A$2:A3353,A3353,$N$2:N3353,"Explore*")</f>
        <v/>
      </c>
      <c r="AB3353">
        <f>IF(AND(LEFT(N3353,7)="Explore",(AA3353-IF(LEFT(N3353,7)="Explore",S3353,0))&lt;10),"SI","NO")</f>
        <v/>
      </c>
    </row>
    <row r="3354">
      <c r="A3354" t="inlineStr">
        <is>
          <t>c16f3_test</t>
        </is>
      </c>
      <c r="B3354" t="inlineStr">
        <is>
          <t>2026-06-30 10:57:56.193</t>
        </is>
      </c>
      <c r="C3354" t="n">
        <v/>
      </c>
      <c r="D3354" t="inlineStr">
        <is>
          <t>Media file</t>
        </is>
      </c>
      <c r="E3354" t="inlineStr">
        <is>
          <t>player #1:C:/Users/manuel.felline/Documents/BEHAVIOR BTBR/NOR second cohort/BTBR/test/c16_f3.mp4</t>
        </is>
      </c>
      <c r="F3354" t="n">
        <v>-14.6</v>
      </c>
      <c r="G3354" t="n">
        <v>561.999</v>
      </c>
      <c r="H3354" t="n">
        <v>637.533</v>
      </c>
      <c r="I3354" t="n">
        <v>30</v>
      </c>
      <c r="J3354" t="inlineStr">
        <is>
          <t>BTBR</t>
        </is>
      </c>
      <c r="K3354" t="inlineStr">
        <is>
          <t xml:space="preserve"> Female</t>
        </is>
      </c>
      <c r="L3354" t="inlineStr">
        <is>
          <t>No focal subject</t>
        </is>
      </c>
      <c r="M3354" t="n">
        <v>30.902</v>
      </c>
      <c r="N3354" t="inlineStr">
        <is>
          <t>Explore_F</t>
        </is>
      </c>
      <c r="O3354" t="inlineStr">
        <is>
          <t>Familiar</t>
        </is>
      </c>
      <c r="P3354" t="inlineStr">
        <is>
          <t>STATE</t>
        </is>
      </c>
      <c r="Q3354" t="n">
        <v>291.766</v>
      </c>
      <c r="R3354" t="n">
        <v>292.066</v>
      </c>
      <c r="S3354" t="n">
        <v>0.3</v>
      </c>
      <c r="T3354" t="inlineStr">
        <is>
          <t>C:/Users/manuel.felline/Documents/BEHAVIOR BTBR/NOR second cohort/BTBR/test/c16_f3.mp4</t>
        </is>
      </c>
      <c r="U3354" t="n">
        <v>9190</v>
      </c>
      <c r="V3354" t="n">
        <v>9199</v>
      </c>
      <c r="W3354" t="n">
        <v/>
      </c>
      <c r="X3354" t="n">
        <v/>
      </c>
      <c r="Y3354" t="n">
        <v/>
      </c>
      <c r="Z3354" t="n">
        <v/>
      </c>
      <c r="AA3354">
        <f>SUMIFS($S$2:S3354,$A$2:A3354,A3354,$N$2:N3354,"Explore*")</f>
        <v/>
      </c>
      <c r="AB3354">
        <f>IF(AND(LEFT(N3354,7)="Explore",(AA3354-IF(LEFT(N3354,7)="Explore",S3354,0))&lt;10),"SI","NO")</f>
        <v/>
      </c>
    </row>
    <row r="3355">
      <c r="A3355" t="inlineStr">
        <is>
          <t>c16f3_test</t>
        </is>
      </c>
      <c r="B3355" t="inlineStr">
        <is>
          <t>2026-06-30 10:57:56.193</t>
        </is>
      </c>
      <c r="C3355" t="n">
        <v/>
      </c>
      <c r="D3355" t="inlineStr">
        <is>
          <t>Media file</t>
        </is>
      </c>
      <c r="E3355" t="inlineStr">
        <is>
          <t>player #1:C:/Users/manuel.felline/Documents/BEHAVIOR BTBR/NOR second cohort/BTBR/test/c16_f3.mp4</t>
        </is>
      </c>
      <c r="F3355" t="n">
        <v>-14.6</v>
      </c>
      <c r="G3355" t="n">
        <v>561.999</v>
      </c>
      <c r="H3355" t="n">
        <v>637.533</v>
      </c>
      <c r="I3355" t="n">
        <v>30</v>
      </c>
      <c r="J3355" t="inlineStr">
        <is>
          <t>BTBR</t>
        </is>
      </c>
      <c r="K3355" t="inlineStr">
        <is>
          <t xml:space="preserve"> Female</t>
        </is>
      </c>
      <c r="L3355" t="inlineStr">
        <is>
          <t>No focal subject</t>
        </is>
      </c>
      <c r="M3355" t="n">
        <v>30.902</v>
      </c>
      <c r="N3355" t="inlineStr">
        <is>
          <t>Explore_N</t>
        </is>
      </c>
      <c r="O3355" t="inlineStr">
        <is>
          <t>Novelty</t>
        </is>
      </c>
      <c r="P3355" t="inlineStr">
        <is>
          <t>STATE</t>
        </is>
      </c>
      <c r="Q3355" t="n">
        <v>297.833</v>
      </c>
      <c r="R3355" t="n">
        <v>298.233</v>
      </c>
      <c r="S3355" t="n">
        <v>0.4</v>
      </c>
      <c r="T3355" t="inlineStr">
        <is>
          <t>C:/Users/manuel.felline/Documents/BEHAVIOR BTBR/NOR second cohort/BTBR/test/c16_f3.mp4</t>
        </is>
      </c>
      <c r="U3355" t="n">
        <v>9372</v>
      </c>
      <c r="V3355" t="n">
        <v>9384</v>
      </c>
      <c r="W3355" t="n">
        <v/>
      </c>
      <c r="X3355" t="n">
        <v/>
      </c>
      <c r="Y3355" t="n">
        <v/>
      </c>
      <c r="Z3355" t="n">
        <v/>
      </c>
      <c r="AA3355">
        <f>SUMIFS($S$2:S3355,$A$2:A3355,A3355,$N$2:N3355,"Explore*")</f>
        <v/>
      </c>
      <c r="AB3355">
        <f>IF(AND(LEFT(N3355,7)="Explore",(AA3355-IF(LEFT(N3355,7)="Explore",S3355,0))&lt;10),"SI","NO")</f>
        <v/>
      </c>
    </row>
    <row r="3356">
      <c r="A3356" t="inlineStr">
        <is>
          <t>c16f3_test</t>
        </is>
      </c>
      <c r="B3356" t="inlineStr">
        <is>
          <t>2026-06-30 10:57:56.193</t>
        </is>
      </c>
      <c r="C3356" t="n">
        <v/>
      </c>
      <c r="D3356" t="inlineStr">
        <is>
          <t>Media file</t>
        </is>
      </c>
      <c r="E3356" t="inlineStr">
        <is>
          <t>player #1:C:/Users/manuel.felline/Documents/BEHAVIOR BTBR/NOR second cohort/BTBR/test/c16_f3.mp4</t>
        </is>
      </c>
      <c r="F3356" t="n">
        <v>-14.6</v>
      </c>
      <c r="G3356" t="n">
        <v>561.999</v>
      </c>
      <c r="H3356" t="n">
        <v>637.533</v>
      </c>
      <c r="I3356" t="n">
        <v>30</v>
      </c>
      <c r="J3356" t="inlineStr">
        <is>
          <t>BTBR</t>
        </is>
      </c>
      <c r="K3356" t="inlineStr">
        <is>
          <t xml:space="preserve"> Female</t>
        </is>
      </c>
      <c r="L3356" t="inlineStr">
        <is>
          <t>No focal subject</t>
        </is>
      </c>
      <c r="M3356" t="n">
        <v>30.902</v>
      </c>
      <c r="N3356" t="inlineStr">
        <is>
          <t>Explore_F</t>
        </is>
      </c>
      <c r="O3356" t="inlineStr">
        <is>
          <t>Familiar</t>
        </is>
      </c>
      <c r="P3356" t="inlineStr">
        <is>
          <t>STATE</t>
        </is>
      </c>
      <c r="Q3356" t="n">
        <v>330.033</v>
      </c>
      <c r="R3356" t="n">
        <v>330.566</v>
      </c>
      <c r="S3356" t="n">
        <v>0.533</v>
      </c>
      <c r="T3356" t="inlineStr">
        <is>
          <t>C:/Users/manuel.felline/Documents/BEHAVIOR BTBR/NOR second cohort/BTBR/test/c16_f3.mp4</t>
        </is>
      </c>
      <c r="U3356" t="n">
        <v>10337</v>
      </c>
      <c r="V3356" t="n">
        <v>10353</v>
      </c>
      <c r="W3356" t="n">
        <v/>
      </c>
      <c r="X3356" t="n">
        <v/>
      </c>
      <c r="Y3356" t="n">
        <v/>
      </c>
      <c r="Z3356" t="n">
        <v/>
      </c>
      <c r="AA3356">
        <f>SUMIFS($S$2:S3356,$A$2:A3356,A3356,$N$2:N3356,"Explore*")</f>
        <v/>
      </c>
      <c r="AB3356">
        <f>IF(AND(LEFT(N3356,7)="Explore",(AA3356-IF(LEFT(N3356,7)="Explore",S3356,0))&lt;10),"SI","NO")</f>
        <v/>
      </c>
    </row>
    <row r="3357">
      <c r="A3357" t="inlineStr">
        <is>
          <t>c16f3_test</t>
        </is>
      </c>
      <c r="B3357" t="inlineStr">
        <is>
          <t>2026-06-30 10:57:56.193</t>
        </is>
      </c>
      <c r="C3357" t="n">
        <v/>
      </c>
      <c r="D3357" t="inlineStr">
        <is>
          <t>Media file</t>
        </is>
      </c>
      <c r="E3357" t="inlineStr">
        <is>
          <t>player #1:C:/Users/manuel.felline/Documents/BEHAVIOR BTBR/NOR second cohort/BTBR/test/c16_f3.mp4</t>
        </is>
      </c>
      <c r="F3357" t="n">
        <v>-14.6</v>
      </c>
      <c r="G3357" t="n">
        <v>561.999</v>
      </c>
      <c r="H3357" t="n">
        <v>637.533</v>
      </c>
      <c r="I3357" t="n">
        <v>30</v>
      </c>
      <c r="J3357" t="inlineStr">
        <is>
          <t>BTBR</t>
        </is>
      </c>
      <c r="K3357" t="inlineStr">
        <is>
          <t xml:space="preserve"> Female</t>
        </is>
      </c>
      <c r="L3357" t="inlineStr">
        <is>
          <t>No focal subject</t>
        </is>
      </c>
      <c r="M3357" t="n">
        <v>30.902</v>
      </c>
      <c r="N3357" t="inlineStr">
        <is>
          <t>Explore_N</t>
        </is>
      </c>
      <c r="O3357" t="inlineStr">
        <is>
          <t>Novelty</t>
        </is>
      </c>
      <c r="P3357" t="inlineStr">
        <is>
          <t>STATE</t>
        </is>
      </c>
      <c r="Q3357" t="n">
        <v>350.466</v>
      </c>
      <c r="R3357" t="n">
        <v>351.166</v>
      </c>
      <c r="S3357" t="n">
        <v>0.7</v>
      </c>
      <c r="T3357" t="inlineStr">
        <is>
          <t>C:/Users/manuel.felline/Documents/BEHAVIOR BTBR/NOR second cohort/BTBR/test/c16_f3.mp4</t>
        </is>
      </c>
      <c r="U3357" t="n">
        <v>10950</v>
      </c>
      <c r="V3357" t="n">
        <v>10971</v>
      </c>
      <c r="W3357" t="n">
        <v/>
      </c>
      <c r="X3357" t="n">
        <v/>
      </c>
      <c r="Y3357" t="n">
        <v/>
      </c>
      <c r="Z3357" t="n">
        <v/>
      </c>
      <c r="AA3357">
        <f>SUMIFS($S$2:S3357,$A$2:A3357,A3357,$N$2:N3357,"Explore*")</f>
        <v/>
      </c>
      <c r="AB3357">
        <f>IF(AND(LEFT(N3357,7)="Explore",(AA3357-IF(LEFT(N3357,7)="Explore",S3357,0))&lt;10),"SI","NO")</f>
        <v/>
      </c>
    </row>
    <row r="3358">
      <c r="A3358" t="inlineStr">
        <is>
          <t>c16f3_test</t>
        </is>
      </c>
      <c r="B3358" t="inlineStr">
        <is>
          <t>2026-06-30 10:57:56.193</t>
        </is>
      </c>
      <c r="C3358" t="n">
        <v/>
      </c>
      <c r="D3358" t="inlineStr">
        <is>
          <t>Media file</t>
        </is>
      </c>
      <c r="E3358" t="inlineStr">
        <is>
          <t>player #1:C:/Users/manuel.felline/Documents/BEHAVIOR BTBR/NOR second cohort/BTBR/test/c16_f3.mp4</t>
        </is>
      </c>
      <c r="F3358" t="n">
        <v>-14.6</v>
      </c>
      <c r="G3358" t="n">
        <v>561.999</v>
      </c>
      <c r="H3358" t="n">
        <v>637.533</v>
      </c>
      <c r="I3358" t="n">
        <v>30</v>
      </c>
      <c r="J3358" t="inlineStr">
        <is>
          <t>BTBR</t>
        </is>
      </c>
      <c r="K3358" t="inlineStr">
        <is>
          <t xml:space="preserve"> Female</t>
        </is>
      </c>
      <c r="L3358" t="inlineStr">
        <is>
          <t>No focal subject</t>
        </is>
      </c>
      <c r="M3358" t="n">
        <v>30.902</v>
      </c>
      <c r="N3358" t="inlineStr">
        <is>
          <t>Explore_F</t>
        </is>
      </c>
      <c r="O3358" t="inlineStr">
        <is>
          <t>Familiar</t>
        </is>
      </c>
      <c r="P3358" t="inlineStr">
        <is>
          <t>STATE</t>
        </is>
      </c>
      <c r="Q3358" t="n">
        <v>359.3</v>
      </c>
      <c r="R3358" t="n">
        <v>359.633</v>
      </c>
      <c r="S3358" t="n">
        <v>0.333</v>
      </c>
      <c r="T3358" t="inlineStr">
        <is>
          <t>C:/Users/manuel.felline/Documents/BEHAVIOR BTBR/NOR second cohort/BTBR/test/c16_f3.mp4</t>
        </is>
      </c>
      <c r="U3358" t="n">
        <v>11215</v>
      </c>
      <c r="V3358" t="n">
        <v>11225</v>
      </c>
      <c r="W3358" t="n">
        <v/>
      </c>
      <c r="X3358" t="n">
        <v/>
      </c>
      <c r="Y3358" t="n">
        <v/>
      </c>
      <c r="Z3358" t="n">
        <v/>
      </c>
      <c r="AA3358">
        <f>SUMIFS($S$2:S3358,$A$2:A3358,A3358,$N$2:N3358,"Explore*")</f>
        <v/>
      </c>
      <c r="AB3358">
        <f>IF(AND(LEFT(N3358,7)="Explore",(AA3358-IF(LEFT(N3358,7)="Explore",S3358,0))&lt;10),"SI","NO")</f>
        <v/>
      </c>
    </row>
    <row r="3359">
      <c r="A3359" t="inlineStr">
        <is>
          <t>c16f3_test</t>
        </is>
      </c>
      <c r="B3359" t="inlineStr">
        <is>
          <t>2026-06-30 10:57:56.193</t>
        </is>
      </c>
      <c r="C3359" t="n">
        <v/>
      </c>
      <c r="D3359" t="inlineStr">
        <is>
          <t>Media file</t>
        </is>
      </c>
      <c r="E3359" t="inlineStr">
        <is>
          <t>player #1:C:/Users/manuel.felline/Documents/BEHAVIOR BTBR/NOR second cohort/BTBR/test/c16_f3.mp4</t>
        </is>
      </c>
      <c r="F3359" t="n">
        <v>-14.6</v>
      </c>
      <c r="G3359" t="n">
        <v>561.999</v>
      </c>
      <c r="H3359" t="n">
        <v>637.533</v>
      </c>
      <c r="I3359" t="n">
        <v>30</v>
      </c>
      <c r="J3359" t="inlineStr">
        <is>
          <t>BTBR</t>
        </is>
      </c>
      <c r="K3359" t="inlineStr">
        <is>
          <t xml:space="preserve"> Female</t>
        </is>
      </c>
      <c r="L3359" t="inlineStr">
        <is>
          <t>No focal subject</t>
        </is>
      </c>
      <c r="M3359" t="n">
        <v>30.902</v>
      </c>
      <c r="N3359" t="inlineStr">
        <is>
          <t>Explore_F</t>
        </is>
      </c>
      <c r="O3359" t="inlineStr">
        <is>
          <t>Familiar</t>
        </is>
      </c>
      <c r="P3359" t="inlineStr">
        <is>
          <t>STATE</t>
        </is>
      </c>
      <c r="Q3359" t="n">
        <v>389.466</v>
      </c>
      <c r="R3359" t="n">
        <v>389.8</v>
      </c>
      <c r="S3359" t="n">
        <v>0.334</v>
      </c>
      <c r="T3359" t="inlineStr">
        <is>
          <t>C:/Users/manuel.felline/Documents/BEHAVIOR BTBR/NOR second cohort/BTBR/test/c16_f3.mp4</t>
        </is>
      </c>
      <c r="U3359" t="n">
        <v>12120</v>
      </c>
      <c r="V3359" t="n">
        <v>12130</v>
      </c>
      <c r="W3359" t="n">
        <v/>
      </c>
      <c r="X3359" t="n">
        <v/>
      </c>
      <c r="Y3359" t="n">
        <v/>
      </c>
      <c r="Z3359" t="n">
        <v/>
      </c>
      <c r="AA3359">
        <f>SUMIFS($S$2:S3359,$A$2:A3359,A3359,$N$2:N3359,"Explore*")</f>
        <v/>
      </c>
      <c r="AB3359">
        <f>IF(AND(LEFT(N3359,7)="Explore",(AA3359-IF(LEFT(N3359,7)="Explore",S3359,0))&lt;10),"SI","NO")</f>
        <v/>
      </c>
    </row>
    <row r="3360">
      <c r="A3360" t="inlineStr">
        <is>
          <t>c16f3_test</t>
        </is>
      </c>
      <c r="B3360" t="inlineStr">
        <is>
          <t>2026-06-30 10:57:56.193</t>
        </is>
      </c>
      <c r="C3360" t="n">
        <v/>
      </c>
      <c r="D3360" t="inlineStr">
        <is>
          <t>Media file</t>
        </is>
      </c>
      <c r="E3360" t="inlineStr">
        <is>
          <t>player #1:C:/Users/manuel.felline/Documents/BEHAVIOR BTBR/NOR second cohort/BTBR/test/c16_f3.mp4</t>
        </is>
      </c>
      <c r="F3360" t="n">
        <v>-14.6</v>
      </c>
      <c r="G3360" t="n">
        <v>561.999</v>
      </c>
      <c r="H3360" t="n">
        <v>637.533</v>
      </c>
      <c r="I3360" t="n">
        <v>30</v>
      </c>
      <c r="J3360" t="inlineStr">
        <is>
          <t>BTBR</t>
        </is>
      </c>
      <c r="K3360" t="inlineStr">
        <is>
          <t xml:space="preserve"> Female</t>
        </is>
      </c>
      <c r="L3360" t="inlineStr">
        <is>
          <t>No focal subject</t>
        </is>
      </c>
      <c r="M3360" t="n">
        <v>30.902</v>
      </c>
      <c r="N3360" t="inlineStr">
        <is>
          <t>Explore_N</t>
        </is>
      </c>
      <c r="O3360" t="inlineStr">
        <is>
          <t>Novelty</t>
        </is>
      </c>
      <c r="P3360" t="inlineStr">
        <is>
          <t>STATE</t>
        </is>
      </c>
      <c r="Q3360" t="n">
        <v>395.033</v>
      </c>
      <c r="R3360" t="n">
        <v>397.066</v>
      </c>
      <c r="S3360" t="n">
        <v>2.033</v>
      </c>
      <c r="T3360" t="inlineStr">
        <is>
          <t>C:/Users/manuel.felline/Documents/BEHAVIOR BTBR/NOR second cohort/BTBR/test/c16_f3.mp4</t>
        </is>
      </c>
      <c r="U3360" t="n">
        <v>12287</v>
      </c>
      <c r="V3360" t="n">
        <v>12348</v>
      </c>
      <c r="W3360" t="n">
        <v/>
      </c>
      <c r="X3360" t="n">
        <v/>
      </c>
      <c r="Y3360" t="n">
        <v/>
      </c>
      <c r="Z3360" t="n">
        <v/>
      </c>
      <c r="AA3360">
        <f>SUMIFS($S$2:S3360,$A$2:A3360,A3360,$N$2:N3360,"Explore*")</f>
        <v/>
      </c>
      <c r="AB3360">
        <f>IF(AND(LEFT(N3360,7)="Explore",(AA3360-IF(LEFT(N3360,7)="Explore",S3360,0))&lt;10),"SI","NO")</f>
        <v/>
      </c>
    </row>
    <row r="3361">
      <c r="A3361" t="inlineStr">
        <is>
          <t>c16f3_test</t>
        </is>
      </c>
      <c r="B3361" t="inlineStr">
        <is>
          <t>2026-06-30 10:57:56.193</t>
        </is>
      </c>
      <c r="C3361" t="n">
        <v/>
      </c>
      <c r="D3361" t="inlineStr">
        <is>
          <t>Media file</t>
        </is>
      </c>
      <c r="E3361" t="inlineStr">
        <is>
          <t>player #1:C:/Users/manuel.felline/Documents/BEHAVIOR BTBR/NOR second cohort/BTBR/test/c16_f3.mp4</t>
        </is>
      </c>
      <c r="F3361" t="n">
        <v>-14.6</v>
      </c>
      <c r="G3361" t="n">
        <v>561.999</v>
      </c>
      <c r="H3361" t="n">
        <v>637.533</v>
      </c>
      <c r="I3361" t="n">
        <v>30</v>
      </c>
      <c r="J3361" t="inlineStr">
        <is>
          <t>BTBR</t>
        </is>
      </c>
      <c r="K3361" t="inlineStr">
        <is>
          <t xml:space="preserve"> Female</t>
        </is>
      </c>
      <c r="L3361" t="inlineStr">
        <is>
          <t>No focal subject</t>
        </is>
      </c>
      <c r="M3361" t="n">
        <v>30.902</v>
      </c>
      <c r="N3361" t="inlineStr">
        <is>
          <t>Explore_N</t>
        </is>
      </c>
      <c r="O3361" t="inlineStr">
        <is>
          <t>Novelty</t>
        </is>
      </c>
      <c r="P3361" t="inlineStr">
        <is>
          <t>STATE</t>
        </is>
      </c>
      <c r="Q3361" t="n">
        <v>397.866</v>
      </c>
      <c r="R3361" t="n">
        <v>398.333</v>
      </c>
      <c r="S3361" t="n">
        <v>0.467</v>
      </c>
      <c r="T3361" t="inlineStr">
        <is>
          <t>C:/Users/manuel.felline/Documents/BEHAVIOR BTBR/NOR second cohort/BTBR/test/c16_f3.mp4</t>
        </is>
      </c>
      <c r="U3361" t="n">
        <v>12372</v>
      </c>
      <c r="V3361" t="n">
        <v>12386</v>
      </c>
      <c r="W3361" t="n">
        <v/>
      </c>
      <c r="X3361" t="n">
        <v/>
      </c>
      <c r="Y3361" t="n">
        <v/>
      </c>
      <c r="Z3361" t="n">
        <v/>
      </c>
      <c r="AA3361">
        <f>SUMIFS($S$2:S3361,$A$2:A3361,A3361,$N$2:N3361,"Explore*")</f>
        <v/>
      </c>
      <c r="AB3361">
        <f>IF(AND(LEFT(N3361,7)="Explore",(AA3361-IF(LEFT(N3361,7)="Explore",S3361,0))&lt;10),"SI","NO")</f>
        <v/>
      </c>
    </row>
    <row r="3362">
      <c r="A3362" t="inlineStr">
        <is>
          <t>c16f3_test</t>
        </is>
      </c>
      <c r="B3362" t="inlineStr">
        <is>
          <t>2026-06-30 10:57:56.193</t>
        </is>
      </c>
      <c r="C3362" t="n">
        <v/>
      </c>
      <c r="D3362" t="inlineStr">
        <is>
          <t>Media file</t>
        </is>
      </c>
      <c r="E3362" t="inlineStr">
        <is>
          <t>player #1:C:/Users/manuel.felline/Documents/BEHAVIOR BTBR/NOR second cohort/BTBR/test/c16_f3.mp4</t>
        </is>
      </c>
      <c r="F3362" t="n">
        <v>-14.6</v>
      </c>
      <c r="G3362" t="n">
        <v>561.999</v>
      </c>
      <c r="H3362" t="n">
        <v>637.533</v>
      </c>
      <c r="I3362" t="n">
        <v>30</v>
      </c>
      <c r="J3362" t="inlineStr">
        <is>
          <t>BTBR</t>
        </is>
      </c>
      <c r="K3362" t="inlineStr">
        <is>
          <t xml:space="preserve"> Female</t>
        </is>
      </c>
      <c r="L3362" t="inlineStr">
        <is>
          <t>No focal subject</t>
        </is>
      </c>
      <c r="M3362" t="n">
        <v>30.902</v>
      </c>
      <c r="N3362" t="inlineStr">
        <is>
          <t>Explore_N</t>
        </is>
      </c>
      <c r="O3362" t="inlineStr">
        <is>
          <t>Novelty</t>
        </is>
      </c>
      <c r="P3362" t="inlineStr">
        <is>
          <t>STATE</t>
        </is>
      </c>
      <c r="Q3362" t="n">
        <v>414.566</v>
      </c>
      <c r="R3362" t="n">
        <v>414.9</v>
      </c>
      <c r="S3362" t="n">
        <v>0.334</v>
      </c>
      <c r="T3362" t="inlineStr">
        <is>
          <t>C:/Users/manuel.felline/Documents/BEHAVIOR BTBR/NOR second cohort/BTBR/test/c16_f3.mp4</t>
        </is>
      </c>
      <c r="U3362" t="n">
        <v>12873</v>
      </c>
      <c r="V3362" t="n">
        <v>12883</v>
      </c>
      <c r="W3362" t="n">
        <v/>
      </c>
      <c r="X3362" t="n">
        <v/>
      </c>
      <c r="Y3362" t="n">
        <v/>
      </c>
      <c r="Z3362" t="n">
        <v/>
      </c>
      <c r="AA3362">
        <f>SUMIFS($S$2:S3362,$A$2:A3362,A3362,$N$2:N3362,"Explore*")</f>
        <v/>
      </c>
      <c r="AB3362">
        <f>IF(AND(LEFT(N3362,7)="Explore",(AA3362-IF(LEFT(N3362,7)="Explore",S3362,0))&lt;10),"SI","NO")</f>
        <v/>
      </c>
    </row>
    <row r="3363">
      <c r="A3363" t="inlineStr">
        <is>
          <t>c16f3_test</t>
        </is>
      </c>
      <c r="B3363" t="inlineStr">
        <is>
          <t>2026-06-30 10:57:56.193</t>
        </is>
      </c>
      <c r="C3363" t="n">
        <v/>
      </c>
      <c r="D3363" t="inlineStr">
        <is>
          <t>Media file</t>
        </is>
      </c>
      <c r="E3363" t="inlineStr">
        <is>
          <t>player #1:C:/Users/manuel.felline/Documents/BEHAVIOR BTBR/NOR second cohort/BTBR/test/c16_f3.mp4</t>
        </is>
      </c>
      <c r="F3363" t="n">
        <v>-14.6</v>
      </c>
      <c r="G3363" t="n">
        <v>561.999</v>
      </c>
      <c r="H3363" t="n">
        <v>637.533</v>
      </c>
      <c r="I3363" t="n">
        <v>30</v>
      </c>
      <c r="J3363" t="inlineStr">
        <is>
          <t>BTBR</t>
        </is>
      </c>
      <c r="K3363" t="inlineStr">
        <is>
          <t xml:space="preserve"> Female</t>
        </is>
      </c>
      <c r="L3363" t="inlineStr">
        <is>
          <t>No focal subject</t>
        </is>
      </c>
      <c r="M3363" t="n">
        <v>30.902</v>
      </c>
      <c r="N3363" t="inlineStr">
        <is>
          <t>Explore_F</t>
        </is>
      </c>
      <c r="O3363" t="inlineStr">
        <is>
          <t>Familiar</t>
        </is>
      </c>
      <c r="P3363" t="inlineStr">
        <is>
          <t>STATE</t>
        </is>
      </c>
      <c r="Q3363" t="n">
        <v>427.366</v>
      </c>
      <c r="R3363" t="n">
        <v>427.766</v>
      </c>
      <c r="S3363" t="n">
        <v>0.4</v>
      </c>
      <c r="T3363" t="inlineStr">
        <is>
          <t>C:/Users/manuel.felline/Documents/BEHAVIOR BTBR/NOR second cohort/BTBR/test/c16_f3.mp4</t>
        </is>
      </c>
      <c r="U3363" t="n">
        <v>13257</v>
      </c>
      <c r="V3363" t="n">
        <v>13269</v>
      </c>
      <c r="W3363" t="n">
        <v/>
      </c>
      <c r="X3363" t="n">
        <v/>
      </c>
      <c r="Y3363" t="n">
        <v/>
      </c>
      <c r="Z3363" t="n">
        <v/>
      </c>
      <c r="AA3363">
        <f>SUMIFS($S$2:S3363,$A$2:A3363,A3363,$N$2:N3363,"Explore*")</f>
        <v/>
      </c>
      <c r="AB3363">
        <f>IF(AND(LEFT(N3363,7)="Explore",(AA3363-IF(LEFT(N3363,7)="Explore",S3363,0))&lt;10),"SI","NO")</f>
        <v/>
      </c>
    </row>
    <row r="3364">
      <c r="A3364" t="inlineStr">
        <is>
          <t>c16f3_test</t>
        </is>
      </c>
      <c r="B3364" t="inlineStr">
        <is>
          <t>2026-06-30 10:57:56.193</t>
        </is>
      </c>
      <c r="C3364" t="n">
        <v/>
      </c>
      <c r="D3364" t="inlineStr">
        <is>
          <t>Media file</t>
        </is>
      </c>
      <c r="E3364" t="inlineStr">
        <is>
          <t>player #1:C:/Users/manuel.felline/Documents/BEHAVIOR BTBR/NOR second cohort/BTBR/test/c16_f3.mp4</t>
        </is>
      </c>
      <c r="F3364" t="n">
        <v>-14.6</v>
      </c>
      <c r="G3364" t="n">
        <v>561.999</v>
      </c>
      <c r="H3364" t="n">
        <v>637.533</v>
      </c>
      <c r="I3364" t="n">
        <v>30</v>
      </c>
      <c r="J3364" t="inlineStr">
        <is>
          <t>BTBR</t>
        </is>
      </c>
      <c r="K3364" t="inlineStr">
        <is>
          <t xml:space="preserve"> Female</t>
        </is>
      </c>
      <c r="L3364" t="inlineStr">
        <is>
          <t>No focal subject</t>
        </is>
      </c>
      <c r="M3364" t="n">
        <v>30.902</v>
      </c>
      <c r="N3364" t="inlineStr">
        <is>
          <t>Explore_N</t>
        </is>
      </c>
      <c r="O3364" t="inlineStr">
        <is>
          <t>Novelty</t>
        </is>
      </c>
      <c r="P3364" t="inlineStr">
        <is>
          <t>STATE</t>
        </is>
      </c>
      <c r="Q3364" t="n">
        <v>431.466</v>
      </c>
      <c r="R3364" t="n">
        <v>431.766</v>
      </c>
      <c r="S3364" t="n">
        <v>0.3</v>
      </c>
      <c r="T3364" t="inlineStr">
        <is>
          <t>C:/Users/manuel.felline/Documents/BEHAVIOR BTBR/NOR second cohort/BTBR/test/c16_f3.mp4</t>
        </is>
      </c>
      <c r="U3364" t="n">
        <v>13380</v>
      </c>
      <c r="V3364" t="n">
        <v>13389</v>
      </c>
      <c r="W3364" t="n">
        <v/>
      </c>
      <c r="X3364" t="n">
        <v/>
      </c>
      <c r="Y3364" t="n">
        <v/>
      </c>
      <c r="Z3364" t="n">
        <v/>
      </c>
      <c r="AA3364">
        <f>SUMIFS($S$2:S3364,$A$2:A3364,A3364,$N$2:N3364,"Explore*")</f>
        <v/>
      </c>
      <c r="AB3364">
        <f>IF(AND(LEFT(N3364,7)="Explore",(AA3364-IF(LEFT(N3364,7)="Explore",S3364,0))&lt;10),"SI","NO")</f>
        <v/>
      </c>
    </row>
    <row r="3365">
      <c r="A3365" t="inlineStr">
        <is>
          <t>c16f3_test</t>
        </is>
      </c>
      <c r="B3365" t="inlineStr">
        <is>
          <t>2026-06-30 10:57:56.193</t>
        </is>
      </c>
      <c r="C3365" t="n">
        <v/>
      </c>
      <c r="D3365" t="inlineStr">
        <is>
          <t>Media file</t>
        </is>
      </c>
      <c r="E3365" t="inlineStr">
        <is>
          <t>player #1:C:/Users/manuel.felline/Documents/BEHAVIOR BTBR/NOR second cohort/BTBR/test/c16_f3.mp4</t>
        </is>
      </c>
      <c r="F3365" t="n">
        <v>-14.6</v>
      </c>
      <c r="G3365" t="n">
        <v>561.999</v>
      </c>
      <c r="H3365" t="n">
        <v>637.533</v>
      </c>
      <c r="I3365" t="n">
        <v>30</v>
      </c>
      <c r="J3365" t="inlineStr">
        <is>
          <t>BTBR</t>
        </is>
      </c>
      <c r="K3365" t="inlineStr">
        <is>
          <t xml:space="preserve"> Female</t>
        </is>
      </c>
      <c r="L3365" t="inlineStr">
        <is>
          <t>No focal subject</t>
        </is>
      </c>
      <c r="M3365" t="n">
        <v>30.902</v>
      </c>
      <c r="N3365" t="inlineStr">
        <is>
          <t>Explore_F</t>
        </is>
      </c>
      <c r="O3365" t="inlineStr">
        <is>
          <t>Familiar</t>
        </is>
      </c>
      <c r="P3365" t="inlineStr">
        <is>
          <t>STATE</t>
        </is>
      </c>
      <c r="Q3365" t="n">
        <v>496.366</v>
      </c>
      <c r="R3365" t="n">
        <v>496.766</v>
      </c>
      <c r="S3365" t="n">
        <v>0.4</v>
      </c>
      <c r="T3365" t="inlineStr">
        <is>
          <t>C:/Users/manuel.felline/Documents/BEHAVIOR BTBR/NOR second cohort/BTBR/test/c16_f3.mp4</t>
        </is>
      </c>
      <c r="U3365" t="n">
        <v>15327</v>
      </c>
      <c r="V3365" t="n">
        <v>15339</v>
      </c>
      <c r="W3365" t="n">
        <v/>
      </c>
      <c r="X3365" t="n">
        <v/>
      </c>
      <c r="Y3365" t="n">
        <v/>
      </c>
      <c r="Z3365" t="n">
        <v/>
      </c>
      <c r="AA3365">
        <f>SUMIFS($S$2:S3365,$A$2:A3365,A3365,$N$2:N3365,"Explore*")</f>
        <v/>
      </c>
      <c r="AB3365">
        <f>IF(AND(LEFT(N3365,7)="Explore",(AA3365-IF(LEFT(N3365,7)="Explore",S3365,0))&lt;10),"SI","NO")</f>
        <v/>
      </c>
    </row>
    <row r="3366">
      <c r="A3366" t="inlineStr">
        <is>
          <t>c16f3_test</t>
        </is>
      </c>
      <c r="B3366" t="inlineStr">
        <is>
          <t>2026-06-30 10:57:56.193</t>
        </is>
      </c>
      <c r="C3366" t="n">
        <v/>
      </c>
      <c r="D3366" t="inlineStr">
        <is>
          <t>Media file</t>
        </is>
      </c>
      <c r="E3366" t="inlineStr">
        <is>
          <t>player #1:C:/Users/manuel.felline/Documents/BEHAVIOR BTBR/NOR second cohort/BTBR/test/c16_f3.mp4</t>
        </is>
      </c>
      <c r="F3366" t="n">
        <v>-14.6</v>
      </c>
      <c r="G3366" t="n">
        <v>561.999</v>
      </c>
      <c r="H3366" t="n">
        <v>637.533</v>
      </c>
      <c r="I3366" t="n">
        <v>30</v>
      </c>
      <c r="J3366" t="inlineStr">
        <is>
          <t>BTBR</t>
        </is>
      </c>
      <c r="K3366" t="inlineStr">
        <is>
          <t xml:space="preserve"> Female</t>
        </is>
      </c>
      <c r="L3366" t="inlineStr">
        <is>
          <t>No focal subject</t>
        </is>
      </c>
      <c r="M3366" t="n">
        <v>30.902</v>
      </c>
      <c r="N3366" t="inlineStr">
        <is>
          <t>Explore_F</t>
        </is>
      </c>
      <c r="O3366" t="inlineStr">
        <is>
          <t>Familiar</t>
        </is>
      </c>
      <c r="P3366" t="inlineStr">
        <is>
          <t>STATE</t>
        </is>
      </c>
      <c r="Q3366" t="n">
        <v>515.266</v>
      </c>
      <c r="R3366" t="n">
        <v>515.766</v>
      </c>
      <c r="S3366" t="n">
        <v>0.5</v>
      </c>
      <c r="T3366" t="inlineStr">
        <is>
          <t>C:/Users/manuel.felline/Documents/BEHAVIOR BTBR/NOR second cohort/BTBR/test/c16_f3.mp4</t>
        </is>
      </c>
      <c r="U3366" t="n">
        <v>15894</v>
      </c>
      <c r="V3366" t="n">
        <v>15909</v>
      </c>
      <c r="W3366" t="n">
        <v/>
      </c>
      <c r="X3366" t="n">
        <v/>
      </c>
      <c r="Y3366" t="n">
        <v/>
      </c>
      <c r="Z3366" t="n">
        <v/>
      </c>
      <c r="AA3366">
        <f>SUMIFS($S$2:S3366,$A$2:A3366,A3366,$N$2:N3366,"Explore*")</f>
        <v/>
      </c>
      <c r="AB3366">
        <f>IF(AND(LEFT(N3366,7)="Explore",(AA3366-IF(LEFT(N3366,7)="Explore",S3366,0))&lt;10),"SI","NO")</f>
        <v/>
      </c>
    </row>
    <row r="3367">
      <c r="A3367" t="inlineStr">
        <is>
          <t>c16f3_test</t>
        </is>
      </c>
      <c r="B3367" t="inlineStr">
        <is>
          <t>2026-06-30 10:57:56.193</t>
        </is>
      </c>
      <c r="C3367" t="n">
        <v/>
      </c>
      <c r="D3367" t="inlineStr">
        <is>
          <t>Media file</t>
        </is>
      </c>
      <c r="E3367" t="inlineStr">
        <is>
          <t>player #1:C:/Users/manuel.felline/Documents/BEHAVIOR BTBR/NOR second cohort/BTBR/test/c16_f3.mp4</t>
        </is>
      </c>
      <c r="F3367" t="n">
        <v>-14.6</v>
      </c>
      <c r="G3367" t="n">
        <v>561.999</v>
      </c>
      <c r="H3367" t="n">
        <v>637.533</v>
      </c>
      <c r="I3367" t="n">
        <v>30</v>
      </c>
      <c r="J3367" t="inlineStr">
        <is>
          <t>BTBR</t>
        </is>
      </c>
      <c r="K3367" t="inlineStr">
        <is>
          <t xml:space="preserve"> Female</t>
        </is>
      </c>
      <c r="L3367" t="inlineStr">
        <is>
          <t>No focal subject</t>
        </is>
      </c>
      <c r="M3367" t="n">
        <v>30.902</v>
      </c>
      <c r="N3367" t="inlineStr">
        <is>
          <t>Explore_N</t>
        </is>
      </c>
      <c r="O3367" t="inlineStr">
        <is>
          <t>Novelty</t>
        </is>
      </c>
      <c r="P3367" t="inlineStr">
        <is>
          <t>STATE</t>
        </is>
      </c>
      <c r="Q3367" t="n">
        <v>521.1660000000001</v>
      </c>
      <c r="R3367" t="n">
        <v>521.633</v>
      </c>
      <c r="S3367" t="n">
        <v>0.467</v>
      </c>
      <c r="T3367" t="inlineStr">
        <is>
          <t>C:/Users/manuel.felline/Documents/BEHAVIOR BTBR/NOR second cohort/BTBR/test/c16_f3.mp4</t>
        </is>
      </c>
      <c r="U3367" t="n">
        <v>16071</v>
      </c>
      <c r="V3367" t="n">
        <v>16085</v>
      </c>
      <c r="W3367" t="n">
        <v/>
      </c>
      <c r="X3367" t="n">
        <v/>
      </c>
      <c r="Y3367" t="n">
        <v/>
      </c>
      <c r="Z3367" t="n">
        <v/>
      </c>
      <c r="AA3367">
        <f>SUMIFS($S$2:S3367,$A$2:A3367,A3367,$N$2:N3367,"Explore*")</f>
        <v/>
      </c>
      <c r="AB3367">
        <f>IF(AND(LEFT(N3367,7)="Explore",(AA3367-IF(LEFT(N3367,7)="Explore",S3367,0))&lt;10),"SI","NO")</f>
        <v/>
      </c>
    </row>
    <row r="3368">
      <c r="A3368" t="inlineStr">
        <is>
          <t>c16f3_test</t>
        </is>
      </c>
      <c r="B3368" t="inlineStr">
        <is>
          <t>2026-06-30 10:57:56.193</t>
        </is>
      </c>
      <c r="C3368" t="n">
        <v/>
      </c>
      <c r="D3368" t="inlineStr">
        <is>
          <t>Media file</t>
        </is>
      </c>
      <c r="E3368" t="inlineStr">
        <is>
          <t>player #1:C:/Users/manuel.felline/Documents/BEHAVIOR BTBR/NOR second cohort/BTBR/test/c16_f3.mp4</t>
        </is>
      </c>
      <c r="F3368" t="n">
        <v>-14.6</v>
      </c>
      <c r="G3368" t="n">
        <v>561.999</v>
      </c>
      <c r="H3368" t="n">
        <v>637.533</v>
      </c>
      <c r="I3368" t="n">
        <v>30</v>
      </c>
      <c r="J3368" t="inlineStr">
        <is>
          <t>BTBR</t>
        </is>
      </c>
      <c r="K3368" t="inlineStr">
        <is>
          <t xml:space="preserve"> Female</t>
        </is>
      </c>
      <c r="L3368" t="inlineStr">
        <is>
          <t>No focal subject</t>
        </is>
      </c>
      <c r="M3368" t="n">
        <v>30.902</v>
      </c>
      <c r="N3368" t="inlineStr">
        <is>
          <t>Explore_F</t>
        </is>
      </c>
      <c r="O3368" t="inlineStr">
        <is>
          <t>Familiar</t>
        </is>
      </c>
      <c r="P3368" t="inlineStr">
        <is>
          <t>STATE</t>
        </is>
      </c>
      <c r="Q3368" t="n">
        <v>548.933</v>
      </c>
      <c r="R3368" t="n">
        <v>549.2329999999999</v>
      </c>
      <c r="S3368" t="n">
        <v>0.3</v>
      </c>
      <c r="T3368" t="inlineStr">
        <is>
          <t>C:/Users/manuel.felline/Documents/BEHAVIOR BTBR/NOR second cohort/BTBR/test/c16_f3.mp4</t>
        </is>
      </c>
      <c r="U3368" t="n">
        <v>16904</v>
      </c>
      <c r="V3368" t="n">
        <v>16913</v>
      </c>
      <c r="W3368" t="n">
        <v/>
      </c>
      <c r="X3368" t="n">
        <v/>
      </c>
      <c r="Y3368" t="n">
        <v/>
      </c>
      <c r="Z3368" t="n">
        <v/>
      </c>
      <c r="AA3368">
        <f>SUMIFS($S$2:S3368,$A$2:A3368,A3368,$N$2:N3368,"Explore*")</f>
        <v/>
      </c>
      <c r="AB3368">
        <f>IF(AND(LEFT(N3368,7)="Explore",(AA3368-IF(LEFT(N3368,7)="Explore",S3368,0))&lt;10),"SI","NO")</f>
        <v/>
      </c>
    </row>
    <row r="3369">
      <c r="A3369" t="inlineStr">
        <is>
          <t>c16f3_test</t>
        </is>
      </c>
      <c r="B3369" t="inlineStr">
        <is>
          <t>2026-06-30 10:57:56.193</t>
        </is>
      </c>
      <c r="C3369" t="n">
        <v/>
      </c>
      <c r="D3369" t="inlineStr">
        <is>
          <t>Media file</t>
        </is>
      </c>
      <c r="E3369" t="inlineStr">
        <is>
          <t>player #1:C:/Users/manuel.felline/Documents/BEHAVIOR BTBR/NOR second cohort/BTBR/test/c16_f3.mp4</t>
        </is>
      </c>
      <c r="F3369" t="n">
        <v>-14.6</v>
      </c>
      <c r="G3369" t="n">
        <v>561.999</v>
      </c>
      <c r="H3369" t="n">
        <v>637.533</v>
      </c>
      <c r="I3369" t="n">
        <v>30</v>
      </c>
      <c r="J3369" t="inlineStr">
        <is>
          <t>BTBR</t>
        </is>
      </c>
      <c r="K3369" t="inlineStr">
        <is>
          <t xml:space="preserve"> Female</t>
        </is>
      </c>
      <c r="L3369" t="inlineStr">
        <is>
          <t>No focal subject</t>
        </is>
      </c>
      <c r="M3369" t="n">
        <v>30.902</v>
      </c>
      <c r="N3369" t="inlineStr">
        <is>
          <t>Explore_N</t>
        </is>
      </c>
      <c r="O3369" t="inlineStr">
        <is>
          <t>Novelty</t>
        </is>
      </c>
      <c r="P3369" t="inlineStr">
        <is>
          <t>STATE</t>
        </is>
      </c>
      <c r="Q3369" t="n">
        <v>555.1660000000001</v>
      </c>
      <c r="R3369" t="n">
        <v>555.566</v>
      </c>
      <c r="S3369" t="n">
        <v>0.4</v>
      </c>
      <c r="T3369" t="inlineStr">
        <is>
          <t>C:/Users/manuel.felline/Documents/BEHAVIOR BTBR/NOR second cohort/BTBR/test/c16_f3.mp4</t>
        </is>
      </c>
      <c r="U3369" t="n">
        <v>17091</v>
      </c>
      <c r="V3369" t="n">
        <v>17103</v>
      </c>
      <c r="W3369" t="n">
        <v/>
      </c>
      <c r="X3369" t="n">
        <v/>
      </c>
      <c r="Y3369" t="n">
        <v/>
      </c>
      <c r="Z3369" t="n">
        <v/>
      </c>
      <c r="AA3369">
        <f>SUMIFS($S$2:S3369,$A$2:A3369,A3369,$N$2:N3369,"Explore*")</f>
        <v/>
      </c>
      <c r="AB3369">
        <f>IF(AND(LEFT(N3369,7)="Explore",(AA3369-IF(LEFT(N3369,7)="Explore",S3369,0))&lt;10),"SI","NO")</f>
        <v/>
      </c>
    </row>
    <row r="3370">
      <c r="A3370" t="inlineStr">
        <is>
          <t>c16f3_test</t>
        </is>
      </c>
      <c r="B3370" t="inlineStr">
        <is>
          <t>2026-06-30 10:57:56.193</t>
        </is>
      </c>
      <c r="C3370" t="n">
        <v/>
      </c>
      <c r="D3370" t="inlineStr">
        <is>
          <t>Media file</t>
        </is>
      </c>
      <c r="E3370" t="inlineStr">
        <is>
          <t>player #1:C:/Users/manuel.felline/Documents/BEHAVIOR BTBR/NOR second cohort/BTBR/test/c16_f3.mp4</t>
        </is>
      </c>
      <c r="F3370" t="n">
        <v>-14.6</v>
      </c>
      <c r="G3370" t="n">
        <v>561.999</v>
      </c>
      <c r="H3370" t="n">
        <v>637.533</v>
      </c>
      <c r="I3370" t="n">
        <v>30</v>
      </c>
      <c r="J3370" t="inlineStr">
        <is>
          <t>BTBR</t>
        </is>
      </c>
      <c r="K3370" t="inlineStr">
        <is>
          <t xml:space="preserve"> Female</t>
        </is>
      </c>
      <c r="L3370" t="inlineStr">
        <is>
          <t>No focal subject</t>
        </is>
      </c>
      <c r="M3370" t="n">
        <v>30.902</v>
      </c>
      <c r="N3370" t="inlineStr">
        <is>
          <t>Explore_F</t>
        </is>
      </c>
      <c r="O3370" t="inlineStr">
        <is>
          <t>Familiar</t>
        </is>
      </c>
      <c r="P3370" t="inlineStr">
        <is>
          <t>STATE</t>
        </is>
      </c>
      <c r="Q3370" t="n">
        <v>561.333</v>
      </c>
      <c r="R3370" t="n">
        <v>562.199</v>
      </c>
      <c r="S3370" t="n">
        <v>0.866</v>
      </c>
      <c r="T3370" t="inlineStr">
        <is>
          <t>C:/Users/manuel.felline/Documents/BEHAVIOR BTBR/NOR second cohort/BTBR/test/c16_f3.mp4</t>
        </is>
      </c>
      <c r="U3370" t="n">
        <v>17275</v>
      </c>
      <c r="V3370" t="n">
        <v>17301</v>
      </c>
      <c r="W3370" t="n">
        <v/>
      </c>
      <c r="X3370" t="n">
        <v/>
      </c>
      <c r="Y3370" t="n">
        <v/>
      </c>
      <c r="Z3370" t="n">
        <v/>
      </c>
      <c r="AA3370">
        <f>SUMIFS($S$2:S3370,$A$2:A3370,A3370,$N$2:N3370,"Explore*")</f>
        <v/>
      </c>
      <c r="AB3370">
        <f>IF(AND(LEFT(N3370,7)="Explore",(AA3370-IF(LEFT(N3370,7)="Explore",S3370,0))&lt;10),"SI","NO")</f>
        <v/>
      </c>
    </row>
    <row r="3371">
      <c r="A3371" t="inlineStr">
        <is>
          <t>c16f3_test</t>
        </is>
      </c>
      <c r="B3371" t="inlineStr">
        <is>
          <t>2026-06-30 10:57:56.193</t>
        </is>
      </c>
      <c r="C3371" t="n">
        <v/>
      </c>
      <c r="D3371" t="inlineStr">
        <is>
          <t>Media file</t>
        </is>
      </c>
      <c r="E3371" t="inlineStr">
        <is>
          <t>player #1:C:/Users/manuel.felline/Documents/BEHAVIOR BTBR/NOR second cohort/BTBR/test/c16_f3.mp4</t>
        </is>
      </c>
      <c r="F3371" t="n">
        <v>-14.6</v>
      </c>
      <c r="G3371" t="n">
        <v>561.999</v>
      </c>
      <c r="H3371" t="n">
        <v>637.533</v>
      </c>
      <c r="I3371" t="n">
        <v>30</v>
      </c>
      <c r="J3371" t="inlineStr">
        <is>
          <t>BTBR</t>
        </is>
      </c>
      <c r="K3371" t="inlineStr">
        <is>
          <t xml:space="preserve"> Female</t>
        </is>
      </c>
      <c r="L3371" t="inlineStr">
        <is>
          <t>No focal subject</t>
        </is>
      </c>
      <c r="M3371" t="n">
        <v>30.902</v>
      </c>
      <c r="N3371" t="inlineStr">
        <is>
          <t>Explore_F</t>
        </is>
      </c>
      <c r="O3371" t="inlineStr">
        <is>
          <t>Familiar</t>
        </is>
      </c>
      <c r="P3371" t="inlineStr">
        <is>
          <t>STATE</t>
        </is>
      </c>
      <c r="Q3371" t="n">
        <v>567.466</v>
      </c>
      <c r="R3371" t="n">
        <v>567.799</v>
      </c>
      <c r="S3371" t="n">
        <v>0.333</v>
      </c>
      <c r="T3371" t="inlineStr">
        <is>
          <t>C:/Users/manuel.felline/Documents/BEHAVIOR BTBR/NOR second cohort/BTBR/test/c16_f3.mp4</t>
        </is>
      </c>
      <c r="U3371" t="n">
        <v>17459</v>
      </c>
      <c r="V3371" t="n">
        <v>17469</v>
      </c>
      <c r="W3371" t="n">
        <v/>
      </c>
      <c r="X3371" t="n">
        <v/>
      </c>
      <c r="Y3371" t="n">
        <v/>
      </c>
      <c r="Z3371" t="n">
        <v/>
      </c>
      <c r="AA3371">
        <f>SUMIFS($S$2:S3371,$A$2:A3371,A3371,$N$2:N3371,"Explore*")</f>
        <v/>
      </c>
      <c r="AB3371">
        <f>IF(AND(LEFT(N3371,7)="Explore",(AA3371-IF(LEFT(N3371,7)="Explore",S3371,0))&lt;10),"SI","NO")</f>
        <v/>
      </c>
    </row>
    <row r="3372">
      <c r="A3372" t="inlineStr">
        <is>
          <t>c16f4_test</t>
        </is>
      </c>
      <c r="B3372" t="inlineStr">
        <is>
          <t>2026-06-30 15:59:21.412</t>
        </is>
      </c>
      <c r="C3372" t="n">
        <v/>
      </c>
      <c r="D3372" t="inlineStr">
        <is>
          <t>Media file</t>
        </is>
      </c>
      <c r="E3372" t="inlineStr">
        <is>
          <t>player #1:C:/Users/manuel.felline/Documents/BEHAVIOR BTBR/NOR second cohort/BTBR/test/c16_f4.mp4</t>
        </is>
      </c>
      <c r="F3372" t="n">
        <v>-14.1</v>
      </c>
      <c r="G3372" t="n">
        <v>596.999</v>
      </c>
      <c r="H3372" t="n">
        <v>648.066</v>
      </c>
      <c r="I3372" t="n">
        <v>30</v>
      </c>
      <c r="J3372" t="inlineStr">
        <is>
          <t>BTBR</t>
        </is>
      </c>
      <c r="K3372" t="inlineStr">
        <is>
          <t xml:space="preserve"> Female</t>
        </is>
      </c>
      <c r="L3372" t="inlineStr">
        <is>
          <t>No focal subject</t>
        </is>
      </c>
      <c r="M3372" t="n">
        <v>70.292</v>
      </c>
      <c r="N3372" t="inlineStr">
        <is>
          <t>Explore_N</t>
        </is>
      </c>
      <c r="O3372" t="inlineStr">
        <is>
          <t>Novelty</t>
        </is>
      </c>
      <c r="P3372" t="inlineStr">
        <is>
          <t>STATE</t>
        </is>
      </c>
      <c r="Q3372" t="n">
        <v>1.267</v>
      </c>
      <c r="R3372" t="n">
        <v>1.967</v>
      </c>
      <c r="S3372" t="n">
        <v>0.7</v>
      </c>
      <c r="T3372" t="inlineStr">
        <is>
          <t>C:/Users/manuel.felline/Documents/BEHAVIOR BTBR/NOR second cohort/BTBR/test/c16_f4.mp4</t>
        </is>
      </c>
      <c r="U3372" t="n">
        <v>448</v>
      </c>
      <c r="V3372" t="n">
        <v>469</v>
      </c>
      <c r="W3372" t="n">
        <v/>
      </c>
      <c r="X3372" t="n">
        <v/>
      </c>
      <c r="Y3372" t="n">
        <v/>
      </c>
      <c r="Z3372" t="n">
        <v/>
      </c>
      <c r="AA3372">
        <f>SUMIFS($S$2:S3372,$A$2:A3372,A3372,$N$2:N3372,"Explore*")</f>
        <v/>
      </c>
      <c r="AB3372">
        <f>IF(AND(LEFT(N3372,7)="Explore",(AA3372-IF(LEFT(N3372,7)="Explore",S3372,0))&lt;10),"SI","NO")</f>
        <v/>
      </c>
    </row>
    <row r="3373">
      <c r="A3373" t="inlineStr">
        <is>
          <t>c16f4_test</t>
        </is>
      </c>
      <c r="B3373" t="inlineStr">
        <is>
          <t>2026-06-30 15:59:21.412</t>
        </is>
      </c>
      <c r="C3373" t="n">
        <v/>
      </c>
      <c r="D3373" t="inlineStr">
        <is>
          <t>Media file</t>
        </is>
      </c>
      <c r="E3373" t="inlineStr">
        <is>
          <t>player #1:C:/Users/manuel.felline/Documents/BEHAVIOR BTBR/NOR second cohort/BTBR/test/c16_f4.mp4</t>
        </is>
      </c>
      <c r="F3373" t="n">
        <v>-14.1</v>
      </c>
      <c r="G3373" t="n">
        <v>596.999</v>
      </c>
      <c r="H3373" t="n">
        <v>648.066</v>
      </c>
      <c r="I3373" t="n">
        <v>30</v>
      </c>
      <c r="J3373" t="inlineStr">
        <is>
          <t>BTBR</t>
        </is>
      </c>
      <c r="K3373" t="inlineStr">
        <is>
          <t xml:space="preserve"> Female</t>
        </is>
      </c>
      <c r="L3373" t="inlineStr">
        <is>
          <t>No focal subject</t>
        </is>
      </c>
      <c r="M3373" t="n">
        <v>70.292</v>
      </c>
      <c r="N3373" t="inlineStr">
        <is>
          <t>Explore_N</t>
        </is>
      </c>
      <c r="O3373" t="inlineStr">
        <is>
          <t>Novelty</t>
        </is>
      </c>
      <c r="P3373" t="inlineStr">
        <is>
          <t>STATE</t>
        </is>
      </c>
      <c r="Q3373" t="n">
        <v>15.367</v>
      </c>
      <c r="R3373" t="n">
        <v>16.367</v>
      </c>
      <c r="S3373" t="n">
        <v>1</v>
      </c>
      <c r="T3373" t="inlineStr">
        <is>
          <t>C:/Users/manuel.felline/Documents/BEHAVIOR BTBR/NOR second cohort/BTBR/test/c16_f4.mp4</t>
        </is>
      </c>
      <c r="U3373" t="n">
        <v>860</v>
      </c>
      <c r="V3373" t="n">
        <v>889</v>
      </c>
      <c r="W3373" t="n">
        <v/>
      </c>
      <c r="X3373" t="n">
        <v/>
      </c>
      <c r="Y3373" t="n">
        <v/>
      </c>
      <c r="Z3373" t="n">
        <v/>
      </c>
      <c r="AA3373">
        <f>SUMIFS($S$2:S3373,$A$2:A3373,A3373,$N$2:N3373,"Explore*")</f>
        <v/>
      </c>
      <c r="AB3373">
        <f>IF(AND(LEFT(N3373,7)="Explore",(AA3373-IF(LEFT(N3373,7)="Explore",S3373,0))&lt;10),"SI","NO")</f>
        <v/>
      </c>
    </row>
    <row r="3374">
      <c r="A3374" t="inlineStr">
        <is>
          <t>c16f4_test</t>
        </is>
      </c>
      <c r="B3374" t="inlineStr">
        <is>
          <t>2026-06-30 15:59:21.412</t>
        </is>
      </c>
      <c r="C3374" t="n">
        <v/>
      </c>
      <c r="D3374" t="inlineStr">
        <is>
          <t>Media file</t>
        </is>
      </c>
      <c r="E3374" t="inlineStr">
        <is>
          <t>player #1:C:/Users/manuel.felline/Documents/BEHAVIOR BTBR/NOR second cohort/BTBR/test/c16_f4.mp4</t>
        </is>
      </c>
      <c r="F3374" t="n">
        <v>-14.1</v>
      </c>
      <c r="G3374" t="n">
        <v>596.999</v>
      </c>
      <c r="H3374" t="n">
        <v>648.066</v>
      </c>
      <c r="I3374" t="n">
        <v>30</v>
      </c>
      <c r="J3374" t="inlineStr">
        <is>
          <t>BTBR</t>
        </is>
      </c>
      <c r="K3374" t="inlineStr">
        <is>
          <t xml:space="preserve"> Female</t>
        </is>
      </c>
      <c r="L3374" t="inlineStr">
        <is>
          <t>No focal subject</t>
        </is>
      </c>
      <c r="M3374" t="n">
        <v>70.292</v>
      </c>
      <c r="N3374" t="inlineStr">
        <is>
          <t>Explore_F</t>
        </is>
      </c>
      <c r="O3374" t="inlineStr">
        <is>
          <t>Familiar</t>
        </is>
      </c>
      <c r="P3374" t="inlineStr">
        <is>
          <t>STATE</t>
        </is>
      </c>
      <c r="Q3374" t="n">
        <v>18.767</v>
      </c>
      <c r="R3374" t="n">
        <v>19.6</v>
      </c>
      <c r="S3374" t="n">
        <v>0.833</v>
      </c>
      <c r="T3374" t="inlineStr">
        <is>
          <t>C:/Users/manuel.felline/Documents/BEHAVIOR BTBR/NOR second cohort/BTBR/test/c16_f4.mp4</t>
        </is>
      </c>
      <c r="U3374" t="n">
        <v>959</v>
      </c>
      <c r="V3374" t="n">
        <v>983</v>
      </c>
      <c r="W3374" t="n">
        <v/>
      </c>
      <c r="X3374" t="n">
        <v/>
      </c>
      <c r="Y3374" t="n">
        <v/>
      </c>
      <c r="Z3374" t="n">
        <v/>
      </c>
      <c r="AA3374">
        <f>SUMIFS($S$2:S3374,$A$2:A3374,A3374,$N$2:N3374,"Explore*")</f>
        <v/>
      </c>
      <c r="AB3374">
        <f>IF(AND(LEFT(N3374,7)="Explore",(AA3374-IF(LEFT(N3374,7)="Explore",S3374,0))&lt;10),"SI","NO")</f>
        <v/>
      </c>
    </row>
    <row r="3375">
      <c r="A3375" t="inlineStr">
        <is>
          <t>c16f4_test</t>
        </is>
      </c>
      <c r="B3375" t="inlineStr">
        <is>
          <t>2026-06-30 15:59:21.412</t>
        </is>
      </c>
      <c r="C3375" t="n">
        <v/>
      </c>
      <c r="D3375" t="inlineStr">
        <is>
          <t>Media file</t>
        </is>
      </c>
      <c r="E3375" t="inlineStr">
        <is>
          <t>player #1:C:/Users/manuel.felline/Documents/BEHAVIOR BTBR/NOR second cohort/BTBR/test/c16_f4.mp4</t>
        </is>
      </c>
      <c r="F3375" t="n">
        <v>-14.1</v>
      </c>
      <c r="G3375" t="n">
        <v>596.999</v>
      </c>
      <c r="H3375" t="n">
        <v>648.066</v>
      </c>
      <c r="I3375" t="n">
        <v>30</v>
      </c>
      <c r="J3375" t="inlineStr">
        <is>
          <t>BTBR</t>
        </is>
      </c>
      <c r="K3375" t="inlineStr">
        <is>
          <t xml:space="preserve"> Female</t>
        </is>
      </c>
      <c r="L3375" t="inlineStr">
        <is>
          <t>No focal subject</t>
        </is>
      </c>
      <c r="M3375" t="n">
        <v>70.292</v>
      </c>
      <c r="N3375" t="inlineStr">
        <is>
          <t>Explore_F</t>
        </is>
      </c>
      <c r="O3375" t="inlineStr">
        <is>
          <t>Familiar</t>
        </is>
      </c>
      <c r="P3375" t="inlineStr">
        <is>
          <t>STATE</t>
        </is>
      </c>
      <c r="Q3375" t="n">
        <v>22.433</v>
      </c>
      <c r="R3375" t="n">
        <v>22.733</v>
      </c>
      <c r="S3375" t="n">
        <v>0.3</v>
      </c>
      <c r="T3375" t="inlineStr">
        <is>
          <t>C:/Users/manuel.felline/Documents/BEHAVIOR BTBR/NOR second cohort/BTBR/test/c16_f4.mp4</t>
        </is>
      </c>
      <c r="U3375" t="n">
        <v>1066</v>
      </c>
      <c r="V3375" t="n">
        <v>1075</v>
      </c>
      <c r="W3375" t="n">
        <v/>
      </c>
      <c r="X3375" t="n">
        <v/>
      </c>
      <c r="Y3375" t="n">
        <v/>
      </c>
      <c r="Z3375" t="n">
        <v/>
      </c>
      <c r="AA3375">
        <f>SUMIFS($S$2:S3375,$A$2:A3375,A3375,$N$2:N3375,"Explore*")</f>
        <v/>
      </c>
      <c r="AB3375">
        <f>IF(AND(LEFT(N3375,7)="Explore",(AA3375-IF(LEFT(N3375,7)="Explore",S3375,0))&lt;10),"SI","NO")</f>
        <v/>
      </c>
    </row>
    <row r="3376">
      <c r="A3376" t="inlineStr">
        <is>
          <t>c16f4_test</t>
        </is>
      </c>
      <c r="B3376" t="inlineStr">
        <is>
          <t>2026-06-30 15:59:21.412</t>
        </is>
      </c>
      <c r="C3376" t="n">
        <v/>
      </c>
      <c r="D3376" t="inlineStr">
        <is>
          <t>Media file</t>
        </is>
      </c>
      <c r="E3376" t="inlineStr">
        <is>
          <t>player #1:C:/Users/manuel.felline/Documents/BEHAVIOR BTBR/NOR second cohort/BTBR/test/c16_f4.mp4</t>
        </is>
      </c>
      <c r="F3376" t="n">
        <v>-14.1</v>
      </c>
      <c r="G3376" t="n">
        <v>596.999</v>
      </c>
      <c r="H3376" t="n">
        <v>648.066</v>
      </c>
      <c r="I3376" t="n">
        <v>30</v>
      </c>
      <c r="J3376" t="inlineStr">
        <is>
          <t>BTBR</t>
        </is>
      </c>
      <c r="K3376" t="inlineStr">
        <is>
          <t xml:space="preserve"> Female</t>
        </is>
      </c>
      <c r="L3376" t="inlineStr">
        <is>
          <t>No focal subject</t>
        </is>
      </c>
      <c r="M3376" t="n">
        <v>70.292</v>
      </c>
      <c r="N3376" t="inlineStr">
        <is>
          <t>Explore_N</t>
        </is>
      </c>
      <c r="O3376" t="inlineStr">
        <is>
          <t>Novelty</t>
        </is>
      </c>
      <c r="P3376" t="inlineStr">
        <is>
          <t>STATE</t>
        </is>
      </c>
      <c r="Q3376" t="n">
        <v>24.533</v>
      </c>
      <c r="R3376" t="n">
        <v>25.3</v>
      </c>
      <c r="S3376" t="n">
        <v>0.767</v>
      </c>
      <c r="T3376" t="inlineStr">
        <is>
          <t>C:/Users/manuel.felline/Documents/BEHAVIOR BTBR/NOR second cohort/BTBR/test/c16_f4.mp4</t>
        </is>
      </c>
      <c r="U3376" t="n">
        <v>1127</v>
      </c>
      <c r="V3376" t="n">
        <v>1150</v>
      </c>
      <c r="W3376" t="n">
        <v/>
      </c>
      <c r="X3376" t="n">
        <v/>
      </c>
      <c r="Y3376" t="n">
        <v/>
      </c>
      <c r="Z3376" t="n">
        <v/>
      </c>
      <c r="AA3376">
        <f>SUMIFS($S$2:S3376,$A$2:A3376,A3376,$N$2:N3376,"Explore*")</f>
        <v/>
      </c>
      <c r="AB3376">
        <f>IF(AND(LEFT(N3376,7)="Explore",(AA3376-IF(LEFT(N3376,7)="Explore",S3376,0))&lt;10),"SI","NO")</f>
        <v/>
      </c>
    </row>
    <row r="3377">
      <c r="A3377" t="inlineStr">
        <is>
          <t>c16f4_test</t>
        </is>
      </c>
      <c r="B3377" t="inlineStr">
        <is>
          <t>2026-06-30 15:59:21.412</t>
        </is>
      </c>
      <c r="C3377" t="n">
        <v/>
      </c>
      <c r="D3377" t="inlineStr">
        <is>
          <t>Media file</t>
        </is>
      </c>
      <c r="E3377" t="inlineStr">
        <is>
          <t>player #1:C:/Users/manuel.felline/Documents/BEHAVIOR BTBR/NOR second cohort/BTBR/test/c16_f4.mp4</t>
        </is>
      </c>
      <c r="F3377" t="n">
        <v>-14.1</v>
      </c>
      <c r="G3377" t="n">
        <v>596.999</v>
      </c>
      <c r="H3377" t="n">
        <v>648.066</v>
      </c>
      <c r="I3377" t="n">
        <v>30</v>
      </c>
      <c r="J3377" t="inlineStr">
        <is>
          <t>BTBR</t>
        </is>
      </c>
      <c r="K3377" t="inlineStr">
        <is>
          <t xml:space="preserve"> Female</t>
        </is>
      </c>
      <c r="L3377" t="inlineStr">
        <is>
          <t>No focal subject</t>
        </is>
      </c>
      <c r="M3377" t="n">
        <v>70.292</v>
      </c>
      <c r="N3377" t="inlineStr">
        <is>
          <t>Explore_F</t>
        </is>
      </c>
      <c r="O3377" t="inlineStr">
        <is>
          <t>Familiar</t>
        </is>
      </c>
      <c r="P3377" t="inlineStr">
        <is>
          <t>STATE</t>
        </is>
      </c>
      <c r="Q3377" t="n">
        <v>26.333</v>
      </c>
      <c r="R3377" t="n">
        <v>27.167</v>
      </c>
      <c r="S3377" t="n">
        <v>0.834</v>
      </c>
      <c r="T3377" t="inlineStr">
        <is>
          <t>C:/Users/manuel.felline/Documents/BEHAVIOR BTBR/NOR second cohort/BTBR/test/c16_f4.mp4</t>
        </is>
      </c>
      <c r="U3377" t="n">
        <v>1180</v>
      </c>
      <c r="V3377" t="n">
        <v>1204</v>
      </c>
      <c r="W3377" t="n">
        <v/>
      </c>
      <c r="X3377" t="n">
        <v/>
      </c>
      <c r="Y3377" t="n">
        <v/>
      </c>
      <c r="Z3377" t="n">
        <v/>
      </c>
      <c r="AA3377">
        <f>SUMIFS($S$2:S3377,$A$2:A3377,A3377,$N$2:N3377,"Explore*")</f>
        <v/>
      </c>
      <c r="AB3377">
        <f>IF(AND(LEFT(N3377,7)="Explore",(AA3377-IF(LEFT(N3377,7)="Explore",S3377,0))&lt;10),"SI","NO")</f>
        <v/>
      </c>
    </row>
    <row r="3378">
      <c r="A3378" t="inlineStr">
        <is>
          <t>c16f4_test</t>
        </is>
      </c>
      <c r="B3378" t="inlineStr">
        <is>
          <t>2026-06-30 15:59:21.412</t>
        </is>
      </c>
      <c r="C3378" t="n">
        <v/>
      </c>
      <c r="D3378" t="inlineStr">
        <is>
          <t>Media file</t>
        </is>
      </c>
      <c r="E3378" t="inlineStr">
        <is>
          <t>player #1:C:/Users/manuel.felline/Documents/BEHAVIOR BTBR/NOR second cohort/BTBR/test/c16_f4.mp4</t>
        </is>
      </c>
      <c r="F3378" t="n">
        <v>-14.1</v>
      </c>
      <c r="G3378" t="n">
        <v>596.999</v>
      </c>
      <c r="H3378" t="n">
        <v>648.066</v>
      </c>
      <c r="I3378" t="n">
        <v>30</v>
      </c>
      <c r="J3378" t="inlineStr">
        <is>
          <t>BTBR</t>
        </is>
      </c>
      <c r="K3378" t="inlineStr">
        <is>
          <t xml:space="preserve"> Female</t>
        </is>
      </c>
      <c r="L3378" t="inlineStr">
        <is>
          <t>No focal subject</t>
        </is>
      </c>
      <c r="M3378" t="n">
        <v>70.292</v>
      </c>
      <c r="N3378" t="inlineStr">
        <is>
          <t>Explore_N</t>
        </is>
      </c>
      <c r="O3378" t="inlineStr">
        <is>
          <t>Novelty</t>
        </is>
      </c>
      <c r="P3378" t="inlineStr">
        <is>
          <t>STATE</t>
        </is>
      </c>
      <c r="Q3378" t="n">
        <v>38.867</v>
      </c>
      <c r="R3378" t="n">
        <v>39.267</v>
      </c>
      <c r="S3378" t="n">
        <v>0.4</v>
      </c>
      <c r="T3378" t="inlineStr">
        <is>
          <t>C:/Users/manuel.felline/Documents/BEHAVIOR BTBR/NOR second cohort/BTBR/test/c16_f4.mp4</t>
        </is>
      </c>
      <c r="U3378" t="n">
        <v>1545</v>
      </c>
      <c r="V3378" t="n">
        <v>1557</v>
      </c>
      <c r="W3378" t="n">
        <v/>
      </c>
      <c r="X3378" t="n">
        <v/>
      </c>
      <c r="Y3378" t="n">
        <v/>
      </c>
      <c r="Z3378" t="n">
        <v/>
      </c>
      <c r="AA3378">
        <f>SUMIFS($S$2:S3378,$A$2:A3378,A3378,$N$2:N3378,"Explore*")</f>
        <v/>
      </c>
      <c r="AB3378">
        <f>IF(AND(LEFT(N3378,7)="Explore",(AA3378-IF(LEFT(N3378,7)="Explore",S3378,0))&lt;10),"SI","NO")</f>
        <v/>
      </c>
    </row>
    <row r="3379">
      <c r="A3379" t="inlineStr">
        <is>
          <t>c16f4_test</t>
        </is>
      </c>
      <c r="B3379" t="inlineStr">
        <is>
          <t>2026-06-30 15:59:21.412</t>
        </is>
      </c>
      <c r="C3379" t="n">
        <v/>
      </c>
      <c r="D3379" t="inlineStr">
        <is>
          <t>Media file</t>
        </is>
      </c>
      <c r="E3379" t="inlineStr">
        <is>
          <t>player #1:C:/Users/manuel.felline/Documents/BEHAVIOR BTBR/NOR second cohort/BTBR/test/c16_f4.mp4</t>
        </is>
      </c>
      <c r="F3379" t="n">
        <v>-14.1</v>
      </c>
      <c r="G3379" t="n">
        <v>596.999</v>
      </c>
      <c r="H3379" t="n">
        <v>648.066</v>
      </c>
      <c r="I3379" t="n">
        <v>30</v>
      </c>
      <c r="J3379" t="inlineStr">
        <is>
          <t>BTBR</t>
        </is>
      </c>
      <c r="K3379" t="inlineStr">
        <is>
          <t xml:space="preserve"> Female</t>
        </is>
      </c>
      <c r="L3379" t="inlineStr">
        <is>
          <t>No focal subject</t>
        </is>
      </c>
      <c r="M3379" t="n">
        <v>70.292</v>
      </c>
      <c r="N3379" t="inlineStr">
        <is>
          <t>Explore_F</t>
        </is>
      </c>
      <c r="O3379" t="inlineStr">
        <is>
          <t>Familiar</t>
        </is>
      </c>
      <c r="P3379" t="inlineStr">
        <is>
          <t>STATE</t>
        </is>
      </c>
      <c r="Q3379" t="n">
        <v>41.167</v>
      </c>
      <c r="R3379" t="n">
        <v>41.8</v>
      </c>
      <c r="S3379" t="n">
        <v>0.633</v>
      </c>
      <c r="T3379" t="inlineStr">
        <is>
          <t>C:/Users/manuel.felline/Documents/BEHAVIOR BTBR/NOR second cohort/BTBR/test/c16_f4.mp4</t>
        </is>
      </c>
      <c r="U3379" t="n">
        <v>1613</v>
      </c>
      <c r="V3379" t="n">
        <v>1631</v>
      </c>
      <c r="W3379" t="n">
        <v/>
      </c>
      <c r="X3379" t="n">
        <v/>
      </c>
      <c r="Y3379" t="n">
        <v/>
      </c>
      <c r="Z3379" t="n">
        <v/>
      </c>
      <c r="AA3379">
        <f>SUMIFS($S$2:S3379,$A$2:A3379,A3379,$N$2:N3379,"Explore*")</f>
        <v/>
      </c>
      <c r="AB3379">
        <f>IF(AND(LEFT(N3379,7)="Explore",(AA3379-IF(LEFT(N3379,7)="Explore",S3379,0))&lt;10),"SI","NO")</f>
        <v/>
      </c>
    </row>
    <row r="3380">
      <c r="A3380" t="inlineStr">
        <is>
          <t>c16f4_test</t>
        </is>
      </c>
      <c r="B3380" t="inlineStr">
        <is>
          <t>2026-06-30 15:59:21.412</t>
        </is>
      </c>
      <c r="C3380" t="n">
        <v/>
      </c>
      <c r="D3380" t="inlineStr">
        <is>
          <t>Media file</t>
        </is>
      </c>
      <c r="E3380" t="inlineStr">
        <is>
          <t>player #1:C:/Users/manuel.felline/Documents/BEHAVIOR BTBR/NOR second cohort/BTBR/test/c16_f4.mp4</t>
        </is>
      </c>
      <c r="F3380" t="n">
        <v>-14.1</v>
      </c>
      <c r="G3380" t="n">
        <v>596.999</v>
      </c>
      <c r="H3380" t="n">
        <v>648.066</v>
      </c>
      <c r="I3380" t="n">
        <v>30</v>
      </c>
      <c r="J3380" t="inlineStr">
        <is>
          <t>BTBR</t>
        </is>
      </c>
      <c r="K3380" t="inlineStr">
        <is>
          <t xml:space="preserve"> Female</t>
        </is>
      </c>
      <c r="L3380" t="inlineStr">
        <is>
          <t>No focal subject</t>
        </is>
      </c>
      <c r="M3380" t="n">
        <v>70.292</v>
      </c>
      <c r="N3380" t="inlineStr">
        <is>
          <t>Explore_N</t>
        </is>
      </c>
      <c r="O3380" t="inlineStr">
        <is>
          <t>Novelty</t>
        </is>
      </c>
      <c r="P3380" t="inlineStr">
        <is>
          <t>STATE</t>
        </is>
      </c>
      <c r="Q3380" t="n">
        <v>56.967</v>
      </c>
      <c r="R3380" t="n">
        <v>58.067</v>
      </c>
      <c r="S3380" t="n">
        <v>1.1</v>
      </c>
      <c r="T3380" t="inlineStr">
        <is>
          <t>C:/Users/manuel.felline/Documents/BEHAVIOR BTBR/NOR second cohort/BTBR/test/c16_f4.mp4</t>
        </is>
      </c>
      <c r="U3380" t="n">
        <v>2074</v>
      </c>
      <c r="V3380" t="n">
        <v>2106</v>
      </c>
      <c r="W3380" t="n">
        <v/>
      </c>
      <c r="X3380" t="n">
        <v/>
      </c>
      <c r="Y3380" t="n">
        <v/>
      </c>
      <c r="Z3380" t="n">
        <v/>
      </c>
      <c r="AA3380">
        <f>SUMIFS($S$2:S3380,$A$2:A3380,A3380,$N$2:N3380,"Explore*")</f>
        <v/>
      </c>
      <c r="AB3380">
        <f>IF(AND(LEFT(N3380,7)="Explore",(AA3380-IF(LEFT(N3380,7)="Explore",S3380,0))&lt;10),"SI","NO")</f>
        <v/>
      </c>
    </row>
    <row r="3381">
      <c r="A3381" t="inlineStr">
        <is>
          <t>c16f4_test</t>
        </is>
      </c>
      <c r="B3381" t="inlineStr">
        <is>
          <t>2026-06-30 15:59:21.412</t>
        </is>
      </c>
      <c r="C3381" t="n">
        <v/>
      </c>
      <c r="D3381" t="inlineStr">
        <is>
          <t>Media file</t>
        </is>
      </c>
      <c r="E3381" t="inlineStr">
        <is>
          <t>player #1:C:/Users/manuel.felline/Documents/BEHAVIOR BTBR/NOR second cohort/BTBR/test/c16_f4.mp4</t>
        </is>
      </c>
      <c r="F3381" t="n">
        <v>-14.1</v>
      </c>
      <c r="G3381" t="n">
        <v>596.999</v>
      </c>
      <c r="H3381" t="n">
        <v>648.066</v>
      </c>
      <c r="I3381" t="n">
        <v>30</v>
      </c>
      <c r="J3381" t="inlineStr">
        <is>
          <t>BTBR</t>
        </is>
      </c>
      <c r="K3381" t="inlineStr">
        <is>
          <t xml:space="preserve"> Female</t>
        </is>
      </c>
      <c r="L3381" t="inlineStr">
        <is>
          <t>No focal subject</t>
        </is>
      </c>
      <c r="M3381" t="n">
        <v>70.292</v>
      </c>
      <c r="N3381" t="inlineStr">
        <is>
          <t>Explore_N</t>
        </is>
      </c>
      <c r="O3381" t="inlineStr">
        <is>
          <t>Novelty</t>
        </is>
      </c>
      <c r="P3381" t="inlineStr">
        <is>
          <t>STATE</t>
        </is>
      </c>
      <c r="Q3381" t="n">
        <v>59.667</v>
      </c>
      <c r="R3381" t="n">
        <v>61.167</v>
      </c>
      <c r="S3381" t="n">
        <v>1.5</v>
      </c>
      <c r="T3381" t="inlineStr">
        <is>
          <t>C:/Users/manuel.felline/Documents/BEHAVIOR BTBR/NOR second cohort/BTBR/test/c16_f4.mp4</t>
        </is>
      </c>
      <c r="U3381" t="n">
        <v>2152</v>
      </c>
      <c r="V3381" t="n">
        <v>2196</v>
      </c>
      <c r="W3381" t="n">
        <v/>
      </c>
      <c r="X3381" t="n">
        <v/>
      </c>
      <c r="Y3381" t="n">
        <v/>
      </c>
      <c r="Z3381" t="n">
        <v/>
      </c>
      <c r="AA3381">
        <f>SUMIFS($S$2:S3381,$A$2:A3381,A3381,$N$2:N3381,"Explore*")</f>
        <v/>
      </c>
      <c r="AB3381">
        <f>IF(AND(LEFT(N3381,7)="Explore",(AA3381-IF(LEFT(N3381,7)="Explore",S3381,0))&lt;10),"SI","NO")</f>
        <v/>
      </c>
    </row>
    <row r="3382">
      <c r="A3382" t="inlineStr">
        <is>
          <t>c16f4_test</t>
        </is>
      </c>
      <c r="B3382" t="inlineStr">
        <is>
          <t>2026-06-30 15:59:21.412</t>
        </is>
      </c>
      <c r="C3382" t="n">
        <v/>
      </c>
      <c r="D3382" t="inlineStr">
        <is>
          <t>Media file</t>
        </is>
      </c>
      <c r="E3382" t="inlineStr">
        <is>
          <t>player #1:C:/Users/manuel.felline/Documents/BEHAVIOR BTBR/NOR second cohort/BTBR/test/c16_f4.mp4</t>
        </is>
      </c>
      <c r="F3382" t="n">
        <v>-14.1</v>
      </c>
      <c r="G3382" t="n">
        <v>596.999</v>
      </c>
      <c r="H3382" t="n">
        <v>648.066</v>
      </c>
      <c r="I3382" t="n">
        <v>30</v>
      </c>
      <c r="J3382" t="inlineStr">
        <is>
          <t>BTBR</t>
        </is>
      </c>
      <c r="K3382" t="inlineStr">
        <is>
          <t xml:space="preserve"> Female</t>
        </is>
      </c>
      <c r="L3382" t="inlineStr">
        <is>
          <t>No focal subject</t>
        </is>
      </c>
      <c r="M3382" t="n">
        <v>70.292</v>
      </c>
      <c r="N3382" t="inlineStr">
        <is>
          <t>Explore_F</t>
        </is>
      </c>
      <c r="O3382" t="inlineStr">
        <is>
          <t>Familiar</t>
        </is>
      </c>
      <c r="P3382" t="inlineStr">
        <is>
          <t>STATE</t>
        </is>
      </c>
      <c r="Q3382" t="n">
        <v>62.033</v>
      </c>
      <c r="R3382" t="n">
        <v>62.6</v>
      </c>
      <c r="S3382" t="n">
        <v>0.5669999999999999</v>
      </c>
      <c r="T3382" t="inlineStr">
        <is>
          <t>C:/Users/manuel.felline/Documents/BEHAVIOR BTBR/NOR second cohort/BTBR/test/c16_f4.mp4</t>
        </is>
      </c>
      <c r="U3382" t="n">
        <v>2221</v>
      </c>
      <c r="V3382" t="n">
        <v>2238</v>
      </c>
      <c r="W3382" t="n">
        <v/>
      </c>
      <c r="X3382" t="n">
        <v/>
      </c>
      <c r="Y3382" t="n">
        <v/>
      </c>
      <c r="Z3382" t="n">
        <v/>
      </c>
      <c r="AA3382">
        <f>SUMIFS($S$2:S3382,$A$2:A3382,A3382,$N$2:N3382,"Explore*")</f>
        <v/>
      </c>
      <c r="AB3382">
        <f>IF(AND(LEFT(N3382,7)="Explore",(AA3382-IF(LEFT(N3382,7)="Explore",S3382,0))&lt;10),"SI","NO")</f>
        <v/>
      </c>
    </row>
    <row r="3383">
      <c r="A3383" t="inlineStr">
        <is>
          <t>c16f4_test</t>
        </is>
      </c>
      <c r="B3383" t="inlineStr">
        <is>
          <t>2026-06-30 15:59:21.412</t>
        </is>
      </c>
      <c r="C3383" t="n">
        <v/>
      </c>
      <c r="D3383" t="inlineStr">
        <is>
          <t>Media file</t>
        </is>
      </c>
      <c r="E3383" t="inlineStr">
        <is>
          <t>player #1:C:/Users/manuel.felline/Documents/BEHAVIOR BTBR/NOR second cohort/BTBR/test/c16_f4.mp4</t>
        </is>
      </c>
      <c r="F3383" t="n">
        <v>-14.1</v>
      </c>
      <c r="G3383" t="n">
        <v>596.999</v>
      </c>
      <c r="H3383" t="n">
        <v>648.066</v>
      </c>
      <c r="I3383" t="n">
        <v>30</v>
      </c>
      <c r="J3383" t="inlineStr">
        <is>
          <t>BTBR</t>
        </is>
      </c>
      <c r="K3383" t="inlineStr">
        <is>
          <t xml:space="preserve"> Female</t>
        </is>
      </c>
      <c r="L3383" t="inlineStr">
        <is>
          <t>No focal subject</t>
        </is>
      </c>
      <c r="M3383" t="n">
        <v>70.292</v>
      </c>
      <c r="N3383" t="inlineStr">
        <is>
          <t>Explore_N</t>
        </is>
      </c>
      <c r="O3383" t="inlineStr">
        <is>
          <t>Novelty</t>
        </is>
      </c>
      <c r="P3383" t="inlineStr">
        <is>
          <t>STATE</t>
        </is>
      </c>
      <c r="Q3383" t="n">
        <v>63.5</v>
      </c>
      <c r="R3383" t="n">
        <v>64.467</v>
      </c>
      <c r="S3383" t="n">
        <v>0.967</v>
      </c>
      <c r="T3383" t="inlineStr">
        <is>
          <t>C:/Users/manuel.felline/Documents/BEHAVIOR BTBR/NOR second cohort/BTBR/test/c16_f4.mp4</t>
        </is>
      </c>
      <c r="U3383" t="n">
        <v>2264</v>
      </c>
      <c r="V3383" t="n">
        <v>2292</v>
      </c>
      <c r="W3383" t="n">
        <v/>
      </c>
      <c r="X3383" t="n">
        <v/>
      </c>
      <c r="Y3383" t="n">
        <v/>
      </c>
      <c r="Z3383" t="n">
        <v/>
      </c>
      <c r="AA3383">
        <f>SUMIFS($S$2:S3383,$A$2:A3383,A3383,$N$2:N3383,"Explore*")</f>
        <v/>
      </c>
      <c r="AB3383">
        <f>IF(AND(LEFT(N3383,7)="Explore",(AA3383-IF(LEFT(N3383,7)="Explore",S3383,0))&lt;10),"SI","NO")</f>
        <v/>
      </c>
    </row>
    <row r="3384">
      <c r="A3384" t="inlineStr">
        <is>
          <t>c16f4_test</t>
        </is>
      </c>
      <c r="B3384" t="inlineStr">
        <is>
          <t>2026-06-30 15:59:21.412</t>
        </is>
      </c>
      <c r="C3384" t="n">
        <v/>
      </c>
      <c r="D3384" t="inlineStr">
        <is>
          <t>Media file</t>
        </is>
      </c>
      <c r="E3384" t="inlineStr">
        <is>
          <t>player #1:C:/Users/manuel.felline/Documents/BEHAVIOR BTBR/NOR second cohort/BTBR/test/c16_f4.mp4</t>
        </is>
      </c>
      <c r="F3384" t="n">
        <v>-14.1</v>
      </c>
      <c r="G3384" t="n">
        <v>596.999</v>
      </c>
      <c r="H3384" t="n">
        <v>648.066</v>
      </c>
      <c r="I3384" t="n">
        <v>30</v>
      </c>
      <c r="J3384" t="inlineStr">
        <is>
          <t>BTBR</t>
        </is>
      </c>
      <c r="K3384" t="inlineStr">
        <is>
          <t xml:space="preserve"> Female</t>
        </is>
      </c>
      <c r="L3384" t="inlineStr">
        <is>
          <t>No focal subject</t>
        </is>
      </c>
      <c r="M3384" t="n">
        <v>70.292</v>
      </c>
      <c r="N3384" t="inlineStr">
        <is>
          <t>Explore_N</t>
        </is>
      </c>
      <c r="O3384" t="inlineStr">
        <is>
          <t>Novelty</t>
        </is>
      </c>
      <c r="P3384" t="inlineStr">
        <is>
          <t>STATE</t>
        </is>
      </c>
      <c r="Q3384" t="n">
        <v>65.767</v>
      </c>
      <c r="R3384" t="n">
        <v>66.59999999999999</v>
      </c>
      <c r="S3384" t="n">
        <v>0.833</v>
      </c>
      <c r="T3384" t="inlineStr">
        <is>
          <t>C:/Users/manuel.felline/Documents/BEHAVIOR BTBR/NOR second cohort/BTBR/test/c16_f4.mp4</t>
        </is>
      </c>
      <c r="U3384" t="n">
        <v>2330</v>
      </c>
      <c r="V3384" t="n">
        <v>2355</v>
      </c>
      <c r="W3384" t="n">
        <v/>
      </c>
      <c r="X3384" t="n">
        <v/>
      </c>
      <c r="Y3384" t="n">
        <v/>
      </c>
      <c r="Z3384" t="n">
        <v/>
      </c>
      <c r="AA3384">
        <f>SUMIFS($S$2:S3384,$A$2:A3384,A3384,$N$2:N3384,"Explore*")</f>
        <v/>
      </c>
      <c r="AB3384">
        <f>IF(AND(LEFT(N3384,7)="Explore",(AA3384-IF(LEFT(N3384,7)="Explore",S3384,0))&lt;10),"SI","NO")</f>
        <v/>
      </c>
    </row>
    <row r="3385">
      <c r="A3385" t="inlineStr">
        <is>
          <t>c16f4_test</t>
        </is>
      </c>
      <c r="B3385" t="inlineStr">
        <is>
          <t>2026-06-30 15:59:21.412</t>
        </is>
      </c>
      <c r="C3385" t="n">
        <v/>
      </c>
      <c r="D3385" t="inlineStr">
        <is>
          <t>Media file</t>
        </is>
      </c>
      <c r="E3385" t="inlineStr">
        <is>
          <t>player #1:C:/Users/manuel.felline/Documents/BEHAVIOR BTBR/NOR second cohort/BTBR/test/c16_f4.mp4</t>
        </is>
      </c>
      <c r="F3385" t="n">
        <v>-14.1</v>
      </c>
      <c r="G3385" t="n">
        <v>596.999</v>
      </c>
      <c r="H3385" t="n">
        <v>648.066</v>
      </c>
      <c r="I3385" t="n">
        <v>30</v>
      </c>
      <c r="J3385" t="inlineStr">
        <is>
          <t>BTBR</t>
        </is>
      </c>
      <c r="K3385" t="inlineStr">
        <is>
          <t xml:space="preserve"> Female</t>
        </is>
      </c>
      <c r="L3385" t="inlineStr">
        <is>
          <t>No focal subject</t>
        </is>
      </c>
      <c r="M3385" t="n">
        <v>70.292</v>
      </c>
      <c r="N3385" t="inlineStr">
        <is>
          <t>Explore_F</t>
        </is>
      </c>
      <c r="O3385" t="inlineStr">
        <is>
          <t>Familiar</t>
        </is>
      </c>
      <c r="P3385" t="inlineStr">
        <is>
          <t>STATE</t>
        </is>
      </c>
      <c r="Q3385" t="n">
        <v>67.733</v>
      </c>
      <c r="R3385" t="n">
        <v>68.267</v>
      </c>
      <c r="S3385" t="n">
        <v>0.534</v>
      </c>
      <c r="T3385" t="inlineStr">
        <is>
          <t>C:/Users/manuel.felline/Documents/BEHAVIOR BTBR/NOR second cohort/BTBR/test/c16_f4.mp4</t>
        </is>
      </c>
      <c r="U3385" t="n">
        <v>2388</v>
      </c>
      <c r="V3385" t="n">
        <v>2403</v>
      </c>
      <c r="W3385" t="n">
        <v/>
      </c>
      <c r="X3385" t="n">
        <v/>
      </c>
      <c r="Y3385" t="n">
        <v/>
      </c>
      <c r="Z3385" t="n">
        <v/>
      </c>
      <c r="AA3385">
        <f>SUMIFS($S$2:S3385,$A$2:A3385,A3385,$N$2:N3385,"Explore*")</f>
        <v/>
      </c>
      <c r="AB3385">
        <f>IF(AND(LEFT(N3385,7)="Explore",(AA3385-IF(LEFT(N3385,7)="Explore",S3385,0))&lt;10),"SI","NO")</f>
        <v/>
      </c>
    </row>
    <row r="3386">
      <c r="A3386" t="inlineStr">
        <is>
          <t>c16f4_test</t>
        </is>
      </c>
      <c r="B3386" t="inlineStr">
        <is>
          <t>2026-06-30 15:59:21.412</t>
        </is>
      </c>
      <c r="C3386" t="n">
        <v/>
      </c>
      <c r="D3386" t="inlineStr">
        <is>
          <t>Media file</t>
        </is>
      </c>
      <c r="E3386" t="inlineStr">
        <is>
          <t>player #1:C:/Users/manuel.felline/Documents/BEHAVIOR BTBR/NOR second cohort/BTBR/test/c16_f4.mp4</t>
        </is>
      </c>
      <c r="F3386" t="n">
        <v>-14.1</v>
      </c>
      <c r="G3386" t="n">
        <v>596.999</v>
      </c>
      <c r="H3386" t="n">
        <v>648.066</v>
      </c>
      <c r="I3386" t="n">
        <v>30</v>
      </c>
      <c r="J3386" t="inlineStr">
        <is>
          <t>BTBR</t>
        </is>
      </c>
      <c r="K3386" t="inlineStr">
        <is>
          <t xml:space="preserve"> Female</t>
        </is>
      </c>
      <c r="L3386" t="inlineStr">
        <is>
          <t>No focal subject</t>
        </is>
      </c>
      <c r="M3386" t="n">
        <v>70.292</v>
      </c>
      <c r="N3386" t="inlineStr">
        <is>
          <t>Explore_N</t>
        </is>
      </c>
      <c r="O3386" t="inlineStr">
        <is>
          <t>Novelty</t>
        </is>
      </c>
      <c r="P3386" t="inlineStr">
        <is>
          <t>STATE</t>
        </is>
      </c>
      <c r="Q3386" t="n">
        <v>74.06699999999999</v>
      </c>
      <c r="R3386" t="n">
        <v>74.7</v>
      </c>
      <c r="S3386" t="n">
        <v>0.633</v>
      </c>
      <c r="T3386" t="inlineStr">
        <is>
          <t>C:/Users/manuel.felline/Documents/BEHAVIOR BTBR/NOR second cohort/BTBR/test/c16_f4.mp4</t>
        </is>
      </c>
      <c r="U3386" t="n">
        <v>2572</v>
      </c>
      <c r="V3386" t="n">
        <v>2591</v>
      </c>
      <c r="W3386" t="n">
        <v/>
      </c>
      <c r="X3386" t="n">
        <v/>
      </c>
      <c r="Y3386" t="n">
        <v/>
      </c>
      <c r="Z3386" t="n">
        <v/>
      </c>
      <c r="AA3386">
        <f>SUMIFS($S$2:S3386,$A$2:A3386,A3386,$N$2:N3386,"Explore*")</f>
        <v/>
      </c>
      <c r="AB3386">
        <f>IF(AND(LEFT(N3386,7)="Explore",(AA3386-IF(LEFT(N3386,7)="Explore",S3386,0))&lt;10),"SI","NO")</f>
        <v/>
      </c>
    </row>
    <row r="3387">
      <c r="A3387" t="inlineStr">
        <is>
          <t>c16f4_test</t>
        </is>
      </c>
      <c r="B3387" t="inlineStr">
        <is>
          <t>2026-06-30 15:59:21.412</t>
        </is>
      </c>
      <c r="C3387" t="n">
        <v/>
      </c>
      <c r="D3387" t="inlineStr">
        <is>
          <t>Media file</t>
        </is>
      </c>
      <c r="E3387" t="inlineStr">
        <is>
          <t>player #1:C:/Users/manuel.felline/Documents/BEHAVIOR BTBR/NOR second cohort/BTBR/test/c16_f4.mp4</t>
        </is>
      </c>
      <c r="F3387" t="n">
        <v>-14.1</v>
      </c>
      <c r="G3387" t="n">
        <v>596.999</v>
      </c>
      <c r="H3387" t="n">
        <v>648.066</v>
      </c>
      <c r="I3387" t="n">
        <v>30</v>
      </c>
      <c r="J3387" t="inlineStr">
        <is>
          <t>BTBR</t>
        </is>
      </c>
      <c r="K3387" t="inlineStr">
        <is>
          <t xml:space="preserve"> Female</t>
        </is>
      </c>
      <c r="L3387" t="inlineStr">
        <is>
          <t>No focal subject</t>
        </is>
      </c>
      <c r="M3387" t="n">
        <v>70.292</v>
      </c>
      <c r="N3387" t="inlineStr">
        <is>
          <t>Explore_N</t>
        </is>
      </c>
      <c r="O3387" t="inlineStr">
        <is>
          <t>Novelty</t>
        </is>
      </c>
      <c r="P3387" t="inlineStr">
        <is>
          <t>STATE</t>
        </is>
      </c>
      <c r="Q3387" t="n">
        <v>77.733</v>
      </c>
      <c r="R3387" t="n">
        <v>78.833</v>
      </c>
      <c r="S3387" t="n">
        <v>1.1</v>
      </c>
      <c r="T3387" t="inlineStr">
        <is>
          <t>C:/Users/manuel.felline/Documents/BEHAVIOR BTBR/NOR second cohort/BTBR/test/c16_f4.mp4</t>
        </is>
      </c>
      <c r="U3387" t="n">
        <v>2679</v>
      </c>
      <c r="V3387" t="n">
        <v>2712</v>
      </c>
      <c r="W3387" t="n">
        <v/>
      </c>
      <c r="X3387" t="n">
        <v/>
      </c>
      <c r="Y3387" t="n">
        <v/>
      </c>
      <c r="Z3387" t="n">
        <v/>
      </c>
      <c r="AA3387">
        <f>SUMIFS($S$2:S3387,$A$2:A3387,A3387,$N$2:N3387,"Explore*")</f>
        <v/>
      </c>
      <c r="AB3387">
        <f>IF(AND(LEFT(N3387,7)="Explore",(AA3387-IF(LEFT(N3387,7)="Explore",S3387,0))&lt;10),"SI","NO")</f>
        <v/>
      </c>
    </row>
    <row r="3388">
      <c r="A3388" t="inlineStr">
        <is>
          <t>c16f4_test</t>
        </is>
      </c>
      <c r="B3388" t="inlineStr">
        <is>
          <t>2026-06-30 15:59:21.412</t>
        </is>
      </c>
      <c r="C3388" t="n">
        <v/>
      </c>
      <c r="D3388" t="inlineStr">
        <is>
          <t>Media file</t>
        </is>
      </c>
      <c r="E3388" t="inlineStr">
        <is>
          <t>player #1:C:/Users/manuel.felline/Documents/BEHAVIOR BTBR/NOR second cohort/BTBR/test/c16_f4.mp4</t>
        </is>
      </c>
      <c r="F3388" t="n">
        <v>-14.1</v>
      </c>
      <c r="G3388" t="n">
        <v>596.999</v>
      </c>
      <c r="H3388" t="n">
        <v>648.066</v>
      </c>
      <c r="I3388" t="n">
        <v>30</v>
      </c>
      <c r="J3388" t="inlineStr">
        <is>
          <t>BTBR</t>
        </is>
      </c>
      <c r="K3388" t="inlineStr">
        <is>
          <t xml:space="preserve"> Female</t>
        </is>
      </c>
      <c r="L3388" t="inlineStr">
        <is>
          <t>No focal subject</t>
        </is>
      </c>
      <c r="M3388" t="n">
        <v>70.292</v>
      </c>
      <c r="N3388" t="inlineStr">
        <is>
          <t>Explore_F</t>
        </is>
      </c>
      <c r="O3388" t="inlineStr">
        <is>
          <t>Familiar</t>
        </is>
      </c>
      <c r="P3388" t="inlineStr">
        <is>
          <t>STATE</t>
        </is>
      </c>
      <c r="Q3388" t="n">
        <v>80.09999999999999</v>
      </c>
      <c r="R3388" t="n">
        <v>80.667</v>
      </c>
      <c r="S3388" t="n">
        <v>0.5669999999999999</v>
      </c>
      <c r="T3388" t="inlineStr">
        <is>
          <t>C:/Users/manuel.felline/Documents/BEHAVIOR BTBR/NOR second cohort/BTBR/test/c16_f4.mp4</t>
        </is>
      </c>
      <c r="U3388" t="n">
        <v>2748</v>
      </c>
      <c r="V3388" t="n">
        <v>2765</v>
      </c>
      <c r="W3388" t="n">
        <v/>
      </c>
      <c r="X3388" t="n">
        <v/>
      </c>
      <c r="Y3388" t="n">
        <v/>
      </c>
      <c r="Z3388" t="n">
        <v/>
      </c>
      <c r="AA3388">
        <f>SUMIFS($S$2:S3388,$A$2:A3388,A3388,$N$2:N3388,"Explore*")</f>
        <v/>
      </c>
      <c r="AB3388">
        <f>IF(AND(LEFT(N3388,7)="Explore",(AA3388-IF(LEFT(N3388,7)="Explore",S3388,0))&lt;10),"SI","NO")</f>
        <v/>
      </c>
    </row>
    <row r="3389">
      <c r="A3389" t="inlineStr">
        <is>
          <t>c16f4_test</t>
        </is>
      </c>
      <c r="B3389" t="inlineStr">
        <is>
          <t>2026-06-30 15:59:21.412</t>
        </is>
      </c>
      <c r="C3389" t="n">
        <v/>
      </c>
      <c r="D3389" t="inlineStr">
        <is>
          <t>Media file</t>
        </is>
      </c>
      <c r="E3389" t="inlineStr">
        <is>
          <t>player #1:C:/Users/manuel.felline/Documents/BEHAVIOR BTBR/NOR second cohort/BTBR/test/c16_f4.mp4</t>
        </is>
      </c>
      <c r="F3389" t="n">
        <v>-14.1</v>
      </c>
      <c r="G3389" t="n">
        <v>596.999</v>
      </c>
      <c r="H3389" t="n">
        <v>648.066</v>
      </c>
      <c r="I3389" t="n">
        <v>30</v>
      </c>
      <c r="J3389" t="inlineStr">
        <is>
          <t>BTBR</t>
        </is>
      </c>
      <c r="K3389" t="inlineStr">
        <is>
          <t xml:space="preserve"> Female</t>
        </is>
      </c>
      <c r="L3389" t="inlineStr">
        <is>
          <t>No focal subject</t>
        </is>
      </c>
      <c r="M3389" t="n">
        <v>70.292</v>
      </c>
      <c r="N3389" t="inlineStr">
        <is>
          <t>Explore_N</t>
        </is>
      </c>
      <c r="O3389" t="inlineStr">
        <is>
          <t>Novelty</t>
        </is>
      </c>
      <c r="P3389" t="inlineStr">
        <is>
          <t>STATE</t>
        </is>
      </c>
      <c r="Q3389" t="n">
        <v>83.2</v>
      </c>
      <c r="R3389" t="n">
        <v>84.06699999999999</v>
      </c>
      <c r="S3389" t="n">
        <v>0.867</v>
      </c>
      <c r="T3389" t="inlineStr">
        <is>
          <t>C:/Users/manuel.felline/Documents/BEHAVIOR BTBR/NOR second cohort/BTBR/test/c16_f4.mp4</t>
        </is>
      </c>
      <c r="U3389" t="n">
        <v>2839</v>
      </c>
      <c r="V3389" t="n">
        <v>2864</v>
      </c>
      <c r="W3389" t="n">
        <v/>
      </c>
      <c r="X3389" t="n">
        <v/>
      </c>
      <c r="Y3389" t="n">
        <v/>
      </c>
      <c r="Z3389" t="n">
        <v/>
      </c>
      <c r="AA3389">
        <f>SUMIFS($S$2:S3389,$A$2:A3389,A3389,$N$2:N3389,"Explore*")</f>
        <v/>
      </c>
      <c r="AB3389">
        <f>IF(AND(LEFT(N3389,7)="Explore",(AA3389-IF(LEFT(N3389,7)="Explore",S3389,0))&lt;10),"SI","NO")</f>
        <v/>
      </c>
    </row>
    <row r="3390">
      <c r="A3390" t="inlineStr">
        <is>
          <t>c16f4_test</t>
        </is>
      </c>
      <c r="B3390" t="inlineStr">
        <is>
          <t>2026-06-30 15:59:21.412</t>
        </is>
      </c>
      <c r="C3390" t="n">
        <v/>
      </c>
      <c r="D3390" t="inlineStr">
        <is>
          <t>Media file</t>
        </is>
      </c>
      <c r="E3390" t="inlineStr">
        <is>
          <t>player #1:C:/Users/manuel.felline/Documents/BEHAVIOR BTBR/NOR second cohort/BTBR/test/c16_f4.mp4</t>
        </is>
      </c>
      <c r="F3390" t="n">
        <v>-14.1</v>
      </c>
      <c r="G3390" t="n">
        <v>596.999</v>
      </c>
      <c r="H3390" t="n">
        <v>648.066</v>
      </c>
      <c r="I3390" t="n">
        <v>30</v>
      </c>
      <c r="J3390" t="inlineStr">
        <is>
          <t>BTBR</t>
        </is>
      </c>
      <c r="K3390" t="inlineStr">
        <is>
          <t xml:space="preserve"> Female</t>
        </is>
      </c>
      <c r="L3390" t="inlineStr">
        <is>
          <t>No focal subject</t>
        </is>
      </c>
      <c r="M3390" t="n">
        <v>70.292</v>
      </c>
      <c r="N3390" t="inlineStr">
        <is>
          <t>Explore_F</t>
        </is>
      </c>
      <c r="O3390" t="inlineStr">
        <is>
          <t>Familiar</t>
        </is>
      </c>
      <c r="P3390" t="inlineStr">
        <is>
          <t>STATE</t>
        </is>
      </c>
      <c r="Q3390" t="n">
        <v>85.267</v>
      </c>
      <c r="R3390" t="n">
        <v>85.733</v>
      </c>
      <c r="S3390" t="n">
        <v>0.466</v>
      </c>
      <c r="T3390" t="inlineStr">
        <is>
          <t>C:/Users/manuel.felline/Documents/BEHAVIOR BTBR/NOR second cohort/BTBR/test/c16_f4.mp4</t>
        </is>
      </c>
      <c r="U3390" t="n">
        <v>2899</v>
      </c>
      <c r="V3390" t="n">
        <v>2913</v>
      </c>
      <c r="W3390" t="n">
        <v/>
      </c>
      <c r="X3390" t="n">
        <v/>
      </c>
      <c r="Y3390" t="n">
        <v/>
      </c>
      <c r="Z3390" t="n">
        <v/>
      </c>
      <c r="AA3390">
        <f>SUMIFS($S$2:S3390,$A$2:A3390,A3390,$N$2:N3390,"Explore*")</f>
        <v/>
      </c>
      <c r="AB3390">
        <f>IF(AND(LEFT(N3390,7)="Explore",(AA3390-IF(LEFT(N3390,7)="Explore",S3390,0))&lt;10),"SI","NO")</f>
        <v/>
      </c>
    </row>
    <row r="3391">
      <c r="A3391" t="inlineStr">
        <is>
          <t>c16f4_test</t>
        </is>
      </c>
      <c r="B3391" t="inlineStr">
        <is>
          <t>2026-06-30 15:59:21.412</t>
        </is>
      </c>
      <c r="C3391" t="n">
        <v/>
      </c>
      <c r="D3391" t="inlineStr">
        <is>
          <t>Media file</t>
        </is>
      </c>
      <c r="E3391" t="inlineStr">
        <is>
          <t>player #1:C:/Users/manuel.felline/Documents/BEHAVIOR BTBR/NOR second cohort/BTBR/test/c16_f4.mp4</t>
        </is>
      </c>
      <c r="F3391" t="n">
        <v>-14.1</v>
      </c>
      <c r="G3391" t="n">
        <v>596.999</v>
      </c>
      <c r="H3391" t="n">
        <v>648.066</v>
      </c>
      <c r="I3391" t="n">
        <v>30</v>
      </c>
      <c r="J3391" t="inlineStr">
        <is>
          <t>BTBR</t>
        </is>
      </c>
      <c r="K3391" t="inlineStr">
        <is>
          <t xml:space="preserve"> Female</t>
        </is>
      </c>
      <c r="L3391" t="inlineStr">
        <is>
          <t>No focal subject</t>
        </is>
      </c>
      <c r="M3391" t="n">
        <v>70.292</v>
      </c>
      <c r="N3391" t="inlineStr">
        <is>
          <t>Explore_N</t>
        </is>
      </c>
      <c r="O3391" t="inlineStr">
        <is>
          <t>Novelty</t>
        </is>
      </c>
      <c r="P3391" t="inlineStr">
        <is>
          <t>STATE</t>
        </is>
      </c>
      <c r="Q3391" t="n">
        <v>86.8</v>
      </c>
      <c r="R3391" t="n">
        <v>87.56699999999999</v>
      </c>
      <c r="S3391" t="n">
        <v>0.767</v>
      </c>
      <c r="T3391" t="inlineStr">
        <is>
          <t>C:/Users/manuel.felline/Documents/BEHAVIOR BTBR/NOR second cohort/BTBR/test/c16_f4.mp4</t>
        </is>
      </c>
      <c r="U3391" t="n">
        <v>2944</v>
      </c>
      <c r="V3391" t="n">
        <v>2966</v>
      </c>
      <c r="W3391" t="n">
        <v/>
      </c>
      <c r="X3391" t="n">
        <v/>
      </c>
      <c r="Y3391" t="n">
        <v/>
      </c>
      <c r="Z3391" t="n">
        <v/>
      </c>
      <c r="AA3391">
        <f>SUMIFS($S$2:S3391,$A$2:A3391,A3391,$N$2:N3391,"Explore*")</f>
        <v/>
      </c>
      <c r="AB3391">
        <f>IF(AND(LEFT(N3391,7)="Explore",(AA3391-IF(LEFT(N3391,7)="Explore",S3391,0))&lt;10),"SI","NO")</f>
        <v/>
      </c>
    </row>
    <row r="3392">
      <c r="A3392" t="inlineStr">
        <is>
          <t>c16f4_test</t>
        </is>
      </c>
      <c r="B3392" t="inlineStr">
        <is>
          <t>2026-06-30 15:59:21.412</t>
        </is>
      </c>
      <c r="C3392" t="n">
        <v/>
      </c>
      <c r="D3392" t="inlineStr">
        <is>
          <t>Media file</t>
        </is>
      </c>
      <c r="E3392" t="inlineStr">
        <is>
          <t>player #1:C:/Users/manuel.felline/Documents/BEHAVIOR BTBR/NOR second cohort/BTBR/test/c16_f4.mp4</t>
        </is>
      </c>
      <c r="F3392" t="n">
        <v>-14.1</v>
      </c>
      <c r="G3392" t="n">
        <v>596.999</v>
      </c>
      <c r="H3392" t="n">
        <v>648.066</v>
      </c>
      <c r="I3392" t="n">
        <v>30</v>
      </c>
      <c r="J3392" t="inlineStr">
        <is>
          <t>BTBR</t>
        </is>
      </c>
      <c r="K3392" t="inlineStr">
        <is>
          <t xml:space="preserve"> Female</t>
        </is>
      </c>
      <c r="L3392" t="inlineStr">
        <is>
          <t>No focal subject</t>
        </is>
      </c>
      <c r="M3392" t="n">
        <v>70.292</v>
      </c>
      <c r="N3392" t="inlineStr">
        <is>
          <t>Explore_N</t>
        </is>
      </c>
      <c r="O3392" t="inlineStr">
        <is>
          <t>Novelty</t>
        </is>
      </c>
      <c r="P3392" t="inlineStr">
        <is>
          <t>STATE</t>
        </is>
      </c>
      <c r="Q3392" t="n">
        <v>93.7</v>
      </c>
      <c r="R3392" t="n">
        <v>94.467</v>
      </c>
      <c r="S3392" t="n">
        <v>0.767</v>
      </c>
      <c r="T3392" t="inlineStr">
        <is>
          <t>C:/Users/manuel.felline/Documents/BEHAVIOR BTBR/NOR second cohort/BTBR/test/c16_f4.mp4</t>
        </is>
      </c>
      <c r="U3392" t="n">
        <v>3145</v>
      </c>
      <c r="V3392" t="n">
        <v>3168</v>
      </c>
      <c r="W3392" t="n">
        <v/>
      </c>
      <c r="X3392" t="n">
        <v/>
      </c>
      <c r="Y3392" t="n">
        <v/>
      </c>
      <c r="Z3392" t="n">
        <v/>
      </c>
      <c r="AA3392">
        <f>SUMIFS($S$2:S3392,$A$2:A3392,A3392,$N$2:N3392,"Explore*")</f>
        <v/>
      </c>
      <c r="AB3392">
        <f>IF(AND(LEFT(N3392,7)="Explore",(AA3392-IF(LEFT(N3392,7)="Explore",S3392,0))&lt;10),"SI","NO")</f>
        <v/>
      </c>
    </row>
    <row r="3393">
      <c r="A3393" t="inlineStr">
        <is>
          <t>c16f4_test</t>
        </is>
      </c>
      <c r="B3393" t="inlineStr">
        <is>
          <t>2026-06-30 15:59:21.412</t>
        </is>
      </c>
      <c r="C3393" t="n">
        <v/>
      </c>
      <c r="D3393" t="inlineStr">
        <is>
          <t>Media file</t>
        </is>
      </c>
      <c r="E3393" t="inlineStr">
        <is>
          <t>player #1:C:/Users/manuel.felline/Documents/BEHAVIOR BTBR/NOR second cohort/BTBR/test/c16_f4.mp4</t>
        </is>
      </c>
      <c r="F3393" t="n">
        <v>-14.1</v>
      </c>
      <c r="G3393" t="n">
        <v>596.999</v>
      </c>
      <c r="H3393" t="n">
        <v>648.066</v>
      </c>
      <c r="I3393" t="n">
        <v>30</v>
      </c>
      <c r="J3393" t="inlineStr">
        <is>
          <t>BTBR</t>
        </is>
      </c>
      <c r="K3393" t="inlineStr">
        <is>
          <t xml:space="preserve"> Female</t>
        </is>
      </c>
      <c r="L3393" t="inlineStr">
        <is>
          <t>No focal subject</t>
        </is>
      </c>
      <c r="M3393" t="n">
        <v>70.292</v>
      </c>
      <c r="N3393" t="inlineStr">
        <is>
          <t>Explore_N</t>
        </is>
      </c>
      <c r="O3393" t="inlineStr">
        <is>
          <t>Novelty</t>
        </is>
      </c>
      <c r="P3393" t="inlineStr">
        <is>
          <t>STATE</t>
        </is>
      </c>
      <c r="Q3393" t="n">
        <v>95.8</v>
      </c>
      <c r="R3393" t="n">
        <v>96.2</v>
      </c>
      <c r="S3393" t="n">
        <v>0.4</v>
      </c>
      <c r="T3393" t="inlineStr">
        <is>
          <t>C:/Users/manuel.felline/Documents/BEHAVIOR BTBR/NOR second cohort/BTBR/test/c16_f4.mp4</t>
        </is>
      </c>
      <c r="U3393" t="n">
        <v>3207</v>
      </c>
      <c r="V3393" t="n">
        <v>3218</v>
      </c>
      <c r="W3393" t="n">
        <v/>
      </c>
      <c r="X3393" t="n">
        <v/>
      </c>
      <c r="Y3393" t="n">
        <v/>
      </c>
      <c r="Z3393" t="n">
        <v/>
      </c>
      <c r="AA3393">
        <f>SUMIFS($S$2:S3393,$A$2:A3393,A3393,$N$2:N3393,"Explore*")</f>
        <v/>
      </c>
      <c r="AB3393">
        <f>IF(AND(LEFT(N3393,7)="Explore",(AA3393-IF(LEFT(N3393,7)="Explore",S3393,0))&lt;10),"SI","NO")</f>
        <v/>
      </c>
    </row>
    <row r="3394">
      <c r="A3394" t="inlineStr">
        <is>
          <t>c16f4_test</t>
        </is>
      </c>
      <c r="B3394" t="inlineStr">
        <is>
          <t>2026-06-30 15:59:21.412</t>
        </is>
      </c>
      <c r="C3394" t="n">
        <v/>
      </c>
      <c r="D3394" t="inlineStr">
        <is>
          <t>Media file</t>
        </is>
      </c>
      <c r="E3394" t="inlineStr">
        <is>
          <t>player #1:C:/Users/manuel.felline/Documents/BEHAVIOR BTBR/NOR second cohort/BTBR/test/c16_f4.mp4</t>
        </is>
      </c>
      <c r="F3394" t="n">
        <v>-14.1</v>
      </c>
      <c r="G3394" t="n">
        <v>596.999</v>
      </c>
      <c r="H3394" t="n">
        <v>648.066</v>
      </c>
      <c r="I3394" t="n">
        <v>30</v>
      </c>
      <c r="J3394" t="inlineStr">
        <is>
          <t>BTBR</t>
        </is>
      </c>
      <c r="K3394" t="inlineStr">
        <is>
          <t xml:space="preserve"> Female</t>
        </is>
      </c>
      <c r="L3394" t="inlineStr">
        <is>
          <t>No focal subject</t>
        </is>
      </c>
      <c r="M3394" t="n">
        <v>70.292</v>
      </c>
      <c r="N3394" t="inlineStr">
        <is>
          <t>Explore_N</t>
        </is>
      </c>
      <c r="O3394" t="inlineStr">
        <is>
          <t>Novelty</t>
        </is>
      </c>
      <c r="P3394" t="inlineStr">
        <is>
          <t>STATE</t>
        </is>
      </c>
      <c r="Q3394" t="n">
        <v>111.733</v>
      </c>
      <c r="R3394" t="n">
        <v>113.133</v>
      </c>
      <c r="S3394" t="n">
        <v>1.4</v>
      </c>
      <c r="T3394" t="inlineStr">
        <is>
          <t>C:/Users/manuel.felline/Documents/BEHAVIOR BTBR/NOR second cohort/BTBR/test/c16_f4.mp4</t>
        </is>
      </c>
      <c r="U3394" t="n">
        <v>3671</v>
      </c>
      <c r="V3394" t="n">
        <v>3712</v>
      </c>
      <c r="W3394" t="n">
        <v/>
      </c>
      <c r="X3394" t="n">
        <v/>
      </c>
      <c r="Y3394" t="n">
        <v/>
      </c>
      <c r="Z3394" t="n">
        <v/>
      </c>
      <c r="AA3394">
        <f>SUMIFS($S$2:S3394,$A$2:A3394,A3394,$N$2:N3394,"Explore*")</f>
        <v/>
      </c>
      <c r="AB3394">
        <f>IF(AND(LEFT(N3394,7)="Explore",(AA3394-IF(LEFT(N3394,7)="Explore",S3394,0))&lt;10),"SI","NO")</f>
        <v/>
      </c>
    </row>
    <row r="3395">
      <c r="A3395" t="inlineStr">
        <is>
          <t>c16f4_test</t>
        </is>
      </c>
      <c r="B3395" t="inlineStr">
        <is>
          <t>2026-06-30 15:59:21.412</t>
        </is>
      </c>
      <c r="C3395" t="n">
        <v/>
      </c>
      <c r="D3395" t="inlineStr">
        <is>
          <t>Media file</t>
        </is>
      </c>
      <c r="E3395" t="inlineStr">
        <is>
          <t>player #1:C:/Users/manuel.felline/Documents/BEHAVIOR BTBR/NOR second cohort/BTBR/test/c16_f4.mp4</t>
        </is>
      </c>
      <c r="F3395" t="n">
        <v>-14.1</v>
      </c>
      <c r="G3395" t="n">
        <v>596.999</v>
      </c>
      <c r="H3395" t="n">
        <v>648.066</v>
      </c>
      <c r="I3395" t="n">
        <v>30</v>
      </c>
      <c r="J3395" t="inlineStr">
        <is>
          <t>BTBR</t>
        </is>
      </c>
      <c r="K3395" t="inlineStr">
        <is>
          <t xml:space="preserve"> Female</t>
        </is>
      </c>
      <c r="L3395" t="inlineStr">
        <is>
          <t>No focal subject</t>
        </is>
      </c>
      <c r="M3395" t="n">
        <v>70.292</v>
      </c>
      <c r="N3395" t="inlineStr">
        <is>
          <t>Explore_N</t>
        </is>
      </c>
      <c r="O3395" t="inlineStr">
        <is>
          <t>Novelty</t>
        </is>
      </c>
      <c r="P3395" t="inlineStr">
        <is>
          <t>STATE</t>
        </is>
      </c>
      <c r="Q3395" t="n">
        <v>114.933</v>
      </c>
      <c r="R3395" t="n">
        <v>115.533</v>
      </c>
      <c r="S3395" t="n">
        <v>0.6</v>
      </c>
      <c r="T3395" t="inlineStr">
        <is>
          <t>C:/Users/manuel.felline/Documents/BEHAVIOR BTBR/NOR second cohort/BTBR/test/c16_f4.mp4</t>
        </is>
      </c>
      <c r="U3395" t="n">
        <v>3765</v>
      </c>
      <c r="V3395" t="n">
        <v>3782</v>
      </c>
      <c r="W3395" t="n">
        <v/>
      </c>
      <c r="X3395" t="n">
        <v/>
      </c>
      <c r="Y3395" t="n">
        <v/>
      </c>
      <c r="Z3395" t="n">
        <v/>
      </c>
      <c r="AA3395">
        <f>SUMIFS($S$2:S3395,$A$2:A3395,A3395,$N$2:N3395,"Explore*")</f>
        <v/>
      </c>
      <c r="AB3395">
        <f>IF(AND(LEFT(N3395,7)="Explore",(AA3395-IF(LEFT(N3395,7)="Explore",S3395,0))&lt;10),"SI","NO")</f>
        <v/>
      </c>
    </row>
    <row r="3396">
      <c r="A3396" t="inlineStr">
        <is>
          <t>c16f4_test</t>
        </is>
      </c>
      <c r="B3396" t="inlineStr">
        <is>
          <t>2026-06-30 15:59:21.412</t>
        </is>
      </c>
      <c r="C3396" t="n">
        <v/>
      </c>
      <c r="D3396" t="inlineStr">
        <is>
          <t>Media file</t>
        </is>
      </c>
      <c r="E3396" t="inlineStr">
        <is>
          <t>player #1:C:/Users/manuel.felline/Documents/BEHAVIOR BTBR/NOR second cohort/BTBR/test/c16_f4.mp4</t>
        </is>
      </c>
      <c r="F3396" t="n">
        <v>-14.1</v>
      </c>
      <c r="G3396" t="n">
        <v>596.999</v>
      </c>
      <c r="H3396" t="n">
        <v>648.066</v>
      </c>
      <c r="I3396" t="n">
        <v>30</v>
      </c>
      <c r="J3396" t="inlineStr">
        <is>
          <t>BTBR</t>
        </is>
      </c>
      <c r="K3396" t="inlineStr">
        <is>
          <t xml:space="preserve"> Female</t>
        </is>
      </c>
      <c r="L3396" t="inlineStr">
        <is>
          <t>No focal subject</t>
        </is>
      </c>
      <c r="M3396" t="n">
        <v>70.292</v>
      </c>
      <c r="N3396" t="inlineStr">
        <is>
          <t>Explore_F</t>
        </is>
      </c>
      <c r="O3396" t="inlineStr">
        <is>
          <t>Familiar</t>
        </is>
      </c>
      <c r="P3396" t="inlineStr">
        <is>
          <t>STATE</t>
        </is>
      </c>
      <c r="Q3396" t="n">
        <v>117.367</v>
      </c>
      <c r="R3396" t="n">
        <v>118.033</v>
      </c>
      <c r="S3396" t="n">
        <v>0.666</v>
      </c>
      <c r="T3396" t="inlineStr">
        <is>
          <t>C:/Users/manuel.felline/Documents/BEHAVIOR BTBR/NOR second cohort/BTBR/test/c16_f4.mp4</t>
        </is>
      </c>
      <c r="U3396" t="n">
        <v>3836</v>
      </c>
      <c r="V3396" t="n">
        <v>3855</v>
      </c>
      <c r="W3396" t="n">
        <v/>
      </c>
      <c r="X3396" t="n">
        <v/>
      </c>
      <c r="Y3396" t="n">
        <v/>
      </c>
      <c r="Z3396" t="n">
        <v/>
      </c>
      <c r="AA3396">
        <f>SUMIFS($S$2:S3396,$A$2:A3396,A3396,$N$2:N3396,"Explore*")</f>
        <v/>
      </c>
      <c r="AB3396">
        <f>IF(AND(LEFT(N3396,7)="Explore",(AA3396-IF(LEFT(N3396,7)="Explore",S3396,0))&lt;10),"SI","NO")</f>
        <v/>
      </c>
    </row>
    <row r="3397">
      <c r="A3397" t="inlineStr">
        <is>
          <t>c16f4_test</t>
        </is>
      </c>
      <c r="B3397" t="inlineStr">
        <is>
          <t>2026-06-30 15:59:21.412</t>
        </is>
      </c>
      <c r="C3397" t="n">
        <v/>
      </c>
      <c r="D3397" t="inlineStr">
        <is>
          <t>Media file</t>
        </is>
      </c>
      <c r="E3397" t="inlineStr">
        <is>
          <t>player #1:C:/Users/manuel.felline/Documents/BEHAVIOR BTBR/NOR second cohort/BTBR/test/c16_f4.mp4</t>
        </is>
      </c>
      <c r="F3397" t="n">
        <v>-14.1</v>
      </c>
      <c r="G3397" t="n">
        <v>596.999</v>
      </c>
      <c r="H3397" t="n">
        <v>648.066</v>
      </c>
      <c r="I3397" t="n">
        <v>30</v>
      </c>
      <c r="J3397" t="inlineStr">
        <is>
          <t>BTBR</t>
        </is>
      </c>
      <c r="K3397" t="inlineStr">
        <is>
          <t xml:space="preserve"> Female</t>
        </is>
      </c>
      <c r="L3397" t="inlineStr">
        <is>
          <t>No focal subject</t>
        </is>
      </c>
      <c r="M3397" t="n">
        <v>70.292</v>
      </c>
      <c r="N3397" t="inlineStr">
        <is>
          <t>Explore_N</t>
        </is>
      </c>
      <c r="O3397" t="inlineStr">
        <is>
          <t>Novelty</t>
        </is>
      </c>
      <c r="P3397" t="inlineStr">
        <is>
          <t>STATE</t>
        </is>
      </c>
      <c r="Q3397" t="n">
        <v>118.833</v>
      </c>
      <c r="R3397" t="n">
        <v>120.767</v>
      </c>
      <c r="S3397" t="n">
        <v>1.934</v>
      </c>
      <c r="T3397" t="inlineStr">
        <is>
          <t>C:/Users/manuel.felline/Documents/BEHAVIOR BTBR/NOR second cohort/BTBR/test/c16_f4.mp4</t>
        </is>
      </c>
      <c r="U3397" t="n">
        <v>3879</v>
      </c>
      <c r="V3397" t="n">
        <v>3935</v>
      </c>
      <c r="W3397" t="n">
        <v/>
      </c>
      <c r="X3397" t="n">
        <v/>
      </c>
      <c r="Y3397" t="n">
        <v/>
      </c>
      <c r="Z3397" t="n">
        <v/>
      </c>
      <c r="AA3397">
        <f>SUMIFS($S$2:S3397,$A$2:A3397,A3397,$N$2:N3397,"Explore*")</f>
        <v/>
      </c>
      <c r="AB3397">
        <f>IF(AND(LEFT(N3397,7)="Explore",(AA3397-IF(LEFT(N3397,7)="Explore",S3397,0))&lt;10),"SI","NO")</f>
        <v/>
      </c>
    </row>
    <row r="3398">
      <c r="A3398" t="inlineStr">
        <is>
          <t>c16f4_test</t>
        </is>
      </c>
      <c r="B3398" t="inlineStr">
        <is>
          <t>2026-06-30 15:59:21.412</t>
        </is>
      </c>
      <c r="C3398" t="n">
        <v/>
      </c>
      <c r="D3398" t="inlineStr">
        <is>
          <t>Media file</t>
        </is>
      </c>
      <c r="E3398" t="inlineStr">
        <is>
          <t>player #1:C:/Users/manuel.felline/Documents/BEHAVIOR BTBR/NOR second cohort/BTBR/test/c16_f4.mp4</t>
        </is>
      </c>
      <c r="F3398" t="n">
        <v>-14.1</v>
      </c>
      <c r="G3398" t="n">
        <v>596.999</v>
      </c>
      <c r="H3398" t="n">
        <v>648.066</v>
      </c>
      <c r="I3398" t="n">
        <v>30</v>
      </c>
      <c r="J3398" t="inlineStr">
        <is>
          <t>BTBR</t>
        </is>
      </c>
      <c r="K3398" t="inlineStr">
        <is>
          <t xml:space="preserve"> Female</t>
        </is>
      </c>
      <c r="L3398" t="inlineStr">
        <is>
          <t>No focal subject</t>
        </is>
      </c>
      <c r="M3398" t="n">
        <v>70.292</v>
      </c>
      <c r="N3398" t="inlineStr">
        <is>
          <t>Explore_F</t>
        </is>
      </c>
      <c r="O3398" t="inlineStr">
        <is>
          <t>Familiar</t>
        </is>
      </c>
      <c r="P3398" t="inlineStr">
        <is>
          <t>STATE</t>
        </is>
      </c>
      <c r="Q3398" t="n">
        <v>125.267</v>
      </c>
      <c r="R3398" t="n">
        <v>125.833</v>
      </c>
      <c r="S3398" t="n">
        <v>0.5659999999999999</v>
      </c>
      <c r="T3398" t="inlineStr">
        <is>
          <t>C:/Users/manuel.felline/Documents/BEHAVIOR BTBR/NOR second cohort/BTBR/test/c16_f4.mp4</t>
        </is>
      </c>
      <c r="U3398" t="n">
        <v>4066</v>
      </c>
      <c r="V3398" t="n">
        <v>4083</v>
      </c>
      <c r="W3398" t="n">
        <v/>
      </c>
      <c r="X3398" t="n">
        <v/>
      </c>
      <c r="Y3398" t="n">
        <v/>
      </c>
      <c r="Z3398" t="n">
        <v/>
      </c>
      <c r="AA3398">
        <f>SUMIFS($S$2:S3398,$A$2:A3398,A3398,$N$2:N3398,"Explore*")</f>
        <v/>
      </c>
      <c r="AB3398">
        <f>IF(AND(LEFT(N3398,7)="Explore",(AA3398-IF(LEFT(N3398,7)="Explore",S3398,0))&lt;10),"SI","NO")</f>
        <v/>
      </c>
    </row>
    <row r="3399">
      <c r="A3399" t="inlineStr">
        <is>
          <t>c16f4_test</t>
        </is>
      </c>
      <c r="B3399" t="inlineStr">
        <is>
          <t>2026-06-30 15:59:21.412</t>
        </is>
      </c>
      <c r="C3399" t="n">
        <v/>
      </c>
      <c r="D3399" t="inlineStr">
        <is>
          <t>Media file</t>
        </is>
      </c>
      <c r="E3399" t="inlineStr">
        <is>
          <t>player #1:C:/Users/manuel.felline/Documents/BEHAVIOR BTBR/NOR second cohort/BTBR/test/c16_f4.mp4</t>
        </is>
      </c>
      <c r="F3399" t="n">
        <v>-14.1</v>
      </c>
      <c r="G3399" t="n">
        <v>596.999</v>
      </c>
      <c r="H3399" t="n">
        <v>648.066</v>
      </c>
      <c r="I3399" t="n">
        <v>30</v>
      </c>
      <c r="J3399" t="inlineStr">
        <is>
          <t>BTBR</t>
        </is>
      </c>
      <c r="K3399" t="inlineStr">
        <is>
          <t xml:space="preserve"> Female</t>
        </is>
      </c>
      <c r="L3399" t="inlineStr">
        <is>
          <t>No focal subject</t>
        </is>
      </c>
      <c r="M3399" t="n">
        <v>70.292</v>
      </c>
      <c r="N3399" t="inlineStr">
        <is>
          <t>Explore_N</t>
        </is>
      </c>
      <c r="O3399" t="inlineStr">
        <is>
          <t>Novelty</t>
        </is>
      </c>
      <c r="P3399" t="inlineStr">
        <is>
          <t>STATE</t>
        </is>
      </c>
      <c r="Q3399" t="n">
        <v>137.533</v>
      </c>
      <c r="R3399" t="n">
        <v>138.167</v>
      </c>
      <c r="S3399" t="n">
        <v>0.634</v>
      </c>
      <c r="T3399" t="inlineStr">
        <is>
          <t>C:/Users/manuel.felline/Documents/BEHAVIOR BTBR/NOR second cohort/BTBR/test/c16_f4.mp4</t>
        </is>
      </c>
      <c r="U3399" t="n">
        <v>4424</v>
      </c>
      <c r="V3399" t="n">
        <v>4443</v>
      </c>
      <c r="W3399" t="n">
        <v/>
      </c>
      <c r="X3399" t="n">
        <v/>
      </c>
      <c r="Y3399" t="n">
        <v/>
      </c>
      <c r="Z3399" t="n">
        <v/>
      </c>
      <c r="AA3399">
        <f>SUMIFS($S$2:S3399,$A$2:A3399,A3399,$N$2:N3399,"Explore*")</f>
        <v/>
      </c>
      <c r="AB3399">
        <f>IF(AND(LEFT(N3399,7)="Explore",(AA3399-IF(LEFT(N3399,7)="Explore",S3399,0))&lt;10),"SI","NO")</f>
        <v/>
      </c>
    </row>
    <row r="3400">
      <c r="A3400" t="inlineStr">
        <is>
          <t>c16f4_test</t>
        </is>
      </c>
      <c r="B3400" t="inlineStr">
        <is>
          <t>2026-06-30 15:59:21.412</t>
        </is>
      </c>
      <c r="C3400" t="n">
        <v/>
      </c>
      <c r="D3400" t="inlineStr">
        <is>
          <t>Media file</t>
        </is>
      </c>
      <c r="E3400" t="inlineStr">
        <is>
          <t>player #1:C:/Users/manuel.felline/Documents/BEHAVIOR BTBR/NOR second cohort/BTBR/test/c16_f4.mp4</t>
        </is>
      </c>
      <c r="F3400" t="n">
        <v>-14.1</v>
      </c>
      <c r="G3400" t="n">
        <v>596.999</v>
      </c>
      <c r="H3400" t="n">
        <v>648.066</v>
      </c>
      <c r="I3400" t="n">
        <v>30</v>
      </c>
      <c r="J3400" t="inlineStr">
        <is>
          <t>BTBR</t>
        </is>
      </c>
      <c r="K3400" t="inlineStr">
        <is>
          <t xml:space="preserve"> Female</t>
        </is>
      </c>
      <c r="L3400" t="inlineStr">
        <is>
          <t>No focal subject</t>
        </is>
      </c>
      <c r="M3400" t="n">
        <v>70.292</v>
      </c>
      <c r="N3400" t="inlineStr">
        <is>
          <t>Explore_F</t>
        </is>
      </c>
      <c r="O3400" t="inlineStr">
        <is>
          <t>Familiar</t>
        </is>
      </c>
      <c r="P3400" t="inlineStr">
        <is>
          <t>STATE</t>
        </is>
      </c>
      <c r="Q3400" t="n">
        <v>140.7</v>
      </c>
      <c r="R3400" t="n">
        <v>141.067</v>
      </c>
      <c r="S3400" t="n">
        <v>0.367</v>
      </c>
      <c r="T3400" t="inlineStr">
        <is>
          <t>C:/Users/manuel.felline/Documents/BEHAVIOR BTBR/NOR second cohort/BTBR/test/c16_f4.mp4</t>
        </is>
      </c>
      <c r="U3400" t="n">
        <v>4517</v>
      </c>
      <c r="V3400" t="n">
        <v>4527</v>
      </c>
      <c r="W3400" t="n">
        <v/>
      </c>
      <c r="X3400" t="n">
        <v/>
      </c>
      <c r="Y3400" t="n">
        <v/>
      </c>
      <c r="Z3400" t="n">
        <v/>
      </c>
      <c r="AA3400">
        <f>SUMIFS($S$2:S3400,$A$2:A3400,A3400,$N$2:N3400,"Explore*")</f>
        <v/>
      </c>
      <c r="AB3400">
        <f>IF(AND(LEFT(N3400,7)="Explore",(AA3400-IF(LEFT(N3400,7)="Explore",S3400,0))&lt;10),"SI","NO")</f>
        <v/>
      </c>
    </row>
    <row r="3401">
      <c r="A3401" t="inlineStr">
        <is>
          <t>c16f4_test</t>
        </is>
      </c>
      <c r="B3401" t="inlineStr">
        <is>
          <t>2026-06-30 15:59:21.412</t>
        </is>
      </c>
      <c r="C3401" t="n">
        <v/>
      </c>
      <c r="D3401" t="inlineStr">
        <is>
          <t>Media file</t>
        </is>
      </c>
      <c r="E3401" t="inlineStr">
        <is>
          <t>player #1:C:/Users/manuel.felline/Documents/BEHAVIOR BTBR/NOR second cohort/BTBR/test/c16_f4.mp4</t>
        </is>
      </c>
      <c r="F3401" t="n">
        <v>-14.1</v>
      </c>
      <c r="G3401" t="n">
        <v>596.999</v>
      </c>
      <c r="H3401" t="n">
        <v>648.066</v>
      </c>
      <c r="I3401" t="n">
        <v>30</v>
      </c>
      <c r="J3401" t="inlineStr">
        <is>
          <t>BTBR</t>
        </is>
      </c>
      <c r="K3401" t="inlineStr">
        <is>
          <t xml:space="preserve"> Female</t>
        </is>
      </c>
      <c r="L3401" t="inlineStr">
        <is>
          <t>No focal subject</t>
        </is>
      </c>
      <c r="M3401" t="n">
        <v>70.292</v>
      </c>
      <c r="N3401" t="inlineStr">
        <is>
          <t>Explore_F</t>
        </is>
      </c>
      <c r="O3401" t="inlineStr">
        <is>
          <t>Familiar</t>
        </is>
      </c>
      <c r="P3401" t="inlineStr">
        <is>
          <t>STATE</t>
        </is>
      </c>
      <c r="Q3401" t="n">
        <v>142.533</v>
      </c>
      <c r="R3401" t="n">
        <v>142.967</v>
      </c>
      <c r="S3401" t="n">
        <v>0.434</v>
      </c>
      <c r="T3401" t="inlineStr">
        <is>
          <t>C:/Users/manuel.felline/Documents/BEHAVIOR BTBR/NOR second cohort/BTBR/test/c16_f4.mp4</t>
        </is>
      </c>
      <c r="U3401" t="n">
        <v>4570</v>
      </c>
      <c r="V3401" t="n">
        <v>4583</v>
      </c>
      <c r="W3401" t="n">
        <v/>
      </c>
      <c r="X3401" t="n">
        <v/>
      </c>
      <c r="Y3401" t="n">
        <v/>
      </c>
      <c r="Z3401" t="n">
        <v/>
      </c>
      <c r="AA3401">
        <f>SUMIFS($S$2:S3401,$A$2:A3401,A3401,$N$2:N3401,"Explore*")</f>
        <v/>
      </c>
      <c r="AB3401">
        <f>IF(AND(LEFT(N3401,7)="Explore",(AA3401-IF(LEFT(N3401,7)="Explore",S3401,0))&lt;10),"SI","NO")</f>
        <v/>
      </c>
    </row>
    <row r="3402">
      <c r="A3402" t="inlineStr">
        <is>
          <t>c16f4_test</t>
        </is>
      </c>
      <c r="B3402" t="inlineStr">
        <is>
          <t>2026-06-30 15:59:21.412</t>
        </is>
      </c>
      <c r="C3402" t="n">
        <v/>
      </c>
      <c r="D3402" t="inlineStr">
        <is>
          <t>Media file</t>
        </is>
      </c>
      <c r="E3402" t="inlineStr">
        <is>
          <t>player #1:C:/Users/manuel.felline/Documents/BEHAVIOR BTBR/NOR second cohort/BTBR/test/c16_f4.mp4</t>
        </is>
      </c>
      <c r="F3402" t="n">
        <v>-14.1</v>
      </c>
      <c r="G3402" t="n">
        <v>596.999</v>
      </c>
      <c r="H3402" t="n">
        <v>648.066</v>
      </c>
      <c r="I3402" t="n">
        <v>30</v>
      </c>
      <c r="J3402" t="inlineStr">
        <is>
          <t>BTBR</t>
        </is>
      </c>
      <c r="K3402" t="inlineStr">
        <is>
          <t xml:space="preserve"> Female</t>
        </is>
      </c>
      <c r="L3402" t="inlineStr">
        <is>
          <t>No focal subject</t>
        </is>
      </c>
      <c r="M3402" t="n">
        <v>70.292</v>
      </c>
      <c r="N3402" t="inlineStr">
        <is>
          <t>Explore_N</t>
        </is>
      </c>
      <c r="O3402" t="inlineStr">
        <is>
          <t>Novelty</t>
        </is>
      </c>
      <c r="P3402" t="inlineStr">
        <is>
          <t>STATE</t>
        </is>
      </c>
      <c r="Q3402" t="n">
        <v>161.766</v>
      </c>
      <c r="R3402" t="n">
        <v>162.466</v>
      </c>
      <c r="S3402" t="n">
        <v>0.7</v>
      </c>
      <c r="T3402" t="inlineStr">
        <is>
          <t>C:/Users/manuel.felline/Documents/BEHAVIOR BTBR/NOR second cohort/BTBR/test/c16_f4.mp4</t>
        </is>
      </c>
      <c r="U3402" t="n">
        <v>5131</v>
      </c>
      <c r="V3402" t="n">
        <v>5152</v>
      </c>
      <c r="W3402" t="n">
        <v/>
      </c>
      <c r="X3402" t="n">
        <v/>
      </c>
      <c r="Y3402" t="n">
        <v/>
      </c>
      <c r="Z3402" t="n">
        <v/>
      </c>
      <c r="AA3402">
        <f>SUMIFS($S$2:S3402,$A$2:A3402,A3402,$N$2:N3402,"Explore*")</f>
        <v/>
      </c>
      <c r="AB3402">
        <f>IF(AND(LEFT(N3402,7)="Explore",(AA3402-IF(LEFT(N3402,7)="Explore",S3402,0))&lt;10),"SI","NO")</f>
        <v/>
      </c>
    </row>
    <row r="3403">
      <c r="A3403" t="inlineStr">
        <is>
          <t>c16f4_test</t>
        </is>
      </c>
      <c r="B3403" t="inlineStr">
        <is>
          <t>2026-06-30 15:59:21.412</t>
        </is>
      </c>
      <c r="C3403" t="n">
        <v/>
      </c>
      <c r="D3403" t="inlineStr">
        <is>
          <t>Media file</t>
        </is>
      </c>
      <c r="E3403" t="inlineStr">
        <is>
          <t>player #1:C:/Users/manuel.felline/Documents/BEHAVIOR BTBR/NOR second cohort/BTBR/test/c16_f4.mp4</t>
        </is>
      </c>
      <c r="F3403" t="n">
        <v>-14.1</v>
      </c>
      <c r="G3403" t="n">
        <v>596.999</v>
      </c>
      <c r="H3403" t="n">
        <v>648.066</v>
      </c>
      <c r="I3403" t="n">
        <v>30</v>
      </c>
      <c r="J3403" t="inlineStr">
        <is>
          <t>BTBR</t>
        </is>
      </c>
      <c r="K3403" t="inlineStr">
        <is>
          <t xml:space="preserve"> Female</t>
        </is>
      </c>
      <c r="L3403" t="inlineStr">
        <is>
          <t>No focal subject</t>
        </is>
      </c>
      <c r="M3403" t="n">
        <v>70.292</v>
      </c>
      <c r="N3403" t="inlineStr">
        <is>
          <t>Explore_F</t>
        </is>
      </c>
      <c r="O3403" t="inlineStr">
        <is>
          <t>Familiar</t>
        </is>
      </c>
      <c r="P3403" t="inlineStr">
        <is>
          <t>STATE</t>
        </is>
      </c>
      <c r="Q3403" t="n">
        <v>163.166</v>
      </c>
      <c r="R3403" t="n">
        <v>163.766</v>
      </c>
      <c r="S3403" t="n">
        <v>0.6</v>
      </c>
      <c r="T3403" t="inlineStr">
        <is>
          <t>C:/Users/manuel.felline/Documents/BEHAVIOR BTBR/NOR second cohort/BTBR/test/c16_f4.mp4</t>
        </is>
      </c>
      <c r="U3403" t="n">
        <v>5172</v>
      </c>
      <c r="V3403" t="n">
        <v>5190</v>
      </c>
      <c r="W3403" t="n">
        <v/>
      </c>
      <c r="X3403" t="n">
        <v/>
      </c>
      <c r="Y3403" t="n">
        <v/>
      </c>
      <c r="Z3403" t="n">
        <v/>
      </c>
      <c r="AA3403">
        <f>SUMIFS($S$2:S3403,$A$2:A3403,A3403,$N$2:N3403,"Explore*")</f>
        <v/>
      </c>
      <c r="AB3403">
        <f>IF(AND(LEFT(N3403,7)="Explore",(AA3403-IF(LEFT(N3403,7)="Explore",S3403,0))&lt;10),"SI","NO")</f>
        <v/>
      </c>
    </row>
    <row r="3404">
      <c r="A3404" t="inlineStr">
        <is>
          <t>c16f4_test</t>
        </is>
      </c>
      <c r="B3404" t="inlineStr">
        <is>
          <t>2026-06-30 15:59:21.412</t>
        </is>
      </c>
      <c r="C3404" t="n">
        <v/>
      </c>
      <c r="D3404" t="inlineStr">
        <is>
          <t>Media file</t>
        </is>
      </c>
      <c r="E3404" t="inlineStr">
        <is>
          <t>player #1:C:/Users/manuel.felline/Documents/BEHAVIOR BTBR/NOR second cohort/BTBR/test/c16_f4.mp4</t>
        </is>
      </c>
      <c r="F3404" t="n">
        <v>-14.1</v>
      </c>
      <c r="G3404" t="n">
        <v>596.999</v>
      </c>
      <c r="H3404" t="n">
        <v>648.066</v>
      </c>
      <c r="I3404" t="n">
        <v>30</v>
      </c>
      <c r="J3404" t="inlineStr">
        <is>
          <t>BTBR</t>
        </is>
      </c>
      <c r="K3404" t="inlineStr">
        <is>
          <t xml:space="preserve"> Female</t>
        </is>
      </c>
      <c r="L3404" t="inlineStr">
        <is>
          <t>No focal subject</t>
        </is>
      </c>
      <c r="M3404" t="n">
        <v>70.292</v>
      </c>
      <c r="N3404" t="inlineStr">
        <is>
          <t>Explore_N</t>
        </is>
      </c>
      <c r="O3404" t="inlineStr">
        <is>
          <t>Novelty</t>
        </is>
      </c>
      <c r="P3404" t="inlineStr">
        <is>
          <t>STATE</t>
        </is>
      </c>
      <c r="Q3404" t="n">
        <v>165.366</v>
      </c>
      <c r="R3404" t="n">
        <v>166.266</v>
      </c>
      <c r="S3404" t="n">
        <v>0.9</v>
      </c>
      <c r="T3404" t="inlineStr">
        <is>
          <t>C:/Users/manuel.felline/Documents/BEHAVIOR BTBR/NOR second cohort/BTBR/test/c16_f4.mp4</t>
        </is>
      </c>
      <c r="U3404" t="n">
        <v>5236</v>
      </c>
      <c r="V3404" t="n">
        <v>5263</v>
      </c>
      <c r="W3404" t="n">
        <v/>
      </c>
      <c r="X3404" t="n">
        <v/>
      </c>
      <c r="Y3404" t="n">
        <v/>
      </c>
      <c r="Z3404" t="n">
        <v/>
      </c>
      <c r="AA3404">
        <f>SUMIFS($S$2:S3404,$A$2:A3404,A3404,$N$2:N3404,"Explore*")</f>
        <v/>
      </c>
      <c r="AB3404">
        <f>IF(AND(LEFT(N3404,7)="Explore",(AA3404-IF(LEFT(N3404,7)="Explore",S3404,0))&lt;10),"SI","NO")</f>
        <v/>
      </c>
    </row>
    <row r="3405">
      <c r="A3405" t="inlineStr">
        <is>
          <t>c16f4_test</t>
        </is>
      </c>
      <c r="B3405" t="inlineStr">
        <is>
          <t>2026-06-30 15:59:21.412</t>
        </is>
      </c>
      <c r="C3405" t="n">
        <v/>
      </c>
      <c r="D3405" t="inlineStr">
        <is>
          <t>Media file</t>
        </is>
      </c>
      <c r="E3405" t="inlineStr">
        <is>
          <t>player #1:C:/Users/manuel.felline/Documents/BEHAVIOR BTBR/NOR second cohort/BTBR/test/c16_f4.mp4</t>
        </is>
      </c>
      <c r="F3405" t="n">
        <v>-14.1</v>
      </c>
      <c r="G3405" t="n">
        <v>596.999</v>
      </c>
      <c r="H3405" t="n">
        <v>648.066</v>
      </c>
      <c r="I3405" t="n">
        <v>30</v>
      </c>
      <c r="J3405" t="inlineStr">
        <is>
          <t>BTBR</t>
        </is>
      </c>
      <c r="K3405" t="inlineStr">
        <is>
          <t xml:space="preserve"> Female</t>
        </is>
      </c>
      <c r="L3405" t="inlineStr">
        <is>
          <t>No focal subject</t>
        </is>
      </c>
      <c r="M3405" t="n">
        <v>70.292</v>
      </c>
      <c r="N3405" t="inlineStr">
        <is>
          <t>Explore_F</t>
        </is>
      </c>
      <c r="O3405" t="inlineStr">
        <is>
          <t>Familiar</t>
        </is>
      </c>
      <c r="P3405" t="inlineStr">
        <is>
          <t>STATE</t>
        </is>
      </c>
      <c r="Q3405" t="n">
        <v>168.2</v>
      </c>
      <c r="R3405" t="n">
        <v>168.566</v>
      </c>
      <c r="S3405" t="n">
        <v>0.366</v>
      </c>
      <c r="T3405" t="inlineStr">
        <is>
          <t>C:/Users/manuel.felline/Documents/BEHAVIOR BTBR/NOR second cohort/BTBR/test/c16_f4.mp4</t>
        </is>
      </c>
      <c r="U3405" t="n">
        <v>5319</v>
      </c>
      <c r="V3405" t="n">
        <v>5330</v>
      </c>
      <c r="W3405" t="n">
        <v/>
      </c>
      <c r="X3405" t="n">
        <v/>
      </c>
      <c r="Y3405" t="n">
        <v/>
      </c>
      <c r="Z3405" t="n">
        <v/>
      </c>
      <c r="AA3405">
        <f>SUMIFS($S$2:S3405,$A$2:A3405,A3405,$N$2:N3405,"Explore*")</f>
        <v/>
      </c>
      <c r="AB3405">
        <f>IF(AND(LEFT(N3405,7)="Explore",(AA3405-IF(LEFT(N3405,7)="Explore",S3405,0))&lt;10),"SI","NO")</f>
        <v/>
      </c>
    </row>
    <row r="3406">
      <c r="A3406" t="inlineStr">
        <is>
          <t>c16f4_test</t>
        </is>
      </c>
      <c r="B3406" t="inlineStr">
        <is>
          <t>2026-06-30 15:59:21.412</t>
        </is>
      </c>
      <c r="C3406" t="n">
        <v/>
      </c>
      <c r="D3406" t="inlineStr">
        <is>
          <t>Media file</t>
        </is>
      </c>
      <c r="E3406" t="inlineStr">
        <is>
          <t>player #1:C:/Users/manuel.felline/Documents/BEHAVIOR BTBR/NOR second cohort/BTBR/test/c16_f4.mp4</t>
        </is>
      </c>
      <c r="F3406" t="n">
        <v>-14.1</v>
      </c>
      <c r="G3406" t="n">
        <v>596.999</v>
      </c>
      <c r="H3406" t="n">
        <v>648.066</v>
      </c>
      <c r="I3406" t="n">
        <v>30</v>
      </c>
      <c r="J3406" t="inlineStr">
        <is>
          <t>BTBR</t>
        </is>
      </c>
      <c r="K3406" t="inlineStr">
        <is>
          <t xml:space="preserve"> Female</t>
        </is>
      </c>
      <c r="L3406" t="inlineStr">
        <is>
          <t>No focal subject</t>
        </is>
      </c>
      <c r="M3406" t="n">
        <v>70.292</v>
      </c>
      <c r="N3406" t="inlineStr">
        <is>
          <t>Explore_N</t>
        </is>
      </c>
      <c r="O3406" t="inlineStr">
        <is>
          <t>Novelty</t>
        </is>
      </c>
      <c r="P3406" t="inlineStr">
        <is>
          <t>STATE</t>
        </is>
      </c>
      <c r="Q3406" t="n">
        <v>169.3</v>
      </c>
      <c r="R3406" t="n">
        <v>171.833</v>
      </c>
      <c r="S3406" t="n">
        <v>2.533</v>
      </c>
      <c r="T3406" t="inlineStr">
        <is>
          <t>C:/Users/manuel.felline/Documents/BEHAVIOR BTBR/NOR second cohort/BTBR/test/c16_f4.mp4</t>
        </is>
      </c>
      <c r="U3406" t="n">
        <v>5351</v>
      </c>
      <c r="V3406" t="n">
        <v>5425</v>
      </c>
      <c r="W3406" t="n">
        <v/>
      </c>
      <c r="X3406" t="n">
        <v/>
      </c>
      <c r="Y3406" t="n">
        <v/>
      </c>
      <c r="Z3406" t="n">
        <v/>
      </c>
      <c r="AA3406">
        <f>SUMIFS($S$2:S3406,$A$2:A3406,A3406,$N$2:N3406,"Explore*")</f>
        <v/>
      </c>
      <c r="AB3406">
        <f>IF(AND(LEFT(N3406,7)="Explore",(AA3406-IF(LEFT(N3406,7)="Explore",S3406,0))&lt;10),"SI","NO")</f>
        <v/>
      </c>
    </row>
    <row r="3407">
      <c r="A3407" t="inlineStr">
        <is>
          <t>c16f4_test</t>
        </is>
      </c>
      <c r="B3407" t="inlineStr">
        <is>
          <t>2026-06-30 15:59:21.412</t>
        </is>
      </c>
      <c r="C3407" t="n">
        <v/>
      </c>
      <c r="D3407" t="inlineStr">
        <is>
          <t>Media file</t>
        </is>
      </c>
      <c r="E3407" t="inlineStr">
        <is>
          <t>player #1:C:/Users/manuel.felline/Documents/BEHAVIOR BTBR/NOR second cohort/BTBR/test/c16_f4.mp4</t>
        </is>
      </c>
      <c r="F3407" t="n">
        <v>-14.1</v>
      </c>
      <c r="G3407" t="n">
        <v>596.999</v>
      </c>
      <c r="H3407" t="n">
        <v>648.066</v>
      </c>
      <c r="I3407" t="n">
        <v>30</v>
      </c>
      <c r="J3407" t="inlineStr">
        <is>
          <t>BTBR</t>
        </is>
      </c>
      <c r="K3407" t="inlineStr">
        <is>
          <t xml:space="preserve"> Female</t>
        </is>
      </c>
      <c r="L3407" t="inlineStr">
        <is>
          <t>No focal subject</t>
        </is>
      </c>
      <c r="M3407" t="n">
        <v>70.292</v>
      </c>
      <c r="N3407" t="inlineStr">
        <is>
          <t>Explore_N</t>
        </is>
      </c>
      <c r="O3407" t="inlineStr">
        <is>
          <t>Novelty</t>
        </is>
      </c>
      <c r="P3407" t="inlineStr">
        <is>
          <t>STATE</t>
        </is>
      </c>
      <c r="Q3407" t="n">
        <v>172.3</v>
      </c>
      <c r="R3407" t="n">
        <v>173.966</v>
      </c>
      <c r="S3407" t="n">
        <v>1.666</v>
      </c>
      <c r="T3407" t="inlineStr">
        <is>
          <t>C:/Users/manuel.felline/Documents/BEHAVIOR BTBR/NOR second cohort/BTBR/test/c16_f4.mp4</t>
        </is>
      </c>
      <c r="U3407" t="n">
        <v>5439</v>
      </c>
      <c r="V3407" t="n">
        <v>5487</v>
      </c>
      <c r="W3407" t="n">
        <v/>
      </c>
      <c r="X3407" t="n">
        <v/>
      </c>
      <c r="Y3407" t="n">
        <v/>
      </c>
      <c r="Z3407" t="n">
        <v/>
      </c>
      <c r="AA3407">
        <f>SUMIFS($S$2:S3407,$A$2:A3407,A3407,$N$2:N3407,"Explore*")</f>
        <v/>
      </c>
      <c r="AB3407">
        <f>IF(AND(LEFT(N3407,7)="Explore",(AA3407-IF(LEFT(N3407,7)="Explore",S3407,0))&lt;10),"SI","NO")</f>
        <v/>
      </c>
    </row>
    <row r="3408">
      <c r="A3408" t="inlineStr">
        <is>
          <t>c16f4_test</t>
        </is>
      </c>
      <c r="B3408" t="inlineStr">
        <is>
          <t>2026-06-30 15:59:21.412</t>
        </is>
      </c>
      <c r="C3408" t="n">
        <v/>
      </c>
      <c r="D3408" t="inlineStr">
        <is>
          <t>Media file</t>
        </is>
      </c>
      <c r="E3408" t="inlineStr">
        <is>
          <t>player #1:C:/Users/manuel.felline/Documents/BEHAVIOR BTBR/NOR second cohort/BTBR/test/c16_f4.mp4</t>
        </is>
      </c>
      <c r="F3408" t="n">
        <v>-14.1</v>
      </c>
      <c r="G3408" t="n">
        <v>596.999</v>
      </c>
      <c r="H3408" t="n">
        <v>648.066</v>
      </c>
      <c r="I3408" t="n">
        <v>30</v>
      </c>
      <c r="J3408" t="inlineStr">
        <is>
          <t>BTBR</t>
        </is>
      </c>
      <c r="K3408" t="inlineStr">
        <is>
          <t xml:space="preserve"> Female</t>
        </is>
      </c>
      <c r="L3408" t="inlineStr">
        <is>
          <t>No focal subject</t>
        </is>
      </c>
      <c r="M3408" t="n">
        <v>70.292</v>
      </c>
      <c r="N3408" t="inlineStr">
        <is>
          <t>Explore_F</t>
        </is>
      </c>
      <c r="O3408" t="inlineStr">
        <is>
          <t>Familiar</t>
        </is>
      </c>
      <c r="P3408" t="inlineStr">
        <is>
          <t>STATE</t>
        </is>
      </c>
      <c r="Q3408" t="n">
        <v>174.8</v>
      </c>
      <c r="R3408" t="n">
        <v>175.033</v>
      </c>
      <c r="S3408" t="n">
        <v>0.233</v>
      </c>
      <c r="T3408" t="inlineStr">
        <is>
          <t>C:/Users/manuel.felline/Documents/BEHAVIOR BTBR/NOR second cohort/BTBR/test/c16_f4.mp4</t>
        </is>
      </c>
      <c r="U3408" t="n">
        <v>5512</v>
      </c>
      <c r="V3408" t="n">
        <v>5518</v>
      </c>
      <c r="W3408" t="n">
        <v/>
      </c>
      <c r="X3408" t="n">
        <v/>
      </c>
      <c r="Y3408" t="n">
        <v/>
      </c>
      <c r="Z3408" t="n">
        <v/>
      </c>
      <c r="AA3408">
        <f>SUMIFS($S$2:S3408,$A$2:A3408,A3408,$N$2:N3408,"Explore*")</f>
        <v/>
      </c>
      <c r="AB3408">
        <f>IF(AND(LEFT(N3408,7)="Explore",(AA3408-IF(LEFT(N3408,7)="Explore",S3408,0))&lt;10),"SI","NO")</f>
        <v/>
      </c>
    </row>
    <row r="3409">
      <c r="A3409" t="inlineStr">
        <is>
          <t>c16f4_test</t>
        </is>
      </c>
      <c r="B3409" t="inlineStr">
        <is>
          <t>2026-06-30 15:59:21.412</t>
        </is>
      </c>
      <c r="C3409" t="n">
        <v/>
      </c>
      <c r="D3409" t="inlineStr">
        <is>
          <t>Media file</t>
        </is>
      </c>
      <c r="E3409" t="inlineStr">
        <is>
          <t>player #1:C:/Users/manuel.felline/Documents/BEHAVIOR BTBR/NOR second cohort/BTBR/test/c16_f4.mp4</t>
        </is>
      </c>
      <c r="F3409" t="n">
        <v>-14.1</v>
      </c>
      <c r="G3409" t="n">
        <v>596.999</v>
      </c>
      <c r="H3409" t="n">
        <v>648.066</v>
      </c>
      <c r="I3409" t="n">
        <v>30</v>
      </c>
      <c r="J3409" t="inlineStr">
        <is>
          <t>BTBR</t>
        </is>
      </c>
      <c r="K3409" t="inlineStr">
        <is>
          <t xml:space="preserve"> Female</t>
        </is>
      </c>
      <c r="L3409" t="inlineStr">
        <is>
          <t>No focal subject</t>
        </is>
      </c>
      <c r="M3409" t="n">
        <v>70.292</v>
      </c>
      <c r="N3409" t="inlineStr">
        <is>
          <t>Explore_F</t>
        </is>
      </c>
      <c r="O3409" t="inlineStr">
        <is>
          <t>Familiar</t>
        </is>
      </c>
      <c r="P3409" t="inlineStr">
        <is>
          <t>STATE</t>
        </is>
      </c>
      <c r="Q3409" t="n">
        <v>175.966</v>
      </c>
      <c r="R3409" t="n">
        <v>176.433</v>
      </c>
      <c r="S3409" t="n">
        <v>0.467</v>
      </c>
      <c r="T3409" t="inlineStr">
        <is>
          <t>C:/Users/manuel.felline/Documents/BEHAVIOR BTBR/NOR second cohort/BTBR/test/c16_f4.mp4</t>
        </is>
      </c>
      <c r="U3409" t="n">
        <v>5546</v>
      </c>
      <c r="V3409" t="n">
        <v>5559</v>
      </c>
      <c r="W3409" t="n">
        <v/>
      </c>
      <c r="X3409" t="n">
        <v/>
      </c>
      <c r="Y3409" t="n">
        <v/>
      </c>
      <c r="Z3409" t="n">
        <v/>
      </c>
      <c r="AA3409">
        <f>SUMIFS($S$2:S3409,$A$2:A3409,A3409,$N$2:N3409,"Explore*")</f>
        <v/>
      </c>
      <c r="AB3409">
        <f>IF(AND(LEFT(N3409,7)="Explore",(AA3409-IF(LEFT(N3409,7)="Explore",S3409,0))&lt;10),"SI","NO")</f>
        <v/>
      </c>
    </row>
    <row r="3410">
      <c r="A3410" t="inlineStr">
        <is>
          <t>c16f4_test</t>
        </is>
      </c>
      <c r="B3410" t="inlineStr">
        <is>
          <t>2026-06-30 15:59:21.412</t>
        </is>
      </c>
      <c r="C3410" t="n">
        <v/>
      </c>
      <c r="D3410" t="inlineStr">
        <is>
          <t>Media file</t>
        </is>
      </c>
      <c r="E3410" t="inlineStr">
        <is>
          <t>player #1:C:/Users/manuel.felline/Documents/BEHAVIOR BTBR/NOR second cohort/BTBR/test/c16_f4.mp4</t>
        </is>
      </c>
      <c r="F3410" t="n">
        <v>-14.1</v>
      </c>
      <c r="G3410" t="n">
        <v>596.999</v>
      </c>
      <c r="H3410" t="n">
        <v>648.066</v>
      </c>
      <c r="I3410" t="n">
        <v>30</v>
      </c>
      <c r="J3410" t="inlineStr">
        <is>
          <t>BTBR</t>
        </is>
      </c>
      <c r="K3410" t="inlineStr">
        <is>
          <t xml:space="preserve"> Female</t>
        </is>
      </c>
      <c r="L3410" t="inlineStr">
        <is>
          <t>No focal subject</t>
        </is>
      </c>
      <c r="M3410" t="n">
        <v>70.292</v>
      </c>
      <c r="N3410" t="inlineStr">
        <is>
          <t>Explore_N</t>
        </is>
      </c>
      <c r="O3410" t="inlineStr">
        <is>
          <t>Novelty</t>
        </is>
      </c>
      <c r="P3410" t="inlineStr">
        <is>
          <t>STATE</t>
        </is>
      </c>
      <c r="Q3410" t="n">
        <v>182.6</v>
      </c>
      <c r="R3410" t="n">
        <v>183.266</v>
      </c>
      <c r="S3410" t="n">
        <v>0.666</v>
      </c>
      <c r="T3410" t="inlineStr">
        <is>
          <t>C:/Users/manuel.felline/Documents/BEHAVIOR BTBR/NOR second cohort/BTBR/test/c16_f4.mp4</t>
        </is>
      </c>
      <c r="U3410" t="n">
        <v>5739</v>
      </c>
      <c r="V3410" t="n">
        <v>5759</v>
      </c>
      <c r="W3410" t="n">
        <v/>
      </c>
      <c r="X3410" t="n">
        <v/>
      </c>
      <c r="Y3410" t="n">
        <v/>
      </c>
      <c r="Z3410" t="n">
        <v/>
      </c>
      <c r="AA3410">
        <f>SUMIFS($S$2:S3410,$A$2:A3410,A3410,$N$2:N3410,"Explore*")</f>
        <v/>
      </c>
      <c r="AB3410">
        <f>IF(AND(LEFT(N3410,7)="Explore",(AA3410-IF(LEFT(N3410,7)="Explore",S3410,0))&lt;10),"SI","NO")</f>
        <v/>
      </c>
    </row>
    <row r="3411">
      <c r="A3411" t="inlineStr">
        <is>
          <t>c16f4_test</t>
        </is>
      </c>
      <c r="B3411" t="inlineStr">
        <is>
          <t>2026-06-30 15:59:21.412</t>
        </is>
      </c>
      <c r="C3411" t="n">
        <v/>
      </c>
      <c r="D3411" t="inlineStr">
        <is>
          <t>Media file</t>
        </is>
      </c>
      <c r="E3411" t="inlineStr">
        <is>
          <t>player #1:C:/Users/manuel.felline/Documents/BEHAVIOR BTBR/NOR second cohort/BTBR/test/c16_f4.mp4</t>
        </is>
      </c>
      <c r="F3411" t="n">
        <v>-14.1</v>
      </c>
      <c r="G3411" t="n">
        <v>596.999</v>
      </c>
      <c r="H3411" t="n">
        <v>648.066</v>
      </c>
      <c r="I3411" t="n">
        <v>30</v>
      </c>
      <c r="J3411" t="inlineStr">
        <is>
          <t>BTBR</t>
        </is>
      </c>
      <c r="K3411" t="inlineStr">
        <is>
          <t xml:space="preserve"> Female</t>
        </is>
      </c>
      <c r="L3411" t="inlineStr">
        <is>
          <t>No focal subject</t>
        </is>
      </c>
      <c r="M3411" t="n">
        <v>70.292</v>
      </c>
      <c r="N3411" t="inlineStr">
        <is>
          <t>Explore_N</t>
        </is>
      </c>
      <c r="O3411" t="inlineStr">
        <is>
          <t>Novelty</t>
        </is>
      </c>
      <c r="P3411" t="inlineStr">
        <is>
          <t>STATE</t>
        </is>
      </c>
      <c r="Q3411" t="n">
        <v>187.533</v>
      </c>
      <c r="R3411" t="n">
        <v>188.233</v>
      </c>
      <c r="S3411" t="n">
        <v>0.7</v>
      </c>
      <c r="T3411" t="inlineStr">
        <is>
          <t>C:/Users/manuel.felline/Documents/BEHAVIOR BTBR/NOR second cohort/BTBR/test/c16_f4.mp4</t>
        </is>
      </c>
      <c r="U3411" t="n">
        <v>5884</v>
      </c>
      <c r="V3411" t="n">
        <v>5903</v>
      </c>
      <c r="W3411" t="n">
        <v/>
      </c>
      <c r="X3411" t="n">
        <v/>
      </c>
      <c r="Y3411" t="n">
        <v/>
      </c>
      <c r="Z3411" t="n">
        <v/>
      </c>
      <c r="AA3411">
        <f>SUMIFS($S$2:S3411,$A$2:A3411,A3411,$N$2:N3411,"Explore*")</f>
        <v/>
      </c>
      <c r="AB3411">
        <f>IF(AND(LEFT(N3411,7)="Explore",(AA3411-IF(LEFT(N3411,7)="Explore",S3411,0))&lt;10),"SI","NO")</f>
        <v/>
      </c>
    </row>
    <row r="3412">
      <c r="A3412" t="inlineStr">
        <is>
          <t>c16f4_test</t>
        </is>
      </c>
      <c r="B3412" t="inlineStr">
        <is>
          <t>2026-06-30 15:59:21.412</t>
        </is>
      </c>
      <c r="C3412" t="n">
        <v/>
      </c>
      <c r="D3412" t="inlineStr">
        <is>
          <t>Media file</t>
        </is>
      </c>
      <c r="E3412" t="inlineStr">
        <is>
          <t>player #1:C:/Users/manuel.felline/Documents/BEHAVIOR BTBR/NOR second cohort/BTBR/test/c16_f4.mp4</t>
        </is>
      </c>
      <c r="F3412" t="n">
        <v>-14.1</v>
      </c>
      <c r="G3412" t="n">
        <v>596.999</v>
      </c>
      <c r="H3412" t="n">
        <v>648.066</v>
      </c>
      <c r="I3412" t="n">
        <v>30</v>
      </c>
      <c r="J3412" t="inlineStr">
        <is>
          <t>BTBR</t>
        </is>
      </c>
      <c r="K3412" t="inlineStr">
        <is>
          <t xml:space="preserve"> Female</t>
        </is>
      </c>
      <c r="L3412" t="inlineStr">
        <is>
          <t>No focal subject</t>
        </is>
      </c>
      <c r="M3412" t="n">
        <v>70.292</v>
      </c>
      <c r="N3412" t="inlineStr">
        <is>
          <t>Explore_N</t>
        </is>
      </c>
      <c r="O3412" t="inlineStr">
        <is>
          <t>Novelty</t>
        </is>
      </c>
      <c r="P3412" t="inlineStr">
        <is>
          <t>STATE</t>
        </is>
      </c>
      <c r="Q3412" t="n">
        <v>190.133</v>
      </c>
      <c r="R3412" t="n">
        <v>191.333</v>
      </c>
      <c r="S3412" t="n">
        <v>1.2</v>
      </c>
      <c r="T3412" t="inlineStr">
        <is>
          <t>C:/Users/manuel.felline/Documents/BEHAVIOR BTBR/NOR second cohort/BTBR/test/c16_f4.mp4</t>
        </is>
      </c>
      <c r="U3412" t="n">
        <v>5959</v>
      </c>
      <c r="V3412" t="n">
        <v>5994</v>
      </c>
      <c r="W3412" t="n">
        <v/>
      </c>
      <c r="X3412" t="n">
        <v/>
      </c>
      <c r="Y3412" t="n">
        <v/>
      </c>
      <c r="Z3412" t="n">
        <v/>
      </c>
      <c r="AA3412">
        <f>SUMIFS($S$2:S3412,$A$2:A3412,A3412,$N$2:N3412,"Explore*")</f>
        <v/>
      </c>
      <c r="AB3412">
        <f>IF(AND(LEFT(N3412,7)="Explore",(AA3412-IF(LEFT(N3412,7)="Explore",S3412,0))&lt;10),"SI","NO")</f>
        <v/>
      </c>
    </row>
    <row r="3413">
      <c r="A3413" t="inlineStr">
        <is>
          <t>c16f4_test</t>
        </is>
      </c>
      <c r="B3413" t="inlineStr">
        <is>
          <t>2026-06-30 15:59:21.412</t>
        </is>
      </c>
      <c r="C3413" t="n">
        <v/>
      </c>
      <c r="D3413" t="inlineStr">
        <is>
          <t>Media file</t>
        </is>
      </c>
      <c r="E3413" t="inlineStr">
        <is>
          <t>player #1:C:/Users/manuel.felline/Documents/BEHAVIOR BTBR/NOR second cohort/BTBR/test/c16_f4.mp4</t>
        </is>
      </c>
      <c r="F3413" t="n">
        <v>-14.1</v>
      </c>
      <c r="G3413" t="n">
        <v>596.999</v>
      </c>
      <c r="H3413" t="n">
        <v>648.066</v>
      </c>
      <c r="I3413" t="n">
        <v>30</v>
      </c>
      <c r="J3413" t="inlineStr">
        <is>
          <t>BTBR</t>
        </is>
      </c>
      <c r="K3413" t="inlineStr">
        <is>
          <t xml:space="preserve"> Female</t>
        </is>
      </c>
      <c r="L3413" t="inlineStr">
        <is>
          <t>No focal subject</t>
        </is>
      </c>
      <c r="M3413" t="n">
        <v>70.292</v>
      </c>
      <c r="N3413" t="inlineStr">
        <is>
          <t>Explore_F</t>
        </is>
      </c>
      <c r="O3413" t="inlineStr">
        <is>
          <t>Familiar</t>
        </is>
      </c>
      <c r="P3413" t="inlineStr">
        <is>
          <t>STATE</t>
        </is>
      </c>
      <c r="Q3413" t="n">
        <v>195.6</v>
      </c>
      <c r="R3413" t="n">
        <v>197.433</v>
      </c>
      <c r="S3413" t="n">
        <v>1.833</v>
      </c>
      <c r="T3413" t="inlineStr">
        <is>
          <t>C:/Users/manuel.felline/Documents/BEHAVIOR BTBR/NOR second cohort/BTBR/test/c16_f4.mp4</t>
        </is>
      </c>
      <c r="U3413" t="n">
        <v>6118</v>
      </c>
      <c r="V3413" t="n">
        <v>6172</v>
      </c>
      <c r="W3413" t="n">
        <v/>
      </c>
      <c r="X3413" t="n">
        <v/>
      </c>
      <c r="Y3413" t="n">
        <v/>
      </c>
      <c r="Z3413" t="n">
        <v/>
      </c>
      <c r="AA3413">
        <f>SUMIFS($S$2:S3413,$A$2:A3413,A3413,$N$2:N3413,"Explore*")</f>
        <v/>
      </c>
      <c r="AB3413">
        <f>IF(AND(LEFT(N3413,7)="Explore",(AA3413-IF(LEFT(N3413,7)="Explore",S3413,0))&lt;10),"SI","NO")</f>
        <v/>
      </c>
    </row>
    <row r="3414">
      <c r="A3414" t="inlineStr">
        <is>
          <t>c16f4_test</t>
        </is>
      </c>
      <c r="B3414" t="inlineStr">
        <is>
          <t>2026-06-30 15:59:21.412</t>
        </is>
      </c>
      <c r="C3414" t="n">
        <v/>
      </c>
      <c r="D3414" t="inlineStr">
        <is>
          <t>Media file</t>
        </is>
      </c>
      <c r="E3414" t="inlineStr">
        <is>
          <t>player #1:C:/Users/manuel.felline/Documents/BEHAVIOR BTBR/NOR second cohort/BTBR/test/c16_f4.mp4</t>
        </is>
      </c>
      <c r="F3414" t="n">
        <v>-14.1</v>
      </c>
      <c r="G3414" t="n">
        <v>596.999</v>
      </c>
      <c r="H3414" t="n">
        <v>648.066</v>
      </c>
      <c r="I3414" t="n">
        <v>30</v>
      </c>
      <c r="J3414" t="inlineStr">
        <is>
          <t>BTBR</t>
        </is>
      </c>
      <c r="K3414" t="inlineStr">
        <is>
          <t xml:space="preserve"> Female</t>
        </is>
      </c>
      <c r="L3414" t="inlineStr">
        <is>
          <t>No focal subject</t>
        </is>
      </c>
      <c r="M3414" t="n">
        <v>70.292</v>
      </c>
      <c r="N3414" t="inlineStr">
        <is>
          <t>Explore_N</t>
        </is>
      </c>
      <c r="O3414" t="inlineStr">
        <is>
          <t>Novelty</t>
        </is>
      </c>
      <c r="P3414" t="inlineStr">
        <is>
          <t>STATE</t>
        </is>
      </c>
      <c r="Q3414" t="n">
        <v>204.666</v>
      </c>
      <c r="R3414" t="n">
        <v>205.266</v>
      </c>
      <c r="S3414" t="n">
        <v>0.6</v>
      </c>
      <c r="T3414" t="inlineStr">
        <is>
          <t>C:/Users/manuel.felline/Documents/BEHAVIOR BTBR/NOR second cohort/BTBR/test/c16_f4.mp4</t>
        </is>
      </c>
      <c r="U3414" t="n">
        <v>6383</v>
      </c>
      <c r="V3414" t="n">
        <v>6400</v>
      </c>
      <c r="W3414" t="n">
        <v/>
      </c>
      <c r="X3414" t="n">
        <v/>
      </c>
      <c r="Y3414" t="n">
        <v/>
      </c>
      <c r="Z3414" t="n">
        <v/>
      </c>
      <c r="AA3414">
        <f>SUMIFS($S$2:S3414,$A$2:A3414,A3414,$N$2:N3414,"Explore*")</f>
        <v/>
      </c>
      <c r="AB3414">
        <f>IF(AND(LEFT(N3414,7)="Explore",(AA3414-IF(LEFT(N3414,7)="Explore",S3414,0))&lt;10),"SI","NO")</f>
        <v/>
      </c>
    </row>
    <row r="3415">
      <c r="A3415" t="inlineStr">
        <is>
          <t>c16f4_test</t>
        </is>
      </c>
      <c r="B3415" t="inlineStr">
        <is>
          <t>2026-06-30 15:59:21.412</t>
        </is>
      </c>
      <c r="C3415" t="n">
        <v/>
      </c>
      <c r="D3415" t="inlineStr">
        <is>
          <t>Media file</t>
        </is>
      </c>
      <c r="E3415" t="inlineStr">
        <is>
          <t>player #1:C:/Users/manuel.felline/Documents/BEHAVIOR BTBR/NOR second cohort/BTBR/test/c16_f4.mp4</t>
        </is>
      </c>
      <c r="F3415" t="n">
        <v>-14.1</v>
      </c>
      <c r="G3415" t="n">
        <v>596.999</v>
      </c>
      <c r="H3415" t="n">
        <v>648.066</v>
      </c>
      <c r="I3415" t="n">
        <v>30</v>
      </c>
      <c r="J3415" t="inlineStr">
        <is>
          <t>BTBR</t>
        </is>
      </c>
      <c r="K3415" t="inlineStr">
        <is>
          <t xml:space="preserve"> Female</t>
        </is>
      </c>
      <c r="L3415" t="inlineStr">
        <is>
          <t>No focal subject</t>
        </is>
      </c>
      <c r="M3415" t="n">
        <v>70.292</v>
      </c>
      <c r="N3415" t="inlineStr">
        <is>
          <t>Explore_N</t>
        </is>
      </c>
      <c r="O3415" t="inlineStr">
        <is>
          <t>Novelty</t>
        </is>
      </c>
      <c r="P3415" t="inlineStr">
        <is>
          <t>STATE</t>
        </is>
      </c>
      <c r="Q3415" t="n">
        <v>206.133</v>
      </c>
      <c r="R3415" t="n">
        <v>206.733</v>
      </c>
      <c r="S3415" t="n">
        <v>0.6</v>
      </c>
      <c r="T3415" t="inlineStr">
        <is>
          <t>C:/Users/manuel.felline/Documents/BEHAVIOR BTBR/NOR second cohort/BTBR/test/c16_f4.mp4</t>
        </is>
      </c>
      <c r="U3415" t="n">
        <v>6426</v>
      </c>
      <c r="V3415" t="n">
        <v>6443</v>
      </c>
      <c r="W3415" t="n">
        <v/>
      </c>
      <c r="X3415" t="n">
        <v/>
      </c>
      <c r="Y3415" t="n">
        <v/>
      </c>
      <c r="Z3415" t="n">
        <v/>
      </c>
      <c r="AA3415">
        <f>SUMIFS($S$2:S3415,$A$2:A3415,A3415,$N$2:N3415,"Explore*")</f>
        <v/>
      </c>
      <c r="AB3415">
        <f>IF(AND(LEFT(N3415,7)="Explore",(AA3415-IF(LEFT(N3415,7)="Explore",S3415,0))&lt;10),"SI","NO")</f>
        <v/>
      </c>
    </row>
    <row r="3416">
      <c r="A3416" t="inlineStr">
        <is>
          <t>c16f4_test</t>
        </is>
      </c>
      <c r="B3416" t="inlineStr">
        <is>
          <t>2026-06-30 15:59:21.412</t>
        </is>
      </c>
      <c r="C3416" t="n">
        <v/>
      </c>
      <c r="D3416" t="inlineStr">
        <is>
          <t>Media file</t>
        </is>
      </c>
      <c r="E3416" t="inlineStr">
        <is>
          <t>player #1:C:/Users/manuel.felline/Documents/BEHAVIOR BTBR/NOR second cohort/BTBR/test/c16_f4.mp4</t>
        </is>
      </c>
      <c r="F3416" t="n">
        <v>-14.1</v>
      </c>
      <c r="G3416" t="n">
        <v>596.999</v>
      </c>
      <c r="H3416" t="n">
        <v>648.066</v>
      </c>
      <c r="I3416" t="n">
        <v>30</v>
      </c>
      <c r="J3416" t="inlineStr">
        <is>
          <t>BTBR</t>
        </is>
      </c>
      <c r="K3416" t="inlineStr">
        <is>
          <t xml:space="preserve"> Female</t>
        </is>
      </c>
      <c r="L3416" t="inlineStr">
        <is>
          <t>No focal subject</t>
        </is>
      </c>
      <c r="M3416" t="n">
        <v>70.292</v>
      </c>
      <c r="N3416" t="inlineStr">
        <is>
          <t>Explore_F</t>
        </is>
      </c>
      <c r="O3416" t="inlineStr">
        <is>
          <t>Familiar</t>
        </is>
      </c>
      <c r="P3416" t="inlineStr">
        <is>
          <t>STATE</t>
        </is>
      </c>
      <c r="Q3416" t="n">
        <v>211.3</v>
      </c>
      <c r="R3416" t="n">
        <v>211.666</v>
      </c>
      <c r="S3416" t="n">
        <v>0.366</v>
      </c>
      <c r="T3416" t="inlineStr">
        <is>
          <t>C:/Users/manuel.felline/Documents/BEHAVIOR BTBR/NOR second cohort/BTBR/test/c16_f4.mp4</t>
        </is>
      </c>
      <c r="U3416" t="n">
        <v>6576</v>
      </c>
      <c r="V3416" t="n">
        <v>6587</v>
      </c>
      <c r="W3416" t="n">
        <v/>
      </c>
      <c r="X3416" t="n">
        <v/>
      </c>
      <c r="Y3416" t="n">
        <v/>
      </c>
      <c r="Z3416" t="n">
        <v/>
      </c>
      <c r="AA3416">
        <f>SUMIFS($S$2:S3416,$A$2:A3416,A3416,$N$2:N3416,"Explore*")</f>
        <v/>
      </c>
      <c r="AB3416">
        <f>IF(AND(LEFT(N3416,7)="Explore",(AA3416-IF(LEFT(N3416,7)="Explore",S3416,0))&lt;10),"SI","NO")</f>
        <v/>
      </c>
    </row>
    <row r="3417">
      <c r="A3417" t="inlineStr">
        <is>
          <t>c16f4_test</t>
        </is>
      </c>
      <c r="B3417" t="inlineStr">
        <is>
          <t>2026-06-30 15:59:21.412</t>
        </is>
      </c>
      <c r="C3417" t="n">
        <v/>
      </c>
      <c r="D3417" t="inlineStr">
        <is>
          <t>Media file</t>
        </is>
      </c>
      <c r="E3417" t="inlineStr">
        <is>
          <t>player #1:C:/Users/manuel.felline/Documents/BEHAVIOR BTBR/NOR second cohort/BTBR/test/c16_f4.mp4</t>
        </is>
      </c>
      <c r="F3417" t="n">
        <v>-14.1</v>
      </c>
      <c r="G3417" t="n">
        <v>596.999</v>
      </c>
      <c r="H3417" t="n">
        <v>648.066</v>
      </c>
      <c r="I3417" t="n">
        <v>30</v>
      </c>
      <c r="J3417" t="inlineStr">
        <is>
          <t>BTBR</t>
        </is>
      </c>
      <c r="K3417" t="inlineStr">
        <is>
          <t xml:space="preserve"> Female</t>
        </is>
      </c>
      <c r="L3417" t="inlineStr">
        <is>
          <t>No focal subject</t>
        </is>
      </c>
      <c r="M3417" t="n">
        <v>70.292</v>
      </c>
      <c r="N3417" t="inlineStr">
        <is>
          <t>Explore_F</t>
        </is>
      </c>
      <c r="O3417" t="inlineStr">
        <is>
          <t>Familiar</t>
        </is>
      </c>
      <c r="P3417" t="inlineStr">
        <is>
          <t>STATE</t>
        </is>
      </c>
      <c r="Q3417" t="n">
        <v>227.8</v>
      </c>
      <c r="R3417" t="n">
        <v>228.033</v>
      </c>
      <c r="S3417" t="n">
        <v>0.233</v>
      </c>
      <c r="T3417" t="inlineStr">
        <is>
          <t>C:/Users/manuel.felline/Documents/BEHAVIOR BTBR/NOR second cohort/BTBR/test/c16_f4.mp4</t>
        </is>
      </c>
      <c r="U3417" t="n">
        <v>7058</v>
      </c>
      <c r="V3417" t="n">
        <v>7065</v>
      </c>
      <c r="W3417" t="n">
        <v/>
      </c>
      <c r="X3417" t="n">
        <v/>
      </c>
      <c r="Y3417" t="n">
        <v/>
      </c>
      <c r="Z3417" t="n">
        <v/>
      </c>
      <c r="AA3417">
        <f>SUMIFS($S$2:S3417,$A$2:A3417,A3417,$N$2:N3417,"Explore*")</f>
        <v/>
      </c>
      <c r="AB3417">
        <f>IF(AND(LEFT(N3417,7)="Explore",(AA3417-IF(LEFT(N3417,7)="Explore",S3417,0))&lt;10),"SI","NO")</f>
        <v/>
      </c>
    </row>
    <row r="3418">
      <c r="A3418" t="inlineStr">
        <is>
          <t>c16f4_test</t>
        </is>
      </c>
      <c r="B3418" t="inlineStr">
        <is>
          <t>2026-06-30 15:59:21.412</t>
        </is>
      </c>
      <c r="C3418" t="n">
        <v/>
      </c>
      <c r="D3418" t="inlineStr">
        <is>
          <t>Media file</t>
        </is>
      </c>
      <c r="E3418" t="inlineStr">
        <is>
          <t>player #1:C:/Users/manuel.felline/Documents/BEHAVIOR BTBR/NOR second cohort/BTBR/test/c16_f4.mp4</t>
        </is>
      </c>
      <c r="F3418" t="n">
        <v>-14.1</v>
      </c>
      <c r="G3418" t="n">
        <v>596.999</v>
      </c>
      <c r="H3418" t="n">
        <v>648.066</v>
      </c>
      <c r="I3418" t="n">
        <v>30</v>
      </c>
      <c r="J3418" t="inlineStr">
        <is>
          <t>BTBR</t>
        </is>
      </c>
      <c r="K3418" t="inlineStr">
        <is>
          <t xml:space="preserve"> Female</t>
        </is>
      </c>
      <c r="L3418" t="inlineStr">
        <is>
          <t>No focal subject</t>
        </is>
      </c>
      <c r="M3418" t="n">
        <v>70.292</v>
      </c>
      <c r="N3418" t="inlineStr">
        <is>
          <t>Explore_F</t>
        </is>
      </c>
      <c r="O3418" t="inlineStr">
        <is>
          <t>Familiar</t>
        </is>
      </c>
      <c r="P3418" t="inlineStr">
        <is>
          <t>STATE</t>
        </is>
      </c>
      <c r="Q3418" t="n">
        <v>229.066</v>
      </c>
      <c r="R3418" t="n">
        <v>229.433</v>
      </c>
      <c r="S3418" t="n">
        <v>0.367</v>
      </c>
      <c r="T3418" t="inlineStr">
        <is>
          <t>C:/Users/manuel.felline/Documents/BEHAVIOR BTBR/NOR second cohort/BTBR/test/c16_f4.mp4</t>
        </is>
      </c>
      <c r="U3418" t="n">
        <v>7095</v>
      </c>
      <c r="V3418" t="n">
        <v>7106</v>
      </c>
      <c r="W3418" t="n">
        <v/>
      </c>
      <c r="X3418" t="n">
        <v/>
      </c>
      <c r="Y3418" t="n">
        <v/>
      </c>
      <c r="Z3418" t="n">
        <v/>
      </c>
      <c r="AA3418">
        <f>SUMIFS($S$2:S3418,$A$2:A3418,A3418,$N$2:N3418,"Explore*")</f>
        <v/>
      </c>
      <c r="AB3418">
        <f>IF(AND(LEFT(N3418,7)="Explore",(AA3418-IF(LEFT(N3418,7)="Explore",S3418,0))&lt;10),"SI","NO")</f>
        <v/>
      </c>
    </row>
    <row r="3419">
      <c r="A3419" t="inlineStr">
        <is>
          <t>c16f4_test</t>
        </is>
      </c>
      <c r="B3419" t="inlineStr">
        <is>
          <t>2026-06-30 15:59:21.412</t>
        </is>
      </c>
      <c r="C3419" t="n">
        <v/>
      </c>
      <c r="D3419" t="inlineStr">
        <is>
          <t>Media file</t>
        </is>
      </c>
      <c r="E3419" t="inlineStr">
        <is>
          <t>player #1:C:/Users/manuel.felline/Documents/BEHAVIOR BTBR/NOR second cohort/BTBR/test/c16_f4.mp4</t>
        </is>
      </c>
      <c r="F3419" t="n">
        <v>-14.1</v>
      </c>
      <c r="G3419" t="n">
        <v>596.999</v>
      </c>
      <c r="H3419" t="n">
        <v>648.066</v>
      </c>
      <c r="I3419" t="n">
        <v>30</v>
      </c>
      <c r="J3419" t="inlineStr">
        <is>
          <t>BTBR</t>
        </is>
      </c>
      <c r="K3419" t="inlineStr">
        <is>
          <t xml:space="preserve"> Female</t>
        </is>
      </c>
      <c r="L3419" t="inlineStr">
        <is>
          <t>No focal subject</t>
        </is>
      </c>
      <c r="M3419" t="n">
        <v>70.292</v>
      </c>
      <c r="N3419" t="inlineStr">
        <is>
          <t>Explore_N</t>
        </is>
      </c>
      <c r="O3419" t="inlineStr">
        <is>
          <t>Novelty</t>
        </is>
      </c>
      <c r="P3419" t="inlineStr">
        <is>
          <t>STATE</t>
        </is>
      </c>
      <c r="Q3419" t="n">
        <v>235.433</v>
      </c>
      <c r="R3419" t="n">
        <v>235.866</v>
      </c>
      <c r="S3419" t="n">
        <v>0.433</v>
      </c>
      <c r="T3419" t="inlineStr">
        <is>
          <t>C:/Users/manuel.felline/Documents/BEHAVIOR BTBR/NOR second cohort/BTBR/test/c16_f4.mp4</t>
        </is>
      </c>
      <c r="U3419" t="n">
        <v>7281</v>
      </c>
      <c r="V3419" t="n">
        <v>7293</v>
      </c>
      <c r="W3419" t="n">
        <v/>
      </c>
      <c r="X3419" t="n">
        <v/>
      </c>
      <c r="Y3419" t="n">
        <v/>
      </c>
      <c r="Z3419" t="n">
        <v/>
      </c>
      <c r="AA3419">
        <f>SUMIFS($S$2:S3419,$A$2:A3419,A3419,$N$2:N3419,"Explore*")</f>
        <v/>
      </c>
      <c r="AB3419">
        <f>IF(AND(LEFT(N3419,7)="Explore",(AA3419-IF(LEFT(N3419,7)="Explore",S3419,0))&lt;10),"SI","NO")</f>
        <v/>
      </c>
    </row>
    <row r="3420">
      <c r="A3420" t="inlineStr">
        <is>
          <t>c16f4_test</t>
        </is>
      </c>
      <c r="B3420" t="inlineStr">
        <is>
          <t>2026-06-30 15:59:21.412</t>
        </is>
      </c>
      <c r="C3420" t="n">
        <v/>
      </c>
      <c r="D3420" t="inlineStr">
        <is>
          <t>Media file</t>
        </is>
      </c>
      <c r="E3420" t="inlineStr">
        <is>
          <t>player #1:C:/Users/manuel.felline/Documents/BEHAVIOR BTBR/NOR second cohort/BTBR/test/c16_f4.mp4</t>
        </is>
      </c>
      <c r="F3420" t="n">
        <v>-14.1</v>
      </c>
      <c r="G3420" t="n">
        <v>596.999</v>
      </c>
      <c r="H3420" t="n">
        <v>648.066</v>
      </c>
      <c r="I3420" t="n">
        <v>30</v>
      </c>
      <c r="J3420" t="inlineStr">
        <is>
          <t>BTBR</t>
        </is>
      </c>
      <c r="K3420" t="inlineStr">
        <is>
          <t xml:space="preserve"> Female</t>
        </is>
      </c>
      <c r="L3420" t="inlineStr">
        <is>
          <t>No focal subject</t>
        </is>
      </c>
      <c r="M3420" t="n">
        <v>70.292</v>
      </c>
      <c r="N3420" t="inlineStr">
        <is>
          <t>Explore_F</t>
        </is>
      </c>
      <c r="O3420" t="inlineStr">
        <is>
          <t>Familiar</t>
        </is>
      </c>
      <c r="P3420" t="inlineStr">
        <is>
          <t>STATE</t>
        </is>
      </c>
      <c r="Q3420" t="n">
        <v>261.666</v>
      </c>
      <c r="R3420" t="n">
        <v>262.166</v>
      </c>
      <c r="S3420" t="n">
        <v>0.5</v>
      </c>
      <c r="T3420" t="inlineStr">
        <is>
          <t>C:/Users/manuel.felline/Documents/BEHAVIOR BTBR/NOR second cohort/BTBR/test/c16_f4.mp4</t>
        </is>
      </c>
      <c r="U3420" t="n">
        <v>8046</v>
      </c>
      <c r="V3420" t="n">
        <v>8061</v>
      </c>
      <c r="W3420" t="n">
        <v/>
      </c>
      <c r="X3420" t="n">
        <v/>
      </c>
      <c r="Y3420" t="n">
        <v/>
      </c>
      <c r="Z3420" t="n">
        <v/>
      </c>
      <c r="AA3420">
        <f>SUMIFS($S$2:S3420,$A$2:A3420,A3420,$N$2:N3420,"Explore*")</f>
        <v/>
      </c>
      <c r="AB3420">
        <f>IF(AND(LEFT(N3420,7)="Explore",(AA3420-IF(LEFT(N3420,7)="Explore",S3420,0))&lt;10),"SI","NO")</f>
        <v/>
      </c>
    </row>
    <row r="3421">
      <c r="A3421" t="inlineStr">
        <is>
          <t>c16f4_test</t>
        </is>
      </c>
      <c r="B3421" t="inlineStr">
        <is>
          <t>2026-06-30 15:59:21.412</t>
        </is>
      </c>
      <c r="C3421" t="n">
        <v/>
      </c>
      <c r="D3421" t="inlineStr">
        <is>
          <t>Media file</t>
        </is>
      </c>
      <c r="E3421" t="inlineStr">
        <is>
          <t>player #1:C:/Users/manuel.felline/Documents/BEHAVIOR BTBR/NOR second cohort/BTBR/test/c16_f4.mp4</t>
        </is>
      </c>
      <c r="F3421" t="n">
        <v>-14.1</v>
      </c>
      <c r="G3421" t="n">
        <v>596.999</v>
      </c>
      <c r="H3421" t="n">
        <v>648.066</v>
      </c>
      <c r="I3421" t="n">
        <v>30</v>
      </c>
      <c r="J3421" t="inlineStr">
        <is>
          <t>BTBR</t>
        </is>
      </c>
      <c r="K3421" t="inlineStr">
        <is>
          <t xml:space="preserve"> Female</t>
        </is>
      </c>
      <c r="L3421" t="inlineStr">
        <is>
          <t>No focal subject</t>
        </is>
      </c>
      <c r="M3421" t="n">
        <v>70.292</v>
      </c>
      <c r="N3421" t="inlineStr">
        <is>
          <t>Explore_F</t>
        </is>
      </c>
      <c r="O3421" t="inlineStr">
        <is>
          <t>Familiar</t>
        </is>
      </c>
      <c r="P3421" t="inlineStr">
        <is>
          <t>STATE</t>
        </is>
      </c>
      <c r="Q3421" t="n">
        <v>273.633</v>
      </c>
      <c r="R3421" t="n">
        <v>274.066</v>
      </c>
      <c r="S3421" t="n">
        <v>0.433</v>
      </c>
      <c r="T3421" t="inlineStr">
        <is>
          <t>C:/Users/manuel.felline/Documents/BEHAVIOR BTBR/NOR second cohort/BTBR/test/c16_f4.mp4</t>
        </is>
      </c>
      <c r="U3421" t="n">
        <v>8395</v>
      </c>
      <c r="V3421" t="n">
        <v>8408</v>
      </c>
      <c r="W3421" t="n">
        <v/>
      </c>
      <c r="X3421" t="n">
        <v/>
      </c>
      <c r="Y3421" t="n">
        <v/>
      </c>
      <c r="Z3421" t="n">
        <v/>
      </c>
      <c r="AA3421">
        <f>SUMIFS($S$2:S3421,$A$2:A3421,A3421,$N$2:N3421,"Explore*")</f>
        <v/>
      </c>
      <c r="AB3421">
        <f>IF(AND(LEFT(N3421,7)="Explore",(AA3421-IF(LEFT(N3421,7)="Explore",S3421,0))&lt;10),"SI","NO")</f>
        <v/>
      </c>
    </row>
    <row r="3422">
      <c r="A3422" t="inlineStr">
        <is>
          <t>c16f4_test</t>
        </is>
      </c>
      <c r="B3422" t="inlineStr">
        <is>
          <t>2026-06-30 15:59:21.412</t>
        </is>
      </c>
      <c r="C3422" t="n">
        <v/>
      </c>
      <c r="D3422" t="inlineStr">
        <is>
          <t>Media file</t>
        </is>
      </c>
      <c r="E3422" t="inlineStr">
        <is>
          <t>player #1:C:/Users/manuel.felline/Documents/BEHAVIOR BTBR/NOR second cohort/BTBR/test/c16_f4.mp4</t>
        </is>
      </c>
      <c r="F3422" t="n">
        <v>-14.1</v>
      </c>
      <c r="G3422" t="n">
        <v>596.999</v>
      </c>
      <c r="H3422" t="n">
        <v>648.066</v>
      </c>
      <c r="I3422" t="n">
        <v>30</v>
      </c>
      <c r="J3422" t="inlineStr">
        <is>
          <t>BTBR</t>
        </is>
      </c>
      <c r="K3422" t="inlineStr">
        <is>
          <t xml:space="preserve"> Female</t>
        </is>
      </c>
      <c r="L3422" t="inlineStr">
        <is>
          <t>No focal subject</t>
        </is>
      </c>
      <c r="M3422" t="n">
        <v>70.292</v>
      </c>
      <c r="N3422" t="inlineStr">
        <is>
          <t>Explore_N</t>
        </is>
      </c>
      <c r="O3422" t="inlineStr">
        <is>
          <t>Novelty</t>
        </is>
      </c>
      <c r="P3422" t="inlineStr">
        <is>
          <t>STATE</t>
        </is>
      </c>
      <c r="Q3422" t="n">
        <v>278.966</v>
      </c>
      <c r="R3422" t="n">
        <v>279.733</v>
      </c>
      <c r="S3422" t="n">
        <v>0.767</v>
      </c>
      <c r="T3422" t="inlineStr">
        <is>
          <t>C:/Users/manuel.felline/Documents/BEHAVIOR BTBR/NOR second cohort/BTBR/test/c16_f4.mp4</t>
        </is>
      </c>
      <c r="U3422" t="n">
        <v>8551</v>
      </c>
      <c r="V3422" t="n">
        <v>8573</v>
      </c>
      <c r="W3422" t="n">
        <v/>
      </c>
      <c r="X3422" t="n">
        <v/>
      </c>
      <c r="Y3422" t="n">
        <v/>
      </c>
      <c r="Z3422" t="n">
        <v/>
      </c>
      <c r="AA3422">
        <f>SUMIFS($S$2:S3422,$A$2:A3422,A3422,$N$2:N3422,"Explore*")</f>
        <v/>
      </c>
      <c r="AB3422">
        <f>IF(AND(LEFT(N3422,7)="Explore",(AA3422-IF(LEFT(N3422,7)="Explore",S3422,0))&lt;10),"SI","NO")</f>
        <v/>
      </c>
    </row>
    <row r="3423">
      <c r="A3423" t="inlineStr">
        <is>
          <t>c16f4_test</t>
        </is>
      </c>
      <c r="B3423" t="inlineStr">
        <is>
          <t>2026-06-30 15:59:21.412</t>
        </is>
      </c>
      <c r="C3423" t="n">
        <v/>
      </c>
      <c r="D3423" t="inlineStr">
        <is>
          <t>Media file</t>
        </is>
      </c>
      <c r="E3423" t="inlineStr">
        <is>
          <t>player #1:C:/Users/manuel.felline/Documents/BEHAVIOR BTBR/NOR second cohort/BTBR/test/c16_f4.mp4</t>
        </is>
      </c>
      <c r="F3423" t="n">
        <v>-14.1</v>
      </c>
      <c r="G3423" t="n">
        <v>596.999</v>
      </c>
      <c r="H3423" t="n">
        <v>648.066</v>
      </c>
      <c r="I3423" t="n">
        <v>30</v>
      </c>
      <c r="J3423" t="inlineStr">
        <is>
          <t>BTBR</t>
        </is>
      </c>
      <c r="K3423" t="inlineStr">
        <is>
          <t xml:space="preserve"> Female</t>
        </is>
      </c>
      <c r="L3423" t="inlineStr">
        <is>
          <t>No focal subject</t>
        </is>
      </c>
      <c r="M3423" t="n">
        <v>70.292</v>
      </c>
      <c r="N3423" t="inlineStr">
        <is>
          <t>Explore_N</t>
        </is>
      </c>
      <c r="O3423" t="inlineStr">
        <is>
          <t>Novelty</t>
        </is>
      </c>
      <c r="P3423" t="inlineStr">
        <is>
          <t>STATE</t>
        </is>
      </c>
      <c r="Q3423" t="n">
        <v>281.4</v>
      </c>
      <c r="R3423" t="n">
        <v>282.066</v>
      </c>
      <c r="S3423" t="n">
        <v>0.666</v>
      </c>
      <c r="T3423" t="inlineStr">
        <is>
          <t>C:/Users/manuel.felline/Documents/BEHAVIOR BTBR/NOR second cohort/BTBR/test/c16_f4.mp4</t>
        </is>
      </c>
      <c r="U3423" t="n">
        <v>8622</v>
      </c>
      <c r="V3423" t="n">
        <v>8641</v>
      </c>
      <c r="W3423" t="n">
        <v/>
      </c>
      <c r="X3423" t="n">
        <v/>
      </c>
      <c r="Y3423" t="n">
        <v/>
      </c>
      <c r="Z3423" t="n">
        <v/>
      </c>
      <c r="AA3423">
        <f>SUMIFS($S$2:S3423,$A$2:A3423,A3423,$N$2:N3423,"Explore*")</f>
        <v/>
      </c>
      <c r="AB3423">
        <f>IF(AND(LEFT(N3423,7)="Explore",(AA3423-IF(LEFT(N3423,7)="Explore",S3423,0))&lt;10),"SI","NO")</f>
        <v/>
      </c>
    </row>
    <row r="3424">
      <c r="A3424" t="inlineStr">
        <is>
          <t>c16f4_test</t>
        </is>
      </c>
      <c r="B3424" t="inlineStr">
        <is>
          <t>2026-06-30 15:59:21.412</t>
        </is>
      </c>
      <c r="C3424" t="n">
        <v/>
      </c>
      <c r="D3424" t="inlineStr">
        <is>
          <t>Media file</t>
        </is>
      </c>
      <c r="E3424" t="inlineStr">
        <is>
          <t>player #1:C:/Users/manuel.felline/Documents/BEHAVIOR BTBR/NOR second cohort/BTBR/test/c16_f4.mp4</t>
        </is>
      </c>
      <c r="F3424" t="n">
        <v>-14.1</v>
      </c>
      <c r="G3424" t="n">
        <v>596.999</v>
      </c>
      <c r="H3424" t="n">
        <v>648.066</v>
      </c>
      <c r="I3424" t="n">
        <v>30</v>
      </c>
      <c r="J3424" t="inlineStr">
        <is>
          <t>BTBR</t>
        </is>
      </c>
      <c r="K3424" t="inlineStr">
        <is>
          <t xml:space="preserve"> Female</t>
        </is>
      </c>
      <c r="L3424" t="inlineStr">
        <is>
          <t>No focal subject</t>
        </is>
      </c>
      <c r="M3424" t="n">
        <v>70.292</v>
      </c>
      <c r="N3424" t="inlineStr">
        <is>
          <t>Explore_N</t>
        </is>
      </c>
      <c r="O3424" t="inlineStr">
        <is>
          <t>Novelty</t>
        </is>
      </c>
      <c r="P3424" t="inlineStr">
        <is>
          <t>STATE</t>
        </is>
      </c>
      <c r="Q3424" t="n">
        <v>288.466</v>
      </c>
      <c r="R3424" t="n">
        <v>289.166</v>
      </c>
      <c r="S3424" t="n">
        <v>0.7</v>
      </c>
      <c r="T3424" t="inlineStr">
        <is>
          <t>C:/Users/manuel.felline/Documents/BEHAVIOR BTBR/NOR second cohort/BTBR/test/c16_f4.mp4</t>
        </is>
      </c>
      <c r="U3424" t="n">
        <v>8828</v>
      </c>
      <c r="V3424" t="n">
        <v>8848</v>
      </c>
      <c r="W3424" t="n">
        <v/>
      </c>
      <c r="X3424" t="n">
        <v/>
      </c>
      <c r="Y3424" t="n">
        <v/>
      </c>
      <c r="Z3424" t="n">
        <v/>
      </c>
      <c r="AA3424">
        <f>SUMIFS($S$2:S3424,$A$2:A3424,A3424,$N$2:N3424,"Explore*")</f>
        <v/>
      </c>
      <c r="AB3424">
        <f>IF(AND(LEFT(N3424,7)="Explore",(AA3424-IF(LEFT(N3424,7)="Explore",S3424,0))&lt;10),"SI","NO")</f>
        <v/>
      </c>
    </row>
    <row r="3425">
      <c r="A3425" t="inlineStr">
        <is>
          <t>c16f4_test</t>
        </is>
      </c>
      <c r="B3425" t="inlineStr">
        <is>
          <t>2026-06-30 15:59:21.412</t>
        </is>
      </c>
      <c r="C3425" t="n">
        <v/>
      </c>
      <c r="D3425" t="inlineStr">
        <is>
          <t>Media file</t>
        </is>
      </c>
      <c r="E3425" t="inlineStr">
        <is>
          <t>player #1:C:/Users/manuel.felline/Documents/BEHAVIOR BTBR/NOR second cohort/BTBR/test/c16_f4.mp4</t>
        </is>
      </c>
      <c r="F3425" t="n">
        <v>-14.1</v>
      </c>
      <c r="G3425" t="n">
        <v>596.999</v>
      </c>
      <c r="H3425" t="n">
        <v>648.066</v>
      </c>
      <c r="I3425" t="n">
        <v>30</v>
      </c>
      <c r="J3425" t="inlineStr">
        <is>
          <t>BTBR</t>
        </is>
      </c>
      <c r="K3425" t="inlineStr">
        <is>
          <t xml:space="preserve"> Female</t>
        </is>
      </c>
      <c r="L3425" t="inlineStr">
        <is>
          <t>No focal subject</t>
        </is>
      </c>
      <c r="M3425" t="n">
        <v>70.292</v>
      </c>
      <c r="N3425" t="inlineStr">
        <is>
          <t>Explore_N</t>
        </is>
      </c>
      <c r="O3425" t="inlineStr">
        <is>
          <t>Novelty</t>
        </is>
      </c>
      <c r="P3425" t="inlineStr">
        <is>
          <t>STATE</t>
        </is>
      </c>
      <c r="Q3425" t="n">
        <v>290.633</v>
      </c>
      <c r="R3425" t="n">
        <v>292</v>
      </c>
      <c r="S3425" t="n">
        <v>1.367</v>
      </c>
      <c r="T3425" t="inlineStr">
        <is>
          <t>C:/Users/manuel.felline/Documents/BEHAVIOR BTBR/NOR second cohort/BTBR/test/c16_f4.mp4</t>
        </is>
      </c>
      <c r="U3425" t="n">
        <v>8891</v>
      </c>
      <c r="V3425" t="n">
        <v>8931</v>
      </c>
      <c r="W3425" t="n">
        <v/>
      </c>
      <c r="X3425" t="n">
        <v/>
      </c>
      <c r="Y3425" t="n">
        <v/>
      </c>
      <c r="Z3425" t="n">
        <v/>
      </c>
      <c r="AA3425">
        <f>SUMIFS($S$2:S3425,$A$2:A3425,A3425,$N$2:N3425,"Explore*")</f>
        <v/>
      </c>
      <c r="AB3425">
        <f>IF(AND(LEFT(N3425,7)="Explore",(AA3425-IF(LEFT(N3425,7)="Explore",S3425,0))&lt;10),"SI","NO")</f>
        <v/>
      </c>
    </row>
    <row r="3426">
      <c r="A3426" t="inlineStr">
        <is>
          <t>c16f4_test</t>
        </is>
      </c>
      <c r="B3426" t="inlineStr">
        <is>
          <t>2026-06-30 15:59:21.412</t>
        </is>
      </c>
      <c r="C3426" t="n">
        <v/>
      </c>
      <c r="D3426" t="inlineStr">
        <is>
          <t>Media file</t>
        </is>
      </c>
      <c r="E3426" t="inlineStr">
        <is>
          <t>player #1:C:/Users/manuel.felline/Documents/BEHAVIOR BTBR/NOR second cohort/BTBR/test/c16_f4.mp4</t>
        </is>
      </c>
      <c r="F3426" t="n">
        <v>-14.1</v>
      </c>
      <c r="G3426" t="n">
        <v>596.999</v>
      </c>
      <c r="H3426" t="n">
        <v>648.066</v>
      </c>
      <c r="I3426" t="n">
        <v>30</v>
      </c>
      <c r="J3426" t="inlineStr">
        <is>
          <t>BTBR</t>
        </is>
      </c>
      <c r="K3426" t="inlineStr">
        <is>
          <t xml:space="preserve"> Female</t>
        </is>
      </c>
      <c r="L3426" t="inlineStr">
        <is>
          <t>No focal subject</t>
        </is>
      </c>
      <c r="M3426" t="n">
        <v>70.292</v>
      </c>
      <c r="N3426" t="inlineStr">
        <is>
          <t>Explore_N</t>
        </is>
      </c>
      <c r="O3426" t="inlineStr">
        <is>
          <t>Novelty</t>
        </is>
      </c>
      <c r="P3426" t="inlineStr">
        <is>
          <t>STATE</t>
        </is>
      </c>
      <c r="Q3426" t="n">
        <v>294</v>
      </c>
      <c r="R3426" t="n">
        <v>295.166</v>
      </c>
      <c r="S3426" t="n">
        <v>1.166</v>
      </c>
      <c r="T3426" t="inlineStr">
        <is>
          <t>C:/Users/manuel.felline/Documents/BEHAVIOR BTBR/NOR second cohort/BTBR/test/c16_f4.mp4</t>
        </is>
      </c>
      <c r="U3426" t="n">
        <v>8989</v>
      </c>
      <c r="V3426" t="n">
        <v>9023</v>
      </c>
      <c r="W3426" t="n">
        <v/>
      </c>
      <c r="X3426" t="n">
        <v/>
      </c>
      <c r="Y3426" t="n">
        <v/>
      </c>
      <c r="Z3426" t="n">
        <v/>
      </c>
      <c r="AA3426">
        <f>SUMIFS($S$2:S3426,$A$2:A3426,A3426,$N$2:N3426,"Explore*")</f>
        <v/>
      </c>
      <c r="AB3426">
        <f>IF(AND(LEFT(N3426,7)="Explore",(AA3426-IF(LEFT(N3426,7)="Explore",S3426,0))&lt;10),"SI","NO")</f>
        <v/>
      </c>
    </row>
    <row r="3427">
      <c r="A3427" t="inlineStr">
        <is>
          <t>c16f4_test</t>
        </is>
      </c>
      <c r="B3427" t="inlineStr">
        <is>
          <t>2026-06-30 15:59:21.412</t>
        </is>
      </c>
      <c r="C3427" t="n">
        <v/>
      </c>
      <c r="D3427" t="inlineStr">
        <is>
          <t>Media file</t>
        </is>
      </c>
      <c r="E3427" t="inlineStr">
        <is>
          <t>player #1:C:/Users/manuel.felline/Documents/BEHAVIOR BTBR/NOR second cohort/BTBR/test/c16_f4.mp4</t>
        </is>
      </c>
      <c r="F3427" t="n">
        <v>-14.1</v>
      </c>
      <c r="G3427" t="n">
        <v>596.999</v>
      </c>
      <c r="H3427" t="n">
        <v>648.066</v>
      </c>
      <c r="I3427" t="n">
        <v>30</v>
      </c>
      <c r="J3427" t="inlineStr">
        <is>
          <t>BTBR</t>
        </is>
      </c>
      <c r="K3427" t="inlineStr">
        <is>
          <t xml:space="preserve"> Female</t>
        </is>
      </c>
      <c r="L3427" t="inlineStr">
        <is>
          <t>No focal subject</t>
        </is>
      </c>
      <c r="M3427" t="n">
        <v>70.292</v>
      </c>
      <c r="N3427" t="inlineStr">
        <is>
          <t>Explore_N</t>
        </is>
      </c>
      <c r="O3427" t="inlineStr">
        <is>
          <t>Novelty</t>
        </is>
      </c>
      <c r="P3427" t="inlineStr">
        <is>
          <t>STATE</t>
        </is>
      </c>
      <c r="Q3427" t="n">
        <v>296.9</v>
      </c>
      <c r="R3427" t="n">
        <v>299.966</v>
      </c>
      <c r="S3427" t="n">
        <v>3.066</v>
      </c>
      <c r="T3427" t="inlineStr">
        <is>
          <t>C:/Users/manuel.felline/Documents/BEHAVIOR BTBR/NOR second cohort/BTBR/test/c16_f4.mp4</t>
        </is>
      </c>
      <c r="U3427" t="n">
        <v>9074</v>
      </c>
      <c r="V3427" t="n">
        <v>9164</v>
      </c>
      <c r="W3427" t="n">
        <v/>
      </c>
      <c r="X3427" t="n">
        <v/>
      </c>
      <c r="Y3427" t="n">
        <v/>
      </c>
      <c r="Z3427" t="n">
        <v/>
      </c>
      <c r="AA3427">
        <f>SUMIFS($S$2:S3427,$A$2:A3427,A3427,$N$2:N3427,"Explore*")</f>
        <v/>
      </c>
      <c r="AB3427">
        <f>IF(AND(LEFT(N3427,7)="Explore",(AA3427-IF(LEFT(N3427,7)="Explore",S3427,0))&lt;10),"SI","NO")</f>
        <v/>
      </c>
    </row>
    <row r="3428">
      <c r="A3428" t="inlineStr">
        <is>
          <t>c16f4_test</t>
        </is>
      </c>
      <c r="B3428" t="inlineStr">
        <is>
          <t>2026-06-30 15:59:21.412</t>
        </is>
      </c>
      <c r="C3428" t="n">
        <v/>
      </c>
      <c r="D3428" t="inlineStr">
        <is>
          <t>Media file</t>
        </is>
      </c>
      <c r="E3428" t="inlineStr">
        <is>
          <t>player #1:C:/Users/manuel.felline/Documents/BEHAVIOR BTBR/NOR second cohort/BTBR/test/c16_f4.mp4</t>
        </is>
      </c>
      <c r="F3428" t="n">
        <v>-14.1</v>
      </c>
      <c r="G3428" t="n">
        <v>596.999</v>
      </c>
      <c r="H3428" t="n">
        <v>648.066</v>
      </c>
      <c r="I3428" t="n">
        <v>30</v>
      </c>
      <c r="J3428" t="inlineStr">
        <is>
          <t>BTBR</t>
        </is>
      </c>
      <c r="K3428" t="inlineStr">
        <is>
          <t xml:space="preserve"> Female</t>
        </is>
      </c>
      <c r="L3428" t="inlineStr">
        <is>
          <t>No focal subject</t>
        </is>
      </c>
      <c r="M3428" t="n">
        <v>70.292</v>
      </c>
      <c r="N3428" t="inlineStr">
        <is>
          <t>Explore_N</t>
        </is>
      </c>
      <c r="O3428" t="inlineStr">
        <is>
          <t>Novelty</t>
        </is>
      </c>
      <c r="P3428" t="inlineStr">
        <is>
          <t>STATE</t>
        </is>
      </c>
      <c r="Q3428" t="n">
        <v>304.566</v>
      </c>
      <c r="R3428" t="n">
        <v>304.866</v>
      </c>
      <c r="S3428" t="n">
        <v>0.3</v>
      </c>
      <c r="T3428" t="inlineStr">
        <is>
          <t>C:/Users/manuel.felline/Documents/BEHAVIOR BTBR/NOR second cohort/BTBR/test/c16_f4.mp4</t>
        </is>
      </c>
      <c r="U3428" t="n">
        <v>9298</v>
      </c>
      <c r="V3428" t="n">
        <v>9306</v>
      </c>
      <c r="W3428" t="n">
        <v/>
      </c>
      <c r="X3428" t="n">
        <v/>
      </c>
      <c r="Y3428" t="n">
        <v/>
      </c>
      <c r="Z3428" t="n">
        <v/>
      </c>
      <c r="AA3428">
        <f>SUMIFS($S$2:S3428,$A$2:A3428,A3428,$N$2:N3428,"Explore*")</f>
        <v/>
      </c>
      <c r="AB3428">
        <f>IF(AND(LEFT(N3428,7)="Explore",(AA3428-IF(LEFT(N3428,7)="Explore",S3428,0))&lt;10),"SI","NO")</f>
        <v/>
      </c>
    </row>
    <row r="3429">
      <c r="A3429" t="inlineStr">
        <is>
          <t>c16f4_test</t>
        </is>
      </c>
      <c r="B3429" t="inlineStr">
        <is>
          <t>2026-06-30 15:59:21.412</t>
        </is>
      </c>
      <c r="C3429" t="n">
        <v/>
      </c>
      <c r="D3429" t="inlineStr">
        <is>
          <t>Media file</t>
        </is>
      </c>
      <c r="E3429" t="inlineStr">
        <is>
          <t>player #1:C:/Users/manuel.felline/Documents/BEHAVIOR BTBR/NOR second cohort/BTBR/test/c16_f4.mp4</t>
        </is>
      </c>
      <c r="F3429" t="n">
        <v>-14.1</v>
      </c>
      <c r="G3429" t="n">
        <v>596.999</v>
      </c>
      <c r="H3429" t="n">
        <v>648.066</v>
      </c>
      <c r="I3429" t="n">
        <v>30</v>
      </c>
      <c r="J3429" t="inlineStr">
        <is>
          <t>BTBR</t>
        </is>
      </c>
      <c r="K3429" t="inlineStr">
        <is>
          <t xml:space="preserve"> Female</t>
        </is>
      </c>
      <c r="L3429" t="inlineStr">
        <is>
          <t>No focal subject</t>
        </is>
      </c>
      <c r="M3429" t="n">
        <v>70.292</v>
      </c>
      <c r="N3429" t="inlineStr">
        <is>
          <t>Explore_F</t>
        </is>
      </c>
      <c r="O3429" t="inlineStr">
        <is>
          <t>Familiar</t>
        </is>
      </c>
      <c r="P3429" t="inlineStr">
        <is>
          <t>STATE</t>
        </is>
      </c>
      <c r="Q3429" t="n">
        <v>307.133</v>
      </c>
      <c r="R3429" t="n">
        <v>307.533</v>
      </c>
      <c r="S3429" t="n">
        <v>0.4</v>
      </c>
      <c r="T3429" t="inlineStr">
        <is>
          <t>C:/Users/manuel.felline/Documents/BEHAVIOR BTBR/NOR second cohort/BTBR/test/c16_f4.mp4</t>
        </is>
      </c>
      <c r="U3429" t="n">
        <v>9373</v>
      </c>
      <c r="V3429" t="n">
        <v>9384</v>
      </c>
      <c r="W3429" t="n">
        <v/>
      </c>
      <c r="X3429" t="n">
        <v/>
      </c>
      <c r="Y3429" t="n">
        <v/>
      </c>
      <c r="Z3429" t="n">
        <v/>
      </c>
      <c r="AA3429">
        <f>SUMIFS($S$2:S3429,$A$2:A3429,A3429,$N$2:N3429,"Explore*")</f>
        <v/>
      </c>
      <c r="AB3429">
        <f>IF(AND(LEFT(N3429,7)="Explore",(AA3429-IF(LEFT(N3429,7)="Explore",S3429,0))&lt;10),"SI","NO")</f>
        <v/>
      </c>
    </row>
    <row r="3430">
      <c r="A3430" t="inlineStr">
        <is>
          <t>c16f4_test</t>
        </is>
      </c>
      <c r="B3430" t="inlineStr">
        <is>
          <t>2026-06-30 15:59:21.412</t>
        </is>
      </c>
      <c r="C3430" t="n">
        <v/>
      </c>
      <c r="D3430" t="inlineStr">
        <is>
          <t>Media file</t>
        </is>
      </c>
      <c r="E3430" t="inlineStr">
        <is>
          <t>player #1:C:/Users/manuel.felline/Documents/BEHAVIOR BTBR/NOR second cohort/BTBR/test/c16_f4.mp4</t>
        </is>
      </c>
      <c r="F3430" t="n">
        <v>-14.1</v>
      </c>
      <c r="G3430" t="n">
        <v>596.999</v>
      </c>
      <c r="H3430" t="n">
        <v>648.066</v>
      </c>
      <c r="I3430" t="n">
        <v>30</v>
      </c>
      <c r="J3430" t="inlineStr">
        <is>
          <t>BTBR</t>
        </is>
      </c>
      <c r="K3430" t="inlineStr">
        <is>
          <t xml:space="preserve"> Female</t>
        </is>
      </c>
      <c r="L3430" t="inlineStr">
        <is>
          <t>No focal subject</t>
        </is>
      </c>
      <c r="M3430" t="n">
        <v>70.292</v>
      </c>
      <c r="N3430" t="inlineStr">
        <is>
          <t>Explore_N</t>
        </is>
      </c>
      <c r="O3430" t="inlineStr">
        <is>
          <t>Novelty</t>
        </is>
      </c>
      <c r="P3430" t="inlineStr">
        <is>
          <t>STATE</t>
        </is>
      </c>
      <c r="Q3430" t="n">
        <v>309.833</v>
      </c>
      <c r="R3430" t="n">
        <v>310.366</v>
      </c>
      <c r="S3430" t="n">
        <v>0.533</v>
      </c>
      <c r="T3430" t="inlineStr">
        <is>
          <t>C:/Users/manuel.felline/Documents/BEHAVIOR BTBR/NOR second cohort/BTBR/test/c16_f4.mp4</t>
        </is>
      </c>
      <c r="U3430" t="n">
        <v>9451</v>
      </c>
      <c r="V3430" t="n">
        <v>9467</v>
      </c>
      <c r="W3430" t="n">
        <v/>
      </c>
      <c r="X3430" t="n">
        <v/>
      </c>
      <c r="Y3430" t="n">
        <v/>
      </c>
      <c r="Z3430" t="n">
        <v/>
      </c>
      <c r="AA3430">
        <f>SUMIFS($S$2:S3430,$A$2:A3430,A3430,$N$2:N3430,"Explore*")</f>
        <v/>
      </c>
      <c r="AB3430">
        <f>IF(AND(LEFT(N3430,7)="Explore",(AA3430-IF(LEFT(N3430,7)="Explore",S3430,0))&lt;10),"SI","NO")</f>
        <v/>
      </c>
    </row>
    <row r="3431">
      <c r="A3431" t="inlineStr">
        <is>
          <t>c16f4_test</t>
        </is>
      </c>
      <c r="B3431" t="inlineStr">
        <is>
          <t>2026-06-30 15:59:21.412</t>
        </is>
      </c>
      <c r="C3431" t="n">
        <v/>
      </c>
      <c r="D3431" t="inlineStr">
        <is>
          <t>Media file</t>
        </is>
      </c>
      <c r="E3431" t="inlineStr">
        <is>
          <t>player #1:C:/Users/manuel.felline/Documents/BEHAVIOR BTBR/NOR second cohort/BTBR/test/c16_f4.mp4</t>
        </is>
      </c>
      <c r="F3431" t="n">
        <v>-14.1</v>
      </c>
      <c r="G3431" t="n">
        <v>596.999</v>
      </c>
      <c r="H3431" t="n">
        <v>648.066</v>
      </c>
      <c r="I3431" t="n">
        <v>30</v>
      </c>
      <c r="J3431" t="inlineStr">
        <is>
          <t>BTBR</t>
        </is>
      </c>
      <c r="K3431" t="inlineStr">
        <is>
          <t xml:space="preserve"> Female</t>
        </is>
      </c>
      <c r="L3431" t="inlineStr">
        <is>
          <t>No focal subject</t>
        </is>
      </c>
      <c r="M3431" t="n">
        <v>70.292</v>
      </c>
      <c r="N3431" t="inlineStr">
        <is>
          <t>Explore_F</t>
        </is>
      </c>
      <c r="O3431" t="inlineStr">
        <is>
          <t>Familiar</t>
        </is>
      </c>
      <c r="P3431" t="inlineStr">
        <is>
          <t>STATE</t>
        </is>
      </c>
      <c r="Q3431" t="n">
        <v>316.133</v>
      </c>
      <c r="R3431" t="n">
        <v>316.966</v>
      </c>
      <c r="S3431" t="n">
        <v>0.833</v>
      </c>
      <c r="T3431" t="inlineStr">
        <is>
          <t>C:/Users/manuel.felline/Documents/BEHAVIOR BTBR/NOR second cohort/BTBR/test/c16_f4.mp4</t>
        </is>
      </c>
      <c r="U3431" t="n">
        <v>9635</v>
      </c>
      <c r="V3431" t="n">
        <v>9660</v>
      </c>
      <c r="W3431" t="n">
        <v/>
      </c>
      <c r="X3431" t="n">
        <v/>
      </c>
      <c r="Y3431" t="n">
        <v/>
      </c>
      <c r="Z3431" t="n">
        <v/>
      </c>
      <c r="AA3431">
        <f>SUMIFS($S$2:S3431,$A$2:A3431,A3431,$N$2:N3431,"Explore*")</f>
        <v/>
      </c>
      <c r="AB3431">
        <f>IF(AND(LEFT(N3431,7)="Explore",(AA3431-IF(LEFT(N3431,7)="Explore",S3431,0))&lt;10),"SI","NO")</f>
        <v/>
      </c>
    </row>
    <row r="3432">
      <c r="A3432" t="inlineStr">
        <is>
          <t>c16f4_test</t>
        </is>
      </c>
      <c r="B3432" t="inlineStr">
        <is>
          <t>2026-06-30 15:59:21.412</t>
        </is>
      </c>
      <c r="C3432" t="n">
        <v/>
      </c>
      <c r="D3432" t="inlineStr">
        <is>
          <t>Media file</t>
        </is>
      </c>
      <c r="E3432" t="inlineStr">
        <is>
          <t>player #1:C:/Users/manuel.felline/Documents/BEHAVIOR BTBR/NOR second cohort/BTBR/test/c16_f4.mp4</t>
        </is>
      </c>
      <c r="F3432" t="n">
        <v>-14.1</v>
      </c>
      <c r="G3432" t="n">
        <v>596.999</v>
      </c>
      <c r="H3432" t="n">
        <v>648.066</v>
      </c>
      <c r="I3432" t="n">
        <v>30</v>
      </c>
      <c r="J3432" t="inlineStr">
        <is>
          <t>BTBR</t>
        </is>
      </c>
      <c r="K3432" t="inlineStr">
        <is>
          <t xml:space="preserve"> Female</t>
        </is>
      </c>
      <c r="L3432" t="inlineStr">
        <is>
          <t>No focal subject</t>
        </is>
      </c>
      <c r="M3432" t="n">
        <v>70.292</v>
      </c>
      <c r="N3432" t="inlineStr">
        <is>
          <t>Explore_N</t>
        </is>
      </c>
      <c r="O3432" t="inlineStr">
        <is>
          <t>Novelty</t>
        </is>
      </c>
      <c r="P3432" t="inlineStr">
        <is>
          <t>STATE</t>
        </is>
      </c>
      <c r="Q3432" t="n">
        <v>318.666</v>
      </c>
      <c r="R3432" t="n">
        <v>319.066</v>
      </c>
      <c r="S3432" t="n">
        <v>0.4</v>
      </c>
      <c r="T3432" t="inlineStr">
        <is>
          <t>C:/Users/manuel.felline/Documents/BEHAVIOR BTBR/NOR second cohort/BTBR/test/c16_f4.mp4</t>
        </is>
      </c>
      <c r="U3432" t="n">
        <v>9709</v>
      </c>
      <c r="V3432" t="n">
        <v>9721</v>
      </c>
      <c r="W3432" t="n">
        <v/>
      </c>
      <c r="X3432" t="n">
        <v/>
      </c>
      <c r="Y3432" t="n">
        <v/>
      </c>
      <c r="Z3432" t="n">
        <v/>
      </c>
      <c r="AA3432">
        <f>SUMIFS($S$2:S3432,$A$2:A3432,A3432,$N$2:N3432,"Explore*")</f>
        <v/>
      </c>
      <c r="AB3432">
        <f>IF(AND(LEFT(N3432,7)="Explore",(AA3432-IF(LEFT(N3432,7)="Explore",S3432,0))&lt;10),"SI","NO")</f>
        <v/>
      </c>
    </row>
    <row r="3433">
      <c r="A3433" t="inlineStr">
        <is>
          <t>c16f4_test</t>
        </is>
      </c>
      <c r="B3433" t="inlineStr">
        <is>
          <t>2026-06-30 15:59:21.412</t>
        </is>
      </c>
      <c r="C3433" t="n">
        <v/>
      </c>
      <c r="D3433" t="inlineStr">
        <is>
          <t>Media file</t>
        </is>
      </c>
      <c r="E3433" t="inlineStr">
        <is>
          <t>player #1:C:/Users/manuel.felline/Documents/BEHAVIOR BTBR/NOR second cohort/BTBR/test/c16_f4.mp4</t>
        </is>
      </c>
      <c r="F3433" t="n">
        <v>-14.1</v>
      </c>
      <c r="G3433" t="n">
        <v>596.999</v>
      </c>
      <c r="H3433" t="n">
        <v>648.066</v>
      </c>
      <c r="I3433" t="n">
        <v>30</v>
      </c>
      <c r="J3433" t="inlineStr">
        <is>
          <t>BTBR</t>
        </is>
      </c>
      <c r="K3433" t="inlineStr">
        <is>
          <t xml:space="preserve"> Female</t>
        </is>
      </c>
      <c r="L3433" t="inlineStr">
        <is>
          <t>No focal subject</t>
        </is>
      </c>
      <c r="M3433" t="n">
        <v>70.292</v>
      </c>
      <c r="N3433" t="inlineStr">
        <is>
          <t>Explore_F</t>
        </is>
      </c>
      <c r="O3433" t="inlineStr">
        <is>
          <t>Familiar</t>
        </is>
      </c>
      <c r="P3433" t="inlineStr">
        <is>
          <t>STATE</t>
        </is>
      </c>
      <c r="Q3433" t="n">
        <v>350.2</v>
      </c>
      <c r="R3433" t="n">
        <v>350.6</v>
      </c>
      <c r="S3433" t="n">
        <v>0.4</v>
      </c>
      <c r="T3433" t="inlineStr">
        <is>
          <t>C:/Users/manuel.felline/Documents/BEHAVIOR BTBR/NOR second cohort/BTBR/test/c16_f4.mp4</t>
        </is>
      </c>
      <c r="U3433" t="n">
        <v>10629</v>
      </c>
      <c r="V3433" t="n">
        <v>10641</v>
      </c>
      <c r="W3433" t="n">
        <v/>
      </c>
      <c r="X3433" t="n">
        <v/>
      </c>
      <c r="Y3433" t="n">
        <v/>
      </c>
      <c r="Z3433" t="n">
        <v/>
      </c>
      <c r="AA3433">
        <f>SUMIFS($S$2:S3433,$A$2:A3433,A3433,$N$2:N3433,"Explore*")</f>
        <v/>
      </c>
      <c r="AB3433">
        <f>IF(AND(LEFT(N3433,7)="Explore",(AA3433-IF(LEFT(N3433,7)="Explore",S3433,0))&lt;10),"SI","NO")</f>
        <v/>
      </c>
    </row>
    <row r="3434">
      <c r="A3434" t="inlineStr">
        <is>
          <t>c16f4_test</t>
        </is>
      </c>
      <c r="B3434" t="inlineStr">
        <is>
          <t>2026-06-30 15:59:21.412</t>
        </is>
      </c>
      <c r="C3434" t="n">
        <v/>
      </c>
      <c r="D3434" t="inlineStr">
        <is>
          <t>Media file</t>
        </is>
      </c>
      <c r="E3434" t="inlineStr">
        <is>
          <t>player #1:C:/Users/manuel.felline/Documents/BEHAVIOR BTBR/NOR second cohort/BTBR/test/c16_f4.mp4</t>
        </is>
      </c>
      <c r="F3434" t="n">
        <v>-14.1</v>
      </c>
      <c r="G3434" t="n">
        <v>596.999</v>
      </c>
      <c r="H3434" t="n">
        <v>648.066</v>
      </c>
      <c r="I3434" t="n">
        <v>30</v>
      </c>
      <c r="J3434" t="inlineStr">
        <is>
          <t>BTBR</t>
        </is>
      </c>
      <c r="K3434" t="inlineStr">
        <is>
          <t xml:space="preserve"> Female</t>
        </is>
      </c>
      <c r="L3434" t="inlineStr">
        <is>
          <t>No focal subject</t>
        </is>
      </c>
      <c r="M3434" t="n">
        <v>70.292</v>
      </c>
      <c r="N3434" t="inlineStr">
        <is>
          <t>Explore_N</t>
        </is>
      </c>
      <c r="O3434" t="inlineStr">
        <is>
          <t>Novelty</t>
        </is>
      </c>
      <c r="P3434" t="inlineStr">
        <is>
          <t>STATE</t>
        </is>
      </c>
      <c r="Q3434" t="n">
        <v>360.766</v>
      </c>
      <c r="R3434" t="n">
        <v>361.166</v>
      </c>
      <c r="S3434" t="n">
        <v>0.4</v>
      </c>
      <c r="T3434" t="inlineStr">
        <is>
          <t>C:/Users/manuel.felline/Documents/BEHAVIOR BTBR/NOR second cohort/BTBR/test/c16_f4.mp4</t>
        </is>
      </c>
      <c r="U3434" t="n">
        <v>10937</v>
      </c>
      <c r="V3434" t="n">
        <v>10949</v>
      </c>
      <c r="W3434" t="n">
        <v/>
      </c>
      <c r="X3434" t="n">
        <v/>
      </c>
      <c r="Y3434" t="n">
        <v/>
      </c>
      <c r="Z3434" t="n">
        <v/>
      </c>
      <c r="AA3434">
        <f>SUMIFS($S$2:S3434,$A$2:A3434,A3434,$N$2:N3434,"Explore*")</f>
        <v/>
      </c>
      <c r="AB3434">
        <f>IF(AND(LEFT(N3434,7)="Explore",(AA3434-IF(LEFT(N3434,7)="Explore",S3434,0))&lt;10),"SI","NO")</f>
        <v/>
      </c>
    </row>
    <row r="3435">
      <c r="A3435" t="inlineStr">
        <is>
          <t>c16f4_test</t>
        </is>
      </c>
      <c r="B3435" t="inlineStr">
        <is>
          <t>2026-06-30 15:59:21.412</t>
        </is>
      </c>
      <c r="C3435" t="n">
        <v/>
      </c>
      <c r="D3435" t="inlineStr">
        <is>
          <t>Media file</t>
        </is>
      </c>
      <c r="E3435" t="inlineStr">
        <is>
          <t>player #1:C:/Users/manuel.felline/Documents/BEHAVIOR BTBR/NOR second cohort/BTBR/test/c16_f4.mp4</t>
        </is>
      </c>
      <c r="F3435" t="n">
        <v>-14.1</v>
      </c>
      <c r="G3435" t="n">
        <v>596.999</v>
      </c>
      <c r="H3435" t="n">
        <v>648.066</v>
      </c>
      <c r="I3435" t="n">
        <v>30</v>
      </c>
      <c r="J3435" t="inlineStr">
        <is>
          <t>BTBR</t>
        </is>
      </c>
      <c r="K3435" t="inlineStr">
        <is>
          <t xml:space="preserve"> Female</t>
        </is>
      </c>
      <c r="L3435" t="inlineStr">
        <is>
          <t>No focal subject</t>
        </is>
      </c>
      <c r="M3435" t="n">
        <v>70.292</v>
      </c>
      <c r="N3435" t="inlineStr">
        <is>
          <t>Explore_N</t>
        </is>
      </c>
      <c r="O3435" t="inlineStr">
        <is>
          <t>Novelty</t>
        </is>
      </c>
      <c r="P3435" t="inlineStr">
        <is>
          <t>STATE</t>
        </is>
      </c>
      <c r="Q3435" t="n">
        <v>365.433</v>
      </c>
      <c r="R3435" t="n">
        <v>366.933</v>
      </c>
      <c r="S3435" t="n">
        <v>1.5</v>
      </c>
      <c r="T3435" t="inlineStr">
        <is>
          <t>C:/Users/manuel.felline/Documents/BEHAVIOR BTBR/NOR second cohort/BTBR/test/c16_f4.mp4</t>
        </is>
      </c>
      <c r="U3435" t="n">
        <v>11074</v>
      </c>
      <c r="V3435" t="n">
        <v>11117</v>
      </c>
      <c r="W3435" t="n">
        <v/>
      </c>
      <c r="X3435" t="n">
        <v/>
      </c>
      <c r="Y3435" t="n">
        <v/>
      </c>
      <c r="Z3435" t="n">
        <v/>
      </c>
      <c r="AA3435">
        <f>SUMIFS($S$2:S3435,$A$2:A3435,A3435,$N$2:N3435,"Explore*")</f>
        <v/>
      </c>
      <c r="AB3435">
        <f>IF(AND(LEFT(N3435,7)="Explore",(AA3435-IF(LEFT(N3435,7)="Explore",S3435,0))&lt;10),"SI","NO")</f>
        <v/>
      </c>
    </row>
    <row r="3436">
      <c r="A3436" t="inlineStr">
        <is>
          <t>c16f4_test</t>
        </is>
      </c>
      <c r="B3436" t="inlineStr">
        <is>
          <t>2026-06-30 15:59:21.412</t>
        </is>
      </c>
      <c r="C3436" t="n">
        <v/>
      </c>
      <c r="D3436" t="inlineStr">
        <is>
          <t>Media file</t>
        </is>
      </c>
      <c r="E3436" t="inlineStr">
        <is>
          <t>player #1:C:/Users/manuel.felline/Documents/BEHAVIOR BTBR/NOR second cohort/BTBR/test/c16_f4.mp4</t>
        </is>
      </c>
      <c r="F3436" t="n">
        <v>-14.1</v>
      </c>
      <c r="G3436" t="n">
        <v>596.999</v>
      </c>
      <c r="H3436" t="n">
        <v>648.066</v>
      </c>
      <c r="I3436" t="n">
        <v>30</v>
      </c>
      <c r="J3436" t="inlineStr">
        <is>
          <t>BTBR</t>
        </is>
      </c>
      <c r="K3436" t="inlineStr">
        <is>
          <t xml:space="preserve"> Female</t>
        </is>
      </c>
      <c r="L3436" t="inlineStr">
        <is>
          <t>No focal subject</t>
        </is>
      </c>
      <c r="M3436" t="n">
        <v>70.292</v>
      </c>
      <c r="N3436" t="inlineStr">
        <is>
          <t>Explore_N</t>
        </is>
      </c>
      <c r="O3436" t="inlineStr">
        <is>
          <t>Novelty</t>
        </is>
      </c>
      <c r="P3436" t="inlineStr">
        <is>
          <t>STATE</t>
        </is>
      </c>
      <c r="Q3436" t="n">
        <v>404.3</v>
      </c>
      <c r="R3436" t="n">
        <v>405.466</v>
      </c>
      <c r="S3436" t="n">
        <v>1.166</v>
      </c>
      <c r="T3436" t="inlineStr">
        <is>
          <t>C:/Users/manuel.felline/Documents/BEHAVIOR BTBR/NOR second cohort/BTBR/test/c16_f4.mp4</t>
        </is>
      </c>
      <c r="U3436" t="n">
        <v>12208</v>
      </c>
      <c r="V3436" t="n">
        <v>12242</v>
      </c>
      <c r="W3436" t="n">
        <v/>
      </c>
      <c r="X3436" t="n">
        <v/>
      </c>
      <c r="Y3436" t="n">
        <v/>
      </c>
      <c r="Z3436" t="n">
        <v/>
      </c>
      <c r="AA3436">
        <f>SUMIFS($S$2:S3436,$A$2:A3436,A3436,$N$2:N3436,"Explore*")</f>
        <v/>
      </c>
      <c r="AB3436">
        <f>IF(AND(LEFT(N3436,7)="Explore",(AA3436-IF(LEFT(N3436,7)="Explore",S3436,0))&lt;10),"SI","NO")</f>
        <v/>
      </c>
    </row>
    <row r="3437">
      <c r="A3437" t="inlineStr">
        <is>
          <t>c16f4_test</t>
        </is>
      </c>
      <c r="B3437" t="inlineStr">
        <is>
          <t>2026-06-30 15:59:21.412</t>
        </is>
      </c>
      <c r="C3437" t="n">
        <v/>
      </c>
      <c r="D3437" t="inlineStr">
        <is>
          <t>Media file</t>
        </is>
      </c>
      <c r="E3437" t="inlineStr">
        <is>
          <t>player #1:C:/Users/manuel.felline/Documents/BEHAVIOR BTBR/NOR second cohort/BTBR/test/c16_f4.mp4</t>
        </is>
      </c>
      <c r="F3437" t="n">
        <v>-14.1</v>
      </c>
      <c r="G3437" t="n">
        <v>596.999</v>
      </c>
      <c r="H3437" t="n">
        <v>648.066</v>
      </c>
      <c r="I3437" t="n">
        <v>30</v>
      </c>
      <c r="J3437" t="inlineStr">
        <is>
          <t>BTBR</t>
        </is>
      </c>
      <c r="K3437" t="inlineStr">
        <is>
          <t xml:space="preserve"> Female</t>
        </is>
      </c>
      <c r="L3437" t="inlineStr">
        <is>
          <t>No focal subject</t>
        </is>
      </c>
      <c r="M3437" t="n">
        <v>70.292</v>
      </c>
      <c r="N3437" t="inlineStr">
        <is>
          <t>Explore_F</t>
        </is>
      </c>
      <c r="O3437" t="inlineStr">
        <is>
          <t>Familiar</t>
        </is>
      </c>
      <c r="P3437" t="inlineStr">
        <is>
          <t>STATE</t>
        </is>
      </c>
      <c r="Q3437" t="n">
        <v>411</v>
      </c>
      <c r="R3437" t="n">
        <v>411.366</v>
      </c>
      <c r="S3437" t="n">
        <v>0.366</v>
      </c>
      <c r="T3437" t="inlineStr">
        <is>
          <t>C:/Users/manuel.felline/Documents/BEHAVIOR BTBR/NOR second cohort/BTBR/test/c16_f4.mp4</t>
        </is>
      </c>
      <c r="U3437" t="n">
        <v>12403</v>
      </c>
      <c r="V3437" t="n">
        <v>12414</v>
      </c>
      <c r="W3437" t="n">
        <v/>
      </c>
      <c r="X3437" t="n">
        <v/>
      </c>
      <c r="Y3437" t="n">
        <v/>
      </c>
      <c r="Z3437" t="n">
        <v/>
      </c>
      <c r="AA3437">
        <f>SUMIFS($S$2:S3437,$A$2:A3437,A3437,$N$2:N3437,"Explore*")</f>
        <v/>
      </c>
      <c r="AB3437">
        <f>IF(AND(LEFT(N3437,7)="Explore",(AA3437-IF(LEFT(N3437,7)="Explore",S3437,0))&lt;10),"SI","NO")</f>
        <v/>
      </c>
    </row>
    <row r="3438">
      <c r="A3438" t="inlineStr">
        <is>
          <t>c16f4_test</t>
        </is>
      </c>
      <c r="B3438" t="inlineStr">
        <is>
          <t>2026-06-30 15:59:21.412</t>
        </is>
      </c>
      <c r="C3438" t="n">
        <v/>
      </c>
      <c r="D3438" t="inlineStr">
        <is>
          <t>Media file</t>
        </is>
      </c>
      <c r="E3438" t="inlineStr">
        <is>
          <t>player #1:C:/Users/manuel.felline/Documents/BEHAVIOR BTBR/NOR second cohort/BTBR/test/c16_f4.mp4</t>
        </is>
      </c>
      <c r="F3438" t="n">
        <v>-14.1</v>
      </c>
      <c r="G3438" t="n">
        <v>596.999</v>
      </c>
      <c r="H3438" t="n">
        <v>648.066</v>
      </c>
      <c r="I3438" t="n">
        <v>30</v>
      </c>
      <c r="J3438" t="inlineStr">
        <is>
          <t>BTBR</t>
        </is>
      </c>
      <c r="K3438" t="inlineStr">
        <is>
          <t xml:space="preserve"> Female</t>
        </is>
      </c>
      <c r="L3438" t="inlineStr">
        <is>
          <t>No focal subject</t>
        </is>
      </c>
      <c r="M3438" t="n">
        <v>70.292</v>
      </c>
      <c r="N3438" t="inlineStr">
        <is>
          <t>Explore_N</t>
        </is>
      </c>
      <c r="O3438" t="inlineStr">
        <is>
          <t>Novelty</t>
        </is>
      </c>
      <c r="P3438" t="inlineStr">
        <is>
          <t>STATE</t>
        </is>
      </c>
      <c r="Q3438" t="n">
        <v>416.1</v>
      </c>
      <c r="R3438" t="n">
        <v>417.6</v>
      </c>
      <c r="S3438" t="n">
        <v>1.5</v>
      </c>
      <c r="T3438" t="inlineStr">
        <is>
          <t>C:/Users/manuel.felline/Documents/BEHAVIOR BTBR/NOR second cohort/BTBR/test/c16_f4.mp4</t>
        </is>
      </c>
      <c r="U3438" t="n">
        <v>12552</v>
      </c>
      <c r="V3438" t="n">
        <v>12596</v>
      </c>
      <c r="W3438" t="n">
        <v/>
      </c>
      <c r="X3438" t="n">
        <v/>
      </c>
      <c r="Y3438" t="n">
        <v/>
      </c>
      <c r="Z3438" t="n">
        <v/>
      </c>
      <c r="AA3438">
        <f>SUMIFS($S$2:S3438,$A$2:A3438,A3438,$N$2:N3438,"Explore*")</f>
        <v/>
      </c>
      <c r="AB3438">
        <f>IF(AND(LEFT(N3438,7)="Explore",(AA3438-IF(LEFT(N3438,7)="Explore",S3438,0))&lt;10),"SI","NO")</f>
        <v/>
      </c>
    </row>
    <row r="3439">
      <c r="A3439" t="inlineStr">
        <is>
          <t>c16f4_test</t>
        </is>
      </c>
      <c r="B3439" t="inlineStr">
        <is>
          <t>2026-06-30 15:59:21.412</t>
        </is>
      </c>
      <c r="C3439" t="n">
        <v/>
      </c>
      <c r="D3439" t="inlineStr">
        <is>
          <t>Media file</t>
        </is>
      </c>
      <c r="E3439" t="inlineStr">
        <is>
          <t>player #1:C:/Users/manuel.felline/Documents/BEHAVIOR BTBR/NOR second cohort/BTBR/test/c16_f4.mp4</t>
        </is>
      </c>
      <c r="F3439" t="n">
        <v>-14.1</v>
      </c>
      <c r="G3439" t="n">
        <v>596.999</v>
      </c>
      <c r="H3439" t="n">
        <v>648.066</v>
      </c>
      <c r="I3439" t="n">
        <v>30</v>
      </c>
      <c r="J3439" t="inlineStr">
        <is>
          <t>BTBR</t>
        </is>
      </c>
      <c r="K3439" t="inlineStr">
        <is>
          <t xml:space="preserve"> Female</t>
        </is>
      </c>
      <c r="L3439" t="inlineStr">
        <is>
          <t>No focal subject</t>
        </is>
      </c>
      <c r="M3439" t="n">
        <v>70.292</v>
      </c>
      <c r="N3439" t="inlineStr">
        <is>
          <t>Explore_N</t>
        </is>
      </c>
      <c r="O3439" t="inlineStr">
        <is>
          <t>Novelty</t>
        </is>
      </c>
      <c r="P3439" t="inlineStr">
        <is>
          <t>STATE</t>
        </is>
      </c>
      <c r="Q3439" t="n">
        <v>421</v>
      </c>
      <c r="R3439" t="n">
        <v>421.833</v>
      </c>
      <c r="S3439" t="n">
        <v>0.833</v>
      </c>
      <c r="T3439" t="inlineStr">
        <is>
          <t>C:/Users/manuel.felline/Documents/BEHAVIOR BTBR/NOR second cohort/BTBR/test/c16_f4.mp4</t>
        </is>
      </c>
      <c r="U3439" t="n">
        <v>12695</v>
      </c>
      <c r="V3439" t="n">
        <v>12719</v>
      </c>
      <c r="W3439" t="n">
        <v/>
      </c>
      <c r="X3439" t="n">
        <v/>
      </c>
      <c r="Y3439" t="n">
        <v/>
      </c>
      <c r="Z3439" t="n">
        <v/>
      </c>
      <c r="AA3439">
        <f>SUMIFS($S$2:S3439,$A$2:A3439,A3439,$N$2:N3439,"Explore*")</f>
        <v/>
      </c>
      <c r="AB3439">
        <f>IF(AND(LEFT(N3439,7)="Explore",(AA3439-IF(LEFT(N3439,7)="Explore",S3439,0))&lt;10),"SI","NO")</f>
        <v/>
      </c>
    </row>
    <row r="3440">
      <c r="A3440" t="inlineStr">
        <is>
          <t>c16f4_test</t>
        </is>
      </c>
      <c r="B3440" t="inlineStr">
        <is>
          <t>2026-06-30 15:59:21.412</t>
        </is>
      </c>
      <c r="C3440" t="n">
        <v/>
      </c>
      <c r="D3440" t="inlineStr">
        <is>
          <t>Media file</t>
        </is>
      </c>
      <c r="E3440" t="inlineStr">
        <is>
          <t>player #1:C:/Users/manuel.felline/Documents/BEHAVIOR BTBR/NOR second cohort/BTBR/test/c16_f4.mp4</t>
        </is>
      </c>
      <c r="F3440" t="n">
        <v>-14.1</v>
      </c>
      <c r="G3440" t="n">
        <v>596.999</v>
      </c>
      <c r="H3440" t="n">
        <v>648.066</v>
      </c>
      <c r="I3440" t="n">
        <v>30</v>
      </c>
      <c r="J3440" t="inlineStr">
        <is>
          <t>BTBR</t>
        </is>
      </c>
      <c r="K3440" t="inlineStr">
        <is>
          <t xml:space="preserve"> Female</t>
        </is>
      </c>
      <c r="L3440" t="inlineStr">
        <is>
          <t>No focal subject</t>
        </is>
      </c>
      <c r="M3440" t="n">
        <v>70.292</v>
      </c>
      <c r="N3440" t="inlineStr">
        <is>
          <t>Explore_N</t>
        </is>
      </c>
      <c r="O3440" t="inlineStr">
        <is>
          <t>Novelty</t>
        </is>
      </c>
      <c r="P3440" t="inlineStr">
        <is>
          <t>STATE</t>
        </is>
      </c>
      <c r="Q3440" t="n">
        <v>423.233</v>
      </c>
      <c r="R3440" t="n">
        <v>425.233</v>
      </c>
      <c r="S3440" t="n">
        <v>2</v>
      </c>
      <c r="T3440" t="inlineStr">
        <is>
          <t>C:/Users/manuel.felline/Documents/BEHAVIOR BTBR/NOR second cohort/BTBR/test/c16_f4.mp4</t>
        </is>
      </c>
      <c r="U3440" t="n">
        <v>12760</v>
      </c>
      <c r="V3440" t="n">
        <v>12818</v>
      </c>
      <c r="W3440" t="n">
        <v/>
      </c>
      <c r="X3440" t="n">
        <v/>
      </c>
      <c r="Y3440" t="n">
        <v/>
      </c>
      <c r="Z3440" t="n">
        <v/>
      </c>
      <c r="AA3440">
        <f>SUMIFS($S$2:S3440,$A$2:A3440,A3440,$N$2:N3440,"Explore*")</f>
        <v/>
      </c>
      <c r="AB3440">
        <f>IF(AND(LEFT(N3440,7)="Explore",(AA3440-IF(LEFT(N3440,7)="Explore",S3440,0))&lt;10),"SI","NO")</f>
        <v/>
      </c>
    </row>
    <row r="3441">
      <c r="A3441" t="inlineStr">
        <is>
          <t>c16f4_test</t>
        </is>
      </c>
      <c r="B3441" t="inlineStr">
        <is>
          <t>2026-06-30 15:59:21.412</t>
        </is>
      </c>
      <c r="C3441" t="n">
        <v/>
      </c>
      <c r="D3441" t="inlineStr">
        <is>
          <t>Media file</t>
        </is>
      </c>
      <c r="E3441" t="inlineStr">
        <is>
          <t>player #1:C:/Users/manuel.felline/Documents/BEHAVIOR BTBR/NOR second cohort/BTBR/test/c16_f4.mp4</t>
        </is>
      </c>
      <c r="F3441" t="n">
        <v>-14.1</v>
      </c>
      <c r="G3441" t="n">
        <v>596.999</v>
      </c>
      <c r="H3441" t="n">
        <v>648.066</v>
      </c>
      <c r="I3441" t="n">
        <v>30</v>
      </c>
      <c r="J3441" t="inlineStr">
        <is>
          <t>BTBR</t>
        </is>
      </c>
      <c r="K3441" t="inlineStr">
        <is>
          <t xml:space="preserve"> Female</t>
        </is>
      </c>
      <c r="L3441" t="inlineStr">
        <is>
          <t>No focal subject</t>
        </is>
      </c>
      <c r="M3441" t="n">
        <v>70.292</v>
      </c>
      <c r="N3441" t="inlineStr">
        <is>
          <t>Explore_N</t>
        </is>
      </c>
      <c r="O3441" t="inlineStr">
        <is>
          <t>Novelty</t>
        </is>
      </c>
      <c r="P3441" t="inlineStr">
        <is>
          <t>STATE</t>
        </is>
      </c>
      <c r="Q3441" t="n">
        <v>449.6</v>
      </c>
      <c r="R3441" t="n">
        <v>452.733</v>
      </c>
      <c r="S3441" t="n">
        <v>3.133</v>
      </c>
      <c r="T3441" t="inlineStr">
        <is>
          <t>C:/Users/manuel.felline/Documents/BEHAVIOR BTBR/NOR second cohort/BTBR/test/c16_f4.mp4</t>
        </is>
      </c>
      <c r="U3441" t="n">
        <v>13529</v>
      </c>
      <c r="V3441" t="n">
        <v>13621</v>
      </c>
      <c r="W3441" t="n">
        <v/>
      </c>
      <c r="X3441" t="n">
        <v/>
      </c>
      <c r="Y3441" t="n">
        <v/>
      </c>
      <c r="Z3441" t="n">
        <v/>
      </c>
      <c r="AA3441">
        <f>SUMIFS($S$2:S3441,$A$2:A3441,A3441,$N$2:N3441,"Explore*")</f>
        <v/>
      </c>
      <c r="AB3441">
        <f>IF(AND(LEFT(N3441,7)="Explore",(AA3441-IF(LEFT(N3441,7)="Explore",S3441,0))&lt;10),"SI","NO")</f>
        <v/>
      </c>
    </row>
    <row r="3442">
      <c r="A3442" t="inlineStr">
        <is>
          <t>c16f4_test</t>
        </is>
      </c>
      <c r="B3442" t="inlineStr">
        <is>
          <t>2026-06-30 15:59:21.412</t>
        </is>
      </c>
      <c r="C3442" t="n">
        <v/>
      </c>
      <c r="D3442" t="inlineStr">
        <is>
          <t>Media file</t>
        </is>
      </c>
      <c r="E3442" t="inlineStr">
        <is>
          <t>player #1:C:/Users/manuel.felline/Documents/BEHAVIOR BTBR/NOR second cohort/BTBR/test/c16_f4.mp4</t>
        </is>
      </c>
      <c r="F3442" t="n">
        <v>-14.1</v>
      </c>
      <c r="G3442" t="n">
        <v>596.999</v>
      </c>
      <c r="H3442" t="n">
        <v>648.066</v>
      </c>
      <c r="I3442" t="n">
        <v>30</v>
      </c>
      <c r="J3442" t="inlineStr">
        <is>
          <t>BTBR</t>
        </is>
      </c>
      <c r="K3442" t="inlineStr">
        <is>
          <t xml:space="preserve"> Female</t>
        </is>
      </c>
      <c r="L3442" t="inlineStr">
        <is>
          <t>No focal subject</t>
        </is>
      </c>
      <c r="M3442" t="n">
        <v>70.292</v>
      </c>
      <c r="N3442" t="inlineStr">
        <is>
          <t>Explore_F</t>
        </is>
      </c>
      <c r="O3442" t="inlineStr">
        <is>
          <t>Familiar</t>
        </is>
      </c>
      <c r="P3442" t="inlineStr">
        <is>
          <t>STATE</t>
        </is>
      </c>
      <c r="Q3442" t="n">
        <v>453.8</v>
      </c>
      <c r="R3442" t="n">
        <v>454.266</v>
      </c>
      <c r="S3442" t="n">
        <v>0.466</v>
      </c>
      <c r="T3442" t="inlineStr">
        <is>
          <t>C:/Users/manuel.felline/Documents/BEHAVIOR BTBR/NOR second cohort/BTBR/test/c16_f4.mp4</t>
        </is>
      </c>
      <c r="U3442" t="n">
        <v>13652</v>
      </c>
      <c r="V3442" t="n">
        <v>13666</v>
      </c>
      <c r="W3442" t="n">
        <v/>
      </c>
      <c r="X3442" t="n">
        <v/>
      </c>
      <c r="Y3442" t="n">
        <v/>
      </c>
      <c r="Z3442" t="n">
        <v/>
      </c>
      <c r="AA3442">
        <f>SUMIFS($S$2:S3442,$A$2:A3442,A3442,$N$2:N3442,"Explore*")</f>
        <v/>
      </c>
      <c r="AB3442">
        <f>IF(AND(LEFT(N3442,7)="Explore",(AA3442-IF(LEFT(N3442,7)="Explore",S3442,0))&lt;10),"SI","NO")</f>
        <v/>
      </c>
    </row>
    <row r="3443">
      <c r="A3443" t="inlineStr">
        <is>
          <t>c16f4_test</t>
        </is>
      </c>
      <c r="B3443" t="inlineStr">
        <is>
          <t>2026-06-30 15:59:21.412</t>
        </is>
      </c>
      <c r="C3443" t="n">
        <v/>
      </c>
      <c r="D3443" t="inlineStr">
        <is>
          <t>Media file</t>
        </is>
      </c>
      <c r="E3443" t="inlineStr">
        <is>
          <t>player #1:C:/Users/manuel.felline/Documents/BEHAVIOR BTBR/NOR second cohort/BTBR/test/c16_f4.mp4</t>
        </is>
      </c>
      <c r="F3443" t="n">
        <v>-14.1</v>
      </c>
      <c r="G3443" t="n">
        <v>596.999</v>
      </c>
      <c r="H3443" t="n">
        <v>648.066</v>
      </c>
      <c r="I3443" t="n">
        <v>30</v>
      </c>
      <c r="J3443" t="inlineStr">
        <is>
          <t>BTBR</t>
        </is>
      </c>
      <c r="K3443" t="inlineStr">
        <is>
          <t xml:space="preserve"> Female</t>
        </is>
      </c>
      <c r="L3443" t="inlineStr">
        <is>
          <t>No focal subject</t>
        </is>
      </c>
      <c r="M3443" t="n">
        <v>70.292</v>
      </c>
      <c r="N3443" t="inlineStr">
        <is>
          <t>Explore_F</t>
        </is>
      </c>
      <c r="O3443" t="inlineStr">
        <is>
          <t>Familiar</t>
        </is>
      </c>
      <c r="P3443" t="inlineStr">
        <is>
          <t>STATE</t>
        </is>
      </c>
      <c r="Q3443" t="n">
        <v>474.799</v>
      </c>
      <c r="R3443" t="n">
        <v>475.199</v>
      </c>
      <c r="S3443" t="n">
        <v>0.4</v>
      </c>
      <c r="T3443" t="inlineStr">
        <is>
          <t>C:/Users/manuel.felline/Documents/BEHAVIOR BTBR/NOR second cohort/BTBR/test/c16_f4.mp4</t>
        </is>
      </c>
      <c r="U3443" t="n">
        <v>14265</v>
      </c>
      <c r="V3443" t="n">
        <v>14276</v>
      </c>
      <c r="W3443" t="n">
        <v/>
      </c>
      <c r="X3443" t="n">
        <v/>
      </c>
      <c r="Y3443" t="n">
        <v/>
      </c>
      <c r="Z3443" t="n">
        <v/>
      </c>
      <c r="AA3443">
        <f>SUMIFS($S$2:S3443,$A$2:A3443,A3443,$N$2:N3443,"Explore*")</f>
        <v/>
      </c>
      <c r="AB3443">
        <f>IF(AND(LEFT(N3443,7)="Explore",(AA3443-IF(LEFT(N3443,7)="Explore",S3443,0))&lt;10),"SI","NO")</f>
        <v/>
      </c>
    </row>
    <row r="3444">
      <c r="A3444" t="inlineStr">
        <is>
          <t>c16f4_test</t>
        </is>
      </c>
      <c r="B3444" t="inlineStr">
        <is>
          <t>2026-06-30 15:59:21.412</t>
        </is>
      </c>
      <c r="C3444" t="n">
        <v/>
      </c>
      <c r="D3444" t="inlineStr">
        <is>
          <t>Media file</t>
        </is>
      </c>
      <c r="E3444" t="inlineStr">
        <is>
          <t>player #1:C:/Users/manuel.felline/Documents/BEHAVIOR BTBR/NOR second cohort/BTBR/test/c16_f4.mp4</t>
        </is>
      </c>
      <c r="F3444" t="n">
        <v>-14.1</v>
      </c>
      <c r="G3444" t="n">
        <v>596.999</v>
      </c>
      <c r="H3444" t="n">
        <v>648.066</v>
      </c>
      <c r="I3444" t="n">
        <v>30</v>
      </c>
      <c r="J3444" t="inlineStr">
        <is>
          <t>BTBR</t>
        </is>
      </c>
      <c r="K3444" t="inlineStr">
        <is>
          <t xml:space="preserve"> Female</t>
        </is>
      </c>
      <c r="L3444" t="inlineStr">
        <is>
          <t>No focal subject</t>
        </is>
      </c>
      <c r="M3444" t="n">
        <v>70.292</v>
      </c>
      <c r="N3444" t="inlineStr">
        <is>
          <t>Explore_N</t>
        </is>
      </c>
      <c r="O3444" t="inlineStr">
        <is>
          <t>Novelty</t>
        </is>
      </c>
      <c r="P3444" t="inlineStr">
        <is>
          <t>STATE</t>
        </is>
      </c>
      <c r="Q3444" t="n">
        <v>476.799</v>
      </c>
      <c r="R3444" t="n">
        <v>479.799</v>
      </c>
      <c r="S3444" t="n">
        <v>3</v>
      </c>
      <c r="T3444" t="inlineStr">
        <is>
          <t>C:/Users/manuel.felline/Documents/BEHAVIOR BTBR/NOR second cohort/BTBR/test/c16_f4.mp4</t>
        </is>
      </c>
      <c r="U3444" t="n">
        <v>14323</v>
      </c>
      <c r="V3444" t="n">
        <v>14411</v>
      </c>
      <c r="W3444" t="n">
        <v/>
      </c>
      <c r="X3444" t="n">
        <v/>
      </c>
      <c r="Y3444" t="n">
        <v/>
      </c>
      <c r="Z3444" t="n">
        <v/>
      </c>
      <c r="AA3444">
        <f>SUMIFS($S$2:S3444,$A$2:A3444,A3444,$N$2:N3444,"Explore*")</f>
        <v/>
      </c>
      <c r="AB3444">
        <f>IF(AND(LEFT(N3444,7)="Explore",(AA3444-IF(LEFT(N3444,7)="Explore",S3444,0))&lt;10),"SI","NO")</f>
        <v/>
      </c>
    </row>
    <row r="3445">
      <c r="A3445" t="inlineStr">
        <is>
          <t>c16f4_test</t>
        </is>
      </c>
      <c r="B3445" t="inlineStr">
        <is>
          <t>2026-06-30 15:59:21.412</t>
        </is>
      </c>
      <c r="C3445" t="n">
        <v/>
      </c>
      <c r="D3445" t="inlineStr">
        <is>
          <t>Media file</t>
        </is>
      </c>
      <c r="E3445" t="inlineStr">
        <is>
          <t>player #1:C:/Users/manuel.felline/Documents/BEHAVIOR BTBR/NOR second cohort/BTBR/test/c16_f4.mp4</t>
        </is>
      </c>
      <c r="F3445" t="n">
        <v>-14.1</v>
      </c>
      <c r="G3445" t="n">
        <v>596.999</v>
      </c>
      <c r="H3445" t="n">
        <v>648.066</v>
      </c>
      <c r="I3445" t="n">
        <v>30</v>
      </c>
      <c r="J3445" t="inlineStr">
        <is>
          <t>BTBR</t>
        </is>
      </c>
      <c r="K3445" t="inlineStr">
        <is>
          <t xml:space="preserve"> Female</t>
        </is>
      </c>
      <c r="L3445" t="inlineStr">
        <is>
          <t>No focal subject</t>
        </is>
      </c>
      <c r="M3445" t="n">
        <v>70.292</v>
      </c>
      <c r="N3445" t="inlineStr">
        <is>
          <t>Explore_F</t>
        </is>
      </c>
      <c r="O3445" t="inlineStr">
        <is>
          <t>Familiar</t>
        </is>
      </c>
      <c r="P3445" t="inlineStr">
        <is>
          <t>STATE</t>
        </is>
      </c>
      <c r="Q3445" t="n">
        <v>489.566</v>
      </c>
      <c r="R3445" t="n">
        <v>489.866</v>
      </c>
      <c r="S3445" t="n">
        <v>0.3</v>
      </c>
      <c r="T3445" t="inlineStr">
        <is>
          <t>C:/Users/manuel.felline/Documents/BEHAVIOR BTBR/NOR second cohort/BTBR/test/c16_f4.mp4</t>
        </is>
      </c>
      <c r="U3445" t="n">
        <v>14695</v>
      </c>
      <c r="V3445" t="n">
        <v>14704</v>
      </c>
      <c r="W3445" t="n">
        <v/>
      </c>
      <c r="X3445" t="n">
        <v/>
      </c>
      <c r="Y3445" t="n">
        <v/>
      </c>
      <c r="Z3445" t="n">
        <v/>
      </c>
      <c r="AA3445">
        <f>SUMIFS($S$2:S3445,$A$2:A3445,A3445,$N$2:N3445,"Explore*")</f>
        <v/>
      </c>
      <c r="AB3445">
        <f>IF(AND(LEFT(N3445,7)="Explore",(AA3445-IF(LEFT(N3445,7)="Explore",S3445,0))&lt;10),"SI","NO")</f>
        <v/>
      </c>
    </row>
    <row r="3446">
      <c r="A3446" t="inlineStr">
        <is>
          <t>c16f4_test</t>
        </is>
      </c>
      <c r="B3446" t="inlineStr">
        <is>
          <t>2026-06-30 15:59:21.412</t>
        </is>
      </c>
      <c r="C3446" t="n">
        <v/>
      </c>
      <c r="D3446" t="inlineStr">
        <is>
          <t>Media file</t>
        </is>
      </c>
      <c r="E3446" t="inlineStr">
        <is>
          <t>player #1:C:/Users/manuel.felline/Documents/BEHAVIOR BTBR/NOR second cohort/BTBR/test/c16_f4.mp4</t>
        </is>
      </c>
      <c r="F3446" t="n">
        <v>-14.1</v>
      </c>
      <c r="G3446" t="n">
        <v>596.999</v>
      </c>
      <c r="H3446" t="n">
        <v>648.066</v>
      </c>
      <c r="I3446" t="n">
        <v>30</v>
      </c>
      <c r="J3446" t="inlineStr">
        <is>
          <t>BTBR</t>
        </is>
      </c>
      <c r="K3446" t="inlineStr">
        <is>
          <t xml:space="preserve"> Female</t>
        </is>
      </c>
      <c r="L3446" t="inlineStr">
        <is>
          <t>No focal subject</t>
        </is>
      </c>
      <c r="M3446" t="n">
        <v>70.292</v>
      </c>
      <c r="N3446" t="inlineStr">
        <is>
          <t>Explore_F</t>
        </is>
      </c>
      <c r="O3446" t="inlineStr">
        <is>
          <t>Familiar</t>
        </is>
      </c>
      <c r="P3446" t="inlineStr">
        <is>
          <t>STATE</t>
        </is>
      </c>
      <c r="Q3446" t="n">
        <v>535.133</v>
      </c>
      <c r="R3446" t="n">
        <v>535.499</v>
      </c>
      <c r="S3446" t="n">
        <v>0.366</v>
      </c>
      <c r="T3446" t="inlineStr">
        <is>
          <t>C:/Users/manuel.felline/Documents/BEHAVIOR BTBR/NOR second cohort/BTBR/test/c16_f4.mp4</t>
        </is>
      </c>
      <c r="U3446" t="n">
        <v>16025</v>
      </c>
      <c r="V3446" t="n">
        <v>16036</v>
      </c>
      <c r="W3446" t="n">
        <v/>
      </c>
      <c r="X3446" t="n">
        <v/>
      </c>
      <c r="Y3446" t="n">
        <v/>
      </c>
      <c r="Z3446" t="n">
        <v/>
      </c>
      <c r="AA3446">
        <f>SUMIFS($S$2:S3446,$A$2:A3446,A3446,$N$2:N3446,"Explore*")</f>
        <v/>
      </c>
      <c r="AB3446">
        <f>IF(AND(LEFT(N3446,7)="Explore",(AA3446-IF(LEFT(N3446,7)="Explore",S3446,0))&lt;10),"SI","NO")</f>
        <v/>
      </c>
    </row>
    <row r="3447">
      <c r="A3447" t="inlineStr">
        <is>
          <t>c16f4_test</t>
        </is>
      </c>
      <c r="B3447" t="inlineStr">
        <is>
          <t>2026-06-30 15:59:21.412</t>
        </is>
      </c>
      <c r="C3447" t="n">
        <v/>
      </c>
      <c r="D3447" t="inlineStr">
        <is>
          <t>Media file</t>
        </is>
      </c>
      <c r="E3447" t="inlineStr">
        <is>
          <t>player #1:C:/Users/manuel.felline/Documents/BEHAVIOR BTBR/NOR second cohort/BTBR/test/c16_f4.mp4</t>
        </is>
      </c>
      <c r="F3447" t="n">
        <v>-14.1</v>
      </c>
      <c r="G3447" t="n">
        <v>596.999</v>
      </c>
      <c r="H3447" t="n">
        <v>648.066</v>
      </c>
      <c r="I3447" t="n">
        <v>30</v>
      </c>
      <c r="J3447" t="inlineStr">
        <is>
          <t>BTBR</t>
        </is>
      </c>
      <c r="K3447" t="inlineStr">
        <is>
          <t xml:space="preserve"> Female</t>
        </is>
      </c>
      <c r="L3447" t="inlineStr">
        <is>
          <t>No focal subject</t>
        </is>
      </c>
      <c r="M3447" t="n">
        <v>70.292</v>
      </c>
      <c r="N3447" t="inlineStr">
        <is>
          <t>Explore_N</t>
        </is>
      </c>
      <c r="O3447" t="inlineStr">
        <is>
          <t>Novelty</t>
        </is>
      </c>
      <c r="P3447" t="inlineStr">
        <is>
          <t>STATE</t>
        </is>
      </c>
      <c r="Q3447" t="n">
        <v>537.399</v>
      </c>
      <c r="R3447" t="n">
        <v>538.533</v>
      </c>
      <c r="S3447" t="n">
        <v>1.134</v>
      </c>
      <c r="T3447" t="inlineStr">
        <is>
          <t>C:/Users/manuel.felline/Documents/BEHAVIOR BTBR/NOR second cohort/BTBR/test/c16_f4.mp4</t>
        </is>
      </c>
      <c r="U3447" t="n">
        <v>16091</v>
      </c>
      <c r="V3447" t="n">
        <v>16124</v>
      </c>
      <c r="W3447" t="n">
        <v/>
      </c>
      <c r="X3447" t="n">
        <v/>
      </c>
      <c r="Y3447" t="n">
        <v/>
      </c>
      <c r="Z3447" t="n">
        <v/>
      </c>
      <c r="AA3447">
        <f>SUMIFS($S$2:S3447,$A$2:A3447,A3447,$N$2:N3447,"Explore*")</f>
        <v/>
      </c>
      <c r="AB3447">
        <f>IF(AND(LEFT(N3447,7)="Explore",(AA3447-IF(LEFT(N3447,7)="Explore",S3447,0))&lt;10),"SI","NO")</f>
        <v/>
      </c>
    </row>
    <row r="3448">
      <c r="A3448" t="inlineStr">
        <is>
          <t>c16f4_test</t>
        </is>
      </c>
      <c r="B3448" t="inlineStr">
        <is>
          <t>2026-06-30 15:59:21.412</t>
        </is>
      </c>
      <c r="C3448" t="n">
        <v/>
      </c>
      <c r="D3448" t="inlineStr">
        <is>
          <t>Media file</t>
        </is>
      </c>
      <c r="E3448" t="inlineStr">
        <is>
          <t>player #1:C:/Users/manuel.felline/Documents/BEHAVIOR BTBR/NOR second cohort/BTBR/test/c16_f4.mp4</t>
        </is>
      </c>
      <c r="F3448" t="n">
        <v>-14.1</v>
      </c>
      <c r="G3448" t="n">
        <v>596.999</v>
      </c>
      <c r="H3448" t="n">
        <v>648.066</v>
      </c>
      <c r="I3448" t="n">
        <v>30</v>
      </c>
      <c r="J3448" t="inlineStr">
        <is>
          <t>BTBR</t>
        </is>
      </c>
      <c r="K3448" t="inlineStr">
        <is>
          <t xml:space="preserve"> Female</t>
        </is>
      </c>
      <c r="L3448" t="inlineStr">
        <is>
          <t>No focal subject</t>
        </is>
      </c>
      <c r="M3448" t="n">
        <v>70.292</v>
      </c>
      <c r="N3448" t="inlineStr">
        <is>
          <t>Explore_N</t>
        </is>
      </c>
      <c r="O3448" t="inlineStr">
        <is>
          <t>Novelty</t>
        </is>
      </c>
      <c r="P3448" t="inlineStr">
        <is>
          <t>STATE</t>
        </is>
      </c>
      <c r="Q3448" t="n">
        <v>539.833</v>
      </c>
      <c r="R3448" t="n">
        <v>541.433</v>
      </c>
      <c r="S3448" t="n">
        <v>1.6</v>
      </c>
      <c r="T3448" t="inlineStr">
        <is>
          <t>C:/Users/manuel.felline/Documents/BEHAVIOR BTBR/NOR second cohort/BTBR/test/c16_f4.mp4</t>
        </is>
      </c>
      <c r="U3448" t="n">
        <v>16162</v>
      </c>
      <c r="V3448" t="n">
        <v>16209</v>
      </c>
      <c r="W3448" t="n">
        <v/>
      </c>
      <c r="X3448" t="n">
        <v/>
      </c>
      <c r="Y3448" t="n">
        <v/>
      </c>
      <c r="Z3448" t="n">
        <v/>
      </c>
      <c r="AA3448">
        <f>SUMIFS($S$2:S3448,$A$2:A3448,A3448,$N$2:N3448,"Explore*")</f>
        <v/>
      </c>
      <c r="AB3448">
        <f>IF(AND(LEFT(N3448,7)="Explore",(AA3448-IF(LEFT(N3448,7)="Explore",S3448,0))&lt;10),"SI","NO")</f>
        <v/>
      </c>
    </row>
    <row r="3449">
      <c r="A3449" t="inlineStr">
        <is>
          <t>c16f4_test</t>
        </is>
      </c>
      <c r="B3449" t="inlineStr">
        <is>
          <t>2026-06-30 15:59:21.412</t>
        </is>
      </c>
      <c r="C3449" t="n">
        <v/>
      </c>
      <c r="D3449" t="inlineStr">
        <is>
          <t>Media file</t>
        </is>
      </c>
      <c r="E3449" t="inlineStr">
        <is>
          <t>player #1:C:/Users/manuel.felline/Documents/BEHAVIOR BTBR/NOR second cohort/BTBR/test/c16_f4.mp4</t>
        </is>
      </c>
      <c r="F3449" t="n">
        <v>-14.1</v>
      </c>
      <c r="G3449" t="n">
        <v>596.999</v>
      </c>
      <c r="H3449" t="n">
        <v>648.066</v>
      </c>
      <c r="I3449" t="n">
        <v>30</v>
      </c>
      <c r="J3449" t="inlineStr">
        <is>
          <t>BTBR</t>
        </is>
      </c>
      <c r="K3449" t="inlineStr">
        <is>
          <t xml:space="preserve"> Female</t>
        </is>
      </c>
      <c r="L3449" t="inlineStr">
        <is>
          <t>No focal subject</t>
        </is>
      </c>
      <c r="M3449" t="n">
        <v>70.292</v>
      </c>
      <c r="N3449" t="inlineStr">
        <is>
          <t>Explore_F</t>
        </is>
      </c>
      <c r="O3449" t="inlineStr">
        <is>
          <t>Familiar</t>
        </is>
      </c>
      <c r="P3449" t="inlineStr">
        <is>
          <t>STATE</t>
        </is>
      </c>
      <c r="Q3449" t="n">
        <v>543.033</v>
      </c>
      <c r="R3449" t="n">
        <v>543.499</v>
      </c>
      <c r="S3449" t="n">
        <v>0.466</v>
      </c>
      <c r="T3449" t="inlineStr">
        <is>
          <t>C:/Users/manuel.felline/Documents/BEHAVIOR BTBR/NOR second cohort/BTBR/test/c16_f4.mp4</t>
        </is>
      </c>
      <c r="U3449" t="n">
        <v>16255</v>
      </c>
      <c r="V3449" t="n">
        <v>16269</v>
      </c>
      <c r="W3449" t="n">
        <v/>
      </c>
      <c r="X3449" t="n">
        <v/>
      </c>
      <c r="Y3449" t="n">
        <v/>
      </c>
      <c r="Z3449" t="n">
        <v/>
      </c>
      <c r="AA3449">
        <f>SUMIFS($S$2:S3449,$A$2:A3449,A3449,$N$2:N3449,"Explore*")</f>
        <v/>
      </c>
      <c r="AB3449">
        <f>IF(AND(LEFT(N3449,7)="Explore",(AA3449-IF(LEFT(N3449,7)="Explore",S3449,0))&lt;10),"SI","NO")</f>
        <v/>
      </c>
    </row>
    <row r="3450">
      <c r="A3450" t="inlineStr">
        <is>
          <t>c16f4_test</t>
        </is>
      </c>
      <c r="B3450" t="inlineStr">
        <is>
          <t>2026-06-30 15:59:21.412</t>
        </is>
      </c>
      <c r="C3450" t="n">
        <v/>
      </c>
      <c r="D3450" t="inlineStr">
        <is>
          <t>Media file</t>
        </is>
      </c>
      <c r="E3450" t="inlineStr">
        <is>
          <t>player #1:C:/Users/manuel.felline/Documents/BEHAVIOR BTBR/NOR second cohort/BTBR/test/c16_f4.mp4</t>
        </is>
      </c>
      <c r="F3450" t="n">
        <v>-14.1</v>
      </c>
      <c r="G3450" t="n">
        <v>596.999</v>
      </c>
      <c r="H3450" t="n">
        <v>648.066</v>
      </c>
      <c r="I3450" t="n">
        <v>30</v>
      </c>
      <c r="J3450" t="inlineStr">
        <is>
          <t>BTBR</t>
        </is>
      </c>
      <c r="K3450" t="inlineStr">
        <is>
          <t xml:space="preserve"> Female</t>
        </is>
      </c>
      <c r="L3450" t="inlineStr">
        <is>
          <t>No focal subject</t>
        </is>
      </c>
      <c r="M3450" t="n">
        <v>70.292</v>
      </c>
      <c r="N3450" t="inlineStr">
        <is>
          <t>Explore_N</t>
        </is>
      </c>
      <c r="O3450" t="inlineStr">
        <is>
          <t>Novelty</t>
        </is>
      </c>
      <c r="P3450" t="inlineStr">
        <is>
          <t>STATE</t>
        </is>
      </c>
      <c r="Q3450" t="n">
        <v>552.633</v>
      </c>
      <c r="R3450" t="n">
        <v>553.066</v>
      </c>
      <c r="S3450" t="n">
        <v>0.433</v>
      </c>
      <c r="T3450" t="inlineStr">
        <is>
          <t>C:/Users/manuel.felline/Documents/BEHAVIOR BTBR/NOR second cohort/BTBR/test/c16_f4.mp4</t>
        </is>
      </c>
      <c r="U3450" t="n">
        <v>16536</v>
      </c>
      <c r="V3450" t="n">
        <v>16548</v>
      </c>
      <c r="W3450" t="n">
        <v/>
      </c>
      <c r="X3450" t="n">
        <v/>
      </c>
      <c r="Y3450" t="n">
        <v/>
      </c>
      <c r="Z3450" t="n">
        <v/>
      </c>
      <c r="AA3450">
        <f>SUMIFS($S$2:S3450,$A$2:A3450,A3450,$N$2:N3450,"Explore*")</f>
        <v/>
      </c>
      <c r="AB3450">
        <f>IF(AND(LEFT(N3450,7)="Explore",(AA3450-IF(LEFT(N3450,7)="Explore",S3450,0))&lt;10),"SI","NO")</f>
        <v/>
      </c>
    </row>
    <row r="3451">
      <c r="A3451" t="inlineStr">
        <is>
          <t>c16f4_test</t>
        </is>
      </c>
      <c r="B3451" t="inlineStr">
        <is>
          <t>2026-06-30 15:59:21.412</t>
        </is>
      </c>
      <c r="C3451" t="n">
        <v/>
      </c>
      <c r="D3451" t="inlineStr">
        <is>
          <t>Media file</t>
        </is>
      </c>
      <c r="E3451" t="inlineStr">
        <is>
          <t>player #1:C:/Users/manuel.felline/Documents/BEHAVIOR BTBR/NOR second cohort/BTBR/test/c16_f4.mp4</t>
        </is>
      </c>
      <c r="F3451" t="n">
        <v>-14.1</v>
      </c>
      <c r="G3451" t="n">
        <v>596.999</v>
      </c>
      <c r="H3451" t="n">
        <v>648.066</v>
      </c>
      <c r="I3451" t="n">
        <v>30</v>
      </c>
      <c r="J3451" t="inlineStr">
        <is>
          <t>BTBR</t>
        </is>
      </c>
      <c r="K3451" t="inlineStr">
        <is>
          <t xml:space="preserve"> Female</t>
        </is>
      </c>
      <c r="L3451" t="inlineStr">
        <is>
          <t>No focal subject</t>
        </is>
      </c>
      <c r="M3451" t="n">
        <v>70.292</v>
      </c>
      <c r="N3451" t="inlineStr">
        <is>
          <t>Explore_F</t>
        </is>
      </c>
      <c r="O3451" t="inlineStr">
        <is>
          <t>Familiar</t>
        </is>
      </c>
      <c r="P3451" t="inlineStr">
        <is>
          <t>STATE</t>
        </is>
      </c>
      <c r="Q3451" t="n">
        <v>556.966</v>
      </c>
      <c r="R3451" t="n">
        <v>557.366</v>
      </c>
      <c r="S3451" t="n">
        <v>0.4</v>
      </c>
      <c r="T3451" t="inlineStr">
        <is>
          <t>C:/Users/manuel.felline/Documents/BEHAVIOR BTBR/NOR second cohort/BTBR/test/c16_f4.mp4</t>
        </is>
      </c>
      <c r="U3451" t="n">
        <v>16662</v>
      </c>
      <c r="V3451" t="n">
        <v>16674</v>
      </c>
      <c r="W3451" t="n">
        <v/>
      </c>
      <c r="X3451" t="n">
        <v/>
      </c>
      <c r="Y3451" t="n">
        <v/>
      </c>
      <c r="Z3451" t="n">
        <v/>
      </c>
      <c r="AA3451">
        <f>SUMIFS($S$2:S3451,$A$2:A3451,A3451,$N$2:N3451,"Explore*")</f>
        <v/>
      </c>
      <c r="AB3451">
        <f>IF(AND(LEFT(N3451,7)="Explore",(AA3451-IF(LEFT(N3451,7)="Explore",S3451,0))&lt;10),"SI","NO")</f>
        <v/>
      </c>
    </row>
    <row r="3452">
      <c r="A3452" t="inlineStr">
        <is>
          <t>c16f4_test</t>
        </is>
      </c>
      <c r="B3452" t="inlineStr">
        <is>
          <t>2026-06-30 15:59:21.412</t>
        </is>
      </c>
      <c r="C3452" t="n">
        <v/>
      </c>
      <c r="D3452" t="inlineStr">
        <is>
          <t>Media file</t>
        </is>
      </c>
      <c r="E3452" t="inlineStr">
        <is>
          <t>player #1:C:/Users/manuel.felline/Documents/BEHAVIOR BTBR/NOR second cohort/BTBR/test/c16_f4.mp4</t>
        </is>
      </c>
      <c r="F3452" t="n">
        <v>-14.1</v>
      </c>
      <c r="G3452" t="n">
        <v>596.999</v>
      </c>
      <c r="H3452" t="n">
        <v>648.066</v>
      </c>
      <c r="I3452" t="n">
        <v>30</v>
      </c>
      <c r="J3452" t="inlineStr">
        <is>
          <t>BTBR</t>
        </is>
      </c>
      <c r="K3452" t="inlineStr">
        <is>
          <t xml:space="preserve"> Female</t>
        </is>
      </c>
      <c r="L3452" t="inlineStr">
        <is>
          <t>No focal subject</t>
        </is>
      </c>
      <c r="M3452" t="n">
        <v>70.292</v>
      </c>
      <c r="N3452" t="inlineStr">
        <is>
          <t>Explore_N</t>
        </is>
      </c>
      <c r="O3452" t="inlineStr">
        <is>
          <t>Novelty</t>
        </is>
      </c>
      <c r="P3452" t="inlineStr">
        <is>
          <t>STATE</t>
        </is>
      </c>
      <c r="Q3452" t="n">
        <v>559.933</v>
      </c>
      <c r="R3452" t="n">
        <v>560.899</v>
      </c>
      <c r="S3452" t="n">
        <v>0.966</v>
      </c>
      <c r="T3452" t="inlineStr">
        <is>
          <t>C:/Users/manuel.felline/Documents/BEHAVIOR BTBR/NOR second cohort/BTBR/test/c16_f4.mp4</t>
        </is>
      </c>
      <c r="U3452" t="n">
        <v>16749</v>
      </c>
      <c r="V3452" t="n">
        <v>16777</v>
      </c>
      <c r="W3452" t="n">
        <v/>
      </c>
      <c r="X3452" t="n">
        <v/>
      </c>
      <c r="Y3452" t="n">
        <v/>
      </c>
      <c r="Z3452" t="n">
        <v/>
      </c>
      <c r="AA3452">
        <f>SUMIFS($S$2:S3452,$A$2:A3452,A3452,$N$2:N3452,"Explore*")</f>
        <v/>
      </c>
      <c r="AB3452">
        <f>IF(AND(LEFT(N3452,7)="Explore",(AA3452-IF(LEFT(N3452,7)="Explore",S3452,0))&lt;10),"SI","NO")</f>
        <v/>
      </c>
    </row>
    <row r="3453">
      <c r="A3453" t="inlineStr">
        <is>
          <t>c16f4_test</t>
        </is>
      </c>
      <c r="B3453" t="inlineStr">
        <is>
          <t>2026-06-30 15:59:21.412</t>
        </is>
      </c>
      <c r="C3453" t="n">
        <v/>
      </c>
      <c r="D3453" t="inlineStr">
        <is>
          <t>Media file</t>
        </is>
      </c>
      <c r="E3453" t="inlineStr">
        <is>
          <t>player #1:C:/Users/manuel.felline/Documents/BEHAVIOR BTBR/NOR second cohort/BTBR/test/c16_f4.mp4</t>
        </is>
      </c>
      <c r="F3453" t="n">
        <v>-14.1</v>
      </c>
      <c r="G3453" t="n">
        <v>596.999</v>
      </c>
      <c r="H3453" t="n">
        <v>648.066</v>
      </c>
      <c r="I3453" t="n">
        <v>30</v>
      </c>
      <c r="J3453" t="inlineStr">
        <is>
          <t>BTBR</t>
        </is>
      </c>
      <c r="K3453" t="inlineStr">
        <is>
          <t xml:space="preserve"> Female</t>
        </is>
      </c>
      <c r="L3453" t="inlineStr">
        <is>
          <t>No focal subject</t>
        </is>
      </c>
      <c r="M3453" t="n">
        <v>70.292</v>
      </c>
      <c r="N3453" t="inlineStr">
        <is>
          <t>Explore_N</t>
        </is>
      </c>
      <c r="O3453" t="inlineStr">
        <is>
          <t>Novelty</t>
        </is>
      </c>
      <c r="P3453" t="inlineStr">
        <is>
          <t>STATE</t>
        </is>
      </c>
      <c r="Q3453" t="n">
        <v>597.533</v>
      </c>
      <c r="R3453" t="n">
        <v>598.266</v>
      </c>
      <c r="S3453" t="n">
        <v>0.733</v>
      </c>
      <c r="T3453" t="inlineStr">
        <is>
          <t>C:/Users/manuel.felline/Documents/BEHAVIOR BTBR/NOR second cohort/BTBR/test/c16_f4.mp4</t>
        </is>
      </c>
      <c r="U3453" t="n">
        <v>17846</v>
      </c>
      <c r="V3453" t="n">
        <v>17867</v>
      </c>
      <c r="W3453" t="n">
        <v/>
      </c>
      <c r="X3453" t="n">
        <v/>
      </c>
      <c r="Y3453" t="n">
        <v/>
      </c>
      <c r="Z3453" t="n">
        <v/>
      </c>
      <c r="AA3453">
        <f>SUMIFS($S$2:S3453,$A$2:A3453,A3453,$N$2:N3453,"Explore*")</f>
        <v/>
      </c>
      <c r="AB3453">
        <f>IF(AND(LEFT(N3453,7)="Explore",(AA3453-IF(LEFT(N3453,7)="Explore",S3453,0))&lt;10),"SI","NO")</f>
        <v/>
      </c>
    </row>
    <row r="3454">
      <c r="A3454" t="inlineStr">
        <is>
          <t>c16f5_test</t>
        </is>
      </c>
      <c r="B3454" t="inlineStr">
        <is>
          <t>2026-06-30 16:46:32.322</t>
        </is>
      </c>
      <c r="C3454" t="n">
        <v/>
      </c>
      <c r="D3454" t="inlineStr">
        <is>
          <t>Media file</t>
        </is>
      </c>
      <c r="E3454" t="inlineStr">
        <is>
          <t>player #1:C:/Users/manuel.felline/Documents/BEHAVIOR BTBR/NOR second cohort/BTBR/test/c16_f5.mp4</t>
        </is>
      </c>
      <c r="F3454" t="n">
        <v>-9.199999999999999</v>
      </c>
      <c r="G3454" t="n">
        <v>563.499</v>
      </c>
      <c r="H3454" t="n">
        <v>620.7329999999999</v>
      </c>
      <c r="I3454" t="n">
        <v>30</v>
      </c>
      <c r="J3454" t="inlineStr">
        <is>
          <t>BTBR</t>
        </is>
      </c>
      <c r="K3454" t="inlineStr">
        <is>
          <t xml:space="preserve"> Female</t>
        </is>
      </c>
      <c r="L3454" t="inlineStr">
        <is>
          <t>No focal subject</t>
        </is>
      </c>
      <c r="M3454" t="n">
        <v>56.9</v>
      </c>
      <c r="N3454" t="inlineStr">
        <is>
          <t>Explore_N</t>
        </is>
      </c>
      <c r="O3454" t="inlineStr">
        <is>
          <t>Novelty</t>
        </is>
      </c>
      <c r="P3454" t="inlineStr">
        <is>
          <t>STATE</t>
        </is>
      </c>
      <c r="Q3454" t="n">
        <v>10.9</v>
      </c>
      <c r="R3454" t="n">
        <v>11.433</v>
      </c>
      <c r="S3454" t="n">
        <v>0.533</v>
      </c>
      <c r="T3454" t="inlineStr">
        <is>
          <t>C:/Users/manuel.felline/Documents/BEHAVIOR BTBR/NOR second cohort/BTBR/test/c16_f5.mp4</t>
        </is>
      </c>
      <c r="U3454" t="n">
        <v>602</v>
      </c>
      <c r="V3454" t="n">
        <v>616</v>
      </c>
      <c r="W3454" t="n">
        <v/>
      </c>
      <c r="X3454" t="n">
        <v/>
      </c>
      <c r="Y3454" t="n">
        <v/>
      </c>
      <c r="Z3454" t="n">
        <v/>
      </c>
      <c r="AA3454">
        <f>SUMIFS($S$2:S3454,$A$2:A3454,A3454,$N$2:N3454,"Explore*")</f>
        <v/>
      </c>
      <c r="AB3454">
        <f>IF(AND(LEFT(N3454,7)="Explore",(AA3454-IF(LEFT(N3454,7)="Explore",S3454,0))&lt;10),"SI","NO")</f>
        <v/>
      </c>
    </row>
    <row r="3455">
      <c r="A3455" t="inlineStr">
        <is>
          <t>c16f5_test</t>
        </is>
      </c>
      <c r="B3455" t="inlineStr">
        <is>
          <t>2026-06-30 16:46:32.322</t>
        </is>
      </c>
      <c r="C3455" t="n">
        <v/>
      </c>
      <c r="D3455" t="inlineStr">
        <is>
          <t>Media file</t>
        </is>
      </c>
      <c r="E3455" t="inlineStr">
        <is>
          <t>player #1:C:/Users/manuel.felline/Documents/BEHAVIOR BTBR/NOR second cohort/BTBR/test/c16_f5.mp4</t>
        </is>
      </c>
      <c r="F3455" t="n">
        <v>-9.199999999999999</v>
      </c>
      <c r="G3455" t="n">
        <v>563.499</v>
      </c>
      <c r="H3455" t="n">
        <v>620.7329999999999</v>
      </c>
      <c r="I3455" t="n">
        <v>30</v>
      </c>
      <c r="J3455" t="inlineStr">
        <is>
          <t>BTBR</t>
        </is>
      </c>
      <c r="K3455" t="inlineStr">
        <is>
          <t xml:space="preserve"> Female</t>
        </is>
      </c>
      <c r="L3455" t="inlineStr">
        <is>
          <t>No focal subject</t>
        </is>
      </c>
      <c r="M3455" t="n">
        <v>56.9</v>
      </c>
      <c r="N3455" t="inlineStr">
        <is>
          <t>Explore_F</t>
        </is>
      </c>
      <c r="O3455" t="inlineStr">
        <is>
          <t>Familiar</t>
        </is>
      </c>
      <c r="P3455" t="inlineStr">
        <is>
          <t>STATE</t>
        </is>
      </c>
      <c r="Q3455" t="n">
        <v>12.1</v>
      </c>
      <c r="R3455" t="n">
        <v>12.4</v>
      </c>
      <c r="S3455" t="n">
        <v>0.3</v>
      </c>
      <c r="T3455" t="inlineStr">
        <is>
          <t>C:/Users/manuel.felline/Documents/BEHAVIOR BTBR/NOR second cohort/BTBR/test/c16_f5.mp4</t>
        </is>
      </c>
      <c r="U3455" t="n">
        <v>636</v>
      </c>
      <c r="V3455" t="n">
        <v>645</v>
      </c>
      <c r="W3455" t="n">
        <v/>
      </c>
      <c r="X3455" t="n">
        <v/>
      </c>
      <c r="Y3455" t="n">
        <v/>
      </c>
      <c r="Z3455" t="n">
        <v/>
      </c>
      <c r="AA3455">
        <f>SUMIFS($S$2:S3455,$A$2:A3455,A3455,$N$2:N3455,"Explore*")</f>
        <v/>
      </c>
      <c r="AB3455">
        <f>IF(AND(LEFT(N3455,7)="Explore",(AA3455-IF(LEFT(N3455,7)="Explore",S3455,0))&lt;10),"SI","NO")</f>
        <v/>
      </c>
    </row>
    <row r="3456">
      <c r="A3456" t="inlineStr">
        <is>
          <t>c16f5_test</t>
        </is>
      </c>
      <c r="B3456" t="inlineStr">
        <is>
          <t>2026-06-30 16:46:32.322</t>
        </is>
      </c>
      <c r="C3456" t="n">
        <v/>
      </c>
      <c r="D3456" t="inlineStr">
        <is>
          <t>Media file</t>
        </is>
      </c>
      <c r="E3456" t="inlineStr">
        <is>
          <t>player #1:C:/Users/manuel.felline/Documents/BEHAVIOR BTBR/NOR second cohort/BTBR/test/c16_f5.mp4</t>
        </is>
      </c>
      <c r="F3456" t="n">
        <v>-9.199999999999999</v>
      </c>
      <c r="G3456" t="n">
        <v>563.499</v>
      </c>
      <c r="H3456" t="n">
        <v>620.7329999999999</v>
      </c>
      <c r="I3456" t="n">
        <v>30</v>
      </c>
      <c r="J3456" t="inlineStr">
        <is>
          <t>BTBR</t>
        </is>
      </c>
      <c r="K3456" t="inlineStr">
        <is>
          <t xml:space="preserve"> Female</t>
        </is>
      </c>
      <c r="L3456" t="inlineStr">
        <is>
          <t>No focal subject</t>
        </is>
      </c>
      <c r="M3456" t="n">
        <v>56.9</v>
      </c>
      <c r="N3456" t="inlineStr">
        <is>
          <t>Explore_N</t>
        </is>
      </c>
      <c r="O3456" t="inlineStr">
        <is>
          <t>Novelty</t>
        </is>
      </c>
      <c r="P3456" t="inlineStr">
        <is>
          <t>STATE</t>
        </is>
      </c>
      <c r="Q3456" t="n">
        <v>17.767</v>
      </c>
      <c r="R3456" t="n">
        <v>18.933</v>
      </c>
      <c r="S3456" t="n">
        <v>1.166</v>
      </c>
      <c r="T3456" t="inlineStr">
        <is>
          <t>C:/Users/manuel.felline/Documents/BEHAVIOR BTBR/NOR second cohort/BTBR/test/c16_f5.mp4</t>
        </is>
      </c>
      <c r="U3456" t="n">
        <v>806</v>
      </c>
      <c r="V3456" t="n">
        <v>841</v>
      </c>
      <c r="W3456" t="n">
        <v/>
      </c>
      <c r="X3456" t="n">
        <v/>
      </c>
      <c r="Y3456" t="n">
        <v/>
      </c>
      <c r="Z3456" t="n">
        <v/>
      </c>
      <c r="AA3456">
        <f>SUMIFS($S$2:S3456,$A$2:A3456,A3456,$N$2:N3456,"Explore*")</f>
        <v/>
      </c>
      <c r="AB3456">
        <f>IF(AND(LEFT(N3456,7)="Explore",(AA3456-IF(LEFT(N3456,7)="Explore",S3456,0))&lt;10),"SI","NO")</f>
        <v/>
      </c>
    </row>
    <row r="3457">
      <c r="A3457" t="inlineStr">
        <is>
          <t>c16f5_test</t>
        </is>
      </c>
      <c r="B3457" t="inlineStr">
        <is>
          <t>2026-06-30 16:46:32.322</t>
        </is>
      </c>
      <c r="C3457" t="n">
        <v/>
      </c>
      <c r="D3457" t="inlineStr">
        <is>
          <t>Media file</t>
        </is>
      </c>
      <c r="E3457" t="inlineStr">
        <is>
          <t>player #1:C:/Users/manuel.felline/Documents/BEHAVIOR BTBR/NOR second cohort/BTBR/test/c16_f5.mp4</t>
        </is>
      </c>
      <c r="F3457" t="n">
        <v>-9.199999999999999</v>
      </c>
      <c r="G3457" t="n">
        <v>563.499</v>
      </c>
      <c r="H3457" t="n">
        <v>620.7329999999999</v>
      </c>
      <c r="I3457" t="n">
        <v>30</v>
      </c>
      <c r="J3457" t="inlineStr">
        <is>
          <t>BTBR</t>
        </is>
      </c>
      <c r="K3457" t="inlineStr">
        <is>
          <t xml:space="preserve"> Female</t>
        </is>
      </c>
      <c r="L3457" t="inlineStr">
        <is>
          <t>No focal subject</t>
        </is>
      </c>
      <c r="M3457" t="n">
        <v>56.9</v>
      </c>
      <c r="N3457" t="inlineStr">
        <is>
          <t>Explore_F</t>
        </is>
      </c>
      <c r="O3457" t="inlineStr">
        <is>
          <t>Familiar</t>
        </is>
      </c>
      <c r="P3457" t="inlineStr">
        <is>
          <t>STATE</t>
        </is>
      </c>
      <c r="Q3457" t="n">
        <v>20.633</v>
      </c>
      <c r="R3457" t="n">
        <v>21</v>
      </c>
      <c r="S3457" t="n">
        <v>0.367</v>
      </c>
      <c r="T3457" t="inlineStr">
        <is>
          <t>C:/Users/manuel.felline/Documents/BEHAVIOR BTBR/NOR second cohort/BTBR/test/c16_f5.mp4</t>
        </is>
      </c>
      <c r="U3457" t="n">
        <v>891</v>
      </c>
      <c r="V3457" t="n">
        <v>902</v>
      </c>
      <c r="W3457" t="n">
        <v/>
      </c>
      <c r="X3457" t="n">
        <v/>
      </c>
      <c r="Y3457" t="n">
        <v/>
      </c>
      <c r="Z3457" t="n">
        <v/>
      </c>
      <c r="AA3457">
        <f>SUMIFS($S$2:S3457,$A$2:A3457,A3457,$N$2:N3457,"Explore*")</f>
        <v/>
      </c>
      <c r="AB3457">
        <f>IF(AND(LEFT(N3457,7)="Explore",(AA3457-IF(LEFT(N3457,7)="Explore",S3457,0))&lt;10),"SI","NO")</f>
        <v/>
      </c>
    </row>
    <row r="3458">
      <c r="A3458" t="inlineStr">
        <is>
          <t>c16f5_test</t>
        </is>
      </c>
      <c r="B3458" t="inlineStr">
        <is>
          <t>2026-06-30 16:46:32.322</t>
        </is>
      </c>
      <c r="C3458" t="n">
        <v/>
      </c>
      <c r="D3458" t="inlineStr">
        <is>
          <t>Media file</t>
        </is>
      </c>
      <c r="E3458" t="inlineStr">
        <is>
          <t>player #1:C:/Users/manuel.felline/Documents/BEHAVIOR BTBR/NOR second cohort/BTBR/test/c16_f5.mp4</t>
        </is>
      </c>
      <c r="F3458" t="n">
        <v>-9.199999999999999</v>
      </c>
      <c r="G3458" t="n">
        <v>563.499</v>
      </c>
      <c r="H3458" t="n">
        <v>620.7329999999999</v>
      </c>
      <c r="I3458" t="n">
        <v>30</v>
      </c>
      <c r="J3458" t="inlineStr">
        <is>
          <t>BTBR</t>
        </is>
      </c>
      <c r="K3458" t="inlineStr">
        <is>
          <t xml:space="preserve"> Female</t>
        </is>
      </c>
      <c r="L3458" t="inlineStr">
        <is>
          <t>No focal subject</t>
        </is>
      </c>
      <c r="M3458" t="n">
        <v>56.9</v>
      </c>
      <c r="N3458" t="inlineStr">
        <is>
          <t>Explore_N</t>
        </is>
      </c>
      <c r="O3458" t="inlineStr">
        <is>
          <t>Novelty</t>
        </is>
      </c>
      <c r="P3458" t="inlineStr">
        <is>
          <t>STATE</t>
        </is>
      </c>
      <c r="Q3458" t="n">
        <v>28</v>
      </c>
      <c r="R3458" t="n">
        <v>28.367</v>
      </c>
      <c r="S3458" t="n">
        <v>0.367</v>
      </c>
      <c r="T3458" t="inlineStr">
        <is>
          <t>C:/Users/manuel.felline/Documents/BEHAVIOR BTBR/NOR second cohort/BTBR/test/c16_f5.mp4</t>
        </is>
      </c>
      <c r="U3458" t="n">
        <v>1111</v>
      </c>
      <c r="V3458" t="n">
        <v>1122</v>
      </c>
      <c r="W3458" t="n">
        <v/>
      </c>
      <c r="X3458" t="n">
        <v/>
      </c>
      <c r="Y3458" t="n">
        <v/>
      </c>
      <c r="Z3458" t="n">
        <v/>
      </c>
      <c r="AA3458">
        <f>SUMIFS($S$2:S3458,$A$2:A3458,A3458,$N$2:N3458,"Explore*")</f>
        <v/>
      </c>
      <c r="AB3458">
        <f>IF(AND(LEFT(N3458,7)="Explore",(AA3458-IF(LEFT(N3458,7)="Explore",S3458,0))&lt;10),"SI","NO")</f>
        <v/>
      </c>
    </row>
    <row r="3459">
      <c r="A3459" t="inlineStr">
        <is>
          <t>c16f5_test</t>
        </is>
      </c>
      <c r="B3459" t="inlineStr">
        <is>
          <t>2026-06-30 16:46:32.322</t>
        </is>
      </c>
      <c r="C3459" t="n">
        <v/>
      </c>
      <c r="D3459" t="inlineStr">
        <is>
          <t>Media file</t>
        </is>
      </c>
      <c r="E3459" t="inlineStr">
        <is>
          <t>player #1:C:/Users/manuel.felline/Documents/BEHAVIOR BTBR/NOR second cohort/BTBR/test/c16_f5.mp4</t>
        </is>
      </c>
      <c r="F3459" t="n">
        <v>-9.199999999999999</v>
      </c>
      <c r="G3459" t="n">
        <v>563.499</v>
      </c>
      <c r="H3459" t="n">
        <v>620.7329999999999</v>
      </c>
      <c r="I3459" t="n">
        <v>30</v>
      </c>
      <c r="J3459" t="inlineStr">
        <is>
          <t>BTBR</t>
        </is>
      </c>
      <c r="K3459" t="inlineStr">
        <is>
          <t xml:space="preserve"> Female</t>
        </is>
      </c>
      <c r="L3459" t="inlineStr">
        <is>
          <t>No focal subject</t>
        </is>
      </c>
      <c r="M3459" t="n">
        <v>56.9</v>
      </c>
      <c r="N3459" t="inlineStr">
        <is>
          <t>Explore_N</t>
        </is>
      </c>
      <c r="O3459" t="inlineStr">
        <is>
          <t>Novelty</t>
        </is>
      </c>
      <c r="P3459" t="inlineStr">
        <is>
          <t>STATE</t>
        </is>
      </c>
      <c r="Q3459" t="n">
        <v>29</v>
      </c>
      <c r="R3459" t="n">
        <v>29.833</v>
      </c>
      <c r="S3459" t="n">
        <v>0.833</v>
      </c>
      <c r="T3459" t="inlineStr">
        <is>
          <t>C:/Users/manuel.felline/Documents/BEHAVIOR BTBR/NOR second cohort/BTBR/test/c16_f5.mp4</t>
        </is>
      </c>
      <c r="U3459" t="n">
        <v>1141</v>
      </c>
      <c r="V3459" t="n">
        <v>1166</v>
      </c>
      <c r="W3459" t="n">
        <v/>
      </c>
      <c r="X3459" t="n">
        <v/>
      </c>
      <c r="Y3459" t="n">
        <v/>
      </c>
      <c r="Z3459" t="n">
        <v/>
      </c>
      <c r="AA3459">
        <f>SUMIFS($S$2:S3459,$A$2:A3459,A3459,$N$2:N3459,"Explore*")</f>
        <v/>
      </c>
      <c r="AB3459">
        <f>IF(AND(LEFT(N3459,7)="Explore",(AA3459-IF(LEFT(N3459,7)="Explore",S3459,0))&lt;10),"SI","NO")</f>
        <v/>
      </c>
    </row>
    <row r="3460">
      <c r="A3460" t="inlineStr">
        <is>
          <t>c16f5_test</t>
        </is>
      </c>
      <c r="B3460" t="inlineStr">
        <is>
          <t>2026-06-30 16:46:32.322</t>
        </is>
      </c>
      <c r="C3460" t="n">
        <v/>
      </c>
      <c r="D3460" t="inlineStr">
        <is>
          <t>Media file</t>
        </is>
      </c>
      <c r="E3460" t="inlineStr">
        <is>
          <t>player #1:C:/Users/manuel.felline/Documents/BEHAVIOR BTBR/NOR second cohort/BTBR/test/c16_f5.mp4</t>
        </is>
      </c>
      <c r="F3460" t="n">
        <v>-9.199999999999999</v>
      </c>
      <c r="G3460" t="n">
        <v>563.499</v>
      </c>
      <c r="H3460" t="n">
        <v>620.7329999999999</v>
      </c>
      <c r="I3460" t="n">
        <v>30</v>
      </c>
      <c r="J3460" t="inlineStr">
        <is>
          <t>BTBR</t>
        </is>
      </c>
      <c r="K3460" t="inlineStr">
        <is>
          <t xml:space="preserve"> Female</t>
        </is>
      </c>
      <c r="L3460" t="inlineStr">
        <is>
          <t>No focal subject</t>
        </is>
      </c>
      <c r="M3460" t="n">
        <v>56.9</v>
      </c>
      <c r="N3460" t="inlineStr">
        <is>
          <t>Explore_F</t>
        </is>
      </c>
      <c r="O3460" t="inlineStr">
        <is>
          <t>Familiar</t>
        </is>
      </c>
      <c r="P3460" t="inlineStr">
        <is>
          <t>STATE</t>
        </is>
      </c>
      <c r="Q3460" t="n">
        <v>30.833</v>
      </c>
      <c r="R3460" t="n">
        <v>31.233</v>
      </c>
      <c r="S3460" t="n">
        <v>0.4</v>
      </c>
      <c r="T3460" t="inlineStr">
        <is>
          <t>C:/Users/manuel.felline/Documents/BEHAVIOR BTBR/NOR second cohort/BTBR/test/c16_f5.mp4</t>
        </is>
      </c>
      <c r="U3460" t="n">
        <v>1196</v>
      </c>
      <c r="V3460" t="n">
        <v>1208</v>
      </c>
      <c r="W3460" t="n">
        <v/>
      </c>
      <c r="X3460" t="n">
        <v/>
      </c>
      <c r="Y3460" t="n">
        <v/>
      </c>
      <c r="Z3460" t="n">
        <v/>
      </c>
      <c r="AA3460">
        <f>SUMIFS($S$2:S3460,$A$2:A3460,A3460,$N$2:N3460,"Explore*")</f>
        <v/>
      </c>
      <c r="AB3460">
        <f>IF(AND(LEFT(N3460,7)="Explore",(AA3460-IF(LEFT(N3460,7)="Explore",S3460,0))&lt;10),"SI","NO")</f>
        <v/>
      </c>
    </row>
    <row r="3461">
      <c r="A3461" t="inlineStr">
        <is>
          <t>c16f5_test</t>
        </is>
      </c>
      <c r="B3461" t="inlineStr">
        <is>
          <t>2026-06-30 16:46:32.322</t>
        </is>
      </c>
      <c r="C3461" t="n">
        <v/>
      </c>
      <c r="D3461" t="inlineStr">
        <is>
          <t>Media file</t>
        </is>
      </c>
      <c r="E3461" t="inlineStr">
        <is>
          <t>player #1:C:/Users/manuel.felline/Documents/BEHAVIOR BTBR/NOR second cohort/BTBR/test/c16_f5.mp4</t>
        </is>
      </c>
      <c r="F3461" t="n">
        <v>-9.199999999999999</v>
      </c>
      <c r="G3461" t="n">
        <v>563.499</v>
      </c>
      <c r="H3461" t="n">
        <v>620.7329999999999</v>
      </c>
      <c r="I3461" t="n">
        <v>30</v>
      </c>
      <c r="J3461" t="inlineStr">
        <is>
          <t>BTBR</t>
        </is>
      </c>
      <c r="K3461" t="inlineStr">
        <is>
          <t xml:space="preserve"> Female</t>
        </is>
      </c>
      <c r="L3461" t="inlineStr">
        <is>
          <t>No focal subject</t>
        </is>
      </c>
      <c r="M3461" t="n">
        <v>56.9</v>
      </c>
      <c r="N3461" t="inlineStr">
        <is>
          <t>Explore_F</t>
        </is>
      </c>
      <c r="O3461" t="inlineStr">
        <is>
          <t>Familiar</t>
        </is>
      </c>
      <c r="P3461" t="inlineStr">
        <is>
          <t>STATE</t>
        </is>
      </c>
      <c r="Q3461" t="n">
        <v>31.833</v>
      </c>
      <c r="R3461" t="n">
        <v>32.333</v>
      </c>
      <c r="S3461" t="n">
        <v>0.5</v>
      </c>
      <c r="T3461" t="inlineStr">
        <is>
          <t>C:/Users/manuel.felline/Documents/BEHAVIOR BTBR/NOR second cohort/BTBR/test/c16_f5.mp4</t>
        </is>
      </c>
      <c r="U3461" t="n">
        <v>1226</v>
      </c>
      <c r="V3461" t="n">
        <v>1241</v>
      </c>
      <c r="W3461" t="n">
        <v/>
      </c>
      <c r="X3461" t="n">
        <v/>
      </c>
      <c r="Y3461" t="n">
        <v/>
      </c>
      <c r="Z3461" t="n">
        <v/>
      </c>
      <c r="AA3461">
        <f>SUMIFS($S$2:S3461,$A$2:A3461,A3461,$N$2:N3461,"Explore*")</f>
        <v/>
      </c>
      <c r="AB3461">
        <f>IF(AND(LEFT(N3461,7)="Explore",(AA3461-IF(LEFT(N3461,7)="Explore",S3461,0))&lt;10),"SI","NO")</f>
        <v/>
      </c>
    </row>
    <row r="3462">
      <c r="A3462" t="inlineStr">
        <is>
          <t>c16f5_test</t>
        </is>
      </c>
      <c r="B3462" t="inlineStr">
        <is>
          <t>2026-06-30 16:46:32.322</t>
        </is>
      </c>
      <c r="C3462" t="n">
        <v/>
      </c>
      <c r="D3462" t="inlineStr">
        <is>
          <t>Media file</t>
        </is>
      </c>
      <c r="E3462" t="inlineStr">
        <is>
          <t>player #1:C:/Users/manuel.felline/Documents/BEHAVIOR BTBR/NOR second cohort/BTBR/test/c16_f5.mp4</t>
        </is>
      </c>
      <c r="F3462" t="n">
        <v>-9.199999999999999</v>
      </c>
      <c r="G3462" t="n">
        <v>563.499</v>
      </c>
      <c r="H3462" t="n">
        <v>620.7329999999999</v>
      </c>
      <c r="I3462" t="n">
        <v>30</v>
      </c>
      <c r="J3462" t="inlineStr">
        <is>
          <t>BTBR</t>
        </is>
      </c>
      <c r="K3462" t="inlineStr">
        <is>
          <t xml:space="preserve"> Female</t>
        </is>
      </c>
      <c r="L3462" t="inlineStr">
        <is>
          <t>No focal subject</t>
        </is>
      </c>
      <c r="M3462" t="n">
        <v>56.9</v>
      </c>
      <c r="N3462" t="inlineStr">
        <is>
          <t>Explore_N</t>
        </is>
      </c>
      <c r="O3462" t="inlineStr">
        <is>
          <t>Novelty</t>
        </is>
      </c>
      <c r="P3462" t="inlineStr">
        <is>
          <t>STATE</t>
        </is>
      </c>
      <c r="Q3462" t="n">
        <v>41.567</v>
      </c>
      <c r="R3462" t="n">
        <v>42.267</v>
      </c>
      <c r="S3462" t="n">
        <v>0.7</v>
      </c>
      <c r="T3462" t="inlineStr">
        <is>
          <t>C:/Users/manuel.felline/Documents/BEHAVIOR BTBR/NOR second cohort/BTBR/test/c16_f5.mp4</t>
        </is>
      </c>
      <c r="U3462" t="n">
        <v>1517</v>
      </c>
      <c r="V3462" t="n">
        <v>1538</v>
      </c>
      <c r="W3462" t="n">
        <v/>
      </c>
      <c r="X3462" t="n">
        <v/>
      </c>
      <c r="Y3462" t="n">
        <v/>
      </c>
      <c r="Z3462" t="n">
        <v/>
      </c>
      <c r="AA3462">
        <f>SUMIFS($S$2:S3462,$A$2:A3462,A3462,$N$2:N3462,"Explore*")</f>
        <v/>
      </c>
      <c r="AB3462">
        <f>IF(AND(LEFT(N3462,7)="Explore",(AA3462-IF(LEFT(N3462,7)="Explore",S3462,0))&lt;10),"SI","NO")</f>
        <v/>
      </c>
    </row>
    <row r="3463">
      <c r="A3463" t="inlineStr">
        <is>
          <t>c16f5_test</t>
        </is>
      </c>
      <c r="B3463" t="inlineStr">
        <is>
          <t>2026-06-30 16:46:32.322</t>
        </is>
      </c>
      <c r="C3463" t="n">
        <v/>
      </c>
      <c r="D3463" t="inlineStr">
        <is>
          <t>Media file</t>
        </is>
      </c>
      <c r="E3463" t="inlineStr">
        <is>
          <t>player #1:C:/Users/manuel.felline/Documents/BEHAVIOR BTBR/NOR second cohort/BTBR/test/c16_f5.mp4</t>
        </is>
      </c>
      <c r="F3463" t="n">
        <v>-9.199999999999999</v>
      </c>
      <c r="G3463" t="n">
        <v>563.499</v>
      </c>
      <c r="H3463" t="n">
        <v>620.7329999999999</v>
      </c>
      <c r="I3463" t="n">
        <v>30</v>
      </c>
      <c r="J3463" t="inlineStr">
        <is>
          <t>BTBR</t>
        </is>
      </c>
      <c r="K3463" t="inlineStr">
        <is>
          <t xml:space="preserve"> Female</t>
        </is>
      </c>
      <c r="L3463" t="inlineStr">
        <is>
          <t>No focal subject</t>
        </is>
      </c>
      <c r="M3463" t="n">
        <v>56.9</v>
      </c>
      <c r="N3463" t="inlineStr">
        <is>
          <t>Explore_N</t>
        </is>
      </c>
      <c r="O3463" t="inlineStr">
        <is>
          <t>Novelty</t>
        </is>
      </c>
      <c r="P3463" t="inlineStr">
        <is>
          <t>STATE</t>
        </is>
      </c>
      <c r="Q3463" t="n">
        <v>49.733</v>
      </c>
      <c r="R3463" t="n">
        <v>50.367</v>
      </c>
      <c r="S3463" t="n">
        <v>0.634</v>
      </c>
      <c r="T3463" t="inlineStr">
        <is>
          <t>C:/Users/manuel.felline/Documents/BEHAVIOR BTBR/NOR second cohort/BTBR/test/c16_f5.mp4</t>
        </is>
      </c>
      <c r="U3463" t="n">
        <v>1761</v>
      </c>
      <c r="V3463" t="n">
        <v>1780</v>
      </c>
      <c r="W3463" t="n">
        <v/>
      </c>
      <c r="X3463" t="n">
        <v/>
      </c>
      <c r="Y3463" t="n">
        <v/>
      </c>
      <c r="Z3463" t="n">
        <v/>
      </c>
      <c r="AA3463">
        <f>SUMIFS($S$2:S3463,$A$2:A3463,A3463,$N$2:N3463,"Explore*")</f>
        <v/>
      </c>
      <c r="AB3463">
        <f>IF(AND(LEFT(N3463,7)="Explore",(AA3463-IF(LEFT(N3463,7)="Explore",S3463,0))&lt;10),"SI","NO")</f>
        <v/>
      </c>
    </row>
    <row r="3464">
      <c r="A3464" t="inlineStr">
        <is>
          <t>c16f5_test</t>
        </is>
      </c>
      <c r="B3464" t="inlineStr">
        <is>
          <t>2026-06-30 16:46:32.322</t>
        </is>
      </c>
      <c r="C3464" t="n">
        <v/>
      </c>
      <c r="D3464" t="inlineStr">
        <is>
          <t>Media file</t>
        </is>
      </c>
      <c r="E3464" t="inlineStr">
        <is>
          <t>player #1:C:/Users/manuel.felline/Documents/BEHAVIOR BTBR/NOR second cohort/BTBR/test/c16_f5.mp4</t>
        </is>
      </c>
      <c r="F3464" t="n">
        <v>-9.199999999999999</v>
      </c>
      <c r="G3464" t="n">
        <v>563.499</v>
      </c>
      <c r="H3464" t="n">
        <v>620.7329999999999</v>
      </c>
      <c r="I3464" t="n">
        <v>30</v>
      </c>
      <c r="J3464" t="inlineStr">
        <is>
          <t>BTBR</t>
        </is>
      </c>
      <c r="K3464" t="inlineStr">
        <is>
          <t xml:space="preserve"> Female</t>
        </is>
      </c>
      <c r="L3464" t="inlineStr">
        <is>
          <t>No focal subject</t>
        </is>
      </c>
      <c r="M3464" t="n">
        <v>56.9</v>
      </c>
      <c r="N3464" t="inlineStr">
        <is>
          <t>Explore_F</t>
        </is>
      </c>
      <c r="O3464" t="inlineStr">
        <is>
          <t>Familiar</t>
        </is>
      </c>
      <c r="P3464" t="inlineStr">
        <is>
          <t>STATE</t>
        </is>
      </c>
      <c r="Q3464" t="n">
        <v>51.4</v>
      </c>
      <c r="R3464" t="n">
        <v>51.8</v>
      </c>
      <c r="S3464" t="n">
        <v>0.4</v>
      </c>
      <c r="T3464" t="inlineStr">
        <is>
          <t>C:/Users/manuel.felline/Documents/BEHAVIOR BTBR/NOR second cohort/BTBR/test/c16_f5.mp4</t>
        </is>
      </c>
      <c r="U3464" t="n">
        <v>1810</v>
      </c>
      <c r="V3464" t="n">
        <v>1822</v>
      </c>
      <c r="W3464" t="n">
        <v/>
      </c>
      <c r="X3464" t="n">
        <v/>
      </c>
      <c r="Y3464" t="n">
        <v/>
      </c>
      <c r="Z3464" t="n">
        <v/>
      </c>
      <c r="AA3464">
        <f>SUMIFS($S$2:S3464,$A$2:A3464,A3464,$N$2:N3464,"Explore*")</f>
        <v/>
      </c>
      <c r="AB3464">
        <f>IF(AND(LEFT(N3464,7)="Explore",(AA3464-IF(LEFT(N3464,7)="Explore",S3464,0))&lt;10),"SI","NO")</f>
        <v/>
      </c>
    </row>
    <row r="3465">
      <c r="A3465" t="inlineStr">
        <is>
          <t>c16f5_test</t>
        </is>
      </c>
      <c r="B3465" t="inlineStr">
        <is>
          <t>2026-06-30 16:46:32.322</t>
        </is>
      </c>
      <c r="C3465" t="n">
        <v/>
      </c>
      <c r="D3465" t="inlineStr">
        <is>
          <t>Media file</t>
        </is>
      </c>
      <c r="E3465" t="inlineStr">
        <is>
          <t>player #1:C:/Users/manuel.felline/Documents/BEHAVIOR BTBR/NOR second cohort/BTBR/test/c16_f5.mp4</t>
        </is>
      </c>
      <c r="F3465" t="n">
        <v>-9.199999999999999</v>
      </c>
      <c r="G3465" t="n">
        <v>563.499</v>
      </c>
      <c r="H3465" t="n">
        <v>620.7329999999999</v>
      </c>
      <c r="I3465" t="n">
        <v>30</v>
      </c>
      <c r="J3465" t="inlineStr">
        <is>
          <t>BTBR</t>
        </is>
      </c>
      <c r="K3465" t="inlineStr">
        <is>
          <t xml:space="preserve"> Female</t>
        </is>
      </c>
      <c r="L3465" t="inlineStr">
        <is>
          <t>No focal subject</t>
        </is>
      </c>
      <c r="M3465" t="n">
        <v>56.9</v>
      </c>
      <c r="N3465" t="inlineStr">
        <is>
          <t>Explore_N</t>
        </is>
      </c>
      <c r="O3465" t="inlineStr">
        <is>
          <t>Novelty</t>
        </is>
      </c>
      <c r="P3465" t="inlineStr">
        <is>
          <t>STATE</t>
        </is>
      </c>
      <c r="Q3465" t="n">
        <v>55.033</v>
      </c>
      <c r="R3465" t="n">
        <v>55.9</v>
      </c>
      <c r="S3465" t="n">
        <v>0.867</v>
      </c>
      <c r="T3465" t="inlineStr">
        <is>
          <t>C:/Users/manuel.felline/Documents/BEHAVIOR BTBR/NOR second cohort/BTBR/test/c16_f5.mp4</t>
        </is>
      </c>
      <c r="U3465" t="n">
        <v>1919</v>
      </c>
      <c r="V3465" t="n">
        <v>1945</v>
      </c>
      <c r="W3465" t="n">
        <v/>
      </c>
      <c r="X3465" t="n">
        <v/>
      </c>
      <c r="Y3465" t="n">
        <v/>
      </c>
      <c r="Z3465" t="n">
        <v/>
      </c>
      <c r="AA3465">
        <f>SUMIFS($S$2:S3465,$A$2:A3465,A3465,$N$2:N3465,"Explore*")</f>
        <v/>
      </c>
      <c r="AB3465">
        <f>IF(AND(LEFT(N3465,7)="Explore",(AA3465-IF(LEFT(N3465,7)="Explore",S3465,0))&lt;10),"SI","NO")</f>
        <v/>
      </c>
    </row>
    <row r="3466">
      <c r="A3466" t="inlineStr">
        <is>
          <t>c16f5_test</t>
        </is>
      </c>
      <c r="B3466" t="inlineStr">
        <is>
          <t>2026-06-30 16:46:32.322</t>
        </is>
      </c>
      <c r="C3466" t="n">
        <v/>
      </c>
      <c r="D3466" t="inlineStr">
        <is>
          <t>Media file</t>
        </is>
      </c>
      <c r="E3466" t="inlineStr">
        <is>
          <t>player #1:C:/Users/manuel.felline/Documents/BEHAVIOR BTBR/NOR second cohort/BTBR/test/c16_f5.mp4</t>
        </is>
      </c>
      <c r="F3466" t="n">
        <v>-9.199999999999999</v>
      </c>
      <c r="G3466" t="n">
        <v>563.499</v>
      </c>
      <c r="H3466" t="n">
        <v>620.7329999999999</v>
      </c>
      <c r="I3466" t="n">
        <v>30</v>
      </c>
      <c r="J3466" t="inlineStr">
        <is>
          <t>BTBR</t>
        </is>
      </c>
      <c r="K3466" t="inlineStr">
        <is>
          <t xml:space="preserve"> Female</t>
        </is>
      </c>
      <c r="L3466" t="inlineStr">
        <is>
          <t>No focal subject</t>
        </is>
      </c>
      <c r="M3466" t="n">
        <v>56.9</v>
      </c>
      <c r="N3466" t="inlineStr">
        <is>
          <t>Explore_F</t>
        </is>
      </c>
      <c r="O3466" t="inlineStr">
        <is>
          <t>Familiar</t>
        </is>
      </c>
      <c r="P3466" t="inlineStr">
        <is>
          <t>STATE</t>
        </is>
      </c>
      <c r="Q3466" t="n">
        <v>57.733</v>
      </c>
      <c r="R3466" t="n">
        <v>58.433</v>
      </c>
      <c r="S3466" t="n">
        <v>0.7</v>
      </c>
      <c r="T3466" t="inlineStr">
        <is>
          <t>C:/Users/manuel.felline/Documents/BEHAVIOR BTBR/NOR second cohort/BTBR/test/c16_f5.mp4</t>
        </is>
      </c>
      <c r="U3466" t="n">
        <v>2000</v>
      </c>
      <c r="V3466" t="n">
        <v>2021</v>
      </c>
      <c r="W3466" t="n">
        <v/>
      </c>
      <c r="X3466" t="n">
        <v/>
      </c>
      <c r="Y3466" t="n">
        <v/>
      </c>
      <c r="Z3466" t="n">
        <v/>
      </c>
      <c r="AA3466">
        <f>SUMIFS($S$2:S3466,$A$2:A3466,A3466,$N$2:N3466,"Explore*")</f>
        <v/>
      </c>
      <c r="AB3466">
        <f>IF(AND(LEFT(N3466,7)="Explore",(AA3466-IF(LEFT(N3466,7)="Explore",S3466,0))&lt;10),"SI","NO")</f>
        <v/>
      </c>
    </row>
    <row r="3467">
      <c r="A3467" t="inlineStr">
        <is>
          <t>c16f5_test</t>
        </is>
      </c>
      <c r="B3467" t="inlineStr">
        <is>
          <t>2026-06-30 16:46:32.322</t>
        </is>
      </c>
      <c r="C3467" t="n">
        <v/>
      </c>
      <c r="D3467" t="inlineStr">
        <is>
          <t>Media file</t>
        </is>
      </c>
      <c r="E3467" t="inlineStr">
        <is>
          <t>player #1:C:/Users/manuel.felline/Documents/BEHAVIOR BTBR/NOR second cohort/BTBR/test/c16_f5.mp4</t>
        </is>
      </c>
      <c r="F3467" t="n">
        <v>-9.199999999999999</v>
      </c>
      <c r="G3467" t="n">
        <v>563.499</v>
      </c>
      <c r="H3467" t="n">
        <v>620.7329999999999</v>
      </c>
      <c r="I3467" t="n">
        <v>30</v>
      </c>
      <c r="J3467" t="inlineStr">
        <is>
          <t>BTBR</t>
        </is>
      </c>
      <c r="K3467" t="inlineStr">
        <is>
          <t xml:space="preserve"> Female</t>
        </is>
      </c>
      <c r="L3467" t="inlineStr">
        <is>
          <t>No focal subject</t>
        </is>
      </c>
      <c r="M3467" t="n">
        <v>56.9</v>
      </c>
      <c r="N3467" t="inlineStr">
        <is>
          <t>Explore_N</t>
        </is>
      </c>
      <c r="O3467" t="inlineStr">
        <is>
          <t>Novelty</t>
        </is>
      </c>
      <c r="P3467" t="inlineStr">
        <is>
          <t>STATE</t>
        </is>
      </c>
      <c r="Q3467" t="n">
        <v>66.56699999999999</v>
      </c>
      <c r="R3467" t="n">
        <v>67.3</v>
      </c>
      <c r="S3467" t="n">
        <v>0.733</v>
      </c>
      <c r="T3467" t="inlineStr">
        <is>
          <t>C:/Users/manuel.felline/Documents/BEHAVIOR BTBR/NOR second cohort/BTBR/test/c16_f5.mp4</t>
        </is>
      </c>
      <c r="U3467" t="n">
        <v>2264</v>
      </c>
      <c r="V3467" t="n">
        <v>2286</v>
      </c>
      <c r="W3467" t="n">
        <v/>
      </c>
      <c r="X3467" t="n">
        <v/>
      </c>
      <c r="Y3467" t="n">
        <v/>
      </c>
      <c r="Z3467" t="n">
        <v/>
      </c>
      <c r="AA3467">
        <f>SUMIFS($S$2:S3467,$A$2:A3467,A3467,$N$2:N3467,"Explore*")</f>
        <v/>
      </c>
      <c r="AB3467">
        <f>IF(AND(LEFT(N3467,7)="Explore",(AA3467-IF(LEFT(N3467,7)="Explore",S3467,0))&lt;10),"SI","NO")</f>
        <v/>
      </c>
    </row>
    <row r="3468">
      <c r="A3468" t="inlineStr">
        <is>
          <t>c16f5_test</t>
        </is>
      </c>
      <c r="B3468" t="inlineStr">
        <is>
          <t>2026-06-30 16:46:32.322</t>
        </is>
      </c>
      <c r="C3468" t="n">
        <v/>
      </c>
      <c r="D3468" t="inlineStr">
        <is>
          <t>Media file</t>
        </is>
      </c>
      <c r="E3468" t="inlineStr">
        <is>
          <t>player #1:C:/Users/manuel.felline/Documents/BEHAVIOR BTBR/NOR second cohort/BTBR/test/c16_f5.mp4</t>
        </is>
      </c>
      <c r="F3468" t="n">
        <v>-9.199999999999999</v>
      </c>
      <c r="G3468" t="n">
        <v>563.499</v>
      </c>
      <c r="H3468" t="n">
        <v>620.7329999999999</v>
      </c>
      <c r="I3468" t="n">
        <v>30</v>
      </c>
      <c r="J3468" t="inlineStr">
        <is>
          <t>BTBR</t>
        </is>
      </c>
      <c r="K3468" t="inlineStr">
        <is>
          <t xml:space="preserve"> Female</t>
        </is>
      </c>
      <c r="L3468" t="inlineStr">
        <is>
          <t>No focal subject</t>
        </is>
      </c>
      <c r="M3468" t="n">
        <v>56.9</v>
      </c>
      <c r="N3468" t="inlineStr">
        <is>
          <t>Explore_N</t>
        </is>
      </c>
      <c r="O3468" t="inlineStr">
        <is>
          <t>Novelty</t>
        </is>
      </c>
      <c r="P3468" t="inlineStr">
        <is>
          <t>STATE</t>
        </is>
      </c>
      <c r="Q3468" t="n">
        <v>68.09999999999999</v>
      </c>
      <c r="R3468" t="n">
        <v>68.333</v>
      </c>
      <c r="S3468" t="n">
        <v>0.233</v>
      </c>
      <c r="T3468" t="inlineStr">
        <is>
          <t>C:/Users/manuel.felline/Documents/BEHAVIOR BTBR/NOR second cohort/BTBR/test/c16_f5.mp4</t>
        </is>
      </c>
      <c r="U3468" t="n">
        <v>2309</v>
      </c>
      <c r="V3468" t="n">
        <v>2316</v>
      </c>
      <c r="W3468" t="n">
        <v/>
      </c>
      <c r="X3468" t="n">
        <v/>
      </c>
      <c r="Y3468" t="n">
        <v/>
      </c>
      <c r="Z3468" t="n">
        <v/>
      </c>
      <c r="AA3468">
        <f>SUMIFS($S$2:S3468,$A$2:A3468,A3468,$N$2:N3468,"Explore*")</f>
        <v/>
      </c>
      <c r="AB3468">
        <f>IF(AND(LEFT(N3468,7)="Explore",(AA3468-IF(LEFT(N3468,7)="Explore",S3468,0))&lt;10),"SI","NO")</f>
        <v/>
      </c>
    </row>
    <row r="3469">
      <c r="A3469" t="inlineStr">
        <is>
          <t>c16f5_test</t>
        </is>
      </c>
      <c r="B3469" t="inlineStr">
        <is>
          <t>2026-06-30 16:46:32.322</t>
        </is>
      </c>
      <c r="C3469" t="n">
        <v/>
      </c>
      <c r="D3469" t="inlineStr">
        <is>
          <t>Media file</t>
        </is>
      </c>
      <c r="E3469" t="inlineStr">
        <is>
          <t>player #1:C:/Users/manuel.felline/Documents/BEHAVIOR BTBR/NOR second cohort/BTBR/test/c16_f5.mp4</t>
        </is>
      </c>
      <c r="F3469" t="n">
        <v>-9.199999999999999</v>
      </c>
      <c r="G3469" t="n">
        <v>563.499</v>
      </c>
      <c r="H3469" t="n">
        <v>620.7329999999999</v>
      </c>
      <c r="I3469" t="n">
        <v>30</v>
      </c>
      <c r="J3469" t="inlineStr">
        <is>
          <t>BTBR</t>
        </is>
      </c>
      <c r="K3469" t="inlineStr">
        <is>
          <t xml:space="preserve"> Female</t>
        </is>
      </c>
      <c r="L3469" t="inlineStr">
        <is>
          <t>No focal subject</t>
        </is>
      </c>
      <c r="M3469" t="n">
        <v>56.9</v>
      </c>
      <c r="N3469" t="inlineStr">
        <is>
          <t>Explore_F</t>
        </is>
      </c>
      <c r="O3469" t="inlineStr">
        <is>
          <t>Familiar</t>
        </is>
      </c>
      <c r="P3469" t="inlineStr">
        <is>
          <t>STATE</t>
        </is>
      </c>
      <c r="Q3469" t="n">
        <v>72.133</v>
      </c>
      <c r="R3469" t="n">
        <v>72.43300000000001</v>
      </c>
      <c r="S3469" t="n">
        <v>0.3</v>
      </c>
      <c r="T3469" t="inlineStr">
        <is>
          <t>C:/Users/manuel.felline/Documents/BEHAVIOR BTBR/NOR second cohort/BTBR/test/c16_f5.mp4</t>
        </is>
      </c>
      <c r="U3469" t="n">
        <v>2430</v>
      </c>
      <c r="V3469" t="n">
        <v>2439</v>
      </c>
      <c r="W3469" t="n">
        <v/>
      </c>
      <c r="X3469" t="n">
        <v/>
      </c>
      <c r="Y3469" t="n">
        <v/>
      </c>
      <c r="Z3469" t="n">
        <v/>
      </c>
      <c r="AA3469">
        <f>SUMIFS($S$2:S3469,$A$2:A3469,A3469,$N$2:N3469,"Explore*")</f>
        <v/>
      </c>
      <c r="AB3469">
        <f>IF(AND(LEFT(N3469,7)="Explore",(AA3469-IF(LEFT(N3469,7)="Explore",S3469,0))&lt;10),"SI","NO")</f>
        <v/>
      </c>
    </row>
    <row r="3470">
      <c r="A3470" t="inlineStr">
        <is>
          <t>c16f5_test</t>
        </is>
      </c>
      <c r="B3470" t="inlineStr">
        <is>
          <t>2026-06-30 16:46:32.322</t>
        </is>
      </c>
      <c r="C3470" t="n">
        <v/>
      </c>
      <c r="D3470" t="inlineStr">
        <is>
          <t>Media file</t>
        </is>
      </c>
      <c r="E3470" t="inlineStr">
        <is>
          <t>player #1:C:/Users/manuel.felline/Documents/BEHAVIOR BTBR/NOR second cohort/BTBR/test/c16_f5.mp4</t>
        </is>
      </c>
      <c r="F3470" t="n">
        <v>-9.199999999999999</v>
      </c>
      <c r="G3470" t="n">
        <v>563.499</v>
      </c>
      <c r="H3470" t="n">
        <v>620.7329999999999</v>
      </c>
      <c r="I3470" t="n">
        <v>30</v>
      </c>
      <c r="J3470" t="inlineStr">
        <is>
          <t>BTBR</t>
        </is>
      </c>
      <c r="K3470" t="inlineStr">
        <is>
          <t xml:space="preserve"> Female</t>
        </is>
      </c>
      <c r="L3470" t="inlineStr">
        <is>
          <t>No focal subject</t>
        </is>
      </c>
      <c r="M3470" t="n">
        <v>56.9</v>
      </c>
      <c r="N3470" t="inlineStr">
        <is>
          <t>Explore_N</t>
        </is>
      </c>
      <c r="O3470" t="inlineStr">
        <is>
          <t>Novelty</t>
        </is>
      </c>
      <c r="P3470" t="inlineStr">
        <is>
          <t>STATE</t>
        </is>
      </c>
      <c r="Q3470" t="n">
        <v>73.59999999999999</v>
      </c>
      <c r="R3470" t="n">
        <v>74.5</v>
      </c>
      <c r="S3470" t="n">
        <v>0.9</v>
      </c>
      <c r="T3470" t="inlineStr">
        <is>
          <t>C:/Users/manuel.felline/Documents/BEHAVIOR BTBR/NOR second cohort/BTBR/test/c16_f5.mp4</t>
        </is>
      </c>
      <c r="U3470" t="n">
        <v>2474</v>
      </c>
      <c r="V3470" t="n">
        <v>2501</v>
      </c>
      <c r="W3470" t="n">
        <v/>
      </c>
      <c r="X3470" t="n">
        <v/>
      </c>
      <c r="Y3470" t="n">
        <v/>
      </c>
      <c r="Z3470" t="n">
        <v/>
      </c>
      <c r="AA3470">
        <f>SUMIFS($S$2:S3470,$A$2:A3470,A3470,$N$2:N3470,"Explore*")</f>
        <v/>
      </c>
      <c r="AB3470">
        <f>IF(AND(LEFT(N3470,7)="Explore",(AA3470-IF(LEFT(N3470,7)="Explore",S3470,0))&lt;10),"SI","NO")</f>
        <v/>
      </c>
    </row>
    <row r="3471">
      <c r="A3471" t="inlineStr">
        <is>
          <t>c16f5_test</t>
        </is>
      </c>
      <c r="B3471" t="inlineStr">
        <is>
          <t>2026-06-30 16:46:32.322</t>
        </is>
      </c>
      <c r="C3471" t="n">
        <v/>
      </c>
      <c r="D3471" t="inlineStr">
        <is>
          <t>Media file</t>
        </is>
      </c>
      <c r="E3471" t="inlineStr">
        <is>
          <t>player #1:C:/Users/manuel.felline/Documents/BEHAVIOR BTBR/NOR second cohort/BTBR/test/c16_f5.mp4</t>
        </is>
      </c>
      <c r="F3471" t="n">
        <v>-9.199999999999999</v>
      </c>
      <c r="G3471" t="n">
        <v>563.499</v>
      </c>
      <c r="H3471" t="n">
        <v>620.7329999999999</v>
      </c>
      <c r="I3471" t="n">
        <v>30</v>
      </c>
      <c r="J3471" t="inlineStr">
        <is>
          <t>BTBR</t>
        </is>
      </c>
      <c r="K3471" t="inlineStr">
        <is>
          <t xml:space="preserve"> Female</t>
        </is>
      </c>
      <c r="L3471" t="inlineStr">
        <is>
          <t>No focal subject</t>
        </is>
      </c>
      <c r="M3471" t="n">
        <v>56.9</v>
      </c>
      <c r="N3471" t="inlineStr">
        <is>
          <t>Explore_F</t>
        </is>
      </c>
      <c r="O3471" t="inlineStr">
        <is>
          <t>Familiar</t>
        </is>
      </c>
      <c r="P3471" t="inlineStr">
        <is>
          <t>STATE</t>
        </is>
      </c>
      <c r="Q3471" t="n">
        <v>80.93300000000001</v>
      </c>
      <c r="R3471" t="n">
        <v>81.333</v>
      </c>
      <c r="S3471" t="n">
        <v>0.4</v>
      </c>
      <c r="T3471" t="inlineStr">
        <is>
          <t>C:/Users/manuel.felline/Documents/BEHAVIOR BTBR/NOR second cohort/BTBR/test/c16_f5.mp4</t>
        </is>
      </c>
      <c r="U3471" t="n">
        <v>2693</v>
      </c>
      <c r="V3471" t="n">
        <v>2705</v>
      </c>
      <c r="W3471" t="n">
        <v/>
      </c>
      <c r="X3471" t="n">
        <v/>
      </c>
      <c r="Y3471" t="n">
        <v/>
      </c>
      <c r="Z3471" t="n">
        <v/>
      </c>
      <c r="AA3471">
        <f>SUMIFS($S$2:S3471,$A$2:A3471,A3471,$N$2:N3471,"Explore*")</f>
        <v/>
      </c>
      <c r="AB3471">
        <f>IF(AND(LEFT(N3471,7)="Explore",(AA3471-IF(LEFT(N3471,7)="Explore",S3471,0))&lt;10),"SI","NO")</f>
        <v/>
      </c>
    </row>
    <row r="3472">
      <c r="A3472" t="inlineStr">
        <is>
          <t>c16f5_test</t>
        </is>
      </c>
      <c r="B3472" t="inlineStr">
        <is>
          <t>2026-06-30 16:46:32.322</t>
        </is>
      </c>
      <c r="C3472" t="n">
        <v/>
      </c>
      <c r="D3472" t="inlineStr">
        <is>
          <t>Media file</t>
        </is>
      </c>
      <c r="E3472" t="inlineStr">
        <is>
          <t>player #1:C:/Users/manuel.felline/Documents/BEHAVIOR BTBR/NOR second cohort/BTBR/test/c16_f5.mp4</t>
        </is>
      </c>
      <c r="F3472" t="n">
        <v>-9.199999999999999</v>
      </c>
      <c r="G3472" t="n">
        <v>563.499</v>
      </c>
      <c r="H3472" t="n">
        <v>620.7329999999999</v>
      </c>
      <c r="I3472" t="n">
        <v>30</v>
      </c>
      <c r="J3472" t="inlineStr">
        <is>
          <t>BTBR</t>
        </is>
      </c>
      <c r="K3472" t="inlineStr">
        <is>
          <t xml:space="preserve"> Female</t>
        </is>
      </c>
      <c r="L3472" t="inlineStr">
        <is>
          <t>No focal subject</t>
        </is>
      </c>
      <c r="M3472" t="n">
        <v>56.9</v>
      </c>
      <c r="N3472" t="inlineStr">
        <is>
          <t>Explore_N</t>
        </is>
      </c>
      <c r="O3472" t="inlineStr">
        <is>
          <t>Novelty</t>
        </is>
      </c>
      <c r="P3472" t="inlineStr">
        <is>
          <t>STATE</t>
        </is>
      </c>
      <c r="Q3472" t="n">
        <v>88.09999999999999</v>
      </c>
      <c r="R3472" t="n">
        <v>89.43300000000001</v>
      </c>
      <c r="S3472" t="n">
        <v>1.333</v>
      </c>
      <c r="T3472" t="inlineStr">
        <is>
          <t>C:/Users/manuel.felline/Documents/BEHAVIOR BTBR/NOR second cohort/BTBR/test/c16_f5.mp4</t>
        </is>
      </c>
      <c r="U3472" t="n">
        <v>2907</v>
      </c>
      <c r="V3472" t="n">
        <v>2947</v>
      </c>
      <c r="W3472" t="n">
        <v/>
      </c>
      <c r="X3472" t="n">
        <v/>
      </c>
      <c r="Y3472" t="n">
        <v/>
      </c>
      <c r="Z3472" t="n">
        <v/>
      </c>
      <c r="AA3472">
        <f>SUMIFS($S$2:S3472,$A$2:A3472,A3472,$N$2:N3472,"Explore*")</f>
        <v/>
      </c>
      <c r="AB3472">
        <f>IF(AND(LEFT(N3472,7)="Explore",(AA3472-IF(LEFT(N3472,7)="Explore",S3472,0))&lt;10),"SI","NO")</f>
        <v/>
      </c>
    </row>
    <row r="3473">
      <c r="A3473" t="inlineStr">
        <is>
          <t>c16f5_test</t>
        </is>
      </c>
      <c r="B3473" t="inlineStr">
        <is>
          <t>2026-06-30 16:46:32.322</t>
        </is>
      </c>
      <c r="C3473" t="n">
        <v/>
      </c>
      <c r="D3473" t="inlineStr">
        <is>
          <t>Media file</t>
        </is>
      </c>
      <c r="E3473" t="inlineStr">
        <is>
          <t>player #1:C:/Users/manuel.felline/Documents/BEHAVIOR BTBR/NOR second cohort/BTBR/test/c16_f5.mp4</t>
        </is>
      </c>
      <c r="F3473" t="n">
        <v>-9.199999999999999</v>
      </c>
      <c r="G3473" t="n">
        <v>563.499</v>
      </c>
      <c r="H3473" t="n">
        <v>620.7329999999999</v>
      </c>
      <c r="I3473" t="n">
        <v>30</v>
      </c>
      <c r="J3473" t="inlineStr">
        <is>
          <t>BTBR</t>
        </is>
      </c>
      <c r="K3473" t="inlineStr">
        <is>
          <t xml:space="preserve"> Female</t>
        </is>
      </c>
      <c r="L3473" t="inlineStr">
        <is>
          <t>No focal subject</t>
        </is>
      </c>
      <c r="M3473" t="n">
        <v>56.9</v>
      </c>
      <c r="N3473" t="inlineStr">
        <is>
          <t>Explore_N</t>
        </is>
      </c>
      <c r="O3473" t="inlineStr">
        <is>
          <t>Novelty</t>
        </is>
      </c>
      <c r="P3473" t="inlineStr">
        <is>
          <t>STATE</t>
        </is>
      </c>
      <c r="Q3473" t="n">
        <v>97.733</v>
      </c>
      <c r="R3473" t="n">
        <v>98.867</v>
      </c>
      <c r="S3473" t="n">
        <v>1.134</v>
      </c>
      <c r="T3473" t="inlineStr">
        <is>
          <t>C:/Users/manuel.felline/Documents/BEHAVIOR BTBR/NOR second cohort/BTBR/test/c16_f5.mp4</t>
        </is>
      </c>
      <c r="U3473" t="n">
        <v>3195</v>
      </c>
      <c r="V3473" t="n">
        <v>3229</v>
      </c>
      <c r="W3473" t="n">
        <v/>
      </c>
      <c r="X3473" t="n">
        <v/>
      </c>
      <c r="Y3473" t="n">
        <v/>
      </c>
      <c r="Z3473" t="n">
        <v/>
      </c>
      <c r="AA3473">
        <f>SUMIFS($S$2:S3473,$A$2:A3473,A3473,$N$2:N3473,"Explore*")</f>
        <v/>
      </c>
      <c r="AB3473">
        <f>IF(AND(LEFT(N3473,7)="Explore",(AA3473-IF(LEFT(N3473,7)="Explore",S3473,0))&lt;10),"SI","NO")</f>
        <v/>
      </c>
    </row>
    <row r="3474">
      <c r="A3474" t="inlineStr">
        <is>
          <t>c16f5_test</t>
        </is>
      </c>
      <c r="B3474" t="inlineStr">
        <is>
          <t>2026-06-30 16:46:32.322</t>
        </is>
      </c>
      <c r="C3474" t="n">
        <v/>
      </c>
      <c r="D3474" t="inlineStr">
        <is>
          <t>Media file</t>
        </is>
      </c>
      <c r="E3474" t="inlineStr">
        <is>
          <t>player #1:C:/Users/manuel.felline/Documents/BEHAVIOR BTBR/NOR second cohort/BTBR/test/c16_f5.mp4</t>
        </is>
      </c>
      <c r="F3474" t="n">
        <v>-9.199999999999999</v>
      </c>
      <c r="G3474" t="n">
        <v>563.499</v>
      </c>
      <c r="H3474" t="n">
        <v>620.7329999999999</v>
      </c>
      <c r="I3474" t="n">
        <v>30</v>
      </c>
      <c r="J3474" t="inlineStr">
        <is>
          <t>BTBR</t>
        </is>
      </c>
      <c r="K3474" t="inlineStr">
        <is>
          <t xml:space="preserve"> Female</t>
        </is>
      </c>
      <c r="L3474" t="inlineStr">
        <is>
          <t>No focal subject</t>
        </is>
      </c>
      <c r="M3474" t="n">
        <v>56.9</v>
      </c>
      <c r="N3474" t="inlineStr">
        <is>
          <t>Explore_F</t>
        </is>
      </c>
      <c r="O3474" t="inlineStr">
        <is>
          <t>Familiar</t>
        </is>
      </c>
      <c r="P3474" t="inlineStr">
        <is>
          <t>STATE</t>
        </is>
      </c>
      <c r="Q3474" t="n">
        <v>101.1</v>
      </c>
      <c r="R3474" t="n">
        <v>101.933</v>
      </c>
      <c r="S3474" t="n">
        <v>0.833</v>
      </c>
      <c r="T3474" t="inlineStr">
        <is>
          <t>C:/Users/manuel.felline/Documents/BEHAVIOR BTBR/NOR second cohort/BTBR/test/c16_f5.mp4</t>
        </is>
      </c>
      <c r="U3474" t="n">
        <v>3295</v>
      </c>
      <c r="V3474" t="n">
        <v>3320</v>
      </c>
      <c r="W3474" t="n">
        <v/>
      </c>
      <c r="X3474" t="n">
        <v/>
      </c>
      <c r="Y3474" t="n">
        <v/>
      </c>
      <c r="Z3474" t="n">
        <v/>
      </c>
      <c r="AA3474">
        <f>SUMIFS($S$2:S3474,$A$2:A3474,A3474,$N$2:N3474,"Explore*")</f>
        <v/>
      </c>
      <c r="AB3474">
        <f>IF(AND(LEFT(N3474,7)="Explore",(AA3474-IF(LEFT(N3474,7)="Explore",S3474,0))&lt;10),"SI","NO")</f>
        <v/>
      </c>
    </row>
    <row r="3475">
      <c r="A3475" t="inlineStr">
        <is>
          <t>c16f5_test</t>
        </is>
      </c>
      <c r="B3475" t="inlineStr">
        <is>
          <t>2026-06-30 16:46:32.322</t>
        </is>
      </c>
      <c r="C3475" t="n">
        <v/>
      </c>
      <c r="D3475" t="inlineStr">
        <is>
          <t>Media file</t>
        </is>
      </c>
      <c r="E3475" t="inlineStr">
        <is>
          <t>player #1:C:/Users/manuel.felline/Documents/BEHAVIOR BTBR/NOR second cohort/BTBR/test/c16_f5.mp4</t>
        </is>
      </c>
      <c r="F3475" t="n">
        <v>-9.199999999999999</v>
      </c>
      <c r="G3475" t="n">
        <v>563.499</v>
      </c>
      <c r="H3475" t="n">
        <v>620.7329999999999</v>
      </c>
      <c r="I3475" t="n">
        <v>30</v>
      </c>
      <c r="J3475" t="inlineStr">
        <is>
          <t>BTBR</t>
        </is>
      </c>
      <c r="K3475" t="inlineStr">
        <is>
          <t xml:space="preserve"> Female</t>
        </is>
      </c>
      <c r="L3475" t="inlineStr">
        <is>
          <t>No focal subject</t>
        </is>
      </c>
      <c r="M3475" t="n">
        <v>56.9</v>
      </c>
      <c r="N3475" t="inlineStr">
        <is>
          <t>Explore_N</t>
        </is>
      </c>
      <c r="O3475" t="inlineStr">
        <is>
          <t>Novelty</t>
        </is>
      </c>
      <c r="P3475" t="inlineStr">
        <is>
          <t>STATE</t>
        </is>
      </c>
      <c r="Q3475" t="n">
        <v>107.933</v>
      </c>
      <c r="R3475" t="n">
        <v>108.5</v>
      </c>
      <c r="S3475" t="n">
        <v>0.5669999999999999</v>
      </c>
      <c r="T3475" t="inlineStr">
        <is>
          <t>C:/Users/manuel.felline/Documents/BEHAVIOR BTBR/NOR second cohort/BTBR/test/c16_f5.mp4</t>
        </is>
      </c>
      <c r="U3475" t="n">
        <v>3499</v>
      </c>
      <c r="V3475" t="n">
        <v>3516</v>
      </c>
      <c r="W3475" t="n">
        <v/>
      </c>
      <c r="X3475" t="n">
        <v/>
      </c>
      <c r="Y3475" t="n">
        <v/>
      </c>
      <c r="Z3475" t="n">
        <v/>
      </c>
      <c r="AA3475">
        <f>SUMIFS($S$2:S3475,$A$2:A3475,A3475,$N$2:N3475,"Explore*")</f>
        <v/>
      </c>
      <c r="AB3475">
        <f>IF(AND(LEFT(N3475,7)="Explore",(AA3475-IF(LEFT(N3475,7)="Explore",S3475,0))&lt;10),"SI","NO")</f>
        <v/>
      </c>
    </row>
    <row r="3476">
      <c r="A3476" t="inlineStr">
        <is>
          <t>c16f5_test</t>
        </is>
      </c>
      <c r="B3476" t="inlineStr">
        <is>
          <t>2026-06-30 16:46:32.322</t>
        </is>
      </c>
      <c r="C3476" t="n">
        <v/>
      </c>
      <c r="D3476" t="inlineStr">
        <is>
          <t>Media file</t>
        </is>
      </c>
      <c r="E3476" t="inlineStr">
        <is>
          <t>player #1:C:/Users/manuel.felline/Documents/BEHAVIOR BTBR/NOR second cohort/BTBR/test/c16_f5.mp4</t>
        </is>
      </c>
      <c r="F3476" t="n">
        <v>-9.199999999999999</v>
      </c>
      <c r="G3476" t="n">
        <v>563.499</v>
      </c>
      <c r="H3476" t="n">
        <v>620.7329999999999</v>
      </c>
      <c r="I3476" t="n">
        <v>30</v>
      </c>
      <c r="J3476" t="inlineStr">
        <is>
          <t>BTBR</t>
        </is>
      </c>
      <c r="K3476" t="inlineStr">
        <is>
          <t xml:space="preserve"> Female</t>
        </is>
      </c>
      <c r="L3476" t="inlineStr">
        <is>
          <t>No focal subject</t>
        </is>
      </c>
      <c r="M3476" t="n">
        <v>56.9</v>
      </c>
      <c r="N3476" t="inlineStr">
        <is>
          <t>Explore_F</t>
        </is>
      </c>
      <c r="O3476" t="inlineStr">
        <is>
          <t>Familiar</t>
        </is>
      </c>
      <c r="P3476" t="inlineStr">
        <is>
          <t>STATE</t>
        </is>
      </c>
      <c r="Q3476" t="n">
        <v>109.233</v>
      </c>
      <c r="R3476" t="n">
        <v>109.633</v>
      </c>
      <c r="S3476" t="n">
        <v>0.4</v>
      </c>
      <c r="T3476" t="inlineStr">
        <is>
          <t>C:/Users/manuel.felline/Documents/BEHAVIOR BTBR/NOR second cohort/BTBR/test/c16_f5.mp4</t>
        </is>
      </c>
      <c r="U3476" t="n">
        <v>3538</v>
      </c>
      <c r="V3476" t="n">
        <v>3550</v>
      </c>
      <c r="W3476" t="n">
        <v/>
      </c>
      <c r="X3476" t="n">
        <v/>
      </c>
      <c r="Y3476" t="n">
        <v/>
      </c>
      <c r="Z3476" t="n">
        <v/>
      </c>
      <c r="AA3476">
        <f>SUMIFS($S$2:S3476,$A$2:A3476,A3476,$N$2:N3476,"Explore*")</f>
        <v/>
      </c>
      <c r="AB3476">
        <f>IF(AND(LEFT(N3476,7)="Explore",(AA3476-IF(LEFT(N3476,7)="Explore",S3476,0))&lt;10),"SI","NO")</f>
        <v/>
      </c>
    </row>
    <row r="3477">
      <c r="A3477" t="inlineStr">
        <is>
          <t>c16f5_test</t>
        </is>
      </c>
      <c r="B3477" t="inlineStr">
        <is>
          <t>2026-06-30 16:46:32.322</t>
        </is>
      </c>
      <c r="C3477" t="n">
        <v/>
      </c>
      <c r="D3477" t="inlineStr">
        <is>
          <t>Media file</t>
        </is>
      </c>
      <c r="E3477" t="inlineStr">
        <is>
          <t>player #1:C:/Users/manuel.felline/Documents/BEHAVIOR BTBR/NOR second cohort/BTBR/test/c16_f5.mp4</t>
        </is>
      </c>
      <c r="F3477" t="n">
        <v>-9.199999999999999</v>
      </c>
      <c r="G3477" t="n">
        <v>563.499</v>
      </c>
      <c r="H3477" t="n">
        <v>620.7329999999999</v>
      </c>
      <c r="I3477" t="n">
        <v>30</v>
      </c>
      <c r="J3477" t="inlineStr">
        <is>
          <t>BTBR</t>
        </is>
      </c>
      <c r="K3477" t="inlineStr">
        <is>
          <t xml:space="preserve"> Female</t>
        </is>
      </c>
      <c r="L3477" t="inlineStr">
        <is>
          <t>No focal subject</t>
        </is>
      </c>
      <c r="M3477" t="n">
        <v>56.9</v>
      </c>
      <c r="N3477" t="inlineStr">
        <is>
          <t>Explore_N</t>
        </is>
      </c>
      <c r="O3477" t="inlineStr">
        <is>
          <t>Novelty</t>
        </is>
      </c>
      <c r="P3477" t="inlineStr">
        <is>
          <t>STATE</t>
        </is>
      </c>
      <c r="Q3477" t="n">
        <v>114</v>
      </c>
      <c r="R3477" t="n">
        <v>115.967</v>
      </c>
      <c r="S3477" t="n">
        <v>1.967</v>
      </c>
      <c r="T3477" t="inlineStr">
        <is>
          <t>C:/Users/manuel.felline/Documents/BEHAVIOR BTBR/NOR second cohort/BTBR/test/c16_f5.mp4</t>
        </is>
      </c>
      <c r="U3477" t="n">
        <v>3681</v>
      </c>
      <c r="V3477" t="n">
        <v>3739</v>
      </c>
      <c r="W3477" t="n">
        <v/>
      </c>
      <c r="X3477" t="n">
        <v/>
      </c>
      <c r="Y3477" t="n">
        <v/>
      </c>
      <c r="Z3477" t="n">
        <v/>
      </c>
      <c r="AA3477">
        <f>SUMIFS($S$2:S3477,$A$2:A3477,A3477,$N$2:N3477,"Explore*")</f>
        <v/>
      </c>
      <c r="AB3477">
        <f>IF(AND(LEFT(N3477,7)="Explore",(AA3477-IF(LEFT(N3477,7)="Explore",S3477,0))&lt;10),"SI","NO")</f>
        <v/>
      </c>
    </row>
    <row r="3478">
      <c r="A3478" t="inlineStr">
        <is>
          <t>c16f5_test</t>
        </is>
      </c>
      <c r="B3478" t="inlineStr">
        <is>
          <t>2026-06-30 16:46:32.322</t>
        </is>
      </c>
      <c r="C3478" t="n">
        <v/>
      </c>
      <c r="D3478" t="inlineStr">
        <is>
          <t>Media file</t>
        </is>
      </c>
      <c r="E3478" t="inlineStr">
        <is>
          <t>player #1:C:/Users/manuel.felline/Documents/BEHAVIOR BTBR/NOR second cohort/BTBR/test/c16_f5.mp4</t>
        </is>
      </c>
      <c r="F3478" t="n">
        <v>-9.199999999999999</v>
      </c>
      <c r="G3478" t="n">
        <v>563.499</v>
      </c>
      <c r="H3478" t="n">
        <v>620.7329999999999</v>
      </c>
      <c r="I3478" t="n">
        <v>30</v>
      </c>
      <c r="J3478" t="inlineStr">
        <is>
          <t>BTBR</t>
        </is>
      </c>
      <c r="K3478" t="inlineStr">
        <is>
          <t xml:space="preserve"> Female</t>
        </is>
      </c>
      <c r="L3478" t="inlineStr">
        <is>
          <t>No focal subject</t>
        </is>
      </c>
      <c r="M3478" t="n">
        <v>56.9</v>
      </c>
      <c r="N3478" t="inlineStr">
        <is>
          <t>Explore_N</t>
        </is>
      </c>
      <c r="O3478" t="inlineStr">
        <is>
          <t>Novelty</t>
        </is>
      </c>
      <c r="P3478" t="inlineStr">
        <is>
          <t>STATE</t>
        </is>
      </c>
      <c r="Q3478" t="n">
        <v>118.133</v>
      </c>
      <c r="R3478" t="n">
        <v>118.767</v>
      </c>
      <c r="S3478" t="n">
        <v>0.634</v>
      </c>
      <c r="T3478" t="inlineStr">
        <is>
          <t>C:/Users/manuel.felline/Documents/BEHAVIOR BTBR/NOR second cohort/BTBR/test/c16_f5.mp4</t>
        </is>
      </c>
      <c r="U3478" t="n">
        <v>3804</v>
      </c>
      <c r="V3478" t="n">
        <v>3823</v>
      </c>
      <c r="W3478" t="n">
        <v/>
      </c>
      <c r="X3478" t="n">
        <v/>
      </c>
      <c r="Y3478" t="n">
        <v/>
      </c>
      <c r="Z3478" t="n">
        <v/>
      </c>
      <c r="AA3478">
        <f>SUMIFS($S$2:S3478,$A$2:A3478,A3478,$N$2:N3478,"Explore*")</f>
        <v/>
      </c>
      <c r="AB3478">
        <f>IF(AND(LEFT(N3478,7)="Explore",(AA3478-IF(LEFT(N3478,7)="Explore",S3478,0))&lt;10),"SI","NO")</f>
        <v/>
      </c>
    </row>
    <row r="3479">
      <c r="A3479" t="inlineStr">
        <is>
          <t>c16f5_test</t>
        </is>
      </c>
      <c r="B3479" t="inlineStr">
        <is>
          <t>2026-06-30 16:46:32.322</t>
        </is>
      </c>
      <c r="C3479" t="n">
        <v/>
      </c>
      <c r="D3479" t="inlineStr">
        <is>
          <t>Media file</t>
        </is>
      </c>
      <c r="E3479" t="inlineStr">
        <is>
          <t>player #1:C:/Users/manuel.felline/Documents/BEHAVIOR BTBR/NOR second cohort/BTBR/test/c16_f5.mp4</t>
        </is>
      </c>
      <c r="F3479" t="n">
        <v>-9.199999999999999</v>
      </c>
      <c r="G3479" t="n">
        <v>563.499</v>
      </c>
      <c r="H3479" t="n">
        <v>620.7329999999999</v>
      </c>
      <c r="I3479" t="n">
        <v>30</v>
      </c>
      <c r="J3479" t="inlineStr">
        <is>
          <t>BTBR</t>
        </is>
      </c>
      <c r="K3479" t="inlineStr">
        <is>
          <t xml:space="preserve"> Female</t>
        </is>
      </c>
      <c r="L3479" t="inlineStr">
        <is>
          <t>No focal subject</t>
        </is>
      </c>
      <c r="M3479" t="n">
        <v>56.9</v>
      </c>
      <c r="N3479" t="inlineStr">
        <is>
          <t>Explore_F</t>
        </is>
      </c>
      <c r="O3479" t="inlineStr">
        <is>
          <t>Familiar</t>
        </is>
      </c>
      <c r="P3479" t="inlineStr">
        <is>
          <t>STATE</t>
        </is>
      </c>
      <c r="Q3479" t="n">
        <v>121.133</v>
      </c>
      <c r="R3479" t="n">
        <v>121.567</v>
      </c>
      <c r="S3479" t="n">
        <v>0.434</v>
      </c>
      <c r="T3479" t="inlineStr">
        <is>
          <t>C:/Users/manuel.felline/Documents/BEHAVIOR BTBR/NOR second cohort/BTBR/test/c16_f5.mp4</t>
        </is>
      </c>
      <c r="U3479" t="n">
        <v>3894</v>
      </c>
      <c r="V3479" t="n">
        <v>3907</v>
      </c>
      <c r="W3479" t="n">
        <v/>
      </c>
      <c r="X3479" t="n">
        <v/>
      </c>
      <c r="Y3479" t="n">
        <v/>
      </c>
      <c r="Z3479" t="n">
        <v/>
      </c>
      <c r="AA3479">
        <f>SUMIFS($S$2:S3479,$A$2:A3479,A3479,$N$2:N3479,"Explore*")</f>
        <v/>
      </c>
      <c r="AB3479">
        <f>IF(AND(LEFT(N3479,7)="Explore",(AA3479-IF(LEFT(N3479,7)="Explore",S3479,0))&lt;10),"SI","NO")</f>
        <v/>
      </c>
    </row>
    <row r="3480">
      <c r="A3480" t="inlineStr">
        <is>
          <t>c16f5_test</t>
        </is>
      </c>
      <c r="B3480" t="inlineStr">
        <is>
          <t>2026-06-30 16:46:32.322</t>
        </is>
      </c>
      <c r="C3480" t="n">
        <v/>
      </c>
      <c r="D3480" t="inlineStr">
        <is>
          <t>Media file</t>
        </is>
      </c>
      <c r="E3480" t="inlineStr">
        <is>
          <t>player #1:C:/Users/manuel.felline/Documents/BEHAVIOR BTBR/NOR second cohort/BTBR/test/c16_f5.mp4</t>
        </is>
      </c>
      <c r="F3480" t="n">
        <v>-9.199999999999999</v>
      </c>
      <c r="G3480" t="n">
        <v>563.499</v>
      </c>
      <c r="H3480" t="n">
        <v>620.7329999999999</v>
      </c>
      <c r="I3480" t="n">
        <v>30</v>
      </c>
      <c r="J3480" t="inlineStr">
        <is>
          <t>BTBR</t>
        </is>
      </c>
      <c r="K3480" t="inlineStr">
        <is>
          <t xml:space="preserve"> Female</t>
        </is>
      </c>
      <c r="L3480" t="inlineStr">
        <is>
          <t>No focal subject</t>
        </is>
      </c>
      <c r="M3480" t="n">
        <v>56.9</v>
      </c>
      <c r="N3480" t="inlineStr">
        <is>
          <t>Explore_F</t>
        </is>
      </c>
      <c r="O3480" t="inlineStr">
        <is>
          <t>Familiar</t>
        </is>
      </c>
      <c r="P3480" t="inlineStr">
        <is>
          <t>STATE</t>
        </is>
      </c>
      <c r="Q3480" t="n">
        <v>122</v>
      </c>
      <c r="R3480" t="n">
        <v>122.767</v>
      </c>
      <c r="S3480" t="n">
        <v>0.767</v>
      </c>
      <c r="T3480" t="inlineStr">
        <is>
          <t>C:/Users/manuel.felline/Documents/BEHAVIOR BTBR/NOR second cohort/BTBR/test/c16_f5.mp4</t>
        </is>
      </c>
      <c r="U3480" t="n">
        <v>3920</v>
      </c>
      <c r="V3480" t="n">
        <v>3943</v>
      </c>
      <c r="W3480" t="n">
        <v/>
      </c>
      <c r="X3480" t="n">
        <v/>
      </c>
      <c r="Y3480" t="n">
        <v/>
      </c>
      <c r="Z3480" t="n">
        <v/>
      </c>
      <c r="AA3480">
        <f>SUMIFS($S$2:S3480,$A$2:A3480,A3480,$N$2:N3480,"Explore*")</f>
        <v/>
      </c>
      <c r="AB3480">
        <f>IF(AND(LEFT(N3480,7)="Explore",(AA3480-IF(LEFT(N3480,7)="Explore",S3480,0))&lt;10),"SI","NO")</f>
        <v/>
      </c>
    </row>
    <row r="3481">
      <c r="A3481" t="inlineStr">
        <is>
          <t>c16f5_test</t>
        </is>
      </c>
      <c r="B3481" t="inlineStr">
        <is>
          <t>2026-06-30 16:46:32.322</t>
        </is>
      </c>
      <c r="C3481" t="n">
        <v/>
      </c>
      <c r="D3481" t="inlineStr">
        <is>
          <t>Media file</t>
        </is>
      </c>
      <c r="E3481" t="inlineStr">
        <is>
          <t>player #1:C:/Users/manuel.felline/Documents/BEHAVIOR BTBR/NOR second cohort/BTBR/test/c16_f5.mp4</t>
        </is>
      </c>
      <c r="F3481" t="n">
        <v>-9.199999999999999</v>
      </c>
      <c r="G3481" t="n">
        <v>563.499</v>
      </c>
      <c r="H3481" t="n">
        <v>620.7329999999999</v>
      </c>
      <c r="I3481" t="n">
        <v>30</v>
      </c>
      <c r="J3481" t="inlineStr">
        <is>
          <t>BTBR</t>
        </is>
      </c>
      <c r="K3481" t="inlineStr">
        <is>
          <t xml:space="preserve"> Female</t>
        </is>
      </c>
      <c r="L3481" t="inlineStr">
        <is>
          <t>No focal subject</t>
        </is>
      </c>
      <c r="M3481" t="n">
        <v>56.9</v>
      </c>
      <c r="N3481" t="inlineStr">
        <is>
          <t>Explore_N</t>
        </is>
      </c>
      <c r="O3481" t="inlineStr">
        <is>
          <t>Novelty</t>
        </is>
      </c>
      <c r="P3481" t="inlineStr">
        <is>
          <t>STATE</t>
        </is>
      </c>
      <c r="Q3481" t="n">
        <v>123.467</v>
      </c>
      <c r="R3481" t="n">
        <v>123.833</v>
      </c>
      <c r="S3481" t="n">
        <v>0.366</v>
      </c>
      <c r="T3481" t="inlineStr">
        <is>
          <t>C:/Users/manuel.felline/Documents/BEHAVIOR BTBR/NOR second cohort/BTBR/test/c16_f5.mp4</t>
        </is>
      </c>
      <c r="U3481" t="n">
        <v>3964</v>
      </c>
      <c r="V3481" t="n">
        <v>3975</v>
      </c>
      <c r="W3481" t="n">
        <v/>
      </c>
      <c r="X3481" t="n">
        <v/>
      </c>
      <c r="Y3481" t="n">
        <v/>
      </c>
      <c r="Z3481" t="n">
        <v/>
      </c>
      <c r="AA3481">
        <f>SUMIFS($S$2:S3481,$A$2:A3481,A3481,$N$2:N3481,"Explore*")</f>
        <v/>
      </c>
      <c r="AB3481">
        <f>IF(AND(LEFT(N3481,7)="Explore",(AA3481-IF(LEFT(N3481,7)="Explore",S3481,0))&lt;10),"SI","NO")</f>
        <v/>
      </c>
    </row>
    <row r="3482">
      <c r="A3482" t="inlineStr">
        <is>
          <t>c16f5_test</t>
        </is>
      </c>
      <c r="B3482" t="inlineStr">
        <is>
          <t>2026-06-30 16:46:32.322</t>
        </is>
      </c>
      <c r="C3482" t="n">
        <v/>
      </c>
      <c r="D3482" t="inlineStr">
        <is>
          <t>Media file</t>
        </is>
      </c>
      <c r="E3482" t="inlineStr">
        <is>
          <t>player #1:C:/Users/manuel.felline/Documents/BEHAVIOR BTBR/NOR second cohort/BTBR/test/c16_f5.mp4</t>
        </is>
      </c>
      <c r="F3482" t="n">
        <v>-9.199999999999999</v>
      </c>
      <c r="G3482" t="n">
        <v>563.499</v>
      </c>
      <c r="H3482" t="n">
        <v>620.7329999999999</v>
      </c>
      <c r="I3482" t="n">
        <v>30</v>
      </c>
      <c r="J3482" t="inlineStr">
        <is>
          <t>BTBR</t>
        </is>
      </c>
      <c r="K3482" t="inlineStr">
        <is>
          <t xml:space="preserve"> Female</t>
        </is>
      </c>
      <c r="L3482" t="inlineStr">
        <is>
          <t>No focal subject</t>
        </is>
      </c>
      <c r="M3482" t="n">
        <v>56.9</v>
      </c>
      <c r="N3482" t="inlineStr">
        <is>
          <t>Explore_F</t>
        </is>
      </c>
      <c r="O3482" t="inlineStr">
        <is>
          <t>Familiar</t>
        </is>
      </c>
      <c r="P3482" t="inlineStr">
        <is>
          <t>STATE</t>
        </is>
      </c>
      <c r="Q3482" t="n">
        <v>125.933</v>
      </c>
      <c r="R3482" t="n">
        <v>126.4</v>
      </c>
      <c r="S3482" t="n">
        <v>0.467</v>
      </c>
      <c r="T3482" t="inlineStr">
        <is>
          <t>C:/Users/manuel.felline/Documents/BEHAVIOR BTBR/NOR second cohort/BTBR/test/c16_f5.mp4</t>
        </is>
      </c>
      <c r="U3482" t="n">
        <v>4037</v>
      </c>
      <c r="V3482" t="n">
        <v>4051</v>
      </c>
      <c r="W3482" t="n">
        <v/>
      </c>
      <c r="X3482" t="n">
        <v/>
      </c>
      <c r="Y3482" t="n">
        <v/>
      </c>
      <c r="Z3482" t="n">
        <v/>
      </c>
      <c r="AA3482">
        <f>SUMIFS($S$2:S3482,$A$2:A3482,A3482,$N$2:N3482,"Explore*")</f>
        <v/>
      </c>
      <c r="AB3482">
        <f>IF(AND(LEFT(N3482,7)="Explore",(AA3482-IF(LEFT(N3482,7)="Explore",S3482,0))&lt;10),"SI","NO")</f>
        <v/>
      </c>
    </row>
    <row r="3483">
      <c r="A3483" t="inlineStr">
        <is>
          <t>c16f5_test</t>
        </is>
      </c>
      <c r="B3483" t="inlineStr">
        <is>
          <t>2026-06-30 16:46:32.322</t>
        </is>
      </c>
      <c r="C3483" t="n">
        <v/>
      </c>
      <c r="D3483" t="inlineStr">
        <is>
          <t>Media file</t>
        </is>
      </c>
      <c r="E3483" t="inlineStr">
        <is>
          <t>player #1:C:/Users/manuel.felline/Documents/BEHAVIOR BTBR/NOR second cohort/BTBR/test/c16_f5.mp4</t>
        </is>
      </c>
      <c r="F3483" t="n">
        <v>-9.199999999999999</v>
      </c>
      <c r="G3483" t="n">
        <v>563.499</v>
      </c>
      <c r="H3483" t="n">
        <v>620.7329999999999</v>
      </c>
      <c r="I3483" t="n">
        <v>30</v>
      </c>
      <c r="J3483" t="inlineStr">
        <is>
          <t>BTBR</t>
        </is>
      </c>
      <c r="K3483" t="inlineStr">
        <is>
          <t xml:space="preserve"> Female</t>
        </is>
      </c>
      <c r="L3483" t="inlineStr">
        <is>
          <t>No focal subject</t>
        </is>
      </c>
      <c r="M3483" t="n">
        <v>56.9</v>
      </c>
      <c r="N3483" t="inlineStr">
        <is>
          <t>Explore_N</t>
        </is>
      </c>
      <c r="O3483" t="inlineStr">
        <is>
          <t>Novelty</t>
        </is>
      </c>
      <c r="P3483" t="inlineStr">
        <is>
          <t>STATE</t>
        </is>
      </c>
      <c r="Q3483" t="n">
        <v>127.9</v>
      </c>
      <c r="R3483" t="n">
        <v>129.5</v>
      </c>
      <c r="S3483" t="n">
        <v>1.6</v>
      </c>
      <c r="T3483" t="inlineStr">
        <is>
          <t>C:/Users/manuel.felline/Documents/BEHAVIOR BTBR/NOR second cohort/BTBR/test/c16_f5.mp4</t>
        </is>
      </c>
      <c r="U3483" t="n">
        <v>4096</v>
      </c>
      <c r="V3483" t="n">
        <v>4144</v>
      </c>
      <c r="W3483" t="n">
        <v/>
      </c>
      <c r="X3483" t="n">
        <v/>
      </c>
      <c r="Y3483" t="n">
        <v/>
      </c>
      <c r="Z3483" t="n">
        <v/>
      </c>
      <c r="AA3483">
        <f>SUMIFS($S$2:S3483,$A$2:A3483,A3483,$N$2:N3483,"Explore*")</f>
        <v/>
      </c>
      <c r="AB3483">
        <f>IF(AND(LEFT(N3483,7)="Explore",(AA3483-IF(LEFT(N3483,7)="Explore",S3483,0))&lt;10),"SI","NO")</f>
        <v/>
      </c>
    </row>
    <row r="3484">
      <c r="A3484" t="inlineStr">
        <is>
          <t>c16f5_test</t>
        </is>
      </c>
      <c r="B3484" t="inlineStr">
        <is>
          <t>2026-06-30 16:46:32.322</t>
        </is>
      </c>
      <c r="C3484" t="n">
        <v/>
      </c>
      <c r="D3484" t="inlineStr">
        <is>
          <t>Media file</t>
        </is>
      </c>
      <c r="E3484" t="inlineStr">
        <is>
          <t>player #1:C:/Users/manuel.felline/Documents/BEHAVIOR BTBR/NOR second cohort/BTBR/test/c16_f5.mp4</t>
        </is>
      </c>
      <c r="F3484" t="n">
        <v>-9.199999999999999</v>
      </c>
      <c r="G3484" t="n">
        <v>563.499</v>
      </c>
      <c r="H3484" t="n">
        <v>620.7329999999999</v>
      </c>
      <c r="I3484" t="n">
        <v>30</v>
      </c>
      <c r="J3484" t="inlineStr">
        <is>
          <t>BTBR</t>
        </is>
      </c>
      <c r="K3484" t="inlineStr">
        <is>
          <t xml:space="preserve"> Female</t>
        </is>
      </c>
      <c r="L3484" t="inlineStr">
        <is>
          <t>No focal subject</t>
        </is>
      </c>
      <c r="M3484" t="n">
        <v>56.9</v>
      </c>
      <c r="N3484" t="inlineStr">
        <is>
          <t>Explore_N</t>
        </is>
      </c>
      <c r="O3484" t="inlineStr">
        <is>
          <t>Novelty</t>
        </is>
      </c>
      <c r="P3484" t="inlineStr">
        <is>
          <t>STATE</t>
        </is>
      </c>
      <c r="Q3484" t="n">
        <v>136.1</v>
      </c>
      <c r="R3484" t="n">
        <v>136.433</v>
      </c>
      <c r="S3484" t="n">
        <v>0.333</v>
      </c>
      <c r="T3484" t="inlineStr">
        <is>
          <t>C:/Users/manuel.felline/Documents/BEHAVIOR BTBR/NOR second cohort/BTBR/test/c16_f5.mp4</t>
        </is>
      </c>
      <c r="U3484" t="n">
        <v>4341</v>
      </c>
      <c r="V3484" t="n">
        <v>4351</v>
      </c>
      <c r="W3484" t="n">
        <v/>
      </c>
      <c r="X3484" t="n">
        <v/>
      </c>
      <c r="Y3484" t="n">
        <v/>
      </c>
      <c r="Z3484" t="n">
        <v/>
      </c>
      <c r="AA3484">
        <f>SUMIFS($S$2:S3484,$A$2:A3484,A3484,$N$2:N3484,"Explore*")</f>
        <v/>
      </c>
      <c r="AB3484">
        <f>IF(AND(LEFT(N3484,7)="Explore",(AA3484-IF(LEFT(N3484,7)="Explore",S3484,0))&lt;10),"SI","NO")</f>
        <v/>
      </c>
    </row>
    <row r="3485">
      <c r="A3485" t="inlineStr">
        <is>
          <t>c16f5_test</t>
        </is>
      </c>
      <c r="B3485" t="inlineStr">
        <is>
          <t>2026-06-30 16:46:32.322</t>
        </is>
      </c>
      <c r="C3485" t="n">
        <v/>
      </c>
      <c r="D3485" t="inlineStr">
        <is>
          <t>Media file</t>
        </is>
      </c>
      <c r="E3485" t="inlineStr">
        <is>
          <t>player #1:C:/Users/manuel.felline/Documents/BEHAVIOR BTBR/NOR second cohort/BTBR/test/c16_f5.mp4</t>
        </is>
      </c>
      <c r="F3485" t="n">
        <v>-9.199999999999999</v>
      </c>
      <c r="G3485" t="n">
        <v>563.499</v>
      </c>
      <c r="H3485" t="n">
        <v>620.7329999999999</v>
      </c>
      <c r="I3485" t="n">
        <v>30</v>
      </c>
      <c r="J3485" t="inlineStr">
        <is>
          <t>BTBR</t>
        </is>
      </c>
      <c r="K3485" t="inlineStr">
        <is>
          <t xml:space="preserve"> Female</t>
        </is>
      </c>
      <c r="L3485" t="inlineStr">
        <is>
          <t>No focal subject</t>
        </is>
      </c>
      <c r="M3485" t="n">
        <v>56.9</v>
      </c>
      <c r="N3485" t="inlineStr">
        <is>
          <t>Explore_N</t>
        </is>
      </c>
      <c r="O3485" t="inlineStr">
        <is>
          <t>Novelty</t>
        </is>
      </c>
      <c r="P3485" t="inlineStr">
        <is>
          <t>STATE</t>
        </is>
      </c>
      <c r="Q3485" t="n">
        <v>138.467</v>
      </c>
      <c r="R3485" t="n">
        <v>139.167</v>
      </c>
      <c r="S3485" t="n">
        <v>0.7</v>
      </c>
      <c r="T3485" t="inlineStr">
        <is>
          <t>C:/Users/manuel.felline/Documents/BEHAVIOR BTBR/NOR second cohort/BTBR/test/c16_f5.mp4</t>
        </is>
      </c>
      <c r="U3485" t="n">
        <v>4412</v>
      </c>
      <c r="V3485" t="n">
        <v>4433</v>
      </c>
      <c r="W3485" t="n">
        <v/>
      </c>
      <c r="X3485" t="n">
        <v/>
      </c>
      <c r="Y3485" t="n">
        <v/>
      </c>
      <c r="Z3485" t="n">
        <v/>
      </c>
      <c r="AA3485">
        <f>SUMIFS($S$2:S3485,$A$2:A3485,A3485,$N$2:N3485,"Explore*")</f>
        <v/>
      </c>
      <c r="AB3485">
        <f>IF(AND(LEFT(N3485,7)="Explore",(AA3485-IF(LEFT(N3485,7)="Explore",S3485,0))&lt;10),"SI","NO")</f>
        <v/>
      </c>
    </row>
    <row r="3486">
      <c r="A3486" t="inlineStr">
        <is>
          <t>c16f5_test</t>
        </is>
      </c>
      <c r="B3486" t="inlineStr">
        <is>
          <t>2026-06-30 16:46:32.322</t>
        </is>
      </c>
      <c r="C3486" t="n">
        <v/>
      </c>
      <c r="D3486" t="inlineStr">
        <is>
          <t>Media file</t>
        </is>
      </c>
      <c r="E3486" t="inlineStr">
        <is>
          <t>player #1:C:/Users/manuel.felline/Documents/BEHAVIOR BTBR/NOR second cohort/BTBR/test/c16_f5.mp4</t>
        </is>
      </c>
      <c r="F3486" t="n">
        <v>-9.199999999999999</v>
      </c>
      <c r="G3486" t="n">
        <v>563.499</v>
      </c>
      <c r="H3486" t="n">
        <v>620.7329999999999</v>
      </c>
      <c r="I3486" t="n">
        <v>30</v>
      </c>
      <c r="J3486" t="inlineStr">
        <is>
          <t>BTBR</t>
        </is>
      </c>
      <c r="K3486" t="inlineStr">
        <is>
          <t xml:space="preserve"> Female</t>
        </is>
      </c>
      <c r="L3486" t="inlineStr">
        <is>
          <t>No focal subject</t>
        </is>
      </c>
      <c r="M3486" t="n">
        <v>56.9</v>
      </c>
      <c r="N3486" t="inlineStr">
        <is>
          <t>Explore_F</t>
        </is>
      </c>
      <c r="O3486" t="inlineStr">
        <is>
          <t>Familiar</t>
        </is>
      </c>
      <c r="P3486" t="inlineStr">
        <is>
          <t>STATE</t>
        </is>
      </c>
      <c r="Q3486" t="n">
        <v>140.867</v>
      </c>
      <c r="R3486" t="n">
        <v>141.133</v>
      </c>
      <c r="S3486" t="n">
        <v>0.266</v>
      </c>
      <c r="T3486" t="inlineStr">
        <is>
          <t>C:/Users/manuel.felline/Documents/BEHAVIOR BTBR/NOR second cohort/BTBR/test/c16_f5.mp4</t>
        </is>
      </c>
      <c r="U3486" t="n">
        <v>4483</v>
      </c>
      <c r="V3486" t="n">
        <v>4491</v>
      </c>
      <c r="W3486" t="n">
        <v/>
      </c>
      <c r="X3486" t="n">
        <v/>
      </c>
      <c r="Y3486" t="n">
        <v/>
      </c>
      <c r="Z3486" t="n">
        <v/>
      </c>
      <c r="AA3486">
        <f>SUMIFS($S$2:S3486,$A$2:A3486,A3486,$N$2:N3486,"Explore*")</f>
        <v/>
      </c>
      <c r="AB3486">
        <f>IF(AND(LEFT(N3486,7)="Explore",(AA3486-IF(LEFT(N3486,7)="Explore",S3486,0))&lt;10),"SI","NO")</f>
        <v/>
      </c>
    </row>
    <row r="3487">
      <c r="A3487" t="inlineStr">
        <is>
          <t>c16f5_test</t>
        </is>
      </c>
      <c r="B3487" t="inlineStr">
        <is>
          <t>2026-06-30 16:46:32.322</t>
        </is>
      </c>
      <c r="C3487" t="n">
        <v/>
      </c>
      <c r="D3487" t="inlineStr">
        <is>
          <t>Media file</t>
        </is>
      </c>
      <c r="E3487" t="inlineStr">
        <is>
          <t>player #1:C:/Users/manuel.felline/Documents/BEHAVIOR BTBR/NOR second cohort/BTBR/test/c16_f5.mp4</t>
        </is>
      </c>
      <c r="F3487" t="n">
        <v>-9.199999999999999</v>
      </c>
      <c r="G3487" t="n">
        <v>563.499</v>
      </c>
      <c r="H3487" t="n">
        <v>620.7329999999999</v>
      </c>
      <c r="I3487" t="n">
        <v>30</v>
      </c>
      <c r="J3487" t="inlineStr">
        <is>
          <t>BTBR</t>
        </is>
      </c>
      <c r="K3487" t="inlineStr">
        <is>
          <t xml:space="preserve"> Female</t>
        </is>
      </c>
      <c r="L3487" t="inlineStr">
        <is>
          <t>No focal subject</t>
        </is>
      </c>
      <c r="M3487" t="n">
        <v>56.9</v>
      </c>
      <c r="N3487" t="inlineStr">
        <is>
          <t>Explore_F</t>
        </is>
      </c>
      <c r="O3487" t="inlineStr">
        <is>
          <t>Familiar</t>
        </is>
      </c>
      <c r="P3487" t="inlineStr">
        <is>
          <t>STATE</t>
        </is>
      </c>
      <c r="Q3487" t="n">
        <v>148.3</v>
      </c>
      <c r="R3487" t="n">
        <v>148.633</v>
      </c>
      <c r="S3487" t="n">
        <v>0.333</v>
      </c>
      <c r="T3487" t="inlineStr">
        <is>
          <t>C:/Users/manuel.felline/Documents/BEHAVIOR BTBR/NOR second cohort/BTBR/test/c16_f5.mp4</t>
        </is>
      </c>
      <c r="U3487" t="n">
        <v>4705</v>
      </c>
      <c r="V3487" t="n">
        <v>4715</v>
      </c>
      <c r="W3487" t="n">
        <v/>
      </c>
      <c r="X3487" t="n">
        <v/>
      </c>
      <c r="Y3487" t="n">
        <v/>
      </c>
      <c r="Z3487" t="n">
        <v/>
      </c>
      <c r="AA3487">
        <f>SUMIFS($S$2:S3487,$A$2:A3487,A3487,$N$2:N3487,"Explore*")</f>
        <v/>
      </c>
      <c r="AB3487">
        <f>IF(AND(LEFT(N3487,7)="Explore",(AA3487-IF(LEFT(N3487,7)="Explore",S3487,0))&lt;10),"SI","NO")</f>
        <v/>
      </c>
    </row>
    <row r="3488">
      <c r="A3488" t="inlineStr">
        <is>
          <t>c16f5_test</t>
        </is>
      </c>
      <c r="B3488" t="inlineStr">
        <is>
          <t>2026-06-30 16:46:32.322</t>
        </is>
      </c>
      <c r="C3488" t="n">
        <v/>
      </c>
      <c r="D3488" t="inlineStr">
        <is>
          <t>Media file</t>
        </is>
      </c>
      <c r="E3488" t="inlineStr">
        <is>
          <t>player #1:C:/Users/manuel.felline/Documents/BEHAVIOR BTBR/NOR second cohort/BTBR/test/c16_f5.mp4</t>
        </is>
      </c>
      <c r="F3488" t="n">
        <v>-9.199999999999999</v>
      </c>
      <c r="G3488" t="n">
        <v>563.499</v>
      </c>
      <c r="H3488" t="n">
        <v>620.7329999999999</v>
      </c>
      <c r="I3488" t="n">
        <v>30</v>
      </c>
      <c r="J3488" t="inlineStr">
        <is>
          <t>BTBR</t>
        </is>
      </c>
      <c r="K3488" t="inlineStr">
        <is>
          <t xml:space="preserve"> Female</t>
        </is>
      </c>
      <c r="L3488" t="inlineStr">
        <is>
          <t>No focal subject</t>
        </is>
      </c>
      <c r="M3488" t="n">
        <v>56.9</v>
      </c>
      <c r="N3488" t="inlineStr">
        <is>
          <t>Explore_N</t>
        </is>
      </c>
      <c r="O3488" t="inlineStr">
        <is>
          <t>Novelty</t>
        </is>
      </c>
      <c r="P3488" t="inlineStr">
        <is>
          <t>STATE</t>
        </is>
      </c>
      <c r="Q3488" t="n">
        <v>164.166</v>
      </c>
      <c r="R3488" t="n">
        <v>165.233</v>
      </c>
      <c r="S3488" t="n">
        <v>1.067</v>
      </c>
      <c r="T3488" t="inlineStr">
        <is>
          <t>C:/Users/manuel.felline/Documents/BEHAVIOR BTBR/NOR second cohort/BTBR/test/c16_f5.mp4</t>
        </is>
      </c>
      <c r="U3488" t="n">
        <v>5180</v>
      </c>
      <c r="V3488" t="n">
        <v>5211</v>
      </c>
      <c r="W3488" t="n">
        <v/>
      </c>
      <c r="X3488" t="n">
        <v/>
      </c>
      <c r="Y3488" t="n">
        <v/>
      </c>
      <c r="Z3488" t="n">
        <v/>
      </c>
      <c r="AA3488">
        <f>SUMIFS($S$2:S3488,$A$2:A3488,A3488,$N$2:N3488,"Explore*")</f>
        <v/>
      </c>
      <c r="AB3488">
        <f>IF(AND(LEFT(N3488,7)="Explore",(AA3488-IF(LEFT(N3488,7)="Explore",S3488,0))&lt;10),"SI","NO")</f>
        <v/>
      </c>
    </row>
    <row r="3489">
      <c r="A3489" t="inlineStr">
        <is>
          <t>c16f5_test</t>
        </is>
      </c>
      <c r="B3489" t="inlineStr">
        <is>
          <t>2026-06-30 16:46:32.322</t>
        </is>
      </c>
      <c r="C3489" t="n">
        <v/>
      </c>
      <c r="D3489" t="inlineStr">
        <is>
          <t>Media file</t>
        </is>
      </c>
      <c r="E3489" t="inlineStr">
        <is>
          <t>player #1:C:/Users/manuel.felline/Documents/BEHAVIOR BTBR/NOR second cohort/BTBR/test/c16_f5.mp4</t>
        </is>
      </c>
      <c r="F3489" t="n">
        <v>-9.199999999999999</v>
      </c>
      <c r="G3489" t="n">
        <v>563.499</v>
      </c>
      <c r="H3489" t="n">
        <v>620.7329999999999</v>
      </c>
      <c r="I3489" t="n">
        <v>30</v>
      </c>
      <c r="J3489" t="inlineStr">
        <is>
          <t>BTBR</t>
        </is>
      </c>
      <c r="K3489" t="inlineStr">
        <is>
          <t xml:space="preserve"> Female</t>
        </is>
      </c>
      <c r="L3489" t="inlineStr">
        <is>
          <t>No focal subject</t>
        </is>
      </c>
      <c r="M3489" t="n">
        <v>56.9</v>
      </c>
      <c r="N3489" t="inlineStr">
        <is>
          <t>Explore_N</t>
        </is>
      </c>
      <c r="O3489" t="inlineStr">
        <is>
          <t>Novelty</t>
        </is>
      </c>
      <c r="P3489" t="inlineStr">
        <is>
          <t>STATE</t>
        </is>
      </c>
      <c r="Q3489" t="n">
        <v>168.166</v>
      </c>
      <c r="R3489" t="n">
        <v>169.6</v>
      </c>
      <c r="S3489" t="n">
        <v>1.434</v>
      </c>
      <c r="T3489" t="inlineStr">
        <is>
          <t>C:/Users/manuel.felline/Documents/BEHAVIOR BTBR/NOR second cohort/BTBR/test/c16_f5.mp4</t>
        </is>
      </c>
      <c r="U3489" t="n">
        <v>5299</v>
      </c>
      <c r="V3489" t="n">
        <v>5342</v>
      </c>
      <c r="W3489" t="n">
        <v/>
      </c>
      <c r="X3489" t="n">
        <v/>
      </c>
      <c r="Y3489" t="n">
        <v/>
      </c>
      <c r="Z3489" t="n">
        <v/>
      </c>
      <c r="AA3489">
        <f>SUMIFS($S$2:S3489,$A$2:A3489,A3489,$N$2:N3489,"Explore*")</f>
        <v/>
      </c>
      <c r="AB3489">
        <f>IF(AND(LEFT(N3489,7)="Explore",(AA3489-IF(LEFT(N3489,7)="Explore",S3489,0))&lt;10),"SI","NO")</f>
        <v/>
      </c>
    </row>
    <row r="3490">
      <c r="A3490" t="inlineStr">
        <is>
          <t>c16f5_test</t>
        </is>
      </c>
      <c r="B3490" t="inlineStr">
        <is>
          <t>2026-06-30 16:46:32.322</t>
        </is>
      </c>
      <c r="C3490" t="n">
        <v/>
      </c>
      <c r="D3490" t="inlineStr">
        <is>
          <t>Media file</t>
        </is>
      </c>
      <c r="E3490" t="inlineStr">
        <is>
          <t>player #1:C:/Users/manuel.felline/Documents/BEHAVIOR BTBR/NOR second cohort/BTBR/test/c16_f5.mp4</t>
        </is>
      </c>
      <c r="F3490" t="n">
        <v>-9.199999999999999</v>
      </c>
      <c r="G3490" t="n">
        <v>563.499</v>
      </c>
      <c r="H3490" t="n">
        <v>620.7329999999999</v>
      </c>
      <c r="I3490" t="n">
        <v>30</v>
      </c>
      <c r="J3490" t="inlineStr">
        <is>
          <t>BTBR</t>
        </is>
      </c>
      <c r="K3490" t="inlineStr">
        <is>
          <t xml:space="preserve"> Female</t>
        </is>
      </c>
      <c r="L3490" t="inlineStr">
        <is>
          <t>No focal subject</t>
        </is>
      </c>
      <c r="M3490" t="n">
        <v>56.9</v>
      </c>
      <c r="N3490" t="inlineStr">
        <is>
          <t>Explore_N</t>
        </is>
      </c>
      <c r="O3490" t="inlineStr">
        <is>
          <t>Novelty</t>
        </is>
      </c>
      <c r="P3490" t="inlineStr">
        <is>
          <t>STATE</t>
        </is>
      </c>
      <c r="Q3490" t="n">
        <v>186.266</v>
      </c>
      <c r="R3490" t="n">
        <v>188.033</v>
      </c>
      <c r="S3490" t="n">
        <v>1.767</v>
      </c>
      <c r="T3490" t="inlineStr">
        <is>
          <t>C:/Users/manuel.felline/Documents/BEHAVIOR BTBR/NOR second cohort/BTBR/test/c16_f5.mp4</t>
        </is>
      </c>
      <c r="U3490" t="n">
        <v>5840</v>
      </c>
      <c r="V3490" t="n">
        <v>5893</v>
      </c>
      <c r="W3490" t="n">
        <v/>
      </c>
      <c r="X3490" t="n">
        <v/>
      </c>
      <c r="Y3490" t="n">
        <v/>
      </c>
      <c r="Z3490" t="n">
        <v/>
      </c>
      <c r="AA3490">
        <f>SUMIFS($S$2:S3490,$A$2:A3490,A3490,$N$2:N3490,"Explore*")</f>
        <v/>
      </c>
      <c r="AB3490">
        <f>IF(AND(LEFT(N3490,7)="Explore",(AA3490-IF(LEFT(N3490,7)="Explore",S3490,0))&lt;10),"SI","NO")</f>
        <v/>
      </c>
    </row>
    <row r="3491">
      <c r="A3491" t="inlineStr">
        <is>
          <t>c16f5_test</t>
        </is>
      </c>
      <c r="B3491" t="inlineStr">
        <is>
          <t>2026-06-30 16:46:32.322</t>
        </is>
      </c>
      <c r="C3491" t="n">
        <v/>
      </c>
      <c r="D3491" t="inlineStr">
        <is>
          <t>Media file</t>
        </is>
      </c>
      <c r="E3491" t="inlineStr">
        <is>
          <t>player #1:C:/Users/manuel.felline/Documents/BEHAVIOR BTBR/NOR second cohort/BTBR/test/c16_f5.mp4</t>
        </is>
      </c>
      <c r="F3491" t="n">
        <v>-9.199999999999999</v>
      </c>
      <c r="G3491" t="n">
        <v>563.499</v>
      </c>
      <c r="H3491" t="n">
        <v>620.7329999999999</v>
      </c>
      <c r="I3491" t="n">
        <v>30</v>
      </c>
      <c r="J3491" t="inlineStr">
        <is>
          <t>BTBR</t>
        </is>
      </c>
      <c r="K3491" t="inlineStr">
        <is>
          <t xml:space="preserve"> Female</t>
        </is>
      </c>
      <c r="L3491" t="inlineStr">
        <is>
          <t>No focal subject</t>
        </is>
      </c>
      <c r="M3491" t="n">
        <v>56.9</v>
      </c>
      <c r="N3491" t="inlineStr">
        <is>
          <t>Explore_F</t>
        </is>
      </c>
      <c r="O3491" t="inlineStr">
        <is>
          <t>Familiar</t>
        </is>
      </c>
      <c r="P3491" t="inlineStr">
        <is>
          <t>STATE</t>
        </is>
      </c>
      <c r="Q3491" t="n">
        <v>189.966</v>
      </c>
      <c r="R3491" t="n">
        <v>190.366</v>
      </c>
      <c r="S3491" t="n">
        <v>0.4</v>
      </c>
      <c r="T3491" t="inlineStr">
        <is>
          <t>C:/Users/manuel.felline/Documents/BEHAVIOR BTBR/NOR second cohort/BTBR/test/c16_f5.mp4</t>
        </is>
      </c>
      <c r="U3491" t="n">
        <v>5950</v>
      </c>
      <c r="V3491" t="n">
        <v>5962</v>
      </c>
      <c r="W3491" t="n">
        <v/>
      </c>
      <c r="X3491" t="n">
        <v/>
      </c>
      <c r="Y3491" t="n">
        <v/>
      </c>
      <c r="Z3491" t="n">
        <v/>
      </c>
      <c r="AA3491">
        <f>SUMIFS($S$2:S3491,$A$2:A3491,A3491,$N$2:N3491,"Explore*")</f>
        <v/>
      </c>
      <c r="AB3491">
        <f>IF(AND(LEFT(N3491,7)="Explore",(AA3491-IF(LEFT(N3491,7)="Explore",S3491,0))&lt;10),"SI","NO")</f>
        <v/>
      </c>
    </row>
    <row r="3492">
      <c r="A3492" t="inlineStr">
        <is>
          <t>c16f5_test</t>
        </is>
      </c>
      <c r="B3492" t="inlineStr">
        <is>
          <t>2026-06-30 16:46:32.322</t>
        </is>
      </c>
      <c r="C3492" t="n">
        <v/>
      </c>
      <c r="D3492" t="inlineStr">
        <is>
          <t>Media file</t>
        </is>
      </c>
      <c r="E3492" t="inlineStr">
        <is>
          <t>player #1:C:/Users/manuel.felline/Documents/BEHAVIOR BTBR/NOR second cohort/BTBR/test/c16_f5.mp4</t>
        </is>
      </c>
      <c r="F3492" t="n">
        <v>-9.199999999999999</v>
      </c>
      <c r="G3492" t="n">
        <v>563.499</v>
      </c>
      <c r="H3492" t="n">
        <v>620.7329999999999</v>
      </c>
      <c r="I3492" t="n">
        <v>30</v>
      </c>
      <c r="J3492" t="inlineStr">
        <is>
          <t>BTBR</t>
        </is>
      </c>
      <c r="K3492" t="inlineStr">
        <is>
          <t xml:space="preserve"> Female</t>
        </is>
      </c>
      <c r="L3492" t="inlineStr">
        <is>
          <t>No focal subject</t>
        </is>
      </c>
      <c r="M3492" t="n">
        <v>56.9</v>
      </c>
      <c r="N3492" t="inlineStr">
        <is>
          <t>Explore_N</t>
        </is>
      </c>
      <c r="O3492" t="inlineStr">
        <is>
          <t>Novelty</t>
        </is>
      </c>
      <c r="P3492" t="inlineStr">
        <is>
          <t>STATE</t>
        </is>
      </c>
      <c r="Q3492" t="n">
        <v>194.333</v>
      </c>
      <c r="R3492" t="n">
        <v>196.333</v>
      </c>
      <c r="S3492" t="n">
        <v>2</v>
      </c>
      <c r="T3492" t="inlineStr">
        <is>
          <t>C:/Users/manuel.felline/Documents/BEHAVIOR BTBR/NOR second cohort/BTBR/test/c16_f5.mp4</t>
        </is>
      </c>
      <c r="U3492" t="n">
        <v>6081</v>
      </c>
      <c r="V3492" t="n">
        <v>6141</v>
      </c>
      <c r="W3492" t="n">
        <v/>
      </c>
      <c r="X3492" t="n">
        <v/>
      </c>
      <c r="Y3492" t="n">
        <v/>
      </c>
      <c r="Z3492" t="n">
        <v/>
      </c>
      <c r="AA3492">
        <f>SUMIFS($S$2:S3492,$A$2:A3492,A3492,$N$2:N3492,"Explore*")</f>
        <v/>
      </c>
      <c r="AB3492">
        <f>IF(AND(LEFT(N3492,7)="Explore",(AA3492-IF(LEFT(N3492,7)="Explore",S3492,0))&lt;10),"SI","NO")</f>
        <v/>
      </c>
    </row>
    <row r="3493">
      <c r="A3493" t="inlineStr">
        <is>
          <t>c16f5_test</t>
        </is>
      </c>
      <c r="B3493" t="inlineStr">
        <is>
          <t>2026-06-30 16:46:32.322</t>
        </is>
      </c>
      <c r="C3493" t="n">
        <v/>
      </c>
      <c r="D3493" t="inlineStr">
        <is>
          <t>Media file</t>
        </is>
      </c>
      <c r="E3493" t="inlineStr">
        <is>
          <t>player #1:C:/Users/manuel.felline/Documents/BEHAVIOR BTBR/NOR second cohort/BTBR/test/c16_f5.mp4</t>
        </is>
      </c>
      <c r="F3493" t="n">
        <v>-9.199999999999999</v>
      </c>
      <c r="G3493" t="n">
        <v>563.499</v>
      </c>
      <c r="H3493" t="n">
        <v>620.7329999999999</v>
      </c>
      <c r="I3493" t="n">
        <v>30</v>
      </c>
      <c r="J3493" t="inlineStr">
        <is>
          <t>BTBR</t>
        </is>
      </c>
      <c r="K3493" t="inlineStr">
        <is>
          <t xml:space="preserve"> Female</t>
        </is>
      </c>
      <c r="L3493" t="inlineStr">
        <is>
          <t>No focal subject</t>
        </is>
      </c>
      <c r="M3493" t="n">
        <v>56.9</v>
      </c>
      <c r="N3493" t="inlineStr">
        <is>
          <t>Explore_N</t>
        </is>
      </c>
      <c r="O3493" t="inlineStr">
        <is>
          <t>Novelty</t>
        </is>
      </c>
      <c r="P3493" t="inlineStr">
        <is>
          <t>STATE</t>
        </is>
      </c>
      <c r="Q3493" t="n">
        <v>209.133</v>
      </c>
      <c r="R3493" t="n">
        <v>209.433</v>
      </c>
      <c r="S3493" t="n">
        <v>0.3</v>
      </c>
      <c r="T3493" t="inlineStr">
        <is>
          <t>C:/Users/manuel.felline/Documents/BEHAVIOR BTBR/NOR second cohort/BTBR/test/c16_f5.mp4</t>
        </is>
      </c>
      <c r="U3493" t="n">
        <v>6523</v>
      </c>
      <c r="V3493" t="n">
        <v>6532</v>
      </c>
      <c r="W3493" t="n">
        <v/>
      </c>
      <c r="X3493" t="n">
        <v/>
      </c>
      <c r="Y3493" t="n">
        <v/>
      </c>
      <c r="Z3493" t="n">
        <v/>
      </c>
      <c r="AA3493">
        <f>SUMIFS($S$2:S3493,$A$2:A3493,A3493,$N$2:N3493,"Explore*")</f>
        <v/>
      </c>
      <c r="AB3493">
        <f>IF(AND(LEFT(N3493,7)="Explore",(AA3493-IF(LEFT(N3493,7)="Explore",S3493,0))&lt;10),"SI","NO")</f>
        <v/>
      </c>
    </row>
    <row r="3494">
      <c r="A3494" t="inlineStr">
        <is>
          <t>c16f5_test</t>
        </is>
      </c>
      <c r="B3494" t="inlineStr">
        <is>
          <t>2026-06-30 16:46:32.322</t>
        </is>
      </c>
      <c r="C3494" t="n">
        <v/>
      </c>
      <c r="D3494" t="inlineStr">
        <is>
          <t>Media file</t>
        </is>
      </c>
      <c r="E3494" t="inlineStr">
        <is>
          <t>player #1:C:/Users/manuel.felline/Documents/BEHAVIOR BTBR/NOR second cohort/BTBR/test/c16_f5.mp4</t>
        </is>
      </c>
      <c r="F3494" t="n">
        <v>-9.199999999999999</v>
      </c>
      <c r="G3494" t="n">
        <v>563.499</v>
      </c>
      <c r="H3494" t="n">
        <v>620.7329999999999</v>
      </c>
      <c r="I3494" t="n">
        <v>30</v>
      </c>
      <c r="J3494" t="inlineStr">
        <is>
          <t>BTBR</t>
        </is>
      </c>
      <c r="K3494" t="inlineStr">
        <is>
          <t xml:space="preserve"> Female</t>
        </is>
      </c>
      <c r="L3494" t="inlineStr">
        <is>
          <t>No focal subject</t>
        </is>
      </c>
      <c r="M3494" t="n">
        <v>56.9</v>
      </c>
      <c r="N3494" t="inlineStr">
        <is>
          <t>Explore_N</t>
        </is>
      </c>
      <c r="O3494" t="inlineStr">
        <is>
          <t>Novelty</t>
        </is>
      </c>
      <c r="P3494" t="inlineStr">
        <is>
          <t>STATE</t>
        </is>
      </c>
      <c r="Q3494" t="n">
        <v>213.166</v>
      </c>
      <c r="R3494" t="n">
        <v>214.3</v>
      </c>
      <c r="S3494" t="n">
        <v>1.134</v>
      </c>
      <c r="T3494" t="inlineStr">
        <is>
          <t>C:/Users/manuel.felline/Documents/BEHAVIOR BTBR/NOR second cohort/BTBR/test/c16_f5.mp4</t>
        </is>
      </c>
      <c r="U3494" t="n">
        <v>6643</v>
      </c>
      <c r="V3494" t="n">
        <v>6677</v>
      </c>
      <c r="W3494" t="n">
        <v/>
      </c>
      <c r="X3494" t="n">
        <v/>
      </c>
      <c r="Y3494" t="n">
        <v/>
      </c>
      <c r="Z3494" t="n">
        <v/>
      </c>
      <c r="AA3494">
        <f>SUMIFS($S$2:S3494,$A$2:A3494,A3494,$N$2:N3494,"Explore*")</f>
        <v/>
      </c>
      <c r="AB3494">
        <f>IF(AND(LEFT(N3494,7)="Explore",(AA3494-IF(LEFT(N3494,7)="Explore",S3494,0))&lt;10),"SI","NO")</f>
        <v/>
      </c>
    </row>
    <row r="3495">
      <c r="A3495" t="inlineStr">
        <is>
          <t>c16f5_test</t>
        </is>
      </c>
      <c r="B3495" t="inlineStr">
        <is>
          <t>2026-06-30 16:46:32.322</t>
        </is>
      </c>
      <c r="C3495" t="n">
        <v/>
      </c>
      <c r="D3495" t="inlineStr">
        <is>
          <t>Media file</t>
        </is>
      </c>
      <c r="E3495" t="inlineStr">
        <is>
          <t>player #1:C:/Users/manuel.felline/Documents/BEHAVIOR BTBR/NOR second cohort/BTBR/test/c16_f5.mp4</t>
        </is>
      </c>
      <c r="F3495" t="n">
        <v>-9.199999999999999</v>
      </c>
      <c r="G3495" t="n">
        <v>563.499</v>
      </c>
      <c r="H3495" t="n">
        <v>620.7329999999999</v>
      </c>
      <c r="I3495" t="n">
        <v>30</v>
      </c>
      <c r="J3495" t="inlineStr">
        <is>
          <t>BTBR</t>
        </is>
      </c>
      <c r="K3495" t="inlineStr">
        <is>
          <t xml:space="preserve"> Female</t>
        </is>
      </c>
      <c r="L3495" t="inlineStr">
        <is>
          <t>No focal subject</t>
        </is>
      </c>
      <c r="M3495" t="n">
        <v>56.9</v>
      </c>
      <c r="N3495" t="inlineStr">
        <is>
          <t>Explore_N</t>
        </is>
      </c>
      <c r="O3495" t="inlineStr">
        <is>
          <t>Novelty</t>
        </is>
      </c>
      <c r="P3495" t="inlineStr">
        <is>
          <t>STATE</t>
        </is>
      </c>
      <c r="Q3495" t="n">
        <v>217.033</v>
      </c>
      <c r="R3495" t="n">
        <v>218.7</v>
      </c>
      <c r="S3495" t="n">
        <v>1.667</v>
      </c>
      <c r="T3495" t="inlineStr">
        <is>
          <t>C:/Users/manuel.felline/Documents/BEHAVIOR BTBR/NOR second cohort/BTBR/test/c16_f5.mp4</t>
        </is>
      </c>
      <c r="U3495" t="n">
        <v>6759</v>
      </c>
      <c r="V3495" t="n">
        <v>6809</v>
      </c>
      <c r="W3495" t="n">
        <v/>
      </c>
      <c r="X3495" t="n">
        <v/>
      </c>
      <c r="Y3495" t="n">
        <v/>
      </c>
      <c r="Z3495" t="n">
        <v/>
      </c>
      <c r="AA3495">
        <f>SUMIFS($S$2:S3495,$A$2:A3495,A3495,$N$2:N3495,"Explore*")</f>
        <v/>
      </c>
      <c r="AB3495">
        <f>IF(AND(LEFT(N3495,7)="Explore",(AA3495-IF(LEFT(N3495,7)="Explore",S3495,0))&lt;10),"SI","NO")</f>
        <v/>
      </c>
    </row>
    <row r="3496">
      <c r="A3496" t="inlineStr">
        <is>
          <t>c16f5_test</t>
        </is>
      </c>
      <c r="B3496" t="inlineStr">
        <is>
          <t>2026-06-30 16:46:32.322</t>
        </is>
      </c>
      <c r="C3496" t="n">
        <v/>
      </c>
      <c r="D3496" t="inlineStr">
        <is>
          <t>Media file</t>
        </is>
      </c>
      <c r="E3496" t="inlineStr">
        <is>
          <t>player #1:C:/Users/manuel.felline/Documents/BEHAVIOR BTBR/NOR second cohort/BTBR/test/c16_f5.mp4</t>
        </is>
      </c>
      <c r="F3496" t="n">
        <v>-9.199999999999999</v>
      </c>
      <c r="G3496" t="n">
        <v>563.499</v>
      </c>
      <c r="H3496" t="n">
        <v>620.7329999999999</v>
      </c>
      <c r="I3496" t="n">
        <v>30</v>
      </c>
      <c r="J3496" t="inlineStr">
        <is>
          <t>BTBR</t>
        </is>
      </c>
      <c r="K3496" t="inlineStr">
        <is>
          <t xml:space="preserve"> Female</t>
        </is>
      </c>
      <c r="L3496" t="inlineStr">
        <is>
          <t>No focal subject</t>
        </is>
      </c>
      <c r="M3496" t="n">
        <v>56.9</v>
      </c>
      <c r="N3496" t="inlineStr">
        <is>
          <t>Explore_F</t>
        </is>
      </c>
      <c r="O3496" t="inlineStr">
        <is>
          <t>Familiar</t>
        </is>
      </c>
      <c r="P3496" t="inlineStr">
        <is>
          <t>STATE</t>
        </is>
      </c>
      <c r="Q3496" t="n">
        <v>220.9</v>
      </c>
      <c r="R3496" t="n">
        <v>221.266</v>
      </c>
      <c r="S3496" t="n">
        <v>0.366</v>
      </c>
      <c r="T3496" t="inlineStr">
        <is>
          <t>C:/Users/manuel.felline/Documents/BEHAVIOR BTBR/NOR second cohort/BTBR/test/c16_f5.mp4</t>
        </is>
      </c>
      <c r="U3496" t="n">
        <v>6874</v>
      </c>
      <c r="V3496" t="n">
        <v>6885</v>
      </c>
      <c r="W3496" t="n">
        <v/>
      </c>
      <c r="X3496" t="n">
        <v/>
      </c>
      <c r="Y3496" t="n">
        <v/>
      </c>
      <c r="Z3496" t="n">
        <v/>
      </c>
      <c r="AA3496">
        <f>SUMIFS($S$2:S3496,$A$2:A3496,A3496,$N$2:N3496,"Explore*")</f>
        <v/>
      </c>
      <c r="AB3496">
        <f>IF(AND(LEFT(N3496,7)="Explore",(AA3496-IF(LEFT(N3496,7)="Explore",S3496,0))&lt;10),"SI","NO")</f>
        <v/>
      </c>
    </row>
    <row r="3497">
      <c r="A3497" t="inlineStr">
        <is>
          <t>c16f5_test</t>
        </is>
      </c>
      <c r="B3497" t="inlineStr">
        <is>
          <t>2026-06-30 16:46:32.322</t>
        </is>
      </c>
      <c r="C3497" t="n">
        <v/>
      </c>
      <c r="D3497" t="inlineStr">
        <is>
          <t>Media file</t>
        </is>
      </c>
      <c r="E3497" t="inlineStr">
        <is>
          <t>player #1:C:/Users/manuel.felline/Documents/BEHAVIOR BTBR/NOR second cohort/BTBR/test/c16_f5.mp4</t>
        </is>
      </c>
      <c r="F3497" t="n">
        <v>-9.199999999999999</v>
      </c>
      <c r="G3497" t="n">
        <v>563.499</v>
      </c>
      <c r="H3497" t="n">
        <v>620.7329999999999</v>
      </c>
      <c r="I3497" t="n">
        <v>30</v>
      </c>
      <c r="J3497" t="inlineStr">
        <is>
          <t>BTBR</t>
        </is>
      </c>
      <c r="K3497" t="inlineStr">
        <is>
          <t xml:space="preserve"> Female</t>
        </is>
      </c>
      <c r="L3497" t="inlineStr">
        <is>
          <t>No focal subject</t>
        </is>
      </c>
      <c r="M3497" t="n">
        <v>56.9</v>
      </c>
      <c r="N3497" t="inlineStr">
        <is>
          <t>Explore_F</t>
        </is>
      </c>
      <c r="O3497" t="inlineStr">
        <is>
          <t>Familiar</t>
        </is>
      </c>
      <c r="P3497" t="inlineStr">
        <is>
          <t>STATE</t>
        </is>
      </c>
      <c r="Q3497" t="n">
        <v>232.633</v>
      </c>
      <c r="R3497" t="n">
        <v>232.966</v>
      </c>
      <c r="S3497" t="n">
        <v>0.333</v>
      </c>
      <c r="T3497" t="inlineStr">
        <is>
          <t>C:/Users/manuel.felline/Documents/BEHAVIOR BTBR/NOR second cohort/BTBR/test/c16_f5.mp4</t>
        </is>
      </c>
      <c r="U3497" t="n">
        <v>7225</v>
      </c>
      <c r="V3497" t="n">
        <v>7235</v>
      </c>
      <c r="W3497" t="n">
        <v/>
      </c>
      <c r="X3497" t="n">
        <v/>
      </c>
      <c r="Y3497" t="n">
        <v/>
      </c>
      <c r="Z3497" t="n">
        <v/>
      </c>
      <c r="AA3497">
        <f>SUMIFS($S$2:S3497,$A$2:A3497,A3497,$N$2:N3497,"Explore*")</f>
        <v/>
      </c>
      <c r="AB3497">
        <f>IF(AND(LEFT(N3497,7)="Explore",(AA3497-IF(LEFT(N3497,7)="Explore",S3497,0))&lt;10),"SI","NO")</f>
        <v/>
      </c>
    </row>
    <row r="3498">
      <c r="A3498" t="inlineStr">
        <is>
          <t>c16f5_test</t>
        </is>
      </c>
      <c r="B3498" t="inlineStr">
        <is>
          <t>2026-06-30 16:46:32.322</t>
        </is>
      </c>
      <c r="C3498" t="n">
        <v/>
      </c>
      <c r="D3498" t="inlineStr">
        <is>
          <t>Media file</t>
        </is>
      </c>
      <c r="E3498" t="inlineStr">
        <is>
          <t>player #1:C:/Users/manuel.felline/Documents/BEHAVIOR BTBR/NOR second cohort/BTBR/test/c16_f5.mp4</t>
        </is>
      </c>
      <c r="F3498" t="n">
        <v>-9.199999999999999</v>
      </c>
      <c r="G3498" t="n">
        <v>563.499</v>
      </c>
      <c r="H3498" t="n">
        <v>620.7329999999999</v>
      </c>
      <c r="I3498" t="n">
        <v>30</v>
      </c>
      <c r="J3498" t="inlineStr">
        <is>
          <t>BTBR</t>
        </is>
      </c>
      <c r="K3498" t="inlineStr">
        <is>
          <t xml:space="preserve"> Female</t>
        </is>
      </c>
      <c r="L3498" t="inlineStr">
        <is>
          <t>No focal subject</t>
        </is>
      </c>
      <c r="M3498" t="n">
        <v>56.9</v>
      </c>
      <c r="N3498" t="inlineStr">
        <is>
          <t>Explore_N</t>
        </is>
      </c>
      <c r="O3498" t="inlineStr">
        <is>
          <t>Novelty</t>
        </is>
      </c>
      <c r="P3498" t="inlineStr">
        <is>
          <t>STATE</t>
        </is>
      </c>
      <c r="Q3498" t="n">
        <v>247.766</v>
      </c>
      <c r="R3498" t="n">
        <v>249.2</v>
      </c>
      <c r="S3498" t="n">
        <v>1.434</v>
      </c>
      <c r="T3498" t="inlineStr">
        <is>
          <t>C:/Users/manuel.felline/Documents/BEHAVIOR BTBR/NOR second cohort/BTBR/test/c16_f5.mp4</t>
        </is>
      </c>
      <c r="U3498" t="n">
        <v>7677</v>
      </c>
      <c r="V3498" t="n">
        <v>7720</v>
      </c>
      <c r="W3498" t="n">
        <v/>
      </c>
      <c r="X3498" t="n">
        <v/>
      </c>
      <c r="Y3498" t="n">
        <v/>
      </c>
      <c r="Z3498" t="n">
        <v/>
      </c>
      <c r="AA3498">
        <f>SUMIFS($S$2:S3498,$A$2:A3498,A3498,$N$2:N3498,"Explore*")</f>
        <v/>
      </c>
      <c r="AB3498">
        <f>IF(AND(LEFT(N3498,7)="Explore",(AA3498-IF(LEFT(N3498,7)="Explore",S3498,0))&lt;10),"SI","NO")</f>
        <v/>
      </c>
    </row>
    <row r="3499">
      <c r="A3499" t="inlineStr">
        <is>
          <t>c16f5_test</t>
        </is>
      </c>
      <c r="B3499" t="inlineStr">
        <is>
          <t>2026-06-30 16:46:32.322</t>
        </is>
      </c>
      <c r="C3499" t="n">
        <v/>
      </c>
      <c r="D3499" t="inlineStr">
        <is>
          <t>Media file</t>
        </is>
      </c>
      <c r="E3499" t="inlineStr">
        <is>
          <t>player #1:C:/Users/manuel.felline/Documents/BEHAVIOR BTBR/NOR second cohort/BTBR/test/c16_f5.mp4</t>
        </is>
      </c>
      <c r="F3499" t="n">
        <v>-9.199999999999999</v>
      </c>
      <c r="G3499" t="n">
        <v>563.499</v>
      </c>
      <c r="H3499" t="n">
        <v>620.7329999999999</v>
      </c>
      <c r="I3499" t="n">
        <v>30</v>
      </c>
      <c r="J3499" t="inlineStr">
        <is>
          <t>BTBR</t>
        </is>
      </c>
      <c r="K3499" t="inlineStr">
        <is>
          <t xml:space="preserve"> Female</t>
        </is>
      </c>
      <c r="L3499" t="inlineStr">
        <is>
          <t>No focal subject</t>
        </is>
      </c>
      <c r="M3499" t="n">
        <v>56.9</v>
      </c>
      <c r="N3499" t="inlineStr">
        <is>
          <t>Explore_F</t>
        </is>
      </c>
      <c r="O3499" t="inlineStr">
        <is>
          <t>Familiar</t>
        </is>
      </c>
      <c r="P3499" t="inlineStr">
        <is>
          <t>STATE</t>
        </is>
      </c>
      <c r="Q3499" t="n">
        <v>267.333</v>
      </c>
      <c r="R3499" t="n">
        <v>267.866</v>
      </c>
      <c r="S3499" t="n">
        <v>0.533</v>
      </c>
      <c r="T3499" t="inlineStr">
        <is>
          <t>C:/Users/manuel.felline/Documents/BEHAVIOR BTBR/NOR second cohort/BTBR/test/c16_f5.mp4</t>
        </is>
      </c>
      <c r="U3499" t="n">
        <v>8262</v>
      </c>
      <c r="V3499" t="n">
        <v>8278</v>
      </c>
      <c r="W3499" t="n">
        <v/>
      </c>
      <c r="X3499" t="n">
        <v/>
      </c>
      <c r="Y3499" t="n">
        <v/>
      </c>
      <c r="Z3499" t="n">
        <v/>
      </c>
      <c r="AA3499">
        <f>SUMIFS($S$2:S3499,$A$2:A3499,A3499,$N$2:N3499,"Explore*")</f>
        <v/>
      </c>
      <c r="AB3499">
        <f>IF(AND(LEFT(N3499,7)="Explore",(AA3499-IF(LEFT(N3499,7)="Explore",S3499,0))&lt;10),"SI","NO")</f>
        <v/>
      </c>
    </row>
    <row r="3500">
      <c r="A3500" t="inlineStr">
        <is>
          <t>c16f5_test</t>
        </is>
      </c>
      <c r="B3500" t="inlineStr">
        <is>
          <t>2026-06-30 16:46:32.322</t>
        </is>
      </c>
      <c r="C3500" t="n">
        <v/>
      </c>
      <c r="D3500" t="inlineStr">
        <is>
          <t>Media file</t>
        </is>
      </c>
      <c r="E3500" t="inlineStr">
        <is>
          <t>player #1:C:/Users/manuel.felline/Documents/BEHAVIOR BTBR/NOR second cohort/BTBR/test/c16_f5.mp4</t>
        </is>
      </c>
      <c r="F3500" t="n">
        <v>-9.199999999999999</v>
      </c>
      <c r="G3500" t="n">
        <v>563.499</v>
      </c>
      <c r="H3500" t="n">
        <v>620.7329999999999</v>
      </c>
      <c r="I3500" t="n">
        <v>30</v>
      </c>
      <c r="J3500" t="inlineStr">
        <is>
          <t>BTBR</t>
        </is>
      </c>
      <c r="K3500" t="inlineStr">
        <is>
          <t xml:space="preserve"> Female</t>
        </is>
      </c>
      <c r="L3500" t="inlineStr">
        <is>
          <t>No focal subject</t>
        </is>
      </c>
      <c r="M3500" t="n">
        <v>56.9</v>
      </c>
      <c r="N3500" t="inlineStr">
        <is>
          <t>Explore_F</t>
        </is>
      </c>
      <c r="O3500" t="inlineStr">
        <is>
          <t>Familiar</t>
        </is>
      </c>
      <c r="P3500" t="inlineStr">
        <is>
          <t>STATE</t>
        </is>
      </c>
      <c r="Q3500" t="n">
        <v>280.433</v>
      </c>
      <c r="R3500" t="n">
        <v>280.733</v>
      </c>
      <c r="S3500" t="n">
        <v>0.3</v>
      </c>
      <c r="T3500" t="inlineStr">
        <is>
          <t>C:/Users/manuel.felline/Documents/BEHAVIOR BTBR/NOR second cohort/BTBR/test/c16_f5.mp4</t>
        </is>
      </c>
      <c r="U3500" t="n">
        <v>8653</v>
      </c>
      <c r="V3500" t="n">
        <v>8662</v>
      </c>
      <c r="W3500" t="n">
        <v/>
      </c>
      <c r="X3500" t="n">
        <v/>
      </c>
      <c r="Y3500" t="n">
        <v/>
      </c>
      <c r="Z3500" t="n">
        <v/>
      </c>
      <c r="AA3500">
        <f>SUMIFS($S$2:S3500,$A$2:A3500,A3500,$N$2:N3500,"Explore*")</f>
        <v/>
      </c>
      <c r="AB3500">
        <f>IF(AND(LEFT(N3500,7)="Explore",(AA3500-IF(LEFT(N3500,7)="Explore",S3500,0))&lt;10),"SI","NO")</f>
        <v/>
      </c>
    </row>
    <row r="3501">
      <c r="A3501" t="inlineStr">
        <is>
          <t>c16f5_test</t>
        </is>
      </c>
      <c r="B3501" t="inlineStr">
        <is>
          <t>2026-06-30 16:46:32.322</t>
        </is>
      </c>
      <c r="C3501" t="n">
        <v/>
      </c>
      <c r="D3501" t="inlineStr">
        <is>
          <t>Media file</t>
        </is>
      </c>
      <c r="E3501" t="inlineStr">
        <is>
          <t>player #1:C:/Users/manuel.felline/Documents/BEHAVIOR BTBR/NOR second cohort/BTBR/test/c16_f5.mp4</t>
        </is>
      </c>
      <c r="F3501" t="n">
        <v>-9.199999999999999</v>
      </c>
      <c r="G3501" t="n">
        <v>563.499</v>
      </c>
      <c r="H3501" t="n">
        <v>620.7329999999999</v>
      </c>
      <c r="I3501" t="n">
        <v>30</v>
      </c>
      <c r="J3501" t="inlineStr">
        <is>
          <t>BTBR</t>
        </is>
      </c>
      <c r="K3501" t="inlineStr">
        <is>
          <t xml:space="preserve"> Female</t>
        </is>
      </c>
      <c r="L3501" t="inlineStr">
        <is>
          <t>No focal subject</t>
        </is>
      </c>
      <c r="M3501" t="n">
        <v>56.9</v>
      </c>
      <c r="N3501" t="inlineStr">
        <is>
          <t>Explore_N</t>
        </is>
      </c>
      <c r="O3501" t="inlineStr">
        <is>
          <t>Novelty</t>
        </is>
      </c>
      <c r="P3501" t="inlineStr">
        <is>
          <t>STATE</t>
        </is>
      </c>
      <c r="Q3501" t="n">
        <v>289.5</v>
      </c>
      <c r="R3501" t="n">
        <v>293.933</v>
      </c>
      <c r="S3501" t="n">
        <v>4.433</v>
      </c>
      <c r="T3501" t="inlineStr">
        <is>
          <t>C:/Users/manuel.felline/Documents/BEHAVIOR BTBR/NOR second cohort/BTBR/test/c16_f5.mp4</t>
        </is>
      </c>
      <c r="U3501" t="n">
        <v>8924</v>
      </c>
      <c r="V3501" t="n">
        <v>9056</v>
      </c>
      <c r="W3501" t="n">
        <v/>
      </c>
      <c r="X3501" t="n">
        <v/>
      </c>
      <c r="Y3501" t="n">
        <v/>
      </c>
      <c r="Z3501" t="n">
        <v/>
      </c>
      <c r="AA3501">
        <f>SUMIFS($S$2:S3501,$A$2:A3501,A3501,$N$2:N3501,"Explore*")</f>
        <v/>
      </c>
      <c r="AB3501">
        <f>IF(AND(LEFT(N3501,7)="Explore",(AA3501-IF(LEFT(N3501,7)="Explore",S3501,0))&lt;10),"SI","NO")</f>
        <v/>
      </c>
    </row>
    <row r="3502">
      <c r="A3502" t="inlineStr">
        <is>
          <t>c16f5_test</t>
        </is>
      </c>
      <c r="B3502" t="inlineStr">
        <is>
          <t>2026-06-30 16:46:32.322</t>
        </is>
      </c>
      <c r="C3502" t="n">
        <v/>
      </c>
      <c r="D3502" t="inlineStr">
        <is>
          <t>Media file</t>
        </is>
      </c>
      <c r="E3502" t="inlineStr">
        <is>
          <t>player #1:C:/Users/manuel.felline/Documents/BEHAVIOR BTBR/NOR second cohort/BTBR/test/c16_f5.mp4</t>
        </is>
      </c>
      <c r="F3502" t="n">
        <v>-9.199999999999999</v>
      </c>
      <c r="G3502" t="n">
        <v>563.499</v>
      </c>
      <c r="H3502" t="n">
        <v>620.7329999999999</v>
      </c>
      <c r="I3502" t="n">
        <v>30</v>
      </c>
      <c r="J3502" t="inlineStr">
        <is>
          <t>BTBR</t>
        </is>
      </c>
      <c r="K3502" t="inlineStr">
        <is>
          <t xml:space="preserve"> Female</t>
        </is>
      </c>
      <c r="L3502" t="inlineStr">
        <is>
          <t>No focal subject</t>
        </is>
      </c>
      <c r="M3502" t="n">
        <v>56.9</v>
      </c>
      <c r="N3502" t="inlineStr">
        <is>
          <t>Explore_F</t>
        </is>
      </c>
      <c r="O3502" t="inlineStr">
        <is>
          <t>Familiar</t>
        </is>
      </c>
      <c r="P3502" t="inlineStr">
        <is>
          <t>STATE</t>
        </is>
      </c>
      <c r="Q3502" t="n">
        <v>294.533</v>
      </c>
      <c r="R3502" t="n">
        <v>295.066</v>
      </c>
      <c r="S3502" t="n">
        <v>0.533</v>
      </c>
      <c r="T3502" t="inlineStr">
        <is>
          <t>C:/Users/manuel.felline/Documents/BEHAVIOR BTBR/NOR second cohort/BTBR/test/c16_f5.mp4</t>
        </is>
      </c>
      <c r="U3502" t="n">
        <v>9074</v>
      </c>
      <c r="V3502" t="n">
        <v>9090</v>
      </c>
      <c r="W3502" t="n">
        <v/>
      </c>
      <c r="X3502" t="n">
        <v/>
      </c>
      <c r="Y3502" t="n">
        <v/>
      </c>
      <c r="Z3502" t="n">
        <v/>
      </c>
      <c r="AA3502">
        <f>SUMIFS($S$2:S3502,$A$2:A3502,A3502,$N$2:N3502,"Explore*")</f>
        <v/>
      </c>
      <c r="AB3502">
        <f>IF(AND(LEFT(N3502,7)="Explore",(AA3502-IF(LEFT(N3502,7)="Explore",S3502,0))&lt;10),"SI","NO")</f>
        <v/>
      </c>
    </row>
    <row r="3503">
      <c r="A3503" t="inlineStr">
        <is>
          <t>c16f5_test</t>
        </is>
      </c>
      <c r="B3503" t="inlineStr">
        <is>
          <t>2026-06-30 16:46:32.322</t>
        </is>
      </c>
      <c r="C3503" t="n">
        <v/>
      </c>
      <c r="D3503" t="inlineStr">
        <is>
          <t>Media file</t>
        </is>
      </c>
      <c r="E3503" t="inlineStr">
        <is>
          <t>player #1:C:/Users/manuel.felline/Documents/BEHAVIOR BTBR/NOR second cohort/BTBR/test/c16_f5.mp4</t>
        </is>
      </c>
      <c r="F3503" t="n">
        <v>-9.199999999999999</v>
      </c>
      <c r="G3503" t="n">
        <v>563.499</v>
      </c>
      <c r="H3503" t="n">
        <v>620.7329999999999</v>
      </c>
      <c r="I3503" t="n">
        <v>30</v>
      </c>
      <c r="J3503" t="inlineStr">
        <is>
          <t>BTBR</t>
        </is>
      </c>
      <c r="K3503" t="inlineStr">
        <is>
          <t xml:space="preserve"> Female</t>
        </is>
      </c>
      <c r="L3503" t="inlineStr">
        <is>
          <t>No focal subject</t>
        </is>
      </c>
      <c r="M3503" t="n">
        <v>56.9</v>
      </c>
      <c r="N3503" t="inlineStr">
        <is>
          <t>Explore_N</t>
        </is>
      </c>
      <c r="O3503" t="inlineStr">
        <is>
          <t>Novelty</t>
        </is>
      </c>
      <c r="P3503" t="inlineStr">
        <is>
          <t>STATE</t>
        </is>
      </c>
      <c r="Q3503" t="n">
        <v>299.933</v>
      </c>
      <c r="R3503" t="n">
        <v>301.733</v>
      </c>
      <c r="S3503" t="n">
        <v>1.8</v>
      </c>
      <c r="T3503" t="inlineStr">
        <is>
          <t>C:/Users/manuel.felline/Documents/BEHAVIOR BTBR/NOR second cohort/BTBR/test/c16_f5.mp4</t>
        </is>
      </c>
      <c r="U3503" t="n">
        <v>9236</v>
      </c>
      <c r="V3503" t="n">
        <v>9289</v>
      </c>
      <c r="W3503" t="n">
        <v/>
      </c>
      <c r="X3503" t="n">
        <v/>
      </c>
      <c r="Y3503" t="n">
        <v/>
      </c>
      <c r="Z3503" t="n">
        <v/>
      </c>
      <c r="AA3503">
        <f>SUMIFS($S$2:S3503,$A$2:A3503,A3503,$N$2:N3503,"Explore*")</f>
        <v/>
      </c>
      <c r="AB3503">
        <f>IF(AND(LEFT(N3503,7)="Explore",(AA3503-IF(LEFT(N3503,7)="Explore",S3503,0))&lt;10),"SI","NO")</f>
        <v/>
      </c>
    </row>
    <row r="3504">
      <c r="A3504" t="inlineStr">
        <is>
          <t>c16f5_test</t>
        </is>
      </c>
      <c r="B3504" t="inlineStr">
        <is>
          <t>2026-06-30 16:46:32.322</t>
        </is>
      </c>
      <c r="C3504" t="n">
        <v/>
      </c>
      <c r="D3504" t="inlineStr">
        <is>
          <t>Media file</t>
        </is>
      </c>
      <c r="E3504" t="inlineStr">
        <is>
          <t>player #1:C:/Users/manuel.felline/Documents/BEHAVIOR BTBR/NOR second cohort/BTBR/test/c16_f5.mp4</t>
        </is>
      </c>
      <c r="F3504" t="n">
        <v>-9.199999999999999</v>
      </c>
      <c r="G3504" t="n">
        <v>563.499</v>
      </c>
      <c r="H3504" t="n">
        <v>620.7329999999999</v>
      </c>
      <c r="I3504" t="n">
        <v>30</v>
      </c>
      <c r="J3504" t="inlineStr">
        <is>
          <t>BTBR</t>
        </is>
      </c>
      <c r="K3504" t="inlineStr">
        <is>
          <t xml:space="preserve"> Female</t>
        </is>
      </c>
      <c r="L3504" t="inlineStr">
        <is>
          <t>No focal subject</t>
        </is>
      </c>
      <c r="M3504" t="n">
        <v>56.9</v>
      </c>
      <c r="N3504" t="inlineStr">
        <is>
          <t>Explore_F</t>
        </is>
      </c>
      <c r="O3504" t="inlineStr">
        <is>
          <t>Familiar</t>
        </is>
      </c>
      <c r="P3504" t="inlineStr">
        <is>
          <t>STATE</t>
        </is>
      </c>
      <c r="Q3504" t="n">
        <v>340.166</v>
      </c>
      <c r="R3504" t="n">
        <v>340.533</v>
      </c>
      <c r="S3504" t="n">
        <v>0.367</v>
      </c>
      <c r="T3504" t="inlineStr">
        <is>
          <t>C:/Users/manuel.felline/Documents/BEHAVIOR BTBR/NOR second cohort/BTBR/test/c16_f5.mp4</t>
        </is>
      </c>
      <c r="U3504" t="n">
        <v>10438</v>
      </c>
      <c r="V3504" t="n">
        <v>10449</v>
      </c>
      <c r="W3504" t="n">
        <v/>
      </c>
      <c r="X3504" t="n">
        <v/>
      </c>
      <c r="Y3504" t="n">
        <v/>
      </c>
      <c r="Z3504" t="n">
        <v/>
      </c>
      <c r="AA3504">
        <f>SUMIFS($S$2:S3504,$A$2:A3504,A3504,$N$2:N3504,"Explore*")</f>
        <v/>
      </c>
      <c r="AB3504">
        <f>IF(AND(LEFT(N3504,7)="Explore",(AA3504-IF(LEFT(N3504,7)="Explore",S3504,0))&lt;10),"SI","NO")</f>
        <v/>
      </c>
    </row>
    <row r="3505">
      <c r="A3505" t="inlineStr">
        <is>
          <t>c16f5_test</t>
        </is>
      </c>
      <c r="B3505" t="inlineStr">
        <is>
          <t>2026-06-30 16:46:32.322</t>
        </is>
      </c>
      <c r="C3505" t="n">
        <v/>
      </c>
      <c r="D3505" t="inlineStr">
        <is>
          <t>Media file</t>
        </is>
      </c>
      <c r="E3505" t="inlineStr">
        <is>
          <t>player #1:C:/Users/manuel.felline/Documents/BEHAVIOR BTBR/NOR second cohort/BTBR/test/c16_f5.mp4</t>
        </is>
      </c>
      <c r="F3505" t="n">
        <v>-9.199999999999999</v>
      </c>
      <c r="G3505" t="n">
        <v>563.499</v>
      </c>
      <c r="H3505" t="n">
        <v>620.7329999999999</v>
      </c>
      <c r="I3505" t="n">
        <v>30</v>
      </c>
      <c r="J3505" t="inlineStr">
        <is>
          <t>BTBR</t>
        </is>
      </c>
      <c r="K3505" t="inlineStr">
        <is>
          <t xml:space="preserve"> Female</t>
        </is>
      </c>
      <c r="L3505" t="inlineStr">
        <is>
          <t>No focal subject</t>
        </is>
      </c>
      <c r="M3505" t="n">
        <v>56.9</v>
      </c>
      <c r="N3505" t="inlineStr">
        <is>
          <t>Explore_N</t>
        </is>
      </c>
      <c r="O3505" t="inlineStr">
        <is>
          <t>Novelty</t>
        </is>
      </c>
      <c r="P3505" t="inlineStr">
        <is>
          <t>STATE</t>
        </is>
      </c>
      <c r="Q3505" t="n">
        <v>345.366</v>
      </c>
      <c r="R3505" t="n">
        <v>347.133</v>
      </c>
      <c r="S3505" t="n">
        <v>1.767</v>
      </c>
      <c r="T3505" t="inlineStr">
        <is>
          <t>C:/Users/manuel.felline/Documents/BEHAVIOR BTBR/NOR second cohort/BTBR/test/c16_f5.mp4</t>
        </is>
      </c>
      <c r="U3505" t="n">
        <v>10593</v>
      </c>
      <c r="V3505" t="n">
        <v>10646</v>
      </c>
      <c r="W3505" t="n">
        <v/>
      </c>
      <c r="X3505" t="n">
        <v/>
      </c>
      <c r="Y3505" t="n">
        <v/>
      </c>
      <c r="Z3505" t="n">
        <v/>
      </c>
      <c r="AA3505">
        <f>SUMIFS($S$2:S3505,$A$2:A3505,A3505,$N$2:N3505,"Explore*")</f>
        <v/>
      </c>
      <c r="AB3505">
        <f>IF(AND(LEFT(N3505,7)="Explore",(AA3505-IF(LEFT(N3505,7)="Explore",S3505,0))&lt;10),"SI","NO")</f>
        <v/>
      </c>
    </row>
    <row r="3506">
      <c r="A3506" t="inlineStr">
        <is>
          <t>c16f5_test</t>
        </is>
      </c>
      <c r="B3506" t="inlineStr">
        <is>
          <t>2026-06-30 16:46:32.322</t>
        </is>
      </c>
      <c r="C3506" t="n">
        <v/>
      </c>
      <c r="D3506" t="inlineStr">
        <is>
          <t>Media file</t>
        </is>
      </c>
      <c r="E3506" t="inlineStr">
        <is>
          <t>player #1:C:/Users/manuel.felline/Documents/BEHAVIOR BTBR/NOR second cohort/BTBR/test/c16_f5.mp4</t>
        </is>
      </c>
      <c r="F3506" t="n">
        <v>-9.199999999999999</v>
      </c>
      <c r="G3506" t="n">
        <v>563.499</v>
      </c>
      <c r="H3506" t="n">
        <v>620.7329999999999</v>
      </c>
      <c r="I3506" t="n">
        <v>30</v>
      </c>
      <c r="J3506" t="inlineStr">
        <is>
          <t>BTBR</t>
        </is>
      </c>
      <c r="K3506" t="inlineStr">
        <is>
          <t xml:space="preserve"> Female</t>
        </is>
      </c>
      <c r="L3506" t="inlineStr">
        <is>
          <t>No focal subject</t>
        </is>
      </c>
      <c r="M3506" t="n">
        <v>56.9</v>
      </c>
      <c r="N3506" t="inlineStr">
        <is>
          <t>Explore_N</t>
        </is>
      </c>
      <c r="O3506" t="inlineStr">
        <is>
          <t>Novelty</t>
        </is>
      </c>
      <c r="P3506" t="inlineStr">
        <is>
          <t>STATE</t>
        </is>
      </c>
      <c r="Q3506" t="n">
        <v>351.433</v>
      </c>
      <c r="R3506" t="n">
        <v>352.066</v>
      </c>
      <c r="S3506" t="n">
        <v>0.633</v>
      </c>
      <c r="T3506" t="inlineStr">
        <is>
          <t>C:/Users/manuel.felline/Documents/BEHAVIOR BTBR/NOR second cohort/BTBR/test/c16_f5.mp4</t>
        </is>
      </c>
      <c r="U3506" t="n">
        <v>10774</v>
      </c>
      <c r="V3506" t="n">
        <v>10793</v>
      </c>
      <c r="W3506" t="n">
        <v/>
      </c>
      <c r="X3506" t="n">
        <v/>
      </c>
      <c r="Y3506" t="n">
        <v/>
      </c>
      <c r="Z3506" t="n">
        <v/>
      </c>
      <c r="AA3506">
        <f>SUMIFS($S$2:S3506,$A$2:A3506,A3506,$N$2:N3506,"Explore*")</f>
        <v/>
      </c>
      <c r="AB3506">
        <f>IF(AND(LEFT(N3506,7)="Explore",(AA3506-IF(LEFT(N3506,7)="Explore",S3506,0))&lt;10),"SI","NO")</f>
        <v/>
      </c>
    </row>
    <row r="3507">
      <c r="A3507" t="inlineStr">
        <is>
          <t>c16f5_test</t>
        </is>
      </c>
      <c r="B3507" t="inlineStr">
        <is>
          <t>2026-06-30 16:46:32.322</t>
        </is>
      </c>
      <c r="C3507" t="n">
        <v/>
      </c>
      <c r="D3507" t="inlineStr">
        <is>
          <t>Media file</t>
        </is>
      </c>
      <c r="E3507" t="inlineStr">
        <is>
          <t>player #1:C:/Users/manuel.felline/Documents/BEHAVIOR BTBR/NOR second cohort/BTBR/test/c16_f5.mp4</t>
        </is>
      </c>
      <c r="F3507" t="n">
        <v>-9.199999999999999</v>
      </c>
      <c r="G3507" t="n">
        <v>563.499</v>
      </c>
      <c r="H3507" t="n">
        <v>620.7329999999999</v>
      </c>
      <c r="I3507" t="n">
        <v>30</v>
      </c>
      <c r="J3507" t="inlineStr">
        <is>
          <t>BTBR</t>
        </is>
      </c>
      <c r="K3507" t="inlineStr">
        <is>
          <t xml:space="preserve"> Female</t>
        </is>
      </c>
      <c r="L3507" t="inlineStr">
        <is>
          <t>No focal subject</t>
        </is>
      </c>
      <c r="M3507" t="n">
        <v>56.9</v>
      </c>
      <c r="N3507" t="inlineStr">
        <is>
          <t>Explore_N</t>
        </is>
      </c>
      <c r="O3507" t="inlineStr">
        <is>
          <t>Novelty</t>
        </is>
      </c>
      <c r="P3507" t="inlineStr">
        <is>
          <t>STATE</t>
        </is>
      </c>
      <c r="Q3507" t="n">
        <v>364.1</v>
      </c>
      <c r="R3507" t="n">
        <v>365.466</v>
      </c>
      <c r="S3507" t="n">
        <v>1.366</v>
      </c>
      <c r="T3507" t="inlineStr">
        <is>
          <t>C:/Users/manuel.felline/Documents/BEHAVIOR BTBR/NOR second cohort/BTBR/test/c16_f5.mp4</t>
        </is>
      </c>
      <c r="U3507" t="n">
        <v>11153</v>
      </c>
      <c r="V3507" t="n">
        <v>11194</v>
      </c>
      <c r="W3507" t="n">
        <v/>
      </c>
      <c r="X3507" t="n">
        <v/>
      </c>
      <c r="Y3507" t="n">
        <v/>
      </c>
      <c r="Z3507" t="n">
        <v/>
      </c>
      <c r="AA3507">
        <f>SUMIFS($S$2:S3507,$A$2:A3507,A3507,$N$2:N3507,"Explore*")</f>
        <v/>
      </c>
      <c r="AB3507">
        <f>IF(AND(LEFT(N3507,7)="Explore",(AA3507-IF(LEFT(N3507,7)="Explore",S3507,0))&lt;10),"SI","NO")</f>
        <v/>
      </c>
    </row>
    <row r="3508">
      <c r="A3508" t="inlineStr">
        <is>
          <t>c16f5_test</t>
        </is>
      </c>
      <c r="B3508" t="inlineStr">
        <is>
          <t>2026-06-30 16:46:32.322</t>
        </is>
      </c>
      <c r="C3508" t="n">
        <v/>
      </c>
      <c r="D3508" t="inlineStr">
        <is>
          <t>Media file</t>
        </is>
      </c>
      <c r="E3508" t="inlineStr">
        <is>
          <t>player #1:C:/Users/manuel.felline/Documents/BEHAVIOR BTBR/NOR second cohort/BTBR/test/c16_f5.mp4</t>
        </is>
      </c>
      <c r="F3508" t="n">
        <v>-9.199999999999999</v>
      </c>
      <c r="G3508" t="n">
        <v>563.499</v>
      </c>
      <c r="H3508" t="n">
        <v>620.7329999999999</v>
      </c>
      <c r="I3508" t="n">
        <v>30</v>
      </c>
      <c r="J3508" t="inlineStr">
        <is>
          <t>BTBR</t>
        </is>
      </c>
      <c r="K3508" t="inlineStr">
        <is>
          <t xml:space="preserve"> Female</t>
        </is>
      </c>
      <c r="L3508" t="inlineStr">
        <is>
          <t>No focal subject</t>
        </is>
      </c>
      <c r="M3508" t="n">
        <v>56.9</v>
      </c>
      <c r="N3508" t="inlineStr">
        <is>
          <t>Explore_N</t>
        </is>
      </c>
      <c r="O3508" t="inlineStr">
        <is>
          <t>Novelty</t>
        </is>
      </c>
      <c r="P3508" t="inlineStr">
        <is>
          <t>STATE</t>
        </is>
      </c>
      <c r="Q3508" t="n">
        <v>370.8</v>
      </c>
      <c r="R3508" t="n">
        <v>371.4</v>
      </c>
      <c r="S3508" t="n">
        <v>0.6</v>
      </c>
      <c r="T3508" t="inlineStr">
        <is>
          <t>C:/Users/manuel.felline/Documents/BEHAVIOR BTBR/NOR second cohort/BTBR/test/c16_f5.mp4</t>
        </is>
      </c>
      <c r="U3508" t="n">
        <v>11353</v>
      </c>
      <c r="V3508" t="n">
        <v>11371</v>
      </c>
      <c r="W3508" t="n">
        <v/>
      </c>
      <c r="X3508" t="n">
        <v/>
      </c>
      <c r="Y3508" t="n">
        <v/>
      </c>
      <c r="Z3508" t="n">
        <v/>
      </c>
      <c r="AA3508">
        <f>SUMIFS($S$2:S3508,$A$2:A3508,A3508,$N$2:N3508,"Explore*")</f>
        <v/>
      </c>
      <c r="AB3508">
        <f>IF(AND(LEFT(N3508,7)="Explore",(AA3508-IF(LEFT(N3508,7)="Explore",S3508,0))&lt;10),"SI","NO")</f>
        <v/>
      </c>
    </row>
    <row r="3509">
      <c r="A3509" t="inlineStr">
        <is>
          <t>c16f5_test</t>
        </is>
      </c>
      <c r="B3509" t="inlineStr">
        <is>
          <t>2026-06-30 16:46:32.322</t>
        </is>
      </c>
      <c r="C3509" t="n">
        <v/>
      </c>
      <c r="D3509" t="inlineStr">
        <is>
          <t>Media file</t>
        </is>
      </c>
      <c r="E3509" t="inlineStr">
        <is>
          <t>player #1:C:/Users/manuel.felline/Documents/BEHAVIOR BTBR/NOR second cohort/BTBR/test/c16_f5.mp4</t>
        </is>
      </c>
      <c r="F3509" t="n">
        <v>-9.199999999999999</v>
      </c>
      <c r="G3509" t="n">
        <v>563.499</v>
      </c>
      <c r="H3509" t="n">
        <v>620.7329999999999</v>
      </c>
      <c r="I3509" t="n">
        <v>30</v>
      </c>
      <c r="J3509" t="inlineStr">
        <is>
          <t>BTBR</t>
        </is>
      </c>
      <c r="K3509" t="inlineStr">
        <is>
          <t xml:space="preserve"> Female</t>
        </is>
      </c>
      <c r="L3509" t="inlineStr">
        <is>
          <t>No focal subject</t>
        </is>
      </c>
      <c r="M3509" t="n">
        <v>56.9</v>
      </c>
      <c r="N3509" t="inlineStr">
        <is>
          <t>Explore_F</t>
        </is>
      </c>
      <c r="O3509" t="inlineStr">
        <is>
          <t>Familiar</t>
        </is>
      </c>
      <c r="P3509" t="inlineStr">
        <is>
          <t>STATE</t>
        </is>
      </c>
      <c r="Q3509" t="n">
        <v>381.8</v>
      </c>
      <c r="R3509" t="n">
        <v>382.833</v>
      </c>
      <c r="S3509" t="n">
        <v>1.033</v>
      </c>
      <c r="T3509" t="inlineStr">
        <is>
          <t>C:/Users/manuel.felline/Documents/BEHAVIOR BTBR/NOR second cohort/BTBR/test/c16_f5.mp4</t>
        </is>
      </c>
      <c r="U3509" t="n">
        <v>11682</v>
      </c>
      <c r="V3509" t="n">
        <v>11712</v>
      </c>
      <c r="W3509" t="n">
        <v/>
      </c>
      <c r="X3509" t="n">
        <v/>
      </c>
      <c r="Y3509" t="n">
        <v/>
      </c>
      <c r="Z3509" t="n">
        <v/>
      </c>
      <c r="AA3509">
        <f>SUMIFS($S$2:S3509,$A$2:A3509,A3509,$N$2:N3509,"Explore*")</f>
        <v/>
      </c>
      <c r="AB3509">
        <f>IF(AND(LEFT(N3509,7)="Explore",(AA3509-IF(LEFT(N3509,7)="Explore",S3509,0))&lt;10),"SI","NO")</f>
        <v/>
      </c>
    </row>
    <row r="3510">
      <c r="A3510" t="inlineStr">
        <is>
          <t>c16f5_test</t>
        </is>
      </c>
      <c r="B3510" t="inlineStr">
        <is>
          <t>2026-06-30 16:46:32.322</t>
        </is>
      </c>
      <c r="C3510" t="n">
        <v/>
      </c>
      <c r="D3510" t="inlineStr">
        <is>
          <t>Media file</t>
        </is>
      </c>
      <c r="E3510" t="inlineStr">
        <is>
          <t>player #1:C:/Users/manuel.felline/Documents/BEHAVIOR BTBR/NOR second cohort/BTBR/test/c16_f5.mp4</t>
        </is>
      </c>
      <c r="F3510" t="n">
        <v>-9.199999999999999</v>
      </c>
      <c r="G3510" t="n">
        <v>563.499</v>
      </c>
      <c r="H3510" t="n">
        <v>620.7329999999999</v>
      </c>
      <c r="I3510" t="n">
        <v>30</v>
      </c>
      <c r="J3510" t="inlineStr">
        <is>
          <t>BTBR</t>
        </is>
      </c>
      <c r="K3510" t="inlineStr">
        <is>
          <t xml:space="preserve"> Female</t>
        </is>
      </c>
      <c r="L3510" t="inlineStr">
        <is>
          <t>No focal subject</t>
        </is>
      </c>
      <c r="M3510" t="n">
        <v>56.9</v>
      </c>
      <c r="N3510" t="inlineStr">
        <is>
          <t>Explore_N</t>
        </is>
      </c>
      <c r="O3510" t="inlineStr">
        <is>
          <t>Novelty</t>
        </is>
      </c>
      <c r="P3510" t="inlineStr">
        <is>
          <t>STATE</t>
        </is>
      </c>
      <c r="Q3510" t="n">
        <v>388.266</v>
      </c>
      <c r="R3510" t="n">
        <v>389.4</v>
      </c>
      <c r="S3510" t="n">
        <v>1.134</v>
      </c>
      <c r="T3510" t="inlineStr">
        <is>
          <t>C:/Users/manuel.felline/Documents/BEHAVIOR BTBR/NOR second cohort/BTBR/test/c16_f5.mp4</t>
        </is>
      </c>
      <c r="U3510" t="n">
        <v>11875</v>
      </c>
      <c r="V3510" t="n">
        <v>11909</v>
      </c>
      <c r="W3510" t="n">
        <v/>
      </c>
      <c r="X3510" t="n">
        <v/>
      </c>
      <c r="Y3510" t="n">
        <v/>
      </c>
      <c r="Z3510" t="n">
        <v/>
      </c>
      <c r="AA3510">
        <f>SUMIFS($S$2:S3510,$A$2:A3510,A3510,$N$2:N3510,"Explore*")</f>
        <v/>
      </c>
      <c r="AB3510">
        <f>IF(AND(LEFT(N3510,7)="Explore",(AA3510-IF(LEFT(N3510,7)="Explore",S3510,0))&lt;10),"SI","NO")</f>
        <v/>
      </c>
    </row>
    <row r="3511">
      <c r="A3511" t="inlineStr">
        <is>
          <t>c16f5_test</t>
        </is>
      </c>
      <c r="B3511" t="inlineStr">
        <is>
          <t>2026-06-30 16:46:32.322</t>
        </is>
      </c>
      <c r="C3511" t="n">
        <v/>
      </c>
      <c r="D3511" t="inlineStr">
        <is>
          <t>Media file</t>
        </is>
      </c>
      <c r="E3511" t="inlineStr">
        <is>
          <t>player #1:C:/Users/manuel.felline/Documents/BEHAVIOR BTBR/NOR second cohort/BTBR/test/c16_f5.mp4</t>
        </is>
      </c>
      <c r="F3511" t="n">
        <v>-9.199999999999999</v>
      </c>
      <c r="G3511" t="n">
        <v>563.499</v>
      </c>
      <c r="H3511" t="n">
        <v>620.7329999999999</v>
      </c>
      <c r="I3511" t="n">
        <v>30</v>
      </c>
      <c r="J3511" t="inlineStr">
        <is>
          <t>BTBR</t>
        </is>
      </c>
      <c r="K3511" t="inlineStr">
        <is>
          <t xml:space="preserve"> Female</t>
        </is>
      </c>
      <c r="L3511" t="inlineStr">
        <is>
          <t>No focal subject</t>
        </is>
      </c>
      <c r="M3511" t="n">
        <v>56.9</v>
      </c>
      <c r="N3511" t="inlineStr">
        <is>
          <t>Explore_F</t>
        </is>
      </c>
      <c r="O3511" t="inlineStr">
        <is>
          <t>Familiar</t>
        </is>
      </c>
      <c r="P3511" t="inlineStr">
        <is>
          <t>STATE</t>
        </is>
      </c>
      <c r="Q3511" t="n">
        <v>428.7</v>
      </c>
      <c r="R3511" t="n">
        <v>429.166</v>
      </c>
      <c r="S3511" t="n">
        <v>0.466</v>
      </c>
      <c r="T3511" t="inlineStr">
        <is>
          <t>C:/Users/manuel.felline/Documents/BEHAVIOR BTBR/NOR second cohort/BTBR/test/c16_f5.mp4</t>
        </is>
      </c>
      <c r="U3511" t="n">
        <v>13083</v>
      </c>
      <c r="V3511" t="n">
        <v>13097</v>
      </c>
      <c r="W3511" t="n">
        <v/>
      </c>
      <c r="X3511" t="n">
        <v/>
      </c>
      <c r="Y3511" t="n">
        <v/>
      </c>
      <c r="Z3511" t="n">
        <v/>
      </c>
      <c r="AA3511">
        <f>SUMIFS($S$2:S3511,$A$2:A3511,A3511,$N$2:N3511,"Explore*")</f>
        <v/>
      </c>
      <c r="AB3511">
        <f>IF(AND(LEFT(N3511,7)="Explore",(AA3511-IF(LEFT(N3511,7)="Explore",S3511,0))&lt;10),"SI","NO")</f>
        <v/>
      </c>
    </row>
    <row r="3512">
      <c r="A3512" t="inlineStr">
        <is>
          <t>c16f5_test</t>
        </is>
      </c>
      <c r="B3512" t="inlineStr">
        <is>
          <t>2026-06-30 16:46:32.322</t>
        </is>
      </c>
      <c r="C3512" t="n">
        <v/>
      </c>
      <c r="D3512" t="inlineStr">
        <is>
          <t>Media file</t>
        </is>
      </c>
      <c r="E3512" t="inlineStr">
        <is>
          <t>player #1:C:/Users/manuel.felline/Documents/BEHAVIOR BTBR/NOR second cohort/BTBR/test/c16_f5.mp4</t>
        </is>
      </c>
      <c r="F3512" t="n">
        <v>-9.199999999999999</v>
      </c>
      <c r="G3512" t="n">
        <v>563.499</v>
      </c>
      <c r="H3512" t="n">
        <v>620.7329999999999</v>
      </c>
      <c r="I3512" t="n">
        <v>30</v>
      </c>
      <c r="J3512" t="inlineStr">
        <is>
          <t>BTBR</t>
        </is>
      </c>
      <c r="K3512" t="inlineStr">
        <is>
          <t xml:space="preserve"> Female</t>
        </is>
      </c>
      <c r="L3512" t="inlineStr">
        <is>
          <t>No focal subject</t>
        </is>
      </c>
      <c r="M3512" t="n">
        <v>56.9</v>
      </c>
      <c r="N3512" t="inlineStr">
        <is>
          <t>Explore_N</t>
        </is>
      </c>
      <c r="O3512" t="inlineStr">
        <is>
          <t>Novelty</t>
        </is>
      </c>
      <c r="P3512" t="inlineStr">
        <is>
          <t>STATE</t>
        </is>
      </c>
      <c r="Q3512" t="n">
        <v>438.333</v>
      </c>
      <c r="R3512" t="n">
        <v>440.233</v>
      </c>
      <c r="S3512" t="n">
        <v>1.9</v>
      </c>
      <c r="T3512" t="inlineStr">
        <is>
          <t>C:/Users/manuel.felline/Documents/BEHAVIOR BTBR/NOR second cohort/BTBR/test/c16_f5.mp4</t>
        </is>
      </c>
      <c r="U3512" t="n">
        <v>13371</v>
      </c>
      <c r="V3512" t="n">
        <v>13427</v>
      </c>
      <c r="W3512" t="n">
        <v/>
      </c>
      <c r="X3512" t="n">
        <v/>
      </c>
      <c r="Y3512" t="n">
        <v/>
      </c>
      <c r="Z3512" t="n">
        <v/>
      </c>
      <c r="AA3512">
        <f>SUMIFS($S$2:S3512,$A$2:A3512,A3512,$N$2:N3512,"Explore*")</f>
        <v/>
      </c>
      <c r="AB3512">
        <f>IF(AND(LEFT(N3512,7)="Explore",(AA3512-IF(LEFT(N3512,7)="Explore",S3512,0))&lt;10),"SI","NO")</f>
        <v/>
      </c>
    </row>
    <row r="3513">
      <c r="A3513" t="inlineStr">
        <is>
          <t>c16f5_test</t>
        </is>
      </c>
      <c r="B3513" t="inlineStr">
        <is>
          <t>2026-06-30 16:46:32.322</t>
        </is>
      </c>
      <c r="C3513" t="n">
        <v/>
      </c>
      <c r="D3513" t="inlineStr">
        <is>
          <t>Media file</t>
        </is>
      </c>
      <c r="E3513" t="inlineStr">
        <is>
          <t>player #1:C:/Users/manuel.felline/Documents/BEHAVIOR BTBR/NOR second cohort/BTBR/test/c16_f5.mp4</t>
        </is>
      </c>
      <c r="F3513" t="n">
        <v>-9.199999999999999</v>
      </c>
      <c r="G3513" t="n">
        <v>563.499</v>
      </c>
      <c r="H3513" t="n">
        <v>620.7329999999999</v>
      </c>
      <c r="I3513" t="n">
        <v>30</v>
      </c>
      <c r="J3513" t="inlineStr">
        <is>
          <t>BTBR</t>
        </is>
      </c>
      <c r="K3513" t="inlineStr">
        <is>
          <t xml:space="preserve"> Female</t>
        </is>
      </c>
      <c r="L3513" t="inlineStr">
        <is>
          <t>No focal subject</t>
        </is>
      </c>
      <c r="M3513" t="n">
        <v>56.9</v>
      </c>
      <c r="N3513" t="inlineStr">
        <is>
          <t>Explore_N</t>
        </is>
      </c>
      <c r="O3513" t="inlineStr">
        <is>
          <t>Novelty</t>
        </is>
      </c>
      <c r="P3513" t="inlineStr">
        <is>
          <t>STATE</t>
        </is>
      </c>
      <c r="Q3513" t="n">
        <v>448.433</v>
      </c>
      <c r="R3513" t="n">
        <v>448.9</v>
      </c>
      <c r="S3513" t="n">
        <v>0.467</v>
      </c>
      <c r="T3513" t="inlineStr">
        <is>
          <t>C:/Users/manuel.felline/Documents/BEHAVIOR BTBR/NOR second cohort/BTBR/test/c16_f5.mp4</t>
        </is>
      </c>
      <c r="U3513" t="n">
        <v>13672</v>
      </c>
      <c r="V3513" t="n">
        <v>13686</v>
      </c>
      <c r="W3513" t="n">
        <v/>
      </c>
      <c r="X3513" t="n">
        <v/>
      </c>
      <c r="Y3513" t="n">
        <v/>
      </c>
      <c r="Z3513" t="n">
        <v/>
      </c>
      <c r="AA3513">
        <f>SUMIFS($S$2:S3513,$A$2:A3513,A3513,$N$2:N3513,"Explore*")</f>
        <v/>
      </c>
      <c r="AB3513">
        <f>IF(AND(LEFT(N3513,7)="Explore",(AA3513-IF(LEFT(N3513,7)="Explore",S3513,0))&lt;10),"SI","NO")</f>
        <v/>
      </c>
    </row>
    <row r="3514">
      <c r="A3514" t="inlineStr">
        <is>
          <t>c16f5_test</t>
        </is>
      </c>
      <c r="B3514" t="inlineStr">
        <is>
          <t>2026-06-30 16:46:32.322</t>
        </is>
      </c>
      <c r="C3514" t="n">
        <v/>
      </c>
      <c r="D3514" t="inlineStr">
        <is>
          <t>Media file</t>
        </is>
      </c>
      <c r="E3514" t="inlineStr">
        <is>
          <t>player #1:C:/Users/manuel.felline/Documents/BEHAVIOR BTBR/NOR second cohort/BTBR/test/c16_f5.mp4</t>
        </is>
      </c>
      <c r="F3514" t="n">
        <v>-9.199999999999999</v>
      </c>
      <c r="G3514" t="n">
        <v>563.499</v>
      </c>
      <c r="H3514" t="n">
        <v>620.7329999999999</v>
      </c>
      <c r="I3514" t="n">
        <v>30</v>
      </c>
      <c r="J3514" t="inlineStr">
        <is>
          <t>BTBR</t>
        </is>
      </c>
      <c r="K3514" t="inlineStr">
        <is>
          <t xml:space="preserve"> Female</t>
        </is>
      </c>
      <c r="L3514" t="inlineStr">
        <is>
          <t>No focal subject</t>
        </is>
      </c>
      <c r="M3514" t="n">
        <v>56.9</v>
      </c>
      <c r="N3514" t="inlineStr">
        <is>
          <t>Explore_F</t>
        </is>
      </c>
      <c r="O3514" t="inlineStr">
        <is>
          <t>Familiar</t>
        </is>
      </c>
      <c r="P3514" t="inlineStr">
        <is>
          <t>STATE</t>
        </is>
      </c>
      <c r="Q3514" t="n">
        <v>464.9</v>
      </c>
      <c r="R3514" t="n">
        <v>465.366</v>
      </c>
      <c r="S3514" t="n">
        <v>0.466</v>
      </c>
      <c r="T3514" t="inlineStr">
        <is>
          <t>C:/Users/manuel.felline/Documents/BEHAVIOR BTBR/NOR second cohort/BTBR/test/c16_f5.mp4</t>
        </is>
      </c>
      <c r="U3514" t="n">
        <v>14164</v>
      </c>
      <c r="V3514" t="n">
        <v>14178</v>
      </c>
      <c r="W3514" t="n">
        <v/>
      </c>
      <c r="X3514" t="n">
        <v/>
      </c>
      <c r="Y3514" t="n">
        <v/>
      </c>
      <c r="Z3514" t="n">
        <v/>
      </c>
      <c r="AA3514">
        <f>SUMIFS($S$2:S3514,$A$2:A3514,A3514,$N$2:N3514,"Explore*")</f>
        <v/>
      </c>
      <c r="AB3514">
        <f>IF(AND(LEFT(N3514,7)="Explore",(AA3514-IF(LEFT(N3514,7)="Explore",S3514,0))&lt;10),"SI","NO")</f>
        <v/>
      </c>
    </row>
    <row r="3515">
      <c r="A3515" t="inlineStr">
        <is>
          <t>c16f5_test</t>
        </is>
      </c>
      <c r="B3515" t="inlineStr">
        <is>
          <t>2026-06-30 16:46:32.322</t>
        </is>
      </c>
      <c r="C3515" t="n">
        <v/>
      </c>
      <c r="D3515" t="inlineStr">
        <is>
          <t>Media file</t>
        </is>
      </c>
      <c r="E3515" t="inlineStr">
        <is>
          <t>player #1:C:/Users/manuel.felline/Documents/BEHAVIOR BTBR/NOR second cohort/BTBR/test/c16_f5.mp4</t>
        </is>
      </c>
      <c r="F3515" t="n">
        <v>-9.199999999999999</v>
      </c>
      <c r="G3515" t="n">
        <v>563.499</v>
      </c>
      <c r="H3515" t="n">
        <v>620.7329999999999</v>
      </c>
      <c r="I3515" t="n">
        <v>30</v>
      </c>
      <c r="J3515" t="inlineStr">
        <is>
          <t>BTBR</t>
        </is>
      </c>
      <c r="K3515" t="inlineStr">
        <is>
          <t xml:space="preserve"> Female</t>
        </is>
      </c>
      <c r="L3515" t="inlineStr">
        <is>
          <t>No focal subject</t>
        </is>
      </c>
      <c r="M3515" t="n">
        <v>56.9</v>
      </c>
      <c r="N3515" t="inlineStr">
        <is>
          <t>Explore_F</t>
        </is>
      </c>
      <c r="O3515" t="inlineStr">
        <is>
          <t>Familiar</t>
        </is>
      </c>
      <c r="P3515" t="inlineStr">
        <is>
          <t>STATE</t>
        </is>
      </c>
      <c r="Q3515" t="n">
        <v>472.3</v>
      </c>
      <c r="R3515" t="n">
        <v>472.633</v>
      </c>
      <c r="S3515" t="n">
        <v>0.333</v>
      </c>
      <c r="T3515" t="inlineStr">
        <is>
          <t>C:/Users/manuel.felline/Documents/BEHAVIOR BTBR/NOR second cohort/BTBR/test/c16_f5.mp4</t>
        </is>
      </c>
      <c r="U3515" t="n">
        <v>14385</v>
      </c>
      <c r="V3515" t="n">
        <v>14395</v>
      </c>
      <c r="W3515" t="n">
        <v/>
      </c>
      <c r="X3515" t="n">
        <v/>
      </c>
      <c r="Y3515" t="n">
        <v/>
      </c>
      <c r="Z3515" t="n">
        <v/>
      </c>
      <c r="AA3515">
        <f>SUMIFS($S$2:S3515,$A$2:A3515,A3515,$N$2:N3515,"Explore*")</f>
        <v/>
      </c>
      <c r="AB3515">
        <f>IF(AND(LEFT(N3515,7)="Explore",(AA3515-IF(LEFT(N3515,7)="Explore",S3515,0))&lt;10),"SI","NO")</f>
        <v/>
      </c>
    </row>
    <row r="3516">
      <c r="A3516" t="inlineStr">
        <is>
          <t>c16f5_test</t>
        </is>
      </c>
      <c r="B3516" t="inlineStr">
        <is>
          <t>2026-06-30 16:46:32.322</t>
        </is>
      </c>
      <c r="C3516" t="n">
        <v/>
      </c>
      <c r="D3516" t="inlineStr">
        <is>
          <t>Media file</t>
        </is>
      </c>
      <c r="E3516" t="inlineStr">
        <is>
          <t>player #1:C:/Users/manuel.felline/Documents/BEHAVIOR BTBR/NOR second cohort/BTBR/test/c16_f5.mp4</t>
        </is>
      </c>
      <c r="F3516" t="n">
        <v>-9.199999999999999</v>
      </c>
      <c r="G3516" t="n">
        <v>563.499</v>
      </c>
      <c r="H3516" t="n">
        <v>620.7329999999999</v>
      </c>
      <c r="I3516" t="n">
        <v>30</v>
      </c>
      <c r="J3516" t="inlineStr">
        <is>
          <t>BTBR</t>
        </is>
      </c>
      <c r="K3516" t="inlineStr">
        <is>
          <t xml:space="preserve"> Female</t>
        </is>
      </c>
      <c r="L3516" t="inlineStr">
        <is>
          <t>No focal subject</t>
        </is>
      </c>
      <c r="M3516" t="n">
        <v>56.9</v>
      </c>
      <c r="N3516" t="inlineStr">
        <is>
          <t>Explore_N</t>
        </is>
      </c>
      <c r="O3516" t="inlineStr">
        <is>
          <t>Novelty</t>
        </is>
      </c>
      <c r="P3516" t="inlineStr">
        <is>
          <t>STATE</t>
        </is>
      </c>
      <c r="Q3516" t="n">
        <v>476.233</v>
      </c>
      <c r="R3516" t="n">
        <v>477.033</v>
      </c>
      <c r="S3516" t="n">
        <v>0.8</v>
      </c>
      <c r="T3516" t="inlineStr">
        <is>
          <t>C:/Users/manuel.felline/Documents/BEHAVIOR BTBR/NOR second cohort/BTBR/test/c16_f5.mp4</t>
        </is>
      </c>
      <c r="U3516" t="n">
        <v>14503</v>
      </c>
      <c r="V3516" t="n">
        <v>14527</v>
      </c>
      <c r="W3516" t="n">
        <v/>
      </c>
      <c r="X3516" t="n">
        <v/>
      </c>
      <c r="Y3516" t="n">
        <v/>
      </c>
      <c r="Z3516" t="n">
        <v/>
      </c>
      <c r="AA3516">
        <f>SUMIFS($S$2:S3516,$A$2:A3516,A3516,$N$2:N3516,"Explore*")</f>
        <v/>
      </c>
      <c r="AB3516">
        <f>IF(AND(LEFT(N3516,7)="Explore",(AA3516-IF(LEFT(N3516,7)="Explore",S3516,0))&lt;10),"SI","NO")</f>
        <v/>
      </c>
    </row>
    <row r="3517">
      <c r="A3517" t="inlineStr">
        <is>
          <t>c16f5_test</t>
        </is>
      </c>
      <c r="B3517" t="inlineStr">
        <is>
          <t>2026-06-30 16:46:32.322</t>
        </is>
      </c>
      <c r="C3517" t="n">
        <v/>
      </c>
      <c r="D3517" t="inlineStr">
        <is>
          <t>Media file</t>
        </is>
      </c>
      <c r="E3517" t="inlineStr">
        <is>
          <t>player #1:C:/Users/manuel.felline/Documents/BEHAVIOR BTBR/NOR second cohort/BTBR/test/c16_f5.mp4</t>
        </is>
      </c>
      <c r="F3517" t="n">
        <v>-9.199999999999999</v>
      </c>
      <c r="G3517" t="n">
        <v>563.499</v>
      </c>
      <c r="H3517" t="n">
        <v>620.7329999999999</v>
      </c>
      <c r="I3517" t="n">
        <v>30</v>
      </c>
      <c r="J3517" t="inlineStr">
        <is>
          <t>BTBR</t>
        </is>
      </c>
      <c r="K3517" t="inlineStr">
        <is>
          <t xml:space="preserve"> Female</t>
        </is>
      </c>
      <c r="L3517" t="inlineStr">
        <is>
          <t>No focal subject</t>
        </is>
      </c>
      <c r="M3517" t="n">
        <v>56.9</v>
      </c>
      <c r="N3517" t="inlineStr">
        <is>
          <t>Explore_F</t>
        </is>
      </c>
      <c r="O3517" t="inlineStr">
        <is>
          <t>Familiar</t>
        </is>
      </c>
      <c r="P3517" t="inlineStr">
        <is>
          <t>STATE</t>
        </is>
      </c>
      <c r="Q3517" t="n">
        <v>497.299</v>
      </c>
      <c r="R3517" t="n">
        <v>497.799</v>
      </c>
      <c r="S3517" t="n">
        <v>0.5</v>
      </c>
      <c r="T3517" t="inlineStr">
        <is>
          <t>C:/Users/manuel.felline/Documents/BEHAVIOR BTBR/NOR second cohort/BTBR/test/c16_f5.mp4</t>
        </is>
      </c>
      <c r="U3517" t="n">
        <v>15132</v>
      </c>
      <c r="V3517" t="n">
        <v>15147</v>
      </c>
      <c r="W3517" t="n">
        <v/>
      </c>
      <c r="X3517" t="n">
        <v/>
      </c>
      <c r="Y3517" t="n">
        <v/>
      </c>
      <c r="Z3517" t="n">
        <v/>
      </c>
      <c r="AA3517">
        <f>SUMIFS($S$2:S3517,$A$2:A3517,A3517,$N$2:N3517,"Explore*")</f>
        <v/>
      </c>
      <c r="AB3517">
        <f>IF(AND(LEFT(N3517,7)="Explore",(AA3517-IF(LEFT(N3517,7)="Explore",S3517,0))&lt;10),"SI","NO")</f>
        <v/>
      </c>
    </row>
    <row r="3518">
      <c r="A3518" t="inlineStr">
        <is>
          <t>c16f5_test</t>
        </is>
      </c>
      <c r="B3518" t="inlineStr">
        <is>
          <t>2026-06-30 16:46:32.322</t>
        </is>
      </c>
      <c r="C3518" t="n">
        <v/>
      </c>
      <c r="D3518" t="inlineStr">
        <is>
          <t>Media file</t>
        </is>
      </c>
      <c r="E3518" t="inlineStr">
        <is>
          <t>player #1:C:/Users/manuel.felline/Documents/BEHAVIOR BTBR/NOR second cohort/BTBR/test/c16_f5.mp4</t>
        </is>
      </c>
      <c r="F3518" t="n">
        <v>-9.199999999999999</v>
      </c>
      <c r="G3518" t="n">
        <v>563.499</v>
      </c>
      <c r="H3518" t="n">
        <v>620.7329999999999</v>
      </c>
      <c r="I3518" t="n">
        <v>30</v>
      </c>
      <c r="J3518" t="inlineStr">
        <is>
          <t>BTBR</t>
        </is>
      </c>
      <c r="K3518" t="inlineStr">
        <is>
          <t xml:space="preserve"> Female</t>
        </is>
      </c>
      <c r="L3518" t="inlineStr">
        <is>
          <t>No focal subject</t>
        </is>
      </c>
      <c r="M3518" t="n">
        <v>56.9</v>
      </c>
      <c r="N3518" t="inlineStr">
        <is>
          <t>Explore_N</t>
        </is>
      </c>
      <c r="O3518" t="inlineStr">
        <is>
          <t>Novelty</t>
        </is>
      </c>
      <c r="P3518" t="inlineStr">
        <is>
          <t>STATE</t>
        </is>
      </c>
      <c r="Q3518" t="n">
        <v>505.066</v>
      </c>
      <c r="R3518" t="n">
        <v>505.433</v>
      </c>
      <c r="S3518" t="n">
        <v>0.367</v>
      </c>
      <c r="T3518" t="inlineStr">
        <is>
          <t>C:/Users/manuel.felline/Documents/BEHAVIOR BTBR/NOR second cohort/BTBR/test/c16_f5.mp4</t>
        </is>
      </c>
      <c r="U3518" t="n">
        <v>15364</v>
      </c>
      <c r="V3518" t="n">
        <v>15375</v>
      </c>
      <c r="W3518" t="n">
        <v/>
      </c>
      <c r="X3518" t="n">
        <v/>
      </c>
      <c r="Y3518" t="n">
        <v/>
      </c>
      <c r="Z3518" t="n">
        <v/>
      </c>
      <c r="AA3518">
        <f>SUMIFS($S$2:S3518,$A$2:A3518,A3518,$N$2:N3518,"Explore*")</f>
        <v/>
      </c>
      <c r="AB3518">
        <f>IF(AND(LEFT(N3518,7)="Explore",(AA3518-IF(LEFT(N3518,7)="Explore",S3518,0))&lt;10),"SI","NO")</f>
        <v/>
      </c>
    </row>
    <row r="3519">
      <c r="A3519" t="inlineStr">
        <is>
          <t>c16f5_test</t>
        </is>
      </c>
      <c r="B3519" t="inlineStr">
        <is>
          <t>2026-06-30 16:46:32.322</t>
        </is>
      </c>
      <c r="C3519" t="n">
        <v/>
      </c>
      <c r="D3519" t="inlineStr">
        <is>
          <t>Media file</t>
        </is>
      </c>
      <c r="E3519" t="inlineStr">
        <is>
          <t>player #1:C:/Users/manuel.felline/Documents/BEHAVIOR BTBR/NOR second cohort/BTBR/test/c16_f5.mp4</t>
        </is>
      </c>
      <c r="F3519" t="n">
        <v>-9.199999999999999</v>
      </c>
      <c r="G3519" t="n">
        <v>563.499</v>
      </c>
      <c r="H3519" t="n">
        <v>620.7329999999999</v>
      </c>
      <c r="I3519" t="n">
        <v>30</v>
      </c>
      <c r="J3519" t="inlineStr">
        <is>
          <t>BTBR</t>
        </is>
      </c>
      <c r="K3519" t="inlineStr">
        <is>
          <t xml:space="preserve"> Female</t>
        </is>
      </c>
      <c r="L3519" t="inlineStr">
        <is>
          <t>No focal subject</t>
        </is>
      </c>
      <c r="M3519" t="n">
        <v>56.9</v>
      </c>
      <c r="N3519" t="inlineStr">
        <is>
          <t>Explore_F</t>
        </is>
      </c>
      <c r="O3519" t="inlineStr">
        <is>
          <t>Familiar</t>
        </is>
      </c>
      <c r="P3519" t="inlineStr">
        <is>
          <t>STATE</t>
        </is>
      </c>
      <c r="Q3519" t="n">
        <v>528.333</v>
      </c>
      <c r="R3519" t="n">
        <v>528.7329999999999</v>
      </c>
      <c r="S3519" t="n">
        <v>0.4</v>
      </c>
      <c r="T3519" t="inlineStr">
        <is>
          <t>C:/Users/manuel.felline/Documents/BEHAVIOR BTBR/NOR second cohort/BTBR/test/c16_f5.mp4</t>
        </is>
      </c>
      <c r="U3519" t="n">
        <v>16059</v>
      </c>
      <c r="V3519" t="n">
        <v>16071</v>
      </c>
      <c r="W3519" t="n">
        <v/>
      </c>
      <c r="X3519" t="n">
        <v/>
      </c>
      <c r="Y3519" t="n">
        <v/>
      </c>
      <c r="Z3519" t="n">
        <v/>
      </c>
      <c r="AA3519">
        <f>SUMIFS($S$2:S3519,$A$2:A3519,A3519,$N$2:N3519,"Explore*")</f>
        <v/>
      </c>
      <c r="AB3519">
        <f>IF(AND(LEFT(N3519,7)="Explore",(AA3519-IF(LEFT(N3519,7)="Explore",S3519,0))&lt;10),"SI","NO")</f>
        <v/>
      </c>
    </row>
    <row r="3520">
      <c r="A3520" t="inlineStr">
        <is>
          <t>c16f5_test</t>
        </is>
      </c>
      <c r="B3520" t="inlineStr">
        <is>
          <t>2026-06-30 16:46:32.322</t>
        </is>
      </c>
      <c r="C3520" t="n">
        <v/>
      </c>
      <c r="D3520" t="inlineStr">
        <is>
          <t>Media file</t>
        </is>
      </c>
      <c r="E3520" t="inlineStr">
        <is>
          <t>player #1:C:/Users/manuel.felline/Documents/BEHAVIOR BTBR/NOR second cohort/BTBR/test/c16_f5.mp4</t>
        </is>
      </c>
      <c r="F3520" t="n">
        <v>-9.199999999999999</v>
      </c>
      <c r="G3520" t="n">
        <v>563.499</v>
      </c>
      <c r="H3520" t="n">
        <v>620.7329999999999</v>
      </c>
      <c r="I3520" t="n">
        <v>30</v>
      </c>
      <c r="J3520" t="inlineStr">
        <is>
          <t>BTBR</t>
        </is>
      </c>
      <c r="K3520" t="inlineStr">
        <is>
          <t xml:space="preserve"> Female</t>
        </is>
      </c>
      <c r="L3520" t="inlineStr">
        <is>
          <t>No focal subject</t>
        </is>
      </c>
      <c r="M3520" t="n">
        <v>56.9</v>
      </c>
      <c r="N3520" t="inlineStr">
        <is>
          <t>Explore_N</t>
        </is>
      </c>
      <c r="O3520" t="inlineStr">
        <is>
          <t>Novelty</t>
        </is>
      </c>
      <c r="P3520" t="inlineStr">
        <is>
          <t>STATE</t>
        </is>
      </c>
      <c r="Q3520" t="n">
        <v>531.466</v>
      </c>
      <c r="R3520" t="n">
        <v>532.1660000000001</v>
      </c>
      <c r="S3520" t="n">
        <v>0.7</v>
      </c>
      <c r="T3520" t="inlineStr">
        <is>
          <t>C:/Users/manuel.felline/Documents/BEHAVIOR BTBR/NOR second cohort/BTBR/test/c16_f5.mp4</t>
        </is>
      </c>
      <c r="U3520" t="n">
        <v>16153</v>
      </c>
      <c r="V3520" t="n">
        <v>16174</v>
      </c>
      <c r="W3520" t="n">
        <v/>
      </c>
      <c r="X3520" t="n">
        <v/>
      </c>
      <c r="Y3520" t="n">
        <v/>
      </c>
      <c r="Z3520" t="n">
        <v/>
      </c>
      <c r="AA3520">
        <f>SUMIFS($S$2:S3520,$A$2:A3520,A3520,$N$2:N3520,"Explore*")</f>
        <v/>
      </c>
      <c r="AB3520">
        <f>IF(AND(LEFT(N3520,7)="Explore",(AA3520-IF(LEFT(N3520,7)="Explore",S3520,0))&lt;10),"SI","NO")</f>
        <v/>
      </c>
    </row>
    <row r="3521">
      <c r="A3521" t="inlineStr">
        <is>
          <t>c16f5_test</t>
        </is>
      </c>
      <c r="B3521" t="inlineStr">
        <is>
          <t>2026-06-30 16:46:32.322</t>
        </is>
      </c>
      <c r="C3521" t="n">
        <v/>
      </c>
      <c r="D3521" t="inlineStr">
        <is>
          <t>Media file</t>
        </is>
      </c>
      <c r="E3521" t="inlineStr">
        <is>
          <t>player #1:C:/Users/manuel.felline/Documents/BEHAVIOR BTBR/NOR second cohort/BTBR/test/c16_f5.mp4</t>
        </is>
      </c>
      <c r="F3521" t="n">
        <v>-9.199999999999999</v>
      </c>
      <c r="G3521" t="n">
        <v>563.499</v>
      </c>
      <c r="H3521" t="n">
        <v>620.7329999999999</v>
      </c>
      <c r="I3521" t="n">
        <v>30</v>
      </c>
      <c r="J3521" t="inlineStr">
        <is>
          <t>BTBR</t>
        </is>
      </c>
      <c r="K3521" t="inlineStr">
        <is>
          <t xml:space="preserve"> Female</t>
        </is>
      </c>
      <c r="L3521" t="inlineStr">
        <is>
          <t>No focal subject</t>
        </is>
      </c>
      <c r="M3521" t="n">
        <v>56.9</v>
      </c>
      <c r="N3521" t="inlineStr">
        <is>
          <t>Explore_N</t>
        </is>
      </c>
      <c r="O3521" t="inlineStr">
        <is>
          <t>Novelty</t>
        </is>
      </c>
      <c r="P3521" t="inlineStr">
        <is>
          <t>STATE</t>
        </is>
      </c>
      <c r="Q3521" t="n">
        <v>543.066</v>
      </c>
      <c r="R3521" t="n">
        <v>544.099</v>
      </c>
      <c r="S3521" t="n">
        <v>1.033</v>
      </c>
      <c r="T3521" t="inlineStr">
        <is>
          <t>C:/Users/manuel.felline/Documents/BEHAVIOR BTBR/NOR second cohort/BTBR/test/c16_f5.mp4</t>
        </is>
      </c>
      <c r="U3521" t="n">
        <v>16500</v>
      </c>
      <c r="V3521" t="n">
        <v>16530</v>
      </c>
      <c r="W3521" t="n">
        <v/>
      </c>
      <c r="X3521" t="n">
        <v/>
      </c>
      <c r="Y3521" t="n">
        <v/>
      </c>
      <c r="Z3521" t="n">
        <v/>
      </c>
      <c r="AA3521">
        <f>SUMIFS($S$2:S3521,$A$2:A3521,A3521,$N$2:N3521,"Explore*")</f>
        <v/>
      </c>
      <c r="AB3521">
        <f>IF(AND(LEFT(N3521,7)="Explore",(AA3521-IF(LEFT(N3521,7)="Explore",S3521,0))&lt;10),"SI","NO")</f>
        <v/>
      </c>
    </row>
    <row r="3522">
      <c r="A3522" t="inlineStr">
        <is>
          <t>c16f5_test</t>
        </is>
      </c>
      <c r="B3522" t="inlineStr">
        <is>
          <t>2026-06-30 16:46:32.322</t>
        </is>
      </c>
      <c r="C3522" t="n">
        <v/>
      </c>
      <c r="D3522" t="inlineStr">
        <is>
          <t>Media file</t>
        </is>
      </c>
      <c r="E3522" t="inlineStr">
        <is>
          <t>player #1:C:/Users/manuel.felline/Documents/BEHAVIOR BTBR/NOR second cohort/BTBR/test/c16_f5.mp4</t>
        </is>
      </c>
      <c r="F3522" t="n">
        <v>-9.199999999999999</v>
      </c>
      <c r="G3522" t="n">
        <v>563.499</v>
      </c>
      <c r="H3522" t="n">
        <v>620.7329999999999</v>
      </c>
      <c r="I3522" t="n">
        <v>30</v>
      </c>
      <c r="J3522" t="inlineStr">
        <is>
          <t>BTBR</t>
        </is>
      </c>
      <c r="K3522" t="inlineStr">
        <is>
          <t xml:space="preserve"> Female</t>
        </is>
      </c>
      <c r="L3522" t="inlineStr">
        <is>
          <t>No focal subject</t>
        </is>
      </c>
      <c r="M3522" t="n">
        <v>56.9</v>
      </c>
      <c r="N3522" t="inlineStr">
        <is>
          <t>Explore_N</t>
        </is>
      </c>
      <c r="O3522" t="inlineStr">
        <is>
          <t>Novelty</t>
        </is>
      </c>
      <c r="P3522" t="inlineStr">
        <is>
          <t>STATE</t>
        </is>
      </c>
      <c r="Q3522" t="n">
        <v>573.799</v>
      </c>
      <c r="R3522" t="n">
        <v>574.399</v>
      </c>
      <c r="S3522" t="n">
        <v>0.6</v>
      </c>
      <c r="T3522" t="inlineStr">
        <is>
          <t>C:/Users/manuel.felline/Documents/BEHAVIOR BTBR/NOR second cohort/BTBR/test/c16_f5.mp4</t>
        </is>
      </c>
      <c r="U3522" t="n">
        <v>17418</v>
      </c>
      <c r="V3522" t="n">
        <v>17436</v>
      </c>
      <c r="W3522" t="n">
        <v/>
      </c>
      <c r="X3522" t="n">
        <v/>
      </c>
      <c r="Y3522" t="n">
        <v/>
      </c>
      <c r="Z3522" t="n">
        <v/>
      </c>
      <c r="AA3522">
        <f>SUMIFS($S$2:S3522,$A$2:A3522,A3522,$N$2:N3522,"Explore*")</f>
        <v/>
      </c>
      <c r="AB3522">
        <f>IF(AND(LEFT(N3522,7)="Explore",(AA3522-IF(LEFT(N3522,7)="Explore",S3522,0))&lt;10),"SI","NO")</f>
        <v/>
      </c>
    </row>
    <row r="3523">
      <c r="A3523" t="inlineStr">
        <is>
          <t>c50m1_test</t>
        </is>
      </c>
      <c r="B3523" t="inlineStr">
        <is>
          <t>2026-02-18 11:19:26.393</t>
        </is>
      </c>
      <c r="C3523" t="n">
        <v/>
      </c>
      <c r="D3523" t="inlineStr">
        <is>
          <t>Media file</t>
        </is>
      </c>
      <c r="E3523" t="inlineStr">
        <is>
          <t>player #1:WT\test\c50m1.mp4</t>
        </is>
      </c>
      <c r="F3523" t="n">
        <v>-9.233000000000001</v>
      </c>
      <c r="G3523" t="n">
        <v>591.766</v>
      </c>
      <c r="H3523" t="n">
        <v>630.7329999999999</v>
      </c>
      <c r="I3523" t="n">
        <v>30</v>
      </c>
      <c r="J3523" t="inlineStr">
        <is>
          <t xml:space="preserve"> WT</t>
        </is>
      </c>
      <c r="K3523" t="inlineStr">
        <is>
          <t>Male</t>
        </is>
      </c>
      <c r="L3523" t="inlineStr">
        <is>
          <t>No focal subject</t>
        </is>
      </c>
      <c r="M3523" t="n">
        <v>24.634</v>
      </c>
      <c r="N3523" t="inlineStr">
        <is>
          <t>Explore_F</t>
        </is>
      </c>
      <c r="O3523" t="inlineStr">
        <is>
          <t>Familiar</t>
        </is>
      </c>
      <c r="P3523" t="inlineStr">
        <is>
          <t>STATE</t>
        </is>
      </c>
      <c r="Q3523" t="n">
        <v>5.267</v>
      </c>
      <c r="R3523" t="n">
        <v>5.534</v>
      </c>
      <c r="S3523" t="n">
        <v>0.267</v>
      </c>
      <c r="T3523" t="inlineStr">
        <is>
          <t>WT\test\c50m1.mp4</t>
        </is>
      </c>
      <c r="U3523" t="n">
        <v>158</v>
      </c>
      <c r="V3523" t="n">
        <v>167</v>
      </c>
      <c r="W3523" t="n">
        <v/>
      </c>
      <c r="X3523" t="n">
        <v/>
      </c>
      <c r="Y3523" t="n">
        <v/>
      </c>
      <c r="Z3523" t="n">
        <v/>
      </c>
      <c r="AA3523">
        <f>SUMIFS($S$2:S3523,$A$2:A3523,A3523,$N$2:N3523,"Explore*")</f>
        <v/>
      </c>
      <c r="AB3523">
        <f>IF(AND(LEFT(N3523,7)="Explore",(AA3523-IF(LEFT(N3523,7)="Explore",S3523,0))&lt;10),"SI","NO")</f>
        <v/>
      </c>
    </row>
    <row r="3524">
      <c r="A3524" t="inlineStr">
        <is>
          <t>c50m1_test</t>
        </is>
      </c>
      <c r="B3524" t="inlineStr">
        <is>
          <t>2026-02-18 11:19:26.393</t>
        </is>
      </c>
      <c r="C3524" t="n">
        <v/>
      </c>
      <c r="D3524" t="inlineStr">
        <is>
          <t>Media file</t>
        </is>
      </c>
      <c r="E3524" t="inlineStr">
        <is>
          <t>player #1:WT\test\c50m1.mp4</t>
        </is>
      </c>
      <c r="F3524" t="n">
        <v>-9.233000000000001</v>
      </c>
      <c r="G3524" t="n">
        <v>591.766</v>
      </c>
      <c r="H3524" t="n">
        <v>630.7329999999999</v>
      </c>
      <c r="I3524" t="n">
        <v>30</v>
      </c>
      <c r="J3524" t="inlineStr">
        <is>
          <t xml:space="preserve"> WT</t>
        </is>
      </c>
      <c r="K3524" t="inlineStr">
        <is>
          <t>Male</t>
        </is>
      </c>
      <c r="L3524" t="inlineStr">
        <is>
          <t>No focal subject</t>
        </is>
      </c>
      <c r="M3524" t="n">
        <v>24.634</v>
      </c>
      <c r="N3524" t="inlineStr">
        <is>
          <t>Explore_N</t>
        </is>
      </c>
      <c r="O3524" t="inlineStr">
        <is>
          <t>Novelty</t>
        </is>
      </c>
      <c r="P3524" t="inlineStr">
        <is>
          <t>STATE</t>
        </is>
      </c>
      <c r="Q3524" t="n">
        <v>9.534000000000001</v>
      </c>
      <c r="R3524" t="n">
        <v>10.067</v>
      </c>
      <c r="S3524" t="n">
        <v>0.533</v>
      </c>
      <c r="T3524" t="inlineStr">
        <is>
          <t>WT\test\c50m1.mp4</t>
        </is>
      </c>
      <c r="U3524" t="n">
        <v>286</v>
      </c>
      <c r="V3524" t="n">
        <v>301</v>
      </c>
      <c r="W3524" t="n">
        <v/>
      </c>
      <c r="X3524" t="n">
        <v/>
      </c>
      <c r="Y3524" t="n">
        <v/>
      </c>
      <c r="Z3524" t="n">
        <v/>
      </c>
      <c r="AA3524">
        <f>SUMIFS($S$2:S3524,$A$2:A3524,A3524,$N$2:N3524,"Explore*")</f>
        <v/>
      </c>
      <c r="AB3524">
        <f>IF(AND(LEFT(N3524,7)="Explore",(AA3524-IF(LEFT(N3524,7)="Explore",S3524,0))&lt;10),"SI","NO")</f>
        <v/>
      </c>
    </row>
    <row r="3525">
      <c r="A3525" t="inlineStr">
        <is>
          <t>c50m1_test</t>
        </is>
      </c>
      <c r="B3525" t="inlineStr">
        <is>
          <t>2026-02-18 11:19:26.393</t>
        </is>
      </c>
      <c r="C3525" t="n">
        <v/>
      </c>
      <c r="D3525" t="inlineStr">
        <is>
          <t>Media file</t>
        </is>
      </c>
      <c r="E3525" t="inlineStr">
        <is>
          <t>player #1:WT\test\c50m1.mp4</t>
        </is>
      </c>
      <c r="F3525" t="n">
        <v>-9.233000000000001</v>
      </c>
      <c r="G3525" t="n">
        <v>591.766</v>
      </c>
      <c r="H3525" t="n">
        <v>630.7329999999999</v>
      </c>
      <c r="I3525" t="n">
        <v>30</v>
      </c>
      <c r="J3525" t="inlineStr">
        <is>
          <t xml:space="preserve"> WT</t>
        </is>
      </c>
      <c r="K3525" t="inlineStr">
        <is>
          <t>Male</t>
        </is>
      </c>
      <c r="L3525" t="inlineStr">
        <is>
          <t>No focal subject</t>
        </is>
      </c>
      <c r="M3525" t="n">
        <v>24.634</v>
      </c>
      <c r="N3525" t="inlineStr">
        <is>
          <t>Explore_N</t>
        </is>
      </c>
      <c r="O3525" t="inlineStr">
        <is>
          <t>Novelty</t>
        </is>
      </c>
      <c r="P3525" t="inlineStr">
        <is>
          <t>STATE</t>
        </is>
      </c>
      <c r="Q3525" t="n">
        <v>21.634</v>
      </c>
      <c r="R3525" t="n">
        <v>22.034</v>
      </c>
      <c r="S3525" t="n">
        <v>0.4</v>
      </c>
      <c r="T3525" t="inlineStr">
        <is>
          <t>WT\test\c50m1.mp4</t>
        </is>
      </c>
      <c r="U3525" t="n">
        <v>647</v>
      </c>
      <c r="V3525" t="n">
        <v>660</v>
      </c>
      <c r="W3525" t="n">
        <v/>
      </c>
      <c r="X3525" t="n">
        <v/>
      </c>
      <c r="Y3525" t="n">
        <v/>
      </c>
      <c r="Z3525" t="n">
        <v/>
      </c>
      <c r="AA3525">
        <f>SUMIFS($S$2:S3525,$A$2:A3525,A3525,$N$2:N3525,"Explore*")</f>
        <v/>
      </c>
      <c r="AB3525">
        <f>IF(AND(LEFT(N3525,7)="Explore",(AA3525-IF(LEFT(N3525,7)="Explore",S3525,0))&lt;10),"SI","NO")</f>
        <v/>
      </c>
    </row>
    <row r="3526">
      <c r="A3526" t="inlineStr">
        <is>
          <t>c50m1_test</t>
        </is>
      </c>
      <c r="B3526" t="inlineStr">
        <is>
          <t>2026-02-18 11:19:26.393</t>
        </is>
      </c>
      <c r="C3526" t="n">
        <v/>
      </c>
      <c r="D3526" t="inlineStr">
        <is>
          <t>Media file</t>
        </is>
      </c>
      <c r="E3526" t="inlineStr">
        <is>
          <t>player #1:WT\test\c50m1.mp4</t>
        </is>
      </c>
      <c r="F3526" t="n">
        <v>-9.233000000000001</v>
      </c>
      <c r="G3526" t="n">
        <v>591.766</v>
      </c>
      <c r="H3526" t="n">
        <v>630.7329999999999</v>
      </c>
      <c r="I3526" t="n">
        <v>30</v>
      </c>
      <c r="J3526" t="inlineStr">
        <is>
          <t xml:space="preserve"> WT</t>
        </is>
      </c>
      <c r="K3526" t="inlineStr">
        <is>
          <t>Male</t>
        </is>
      </c>
      <c r="L3526" t="inlineStr">
        <is>
          <t>No focal subject</t>
        </is>
      </c>
      <c r="M3526" t="n">
        <v>24.634</v>
      </c>
      <c r="N3526" t="inlineStr">
        <is>
          <t>Explore_F</t>
        </is>
      </c>
      <c r="O3526" t="inlineStr">
        <is>
          <t>Familiar</t>
        </is>
      </c>
      <c r="P3526" t="inlineStr">
        <is>
          <t>STATE</t>
        </is>
      </c>
      <c r="Q3526" t="n">
        <v>42.1</v>
      </c>
      <c r="R3526" t="n">
        <v>42.534</v>
      </c>
      <c r="S3526" t="n">
        <v>0.434</v>
      </c>
      <c r="T3526" t="inlineStr">
        <is>
          <t>WT\test\c50m1.mp4</t>
        </is>
      </c>
      <c r="U3526" t="n">
        <v>1260</v>
      </c>
      <c r="V3526" t="n">
        <v>1274</v>
      </c>
      <c r="W3526" t="n">
        <v/>
      </c>
      <c r="X3526" t="n">
        <v/>
      </c>
      <c r="Y3526" t="n">
        <v/>
      </c>
      <c r="Z3526" t="n">
        <v/>
      </c>
      <c r="AA3526">
        <f>SUMIFS($S$2:S3526,$A$2:A3526,A3526,$N$2:N3526,"Explore*")</f>
        <v/>
      </c>
      <c r="AB3526">
        <f>IF(AND(LEFT(N3526,7)="Explore",(AA3526-IF(LEFT(N3526,7)="Explore",S3526,0))&lt;10),"SI","NO")</f>
        <v/>
      </c>
    </row>
    <row r="3527">
      <c r="A3527" t="inlineStr">
        <is>
          <t>c50m1_test</t>
        </is>
      </c>
      <c r="B3527" t="inlineStr">
        <is>
          <t>2026-02-18 11:19:26.393</t>
        </is>
      </c>
      <c r="C3527" t="n">
        <v/>
      </c>
      <c r="D3527" t="inlineStr">
        <is>
          <t>Media file</t>
        </is>
      </c>
      <c r="E3527" t="inlineStr">
        <is>
          <t>player #1:WT\test\c50m1.mp4</t>
        </is>
      </c>
      <c r="F3527" t="n">
        <v>-9.233000000000001</v>
      </c>
      <c r="G3527" t="n">
        <v>591.766</v>
      </c>
      <c r="H3527" t="n">
        <v>630.7329999999999</v>
      </c>
      <c r="I3527" t="n">
        <v>30</v>
      </c>
      <c r="J3527" t="inlineStr">
        <is>
          <t xml:space="preserve"> WT</t>
        </is>
      </c>
      <c r="K3527" t="inlineStr">
        <is>
          <t>Male</t>
        </is>
      </c>
      <c r="L3527" t="inlineStr">
        <is>
          <t>No focal subject</t>
        </is>
      </c>
      <c r="M3527" t="n">
        <v>24.634</v>
      </c>
      <c r="N3527" t="inlineStr">
        <is>
          <t>Explore_F</t>
        </is>
      </c>
      <c r="O3527" t="inlineStr">
        <is>
          <t>Familiar</t>
        </is>
      </c>
      <c r="P3527" t="inlineStr">
        <is>
          <t>STATE</t>
        </is>
      </c>
      <c r="Q3527" t="n">
        <v>56.234</v>
      </c>
      <c r="R3527" t="n">
        <v>56.434</v>
      </c>
      <c r="S3527" t="n">
        <v>0.2</v>
      </c>
      <c r="T3527" t="inlineStr">
        <is>
          <t>WT\test\c50m1.mp4</t>
        </is>
      </c>
      <c r="U3527" t="n">
        <v>1683</v>
      </c>
      <c r="V3527" t="n">
        <v>1689</v>
      </c>
      <c r="W3527" t="n">
        <v/>
      </c>
      <c r="X3527" t="n">
        <v/>
      </c>
      <c r="Y3527" t="n">
        <v/>
      </c>
      <c r="Z3527" t="n">
        <v/>
      </c>
      <c r="AA3527">
        <f>SUMIFS($S$2:S3527,$A$2:A3527,A3527,$N$2:N3527,"Explore*")</f>
        <v/>
      </c>
      <c r="AB3527">
        <f>IF(AND(LEFT(N3527,7)="Explore",(AA3527-IF(LEFT(N3527,7)="Explore",S3527,0))&lt;10),"SI","NO")</f>
        <v/>
      </c>
    </row>
    <row r="3528">
      <c r="A3528" t="inlineStr">
        <is>
          <t>c50m1_test</t>
        </is>
      </c>
      <c r="B3528" t="inlineStr">
        <is>
          <t>2026-02-18 11:19:26.393</t>
        </is>
      </c>
      <c r="C3528" t="n">
        <v/>
      </c>
      <c r="D3528" t="inlineStr">
        <is>
          <t>Media file</t>
        </is>
      </c>
      <c r="E3528" t="inlineStr">
        <is>
          <t>player #1:WT\test\c50m1.mp4</t>
        </is>
      </c>
      <c r="F3528" t="n">
        <v>-9.233000000000001</v>
      </c>
      <c r="G3528" t="n">
        <v>591.766</v>
      </c>
      <c r="H3528" t="n">
        <v>630.7329999999999</v>
      </c>
      <c r="I3528" t="n">
        <v>30</v>
      </c>
      <c r="J3528" t="inlineStr">
        <is>
          <t xml:space="preserve"> WT</t>
        </is>
      </c>
      <c r="K3528" t="inlineStr">
        <is>
          <t>Male</t>
        </is>
      </c>
      <c r="L3528" t="inlineStr">
        <is>
          <t>No focal subject</t>
        </is>
      </c>
      <c r="M3528" t="n">
        <v>24.634</v>
      </c>
      <c r="N3528" t="inlineStr">
        <is>
          <t>Explore_N</t>
        </is>
      </c>
      <c r="O3528" t="inlineStr">
        <is>
          <t>Novelty</t>
        </is>
      </c>
      <c r="P3528" t="inlineStr">
        <is>
          <t>STATE</t>
        </is>
      </c>
      <c r="Q3528" t="n">
        <v>61.5</v>
      </c>
      <c r="R3528" t="n">
        <v>62.534</v>
      </c>
      <c r="S3528" t="n">
        <v>1.034</v>
      </c>
      <c r="T3528" t="inlineStr">
        <is>
          <t>WT\test\c50m1.mp4</t>
        </is>
      </c>
      <c r="U3528" t="n">
        <v>1843</v>
      </c>
      <c r="V3528" t="n">
        <v>1872</v>
      </c>
      <c r="W3528" t="n">
        <v/>
      </c>
      <c r="X3528" t="n">
        <v/>
      </c>
      <c r="Y3528" t="n">
        <v/>
      </c>
      <c r="Z3528" t="n">
        <v/>
      </c>
      <c r="AA3528">
        <f>SUMIFS($S$2:S3528,$A$2:A3528,A3528,$N$2:N3528,"Explore*")</f>
        <v/>
      </c>
      <c r="AB3528">
        <f>IF(AND(LEFT(N3528,7)="Explore",(AA3528-IF(LEFT(N3528,7)="Explore",S3528,0))&lt;10),"SI","NO")</f>
        <v/>
      </c>
    </row>
    <row r="3529">
      <c r="A3529" t="inlineStr">
        <is>
          <t>c50m1_test</t>
        </is>
      </c>
      <c r="B3529" t="inlineStr">
        <is>
          <t>2026-02-18 11:19:26.393</t>
        </is>
      </c>
      <c r="C3529" t="n">
        <v/>
      </c>
      <c r="D3529" t="inlineStr">
        <is>
          <t>Media file</t>
        </is>
      </c>
      <c r="E3529" t="inlineStr">
        <is>
          <t>player #1:WT\test\c50m1.mp4</t>
        </is>
      </c>
      <c r="F3529" t="n">
        <v>-9.233000000000001</v>
      </c>
      <c r="G3529" t="n">
        <v>591.766</v>
      </c>
      <c r="H3529" t="n">
        <v>630.7329999999999</v>
      </c>
      <c r="I3529" t="n">
        <v>30</v>
      </c>
      <c r="J3529" t="inlineStr">
        <is>
          <t xml:space="preserve"> WT</t>
        </is>
      </c>
      <c r="K3529" t="inlineStr">
        <is>
          <t>Male</t>
        </is>
      </c>
      <c r="L3529" t="inlineStr">
        <is>
          <t>No focal subject</t>
        </is>
      </c>
      <c r="M3529" t="n">
        <v>24.634</v>
      </c>
      <c r="N3529" t="inlineStr">
        <is>
          <t>Explore_F</t>
        </is>
      </c>
      <c r="O3529" t="inlineStr">
        <is>
          <t>Familiar</t>
        </is>
      </c>
      <c r="P3529" t="inlineStr">
        <is>
          <t>STATE</t>
        </is>
      </c>
      <c r="Q3529" t="n">
        <v>90.73399999999999</v>
      </c>
      <c r="R3529" t="n">
        <v>90.934</v>
      </c>
      <c r="S3529" t="n">
        <v>0.2</v>
      </c>
      <c r="T3529" t="inlineStr">
        <is>
          <t>WT\test\c50m1.mp4</t>
        </is>
      </c>
      <c r="U3529" t="n">
        <v>2715</v>
      </c>
      <c r="V3529" t="n">
        <v>2721</v>
      </c>
      <c r="W3529" t="n">
        <v/>
      </c>
      <c r="X3529" t="n">
        <v/>
      </c>
      <c r="Y3529" t="n">
        <v/>
      </c>
      <c r="Z3529" t="n">
        <v/>
      </c>
      <c r="AA3529">
        <f>SUMIFS($S$2:S3529,$A$2:A3529,A3529,$N$2:N3529,"Explore*")</f>
        <v/>
      </c>
      <c r="AB3529">
        <f>IF(AND(LEFT(N3529,7)="Explore",(AA3529-IF(LEFT(N3529,7)="Explore",S3529,0))&lt;10),"SI","NO")</f>
        <v/>
      </c>
    </row>
    <row r="3530">
      <c r="A3530" t="inlineStr">
        <is>
          <t>c50m1_test</t>
        </is>
      </c>
      <c r="B3530" t="inlineStr">
        <is>
          <t>2026-02-18 11:19:26.393</t>
        </is>
      </c>
      <c r="C3530" t="n">
        <v/>
      </c>
      <c r="D3530" t="inlineStr">
        <is>
          <t>Media file</t>
        </is>
      </c>
      <c r="E3530" t="inlineStr">
        <is>
          <t>player #1:WT\test\c50m1.mp4</t>
        </is>
      </c>
      <c r="F3530" t="n">
        <v>-9.233000000000001</v>
      </c>
      <c r="G3530" t="n">
        <v>591.766</v>
      </c>
      <c r="H3530" t="n">
        <v>630.7329999999999</v>
      </c>
      <c r="I3530" t="n">
        <v>30</v>
      </c>
      <c r="J3530" t="inlineStr">
        <is>
          <t xml:space="preserve"> WT</t>
        </is>
      </c>
      <c r="K3530" t="inlineStr">
        <is>
          <t>Male</t>
        </is>
      </c>
      <c r="L3530" t="inlineStr">
        <is>
          <t>No focal subject</t>
        </is>
      </c>
      <c r="M3530" t="n">
        <v>24.634</v>
      </c>
      <c r="N3530" t="inlineStr">
        <is>
          <t>Explore_F</t>
        </is>
      </c>
      <c r="O3530" t="inlineStr">
        <is>
          <t>Familiar</t>
        </is>
      </c>
      <c r="P3530" t="inlineStr">
        <is>
          <t>STATE</t>
        </is>
      </c>
      <c r="Q3530" t="n">
        <v>122.767</v>
      </c>
      <c r="R3530" t="n">
        <v>123.1</v>
      </c>
      <c r="S3530" t="n">
        <v>0.333</v>
      </c>
      <c r="T3530" t="inlineStr">
        <is>
          <t>WT\test\c50m1.mp4</t>
        </is>
      </c>
      <c r="U3530" t="n">
        <v>3674</v>
      </c>
      <c r="V3530" t="n">
        <v>3684</v>
      </c>
      <c r="W3530" t="n">
        <v/>
      </c>
      <c r="X3530" t="n">
        <v/>
      </c>
      <c r="Y3530" t="n">
        <v/>
      </c>
      <c r="Z3530" t="n">
        <v/>
      </c>
      <c r="AA3530">
        <f>SUMIFS($S$2:S3530,$A$2:A3530,A3530,$N$2:N3530,"Explore*")</f>
        <v/>
      </c>
      <c r="AB3530">
        <f>IF(AND(LEFT(N3530,7)="Explore",(AA3530-IF(LEFT(N3530,7)="Explore",S3530,0))&lt;10),"SI","NO")</f>
        <v/>
      </c>
    </row>
    <row r="3531">
      <c r="A3531" t="inlineStr">
        <is>
          <t>c50m1_test</t>
        </is>
      </c>
      <c r="B3531" t="inlineStr">
        <is>
          <t>2026-02-18 11:19:26.393</t>
        </is>
      </c>
      <c r="C3531" t="n">
        <v/>
      </c>
      <c r="D3531" t="inlineStr">
        <is>
          <t>Media file</t>
        </is>
      </c>
      <c r="E3531" t="inlineStr">
        <is>
          <t>player #1:WT\test\c50m1.mp4</t>
        </is>
      </c>
      <c r="F3531" t="n">
        <v>-9.233000000000001</v>
      </c>
      <c r="G3531" t="n">
        <v>591.766</v>
      </c>
      <c r="H3531" t="n">
        <v>630.7329999999999</v>
      </c>
      <c r="I3531" t="n">
        <v>30</v>
      </c>
      <c r="J3531" t="inlineStr">
        <is>
          <t xml:space="preserve"> WT</t>
        </is>
      </c>
      <c r="K3531" t="inlineStr">
        <is>
          <t>Male</t>
        </is>
      </c>
      <c r="L3531" t="inlineStr">
        <is>
          <t>No focal subject</t>
        </is>
      </c>
      <c r="M3531" t="n">
        <v>24.634</v>
      </c>
      <c r="N3531" t="inlineStr">
        <is>
          <t>Explore_F</t>
        </is>
      </c>
      <c r="O3531" t="inlineStr">
        <is>
          <t>Familiar</t>
        </is>
      </c>
      <c r="P3531" t="inlineStr">
        <is>
          <t>STATE</t>
        </is>
      </c>
      <c r="Q3531" t="n">
        <v>125.934</v>
      </c>
      <c r="R3531" t="n">
        <v>126.1</v>
      </c>
      <c r="S3531" t="n">
        <v>0.166</v>
      </c>
      <c r="T3531" t="inlineStr">
        <is>
          <t>WT\test\c50m1.mp4</t>
        </is>
      </c>
      <c r="U3531" t="n">
        <v>3769</v>
      </c>
      <c r="V3531" t="n">
        <v>3774</v>
      </c>
      <c r="W3531" t="n">
        <v/>
      </c>
      <c r="X3531" t="n">
        <v/>
      </c>
      <c r="Y3531" t="n">
        <v/>
      </c>
      <c r="Z3531" t="n">
        <v/>
      </c>
      <c r="AA3531">
        <f>SUMIFS($S$2:S3531,$A$2:A3531,A3531,$N$2:N3531,"Explore*")</f>
        <v/>
      </c>
      <c r="AB3531">
        <f>IF(AND(LEFT(N3531,7)="Explore",(AA3531-IF(LEFT(N3531,7)="Explore",S3531,0))&lt;10),"SI","NO")</f>
        <v/>
      </c>
    </row>
    <row r="3532">
      <c r="A3532" t="inlineStr">
        <is>
          <t>c50m1_test</t>
        </is>
      </c>
      <c r="B3532" t="inlineStr">
        <is>
          <t>2026-02-18 11:19:26.393</t>
        </is>
      </c>
      <c r="C3532" t="n">
        <v/>
      </c>
      <c r="D3532" t="inlineStr">
        <is>
          <t>Media file</t>
        </is>
      </c>
      <c r="E3532" t="inlineStr">
        <is>
          <t>player #1:WT\test\c50m1.mp4</t>
        </is>
      </c>
      <c r="F3532" t="n">
        <v>-9.233000000000001</v>
      </c>
      <c r="G3532" t="n">
        <v>591.766</v>
      </c>
      <c r="H3532" t="n">
        <v>630.7329999999999</v>
      </c>
      <c r="I3532" t="n">
        <v>30</v>
      </c>
      <c r="J3532" t="inlineStr">
        <is>
          <t xml:space="preserve"> WT</t>
        </is>
      </c>
      <c r="K3532" t="inlineStr">
        <is>
          <t>Male</t>
        </is>
      </c>
      <c r="L3532" t="inlineStr">
        <is>
          <t>No focal subject</t>
        </is>
      </c>
      <c r="M3532" t="n">
        <v>24.634</v>
      </c>
      <c r="N3532" t="inlineStr">
        <is>
          <t>Explore_F</t>
        </is>
      </c>
      <c r="O3532" t="inlineStr">
        <is>
          <t>Familiar</t>
        </is>
      </c>
      <c r="P3532" t="inlineStr">
        <is>
          <t>STATE</t>
        </is>
      </c>
      <c r="Q3532" t="n">
        <v>138.6</v>
      </c>
      <c r="R3532" t="n">
        <v>138.8</v>
      </c>
      <c r="S3532" t="n">
        <v>0.2</v>
      </c>
      <c r="T3532" t="inlineStr">
        <is>
          <t>WT\test\c50m1.mp4</t>
        </is>
      </c>
      <c r="U3532" t="n">
        <v>4148</v>
      </c>
      <c r="V3532" t="n">
        <v>4154</v>
      </c>
      <c r="W3532" t="n">
        <v/>
      </c>
      <c r="X3532" t="n">
        <v/>
      </c>
      <c r="Y3532" t="n">
        <v/>
      </c>
      <c r="Z3532" t="n">
        <v/>
      </c>
      <c r="AA3532">
        <f>SUMIFS($S$2:S3532,$A$2:A3532,A3532,$N$2:N3532,"Explore*")</f>
        <v/>
      </c>
      <c r="AB3532">
        <f>IF(AND(LEFT(N3532,7)="Explore",(AA3532-IF(LEFT(N3532,7)="Explore",S3532,0))&lt;10),"SI","NO")</f>
        <v/>
      </c>
    </row>
    <row r="3533">
      <c r="A3533" t="inlineStr">
        <is>
          <t>c50m1_test</t>
        </is>
      </c>
      <c r="B3533" t="inlineStr">
        <is>
          <t>2026-02-18 11:19:26.393</t>
        </is>
      </c>
      <c r="C3533" t="n">
        <v/>
      </c>
      <c r="D3533" t="inlineStr">
        <is>
          <t>Media file</t>
        </is>
      </c>
      <c r="E3533" t="inlineStr">
        <is>
          <t>player #1:WT\test\c50m1.mp4</t>
        </is>
      </c>
      <c r="F3533" t="n">
        <v>-9.233000000000001</v>
      </c>
      <c r="G3533" t="n">
        <v>591.766</v>
      </c>
      <c r="H3533" t="n">
        <v>630.7329999999999</v>
      </c>
      <c r="I3533" t="n">
        <v>30</v>
      </c>
      <c r="J3533" t="inlineStr">
        <is>
          <t xml:space="preserve"> WT</t>
        </is>
      </c>
      <c r="K3533" t="inlineStr">
        <is>
          <t>Male</t>
        </is>
      </c>
      <c r="L3533" t="inlineStr">
        <is>
          <t>No focal subject</t>
        </is>
      </c>
      <c r="M3533" t="n">
        <v>24.634</v>
      </c>
      <c r="N3533" t="inlineStr">
        <is>
          <t>Explore_N</t>
        </is>
      </c>
      <c r="O3533" t="inlineStr">
        <is>
          <t>Novelty</t>
        </is>
      </c>
      <c r="P3533" t="inlineStr">
        <is>
          <t>STATE</t>
        </is>
      </c>
      <c r="Q3533" t="n">
        <v>140.5</v>
      </c>
      <c r="R3533" t="n">
        <v>140.7</v>
      </c>
      <c r="S3533" t="n">
        <v>0.2</v>
      </c>
      <c r="T3533" t="inlineStr">
        <is>
          <t>WT\test\c50m1.mp4</t>
        </is>
      </c>
      <c r="U3533" t="n">
        <v>4207</v>
      </c>
      <c r="V3533" t="n">
        <v>4211</v>
      </c>
      <c r="W3533" t="n">
        <v/>
      </c>
      <c r="X3533" t="n">
        <v/>
      </c>
      <c r="Y3533" t="n">
        <v/>
      </c>
      <c r="Z3533" t="n">
        <v/>
      </c>
      <c r="AA3533">
        <f>SUMIFS($S$2:S3533,$A$2:A3533,A3533,$N$2:N3533,"Explore*")</f>
        <v/>
      </c>
      <c r="AB3533">
        <f>IF(AND(LEFT(N3533,7)="Explore",(AA3533-IF(LEFT(N3533,7)="Explore",S3533,0))&lt;10),"SI","NO")</f>
        <v/>
      </c>
    </row>
    <row r="3534">
      <c r="A3534" t="inlineStr">
        <is>
          <t>c50m1_test</t>
        </is>
      </c>
      <c r="B3534" t="inlineStr">
        <is>
          <t>2026-02-18 11:19:26.393</t>
        </is>
      </c>
      <c r="C3534" t="n">
        <v/>
      </c>
      <c r="D3534" t="inlineStr">
        <is>
          <t>Media file</t>
        </is>
      </c>
      <c r="E3534" t="inlineStr">
        <is>
          <t>player #1:WT\test\c50m1.mp4</t>
        </is>
      </c>
      <c r="F3534" t="n">
        <v>-9.233000000000001</v>
      </c>
      <c r="G3534" t="n">
        <v>591.766</v>
      </c>
      <c r="H3534" t="n">
        <v>630.7329999999999</v>
      </c>
      <c r="I3534" t="n">
        <v>30</v>
      </c>
      <c r="J3534" t="inlineStr">
        <is>
          <t xml:space="preserve"> WT</t>
        </is>
      </c>
      <c r="K3534" t="inlineStr">
        <is>
          <t>Male</t>
        </is>
      </c>
      <c r="L3534" t="inlineStr">
        <is>
          <t>No focal subject</t>
        </is>
      </c>
      <c r="M3534" t="n">
        <v>24.634</v>
      </c>
      <c r="N3534" t="inlineStr">
        <is>
          <t>Explore_F</t>
        </is>
      </c>
      <c r="O3534" t="inlineStr">
        <is>
          <t>Familiar</t>
        </is>
      </c>
      <c r="P3534" t="inlineStr">
        <is>
          <t>STATE</t>
        </is>
      </c>
      <c r="Q3534" t="n">
        <v>149.767</v>
      </c>
      <c r="R3534" t="n">
        <v>149.967</v>
      </c>
      <c r="S3534" t="n">
        <v>0.2</v>
      </c>
      <c r="T3534" t="inlineStr">
        <is>
          <t>WT\test\c50m1.mp4</t>
        </is>
      </c>
      <c r="U3534" t="n">
        <v>4482</v>
      </c>
      <c r="V3534" t="n">
        <v>4488</v>
      </c>
      <c r="W3534" t="n">
        <v/>
      </c>
      <c r="X3534" t="n">
        <v/>
      </c>
      <c r="Y3534" t="n">
        <v/>
      </c>
      <c r="Z3534" t="n">
        <v/>
      </c>
      <c r="AA3534">
        <f>SUMIFS($S$2:S3534,$A$2:A3534,A3534,$N$2:N3534,"Explore*")</f>
        <v/>
      </c>
      <c r="AB3534">
        <f>IF(AND(LEFT(N3534,7)="Explore",(AA3534-IF(LEFT(N3534,7)="Explore",S3534,0))&lt;10),"SI","NO")</f>
        <v/>
      </c>
    </row>
    <row r="3535">
      <c r="A3535" t="inlineStr">
        <is>
          <t>c50m1_test</t>
        </is>
      </c>
      <c r="B3535" t="inlineStr">
        <is>
          <t>2026-02-18 11:19:26.393</t>
        </is>
      </c>
      <c r="C3535" t="n">
        <v/>
      </c>
      <c r="D3535" t="inlineStr">
        <is>
          <t>Media file</t>
        </is>
      </c>
      <c r="E3535" t="inlineStr">
        <is>
          <t>player #1:WT\test\c50m1.mp4</t>
        </is>
      </c>
      <c r="F3535" t="n">
        <v>-9.233000000000001</v>
      </c>
      <c r="G3535" t="n">
        <v>591.766</v>
      </c>
      <c r="H3535" t="n">
        <v>630.7329999999999</v>
      </c>
      <c r="I3535" t="n">
        <v>30</v>
      </c>
      <c r="J3535" t="inlineStr">
        <is>
          <t xml:space="preserve"> WT</t>
        </is>
      </c>
      <c r="K3535" t="inlineStr">
        <is>
          <t>Male</t>
        </is>
      </c>
      <c r="L3535" t="inlineStr">
        <is>
          <t>No focal subject</t>
        </is>
      </c>
      <c r="M3535" t="n">
        <v>24.634</v>
      </c>
      <c r="N3535" t="inlineStr">
        <is>
          <t>Explore_F</t>
        </is>
      </c>
      <c r="O3535" t="inlineStr">
        <is>
          <t>Familiar</t>
        </is>
      </c>
      <c r="P3535" t="inlineStr">
        <is>
          <t>STATE</t>
        </is>
      </c>
      <c r="Q3535" t="n">
        <v>161.833</v>
      </c>
      <c r="R3535" t="n">
        <v>162.033</v>
      </c>
      <c r="S3535" t="n">
        <v>0.2</v>
      </c>
      <c r="T3535" t="inlineStr">
        <is>
          <t>WT\test\c50m1.mp4</t>
        </is>
      </c>
      <c r="U3535" t="n">
        <v>4843</v>
      </c>
      <c r="V3535" t="n">
        <v>4850</v>
      </c>
      <c r="W3535" t="n">
        <v/>
      </c>
      <c r="X3535" t="n">
        <v/>
      </c>
      <c r="Y3535" t="n">
        <v/>
      </c>
      <c r="Z3535" t="n">
        <v/>
      </c>
      <c r="AA3535">
        <f>SUMIFS($S$2:S3535,$A$2:A3535,A3535,$N$2:N3535,"Explore*")</f>
        <v/>
      </c>
      <c r="AB3535">
        <f>IF(AND(LEFT(N3535,7)="Explore",(AA3535-IF(LEFT(N3535,7)="Explore",S3535,0))&lt;10),"SI","NO")</f>
        <v/>
      </c>
    </row>
    <row r="3536">
      <c r="A3536" t="inlineStr">
        <is>
          <t>c50m1_test</t>
        </is>
      </c>
      <c r="B3536" t="inlineStr">
        <is>
          <t>2026-02-18 11:19:26.393</t>
        </is>
      </c>
      <c r="C3536" t="n">
        <v/>
      </c>
      <c r="D3536" t="inlineStr">
        <is>
          <t>Media file</t>
        </is>
      </c>
      <c r="E3536" t="inlineStr">
        <is>
          <t>player #1:WT\test\c50m1.mp4</t>
        </is>
      </c>
      <c r="F3536" t="n">
        <v>-9.233000000000001</v>
      </c>
      <c r="G3536" t="n">
        <v>591.766</v>
      </c>
      <c r="H3536" t="n">
        <v>630.7329999999999</v>
      </c>
      <c r="I3536" t="n">
        <v>30</v>
      </c>
      <c r="J3536" t="inlineStr">
        <is>
          <t xml:space="preserve"> WT</t>
        </is>
      </c>
      <c r="K3536" t="inlineStr">
        <is>
          <t>Male</t>
        </is>
      </c>
      <c r="L3536" t="inlineStr">
        <is>
          <t>No focal subject</t>
        </is>
      </c>
      <c r="M3536" t="n">
        <v>24.634</v>
      </c>
      <c r="N3536" t="inlineStr">
        <is>
          <t>Explore_N</t>
        </is>
      </c>
      <c r="O3536" t="inlineStr">
        <is>
          <t>Novelty</t>
        </is>
      </c>
      <c r="P3536" t="inlineStr">
        <is>
          <t>STATE</t>
        </is>
      </c>
      <c r="Q3536" t="n">
        <v>171.2</v>
      </c>
      <c r="R3536" t="n">
        <v>171.533</v>
      </c>
      <c r="S3536" t="n">
        <v>0.333</v>
      </c>
      <c r="T3536" t="inlineStr">
        <is>
          <t>WT\test\c50m1.mp4</t>
        </is>
      </c>
      <c r="U3536" t="n">
        <v>5124</v>
      </c>
      <c r="V3536" t="n">
        <v>5135</v>
      </c>
      <c r="W3536" t="n">
        <v/>
      </c>
      <c r="X3536" t="n">
        <v/>
      </c>
      <c r="Y3536" t="n">
        <v/>
      </c>
      <c r="Z3536" t="n">
        <v/>
      </c>
      <c r="AA3536">
        <f>SUMIFS($S$2:S3536,$A$2:A3536,A3536,$N$2:N3536,"Explore*")</f>
        <v/>
      </c>
      <c r="AB3536">
        <f>IF(AND(LEFT(N3536,7)="Explore",(AA3536-IF(LEFT(N3536,7)="Explore",S3536,0))&lt;10),"SI","NO")</f>
        <v/>
      </c>
    </row>
    <row r="3537">
      <c r="A3537" t="inlineStr">
        <is>
          <t>c50m1_test</t>
        </is>
      </c>
      <c r="B3537" t="inlineStr">
        <is>
          <t>2026-02-18 11:19:26.393</t>
        </is>
      </c>
      <c r="C3537" t="n">
        <v/>
      </c>
      <c r="D3537" t="inlineStr">
        <is>
          <t>Media file</t>
        </is>
      </c>
      <c r="E3537" t="inlineStr">
        <is>
          <t>player #1:WT\test\c50m1.mp4</t>
        </is>
      </c>
      <c r="F3537" t="n">
        <v>-9.233000000000001</v>
      </c>
      <c r="G3537" t="n">
        <v>591.766</v>
      </c>
      <c r="H3537" t="n">
        <v>630.7329999999999</v>
      </c>
      <c r="I3537" t="n">
        <v>30</v>
      </c>
      <c r="J3537" t="inlineStr">
        <is>
          <t xml:space="preserve"> WT</t>
        </is>
      </c>
      <c r="K3537" t="inlineStr">
        <is>
          <t>Male</t>
        </is>
      </c>
      <c r="L3537" t="inlineStr">
        <is>
          <t>No focal subject</t>
        </is>
      </c>
      <c r="M3537" t="n">
        <v>24.634</v>
      </c>
      <c r="N3537" t="inlineStr">
        <is>
          <t>Explore_N</t>
        </is>
      </c>
      <c r="O3537" t="inlineStr">
        <is>
          <t>Novelty</t>
        </is>
      </c>
      <c r="P3537" t="inlineStr">
        <is>
          <t>STATE</t>
        </is>
      </c>
      <c r="Q3537" t="n">
        <v>172.233</v>
      </c>
      <c r="R3537" t="n">
        <v>172.8</v>
      </c>
      <c r="S3537" t="n">
        <v>0.5669999999999999</v>
      </c>
      <c r="T3537" t="inlineStr">
        <is>
          <t>WT\test\c50m1.mp4</t>
        </is>
      </c>
      <c r="U3537" t="n">
        <v>5154</v>
      </c>
      <c r="V3537" t="n">
        <v>5171</v>
      </c>
      <c r="W3537" t="n">
        <v/>
      </c>
      <c r="X3537" t="n">
        <v/>
      </c>
      <c r="Y3537" t="n">
        <v/>
      </c>
      <c r="Z3537" t="n">
        <v/>
      </c>
      <c r="AA3537">
        <f>SUMIFS($S$2:S3537,$A$2:A3537,A3537,$N$2:N3537,"Explore*")</f>
        <v/>
      </c>
      <c r="AB3537">
        <f>IF(AND(LEFT(N3537,7)="Explore",(AA3537-IF(LEFT(N3537,7)="Explore",S3537,0))&lt;10),"SI","NO")</f>
        <v/>
      </c>
    </row>
    <row r="3538">
      <c r="A3538" t="inlineStr">
        <is>
          <t>c50m1_test</t>
        </is>
      </c>
      <c r="B3538" t="inlineStr">
        <is>
          <t>2026-02-18 11:19:26.393</t>
        </is>
      </c>
      <c r="C3538" t="n">
        <v/>
      </c>
      <c r="D3538" t="inlineStr">
        <is>
          <t>Media file</t>
        </is>
      </c>
      <c r="E3538" t="inlineStr">
        <is>
          <t>player #1:WT\test\c50m1.mp4</t>
        </is>
      </c>
      <c r="F3538" t="n">
        <v>-9.233000000000001</v>
      </c>
      <c r="G3538" t="n">
        <v>591.766</v>
      </c>
      <c r="H3538" t="n">
        <v>630.7329999999999</v>
      </c>
      <c r="I3538" t="n">
        <v>30</v>
      </c>
      <c r="J3538" t="inlineStr">
        <is>
          <t xml:space="preserve"> WT</t>
        </is>
      </c>
      <c r="K3538" t="inlineStr">
        <is>
          <t>Male</t>
        </is>
      </c>
      <c r="L3538" t="inlineStr">
        <is>
          <t>No focal subject</t>
        </is>
      </c>
      <c r="M3538" t="n">
        <v>24.634</v>
      </c>
      <c r="N3538" t="inlineStr">
        <is>
          <t>Explore_N</t>
        </is>
      </c>
      <c r="O3538" t="inlineStr">
        <is>
          <t>Novelty</t>
        </is>
      </c>
      <c r="P3538" t="inlineStr">
        <is>
          <t>STATE</t>
        </is>
      </c>
      <c r="Q3538" t="n">
        <v>181.333</v>
      </c>
      <c r="R3538" t="n">
        <v>181.6</v>
      </c>
      <c r="S3538" t="n">
        <v>0.267</v>
      </c>
      <c r="T3538" t="inlineStr">
        <is>
          <t>WT\test\c50m1.mp4</t>
        </is>
      </c>
      <c r="U3538" t="n">
        <v>5427</v>
      </c>
      <c r="V3538" t="n">
        <v>5435</v>
      </c>
      <c r="W3538" t="n">
        <v/>
      </c>
      <c r="X3538" t="n">
        <v/>
      </c>
      <c r="Y3538" t="n">
        <v/>
      </c>
      <c r="Z3538" t="n">
        <v/>
      </c>
      <c r="AA3538">
        <f>SUMIFS($S$2:S3538,$A$2:A3538,A3538,$N$2:N3538,"Explore*")</f>
        <v/>
      </c>
      <c r="AB3538">
        <f>IF(AND(LEFT(N3538,7)="Explore",(AA3538-IF(LEFT(N3538,7)="Explore",S3538,0))&lt;10),"SI","NO")</f>
        <v/>
      </c>
    </row>
    <row r="3539">
      <c r="A3539" t="inlineStr">
        <is>
          <t>c50m1_test</t>
        </is>
      </c>
      <c r="B3539" t="inlineStr">
        <is>
          <t>2026-02-18 11:19:26.393</t>
        </is>
      </c>
      <c r="C3539" t="n">
        <v/>
      </c>
      <c r="D3539" t="inlineStr">
        <is>
          <t>Media file</t>
        </is>
      </c>
      <c r="E3539" t="inlineStr">
        <is>
          <t>player #1:WT\test\c50m1.mp4</t>
        </is>
      </c>
      <c r="F3539" t="n">
        <v>-9.233000000000001</v>
      </c>
      <c r="G3539" t="n">
        <v>591.766</v>
      </c>
      <c r="H3539" t="n">
        <v>630.7329999999999</v>
      </c>
      <c r="I3539" t="n">
        <v>30</v>
      </c>
      <c r="J3539" t="inlineStr">
        <is>
          <t xml:space="preserve"> WT</t>
        </is>
      </c>
      <c r="K3539" t="inlineStr">
        <is>
          <t>Male</t>
        </is>
      </c>
      <c r="L3539" t="inlineStr">
        <is>
          <t>No focal subject</t>
        </is>
      </c>
      <c r="M3539" t="n">
        <v>24.634</v>
      </c>
      <c r="N3539" t="inlineStr">
        <is>
          <t>Explore_F</t>
        </is>
      </c>
      <c r="O3539" t="inlineStr">
        <is>
          <t>Familiar</t>
        </is>
      </c>
      <c r="P3539" t="inlineStr">
        <is>
          <t>STATE</t>
        </is>
      </c>
      <c r="Q3539" t="n">
        <v>197.967</v>
      </c>
      <c r="R3539" t="n">
        <v>198.2</v>
      </c>
      <c r="S3539" t="n">
        <v>0.233</v>
      </c>
      <c r="T3539" t="inlineStr">
        <is>
          <t>WT\test\c50m1.mp4</t>
        </is>
      </c>
      <c r="U3539" t="n">
        <v>5925</v>
      </c>
      <c r="V3539" t="n">
        <v>5932</v>
      </c>
      <c r="W3539" t="n">
        <v/>
      </c>
      <c r="X3539" t="n">
        <v/>
      </c>
      <c r="Y3539" t="n">
        <v/>
      </c>
      <c r="Z3539" t="n">
        <v/>
      </c>
      <c r="AA3539">
        <f>SUMIFS($S$2:S3539,$A$2:A3539,A3539,$N$2:N3539,"Explore*")</f>
        <v/>
      </c>
      <c r="AB3539">
        <f>IF(AND(LEFT(N3539,7)="Explore",(AA3539-IF(LEFT(N3539,7)="Explore",S3539,0))&lt;10),"SI","NO")</f>
        <v/>
      </c>
    </row>
    <row r="3540">
      <c r="A3540" t="inlineStr">
        <is>
          <t>c50m1_test</t>
        </is>
      </c>
      <c r="B3540" t="inlineStr">
        <is>
          <t>2026-02-18 11:19:26.393</t>
        </is>
      </c>
      <c r="C3540" t="n">
        <v/>
      </c>
      <c r="D3540" t="inlineStr">
        <is>
          <t>Media file</t>
        </is>
      </c>
      <c r="E3540" t="inlineStr">
        <is>
          <t>player #1:WT\test\c50m1.mp4</t>
        </is>
      </c>
      <c r="F3540" t="n">
        <v>-9.233000000000001</v>
      </c>
      <c r="G3540" t="n">
        <v>591.766</v>
      </c>
      <c r="H3540" t="n">
        <v>630.7329999999999</v>
      </c>
      <c r="I3540" t="n">
        <v>30</v>
      </c>
      <c r="J3540" t="inlineStr">
        <is>
          <t xml:space="preserve"> WT</t>
        </is>
      </c>
      <c r="K3540" t="inlineStr">
        <is>
          <t>Male</t>
        </is>
      </c>
      <c r="L3540" t="inlineStr">
        <is>
          <t>No focal subject</t>
        </is>
      </c>
      <c r="M3540" t="n">
        <v>24.634</v>
      </c>
      <c r="N3540" t="inlineStr">
        <is>
          <t>Explore_F</t>
        </is>
      </c>
      <c r="O3540" t="inlineStr">
        <is>
          <t>Familiar</t>
        </is>
      </c>
      <c r="P3540" t="inlineStr">
        <is>
          <t>STATE</t>
        </is>
      </c>
      <c r="Q3540" t="n">
        <v>214.6</v>
      </c>
      <c r="R3540" t="n">
        <v>214.9</v>
      </c>
      <c r="S3540" t="n">
        <v>0.3</v>
      </c>
      <c r="T3540" t="inlineStr">
        <is>
          <t>WT\test\c50m1.mp4</t>
        </is>
      </c>
      <c r="U3540" t="n">
        <v>6422</v>
      </c>
      <c r="V3540" t="n">
        <v>6431</v>
      </c>
      <c r="W3540" t="n">
        <v/>
      </c>
      <c r="X3540" t="n">
        <v/>
      </c>
      <c r="Y3540" t="n">
        <v/>
      </c>
      <c r="Z3540" t="n">
        <v/>
      </c>
      <c r="AA3540">
        <f>SUMIFS($S$2:S3540,$A$2:A3540,A3540,$N$2:N3540,"Explore*")</f>
        <v/>
      </c>
      <c r="AB3540">
        <f>IF(AND(LEFT(N3540,7)="Explore",(AA3540-IF(LEFT(N3540,7)="Explore",S3540,0))&lt;10),"SI","NO")</f>
        <v/>
      </c>
    </row>
    <row r="3541">
      <c r="A3541" t="inlineStr">
        <is>
          <t>c50m1_test</t>
        </is>
      </c>
      <c r="B3541" t="inlineStr">
        <is>
          <t>2026-02-18 11:19:26.393</t>
        </is>
      </c>
      <c r="C3541" t="n">
        <v/>
      </c>
      <c r="D3541" t="inlineStr">
        <is>
          <t>Media file</t>
        </is>
      </c>
      <c r="E3541" t="inlineStr">
        <is>
          <t>player #1:WT\test\c50m1.mp4</t>
        </is>
      </c>
      <c r="F3541" t="n">
        <v>-9.233000000000001</v>
      </c>
      <c r="G3541" t="n">
        <v>591.766</v>
      </c>
      <c r="H3541" t="n">
        <v>630.7329999999999</v>
      </c>
      <c r="I3541" t="n">
        <v>30</v>
      </c>
      <c r="J3541" t="inlineStr">
        <is>
          <t xml:space="preserve"> WT</t>
        </is>
      </c>
      <c r="K3541" t="inlineStr">
        <is>
          <t>Male</t>
        </is>
      </c>
      <c r="L3541" t="inlineStr">
        <is>
          <t>No focal subject</t>
        </is>
      </c>
      <c r="M3541" t="n">
        <v>24.634</v>
      </c>
      <c r="N3541" t="inlineStr">
        <is>
          <t>Explore_F</t>
        </is>
      </c>
      <c r="O3541" t="inlineStr">
        <is>
          <t>Familiar</t>
        </is>
      </c>
      <c r="P3541" t="inlineStr">
        <is>
          <t>STATE</t>
        </is>
      </c>
      <c r="Q3541" t="n">
        <v>217.6</v>
      </c>
      <c r="R3541" t="n">
        <v>217.867</v>
      </c>
      <c r="S3541" t="n">
        <v>0.267</v>
      </c>
      <c r="T3541" t="inlineStr">
        <is>
          <t>WT\test\c50m1.mp4</t>
        </is>
      </c>
      <c r="U3541" t="n">
        <v>6512</v>
      </c>
      <c r="V3541" t="n">
        <v>6520</v>
      </c>
      <c r="W3541" t="n">
        <v/>
      </c>
      <c r="X3541" t="n">
        <v/>
      </c>
      <c r="Y3541" t="n">
        <v/>
      </c>
      <c r="Z3541" t="n">
        <v/>
      </c>
      <c r="AA3541">
        <f>SUMIFS($S$2:S3541,$A$2:A3541,A3541,$N$2:N3541,"Explore*")</f>
        <v/>
      </c>
      <c r="AB3541">
        <f>IF(AND(LEFT(N3541,7)="Explore",(AA3541-IF(LEFT(N3541,7)="Explore",S3541,0))&lt;10),"SI","NO")</f>
        <v/>
      </c>
    </row>
    <row r="3542">
      <c r="A3542" t="inlineStr">
        <is>
          <t>c50m1_test</t>
        </is>
      </c>
      <c r="B3542" t="inlineStr">
        <is>
          <t>2026-02-18 11:19:26.393</t>
        </is>
      </c>
      <c r="C3542" t="n">
        <v/>
      </c>
      <c r="D3542" t="inlineStr">
        <is>
          <t>Media file</t>
        </is>
      </c>
      <c r="E3542" t="inlineStr">
        <is>
          <t>player #1:WT\test\c50m1.mp4</t>
        </is>
      </c>
      <c r="F3542" t="n">
        <v>-9.233000000000001</v>
      </c>
      <c r="G3542" t="n">
        <v>591.766</v>
      </c>
      <c r="H3542" t="n">
        <v>630.7329999999999</v>
      </c>
      <c r="I3542" t="n">
        <v>30</v>
      </c>
      <c r="J3542" t="inlineStr">
        <is>
          <t xml:space="preserve"> WT</t>
        </is>
      </c>
      <c r="K3542" t="inlineStr">
        <is>
          <t>Male</t>
        </is>
      </c>
      <c r="L3542" t="inlineStr">
        <is>
          <t>No focal subject</t>
        </is>
      </c>
      <c r="M3542" t="n">
        <v>24.634</v>
      </c>
      <c r="N3542" t="inlineStr">
        <is>
          <t>Explore_F</t>
        </is>
      </c>
      <c r="O3542" t="inlineStr">
        <is>
          <t>Familiar</t>
        </is>
      </c>
      <c r="P3542" t="inlineStr">
        <is>
          <t>STATE</t>
        </is>
      </c>
      <c r="Q3542" t="n">
        <v>218.8</v>
      </c>
      <c r="R3542" t="n">
        <v>219</v>
      </c>
      <c r="S3542" t="n">
        <v>0.2</v>
      </c>
      <c r="T3542" t="inlineStr">
        <is>
          <t>WT\test\c50m1.mp4</t>
        </is>
      </c>
      <c r="U3542" t="n">
        <v>6548</v>
      </c>
      <c r="V3542" t="n">
        <v>6556</v>
      </c>
      <c r="W3542" t="n">
        <v/>
      </c>
      <c r="X3542" t="n">
        <v/>
      </c>
      <c r="Y3542" t="n">
        <v/>
      </c>
      <c r="Z3542" t="n">
        <v/>
      </c>
      <c r="AA3542">
        <f>SUMIFS($S$2:S3542,$A$2:A3542,A3542,$N$2:N3542,"Explore*")</f>
        <v/>
      </c>
      <c r="AB3542">
        <f>IF(AND(LEFT(N3542,7)="Explore",(AA3542-IF(LEFT(N3542,7)="Explore",S3542,0))&lt;10),"SI","NO")</f>
        <v/>
      </c>
    </row>
    <row r="3543">
      <c r="A3543" t="inlineStr">
        <is>
          <t>c50m1_test</t>
        </is>
      </c>
      <c r="B3543" t="inlineStr">
        <is>
          <t>2026-02-18 11:19:26.393</t>
        </is>
      </c>
      <c r="C3543" t="n">
        <v/>
      </c>
      <c r="D3543" t="inlineStr">
        <is>
          <t>Media file</t>
        </is>
      </c>
      <c r="E3543" t="inlineStr">
        <is>
          <t>player #1:WT\test\c50m1.mp4</t>
        </is>
      </c>
      <c r="F3543" t="n">
        <v>-9.233000000000001</v>
      </c>
      <c r="G3543" t="n">
        <v>591.766</v>
      </c>
      <c r="H3543" t="n">
        <v>630.7329999999999</v>
      </c>
      <c r="I3543" t="n">
        <v>30</v>
      </c>
      <c r="J3543" t="inlineStr">
        <is>
          <t xml:space="preserve"> WT</t>
        </is>
      </c>
      <c r="K3543" t="inlineStr">
        <is>
          <t>Male</t>
        </is>
      </c>
      <c r="L3543" t="inlineStr">
        <is>
          <t>No focal subject</t>
        </is>
      </c>
      <c r="M3543" t="n">
        <v>24.634</v>
      </c>
      <c r="N3543" t="inlineStr">
        <is>
          <t>Explore_F</t>
        </is>
      </c>
      <c r="O3543" t="inlineStr">
        <is>
          <t>Familiar</t>
        </is>
      </c>
      <c r="P3543" t="inlineStr">
        <is>
          <t>STATE</t>
        </is>
      </c>
      <c r="Q3543" t="n">
        <v>231.733</v>
      </c>
      <c r="R3543" t="n">
        <v>231.9</v>
      </c>
      <c r="S3543" t="n">
        <v>0.167</v>
      </c>
      <c r="T3543" t="inlineStr">
        <is>
          <t>WT\test\c50m1.mp4</t>
        </is>
      </c>
      <c r="U3543" t="n">
        <v>6935</v>
      </c>
      <c r="V3543" t="n">
        <v>6940</v>
      </c>
      <c r="W3543" t="n">
        <v/>
      </c>
      <c r="X3543" t="n">
        <v/>
      </c>
      <c r="Y3543" t="n">
        <v/>
      </c>
      <c r="Z3543" t="n">
        <v/>
      </c>
      <c r="AA3543">
        <f>SUMIFS($S$2:S3543,$A$2:A3543,A3543,$N$2:N3543,"Explore*")</f>
        <v/>
      </c>
      <c r="AB3543">
        <f>IF(AND(LEFT(N3543,7)="Explore",(AA3543-IF(LEFT(N3543,7)="Explore",S3543,0))&lt;10),"SI","NO")</f>
        <v/>
      </c>
    </row>
    <row r="3544">
      <c r="A3544" t="inlineStr">
        <is>
          <t>c50m1_test</t>
        </is>
      </c>
      <c r="B3544" t="inlineStr">
        <is>
          <t>2026-02-18 11:19:26.393</t>
        </is>
      </c>
      <c r="C3544" t="n">
        <v/>
      </c>
      <c r="D3544" t="inlineStr">
        <is>
          <t>Media file</t>
        </is>
      </c>
      <c r="E3544" t="inlineStr">
        <is>
          <t>player #1:WT\test\c50m1.mp4</t>
        </is>
      </c>
      <c r="F3544" t="n">
        <v>-9.233000000000001</v>
      </c>
      <c r="G3544" t="n">
        <v>591.766</v>
      </c>
      <c r="H3544" t="n">
        <v>630.7329999999999</v>
      </c>
      <c r="I3544" t="n">
        <v>30</v>
      </c>
      <c r="J3544" t="inlineStr">
        <is>
          <t xml:space="preserve"> WT</t>
        </is>
      </c>
      <c r="K3544" t="inlineStr">
        <is>
          <t>Male</t>
        </is>
      </c>
      <c r="L3544" t="inlineStr">
        <is>
          <t>No focal subject</t>
        </is>
      </c>
      <c r="M3544" t="n">
        <v>24.634</v>
      </c>
      <c r="N3544" t="inlineStr">
        <is>
          <t>Explore_F</t>
        </is>
      </c>
      <c r="O3544" t="inlineStr">
        <is>
          <t>Familiar</t>
        </is>
      </c>
      <c r="P3544" t="inlineStr">
        <is>
          <t>STATE</t>
        </is>
      </c>
      <c r="Q3544" t="n">
        <v>233.767</v>
      </c>
      <c r="R3544" t="n">
        <v>233.967</v>
      </c>
      <c r="S3544" t="n">
        <v>0.2</v>
      </c>
      <c r="T3544" t="inlineStr">
        <is>
          <t>WT\test\c50m1.mp4</t>
        </is>
      </c>
      <c r="U3544" t="n">
        <v>6996</v>
      </c>
      <c r="V3544" t="n">
        <v>7002</v>
      </c>
      <c r="W3544" t="n">
        <v/>
      </c>
      <c r="X3544" t="n">
        <v/>
      </c>
      <c r="Y3544" t="n">
        <v/>
      </c>
      <c r="Z3544" t="n">
        <v/>
      </c>
      <c r="AA3544">
        <f>SUMIFS($S$2:S3544,$A$2:A3544,A3544,$N$2:N3544,"Explore*")</f>
        <v/>
      </c>
      <c r="AB3544">
        <f>IF(AND(LEFT(N3544,7)="Explore",(AA3544-IF(LEFT(N3544,7)="Explore",S3544,0))&lt;10),"SI","NO")</f>
        <v/>
      </c>
    </row>
    <row r="3545">
      <c r="A3545" t="inlineStr">
        <is>
          <t>c50m1_test</t>
        </is>
      </c>
      <c r="B3545" t="inlineStr">
        <is>
          <t>2026-02-18 11:19:26.393</t>
        </is>
      </c>
      <c r="C3545" t="n">
        <v/>
      </c>
      <c r="D3545" t="inlineStr">
        <is>
          <t>Media file</t>
        </is>
      </c>
      <c r="E3545" t="inlineStr">
        <is>
          <t>player #1:WT\test\c50m1.mp4</t>
        </is>
      </c>
      <c r="F3545" t="n">
        <v>-9.233000000000001</v>
      </c>
      <c r="G3545" t="n">
        <v>591.766</v>
      </c>
      <c r="H3545" t="n">
        <v>630.7329999999999</v>
      </c>
      <c r="I3545" t="n">
        <v>30</v>
      </c>
      <c r="J3545" t="inlineStr">
        <is>
          <t xml:space="preserve"> WT</t>
        </is>
      </c>
      <c r="K3545" t="inlineStr">
        <is>
          <t>Male</t>
        </is>
      </c>
      <c r="L3545" t="inlineStr">
        <is>
          <t>No focal subject</t>
        </is>
      </c>
      <c r="M3545" t="n">
        <v>24.634</v>
      </c>
      <c r="N3545" t="inlineStr">
        <is>
          <t>Explore_N</t>
        </is>
      </c>
      <c r="O3545" t="inlineStr">
        <is>
          <t>Novelty</t>
        </is>
      </c>
      <c r="P3545" t="inlineStr">
        <is>
          <t>STATE</t>
        </is>
      </c>
      <c r="Q3545" t="n">
        <v>238.833</v>
      </c>
      <c r="R3545" t="n">
        <v>239.233</v>
      </c>
      <c r="S3545" t="n">
        <v>0.4</v>
      </c>
      <c r="T3545" t="inlineStr">
        <is>
          <t>WT\test\c50m1.mp4</t>
        </is>
      </c>
      <c r="U3545" t="n">
        <v>7148</v>
      </c>
      <c r="V3545" t="n">
        <v>7160</v>
      </c>
      <c r="W3545" t="n">
        <v/>
      </c>
      <c r="X3545" t="n">
        <v/>
      </c>
      <c r="Y3545" t="n">
        <v/>
      </c>
      <c r="Z3545" t="n">
        <v/>
      </c>
      <c r="AA3545">
        <f>SUMIFS($S$2:S3545,$A$2:A3545,A3545,$N$2:N3545,"Explore*")</f>
        <v/>
      </c>
      <c r="AB3545">
        <f>IF(AND(LEFT(N3545,7)="Explore",(AA3545-IF(LEFT(N3545,7)="Explore",S3545,0))&lt;10),"SI","NO")</f>
        <v/>
      </c>
    </row>
    <row r="3546">
      <c r="A3546" t="inlineStr">
        <is>
          <t>c50m1_test</t>
        </is>
      </c>
      <c r="B3546" t="inlineStr">
        <is>
          <t>2026-02-18 11:19:26.393</t>
        </is>
      </c>
      <c r="C3546" t="n">
        <v/>
      </c>
      <c r="D3546" t="inlineStr">
        <is>
          <t>Media file</t>
        </is>
      </c>
      <c r="E3546" t="inlineStr">
        <is>
          <t>player #1:WT\test\c50m1.mp4</t>
        </is>
      </c>
      <c r="F3546" t="n">
        <v>-9.233000000000001</v>
      </c>
      <c r="G3546" t="n">
        <v>591.766</v>
      </c>
      <c r="H3546" t="n">
        <v>630.7329999999999</v>
      </c>
      <c r="I3546" t="n">
        <v>30</v>
      </c>
      <c r="J3546" t="inlineStr">
        <is>
          <t xml:space="preserve"> WT</t>
        </is>
      </c>
      <c r="K3546" t="inlineStr">
        <is>
          <t>Male</t>
        </is>
      </c>
      <c r="L3546" t="inlineStr">
        <is>
          <t>No focal subject</t>
        </is>
      </c>
      <c r="M3546" t="n">
        <v>24.634</v>
      </c>
      <c r="N3546" t="inlineStr">
        <is>
          <t>Explore_N</t>
        </is>
      </c>
      <c r="O3546" t="inlineStr">
        <is>
          <t>Novelty</t>
        </is>
      </c>
      <c r="P3546" t="inlineStr">
        <is>
          <t>STATE</t>
        </is>
      </c>
      <c r="Q3546" t="n">
        <v>241.933</v>
      </c>
      <c r="R3546" t="n">
        <v>242.2</v>
      </c>
      <c r="S3546" t="n">
        <v>0.267</v>
      </c>
      <c r="T3546" t="inlineStr">
        <is>
          <t>WT\test\c50m1.mp4</t>
        </is>
      </c>
      <c r="U3546" t="n">
        <v>7240</v>
      </c>
      <c r="V3546" t="n">
        <v>7248</v>
      </c>
      <c r="W3546" t="n">
        <v/>
      </c>
      <c r="X3546" t="n">
        <v/>
      </c>
      <c r="Y3546" t="n">
        <v/>
      </c>
      <c r="Z3546" t="n">
        <v/>
      </c>
      <c r="AA3546">
        <f>SUMIFS($S$2:S3546,$A$2:A3546,A3546,$N$2:N3546,"Explore*")</f>
        <v/>
      </c>
      <c r="AB3546">
        <f>IF(AND(LEFT(N3546,7)="Explore",(AA3546-IF(LEFT(N3546,7)="Explore",S3546,0))&lt;10),"SI","NO")</f>
        <v/>
      </c>
    </row>
    <row r="3547">
      <c r="A3547" t="inlineStr">
        <is>
          <t>c50m1_test</t>
        </is>
      </c>
      <c r="B3547" t="inlineStr">
        <is>
          <t>2026-02-18 11:19:26.393</t>
        </is>
      </c>
      <c r="C3547" t="n">
        <v/>
      </c>
      <c r="D3547" t="inlineStr">
        <is>
          <t>Media file</t>
        </is>
      </c>
      <c r="E3547" t="inlineStr">
        <is>
          <t>player #1:WT\test\c50m1.mp4</t>
        </is>
      </c>
      <c r="F3547" t="n">
        <v>-9.233000000000001</v>
      </c>
      <c r="G3547" t="n">
        <v>591.766</v>
      </c>
      <c r="H3547" t="n">
        <v>630.7329999999999</v>
      </c>
      <c r="I3547" t="n">
        <v>30</v>
      </c>
      <c r="J3547" t="inlineStr">
        <is>
          <t xml:space="preserve"> WT</t>
        </is>
      </c>
      <c r="K3547" t="inlineStr">
        <is>
          <t>Male</t>
        </is>
      </c>
      <c r="L3547" t="inlineStr">
        <is>
          <t>No focal subject</t>
        </is>
      </c>
      <c r="M3547" t="n">
        <v>24.634</v>
      </c>
      <c r="N3547" t="inlineStr">
        <is>
          <t>Explore_F</t>
        </is>
      </c>
      <c r="O3547" t="inlineStr">
        <is>
          <t>Familiar</t>
        </is>
      </c>
      <c r="P3547" t="inlineStr">
        <is>
          <t>STATE</t>
        </is>
      </c>
      <c r="Q3547" t="n">
        <v>244.933</v>
      </c>
      <c r="R3547" t="n">
        <v>245.133</v>
      </c>
      <c r="S3547" t="n">
        <v>0.2</v>
      </c>
      <c r="T3547" t="inlineStr">
        <is>
          <t>WT\test\c50m1.mp4</t>
        </is>
      </c>
      <c r="U3547" t="n">
        <v>7330</v>
      </c>
      <c r="V3547" t="n">
        <v>7336</v>
      </c>
      <c r="W3547" t="n">
        <v/>
      </c>
      <c r="X3547" t="n">
        <v/>
      </c>
      <c r="Y3547" t="n">
        <v/>
      </c>
      <c r="Z3547" t="n">
        <v/>
      </c>
      <c r="AA3547">
        <f>SUMIFS($S$2:S3547,$A$2:A3547,A3547,$N$2:N3547,"Explore*")</f>
        <v/>
      </c>
      <c r="AB3547">
        <f>IF(AND(LEFT(N3547,7)="Explore",(AA3547-IF(LEFT(N3547,7)="Explore",S3547,0))&lt;10),"SI","NO")</f>
        <v/>
      </c>
    </row>
    <row r="3548">
      <c r="A3548" t="inlineStr">
        <is>
          <t>c50m1_test</t>
        </is>
      </c>
      <c r="B3548" t="inlineStr">
        <is>
          <t>2026-02-18 11:19:26.393</t>
        </is>
      </c>
      <c r="C3548" t="n">
        <v/>
      </c>
      <c r="D3548" t="inlineStr">
        <is>
          <t>Media file</t>
        </is>
      </c>
      <c r="E3548" t="inlineStr">
        <is>
          <t>player #1:WT\test\c50m1.mp4</t>
        </is>
      </c>
      <c r="F3548" t="n">
        <v>-9.233000000000001</v>
      </c>
      <c r="G3548" t="n">
        <v>591.766</v>
      </c>
      <c r="H3548" t="n">
        <v>630.7329999999999</v>
      </c>
      <c r="I3548" t="n">
        <v>30</v>
      </c>
      <c r="J3548" t="inlineStr">
        <is>
          <t xml:space="preserve"> WT</t>
        </is>
      </c>
      <c r="K3548" t="inlineStr">
        <is>
          <t>Male</t>
        </is>
      </c>
      <c r="L3548" t="inlineStr">
        <is>
          <t>No focal subject</t>
        </is>
      </c>
      <c r="M3548" t="n">
        <v>24.634</v>
      </c>
      <c r="N3548" t="inlineStr">
        <is>
          <t>Explore_N</t>
        </is>
      </c>
      <c r="O3548" t="inlineStr">
        <is>
          <t>Novelty</t>
        </is>
      </c>
      <c r="P3548" t="inlineStr">
        <is>
          <t>STATE</t>
        </is>
      </c>
      <c r="Q3548" t="n">
        <v>255.9</v>
      </c>
      <c r="R3548" t="n">
        <v>256.1</v>
      </c>
      <c r="S3548" t="n">
        <v>0.2</v>
      </c>
      <c r="T3548" t="inlineStr">
        <is>
          <t>WT\test\c50m1.mp4</t>
        </is>
      </c>
      <c r="U3548" t="n">
        <v>7658</v>
      </c>
      <c r="V3548" t="n">
        <v>7664</v>
      </c>
      <c r="W3548" t="n">
        <v/>
      </c>
      <c r="X3548" t="n">
        <v/>
      </c>
      <c r="Y3548" t="n">
        <v/>
      </c>
      <c r="Z3548" t="n">
        <v/>
      </c>
      <c r="AA3548">
        <f>SUMIFS($S$2:S3548,$A$2:A3548,A3548,$N$2:N3548,"Explore*")</f>
        <v/>
      </c>
      <c r="AB3548">
        <f>IF(AND(LEFT(N3548,7)="Explore",(AA3548-IF(LEFT(N3548,7)="Explore",S3548,0))&lt;10),"SI","NO")</f>
        <v/>
      </c>
    </row>
    <row r="3549">
      <c r="A3549" t="inlineStr">
        <is>
          <t>c50m1_test</t>
        </is>
      </c>
      <c r="B3549" t="inlineStr">
        <is>
          <t>2026-02-18 11:19:26.393</t>
        </is>
      </c>
      <c r="C3549" t="n">
        <v/>
      </c>
      <c r="D3549" t="inlineStr">
        <is>
          <t>Media file</t>
        </is>
      </c>
      <c r="E3549" t="inlineStr">
        <is>
          <t>player #1:WT\test\c50m1.mp4</t>
        </is>
      </c>
      <c r="F3549" t="n">
        <v>-9.233000000000001</v>
      </c>
      <c r="G3549" t="n">
        <v>591.766</v>
      </c>
      <c r="H3549" t="n">
        <v>630.7329999999999</v>
      </c>
      <c r="I3549" t="n">
        <v>30</v>
      </c>
      <c r="J3549" t="inlineStr">
        <is>
          <t xml:space="preserve"> WT</t>
        </is>
      </c>
      <c r="K3549" t="inlineStr">
        <is>
          <t>Male</t>
        </is>
      </c>
      <c r="L3549" t="inlineStr">
        <is>
          <t>No focal subject</t>
        </is>
      </c>
      <c r="M3549" t="n">
        <v>24.634</v>
      </c>
      <c r="N3549" t="inlineStr">
        <is>
          <t>Explore_N</t>
        </is>
      </c>
      <c r="O3549" t="inlineStr">
        <is>
          <t>Novelty</t>
        </is>
      </c>
      <c r="P3549" t="inlineStr">
        <is>
          <t>STATE</t>
        </is>
      </c>
      <c r="Q3549" t="n">
        <v>260.4</v>
      </c>
      <c r="R3549" t="n">
        <v>260.633</v>
      </c>
      <c r="S3549" t="n">
        <v>0.233</v>
      </c>
      <c r="T3549" t="inlineStr">
        <is>
          <t>WT\test\c50m1.mp4</t>
        </is>
      </c>
      <c r="U3549" t="n">
        <v>7793</v>
      </c>
      <c r="V3549" t="n">
        <v>7800</v>
      </c>
      <c r="W3549" t="n">
        <v/>
      </c>
      <c r="X3549" t="n">
        <v/>
      </c>
      <c r="Y3549" t="n">
        <v/>
      </c>
      <c r="Z3549" t="n">
        <v/>
      </c>
      <c r="AA3549">
        <f>SUMIFS($S$2:S3549,$A$2:A3549,A3549,$N$2:N3549,"Explore*")</f>
        <v/>
      </c>
      <c r="AB3549">
        <f>IF(AND(LEFT(N3549,7)="Explore",(AA3549-IF(LEFT(N3549,7)="Explore",S3549,0))&lt;10),"SI","NO")</f>
        <v/>
      </c>
    </row>
    <row r="3550">
      <c r="A3550" t="inlineStr">
        <is>
          <t>c50m1_test</t>
        </is>
      </c>
      <c r="B3550" t="inlineStr">
        <is>
          <t>2026-02-18 11:19:26.393</t>
        </is>
      </c>
      <c r="C3550" t="n">
        <v/>
      </c>
      <c r="D3550" t="inlineStr">
        <is>
          <t>Media file</t>
        </is>
      </c>
      <c r="E3550" t="inlineStr">
        <is>
          <t>player #1:WT\test\c50m1.mp4</t>
        </is>
      </c>
      <c r="F3550" t="n">
        <v>-9.233000000000001</v>
      </c>
      <c r="G3550" t="n">
        <v>591.766</v>
      </c>
      <c r="H3550" t="n">
        <v>630.7329999999999</v>
      </c>
      <c r="I3550" t="n">
        <v>30</v>
      </c>
      <c r="J3550" t="inlineStr">
        <is>
          <t xml:space="preserve"> WT</t>
        </is>
      </c>
      <c r="K3550" t="inlineStr">
        <is>
          <t>Male</t>
        </is>
      </c>
      <c r="L3550" t="inlineStr">
        <is>
          <t>No focal subject</t>
        </is>
      </c>
      <c r="M3550" t="n">
        <v>24.634</v>
      </c>
      <c r="N3550" t="inlineStr">
        <is>
          <t>Explore_N</t>
        </is>
      </c>
      <c r="O3550" t="inlineStr">
        <is>
          <t>Novelty</t>
        </is>
      </c>
      <c r="P3550" t="inlineStr">
        <is>
          <t>STATE</t>
        </is>
      </c>
      <c r="Q3550" t="n">
        <v>301</v>
      </c>
      <c r="R3550" t="n">
        <v>301.167</v>
      </c>
      <c r="S3550" t="n">
        <v>0.167</v>
      </c>
      <c r="T3550" t="inlineStr">
        <is>
          <t>WT\test\c50m1.mp4</t>
        </is>
      </c>
      <c r="U3550" t="n">
        <v>9010</v>
      </c>
      <c r="V3550" t="n">
        <v>9013</v>
      </c>
      <c r="W3550" t="n">
        <v/>
      </c>
      <c r="X3550" t="n">
        <v/>
      </c>
      <c r="Y3550" t="n">
        <v/>
      </c>
      <c r="Z3550" t="n">
        <v/>
      </c>
      <c r="AA3550">
        <f>SUMIFS($S$2:S3550,$A$2:A3550,A3550,$N$2:N3550,"Explore*")</f>
        <v/>
      </c>
      <c r="AB3550">
        <f>IF(AND(LEFT(N3550,7)="Explore",(AA3550-IF(LEFT(N3550,7)="Explore",S3550,0))&lt;10),"SI","NO")</f>
        <v/>
      </c>
    </row>
    <row r="3551">
      <c r="A3551" t="inlineStr">
        <is>
          <t>c50m1_test</t>
        </is>
      </c>
      <c r="B3551" t="inlineStr">
        <is>
          <t>2026-02-18 11:19:26.393</t>
        </is>
      </c>
      <c r="C3551" t="n">
        <v/>
      </c>
      <c r="D3551" t="inlineStr">
        <is>
          <t>Media file</t>
        </is>
      </c>
      <c r="E3551" t="inlineStr">
        <is>
          <t>player #1:WT\test\c50m1.mp4</t>
        </is>
      </c>
      <c r="F3551" t="n">
        <v>-9.233000000000001</v>
      </c>
      <c r="G3551" t="n">
        <v>591.766</v>
      </c>
      <c r="H3551" t="n">
        <v>630.7329999999999</v>
      </c>
      <c r="I3551" t="n">
        <v>30</v>
      </c>
      <c r="J3551" t="inlineStr">
        <is>
          <t xml:space="preserve"> WT</t>
        </is>
      </c>
      <c r="K3551" t="inlineStr">
        <is>
          <t>Male</t>
        </is>
      </c>
      <c r="L3551" t="inlineStr">
        <is>
          <t>No focal subject</t>
        </is>
      </c>
      <c r="M3551" t="n">
        <v>24.634</v>
      </c>
      <c r="N3551" t="inlineStr">
        <is>
          <t>Explore_N</t>
        </is>
      </c>
      <c r="O3551" t="inlineStr">
        <is>
          <t>Novelty</t>
        </is>
      </c>
      <c r="P3551" t="inlineStr">
        <is>
          <t>STATE</t>
        </is>
      </c>
      <c r="Q3551" t="n">
        <v>308.233</v>
      </c>
      <c r="R3551" t="n">
        <v>308.4</v>
      </c>
      <c r="S3551" t="n">
        <v>0.167</v>
      </c>
      <c r="T3551" t="inlineStr">
        <is>
          <t>WT\test\c50m1.mp4</t>
        </is>
      </c>
      <c r="U3551" t="n">
        <v>9225</v>
      </c>
      <c r="V3551" t="n">
        <v>9230</v>
      </c>
      <c r="W3551" t="n">
        <v/>
      </c>
      <c r="X3551" t="n">
        <v/>
      </c>
      <c r="Y3551" t="n">
        <v/>
      </c>
      <c r="Z3551" t="n">
        <v/>
      </c>
      <c r="AA3551">
        <f>SUMIFS($S$2:S3551,$A$2:A3551,A3551,$N$2:N3551,"Explore*")</f>
        <v/>
      </c>
      <c r="AB3551">
        <f>IF(AND(LEFT(N3551,7)="Explore",(AA3551-IF(LEFT(N3551,7)="Explore",S3551,0))&lt;10),"SI","NO")</f>
        <v/>
      </c>
    </row>
    <row r="3552">
      <c r="A3552" t="inlineStr">
        <is>
          <t>c50m1_test</t>
        </is>
      </c>
      <c r="B3552" t="inlineStr">
        <is>
          <t>2026-02-18 11:19:26.393</t>
        </is>
      </c>
      <c r="C3552" t="n">
        <v/>
      </c>
      <c r="D3552" t="inlineStr">
        <is>
          <t>Media file</t>
        </is>
      </c>
      <c r="E3552" t="inlineStr">
        <is>
          <t>player #1:WT\test\c50m1.mp4</t>
        </is>
      </c>
      <c r="F3552" t="n">
        <v>-9.233000000000001</v>
      </c>
      <c r="G3552" t="n">
        <v>591.766</v>
      </c>
      <c r="H3552" t="n">
        <v>630.7329999999999</v>
      </c>
      <c r="I3552" t="n">
        <v>30</v>
      </c>
      <c r="J3552" t="inlineStr">
        <is>
          <t xml:space="preserve"> WT</t>
        </is>
      </c>
      <c r="K3552" t="inlineStr">
        <is>
          <t>Male</t>
        </is>
      </c>
      <c r="L3552" t="inlineStr">
        <is>
          <t>No focal subject</t>
        </is>
      </c>
      <c r="M3552" t="n">
        <v>24.634</v>
      </c>
      <c r="N3552" t="inlineStr">
        <is>
          <t>Explore_F</t>
        </is>
      </c>
      <c r="O3552" t="inlineStr">
        <is>
          <t>Familiar</t>
        </is>
      </c>
      <c r="P3552" t="inlineStr">
        <is>
          <t>STATE</t>
        </is>
      </c>
      <c r="Q3552" t="n">
        <v>321.233</v>
      </c>
      <c r="R3552" t="n">
        <v>321.733</v>
      </c>
      <c r="S3552" t="n">
        <v>0.5</v>
      </c>
      <c r="T3552" t="inlineStr">
        <is>
          <t>WT\test\c50m1.mp4</t>
        </is>
      </c>
      <c r="U3552" t="n">
        <v>9614</v>
      </c>
      <c r="V3552" t="n">
        <v>9629</v>
      </c>
      <c r="W3552" t="n">
        <v/>
      </c>
      <c r="X3552" t="n">
        <v/>
      </c>
      <c r="Y3552" t="n">
        <v/>
      </c>
      <c r="Z3552" t="n">
        <v/>
      </c>
      <c r="AA3552">
        <f>SUMIFS($S$2:S3552,$A$2:A3552,A3552,$N$2:N3552,"Explore*")</f>
        <v/>
      </c>
      <c r="AB3552">
        <f>IF(AND(LEFT(N3552,7)="Explore",(AA3552-IF(LEFT(N3552,7)="Explore",S3552,0))&lt;10),"SI","NO")</f>
        <v/>
      </c>
    </row>
    <row r="3553">
      <c r="A3553" t="inlineStr">
        <is>
          <t>c50m1_test</t>
        </is>
      </c>
      <c r="B3553" t="inlineStr">
        <is>
          <t>2026-02-18 11:19:26.393</t>
        </is>
      </c>
      <c r="C3553" t="n">
        <v/>
      </c>
      <c r="D3553" t="inlineStr">
        <is>
          <t>Media file</t>
        </is>
      </c>
      <c r="E3553" t="inlineStr">
        <is>
          <t>player #1:WT\test\c50m1.mp4</t>
        </is>
      </c>
      <c r="F3553" t="n">
        <v>-9.233000000000001</v>
      </c>
      <c r="G3553" t="n">
        <v>591.766</v>
      </c>
      <c r="H3553" t="n">
        <v>630.7329999999999</v>
      </c>
      <c r="I3553" t="n">
        <v>30</v>
      </c>
      <c r="J3553" t="inlineStr">
        <is>
          <t xml:space="preserve"> WT</t>
        </is>
      </c>
      <c r="K3553" t="inlineStr">
        <is>
          <t>Male</t>
        </is>
      </c>
      <c r="L3553" t="inlineStr">
        <is>
          <t>No focal subject</t>
        </is>
      </c>
      <c r="M3553" t="n">
        <v>24.634</v>
      </c>
      <c r="N3553" t="inlineStr">
        <is>
          <t>Explore_F</t>
        </is>
      </c>
      <c r="O3553" t="inlineStr">
        <is>
          <t>Familiar</t>
        </is>
      </c>
      <c r="P3553" t="inlineStr">
        <is>
          <t>STATE</t>
        </is>
      </c>
      <c r="Q3553" t="n">
        <v>333.8</v>
      </c>
      <c r="R3553" t="n">
        <v>334.3</v>
      </c>
      <c r="S3553" t="n">
        <v>0.5</v>
      </c>
      <c r="T3553" t="inlineStr">
        <is>
          <t>WT\test\c50m1.mp4</t>
        </is>
      </c>
      <c r="U3553" t="n">
        <v>9990</v>
      </c>
      <c r="V3553" t="n">
        <v>10005</v>
      </c>
      <c r="W3553" t="n">
        <v/>
      </c>
      <c r="X3553" t="n">
        <v/>
      </c>
      <c r="Y3553" t="n">
        <v/>
      </c>
      <c r="Z3553" t="n">
        <v/>
      </c>
      <c r="AA3553">
        <f>SUMIFS($S$2:S3553,$A$2:A3553,A3553,$N$2:N3553,"Explore*")</f>
        <v/>
      </c>
      <c r="AB3553">
        <f>IF(AND(LEFT(N3553,7)="Explore",(AA3553-IF(LEFT(N3553,7)="Explore",S3553,0))&lt;10),"SI","NO")</f>
        <v/>
      </c>
    </row>
    <row r="3554">
      <c r="A3554" t="inlineStr">
        <is>
          <t>c50m1_test</t>
        </is>
      </c>
      <c r="B3554" t="inlineStr">
        <is>
          <t>2026-02-18 11:19:26.393</t>
        </is>
      </c>
      <c r="C3554" t="n">
        <v/>
      </c>
      <c r="D3554" t="inlineStr">
        <is>
          <t>Media file</t>
        </is>
      </c>
      <c r="E3554" t="inlineStr">
        <is>
          <t>player #1:WT\test\c50m1.mp4</t>
        </is>
      </c>
      <c r="F3554" t="n">
        <v>-9.233000000000001</v>
      </c>
      <c r="G3554" t="n">
        <v>591.766</v>
      </c>
      <c r="H3554" t="n">
        <v>630.7329999999999</v>
      </c>
      <c r="I3554" t="n">
        <v>30</v>
      </c>
      <c r="J3554" t="inlineStr">
        <is>
          <t xml:space="preserve"> WT</t>
        </is>
      </c>
      <c r="K3554" t="inlineStr">
        <is>
          <t>Male</t>
        </is>
      </c>
      <c r="L3554" t="inlineStr">
        <is>
          <t>No focal subject</t>
        </is>
      </c>
      <c r="M3554" t="n">
        <v>24.634</v>
      </c>
      <c r="N3554" t="inlineStr">
        <is>
          <t>Explore_F</t>
        </is>
      </c>
      <c r="O3554" t="inlineStr">
        <is>
          <t>Familiar</t>
        </is>
      </c>
      <c r="P3554" t="inlineStr">
        <is>
          <t>STATE</t>
        </is>
      </c>
      <c r="Q3554" t="n">
        <v>334.967</v>
      </c>
      <c r="R3554" t="n">
        <v>335.2</v>
      </c>
      <c r="S3554" t="n">
        <v>0.233</v>
      </c>
      <c r="T3554" t="inlineStr">
        <is>
          <t>WT\test\c50m1.mp4</t>
        </is>
      </c>
      <c r="U3554" t="n">
        <v>10025</v>
      </c>
      <c r="V3554" t="n">
        <v>10032</v>
      </c>
      <c r="W3554" t="n">
        <v/>
      </c>
      <c r="X3554" t="n">
        <v/>
      </c>
      <c r="Y3554" t="n">
        <v/>
      </c>
      <c r="Z3554" t="n">
        <v/>
      </c>
      <c r="AA3554">
        <f>SUMIFS($S$2:S3554,$A$2:A3554,A3554,$N$2:N3554,"Explore*")</f>
        <v/>
      </c>
      <c r="AB3554">
        <f>IF(AND(LEFT(N3554,7)="Explore",(AA3554-IF(LEFT(N3554,7)="Explore",S3554,0))&lt;10),"SI","NO")</f>
        <v/>
      </c>
    </row>
    <row r="3555">
      <c r="A3555" t="inlineStr">
        <is>
          <t>c50m1_test</t>
        </is>
      </c>
      <c r="B3555" t="inlineStr">
        <is>
          <t>2026-02-18 11:19:26.393</t>
        </is>
      </c>
      <c r="C3555" t="n">
        <v/>
      </c>
      <c r="D3555" t="inlineStr">
        <is>
          <t>Media file</t>
        </is>
      </c>
      <c r="E3555" t="inlineStr">
        <is>
          <t>player #1:WT\test\c50m1.mp4</t>
        </is>
      </c>
      <c r="F3555" t="n">
        <v>-9.233000000000001</v>
      </c>
      <c r="G3555" t="n">
        <v>591.766</v>
      </c>
      <c r="H3555" t="n">
        <v>630.7329999999999</v>
      </c>
      <c r="I3555" t="n">
        <v>30</v>
      </c>
      <c r="J3555" t="inlineStr">
        <is>
          <t xml:space="preserve"> WT</t>
        </is>
      </c>
      <c r="K3555" t="inlineStr">
        <is>
          <t>Male</t>
        </is>
      </c>
      <c r="L3555" t="inlineStr">
        <is>
          <t>No focal subject</t>
        </is>
      </c>
      <c r="M3555" t="n">
        <v>24.634</v>
      </c>
      <c r="N3555" t="inlineStr">
        <is>
          <t>Explore_F</t>
        </is>
      </c>
      <c r="O3555" t="inlineStr">
        <is>
          <t>Familiar</t>
        </is>
      </c>
      <c r="P3555" t="inlineStr">
        <is>
          <t>STATE</t>
        </is>
      </c>
      <c r="Q3555" t="n">
        <v>359.033</v>
      </c>
      <c r="R3555" t="n">
        <v>359.233</v>
      </c>
      <c r="S3555" t="n">
        <v>0.2</v>
      </c>
      <c r="T3555" t="inlineStr">
        <is>
          <t>WT\test\c50m1.mp4</t>
        </is>
      </c>
      <c r="U3555" t="n">
        <v>10745</v>
      </c>
      <c r="V3555" t="n">
        <v>10751</v>
      </c>
      <c r="W3555" t="n">
        <v/>
      </c>
      <c r="X3555" t="n">
        <v/>
      </c>
      <c r="Y3555" t="n">
        <v/>
      </c>
      <c r="Z3555" t="n">
        <v/>
      </c>
      <c r="AA3555">
        <f>SUMIFS($S$2:S3555,$A$2:A3555,A3555,$N$2:N3555,"Explore*")</f>
        <v/>
      </c>
      <c r="AB3555">
        <f>IF(AND(LEFT(N3555,7)="Explore",(AA3555-IF(LEFT(N3555,7)="Explore",S3555,0))&lt;10),"SI","NO")</f>
        <v/>
      </c>
    </row>
    <row r="3556">
      <c r="A3556" t="inlineStr">
        <is>
          <t>c50m1_test</t>
        </is>
      </c>
      <c r="B3556" t="inlineStr">
        <is>
          <t>2026-02-18 11:19:26.393</t>
        </is>
      </c>
      <c r="C3556" t="n">
        <v/>
      </c>
      <c r="D3556" t="inlineStr">
        <is>
          <t>Media file</t>
        </is>
      </c>
      <c r="E3556" t="inlineStr">
        <is>
          <t>player #1:WT\test\c50m1.mp4</t>
        </is>
      </c>
      <c r="F3556" t="n">
        <v>-9.233000000000001</v>
      </c>
      <c r="G3556" t="n">
        <v>591.766</v>
      </c>
      <c r="H3556" t="n">
        <v>630.7329999999999</v>
      </c>
      <c r="I3556" t="n">
        <v>30</v>
      </c>
      <c r="J3556" t="inlineStr">
        <is>
          <t xml:space="preserve"> WT</t>
        </is>
      </c>
      <c r="K3556" t="inlineStr">
        <is>
          <t>Male</t>
        </is>
      </c>
      <c r="L3556" t="inlineStr">
        <is>
          <t>No focal subject</t>
        </is>
      </c>
      <c r="M3556" t="n">
        <v>24.634</v>
      </c>
      <c r="N3556" t="inlineStr">
        <is>
          <t>Explore_F</t>
        </is>
      </c>
      <c r="O3556" t="inlineStr">
        <is>
          <t>Familiar</t>
        </is>
      </c>
      <c r="P3556" t="inlineStr">
        <is>
          <t>STATE</t>
        </is>
      </c>
      <c r="Q3556" t="n">
        <v>363.333</v>
      </c>
      <c r="R3556" t="n">
        <v>363.533</v>
      </c>
      <c r="S3556" t="n">
        <v>0.2</v>
      </c>
      <c r="T3556" t="inlineStr">
        <is>
          <t>WT\test\c50m1.mp4</t>
        </is>
      </c>
      <c r="U3556" t="n">
        <v>10874</v>
      </c>
      <c r="V3556" t="n">
        <v>10880</v>
      </c>
      <c r="W3556" t="n">
        <v/>
      </c>
      <c r="X3556" t="n">
        <v/>
      </c>
      <c r="Y3556" t="n">
        <v/>
      </c>
      <c r="Z3556" t="n">
        <v/>
      </c>
      <c r="AA3556">
        <f>SUMIFS($S$2:S3556,$A$2:A3556,A3556,$N$2:N3556,"Explore*")</f>
        <v/>
      </c>
      <c r="AB3556">
        <f>IF(AND(LEFT(N3556,7)="Explore",(AA3556-IF(LEFT(N3556,7)="Explore",S3556,0))&lt;10),"SI","NO")</f>
        <v/>
      </c>
    </row>
    <row r="3557">
      <c r="A3557" t="inlineStr">
        <is>
          <t>c50m1_test</t>
        </is>
      </c>
      <c r="B3557" t="inlineStr">
        <is>
          <t>2026-02-18 11:19:26.393</t>
        </is>
      </c>
      <c r="C3557" t="n">
        <v/>
      </c>
      <c r="D3557" t="inlineStr">
        <is>
          <t>Media file</t>
        </is>
      </c>
      <c r="E3557" t="inlineStr">
        <is>
          <t>player #1:WT\test\c50m1.mp4</t>
        </is>
      </c>
      <c r="F3557" t="n">
        <v>-9.233000000000001</v>
      </c>
      <c r="G3557" t="n">
        <v>591.766</v>
      </c>
      <c r="H3557" t="n">
        <v>630.7329999999999</v>
      </c>
      <c r="I3557" t="n">
        <v>30</v>
      </c>
      <c r="J3557" t="inlineStr">
        <is>
          <t xml:space="preserve"> WT</t>
        </is>
      </c>
      <c r="K3557" t="inlineStr">
        <is>
          <t>Male</t>
        </is>
      </c>
      <c r="L3557" t="inlineStr">
        <is>
          <t>No focal subject</t>
        </is>
      </c>
      <c r="M3557" t="n">
        <v>24.634</v>
      </c>
      <c r="N3557" t="inlineStr">
        <is>
          <t>Explore_N</t>
        </is>
      </c>
      <c r="O3557" t="inlineStr">
        <is>
          <t>Novelty</t>
        </is>
      </c>
      <c r="P3557" t="inlineStr">
        <is>
          <t>STATE</t>
        </is>
      </c>
      <c r="Q3557" t="n">
        <v>372.2</v>
      </c>
      <c r="R3557" t="n">
        <v>372.433</v>
      </c>
      <c r="S3557" t="n">
        <v>0.233</v>
      </c>
      <c r="T3557" t="inlineStr">
        <is>
          <t>WT\test\c50m1.mp4</t>
        </is>
      </c>
      <c r="U3557" t="n">
        <v>11139</v>
      </c>
      <c r="V3557" t="n">
        <v>11146</v>
      </c>
      <c r="W3557" t="n">
        <v/>
      </c>
      <c r="X3557" t="n">
        <v/>
      </c>
      <c r="Y3557" t="n">
        <v/>
      </c>
      <c r="Z3557" t="n">
        <v/>
      </c>
      <c r="AA3557">
        <f>SUMIFS($S$2:S3557,$A$2:A3557,A3557,$N$2:N3557,"Explore*")</f>
        <v/>
      </c>
      <c r="AB3557">
        <f>IF(AND(LEFT(N3557,7)="Explore",(AA3557-IF(LEFT(N3557,7)="Explore",S3557,0))&lt;10),"SI","NO")</f>
        <v/>
      </c>
    </row>
    <row r="3558">
      <c r="A3558" t="inlineStr">
        <is>
          <t>c50m1_test</t>
        </is>
      </c>
      <c r="B3558" t="inlineStr">
        <is>
          <t>2026-02-18 11:19:26.393</t>
        </is>
      </c>
      <c r="C3558" t="n">
        <v/>
      </c>
      <c r="D3558" t="inlineStr">
        <is>
          <t>Media file</t>
        </is>
      </c>
      <c r="E3558" t="inlineStr">
        <is>
          <t>player #1:WT\test\c50m1.mp4</t>
        </is>
      </c>
      <c r="F3558" t="n">
        <v>-9.233000000000001</v>
      </c>
      <c r="G3558" t="n">
        <v>591.766</v>
      </c>
      <c r="H3558" t="n">
        <v>630.7329999999999</v>
      </c>
      <c r="I3558" t="n">
        <v>30</v>
      </c>
      <c r="J3558" t="inlineStr">
        <is>
          <t xml:space="preserve"> WT</t>
        </is>
      </c>
      <c r="K3558" t="inlineStr">
        <is>
          <t>Male</t>
        </is>
      </c>
      <c r="L3558" t="inlineStr">
        <is>
          <t>No focal subject</t>
        </is>
      </c>
      <c r="M3558" t="n">
        <v>24.634</v>
      </c>
      <c r="N3558" t="inlineStr">
        <is>
          <t>Explore_N</t>
        </is>
      </c>
      <c r="O3558" t="inlineStr">
        <is>
          <t>Novelty</t>
        </is>
      </c>
      <c r="P3558" t="inlineStr">
        <is>
          <t>STATE</t>
        </is>
      </c>
      <c r="Q3558" t="n">
        <v>372.833</v>
      </c>
      <c r="R3558" t="n">
        <v>373.1</v>
      </c>
      <c r="S3558" t="n">
        <v>0.267</v>
      </c>
      <c r="T3558" t="inlineStr">
        <is>
          <t>WT\test\c50m1.mp4</t>
        </is>
      </c>
      <c r="U3558" t="n">
        <v>11158</v>
      </c>
      <c r="V3558" t="n">
        <v>11168</v>
      </c>
      <c r="W3558" t="n">
        <v/>
      </c>
      <c r="X3558" t="n">
        <v/>
      </c>
      <c r="Y3558" t="n">
        <v/>
      </c>
      <c r="Z3558" t="n">
        <v/>
      </c>
      <c r="AA3558">
        <f>SUMIFS($S$2:S3558,$A$2:A3558,A3558,$N$2:N3558,"Explore*")</f>
        <v/>
      </c>
      <c r="AB3558">
        <f>IF(AND(LEFT(N3558,7)="Explore",(AA3558-IF(LEFT(N3558,7)="Explore",S3558,0))&lt;10),"SI","NO")</f>
        <v/>
      </c>
    </row>
    <row r="3559">
      <c r="A3559" t="inlineStr">
        <is>
          <t>c50m1_test</t>
        </is>
      </c>
      <c r="B3559" t="inlineStr">
        <is>
          <t>2026-02-18 11:19:26.393</t>
        </is>
      </c>
      <c r="C3559" t="n">
        <v/>
      </c>
      <c r="D3559" t="inlineStr">
        <is>
          <t>Media file</t>
        </is>
      </c>
      <c r="E3559" t="inlineStr">
        <is>
          <t>player #1:WT\test\c50m1.mp4</t>
        </is>
      </c>
      <c r="F3559" t="n">
        <v>-9.233000000000001</v>
      </c>
      <c r="G3559" t="n">
        <v>591.766</v>
      </c>
      <c r="H3559" t="n">
        <v>630.7329999999999</v>
      </c>
      <c r="I3559" t="n">
        <v>30</v>
      </c>
      <c r="J3559" t="inlineStr">
        <is>
          <t xml:space="preserve"> WT</t>
        </is>
      </c>
      <c r="K3559" t="inlineStr">
        <is>
          <t>Male</t>
        </is>
      </c>
      <c r="L3559" t="inlineStr">
        <is>
          <t>No focal subject</t>
        </is>
      </c>
      <c r="M3559" t="n">
        <v>24.634</v>
      </c>
      <c r="N3559" t="inlineStr">
        <is>
          <t>Explore_F</t>
        </is>
      </c>
      <c r="O3559" t="inlineStr">
        <is>
          <t>Familiar</t>
        </is>
      </c>
      <c r="P3559" t="inlineStr">
        <is>
          <t>STATE</t>
        </is>
      </c>
      <c r="Q3559" t="n">
        <v>389.767</v>
      </c>
      <c r="R3559" t="n">
        <v>390.633</v>
      </c>
      <c r="S3559" t="n">
        <v>0.866</v>
      </c>
      <c r="T3559" t="inlineStr">
        <is>
          <t>WT\test\c50m1.mp4</t>
        </is>
      </c>
      <c r="U3559" t="n">
        <v>11665</v>
      </c>
      <c r="V3559" t="n">
        <v>11692</v>
      </c>
      <c r="W3559" t="n">
        <v/>
      </c>
      <c r="X3559" t="n">
        <v/>
      </c>
      <c r="Y3559" t="n">
        <v/>
      </c>
      <c r="Z3559" t="n">
        <v/>
      </c>
      <c r="AA3559">
        <f>SUMIFS($S$2:S3559,$A$2:A3559,A3559,$N$2:N3559,"Explore*")</f>
        <v/>
      </c>
      <c r="AB3559">
        <f>IF(AND(LEFT(N3559,7)="Explore",(AA3559-IF(LEFT(N3559,7)="Explore",S3559,0))&lt;10),"SI","NO")</f>
        <v/>
      </c>
    </row>
    <row r="3560">
      <c r="A3560" t="inlineStr">
        <is>
          <t>c50m1_test</t>
        </is>
      </c>
      <c r="B3560" t="inlineStr">
        <is>
          <t>2026-02-18 11:19:26.393</t>
        </is>
      </c>
      <c r="C3560" t="n">
        <v/>
      </c>
      <c r="D3560" t="inlineStr">
        <is>
          <t>Media file</t>
        </is>
      </c>
      <c r="E3560" t="inlineStr">
        <is>
          <t>player #1:WT\test\c50m1.mp4</t>
        </is>
      </c>
      <c r="F3560" t="n">
        <v>-9.233000000000001</v>
      </c>
      <c r="G3560" t="n">
        <v>591.766</v>
      </c>
      <c r="H3560" t="n">
        <v>630.7329999999999</v>
      </c>
      <c r="I3560" t="n">
        <v>30</v>
      </c>
      <c r="J3560" t="inlineStr">
        <is>
          <t xml:space="preserve"> WT</t>
        </is>
      </c>
      <c r="K3560" t="inlineStr">
        <is>
          <t>Male</t>
        </is>
      </c>
      <c r="L3560" t="inlineStr">
        <is>
          <t>No focal subject</t>
        </is>
      </c>
      <c r="M3560" t="n">
        <v>24.634</v>
      </c>
      <c r="N3560" t="inlineStr">
        <is>
          <t>Explore_F</t>
        </is>
      </c>
      <c r="O3560" t="inlineStr">
        <is>
          <t>Familiar</t>
        </is>
      </c>
      <c r="P3560" t="inlineStr">
        <is>
          <t>STATE</t>
        </is>
      </c>
      <c r="Q3560" t="n">
        <v>408.733</v>
      </c>
      <c r="R3560" t="n">
        <v>409.033</v>
      </c>
      <c r="S3560" t="n">
        <v>0.3</v>
      </c>
      <c r="T3560" t="inlineStr">
        <is>
          <t>WT\test\c50m1.mp4</t>
        </is>
      </c>
      <c r="U3560" t="n">
        <v>12232</v>
      </c>
      <c r="V3560" t="n">
        <v>12241</v>
      </c>
      <c r="W3560" t="n">
        <v/>
      </c>
      <c r="X3560" t="n">
        <v/>
      </c>
      <c r="Y3560" t="n">
        <v/>
      </c>
      <c r="Z3560" t="n">
        <v/>
      </c>
      <c r="AA3560">
        <f>SUMIFS($S$2:S3560,$A$2:A3560,A3560,$N$2:N3560,"Explore*")</f>
        <v/>
      </c>
      <c r="AB3560">
        <f>IF(AND(LEFT(N3560,7)="Explore",(AA3560-IF(LEFT(N3560,7)="Explore",S3560,0))&lt;10),"SI","NO")</f>
        <v/>
      </c>
    </row>
    <row r="3561">
      <c r="A3561" t="inlineStr">
        <is>
          <t>c50m1_test</t>
        </is>
      </c>
      <c r="B3561" t="inlineStr">
        <is>
          <t>2026-02-18 11:19:26.393</t>
        </is>
      </c>
      <c r="C3561" t="n">
        <v/>
      </c>
      <c r="D3561" t="inlineStr">
        <is>
          <t>Media file</t>
        </is>
      </c>
      <c r="E3561" t="inlineStr">
        <is>
          <t>player #1:WT\test\c50m1.mp4</t>
        </is>
      </c>
      <c r="F3561" t="n">
        <v>-9.233000000000001</v>
      </c>
      <c r="G3561" t="n">
        <v>591.766</v>
      </c>
      <c r="H3561" t="n">
        <v>630.7329999999999</v>
      </c>
      <c r="I3561" t="n">
        <v>30</v>
      </c>
      <c r="J3561" t="inlineStr">
        <is>
          <t xml:space="preserve"> WT</t>
        </is>
      </c>
      <c r="K3561" t="inlineStr">
        <is>
          <t>Male</t>
        </is>
      </c>
      <c r="L3561" t="inlineStr">
        <is>
          <t>No focal subject</t>
        </is>
      </c>
      <c r="M3561" t="n">
        <v>24.634</v>
      </c>
      <c r="N3561" t="inlineStr">
        <is>
          <t>Explore_N</t>
        </is>
      </c>
      <c r="O3561" t="inlineStr">
        <is>
          <t>Novelty</t>
        </is>
      </c>
      <c r="P3561" t="inlineStr">
        <is>
          <t>STATE</t>
        </is>
      </c>
      <c r="Q3561" t="n">
        <v>443.667</v>
      </c>
      <c r="R3561" t="n">
        <v>444.233</v>
      </c>
      <c r="S3561" t="n">
        <v>0.5659999999999999</v>
      </c>
      <c r="T3561" t="inlineStr">
        <is>
          <t>WT\test\c50m1.mp4</t>
        </is>
      </c>
      <c r="U3561" t="n">
        <v>13278</v>
      </c>
      <c r="V3561" t="n">
        <v>13295</v>
      </c>
      <c r="W3561" t="n">
        <v/>
      </c>
      <c r="X3561" t="n">
        <v/>
      </c>
      <c r="Y3561" t="n">
        <v/>
      </c>
      <c r="Z3561" t="n">
        <v/>
      </c>
      <c r="AA3561">
        <f>SUMIFS($S$2:S3561,$A$2:A3561,A3561,$N$2:N3561,"Explore*")</f>
        <v/>
      </c>
      <c r="AB3561">
        <f>IF(AND(LEFT(N3561,7)="Explore",(AA3561-IF(LEFT(N3561,7)="Explore",S3561,0))&lt;10),"SI","NO")</f>
        <v/>
      </c>
    </row>
    <row r="3562">
      <c r="A3562" t="inlineStr">
        <is>
          <t>c50m1_test</t>
        </is>
      </c>
      <c r="B3562" t="inlineStr">
        <is>
          <t>2026-02-18 11:19:26.393</t>
        </is>
      </c>
      <c r="C3562" t="n">
        <v/>
      </c>
      <c r="D3562" t="inlineStr">
        <is>
          <t>Media file</t>
        </is>
      </c>
      <c r="E3562" t="inlineStr">
        <is>
          <t>player #1:WT\test\c50m1.mp4</t>
        </is>
      </c>
      <c r="F3562" t="n">
        <v>-9.233000000000001</v>
      </c>
      <c r="G3562" t="n">
        <v>591.766</v>
      </c>
      <c r="H3562" t="n">
        <v>630.7329999999999</v>
      </c>
      <c r="I3562" t="n">
        <v>30</v>
      </c>
      <c r="J3562" t="inlineStr">
        <is>
          <t xml:space="preserve"> WT</t>
        </is>
      </c>
      <c r="K3562" t="inlineStr">
        <is>
          <t>Male</t>
        </is>
      </c>
      <c r="L3562" t="inlineStr">
        <is>
          <t>No focal subject</t>
        </is>
      </c>
      <c r="M3562" t="n">
        <v>24.634</v>
      </c>
      <c r="N3562" t="inlineStr">
        <is>
          <t>Explore_N</t>
        </is>
      </c>
      <c r="O3562" t="inlineStr">
        <is>
          <t>Novelty</t>
        </is>
      </c>
      <c r="P3562" t="inlineStr">
        <is>
          <t>STATE</t>
        </is>
      </c>
      <c r="Q3562" t="n">
        <v>445.867</v>
      </c>
      <c r="R3562" t="n">
        <v>447.2</v>
      </c>
      <c r="S3562" t="n">
        <v>1.333</v>
      </c>
      <c r="T3562" t="inlineStr">
        <is>
          <t>WT\test\c50m1.mp4</t>
        </is>
      </c>
      <c r="U3562" t="n">
        <v>13344</v>
      </c>
      <c r="V3562" t="n">
        <v>13383</v>
      </c>
      <c r="W3562" t="n">
        <v/>
      </c>
      <c r="X3562" t="n">
        <v/>
      </c>
      <c r="Y3562" t="n">
        <v/>
      </c>
      <c r="Z3562" t="n">
        <v/>
      </c>
      <c r="AA3562">
        <f>SUMIFS($S$2:S3562,$A$2:A3562,A3562,$N$2:N3562,"Explore*")</f>
        <v/>
      </c>
      <c r="AB3562">
        <f>IF(AND(LEFT(N3562,7)="Explore",(AA3562-IF(LEFT(N3562,7)="Explore",S3562,0))&lt;10),"SI","NO")</f>
        <v/>
      </c>
    </row>
    <row r="3563">
      <c r="A3563" t="inlineStr">
        <is>
          <t>c50m1_test</t>
        </is>
      </c>
      <c r="B3563" t="inlineStr">
        <is>
          <t>2026-02-18 11:19:26.393</t>
        </is>
      </c>
      <c r="C3563" t="n">
        <v/>
      </c>
      <c r="D3563" t="inlineStr">
        <is>
          <t>Media file</t>
        </is>
      </c>
      <c r="E3563" t="inlineStr">
        <is>
          <t>player #1:WT\test\c50m1.mp4</t>
        </is>
      </c>
      <c r="F3563" t="n">
        <v>-9.233000000000001</v>
      </c>
      <c r="G3563" t="n">
        <v>591.766</v>
      </c>
      <c r="H3563" t="n">
        <v>630.7329999999999</v>
      </c>
      <c r="I3563" t="n">
        <v>30</v>
      </c>
      <c r="J3563" t="inlineStr">
        <is>
          <t xml:space="preserve"> WT</t>
        </is>
      </c>
      <c r="K3563" t="inlineStr">
        <is>
          <t>Male</t>
        </is>
      </c>
      <c r="L3563" t="inlineStr">
        <is>
          <t>No focal subject</t>
        </is>
      </c>
      <c r="M3563" t="n">
        <v>24.634</v>
      </c>
      <c r="N3563" t="inlineStr">
        <is>
          <t>Explore_F</t>
        </is>
      </c>
      <c r="O3563" t="inlineStr">
        <is>
          <t>Familiar</t>
        </is>
      </c>
      <c r="P3563" t="inlineStr">
        <is>
          <t>STATE</t>
        </is>
      </c>
      <c r="Q3563" t="n">
        <v>448.067</v>
      </c>
      <c r="R3563" t="n">
        <v>448.267</v>
      </c>
      <c r="S3563" t="n">
        <v>0.2</v>
      </c>
      <c r="T3563" t="inlineStr">
        <is>
          <t>WT\test\c50m1.mp4</t>
        </is>
      </c>
      <c r="U3563" t="n">
        <v>13409</v>
      </c>
      <c r="V3563" t="n">
        <v>13415</v>
      </c>
      <c r="W3563" t="n">
        <v/>
      </c>
      <c r="X3563" t="n">
        <v/>
      </c>
      <c r="Y3563" t="n">
        <v/>
      </c>
      <c r="Z3563" t="n">
        <v/>
      </c>
      <c r="AA3563">
        <f>SUMIFS($S$2:S3563,$A$2:A3563,A3563,$N$2:N3563,"Explore*")</f>
        <v/>
      </c>
      <c r="AB3563">
        <f>IF(AND(LEFT(N3563,7)="Explore",(AA3563-IF(LEFT(N3563,7)="Explore",S3563,0))&lt;10),"SI","NO")</f>
        <v/>
      </c>
    </row>
    <row r="3564">
      <c r="A3564" t="inlineStr">
        <is>
          <t>c50m1_test</t>
        </is>
      </c>
      <c r="B3564" t="inlineStr">
        <is>
          <t>2026-02-18 11:19:26.393</t>
        </is>
      </c>
      <c r="C3564" t="n">
        <v/>
      </c>
      <c r="D3564" t="inlineStr">
        <is>
          <t>Media file</t>
        </is>
      </c>
      <c r="E3564" t="inlineStr">
        <is>
          <t>player #1:WT\test\c50m1.mp4</t>
        </is>
      </c>
      <c r="F3564" t="n">
        <v>-9.233000000000001</v>
      </c>
      <c r="G3564" t="n">
        <v>591.766</v>
      </c>
      <c r="H3564" t="n">
        <v>630.7329999999999</v>
      </c>
      <c r="I3564" t="n">
        <v>30</v>
      </c>
      <c r="J3564" t="inlineStr">
        <is>
          <t xml:space="preserve"> WT</t>
        </is>
      </c>
      <c r="K3564" t="inlineStr">
        <is>
          <t>Male</t>
        </is>
      </c>
      <c r="L3564" t="inlineStr">
        <is>
          <t>No focal subject</t>
        </is>
      </c>
      <c r="M3564" t="n">
        <v>24.634</v>
      </c>
      <c r="N3564" t="inlineStr">
        <is>
          <t>Explore_F</t>
        </is>
      </c>
      <c r="O3564" t="inlineStr">
        <is>
          <t>Familiar</t>
        </is>
      </c>
      <c r="P3564" t="inlineStr">
        <is>
          <t>STATE</t>
        </is>
      </c>
      <c r="Q3564" t="n">
        <v>449.8</v>
      </c>
      <c r="R3564" t="n">
        <v>451.2</v>
      </c>
      <c r="S3564" t="n">
        <v>1.4</v>
      </c>
      <c r="T3564" t="inlineStr">
        <is>
          <t>WT\test\c50m1.mp4</t>
        </is>
      </c>
      <c r="U3564" t="n">
        <v>13461</v>
      </c>
      <c r="V3564" t="n">
        <v>13503</v>
      </c>
      <c r="W3564" t="n">
        <v/>
      </c>
      <c r="X3564" t="n">
        <v/>
      </c>
      <c r="Y3564" t="n">
        <v/>
      </c>
      <c r="Z3564" t="n">
        <v/>
      </c>
      <c r="AA3564">
        <f>SUMIFS($S$2:S3564,$A$2:A3564,A3564,$N$2:N3564,"Explore*")</f>
        <v/>
      </c>
      <c r="AB3564">
        <f>IF(AND(LEFT(N3564,7)="Explore",(AA3564-IF(LEFT(N3564,7)="Explore",S3564,0))&lt;10),"SI","NO")</f>
        <v/>
      </c>
    </row>
    <row r="3565">
      <c r="A3565" t="inlineStr">
        <is>
          <t>c50m1_test</t>
        </is>
      </c>
      <c r="B3565" t="inlineStr">
        <is>
          <t>2026-02-18 11:19:26.393</t>
        </is>
      </c>
      <c r="C3565" t="n">
        <v/>
      </c>
      <c r="D3565" t="inlineStr">
        <is>
          <t>Media file</t>
        </is>
      </c>
      <c r="E3565" t="inlineStr">
        <is>
          <t>player #1:WT\test\c50m1.mp4</t>
        </is>
      </c>
      <c r="F3565" t="n">
        <v>-9.233000000000001</v>
      </c>
      <c r="G3565" t="n">
        <v>591.766</v>
      </c>
      <c r="H3565" t="n">
        <v>630.7329999999999</v>
      </c>
      <c r="I3565" t="n">
        <v>30</v>
      </c>
      <c r="J3565" t="inlineStr">
        <is>
          <t xml:space="preserve"> WT</t>
        </is>
      </c>
      <c r="K3565" t="inlineStr">
        <is>
          <t>Male</t>
        </is>
      </c>
      <c r="L3565" t="inlineStr">
        <is>
          <t>No focal subject</t>
        </is>
      </c>
      <c r="M3565" t="n">
        <v>24.634</v>
      </c>
      <c r="N3565" t="inlineStr">
        <is>
          <t>Explore_F</t>
        </is>
      </c>
      <c r="O3565" t="inlineStr">
        <is>
          <t>Familiar</t>
        </is>
      </c>
      <c r="P3565" t="inlineStr">
        <is>
          <t>STATE</t>
        </is>
      </c>
      <c r="Q3565" t="n">
        <v>452.767</v>
      </c>
      <c r="R3565" t="n">
        <v>453.733</v>
      </c>
      <c r="S3565" t="n">
        <v>0.966</v>
      </c>
      <c r="T3565" t="inlineStr">
        <is>
          <t>WT\test\c50m1.mp4</t>
        </is>
      </c>
      <c r="U3565" t="n">
        <v>13550</v>
      </c>
      <c r="V3565" t="n">
        <v>13579</v>
      </c>
      <c r="W3565" t="n">
        <v/>
      </c>
      <c r="X3565" t="n">
        <v/>
      </c>
      <c r="Y3565" t="n">
        <v/>
      </c>
      <c r="Z3565" t="n">
        <v/>
      </c>
      <c r="AA3565">
        <f>SUMIFS($S$2:S3565,$A$2:A3565,A3565,$N$2:N3565,"Explore*")</f>
        <v/>
      </c>
      <c r="AB3565">
        <f>IF(AND(LEFT(N3565,7)="Explore",(AA3565-IF(LEFT(N3565,7)="Explore",S3565,0))&lt;10),"SI","NO")</f>
        <v/>
      </c>
    </row>
    <row r="3566">
      <c r="A3566" t="inlineStr">
        <is>
          <t>c50m1_test</t>
        </is>
      </c>
      <c r="B3566" t="inlineStr">
        <is>
          <t>2026-02-18 11:19:26.393</t>
        </is>
      </c>
      <c r="C3566" t="n">
        <v/>
      </c>
      <c r="D3566" t="inlineStr">
        <is>
          <t>Media file</t>
        </is>
      </c>
      <c r="E3566" t="inlineStr">
        <is>
          <t>player #1:WT\test\c50m1.mp4</t>
        </is>
      </c>
      <c r="F3566" t="n">
        <v>-9.233000000000001</v>
      </c>
      <c r="G3566" t="n">
        <v>591.766</v>
      </c>
      <c r="H3566" t="n">
        <v>630.7329999999999</v>
      </c>
      <c r="I3566" t="n">
        <v>30</v>
      </c>
      <c r="J3566" t="inlineStr">
        <is>
          <t xml:space="preserve"> WT</t>
        </is>
      </c>
      <c r="K3566" t="inlineStr">
        <is>
          <t>Male</t>
        </is>
      </c>
      <c r="L3566" t="inlineStr">
        <is>
          <t>No focal subject</t>
        </is>
      </c>
      <c r="M3566" t="n">
        <v>24.634</v>
      </c>
      <c r="N3566" t="inlineStr">
        <is>
          <t>Explore_F</t>
        </is>
      </c>
      <c r="O3566" t="inlineStr">
        <is>
          <t>Familiar</t>
        </is>
      </c>
      <c r="P3566" t="inlineStr">
        <is>
          <t>STATE</t>
        </is>
      </c>
      <c r="Q3566" t="n">
        <v>455.4</v>
      </c>
      <c r="R3566" t="n">
        <v>456.6</v>
      </c>
      <c r="S3566" t="n">
        <v>1.2</v>
      </c>
      <c r="T3566" t="inlineStr">
        <is>
          <t>WT\test\c50m1.mp4</t>
        </is>
      </c>
      <c r="U3566" t="n">
        <v>13629</v>
      </c>
      <c r="V3566" t="n">
        <v>13667</v>
      </c>
      <c r="W3566" t="n">
        <v/>
      </c>
      <c r="X3566" t="n">
        <v/>
      </c>
      <c r="Y3566" t="n">
        <v/>
      </c>
      <c r="Z3566" t="n">
        <v/>
      </c>
      <c r="AA3566">
        <f>SUMIFS($S$2:S3566,$A$2:A3566,A3566,$N$2:N3566,"Explore*")</f>
        <v/>
      </c>
      <c r="AB3566">
        <f>IF(AND(LEFT(N3566,7)="Explore",(AA3566-IF(LEFT(N3566,7)="Explore",S3566,0))&lt;10),"SI","NO")</f>
        <v/>
      </c>
    </row>
    <row r="3567">
      <c r="A3567" t="inlineStr">
        <is>
          <t>c50m1_test</t>
        </is>
      </c>
      <c r="B3567" t="inlineStr">
        <is>
          <t>2026-02-18 11:19:26.393</t>
        </is>
      </c>
      <c r="C3567" t="n">
        <v/>
      </c>
      <c r="D3567" t="inlineStr">
        <is>
          <t>Media file</t>
        </is>
      </c>
      <c r="E3567" t="inlineStr">
        <is>
          <t>player #1:WT\test\c50m1.mp4</t>
        </is>
      </c>
      <c r="F3567" t="n">
        <v>-9.233000000000001</v>
      </c>
      <c r="G3567" t="n">
        <v>591.766</v>
      </c>
      <c r="H3567" t="n">
        <v>630.7329999999999</v>
      </c>
      <c r="I3567" t="n">
        <v>30</v>
      </c>
      <c r="J3567" t="inlineStr">
        <is>
          <t xml:space="preserve"> WT</t>
        </is>
      </c>
      <c r="K3567" t="inlineStr">
        <is>
          <t>Male</t>
        </is>
      </c>
      <c r="L3567" t="inlineStr">
        <is>
          <t>No focal subject</t>
        </is>
      </c>
      <c r="M3567" t="n">
        <v>24.634</v>
      </c>
      <c r="N3567" t="inlineStr">
        <is>
          <t>Explore_N</t>
        </is>
      </c>
      <c r="O3567" t="inlineStr">
        <is>
          <t>Novelty</t>
        </is>
      </c>
      <c r="P3567" t="inlineStr">
        <is>
          <t>STATE</t>
        </is>
      </c>
      <c r="Q3567" t="n">
        <v>458.267</v>
      </c>
      <c r="R3567" t="n">
        <v>459.167</v>
      </c>
      <c r="S3567" t="n">
        <v>0.9</v>
      </c>
      <c r="T3567" t="inlineStr">
        <is>
          <t>WT\test\c50m1.mp4</t>
        </is>
      </c>
      <c r="U3567" t="n">
        <v>13715</v>
      </c>
      <c r="V3567" t="n">
        <v>13742</v>
      </c>
      <c r="W3567" t="n">
        <v/>
      </c>
      <c r="X3567" t="n">
        <v/>
      </c>
      <c r="Y3567" t="n">
        <v/>
      </c>
      <c r="Z3567" t="n">
        <v/>
      </c>
      <c r="AA3567">
        <f>SUMIFS($S$2:S3567,$A$2:A3567,A3567,$N$2:N3567,"Explore*")</f>
        <v/>
      </c>
      <c r="AB3567">
        <f>IF(AND(LEFT(N3567,7)="Explore",(AA3567-IF(LEFT(N3567,7)="Explore",S3567,0))&lt;10),"SI","NO")</f>
        <v/>
      </c>
    </row>
    <row r="3568">
      <c r="A3568" t="inlineStr">
        <is>
          <t>c50m1_test</t>
        </is>
      </c>
      <c r="B3568" t="inlineStr">
        <is>
          <t>2026-02-18 11:19:26.393</t>
        </is>
      </c>
      <c r="C3568" t="n">
        <v/>
      </c>
      <c r="D3568" t="inlineStr">
        <is>
          <t>Media file</t>
        </is>
      </c>
      <c r="E3568" t="inlineStr">
        <is>
          <t>player #1:WT\test\c50m1.mp4</t>
        </is>
      </c>
      <c r="F3568" t="n">
        <v>-9.233000000000001</v>
      </c>
      <c r="G3568" t="n">
        <v>591.766</v>
      </c>
      <c r="H3568" t="n">
        <v>630.7329999999999</v>
      </c>
      <c r="I3568" t="n">
        <v>30</v>
      </c>
      <c r="J3568" t="inlineStr">
        <is>
          <t xml:space="preserve"> WT</t>
        </is>
      </c>
      <c r="K3568" t="inlineStr">
        <is>
          <t>Male</t>
        </is>
      </c>
      <c r="L3568" t="inlineStr">
        <is>
          <t>No focal subject</t>
        </is>
      </c>
      <c r="M3568" t="n">
        <v>24.634</v>
      </c>
      <c r="N3568" t="inlineStr">
        <is>
          <t>Explore_F</t>
        </is>
      </c>
      <c r="O3568" t="inlineStr">
        <is>
          <t>Familiar</t>
        </is>
      </c>
      <c r="P3568" t="inlineStr">
        <is>
          <t>STATE</t>
        </is>
      </c>
      <c r="Q3568" t="n">
        <v>459.933</v>
      </c>
      <c r="R3568" t="n">
        <v>460.6</v>
      </c>
      <c r="S3568" t="n">
        <v>0.667</v>
      </c>
      <c r="T3568" t="inlineStr">
        <is>
          <t>WT\test\c50m1.mp4</t>
        </is>
      </c>
      <c r="U3568" t="n">
        <v>13765</v>
      </c>
      <c r="V3568" t="n">
        <v>13786</v>
      </c>
      <c r="W3568" t="n">
        <v/>
      </c>
      <c r="X3568" t="n">
        <v/>
      </c>
      <c r="Y3568" t="n">
        <v/>
      </c>
      <c r="Z3568" t="n">
        <v/>
      </c>
      <c r="AA3568">
        <f>SUMIFS($S$2:S3568,$A$2:A3568,A3568,$N$2:N3568,"Explore*")</f>
        <v/>
      </c>
      <c r="AB3568">
        <f>IF(AND(LEFT(N3568,7)="Explore",(AA3568-IF(LEFT(N3568,7)="Explore",S3568,0))&lt;10),"SI","NO")</f>
        <v/>
      </c>
    </row>
    <row r="3569">
      <c r="A3569" t="inlineStr">
        <is>
          <t>c50m1_test</t>
        </is>
      </c>
      <c r="B3569" t="inlineStr">
        <is>
          <t>2026-02-18 11:19:26.393</t>
        </is>
      </c>
      <c r="C3569" t="n">
        <v/>
      </c>
      <c r="D3569" t="inlineStr">
        <is>
          <t>Media file</t>
        </is>
      </c>
      <c r="E3569" t="inlineStr">
        <is>
          <t>player #1:WT\test\c50m1.mp4</t>
        </is>
      </c>
      <c r="F3569" t="n">
        <v>-9.233000000000001</v>
      </c>
      <c r="G3569" t="n">
        <v>591.766</v>
      </c>
      <c r="H3569" t="n">
        <v>630.7329999999999</v>
      </c>
      <c r="I3569" t="n">
        <v>30</v>
      </c>
      <c r="J3569" t="inlineStr">
        <is>
          <t xml:space="preserve"> WT</t>
        </is>
      </c>
      <c r="K3569" t="inlineStr">
        <is>
          <t>Male</t>
        </is>
      </c>
      <c r="L3569" t="inlineStr">
        <is>
          <t>No focal subject</t>
        </is>
      </c>
      <c r="M3569" t="n">
        <v>24.634</v>
      </c>
      <c r="N3569" t="inlineStr">
        <is>
          <t>Explore_N</t>
        </is>
      </c>
      <c r="O3569" t="inlineStr">
        <is>
          <t>Novelty</t>
        </is>
      </c>
      <c r="P3569" t="inlineStr">
        <is>
          <t>STATE</t>
        </is>
      </c>
      <c r="Q3569" t="n">
        <v>463.533</v>
      </c>
      <c r="R3569" t="n">
        <v>464.433</v>
      </c>
      <c r="S3569" t="n">
        <v>0.9</v>
      </c>
      <c r="T3569" t="inlineStr">
        <is>
          <t>WT\test\c50m1.mp4</t>
        </is>
      </c>
      <c r="U3569" t="n">
        <v>13872</v>
      </c>
      <c r="V3569" t="n">
        <v>13899</v>
      </c>
      <c r="W3569" t="n">
        <v/>
      </c>
      <c r="X3569" t="n">
        <v/>
      </c>
      <c r="Y3569" t="n">
        <v/>
      </c>
      <c r="Z3569" t="n">
        <v/>
      </c>
      <c r="AA3569">
        <f>SUMIFS($S$2:S3569,$A$2:A3569,A3569,$N$2:N3569,"Explore*")</f>
        <v/>
      </c>
      <c r="AB3569">
        <f>IF(AND(LEFT(N3569,7)="Explore",(AA3569-IF(LEFT(N3569,7)="Explore",S3569,0))&lt;10),"SI","NO")</f>
        <v/>
      </c>
    </row>
    <row r="3570">
      <c r="A3570" t="inlineStr">
        <is>
          <t>c50m1_test</t>
        </is>
      </c>
      <c r="B3570" t="inlineStr">
        <is>
          <t>2026-02-18 11:19:26.393</t>
        </is>
      </c>
      <c r="C3570" t="n">
        <v/>
      </c>
      <c r="D3570" t="inlineStr">
        <is>
          <t>Media file</t>
        </is>
      </c>
      <c r="E3570" t="inlineStr">
        <is>
          <t>player #1:WT\test\c50m1.mp4</t>
        </is>
      </c>
      <c r="F3570" t="n">
        <v>-9.233000000000001</v>
      </c>
      <c r="G3570" t="n">
        <v>591.766</v>
      </c>
      <c r="H3570" t="n">
        <v>630.7329999999999</v>
      </c>
      <c r="I3570" t="n">
        <v>30</v>
      </c>
      <c r="J3570" t="inlineStr">
        <is>
          <t xml:space="preserve"> WT</t>
        </is>
      </c>
      <c r="K3570" t="inlineStr">
        <is>
          <t>Male</t>
        </is>
      </c>
      <c r="L3570" t="inlineStr">
        <is>
          <t>No focal subject</t>
        </is>
      </c>
      <c r="M3570" t="n">
        <v>24.634</v>
      </c>
      <c r="N3570" t="inlineStr">
        <is>
          <t>Explore_N</t>
        </is>
      </c>
      <c r="O3570" t="inlineStr">
        <is>
          <t>Novelty</t>
        </is>
      </c>
      <c r="P3570" t="inlineStr">
        <is>
          <t>STATE</t>
        </is>
      </c>
      <c r="Q3570" t="n">
        <v>469.333</v>
      </c>
      <c r="R3570" t="n">
        <v>469.9</v>
      </c>
      <c r="S3570" t="n">
        <v>0.5669999999999999</v>
      </c>
      <c r="T3570" t="inlineStr">
        <is>
          <t>WT\test\c50m1.mp4</t>
        </is>
      </c>
      <c r="U3570" t="n">
        <v>14046</v>
      </c>
      <c r="V3570" t="n">
        <v>14063</v>
      </c>
      <c r="W3570" t="n">
        <v/>
      </c>
      <c r="X3570" t="n">
        <v/>
      </c>
      <c r="Y3570" t="n">
        <v/>
      </c>
      <c r="Z3570" t="n">
        <v/>
      </c>
      <c r="AA3570">
        <f>SUMIFS($S$2:S3570,$A$2:A3570,A3570,$N$2:N3570,"Explore*")</f>
        <v/>
      </c>
      <c r="AB3570">
        <f>IF(AND(LEFT(N3570,7)="Explore",(AA3570-IF(LEFT(N3570,7)="Explore",S3570,0))&lt;10),"SI","NO")</f>
        <v/>
      </c>
    </row>
    <row r="3571">
      <c r="A3571" t="inlineStr">
        <is>
          <t>c50m1_test</t>
        </is>
      </c>
      <c r="B3571" t="inlineStr">
        <is>
          <t>2026-02-18 11:19:26.393</t>
        </is>
      </c>
      <c r="C3571" t="n">
        <v/>
      </c>
      <c r="D3571" t="inlineStr">
        <is>
          <t>Media file</t>
        </is>
      </c>
      <c r="E3571" t="inlineStr">
        <is>
          <t>player #1:WT\test\c50m1.mp4</t>
        </is>
      </c>
      <c r="F3571" t="n">
        <v>-9.233000000000001</v>
      </c>
      <c r="G3571" t="n">
        <v>591.766</v>
      </c>
      <c r="H3571" t="n">
        <v>630.7329999999999</v>
      </c>
      <c r="I3571" t="n">
        <v>30</v>
      </c>
      <c r="J3571" t="inlineStr">
        <is>
          <t xml:space="preserve"> WT</t>
        </is>
      </c>
      <c r="K3571" t="inlineStr">
        <is>
          <t>Male</t>
        </is>
      </c>
      <c r="L3571" t="inlineStr">
        <is>
          <t>No focal subject</t>
        </is>
      </c>
      <c r="M3571" t="n">
        <v>24.634</v>
      </c>
      <c r="N3571" t="inlineStr">
        <is>
          <t>Explore_N</t>
        </is>
      </c>
      <c r="O3571" t="inlineStr">
        <is>
          <t>Novelty</t>
        </is>
      </c>
      <c r="P3571" t="inlineStr">
        <is>
          <t>STATE</t>
        </is>
      </c>
      <c r="Q3571" t="n">
        <v>476.067</v>
      </c>
      <c r="R3571" t="n">
        <v>476.833</v>
      </c>
      <c r="S3571" t="n">
        <v>0.766</v>
      </c>
      <c r="T3571" t="inlineStr">
        <is>
          <t>WT\test\c50m1.mp4</t>
        </is>
      </c>
      <c r="U3571" t="n">
        <v>14524</v>
      </c>
      <c r="V3571" t="n">
        <v>14547</v>
      </c>
      <c r="W3571" t="n">
        <v/>
      </c>
      <c r="X3571" t="n">
        <v/>
      </c>
      <c r="Y3571" t="n">
        <v/>
      </c>
      <c r="Z3571" t="n">
        <v/>
      </c>
      <c r="AA3571">
        <f>SUMIFS($S$2:S3571,$A$2:A3571,A3571,$N$2:N3571,"Explore*")</f>
        <v/>
      </c>
      <c r="AB3571">
        <f>IF(AND(LEFT(N3571,7)="Explore",(AA3571-IF(LEFT(N3571,7)="Explore",S3571,0))&lt;10),"SI","NO")</f>
        <v/>
      </c>
    </row>
    <row r="3572">
      <c r="A3572" t="inlineStr">
        <is>
          <t>c50m1_test</t>
        </is>
      </c>
      <c r="B3572" t="inlineStr">
        <is>
          <t>2026-02-18 11:19:26.393</t>
        </is>
      </c>
      <c r="C3572" t="n">
        <v/>
      </c>
      <c r="D3572" t="inlineStr">
        <is>
          <t>Media file</t>
        </is>
      </c>
      <c r="E3572" t="inlineStr">
        <is>
          <t>player #1:WT\test\c50m1.mp4</t>
        </is>
      </c>
      <c r="F3572" t="n">
        <v>-9.233000000000001</v>
      </c>
      <c r="G3572" t="n">
        <v>591.766</v>
      </c>
      <c r="H3572" t="n">
        <v>630.7329999999999</v>
      </c>
      <c r="I3572" t="n">
        <v>30</v>
      </c>
      <c r="J3572" t="inlineStr">
        <is>
          <t xml:space="preserve"> WT</t>
        </is>
      </c>
      <c r="K3572" t="inlineStr">
        <is>
          <t>Male</t>
        </is>
      </c>
      <c r="L3572" t="inlineStr">
        <is>
          <t>No focal subject</t>
        </is>
      </c>
      <c r="M3572" t="n">
        <v>24.634</v>
      </c>
      <c r="N3572" t="inlineStr">
        <is>
          <t>Explore_F</t>
        </is>
      </c>
      <c r="O3572" t="inlineStr">
        <is>
          <t>Familiar</t>
        </is>
      </c>
      <c r="P3572" t="inlineStr">
        <is>
          <t>STATE</t>
        </is>
      </c>
      <c r="Q3572" t="n">
        <v>516.1</v>
      </c>
      <c r="R3572" t="n">
        <v>516.433</v>
      </c>
      <c r="S3572" t="n">
        <v>0.333</v>
      </c>
      <c r="T3572" t="inlineStr">
        <is>
          <t>WT\test\c50m1.mp4</t>
        </is>
      </c>
      <c r="U3572" t="n">
        <v>15722</v>
      </c>
      <c r="V3572" t="n">
        <v>15732</v>
      </c>
      <c r="W3572" t="n">
        <v/>
      </c>
      <c r="X3572" t="n">
        <v/>
      </c>
      <c r="Y3572" t="n">
        <v/>
      </c>
      <c r="Z3572" t="n">
        <v/>
      </c>
      <c r="AA3572">
        <f>SUMIFS($S$2:S3572,$A$2:A3572,A3572,$N$2:N3572,"Explore*")</f>
        <v/>
      </c>
      <c r="AB3572">
        <f>IF(AND(LEFT(N3572,7)="Explore",(AA3572-IF(LEFT(N3572,7)="Explore",S3572,0))&lt;10),"SI","NO")</f>
        <v/>
      </c>
    </row>
    <row r="3573">
      <c r="A3573" t="inlineStr">
        <is>
          <t>c50m1_test</t>
        </is>
      </c>
      <c r="B3573" t="inlineStr">
        <is>
          <t>2026-02-18 11:19:26.393</t>
        </is>
      </c>
      <c r="C3573" t="n">
        <v/>
      </c>
      <c r="D3573" t="inlineStr">
        <is>
          <t>Media file</t>
        </is>
      </c>
      <c r="E3573" t="inlineStr">
        <is>
          <t>player #1:WT\test\c50m1.mp4</t>
        </is>
      </c>
      <c r="F3573" t="n">
        <v>-9.233000000000001</v>
      </c>
      <c r="G3573" t="n">
        <v>591.766</v>
      </c>
      <c r="H3573" t="n">
        <v>630.7329999999999</v>
      </c>
      <c r="I3573" t="n">
        <v>30</v>
      </c>
      <c r="J3573" t="inlineStr">
        <is>
          <t xml:space="preserve"> WT</t>
        </is>
      </c>
      <c r="K3573" t="inlineStr">
        <is>
          <t>Male</t>
        </is>
      </c>
      <c r="L3573" t="inlineStr">
        <is>
          <t>No focal subject</t>
        </is>
      </c>
      <c r="M3573" t="n">
        <v>24.634</v>
      </c>
      <c r="N3573" t="inlineStr">
        <is>
          <t>Explore_F</t>
        </is>
      </c>
      <c r="O3573" t="inlineStr">
        <is>
          <t>Familiar</t>
        </is>
      </c>
      <c r="P3573" t="inlineStr">
        <is>
          <t>STATE</t>
        </is>
      </c>
      <c r="Q3573" t="n">
        <v>544.833</v>
      </c>
      <c r="R3573" t="n">
        <v>545.2</v>
      </c>
      <c r="S3573" t="n">
        <v>0.367</v>
      </c>
      <c r="T3573" t="inlineStr">
        <is>
          <t>WT\test\c50m1.mp4</t>
        </is>
      </c>
      <c r="U3573" t="n">
        <v>16582</v>
      </c>
      <c r="V3573" t="n">
        <v>16593</v>
      </c>
      <c r="W3573" t="n">
        <v/>
      </c>
      <c r="X3573" t="n">
        <v/>
      </c>
      <c r="Y3573" t="n">
        <v/>
      </c>
      <c r="Z3573" t="n">
        <v/>
      </c>
      <c r="AA3573">
        <f>SUMIFS($S$2:S3573,$A$2:A3573,A3573,$N$2:N3573,"Explore*")</f>
        <v/>
      </c>
      <c r="AB3573">
        <f>IF(AND(LEFT(N3573,7)="Explore",(AA3573-IF(LEFT(N3573,7)="Explore",S3573,0))&lt;10),"SI","NO")</f>
        <v/>
      </c>
    </row>
    <row r="3574">
      <c r="A3574" t="inlineStr">
        <is>
          <t>c50m1_test</t>
        </is>
      </c>
      <c r="B3574" t="inlineStr">
        <is>
          <t>2026-02-18 11:19:26.393</t>
        </is>
      </c>
      <c r="C3574" t="n">
        <v/>
      </c>
      <c r="D3574" t="inlineStr">
        <is>
          <t>Media file</t>
        </is>
      </c>
      <c r="E3574" t="inlineStr">
        <is>
          <t>player #1:WT\test\c50m1.mp4</t>
        </is>
      </c>
      <c r="F3574" t="n">
        <v>-9.233000000000001</v>
      </c>
      <c r="G3574" t="n">
        <v>591.766</v>
      </c>
      <c r="H3574" t="n">
        <v>630.7329999999999</v>
      </c>
      <c r="I3574" t="n">
        <v>30</v>
      </c>
      <c r="J3574" t="inlineStr">
        <is>
          <t xml:space="preserve"> WT</t>
        </is>
      </c>
      <c r="K3574" t="inlineStr">
        <is>
          <t>Male</t>
        </is>
      </c>
      <c r="L3574" t="inlineStr">
        <is>
          <t>No focal subject</t>
        </is>
      </c>
      <c r="M3574" t="n">
        <v>24.634</v>
      </c>
      <c r="N3574" t="inlineStr">
        <is>
          <t>Explore_F</t>
        </is>
      </c>
      <c r="O3574" t="inlineStr">
        <is>
          <t>Familiar</t>
        </is>
      </c>
      <c r="P3574" t="inlineStr">
        <is>
          <t>STATE</t>
        </is>
      </c>
      <c r="Q3574" t="n">
        <v>564.7329999999999</v>
      </c>
      <c r="R3574" t="n">
        <v>565</v>
      </c>
      <c r="S3574" t="n">
        <v>0.267</v>
      </c>
      <c r="T3574" t="inlineStr">
        <is>
          <t>WT\test\c50m1.mp4</t>
        </is>
      </c>
      <c r="U3574" t="n">
        <v>17177</v>
      </c>
      <c r="V3574" t="n">
        <v>17185</v>
      </c>
      <c r="W3574" t="n">
        <v/>
      </c>
      <c r="X3574" t="n">
        <v/>
      </c>
      <c r="Y3574" t="n">
        <v/>
      </c>
      <c r="Z3574" t="n">
        <v/>
      </c>
      <c r="AA3574">
        <f>SUMIFS($S$2:S3574,$A$2:A3574,A3574,$N$2:N3574,"Explore*")</f>
        <v/>
      </c>
      <c r="AB3574">
        <f>IF(AND(LEFT(N3574,7)="Explore",(AA3574-IF(LEFT(N3574,7)="Explore",S3574,0))&lt;10),"SI","NO")</f>
        <v/>
      </c>
    </row>
    <row r="3575">
      <c r="A3575" t="inlineStr">
        <is>
          <t>c50m1_test</t>
        </is>
      </c>
      <c r="B3575" t="inlineStr">
        <is>
          <t>2026-02-18 11:19:26.393</t>
        </is>
      </c>
      <c r="C3575" t="n">
        <v/>
      </c>
      <c r="D3575" t="inlineStr">
        <is>
          <t>Media file</t>
        </is>
      </c>
      <c r="E3575" t="inlineStr">
        <is>
          <t>player #1:WT\test\c50m1.mp4</t>
        </is>
      </c>
      <c r="F3575" t="n">
        <v>-9.233000000000001</v>
      </c>
      <c r="G3575" t="n">
        <v>591.766</v>
      </c>
      <c r="H3575" t="n">
        <v>630.7329999999999</v>
      </c>
      <c r="I3575" t="n">
        <v>30</v>
      </c>
      <c r="J3575" t="inlineStr">
        <is>
          <t xml:space="preserve"> WT</t>
        </is>
      </c>
      <c r="K3575" t="inlineStr">
        <is>
          <t>Male</t>
        </is>
      </c>
      <c r="L3575" t="inlineStr">
        <is>
          <t>No focal subject</t>
        </is>
      </c>
      <c r="M3575" t="n">
        <v>24.634</v>
      </c>
      <c r="N3575" t="inlineStr">
        <is>
          <t>Explore_F</t>
        </is>
      </c>
      <c r="O3575" t="inlineStr">
        <is>
          <t>Familiar</t>
        </is>
      </c>
      <c r="P3575" t="inlineStr">
        <is>
          <t>STATE</t>
        </is>
      </c>
      <c r="Q3575" t="n">
        <v>580.933</v>
      </c>
      <c r="R3575" t="n">
        <v>581.2</v>
      </c>
      <c r="S3575" t="n">
        <v>0.267</v>
      </c>
      <c r="T3575" t="inlineStr">
        <is>
          <t>WT\test\c50m1.mp4</t>
        </is>
      </c>
      <c r="U3575" t="n">
        <v>17662</v>
      </c>
      <c r="V3575" t="n">
        <v>17670</v>
      </c>
      <c r="W3575" t="n">
        <v/>
      </c>
      <c r="X3575" t="n">
        <v/>
      </c>
      <c r="Y3575" t="n">
        <v/>
      </c>
      <c r="Z3575" t="n">
        <v/>
      </c>
      <c r="AA3575">
        <f>SUMIFS($S$2:S3575,$A$2:A3575,A3575,$N$2:N3575,"Explore*")</f>
        <v/>
      </c>
      <c r="AB3575">
        <f>IF(AND(LEFT(N3575,7)="Explore",(AA3575-IF(LEFT(N3575,7)="Explore",S3575,0))&lt;10),"SI","NO")</f>
        <v/>
      </c>
    </row>
    <row r="3576">
      <c r="A3576" t="inlineStr">
        <is>
          <t>c50m1_test</t>
        </is>
      </c>
      <c r="B3576" t="inlineStr">
        <is>
          <t>2026-02-18 11:19:26.393</t>
        </is>
      </c>
      <c r="C3576" t="n">
        <v/>
      </c>
      <c r="D3576" t="inlineStr">
        <is>
          <t>Media file</t>
        </is>
      </c>
      <c r="E3576" t="inlineStr">
        <is>
          <t>player #1:WT\test\c50m1.mp4</t>
        </is>
      </c>
      <c r="F3576" t="n">
        <v>-9.233000000000001</v>
      </c>
      <c r="G3576" t="n">
        <v>591.766</v>
      </c>
      <c r="H3576" t="n">
        <v>630.7329999999999</v>
      </c>
      <c r="I3576" t="n">
        <v>30</v>
      </c>
      <c r="J3576" t="inlineStr">
        <is>
          <t xml:space="preserve"> WT</t>
        </is>
      </c>
      <c r="K3576" t="inlineStr">
        <is>
          <t>Male</t>
        </is>
      </c>
      <c r="L3576" t="inlineStr">
        <is>
          <t>No focal subject</t>
        </is>
      </c>
      <c r="M3576" t="n">
        <v>24.634</v>
      </c>
      <c r="N3576" t="inlineStr">
        <is>
          <t>Explore_N</t>
        </is>
      </c>
      <c r="O3576" t="inlineStr">
        <is>
          <t>Novelty</t>
        </is>
      </c>
      <c r="P3576" t="inlineStr">
        <is>
          <t>STATE</t>
        </is>
      </c>
      <c r="Q3576" t="n">
        <v>590.066</v>
      </c>
      <c r="R3576" t="n">
        <v>590.466</v>
      </c>
      <c r="S3576" t="n">
        <v>0.4</v>
      </c>
      <c r="T3576" t="inlineStr">
        <is>
          <t>WT\test\c50m1.mp4</t>
        </is>
      </c>
      <c r="U3576" t="n">
        <v>17935</v>
      </c>
      <c r="V3576" t="n">
        <v>17947</v>
      </c>
      <c r="W3576" t="n">
        <v/>
      </c>
      <c r="X3576" t="n">
        <v/>
      </c>
      <c r="Y3576" t="n">
        <v/>
      </c>
      <c r="Z3576" t="n">
        <v/>
      </c>
      <c r="AA3576">
        <f>SUMIFS($S$2:S3576,$A$2:A3576,A3576,$N$2:N3576,"Explore*")</f>
        <v/>
      </c>
      <c r="AB3576">
        <f>IF(AND(LEFT(N3576,7)="Explore",(AA3576-IF(LEFT(N3576,7)="Explore",S3576,0))&lt;10),"SI","NO")</f>
        <v/>
      </c>
    </row>
    <row r="3577">
      <c r="A3577" t="inlineStr">
        <is>
          <t>c50m1_test</t>
        </is>
      </c>
      <c r="B3577" t="inlineStr">
        <is>
          <t>2026-02-18 11:19:26.393</t>
        </is>
      </c>
      <c r="C3577" t="n">
        <v/>
      </c>
      <c r="D3577" t="inlineStr">
        <is>
          <t>Media file</t>
        </is>
      </c>
      <c r="E3577" t="inlineStr">
        <is>
          <t>player #1:WT\test\c50m1.mp4</t>
        </is>
      </c>
      <c r="F3577" t="n">
        <v>-9.233000000000001</v>
      </c>
      <c r="G3577" t="n">
        <v>591.766</v>
      </c>
      <c r="H3577" t="n">
        <v>630.7329999999999</v>
      </c>
      <c r="I3577" t="n">
        <v>30</v>
      </c>
      <c r="J3577" t="inlineStr">
        <is>
          <t xml:space="preserve"> WT</t>
        </is>
      </c>
      <c r="K3577" t="inlineStr">
        <is>
          <t>Male</t>
        </is>
      </c>
      <c r="L3577" t="inlineStr">
        <is>
          <t>No focal subject</t>
        </is>
      </c>
      <c r="M3577" t="n">
        <v>24.634</v>
      </c>
      <c r="N3577" t="inlineStr">
        <is>
          <t>Explore_N</t>
        </is>
      </c>
      <c r="O3577" t="inlineStr">
        <is>
          <t>Novelty</t>
        </is>
      </c>
      <c r="P3577" t="inlineStr">
        <is>
          <t>STATE</t>
        </is>
      </c>
      <c r="Q3577" t="n">
        <v>591.066</v>
      </c>
      <c r="R3577" t="n">
        <v>591.3</v>
      </c>
      <c r="S3577" t="n">
        <v>0.234</v>
      </c>
      <c r="T3577" t="inlineStr">
        <is>
          <t>WT\test\c50m1.mp4</t>
        </is>
      </c>
      <c r="U3577" t="n">
        <v>17965</v>
      </c>
      <c r="V3577" t="n">
        <v>17972</v>
      </c>
      <c r="W3577" t="n">
        <v/>
      </c>
      <c r="X3577" t="n">
        <v/>
      </c>
      <c r="Y3577" t="n">
        <v/>
      </c>
      <c r="Z3577" t="n">
        <v/>
      </c>
      <c r="AA3577">
        <f>SUMIFS($S$2:S3577,$A$2:A3577,A3577,$N$2:N3577,"Explore*")</f>
        <v/>
      </c>
      <c r="AB3577">
        <f>IF(AND(LEFT(N3577,7)="Explore",(AA3577-IF(LEFT(N3577,7)="Explore",S3577,0))&lt;10),"SI","NO")</f>
        <v/>
      </c>
    </row>
    <row r="3578">
      <c r="A3578" t="inlineStr">
        <is>
          <t>c50m1_test</t>
        </is>
      </c>
      <c r="B3578" t="inlineStr">
        <is>
          <t>2026-02-18 11:19:26.393</t>
        </is>
      </c>
      <c r="C3578" t="n">
        <v/>
      </c>
      <c r="D3578" t="inlineStr">
        <is>
          <t>Media file</t>
        </is>
      </c>
      <c r="E3578" t="inlineStr">
        <is>
          <t>player #1:WT\test\c50m1.mp4</t>
        </is>
      </c>
      <c r="F3578" t="n">
        <v>-9.233000000000001</v>
      </c>
      <c r="G3578" t="n">
        <v>591.766</v>
      </c>
      <c r="H3578" t="n">
        <v>630.7329999999999</v>
      </c>
      <c r="I3578" t="n">
        <v>30</v>
      </c>
      <c r="J3578" t="inlineStr">
        <is>
          <t xml:space="preserve"> WT</t>
        </is>
      </c>
      <c r="K3578" t="inlineStr">
        <is>
          <t>Male</t>
        </is>
      </c>
      <c r="L3578" t="inlineStr">
        <is>
          <t>No focal subject</t>
        </is>
      </c>
      <c r="M3578" t="n">
        <v>24.634</v>
      </c>
      <c r="N3578" t="inlineStr">
        <is>
          <t>Explore_N</t>
        </is>
      </c>
      <c r="O3578" t="inlineStr">
        <is>
          <t>Novelty</t>
        </is>
      </c>
      <c r="P3578" t="inlineStr">
        <is>
          <t>STATE</t>
        </is>
      </c>
      <c r="Q3578" t="n">
        <v>595.566</v>
      </c>
      <c r="R3578" t="n">
        <v>597.033</v>
      </c>
      <c r="S3578" t="n">
        <v>1.467</v>
      </c>
      <c r="T3578" t="inlineStr">
        <is>
          <t>WT\test\c50m1.mp4</t>
        </is>
      </c>
      <c r="U3578" t="n">
        <v>18100</v>
      </c>
      <c r="V3578" t="n">
        <v>18144</v>
      </c>
      <c r="W3578" t="n">
        <v/>
      </c>
      <c r="X3578" t="n">
        <v/>
      </c>
      <c r="Y3578" t="n">
        <v/>
      </c>
      <c r="Z3578" t="n">
        <v/>
      </c>
      <c r="AA3578">
        <f>SUMIFS($S$2:S3578,$A$2:A3578,A3578,$N$2:N3578,"Explore*")</f>
        <v/>
      </c>
      <c r="AB3578">
        <f>IF(AND(LEFT(N3578,7)="Explore",(AA3578-IF(LEFT(N3578,7)="Explore",S3578,0))&lt;10),"SI","NO")</f>
        <v/>
      </c>
    </row>
    <row r="3579">
      <c r="A3579" t="inlineStr">
        <is>
          <t>c50m2_test</t>
        </is>
      </c>
      <c r="B3579" t="inlineStr">
        <is>
          <t>2026-02-18 11:45:36.249</t>
        </is>
      </c>
      <c r="C3579" t="n">
        <v/>
      </c>
      <c r="D3579" t="inlineStr">
        <is>
          <t>Media file</t>
        </is>
      </c>
      <c r="E3579" t="inlineStr">
        <is>
          <t>player #1:WT\test\c50m2.mp4</t>
        </is>
      </c>
      <c r="F3579" t="n">
        <v>-6.567</v>
      </c>
      <c r="G3579" t="n">
        <v>560.6660000000001</v>
      </c>
      <c r="H3579" t="n">
        <v>610.699</v>
      </c>
      <c r="I3579" t="n">
        <v>30</v>
      </c>
      <c r="J3579" t="inlineStr">
        <is>
          <t xml:space="preserve"> WT</t>
        </is>
      </c>
      <c r="K3579" t="inlineStr">
        <is>
          <t>Male</t>
        </is>
      </c>
      <c r="L3579" t="inlineStr">
        <is>
          <t>No focal subject</t>
        </is>
      </c>
      <c r="M3579" t="n">
        <v>77.804</v>
      </c>
      <c r="N3579" t="inlineStr">
        <is>
          <t>Explore_N</t>
        </is>
      </c>
      <c r="O3579" t="inlineStr">
        <is>
          <t>Novelty</t>
        </is>
      </c>
      <c r="P3579" t="inlineStr">
        <is>
          <t>STATE</t>
        </is>
      </c>
      <c r="Q3579" t="n">
        <v>10.766</v>
      </c>
      <c r="R3579" t="n">
        <v>11.533</v>
      </c>
      <c r="S3579" t="n">
        <v>0.767</v>
      </c>
      <c r="T3579" t="inlineStr">
        <is>
          <t>WT\test\c50m2.mp4</t>
        </is>
      </c>
      <c r="U3579" t="n">
        <v>323</v>
      </c>
      <c r="V3579" t="n">
        <v>347</v>
      </c>
      <c r="W3579" t="n">
        <v/>
      </c>
      <c r="X3579" t="n">
        <v/>
      </c>
      <c r="Y3579" t="n">
        <v/>
      </c>
      <c r="Z3579" t="n">
        <v/>
      </c>
      <c r="AA3579">
        <f>SUMIFS($S$2:S3579,$A$2:A3579,A3579,$N$2:N3579,"Explore*")</f>
        <v/>
      </c>
      <c r="AB3579">
        <f>IF(AND(LEFT(N3579,7)="Explore",(AA3579-IF(LEFT(N3579,7)="Explore",S3579,0))&lt;10),"SI","NO")</f>
        <v/>
      </c>
    </row>
    <row r="3580">
      <c r="A3580" t="inlineStr">
        <is>
          <t>c50m2_test</t>
        </is>
      </c>
      <c r="B3580" t="inlineStr">
        <is>
          <t>2026-02-18 11:45:36.249</t>
        </is>
      </c>
      <c r="C3580" t="n">
        <v/>
      </c>
      <c r="D3580" t="inlineStr">
        <is>
          <t>Media file</t>
        </is>
      </c>
      <c r="E3580" t="inlineStr">
        <is>
          <t>player #1:WT\test\c50m2.mp4</t>
        </is>
      </c>
      <c r="F3580" t="n">
        <v>-6.567</v>
      </c>
      <c r="G3580" t="n">
        <v>560.6660000000001</v>
      </c>
      <c r="H3580" t="n">
        <v>610.699</v>
      </c>
      <c r="I3580" t="n">
        <v>30</v>
      </c>
      <c r="J3580" t="inlineStr">
        <is>
          <t xml:space="preserve"> WT</t>
        </is>
      </c>
      <c r="K3580" t="inlineStr">
        <is>
          <t>Male</t>
        </is>
      </c>
      <c r="L3580" t="inlineStr">
        <is>
          <t>No focal subject</t>
        </is>
      </c>
      <c r="M3580" t="n">
        <v>77.804</v>
      </c>
      <c r="N3580" t="inlineStr">
        <is>
          <t>Explore_F</t>
        </is>
      </c>
      <c r="O3580" t="inlineStr">
        <is>
          <t>Familiar</t>
        </is>
      </c>
      <c r="P3580" t="inlineStr">
        <is>
          <t>STATE</t>
        </is>
      </c>
      <c r="Q3580" t="n">
        <v>18.133</v>
      </c>
      <c r="R3580" t="n">
        <v>18.4</v>
      </c>
      <c r="S3580" t="n">
        <v>0.267</v>
      </c>
      <c r="T3580" t="inlineStr">
        <is>
          <t>WT\test\c50m2.mp4</t>
        </is>
      </c>
      <c r="U3580" t="n">
        <v>544</v>
      </c>
      <c r="V3580" t="n">
        <v>552</v>
      </c>
      <c r="W3580" t="n">
        <v/>
      </c>
      <c r="X3580" t="n">
        <v/>
      </c>
      <c r="Y3580" t="n">
        <v/>
      </c>
      <c r="Z3580" t="n">
        <v/>
      </c>
      <c r="AA3580">
        <f>SUMIFS($S$2:S3580,$A$2:A3580,A3580,$N$2:N3580,"Explore*")</f>
        <v/>
      </c>
      <c r="AB3580">
        <f>IF(AND(LEFT(N3580,7)="Explore",(AA3580-IF(LEFT(N3580,7)="Explore",S3580,0))&lt;10),"SI","NO")</f>
        <v/>
      </c>
    </row>
    <row r="3581">
      <c r="A3581" t="inlineStr">
        <is>
          <t>c50m2_test</t>
        </is>
      </c>
      <c r="B3581" t="inlineStr">
        <is>
          <t>2026-02-18 11:45:36.249</t>
        </is>
      </c>
      <c r="C3581" t="n">
        <v/>
      </c>
      <c r="D3581" t="inlineStr">
        <is>
          <t>Media file</t>
        </is>
      </c>
      <c r="E3581" t="inlineStr">
        <is>
          <t>player #1:WT\test\c50m2.mp4</t>
        </is>
      </c>
      <c r="F3581" t="n">
        <v>-6.567</v>
      </c>
      <c r="G3581" t="n">
        <v>560.6660000000001</v>
      </c>
      <c r="H3581" t="n">
        <v>610.699</v>
      </c>
      <c r="I3581" t="n">
        <v>30</v>
      </c>
      <c r="J3581" t="inlineStr">
        <is>
          <t xml:space="preserve"> WT</t>
        </is>
      </c>
      <c r="K3581" t="inlineStr">
        <is>
          <t>Male</t>
        </is>
      </c>
      <c r="L3581" t="inlineStr">
        <is>
          <t>No focal subject</t>
        </is>
      </c>
      <c r="M3581" t="n">
        <v>77.804</v>
      </c>
      <c r="N3581" t="inlineStr">
        <is>
          <t>Explore_N</t>
        </is>
      </c>
      <c r="O3581" t="inlineStr">
        <is>
          <t>Novelty</t>
        </is>
      </c>
      <c r="P3581" t="inlineStr">
        <is>
          <t>STATE</t>
        </is>
      </c>
      <c r="Q3581" t="n">
        <v>26.866</v>
      </c>
      <c r="R3581" t="n">
        <v>28.633</v>
      </c>
      <c r="S3581" t="n">
        <v>1.767</v>
      </c>
      <c r="T3581" t="inlineStr">
        <is>
          <t>WT\test\c50m2.mp4</t>
        </is>
      </c>
      <c r="U3581" t="n">
        <v>806</v>
      </c>
      <c r="V3581" t="n">
        <v>859</v>
      </c>
      <c r="W3581" t="n">
        <v/>
      </c>
      <c r="X3581" t="n">
        <v/>
      </c>
      <c r="Y3581" t="n">
        <v/>
      </c>
      <c r="Z3581" t="n">
        <v/>
      </c>
      <c r="AA3581">
        <f>SUMIFS($S$2:S3581,$A$2:A3581,A3581,$N$2:N3581,"Explore*")</f>
        <v/>
      </c>
      <c r="AB3581">
        <f>IF(AND(LEFT(N3581,7)="Explore",(AA3581-IF(LEFT(N3581,7)="Explore",S3581,0))&lt;10),"SI","NO")</f>
        <v/>
      </c>
    </row>
    <row r="3582">
      <c r="A3582" t="inlineStr">
        <is>
          <t>c50m2_test</t>
        </is>
      </c>
      <c r="B3582" t="inlineStr">
        <is>
          <t>2026-02-18 11:45:36.249</t>
        </is>
      </c>
      <c r="C3582" t="n">
        <v/>
      </c>
      <c r="D3582" t="inlineStr">
        <is>
          <t>Media file</t>
        </is>
      </c>
      <c r="E3582" t="inlineStr">
        <is>
          <t>player #1:WT\test\c50m2.mp4</t>
        </is>
      </c>
      <c r="F3582" t="n">
        <v>-6.567</v>
      </c>
      <c r="G3582" t="n">
        <v>560.6660000000001</v>
      </c>
      <c r="H3582" t="n">
        <v>610.699</v>
      </c>
      <c r="I3582" t="n">
        <v>30</v>
      </c>
      <c r="J3582" t="inlineStr">
        <is>
          <t xml:space="preserve"> WT</t>
        </is>
      </c>
      <c r="K3582" t="inlineStr">
        <is>
          <t>Male</t>
        </is>
      </c>
      <c r="L3582" t="inlineStr">
        <is>
          <t>No focal subject</t>
        </is>
      </c>
      <c r="M3582" t="n">
        <v>77.804</v>
      </c>
      <c r="N3582" t="inlineStr">
        <is>
          <t>Explore_F</t>
        </is>
      </c>
      <c r="O3582" t="inlineStr">
        <is>
          <t>Familiar</t>
        </is>
      </c>
      <c r="P3582" t="inlineStr">
        <is>
          <t>STATE</t>
        </is>
      </c>
      <c r="Q3582" t="n">
        <v>33.6</v>
      </c>
      <c r="R3582" t="n">
        <v>34.366</v>
      </c>
      <c r="S3582" t="n">
        <v>0.766</v>
      </c>
      <c r="T3582" t="inlineStr">
        <is>
          <t>WT\test\c50m2.mp4</t>
        </is>
      </c>
      <c r="U3582" t="n">
        <v>1008</v>
      </c>
      <c r="V3582" t="n">
        <v>1031</v>
      </c>
      <c r="W3582" t="n">
        <v/>
      </c>
      <c r="X3582" t="n">
        <v/>
      </c>
      <c r="Y3582" t="n">
        <v/>
      </c>
      <c r="Z3582" t="n">
        <v/>
      </c>
      <c r="AA3582">
        <f>SUMIFS($S$2:S3582,$A$2:A3582,A3582,$N$2:N3582,"Explore*")</f>
        <v/>
      </c>
      <c r="AB3582">
        <f>IF(AND(LEFT(N3582,7)="Explore",(AA3582-IF(LEFT(N3582,7)="Explore",S3582,0))&lt;10),"SI","NO")</f>
        <v/>
      </c>
    </row>
    <row r="3583">
      <c r="A3583" t="inlineStr">
        <is>
          <t>c50m2_test</t>
        </is>
      </c>
      <c r="B3583" t="inlineStr">
        <is>
          <t>2026-02-18 11:45:36.249</t>
        </is>
      </c>
      <c r="C3583" t="n">
        <v/>
      </c>
      <c r="D3583" t="inlineStr">
        <is>
          <t>Media file</t>
        </is>
      </c>
      <c r="E3583" t="inlineStr">
        <is>
          <t>player #1:WT\test\c50m2.mp4</t>
        </is>
      </c>
      <c r="F3583" t="n">
        <v>-6.567</v>
      </c>
      <c r="G3583" t="n">
        <v>560.6660000000001</v>
      </c>
      <c r="H3583" t="n">
        <v>610.699</v>
      </c>
      <c r="I3583" t="n">
        <v>30</v>
      </c>
      <c r="J3583" t="inlineStr">
        <is>
          <t xml:space="preserve"> WT</t>
        </is>
      </c>
      <c r="K3583" t="inlineStr">
        <is>
          <t>Male</t>
        </is>
      </c>
      <c r="L3583" t="inlineStr">
        <is>
          <t>No focal subject</t>
        </is>
      </c>
      <c r="M3583" t="n">
        <v>77.804</v>
      </c>
      <c r="N3583" t="inlineStr">
        <is>
          <t>Explore_N</t>
        </is>
      </c>
      <c r="O3583" t="inlineStr">
        <is>
          <t>Novelty</t>
        </is>
      </c>
      <c r="P3583" t="inlineStr">
        <is>
          <t>STATE</t>
        </is>
      </c>
      <c r="Q3583" t="n">
        <v>39.4</v>
      </c>
      <c r="R3583" t="n">
        <v>41.4</v>
      </c>
      <c r="S3583" t="n">
        <v>2</v>
      </c>
      <c r="T3583" t="inlineStr">
        <is>
          <t>WT\test\c50m2.mp4</t>
        </is>
      </c>
      <c r="U3583" t="n">
        <v>1182</v>
      </c>
      <c r="V3583" t="n">
        <v>1242</v>
      </c>
      <c r="W3583" t="n">
        <v/>
      </c>
      <c r="X3583" t="n">
        <v/>
      </c>
      <c r="Y3583" t="n">
        <v/>
      </c>
      <c r="Z3583" t="n">
        <v/>
      </c>
      <c r="AA3583">
        <f>SUMIFS($S$2:S3583,$A$2:A3583,A3583,$N$2:N3583,"Explore*")</f>
        <v/>
      </c>
      <c r="AB3583">
        <f>IF(AND(LEFT(N3583,7)="Explore",(AA3583-IF(LEFT(N3583,7)="Explore",S3583,0))&lt;10),"SI","NO")</f>
        <v/>
      </c>
    </row>
    <row r="3584">
      <c r="A3584" t="inlineStr">
        <is>
          <t>c50m2_test</t>
        </is>
      </c>
      <c r="B3584" t="inlineStr">
        <is>
          <t>2026-02-18 11:45:36.249</t>
        </is>
      </c>
      <c r="C3584" t="n">
        <v/>
      </c>
      <c r="D3584" t="inlineStr">
        <is>
          <t>Media file</t>
        </is>
      </c>
      <c r="E3584" t="inlineStr">
        <is>
          <t>player #1:WT\test\c50m2.mp4</t>
        </is>
      </c>
      <c r="F3584" t="n">
        <v>-6.567</v>
      </c>
      <c r="G3584" t="n">
        <v>560.6660000000001</v>
      </c>
      <c r="H3584" t="n">
        <v>610.699</v>
      </c>
      <c r="I3584" t="n">
        <v>30</v>
      </c>
      <c r="J3584" t="inlineStr">
        <is>
          <t xml:space="preserve"> WT</t>
        </is>
      </c>
      <c r="K3584" t="inlineStr">
        <is>
          <t>Male</t>
        </is>
      </c>
      <c r="L3584" t="inlineStr">
        <is>
          <t>No focal subject</t>
        </is>
      </c>
      <c r="M3584" t="n">
        <v>77.804</v>
      </c>
      <c r="N3584" t="inlineStr">
        <is>
          <t>Explore_N</t>
        </is>
      </c>
      <c r="O3584" t="inlineStr">
        <is>
          <t>Novelty</t>
        </is>
      </c>
      <c r="P3584" t="inlineStr">
        <is>
          <t>STATE</t>
        </is>
      </c>
      <c r="Q3584" t="n">
        <v>47.3</v>
      </c>
      <c r="R3584" t="n">
        <v>48.6</v>
      </c>
      <c r="S3584" t="n">
        <v>1.3</v>
      </c>
      <c r="T3584" t="inlineStr">
        <is>
          <t>WT\test\c50m2.mp4</t>
        </is>
      </c>
      <c r="U3584" t="n">
        <v>1419</v>
      </c>
      <c r="V3584" t="n">
        <v>1458</v>
      </c>
      <c r="W3584" t="n">
        <v/>
      </c>
      <c r="X3584" t="n">
        <v/>
      </c>
      <c r="Y3584" t="n">
        <v/>
      </c>
      <c r="Z3584" t="n">
        <v/>
      </c>
      <c r="AA3584">
        <f>SUMIFS($S$2:S3584,$A$2:A3584,A3584,$N$2:N3584,"Explore*")</f>
        <v/>
      </c>
      <c r="AB3584">
        <f>IF(AND(LEFT(N3584,7)="Explore",(AA3584-IF(LEFT(N3584,7)="Explore",S3584,0))&lt;10),"SI","NO")</f>
        <v/>
      </c>
    </row>
    <row r="3585">
      <c r="A3585" t="inlineStr">
        <is>
          <t>c50m2_test</t>
        </is>
      </c>
      <c r="B3585" t="inlineStr">
        <is>
          <t>2026-02-18 11:45:36.249</t>
        </is>
      </c>
      <c r="C3585" t="n">
        <v/>
      </c>
      <c r="D3585" t="inlineStr">
        <is>
          <t>Media file</t>
        </is>
      </c>
      <c r="E3585" t="inlineStr">
        <is>
          <t>player #1:WT\test\c50m2.mp4</t>
        </is>
      </c>
      <c r="F3585" t="n">
        <v>-6.567</v>
      </c>
      <c r="G3585" t="n">
        <v>560.6660000000001</v>
      </c>
      <c r="H3585" t="n">
        <v>610.699</v>
      </c>
      <c r="I3585" t="n">
        <v>30</v>
      </c>
      <c r="J3585" t="inlineStr">
        <is>
          <t xml:space="preserve"> WT</t>
        </is>
      </c>
      <c r="K3585" t="inlineStr">
        <is>
          <t>Male</t>
        </is>
      </c>
      <c r="L3585" t="inlineStr">
        <is>
          <t>No focal subject</t>
        </is>
      </c>
      <c r="M3585" t="n">
        <v>77.804</v>
      </c>
      <c r="N3585" t="inlineStr">
        <is>
          <t>Explore_F</t>
        </is>
      </c>
      <c r="O3585" t="inlineStr">
        <is>
          <t>Familiar</t>
        </is>
      </c>
      <c r="P3585" t="inlineStr">
        <is>
          <t>STATE</t>
        </is>
      </c>
      <c r="Q3585" t="n">
        <v>58.766</v>
      </c>
      <c r="R3585" t="n">
        <v>59.466</v>
      </c>
      <c r="S3585" t="n">
        <v>0.7</v>
      </c>
      <c r="T3585" t="inlineStr">
        <is>
          <t>WT\test\c50m2.mp4</t>
        </is>
      </c>
      <c r="U3585" t="n">
        <v>1763</v>
      </c>
      <c r="V3585" t="n">
        <v>1784</v>
      </c>
      <c r="W3585" t="n">
        <v/>
      </c>
      <c r="X3585" t="n">
        <v/>
      </c>
      <c r="Y3585" t="n">
        <v/>
      </c>
      <c r="Z3585" t="n">
        <v/>
      </c>
      <c r="AA3585">
        <f>SUMIFS($S$2:S3585,$A$2:A3585,A3585,$N$2:N3585,"Explore*")</f>
        <v/>
      </c>
      <c r="AB3585">
        <f>IF(AND(LEFT(N3585,7)="Explore",(AA3585-IF(LEFT(N3585,7)="Explore",S3585,0))&lt;10),"SI","NO")</f>
        <v/>
      </c>
    </row>
    <row r="3586">
      <c r="A3586" t="inlineStr">
        <is>
          <t>c50m2_test</t>
        </is>
      </c>
      <c r="B3586" t="inlineStr">
        <is>
          <t>2026-02-18 11:45:36.249</t>
        </is>
      </c>
      <c r="C3586" t="n">
        <v/>
      </c>
      <c r="D3586" t="inlineStr">
        <is>
          <t>Media file</t>
        </is>
      </c>
      <c r="E3586" t="inlineStr">
        <is>
          <t>player #1:WT\test\c50m2.mp4</t>
        </is>
      </c>
      <c r="F3586" t="n">
        <v>-6.567</v>
      </c>
      <c r="G3586" t="n">
        <v>560.6660000000001</v>
      </c>
      <c r="H3586" t="n">
        <v>610.699</v>
      </c>
      <c r="I3586" t="n">
        <v>30</v>
      </c>
      <c r="J3586" t="inlineStr">
        <is>
          <t xml:space="preserve"> WT</t>
        </is>
      </c>
      <c r="K3586" t="inlineStr">
        <is>
          <t>Male</t>
        </is>
      </c>
      <c r="L3586" t="inlineStr">
        <is>
          <t>No focal subject</t>
        </is>
      </c>
      <c r="M3586" t="n">
        <v>77.804</v>
      </c>
      <c r="N3586" t="inlineStr">
        <is>
          <t>Explore_N</t>
        </is>
      </c>
      <c r="O3586" t="inlineStr">
        <is>
          <t>Novelty</t>
        </is>
      </c>
      <c r="P3586" t="inlineStr">
        <is>
          <t>STATE</t>
        </is>
      </c>
      <c r="Q3586" t="n">
        <v>61.433</v>
      </c>
      <c r="R3586" t="n">
        <v>63.266</v>
      </c>
      <c r="S3586" t="n">
        <v>1.833</v>
      </c>
      <c r="T3586" t="inlineStr">
        <is>
          <t>WT\test\c50m2.mp4</t>
        </is>
      </c>
      <c r="U3586" t="n">
        <v>1843</v>
      </c>
      <c r="V3586" t="n">
        <v>1898</v>
      </c>
      <c r="W3586" t="n">
        <v/>
      </c>
      <c r="X3586" t="n">
        <v/>
      </c>
      <c r="Y3586" t="n">
        <v/>
      </c>
      <c r="Z3586" t="n">
        <v/>
      </c>
      <c r="AA3586">
        <f>SUMIFS($S$2:S3586,$A$2:A3586,A3586,$N$2:N3586,"Explore*")</f>
        <v/>
      </c>
      <c r="AB3586">
        <f>IF(AND(LEFT(N3586,7)="Explore",(AA3586-IF(LEFT(N3586,7)="Explore",S3586,0))&lt;10),"SI","NO")</f>
        <v/>
      </c>
    </row>
    <row r="3587">
      <c r="A3587" t="inlineStr">
        <is>
          <t>c50m2_test</t>
        </is>
      </c>
      <c r="B3587" t="inlineStr">
        <is>
          <t>2026-02-18 11:45:36.249</t>
        </is>
      </c>
      <c r="C3587" t="n">
        <v/>
      </c>
      <c r="D3587" t="inlineStr">
        <is>
          <t>Media file</t>
        </is>
      </c>
      <c r="E3587" t="inlineStr">
        <is>
          <t>player #1:WT\test\c50m2.mp4</t>
        </is>
      </c>
      <c r="F3587" t="n">
        <v>-6.567</v>
      </c>
      <c r="G3587" t="n">
        <v>560.6660000000001</v>
      </c>
      <c r="H3587" t="n">
        <v>610.699</v>
      </c>
      <c r="I3587" t="n">
        <v>30</v>
      </c>
      <c r="J3587" t="inlineStr">
        <is>
          <t xml:space="preserve"> WT</t>
        </is>
      </c>
      <c r="K3587" t="inlineStr">
        <is>
          <t>Male</t>
        </is>
      </c>
      <c r="L3587" t="inlineStr">
        <is>
          <t>No focal subject</t>
        </is>
      </c>
      <c r="M3587" t="n">
        <v>77.804</v>
      </c>
      <c r="N3587" t="inlineStr">
        <is>
          <t>Explore_N</t>
        </is>
      </c>
      <c r="O3587" t="inlineStr">
        <is>
          <t>Novelty</t>
        </is>
      </c>
      <c r="P3587" t="inlineStr">
        <is>
          <t>STATE</t>
        </is>
      </c>
      <c r="Q3587" t="n">
        <v>65.09999999999999</v>
      </c>
      <c r="R3587" t="n">
        <v>65.46599999999999</v>
      </c>
      <c r="S3587" t="n">
        <v>0.366</v>
      </c>
      <c r="T3587" t="inlineStr">
        <is>
          <t>WT\test\c50m2.mp4</t>
        </is>
      </c>
      <c r="U3587" t="n">
        <v>1953</v>
      </c>
      <c r="V3587" t="n">
        <v>1964</v>
      </c>
      <c r="W3587" t="n">
        <v/>
      </c>
      <c r="X3587" t="n">
        <v/>
      </c>
      <c r="Y3587" t="n">
        <v/>
      </c>
      <c r="Z3587" t="n">
        <v/>
      </c>
      <c r="AA3587">
        <f>SUMIFS($S$2:S3587,$A$2:A3587,A3587,$N$2:N3587,"Explore*")</f>
        <v/>
      </c>
      <c r="AB3587">
        <f>IF(AND(LEFT(N3587,7)="Explore",(AA3587-IF(LEFT(N3587,7)="Explore",S3587,0))&lt;10),"SI","NO")</f>
        <v/>
      </c>
    </row>
    <row r="3588">
      <c r="A3588" t="inlineStr">
        <is>
          <t>c50m2_test</t>
        </is>
      </c>
      <c r="B3588" t="inlineStr">
        <is>
          <t>2026-02-18 11:45:36.249</t>
        </is>
      </c>
      <c r="C3588" t="n">
        <v/>
      </c>
      <c r="D3588" t="inlineStr">
        <is>
          <t>Media file</t>
        </is>
      </c>
      <c r="E3588" t="inlineStr">
        <is>
          <t>player #1:WT\test\c50m2.mp4</t>
        </is>
      </c>
      <c r="F3588" t="n">
        <v>-6.567</v>
      </c>
      <c r="G3588" t="n">
        <v>560.6660000000001</v>
      </c>
      <c r="H3588" t="n">
        <v>610.699</v>
      </c>
      <c r="I3588" t="n">
        <v>30</v>
      </c>
      <c r="J3588" t="inlineStr">
        <is>
          <t xml:space="preserve"> WT</t>
        </is>
      </c>
      <c r="K3588" t="inlineStr">
        <is>
          <t>Male</t>
        </is>
      </c>
      <c r="L3588" t="inlineStr">
        <is>
          <t>No focal subject</t>
        </is>
      </c>
      <c r="M3588" t="n">
        <v>77.804</v>
      </c>
      <c r="N3588" t="inlineStr">
        <is>
          <t>Explore_F</t>
        </is>
      </c>
      <c r="O3588" t="inlineStr">
        <is>
          <t>Familiar</t>
        </is>
      </c>
      <c r="P3588" t="inlineStr">
        <is>
          <t>STATE</t>
        </is>
      </c>
      <c r="Q3588" t="n">
        <v>70.533</v>
      </c>
      <c r="R3588" t="n">
        <v>70.8</v>
      </c>
      <c r="S3588" t="n">
        <v>0.267</v>
      </c>
      <c r="T3588" t="inlineStr">
        <is>
          <t>WT\test\c50m2.mp4</t>
        </is>
      </c>
      <c r="U3588" t="n">
        <v>2116</v>
      </c>
      <c r="V3588" t="n">
        <v>2123</v>
      </c>
      <c r="W3588" t="n">
        <v/>
      </c>
      <c r="X3588" t="n">
        <v/>
      </c>
      <c r="Y3588" t="n">
        <v/>
      </c>
      <c r="Z3588" t="n">
        <v/>
      </c>
      <c r="AA3588">
        <f>SUMIFS($S$2:S3588,$A$2:A3588,A3588,$N$2:N3588,"Explore*")</f>
        <v/>
      </c>
      <c r="AB3588">
        <f>IF(AND(LEFT(N3588,7)="Explore",(AA3588-IF(LEFT(N3588,7)="Explore",S3588,0))&lt;10),"SI","NO")</f>
        <v/>
      </c>
    </row>
    <row r="3589">
      <c r="A3589" t="inlineStr">
        <is>
          <t>c50m2_test</t>
        </is>
      </c>
      <c r="B3589" t="inlineStr">
        <is>
          <t>2026-02-18 11:45:36.249</t>
        </is>
      </c>
      <c r="C3589" t="n">
        <v/>
      </c>
      <c r="D3589" t="inlineStr">
        <is>
          <t>Media file</t>
        </is>
      </c>
      <c r="E3589" t="inlineStr">
        <is>
          <t>player #1:WT\test\c50m2.mp4</t>
        </is>
      </c>
      <c r="F3589" t="n">
        <v>-6.567</v>
      </c>
      <c r="G3589" t="n">
        <v>560.6660000000001</v>
      </c>
      <c r="H3589" t="n">
        <v>610.699</v>
      </c>
      <c r="I3589" t="n">
        <v>30</v>
      </c>
      <c r="J3589" t="inlineStr">
        <is>
          <t xml:space="preserve"> WT</t>
        </is>
      </c>
      <c r="K3589" t="inlineStr">
        <is>
          <t>Male</t>
        </is>
      </c>
      <c r="L3589" t="inlineStr">
        <is>
          <t>No focal subject</t>
        </is>
      </c>
      <c r="M3589" t="n">
        <v>77.804</v>
      </c>
      <c r="N3589" t="inlineStr">
        <is>
          <t>Explore_F</t>
        </is>
      </c>
      <c r="O3589" t="inlineStr">
        <is>
          <t>Familiar</t>
        </is>
      </c>
      <c r="P3589" t="inlineStr">
        <is>
          <t>STATE</t>
        </is>
      </c>
      <c r="Q3589" t="n">
        <v>75.533</v>
      </c>
      <c r="R3589" t="n">
        <v>76.7</v>
      </c>
      <c r="S3589" t="n">
        <v>1.167</v>
      </c>
      <c r="T3589" t="inlineStr">
        <is>
          <t>WT\test\c50m2.mp4</t>
        </is>
      </c>
      <c r="U3589" t="n">
        <v>2266</v>
      </c>
      <c r="V3589" t="n">
        <v>2300</v>
      </c>
      <c r="W3589" t="n">
        <v/>
      </c>
      <c r="X3589" t="n">
        <v/>
      </c>
      <c r="Y3589" t="n">
        <v/>
      </c>
      <c r="Z3589" t="n">
        <v/>
      </c>
      <c r="AA3589">
        <f>SUMIFS($S$2:S3589,$A$2:A3589,A3589,$N$2:N3589,"Explore*")</f>
        <v/>
      </c>
      <c r="AB3589">
        <f>IF(AND(LEFT(N3589,7)="Explore",(AA3589-IF(LEFT(N3589,7)="Explore",S3589,0))&lt;10),"SI","NO")</f>
        <v/>
      </c>
    </row>
    <row r="3590">
      <c r="A3590" t="inlineStr">
        <is>
          <t>c50m2_test</t>
        </is>
      </c>
      <c r="B3590" t="inlineStr">
        <is>
          <t>2026-02-18 11:45:36.249</t>
        </is>
      </c>
      <c r="C3590" t="n">
        <v/>
      </c>
      <c r="D3590" t="inlineStr">
        <is>
          <t>Media file</t>
        </is>
      </c>
      <c r="E3590" t="inlineStr">
        <is>
          <t>player #1:WT\test\c50m2.mp4</t>
        </is>
      </c>
      <c r="F3590" t="n">
        <v>-6.567</v>
      </c>
      <c r="G3590" t="n">
        <v>560.6660000000001</v>
      </c>
      <c r="H3590" t="n">
        <v>610.699</v>
      </c>
      <c r="I3590" t="n">
        <v>30</v>
      </c>
      <c r="J3590" t="inlineStr">
        <is>
          <t xml:space="preserve"> WT</t>
        </is>
      </c>
      <c r="K3590" t="inlineStr">
        <is>
          <t>Male</t>
        </is>
      </c>
      <c r="L3590" t="inlineStr">
        <is>
          <t>No focal subject</t>
        </is>
      </c>
      <c r="M3590" t="n">
        <v>77.804</v>
      </c>
      <c r="N3590" t="inlineStr">
        <is>
          <t>Explore_N</t>
        </is>
      </c>
      <c r="O3590" t="inlineStr">
        <is>
          <t>Novelty</t>
        </is>
      </c>
      <c r="P3590" t="inlineStr">
        <is>
          <t>STATE</t>
        </is>
      </c>
      <c r="Q3590" t="n">
        <v>79.59999999999999</v>
      </c>
      <c r="R3590" t="n">
        <v>80.666</v>
      </c>
      <c r="S3590" t="n">
        <v>1.066</v>
      </c>
      <c r="T3590" t="inlineStr">
        <is>
          <t>WT\test\c50m2.mp4</t>
        </is>
      </c>
      <c r="U3590" t="n">
        <v>2387</v>
      </c>
      <c r="V3590" t="n">
        <v>2419</v>
      </c>
      <c r="W3590" t="n">
        <v/>
      </c>
      <c r="X3590" t="n">
        <v/>
      </c>
      <c r="Y3590" t="n">
        <v/>
      </c>
      <c r="Z3590" t="n">
        <v/>
      </c>
      <c r="AA3590">
        <f>SUMIFS($S$2:S3590,$A$2:A3590,A3590,$N$2:N3590,"Explore*")</f>
        <v/>
      </c>
      <c r="AB3590">
        <f>IF(AND(LEFT(N3590,7)="Explore",(AA3590-IF(LEFT(N3590,7)="Explore",S3590,0))&lt;10),"SI","NO")</f>
        <v/>
      </c>
    </row>
    <row r="3591">
      <c r="A3591" t="inlineStr">
        <is>
          <t>c50m2_test</t>
        </is>
      </c>
      <c r="B3591" t="inlineStr">
        <is>
          <t>2026-02-18 11:45:36.249</t>
        </is>
      </c>
      <c r="C3591" t="n">
        <v/>
      </c>
      <c r="D3591" t="inlineStr">
        <is>
          <t>Media file</t>
        </is>
      </c>
      <c r="E3591" t="inlineStr">
        <is>
          <t>player #1:WT\test\c50m2.mp4</t>
        </is>
      </c>
      <c r="F3591" t="n">
        <v>-6.567</v>
      </c>
      <c r="G3591" t="n">
        <v>560.6660000000001</v>
      </c>
      <c r="H3591" t="n">
        <v>610.699</v>
      </c>
      <c r="I3591" t="n">
        <v>30</v>
      </c>
      <c r="J3591" t="inlineStr">
        <is>
          <t xml:space="preserve"> WT</t>
        </is>
      </c>
      <c r="K3591" t="inlineStr">
        <is>
          <t>Male</t>
        </is>
      </c>
      <c r="L3591" t="inlineStr">
        <is>
          <t>No focal subject</t>
        </is>
      </c>
      <c r="M3591" t="n">
        <v>77.804</v>
      </c>
      <c r="N3591" t="inlineStr">
        <is>
          <t>Explore_N</t>
        </is>
      </c>
      <c r="O3591" t="inlineStr">
        <is>
          <t>Novelty</t>
        </is>
      </c>
      <c r="P3591" t="inlineStr">
        <is>
          <t>STATE</t>
        </is>
      </c>
      <c r="Q3591" t="n">
        <v>85.733</v>
      </c>
      <c r="R3591" t="n">
        <v>86.133</v>
      </c>
      <c r="S3591" t="n">
        <v>0.4</v>
      </c>
      <c r="T3591" t="inlineStr">
        <is>
          <t>WT\test\c50m2.mp4</t>
        </is>
      </c>
      <c r="U3591" t="n">
        <v>2571</v>
      </c>
      <c r="V3591" t="n">
        <v>2583</v>
      </c>
      <c r="W3591" t="n">
        <v/>
      </c>
      <c r="X3591" t="n">
        <v/>
      </c>
      <c r="Y3591" t="n">
        <v/>
      </c>
      <c r="Z3591" t="n">
        <v/>
      </c>
      <c r="AA3591">
        <f>SUMIFS($S$2:S3591,$A$2:A3591,A3591,$N$2:N3591,"Explore*")</f>
        <v/>
      </c>
      <c r="AB3591">
        <f>IF(AND(LEFT(N3591,7)="Explore",(AA3591-IF(LEFT(N3591,7)="Explore",S3591,0))&lt;10),"SI","NO")</f>
        <v/>
      </c>
    </row>
    <row r="3592">
      <c r="A3592" t="inlineStr">
        <is>
          <t>c50m2_test</t>
        </is>
      </c>
      <c r="B3592" t="inlineStr">
        <is>
          <t>2026-02-18 11:45:36.249</t>
        </is>
      </c>
      <c r="C3592" t="n">
        <v/>
      </c>
      <c r="D3592" t="inlineStr">
        <is>
          <t>Media file</t>
        </is>
      </c>
      <c r="E3592" t="inlineStr">
        <is>
          <t>player #1:WT\test\c50m2.mp4</t>
        </is>
      </c>
      <c r="F3592" t="n">
        <v>-6.567</v>
      </c>
      <c r="G3592" t="n">
        <v>560.6660000000001</v>
      </c>
      <c r="H3592" t="n">
        <v>610.699</v>
      </c>
      <c r="I3592" t="n">
        <v>30</v>
      </c>
      <c r="J3592" t="inlineStr">
        <is>
          <t xml:space="preserve"> WT</t>
        </is>
      </c>
      <c r="K3592" t="inlineStr">
        <is>
          <t>Male</t>
        </is>
      </c>
      <c r="L3592" t="inlineStr">
        <is>
          <t>No focal subject</t>
        </is>
      </c>
      <c r="M3592" t="n">
        <v>77.804</v>
      </c>
      <c r="N3592" t="inlineStr">
        <is>
          <t>Explore_F</t>
        </is>
      </c>
      <c r="O3592" t="inlineStr">
        <is>
          <t>Familiar</t>
        </is>
      </c>
      <c r="P3592" t="inlineStr">
        <is>
          <t>STATE</t>
        </is>
      </c>
      <c r="Q3592" t="n">
        <v>87.8</v>
      </c>
      <c r="R3592" t="n">
        <v>88.033</v>
      </c>
      <c r="S3592" t="n">
        <v>0.233</v>
      </c>
      <c r="T3592" t="inlineStr">
        <is>
          <t>WT\test\c50m2.mp4</t>
        </is>
      </c>
      <c r="U3592" t="n">
        <v>2633</v>
      </c>
      <c r="V3592" t="n">
        <v>2641</v>
      </c>
      <c r="W3592" t="n">
        <v/>
      </c>
      <c r="X3592" t="n">
        <v/>
      </c>
      <c r="Y3592" t="n">
        <v/>
      </c>
      <c r="Z3592" t="n">
        <v/>
      </c>
      <c r="AA3592">
        <f>SUMIFS($S$2:S3592,$A$2:A3592,A3592,$N$2:N3592,"Explore*")</f>
        <v/>
      </c>
      <c r="AB3592">
        <f>IF(AND(LEFT(N3592,7)="Explore",(AA3592-IF(LEFT(N3592,7)="Explore",S3592,0))&lt;10),"SI","NO")</f>
        <v/>
      </c>
    </row>
    <row r="3593">
      <c r="A3593" t="inlineStr">
        <is>
          <t>c50m2_test</t>
        </is>
      </c>
      <c r="B3593" t="inlineStr">
        <is>
          <t>2026-02-18 11:45:36.249</t>
        </is>
      </c>
      <c r="C3593" t="n">
        <v/>
      </c>
      <c r="D3593" t="inlineStr">
        <is>
          <t>Media file</t>
        </is>
      </c>
      <c r="E3593" t="inlineStr">
        <is>
          <t>player #1:WT\test\c50m2.mp4</t>
        </is>
      </c>
      <c r="F3593" t="n">
        <v>-6.567</v>
      </c>
      <c r="G3593" t="n">
        <v>560.6660000000001</v>
      </c>
      <c r="H3593" t="n">
        <v>610.699</v>
      </c>
      <c r="I3593" t="n">
        <v>30</v>
      </c>
      <c r="J3593" t="inlineStr">
        <is>
          <t xml:space="preserve"> WT</t>
        </is>
      </c>
      <c r="K3593" t="inlineStr">
        <is>
          <t>Male</t>
        </is>
      </c>
      <c r="L3593" t="inlineStr">
        <is>
          <t>No focal subject</t>
        </is>
      </c>
      <c r="M3593" t="n">
        <v>77.804</v>
      </c>
      <c r="N3593" t="inlineStr">
        <is>
          <t>Explore_F</t>
        </is>
      </c>
      <c r="O3593" t="inlineStr">
        <is>
          <t>Familiar</t>
        </is>
      </c>
      <c r="P3593" t="inlineStr">
        <is>
          <t>STATE</t>
        </is>
      </c>
      <c r="Q3593" t="n">
        <v>88.5</v>
      </c>
      <c r="R3593" t="n">
        <v>90.366</v>
      </c>
      <c r="S3593" t="n">
        <v>1.866</v>
      </c>
      <c r="T3593" t="inlineStr">
        <is>
          <t>WT\test\c50m2.mp4</t>
        </is>
      </c>
      <c r="U3593" t="n">
        <v>2656</v>
      </c>
      <c r="V3593" t="n">
        <v>2710</v>
      </c>
      <c r="W3593" t="n">
        <v/>
      </c>
      <c r="X3593" t="n">
        <v/>
      </c>
      <c r="Y3593" t="n">
        <v/>
      </c>
      <c r="Z3593" t="n">
        <v/>
      </c>
      <c r="AA3593">
        <f>SUMIFS($S$2:S3593,$A$2:A3593,A3593,$N$2:N3593,"Explore*")</f>
        <v/>
      </c>
      <c r="AB3593">
        <f>IF(AND(LEFT(N3593,7)="Explore",(AA3593-IF(LEFT(N3593,7)="Explore",S3593,0))&lt;10),"SI","NO")</f>
        <v/>
      </c>
    </row>
    <row r="3594">
      <c r="A3594" t="inlineStr">
        <is>
          <t>c50m2_test</t>
        </is>
      </c>
      <c r="B3594" t="inlineStr">
        <is>
          <t>2026-02-18 11:45:36.249</t>
        </is>
      </c>
      <c r="C3594" t="n">
        <v/>
      </c>
      <c r="D3594" t="inlineStr">
        <is>
          <t>Media file</t>
        </is>
      </c>
      <c r="E3594" t="inlineStr">
        <is>
          <t>player #1:WT\test\c50m2.mp4</t>
        </is>
      </c>
      <c r="F3594" t="n">
        <v>-6.567</v>
      </c>
      <c r="G3594" t="n">
        <v>560.6660000000001</v>
      </c>
      <c r="H3594" t="n">
        <v>610.699</v>
      </c>
      <c r="I3594" t="n">
        <v>30</v>
      </c>
      <c r="J3594" t="inlineStr">
        <is>
          <t xml:space="preserve"> WT</t>
        </is>
      </c>
      <c r="K3594" t="inlineStr">
        <is>
          <t>Male</t>
        </is>
      </c>
      <c r="L3594" t="inlineStr">
        <is>
          <t>No focal subject</t>
        </is>
      </c>
      <c r="M3594" t="n">
        <v>77.804</v>
      </c>
      <c r="N3594" t="inlineStr">
        <is>
          <t>Explore_F</t>
        </is>
      </c>
      <c r="O3594" t="inlineStr">
        <is>
          <t>Familiar</t>
        </is>
      </c>
      <c r="P3594" t="inlineStr">
        <is>
          <t>STATE</t>
        </is>
      </c>
      <c r="Q3594" t="n">
        <v>94.09999999999999</v>
      </c>
      <c r="R3594" t="n">
        <v>95</v>
      </c>
      <c r="S3594" t="n">
        <v>0.9</v>
      </c>
      <c r="T3594" t="inlineStr">
        <is>
          <t>WT\test\c50m2.mp4</t>
        </is>
      </c>
      <c r="U3594" t="n">
        <v>2822</v>
      </c>
      <c r="V3594" t="n">
        <v>2851</v>
      </c>
      <c r="W3594" t="n">
        <v/>
      </c>
      <c r="X3594" t="n">
        <v/>
      </c>
      <c r="Y3594" t="n">
        <v/>
      </c>
      <c r="Z3594" t="n">
        <v/>
      </c>
      <c r="AA3594">
        <f>SUMIFS($S$2:S3594,$A$2:A3594,A3594,$N$2:N3594,"Explore*")</f>
        <v/>
      </c>
      <c r="AB3594">
        <f>IF(AND(LEFT(N3594,7)="Explore",(AA3594-IF(LEFT(N3594,7)="Explore",S3594,0))&lt;10),"SI","NO")</f>
        <v/>
      </c>
    </row>
    <row r="3595">
      <c r="A3595" t="inlineStr">
        <is>
          <t>c50m2_test</t>
        </is>
      </c>
      <c r="B3595" t="inlineStr">
        <is>
          <t>2026-02-18 11:45:36.249</t>
        </is>
      </c>
      <c r="C3595" t="n">
        <v/>
      </c>
      <c r="D3595" t="inlineStr">
        <is>
          <t>Media file</t>
        </is>
      </c>
      <c r="E3595" t="inlineStr">
        <is>
          <t>player #1:WT\test\c50m2.mp4</t>
        </is>
      </c>
      <c r="F3595" t="n">
        <v>-6.567</v>
      </c>
      <c r="G3595" t="n">
        <v>560.6660000000001</v>
      </c>
      <c r="H3595" t="n">
        <v>610.699</v>
      </c>
      <c r="I3595" t="n">
        <v>30</v>
      </c>
      <c r="J3595" t="inlineStr">
        <is>
          <t xml:space="preserve"> WT</t>
        </is>
      </c>
      <c r="K3595" t="inlineStr">
        <is>
          <t>Male</t>
        </is>
      </c>
      <c r="L3595" t="inlineStr">
        <is>
          <t>No focal subject</t>
        </is>
      </c>
      <c r="M3595" t="n">
        <v>77.804</v>
      </c>
      <c r="N3595" t="inlineStr">
        <is>
          <t>Explore_N</t>
        </is>
      </c>
      <c r="O3595" t="inlineStr">
        <is>
          <t>Novelty</t>
        </is>
      </c>
      <c r="P3595" t="inlineStr">
        <is>
          <t>STATE</t>
        </is>
      </c>
      <c r="Q3595" t="n">
        <v>96.90000000000001</v>
      </c>
      <c r="R3595" t="n">
        <v>98.3</v>
      </c>
      <c r="S3595" t="n">
        <v>1.4</v>
      </c>
      <c r="T3595" t="inlineStr">
        <is>
          <t>WT\test\c50m2.mp4</t>
        </is>
      </c>
      <c r="U3595" t="n">
        <v>2906</v>
      </c>
      <c r="V3595" t="n">
        <v>2948</v>
      </c>
      <c r="W3595" t="n">
        <v/>
      </c>
      <c r="X3595" t="n">
        <v/>
      </c>
      <c r="Y3595" t="n">
        <v/>
      </c>
      <c r="Z3595" t="n">
        <v/>
      </c>
      <c r="AA3595">
        <f>SUMIFS($S$2:S3595,$A$2:A3595,A3595,$N$2:N3595,"Explore*")</f>
        <v/>
      </c>
      <c r="AB3595">
        <f>IF(AND(LEFT(N3595,7)="Explore",(AA3595-IF(LEFT(N3595,7)="Explore",S3595,0))&lt;10),"SI","NO")</f>
        <v/>
      </c>
    </row>
    <row r="3596">
      <c r="A3596" t="inlineStr">
        <is>
          <t>c50m2_test</t>
        </is>
      </c>
      <c r="B3596" t="inlineStr">
        <is>
          <t>2026-02-18 11:45:36.249</t>
        </is>
      </c>
      <c r="C3596" t="n">
        <v/>
      </c>
      <c r="D3596" t="inlineStr">
        <is>
          <t>Media file</t>
        </is>
      </c>
      <c r="E3596" t="inlineStr">
        <is>
          <t>player #1:WT\test\c50m2.mp4</t>
        </is>
      </c>
      <c r="F3596" t="n">
        <v>-6.567</v>
      </c>
      <c r="G3596" t="n">
        <v>560.6660000000001</v>
      </c>
      <c r="H3596" t="n">
        <v>610.699</v>
      </c>
      <c r="I3596" t="n">
        <v>30</v>
      </c>
      <c r="J3596" t="inlineStr">
        <is>
          <t xml:space="preserve"> WT</t>
        </is>
      </c>
      <c r="K3596" t="inlineStr">
        <is>
          <t>Male</t>
        </is>
      </c>
      <c r="L3596" t="inlineStr">
        <is>
          <t>No focal subject</t>
        </is>
      </c>
      <c r="M3596" t="n">
        <v>77.804</v>
      </c>
      <c r="N3596" t="inlineStr">
        <is>
          <t>Explore_N</t>
        </is>
      </c>
      <c r="O3596" t="inlineStr">
        <is>
          <t>Novelty</t>
        </is>
      </c>
      <c r="P3596" t="inlineStr">
        <is>
          <t>STATE</t>
        </is>
      </c>
      <c r="Q3596" t="n">
        <v>123.1</v>
      </c>
      <c r="R3596" t="n">
        <v>123.633</v>
      </c>
      <c r="S3596" t="n">
        <v>0.533</v>
      </c>
      <c r="T3596" t="inlineStr">
        <is>
          <t>WT\test\c50m2.mp4</t>
        </is>
      </c>
      <c r="U3596" t="n">
        <v>3692</v>
      </c>
      <c r="V3596" t="n">
        <v>3708</v>
      </c>
      <c r="W3596" t="n">
        <v/>
      </c>
      <c r="X3596" t="n">
        <v/>
      </c>
      <c r="Y3596" t="n">
        <v/>
      </c>
      <c r="Z3596" t="n">
        <v/>
      </c>
      <c r="AA3596">
        <f>SUMIFS($S$2:S3596,$A$2:A3596,A3596,$N$2:N3596,"Explore*")</f>
        <v/>
      </c>
      <c r="AB3596">
        <f>IF(AND(LEFT(N3596,7)="Explore",(AA3596-IF(LEFT(N3596,7)="Explore",S3596,0))&lt;10),"SI","NO")</f>
        <v/>
      </c>
    </row>
    <row r="3597">
      <c r="A3597" t="inlineStr">
        <is>
          <t>c50m2_test</t>
        </is>
      </c>
      <c r="B3597" t="inlineStr">
        <is>
          <t>2026-02-18 11:45:36.249</t>
        </is>
      </c>
      <c r="C3597" t="n">
        <v/>
      </c>
      <c r="D3597" t="inlineStr">
        <is>
          <t>Media file</t>
        </is>
      </c>
      <c r="E3597" t="inlineStr">
        <is>
          <t>player #1:WT\test\c50m2.mp4</t>
        </is>
      </c>
      <c r="F3597" t="n">
        <v>-6.567</v>
      </c>
      <c r="G3597" t="n">
        <v>560.6660000000001</v>
      </c>
      <c r="H3597" t="n">
        <v>610.699</v>
      </c>
      <c r="I3597" t="n">
        <v>30</v>
      </c>
      <c r="J3597" t="inlineStr">
        <is>
          <t xml:space="preserve"> WT</t>
        </is>
      </c>
      <c r="K3597" t="inlineStr">
        <is>
          <t>Male</t>
        </is>
      </c>
      <c r="L3597" t="inlineStr">
        <is>
          <t>No focal subject</t>
        </is>
      </c>
      <c r="M3597" t="n">
        <v>77.804</v>
      </c>
      <c r="N3597" t="inlineStr">
        <is>
          <t>Explore_N</t>
        </is>
      </c>
      <c r="O3597" t="inlineStr">
        <is>
          <t>Novelty</t>
        </is>
      </c>
      <c r="P3597" t="inlineStr">
        <is>
          <t>STATE</t>
        </is>
      </c>
      <c r="Q3597" t="n">
        <v>136.633</v>
      </c>
      <c r="R3597" t="n">
        <v>137.333</v>
      </c>
      <c r="S3597" t="n">
        <v>0.7</v>
      </c>
      <c r="T3597" t="inlineStr">
        <is>
          <t>WT\test\c50m2.mp4</t>
        </is>
      </c>
      <c r="U3597" t="n">
        <v>4098</v>
      </c>
      <c r="V3597" t="n">
        <v>4119</v>
      </c>
      <c r="W3597" t="n">
        <v/>
      </c>
      <c r="X3597" t="n">
        <v/>
      </c>
      <c r="Y3597" t="n">
        <v/>
      </c>
      <c r="Z3597" t="n">
        <v/>
      </c>
      <c r="AA3597">
        <f>SUMIFS($S$2:S3597,$A$2:A3597,A3597,$N$2:N3597,"Explore*")</f>
        <v/>
      </c>
      <c r="AB3597">
        <f>IF(AND(LEFT(N3597,7)="Explore",(AA3597-IF(LEFT(N3597,7)="Explore",S3597,0))&lt;10),"SI","NO")</f>
        <v/>
      </c>
    </row>
    <row r="3598">
      <c r="A3598" t="inlineStr">
        <is>
          <t>c50m2_test</t>
        </is>
      </c>
      <c r="B3598" t="inlineStr">
        <is>
          <t>2026-02-18 11:45:36.249</t>
        </is>
      </c>
      <c r="C3598" t="n">
        <v/>
      </c>
      <c r="D3598" t="inlineStr">
        <is>
          <t>Media file</t>
        </is>
      </c>
      <c r="E3598" t="inlineStr">
        <is>
          <t>player #1:WT\test\c50m2.mp4</t>
        </is>
      </c>
      <c r="F3598" t="n">
        <v>-6.567</v>
      </c>
      <c r="G3598" t="n">
        <v>560.6660000000001</v>
      </c>
      <c r="H3598" t="n">
        <v>610.699</v>
      </c>
      <c r="I3598" t="n">
        <v>30</v>
      </c>
      <c r="J3598" t="inlineStr">
        <is>
          <t xml:space="preserve"> WT</t>
        </is>
      </c>
      <c r="K3598" t="inlineStr">
        <is>
          <t>Male</t>
        </is>
      </c>
      <c r="L3598" t="inlineStr">
        <is>
          <t>No focal subject</t>
        </is>
      </c>
      <c r="M3598" t="n">
        <v>77.804</v>
      </c>
      <c r="N3598" t="inlineStr">
        <is>
          <t>Explore_F</t>
        </is>
      </c>
      <c r="O3598" t="inlineStr">
        <is>
          <t>Familiar</t>
        </is>
      </c>
      <c r="P3598" t="inlineStr">
        <is>
          <t>STATE</t>
        </is>
      </c>
      <c r="Q3598" t="n">
        <v>137.766</v>
      </c>
      <c r="R3598" t="n">
        <v>138.1</v>
      </c>
      <c r="S3598" t="n">
        <v>0.334</v>
      </c>
      <c r="T3598" t="inlineStr">
        <is>
          <t>WT\test\c50m2.mp4</t>
        </is>
      </c>
      <c r="U3598" t="n">
        <v>4132</v>
      </c>
      <c r="V3598" t="n">
        <v>4142</v>
      </c>
      <c r="W3598" t="n">
        <v/>
      </c>
      <c r="X3598" t="n">
        <v/>
      </c>
      <c r="Y3598" t="n">
        <v/>
      </c>
      <c r="Z3598" t="n">
        <v/>
      </c>
      <c r="AA3598">
        <f>SUMIFS($S$2:S3598,$A$2:A3598,A3598,$N$2:N3598,"Explore*")</f>
        <v/>
      </c>
      <c r="AB3598">
        <f>IF(AND(LEFT(N3598,7)="Explore",(AA3598-IF(LEFT(N3598,7)="Explore",S3598,0))&lt;10),"SI","NO")</f>
        <v/>
      </c>
    </row>
    <row r="3599">
      <c r="A3599" t="inlineStr">
        <is>
          <t>c50m2_test</t>
        </is>
      </c>
      <c r="B3599" t="inlineStr">
        <is>
          <t>2026-02-18 11:45:36.249</t>
        </is>
      </c>
      <c r="C3599" t="n">
        <v/>
      </c>
      <c r="D3599" t="inlineStr">
        <is>
          <t>Media file</t>
        </is>
      </c>
      <c r="E3599" t="inlineStr">
        <is>
          <t>player #1:WT\test\c50m2.mp4</t>
        </is>
      </c>
      <c r="F3599" t="n">
        <v>-6.567</v>
      </c>
      <c r="G3599" t="n">
        <v>560.6660000000001</v>
      </c>
      <c r="H3599" t="n">
        <v>610.699</v>
      </c>
      <c r="I3599" t="n">
        <v>30</v>
      </c>
      <c r="J3599" t="inlineStr">
        <is>
          <t xml:space="preserve"> WT</t>
        </is>
      </c>
      <c r="K3599" t="inlineStr">
        <is>
          <t>Male</t>
        </is>
      </c>
      <c r="L3599" t="inlineStr">
        <is>
          <t>No focal subject</t>
        </is>
      </c>
      <c r="M3599" t="n">
        <v>77.804</v>
      </c>
      <c r="N3599" t="inlineStr">
        <is>
          <t>Explore_F</t>
        </is>
      </c>
      <c r="O3599" t="inlineStr">
        <is>
          <t>Familiar</t>
        </is>
      </c>
      <c r="P3599" t="inlineStr">
        <is>
          <t>STATE</t>
        </is>
      </c>
      <c r="Q3599" t="n">
        <v>156.966</v>
      </c>
      <c r="R3599" t="n">
        <v>157.866</v>
      </c>
      <c r="S3599" t="n">
        <v>0.9</v>
      </c>
      <c r="T3599" t="inlineStr">
        <is>
          <t>WT\test\c50m2.mp4</t>
        </is>
      </c>
      <c r="U3599" t="n">
        <v>4708</v>
      </c>
      <c r="V3599" t="n">
        <v>4735</v>
      </c>
      <c r="W3599" t="n">
        <v/>
      </c>
      <c r="X3599" t="n">
        <v/>
      </c>
      <c r="Y3599" t="n">
        <v/>
      </c>
      <c r="Z3599" t="n">
        <v/>
      </c>
      <c r="AA3599">
        <f>SUMIFS($S$2:S3599,$A$2:A3599,A3599,$N$2:N3599,"Explore*")</f>
        <v/>
      </c>
      <c r="AB3599">
        <f>IF(AND(LEFT(N3599,7)="Explore",(AA3599-IF(LEFT(N3599,7)="Explore",S3599,0))&lt;10),"SI","NO")</f>
        <v/>
      </c>
    </row>
    <row r="3600">
      <c r="A3600" t="inlineStr">
        <is>
          <t>c50m2_test</t>
        </is>
      </c>
      <c r="B3600" t="inlineStr">
        <is>
          <t>2026-02-18 11:45:36.249</t>
        </is>
      </c>
      <c r="C3600" t="n">
        <v/>
      </c>
      <c r="D3600" t="inlineStr">
        <is>
          <t>Media file</t>
        </is>
      </c>
      <c r="E3600" t="inlineStr">
        <is>
          <t>player #1:WT\test\c50m2.mp4</t>
        </is>
      </c>
      <c r="F3600" t="n">
        <v>-6.567</v>
      </c>
      <c r="G3600" t="n">
        <v>560.6660000000001</v>
      </c>
      <c r="H3600" t="n">
        <v>610.699</v>
      </c>
      <c r="I3600" t="n">
        <v>30</v>
      </c>
      <c r="J3600" t="inlineStr">
        <is>
          <t xml:space="preserve"> WT</t>
        </is>
      </c>
      <c r="K3600" t="inlineStr">
        <is>
          <t>Male</t>
        </is>
      </c>
      <c r="L3600" t="inlineStr">
        <is>
          <t>No focal subject</t>
        </is>
      </c>
      <c r="M3600" t="n">
        <v>77.804</v>
      </c>
      <c r="N3600" t="inlineStr">
        <is>
          <t>Explore_F</t>
        </is>
      </c>
      <c r="O3600" t="inlineStr">
        <is>
          <t>Familiar</t>
        </is>
      </c>
      <c r="P3600" t="inlineStr">
        <is>
          <t>STATE</t>
        </is>
      </c>
      <c r="Q3600" t="n">
        <v>179.966</v>
      </c>
      <c r="R3600" t="n">
        <v>181.133</v>
      </c>
      <c r="S3600" t="n">
        <v>1.167</v>
      </c>
      <c r="T3600" t="inlineStr">
        <is>
          <t>WT\test\c50m2.mp4</t>
        </is>
      </c>
      <c r="U3600" t="n">
        <v>5398</v>
      </c>
      <c r="V3600" t="n">
        <v>5433</v>
      </c>
      <c r="W3600" t="n">
        <v/>
      </c>
      <c r="X3600" t="n">
        <v/>
      </c>
      <c r="Y3600" t="n">
        <v/>
      </c>
      <c r="Z3600" t="n">
        <v/>
      </c>
      <c r="AA3600">
        <f>SUMIFS($S$2:S3600,$A$2:A3600,A3600,$N$2:N3600,"Explore*")</f>
        <v/>
      </c>
      <c r="AB3600">
        <f>IF(AND(LEFT(N3600,7)="Explore",(AA3600-IF(LEFT(N3600,7)="Explore",S3600,0))&lt;10),"SI","NO")</f>
        <v/>
      </c>
    </row>
    <row r="3601">
      <c r="A3601" t="inlineStr">
        <is>
          <t>c50m2_test</t>
        </is>
      </c>
      <c r="B3601" t="inlineStr">
        <is>
          <t>2026-02-18 11:45:36.249</t>
        </is>
      </c>
      <c r="C3601" t="n">
        <v/>
      </c>
      <c r="D3601" t="inlineStr">
        <is>
          <t>Media file</t>
        </is>
      </c>
      <c r="E3601" t="inlineStr">
        <is>
          <t>player #1:WT\test\c50m2.mp4</t>
        </is>
      </c>
      <c r="F3601" t="n">
        <v>-6.567</v>
      </c>
      <c r="G3601" t="n">
        <v>560.6660000000001</v>
      </c>
      <c r="H3601" t="n">
        <v>610.699</v>
      </c>
      <c r="I3601" t="n">
        <v>30</v>
      </c>
      <c r="J3601" t="inlineStr">
        <is>
          <t xml:space="preserve"> WT</t>
        </is>
      </c>
      <c r="K3601" t="inlineStr">
        <is>
          <t>Male</t>
        </is>
      </c>
      <c r="L3601" t="inlineStr">
        <is>
          <t>No focal subject</t>
        </is>
      </c>
      <c r="M3601" t="n">
        <v>77.804</v>
      </c>
      <c r="N3601" t="inlineStr">
        <is>
          <t>Explore_N</t>
        </is>
      </c>
      <c r="O3601" t="inlineStr">
        <is>
          <t>Novelty</t>
        </is>
      </c>
      <c r="P3601" t="inlineStr">
        <is>
          <t>STATE</t>
        </is>
      </c>
      <c r="Q3601" t="n">
        <v>184.199</v>
      </c>
      <c r="R3601" t="n">
        <v>185.899</v>
      </c>
      <c r="S3601" t="n">
        <v>1.7</v>
      </c>
      <c r="T3601" t="inlineStr">
        <is>
          <t>WT\test\c50m2.mp4</t>
        </is>
      </c>
      <c r="U3601" t="n">
        <v>5525</v>
      </c>
      <c r="V3601" t="n">
        <v>5576</v>
      </c>
      <c r="W3601" t="n">
        <v/>
      </c>
      <c r="X3601" t="n">
        <v/>
      </c>
      <c r="Y3601" t="n">
        <v/>
      </c>
      <c r="Z3601" t="n">
        <v/>
      </c>
      <c r="AA3601">
        <f>SUMIFS($S$2:S3601,$A$2:A3601,A3601,$N$2:N3601,"Explore*")</f>
        <v/>
      </c>
      <c r="AB3601">
        <f>IF(AND(LEFT(N3601,7)="Explore",(AA3601-IF(LEFT(N3601,7)="Explore",S3601,0))&lt;10),"SI","NO")</f>
        <v/>
      </c>
    </row>
    <row r="3602">
      <c r="A3602" t="inlineStr">
        <is>
          <t>c50m2_test</t>
        </is>
      </c>
      <c r="B3602" t="inlineStr">
        <is>
          <t>2026-02-18 11:45:36.249</t>
        </is>
      </c>
      <c r="C3602" t="n">
        <v/>
      </c>
      <c r="D3602" t="inlineStr">
        <is>
          <t>Media file</t>
        </is>
      </c>
      <c r="E3602" t="inlineStr">
        <is>
          <t>player #1:WT\test\c50m2.mp4</t>
        </is>
      </c>
      <c r="F3602" t="n">
        <v>-6.567</v>
      </c>
      <c r="G3602" t="n">
        <v>560.6660000000001</v>
      </c>
      <c r="H3602" t="n">
        <v>610.699</v>
      </c>
      <c r="I3602" t="n">
        <v>30</v>
      </c>
      <c r="J3602" t="inlineStr">
        <is>
          <t xml:space="preserve"> WT</t>
        </is>
      </c>
      <c r="K3602" t="inlineStr">
        <is>
          <t>Male</t>
        </is>
      </c>
      <c r="L3602" t="inlineStr">
        <is>
          <t>No focal subject</t>
        </is>
      </c>
      <c r="M3602" t="n">
        <v>77.804</v>
      </c>
      <c r="N3602" t="inlineStr">
        <is>
          <t>Explore_N</t>
        </is>
      </c>
      <c r="O3602" t="inlineStr">
        <is>
          <t>Novelty</t>
        </is>
      </c>
      <c r="P3602" t="inlineStr">
        <is>
          <t>STATE</t>
        </is>
      </c>
      <c r="Q3602" t="n">
        <v>195.433</v>
      </c>
      <c r="R3602" t="n">
        <v>196.333</v>
      </c>
      <c r="S3602" t="n">
        <v>0.9</v>
      </c>
      <c r="T3602" t="inlineStr">
        <is>
          <t>WT\test\c50m2.mp4</t>
        </is>
      </c>
      <c r="U3602" t="n">
        <v>5862</v>
      </c>
      <c r="V3602" t="n">
        <v>5889</v>
      </c>
      <c r="W3602" t="n">
        <v/>
      </c>
      <c r="X3602" t="n">
        <v/>
      </c>
      <c r="Y3602" t="n">
        <v/>
      </c>
      <c r="Z3602" t="n">
        <v/>
      </c>
      <c r="AA3602">
        <f>SUMIFS($S$2:S3602,$A$2:A3602,A3602,$N$2:N3602,"Explore*")</f>
        <v/>
      </c>
      <c r="AB3602">
        <f>IF(AND(LEFT(N3602,7)="Explore",(AA3602-IF(LEFT(N3602,7)="Explore",S3602,0))&lt;10),"SI","NO")</f>
        <v/>
      </c>
    </row>
    <row r="3603">
      <c r="A3603" t="inlineStr">
        <is>
          <t>c50m2_test</t>
        </is>
      </c>
      <c r="B3603" t="inlineStr">
        <is>
          <t>2026-02-18 11:45:36.249</t>
        </is>
      </c>
      <c r="C3603" t="n">
        <v/>
      </c>
      <c r="D3603" t="inlineStr">
        <is>
          <t>Media file</t>
        </is>
      </c>
      <c r="E3603" t="inlineStr">
        <is>
          <t>player #1:WT\test\c50m2.mp4</t>
        </is>
      </c>
      <c r="F3603" t="n">
        <v>-6.567</v>
      </c>
      <c r="G3603" t="n">
        <v>560.6660000000001</v>
      </c>
      <c r="H3603" t="n">
        <v>610.699</v>
      </c>
      <c r="I3603" t="n">
        <v>30</v>
      </c>
      <c r="J3603" t="inlineStr">
        <is>
          <t xml:space="preserve"> WT</t>
        </is>
      </c>
      <c r="K3603" t="inlineStr">
        <is>
          <t>Male</t>
        </is>
      </c>
      <c r="L3603" t="inlineStr">
        <is>
          <t>No focal subject</t>
        </is>
      </c>
      <c r="M3603" t="n">
        <v>77.804</v>
      </c>
      <c r="N3603" t="inlineStr">
        <is>
          <t>Explore_N</t>
        </is>
      </c>
      <c r="O3603" t="inlineStr">
        <is>
          <t>Novelty</t>
        </is>
      </c>
      <c r="P3603" t="inlineStr">
        <is>
          <t>STATE</t>
        </is>
      </c>
      <c r="Q3603" t="n">
        <v>220.966</v>
      </c>
      <c r="R3603" t="n">
        <v>221.766</v>
      </c>
      <c r="S3603" t="n">
        <v>0.8</v>
      </c>
      <c r="T3603" t="inlineStr">
        <is>
          <t>WT\test\c50m2.mp4</t>
        </is>
      </c>
      <c r="U3603" t="n">
        <v>6627</v>
      </c>
      <c r="V3603" t="n">
        <v>6651</v>
      </c>
      <c r="W3603" t="n">
        <v/>
      </c>
      <c r="X3603" t="n">
        <v/>
      </c>
      <c r="Y3603" t="n">
        <v/>
      </c>
      <c r="Z3603" t="n">
        <v/>
      </c>
      <c r="AA3603">
        <f>SUMIFS($S$2:S3603,$A$2:A3603,A3603,$N$2:N3603,"Explore*")</f>
        <v/>
      </c>
      <c r="AB3603">
        <f>IF(AND(LEFT(N3603,7)="Explore",(AA3603-IF(LEFT(N3603,7)="Explore",S3603,0))&lt;10),"SI","NO")</f>
        <v/>
      </c>
    </row>
    <row r="3604">
      <c r="A3604" t="inlineStr">
        <is>
          <t>c50m2_test</t>
        </is>
      </c>
      <c r="B3604" t="inlineStr">
        <is>
          <t>2026-02-18 11:45:36.249</t>
        </is>
      </c>
      <c r="C3604" t="n">
        <v/>
      </c>
      <c r="D3604" t="inlineStr">
        <is>
          <t>Media file</t>
        </is>
      </c>
      <c r="E3604" t="inlineStr">
        <is>
          <t>player #1:WT\test\c50m2.mp4</t>
        </is>
      </c>
      <c r="F3604" t="n">
        <v>-6.567</v>
      </c>
      <c r="G3604" t="n">
        <v>560.6660000000001</v>
      </c>
      <c r="H3604" t="n">
        <v>610.699</v>
      </c>
      <c r="I3604" t="n">
        <v>30</v>
      </c>
      <c r="J3604" t="inlineStr">
        <is>
          <t xml:space="preserve"> WT</t>
        </is>
      </c>
      <c r="K3604" t="inlineStr">
        <is>
          <t>Male</t>
        </is>
      </c>
      <c r="L3604" t="inlineStr">
        <is>
          <t>No focal subject</t>
        </is>
      </c>
      <c r="M3604" t="n">
        <v>77.804</v>
      </c>
      <c r="N3604" t="inlineStr">
        <is>
          <t>Explore_F</t>
        </is>
      </c>
      <c r="O3604" t="inlineStr">
        <is>
          <t>Familiar</t>
        </is>
      </c>
      <c r="P3604" t="inlineStr">
        <is>
          <t>STATE</t>
        </is>
      </c>
      <c r="Q3604" t="n">
        <v>235.466</v>
      </c>
      <c r="R3604" t="n">
        <v>238.033</v>
      </c>
      <c r="S3604" t="n">
        <v>2.567</v>
      </c>
      <c r="T3604" t="inlineStr">
        <is>
          <t>WT\test\c50m2.mp4</t>
        </is>
      </c>
      <c r="U3604" t="n">
        <v>7062</v>
      </c>
      <c r="V3604" t="n">
        <v>7139</v>
      </c>
      <c r="W3604" t="n">
        <v/>
      </c>
      <c r="X3604" t="n">
        <v/>
      </c>
      <c r="Y3604" t="n">
        <v/>
      </c>
      <c r="Z3604" t="n">
        <v/>
      </c>
      <c r="AA3604">
        <f>SUMIFS($S$2:S3604,$A$2:A3604,A3604,$N$2:N3604,"Explore*")</f>
        <v/>
      </c>
      <c r="AB3604">
        <f>IF(AND(LEFT(N3604,7)="Explore",(AA3604-IF(LEFT(N3604,7)="Explore",S3604,0))&lt;10),"SI","NO")</f>
        <v/>
      </c>
    </row>
    <row r="3605">
      <c r="A3605" t="inlineStr">
        <is>
          <t>c50m2_test</t>
        </is>
      </c>
      <c r="B3605" t="inlineStr">
        <is>
          <t>2026-02-18 11:45:36.249</t>
        </is>
      </c>
      <c r="C3605" t="n">
        <v/>
      </c>
      <c r="D3605" t="inlineStr">
        <is>
          <t>Media file</t>
        </is>
      </c>
      <c r="E3605" t="inlineStr">
        <is>
          <t>player #1:WT\test\c50m2.mp4</t>
        </is>
      </c>
      <c r="F3605" t="n">
        <v>-6.567</v>
      </c>
      <c r="G3605" t="n">
        <v>560.6660000000001</v>
      </c>
      <c r="H3605" t="n">
        <v>610.699</v>
      </c>
      <c r="I3605" t="n">
        <v>30</v>
      </c>
      <c r="J3605" t="inlineStr">
        <is>
          <t xml:space="preserve"> WT</t>
        </is>
      </c>
      <c r="K3605" t="inlineStr">
        <is>
          <t>Male</t>
        </is>
      </c>
      <c r="L3605" t="inlineStr">
        <is>
          <t>No focal subject</t>
        </is>
      </c>
      <c r="M3605" t="n">
        <v>77.804</v>
      </c>
      <c r="N3605" t="inlineStr">
        <is>
          <t>Explore_F</t>
        </is>
      </c>
      <c r="O3605" t="inlineStr">
        <is>
          <t>Familiar</t>
        </is>
      </c>
      <c r="P3605" t="inlineStr">
        <is>
          <t>STATE</t>
        </is>
      </c>
      <c r="Q3605" t="n">
        <v>241.066</v>
      </c>
      <c r="R3605" t="n">
        <v>242.766</v>
      </c>
      <c r="S3605" t="n">
        <v>1.7</v>
      </c>
      <c r="T3605" t="inlineStr">
        <is>
          <t>WT\test\c50m2.mp4</t>
        </is>
      </c>
      <c r="U3605" t="n">
        <v>7230</v>
      </c>
      <c r="V3605" t="n">
        <v>7281</v>
      </c>
      <c r="W3605" t="n">
        <v/>
      </c>
      <c r="X3605" t="n">
        <v/>
      </c>
      <c r="Y3605" t="n">
        <v/>
      </c>
      <c r="Z3605" t="n">
        <v/>
      </c>
      <c r="AA3605">
        <f>SUMIFS($S$2:S3605,$A$2:A3605,A3605,$N$2:N3605,"Explore*")</f>
        <v/>
      </c>
      <c r="AB3605">
        <f>IF(AND(LEFT(N3605,7)="Explore",(AA3605-IF(LEFT(N3605,7)="Explore",S3605,0))&lt;10),"SI","NO")</f>
        <v/>
      </c>
    </row>
    <row r="3606">
      <c r="A3606" t="inlineStr">
        <is>
          <t>c50m2_test</t>
        </is>
      </c>
      <c r="B3606" t="inlineStr">
        <is>
          <t>2026-02-18 11:45:36.249</t>
        </is>
      </c>
      <c r="C3606" t="n">
        <v/>
      </c>
      <c r="D3606" t="inlineStr">
        <is>
          <t>Media file</t>
        </is>
      </c>
      <c r="E3606" t="inlineStr">
        <is>
          <t>player #1:WT\test\c50m2.mp4</t>
        </is>
      </c>
      <c r="F3606" t="n">
        <v>-6.567</v>
      </c>
      <c r="G3606" t="n">
        <v>560.6660000000001</v>
      </c>
      <c r="H3606" t="n">
        <v>610.699</v>
      </c>
      <c r="I3606" t="n">
        <v>30</v>
      </c>
      <c r="J3606" t="inlineStr">
        <is>
          <t xml:space="preserve"> WT</t>
        </is>
      </c>
      <c r="K3606" t="inlineStr">
        <is>
          <t>Male</t>
        </is>
      </c>
      <c r="L3606" t="inlineStr">
        <is>
          <t>No focal subject</t>
        </is>
      </c>
      <c r="M3606" t="n">
        <v>77.804</v>
      </c>
      <c r="N3606" t="inlineStr">
        <is>
          <t>Explore_N</t>
        </is>
      </c>
      <c r="O3606" t="inlineStr">
        <is>
          <t>Novelty</t>
        </is>
      </c>
      <c r="P3606" t="inlineStr">
        <is>
          <t>STATE</t>
        </is>
      </c>
      <c r="Q3606" t="n">
        <v>277.266</v>
      </c>
      <c r="R3606" t="n">
        <v>279.066</v>
      </c>
      <c r="S3606" t="n">
        <v>1.8</v>
      </c>
      <c r="T3606" t="inlineStr">
        <is>
          <t>WT\test\c50m2.mp4</t>
        </is>
      </c>
      <c r="U3606" t="n">
        <v>8316</v>
      </c>
      <c r="V3606" t="n">
        <v>8370</v>
      </c>
      <c r="W3606" t="n">
        <v/>
      </c>
      <c r="X3606" t="n">
        <v/>
      </c>
      <c r="Y3606" t="n">
        <v/>
      </c>
      <c r="Z3606" t="n">
        <v/>
      </c>
      <c r="AA3606">
        <f>SUMIFS($S$2:S3606,$A$2:A3606,A3606,$N$2:N3606,"Explore*")</f>
        <v/>
      </c>
      <c r="AB3606">
        <f>IF(AND(LEFT(N3606,7)="Explore",(AA3606-IF(LEFT(N3606,7)="Explore",S3606,0))&lt;10),"SI","NO")</f>
        <v/>
      </c>
    </row>
    <row r="3607">
      <c r="A3607" t="inlineStr">
        <is>
          <t>c50m2_test</t>
        </is>
      </c>
      <c r="B3607" t="inlineStr">
        <is>
          <t>2026-02-18 11:45:36.249</t>
        </is>
      </c>
      <c r="C3607" t="n">
        <v/>
      </c>
      <c r="D3607" t="inlineStr">
        <is>
          <t>Media file</t>
        </is>
      </c>
      <c r="E3607" t="inlineStr">
        <is>
          <t>player #1:WT\test\c50m2.mp4</t>
        </is>
      </c>
      <c r="F3607" t="n">
        <v>-6.567</v>
      </c>
      <c r="G3607" t="n">
        <v>560.6660000000001</v>
      </c>
      <c r="H3607" t="n">
        <v>610.699</v>
      </c>
      <c r="I3607" t="n">
        <v>30</v>
      </c>
      <c r="J3607" t="inlineStr">
        <is>
          <t xml:space="preserve"> WT</t>
        </is>
      </c>
      <c r="K3607" t="inlineStr">
        <is>
          <t>Male</t>
        </is>
      </c>
      <c r="L3607" t="inlineStr">
        <is>
          <t>No focal subject</t>
        </is>
      </c>
      <c r="M3607" t="n">
        <v>77.804</v>
      </c>
      <c r="N3607" t="inlineStr">
        <is>
          <t>Explore_N</t>
        </is>
      </c>
      <c r="O3607" t="inlineStr">
        <is>
          <t>Novelty</t>
        </is>
      </c>
      <c r="P3607" t="inlineStr">
        <is>
          <t>STATE</t>
        </is>
      </c>
      <c r="Q3607" t="n">
        <v>283.866</v>
      </c>
      <c r="R3607" t="n">
        <v>284.066</v>
      </c>
      <c r="S3607" t="n">
        <v>0.2</v>
      </c>
      <c r="T3607" t="inlineStr">
        <is>
          <t>WT\test\c50m2.mp4</t>
        </is>
      </c>
      <c r="U3607" t="n">
        <v>8711</v>
      </c>
      <c r="V3607" t="n">
        <v>8717</v>
      </c>
      <c r="W3607" t="n">
        <v/>
      </c>
      <c r="X3607" t="n">
        <v/>
      </c>
      <c r="Y3607" t="n">
        <v/>
      </c>
      <c r="Z3607" t="n">
        <v/>
      </c>
      <c r="AA3607">
        <f>SUMIFS($S$2:S3607,$A$2:A3607,A3607,$N$2:N3607,"Explore*")</f>
        <v/>
      </c>
      <c r="AB3607">
        <f>IF(AND(LEFT(N3607,7)="Explore",(AA3607-IF(LEFT(N3607,7)="Explore",S3607,0))&lt;10),"SI","NO")</f>
        <v/>
      </c>
    </row>
    <row r="3608">
      <c r="A3608" t="inlineStr">
        <is>
          <t>c50m2_test</t>
        </is>
      </c>
      <c r="B3608" t="inlineStr">
        <is>
          <t>2026-02-18 11:45:36.249</t>
        </is>
      </c>
      <c r="C3608" t="n">
        <v/>
      </c>
      <c r="D3608" t="inlineStr">
        <is>
          <t>Media file</t>
        </is>
      </c>
      <c r="E3608" t="inlineStr">
        <is>
          <t>player #1:WT\test\c50m2.mp4</t>
        </is>
      </c>
      <c r="F3608" t="n">
        <v>-6.567</v>
      </c>
      <c r="G3608" t="n">
        <v>560.6660000000001</v>
      </c>
      <c r="H3608" t="n">
        <v>610.699</v>
      </c>
      <c r="I3608" t="n">
        <v>30</v>
      </c>
      <c r="J3608" t="inlineStr">
        <is>
          <t xml:space="preserve"> WT</t>
        </is>
      </c>
      <c r="K3608" t="inlineStr">
        <is>
          <t>Male</t>
        </is>
      </c>
      <c r="L3608" t="inlineStr">
        <is>
          <t>No focal subject</t>
        </is>
      </c>
      <c r="M3608" t="n">
        <v>77.804</v>
      </c>
      <c r="N3608" t="inlineStr">
        <is>
          <t>Explore_N</t>
        </is>
      </c>
      <c r="O3608" t="inlineStr">
        <is>
          <t>Novelty</t>
        </is>
      </c>
      <c r="P3608" t="inlineStr">
        <is>
          <t>STATE</t>
        </is>
      </c>
      <c r="Q3608" t="n">
        <v>306.999</v>
      </c>
      <c r="R3608" t="n">
        <v>307.999</v>
      </c>
      <c r="S3608" t="n">
        <v>1</v>
      </c>
      <c r="T3608" t="inlineStr">
        <is>
          <t>WT\test\c50m2.mp4</t>
        </is>
      </c>
      <c r="U3608" t="n">
        <v>9405</v>
      </c>
      <c r="V3608" t="n">
        <v>9435</v>
      </c>
      <c r="W3608" t="n">
        <v/>
      </c>
      <c r="X3608" t="n">
        <v/>
      </c>
      <c r="Y3608" t="n">
        <v/>
      </c>
      <c r="Z3608" t="n">
        <v/>
      </c>
      <c r="AA3608">
        <f>SUMIFS($S$2:S3608,$A$2:A3608,A3608,$N$2:N3608,"Explore*")</f>
        <v/>
      </c>
      <c r="AB3608">
        <f>IF(AND(LEFT(N3608,7)="Explore",(AA3608-IF(LEFT(N3608,7)="Explore",S3608,0))&lt;10),"SI","NO")</f>
        <v/>
      </c>
    </row>
    <row r="3609">
      <c r="A3609" t="inlineStr">
        <is>
          <t>c50m2_test</t>
        </is>
      </c>
      <c r="B3609" t="inlineStr">
        <is>
          <t>2026-02-18 11:45:36.249</t>
        </is>
      </c>
      <c r="C3609" t="n">
        <v/>
      </c>
      <c r="D3609" t="inlineStr">
        <is>
          <t>Media file</t>
        </is>
      </c>
      <c r="E3609" t="inlineStr">
        <is>
          <t>player #1:WT\test\c50m2.mp4</t>
        </is>
      </c>
      <c r="F3609" t="n">
        <v>-6.567</v>
      </c>
      <c r="G3609" t="n">
        <v>560.6660000000001</v>
      </c>
      <c r="H3609" t="n">
        <v>610.699</v>
      </c>
      <c r="I3609" t="n">
        <v>30</v>
      </c>
      <c r="J3609" t="inlineStr">
        <is>
          <t xml:space="preserve"> WT</t>
        </is>
      </c>
      <c r="K3609" t="inlineStr">
        <is>
          <t>Male</t>
        </is>
      </c>
      <c r="L3609" t="inlineStr">
        <is>
          <t>No focal subject</t>
        </is>
      </c>
      <c r="M3609" t="n">
        <v>77.804</v>
      </c>
      <c r="N3609" t="inlineStr">
        <is>
          <t>Explore_F</t>
        </is>
      </c>
      <c r="O3609" t="inlineStr">
        <is>
          <t>Familiar</t>
        </is>
      </c>
      <c r="P3609" t="inlineStr">
        <is>
          <t>STATE</t>
        </is>
      </c>
      <c r="Q3609" t="n">
        <v>325.133</v>
      </c>
      <c r="R3609" t="n">
        <v>325.433</v>
      </c>
      <c r="S3609" t="n">
        <v>0.3</v>
      </c>
      <c r="T3609" t="inlineStr">
        <is>
          <t>WT\test\c50m2.mp4</t>
        </is>
      </c>
      <c r="U3609" t="n">
        <v>9948</v>
      </c>
      <c r="V3609" t="n">
        <v>9957</v>
      </c>
      <c r="W3609" t="n">
        <v/>
      </c>
      <c r="X3609" t="n">
        <v/>
      </c>
      <c r="Y3609" t="n">
        <v/>
      </c>
      <c r="Z3609" t="n">
        <v/>
      </c>
      <c r="AA3609">
        <f>SUMIFS($S$2:S3609,$A$2:A3609,A3609,$N$2:N3609,"Explore*")</f>
        <v/>
      </c>
      <c r="AB3609">
        <f>IF(AND(LEFT(N3609,7)="Explore",(AA3609-IF(LEFT(N3609,7)="Explore",S3609,0))&lt;10),"SI","NO")</f>
        <v/>
      </c>
    </row>
    <row r="3610">
      <c r="A3610" t="inlineStr">
        <is>
          <t>c50m2_test</t>
        </is>
      </c>
      <c r="B3610" t="inlineStr">
        <is>
          <t>2026-02-18 11:45:36.249</t>
        </is>
      </c>
      <c r="C3610" t="n">
        <v/>
      </c>
      <c r="D3610" t="inlineStr">
        <is>
          <t>Media file</t>
        </is>
      </c>
      <c r="E3610" t="inlineStr">
        <is>
          <t>player #1:WT\test\c50m2.mp4</t>
        </is>
      </c>
      <c r="F3610" t="n">
        <v>-6.567</v>
      </c>
      <c r="G3610" t="n">
        <v>560.6660000000001</v>
      </c>
      <c r="H3610" t="n">
        <v>610.699</v>
      </c>
      <c r="I3610" t="n">
        <v>30</v>
      </c>
      <c r="J3610" t="inlineStr">
        <is>
          <t xml:space="preserve"> WT</t>
        </is>
      </c>
      <c r="K3610" t="inlineStr">
        <is>
          <t>Male</t>
        </is>
      </c>
      <c r="L3610" t="inlineStr">
        <is>
          <t>No focal subject</t>
        </is>
      </c>
      <c r="M3610" t="n">
        <v>77.804</v>
      </c>
      <c r="N3610" t="inlineStr">
        <is>
          <t>Explore_N</t>
        </is>
      </c>
      <c r="O3610" t="inlineStr">
        <is>
          <t>Novelty</t>
        </is>
      </c>
      <c r="P3610" t="inlineStr">
        <is>
          <t>STATE</t>
        </is>
      </c>
      <c r="Q3610" t="n">
        <v>330.099</v>
      </c>
      <c r="R3610" t="n">
        <v>330.566</v>
      </c>
      <c r="S3610" t="n">
        <v>0.467</v>
      </c>
      <c r="T3610" t="inlineStr">
        <is>
          <t>WT\test\c50m2.mp4</t>
        </is>
      </c>
      <c r="U3610" t="n">
        <v>10097</v>
      </c>
      <c r="V3610" t="n">
        <v>10111</v>
      </c>
      <c r="W3610" t="n">
        <v/>
      </c>
      <c r="X3610" t="n">
        <v/>
      </c>
      <c r="Y3610" t="n">
        <v/>
      </c>
      <c r="Z3610" t="n">
        <v/>
      </c>
      <c r="AA3610">
        <f>SUMIFS($S$2:S3610,$A$2:A3610,A3610,$N$2:N3610,"Explore*")</f>
        <v/>
      </c>
      <c r="AB3610">
        <f>IF(AND(LEFT(N3610,7)="Explore",(AA3610-IF(LEFT(N3610,7)="Explore",S3610,0))&lt;10),"SI","NO")</f>
        <v/>
      </c>
    </row>
    <row r="3611">
      <c r="A3611" t="inlineStr">
        <is>
          <t>c50m2_test</t>
        </is>
      </c>
      <c r="B3611" t="inlineStr">
        <is>
          <t>2026-02-18 11:45:36.249</t>
        </is>
      </c>
      <c r="C3611" t="n">
        <v/>
      </c>
      <c r="D3611" t="inlineStr">
        <is>
          <t>Media file</t>
        </is>
      </c>
      <c r="E3611" t="inlineStr">
        <is>
          <t>player #1:WT\test\c50m2.mp4</t>
        </is>
      </c>
      <c r="F3611" t="n">
        <v>-6.567</v>
      </c>
      <c r="G3611" t="n">
        <v>560.6660000000001</v>
      </c>
      <c r="H3611" t="n">
        <v>610.699</v>
      </c>
      <c r="I3611" t="n">
        <v>30</v>
      </c>
      <c r="J3611" t="inlineStr">
        <is>
          <t xml:space="preserve"> WT</t>
        </is>
      </c>
      <c r="K3611" t="inlineStr">
        <is>
          <t>Male</t>
        </is>
      </c>
      <c r="L3611" t="inlineStr">
        <is>
          <t>No focal subject</t>
        </is>
      </c>
      <c r="M3611" t="n">
        <v>77.804</v>
      </c>
      <c r="N3611" t="inlineStr">
        <is>
          <t>Explore_F</t>
        </is>
      </c>
      <c r="O3611" t="inlineStr">
        <is>
          <t>Familiar</t>
        </is>
      </c>
      <c r="P3611" t="inlineStr">
        <is>
          <t>STATE</t>
        </is>
      </c>
      <c r="Q3611" t="n">
        <v>331.299</v>
      </c>
      <c r="R3611" t="n">
        <v>333.333</v>
      </c>
      <c r="S3611" t="n">
        <v>2.034</v>
      </c>
      <c r="T3611" t="inlineStr">
        <is>
          <t>WT\test\c50m2.mp4</t>
        </is>
      </c>
      <c r="U3611" t="n">
        <v>10133</v>
      </c>
      <c r="V3611" t="n">
        <v>10194</v>
      </c>
      <c r="W3611" t="n">
        <v/>
      </c>
      <c r="X3611" t="n">
        <v/>
      </c>
      <c r="Y3611" t="n">
        <v/>
      </c>
      <c r="Z3611" t="n">
        <v/>
      </c>
      <c r="AA3611">
        <f>SUMIFS($S$2:S3611,$A$2:A3611,A3611,$N$2:N3611,"Explore*")</f>
        <v/>
      </c>
      <c r="AB3611">
        <f>IF(AND(LEFT(N3611,7)="Explore",(AA3611-IF(LEFT(N3611,7)="Explore",S3611,0))&lt;10),"SI","NO")</f>
        <v/>
      </c>
    </row>
    <row r="3612">
      <c r="A3612" t="inlineStr">
        <is>
          <t>c50m2_test</t>
        </is>
      </c>
      <c r="B3612" t="inlineStr">
        <is>
          <t>2026-02-18 11:45:36.249</t>
        </is>
      </c>
      <c r="C3612" t="n">
        <v/>
      </c>
      <c r="D3612" t="inlineStr">
        <is>
          <t>Media file</t>
        </is>
      </c>
      <c r="E3612" t="inlineStr">
        <is>
          <t>player #1:WT\test\c50m2.mp4</t>
        </is>
      </c>
      <c r="F3612" t="n">
        <v>-6.567</v>
      </c>
      <c r="G3612" t="n">
        <v>560.6660000000001</v>
      </c>
      <c r="H3612" t="n">
        <v>610.699</v>
      </c>
      <c r="I3612" t="n">
        <v>30</v>
      </c>
      <c r="J3612" t="inlineStr">
        <is>
          <t xml:space="preserve"> WT</t>
        </is>
      </c>
      <c r="K3612" t="inlineStr">
        <is>
          <t>Male</t>
        </is>
      </c>
      <c r="L3612" t="inlineStr">
        <is>
          <t>No focal subject</t>
        </is>
      </c>
      <c r="M3612" t="n">
        <v>77.804</v>
      </c>
      <c r="N3612" t="inlineStr">
        <is>
          <t>Explore_N</t>
        </is>
      </c>
      <c r="O3612" t="inlineStr">
        <is>
          <t>Novelty</t>
        </is>
      </c>
      <c r="P3612" t="inlineStr">
        <is>
          <t>STATE</t>
        </is>
      </c>
      <c r="Q3612" t="n">
        <v>347.766</v>
      </c>
      <c r="R3612" t="n">
        <v>348.633</v>
      </c>
      <c r="S3612" t="n">
        <v>0.867</v>
      </c>
      <c r="T3612" t="inlineStr">
        <is>
          <t>WT\test\c50m2.mp4</t>
        </is>
      </c>
      <c r="U3612" t="n">
        <v>10627</v>
      </c>
      <c r="V3612" t="n">
        <v>10653</v>
      </c>
      <c r="W3612" t="n">
        <v/>
      </c>
      <c r="X3612" t="n">
        <v/>
      </c>
      <c r="Y3612" t="n">
        <v/>
      </c>
      <c r="Z3612" t="n">
        <v/>
      </c>
      <c r="AA3612">
        <f>SUMIFS($S$2:S3612,$A$2:A3612,A3612,$N$2:N3612,"Explore*")</f>
        <v/>
      </c>
      <c r="AB3612">
        <f>IF(AND(LEFT(N3612,7)="Explore",(AA3612-IF(LEFT(N3612,7)="Explore",S3612,0))&lt;10),"SI","NO")</f>
        <v/>
      </c>
    </row>
    <row r="3613">
      <c r="A3613" t="inlineStr">
        <is>
          <t>c50m2_test</t>
        </is>
      </c>
      <c r="B3613" t="inlineStr">
        <is>
          <t>2026-02-18 11:45:36.249</t>
        </is>
      </c>
      <c r="C3613" t="n">
        <v/>
      </c>
      <c r="D3613" t="inlineStr">
        <is>
          <t>Media file</t>
        </is>
      </c>
      <c r="E3613" t="inlineStr">
        <is>
          <t>player #1:WT\test\c50m2.mp4</t>
        </is>
      </c>
      <c r="F3613" t="n">
        <v>-6.567</v>
      </c>
      <c r="G3613" t="n">
        <v>560.6660000000001</v>
      </c>
      <c r="H3613" t="n">
        <v>610.699</v>
      </c>
      <c r="I3613" t="n">
        <v>30</v>
      </c>
      <c r="J3613" t="inlineStr">
        <is>
          <t xml:space="preserve"> WT</t>
        </is>
      </c>
      <c r="K3613" t="inlineStr">
        <is>
          <t>Male</t>
        </is>
      </c>
      <c r="L3613" t="inlineStr">
        <is>
          <t>No focal subject</t>
        </is>
      </c>
      <c r="M3613" t="n">
        <v>77.804</v>
      </c>
      <c r="N3613" t="inlineStr">
        <is>
          <t>Explore_N</t>
        </is>
      </c>
      <c r="O3613" t="inlineStr">
        <is>
          <t>Novelty</t>
        </is>
      </c>
      <c r="P3613" t="inlineStr">
        <is>
          <t>STATE</t>
        </is>
      </c>
      <c r="Q3613" t="n">
        <v>353.833</v>
      </c>
      <c r="R3613" t="n">
        <v>354.899</v>
      </c>
      <c r="S3613" t="n">
        <v>1.066</v>
      </c>
      <c r="T3613" t="inlineStr">
        <is>
          <t>WT\test\c50m2.mp4</t>
        </is>
      </c>
      <c r="U3613" t="n">
        <v>10809</v>
      </c>
      <c r="V3613" t="n">
        <v>10841</v>
      </c>
      <c r="W3613" t="n">
        <v/>
      </c>
      <c r="X3613" t="n">
        <v/>
      </c>
      <c r="Y3613" t="n">
        <v/>
      </c>
      <c r="Z3613" t="n">
        <v/>
      </c>
      <c r="AA3613">
        <f>SUMIFS($S$2:S3613,$A$2:A3613,A3613,$N$2:N3613,"Explore*")</f>
        <v/>
      </c>
      <c r="AB3613">
        <f>IF(AND(LEFT(N3613,7)="Explore",(AA3613-IF(LEFT(N3613,7)="Explore",S3613,0))&lt;10),"SI","NO")</f>
        <v/>
      </c>
    </row>
    <row r="3614">
      <c r="A3614" t="inlineStr">
        <is>
          <t>c50m2_test</t>
        </is>
      </c>
      <c r="B3614" t="inlineStr">
        <is>
          <t>2026-02-18 11:45:36.249</t>
        </is>
      </c>
      <c r="C3614" t="n">
        <v/>
      </c>
      <c r="D3614" t="inlineStr">
        <is>
          <t>Media file</t>
        </is>
      </c>
      <c r="E3614" t="inlineStr">
        <is>
          <t>player #1:WT\test\c50m2.mp4</t>
        </is>
      </c>
      <c r="F3614" t="n">
        <v>-6.567</v>
      </c>
      <c r="G3614" t="n">
        <v>560.6660000000001</v>
      </c>
      <c r="H3614" t="n">
        <v>610.699</v>
      </c>
      <c r="I3614" t="n">
        <v>30</v>
      </c>
      <c r="J3614" t="inlineStr">
        <is>
          <t xml:space="preserve"> WT</t>
        </is>
      </c>
      <c r="K3614" t="inlineStr">
        <is>
          <t>Male</t>
        </is>
      </c>
      <c r="L3614" t="inlineStr">
        <is>
          <t>No focal subject</t>
        </is>
      </c>
      <c r="M3614" t="n">
        <v>77.804</v>
      </c>
      <c r="N3614" t="inlineStr">
        <is>
          <t>Explore_F</t>
        </is>
      </c>
      <c r="O3614" t="inlineStr">
        <is>
          <t>Familiar</t>
        </is>
      </c>
      <c r="P3614" t="inlineStr">
        <is>
          <t>STATE</t>
        </is>
      </c>
      <c r="Q3614" t="n">
        <v>357.099</v>
      </c>
      <c r="R3614" t="n">
        <v>359.266</v>
      </c>
      <c r="S3614" t="n">
        <v>2.167</v>
      </c>
      <c r="T3614" t="inlineStr">
        <is>
          <t>WT\test\c50m2.mp4</t>
        </is>
      </c>
      <c r="U3614" t="n">
        <v>10907</v>
      </c>
      <c r="V3614" t="n">
        <v>10972</v>
      </c>
      <c r="W3614" t="n">
        <v/>
      </c>
      <c r="X3614" t="n">
        <v/>
      </c>
      <c r="Y3614" t="n">
        <v/>
      </c>
      <c r="Z3614" t="n">
        <v/>
      </c>
      <c r="AA3614">
        <f>SUMIFS($S$2:S3614,$A$2:A3614,A3614,$N$2:N3614,"Explore*")</f>
        <v/>
      </c>
      <c r="AB3614">
        <f>IF(AND(LEFT(N3614,7)="Explore",(AA3614-IF(LEFT(N3614,7)="Explore",S3614,0))&lt;10),"SI","NO")</f>
        <v/>
      </c>
    </row>
    <row r="3615">
      <c r="A3615" t="inlineStr">
        <is>
          <t>c50m2_test</t>
        </is>
      </c>
      <c r="B3615" t="inlineStr">
        <is>
          <t>2026-02-18 11:45:36.249</t>
        </is>
      </c>
      <c r="C3615" t="n">
        <v/>
      </c>
      <c r="D3615" t="inlineStr">
        <is>
          <t>Media file</t>
        </is>
      </c>
      <c r="E3615" t="inlineStr">
        <is>
          <t>player #1:WT\test\c50m2.mp4</t>
        </is>
      </c>
      <c r="F3615" t="n">
        <v>-6.567</v>
      </c>
      <c r="G3615" t="n">
        <v>560.6660000000001</v>
      </c>
      <c r="H3615" t="n">
        <v>610.699</v>
      </c>
      <c r="I3615" t="n">
        <v>30</v>
      </c>
      <c r="J3615" t="inlineStr">
        <is>
          <t xml:space="preserve"> WT</t>
        </is>
      </c>
      <c r="K3615" t="inlineStr">
        <is>
          <t>Male</t>
        </is>
      </c>
      <c r="L3615" t="inlineStr">
        <is>
          <t>No focal subject</t>
        </is>
      </c>
      <c r="M3615" t="n">
        <v>77.804</v>
      </c>
      <c r="N3615" t="inlineStr">
        <is>
          <t>Explore_N</t>
        </is>
      </c>
      <c r="O3615" t="inlineStr">
        <is>
          <t>Novelty</t>
        </is>
      </c>
      <c r="P3615" t="inlineStr">
        <is>
          <t>STATE</t>
        </is>
      </c>
      <c r="Q3615" t="n">
        <v>364.033</v>
      </c>
      <c r="R3615" t="n">
        <v>365.033</v>
      </c>
      <c r="S3615" t="n">
        <v>1</v>
      </c>
      <c r="T3615" t="inlineStr">
        <is>
          <t>WT\test\c50m2.mp4</t>
        </is>
      </c>
      <c r="U3615" t="n">
        <v>11115</v>
      </c>
      <c r="V3615" t="n">
        <v>11145</v>
      </c>
      <c r="W3615" t="n">
        <v/>
      </c>
      <c r="X3615" t="n">
        <v/>
      </c>
      <c r="Y3615" t="n">
        <v/>
      </c>
      <c r="Z3615" t="n">
        <v/>
      </c>
      <c r="AA3615">
        <f>SUMIFS($S$2:S3615,$A$2:A3615,A3615,$N$2:N3615,"Explore*")</f>
        <v/>
      </c>
      <c r="AB3615">
        <f>IF(AND(LEFT(N3615,7)="Explore",(AA3615-IF(LEFT(N3615,7)="Explore",S3615,0))&lt;10),"SI","NO")</f>
        <v/>
      </c>
    </row>
    <row r="3616">
      <c r="A3616" t="inlineStr">
        <is>
          <t>c50m2_test</t>
        </is>
      </c>
      <c r="B3616" t="inlineStr">
        <is>
          <t>2026-02-18 11:45:36.249</t>
        </is>
      </c>
      <c r="C3616" t="n">
        <v/>
      </c>
      <c r="D3616" t="inlineStr">
        <is>
          <t>Media file</t>
        </is>
      </c>
      <c r="E3616" t="inlineStr">
        <is>
          <t>player #1:WT\test\c50m2.mp4</t>
        </is>
      </c>
      <c r="F3616" t="n">
        <v>-6.567</v>
      </c>
      <c r="G3616" t="n">
        <v>560.6660000000001</v>
      </c>
      <c r="H3616" t="n">
        <v>610.699</v>
      </c>
      <c r="I3616" t="n">
        <v>30</v>
      </c>
      <c r="J3616" t="inlineStr">
        <is>
          <t xml:space="preserve"> WT</t>
        </is>
      </c>
      <c r="K3616" t="inlineStr">
        <is>
          <t>Male</t>
        </is>
      </c>
      <c r="L3616" t="inlineStr">
        <is>
          <t>No focal subject</t>
        </is>
      </c>
      <c r="M3616" t="n">
        <v>77.804</v>
      </c>
      <c r="N3616" t="inlineStr">
        <is>
          <t>Explore_N</t>
        </is>
      </c>
      <c r="O3616" t="inlineStr">
        <is>
          <t>Novelty</t>
        </is>
      </c>
      <c r="P3616" t="inlineStr">
        <is>
          <t>STATE</t>
        </is>
      </c>
      <c r="Q3616" t="n">
        <v>368.266</v>
      </c>
      <c r="R3616" t="n">
        <v>368.866</v>
      </c>
      <c r="S3616" t="n">
        <v>0.6</v>
      </c>
      <c r="T3616" t="inlineStr">
        <is>
          <t>WT\test\c50m2.mp4</t>
        </is>
      </c>
      <c r="U3616" t="n">
        <v>11242</v>
      </c>
      <c r="V3616" t="n">
        <v>11260</v>
      </c>
      <c r="W3616" t="n">
        <v/>
      </c>
      <c r="X3616" t="n">
        <v/>
      </c>
      <c r="Y3616" t="n">
        <v/>
      </c>
      <c r="Z3616" t="n">
        <v/>
      </c>
      <c r="AA3616">
        <f>SUMIFS($S$2:S3616,$A$2:A3616,A3616,$N$2:N3616,"Explore*")</f>
        <v/>
      </c>
      <c r="AB3616">
        <f>IF(AND(LEFT(N3616,7)="Explore",(AA3616-IF(LEFT(N3616,7)="Explore",S3616,0))&lt;10),"SI","NO")</f>
        <v/>
      </c>
    </row>
    <row r="3617">
      <c r="A3617" t="inlineStr">
        <is>
          <t>c50m2_test</t>
        </is>
      </c>
      <c r="B3617" t="inlineStr">
        <is>
          <t>2026-02-18 11:45:36.249</t>
        </is>
      </c>
      <c r="C3617" t="n">
        <v/>
      </c>
      <c r="D3617" t="inlineStr">
        <is>
          <t>Media file</t>
        </is>
      </c>
      <c r="E3617" t="inlineStr">
        <is>
          <t>player #1:WT\test\c50m2.mp4</t>
        </is>
      </c>
      <c r="F3617" t="n">
        <v>-6.567</v>
      </c>
      <c r="G3617" t="n">
        <v>560.6660000000001</v>
      </c>
      <c r="H3617" t="n">
        <v>610.699</v>
      </c>
      <c r="I3617" t="n">
        <v>30</v>
      </c>
      <c r="J3617" t="inlineStr">
        <is>
          <t xml:space="preserve"> WT</t>
        </is>
      </c>
      <c r="K3617" t="inlineStr">
        <is>
          <t>Male</t>
        </is>
      </c>
      <c r="L3617" t="inlineStr">
        <is>
          <t>No focal subject</t>
        </is>
      </c>
      <c r="M3617" t="n">
        <v>77.804</v>
      </c>
      <c r="N3617" t="inlineStr">
        <is>
          <t>Explore_N</t>
        </is>
      </c>
      <c r="O3617" t="inlineStr">
        <is>
          <t>Novelty</t>
        </is>
      </c>
      <c r="P3617" t="inlineStr">
        <is>
          <t>STATE</t>
        </is>
      </c>
      <c r="Q3617" t="n">
        <v>378.499</v>
      </c>
      <c r="R3617" t="n">
        <v>379.133</v>
      </c>
      <c r="S3617" t="n">
        <v>0.634</v>
      </c>
      <c r="T3617" t="inlineStr">
        <is>
          <t>WT\test\c50m2.mp4</t>
        </is>
      </c>
      <c r="U3617" t="n">
        <v>11549</v>
      </c>
      <c r="V3617" t="n">
        <v>11568</v>
      </c>
      <c r="W3617" t="n">
        <v/>
      </c>
      <c r="X3617" t="n">
        <v/>
      </c>
      <c r="Y3617" t="n">
        <v/>
      </c>
      <c r="Z3617" t="n">
        <v/>
      </c>
      <c r="AA3617">
        <f>SUMIFS($S$2:S3617,$A$2:A3617,A3617,$N$2:N3617,"Explore*")</f>
        <v/>
      </c>
      <c r="AB3617">
        <f>IF(AND(LEFT(N3617,7)="Explore",(AA3617-IF(LEFT(N3617,7)="Explore",S3617,0))&lt;10),"SI","NO")</f>
        <v/>
      </c>
    </row>
    <row r="3618">
      <c r="A3618" t="inlineStr">
        <is>
          <t>c50m2_test</t>
        </is>
      </c>
      <c r="B3618" t="inlineStr">
        <is>
          <t>2026-02-18 11:45:36.249</t>
        </is>
      </c>
      <c r="C3618" t="n">
        <v/>
      </c>
      <c r="D3618" t="inlineStr">
        <is>
          <t>Media file</t>
        </is>
      </c>
      <c r="E3618" t="inlineStr">
        <is>
          <t>player #1:WT\test\c50m2.mp4</t>
        </is>
      </c>
      <c r="F3618" t="n">
        <v>-6.567</v>
      </c>
      <c r="G3618" t="n">
        <v>560.6660000000001</v>
      </c>
      <c r="H3618" t="n">
        <v>610.699</v>
      </c>
      <c r="I3618" t="n">
        <v>30</v>
      </c>
      <c r="J3618" t="inlineStr">
        <is>
          <t xml:space="preserve"> WT</t>
        </is>
      </c>
      <c r="K3618" t="inlineStr">
        <is>
          <t>Male</t>
        </is>
      </c>
      <c r="L3618" t="inlineStr">
        <is>
          <t>No focal subject</t>
        </is>
      </c>
      <c r="M3618" t="n">
        <v>77.804</v>
      </c>
      <c r="N3618" t="inlineStr">
        <is>
          <t>Explore_F</t>
        </is>
      </c>
      <c r="O3618" t="inlineStr">
        <is>
          <t>Familiar</t>
        </is>
      </c>
      <c r="P3618" t="inlineStr">
        <is>
          <t>STATE</t>
        </is>
      </c>
      <c r="Q3618" t="n">
        <v>381.499</v>
      </c>
      <c r="R3618" t="n">
        <v>383.966</v>
      </c>
      <c r="S3618" t="n">
        <v>2.467</v>
      </c>
      <c r="T3618" t="inlineStr">
        <is>
          <t>WT\test\c50m2.mp4</t>
        </is>
      </c>
      <c r="U3618" t="n">
        <v>11639</v>
      </c>
      <c r="V3618" t="n">
        <v>11713</v>
      </c>
      <c r="W3618" t="n">
        <v/>
      </c>
      <c r="X3618" t="n">
        <v/>
      </c>
      <c r="Y3618" t="n">
        <v/>
      </c>
      <c r="Z3618" t="n">
        <v/>
      </c>
      <c r="AA3618">
        <f>SUMIFS($S$2:S3618,$A$2:A3618,A3618,$N$2:N3618,"Explore*")</f>
        <v/>
      </c>
      <c r="AB3618">
        <f>IF(AND(LEFT(N3618,7)="Explore",(AA3618-IF(LEFT(N3618,7)="Explore",S3618,0))&lt;10),"SI","NO")</f>
        <v/>
      </c>
    </row>
    <row r="3619">
      <c r="A3619" t="inlineStr">
        <is>
          <t>c50m2_test</t>
        </is>
      </c>
      <c r="B3619" t="inlineStr">
        <is>
          <t>2026-02-18 11:45:36.249</t>
        </is>
      </c>
      <c r="C3619" t="n">
        <v/>
      </c>
      <c r="D3619" t="inlineStr">
        <is>
          <t>Media file</t>
        </is>
      </c>
      <c r="E3619" t="inlineStr">
        <is>
          <t>player #1:WT\test\c50m2.mp4</t>
        </is>
      </c>
      <c r="F3619" t="n">
        <v>-6.567</v>
      </c>
      <c r="G3619" t="n">
        <v>560.6660000000001</v>
      </c>
      <c r="H3619" t="n">
        <v>610.699</v>
      </c>
      <c r="I3619" t="n">
        <v>30</v>
      </c>
      <c r="J3619" t="inlineStr">
        <is>
          <t xml:space="preserve"> WT</t>
        </is>
      </c>
      <c r="K3619" t="inlineStr">
        <is>
          <t>Male</t>
        </is>
      </c>
      <c r="L3619" t="inlineStr">
        <is>
          <t>No focal subject</t>
        </is>
      </c>
      <c r="M3619" t="n">
        <v>77.804</v>
      </c>
      <c r="N3619" t="inlineStr">
        <is>
          <t>Explore_F</t>
        </is>
      </c>
      <c r="O3619" t="inlineStr">
        <is>
          <t>Familiar</t>
        </is>
      </c>
      <c r="P3619" t="inlineStr">
        <is>
          <t>STATE</t>
        </is>
      </c>
      <c r="Q3619" t="n">
        <v>391.133</v>
      </c>
      <c r="R3619" t="n">
        <v>392.433</v>
      </c>
      <c r="S3619" t="n">
        <v>1.3</v>
      </c>
      <c r="T3619" t="inlineStr">
        <is>
          <t>WT\test\c50m2.mp4</t>
        </is>
      </c>
      <c r="U3619" t="n">
        <v>11928</v>
      </c>
      <c r="V3619" t="n">
        <v>11967</v>
      </c>
      <c r="W3619" t="n">
        <v/>
      </c>
      <c r="X3619" t="n">
        <v/>
      </c>
      <c r="Y3619" t="n">
        <v/>
      </c>
      <c r="Z3619" t="n">
        <v/>
      </c>
      <c r="AA3619">
        <f>SUMIFS($S$2:S3619,$A$2:A3619,A3619,$N$2:N3619,"Explore*")</f>
        <v/>
      </c>
      <c r="AB3619">
        <f>IF(AND(LEFT(N3619,7)="Explore",(AA3619-IF(LEFT(N3619,7)="Explore",S3619,0))&lt;10),"SI","NO")</f>
        <v/>
      </c>
    </row>
    <row r="3620">
      <c r="A3620" t="inlineStr">
        <is>
          <t>c50m2_test</t>
        </is>
      </c>
      <c r="B3620" t="inlineStr">
        <is>
          <t>2026-02-18 11:45:36.249</t>
        </is>
      </c>
      <c r="C3620" t="n">
        <v/>
      </c>
      <c r="D3620" t="inlineStr">
        <is>
          <t>Media file</t>
        </is>
      </c>
      <c r="E3620" t="inlineStr">
        <is>
          <t>player #1:WT\test\c50m2.mp4</t>
        </is>
      </c>
      <c r="F3620" t="n">
        <v>-6.567</v>
      </c>
      <c r="G3620" t="n">
        <v>560.6660000000001</v>
      </c>
      <c r="H3620" t="n">
        <v>610.699</v>
      </c>
      <c r="I3620" t="n">
        <v>30</v>
      </c>
      <c r="J3620" t="inlineStr">
        <is>
          <t xml:space="preserve"> WT</t>
        </is>
      </c>
      <c r="K3620" t="inlineStr">
        <is>
          <t>Male</t>
        </is>
      </c>
      <c r="L3620" t="inlineStr">
        <is>
          <t>No focal subject</t>
        </is>
      </c>
      <c r="M3620" t="n">
        <v>77.804</v>
      </c>
      <c r="N3620" t="inlineStr">
        <is>
          <t>Explore_N</t>
        </is>
      </c>
      <c r="O3620" t="inlineStr">
        <is>
          <t>Novelty</t>
        </is>
      </c>
      <c r="P3620" t="inlineStr">
        <is>
          <t>STATE</t>
        </is>
      </c>
      <c r="Q3620" t="n">
        <v>393.899</v>
      </c>
      <c r="R3620" t="n">
        <v>394.766</v>
      </c>
      <c r="S3620" t="n">
        <v>0.867</v>
      </c>
      <c r="T3620" t="inlineStr">
        <is>
          <t>WT\test\c50m2.mp4</t>
        </is>
      </c>
      <c r="U3620" t="n">
        <v>12011</v>
      </c>
      <c r="V3620" t="n">
        <v>12037</v>
      </c>
      <c r="W3620" t="n">
        <v/>
      </c>
      <c r="X3620" t="n">
        <v/>
      </c>
      <c r="Y3620" t="n">
        <v/>
      </c>
      <c r="Z3620" t="n">
        <v/>
      </c>
      <c r="AA3620">
        <f>SUMIFS($S$2:S3620,$A$2:A3620,A3620,$N$2:N3620,"Explore*")</f>
        <v/>
      </c>
      <c r="AB3620">
        <f>IF(AND(LEFT(N3620,7)="Explore",(AA3620-IF(LEFT(N3620,7)="Explore",S3620,0))&lt;10),"SI","NO")</f>
        <v/>
      </c>
    </row>
    <row r="3621">
      <c r="A3621" t="inlineStr">
        <is>
          <t>c50m2_test</t>
        </is>
      </c>
      <c r="B3621" t="inlineStr">
        <is>
          <t>2026-02-18 11:45:36.249</t>
        </is>
      </c>
      <c r="C3621" t="n">
        <v/>
      </c>
      <c r="D3621" t="inlineStr">
        <is>
          <t>Media file</t>
        </is>
      </c>
      <c r="E3621" t="inlineStr">
        <is>
          <t>player #1:WT\test\c50m2.mp4</t>
        </is>
      </c>
      <c r="F3621" t="n">
        <v>-6.567</v>
      </c>
      <c r="G3621" t="n">
        <v>560.6660000000001</v>
      </c>
      <c r="H3621" t="n">
        <v>610.699</v>
      </c>
      <c r="I3621" t="n">
        <v>30</v>
      </c>
      <c r="J3621" t="inlineStr">
        <is>
          <t xml:space="preserve"> WT</t>
        </is>
      </c>
      <c r="K3621" t="inlineStr">
        <is>
          <t>Male</t>
        </is>
      </c>
      <c r="L3621" t="inlineStr">
        <is>
          <t>No focal subject</t>
        </is>
      </c>
      <c r="M3621" t="n">
        <v>77.804</v>
      </c>
      <c r="N3621" t="inlineStr">
        <is>
          <t>Explore_N</t>
        </is>
      </c>
      <c r="O3621" t="inlineStr">
        <is>
          <t>Novelty</t>
        </is>
      </c>
      <c r="P3621" t="inlineStr">
        <is>
          <t>STATE</t>
        </is>
      </c>
      <c r="Q3621" t="n">
        <v>402.199</v>
      </c>
      <c r="R3621" t="n">
        <v>403.166</v>
      </c>
      <c r="S3621" t="n">
        <v>0.967</v>
      </c>
      <c r="T3621" t="inlineStr">
        <is>
          <t>WT\test\c50m2.mp4</t>
        </is>
      </c>
      <c r="U3621" t="n">
        <v>12260</v>
      </c>
      <c r="V3621" t="n">
        <v>12289</v>
      </c>
      <c r="W3621" t="n">
        <v/>
      </c>
      <c r="X3621" t="n">
        <v/>
      </c>
      <c r="Y3621" t="n">
        <v/>
      </c>
      <c r="Z3621" t="n">
        <v/>
      </c>
      <c r="AA3621">
        <f>SUMIFS($S$2:S3621,$A$2:A3621,A3621,$N$2:N3621,"Explore*")</f>
        <v/>
      </c>
      <c r="AB3621">
        <f>IF(AND(LEFT(N3621,7)="Explore",(AA3621-IF(LEFT(N3621,7)="Explore",S3621,0))&lt;10),"SI","NO")</f>
        <v/>
      </c>
    </row>
    <row r="3622">
      <c r="A3622" t="inlineStr">
        <is>
          <t>c50m2_test</t>
        </is>
      </c>
      <c r="B3622" t="inlineStr">
        <is>
          <t>2026-02-18 11:45:36.249</t>
        </is>
      </c>
      <c r="C3622" t="n">
        <v/>
      </c>
      <c r="D3622" t="inlineStr">
        <is>
          <t>Media file</t>
        </is>
      </c>
      <c r="E3622" t="inlineStr">
        <is>
          <t>player #1:WT\test\c50m2.mp4</t>
        </is>
      </c>
      <c r="F3622" t="n">
        <v>-6.567</v>
      </c>
      <c r="G3622" t="n">
        <v>560.6660000000001</v>
      </c>
      <c r="H3622" t="n">
        <v>610.699</v>
      </c>
      <c r="I3622" t="n">
        <v>30</v>
      </c>
      <c r="J3622" t="inlineStr">
        <is>
          <t xml:space="preserve"> WT</t>
        </is>
      </c>
      <c r="K3622" t="inlineStr">
        <is>
          <t>Male</t>
        </is>
      </c>
      <c r="L3622" t="inlineStr">
        <is>
          <t>No focal subject</t>
        </is>
      </c>
      <c r="M3622" t="n">
        <v>77.804</v>
      </c>
      <c r="N3622" t="inlineStr">
        <is>
          <t>Explore_F</t>
        </is>
      </c>
      <c r="O3622" t="inlineStr">
        <is>
          <t>Familiar</t>
        </is>
      </c>
      <c r="P3622" t="inlineStr">
        <is>
          <t>STATE</t>
        </is>
      </c>
      <c r="Q3622" t="n">
        <v>403.966</v>
      </c>
      <c r="R3622" t="n">
        <v>407.766</v>
      </c>
      <c r="S3622" t="n">
        <v>3.8</v>
      </c>
      <c r="T3622" t="inlineStr">
        <is>
          <t>WT\test\c50m2.mp4</t>
        </is>
      </c>
      <c r="U3622" t="n">
        <v>12313</v>
      </c>
      <c r="V3622" t="n">
        <v>12427</v>
      </c>
      <c r="W3622" t="n">
        <v/>
      </c>
      <c r="X3622" t="n">
        <v/>
      </c>
      <c r="Y3622" t="n">
        <v/>
      </c>
      <c r="Z3622" t="n">
        <v/>
      </c>
      <c r="AA3622">
        <f>SUMIFS($S$2:S3622,$A$2:A3622,A3622,$N$2:N3622,"Explore*")</f>
        <v/>
      </c>
      <c r="AB3622">
        <f>IF(AND(LEFT(N3622,7)="Explore",(AA3622-IF(LEFT(N3622,7)="Explore",S3622,0))&lt;10),"SI","NO")</f>
        <v/>
      </c>
    </row>
    <row r="3623">
      <c r="A3623" t="inlineStr">
        <is>
          <t>c50m2_test</t>
        </is>
      </c>
      <c r="B3623" t="inlineStr">
        <is>
          <t>2026-02-18 11:45:36.249</t>
        </is>
      </c>
      <c r="C3623" t="n">
        <v/>
      </c>
      <c r="D3623" t="inlineStr">
        <is>
          <t>Media file</t>
        </is>
      </c>
      <c r="E3623" t="inlineStr">
        <is>
          <t>player #1:WT\test\c50m2.mp4</t>
        </is>
      </c>
      <c r="F3623" t="n">
        <v>-6.567</v>
      </c>
      <c r="G3623" t="n">
        <v>560.6660000000001</v>
      </c>
      <c r="H3623" t="n">
        <v>610.699</v>
      </c>
      <c r="I3623" t="n">
        <v>30</v>
      </c>
      <c r="J3623" t="inlineStr">
        <is>
          <t xml:space="preserve"> WT</t>
        </is>
      </c>
      <c r="K3623" t="inlineStr">
        <is>
          <t>Male</t>
        </is>
      </c>
      <c r="L3623" t="inlineStr">
        <is>
          <t>No focal subject</t>
        </is>
      </c>
      <c r="M3623" t="n">
        <v>77.804</v>
      </c>
      <c r="N3623" t="inlineStr">
        <is>
          <t>Explore_N</t>
        </is>
      </c>
      <c r="O3623" t="inlineStr">
        <is>
          <t>Novelty</t>
        </is>
      </c>
      <c r="P3623" t="inlineStr">
        <is>
          <t>STATE</t>
        </is>
      </c>
      <c r="Q3623" t="n">
        <v>411.299</v>
      </c>
      <c r="R3623" t="n">
        <v>411.899</v>
      </c>
      <c r="S3623" t="n">
        <v>0.6</v>
      </c>
      <c r="T3623" t="inlineStr">
        <is>
          <t>WT\test\c50m2.mp4</t>
        </is>
      </c>
      <c r="U3623" t="n">
        <v>12533</v>
      </c>
      <c r="V3623" t="n">
        <v>12551</v>
      </c>
      <c r="W3623" t="n">
        <v/>
      </c>
      <c r="X3623" t="n">
        <v/>
      </c>
      <c r="Y3623" t="n">
        <v/>
      </c>
      <c r="Z3623" t="n">
        <v/>
      </c>
      <c r="AA3623">
        <f>SUMIFS($S$2:S3623,$A$2:A3623,A3623,$N$2:N3623,"Explore*")</f>
        <v/>
      </c>
      <c r="AB3623">
        <f>IF(AND(LEFT(N3623,7)="Explore",(AA3623-IF(LEFT(N3623,7)="Explore",S3623,0))&lt;10),"SI","NO")</f>
        <v/>
      </c>
    </row>
    <row r="3624">
      <c r="A3624" t="inlineStr">
        <is>
          <t>c50m2_test</t>
        </is>
      </c>
      <c r="B3624" t="inlineStr">
        <is>
          <t>2026-02-18 11:45:36.249</t>
        </is>
      </c>
      <c r="C3624" t="n">
        <v/>
      </c>
      <c r="D3624" t="inlineStr">
        <is>
          <t>Media file</t>
        </is>
      </c>
      <c r="E3624" t="inlineStr">
        <is>
          <t>player #1:WT\test\c50m2.mp4</t>
        </is>
      </c>
      <c r="F3624" t="n">
        <v>-6.567</v>
      </c>
      <c r="G3624" t="n">
        <v>560.6660000000001</v>
      </c>
      <c r="H3624" t="n">
        <v>610.699</v>
      </c>
      <c r="I3624" t="n">
        <v>30</v>
      </c>
      <c r="J3624" t="inlineStr">
        <is>
          <t xml:space="preserve"> WT</t>
        </is>
      </c>
      <c r="K3624" t="inlineStr">
        <is>
          <t>Male</t>
        </is>
      </c>
      <c r="L3624" t="inlineStr">
        <is>
          <t>No focal subject</t>
        </is>
      </c>
      <c r="M3624" t="n">
        <v>77.804</v>
      </c>
      <c r="N3624" t="inlineStr">
        <is>
          <t>Explore_N</t>
        </is>
      </c>
      <c r="O3624" t="inlineStr">
        <is>
          <t>Novelty</t>
        </is>
      </c>
      <c r="P3624" t="inlineStr">
        <is>
          <t>STATE</t>
        </is>
      </c>
      <c r="Q3624" t="n">
        <v>413.799</v>
      </c>
      <c r="R3624" t="n">
        <v>415.266</v>
      </c>
      <c r="S3624" t="n">
        <v>1.467</v>
      </c>
      <c r="T3624" t="inlineStr">
        <is>
          <t>WT\test\c50m2.mp4</t>
        </is>
      </c>
      <c r="U3624" t="n">
        <v>12608</v>
      </c>
      <c r="V3624" t="n">
        <v>12652</v>
      </c>
      <c r="W3624" t="n">
        <v/>
      </c>
      <c r="X3624" t="n">
        <v/>
      </c>
      <c r="Y3624" t="n">
        <v/>
      </c>
      <c r="Z3624" t="n">
        <v/>
      </c>
      <c r="AA3624">
        <f>SUMIFS($S$2:S3624,$A$2:A3624,A3624,$N$2:N3624,"Explore*")</f>
        <v/>
      </c>
      <c r="AB3624">
        <f>IF(AND(LEFT(N3624,7)="Explore",(AA3624-IF(LEFT(N3624,7)="Explore",S3624,0))&lt;10),"SI","NO")</f>
        <v/>
      </c>
    </row>
    <row r="3625">
      <c r="A3625" t="inlineStr">
        <is>
          <t>c50m2_test</t>
        </is>
      </c>
      <c r="B3625" t="inlineStr">
        <is>
          <t>2026-02-18 11:45:36.249</t>
        </is>
      </c>
      <c r="C3625" t="n">
        <v/>
      </c>
      <c r="D3625" t="inlineStr">
        <is>
          <t>Media file</t>
        </is>
      </c>
      <c r="E3625" t="inlineStr">
        <is>
          <t>player #1:WT\test\c50m2.mp4</t>
        </is>
      </c>
      <c r="F3625" t="n">
        <v>-6.567</v>
      </c>
      <c r="G3625" t="n">
        <v>560.6660000000001</v>
      </c>
      <c r="H3625" t="n">
        <v>610.699</v>
      </c>
      <c r="I3625" t="n">
        <v>30</v>
      </c>
      <c r="J3625" t="inlineStr">
        <is>
          <t xml:space="preserve"> WT</t>
        </is>
      </c>
      <c r="K3625" t="inlineStr">
        <is>
          <t>Male</t>
        </is>
      </c>
      <c r="L3625" t="inlineStr">
        <is>
          <t>No focal subject</t>
        </is>
      </c>
      <c r="M3625" t="n">
        <v>77.804</v>
      </c>
      <c r="N3625" t="inlineStr">
        <is>
          <t>Explore_N</t>
        </is>
      </c>
      <c r="O3625" t="inlineStr">
        <is>
          <t>Novelty</t>
        </is>
      </c>
      <c r="P3625" t="inlineStr">
        <is>
          <t>STATE</t>
        </is>
      </c>
      <c r="Q3625" t="n">
        <v>416.299</v>
      </c>
      <c r="R3625" t="n">
        <v>416.999</v>
      </c>
      <c r="S3625" t="n">
        <v>0.7</v>
      </c>
      <c r="T3625" t="inlineStr">
        <is>
          <t>WT\test\c50m2.mp4</t>
        </is>
      </c>
      <c r="U3625" t="n">
        <v>12683</v>
      </c>
      <c r="V3625" t="n">
        <v>12704</v>
      </c>
      <c r="W3625" t="n">
        <v/>
      </c>
      <c r="X3625" t="n">
        <v/>
      </c>
      <c r="Y3625" t="n">
        <v/>
      </c>
      <c r="Z3625" t="n">
        <v/>
      </c>
      <c r="AA3625">
        <f>SUMIFS($S$2:S3625,$A$2:A3625,A3625,$N$2:N3625,"Explore*")</f>
        <v/>
      </c>
      <c r="AB3625">
        <f>IF(AND(LEFT(N3625,7)="Explore",(AA3625-IF(LEFT(N3625,7)="Explore",S3625,0))&lt;10),"SI","NO")</f>
        <v/>
      </c>
    </row>
    <row r="3626">
      <c r="A3626" t="inlineStr">
        <is>
          <t>c50m2_test</t>
        </is>
      </c>
      <c r="B3626" t="inlineStr">
        <is>
          <t>2026-02-18 11:45:36.249</t>
        </is>
      </c>
      <c r="C3626" t="n">
        <v/>
      </c>
      <c r="D3626" t="inlineStr">
        <is>
          <t>Media file</t>
        </is>
      </c>
      <c r="E3626" t="inlineStr">
        <is>
          <t>player #1:WT\test\c50m2.mp4</t>
        </is>
      </c>
      <c r="F3626" t="n">
        <v>-6.567</v>
      </c>
      <c r="G3626" t="n">
        <v>560.6660000000001</v>
      </c>
      <c r="H3626" t="n">
        <v>610.699</v>
      </c>
      <c r="I3626" t="n">
        <v>30</v>
      </c>
      <c r="J3626" t="inlineStr">
        <is>
          <t xml:space="preserve"> WT</t>
        </is>
      </c>
      <c r="K3626" t="inlineStr">
        <is>
          <t>Male</t>
        </is>
      </c>
      <c r="L3626" t="inlineStr">
        <is>
          <t>No focal subject</t>
        </is>
      </c>
      <c r="M3626" t="n">
        <v>77.804</v>
      </c>
      <c r="N3626" t="inlineStr">
        <is>
          <t>Explore_N</t>
        </is>
      </c>
      <c r="O3626" t="inlineStr">
        <is>
          <t>Novelty</t>
        </is>
      </c>
      <c r="P3626" t="inlineStr">
        <is>
          <t>STATE</t>
        </is>
      </c>
      <c r="Q3626" t="n">
        <v>417.999</v>
      </c>
      <c r="R3626" t="n">
        <v>419.333</v>
      </c>
      <c r="S3626" t="n">
        <v>1.334</v>
      </c>
      <c r="T3626" t="inlineStr">
        <is>
          <t>WT\test\c50m2.mp4</t>
        </is>
      </c>
      <c r="U3626" t="n">
        <v>12734</v>
      </c>
      <c r="V3626" t="n">
        <v>12774</v>
      </c>
      <c r="W3626" t="n">
        <v/>
      </c>
      <c r="X3626" t="n">
        <v/>
      </c>
      <c r="Y3626" t="n">
        <v/>
      </c>
      <c r="Z3626" t="n">
        <v/>
      </c>
      <c r="AA3626">
        <f>SUMIFS($S$2:S3626,$A$2:A3626,A3626,$N$2:N3626,"Explore*")</f>
        <v/>
      </c>
      <c r="AB3626">
        <f>IF(AND(LEFT(N3626,7)="Explore",(AA3626-IF(LEFT(N3626,7)="Explore",S3626,0))&lt;10),"SI","NO")</f>
        <v/>
      </c>
    </row>
    <row r="3627">
      <c r="A3627" t="inlineStr">
        <is>
          <t>c50m2_test</t>
        </is>
      </c>
      <c r="B3627" t="inlineStr">
        <is>
          <t>2026-02-18 11:45:36.249</t>
        </is>
      </c>
      <c r="C3627" t="n">
        <v/>
      </c>
      <c r="D3627" t="inlineStr">
        <is>
          <t>Media file</t>
        </is>
      </c>
      <c r="E3627" t="inlineStr">
        <is>
          <t>player #1:WT\test\c50m2.mp4</t>
        </is>
      </c>
      <c r="F3627" t="n">
        <v>-6.567</v>
      </c>
      <c r="G3627" t="n">
        <v>560.6660000000001</v>
      </c>
      <c r="H3627" t="n">
        <v>610.699</v>
      </c>
      <c r="I3627" t="n">
        <v>30</v>
      </c>
      <c r="J3627" t="inlineStr">
        <is>
          <t xml:space="preserve"> WT</t>
        </is>
      </c>
      <c r="K3627" t="inlineStr">
        <is>
          <t>Male</t>
        </is>
      </c>
      <c r="L3627" t="inlineStr">
        <is>
          <t>No focal subject</t>
        </is>
      </c>
      <c r="M3627" t="n">
        <v>77.804</v>
      </c>
      <c r="N3627" t="inlineStr">
        <is>
          <t>Explore_N</t>
        </is>
      </c>
      <c r="O3627" t="inlineStr">
        <is>
          <t>Novelty</t>
        </is>
      </c>
      <c r="P3627" t="inlineStr">
        <is>
          <t>STATE</t>
        </is>
      </c>
      <c r="Q3627" t="n">
        <v>420.633</v>
      </c>
      <c r="R3627" t="n">
        <v>421.966</v>
      </c>
      <c r="S3627" t="n">
        <v>1.333</v>
      </c>
      <c r="T3627" t="inlineStr">
        <is>
          <t>WT\test\c50m2.mp4</t>
        </is>
      </c>
      <c r="U3627" t="n">
        <v>12813</v>
      </c>
      <c r="V3627" t="n">
        <v>12853</v>
      </c>
      <c r="W3627" t="n">
        <v/>
      </c>
      <c r="X3627" t="n">
        <v/>
      </c>
      <c r="Y3627" t="n">
        <v/>
      </c>
      <c r="Z3627" t="n">
        <v/>
      </c>
      <c r="AA3627">
        <f>SUMIFS($S$2:S3627,$A$2:A3627,A3627,$N$2:N3627,"Explore*")</f>
        <v/>
      </c>
      <c r="AB3627">
        <f>IF(AND(LEFT(N3627,7)="Explore",(AA3627-IF(LEFT(N3627,7)="Explore",S3627,0))&lt;10),"SI","NO")</f>
        <v/>
      </c>
    </row>
    <row r="3628">
      <c r="A3628" t="inlineStr">
        <is>
          <t>c50m2_test</t>
        </is>
      </c>
      <c r="B3628" t="inlineStr">
        <is>
          <t>2026-02-18 11:45:36.249</t>
        </is>
      </c>
      <c r="C3628" t="n">
        <v/>
      </c>
      <c r="D3628" t="inlineStr">
        <is>
          <t>Media file</t>
        </is>
      </c>
      <c r="E3628" t="inlineStr">
        <is>
          <t>player #1:WT\test\c50m2.mp4</t>
        </is>
      </c>
      <c r="F3628" t="n">
        <v>-6.567</v>
      </c>
      <c r="G3628" t="n">
        <v>560.6660000000001</v>
      </c>
      <c r="H3628" t="n">
        <v>610.699</v>
      </c>
      <c r="I3628" t="n">
        <v>30</v>
      </c>
      <c r="J3628" t="inlineStr">
        <is>
          <t xml:space="preserve"> WT</t>
        </is>
      </c>
      <c r="K3628" t="inlineStr">
        <is>
          <t>Male</t>
        </is>
      </c>
      <c r="L3628" t="inlineStr">
        <is>
          <t>No focal subject</t>
        </is>
      </c>
      <c r="M3628" t="n">
        <v>77.804</v>
      </c>
      <c r="N3628" t="inlineStr">
        <is>
          <t>Explore_N</t>
        </is>
      </c>
      <c r="O3628" t="inlineStr">
        <is>
          <t>Novelty</t>
        </is>
      </c>
      <c r="P3628" t="inlineStr">
        <is>
          <t>STATE</t>
        </is>
      </c>
      <c r="Q3628" t="n">
        <v>424.999</v>
      </c>
      <c r="R3628" t="n">
        <v>427.099</v>
      </c>
      <c r="S3628" t="n">
        <v>2.1</v>
      </c>
      <c r="T3628" t="inlineStr">
        <is>
          <t>WT\test\c50m2.mp4</t>
        </is>
      </c>
      <c r="U3628" t="n">
        <v>12944</v>
      </c>
      <c r="V3628" t="n">
        <v>13007</v>
      </c>
      <c r="W3628" t="n">
        <v/>
      </c>
      <c r="X3628" t="n">
        <v/>
      </c>
      <c r="Y3628" t="n">
        <v/>
      </c>
      <c r="Z3628" t="n">
        <v/>
      </c>
      <c r="AA3628">
        <f>SUMIFS($S$2:S3628,$A$2:A3628,A3628,$N$2:N3628,"Explore*")</f>
        <v/>
      </c>
      <c r="AB3628">
        <f>IF(AND(LEFT(N3628,7)="Explore",(AA3628-IF(LEFT(N3628,7)="Explore",S3628,0))&lt;10),"SI","NO")</f>
        <v/>
      </c>
    </row>
    <row r="3629">
      <c r="A3629" t="inlineStr">
        <is>
          <t>c50m2_test</t>
        </is>
      </c>
      <c r="B3629" t="inlineStr">
        <is>
          <t>2026-02-18 11:45:36.249</t>
        </is>
      </c>
      <c r="C3629" t="n">
        <v/>
      </c>
      <c r="D3629" t="inlineStr">
        <is>
          <t>Media file</t>
        </is>
      </c>
      <c r="E3629" t="inlineStr">
        <is>
          <t>player #1:WT\test\c50m2.mp4</t>
        </is>
      </c>
      <c r="F3629" t="n">
        <v>-6.567</v>
      </c>
      <c r="G3629" t="n">
        <v>560.6660000000001</v>
      </c>
      <c r="H3629" t="n">
        <v>610.699</v>
      </c>
      <c r="I3629" t="n">
        <v>30</v>
      </c>
      <c r="J3629" t="inlineStr">
        <is>
          <t xml:space="preserve"> WT</t>
        </is>
      </c>
      <c r="K3629" t="inlineStr">
        <is>
          <t>Male</t>
        </is>
      </c>
      <c r="L3629" t="inlineStr">
        <is>
          <t>No focal subject</t>
        </is>
      </c>
      <c r="M3629" t="n">
        <v>77.804</v>
      </c>
      <c r="N3629" t="inlineStr">
        <is>
          <t>Explore_F</t>
        </is>
      </c>
      <c r="O3629" t="inlineStr">
        <is>
          <t>Familiar</t>
        </is>
      </c>
      <c r="P3629" t="inlineStr">
        <is>
          <t>STATE</t>
        </is>
      </c>
      <c r="Q3629" t="n">
        <v>429.933</v>
      </c>
      <c r="R3629" t="n">
        <v>430.533</v>
      </c>
      <c r="S3629" t="n">
        <v>0.6</v>
      </c>
      <c r="T3629" t="inlineStr">
        <is>
          <t>WT\test\c50m2.mp4</t>
        </is>
      </c>
      <c r="U3629" t="n">
        <v>13092</v>
      </c>
      <c r="V3629" t="n">
        <v>13110</v>
      </c>
      <c r="W3629" t="n">
        <v/>
      </c>
      <c r="X3629" t="n">
        <v/>
      </c>
      <c r="Y3629" t="n">
        <v/>
      </c>
      <c r="Z3629" t="n">
        <v/>
      </c>
      <c r="AA3629">
        <f>SUMIFS($S$2:S3629,$A$2:A3629,A3629,$N$2:N3629,"Explore*")</f>
        <v/>
      </c>
      <c r="AB3629">
        <f>IF(AND(LEFT(N3629,7)="Explore",(AA3629-IF(LEFT(N3629,7)="Explore",S3629,0))&lt;10),"SI","NO")</f>
        <v/>
      </c>
    </row>
    <row r="3630">
      <c r="A3630" t="inlineStr">
        <is>
          <t>c50m2_test</t>
        </is>
      </c>
      <c r="B3630" t="inlineStr">
        <is>
          <t>2026-02-18 11:45:36.249</t>
        </is>
      </c>
      <c r="C3630" t="n">
        <v/>
      </c>
      <c r="D3630" t="inlineStr">
        <is>
          <t>Media file</t>
        </is>
      </c>
      <c r="E3630" t="inlineStr">
        <is>
          <t>player #1:WT\test\c50m2.mp4</t>
        </is>
      </c>
      <c r="F3630" t="n">
        <v>-6.567</v>
      </c>
      <c r="G3630" t="n">
        <v>560.6660000000001</v>
      </c>
      <c r="H3630" t="n">
        <v>610.699</v>
      </c>
      <c r="I3630" t="n">
        <v>30</v>
      </c>
      <c r="J3630" t="inlineStr">
        <is>
          <t xml:space="preserve"> WT</t>
        </is>
      </c>
      <c r="K3630" t="inlineStr">
        <is>
          <t>Male</t>
        </is>
      </c>
      <c r="L3630" t="inlineStr">
        <is>
          <t>No focal subject</t>
        </is>
      </c>
      <c r="M3630" t="n">
        <v>77.804</v>
      </c>
      <c r="N3630" t="inlineStr">
        <is>
          <t>Explore_F</t>
        </is>
      </c>
      <c r="O3630" t="inlineStr">
        <is>
          <t>Familiar</t>
        </is>
      </c>
      <c r="P3630" t="inlineStr">
        <is>
          <t>STATE</t>
        </is>
      </c>
      <c r="Q3630" t="n">
        <v>432.566</v>
      </c>
      <c r="R3630" t="n">
        <v>433.033</v>
      </c>
      <c r="S3630" t="n">
        <v>0.467</v>
      </c>
      <c r="T3630" t="inlineStr">
        <is>
          <t>WT\test\c50m2.mp4</t>
        </is>
      </c>
      <c r="U3630" t="n">
        <v>13171</v>
      </c>
      <c r="V3630" t="n">
        <v>13185</v>
      </c>
      <c r="W3630" t="n">
        <v/>
      </c>
      <c r="X3630" t="n">
        <v/>
      </c>
      <c r="Y3630" t="n">
        <v/>
      </c>
      <c r="Z3630" t="n">
        <v/>
      </c>
      <c r="AA3630">
        <f>SUMIFS($S$2:S3630,$A$2:A3630,A3630,$N$2:N3630,"Explore*")</f>
        <v/>
      </c>
      <c r="AB3630">
        <f>IF(AND(LEFT(N3630,7)="Explore",(AA3630-IF(LEFT(N3630,7)="Explore",S3630,0))&lt;10),"SI","NO")</f>
        <v/>
      </c>
    </row>
    <row r="3631">
      <c r="A3631" t="inlineStr">
        <is>
          <t>c50m2_test</t>
        </is>
      </c>
      <c r="B3631" t="inlineStr">
        <is>
          <t>2026-02-18 11:45:36.249</t>
        </is>
      </c>
      <c r="C3631" t="n">
        <v/>
      </c>
      <c r="D3631" t="inlineStr">
        <is>
          <t>Media file</t>
        </is>
      </c>
      <c r="E3631" t="inlineStr">
        <is>
          <t>player #1:WT\test\c50m2.mp4</t>
        </is>
      </c>
      <c r="F3631" t="n">
        <v>-6.567</v>
      </c>
      <c r="G3631" t="n">
        <v>560.6660000000001</v>
      </c>
      <c r="H3631" t="n">
        <v>610.699</v>
      </c>
      <c r="I3631" t="n">
        <v>30</v>
      </c>
      <c r="J3631" t="inlineStr">
        <is>
          <t xml:space="preserve"> WT</t>
        </is>
      </c>
      <c r="K3631" t="inlineStr">
        <is>
          <t>Male</t>
        </is>
      </c>
      <c r="L3631" t="inlineStr">
        <is>
          <t>No focal subject</t>
        </is>
      </c>
      <c r="M3631" t="n">
        <v>77.804</v>
      </c>
      <c r="N3631" t="inlineStr">
        <is>
          <t>Explore_N</t>
        </is>
      </c>
      <c r="O3631" t="inlineStr">
        <is>
          <t>Novelty</t>
        </is>
      </c>
      <c r="P3631" t="inlineStr">
        <is>
          <t>STATE</t>
        </is>
      </c>
      <c r="Q3631" t="n">
        <v>433.599</v>
      </c>
      <c r="R3631" t="n">
        <v>433.966</v>
      </c>
      <c r="S3631" t="n">
        <v>0.367</v>
      </c>
      <c r="T3631" t="inlineStr">
        <is>
          <t>WT\test\c50m2.mp4</t>
        </is>
      </c>
      <c r="U3631" t="n">
        <v>13202</v>
      </c>
      <c r="V3631" t="n">
        <v>13213</v>
      </c>
      <c r="W3631" t="n">
        <v/>
      </c>
      <c r="X3631" t="n">
        <v/>
      </c>
      <c r="Y3631" t="n">
        <v/>
      </c>
      <c r="Z3631" t="n">
        <v/>
      </c>
      <c r="AA3631">
        <f>SUMIFS($S$2:S3631,$A$2:A3631,A3631,$N$2:N3631,"Explore*")</f>
        <v/>
      </c>
      <c r="AB3631">
        <f>IF(AND(LEFT(N3631,7)="Explore",(AA3631-IF(LEFT(N3631,7)="Explore",S3631,0))&lt;10),"SI","NO")</f>
        <v/>
      </c>
    </row>
    <row r="3632">
      <c r="A3632" t="inlineStr">
        <is>
          <t>c50m2_test</t>
        </is>
      </c>
      <c r="B3632" t="inlineStr">
        <is>
          <t>2026-02-18 11:45:36.249</t>
        </is>
      </c>
      <c r="C3632" t="n">
        <v/>
      </c>
      <c r="D3632" t="inlineStr">
        <is>
          <t>Media file</t>
        </is>
      </c>
      <c r="E3632" t="inlineStr">
        <is>
          <t>player #1:WT\test\c50m2.mp4</t>
        </is>
      </c>
      <c r="F3632" t="n">
        <v>-6.567</v>
      </c>
      <c r="G3632" t="n">
        <v>560.6660000000001</v>
      </c>
      <c r="H3632" t="n">
        <v>610.699</v>
      </c>
      <c r="I3632" t="n">
        <v>30</v>
      </c>
      <c r="J3632" t="inlineStr">
        <is>
          <t xml:space="preserve"> WT</t>
        </is>
      </c>
      <c r="K3632" t="inlineStr">
        <is>
          <t>Male</t>
        </is>
      </c>
      <c r="L3632" t="inlineStr">
        <is>
          <t>No focal subject</t>
        </is>
      </c>
      <c r="M3632" t="n">
        <v>77.804</v>
      </c>
      <c r="N3632" t="inlineStr">
        <is>
          <t>Explore_N</t>
        </is>
      </c>
      <c r="O3632" t="inlineStr">
        <is>
          <t>Novelty</t>
        </is>
      </c>
      <c r="P3632" t="inlineStr">
        <is>
          <t>STATE</t>
        </is>
      </c>
      <c r="Q3632" t="n">
        <v>434.633</v>
      </c>
      <c r="R3632" t="n">
        <v>435.433</v>
      </c>
      <c r="S3632" t="n">
        <v>0.8</v>
      </c>
      <c r="T3632" t="inlineStr">
        <is>
          <t>WT\test\c50m2.mp4</t>
        </is>
      </c>
      <c r="U3632" t="n">
        <v>13233</v>
      </c>
      <c r="V3632" t="n">
        <v>13257</v>
      </c>
      <c r="W3632" t="n">
        <v/>
      </c>
      <c r="X3632" t="n">
        <v/>
      </c>
      <c r="Y3632" t="n">
        <v/>
      </c>
      <c r="Z3632" t="n">
        <v/>
      </c>
      <c r="AA3632">
        <f>SUMIFS($S$2:S3632,$A$2:A3632,A3632,$N$2:N3632,"Explore*")</f>
        <v/>
      </c>
      <c r="AB3632">
        <f>IF(AND(LEFT(N3632,7)="Explore",(AA3632-IF(LEFT(N3632,7)="Explore",S3632,0))&lt;10),"SI","NO")</f>
        <v/>
      </c>
    </row>
    <row r="3633">
      <c r="A3633" t="inlineStr">
        <is>
          <t>c50m2_test</t>
        </is>
      </c>
      <c r="B3633" t="inlineStr">
        <is>
          <t>2026-02-18 11:45:36.249</t>
        </is>
      </c>
      <c r="C3633" t="n">
        <v/>
      </c>
      <c r="D3633" t="inlineStr">
        <is>
          <t>Media file</t>
        </is>
      </c>
      <c r="E3633" t="inlineStr">
        <is>
          <t>player #1:WT\test\c50m2.mp4</t>
        </is>
      </c>
      <c r="F3633" t="n">
        <v>-6.567</v>
      </c>
      <c r="G3633" t="n">
        <v>560.6660000000001</v>
      </c>
      <c r="H3633" t="n">
        <v>610.699</v>
      </c>
      <c r="I3633" t="n">
        <v>30</v>
      </c>
      <c r="J3633" t="inlineStr">
        <is>
          <t xml:space="preserve"> WT</t>
        </is>
      </c>
      <c r="K3633" t="inlineStr">
        <is>
          <t>Male</t>
        </is>
      </c>
      <c r="L3633" t="inlineStr">
        <is>
          <t>No focal subject</t>
        </is>
      </c>
      <c r="M3633" t="n">
        <v>77.804</v>
      </c>
      <c r="N3633" t="inlineStr">
        <is>
          <t>Explore_F</t>
        </is>
      </c>
      <c r="O3633" t="inlineStr">
        <is>
          <t>Familiar</t>
        </is>
      </c>
      <c r="P3633" t="inlineStr">
        <is>
          <t>STATE</t>
        </is>
      </c>
      <c r="Q3633" t="n">
        <v>462.266</v>
      </c>
      <c r="R3633" t="n">
        <v>463.699</v>
      </c>
      <c r="S3633" t="n">
        <v>1.433</v>
      </c>
      <c r="T3633" t="inlineStr">
        <is>
          <t>WT\test\c50m2.mp4</t>
        </is>
      </c>
      <c r="U3633" t="n">
        <v>14061</v>
      </c>
      <c r="V3633" t="n">
        <v>14104</v>
      </c>
      <c r="W3633" t="n">
        <v/>
      </c>
      <c r="X3633" t="n">
        <v/>
      </c>
      <c r="Y3633" t="n">
        <v/>
      </c>
      <c r="Z3633" t="n">
        <v/>
      </c>
      <c r="AA3633">
        <f>SUMIFS($S$2:S3633,$A$2:A3633,A3633,$N$2:N3633,"Explore*")</f>
        <v/>
      </c>
      <c r="AB3633">
        <f>IF(AND(LEFT(N3633,7)="Explore",(AA3633-IF(LEFT(N3633,7)="Explore",S3633,0))&lt;10),"SI","NO")</f>
        <v/>
      </c>
    </row>
    <row r="3634">
      <c r="A3634" t="inlineStr">
        <is>
          <t>c50m2_test</t>
        </is>
      </c>
      <c r="B3634" t="inlineStr">
        <is>
          <t>2026-02-18 11:45:36.249</t>
        </is>
      </c>
      <c r="C3634" t="n">
        <v/>
      </c>
      <c r="D3634" t="inlineStr">
        <is>
          <t>Media file</t>
        </is>
      </c>
      <c r="E3634" t="inlineStr">
        <is>
          <t>player #1:WT\test\c50m2.mp4</t>
        </is>
      </c>
      <c r="F3634" t="n">
        <v>-6.567</v>
      </c>
      <c r="G3634" t="n">
        <v>560.6660000000001</v>
      </c>
      <c r="H3634" t="n">
        <v>610.699</v>
      </c>
      <c r="I3634" t="n">
        <v>30</v>
      </c>
      <c r="J3634" t="inlineStr">
        <is>
          <t xml:space="preserve"> WT</t>
        </is>
      </c>
      <c r="K3634" t="inlineStr">
        <is>
          <t>Male</t>
        </is>
      </c>
      <c r="L3634" t="inlineStr">
        <is>
          <t>No focal subject</t>
        </is>
      </c>
      <c r="M3634" t="n">
        <v>77.804</v>
      </c>
      <c r="N3634" t="inlineStr">
        <is>
          <t>Explore_F</t>
        </is>
      </c>
      <c r="O3634" t="inlineStr">
        <is>
          <t>Familiar</t>
        </is>
      </c>
      <c r="P3634" t="inlineStr">
        <is>
          <t>STATE</t>
        </is>
      </c>
      <c r="Q3634" t="n">
        <v>466.399</v>
      </c>
      <c r="R3634" t="n">
        <v>467.266</v>
      </c>
      <c r="S3634" t="n">
        <v>0.867</v>
      </c>
      <c r="T3634" t="inlineStr">
        <is>
          <t>WT\test\c50m2.mp4</t>
        </is>
      </c>
      <c r="U3634" t="n">
        <v>14185</v>
      </c>
      <c r="V3634" t="n">
        <v>14211</v>
      </c>
      <c r="W3634" t="n">
        <v/>
      </c>
      <c r="X3634" t="n">
        <v/>
      </c>
      <c r="Y3634" t="n">
        <v/>
      </c>
      <c r="Z3634" t="n">
        <v/>
      </c>
      <c r="AA3634">
        <f>SUMIFS($S$2:S3634,$A$2:A3634,A3634,$N$2:N3634,"Explore*")</f>
        <v/>
      </c>
      <c r="AB3634">
        <f>IF(AND(LEFT(N3634,7)="Explore",(AA3634-IF(LEFT(N3634,7)="Explore",S3634,0))&lt;10),"SI","NO")</f>
        <v/>
      </c>
    </row>
    <row r="3635">
      <c r="A3635" t="inlineStr">
        <is>
          <t>c50m2_test</t>
        </is>
      </c>
      <c r="B3635" t="inlineStr">
        <is>
          <t>2026-02-18 11:45:36.249</t>
        </is>
      </c>
      <c r="C3635" t="n">
        <v/>
      </c>
      <c r="D3635" t="inlineStr">
        <is>
          <t>Media file</t>
        </is>
      </c>
      <c r="E3635" t="inlineStr">
        <is>
          <t>player #1:WT\test\c50m2.mp4</t>
        </is>
      </c>
      <c r="F3635" t="n">
        <v>-6.567</v>
      </c>
      <c r="G3635" t="n">
        <v>560.6660000000001</v>
      </c>
      <c r="H3635" t="n">
        <v>610.699</v>
      </c>
      <c r="I3635" t="n">
        <v>30</v>
      </c>
      <c r="J3635" t="inlineStr">
        <is>
          <t xml:space="preserve"> WT</t>
        </is>
      </c>
      <c r="K3635" t="inlineStr">
        <is>
          <t>Male</t>
        </is>
      </c>
      <c r="L3635" t="inlineStr">
        <is>
          <t>No focal subject</t>
        </is>
      </c>
      <c r="M3635" t="n">
        <v>77.804</v>
      </c>
      <c r="N3635" t="inlineStr">
        <is>
          <t>Explore_N</t>
        </is>
      </c>
      <c r="O3635" t="inlineStr">
        <is>
          <t>Novelty</t>
        </is>
      </c>
      <c r="P3635" t="inlineStr">
        <is>
          <t>STATE</t>
        </is>
      </c>
      <c r="Q3635" t="n">
        <v>482.899</v>
      </c>
      <c r="R3635" t="n">
        <v>484.232</v>
      </c>
      <c r="S3635" t="n">
        <v>1.333</v>
      </c>
      <c r="T3635" t="inlineStr">
        <is>
          <t>WT\test\c50m2.mp4</t>
        </is>
      </c>
      <c r="U3635" t="n">
        <v>14680</v>
      </c>
      <c r="V3635" t="n">
        <v>14720</v>
      </c>
      <c r="W3635" t="n">
        <v/>
      </c>
      <c r="X3635" t="n">
        <v/>
      </c>
      <c r="Y3635" t="n">
        <v/>
      </c>
      <c r="Z3635" t="n">
        <v/>
      </c>
      <c r="AA3635">
        <f>SUMIFS($S$2:S3635,$A$2:A3635,A3635,$N$2:N3635,"Explore*")</f>
        <v/>
      </c>
      <c r="AB3635">
        <f>IF(AND(LEFT(N3635,7)="Explore",(AA3635-IF(LEFT(N3635,7)="Explore",S3635,0))&lt;10),"SI","NO")</f>
        <v/>
      </c>
    </row>
    <row r="3636">
      <c r="A3636" t="inlineStr">
        <is>
          <t>c50m2_test</t>
        </is>
      </c>
      <c r="B3636" t="inlineStr">
        <is>
          <t>2026-02-18 11:45:36.249</t>
        </is>
      </c>
      <c r="C3636" t="n">
        <v/>
      </c>
      <c r="D3636" t="inlineStr">
        <is>
          <t>Media file</t>
        </is>
      </c>
      <c r="E3636" t="inlineStr">
        <is>
          <t>player #1:WT\test\c50m2.mp4</t>
        </is>
      </c>
      <c r="F3636" t="n">
        <v>-6.567</v>
      </c>
      <c r="G3636" t="n">
        <v>560.6660000000001</v>
      </c>
      <c r="H3636" t="n">
        <v>610.699</v>
      </c>
      <c r="I3636" t="n">
        <v>30</v>
      </c>
      <c r="J3636" t="inlineStr">
        <is>
          <t xml:space="preserve"> WT</t>
        </is>
      </c>
      <c r="K3636" t="inlineStr">
        <is>
          <t>Male</t>
        </is>
      </c>
      <c r="L3636" t="inlineStr">
        <is>
          <t>No focal subject</t>
        </is>
      </c>
      <c r="M3636" t="n">
        <v>77.804</v>
      </c>
      <c r="N3636" t="inlineStr">
        <is>
          <t>Explore_N</t>
        </is>
      </c>
      <c r="O3636" t="inlineStr">
        <is>
          <t>Novelty</t>
        </is>
      </c>
      <c r="P3636" t="inlineStr">
        <is>
          <t>STATE</t>
        </is>
      </c>
      <c r="Q3636" t="n">
        <v>487.999</v>
      </c>
      <c r="R3636" t="n">
        <v>489.666</v>
      </c>
      <c r="S3636" t="n">
        <v>1.667</v>
      </c>
      <c r="T3636" t="inlineStr">
        <is>
          <t>WT\test\c50m2.mp4</t>
        </is>
      </c>
      <c r="U3636" t="n">
        <v>14833</v>
      </c>
      <c r="V3636" t="n">
        <v>14883</v>
      </c>
      <c r="W3636" t="n">
        <v/>
      </c>
      <c r="X3636" t="n">
        <v/>
      </c>
      <c r="Y3636" t="n">
        <v/>
      </c>
      <c r="Z3636" t="n">
        <v/>
      </c>
      <c r="AA3636">
        <f>SUMIFS($S$2:S3636,$A$2:A3636,A3636,$N$2:N3636,"Explore*")</f>
        <v/>
      </c>
      <c r="AB3636">
        <f>IF(AND(LEFT(N3636,7)="Explore",(AA3636-IF(LEFT(N3636,7)="Explore",S3636,0))&lt;10),"SI","NO")</f>
        <v/>
      </c>
    </row>
    <row r="3637">
      <c r="A3637" t="inlineStr">
        <is>
          <t>c50m2_test</t>
        </is>
      </c>
      <c r="B3637" t="inlineStr">
        <is>
          <t>2026-02-18 11:45:36.249</t>
        </is>
      </c>
      <c r="C3637" t="n">
        <v/>
      </c>
      <c r="D3637" t="inlineStr">
        <is>
          <t>Media file</t>
        </is>
      </c>
      <c r="E3637" t="inlineStr">
        <is>
          <t>player #1:WT\test\c50m2.mp4</t>
        </is>
      </c>
      <c r="F3637" t="n">
        <v>-6.567</v>
      </c>
      <c r="G3637" t="n">
        <v>560.6660000000001</v>
      </c>
      <c r="H3637" t="n">
        <v>610.699</v>
      </c>
      <c r="I3637" t="n">
        <v>30</v>
      </c>
      <c r="J3637" t="inlineStr">
        <is>
          <t xml:space="preserve"> WT</t>
        </is>
      </c>
      <c r="K3637" t="inlineStr">
        <is>
          <t>Male</t>
        </is>
      </c>
      <c r="L3637" t="inlineStr">
        <is>
          <t>No focal subject</t>
        </is>
      </c>
      <c r="M3637" t="n">
        <v>77.804</v>
      </c>
      <c r="N3637" t="inlineStr">
        <is>
          <t>Explore_N</t>
        </is>
      </c>
      <c r="O3637" t="inlineStr">
        <is>
          <t>Novelty</t>
        </is>
      </c>
      <c r="P3637" t="inlineStr">
        <is>
          <t>STATE</t>
        </is>
      </c>
      <c r="Q3637" t="n">
        <v>491.566</v>
      </c>
      <c r="R3637" t="n">
        <v>492.532</v>
      </c>
      <c r="S3637" t="n">
        <v>0.966</v>
      </c>
      <c r="T3637" t="inlineStr">
        <is>
          <t>WT\test\c50m2.mp4</t>
        </is>
      </c>
      <c r="U3637" t="n">
        <v>14940</v>
      </c>
      <c r="V3637" t="n">
        <v>14969</v>
      </c>
      <c r="W3637" t="n">
        <v/>
      </c>
      <c r="X3637" t="n">
        <v/>
      </c>
      <c r="Y3637" t="n">
        <v/>
      </c>
      <c r="Z3637" t="n">
        <v/>
      </c>
      <c r="AA3637">
        <f>SUMIFS($S$2:S3637,$A$2:A3637,A3637,$N$2:N3637,"Explore*")</f>
        <v/>
      </c>
      <c r="AB3637">
        <f>IF(AND(LEFT(N3637,7)="Explore",(AA3637-IF(LEFT(N3637,7)="Explore",S3637,0))&lt;10),"SI","NO")</f>
        <v/>
      </c>
    </row>
    <row r="3638">
      <c r="A3638" t="inlineStr">
        <is>
          <t>c50m2_test</t>
        </is>
      </c>
      <c r="B3638" t="inlineStr">
        <is>
          <t>2026-02-18 11:45:36.249</t>
        </is>
      </c>
      <c r="C3638" t="n">
        <v/>
      </c>
      <c r="D3638" t="inlineStr">
        <is>
          <t>Media file</t>
        </is>
      </c>
      <c r="E3638" t="inlineStr">
        <is>
          <t>player #1:WT\test\c50m2.mp4</t>
        </is>
      </c>
      <c r="F3638" t="n">
        <v>-6.567</v>
      </c>
      <c r="G3638" t="n">
        <v>560.6660000000001</v>
      </c>
      <c r="H3638" t="n">
        <v>610.699</v>
      </c>
      <c r="I3638" t="n">
        <v>30</v>
      </c>
      <c r="J3638" t="inlineStr">
        <is>
          <t xml:space="preserve"> WT</t>
        </is>
      </c>
      <c r="K3638" t="inlineStr">
        <is>
          <t>Male</t>
        </is>
      </c>
      <c r="L3638" t="inlineStr">
        <is>
          <t>No focal subject</t>
        </is>
      </c>
      <c r="M3638" t="n">
        <v>77.804</v>
      </c>
      <c r="N3638" t="inlineStr">
        <is>
          <t>Explore_N</t>
        </is>
      </c>
      <c r="O3638" t="inlineStr">
        <is>
          <t>Novelty</t>
        </is>
      </c>
      <c r="P3638" t="inlineStr">
        <is>
          <t>STATE</t>
        </is>
      </c>
      <c r="Q3638" t="n">
        <v>493.699</v>
      </c>
      <c r="R3638" t="n">
        <v>495.099</v>
      </c>
      <c r="S3638" t="n">
        <v>1.4</v>
      </c>
      <c r="T3638" t="inlineStr">
        <is>
          <t>WT\test\c50m2.mp4</t>
        </is>
      </c>
      <c r="U3638" t="n">
        <v>15004</v>
      </c>
      <c r="V3638" t="n">
        <v>15046</v>
      </c>
      <c r="W3638" t="n">
        <v/>
      </c>
      <c r="X3638" t="n">
        <v/>
      </c>
      <c r="Y3638" t="n">
        <v/>
      </c>
      <c r="Z3638" t="n">
        <v/>
      </c>
      <c r="AA3638">
        <f>SUMIFS($S$2:S3638,$A$2:A3638,A3638,$N$2:N3638,"Explore*")</f>
        <v/>
      </c>
      <c r="AB3638">
        <f>IF(AND(LEFT(N3638,7)="Explore",(AA3638-IF(LEFT(N3638,7)="Explore",S3638,0))&lt;10),"SI","NO")</f>
        <v/>
      </c>
    </row>
    <row r="3639">
      <c r="A3639" t="inlineStr">
        <is>
          <t>c50m2_test</t>
        </is>
      </c>
      <c r="B3639" t="inlineStr">
        <is>
          <t>2026-02-18 11:45:36.249</t>
        </is>
      </c>
      <c r="C3639" t="n">
        <v/>
      </c>
      <c r="D3639" t="inlineStr">
        <is>
          <t>Media file</t>
        </is>
      </c>
      <c r="E3639" t="inlineStr">
        <is>
          <t>player #1:WT\test\c50m2.mp4</t>
        </is>
      </c>
      <c r="F3639" t="n">
        <v>-6.567</v>
      </c>
      <c r="G3639" t="n">
        <v>560.6660000000001</v>
      </c>
      <c r="H3639" t="n">
        <v>610.699</v>
      </c>
      <c r="I3639" t="n">
        <v>30</v>
      </c>
      <c r="J3639" t="inlineStr">
        <is>
          <t xml:space="preserve"> WT</t>
        </is>
      </c>
      <c r="K3639" t="inlineStr">
        <is>
          <t>Male</t>
        </is>
      </c>
      <c r="L3639" t="inlineStr">
        <is>
          <t>No focal subject</t>
        </is>
      </c>
      <c r="M3639" t="n">
        <v>77.804</v>
      </c>
      <c r="N3639" t="inlineStr">
        <is>
          <t>Explore_F</t>
        </is>
      </c>
      <c r="O3639" t="inlineStr">
        <is>
          <t>Familiar</t>
        </is>
      </c>
      <c r="P3639" t="inlineStr">
        <is>
          <t>STATE</t>
        </is>
      </c>
      <c r="Q3639" t="n">
        <v>496.466</v>
      </c>
      <c r="R3639" t="n">
        <v>497.566</v>
      </c>
      <c r="S3639" t="n">
        <v>1.1</v>
      </c>
      <c r="T3639" t="inlineStr">
        <is>
          <t>WT\test\c50m2.mp4</t>
        </is>
      </c>
      <c r="U3639" t="n">
        <v>15087</v>
      </c>
      <c r="V3639" t="n">
        <v>15120</v>
      </c>
      <c r="W3639" t="n">
        <v/>
      </c>
      <c r="X3639" t="n">
        <v/>
      </c>
      <c r="Y3639" t="n">
        <v/>
      </c>
      <c r="Z3639" t="n">
        <v/>
      </c>
      <c r="AA3639">
        <f>SUMIFS($S$2:S3639,$A$2:A3639,A3639,$N$2:N3639,"Explore*")</f>
        <v/>
      </c>
      <c r="AB3639">
        <f>IF(AND(LEFT(N3639,7)="Explore",(AA3639-IF(LEFT(N3639,7)="Explore",S3639,0))&lt;10),"SI","NO")</f>
        <v/>
      </c>
    </row>
    <row r="3640">
      <c r="A3640" t="inlineStr">
        <is>
          <t>c50m2_test</t>
        </is>
      </c>
      <c r="B3640" t="inlineStr">
        <is>
          <t>2026-02-18 11:45:36.249</t>
        </is>
      </c>
      <c r="C3640" t="n">
        <v/>
      </c>
      <c r="D3640" t="inlineStr">
        <is>
          <t>Media file</t>
        </is>
      </c>
      <c r="E3640" t="inlineStr">
        <is>
          <t>player #1:WT\test\c50m2.mp4</t>
        </is>
      </c>
      <c r="F3640" t="n">
        <v>-6.567</v>
      </c>
      <c r="G3640" t="n">
        <v>560.6660000000001</v>
      </c>
      <c r="H3640" t="n">
        <v>610.699</v>
      </c>
      <c r="I3640" t="n">
        <v>30</v>
      </c>
      <c r="J3640" t="inlineStr">
        <is>
          <t xml:space="preserve"> WT</t>
        </is>
      </c>
      <c r="K3640" t="inlineStr">
        <is>
          <t>Male</t>
        </is>
      </c>
      <c r="L3640" t="inlineStr">
        <is>
          <t>No focal subject</t>
        </is>
      </c>
      <c r="M3640" t="n">
        <v>77.804</v>
      </c>
      <c r="N3640" t="inlineStr">
        <is>
          <t>Explore_N</t>
        </is>
      </c>
      <c r="O3640" t="inlineStr">
        <is>
          <t>Novelty</t>
        </is>
      </c>
      <c r="P3640" t="inlineStr">
        <is>
          <t>STATE</t>
        </is>
      </c>
      <c r="Q3640" t="n">
        <v>508.032</v>
      </c>
      <c r="R3640" t="n">
        <v>509.966</v>
      </c>
      <c r="S3640" t="n">
        <v>1.934</v>
      </c>
      <c r="T3640" t="inlineStr">
        <is>
          <t>WT\test\c50m2.mp4</t>
        </is>
      </c>
      <c r="U3640" t="n">
        <v>15434</v>
      </c>
      <c r="V3640" t="n">
        <v>15492</v>
      </c>
      <c r="W3640" t="n">
        <v/>
      </c>
      <c r="X3640" t="n">
        <v/>
      </c>
      <c r="Y3640" t="n">
        <v/>
      </c>
      <c r="Z3640" t="n">
        <v/>
      </c>
      <c r="AA3640">
        <f>SUMIFS($S$2:S3640,$A$2:A3640,A3640,$N$2:N3640,"Explore*")</f>
        <v/>
      </c>
      <c r="AB3640">
        <f>IF(AND(LEFT(N3640,7)="Explore",(AA3640-IF(LEFT(N3640,7)="Explore",S3640,0))&lt;10),"SI","NO")</f>
        <v/>
      </c>
    </row>
    <row r="3641">
      <c r="A3641" t="inlineStr">
        <is>
          <t>c50m2_test</t>
        </is>
      </c>
      <c r="B3641" t="inlineStr">
        <is>
          <t>2026-02-18 11:45:36.249</t>
        </is>
      </c>
      <c r="C3641" t="n">
        <v/>
      </c>
      <c r="D3641" t="inlineStr">
        <is>
          <t>Media file</t>
        </is>
      </c>
      <c r="E3641" t="inlineStr">
        <is>
          <t>player #1:WT\test\c50m2.mp4</t>
        </is>
      </c>
      <c r="F3641" t="n">
        <v>-6.567</v>
      </c>
      <c r="G3641" t="n">
        <v>560.6660000000001</v>
      </c>
      <c r="H3641" t="n">
        <v>610.699</v>
      </c>
      <c r="I3641" t="n">
        <v>30</v>
      </c>
      <c r="J3641" t="inlineStr">
        <is>
          <t xml:space="preserve"> WT</t>
        </is>
      </c>
      <c r="K3641" t="inlineStr">
        <is>
          <t>Male</t>
        </is>
      </c>
      <c r="L3641" t="inlineStr">
        <is>
          <t>No focal subject</t>
        </is>
      </c>
      <c r="M3641" t="n">
        <v>77.804</v>
      </c>
      <c r="N3641" t="inlineStr">
        <is>
          <t>Explore_N</t>
        </is>
      </c>
      <c r="O3641" t="inlineStr">
        <is>
          <t>Novelty</t>
        </is>
      </c>
      <c r="P3641" t="inlineStr">
        <is>
          <t>STATE</t>
        </is>
      </c>
      <c r="Q3641" t="n">
        <v>510.966</v>
      </c>
      <c r="R3641" t="n">
        <v>511.599</v>
      </c>
      <c r="S3641" t="n">
        <v>0.633</v>
      </c>
      <c r="T3641" t="inlineStr">
        <is>
          <t>WT\test\c50m2.mp4</t>
        </is>
      </c>
      <c r="U3641" t="n">
        <v>15522</v>
      </c>
      <c r="V3641" t="n">
        <v>15541</v>
      </c>
      <c r="W3641" t="n">
        <v/>
      </c>
      <c r="X3641" t="n">
        <v/>
      </c>
      <c r="Y3641" t="n">
        <v/>
      </c>
      <c r="Z3641" t="n">
        <v/>
      </c>
      <c r="AA3641">
        <f>SUMIFS($S$2:S3641,$A$2:A3641,A3641,$N$2:N3641,"Explore*")</f>
        <v/>
      </c>
      <c r="AB3641">
        <f>IF(AND(LEFT(N3641,7)="Explore",(AA3641-IF(LEFT(N3641,7)="Explore",S3641,0))&lt;10),"SI","NO")</f>
        <v/>
      </c>
    </row>
    <row r="3642">
      <c r="A3642" t="inlineStr">
        <is>
          <t>c50m2_test</t>
        </is>
      </c>
      <c r="B3642" t="inlineStr">
        <is>
          <t>2026-02-18 11:45:36.249</t>
        </is>
      </c>
      <c r="C3642" t="n">
        <v/>
      </c>
      <c r="D3642" t="inlineStr">
        <is>
          <t>Media file</t>
        </is>
      </c>
      <c r="E3642" t="inlineStr">
        <is>
          <t>player #1:WT\test\c50m2.mp4</t>
        </is>
      </c>
      <c r="F3642" t="n">
        <v>-6.567</v>
      </c>
      <c r="G3642" t="n">
        <v>560.6660000000001</v>
      </c>
      <c r="H3642" t="n">
        <v>610.699</v>
      </c>
      <c r="I3642" t="n">
        <v>30</v>
      </c>
      <c r="J3642" t="inlineStr">
        <is>
          <t xml:space="preserve"> WT</t>
        </is>
      </c>
      <c r="K3642" t="inlineStr">
        <is>
          <t>Male</t>
        </is>
      </c>
      <c r="L3642" t="inlineStr">
        <is>
          <t>No focal subject</t>
        </is>
      </c>
      <c r="M3642" t="n">
        <v>77.804</v>
      </c>
      <c r="N3642" t="inlineStr">
        <is>
          <t>Explore_N</t>
        </is>
      </c>
      <c r="O3642" t="inlineStr">
        <is>
          <t>Novelty</t>
        </is>
      </c>
      <c r="P3642" t="inlineStr">
        <is>
          <t>STATE</t>
        </is>
      </c>
      <c r="Q3642" t="n">
        <v>513.532</v>
      </c>
      <c r="R3642" t="n">
        <v>513.966</v>
      </c>
      <c r="S3642" t="n">
        <v>0.434</v>
      </c>
      <c r="T3642" t="inlineStr">
        <is>
          <t>WT\test\c50m2.mp4</t>
        </is>
      </c>
      <c r="U3642" t="n">
        <v>15599</v>
      </c>
      <c r="V3642" t="n">
        <v>15612</v>
      </c>
      <c r="W3642" t="n">
        <v/>
      </c>
      <c r="X3642" t="n">
        <v/>
      </c>
      <c r="Y3642" t="n">
        <v/>
      </c>
      <c r="Z3642" t="n">
        <v/>
      </c>
      <c r="AA3642">
        <f>SUMIFS($S$2:S3642,$A$2:A3642,A3642,$N$2:N3642,"Explore*")</f>
        <v/>
      </c>
      <c r="AB3642">
        <f>IF(AND(LEFT(N3642,7)="Explore",(AA3642-IF(LEFT(N3642,7)="Explore",S3642,0))&lt;10),"SI","NO")</f>
        <v/>
      </c>
    </row>
    <row r="3643">
      <c r="A3643" t="inlineStr">
        <is>
          <t>c50m2_test</t>
        </is>
      </c>
      <c r="B3643" t="inlineStr">
        <is>
          <t>2026-02-18 11:45:36.249</t>
        </is>
      </c>
      <c r="C3643" t="n">
        <v/>
      </c>
      <c r="D3643" t="inlineStr">
        <is>
          <t>Media file</t>
        </is>
      </c>
      <c r="E3643" t="inlineStr">
        <is>
          <t>player #1:WT\test\c50m2.mp4</t>
        </is>
      </c>
      <c r="F3643" t="n">
        <v>-6.567</v>
      </c>
      <c r="G3643" t="n">
        <v>560.6660000000001</v>
      </c>
      <c r="H3643" t="n">
        <v>610.699</v>
      </c>
      <c r="I3643" t="n">
        <v>30</v>
      </c>
      <c r="J3643" t="inlineStr">
        <is>
          <t xml:space="preserve"> WT</t>
        </is>
      </c>
      <c r="K3643" t="inlineStr">
        <is>
          <t>Male</t>
        </is>
      </c>
      <c r="L3643" t="inlineStr">
        <is>
          <t>No focal subject</t>
        </is>
      </c>
      <c r="M3643" t="n">
        <v>77.804</v>
      </c>
      <c r="N3643" t="inlineStr">
        <is>
          <t>Explore_N</t>
        </is>
      </c>
      <c r="O3643" t="inlineStr">
        <is>
          <t>Novelty</t>
        </is>
      </c>
      <c r="P3643" t="inlineStr">
        <is>
          <t>STATE</t>
        </is>
      </c>
      <c r="Q3643" t="n">
        <v>514.732</v>
      </c>
      <c r="R3643" t="n">
        <v>515.299</v>
      </c>
      <c r="S3643" t="n">
        <v>0.5669999999999999</v>
      </c>
      <c r="T3643" t="inlineStr">
        <is>
          <t>WT\test\c50m2.mp4</t>
        </is>
      </c>
      <c r="U3643" t="n">
        <v>15635</v>
      </c>
      <c r="V3643" t="n">
        <v>15652</v>
      </c>
      <c r="W3643" t="n">
        <v/>
      </c>
      <c r="X3643" t="n">
        <v/>
      </c>
      <c r="Y3643" t="n">
        <v/>
      </c>
      <c r="Z3643" t="n">
        <v/>
      </c>
      <c r="AA3643">
        <f>SUMIFS($S$2:S3643,$A$2:A3643,A3643,$N$2:N3643,"Explore*")</f>
        <v/>
      </c>
      <c r="AB3643">
        <f>IF(AND(LEFT(N3643,7)="Explore",(AA3643-IF(LEFT(N3643,7)="Explore",S3643,0))&lt;10),"SI","NO")</f>
        <v/>
      </c>
    </row>
    <row r="3644">
      <c r="A3644" t="inlineStr">
        <is>
          <t>c50m2_test</t>
        </is>
      </c>
      <c r="B3644" t="inlineStr">
        <is>
          <t>2026-02-18 11:45:36.249</t>
        </is>
      </c>
      <c r="C3644" t="n">
        <v/>
      </c>
      <c r="D3644" t="inlineStr">
        <is>
          <t>Media file</t>
        </is>
      </c>
      <c r="E3644" t="inlineStr">
        <is>
          <t>player #1:WT\test\c50m2.mp4</t>
        </is>
      </c>
      <c r="F3644" t="n">
        <v>-6.567</v>
      </c>
      <c r="G3644" t="n">
        <v>560.6660000000001</v>
      </c>
      <c r="H3644" t="n">
        <v>610.699</v>
      </c>
      <c r="I3644" t="n">
        <v>30</v>
      </c>
      <c r="J3644" t="inlineStr">
        <is>
          <t xml:space="preserve"> WT</t>
        </is>
      </c>
      <c r="K3644" t="inlineStr">
        <is>
          <t>Male</t>
        </is>
      </c>
      <c r="L3644" t="inlineStr">
        <is>
          <t>No focal subject</t>
        </is>
      </c>
      <c r="M3644" t="n">
        <v>77.804</v>
      </c>
      <c r="N3644" t="inlineStr">
        <is>
          <t>Explore_N</t>
        </is>
      </c>
      <c r="O3644" t="inlineStr">
        <is>
          <t>Novelty</t>
        </is>
      </c>
      <c r="P3644" t="inlineStr">
        <is>
          <t>STATE</t>
        </is>
      </c>
      <c r="Q3644" t="n">
        <v>519.066</v>
      </c>
      <c r="R3644" t="n">
        <v>520.732</v>
      </c>
      <c r="S3644" t="n">
        <v>1.666</v>
      </c>
      <c r="T3644" t="inlineStr">
        <is>
          <t>WT\test\c50m2.mp4</t>
        </is>
      </c>
      <c r="U3644" t="n">
        <v>15765</v>
      </c>
      <c r="V3644" t="n">
        <v>15815</v>
      </c>
      <c r="W3644" t="n">
        <v/>
      </c>
      <c r="X3644" t="n">
        <v/>
      </c>
      <c r="Y3644" t="n">
        <v/>
      </c>
      <c r="Z3644" t="n">
        <v/>
      </c>
      <c r="AA3644">
        <f>SUMIFS($S$2:S3644,$A$2:A3644,A3644,$N$2:N3644,"Explore*")</f>
        <v/>
      </c>
      <c r="AB3644">
        <f>IF(AND(LEFT(N3644,7)="Explore",(AA3644-IF(LEFT(N3644,7)="Explore",S3644,0))&lt;10),"SI","NO")</f>
        <v/>
      </c>
    </row>
    <row r="3645">
      <c r="A3645" t="inlineStr">
        <is>
          <t>c50m2_test</t>
        </is>
      </c>
      <c r="B3645" t="inlineStr">
        <is>
          <t>2026-02-18 11:45:36.249</t>
        </is>
      </c>
      <c r="C3645" t="n">
        <v/>
      </c>
      <c r="D3645" t="inlineStr">
        <is>
          <t>Media file</t>
        </is>
      </c>
      <c r="E3645" t="inlineStr">
        <is>
          <t>player #1:WT\test\c50m2.mp4</t>
        </is>
      </c>
      <c r="F3645" t="n">
        <v>-6.567</v>
      </c>
      <c r="G3645" t="n">
        <v>560.6660000000001</v>
      </c>
      <c r="H3645" t="n">
        <v>610.699</v>
      </c>
      <c r="I3645" t="n">
        <v>30</v>
      </c>
      <c r="J3645" t="inlineStr">
        <is>
          <t xml:space="preserve"> WT</t>
        </is>
      </c>
      <c r="K3645" t="inlineStr">
        <is>
          <t>Male</t>
        </is>
      </c>
      <c r="L3645" t="inlineStr">
        <is>
          <t>No focal subject</t>
        </is>
      </c>
      <c r="M3645" t="n">
        <v>77.804</v>
      </c>
      <c r="N3645" t="inlineStr">
        <is>
          <t>Explore_F</t>
        </is>
      </c>
      <c r="O3645" t="inlineStr">
        <is>
          <t>Familiar</t>
        </is>
      </c>
      <c r="P3645" t="inlineStr">
        <is>
          <t>STATE</t>
        </is>
      </c>
      <c r="Q3645" t="n">
        <v>538.599</v>
      </c>
      <c r="R3645" t="n">
        <v>539.6660000000001</v>
      </c>
      <c r="S3645" t="n">
        <v>1.067</v>
      </c>
      <c r="T3645" t="inlineStr">
        <is>
          <t>WT\test\c50m2.mp4</t>
        </is>
      </c>
      <c r="U3645" t="n">
        <v>16351</v>
      </c>
      <c r="V3645" t="n">
        <v>16384</v>
      </c>
      <c r="W3645" t="n">
        <v/>
      </c>
      <c r="X3645" t="n">
        <v/>
      </c>
      <c r="Y3645" t="n">
        <v/>
      </c>
      <c r="Z3645" t="n">
        <v/>
      </c>
      <c r="AA3645">
        <f>SUMIFS($S$2:S3645,$A$2:A3645,A3645,$N$2:N3645,"Explore*")</f>
        <v/>
      </c>
      <c r="AB3645">
        <f>IF(AND(LEFT(N3645,7)="Explore",(AA3645-IF(LEFT(N3645,7)="Explore",S3645,0))&lt;10),"SI","NO")</f>
        <v/>
      </c>
    </row>
    <row r="3646">
      <c r="A3646" t="inlineStr">
        <is>
          <t>c50m2_test</t>
        </is>
      </c>
      <c r="B3646" t="inlineStr">
        <is>
          <t>2026-02-18 11:45:36.249</t>
        </is>
      </c>
      <c r="C3646" t="n">
        <v/>
      </c>
      <c r="D3646" t="inlineStr">
        <is>
          <t>Media file</t>
        </is>
      </c>
      <c r="E3646" t="inlineStr">
        <is>
          <t>player #1:WT\test\c50m2.mp4</t>
        </is>
      </c>
      <c r="F3646" t="n">
        <v>-6.567</v>
      </c>
      <c r="G3646" t="n">
        <v>560.6660000000001</v>
      </c>
      <c r="H3646" t="n">
        <v>610.699</v>
      </c>
      <c r="I3646" t="n">
        <v>30</v>
      </c>
      <c r="J3646" t="inlineStr">
        <is>
          <t xml:space="preserve"> WT</t>
        </is>
      </c>
      <c r="K3646" t="inlineStr">
        <is>
          <t>Male</t>
        </is>
      </c>
      <c r="L3646" t="inlineStr">
        <is>
          <t>No focal subject</t>
        </is>
      </c>
      <c r="M3646" t="n">
        <v>77.804</v>
      </c>
      <c r="N3646" t="inlineStr">
        <is>
          <t>Explore_N</t>
        </is>
      </c>
      <c r="O3646" t="inlineStr">
        <is>
          <t>Novelty</t>
        </is>
      </c>
      <c r="P3646" t="inlineStr">
        <is>
          <t>STATE</t>
        </is>
      </c>
      <c r="Q3646" t="n">
        <v>559.6319999999999</v>
      </c>
      <c r="R3646" t="n">
        <v>561.466</v>
      </c>
      <c r="S3646" t="n">
        <v>1.834</v>
      </c>
      <c r="T3646" t="inlineStr">
        <is>
          <t>WT\test\c50m2.mp4</t>
        </is>
      </c>
      <c r="U3646" t="n">
        <v>16982</v>
      </c>
      <c r="V3646" t="n">
        <v>17037</v>
      </c>
      <c r="W3646" t="n">
        <v/>
      </c>
      <c r="X3646" t="n">
        <v/>
      </c>
      <c r="Y3646" t="n">
        <v/>
      </c>
      <c r="Z3646" t="n">
        <v/>
      </c>
      <c r="AA3646">
        <f>SUMIFS($S$2:S3646,$A$2:A3646,A3646,$N$2:N3646,"Explore*")</f>
        <v/>
      </c>
      <c r="AB3646">
        <f>IF(AND(LEFT(N3646,7)="Explore",(AA3646-IF(LEFT(N3646,7)="Explore",S3646,0))&lt;10),"SI","NO")</f>
        <v/>
      </c>
    </row>
    <row r="3647">
      <c r="A3647" t="inlineStr">
        <is>
          <t>c50m2_test</t>
        </is>
      </c>
      <c r="B3647" t="inlineStr">
        <is>
          <t>2026-02-18 11:45:36.249</t>
        </is>
      </c>
      <c r="C3647" t="n">
        <v/>
      </c>
      <c r="D3647" t="inlineStr">
        <is>
          <t>Media file</t>
        </is>
      </c>
      <c r="E3647" t="inlineStr">
        <is>
          <t>player #1:WT\test\c50m2.mp4</t>
        </is>
      </c>
      <c r="F3647" t="n">
        <v>-6.567</v>
      </c>
      <c r="G3647" t="n">
        <v>560.6660000000001</v>
      </c>
      <c r="H3647" t="n">
        <v>610.699</v>
      </c>
      <c r="I3647" t="n">
        <v>30</v>
      </c>
      <c r="J3647" t="inlineStr">
        <is>
          <t xml:space="preserve"> WT</t>
        </is>
      </c>
      <c r="K3647" t="inlineStr">
        <is>
          <t>Male</t>
        </is>
      </c>
      <c r="L3647" t="inlineStr">
        <is>
          <t>No focal subject</t>
        </is>
      </c>
      <c r="M3647" t="n">
        <v>77.804</v>
      </c>
      <c r="N3647" t="inlineStr">
        <is>
          <t>Explore_N</t>
        </is>
      </c>
      <c r="O3647" t="inlineStr">
        <is>
          <t>Novelty</t>
        </is>
      </c>
      <c r="P3647" t="inlineStr">
        <is>
          <t>STATE</t>
        </is>
      </c>
      <c r="Q3647" t="n">
        <v>570.199</v>
      </c>
      <c r="R3647" t="n">
        <v>571.432</v>
      </c>
      <c r="S3647" t="n">
        <v>1.233</v>
      </c>
      <c r="T3647" t="inlineStr">
        <is>
          <t>WT\test\c50m2.mp4</t>
        </is>
      </c>
      <c r="U3647" t="n">
        <v>17299</v>
      </c>
      <c r="V3647" t="n">
        <v>17336</v>
      </c>
      <c r="W3647" t="n">
        <v/>
      </c>
      <c r="X3647" t="n">
        <v/>
      </c>
      <c r="Y3647" t="n">
        <v/>
      </c>
      <c r="Z3647" t="n">
        <v/>
      </c>
      <c r="AA3647">
        <f>SUMIFS($S$2:S3647,$A$2:A3647,A3647,$N$2:N3647,"Explore*")</f>
        <v/>
      </c>
      <c r="AB3647">
        <f>IF(AND(LEFT(N3647,7)="Explore",(AA3647-IF(LEFT(N3647,7)="Explore",S3647,0))&lt;10),"SI","NO")</f>
        <v/>
      </c>
    </row>
    <row r="3648">
      <c r="A3648" t="inlineStr">
        <is>
          <t>c50m3_test</t>
        </is>
      </c>
      <c r="B3648" t="inlineStr">
        <is>
          <t>2026-02-18 12:01:16.768</t>
        </is>
      </c>
      <c r="C3648" t="n">
        <v/>
      </c>
      <c r="D3648" t="inlineStr">
        <is>
          <t>Media file</t>
        </is>
      </c>
      <c r="E3648" t="inlineStr">
        <is>
          <t>player #1:WT\test\c50m3.mp4</t>
        </is>
      </c>
      <c r="F3648" t="n">
        <v>-5.667</v>
      </c>
      <c r="G3648" t="n">
        <v>565.766</v>
      </c>
      <c r="H3648" t="n">
        <v>618.266</v>
      </c>
      <c r="I3648" t="n">
        <v>30</v>
      </c>
      <c r="J3648" t="inlineStr">
        <is>
          <t xml:space="preserve"> WT</t>
        </is>
      </c>
      <c r="K3648" t="inlineStr">
        <is>
          <t>Male</t>
        </is>
      </c>
      <c r="L3648" t="inlineStr">
        <is>
          <t>No focal subject</t>
        </is>
      </c>
      <c r="M3648" t="n">
        <v>55.433</v>
      </c>
      <c r="N3648" t="inlineStr">
        <is>
          <t>Explore_F</t>
        </is>
      </c>
      <c r="O3648" t="inlineStr">
        <is>
          <t>Familiar</t>
        </is>
      </c>
      <c r="P3648" t="inlineStr">
        <is>
          <t>STATE</t>
        </is>
      </c>
      <c r="Q3648" t="n">
        <v>9.300000000000001</v>
      </c>
      <c r="R3648" t="n">
        <v>9.566000000000001</v>
      </c>
      <c r="S3648" t="n">
        <v>0.266</v>
      </c>
      <c r="T3648" t="inlineStr">
        <is>
          <t>WT\test\c50m3.mp4</t>
        </is>
      </c>
      <c r="U3648" t="n">
        <v>279</v>
      </c>
      <c r="V3648" t="n">
        <v>287</v>
      </c>
      <c r="W3648" t="n">
        <v/>
      </c>
      <c r="X3648" t="n">
        <v/>
      </c>
      <c r="Y3648" t="n">
        <v/>
      </c>
      <c r="Z3648" t="n">
        <v/>
      </c>
      <c r="AA3648">
        <f>SUMIFS($S$2:S3648,$A$2:A3648,A3648,$N$2:N3648,"Explore*")</f>
        <v/>
      </c>
      <c r="AB3648">
        <f>IF(AND(LEFT(N3648,7)="Explore",(AA3648-IF(LEFT(N3648,7)="Explore",S3648,0))&lt;10),"SI","NO")</f>
        <v/>
      </c>
    </row>
    <row r="3649">
      <c r="A3649" t="inlineStr">
        <is>
          <t>c50m3_test</t>
        </is>
      </c>
      <c r="B3649" t="inlineStr">
        <is>
          <t>2026-02-18 12:01:16.768</t>
        </is>
      </c>
      <c r="C3649" t="n">
        <v/>
      </c>
      <c r="D3649" t="inlineStr">
        <is>
          <t>Media file</t>
        </is>
      </c>
      <c r="E3649" t="inlineStr">
        <is>
          <t>player #1:WT\test\c50m3.mp4</t>
        </is>
      </c>
      <c r="F3649" t="n">
        <v>-5.667</v>
      </c>
      <c r="G3649" t="n">
        <v>565.766</v>
      </c>
      <c r="H3649" t="n">
        <v>618.266</v>
      </c>
      <c r="I3649" t="n">
        <v>30</v>
      </c>
      <c r="J3649" t="inlineStr">
        <is>
          <t xml:space="preserve"> WT</t>
        </is>
      </c>
      <c r="K3649" t="inlineStr">
        <is>
          <t>Male</t>
        </is>
      </c>
      <c r="L3649" t="inlineStr">
        <is>
          <t>No focal subject</t>
        </is>
      </c>
      <c r="M3649" t="n">
        <v>55.433</v>
      </c>
      <c r="N3649" t="inlineStr">
        <is>
          <t>Explore_F</t>
        </is>
      </c>
      <c r="O3649" t="inlineStr">
        <is>
          <t>Familiar</t>
        </is>
      </c>
      <c r="P3649" t="inlineStr">
        <is>
          <t>STATE</t>
        </is>
      </c>
      <c r="Q3649" t="n">
        <v>12.7</v>
      </c>
      <c r="R3649" t="n">
        <v>12.866</v>
      </c>
      <c r="S3649" t="n">
        <v>0.166</v>
      </c>
      <c r="T3649" t="inlineStr">
        <is>
          <t>WT\test\c50m3.mp4</t>
        </is>
      </c>
      <c r="U3649" t="n">
        <v>381</v>
      </c>
      <c r="V3649" t="n">
        <v>386</v>
      </c>
      <c r="W3649" t="n">
        <v/>
      </c>
      <c r="X3649" t="n">
        <v/>
      </c>
      <c r="Y3649" t="n">
        <v/>
      </c>
      <c r="Z3649" t="n">
        <v/>
      </c>
      <c r="AA3649">
        <f>SUMIFS($S$2:S3649,$A$2:A3649,A3649,$N$2:N3649,"Explore*")</f>
        <v/>
      </c>
      <c r="AB3649">
        <f>IF(AND(LEFT(N3649,7)="Explore",(AA3649-IF(LEFT(N3649,7)="Explore",S3649,0))&lt;10),"SI","NO")</f>
        <v/>
      </c>
    </row>
    <row r="3650">
      <c r="A3650" t="inlineStr">
        <is>
          <t>c50m3_test</t>
        </is>
      </c>
      <c r="B3650" t="inlineStr">
        <is>
          <t>2026-02-18 12:01:16.768</t>
        </is>
      </c>
      <c r="C3650" t="n">
        <v/>
      </c>
      <c r="D3650" t="inlineStr">
        <is>
          <t>Media file</t>
        </is>
      </c>
      <c r="E3650" t="inlineStr">
        <is>
          <t>player #1:WT\test\c50m3.mp4</t>
        </is>
      </c>
      <c r="F3650" t="n">
        <v>-5.667</v>
      </c>
      <c r="G3650" t="n">
        <v>565.766</v>
      </c>
      <c r="H3650" t="n">
        <v>618.266</v>
      </c>
      <c r="I3650" t="n">
        <v>30</v>
      </c>
      <c r="J3650" t="inlineStr">
        <is>
          <t xml:space="preserve"> WT</t>
        </is>
      </c>
      <c r="K3650" t="inlineStr">
        <is>
          <t>Male</t>
        </is>
      </c>
      <c r="L3650" t="inlineStr">
        <is>
          <t>No focal subject</t>
        </is>
      </c>
      <c r="M3650" t="n">
        <v>55.433</v>
      </c>
      <c r="N3650" t="inlineStr">
        <is>
          <t>Explore_F</t>
        </is>
      </c>
      <c r="O3650" t="inlineStr">
        <is>
          <t>Familiar</t>
        </is>
      </c>
      <c r="P3650" t="inlineStr">
        <is>
          <t>STATE</t>
        </is>
      </c>
      <c r="Q3650" t="n">
        <v>28.033</v>
      </c>
      <c r="R3650" t="n">
        <v>28.366</v>
      </c>
      <c r="S3650" t="n">
        <v>0.333</v>
      </c>
      <c r="T3650" t="inlineStr">
        <is>
          <t>WT\test\c50m3.mp4</t>
        </is>
      </c>
      <c r="U3650" t="n">
        <v>842</v>
      </c>
      <c r="V3650" t="n">
        <v>851</v>
      </c>
      <c r="W3650" t="n">
        <v/>
      </c>
      <c r="X3650" t="n">
        <v/>
      </c>
      <c r="Y3650" t="n">
        <v/>
      </c>
      <c r="Z3650" t="n">
        <v/>
      </c>
      <c r="AA3650">
        <f>SUMIFS($S$2:S3650,$A$2:A3650,A3650,$N$2:N3650,"Explore*")</f>
        <v/>
      </c>
      <c r="AB3650">
        <f>IF(AND(LEFT(N3650,7)="Explore",(AA3650-IF(LEFT(N3650,7)="Explore",S3650,0))&lt;10),"SI","NO")</f>
        <v/>
      </c>
    </row>
    <row r="3651">
      <c r="A3651" t="inlineStr">
        <is>
          <t>c50m3_test</t>
        </is>
      </c>
      <c r="B3651" t="inlineStr">
        <is>
          <t>2026-02-18 12:01:16.768</t>
        </is>
      </c>
      <c r="C3651" t="n">
        <v/>
      </c>
      <c r="D3651" t="inlineStr">
        <is>
          <t>Media file</t>
        </is>
      </c>
      <c r="E3651" t="inlineStr">
        <is>
          <t>player #1:WT\test\c50m3.mp4</t>
        </is>
      </c>
      <c r="F3651" t="n">
        <v>-5.667</v>
      </c>
      <c r="G3651" t="n">
        <v>565.766</v>
      </c>
      <c r="H3651" t="n">
        <v>618.266</v>
      </c>
      <c r="I3651" t="n">
        <v>30</v>
      </c>
      <c r="J3651" t="inlineStr">
        <is>
          <t xml:space="preserve"> WT</t>
        </is>
      </c>
      <c r="K3651" t="inlineStr">
        <is>
          <t>Male</t>
        </is>
      </c>
      <c r="L3651" t="inlineStr">
        <is>
          <t>No focal subject</t>
        </is>
      </c>
      <c r="M3651" t="n">
        <v>55.433</v>
      </c>
      <c r="N3651" t="inlineStr">
        <is>
          <t>Explore_N</t>
        </is>
      </c>
      <c r="O3651" t="inlineStr">
        <is>
          <t>Novelty</t>
        </is>
      </c>
      <c r="P3651" t="inlineStr">
        <is>
          <t>STATE</t>
        </is>
      </c>
      <c r="Q3651" t="n">
        <v>32.266</v>
      </c>
      <c r="R3651" t="n">
        <v>33.366</v>
      </c>
      <c r="S3651" t="n">
        <v>1.1</v>
      </c>
      <c r="T3651" t="inlineStr">
        <is>
          <t>WT\test\c50m3.mp4</t>
        </is>
      </c>
      <c r="U3651" t="n">
        <v>968</v>
      </c>
      <c r="V3651" t="n">
        <v>1001</v>
      </c>
      <c r="W3651" t="n">
        <v/>
      </c>
      <c r="X3651" t="n">
        <v/>
      </c>
      <c r="Y3651" t="n">
        <v/>
      </c>
      <c r="Z3651" t="n">
        <v/>
      </c>
      <c r="AA3651">
        <f>SUMIFS($S$2:S3651,$A$2:A3651,A3651,$N$2:N3651,"Explore*")</f>
        <v/>
      </c>
      <c r="AB3651">
        <f>IF(AND(LEFT(N3651,7)="Explore",(AA3651-IF(LEFT(N3651,7)="Explore",S3651,0))&lt;10),"SI","NO")</f>
        <v/>
      </c>
    </row>
    <row r="3652">
      <c r="A3652" t="inlineStr">
        <is>
          <t>c50m3_test</t>
        </is>
      </c>
      <c r="B3652" t="inlineStr">
        <is>
          <t>2026-02-18 12:01:16.768</t>
        </is>
      </c>
      <c r="C3652" t="n">
        <v/>
      </c>
      <c r="D3652" t="inlineStr">
        <is>
          <t>Media file</t>
        </is>
      </c>
      <c r="E3652" t="inlineStr">
        <is>
          <t>player #1:WT\test\c50m3.mp4</t>
        </is>
      </c>
      <c r="F3652" t="n">
        <v>-5.667</v>
      </c>
      <c r="G3652" t="n">
        <v>565.766</v>
      </c>
      <c r="H3652" t="n">
        <v>618.266</v>
      </c>
      <c r="I3652" t="n">
        <v>30</v>
      </c>
      <c r="J3652" t="inlineStr">
        <is>
          <t xml:space="preserve"> WT</t>
        </is>
      </c>
      <c r="K3652" t="inlineStr">
        <is>
          <t>Male</t>
        </is>
      </c>
      <c r="L3652" t="inlineStr">
        <is>
          <t>No focal subject</t>
        </is>
      </c>
      <c r="M3652" t="n">
        <v>55.433</v>
      </c>
      <c r="N3652" t="inlineStr">
        <is>
          <t>Explore_N</t>
        </is>
      </c>
      <c r="O3652" t="inlineStr">
        <is>
          <t>Novelty</t>
        </is>
      </c>
      <c r="P3652" t="inlineStr">
        <is>
          <t>STATE</t>
        </is>
      </c>
      <c r="Q3652" t="n">
        <v>37.733</v>
      </c>
      <c r="R3652" t="n">
        <v>37.966</v>
      </c>
      <c r="S3652" t="n">
        <v>0.233</v>
      </c>
      <c r="T3652" t="inlineStr">
        <is>
          <t>WT\test\c50m3.mp4</t>
        </is>
      </c>
      <c r="U3652" t="n">
        <v>1132</v>
      </c>
      <c r="V3652" t="n">
        <v>1139</v>
      </c>
      <c r="W3652" t="n">
        <v/>
      </c>
      <c r="X3652" t="n">
        <v/>
      </c>
      <c r="Y3652" t="n">
        <v/>
      </c>
      <c r="Z3652" t="n">
        <v/>
      </c>
      <c r="AA3652">
        <f>SUMIFS($S$2:S3652,$A$2:A3652,A3652,$N$2:N3652,"Explore*")</f>
        <v/>
      </c>
      <c r="AB3652">
        <f>IF(AND(LEFT(N3652,7)="Explore",(AA3652-IF(LEFT(N3652,7)="Explore",S3652,0))&lt;10),"SI","NO")</f>
        <v/>
      </c>
    </row>
    <row r="3653">
      <c r="A3653" t="inlineStr">
        <is>
          <t>c50m3_test</t>
        </is>
      </c>
      <c r="B3653" t="inlineStr">
        <is>
          <t>2026-02-18 12:01:16.768</t>
        </is>
      </c>
      <c r="C3653" t="n">
        <v/>
      </c>
      <c r="D3653" t="inlineStr">
        <is>
          <t>Media file</t>
        </is>
      </c>
      <c r="E3653" t="inlineStr">
        <is>
          <t>player #1:WT\test\c50m3.mp4</t>
        </is>
      </c>
      <c r="F3653" t="n">
        <v>-5.667</v>
      </c>
      <c r="G3653" t="n">
        <v>565.766</v>
      </c>
      <c r="H3653" t="n">
        <v>618.266</v>
      </c>
      <c r="I3653" t="n">
        <v>30</v>
      </c>
      <c r="J3653" t="inlineStr">
        <is>
          <t xml:space="preserve"> WT</t>
        </is>
      </c>
      <c r="K3653" t="inlineStr">
        <is>
          <t>Male</t>
        </is>
      </c>
      <c r="L3653" t="inlineStr">
        <is>
          <t>No focal subject</t>
        </is>
      </c>
      <c r="M3653" t="n">
        <v>55.433</v>
      </c>
      <c r="N3653" t="inlineStr">
        <is>
          <t>Explore_N</t>
        </is>
      </c>
      <c r="O3653" t="inlineStr">
        <is>
          <t>Novelty</t>
        </is>
      </c>
      <c r="P3653" t="inlineStr">
        <is>
          <t>STATE</t>
        </is>
      </c>
      <c r="Q3653" t="n">
        <v>50.166</v>
      </c>
      <c r="R3653" t="n">
        <v>50.966</v>
      </c>
      <c r="S3653" t="n">
        <v>0.8</v>
      </c>
      <c r="T3653" t="inlineStr">
        <is>
          <t>WT\test\c50m3.mp4</t>
        </is>
      </c>
      <c r="U3653" t="n">
        <v>1505</v>
      </c>
      <c r="V3653" t="n">
        <v>1529</v>
      </c>
      <c r="W3653" t="n">
        <v/>
      </c>
      <c r="X3653" t="n">
        <v/>
      </c>
      <c r="Y3653" t="n">
        <v/>
      </c>
      <c r="Z3653" t="n">
        <v/>
      </c>
      <c r="AA3653">
        <f>SUMIFS($S$2:S3653,$A$2:A3653,A3653,$N$2:N3653,"Explore*")</f>
        <v/>
      </c>
      <c r="AB3653">
        <f>IF(AND(LEFT(N3653,7)="Explore",(AA3653-IF(LEFT(N3653,7)="Explore",S3653,0))&lt;10),"SI","NO")</f>
        <v/>
      </c>
    </row>
    <row r="3654">
      <c r="A3654" t="inlineStr">
        <is>
          <t>c50m3_test</t>
        </is>
      </c>
      <c r="B3654" t="inlineStr">
        <is>
          <t>2026-02-18 12:01:16.768</t>
        </is>
      </c>
      <c r="C3654" t="n">
        <v/>
      </c>
      <c r="D3654" t="inlineStr">
        <is>
          <t>Media file</t>
        </is>
      </c>
      <c r="E3654" t="inlineStr">
        <is>
          <t>player #1:WT\test\c50m3.mp4</t>
        </is>
      </c>
      <c r="F3654" t="n">
        <v>-5.667</v>
      </c>
      <c r="G3654" t="n">
        <v>565.766</v>
      </c>
      <c r="H3654" t="n">
        <v>618.266</v>
      </c>
      <c r="I3654" t="n">
        <v>30</v>
      </c>
      <c r="J3654" t="inlineStr">
        <is>
          <t xml:space="preserve"> WT</t>
        </is>
      </c>
      <c r="K3654" t="inlineStr">
        <is>
          <t>Male</t>
        </is>
      </c>
      <c r="L3654" t="inlineStr">
        <is>
          <t>No focal subject</t>
        </is>
      </c>
      <c r="M3654" t="n">
        <v>55.433</v>
      </c>
      <c r="N3654" t="inlineStr">
        <is>
          <t>Explore_N</t>
        </is>
      </c>
      <c r="O3654" t="inlineStr">
        <is>
          <t>Novelty</t>
        </is>
      </c>
      <c r="P3654" t="inlineStr">
        <is>
          <t>STATE</t>
        </is>
      </c>
      <c r="Q3654" t="n">
        <v>57.333</v>
      </c>
      <c r="R3654" t="n">
        <v>58.266</v>
      </c>
      <c r="S3654" t="n">
        <v>0.9330000000000001</v>
      </c>
      <c r="T3654" t="inlineStr">
        <is>
          <t>WT\test\c50m3.mp4</t>
        </is>
      </c>
      <c r="U3654" t="n">
        <v>1720</v>
      </c>
      <c r="V3654" t="n">
        <v>1748</v>
      </c>
      <c r="W3654" t="n">
        <v/>
      </c>
      <c r="X3654" t="n">
        <v/>
      </c>
      <c r="Y3654" t="n">
        <v/>
      </c>
      <c r="Z3654" t="n">
        <v/>
      </c>
      <c r="AA3654">
        <f>SUMIFS($S$2:S3654,$A$2:A3654,A3654,$N$2:N3654,"Explore*")</f>
        <v/>
      </c>
      <c r="AB3654">
        <f>IF(AND(LEFT(N3654,7)="Explore",(AA3654-IF(LEFT(N3654,7)="Explore",S3654,0))&lt;10),"SI","NO")</f>
        <v/>
      </c>
    </row>
    <row r="3655">
      <c r="A3655" t="inlineStr">
        <is>
          <t>c50m3_test</t>
        </is>
      </c>
      <c r="B3655" t="inlineStr">
        <is>
          <t>2026-02-18 12:01:16.768</t>
        </is>
      </c>
      <c r="C3655" t="n">
        <v/>
      </c>
      <c r="D3655" t="inlineStr">
        <is>
          <t>Media file</t>
        </is>
      </c>
      <c r="E3655" t="inlineStr">
        <is>
          <t>player #1:WT\test\c50m3.mp4</t>
        </is>
      </c>
      <c r="F3655" t="n">
        <v>-5.667</v>
      </c>
      <c r="G3655" t="n">
        <v>565.766</v>
      </c>
      <c r="H3655" t="n">
        <v>618.266</v>
      </c>
      <c r="I3655" t="n">
        <v>30</v>
      </c>
      <c r="J3655" t="inlineStr">
        <is>
          <t xml:space="preserve"> WT</t>
        </is>
      </c>
      <c r="K3655" t="inlineStr">
        <is>
          <t>Male</t>
        </is>
      </c>
      <c r="L3655" t="inlineStr">
        <is>
          <t>No focal subject</t>
        </is>
      </c>
      <c r="M3655" t="n">
        <v>55.433</v>
      </c>
      <c r="N3655" t="inlineStr">
        <is>
          <t>Explore_F</t>
        </is>
      </c>
      <c r="O3655" t="inlineStr">
        <is>
          <t>Familiar</t>
        </is>
      </c>
      <c r="P3655" t="inlineStr">
        <is>
          <t>STATE</t>
        </is>
      </c>
      <c r="Q3655" t="n">
        <v>62.433</v>
      </c>
      <c r="R3655" t="n">
        <v>63.366</v>
      </c>
      <c r="S3655" t="n">
        <v>0.9330000000000001</v>
      </c>
      <c r="T3655" t="inlineStr">
        <is>
          <t>WT\test\c50m3.mp4</t>
        </is>
      </c>
      <c r="U3655" t="n">
        <v>1873</v>
      </c>
      <c r="V3655" t="n">
        <v>1901</v>
      </c>
      <c r="W3655" t="n">
        <v/>
      </c>
      <c r="X3655" t="n">
        <v/>
      </c>
      <c r="Y3655" t="n">
        <v/>
      </c>
      <c r="Z3655" t="n">
        <v/>
      </c>
      <c r="AA3655">
        <f>SUMIFS($S$2:S3655,$A$2:A3655,A3655,$N$2:N3655,"Explore*")</f>
        <v/>
      </c>
      <c r="AB3655">
        <f>IF(AND(LEFT(N3655,7)="Explore",(AA3655-IF(LEFT(N3655,7)="Explore",S3655,0))&lt;10),"SI","NO")</f>
        <v/>
      </c>
    </row>
    <row r="3656">
      <c r="A3656" t="inlineStr">
        <is>
          <t>c50m3_test</t>
        </is>
      </c>
      <c r="B3656" t="inlineStr">
        <is>
          <t>2026-02-18 12:01:16.768</t>
        </is>
      </c>
      <c r="C3656" t="n">
        <v/>
      </c>
      <c r="D3656" t="inlineStr">
        <is>
          <t>Media file</t>
        </is>
      </c>
      <c r="E3656" t="inlineStr">
        <is>
          <t>player #1:WT\test\c50m3.mp4</t>
        </is>
      </c>
      <c r="F3656" t="n">
        <v>-5.667</v>
      </c>
      <c r="G3656" t="n">
        <v>565.766</v>
      </c>
      <c r="H3656" t="n">
        <v>618.266</v>
      </c>
      <c r="I3656" t="n">
        <v>30</v>
      </c>
      <c r="J3656" t="inlineStr">
        <is>
          <t xml:space="preserve"> WT</t>
        </is>
      </c>
      <c r="K3656" t="inlineStr">
        <is>
          <t>Male</t>
        </is>
      </c>
      <c r="L3656" t="inlineStr">
        <is>
          <t>No focal subject</t>
        </is>
      </c>
      <c r="M3656" t="n">
        <v>55.433</v>
      </c>
      <c r="N3656" t="inlineStr">
        <is>
          <t>Explore_F</t>
        </is>
      </c>
      <c r="O3656" t="inlineStr">
        <is>
          <t>Familiar</t>
        </is>
      </c>
      <c r="P3656" t="inlineStr">
        <is>
          <t>STATE</t>
        </is>
      </c>
      <c r="Q3656" t="n">
        <v>82</v>
      </c>
      <c r="R3656" t="n">
        <v>82.40000000000001</v>
      </c>
      <c r="S3656" t="n">
        <v>0.4</v>
      </c>
      <c r="T3656" t="inlineStr">
        <is>
          <t>WT\test\c50m3.mp4</t>
        </is>
      </c>
      <c r="U3656" t="n">
        <v>2461</v>
      </c>
      <c r="V3656" t="n">
        <v>2471</v>
      </c>
      <c r="W3656" t="n">
        <v/>
      </c>
      <c r="X3656" t="n">
        <v/>
      </c>
      <c r="Y3656" t="n">
        <v/>
      </c>
      <c r="Z3656" t="n">
        <v/>
      </c>
      <c r="AA3656">
        <f>SUMIFS($S$2:S3656,$A$2:A3656,A3656,$N$2:N3656,"Explore*")</f>
        <v/>
      </c>
      <c r="AB3656">
        <f>IF(AND(LEFT(N3656,7)="Explore",(AA3656-IF(LEFT(N3656,7)="Explore",S3656,0))&lt;10),"SI","NO")</f>
        <v/>
      </c>
    </row>
    <row r="3657">
      <c r="A3657" t="inlineStr">
        <is>
          <t>c50m3_test</t>
        </is>
      </c>
      <c r="B3657" t="inlineStr">
        <is>
          <t>2026-02-18 12:01:16.768</t>
        </is>
      </c>
      <c r="C3657" t="n">
        <v/>
      </c>
      <c r="D3657" t="inlineStr">
        <is>
          <t>Media file</t>
        </is>
      </c>
      <c r="E3657" t="inlineStr">
        <is>
          <t>player #1:WT\test\c50m3.mp4</t>
        </is>
      </c>
      <c r="F3657" t="n">
        <v>-5.667</v>
      </c>
      <c r="G3657" t="n">
        <v>565.766</v>
      </c>
      <c r="H3657" t="n">
        <v>618.266</v>
      </c>
      <c r="I3657" t="n">
        <v>30</v>
      </c>
      <c r="J3657" t="inlineStr">
        <is>
          <t xml:space="preserve"> WT</t>
        </is>
      </c>
      <c r="K3657" t="inlineStr">
        <is>
          <t>Male</t>
        </is>
      </c>
      <c r="L3657" t="inlineStr">
        <is>
          <t>No focal subject</t>
        </is>
      </c>
      <c r="M3657" t="n">
        <v>55.433</v>
      </c>
      <c r="N3657" t="inlineStr">
        <is>
          <t>Explore_N</t>
        </is>
      </c>
      <c r="O3657" t="inlineStr">
        <is>
          <t>Novelty</t>
        </is>
      </c>
      <c r="P3657" t="inlineStr">
        <is>
          <t>STATE</t>
        </is>
      </c>
      <c r="Q3657" t="n">
        <v>94.366</v>
      </c>
      <c r="R3657" t="n">
        <v>94.733</v>
      </c>
      <c r="S3657" t="n">
        <v>0.367</v>
      </c>
      <c r="T3657" t="inlineStr">
        <is>
          <t>WT\test\c50m3.mp4</t>
        </is>
      </c>
      <c r="U3657" t="n">
        <v>2830</v>
      </c>
      <c r="V3657" t="n">
        <v>2841</v>
      </c>
      <c r="W3657" t="n">
        <v/>
      </c>
      <c r="X3657" t="n">
        <v/>
      </c>
      <c r="Y3657" t="n">
        <v/>
      </c>
      <c r="Z3657" t="n">
        <v/>
      </c>
      <c r="AA3657">
        <f>SUMIFS($S$2:S3657,$A$2:A3657,A3657,$N$2:N3657,"Explore*")</f>
        <v/>
      </c>
      <c r="AB3657">
        <f>IF(AND(LEFT(N3657,7)="Explore",(AA3657-IF(LEFT(N3657,7)="Explore",S3657,0))&lt;10),"SI","NO")</f>
        <v/>
      </c>
    </row>
    <row r="3658">
      <c r="A3658" t="inlineStr">
        <is>
          <t>c50m3_test</t>
        </is>
      </c>
      <c r="B3658" t="inlineStr">
        <is>
          <t>2026-02-18 12:01:16.768</t>
        </is>
      </c>
      <c r="C3658" t="n">
        <v/>
      </c>
      <c r="D3658" t="inlineStr">
        <is>
          <t>Media file</t>
        </is>
      </c>
      <c r="E3658" t="inlineStr">
        <is>
          <t>player #1:WT\test\c50m3.mp4</t>
        </is>
      </c>
      <c r="F3658" t="n">
        <v>-5.667</v>
      </c>
      <c r="G3658" t="n">
        <v>565.766</v>
      </c>
      <c r="H3658" t="n">
        <v>618.266</v>
      </c>
      <c r="I3658" t="n">
        <v>30</v>
      </c>
      <c r="J3658" t="inlineStr">
        <is>
          <t xml:space="preserve"> WT</t>
        </is>
      </c>
      <c r="K3658" t="inlineStr">
        <is>
          <t>Male</t>
        </is>
      </c>
      <c r="L3658" t="inlineStr">
        <is>
          <t>No focal subject</t>
        </is>
      </c>
      <c r="M3658" t="n">
        <v>55.433</v>
      </c>
      <c r="N3658" t="inlineStr">
        <is>
          <t>Explore_N</t>
        </is>
      </c>
      <c r="O3658" t="inlineStr">
        <is>
          <t>Novelty</t>
        </is>
      </c>
      <c r="P3658" t="inlineStr">
        <is>
          <t>STATE</t>
        </is>
      </c>
      <c r="Q3658" t="n">
        <v>96.866</v>
      </c>
      <c r="R3658" t="n">
        <v>97.366</v>
      </c>
      <c r="S3658" t="n">
        <v>0.5</v>
      </c>
      <c r="T3658" t="inlineStr">
        <is>
          <t>WT\test\c50m3.mp4</t>
        </is>
      </c>
      <c r="U3658" t="n">
        <v>2905</v>
      </c>
      <c r="V3658" t="n">
        <v>2920</v>
      </c>
      <c r="W3658" t="n">
        <v/>
      </c>
      <c r="X3658" t="n">
        <v/>
      </c>
      <c r="Y3658" t="n">
        <v/>
      </c>
      <c r="Z3658" t="n">
        <v/>
      </c>
      <c r="AA3658">
        <f>SUMIFS($S$2:S3658,$A$2:A3658,A3658,$N$2:N3658,"Explore*")</f>
        <v/>
      </c>
      <c r="AB3658">
        <f>IF(AND(LEFT(N3658,7)="Explore",(AA3658-IF(LEFT(N3658,7)="Explore",S3658,0))&lt;10),"SI","NO")</f>
        <v/>
      </c>
    </row>
    <row r="3659">
      <c r="A3659" t="inlineStr">
        <is>
          <t>c50m3_test</t>
        </is>
      </c>
      <c r="B3659" t="inlineStr">
        <is>
          <t>2026-02-18 12:01:16.768</t>
        </is>
      </c>
      <c r="C3659" t="n">
        <v/>
      </c>
      <c r="D3659" t="inlineStr">
        <is>
          <t>Media file</t>
        </is>
      </c>
      <c r="E3659" t="inlineStr">
        <is>
          <t>player #1:WT\test\c50m3.mp4</t>
        </is>
      </c>
      <c r="F3659" t="n">
        <v>-5.667</v>
      </c>
      <c r="G3659" t="n">
        <v>565.766</v>
      </c>
      <c r="H3659" t="n">
        <v>618.266</v>
      </c>
      <c r="I3659" t="n">
        <v>30</v>
      </c>
      <c r="J3659" t="inlineStr">
        <is>
          <t xml:space="preserve"> WT</t>
        </is>
      </c>
      <c r="K3659" t="inlineStr">
        <is>
          <t>Male</t>
        </is>
      </c>
      <c r="L3659" t="inlineStr">
        <is>
          <t>No focal subject</t>
        </is>
      </c>
      <c r="M3659" t="n">
        <v>55.433</v>
      </c>
      <c r="N3659" t="inlineStr">
        <is>
          <t>Explore_F</t>
        </is>
      </c>
      <c r="O3659" t="inlineStr">
        <is>
          <t>Familiar</t>
        </is>
      </c>
      <c r="P3659" t="inlineStr">
        <is>
          <t>STATE</t>
        </is>
      </c>
      <c r="Q3659" t="n">
        <v>103.233</v>
      </c>
      <c r="R3659" t="n">
        <v>103.8</v>
      </c>
      <c r="S3659" t="n">
        <v>0.5669999999999999</v>
      </c>
      <c r="T3659" t="inlineStr">
        <is>
          <t>WT\test\c50m3.mp4</t>
        </is>
      </c>
      <c r="U3659" t="n">
        <v>3096</v>
      </c>
      <c r="V3659" t="n">
        <v>3113</v>
      </c>
      <c r="W3659" t="n">
        <v/>
      </c>
      <c r="X3659" t="n">
        <v/>
      </c>
      <c r="Y3659" t="n">
        <v/>
      </c>
      <c r="Z3659" t="n">
        <v/>
      </c>
      <c r="AA3659">
        <f>SUMIFS($S$2:S3659,$A$2:A3659,A3659,$N$2:N3659,"Explore*")</f>
        <v/>
      </c>
      <c r="AB3659">
        <f>IF(AND(LEFT(N3659,7)="Explore",(AA3659-IF(LEFT(N3659,7)="Explore",S3659,0))&lt;10),"SI","NO")</f>
        <v/>
      </c>
    </row>
    <row r="3660">
      <c r="A3660" t="inlineStr">
        <is>
          <t>c50m3_test</t>
        </is>
      </c>
      <c r="B3660" t="inlineStr">
        <is>
          <t>2026-02-18 12:01:16.768</t>
        </is>
      </c>
      <c r="C3660" t="n">
        <v/>
      </c>
      <c r="D3660" t="inlineStr">
        <is>
          <t>Media file</t>
        </is>
      </c>
      <c r="E3660" t="inlineStr">
        <is>
          <t>player #1:WT\test\c50m3.mp4</t>
        </is>
      </c>
      <c r="F3660" t="n">
        <v>-5.667</v>
      </c>
      <c r="G3660" t="n">
        <v>565.766</v>
      </c>
      <c r="H3660" t="n">
        <v>618.266</v>
      </c>
      <c r="I3660" t="n">
        <v>30</v>
      </c>
      <c r="J3660" t="inlineStr">
        <is>
          <t xml:space="preserve"> WT</t>
        </is>
      </c>
      <c r="K3660" t="inlineStr">
        <is>
          <t>Male</t>
        </is>
      </c>
      <c r="L3660" t="inlineStr">
        <is>
          <t>No focal subject</t>
        </is>
      </c>
      <c r="M3660" t="n">
        <v>55.433</v>
      </c>
      <c r="N3660" t="inlineStr">
        <is>
          <t>Explore_N</t>
        </is>
      </c>
      <c r="O3660" t="inlineStr">
        <is>
          <t>Novelty</t>
        </is>
      </c>
      <c r="P3660" t="inlineStr">
        <is>
          <t>STATE</t>
        </is>
      </c>
      <c r="Q3660" t="n">
        <v>113.766</v>
      </c>
      <c r="R3660" t="n">
        <v>114.533</v>
      </c>
      <c r="S3660" t="n">
        <v>0.767</v>
      </c>
      <c r="T3660" t="inlineStr">
        <is>
          <t>WT\test\c50m3.mp4</t>
        </is>
      </c>
      <c r="U3660" t="n">
        <v>3412</v>
      </c>
      <c r="V3660" t="n">
        <v>3436</v>
      </c>
      <c r="W3660" t="n">
        <v/>
      </c>
      <c r="X3660" t="n">
        <v/>
      </c>
      <c r="Y3660" t="n">
        <v/>
      </c>
      <c r="Z3660" t="n">
        <v/>
      </c>
      <c r="AA3660">
        <f>SUMIFS($S$2:S3660,$A$2:A3660,A3660,$N$2:N3660,"Explore*")</f>
        <v/>
      </c>
      <c r="AB3660">
        <f>IF(AND(LEFT(N3660,7)="Explore",(AA3660-IF(LEFT(N3660,7)="Explore",S3660,0))&lt;10),"SI","NO")</f>
        <v/>
      </c>
    </row>
    <row r="3661">
      <c r="A3661" t="inlineStr">
        <is>
          <t>c50m3_test</t>
        </is>
      </c>
      <c r="B3661" t="inlineStr">
        <is>
          <t>2026-02-18 12:01:16.768</t>
        </is>
      </c>
      <c r="C3661" t="n">
        <v/>
      </c>
      <c r="D3661" t="inlineStr">
        <is>
          <t>Media file</t>
        </is>
      </c>
      <c r="E3661" t="inlineStr">
        <is>
          <t>player #1:WT\test\c50m3.mp4</t>
        </is>
      </c>
      <c r="F3661" t="n">
        <v>-5.667</v>
      </c>
      <c r="G3661" t="n">
        <v>565.766</v>
      </c>
      <c r="H3661" t="n">
        <v>618.266</v>
      </c>
      <c r="I3661" t="n">
        <v>30</v>
      </c>
      <c r="J3661" t="inlineStr">
        <is>
          <t xml:space="preserve"> WT</t>
        </is>
      </c>
      <c r="K3661" t="inlineStr">
        <is>
          <t>Male</t>
        </is>
      </c>
      <c r="L3661" t="inlineStr">
        <is>
          <t>No focal subject</t>
        </is>
      </c>
      <c r="M3661" t="n">
        <v>55.433</v>
      </c>
      <c r="N3661" t="inlineStr">
        <is>
          <t>Explore_N</t>
        </is>
      </c>
      <c r="O3661" t="inlineStr">
        <is>
          <t>Novelty</t>
        </is>
      </c>
      <c r="P3661" t="inlineStr">
        <is>
          <t>STATE</t>
        </is>
      </c>
      <c r="Q3661" t="n">
        <v>119.266</v>
      </c>
      <c r="R3661" t="n">
        <v>120.733</v>
      </c>
      <c r="S3661" t="n">
        <v>1.467</v>
      </c>
      <c r="T3661" t="inlineStr">
        <is>
          <t>WT\test\c50m3.mp4</t>
        </is>
      </c>
      <c r="U3661" t="n">
        <v>3577</v>
      </c>
      <c r="V3661" t="n">
        <v>3621</v>
      </c>
      <c r="W3661" t="n">
        <v/>
      </c>
      <c r="X3661" t="n">
        <v/>
      </c>
      <c r="Y3661" t="n">
        <v/>
      </c>
      <c r="Z3661" t="n">
        <v/>
      </c>
      <c r="AA3661">
        <f>SUMIFS($S$2:S3661,$A$2:A3661,A3661,$N$2:N3661,"Explore*")</f>
        <v/>
      </c>
      <c r="AB3661">
        <f>IF(AND(LEFT(N3661,7)="Explore",(AA3661-IF(LEFT(N3661,7)="Explore",S3661,0))&lt;10),"SI","NO")</f>
        <v/>
      </c>
    </row>
    <row r="3662">
      <c r="A3662" t="inlineStr">
        <is>
          <t>c50m3_test</t>
        </is>
      </c>
      <c r="B3662" t="inlineStr">
        <is>
          <t>2026-02-18 12:01:16.768</t>
        </is>
      </c>
      <c r="C3662" t="n">
        <v/>
      </c>
      <c r="D3662" t="inlineStr">
        <is>
          <t>Media file</t>
        </is>
      </c>
      <c r="E3662" t="inlineStr">
        <is>
          <t>player #1:WT\test\c50m3.mp4</t>
        </is>
      </c>
      <c r="F3662" t="n">
        <v>-5.667</v>
      </c>
      <c r="G3662" t="n">
        <v>565.766</v>
      </c>
      <c r="H3662" t="n">
        <v>618.266</v>
      </c>
      <c r="I3662" t="n">
        <v>30</v>
      </c>
      <c r="J3662" t="inlineStr">
        <is>
          <t xml:space="preserve"> WT</t>
        </is>
      </c>
      <c r="K3662" t="inlineStr">
        <is>
          <t>Male</t>
        </is>
      </c>
      <c r="L3662" t="inlineStr">
        <is>
          <t>No focal subject</t>
        </is>
      </c>
      <c r="M3662" t="n">
        <v>55.433</v>
      </c>
      <c r="N3662" t="inlineStr">
        <is>
          <t>Explore_F</t>
        </is>
      </c>
      <c r="O3662" t="inlineStr">
        <is>
          <t>Familiar</t>
        </is>
      </c>
      <c r="P3662" t="inlineStr">
        <is>
          <t>STATE</t>
        </is>
      </c>
      <c r="Q3662" t="n">
        <v>123.433</v>
      </c>
      <c r="R3662" t="n">
        <v>123.733</v>
      </c>
      <c r="S3662" t="n">
        <v>0.3</v>
      </c>
      <c r="T3662" t="inlineStr">
        <is>
          <t>WT\test\c50m3.mp4</t>
        </is>
      </c>
      <c r="U3662" t="n">
        <v>3702</v>
      </c>
      <c r="V3662" t="n">
        <v>3711</v>
      </c>
      <c r="W3662" t="n">
        <v/>
      </c>
      <c r="X3662" t="n">
        <v/>
      </c>
      <c r="Y3662" t="n">
        <v/>
      </c>
      <c r="Z3662" t="n">
        <v/>
      </c>
      <c r="AA3662">
        <f>SUMIFS($S$2:S3662,$A$2:A3662,A3662,$N$2:N3662,"Explore*")</f>
        <v/>
      </c>
      <c r="AB3662">
        <f>IF(AND(LEFT(N3662,7)="Explore",(AA3662-IF(LEFT(N3662,7)="Explore",S3662,0))&lt;10),"SI","NO")</f>
        <v/>
      </c>
    </row>
    <row r="3663">
      <c r="A3663" t="inlineStr">
        <is>
          <t>c50m3_test</t>
        </is>
      </c>
      <c r="B3663" t="inlineStr">
        <is>
          <t>2026-02-18 12:01:16.768</t>
        </is>
      </c>
      <c r="C3663" t="n">
        <v/>
      </c>
      <c r="D3663" t="inlineStr">
        <is>
          <t>Media file</t>
        </is>
      </c>
      <c r="E3663" t="inlineStr">
        <is>
          <t>player #1:WT\test\c50m3.mp4</t>
        </is>
      </c>
      <c r="F3663" t="n">
        <v>-5.667</v>
      </c>
      <c r="G3663" t="n">
        <v>565.766</v>
      </c>
      <c r="H3663" t="n">
        <v>618.266</v>
      </c>
      <c r="I3663" t="n">
        <v>30</v>
      </c>
      <c r="J3663" t="inlineStr">
        <is>
          <t xml:space="preserve"> WT</t>
        </is>
      </c>
      <c r="K3663" t="inlineStr">
        <is>
          <t>Male</t>
        </is>
      </c>
      <c r="L3663" t="inlineStr">
        <is>
          <t>No focal subject</t>
        </is>
      </c>
      <c r="M3663" t="n">
        <v>55.433</v>
      </c>
      <c r="N3663" t="inlineStr">
        <is>
          <t>Explore_F</t>
        </is>
      </c>
      <c r="O3663" t="inlineStr">
        <is>
          <t>Familiar</t>
        </is>
      </c>
      <c r="P3663" t="inlineStr">
        <is>
          <t>STATE</t>
        </is>
      </c>
      <c r="Q3663" t="n">
        <v>126.233</v>
      </c>
      <c r="R3663" t="n">
        <v>126.466</v>
      </c>
      <c r="S3663" t="n">
        <v>0.233</v>
      </c>
      <c r="T3663" t="inlineStr">
        <is>
          <t>WT\test\c50m3.mp4</t>
        </is>
      </c>
      <c r="U3663" t="n">
        <v>3786</v>
      </c>
      <c r="V3663" t="n">
        <v>3793</v>
      </c>
      <c r="W3663" t="n">
        <v/>
      </c>
      <c r="X3663" t="n">
        <v/>
      </c>
      <c r="Y3663" t="n">
        <v/>
      </c>
      <c r="Z3663" t="n">
        <v/>
      </c>
      <c r="AA3663">
        <f>SUMIFS($S$2:S3663,$A$2:A3663,A3663,$N$2:N3663,"Explore*")</f>
        <v/>
      </c>
      <c r="AB3663">
        <f>IF(AND(LEFT(N3663,7)="Explore",(AA3663-IF(LEFT(N3663,7)="Explore",S3663,0))&lt;10),"SI","NO")</f>
        <v/>
      </c>
    </row>
    <row r="3664">
      <c r="A3664" t="inlineStr">
        <is>
          <t>c50m3_test</t>
        </is>
      </c>
      <c r="B3664" t="inlineStr">
        <is>
          <t>2026-02-18 12:01:16.768</t>
        </is>
      </c>
      <c r="C3664" t="n">
        <v/>
      </c>
      <c r="D3664" t="inlineStr">
        <is>
          <t>Media file</t>
        </is>
      </c>
      <c r="E3664" t="inlineStr">
        <is>
          <t>player #1:WT\test\c50m3.mp4</t>
        </is>
      </c>
      <c r="F3664" t="n">
        <v>-5.667</v>
      </c>
      <c r="G3664" t="n">
        <v>565.766</v>
      </c>
      <c r="H3664" t="n">
        <v>618.266</v>
      </c>
      <c r="I3664" t="n">
        <v>30</v>
      </c>
      <c r="J3664" t="inlineStr">
        <is>
          <t xml:space="preserve"> WT</t>
        </is>
      </c>
      <c r="K3664" t="inlineStr">
        <is>
          <t>Male</t>
        </is>
      </c>
      <c r="L3664" t="inlineStr">
        <is>
          <t>No focal subject</t>
        </is>
      </c>
      <c r="M3664" t="n">
        <v>55.433</v>
      </c>
      <c r="N3664" t="inlineStr">
        <is>
          <t>Explore_N</t>
        </is>
      </c>
      <c r="O3664" t="inlineStr">
        <is>
          <t>Novelty</t>
        </is>
      </c>
      <c r="P3664" t="inlineStr">
        <is>
          <t>STATE</t>
        </is>
      </c>
      <c r="Q3664" t="n">
        <v>129.333</v>
      </c>
      <c r="R3664" t="n">
        <v>132.7</v>
      </c>
      <c r="S3664" t="n">
        <v>3.367</v>
      </c>
      <c r="T3664" t="inlineStr">
        <is>
          <t>WT\test\c50m3.mp4</t>
        </is>
      </c>
      <c r="U3664" t="n">
        <v>3879</v>
      </c>
      <c r="V3664" t="n">
        <v>3980</v>
      </c>
      <c r="W3664" t="n">
        <v/>
      </c>
      <c r="X3664" t="n">
        <v/>
      </c>
      <c r="Y3664" t="n">
        <v/>
      </c>
      <c r="Z3664" t="n">
        <v/>
      </c>
      <c r="AA3664">
        <f>SUMIFS($S$2:S3664,$A$2:A3664,A3664,$N$2:N3664,"Explore*")</f>
        <v/>
      </c>
      <c r="AB3664">
        <f>IF(AND(LEFT(N3664,7)="Explore",(AA3664-IF(LEFT(N3664,7)="Explore",S3664,0))&lt;10),"SI","NO")</f>
        <v/>
      </c>
    </row>
    <row r="3665">
      <c r="A3665" t="inlineStr">
        <is>
          <t>c50m3_test</t>
        </is>
      </c>
      <c r="B3665" t="inlineStr">
        <is>
          <t>2026-02-18 12:01:16.768</t>
        </is>
      </c>
      <c r="C3665" t="n">
        <v/>
      </c>
      <c r="D3665" t="inlineStr">
        <is>
          <t>Media file</t>
        </is>
      </c>
      <c r="E3665" t="inlineStr">
        <is>
          <t>player #1:WT\test\c50m3.mp4</t>
        </is>
      </c>
      <c r="F3665" t="n">
        <v>-5.667</v>
      </c>
      <c r="G3665" t="n">
        <v>565.766</v>
      </c>
      <c r="H3665" t="n">
        <v>618.266</v>
      </c>
      <c r="I3665" t="n">
        <v>30</v>
      </c>
      <c r="J3665" t="inlineStr">
        <is>
          <t xml:space="preserve"> WT</t>
        </is>
      </c>
      <c r="K3665" t="inlineStr">
        <is>
          <t>Male</t>
        </is>
      </c>
      <c r="L3665" t="inlineStr">
        <is>
          <t>No focal subject</t>
        </is>
      </c>
      <c r="M3665" t="n">
        <v>55.433</v>
      </c>
      <c r="N3665" t="inlineStr">
        <is>
          <t>Explore_F</t>
        </is>
      </c>
      <c r="O3665" t="inlineStr">
        <is>
          <t>Familiar</t>
        </is>
      </c>
      <c r="P3665" t="inlineStr">
        <is>
          <t>STATE</t>
        </is>
      </c>
      <c r="Q3665" t="n">
        <v>134.633</v>
      </c>
      <c r="R3665" t="n">
        <v>135.633</v>
      </c>
      <c r="S3665" t="n">
        <v>1</v>
      </c>
      <c r="T3665" t="inlineStr">
        <is>
          <t>WT\test\c50m3.mp4</t>
        </is>
      </c>
      <c r="U3665" t="n">
        <v>4038</v>
      </c>
      <c r="V3665" t="n">
        <v>4068</v>
      </c>
      <c r="W3665" t="n">
        <v/>
      </c>
      <c r="X3665" t="n">
        <v/>
      </c>
      <c r="Y3665" t="n">
        <v/>
      </c>
      <c r="Z3665" t="n">
        <v/>
      </c>
      <c r="AA3665">
        <f>SUMIFS($S$2:S3665,$A$2:A3665,A3665,$N$2:N3665,"Explore*")</f>
        <v/>
      </c>
      <c r="AB3665">
        <f>IF(AND(LEFT(N3665,7)="Explore",(AA3665-IF(LEFT(N3665,7)="Explore",S3665,0))&lt;10),"SI","NO")</f>
        <v/>
      </c>
    </row>
    <row r="3666">
      <c r="A3666" t="inlineStr">
        <is>
          <t>c50m3_test</t>
        </is>
      </c>
      <c r="B3666" t="inlineStr">
        <is>
          <t>2026-02-18 12:01:16.768</t>
        </is>
      </c>
      <c r="C3666" t="n">
        <v/>
      </c>
      <c r="D3666" t="inlineStr">
        <is>
          <t>Media file</t>
        </is>
      </c>
      <c r="E3666" t="inlineStr">
        <is>
          <t>player #1:WT\test\c50m3.mp4</t>
        </is>
      </c>
      <c r="F3666" t="n">
        <v>-5.667</v>
      </c>
      <c r="G3666" t="n">
        <v>565.766</v>
      </c>
      <c r="H3666" t="n">
        <v>618.266</v>
      </c>
      <c r="I3666" t="n">
        <v>30</v>
      </c>
      <c r="J3666" t="inlineStr">
        <is>
          <t xml:space="preserve"> WT</t>
        </is>
      </c>
      <c r="K3666" t="inlineStr">
        <is>
          <t>Male</t>
        </is>
      </c>
      <c r="L3666" t="inlineStr">
        <is>
          <t>No focal subject</t>
        </is>
      </c>
      <c r="M3666" t="n">
        <v>55.433</v>
      </c>
      <c r="N3666" t="inlineStr">
        <is>
          <t>Explore_N</t>
        </is>
      </c>
      <c r="O3666" t="inlineStr">
        <is>
          <t>Novelty</t>
        </is>
      </c>
      <c r="P3666" t="inlineStr">
        <is>
          <t>STATE</t>
        </is>
      </c>
      <c r="Q3666" t="n">
        <v>136.133</v>
      </c>
      <c r="R3666" t="n">
        <v>136.433</v>
      </c>
      <c r="S3666" t="n">
        <v>0.3</v>
      </c>
      <c r="T3666" t="inlineStr">
        <is>
          <t>WT\test\c50m3.mp4</t>
        </is>
      </c>
      <c r="U3666" t="n">
        <v>4083</v>
      </c>
      <c r="V3666" t="n">
        <v>4092</v>
      </c>
      <c r="W3666" t="n">
        <v/>
      </c>
      <c r="X3666" t="n">
        <v/>
      </c>
      <c r="Y3666" t="n">
        <v/>
      </c>
      <c r="Z3666" t="n">
        <v/>
      </c>
      <c r="AA3666">
        <f>SUMIFS($S$2:S3666,$A$2:A3666,A3666,$N$2:N3666,"Explore*")</f>
        <v/>
      </c>
      <c r="AB3666">
        <f>IF(AND(LEFT(N3666,7)="Explore",(AA3666-IF(LEFT(N3666,7)="Explore",S3666,0))&lt;10),"SI","NO")</f>
        <v/>
      </c>
    </row>
    <row r="3667">
      <c r="A3667" t="inlineStr">
        <is>
          <t>c50m3_test</t>
        </is>
      </c>
      <c r="B3667" t="inlineStr">
        <is>
          <t>2026-02-18 12:01:16.768</t>
        </is>
      </c>
      <c r="C3667" t="n">
        <v/>
      </c>
      <c r="D3667" t="inlineStr">
        <is>
          <t>Media file</t>
        </is>
      </c>
      <c r="E3667" t="inlineStr">
        <is>
          <t>player #1:WT\test\c50m3.mp4</t>
        </is>
      </c>
      <c r="F3667" t="n">
        <v>-5.667</v>
      </c>
      <c r="G3667" t="n">
        <v>565.766</v>
      </c>
      <c r="H3667" t="n">
        <v>618.266</v>
      </c>
      <c r="I3667" t="n">
        <v>30</v>
      </c>
      <c r="J3667" t="inlineStr">
        <is>
          <t xml:space="preserve"> WT</t>
        </is>
      </c>
      <c r="K3667" t="inlineStr">
        <is>
          <t>Male</t>
        </is>
      </c>
      <c r="L3667" t="inlineStr">
        <is>
          <t>No focal subject</t>
        </is>
      </c>
      <c r="M3667" t="n">
        <v>55.433</v>
      </c>
      <c r="N3667" t="inlineStr">
        <is>
          <t>Explore_N</t>
        </is>
      </c>
      <c r="O3667" t="inlineStr">
        <is>
          <t>Novelty</t>
        </is>
      </c>
      <c r="P3667" t="inlineStr">
        <is>
          <t>STATE</t>
        </is>
      </c>
      <c r="Q3667" t="n">
        <v>137.966</v>
      </c>
      <c r="R3667" t="n">
        <v>139.366</v>
      </c>
      <c r="S3667" t="n">
        <v>1.4</v>
      </c>
      <c r="T3667" t="inlineStr">
        <is>
          <t>WT\test\c50m3.mp4</t>
        </is>
      </c>
      <c r="U3667" t="n">
        <v>4138</v>
      </c>
      <c r="V3667" t="n">
        <v>4180</v>
      </c>
      <c r="W3667" t="n">
        <v/>
      </c>
      <c r="X3667" t="n">
        <v/>
      </c>
      <c r="Y3667" t="n">
        <v/>
      </c>
      <c r="Z3667" t="n">
        <v/>
      </c>
      <c r="AA3667">
        <f>SUMIFS($S$2:S3667,$A$2:A3667,A3667,$N$2:N3667,"Explore*")</f>
        <v/>
      </c>
      <c r="AB3667">
        <f>IF(AND(LEFT(N3667,7)="Explore",(AA3667-IF(LEFT(N3667,7)="Explore",S3667,0))&lt;10),"SI","NO")</f>
        <v/>
      </c>
    </row>
    <row r="3668">
      <c r="A3668" t="inlineStr">
        <is>
          <t>c50m3_test</t>
        </is>
      </c>
      <c r="B3668" t="inlineStr">
        <is>
          <t>2026-02-18 12:01:16.768</t>
        </is>
      </c>
      <c r="C3668" t="n">
        <v/>
      </c>
      <c r="D3668" t="inlineStr">
        <is>
          <t>Media file</t>
        </is>
      </c>
      <c r="E3668" t="inlineStr">
        <is>
          <t>player #1:WT\test\c50m3.mp4</t>
        </is>
      </c>
      <c r="F3668" t="n">
        <v>-5.667</v>
      </c>
      <c r="G3668" t="n">
        <v>565.766</v>
      </c>
      <c r="H3668" t="n">
        <v>618.266</v>
      </c>
      <c r="I3668" t="n">
        <v>30</v>
      </c>
      <c r="J3668" t="inlineStr">
        <is>
          <t xml:space="preserve"> WT</t>
        </is>
      </c>
      <c r="K3668" t="inlineStr">
        <is>
          <t>Male</t>
        </is>
      </c>
      <c r="L3668" t="inlineStr">
        <is>
          <t>No focal subject</t>
        </is>
      </c>
      <c r="M3668" t="n">
        <v>55.433</v>
      </c>
      <c r="N3668" t="inlineStr">
        <is>
          <t>Explore_N</t>
        </is>
      </c>
      <c r="O3668" t="inlineStr">
        <is>
          <t>Novelty</t>
        </is>
      </c>
      <c r="P3668" t="inlineStr">
        <is>
          <t>STATE</t>
        </is>
      </c>
      <c r="Q3668" t="n">
        <v>141.933</v>
      </c>
      <c r="R3668" t="n">
        <v>144.233</v>
      </c>
      <c r="S3668" t="n">
        <v>2.3</v>
      </c>
      <c r="T3668" t="inlineStr">
        <is>
          <t>WT\test\c50m3.mp4</t>
        </is>
      </c>
      <c r="U3668" t="n">
        <v>4257</v>
      </c>
      <c r="V3668" t="n">
        <v>4326</v>
      </c>
      <c r="W3668" t="n">
        <v/>
      </c>
      <c r="X3668" t="n">
        <v/>
      </c>
      <c r="Y3668" t="n">
        <v/>
      </c>
      <c r="Z3668" t="n">
        <v/>
      </c>
      <c r="AA3668">
        <f>SUMIFS($S$2:S3668,$A$2:A3668,A3668,$N$2:N3668,"Explore*")</f>
        <v/>
      </c>
      <c r="AB3668">
        <f>IF(AND(LEFT(N3668,7)="Explore",(AA3668-IF(LEFT(N3668,7)="Explore",S3668,0))&lt;10),"SI","NO")</f>
        <v/>
      </c>
    </row>
    <row r="3669">
      <c r="A3669" t="inlineStr">
        <is>
          <t>c50m3_test</t>
        </is>
      </c>
      <c r="B3669" t="inlineStr">
        <is>
          <t>2026-02-18 12:01:16.768</t>
        </is>
      </c>
      <c r="C3669" t="n">
        <v/>
      </c>
      <c r="D3669" t="inlineStr">
        <is>
          <t>Media file</t>
        </is>
      </c>
      <c r="E3669" t="inlineStr">
        <is>
          <t>player #1:WT\test\c50m3.mp4</t>
        </is>
      </c>
      <c r="F3669" t="n">
        <v>-5.667</v>
      </c>
      <c r="G3669" t="n">
        <v>565.766</v>
      </c>
      <c r="H3669" t="n">
        <v>618.266</v>
      </c>
      <c r="I3669" t="n">
        <v>30</v>
      </c>
      <c r="J3669" t="inlineStr">
        <is>
          <t xml:space="preserve"> WT</t>
        </is>
      </c>
      <c r="K3669" t="inlineStr">
        <is>
          <t>Male</t>
        </is>
      </c>
      <c r="L3669" t="inlineStr">
        <is>
          <t>No focal subject</t>
        </is>
      </c>
      <c r="M3669" t="n">
        <v>55.433</v>
      </c>
      <c r="N3669" t="inlineStr">
        <is>
          <t>Explore_F</t>
        </is>
      </c>
      <c r="O3669" t="inlineStr">
        <is>
          <t>Familiar</t>
        </is>
      </c>
      <c r="P3669" t="inlineStr">
        <is>
          <t>STATE</t>
        </is>
      </c>
      <c r="Q3669" t="n">
        <v>150.966</v>
      </c>
      <c r="R3669" t="n">
        <v>151.266</v>
      </c>
      <c r="S3669" t="n">
        <v>0.3</v>
      </c>
      <c r="T3669" t="inlineStr">
        <is>
          <t>WT\test\c50m3.mp4</t>
        </is>
      </c>
      <c r="U3669" t="n">
        <v>4528</v>
      </c>
      <c r="V3669" t="n">
        <v>4537</v>
      </c>
      <c r="W3669" t="n">
        <v/>
      </c>
      <c r="X3669" t="n">
        <v/>
      </c>
      <c r="Y3669" t="n">
        <v/>
      </c>
      <c r="Z3669" t="n">
        <v/>
      </c>
      <c r="AA3669">
        <f>SUMIFS($S$2:S3669,$A$2:A3669,A3669,$N$2:N3669,"Explore*")</f>
        <v/>
      </c>
      <c r="AB3669">
        <f>IF(AND(LEFT(N3669,7)="Explore",(AA3669-IF(LEFT(N3669,7)="Explore",S3669,0))&lt;10),"SI","NO")</f>
        <v/>
      </c>
    </row>
    <row r="3670">
      <c r="A3670" t="inlineStr">
        <is>
          <t>c50m3_test</t>
        </is>
      </c>
      <c r="B3670" t="inlineStr">
        <is>
          <t>2026-02-18 12:01:16.768</t>
        </is>
      </c>
      <c r="C3670" t="n">
        <v/>
      </c>
      <c r="D3670" t="inlineStr">
        <is>
          <t>Media file</t>
        </is>
      </c>
      <c r="E3670" t="inlineStr">
        <is>
          <t>player #1:WT\test\c50m3.mp4</t>
        </is>
      </c>
      <c r="F3670" t="n">
        <v>-5.667</v>
      </c>
      <c r="G3670" t="n">
        <v>565.766</v>
      </c>
      <c r="H3670" t="n">
        <v>618.266</v>
      </c>
      <c r="I3670" t="n">
        <v>30</v>
      </c>
      <c r="J3670" t="inlineStr">
        <is>
          <t xml:space="preserve"> WT</t>
        </is>
      </c>
      <c r="K3670" t="inlineStr">
        <is>
          <t>Male</t>
        </is>
      </c>
      <c r="L3670" t="inlineStr">
        <is>
          <t>No focal subject</t>
        </is>
      </c>
      <c r="M3670" t="n">
        <v>55.433</v>
      </c>
      <c r="N3670" t="inlineStr">
        <is>
          <t>Explore_F</t>
        </is>
      </c>
      <c r="O3670" t="inlineStr">
        <is>
          <t>Familiar</t>
        </is>
      </c>
      <c r="P3670" t="inlineStr">
        <is>
          <t>STATE</t>
        </is>
      </c>
      <c r="Q3670" t="n">
        <v>230.533</v>
      </c>
      <c r="R3670" t="n">
        <v>231.899</v>
      </c>
      <c r="S3670" t="n">
        <v>1.366</v>
      </c>
      <c r="T3670" t="inlineStr">
        <is>
          <t>WT\test\c50m3.mp4</t>
        </is>
      </c>
      <c r="U3670" t="n">
        <v>6916</v>
      </c>
      <c r="V3670" t="n">
        <v>6956</v>
      </c>
      <c r="W3670" t="n">
        <v/>
      </c>
      <c r="X3670" t="n">
        <v/>
      </c>
      <c r="Y3670" t="n">
        <v/>
      </c>
      <c r="Z3670" t="n">
        <v/>
      </c>
      <c r="AA3670">
        <f>SUMIFS($S$2:S3670,$A$2:A3670,A3670,$N$2:N3670,"Explore*")</f>
        <v/>
      </c>
      <c r="AB3670">
        <f>IF(AND(LEFT(N3670,7)="Explore",(AA3670-IF(LEFT(N3670,7)="Explore",S3670,0))&lt;10),"SI","NO")</f>
        <v/>
      </c>
    </row>
    <row r="3671">
      <c r="A3671" t="inlineStr">
        <is>
          <t>c50m3_test</t>
        </is>
      </c>
      <c r="B3671" t="inlineStr">
        <is>
          <t>2026-02-18 12:01:16.768</t>
        </is>
      </c>
      <c r="C3671" t="n">
        <v/>
      </c>
      <c r="D3671" t="inlineStr">
        <is>
          <t>Media file</t>
        </is>
      </c>
      <c r="E3671" t="inlineStr">
        <is>
          <t>player #1:WT\test\c50m3.mp4</t>
        </is>
      </c>
      <c r="F3671" t="n">
        <v>-5.667</v>
      </c>
      <c r="G3671" t="n">
        <v>565.766</v>
      </c>
      <c r="H3671" t="n">
        <v>618.266</v>
      </c>
      <c r="I3671" t="n">
        <v>30</v>
      </c>
      <c r="J3671" t="inlineStr">
        <is>
          <t xml:space="preserve"> WT</t>
        </is>
      </c>
      <c r="K3671" t="inlineStr">
        <is>
          <t>Male</t>
        </is>
      </c>
      <c r="L3671" t="inlineStr">
        <is>
          <t>No focal subject</t>
        </is>
      </c>
      <c r="M3671" t="n">
        <v>55.433</v>
      </c>
      <c r="N3671" t="inlineStr">
        <is>
          <t>Explore_N</t>
        </is>
      </c>
      <c r="O3671" t="inlineStr">
        <is>
          <t>Novelty</t>
        </is>
      </c>
      <c r="P3671" t="inlineStr">
        <is>
          <t>STATE</t>
        </is>
      </c>
      <c r="Q3671" t="n">
        <v>245.966</v>
      </c>
      <c r="R3671" t="n">
        <v>246.266</v>
      </c>
      <c r="S3671" t="n">
        <v>0.3</v>
      </c>
      <c r="T3671" t="inlineStr">
        <is>
          <t>WT\test\c50m3.mp4</t>
        </is>
      </c>
      <c r="U3671" t="n">
        <v>7377</v>
      </c>
      <c r="V3671" t="n">
        <v>7386</v>
      </c>
      <c r="W3671" t="n">
        <v/>
      </c>
      <c r="X3671" t="n">
        <v/>
      </c>
      <c r="Y3671" t="n">
        <v/>
      </c>
      <c r="Z3671" t="n">
        <v/>
      </c>
      <c r="AA3671">
        <f>SUMIFS($S$2:S3671,$A$2:A3671,A3671,$N$2:N3671,"Explore*")</f>
        <v/>
      </c>
      <c r="AB3671">
        <f>IF(AND(LEFT(N3671,7)="Explore",(AA3671-IF(LEFT(N3671,7)="Explore",S3671,0))&lt;10),"SI","NO")</f>
        <v/>
      </c>
    </row>
    <row r="3672">
      <c r="A3672" t="inlineStr">
        <is>
          <t>c50m3_test</t>
        </is>
      </c>
      <c r="B3672" t="inlineStr">
        <is>
          <t>2026-02-18 12:01:16.768</t>
        </is>
      </c>
      <c r="C3672" t="n">
        <v/>
      </c>
      <c r="D3672" t="inlineStr">
        <is>
          <t>Media file</t>
        </is>
      </c>
      <c r="E3672" t="inlineStr">
        <is>
          <t>player #1:WT\test\c50m3.mp4</t>
        </is>
      </c>
      <c r="F3672" t="n">
        <v>-5.667</v>
      </c>
      <c r="G3672" t="n">
        <v>565.766</v>
      </c>
      <c r="H3672" t="n">
        <v>618.266</v>
      </c>
      <c r="I3672" t="n">
        <v>30</v>
      </c>
      <c r="J3672" t="inlineStr">
        <is>
          <t xml:space="preserve"> WT</t>
        </is>
      </c>
      <c r="K3672" t="inlineStr">
        <is>
          <t>Male</t>
        </is>
      </c>
      <c r="L3672" t="inlineStr">
        <is>
          <t>No focal subject</t>
        </is>
      </c>
      <c r="M3672" t="n">
        <v>55.433</v>
      </c>
      <c r="N3672" t="inlineStr">
        <is>
          <t>Explore_N</t>
        </is>
      </c>
      <c r="O3672" t="inlineStr">
        <is>
          <t>Novelty</t>
        </is>
      </c>
      <c r="P3672" t="inlineStr">
        <is>
          <t>STATE</t>
        </is>
      </c>
      <c r="Q3672" t="n">
        <v>251.633</v>
      </c>
      <c r="R3672" t="n">
        <v>252.099</v>
      </c>
      <c r="S3672" t="n">
        <v>0.466</v>
      </c>
      <c r="T3672" t="inlineStr">
        <is>
          <t>WT\test\c50m3.mp4</t>
        </is>
      </c>
      <c r="U3672" t="n">
        <v>7547</v>
      </c>
      <c r="V3672" t="n">
        <v>7561</v>
      </c>
      <c r="W3672" t="n">
        <v/>
      </c>
      <c r="X3672" t="n">
        <v/>
      </c>
      <c r="Y3672" t="n">
        <v/>
      </c>
      <c r="Z3672" t="n">
        <v/>
      </c>
      <c r="AA3672">
        <f>SUMIFS($S$2:S3672,$A$2:A3672,A3672,$N$2:N3672,"Explore*")</f>
        <v/>
      </c>
      <c r="AB3672">
        <f>IF(AND(LEFT(N3672,7)="Explore",(AA3672-IF(LEFT(N3672,7)="Explore",S3672,0))&lt;10),"SI","NO")</f>
        <v/>
      </c>
    </row>
    <row r="3673">
      <c r="A3673" t="inlineStr">
        <is>
          <t>c50m3_test</t>
        </is>
      </c>
      <c r="B3673" t="inlineStr">
        <is>
          <t>2026-02-18 12:01:16.768</t>
        </is>
      </c>
      <c r="C3673" t="n">
        <v/>
      </c>
      <c r="D3673" t="inlineStr">
        <is>
          <t>Media file</t>
        </is>
      </c>
      <c r="E3673" t="inlineStr">
        <is>
          <t>player #1:WT\test\c50m3.mp4</t>
        </is>
      </c>
      <c r="F3673" t="n">
        <v>-5.667</v>
      </c>
      <c r="G3673" t="n">
        <v>565.766</v>
      </c>
      <c r="H3673" t="n">
        <v>618.266</v>
      </c>
      <c r="I3673" t="n">
        <v>30</v>
      </c>
      <c r="J3673" t="inlineStr">
        <is>
          <t xml:space="preserve"> WT</t>
        </is>
      </c>
      <c r="K3673" t="inlineStr">
        <is>
          <t>Male</t>
        </is>
      </c>
      <c r="L3673" t="inlineStr">
        <is>
          <t>No focal subject</t>
        </is>
      </c>
      <c r="M3673" t="n">
        <v>55.433</v>
      </c>
      <c r="N3673" t="inlineStr">
        <is>
          <t>Explore_F</t>
        </is>
      </c>
      <c r="O3673" t="inlineStr">
        <is>
          <t>Familiar</t>
        </is>
      </c>
      <c r="P3673" t="inlineStr">
        <is>
          <t>STATE</t>
        </is>
      </c>
      <c r="Q3673" t="n">
        <v>252.666</v>
      </c>
      <c r="R3673" t="n">
        <v>256.333</v>
      </c>
      <c r="S3673" t="n">
        <v>3.667</v>
      </c>
      <c r="T3673" t="inlineStr">
        <is>
          <t>WT\test\c50m3.mp4</t>
        </is>
      </c>
      <c r="U3673" t="n">
        <v>7578</v>
      </c>
      <c r="V3673" t="n">
        <v>7688</v>
      </c>
      <c r="W3673" t="n">
        <v/>
      </c>
      <c r="X3673" t="n">
        <v/>
      </c>
      <c r="Y3673" t="n">
        <v/>
      </c>
      <c r="Z3673" t="n">
        <v/>
      </c>
      <c r="AA3673">
        <f>SUMIFS($S$2:S3673,$A$2:A3673,A3673,$N$2:N3673,"Explore*")</f>
        <v/>
      </c>
      <c r="AB3673">
        <f>IF(AND(LEFT(N3673,7)="Explore",(AA3673-IF(LEFT(N3673,7)="Explore",S3673,0))&lt;10),"SI","NO")</f>
        <v/>
      </c>
    </row>
    <row r="3674">
      <c r="A3674" t="inlineStr">
        <is>
          <t>c50m3_test</t>
        </is>
      </c>
      <c r="B3674" t="inlineStr">
        <is>
          <t>2026-02-18 12:01:16.768</t>
        </is>
      </c>
      <c r="C3674" t="n">
        <v/>
      </c>
      <c r="D3674" t="inlineStr">
        <is>
          <t>Media file</t>
        </is>
      </c>
      <c r="E3674" t="inlineStr">
        <is>
          <t>player #1:WT\test\c50m3.mp4</t>
        </is>
      </c>
      <c r="F3674" t="n">
        <v>-5.667</v>
      </c>
      <c r="G3674" t="n">
        <v>565.766</v>
      </c>
      <c r="H3674" t="n">
        <v>618.266</v>
      </c>
      <c r="I3674" t="n">
        <v>30</v>
      </c>
      <c r="J3674" t="inlineStr">
        <is>
          <t xml:space="preserve"> WT</t>
        </is>
      </c>
      <c r="K3674" t="inlineStr">
        <is>
          <t>Male</t>
        </is>
      </c>
      <c r="L3674" t="inlineStr">
        <is>
          <t>No focal subject</t>
        </is>
      </c>
      <c r="M3674" t="n">
        <v>55.433</v>
      </c>
      <c r="N3674" t="inlineStr">
        <is>
          <t>Explore_N</t>
        </is>
      </c>
      <c r="O3674" t="inlineStr">
        <is>
          <t>Novelty</t>
        </is>
      </c>
      <c r="P3674" t="inlineStr">
        <is>
          <t>STATE</t>
        </is>
      </c>
      <c r="Q3674" t="n">
        <v>290.233</v>
      </c>
      <c r="R3674" t="n">
        <v>291.899</v>
      </c>
      <c r="S3674" t="n">
        <v>1.666</v>
      </c>
      <c r="T3674" t="inlineStr">
        <is>
          <t>WT\test\c50m3.mp4</t>
        </is>
      </c>
      <c r="U3674" t="n">
        <v>8705</v>
      </c>
      <c r="V3674" t="n">
        <v>8755</v>
      </c>
      <c r="W3674" t="n">
        <v/>
      </c>
      <c r="X3674" t="n">
        <v/>
      </c>
      <c r="Y3674" t="n">
        <v/>
      </c>
      <c r="Z3674" t="n">
        <v/>
      </c>
      <c r="AA3674">
        <f>SUMIFS($S$2:S3674,$A$2:A3674,A3674,$N$2:N3674,"Explore*")</f>
        <v/>
      </c>
      <c r="AB3674">
        <f>IF(AND(LEFT(N3674,7)="Explore",(AA3674-IF(LEFT(N3674,7)="Explore",S3674,0))&lt;10),"SI","NO")</f>
        <v/>
      </c>
    </row>
    <row r="3675">
      <c r="A3675" t="inlineStr">
        <is>
          <t>c50m3_test</t>
        </is>
      </c>
      <c r="B3675" t="inlineStr">
        <is>
          <t>2026-02-18 12:01:16.768</t>
        </is>
      </c>
      <c r="C3675" t="n">
        <v/>
      </c>
      <c r="D3675" t="inlineStr">
        <is>
          <t>Media file</t>
        </is>
      </c>
      <c r="E3675" t="inlineStr">
        <is>
          <t>player #1:WT\test\c50m3.mp4</t>
        </is>
      </c>
      <c r="F3675" t="n">
        <v>-5.667</v>
      </c>
      <c r="G3675" t="n">
        <v>565.766</v>
      </c>
      <c r="H3675" t="n">
        <v>618.266</v>
      </c>
      <c r="I3675" t="n">
        <v>30</v>
      </c>
      <c r="J3675" t="inlineStr">
        <is>
          <t xml:space="preserve"> WT</t>
        </is>
      </c>
      <c r="K3675" t="inlineStr">
        <is>
          <t>Male</t>
        </is>
      </c>
      <c r="L3675" t="inlineStr">
        <is>
          <t>No focal subject</t>
        </is>
      </c>
      <c r="M3675" t="n">
        <v>55.433</v>
      </c>
      <c r="N3675" t="inlineStr">
        <is>
          <t>Explore_F</t>
        </is>
      </c>
      <c r="O3675" t="inlineStr">
        <is>
          <t>Familiar</t>
        </is>
      </c>
      <c r="P3675" t="inlineStr">
        <is>
          <t>STATE</t>
        </is>
      </c>
      <c r="Q3675" t="n">
        <v>308.966</v>
      </c>
      <c r="R3675" t="n">
        <v>309.366</v>
      </c>
      <c r="S3675" t="n">
        <v>0.4</v>
      </c>
      <c r="T3675" t="inlineStr">
        <is>
          <t>WT\test\c50m3.mp4</t>
        </is>
      </c>
      <c r="U3675" t="n">
        <v>9437</v>
      </c>
      <c r="V3675" t="n">
        <v>9449</v>
      </c>
      <c r="W3675" t="n">
        <v/>
      </c>
      <c r="X3675" t="n">
        <v/>
      </c>
      <c r="Y3675" t="n">
        <v/>
      </c>
      <c r="Z3675" t="n">
        <v/>
      </c>
      <c r="AA3675">
        <f>SUMIFS($S$2:S3675,$A$2:A3675,A3675,$N$2:N3675,"Explore*")</f>
        <v/>
      </c>
      <c r="AB3675">
        <f>IF(AND(LEFT(N3675,7)="Explore",(AA3675-IF(LEFT(N3675,7)="Explore",S3675,0))&lt;10),"SI","NO")</f>
        <v/>
      </c>
    </row>
    <row r="3676">
      <c r="A3676" t="inlineStr">
        <is>
          <t>c50m3_test</t>
        </is>
      </c>
      <c r="B3676" t="inlineStr">
        <is>
          <t>2026-02-18 12:01:16.768</t>
        </is>
      </c>
      <c r="C3676" t="n">
        <v/>
      </c>
      <c r="D3676" t="inlineStr">
        <is>
          <t>Media file</t>
        </is>
      </c>
      <c r="E3676" t="inlineStr">
        <is>
          <t>player #1:WT\test\c50m3.mp4</t>
        </is>
      </c>
      <c r="F3676" t="n">
        <v>-5.667</v>
      </c>
      <c r="G3676" t="n">
        <v>565.766</v>
      </c>
      <c r="H3676" t="n">
        <v>618.266</v>
      </c>
      <c r="I3676" t="n">
        <v>30</v>
      </c>
      <c r="J3676" t="inlineStr">
        <is>
          <t xml:space="preserve"> WT</t>
        </is>
      </c>
      <c r="K3676" t="inlineStr">
        <is>
          <t>Male</t>
        </is>
      </c>
      <c r="L3676" t="inlineStr">
        <is>
          <t>No focal subject</t>
        </is>
      </c>
      <c r="M3676" t="n">
        <v>55.433</v>
      </c>
      <c r="N3676" t="inlineStr">
        <is>
          <t>Explore_N</t>
        </is>
      </c>
      <c r="O3676" t="inlineStr">
        <is>
          <t>Novelty</t>
        </is>
      </c>
      <c r="P3676" t="inlineStr">
        <is>
          <t>STATE</t>
        </is>
      </c>
      <c r="Q3676" t="n">
        <v>309.966</v>
      </c>
      <c r="R3676" t="n">
        <v>310.433</v>
      </c>
      <c r="S3676" t="n">
        <v>0.467</v>
      </c>
      <c r="T3676" t="inlineStr">
        <is>
          <t>WT\test\c50m3.mp4</t>
        </is>
      </c>
      <c r="U3676" t="n">
        <v>9467</v>
      </c>
      <c r="V3676" t="n">
        <v>9481</v>
      </c>
      <c r="W3676" t="n">
        <v/>
      </c>
      <c r="X3676" t="n">
        <v/>
      </c>
      <c r="Y3676" t="n">
        <v/>
      </c>
      <c r="Z3676" t="n">
        <v/>
      </c>
      <c r="AA3676">
        <f>SUMIFS($S$2:S3676,$A$2:A3676,A3676,$N$2:N3676,"Explore*")</f>
        <v/>
      </c>
      <c r="AB3676">
        <f>IF(AND(LEFT(N3676,7)="Explore",(AA3676-IF(LEFT(N3676,7)="Explore",S3676,0))&lt;10),"SI","NO")</f>
        <v/>
      </c>
    </row>
    <row r="3677">
      <c r="A3677" t="inlineStr">
        <is>
          <t>c50m3_test</t>
        </is>
      </c>
      <c r="B3677" t="inlineStr">
        <is>
          <t>2026-02-18 12:01:16.768</t>
        </is>
      </c>
      <c r="C3677" t="n">
        <v/>
      </c>
      <c r="D3677" t="inlineStr">
        <is>
          <t>Media file</t>
        </is>
      </c>
      <c r="E3677" t="inlineStr">
        <is>
          <t>player #1:WT\test\c50m3.mp4</t>
        </is>
      </c>
      <c r="F3677" t="n">
        <v>-5.667</v>
      </c>
      <c r="G3677" t="n">
        <v>565.766</v>
      </c>
      <c r="H3677" t="n">
        <v>618.266</v>
      </c>
      <c r="I3677" t="n">
        <v>30</v>
      </c>
      <c r="J3677" t="inlineStr">
        <is>
          <t xml:space="preserve"> WT</t>
        </is>
      </c>
      <c r="K3677" t="inlineStr">
        <is>
          <t>Male</t>
        </is>
      </c>
      <c r="L3677" t="inlineStr">
        <is>
          <t>No focal subject</t>
        </is>
      </c>
      <c r="M3677" t="n">
        <v>55.433</v>
      </c>
      <c r="N3677" t="inlineStr">
        <is>
          <t>Explore_N</t>
        </is>
      </c>
      <c r="O3677" t="inlineStr">
        <is>
          <t>Novelty</t>
        </is>
      </c>
      <c r="P3677" t="inlineStr">
        <is>
          <t>STATE</t>
        </is>
      </c>
      <c r="Q3677" t="n">
        <v>312.166</v>
      </c>
      <c r="R3677" t="n">
        <v>313.333</v>
      </c>
      <c r="S3677" t="n">
        <v>1.167</v>
      </c>
      <c r="T3677" t="inlineStr">
        <is>
          <t>WT\test\c50m3.mp4</t>
        </is>
      </c>
      <c r="U3677" t="n">
        <v>9533</v>
      </c>
      <c r="V3677" t="n">
        <v>9568</v>
      </c>
      <c r="W3677" t="n">
        <v/>
      </c>
      <c r="X3677" t="n">
        <v/>
      </c>
      <c r="Y3677" t="n">
        <v/>
      </c>
      <c r="Z3677" t="n">
        <v/>
      </c>
      <c r="AA3677">
        <f>SUMIFS($S$2:S3677,$A$2:A3677,A3677,$N$2:N3677,"Explore*")</f>
        <v/>
      </c>
      <c r="AB3677">
        <f>IF(AND(LEFT(N3677,7)="Explore",(AA3677-IF(LEFT(N3677,7)="Explore",S3677,0))&lt;10),"SI","NO")</f>
        <v/>
      </c>
    </row>
    <row r="3678">
      <c r="A3678" t="inlineStr">
        <is>
          <t>c50m3_test</t>
        </is>
      </c>
      <c r="B3678" t="inlineStr">
        <is>
          <t>2026-02-18 12:01:16.768</t>
        </is>
      </c>
      <c r="C3678" t="n">
        <v/>
      </c>
      <c r="D3678" t="inlineStr">
        <is>
          <t>Media file</t>
        </is>
      </c>
      <c r="E3678" t="inlineStr">
        <is>
          <t>player #1:WT\test\c50m3.mp4</t>
        </is>
      </c>
      <c r="F3678" t="n">
        <v>-5.667</v>
      </c>
      <c r="G3678" t="n">
        <v>565.766</v>
      </c>
      <c r="H3678" t="n">
        <v>618.266</v>
      </c>
      <c r="I3678" t="n">
        <v>30</v>
      </c>
      <c r="J3678" t="inlineStr">
        <is>
          <t xml:space="preserve"> WT</t>
        </is>
      </c>
      <c r="K3678" t="inlineStr">
        <is>
          <t>Male</t>
        </is>
      </c>
      <c r="L3678" t="inlineStr">
        <is>
          <t>No focal subject</t>
        </is>
      </c>
      <c r="M3678" t="n">
        <v>55.433</v>
      </c>
      <c r="N3678" t="inlineStr">
        <is>
          <t>Explore_N</t>
        </is>
      </c>
      <c r="O3678" t="inlineStr">
        <is>
          <t>Novelty</t>
        </is>
      </c>
      <c r="P3678" t="inlineStr">
        <is>
          <t>STATE</t>
        </is>
      </c>
      <c r="Q3678" t="n">
        <v>316.666</v>
      </c>
      <c r="R3678" t="n">
        <v>316.899</v>
      </c>
      <c r="S3678" t="n">
        <v>0.233</v>
      </c>
      <c r="T3678" t="inlineStr">
        <is>
          <t>WT\test\c50m3.mp4</t>
        </is>
      </c>
      <c r="U3678" t="n">
        <v>9668</v>
      </c>
      <c r="V3678" t="n">
        <v>9675</v>
      </c>
      <c r="W3678" t="n">
        <v/>
      </c>
      <c r="X3678" t="n">
        <v/>
      </c>
      <c r="Y3678" t="n">
        <v/>
      </c>
      <c r="Z3678" t="n">
        <v/>
      </c>
      <c r="AA3678">
        <f>SUMIFS($S$2:S3678,$A$2:A3678,A3678,$N$2:N3678,"Explore*")</f>
        <v/>
      </c>
      <c r="AB3678">
        <f>IF(AND(LEFT(N3678,7)="Explore",(AA3678-IF(LEFT(N3678,7)="Explore",S3678,0))&lt;10),"SI","NO")</f>
        <v/>
      </c>
    </row>
    <row r="3679">
      <c r="A3679" t="inlineStr">
        <is>
          <t>c50m3_test</t>
        </is>
      </c>
      <c r="B3679" t="inlineStr">
        <is>
          <t>2026-02-18 12:01:16.768</t>
        </is>
      </c>
      <c r="C3679" t="n">
        <v/>
      </c>
      <c r="D3679" t="inlineStr">
        <is>
          <t>Media file</t>
        </is>
      </c>
      <c r="E3679" t="inlineStr">
        <is>
          <t>player #1:WT\test\c50m3.mp4</t>
        </is>
      </c>
      <c r="F3679" t="n">
        <v>-5.667</v>
      </c>
      <c r="G3679" t="n">
        <v>565.766</v>
      </c>
      <c r="H3679" t="n">
        <v>618.266</v>
      </c>
      <c r="I3679" t="n">
        <v>30</v>
      </c>
      <c r="J3679" t="inlineStr">
        <is>
          <t xml:space="preserve"> WT</t>
        </is>
      </c>
      <c r="K3679" t="inlineStr">
        <is>
          <t>Male</t>
        </is>
      </c>
      <c r="L3679" t="inlineStr">
        <is>
          <t>No focal subject</t>
        </is>
      </c>
      <c r="M3679" t="n">
        <v>55.433</v>
      </c>
      <c r="N3679" t="inlineStr">
        <is>
          <t>Explore_F</t>
        </is>
      </c>
      <c r="O3679" t="inlineStr">
        <is>
          <t>Familiar</t>
        </is>
      </c>
      <c r="P3679" t="inlineStr">
        <is>
          <t>STATE</t>
        </is>
      </c>
      <c r="Q3679" t="n">
        <v>318.499</v>
      </c>
      <c r="R3679" t="n">
        <v>319.666</v>
      </c>
      <c r="S3679" t="n">
        <v>1.167</v>
      </c>
      <c r="T3679" t="inlineStr">
        <is>
          <t>WT\test\c50m3.mp4</t>
        </is>
      </c>
      <c r="U3679" t="n">
        <v>9723</v>
      </c>
      <c r="V3679" t="n">
        <v>9758</v>
      </c>
      <c r="W3679" t="n">
        <v/>
      </c>
      <c r="X3679" t="n">
        <v/>
      </c>
      <c r="Y3679" t="n">
        <v/>
      </c>
      <c r="Z3679" t="n">
        <v/>
      </c>
      <c r="AA3679">
        <f>SUMIFS($S$2:S3679,$A$2:A3679,A3679,$N$2:N3679,"Explore*")</f>
        <v/>
      </c>
      <c r="AB3679">
        <f>IF(AND(LEFT(N3679,7)="Explore",(AA3679-IF(LEFT(N3679,7)="Explore",S3679,0))&lt;10),"SI","NO")</f>
        <v/>
      </c>
    </row>
    <row r="3680">
      <c r="A3680" t="inlineStr">
        <is>
          <t>c50m3_test</t>
        </is>
      </c>
      <c r="B3680" t="inlineStr">
        <is>
          <t>2026-02-18 12:01:16.768</t>
        </is>
      </c>
      <c r="C3680" t="n">
        <v/>
      </c>
      <c r="D3680" t="inlineStr">
        <is>
          <t>Media file</t>
        </is>
      </c>
      <c r="E3680" t="inlineStr">
        <is>
          <t>player #1:WT\test\c50m3.mp4</t>
        </is>
      </c>
      <c r="F3680" t="n">
        <v>-5.667</v>
      </c>
      <c r="G3680" t="n">
        <v>565.766</v>
      </c>
      <c r="H3680" t="n">
        <v>618.266</v>
      </c>
      <c r="I3680" t="n">
        <v>30</v>
      </c>
      <c r="J3680" t="inlineStr">
        <is>
          <t xml:space="preserve"> WT</t>
        </is>
      </c>
      <c r="K3680" t="inlineStr">
        <is>
          <t>Male</t>
        </is>
      </c>
      <c r="L3680" t="inlineStr">
        <is>
          <t>No focal subject</t>
        </is>
      </c>
      <c r="M3680" t="n">
        <v>55.433</v>
      </c>
      <c r="N3680" t="inlineStr">
        <is>
          <t>Explore_N</t>
        </is>
      </c>
      <c r="O3680" t="inlineStr">
        <is>
          <t>Novelty</t>
        </is>
      </c>
      <c r="P3680" t="inlineStr">
        <is>
          <t>STATE</t>
        </is>
      </c>
      <c r="Q3680" t="n">
        <v>378.166</v>
      </c>
      <c r="R3680" t="n">
        <v>378.433</v>
      </c>
      <c r="S3680" t="n">
        <v>0.267</v>
      </c>
      <c r="T3680" t="inlineStr">
        <is>
          <t>WT\test\c50m3.mp4</t>
        </is>
      </c>
      <c r="U3680" t="n">
        <v>11513</v>
      </c>
      <c r="V3680" t="n">
        <v>11521</v>
      </c>
      <c r="W3680" t="n">
        <v/>
      </c>
      <c r="X3680" t="n">
        <v/>
      </c>
      <c r="Y3680" t="n">
        <v/>
      </c>
      <c r="Z3680" t="n">
        <v/>
      </c>
      <c r="AA3680">
        <f>SUMIFS($S$2:S3680,$A$2:A3680,A3680,$N$2:N3680,"Explore*")</f>
        <v/>
      </c>
      <c r="AB3680">
        <f>IF(AND(LEFT(N3680,7)="Explore",(AA3680-IF(LEFT(N3680,7)="Explore",S3680,0))&lt;10),"SI","NO")</f>
        <v/>
      </c>
    </row>
    <row r="3681">
      <c r="A3681" t="inlineStr">
        <is>
          <t>c50m3_test</t>
        </is>
      </c>
      <c r="B3681" t="inlineStr">
        <is>
          <t>2026-02-18 12:01:16.768</t>
        </is>
      </c>
      <c r="C3681" t="n">
        <v/>
      </c>
      <c r="D3681" t="inlineStr">
        <is>
          <t>Media file</t>
        </is>
      </c>
      <c r="E3681" t="inlineStr">
        <is>
          <t>player #1:WT\test\c50m3.mp4</t>
        </is>
      </c>
      <c r="F3681" t="n">
        <v>-5.667</v>
      </c>
      <c r="G3681" t="n">
        <v>565.766</v>
      </c>
      <c r="H3681" t="n">
        <v>618.266</v>
      </c>
      <c r="I3681" t="n">
        <v>30</v>
      </c>
      <c r="J3681" t="inlineStr">
        <is>
          <t xml:space="preserve"> WT</t>
        </is>
      </c>
      <c r="K3681" t="inlineStr">
        <is>
          <t>Male</t>
        </is>
      </c>
      <c r="L3681" t="inlineStr">
        <is>
          <t>No focal subject</t>
        </is>
      </c>
      <c r="M3681" t="n">
        <v>55.433</v>
      </c>
      <c r="N3681" t="inlineStr">
        <is>
          <t>Explore_F</t>
        </is>
      </c>
      <c r="O3681" t="inlineStr">
        <is>
          <t>Familiar</t>
        </is>
      </c>
      <c r="P3681" t="inlineStr">
        <is>
          <t>STATE</t>
        </is>
      </c>
      <c r="Q3681" t="n">
        <v>379.633</v>
      </c>
      <c r="R3681" t="n">
        <v>379.866</v>
      </c>
      <c r="S3681" t="n">
        <v>0.233</v>
      </c>
      <c r="T3681" t="inlineStr">
        <is>
          <t>WT\test\c50m3.mp4</t>
        </is>
      </c>
      <c r="U3681" t="n">
        <v>11557</v>
      </c>
      <c r="V3681" t="n">
        <v>11564</v>
      </c>
      <c r="W3681" t="n">
        <v/>
      </c>
      <c r="X3681" t="n">
        <v/>
      </c>
      <c r="Y3681" t="n">
        <v/>
      </c>
      <c r="Z3681" t="n">
        <v/>
      </c>
      <c r="AA3681">
        <f>SUMIFS($S$2:S3681,$A$2:A3681,A3681,$N$2:N3681,"Explore*")</f>
        <v/>
      </c>
      <c r="AB3681">
        <f>IF(AND(LEFT(N3681,7)="Explore",(AA3681-IF(LEFT(N3681,7)="Explore",S3681,0))&lt;10),"SI","NO")</f>
        <v/>
      </c>
    </row>
    <row r="3682">
      <c r="A3682" t="inlineStr">
        <is>
          <t>c50m3_test</t>
        </is>
      </c>
      <c r="B3682" t="inlineStr">
        <is>
          <t>2026-02-18 12:01:16.768</t>
        </is>
      </c>
      <c r="C3682" t="n">
        <v/>
      </c>
      <c r="D3682" t="inlineStr">
        <is>
          <t>Media file</t>
        </is>
      </c>
      <c r="E3682" t="inlineStr">
        <is>
          <t>player #1:WT\test\c50m3.mp4</t>
        </is>
      </c>
      <c r="F3682" t="n">
        <v>-5.667</v>
      </c>
      <c r="G3682" t="n">
        <v>565.766</v>
      </c>
      <c r="H3682" t="n">
        <v>618.266</v>
      </c>
      <c r="I3682" t="n">
        <v>30</v>
      </c>
      <c r="J3682" t="inlineStr">
        <is>
          <t xml:space="preserve"> WT</t>
        </is>
      </c>
      <c r="K3682" t="inlineStr">
        <is>
          <t>Male</t>
        </is>
      </c>
      <c r="L3682" t="inlineStr">
        <is>
          <t>No focal subject</t>
        </is>
      </c>
      <c r="M3682" t="n">
        <v>55.433</v>
      </c>
      <c r="N3682" t="inlineStr">
        <is>
          <t>Explore_N</t>
        </is>
      </c>
      <c r="O3682" t="inlineStr">
        <is>
          <t>Novelty</t>
        </is>
      </c>
      <c r="P3682" t="inlineStr">
        <is>
          <t>STATE</t>
        </is>
      </c>
      <c r="Q3682" t="n">
        <v>380.199</v>
      </c>
      <c r="R3682" t="n">
        <v>382.066</v>
      </c>
      <c r="S3682" t="n">
        <v>1.867</v>
      </c>
      <c r="T3682" t="inlineStr">
        <is>
          <t>WT\test\c50m3.mp4</t>
        </is>
      </c>
      <c r="U3682" t="n">
        <v>11574</v>
      </c>
      <c r="V3682" t="n">
        <v>11630</v>
      </c>
      <c r="W3682" t="n">
        <v/>
      </c>
      <c r="X3682" t="n">
        <v/>
      </c>
      <c r="Y3682" t="n">
        <v/>
      </c>
      <c r="Z3682" t="n">
        <v/>
      </c>
      <c r="AA3682">
        <f>SUMIFS($S$2:S3682,$A$2:A3682,A3682,$N$2:N3682,"Explore*")</f>
        <v/>
      </c>
      <c r="AB3682">
        <f>IF(AND(LEFT(N3682,7)="Explore",(AA3682-IF(LEFT(N3682,7)="Explore",S3682,0))&lt;10),"SI","NO")</f>
        <v/>
      </c>
    </row>
    <row r="3683">
      <c r="A3683" t="inlineStr">
        <is>
          <t>c50m3_test</t>
        </is>
      </c>
      <c r="B3683" t="inlineStr">
        <is>
          <t>2026-02-18 12:01:16.768</t>
        </is>
      </c>
      <c r="C3683" t="n">
        <v/>
      </c>
      <c r="D3683" t="inlineStr">
        <is>
          <t>Media file</t>
        </is>
      </c>
      <c r="E3683" t="inlineStr">
        <is>
          <t>player #1:WT\test\c50m3.mp4</t>
        </is>
      </c>
      <c r="F3683" t="n">
        <v>-5.667</v>
      </c>
      <c r="G3683" t="n">
        <v>565.766</v>
      </c>
      <c r="H3683" t="n">
        <v>618.266</v>
      </c>
      <c r="I3683" t="n">
        <v>30</v>
      </c>
      <c r="J3683" t="inlineStr">
        <is>
          <t xml:space="preserve"> WT</t>
        </is>
      </c>
      <c r="K3683" t="inlineStr">
        <is>
          <t>Male</t>
        </is>
      </c>
      <c r="L3683" t="inlineStr">
        <is>
          <t>No focal subject</t>
        </is>
      </c>
      <c r="M3683" t="n">
        <v>55.433</v>
      </c>
      <c r="N3683" t="inlineStr">
        <is>
          <t>Explore_N</t>
        </is>
      </c>
      <c r="O3683" t="inlineStr">
        <is>
          <t>Novelty</t>
        </is>
      </c>
      <c r="P3683" t="inlineStr">
        <is>
          <t>STATE</t>
        </is>
      </c>
      <c r="Q3683" t="n">
        <v>384.533</v>
      </c>
      <c r="R3683" t="n">
        <v>386.033</v>
      </c>
      <c r="S3683" t="n">
        <v>1.5</v>
      </c>
      <c r="T3683" t="inlineStr">
        <is>
          <t>WT\test\c50m3.mp4</t>
        </is>
      </c>
      <c r="U3683" t="n">
        <v>11704</v>
      </c>
      <c r="V3683" t="n">
        <v>11749</v>
      </c>
      <c r="W3683" t="n">
        <v/>
      </c>
      <c r="X3683" t="n">
        <v/>
      </c>
      <c r="Y3683" t="n">
        <v/>
      </c>
      <c r="Z3683" t="n">
        <v/>
      </c>
      <c r="AA3683">
        <f>SUMIFS($S$2:S3683,$A$2:A3683,A3683,$N$2:N3683,"Explore*")</f>
        <v/>
      </c>
      <c r="AB3683">
        <f>IF(AND(LEFT(N3683,7)="Explore",(AA3683-IF(LEFT(N3683,7)="Explore",S3683,0))&lt;10),"SI","NO")</f>
        <v/>
      </c>
    </row>
    <row r="3684">
      <c r="A3684" t="inlineStr">
        <is>
          <t>c50m3_test</t>
        </is>
      </c>
      <c r="B3684" t="inlineStr">
        <is>
          <t>2026-02-18 12:01:16.768</t>
        </is>
      </c>
      <c r="C3684" t="n">
        <v/>
      </c>
      <c r="D3684" t="inlineStr">
        <is>
          <t>Media file</t>
        </is>
      </c>
      <c r="E3684" t="inlineStr">
        <is>
          <t>player #1:WT\test\c50m3.mp4</t>
        </is>
      </c>
      <c r="F3684" t="n">
        <v>-5.667</v>
      </c>
      <c r="G3684" t="n">
        <v>565.766</v>
      </c>
      <c r="H3684" t="n">
        <v>618.266</v>
      </c>
      <c r="I3684" t="n">
        <v>30</v>
      </c>
      <c r="J3684" t="inlineStr">
        <is>
          <t xml:space="preserve"> WT</t>
        </is>
      </c>
      <c r="K3684" t="inlineStr">
        <is>
          <t>Male</t>
        </is>
      </c>
      <c r="L3684" t="inlineStr">
        <is>
          <t>No focal subject</t>
        </is>
      </c>
      <c r="M3684" t="n">
        <v>55.433</v>
      </c>
      <c r="N3684" t="inlineStr">
        <is>
          <t>Explore_F</t>
        </is>
      </c>
      <c r="O3684" t="inlineStr">
        <is>
          <t>Familiar</t>
        </is>
      </c>
      <c r="P3684" t="inlineStr">
        <is>
          <t>STATE</t>
        </is>
      </c>
      <c r="Q3684" t="n">
        <v>390.366</v>
      </c>
      <c r="R3684" t="n">
        <v>390.733</v>
      </c>
      <c r="S3684" t="n">
        <v>0.367</v>
      </c>
      <c r="T3684" t="inlineStr">
        <is>
          <t>WT\test\c50m3.mp4</t>
        </is>
      </c>
      <c r="U3684" t="n">
        <v>11879</v>
      </c>
      <c r="V3684" t="n">
        <v>11890</v>
      </c>
      <c r="W3684" t="n">
        <v/>
      </c>
      <c r="X3684" t="n">
        <v/>
      </c>
      <c r="Y3684" t="n">
        <v/>
      </c>
      <c r="Z3684" t="n">
        <v/>
      </c>
      <c r="AA3684">
        <f>SUMIFS($S$2:S3684,$A$2:A3684,A3684,$N$2:N3684,"Explore*")</f>
        <v/>
      </c>
      <c r="AB3684">
        <f>IF(AND(LEFT(N3684,7)="Explore",(AA3684-IF(LEFT(N3684,7)="Explore",S3684,0))&lt;10),"SI","NO")</f>
        <v/>
      </c>
    </row>
    <row r="3685">
      <c r="A3685" t="inlineStr">
        <is>
          <t>c50m3_test</t>
        </is>
      </c>
      <c r="B3685" t="inlineStr">
        <is>
          <t>2026-02-18 12:01:16.768</t>
        </is>
      </c>
      <c r="C3685" t="n">
        <v/>
      </c>
      <c r="D3685" t="inlineStr">
        <is>
          <t>Media file</t>
        </is>
      </c>
      <c r="E3685" t="inlineStr">
        <is>
          <t>player #1:WT\test\c50m3.mp4</t>
        </is>
      </c>
      <c r="F3685" t="n">
        <v>-5.667</v>
      </c>
      <c r="G3685" t="n">
        <v>565.766</v>
      </c>
      <c r="H3685" t="n">
        <v>618.266</v>
      </c>
      <c r="I3685" t="n">
        <v>30</v>
      </c>
      <c r="J3685" t="inlineStr">
        <is>
          <t xml:space="preserve"> WT</t>
        </is>
      </c>
      <c r="K3685" t="inlineStr">
        <is>
          <t>Male</t>
        </is>
      </c>
      <c r="L3685" t="inlineStr">
        <is>
          <t>No focal subject</t>
        </is>
      </c>
      <c r="M3685" t="n">
        <v>55.433</v>
      </c>
      <c r="N3685" t="inlineStr">
        <is>
          <t>Explore_F</t>
        </is>
      </c>
      <c r="O3685" t="inlineStr">
        <is>
          <t>Familiar</t>
        </is>
      </c>
      <c r="P3685" t="inlineStr">
        <is>
          <t>STATE</t>
        </is>
      </c>
      <c r="Q3685" t="n">
        <v>394.133</v>
      </c>
      <c r="R3685" t="n">
        <v>394.999</v>
      </c>
      <c r="S3685" t="n">
        <v>0.866</v>
      </c>
      <c r="T3685" t="inlineStr">
        <is>
          <t>WT\test\c50m3.mp4</t>
        </is>
      </c>
      <c r="U3685" t="n">
        <v>11992</v>
      </c>
      <c r="V3685" t="n">
        <v>12018</v>
      </c>
      <c r="W3685" t="n">
        <v/>
      </c>
      <c r="X3685" t="n">
        <v/>
      </c>
      <c r="Y3685" t="n">
        <v/>
      </c>
      <c r="Z3685" t="n">
        <v/>
      </c>
      <c r="AA3685">
        <f>SUMIFS($S$2:S3685,$A$2:A3685,A3685,$N$2:N3685,"Explore*")</f>
        <v/>
      </c>
      <c r="AB3685">
        <f>IF(AND(LEFT(N3685,7)="Explore",(AA3685-IF(LEFT(N3685,7)="Explore",S3685,0))&lt;10),"SI","NO")</f>
        <v/>
      </c>
    </row>
    <row r="3686">
      <c r="A3686" t="inlineStr">
        <is>
          <t>c50m3_test</t>
        </is>
      </c>
      <c r="B3686" t="inlineStr">
        <is>
          <t>2026-02-18 12:01:16.768</t>
        </is>
      </c>
      <c r="C3686" t="n">
        <v/>
      </c>
      <c r="D3686" t="inlineStr">
        <is>
          <t>Media file</t>
        </is>
      </c>
      <c r="E3686" t="inlineStr">
        <is>
          <t>player #1:WT\test\c50m3.mp4</t>
        </is>
      </c>
      <c r="F3686" t="n">
        <v>-5.667</v>
      </c>
      <c r="G3686" t="n">
        <v>565.766</v>
      </c>
      <c r="H3686" t="n">
        <v>618.266</v>
      </c>
      <c r="I3686" t="n">
        <v>30</v>
      </c>
      <c r="J3686" t="inlineStr">
        <is>
          <t xml:space="preserve"> WT</t>
        </is>
      </c>
      <c r="K3686" t="inlineStr">
        <is>
          <t>Male</t>
        </is>
      </c>
      <c r="L3686" t="inlineStr">
        <is>
          <t>No focal subject</t>
        </is>
      </c>
      <c r="M3686" t="n">
        <v>55.433</v>
      </c>
      <c r="N3686" t="inlineStr">
        <is>
          <t>Explore_N</t>
        </is>
      </c>
      <c r="O3686" t="inlineStr">
        <is>
          <t>Novelty</t>
        </is>
      </c>
      <c r="P3686" t="inlineStr">
        <is>
          <t>STATE</t>
        </is>
      </c>
      <c r="Q3686" t="n">
        <v>397.899</v>
      </c>
      <c r="R3686" t="n">
        <v>398.199</v>
      </c>
      <c r="S3686" t="n">
        <v>0.3</v>
      </c>
      <c r="T3686" t="inlineStr">
        <is>
          <t>WT\test\c50m3.mp4</t>
        </is>
      </c>
      <c r="U3686" t="n">
        <v>12104</v>
      </c>
      <c r="V3686" t="n">
        <v>12113</v>
      </c>
      <c r="W3686" t="n">
        <v/>
      </c>
      <c r="X3686" t="n">
        <v/>
      </c>
      <c r="Y3686" t="n">
        <v/>
      </c>
      <c r="Z3686" t="n">
        <v/>
      </c>
      <c r="AA3686">
        <f>SUMIFS($S$2:S3686,$A$2:A3686,A3686,$N$2:N3686,"Explore*")</f>
        <v/>
      </c>
      <c r="AB3686">
        <f>IF(AND(LEFT(N3686,7)="Explore",(AA3686-IF(LEFT(N3686,7)="Explore",S3686,0))&lt;10),"SI","NO")</f>
        <v/>
      </c>
    </row>
    <row r="3687">
      <c r="A3687" t="inlineStr">
        <is>
          <t>c50m3_test</t>
        </is>
      </c>
      <c r="B3687" t="inlineStr">
        <is>
          <t>2026-02-18 12:01:16.768</t>
        </is>
      </c>
      <c r="C3687" t="n">
        <v/>
      </c>
      <c r="D3687" t="inlineStr">
        <is>
          <t>Media file</t>
        </is>
      </c>
      <c r="E3687" t="inlineStr">
        <is>
          <t>player #1:WT\test\c50m3.mp4</t>
        </is>
      </c>
      <c r="F3687" t="n">
        <v>-5.667</v>
      </c>
      <c r="G3687" t="n">
        <v>565.766</v>
      </c>
      <c r="H3687" t="n">
        <v>618.266</v>
      </c>
      <c r="I3687" t="n">
        <v>30</v>
      </c>
      <c r="J3687" t="inlineStr">
        <is>
          <t xml:space="preserve"> WT</t>
        </is>
      </c>
      <c r="K3687" t="inlineStr">
        <is>
          <t>Male</t>
        </is>
      </c>
      <c r="L3687" t="inlineStr">
        <is>
          <t>No focal subject</t>
        </is>
      </c>
      <c r="M3687" t="n">
        <v>55.433</v>
      </c>
      <c r="N3687" t="inlineStr">
        <is>
          <t>Explore_F</t>
        </is>
      </c>
      <c r="O3687" t="inlineStr">
        <is>
          <t>Familiar</t>
        </is>
      </c>
      <c r="P3687" t="inlineStr">
        <is>
          <t>STATE</t>
        </is>
      </c>
      <c r="Q3687" t="n">
        <v>421.133</v>
      </c>
      <c r="R3687" t="n">
        <v>421.433</v>
      </c>
      <c r="S3687" t="n">
        <v>0.3</v>
      </c>
      <c r="T3687" t="inlineStr">
        <is>
          <t>WT\test\c50m3.mp4</t>
        </is>
      </c>
      <c r="U3687" t="n">
        <v>12801</v>
      </c>
      <c r="V3687" t="n">
        <v>12810</v>
      </c>
      <c r="W3687" t="n">
        <v/>
      </c>
      <c r="X3687" t="n">
        <v/>
      </c>
      <c r="Y3687" t="n">
        <v/>
      </c>
      <c r="Z3687" t="n">
        <v/>
      </c>
      <c r="AA3687">
        <f>SUMIFS($S$2:S3687,$A$2:A3687,A3687,$N$2:N3687,"Explore*")</f>
        <v/>
      </c>
      <c r="AB3687">
        <f>IF(AND(LEFT(N3687,7)="Explore",(AA3687-IF(LEFT(N3687,7)="Explore",S3687,0))&lt;10),"SI","NO")</f>
        <v/>
      </c>
    </row>
    <row r="3688">
      <c r="A3688" t="inlineStr">
        <is>
          <t>c50m3_test</t>
        </is>
      </c>
      <c r="B3688" t="inlineStr">
        <is>
          <t>2026-02-18 12:01:16.768</t>
        </is>
      </c>
      <c r="C3688" t="n">
        <v/>
      </c>
      <c r="D3688" t="inlineStr">
        <is>
          <t>Media file</t>
        </is>
      </c>
      <c r="E3688" t="inlineStr">
        <is>
          <t>player #1:WT\test\c50m3.mp4</t>
        </is>
      </c>
      <c r="F3688" t="n">
        <v>-5.667</v>
      </c>
      <c r="G3688" t="n">
        <v>565.766</v>
      </c>
      <c r="H3688" t="n">
        <v>618.266</v>
      </c>
      <c r="I3688" t="n">
        <v>30</v>
      </c>
      <c r="J3688" t="inlineStr">
        <is>
          <t xml:space="preserve"> WT</t>
        </is>
      </c>
      <c r="K3688" t="inlineStr">
        <is>
          <t>Male</t>
        </is>
      </c>
      <c r="L3688" t="inlineStr">
        <is>
          <t>No focal subject</t>
        </is>
      </c>
      <c r="M3688" t="n">
        <v>55.433</v>
      </c>
      <c r="N3688" t="inlineStr">
        <is>
          <t>Explore_F</t>
        </is>
      </c>
      <c r="O3688" t="inlineStr">
        <is>
          <t>Familiar</t>
        </is>
      </c>
      <c r="P3688" t="inlineStr">
        <is>
          <t>STATE</t>
        </is>
      </c>
      <c r="Q3688" t="n">
        <v>422.699</v>
      </c>
      <c r="R3688" t="n">
        <v>423.233</v>
      </c>
      <c r="S3688" t="n">
        <v>0.534</v>
      </c>
      <c r="T3688" t="inlineStr">
        <is>
          <t>WT\test\c50m3.mp4</t>
        </is>
      </c>
      <c r="U3688" t="n">
        <v>12848</v>
      </c>
      <c r="V3688" t="n">
        <v>12864</v>
      </c>
      <c r="W3688" t="n">
        <v/>
      </c>
      <c r="X3688" t="n">
        <v/>
      </c>
      <c r="Y3688" t="n">
        <v/>
      </c>
      <c r="Z3688" t="n">
        <v/>
      </c>
      <c r="AA3688">
        <f>SUMIFS($S$2:S3688,$A$2:A3688,A3688,$N$2:N3688,"Explore*")</f>
        <v/>
      </c>
      <c r="AB3688">
        <f>IF(AND(LEFT(N3688,7)="Explore",(AA3688-IF(LEFT(N3688,7)="Explore",S3688,0))&lt;10),"SI","NO")</f>
        <v/>
      </c>
    </row>
    <row r="3689">
      <c r="A3689" t="inlineStr">
        <is>
          <t>c50m3_test</t>
        </is>
      </c>
      <c r="B3689" t="inlineStr">
        <is>
          <t>2026-02-18 12:01:16.768</t>
        </is>
      </c>
      <c r="C3689" t="n">
        <v/>
      </c>
      <c r="D3689" t="inlineStr">
        <is>
          <t>Media file</t>
        </is>
      </c>
      <c r="E3689" t="inlineStr">
        <is>
          <t>player #1:WT\test\c50m3.mp4</t>
        </is>
      </c>
      <c r="F3689" t="n">
        <v>-5.667</v>
      </c>
      <c r="G3689" t="n">
        <v>565.766</v>
      </c>
      <c r="H3689" t="n">
        <v>618.266</v>
      </c>
      <c r="I3689" t="n">
        <v>30</v>
      </c>
      <c r="J3689" t="inlineStr">
        <is>
          <t xml:space="preserve"> WT</t>
        </is>
      </c>
      <c r="K3689" t="inlineStr">
        <is>
          <t>Male</t>
        </is>
      </c>
      <c r="L3689" t="inlineStr">
        <is>
          <t>No focal subject</t>
        </is>
      </c>
      <c r="M3689" t="n">
        <v>55.433</v>
      </c>
      <c r="N3689" t="inlineStr">
        <is>
          <t>Explore_F</t>
        </is>
      </c>
      <c r="O3689" t="inlineStr">
        <is>
          <t>Familiar</t>
        </is>
      </c>
      <c r="P3689" t="inlineStr">
        <is>
          <t>STATE</t>
        </is>
      </c>
      <c r="Q3689" t="n">
        <v>443.566</v>
      </c>
      <c r="R3689" t="n">
        <v>446.033</v>
      </c>
      <c r="S3689" t="n">
        <v>2.467</v>
      </c>
      <c r="T3689" t="inlineStr">
        <is>
          <t>WT\test\c50m3.mp4</t>
        </is>
      </c>
      <c r="U3689" t="n">
        <v>13474</v>
      </c>
      <c r="V3689" t="n">
        <v>13548</v>
      </c>
      <c r="W3689" t="n">
        <v/>
      </c>
      <c r="X3689" t="n">
        <v/>
      </c>
      <c r="Y3689" t="n">
        <v/>
      </c>
      <c r="Z3689" t="n">
        <v/>
      </c>
      <c r="AA3689">
        <f>SUMIFS($S$2:S3689,$A$2:A3689,A3689,$N$2:N3689,"Explore*")</f>
        <v/>
      </c>
      <c r="AB3689">
        <f>IF(AND(LEFT(N3689,7)="Explore",(AA3689-IF(LEFT(N3689,7)="Explore",S3689,0))&lt;10),"SI","NO")</f>
        <v/>
      </c>
    </row>
    <row r="3690">
      <c r="A3690" t="inlineStr">
        <is>
          <t>c50m3_test</t>
        </is>
      </c>
      <c r="B3690" t="inlineStr">
        <is>
          <t>2026-02-18 12:01:16.768</t>
        </is>
      </c>
      <c r="C3690" t="n">
        <v/>
      </c>
      <c r="D3690" t="inlineStr">
        <is>
          <t>Media file</t>
        </is>
      </c>
      <c r="E3690" t="inlineStr">
        <is>
          <t>player #1:WT\test\c50m3.mp4</t>
        </is>
      </c>
      <c r="F3690" t="n">
        <v>-5.667</v>
      </c>
      <c r="G3690" t="n">
        <v>565.766</v>
      </c>
      <c r="H3690" t="n">
        <v>618.266</v>
      </c>
      <c r="I3690" t="n">
        <v>30</v>
      </c>
      <c r="J3690" t="inlineStr">
        <is>
          <t xml:space="preserve"> WT</t>
        </is>
      </c>
      <c r="K3690" t="inlineStr">
        <is>
          <t>Male</t>
        </is>
      </c>
      <c r="L3690" t="inlineStr">
        <is>
          <t>No focal subject</t>
        </is>
      </c>
      <c r="M3690" t="n">
        <v>55.433</v>
      </c>
      <c r="N3690" t="inlineStr">
        <is>
          <t>Explore_F</t>
        </is>
      </c>
      <c r="O3690" t="inlineStr">
        <is>
          <t>Familiar</t>
        </is>
      </c>
      <c r="P3690" t="inlineStr">
        <is>
          <t>STATE</t>
        </is>
      </c>
      <c r="Q3690" t="n">
        <v>456.733</v>
      </c>
      <c r="R3690" t="n">
        <v>457.033</v>
      </c>
      <c r="S3690" t="n">
        <v>0.3</v>
      </c>
      <c r="T3690" t="inlineStr">
        <is>
          <t>WT\test\c50m3.mp4</t>
        </is>
      </c>
      <c r="U3690" t="n">
        <v>13869</v>
      </c>
      <c r="V3690" t="n">
        <v>13878</v>
      </c>
      <c r="W3690" t="n">
        <v/>
      </c>
      <c r="X3690" t="n">
        <v/>
      </c>
      <c r="Y3690" t="n">
        <v/>
      </c>
      <c r="Z3690" t="n">
        <v/>
      </c>
      <c r="AA3690">
        <f>SUMIFS($S$2:S3690,$A$2:A3690,A3690,$N$2:N3690,"Explore*")</f>
        <v/>
      </c>
      <c r="AB3690">
        <f>IF(AND(LEFT(N3690,7)="Explore",(AA3690-IF(LEFT(N3690,7)="Explore",S3690,0))&lt;10),"SI","NO")</f>
        <v/>
      </c>
    </row>
    <row r="3691">
      <c r="A3691" t="inlineStr">
        <is>
          <t>c50m3_test</t>
        </is>
      </c>
      <c r="B3691" t="inlineStr">
        <is>
          <t>2026-02-18 12:01:16.768</t>
        </is>
      </c>
      <c r="C3691" t="n">
        <v/>
      </c>
      <c r="D3691" t="inlineStr">
        <is>
          <t>Media file</t>
        </is>
      </c>
      <c r="E3691" t="inlineStr">
        <is>
          <t>player #1:WT\test\c50m3.mp4</t>
        </is>
      </c>
      <c r="F3691" t="n">
        <v>-5.667</v>
      </c>
      <c r="G3691" t="n">
        <v>565.766</v>
      </c>
      <c r="H3691" t="n">
        <v>618.266</v>
      </c>
      <c r="I3691" t="n">
        <v>30</v>
      </c>
      <c r="J3691" t="inlineStr">
        <is>
          <t xml:space="preserve"> WT</t>
        </is>
      </c>
      <c r="K3691" t="inlineStr">
        <is>
          <t>Male</t>
        </is>
      </c>
      <c r="L3691" t="inlineStr">
        <is>
          <t>No focal subject</t>
        </is>
      </c>
      <c r="M3691" t="n">
        <v>55.433</v>
      </c>
      <c r="N3691" t="inlineStr">
        <is>
          <t>Explore_N</t>
        </is>
      </c>
      <c r="O3691" t="inlineStr">
        <is>
          <t>Novelty</t>
        </is>
      </c>
      <c r="P3691" t="inlineStr">
        <is>
          <t>STATE</t>
        </is>
      </c>
      <c r="Q3691" t="n">
        <v>480.633</v>
      </c>
      <c r="R3691" t="n">
        <v>481.566</v>
      </c>
      <c r="S3691" t="n">
        <v>0.9330000000000001</v>
      </c>
      <c r="T3691" t="inlineStr">
        <is>
          <t>WT\test\c50m3.mp4</t>
        </is>
      </c>
      <c r="U3691" t="n">
        <v>14586</v>
      </c>
      <c r="V3691" t="n">
        <v>14615</v>
      </c>
      <c r="W3691" t="n">
        <v/>
      </c>
      <c r="X3691" t="n">
        <v/>
      </c>
      <c r="Y3691" t="n">
        <v/>
      </c>
      <c r="Z3691" t="n">
        <v/>
      </c>
      <c r="AA3691">
        <f>SUMIFS($S$2:S3691,$A$2:A3691,A3691,$N$2:N3691,"Explore*")</f>
        <v/>
      </c>
      <c r="AB3691">
        <f>IF(AND(LEFT(N3691,7)="Explore",(AA3691-IF(LEFT(N3691,7)="Explore",S3691,0))&lt;10),"SI","NO")</f>
        <v/>
      </c>
    </row>
    <row r="3692">
      <c r="A3692" t="inlineStr">
        <is>
          <t>c50m3_test</t>
        </is>
      </c>
      <c r="B3692" t="inlineStr">
        <is>
          <t>2026-02-18 12:01:16.768</t>
        </is>
      </c>
      <c r="C3692" t="n">
        <v/>
      </c>
      <c r="D3692" t="inlineStr">
        <is>
          <t>Media file</t>
        </is>
      </c>
      <c r="E3692" t="inlineStr">
        <is>
          <t>player #1:WT\test\c50m3.mp4</t>
        </is>
      </c>
      <c r="F3692" t="n">
        <v>-5.667</v>
      </c>
      <c r="G3692" t="n">
        <v>565.766</v>
      </c>
      <c r="H3692" t="n">
        <v>618.266</v>
      </c>
      <c r="I3692" t="n">
        <v>30</v>
      </c>
      <c r="J3692" t="inlineStr">
        <is>
          <t xml:space="preserve"> WT</t>
        </is>
      </c>
      <c r="K3692" t="inlineStr">
        <is>
          <t>Male</t>
        </is>
      </c>
      <c r="L3692" t="inlineStr">
        <is>
          <t>No focal subject</t>
        </is>
      </c>
      <c r="M3692" t="n">
        <v>55.433</v>
      </c>
      <c r="N3692" t="inlineStr">
        <is>
          <t>Explore_N</t>
        </is>
      </c>
      <c r="O3692" t="inlineStr">
        <is>
          <t>Novelty</t>
        </is>
      </c>
      <c r="P3692" t="inlineStr">
        <is>
          <t>STATE</t>
        </is>
      </c>
      <c r="Q3692" t="n">
        <v>487.032</v>
      </c>
      <c r="R3692" t="n">
        <v>487.499</v>
      </c>
      <c r="S3692" t="n">
        <v>0.467</v>
      </c>
      <c r="T3692" t="inlineStr">
        <is>
          <t>WT\test\c50m3.mp4</t>
        </is>
      </c>
      <c r="U3692" t="n">
        <v>14778</v>
      </c>
      <c r="V3692" t="n">
        <v>14792</v>
      </c>
      <c r="W3692" t="n">
        <v/>
      </c>
      <c r="X3692" t="n">
        <v/>
      </c>
      <c r="Y3692" t="n">
        <v/>
      </c>
      <c r="Z3692" t="n">
        <v/>
      </c>
      <c r="AA3692">
        <f>SUMIFS($S$2:S3692,$A$2:A3692,A3692,$N$2:N3692,"Explore*")</f>
        <v/>
      </c>
      <c r="AB3692">
        <f>IF(AND(LEFT(N3692,7)="Explore",(AA3692-IF(LEFT(N3692,7)="Explore",S3692,0))&lt;10),"SI","NO")</f>
        <v/>
      </c>
    </row>
    <row r="3693">
      <c r="A3693" t="inlineStr">
        <is>
          <t>c50m3_test</t>
        </is>
      </c>
      <c r="B3693" t="inlineStr">
        <is>
          <t>2026-02-18 12:01:16.768</t>
        </is>
      </c>
      <c r="C3693" t="n">
        <v/>
      </c>
      <c r="D3693" t="inlineStr">
        <is>
          <t>Media file</t>
        </is>
      </c>
      <c r="E3693" t="inlineStr">
        <is>
          <t>player #1:WT\test\c50m3.mp4</t>
        </is>
      </c>
      <c r="F3693" t="n">
        <v>-5.667</v>
      </c>
      <c r="G3693" t="n">
        <v>565.766</v>
      </c>
      <c r="H3693" t="n">
        <v>618.266</v>
      </c>
      <c r="I3693" t="n">
        <v>30</v>
      </c>
      <c r="J3693" t="inlineStr">
        <is>
          <t xml:space="preserve"> WT</t>
        </is>
      </c>
      <c r="K3693" t="inlineStr">
        <is>
          <t>Male</t>
        </is>
      </c>
      <c r="L3693" t="inlineStr">
        <is>
          <t>No focal subject</t>
        </is>
      </c>
      <c r="M3693" t="n">
        <v>55.433</v>
      </c>
      <c r="N3693" t="inlineStr">
        <is>
          <t>Explore_N</t>
        </is>
      </c>
      <c r="O3693" t="inlineStr">
        <is>
          <t>Novelty</t>
        </is>
      </c>
      <c r="P3693" t="inlineStr">
        <is>
          <t>STATE</t>
        </is>
      </c>
      <c r="Q3693" t="n">
        <v>522.799</v>
      </c>
      <c r="R3693" t="n">
        <v>524.6660000000001</v>
      </c>
      <c r="S3693" t="n">
        <v>1.867</v>
      </c>
      <c r="T3693" t="inlineStr">
        <is>
          <t>WT\test\c50m3.mp4</t>
        </is>
      </c>
      <c r="U3693" t="n">
        <v>15851</v>
      </c>
      <c r="V3693" t="n">
        <v>15907</v>
      </c>
      <c r="W3693" t="n">
        <v/>
      </c>
      <c r="X3693" t="n">
        <v/>
      </c>
      <c r="Y3693" t="n">
        <v/>
      </c>
      <c r="Z3693" t="n">
        <v/>
      </c>
      <c r="AA3693">
        <f>SUMIFS($S$2:S3693,$A$2:A3693,A3693,$N$2:N3693,"Explore*")</f>
        <v/>
      </c>
      <c r="AB3693">
        <f>IF(AND(LEFT(N3693,7)="Explore",(AA3693-IF(LEFT(N3693,7)="Explore",S3693,0))&lt;10),"SI","NO")</f>
        <v/>
      </c>
    </row>
    <row r="3694">
      <c r="A3694" t="inlineStr">
        <is>
          <t>c50m3_test</t>
        </is>
      </c>
      <c r="B3694" t="inlineStr">
        <is>
          <t>2026-02-18 12:01:16.768</t>
        </is>
      </c>
      <c r="C3694" t="n">
        <v/>
      </c>
      <c r="D3694" t="inlineStr">
        <is>
          <t>Media file</t>
        </is>
      </c>
      <c r="E3694" t="inlineStr">
        <is>
          <t>player #1:WT\test\c50m3.mp4</t>
        </is>
      </c>
      <c r="F3694" t="n">
        <v>-5.667</v>
      </c>
      <c r="G3694" t="n">
        <v>565.766</v>
      </c>
      <c r="H3694" t="n">
        <v>618.266</v>
      </c>
      <c r="I3694" t="n">
        <v>30</v>
      </c>
      <c r="J3694" t="inlineStr">
        <is>
          <t xml:space="preserve"> WT</t>
        </is>
      </c>
      <c r="K3694" t="inlineStr">
        <is>
          <t>Male</t>
        </is>
      </c>
      <c r="L3694" t="inlineStr">
        <is>
          <t>No focal subject</t>
        </is>
      </c>
      <c r="M3694" t="n">
        <v>55.433</v>
      </c>
      <c r="N3694" t="inlineStr">
        <is>
          <t>Explore_F</t>
        </is>
      </c>
      <c r="O3694" t="inlineStr">
        <is>
          <t>Familiar</t>
        </is>
      </c>
      <c r="P3694" t="inlineStr">
        <is>
          <t>STATE</t>
        </is>
      </c>
      <c r="Q3694" t="n">
        <v>540.732</v>
      </c>
      <c r="R3694" t="n">
        <v>542.332</v>
      </c>
      <c r="S3694" t="n">
        <v>1.6</v>
      </c>
      <c r="T3694" t="inlineStr">
        <is>
          <t>WT\test\c50m3.mp4</t>
        </is>
      </c>
      <c r="U3694" t="n">
        <v>16389</v>
      </c>
      <c r="V3694" t="n">
        <v>16437</v>
      </c>
      <c r="W3694" t="n">
        <v/>
      </c>
      <c r="X3694" t="n">
        <v/>
      </c>
      <c r="Y3694" t="n">
        <v/>
      </c>
      <c r="Z3694" t="n">
        <v/>
      </c>
      <c r="AA3694">
        <f>SUMIFS($S$2:S3694,$A$2:A3694,A3694,$N$2:N3694,"Explore*")</f>
        <v/>
      </c>
      <c r="AB3694">
        <f>IF(AND(LEFT(N3694,7)="Explore",(AA3694-IF(LEFT(N3694,7)="Explore",S3694,0))&lt;10),"SI","NO")</f>
        <v/>
      </c>
    </row>
    <row r="3695">
      <c r="A3695" t="inlineStr">
        <is>
          <t>c50m3_test</t>
        </is>
      </c>
      <c r="B3695" t="inlineStr">
        <is>
          <t>2026-02-18 12:01:16.768</t>
        </is>
      </c>
      <c r="C3695" t="n">
        <v/>
      </c>
      <c r="D3695" t="inlineStr">
        <is>
          <t>Media file</t>
        </is>
      </c>
      <c r="E3695" t="inlineStr">
        <is>
          <t>player #1:WT\test\c50m3.mp4</t>
        </is>
      </c>
      <c r="F3695" t="n">
        <v>-5.667</v>
      </c>
      <c r="G3695" t="n">
        <v>565.766</v>
      </c>
      <c r="H3695" t="n">
        <v>618.266</v>
      </c>
      <c r="I3695" t="n">
        <v>30</v>
      </c>
      <c r="J3695" t="inlineStr">
        <is>
          <t xml:space="preserve"> WT</t>
        </is>
      </c>
      <c r="K3695" t="inlineStr">
        <is>
          <t>Male</t>
        </is>
      </c>
      <c r="L3695" t="inlineStr">
        <is>
          <t>No focal subject</t>
        </is>
      </c>
      <c r="M3695" t="n">
        <v>55.433</v>
      </c>
      <c r="N3695" t="inlineStr">
        <is>
          <t>Explore_N</t>
        </is>
      </c>
      <c r="O3695" t="inlineStr">
        <is>
          <t>Novelty</t>
        </is>
      </c>
      <c r="P3695" t="inlineStr">
        <is>
          <t>STATE</t>
        </is>
      </c>
      <c r="Q3695" t="n">
        <v>544.966</v>
      </c>
      <c r="R3695" t="n">
        <v>546.299</v>
      </c>
      <c r="S3695" t="n">
        <v>1.333</v>
      </c>
      <c r="T3695" t="inlineStr">
        <is>
          <t>WT\test\c50m3.mp4</t>
        </is>
      </c>
      <c r="U3695" t="n">
        <v>16516</v>
      </c>
      <c r="V3695" t="n">
        <v>16556</v>
      </c>
      <c r="W3695" t="n">
        <v/>
      </c>
      <c r="X3695" t="n">
        <v/>
      </c>
      <c r="Y3695" t="n">
        <v/>
      </c>
      <c r="Z3695" t="n">
        <v/>
      </c>
      <c r="AA3695">
        <f>SUMIFS($S$2:S3695,$A$2:A3695,A3695,$N$2:N3695,"Explore*")</f>
        <v/>
      </c>
      <c r="AB3695">
        <f>IF(AND(LEFT(N3695,7)="Explore",(AA3695-IF(LEFT(N3695,7)="Explore",S3695,0))&lt;10),"SI","NO")</f>
        <v/>
      </c>
    </row>
    <row r="3696">
      <c r="A3696" t="inlineStr">
        <is>
          <t>c50m3_test</t>
        </is>
      </c>
      <c r="B3696" t="inlineStr">
        <is>
          <t>2026-02-18 12:01:16.768</t>
        </is>
      </c>
      <c r="C3696" t="n">
        <v/>
      </c>
      <c r="D3696" t="inlineStr">
        <is>
          <t>Media file</t>
        </is>
      </c>
      <c r="E3696" t="inlineStr">
        <is>
          <t>player #1:WT\test\c50m3.mp4</t>
        </is>
      </c>
      <c r="F3696" t="n">
        <v>-5.667</v>
      </c>
      <c r="G3696" t="n">
        <v>565.766</v>
      </c>
      <c r="H3696" t="n">
        <v>618.266</v>
      </c>
      <c r="I3696" t="n">
        <v>30</v>
      </c>
      <c r="J3696" t="inlineStr">
        <is>
          <t xml:space="preserve"> WT</t>
        </is>
      </c>
      <c r="K3696" t="inlineStr">
        <is>
          <t>Male</t>
        </is>
      </c>
      <c r="L3696" t="inlineStr">
        <is>
          <t>No focal subject</t>
        </is>
      </c>
      <c r="M3696" t="n">
        <v>55.433</v>
      </c>
      <c r="N3696" t="inlineStr">
        <is>
          <t>Explore_N</t>
        </is>
      </c>
      <c r="O3696" t="inlineStr">
        <is>
          <t>Novelty</t>
        </is>
      </c>
      <c r="P3696" t="inlineStr">
        <is>
          <t>STATE</t>
        </is>
      </c>
      <c r="Q3696" t="n">
        <v>547.399</v>
      </c>
      <c r="R3696" t="n">
        <v>549.299</v>
      </c>
      <c r="S3696" t="n">
        <v>1.9</v>
      </c>
      <c r="T3696" t="inlineStr">
        <is>
          <t>WT\test\c50m3.mp4</t>
        </is>
      </c>
      <c r="U3696" t="n">
        <v>16589</v>
      </c>
      <c r="V3696" t="n">
        <v>16646</v>
      </c>
      <c r="W3696" t="n">
        <v/>
      </c>
      <c r="X3696" t="n">
        <v/>
      </c>
      <c r="Y3696" t="n">
        <v/>
      </c>
      <c r="Z3696" t="n">
        <v/>
      </c>
      <c r="AA3696">
        <f>SUMIFS($S$2:S3696,$A$2:A3696,A3696,$N$2:N3696,"Explore*")</f>
        <v/>
      </c>
      <c r="AB3696">
        <f>IF(AND(LEFT(N3696,7)="Explore",(AA3696-IF(LEFT(N3696,7)="Explore",S3696,0))&lt;10),"SI","NO")</f>
        <v/>
      </c>
    </row>
    <row r="3697">
      <c r="A3697" t="inlineStr">
        <is>
          <t>c50m3_test</t>
        </is>
      </c>
      <c r="B3697" t="inlineStr">
        <is>
          <t>2026-02-18 12:01:16.768</t>
        </is>
      </c>
      <c r="C3697" t="n">
        <v/>
      </c>
      <c r="D3697" t="inlineStr">
        <is>
          <t>Media file</t>
        </is>
      </c>
      <c r="E3697" t="inlineStr">
        <is>
          <t>player #1:WT\test\c50m3.mp4</t>
        </is>
      </c>
      <c r="F3697" t="n">
        <v>-5.667</v>
      </c>
      <c r="G3697" t="n">
        <v>565.766</v>
      </c>
      <c r="H3697" t="n">
        <v>618.266</v>
      </c>
      <c r="I3697" t="n">
        <v>30</v>
      </c>
      <c r="J3697" t="inlineStr">
        <is>
          <t xml:space="preserve"> WT</t>
        </is>
      </c>
      <c r="K3697" t="inlineStr">
        <is>
          <t>Male</t>
        </is>
      </c>
      <c r="L3697" t="inlineStr">
        <is>
          <t>No focal subject</t>
        </is>
      </c>
      <c r="M3697" t="n">
        <v>55.433</v>
      </c>
      <c r="N3697" t="inlineStr">
        <is>
          <t>Explore_N</t>
        </is>
      </c>
      <c r="O3697" t="inlineStr">
        <is>
          <t>Novelty</t>
        </is>
      </c>
      <c r="P3697" t="inlineStr">
        <is>
          <t>STATE</t>
        </is>
      </c>
      <c r="Q3697" t="n">
        <v>551.032</v>
      </c>
      <c r="R3697" t="n">
        <v>551.932</v>
      </c>
      <c r="S3697" t="n">
        <v>0.9</v>
      </c>
      <c r="T3697" t="inlineStr">
        <is>
          <t>WT\test\c50m3.mp4</t>
        </is>
      </c>
      <c r="U3697" t="n">
        <v>16698</v>
      </c>
      <c r="V3697" t="n">
        <v>16725</v>
      </c>
      <c r="W3697" t="n">
        <v/>
      </c>
      <c r="X3697" t="n">
        <v/>
      </c>
      <c r="Y3697" t="n">
        <v/>
      </c>
      <c r="Z3697" t="n">
        <v/>
      </c>
      <c r="AA3697">
        <f>SUMIFS($S$2:S3697,$A$2:A3697,A3697,$N$2:N3697,"Explore*")</f>
        <v/>
      </c>
      <c r="AB3697">
        <f>IF(AND(LEFT(N3697,7)="Explore",(AA3697-IF(LEFT(N3697,7)="Explore",S3697,0))&lt;10),"SI","NO")</f>
        <v/>
      </c>
    </row>
    <row r="3698">
      <c r="A3698" t="inlineStr">
        <is>
          <t>c50m3_test</t>
        </is>
      </c>
      <c r="B3698" t="inlineStr">
        <is>
          <t>2026-02-18 12:01:16.768</t>
        </is>
      </c>
      <c r="C3698" t="n">
        <v/>
      </c>
      <c r="D3698" t="inlineStr">
        <is>
          <t>Media file</t>
        </is>
      </c>
      <c r="E3698" t="inlineStr">
        <is>
          <t>player #1:WT\test\c50m3.mp4</t>
        </is>
      </c>
      <c r="F3698" t="n">
        <v>-5.667</v>
      </c>
      <c r="G3698" t="n">
        <v>565.766</v>
      </c>
      <c r="H3698" t="n">
        <v>618.266</v>
      </c>
      <c r="I3698" t="n">
        <v>30</v>
      </c>
      <c r="J3698" t="inlineStr">
        <is>
          <t xml:space="preserve"> WT</t>
        </is>
      </c>
      <c r="K3698" t="inlineStr">
        <is>
          <t>Male</t>
        </is>
      </c>
      <c r="L3698" t="inlineStr">
        <is>
          <t>No focal subject</t>
        </is>
      </c>
      <c r="M3698" t="n">
        <v>55.433</v>
      </c>
      <c r="N3698" t="inlineStr">
        <is>
          <t>Explore_N</t>
        </is>
      </c>
      <c r="O3698" t="inlineStr">
        <is>
          <t>Novelty</t>
        </is>
      </c>
      <c r="P3698" t="inlineStr">
        <is>
          <t>STATE</t>
        </is>
      </c>
      <c r="Q3698" t="n">
        <v>553.6319999999999</v>
      </c>
      <c r="R3698" t="n">
        <v>555.1660000000001</v>
      </c>
      <c r="S3698" t="n">
        <v>1.534</v>
      </c>
      <c r="T3698" t="inlineStr">
        <is>
          <t>WT\test\c50m3.mp4</t>
        </is>
      </c>
      <c r="U3698" t="n">
        <v>16776</v>
      </c>
      <c r="V3698" t="n">
        <v>16821</v>
      </c>
      <c r="W3698" t="n">
        <v/>
      </c>
      <c r="X3698" t="n">
        <v/>
      </c>
      <c r="Y3698" t="n">
        <v/>
      </c>
      <c r="Z3698" t="n">
        <v/>
      </c>
      <c r="AA3698">
        <f>SUMIFS($S$2:S3698,$A$2:A3698,A3698,$N$2:N3698,"Explore*")</f>
        <v/>
      </c>
      <c r="AB3698">
        <f>IF(AND(LEFT(N3698,7)="Explore",(AA3698-IF(LEFT(N3698,7)="Explore",S3698,0))&lt;10),"SI","NO")</f>
        <v/>
      </c>
    </row>
    <row r="3699">
      <c r="A3699" t="inlineStr">
        <is>
          <t>c50m3_test</t>
        </is>
      </c>
      <c r="B3699" t="inlineStr">
        <is>
          <t>2026-02-18 12:01:16.768</t>
        </is>
      </c>
      <c r="C3699" t="n">
        <v/>
      </c>
      <c r="D3699" t="inlineStr">
        <is>
          <t>Media file</t>
        </is>
      </c>
      <c r="E3699" t="inlineStr">
        <is>
          <t>player #1:WT\test\c50m3.mp4</t>
        </is>
      </c>
      <c r="F3699" t="n">
        <v>-5.667</v>
      </c>
      <c r="G3699" t="n">
        <v>565.766</v>
      </c>
      <c r="H3699" t="n">
        <v>618.266</v>
      </c>
      <c r="I3699" t="n">
        <v>30</v>
      </c>
      <c r="J3699" t="inlineStr">
        <is>
          <t xml:space="preserve"> WT</t>
        </is>
      </c>
      <c r="K3699" t="inlineStr">
        <is>
          <t>Male</t>
        </is>
      </c>
      <c r="L3699" t="inlineStr">
        <is>
          <t>No focal subject</t>
        </is>
      </c>
      <c r="M3699" t="n">
        <v>55.433</v>
      </c>
      <c r="N3699" t="inlineStr">
        <is>
          <t>Explore_F</t>
        </is>
      </c>
      <c r="O3699" t="inlineStr">
        <is>
          <t>Familiar</t>
        </is>
      </c>
      <c r="P3699" t="inlineStr">
        <is>
          <t>STATE</t>
        </is>
      </c>
      <c r="Q3699" t="n">
        <v>556.199</v>
      </c>
      <c r="R3699" t="n">
        <v>557.866</v>
      </c>
      <c r="S3699" t="n">
        <v>1.667</v>
      </c>
      <c r="T3699" t="inlineStr">
        <is>
          <t>WT\test\c50m3.mp4</t>
        </is>
      </c>
      <c r="U3699" t="n">
        <v>16852</v>
      </c>
      <c r="V3699" t="n">
        <v>16902</v>
      </c>
      <c r="W3699" t="n">
        <v/>
      </c>
      <c r="X3699" t="n">
        <v/>
      </c>
      <c r="Y3699" t="n">
        <v/>
      </c>
      <c r="Z3699" t="n">
        <v/>
      </c>
      <c r="AA3699">
        <f>SUMIFS($S$2:S3699,$A$2:A3699,A3699,$N$2:N3699,"Explore*")</f>
        <v/>
      </c>
      <c r="AB3699">
        <f>IF(AND(LEFT(N3699,7)="Explore",(AA3699-IF(LEFT(N3699,7)="Explore",S3699,0))&lt;10),"SI","NO")</f>
        <v/>
      </c>
    </row>
    <row r="3700">
      <c r="A3700" t="inlineStr">
        <is>
          <t>c50m3_test</t>
        </is>
      </c>
      <c r="B3700" t="inlineStr">
        <is>
          <t>2026-02-18 12:01:16.768</t>
        </is>
      </c>
      <c r="C3700" t="n">
        <v/>
      </c>
      <c r="D3700" t="inlineStr">
        <is>
          <t>Media file</t>
        </is>
      </c>
      <c r="E3700" t="inlineStr">
        <is>
          <t>player #1:WT\test\c50m3.mp4</t>
        </is>
      </c>
      <c r="F3700" t="n">
        <v>-5.667</v>
      </c>
      <c r="G3700" t="n">
        <v>565.766</v>
      </c>
      <c r="H3700" t="n">
        <v>618.266</v>
      </c>
      <c r="I3700" t="n">
        <v>30</v>
      </c>
      <c r="J3700" t="inlineStr">
        <is>
          <t xml:space="preserve"> WT</t>
        </is>
      </c>
      <c r="K3700" t="inlineStr">
        <is>
          <t>Male</t>
        </is>
      </c>
      <c r="L3700" t="inlineStr">
        <is>
          <t>No focal subject</t>
        </is>
      </c>
      <c r="M3700" t="n">
        <v>55.433</v>
      </c>
      <c r="N3700" t="inlineStr">
        <is>
          <t>Explore_N</t>
        </is>
      </c>
      <c r="O3700" t="inlineStr">
        <is>
          <t>Novelty</t>
        </is>
      </c>
      <c r="P3700" t="inlineStr">
        <is>
          <t>STATE</t>
        </is>
      </c>
      <c r="Q3700" t="n">
        <v>563.466</v>
      </c>
      <c r="R3700" t="n">
        <v>564.766</v>
      </c>
      <c r="S3700" t="n">
        <v>1.3</v>
      </c>
      <c r="T3700" t="inlineStr">
        <is>
          <t>WT\test\c50m3.mp4</t>
        </is>
      </c>
      <c r="U3700" t="n">
        <v>17070</v>
      </c>
      <c r="V3700" t="n">
        <v>17109</v>
      </c>
      <c r="W3700" t="n">
        <v/>
      </c>
      <c r="X3700" t="n">
        <v/>
      </c>
      <c r="Y3700" t="n">
        <v/>
      </c>
      <c r="Z3700" t="n">
        <v/>
      </c>
      <c r="AA3700">
        <f>SUMIFS($S$2:S3700,$A$2:A3700,A3700,$N$2:N3700,"Explore*")</f>
        <v/>
      </c>
      <c r="AB3700">
        <f>IF(AND(LEFT(N3700,7)="Explore",(AA3700-IF(LEFT(N3700,7)="Explore",S3700,0))&lt;10),"SI","NO")</f>
        <v/>
      </c>
    </row>
    <row r="3701">
      <c r="A3701" t="inlineStr">
        <is>
          <t>c50m3_test</t>
        </is>
      </c>
      <c r="B3701" t="inlineStr">
        <is>
          <t>2026-02-18 12:01:16.768</t>
        </is>
      </c>
      <c r="C3701" t="n">
        <v/>
      </c>
      <c r="D3701" t="inlineStr">
        <is>
          <t>Media file</t>
        </is>
      </c>
      <c r="E3701" t="inlineStr">
        <is>
          <t>player #1:WT\test\c50m3.mp4</t>
        </is>
      </c>
      <c r="F3701" t="n">
        <v>-5.667</v>
      </c>
      <c r="G3701" t="n">
        <v>565.766</v>
      </c>
      <c r="H3701" t="n">
        <v>618.266</v>
      </c>
      <c r="I3701" t="n">
        <v>30</v>
      </c>
      <c r="J3701" t="inlineStr">
        <is>
          <t xml:space="preserve"> WT</t>
        </is>
      </c>
      <c r="K3701" t="inlineStr">
        <is>
          <t>Male</t>
        </is>
      </c>
      <c r="L3701" t="inlineStr">
        <is>
          <t>No focal subject</t>
        </is>
      </c>
      <c r="M3701" t="n">
        <v>55.433</v>
      </c>
      <c r="N3701" t="inlineStr">
        <is>
          <t>Explore_N</t>
        </is>
      </c>
      <c r="O3701" t="inlineStr">
        <is>
          <t>Novelty</t>
        </is>
      </c>
      <c r="P3701" t="inlineStr">
        <is>
          <t>STATE</t>
        </is>
      </c>
      <c r="Q3701" t="n">
        <v>566.366</v>
      </c>
      <c r="R3701" t="n">
        <v>567.332</v>
      </c>
      <c r="S3701" t="n">
        <v>0.966</v>
      </c>
      <c r="T3701" t="inlineStr">
        <is>
          <t>WT\test\c50m3.mp4</t>
        </is>
      </c>
      <c r="U3701" t="n">
        <v>17157</v>
      </c>
      <c r="V3701" t="n">
        <v>17186</v>
      </c>
      <c r="W3701" t="n">
        <v/>
      </c>
      <c r="X3701" t="n">
        <v/>
      </c>
      <c r="Y3701" t="n">
        <v/>
      </c>
      <c r="Z3701" t="n">
        <v/>
      </c>
      <c r="AA3701">
        <f>SUMIFS($S$2:S3701,$A$2:A3701,A3701,$N$2:N3701,"Explore*")</f>
        <v/>
      </c>
      <c r="AB3701">
        <f>IF(AND(LEFT(N3701,7)="Explore",(AA3701-IF(LEFT(N3701,7)="Explore",S3701,0))&lt;10),"SI","NO")</f>
        <v/>
      </c>
    </row>
    <row r="3702">
      <c r="A3702" t="inlineStr">
        <is>
          <t>c50m3_test</t>
        </is>
      </c>
      <c r="B3702" t="inlineStr">
        <is>
          <t>2026-02-18 12:01:16.768</t>
        </is>
      </c>
      <c r="C3702" t="n">
        <v/>
      </c>
      <c r="D3702" t="inlineStr">
        <is>
          <t>Media file</t>
        </is>
      </c>
      <c r="E3702" t="inlineStr">
        <is>
          <t>player #1:WT\test\c50m3.mp4</t>
        </is>
      </c>
      <c r="F3702" t="n">
        <v>-5.667</v>
      </c>
      <c r="G3702" t="n">
        <v>565.766</v>
      </c>
      <c r="H3702" t="n">
        <v>618.266</v>
      </c>
      <c r="I3702" t="n">
        <v>30</v>
      </c>
      <c r="J3702" t="inlineStr">
        <is>
          <t xml:space="preserve"> WT</t>
        </is>
      </c>
      <c r="K3702" t="inlineStr">
        <is>
          <t>Male</t>
        </is>
      </c>
      <c r="L3702" t="inlineStr">
        <is>
          <t>No focal subject</t>
        </is>
      </c>
      <c r="M3702" t="n">
        <v>55.433</v>
      </c>
      <c r="N3702" t="inlineStr">
        <is>
          <t>Explore_N</t>
        </is>
      </c>
      <c r="O3702" t="inlineStr">
        <is>
          <t>Novelty</t>
        </is>
      </c>
      <c r="P3702" t="inlineStr">
        <is>
          <t>STATE</t>
        </is>
      </c>
      <c r="Q3702" t="n">
        <v>570.1660000000001</v>
      </c>
      <c r="R3702" t="n">
        <v>570.866</v>
      </c>
      <c r="S3702" t="n">
        <v>0.7</v>
      </c>
      <c r="T3702" t="inlineStr">
        <is>
          <t>WT\test\c50m3.mp4</t>
        </is>
      </c>
      <c r="U3702" t="n">
        <v>17271</v>
      </c>
      <c r="V3702" t="n">
        <v>17292</v>
      </c>
      <c r="W3702" t="n">
        <v/>
      </c>
      <c r="X3702" t="n">
        <v/>
      </c>
      <c r="Y3702" t="n">
        <v/>
      </c>
      <c r="Z3702" t="n">
        <v/>
      </c>
      <c r="AA3702">
        <f>SUMIFS($S$2:S3702,$A$2:A3702,A3702,$N$2:N3702,"Explore*")</f>
        <v/>
      </c>
      <c r="AB3702">
        <f>IF(AND(LEFT(N3702,7)="Explore",(AA3702-IF(LEFT(N3702,7)="Explore",S3702,0))&lt;10),"SI","NO")</f>
        <v/>
      </c>
    </row>
    <row r="3703">
      <c r="A3703" t="inlineStr">
        <is>
          <t>c50m3_test</t>
        </is>
      </c>
      <c r="B3703" t="inlineStr">
        <is>
          <t>2026-02-18 12:01:16.768</t>
        </is>
      </c>
      <c r="C3703" t="n">
        <v/>
      </c>
      <c r="D3703" t="inlineStr">
        <is>
          <t>Media file</t>
        </is>
      </c>
      <c r="E3703" t="inlineStr">
        <is>
          <t>player #1:WT\test\c50m3.mp4</t>
        </is>
      </c>
      <c r="F3703" t="n">
        <v>-5.667</v>
      </c>
      <c r="G3703" t="n">
        <v>565.766</v>
      </c>
      <c r="H3703" t="n">
        <v>618.266</v>
      </c>
      <c r="I3703" t="n">
        <v>30</v>
      </c>
      <c r="J3703" t="inlineStr">
        <is>
          <t xml:space="preserve"> WT</t>
        </is>
      </c>
      <c r="K3703" t="inlineStr">
        <is>
          <t>Male</t>
        </is>
      </c>
      <c r="L3703" t="inlineStr">
        <is>
          <t>No focal subject</t>
        </is>
      </c>
      <c r="M3703" t="n">
        <v>55.433</v>
      </c>
      <c r="N3703" t="inlineStr">
        <is>
          <t>Explore_N</t>
        </is>
      </c>
      <c r="O3703" t="inlineStr">
        <is>
          <t>Novelty</t>
        </is>
      </c>
      <c r="P3703" t="inlineStr">
        <is>
          <t>STATE</t>
        </is>
      </c>
      <c r="Q3703" t="n">
        <v>571.899</v>
      </c>
      <c r="R3703" t="n">
        <v>572.699</v>
      </c>
      <c r="S3703" t="n">
        <v>0.8</v>
      </c>
      <c r="T3703" t="inlineStr">
        <is>
          <t>WT\test\c50m3.mp4</t>
        </is>
      </c>
      <c r="U3703" t="n">
        <v>17323</v>
      </c>
      <c r="V3703" t="n">
        <v>17347</v>
      </c>
      <c r="W3703" t="n">
        <v/>
      </c>
      <c r="X3703" t="n">
        <v/>
      </c>
      <c r="Y3703" t="n">
        <v/>
      </c>
      <c r="Z3703" t="n">
        <v/>
      </c>
      <c r="AA3703">
        <f>SUMIFS($S$2:S3703,$A$2:A3703,A3703,$N$2:N3703,"Explore*")</f>
        <v/>
      </c>
      <c r="AB3703">
        <f>IF(AND(LEFT(N3703,7)="Explore",(AA3703-IF(LEFT(N3703,7)="Explore",S3703,0))&lt;10),"SI","NO")</f>
        <v/>
      </c>
    </row>
    <row r="3704">
      <c r="A3704" t="inlineStr">
        <is>
          <t>c50m3_test</t>
        </is>
      </c>
      <c r="B3704" t="inlineStr">
        <is>
          <t>2026-02-18 12:01:16.768</t>
        </is>
      </c>
      <c r="C3704" t="n">
        <v/>
      </c>
      <c r="D3704" t="inlineStr">
        <is>
          <t>Media file</t>
        </is>
      </c>
      <c r="E3704" t="inlineStr">
        <is>
          <t>player #1:WT\test\c50m3.mp4</t>
        </is>
      </c>
      <c r="F3704" t="n">
        <v>-5.667</v>
      </c>
      <c r="G3704" t="n">
        <v>565.766</v>
      </c>
      <c r="H3704" t="n">
        <v>618.266</v>
      </c>
      <c r="I3704" t="n">
        <v>30</v>
      </c>
      <c r="J3704" t="inlineStr">
        <is>
          <t xml:space="preserve"> WT</t>
        </is>
      </c>
      <c r="K3704" t="inlineStr">
        <is>
          <t>Male</t>
        </is>
      </c>
      <c r="L3704" t="inlineStr">
        <is>
          <t>No focal subject</t>
        </is>
      </c>
      <c r="M3704" t="n">
        <v>55.433</v>
      </c>
      <c r="N3704" t="inlineStr">
        <is>
          <t>Explore_F</t>
        </is>
      </c>
      <c r="O3704" t="inlineStr">
        <is>
          <t>Familiar</t>
        </is>
      </c>
      <c r="P3704" t="inlineStr">
        <is>
          <t>STATE</t>
        </is>
      </c>
      <c r="Q3704" t="n">
        <v>573.532</v>
      </c>
      <c r="R3704" t="n">
        <v>575.066</v>
      </c>
      <c r="S3704" t="n">
        <v>1.534</v>
      </c>
      <c r="T3704" t="inlineStr">
        <is>
          <t>WT\test\c50m3.mp4</t>
        </is>
      </c>
      <c r="U3704" t="n">
        <v>17372</v>
      </c>
      <c r="V3704" t="n">
        <v>17418</v>
      </c>
      <c r="W3704" t="n">
        <v/>
      </c>
      <c r="X3704" t="n">
        <v/>
      </c>
      <c r="Y3704" t="n">
        <v/>
      </c>
      <c r="Z3704" t="n">
        <v/>
      </c>
      <c r="AA3704">
        <f>SUMIFS($S$2:S3704,$A$2:A3704,A3704,$N$2:N3704,"Explore*")</f>
        <v/>
      </c>
      <c r="AB3704">
        <f>IF(AND(LEFT(N3704,7)="Explore",(AA3704-IF(LEFT(N3704,7)="Explore",S3704,0))&lt;10),"SI","NO")</f>
        <v/>
      </c>
    </row>
    <row r="3705">
      <c r="A3705" t="inlineStr">
        <is>
          <t>c52m1_test</t>
        </is>
      </c>
      <c r="B3705" t="inlineStr">
        <is>
          <t>2026-02-18 12:11:32.125</t>
        </is>
      </c>
      <c r="C3705" t="n">
        <v/>
      </c>
      <c r="D3705" t="inlineStr">
        <is>
          <t>Media file</t>
        </is>
      </c>
      <c r="E3705" t="inlineStr">
        <is>
          <t>player #1:WT\test\c52m1.mp4</t>
        </is>
      </c>
      <c r="F3705" t="n">
        <v>-8.699999999999999</v>
      </c>
      <c r="G3705" t="n">
        <v>572.6660000000001</v>
      </c>
      <c r="H3705" t="n">
        <v>622.499</v>
      </c>
      <c r="I3705" t="n">
        <v>30</v>
      </c>
      <c r="J3705" t="inlineStr">
        <is>
          <t xml:space="preserve"> WT</t>
        </is>
      </c>
      <c r="K3705" t="inlineStr">
        <is>
          <t>Male</t>
        </is>
      </c>
      <c r="L3705" t="inlineStr">
        <is>
          <t>No focal subject</t>
        </is>
      </c>
      <c r="M3705" t="n">
        <v>59.664</v>
      </c>
      <c r="N3705" t="inlineStr">
        <is>
          <t>Explore_N</t>
        </is>
      </c>
      <c r="O3705" t="inlineStr">
        <is>
          <t>Novelty</t>
        </is>
      </c>
      <c r="P3705" t="inlineStr">
        <is>
          <t>STATE</t>
        </is>
      </c>
      <c r="Q3705" t="n">
        <v>25.5</v>
      </c>
      <c r="R3705" t="n">
        <v>26.2</v>
      </c>
      <c r="S3705" t="n">
        <v>0.7</v>
      </c>
      <c r="T3705" t="inlineStr">
        <is>
          <t>WT\test\c52m1.mp4</t>
        </is>
      </c>
      <c r="U3705" t="n">
        <v>767</v>
      </c>
      <c r="V3705" t="n">
        <v>786</v>
      </c>
      <c r="W3705" t="n">
        <v/>
      </c>
      <c r="X3705" t="n">
        <v/>
      </c>
      <c r="Y3705" t="n">
        <v/>
      </c>
      <c r="Z3705" t="n">
        <v/>
      </c>
      <c r="AA3705">
        <f>SUMIFS($S$2:S3705,$A$2:A3705,A3705,$N$2:N3705,"Explore*")</f>
        <v/>
      </c>
      <c r="AB3705">
        <f>IF(AND(LEFT(N3705,7)="Explore",(AA3705-IF(LEFT(N3705,7)="Explore",S3705,0))&lt;10),"SI","NO")</f>
        <v/>
      </c>
    </row>
    <row r="3706">
      <c r="A3706" t="inlineStr">
        <is>
          <t>c52m1_test</t>
        </is>
      </c>
      <c r="B3706" t="inlineStr">
        <is>
          <t>2026-02-18 12:11:32.125</t>
        </is>
      </c>
      <c r="C3706" t="n">
        <v/>
      </c>
      <c r="D3706" t="inlineStr">
        <is>
          <t>Media file</t>
        </is>
      </c>
      <c r="E3706" t="inlineStr">
        <is>
          <t>player #1:WT\test\c52m1.mp4</t>
        </is>
      </c>
      <c r="F3706" t="n">
        <v>-8.699999999999999</v>
      </c>
      <c r="G3706" t="n">
        <v>572.6660000000001</v>
      </c>
      <c r="H3706" t="n">
        <v>622.499</v>
      </c>
      <c r="I3706" t="n">
        <v>30</v>
      </c>
      <c r="J3706" t="inlineStr">
        <is>
          <t xml:space="preserve"> WT</t>
        </is>
      </c>
      <c r="K3706" t="inlineStr">
        <is>
          <t>Male</t>
        </is>
      </c>
      <c r="L3706" t="inlineStr">
        <is>
          <t>No focal subject</t>
        </is>
      </c>
      <c r="M3706" t="n">
        <v>59.664</v>
      </c>
      <c r="N3706" t="inlineStr">
        <is>
          <t>Explore_N</t>
        </is>
      </c>
      <c r="O3706" t="inlineStr">
        <is>
          <t>Novelty</t>
        </is>
      </c>
      <c r="P3706" t="inlineStr">
        <is>
          <t>STATE</t>
        </is>
      </c>
      <c r="Q3706" t="n">
        <v>28.633</v>
      </c>
      <c r="R3706" t="n">
        <v>30.067</v>
      </c>
      <c r="S3706" t="n">
        <v>1.434</v>
      </c>
      <c r="T3706" t="inlineStr">
        <is>
          <t>WT\test\c52m1.mp4</t>
        </is>
      </c>
      <c r="U3706" t="n">
        <v>859</v>
      </c>
      <c r="V3706" t="n">
        <v>902</v>
      </c>
      <c r="W3706" t="n">
        <v/>
      </c>
      <c r="X3706" t="n">
        <v/>
      </c>
      <c r="Y3706" t="n">
        <v/>
      </c>
      <c r="Z3706" t="n">
        <v/>
      </c>
      <c r="AA3706">
        <f>SUMIFS($S$2:S3706,$A$2:A3706,A3706,$N$2:N3706,"Explore*")</f>
        <v/>
      </c>
      <c r="AB3706">
        <f>IF(AND(LEFT(N3706,7)="Explore",(AA3706-IF(LEFT(N3706,7)="Explore",S3706,0))&lt;10),"SI","NO")</f>
        <v/>
      </c>
    </row>
    <row r="3707">
      <c r="A3707" t="inlineStr">
        <is>
          <t>c52m1_test</t>
        </is>
      </c>
      <c r="B3707" t="inlineStr">
        <is>
          <t>2026-02-18 12:11:32.125</t>
        </is>
      </c>
      <c r="C3707" t="n">
        <v/>
      </c>
      <c r="D3707" t="inlineStr">
        <is>
          <t>Media file</t>
        </is>
      </c>
      <c r="E3707" t="inlineStr">
        <is>
          <t>player #1:WT\test\c52m1.mp4</t>
        </is>
      </c>
      <c r="F3707" t="n">
        <v>-8.699999999999999</v>
      </c>
      <c r="G3707" t="n">
        <v>572.6660000000001</v>
      </c>
      <c r="H3707" t="n">
        <v>622.499</v>
      </c>
      <c r="I3707" t="n">
        <v>30</v>
      </c>
      <c r="J3707" t="inlineStr">
        <is>
          <t xml:space="preserve"> WT</t>
        </is>
      </c>
      <c r="K3707" t="inlineStr">
        <is>
          <t>Male</t>
        </is>
      </c>
      <c r="L3707" t="inlineStr">
        <is>
          <t>No focal subject</t>
        </is>
      </c>
      <c r="M3707" t="n">
        <v>59.664</v>
      </c>
      <c r="N3707" t="inlineStr">
        <is>
          <t>Explore_N</t>
        </is>
      </c>
      <c r="O3707" t="inlineStr">
        <is>
          <t>Novelty</t>
        </is>
      </c>
      <c r="P3707" t="inlineStr">
        <is>
          <t>STATE</t>
        </is>
      </c>
      <c r="Q3707" t="n">
        <v>37.067</v>
      </c>
      <c r="R3707" t="n">
        <v>38.567</v>
      </c>
      <c r="S3707" t="n">
        <v>1.5</v>
      </c>
      <c r="T3707" t="inlineStr">
        <is>
          <t>WT\test\c52m1.mp4</t>
        </is>
      </c>
      <c r="U3707" t="n">
        <v>1112</v>
      </c>
      <c r="V3707" t="n">
        <v>1157</v>
      </c>
      <c r="W3707" t="n">
        <v/>
      </c>
      <c r="X3707" t="n">
        <v/>
      </c>
      <c r="Y3707" t="n">
        <v/>
      </c>
      <c r="Z3707" t="n">
        <v/>
      </c>
      <c r="AA3707">
        <f>SUMIFS($S$2:S3707,$A$2:A3707,A3707,$N$2:N3707,"Explore*")</f>
        <v/>
      </c>
      <c r="AB3707">
        <f>IF(AND(LEFT(N3707,7)="Explore",(AA3707-IF(LEFT(N3707,7)="Explore",S3707,0))&lt;10),"SI","NO")</f>
        <v/>
      </c>
    </row>
    <row r="3708">
      <c r="A3708" t="inlineStr">
        <is>
          <t>c52m1_test</t>
        </is>
      </c>
      <c r="B3708" t="inlineStr">
        <is>
          <t>2026-02-18 12:11:32.125</t>
        </is>
      </c>
      <c r="C3708" t="n">
        <v/>
      </c>
      <c r="D3708" t="inlineStr">
        <is>
          <t>Media file</t>
        </is>
      </c>
      <c r="E3708" t="inlineStr">
        <is>
          <t>player #1:WT\test\c52m1.mp4</t>
        </is>
      </c>
      <c r="F3708" t="n">
        <v>-8.699999999999999</v>
      </c>
      <c r="G3708" t="n">
        <v>572.6660000000001</v>
      </c>
      <c r="H3708" t="n">
        <v>622.499</v>
      </c>
      <c r="I3708" t="n">
        <v>30</v>
      </c>
      <c r="J3708" t="inlineStr">
        <is>
          <t xml:space="preserve"> WT</t>
        </is>
      </c>
      <c r="K3708" t="inlineStr">
        <is>
          <t>Male</t>
        </is>
      </c>
      <c r="L3708" t="inlineStr">
        <is>
          <t>No focal subject</t>
        </is>
      </c>
      <c r="M3708" t="n">
        <v>59.664</v>
      </c>
      <c r="N3708" t="inlineStr">
        <is>
          <t>Explore_N</t>
        </is>
      </c>
      <c r="O3708" t="inlineStr">
        <is>
          <t>Novelty</t>
        </is>
      </c>
      <c r="P3708" t="inlineStr">
        <is>
          <t>STATE</t>
        </is>
      </c>
      <c r="Q3708" t="n">
        <v>40.067</v>
      </c>
      <c r="R3708" t="n">
        <v>41.633</v>
      </c>
      <c r="S3708" t="n">
        <v>1.566</v>
      </c>
      <c r="T3708" t="inlineStr">
        <is>
          <t>WT\test\c52m1.mp4</t>
        </is>
      </c>
      <c r="U3708" t="n">
        <v>1202</v>
      </c>
      <c r="V3708" t="n">
        <v>1249</v>
      </c>
      <c r="W3708" t="n">
        <v/>
      </c>
      <c r="X3708" t="n">
        <v/>
      </c>
      <c r="Y3708" t="n">
        <v/>
      </c>
      <c r="Z3708" t="n">
        <v/>
      </c>
      <c r="AA3708">
        <f>SUMIFS($S$2:S3708,$A$2:A3708,A3708,$N$2:N3708,"Explore*")</f>
        <v/>
      </c>
      <c r="AB3708">
        <f>IF(AND(LEFT(N3708,7)="Explore",(AA3708-IF(LEFT(N3708,7)="Explore",S3708,0))&lt;10),"SI","NO")</f>
        <v/>
      </c>
    </row>
    <row r="3709">
      <c r="A3709" t="inlineStr">
        <is>
          <t>c52m1_test</t>
        </is>
      </c>
      <c r="B3709" t="inlineStr">
        <is>
          <t>2026-02-18 12:11:32.125</t>
        </is>
      </c>
      <c r="C3709" t="n">
        <v/>
      </c>
      <c r="D3709" t="inlineStr">
        <is>
          <t>Media file</t>
        </is>
      </c>
      <c r="E3709" t="inlineStr">
        <is>
          <t>player #1:WT\test\c52m1.mp4</t>
        </is>
      </c>
      <c r="F3709" t="n">
        <v>-8.699999999999999</v>
      </c>
      <c r="G3709" t="n">
        <v>572.6660000000001</v>
      </c>
      <c r="H3709" t="n">
        <v>622.499</v>
      </c>
      <c r="I3709" t="n">
        <v>30</v>
      </c>
      <c r="J3709" t="inlineStr">
        <is>
          <t xml:space="preserve"> WT</t>
        </is>
      </c>
      <c r="K3709" t="inlineStr">
        <is>
          <t>Male</t>
        </is>
      </c>
      <c r="L3709" t="inlineStr">
        <is>
          <t>No focal subject</t>
        </is>
      </c>
      <c r="M3709" t="n">
        <v>59.664</v>
      </c>
      <c r="N3709" t="inlineStr">
        <is>
          <t>Explore_N</t>
        </is>
      </c>
      <c r="O3709" t="inlineStr">
        <is>
          <t>Novelty</t>
        </is>
      </c>
      <c r="P3709" t="inlineStr">
        <is>
          <t>STATE</t>
        </is>
      </c>
      <c r="Q3709" t="n">
        <v>44.7</v>
      </c>
      <c r="R3709" t="n">
        <v>45.067</v>
      </c>
      <c r="S3709" t="n">
        <v>0.367</v>
      </c>
      <c r="T3709" t="inlineStr">
        <is>
          <t>WT\test\c52m1.mp4</t>
        </is>
      </c>
      <c r="U3709" t="n">
        <v>1341</v>
      </c>
      <c r="V3709" t="n">
        <v>1352</v>
      </c>
      <c r="W3709" t="n">
        <v/>
      </c>
      <c r="X3709" t="n">
        <v/>
      </c>
      <c r="Y3709" t="n">
        <v/>
      </c>
      <c r="Z3709" t="n">
        <v/>
      </c>
      <c r="AA3709">
        <f>SUMIFS($S$2:S3709,$A$2:A3709,A3709,$N$2:N3709,"Explore*")</f>
        <v/>
      </c>
      <c r="AB3709">
        <f>IF(AND(LEFT(N3709,7)="Explore",(AA3709-IF(LEFT(N3709,7)="Explore",S3709,0))&lt;10),"SI","NO")</f>
        <v/>
      </c>
    </row>
    <row r="3710">
      <c r="A3710" t="inlineStr">
        <is>
          <t>c52m1_test</t>
        </is>
      </c>
      <c r="B3710" t="inlineStr">
        <is>
          <t>2026-02-18 12:11:32.125</t>
        </is>
      </c>
      <c r="C3710" t="n">
        <v/>
      </c>
      <c r="D3710" t="inlineStr">
        <is>
          <t>Media file</t>
        </is>
      </c>
      <c r="E3710" t="inlineStr">
        <is>
          <t>player #1:WT\test\c52m1.mp4</t>
        </is>
      </c>
      <c r="F3710" t="n">
        <v>-8.699999999999999</v>
      </c>
      <c r="G3710" t="n">
        <v>572.6660000000001</v>
      </c>
      <c r="H3710" t="n">
        <v>622.499</v>
      </c>
      <c r="I3710" t="n">
        <v>30</v>
      </c>
      <c r="J3710" t="inlineStr">
        <is>
          <t xml:space="preserve"> WT</t>
        </is>
      </c>
      <c r="K3710" t="inlineStr">
        <is>
          <t>Male</t>
        </is>
      </c>
      <c r="L3710" t="inlineStr">
        <is>
          <t>No focal subject</t>
        </is>
      </c>
      <c r="M3710" t="n">
        <v>59.664</v>
      </c>
      <c r="N3710" t="inlineStr">
        <is>
          <t>Explore_N</t>
        </is>
      </c>
      <c r="O3710" t="inlineStr">
        <is>
          <t>Novelty</t>
        </is>
      </c>
      <c r="P3710" t="inlineStr">
        <is>
          <t>STATE</t>
        </is>
      </c>
      <c r="Q3710" t="n">
        <v>48.3</v>
      </c>
      <c r="R3710" t="n">
        <v>49.2</v>
      </c>
      <c r="S3710" t="n">
        <v>0.9</v>
      </c>
      <c r="T3710" t="inlineStr">
        <is>
          <t>WT\test\c52m1.mp4</t>
        </is>
      </c>
      <c r="U3710" t="n">
        <v>1449</v>
      </c>
      <c r="V3710" t="n">
        <v>1476</v>
      </c>
      <c r="W3710" t="n">
        <v/>
      </c>
      <c r="X3710" t="n">
        <v/>
      </c>
      <c r="Y3710" t="n">
        <v/>
      </c>
      <c r="Z3710" t="n">
        <v/>
      </c>
      <c r="AA3710">
        <f>SUMIFS($S$2:S3710,$A$2:A3710,A3710,$N$2:N3710,"Explore*")</f>
        <v/>
      </c>
      <c r="AB3710">
        <f>IF(AND(LEFT(N3710,7)="Explore",(AA3710-IF(LEFT(N3710,7)="Explore",S3710,0))&lt;10),"SI","NO")</f>
        <v/>
      </c>
    </row>
    <row r="3711">
      <c r="A3711" t="inlineStr">
        <is>
          <t>c52m1_test</t>
        </is>
      </c>
      <c r="B3711" t="inlineStr">
        <is>
          <t>2026-02-18 12:11:32.125</t>
        </is>
      </c>
      <c r="C3711" t="n">
        <v/>
      </c>
      <c r="D3711" t="inlineStr">
        <is>
          <t>Media file</t>
        </is>
      </c>
      <c r="E3711" t="inlineStr">
        <is>
          <t>player #1:WT\test\c52m1.mp4</t>
        </is>
      </c>
      <c r="F3711" t="n">
        <v>-8.699999999999999</v>
      </c>
      <c r="G3711" t="n">
        <v>572.6660000000001</v>
      </c>
      <c r="H3711" t="n">
        <v>622.499</v>
      </c>
      <c r="I3711" t="n">
        <v>30</v>
      </c>
      <c r="J3711" t="inlineStr">
        <is>
          <t xml:space="preserve"> WT</t>
        </is>
      </c>
      <c r="K3711" t="inlineStr">
        <is>
          <t>Male</t>
        </is>
      </c>
      <c r="L3711" t="inlineStr">
        <is>
          <t>No focal subject</t>
        </is>
      </c>
      <c r="M3711" t="n">
        <v>59.664</v>
      </c>
      <c r="N3711" t="inlineStr">
        <is>
          <t>Explore_F</t>
        </is>
      </c>
      <c r="O3711" t="inlineStr">
        <is>
          <t>Familiar</t>
        </is>
      </c>
      <c r="P3711" t="inlineStr">
        <is>
          <t>STATE</t>
        </is>
      </c>
      <c r="Q3711" t="n">
        <v>53.433</v>
      </c>
      <c r="R3711" t="n">
        <v>54.9</v>
      </c>
      <c r="S3711" t="n">
        <v>1.467</v>
      </c>
      <c r="T3711" t="inlineStr">
        <is>
          <t>WT\test\c52m1.mp4</t>
        </is>
      </c>
      <c r="U3711" t="n">
        <v>1603</v>
      </c>
      <c r="V3711" t="n">
        <v>1647</v>
      </c>
      <c r="W3711" t="n">
        <v/>
      </c>
      <c r="X3711" t="n">
        <v/>
      </c>
      <c r="Y3711" t="n">
        <v/>
      </c>
      <c r="Z3711" t="n">
        <v/>
      </c>
      <c r="AA3711">
        <f>SUMIFS($S$2:S3711,$A$2:A3711,A3711,$N$2:N3711,"Explore*")</f>
        <v/>
      </c>
      <c r="AB3711">
        <f>IF(AND(LEFT(N3711,7)="Explore",(AA3711-IF(LEFT(N3711,7)="Explore",S3711,0))&lt;10),"SI","NO")</f>
        <v/>
      </c>
    </row>
    <row r="3712">
      <c r="A3712" t="inlineStr">
        <is>
          <t>c52m1_test</t>
        </is>
      </c>
      <c r="B3712" t="inlineStr">
        <is>
          <t>2026-02-18 12:11:32.125</t>
        </is>
      </c>
      <c r="C3712" t="n">
        <v/>
      </c>
      <c r="D3712" t="inlineStr">
        <is>
          <t>Media file</t>
        </is>
      </c>
      <c r="E3712" t="inlineStr">
        <is>
          <t>player #1:WT\test\c52m1.mp4</t>
        </is>
      </c>
      <c r="F3712" t="n">
        <v>-8.699999999999999</v>
      </c>
      <c r="G3712" t="n">
        <v>572.6660000000001</v>
      </c>
      <c r="H3712" t="n">
        <v>622.499</v>
      </c>
      <c r="I3712" t="n">
        <v>30</v>
      </c>
      <c r="J3712" t="inlineStr">
        <is>
          <t xml:space="preserve"> WT</t>
        </is>
      </c>
      <c r="K3712" t="inlineStr">
        <is>
          <t>Male</t>
        </is>
      </c>
      <c r="L3712" t="inlineStr">
        <is>
          <t>No focal subject</t>
        </is>
      </c>
      <c r="M3712" t="n">
        <v>59.664</v>
      </c>
      <c r="N3712" t="inlineStr">
        <is>
          <t>Explore_N</t>
        </is>
      </c>
      <c r="O3712" t="inlineStr">
        <is>
          <t>Novelty</t>
        </is>
      </c>
      <c r="P3712" t="inlineStr">
        <is>
          <t>STATE</t>
        </is>
      </c>
      <c r="Q3712" t="n">
        <v>66.267</v>
      </c>
      <c r="R3712" t="n">
        <v>68.06699999999999</v>
      </c>
      <c r="S3712" t="n">
        <v>1.8</v>
      </c>
      <c r="T3712" t="inlineStr">
        <is>
          <t>WT\test\c52m1.mp4</t>
        </is>
      </c>
      <c r="U3712" t="n">
        <v>1988</v>
      </c>
      <c r="V3712" t="n">
        <v>2042</v>
      </c>
      <c r="W3712" t="n">
        <v/>
      </c>
      <c r="X3712" t="n">
        <v/>
      </c>
      <c r="Y3712" t="n">
        <v/>
      </c>
      <c r="Z3712" t="n">
        <v/>
      </c>
      <c r="AA3712">
        <f>SUMIFS($S$2:S3712,$A$2:A3712,A3712,$N$2:N3712,"Explore*")</f>
        <v/>
      </c>
      <c r="AB3712">
        <f>IF(AND(LEFT(N3712,7)="Explore",(AA3712-IF(LEFT(N3712,7)="Explore",S3712,0))&lt;10),"SI","NO")</f>
        <v/>
      </c>
    </row>
    <row r="3713">
      <c r="A3713" t="inlineStr">
        <is>
          <t>c52m1_test</t>
        </is>
      </c>
      <c r="B3713" t="inlineStr">
        <is>
          <t>2026-02-18 12:11:32.125</t>
        </is>
      </c>
      <c r="C3713" t="n">
        <v/>
      </c>
      <c r="D3713" t="inlineStr">
        <is>
          <t>Media file</t>
        </is>
      </c>
      <c r="E3713" t="inlineStr">
        <is>
          <t>player #1:WT\test\c52m1.mp4</t>
        </is>
      </c>
      <c r="F3713" t="n">
        <v>-8.699999999999999</v>
      </c>
      <c r="G3713" t="n">
        <v>572.6660000000001</v>
      </c>
      <c r="H3713" t="n">
        <v>622.499</v>
      </c>
      <c r="I3713" t="n">
        <v>30</v>
      </c>
      <c r="J3713" t="inlineStr">
        <is>
          <t xml:space="preserve"> WT</t>
        </is>
      </c>
      <c r="K3713" t="inlineStr">
        <is>
          <t>Male</t>
        </is>
      </c>
      <c r="L3713" t="inlineStr">
        <is>
          <t>No focal subject</t>
        </is>
      </c>
      <c r="M3713" t="n">
        <v>59.664</v>
      </c>
      <c r="N3713" t="inlineStr">
        <is>
          <t>Explore_F</t>
        </is>
      </c>
      <c r="O3713" t="inlineStr">
        <is>
          <t>Familiar</t>
        </is>
      </c>
      <c r="P3713" t="inlineStr">
        <is>
          <t>STATE</t>
        </is>
      </c>
      <c r="Q3713" t="n">
        <v>68.767</v>
      </c>
      <c r="R3713" t="n">
        <v>69.033</v>
      </c>
      <c r="S3713" t="n">
        <v>0.266</v>
      </c>
      <c r="T3713" t="inlineStr">
        <is>
          <t>WT\test\c52m1.mp4</t>
        </is>
      </c>
      <c r="U3713" t="n">
        <v>2063</v>
      </c>
      <c r="V3713" t="n">
        <v>2072</v>
      </c>
      <c r="W3713" t="n">
        <v/>
      </c>
      <c r="X3713" t="n">
        <v/>
      </c>
      <c r="Y3713" t="n">
        <v/>
      </c>
      <c r="Z3713" t="n">
        <v/>
      </c>
      <c r="AA3713">
        <f>SUMIFS($S$2:S3713,$A$2:A3713,A3713,$N$2:N3713,"Explore*")</f>
        <v/>
      </c>
      <c r="AB3713">
        <f>IF(AND(LEFT(N3713,7)="Explore",(AA3713-IF(LEFT(N3713,7)="Explore",S3713,0))&lt;10),"SI","NO")</f>
        <v/>
      </c>
    </row>
    <row r="3714">
      <c r="A3714" t="inlineStr">
        <is>
          <t>c52m1_test</t>
        </is>
      </c>
      <c r="B3714" t="inlineStr">
        <is>
          <t>2026-02-18 12:11:32.125</t>
        </is>
      </c>
      <c r="C3714" t="n">
        <v/>
      </c>
      <c r="D3714" t="inlineStr">
        <is>
          <t>Media file</t>
        </is>
      </c>
      <c r="E3714" t="inlineStr">
        <is>
          <t>player #1:WT\test\c52m1.mp4</t>
        </is>
      </c>
      <c r="F3714" t="n">
        <v>-8.699999999999999</v>
      </c>
      <c r="G3714" t="n">
        <v>572.6660000000001</v>
      </c>
      <c r="H3714" t="n">
        <v>622.499</v>
      </c>
      <c r="I3714" t="n">
        <v>30</v>
      </c>
      <c r="J3714" t="inlineStr">
        <is>
          <t xml:space="preserve"> WT</t>
        </is>
      </c>
      <c r="K3714" t="inlineStr">
        <is>
          <t>Male</t>
        </is>
      </c>
      <c r="L3714" t="inlineStr">
        <is>
          <t>No focal subject</t>
        </is>
      </c>
      <c r="M3714" t="n">
        <v>59.664</v>
      </c>
      <c r="N3714" t="inlineStr">
        <is>
          <t>Explore_N</t>
        </is>
      </c>
      <c r="O3714" t="inlineStr">
        <is>
          <t>Novelty</t>
        </is>
      </c>
      <c r="P3714" t="inlineStr">
        <is>
          <t>STATE</t>
        </is>
      </c>
      <c r="Q3714" t="n">
        <v>95.767</v>
      </c>
      <c r="R3714" t="n">
        <v>96.06699999999999</v>
      </c>
      <c r="S3714" t="n">
        <v>0.3</v>
      </c>
      <c r="T3714" t="inlineStr">
        <is>
          <t>WT\test\c52m1.mp4</t>
        </is>
      </c>
      <c r="U3714" t="n">
        <v>2873</v>
      </c>
      <c r="V3714" t="n">
        <v>2882</v>
      </c>
      <c r="W3714" t="n">
        <v/>
      </c>
      <c r="X3714" t="n">
        <v/>
      </c>
      <c r="Y3714" t="n">
        <v/>
      </c>
      <c r="Z3714" t="n">
        <v/>
      </c>
      <c r="AA3714">
        <f>SUMIFS($S$2:S3714,$A$2:A3714,A3714,$N$2:N3714,"Explore*")</f>
        <v/>
      </c>
      <c r="AB3714">
        <f>IF(AND(LEFT(N3714,7)="Explore",(AA3714-IF(LEFT(N3714,7)="Explore",S3714,0))&lt;10),"SI","NO")</f>
        <v/>
      </c>
    </row>
    <row r="3715">
      <c r="A3715" t="inlineStr">
        <is>
          <t>c52m1_test</t>
        </is>
      </c>
      <c r="B3715" t="inlineStr">
        <is>
          <t>2026-02-18 12:11:32.125</t>
        </is>
      </c>
      <c r="C3715" t="n">
        <v/>
      </c>
      <c r="D3715" t="inlineStr">
        <is>
          <t>Media file</t>
        </is>
      </c>
      <c r="E3715" t="inlineStr">
        <is>
          <t>player #1:WT\test\c52m1.mp4</t>
        </is>
      </c>
      <c r="F3715" t="n">
        <v>-8.699999999999999</v>
      </c>
      <c r="G3715" t="n">
        <v>572.6660000000001</v>
      </c>
      <c r="H3715" t="n">
        <v>622.499</v>
      </c>
      <c r="I3715" t="n">
        <v>30</v>
      </c>
      <c r="J3715" t="inlineStr">
        <is>
          <t xml:space="preserve"> WT</t>
        </is>
      </c>
      <c r="K3715" t="inlineStr">
        <is>
          <t>Male</t>
        </is>
      </c>
      <c r="L3715" t="inlineStr">
        <is>
          <t>No focal subject</t>
        </is>
      </c>
      <c r="M3715" t="n">
        <v>59.664</v>
      </c>
      <c r="N3715" t="inlineStr">
        <is>
          <t>Explore_F</t>
        </is>
      </c>
      <c r="O3715" t="inlineStr">
        <is>
          <t>Familiar</t>
        </is>
      </c>
      <c r="P3715" t="inlineStr">
        <is>
          <t>STATE</t>
        </is>
      </c>
      <c r="Q3715" t="n">
        <v>103.367</v>
      </c>
      <c r="R3715" t="n">
        <v>104.133</v>
      </c>
      <c r="S3715" t="n">
        <v>0.766</v>
      </c>
      <c r="T3715" t="inlineStr">
        <is>
          <t>WT\test\c52m1.mp4</t>
        </is>
      </c>
      <c r="U3715" t="n">
        <v>3101</v>
      </c>
      <c r="V3715" t="n">
        <v>3124</v>
      </c>
      <c r="W3715" t="n">
        <v/>
      </c>
      <c r="X3715" t="n">
        <v/>
      </c>
      <c r="Y3715" t="n">
        <v/>
      </c>
      <c r="Z3715" t="n">
        <v/>
      </c>
      <c r="AA3715">
        <f>SUMIFS($S$2:S3715,$A$2:A3715,A3715,$N$2:N3715,"Explore*")</f>
        <v/>
      </c>
      <c r="AB3715">
        <f>IF(AND(LEFT(N3715,7)="Explore",(AA3715-IF(LEFT(N3715,7)="Explore",S3715,0))&lt;10),"SI","NO")</f>
        <v/>
      </c>
    </row>
    <row r="3716">
      <c r="A3716" t="inlineStr">
        <is>
          <t>c52m1_test</t>
        </is>
      </c>
      <c r="B3716" t="inlineStr">
        <is>
          <t>2026-02-18 12:11:32.125</t>
        </is>
      </c>
      <c r="C3716" t="n">
        <v/>
      </c>
      <c r="D3716" t="inlineStr">
        <is>
          <t>Media file</t>
        </is>
      </c>
      <c r="E3716" t="inlineStr">
        <is>
          <t>player #1:WT\test\c52m1.mp4</t>
        </is>
      </c>
      <c r="F3716" t="n">
        <v>-8.699999999999999</v>
      </c>
      <c r="G3716" t="n">
        <v>572.6660000000001</v>
      </c>
      <c r="H3716" t="n">
        <v>622.499</v>
      </c>
      <c r="I3716" t="n">
        <v>30</v>
      </c>
      <c r="J3716" t="inlineStr">
        <is>
          <t xml:space="preserve"> WT</t>
        </is>
      </c>
      <c r="K3716" t="inlineStr">
        <is>
          <t>Male</t>
        </is>
      </c>
      <c r="L3716" t="inlineStr">
        <is>
          <t>No focal subject</t>
        </is>
      </c>
      <c r="M3716" t="n">
        <v>59.664</v>
      </c>
      <c r="N3716" t="inlineStr">
        <is>
          <t>Explore_N</t>
        </is>
      </c>
      <c r="O3716" t="inlineStr">
        <is>
          <t>Novelty</t>
        </is>
      </c>
      <c r="P3716" t="inlineStr">
        <is>
          <t>STATE</t>
        </is>
      </c>
      <c r="Q3716" t="n">
        <v>109.167</v>
      </c>
      <c r="R3716" t="n">
        <v>109.767</v>
      </c>
      <c r="S3716" t="n">
        <v>0.6</v>
      </c>
      <c r="T3716" t="inlineStr">
        <is>
          <t>WT\test\c52m1.mp4</t>
        </is>
      </c>
      <c r="U3716" t="n">
        <v>3275</v>
      </c>
      <c r="V3716" t="n">
        <v>3293</v>
      </c>
      <c r="W3716" t="n">
        <v/>
      </c>
      <c r="X3716" t="n">
        <v/>
      </c>
      <c r="Y3716" t="n">
        <v/>
      </c>
      <c r="Z3716" t="n">
        <v/>
      </c>
      <c r="AA3716">
        <f>SUMIFS($S$2:S3716,$A$2:A3716,A3716,$N$2:N3716,"Explore*")</f>
        <v/>
      </c>
      <c r="AB3716">
        <f>IF(AND(LEFT(N3716,7)="Explore",(AA3716-IF(LEFT(N3716,7)="Explore",S3716,0))&lt;10),"SI","NO")</f>
        <v/>
      </c>
    </row>
    <row r="3717">
      <c r="A3717" t="inlineStr">
        <is>
          <t>c52m1_test</t>
        </is>
      </c>
      <c r="B3717" t="inlineStr">
        <is>
          <t>2026-02-18 12:11:32.125</t>
        </is>
      </c>
      <c r="C3717" t="n">
        <v/>
      </c>
      <c r="D3717" t="inlineStr">
        <is>
          <t>Media file</t>
        </is>
      </c>
      <c r="E3717" t="inlineStr">
        <is>
          <t>player #1:WT\test\c52m1.mp4</t>
        </is>
      </c>
      <c r="F3717" t="n">
        <v>-8.699999999999999</v>
      </c>
      <c r="G3717" t="n">
        <v>572.6660000000001</v>
      </c>
      <c r="H3717" t="n">
        <v>622.499</v>
      </c>
      <c r="I3717" t="n">
        <v>30</v>
      </c>
      <c r="J3717" t="inlineStr">
        <is>
          <t xml:space="preserve"> WT</t>
        </is>
      </c>
      <c r="K3717" t="inlineStr">
        <is>
          <t>Male</t>
        </is>
      </c>
      <c r="L3717" t="inlineStr">
        <is>
          <t>No focal subject</t>
        </is>
      </c>
      <c r="M3717" t="n">
        <v>59.664</v>
      </c>
      <c r="N3717" t="inlineStr">
        <is>
          <t>Explore_F</t>
        </is>
      </c>
      <c r="O3717" t="inlineStr">
        <is>
          <t>Familiar</t>
        </is>
      </c>
      <c r="P3717" t="inlineStr">
        <is>
          <t>STATE</t>
        </is>
      </c>
      <c r="Q3717" t="n">
        <v>119.2</v>
      </c>
      <c r="R3717" t="n">
        <v>119.667</v>
      </c>
      <c r="S3717" t="n">
        <v>0.467</v>
      </c>
      <c r="T3717" t="inlineStr">
        <is>
          <t>WT\test\c52m1.mp4</t>
        </is>
      </c>
      <c r="U3717" t="n">
        <v>3576</v>
      </c>
      <c r="V3717" t="n">
        <v>3590</v>
      </c>
      <c r="W3717" t="n">
        <v/>
      </c>
      <c r="X3717" t="n">
        <v/>
      </c>
      <c r="Y3717" t="n">
        <v/>
      </c>
      <c r="Z3717" t="n">
        <v/>
      </c>
      <c r="AA3717">
        <f>SUMIFS($S$2:S3717,$A$2:A3717,A3717,$N$2:N3717,"Explore*")</f>
        <v/>
      </c>
      <c r="AB3717">
        <f>IF(AND(LEFT(N3717,7)="Explore",(AA3717-IF(LEFT(N3717,7)="Explore",S3717,0))&lt;10),"SI","NO")</f>
        <v/>
      </c>
    </row>
    <row r="3718">
      <c r="A3718" t="inlineStr">
        <is>
          <t>c52m1_test</t>
        </is>
      </c>
      <c r="B3718" t="inlineStr">
        <is>
          <t>2026-02-18 12:11:32.125</t>
        </is>
      </c>
      <c r="C3718" t="n">
        <v/>
      </c>
      <c r="D3718" t="inlineStr">
        <is>
          <t>Media file</t>
        </is>
      </c>
      <c r="E3718" t="inlineStr">
        <is>
          <t>player #1:WT\test\c52m1.mp4</t>
        </is>
      </c>
      <c r="F3718" t="n">
        <v>-8.699999999999999</v>
      </c>
      <c r="G3718" t="n">
        <v>572.6660000000001</v>
      </c>
      <c r="H3718" t="n">
        <v>622.499</v>
      </c>
      <c r="I3718" t="n">
        <v>30</v>
      </c>
      <c r="J3718" t="inlineStr">
        <is>
          <t xml:space="preserve"> WT</t>
        </is>
      </c>
      <c r="K3718" t="inlineStr">
        <is>
          <t>Male</t>
        </is>
      </c>
      <c r="L3718" t="inlineStr">
        <is>
          <t>No focal subject</t>
        </is>
      </c>
      <c r="M3718" t="n">
        <v>59.664</v>
      </c>
      <c r="N3718" t="inlineStr">
        <is>
          <t>Explore_F</t>
        </is>
      </c>
      <c r="O3718" t="inlineStr">
        <is>
          <t>Familiar</t>
        </is>
      </c>
      <c r="P3718" t="inlineStr">
        <is>
          <t>STATE</t>
        </is>
      </c>
      <c r="Q3718" t="n">
        <v>121.767</v>
      </c>
      <c r="R3718" t="n">
        <v>123.367</v>
      </c>
      <c r="S3718" t="n">
        <v>1.6</v>
      </c>
      <c r="T3718" t="inlineStr">
        <is>
          <t>WT\test\c52m1.mp4</t>
        </is>
      </c>
      <c r="U3718" t="n">
        <v>3653</v>
      </c>
      <c r="V3718" t="n">
        <v>3701</v>
      </c>
      <c r="W3718" t="n">
        <v/>
      </c>
      <c r="X3718" t="n">
        <v/>
      </c>
      <c r="Y3718" t="n">
        <v/>
      </c>
      <c r="Z3718" t="n">
        <v/>
      </c>
      <c r="AA3718">
        <f>SUMIFS($S$2:S3718,$A$2:A3718,A3718,$N$2:N3718,"Explore*")</f>
        <v/>
      </c>
      <c r="AB3718">
        <f>IF(AND(LEFT(N3718,7)="Explore",(AA3718-IF(LEFT(N3718,7)="Explore",S3718,0))&lt;10),"SI","NO")</f>
        <v/>
      </c>
    </row>
    <row r="3719">
      <c r="A3719" t="inlineStr">
        <is>
          <t>c52m1_test</t>
        </is>
      </c>
      <c r="B3719" t="inlineStr">
        <is>
          <t>2026-02-18 12:11:32.125</t>
        </is>
      </c>
      <c r="C3719" t="n">
        <v/>
      </c>
      <c r="D3719" t="inlineStr">
        <is>
          <t>Media file</t>
        </is>
      </c>
      <c r="E3719" t="inlineStr">
        <is>
          <t>player #1:WT\test\c52m1.mp4</t>
        </is>
      </c>
      <c r="F3719" t="n">
        <v>-8.699999999999999</v>
      </c>
      <c r="G3719" t="n">
        <v>572.6660000000001</v>
      </c>
      <c r="H3719" t="n">
        <v>622.499</v>
      </c>
      <c r="I3719" t="n">
        <v>30</v>
      </c>
      <c r="J3719" t="inlineStr">
        <is>
          <t xml:space="preserve"> WT</t>
        </is>
      </c>
      <c r="K3719" t="inlineStr">
        <is>
          <t>Male</t>
        </is>
      </c>
      <c r="L3719" t="inlineStr">
        <is>
          <t>No focal subject</t>
        </is>
      </c>
      <c r="M3719" t="n">
        <v>59.664</v>
      </c>
      <c r="N3719" t="inlineStr">
        <is>
          <t>Explore_N</t>
        </is>
      </c>
      <c r="O3719" t="inlineStr">
        <is>
          <t>Novelty</t>
        </is>
      </c>
      <c r="P3719" t="inlineStr">
        <is>
          <t>STATE</t>
        </is>
      </c>
      <c r="Q3719" t="n">
        <v>143.467</v>
      </c>
      <c r="R3719" t="n">
        <v>146.233</v>
      </c>
      <c r="S3719" t="n">
        <v>2.766</v>
      </c>
      <c r="T3719" t="inlineStr">
        <is>
          <t>WT\test\c52m1.mp4</t>
        </is>
      </c>
      <c r="U3719" t="n">
        <v>4304</v>
      </c>
      <c r="V3719" t="n">
        <v>4387</v>
      </c>
      <c r="W3719" t="n">
        <v/>
      </c>
      <c r="X3719" t="n">
        <v/>
      </c>
      <c r="Y3719" t="n">
        <v/>
      </c>
      <c r="Z3719" t="n">
        <v/>
      </c>
      <c r="AA3719">
        <f>SUMIFS($S$2:S3719,$A$2:A3719,A3719,$N$2:N3719,"Explore*")</f>
        <v/>
      </c>
      <c r="AB3719">
        <f>IF(AND(LEFT(N3719,7)="Explore",(AA3719-IF(LEFT(N3719,7)="Explore",S3719,0))&lt;10),"SI","NO")</f>
        <v/>
      </c>
    </row>
    <row r="3720">
      <c r="A3720" t="inlineStr">
        <is>
          <t>c52m1_test</t>
        </is>
      </c>
      <c r="B3720" t="inlineStr">
        <is>
          <t>2026-02-18 12:11:32.125</t>
        </is>
      </c>
      <c r="C3720" t="n">
        <v/>
      </c>
      <c r="D3720" t="inlineStr">
        <is>
          <t>Media file</t>
        </is>
      </c>
      <c r="E3720" t="inlineStr">
        <is>
          <t>player #1:WT\test\c52m1.mp4</t>
        </is>
      </c>
      <c r="F3720" t="n">
        <v>-8.699999999999999</v>
      </c>
      <c r="G3720" t="n">
        <v>572.6660000000001</v>
      </c>
      <c r="H3720" t="n">
        <v>622.499</v>
      </c>
      <c r="I3720" t="n">
        <v>30</v>
      </c>
      <c r="J3720" t="inlineStr">
        <is>
          <t xml:space="preserve"> WT</t>
        </is>
      </c>
      <c r="K3720" t="inlineStr">
        <is>
          <t>Male</t>
        </is>
      </c>
      <c r="L3720" t="inlineStr">
        <is>
          <t>No focal subject</t>
        </is>
      </c>
      <c r="M3720" t="n">
        <v>59.664</v>
      </c>
      <c r="N3720" t="inlineStr">
        <is>
          <t>Explore_N</t>
        </is>
      </c>
      <c r="O3720" t="inlineStr">
        <is>
          <t>Novelty</t>
        </is>
      </c>
      <c r="P3720" t="inlineStr">
        <is>
          <t>STATE</t>
        </is>
      </c>
      <c r="Q3720" t="n">
        <v>149.233</v>
      </c>
      <c r="R3720" t="n">
        <v>150.3</v>
      </c>
      <c r="S3720" t="n">
        <v>1.067</v>
      </c>
      <c r="T3720" t="inlineStr">
        <is>
          <t>WT\test\c52m1.mp4</t>
        </is>
      </c>
      <c r="U3720" t="n">
        <v>4477</v>
      </c>
      <c r="V3720" t="n">
        <v>4509</v>
      </c>
      <c r="W3720" t="n">
        <v/>
      </c>
      <c r="X3720" t="n">
        <v/>
      </c>
      <c r="Y3720" t="n">
        <v/>
      </c>
      <c r="Z3720" t="n">
        <v/>
      </c>
      <c r="AA3720">
        <f>SUMIFS($S$2:S3720,$A$2:A3720,A3720,$N$2:N3720,"Explore*")</f>
        <v/>
      </c>
      <c r="AB3720">
        <f>IF(AND(LEFT(N3720,7)="Explore",(AA3720-IF(LEFT(N3720,7)="Explore",S3720,0))&lt;10),"SI","NO")</f>
        <v/>
      </c>
    </row>
    <row r="3721">
      <c r="A3721" t="inlineStr">
        <is>
          <t>c52m1_test</t>
        </is>
      </c>
      <c r="B3721" t="inlineStr">
        <is>
          <t>2026-02-18 12:11:32.125</t>
        </is>
      </c>
      <c r="C3721" t="n">
        <v/>
      </c>
      <c r="D3721" t="inlineStr">
        <is>
          <t>Media file</t>
        </is>
      </c>
      <c r="E3721" t="inlineStr">
        <is>
          <t>player #1:WT\test\c52m1.mp4</t>
        </is>
      </c>
      <c r="F3721" t="n">
        <v>-8.699999999999999</v>
      </c>
      <c r="G3721" t="n">
        <v>572.6660000000001</v>
      </c>
      <c r="H3721" t="n">
        <v>622.499</v>
      </c>
      <c r="I3721" t="n">
        <v>30</v>
      </c>
      <c r="J3721" t="inlineStr">
        <is>
          <t xml:space="preserve"> WT</t>
        </is>
      </c>
      <c r="K3721" t="inlineStr">
        <is>
          <t>Male</t>
        </is>
      </c>
      <c r="L3721" t="inlineStr">
        <is>
          <t>No focal subject</t>
        </is>
      </c>
      <c r="M3721" t="n">
        <v>59.664</v>
      </c>
      <c r="N3721" t="inlineStr">
        <is>
          <t>Explore_F</t>
        </is>
      </c>
      <c r="O3721" t="inlineStr">
        <is>
          <t>Familiar</t>
        </is>
      </c>
      <c r="P3721" t="inlineStr">
        <is>
          <t>STATE</t>
        </is>
      </c>
      <c r="Q3721" t="n">
        <v>171.066</v>
      </c>
      <c r="R3721" t="n">
        <v>172.333</v>
      </c>
      <c r="S3721" t="n">
        <v>1.267</v>
      </c>
      <c r="T3721" t="inlineStr">
        <is>
          <t>WT\test\c52m1.mp4</t>
        </is>
      </c>
      <c r="U3721" t="n">
        <v>5132</v>
      </c>
      <c r="V3721" t="n">
        <v>5170</v>
      </c>
      <c r="W3721" t="n">
        <v/>
      </c>
      <c r="X3721" t="n">
        <v/>
      </c>
      <c r="Y3721" t="n">
        <v/>
      </c>
      <c r="Z3721" t="n">
        <v/>
      </c>
      <c r="AA3721">
        <f>SUMIFS($S$2:S3721,$A$2:A3721,A3721,$N$2:N3721,"Explore*")</f>
        <v/>
      </c>
      <c r="AB3721">
        <f>IF(AND(LEFT(N3721,7)="Explore",(AA3721-IF(LEFT(N3721,7)="Explore",S3721,0))&lt;10),"SI","NO")</f>
        <v/>
      </c>
    </row>
    <row r="3722">
      <c r="A3722" t="inlineStr">
        <is>
          <t>c52m1_test</t>
        </is>
      </c>
      <c r="B3722" t="inlineStr">
        <is>
          <t>2026-02-18 12:11:32.125</t>
        </is>
      </c>
      <c r="C3722" t="n">
        <v/>
      </c>
      <c r="D3722" t="inlineStr">
        <is>
          <t>Media file</t>
        </is>
      </c>
      <c r="E3722" t="inlineStr">
        <is>
          <t>player #1:WT\test\c52m1.mp4</t>
        </is>
      </c>
      <c r="F3722" t="n">
        <v>-8.699999999999999</v>
      </c>
      <c r="G3722" t="n">
        <v>572.6660000000001</v>
      </c>
      <c r="H3722" t="n">
        <v>622.499</v>
      </c>
      <c r="I3722" t="n">
        <v>30</v>
      </c>
      <c r="J3722" t="inlineStr">
        <is>
          <t xml:space="preserve"> WT</t>
        </is>
      </c>
      <c r="K3722" t="inlineStr">
        <is>
          <t>Male</t>
        </is>
      </c>
      <c r="L3722" t="inlineStr">
        <is>
          <t>No focal subject</t>
        </is>
      </c>
      <c r="M3722" t="n">
        <v>59.664</v>
      </c>
      <c r="N3722" t="inlineStr">
        <is>
          <t>Explore_F</t>
        </is>
      </c>
      <c r="O3722" t="inlineStr">
        <is>
          <t>Familiar</t>
        </is>
      </c>
      <c r="P3722" t="inlineStr">
        <is>
          <t>STATE</t>
        </is>
      </c>
      <c r="Q3722" t="n">
        <v>174.1</v>
      </c>
      <c r="R3722" t="n">
        <v>174.7</v>
      </c>
      <c r="S3722" t="n">
        <v>0.6</v>
      </c>
      <c r="T3722" t="inlineStr">
        <is>
          <t>WT\test\c52m1.mp4</t>
        </is>
      </c>
      <c r="U3722" t="n">
        <v>5223</v>
      </c>
      <c r="V3722" t="n">
        <v>5241</v>
      </c>
      <c r="W3722" t="n">
        <v/>
      </c>
      <c r="X3722" t="n">
        <v/>
      </c>
      <c r="Y3722" t="n">
        <v/>
      </c>
      <c r="Z3722" t="n">
        <v/>
      </c>
      <c r="AA3722">
        <f>SUMIFS($S$2:S3722,$A$2:A3722,A3722,$N$2:N3722,"Explore*")</f>
        <v/>
      </c>
      <c r="AB3722">
        <f>IF(AND(LEFT(N3722,7)="Explore",(AA3722-IF(LEFT(N3722,7)="Explore",S3722,0))&lt;10),"SI","NO")</f>
        <v/>
      </c>
    </row>
    <row r="3723">
      <c r="A3723" t="inlineStr">
        <is>
          <t>c52m1_test</t>
        </is>
      </c>
      <c r="B3723" t="inlineStr">
        <is>
          <t>2026-02-18 12:11:32.125</t>
        </is>
      </c>
      <c r="C3723" t="n">
        <v/>
      </c>
      <c r="D3723" t="inlineStr">
        <is>
          <t>Media file</t>
        </is>
      </c>
      <c r="E3723" t="inlineStr">
        <is>
          <t>player #1:WT\test\c52m1.mp4</t>
        </is>
      </c>
      <c r="F3723" t="n">
        <v>-8.699999999999999</v>
      </c>
      <c r="G3723" t="n">
        <v>572.6660000000001</v>
      </c>
      <c r="H3723" t="n">
        <v>622.499</v>
      </c>
      <c r="I3723" t="n">
        <v>30</v>
      </c>
      <c r="J3723" t="inlineStr">
        <is>
          <t xml:space="preserve"> WT</t>
        </is>
      </c>
      <c r="K3723" t="inlineStr">
        <is>
          <t>Male</t>
        </is>
      </c>
      <c r="L3723" t="inlineStr">
        <is>
          <t>No focal subject</t>
        </is>
      </c>
      <c r="M3723" t="n">
        <v>59.664</v>
      </c>
      <c r="N3723" t="inlineStr">
        <is>
          <t>Explore_F</t>
        </is>
      </c>
      <c r="O3723" t="inlineStr">
        <is>
          <t>Familiar</t>
        </is>
      </c>
      <c r="P3723" t="inlineStr">
        <is>
          <t>STATE</t>
        </is>
      </c>
      <c r="Q3723" t="n">
        <v>175.366</v>
      </c>
      <c r="R3723" t="n">
        <v>176.966</v>
      </c>
      <c r="S3723" t="n">
        <v>1.6</v>
      </c>
      <c r="T3723" t="inlineStr">
        <is>
          <t>WT\test\c52m1.mp4</t>
        </is>
      </c>
      <c r="U3723" t="n">
        <v>5261</v>
      </c>
      <c r="V3723" t="n">
        <v>5309</v>
      </c>
      <c r="W3723" t="n">
        <v/>
      </c>
      <c r="X3723" t="n">
        <v/>
      </c>
      <c r="Y3723" t="n">
        <v/>
      </c>
      <c r="Z3723" t="n">
        <v/>
      </c>
      <c r="AA3723">
        <f>SUMIFS($S$2:S3723,$A$2:A3723,A3723,$N$2:N3723,"Explore*")</f>
        <v/>
      </c>
      <c r="AB3723">
        <f>IF(AND(LEFT(N3723,7)="Explore",(AA3723-IF(LEFT(N3723,7)="Explore",S3723,0))&lt;10),"SI","NO")</f>
        <v/>
      </c>
    </row>
    <row r="3724">
      <c r="A3724" t="inlineStr">
        <is>
          <t>c52m1_test</t>
        </is>
      </c>
      <c r="B3724" t="inlineStr">
        <is>
          <t>2026-02-18 12:11:32.125</t>
        </is>
      </c>
      <c r="C3724" t="n">
        <v/>
      </c>
      <c r="D3724" t="inlineStr">
        <is>
          <t>Media file</t>
        </is>
      </c>
      <c r="E3724" t="inlineStr">
        <is>
          <t>player #1:WT\test\c52m1.mp4</t>
        </is>
      </c>
      <c r="F3724" t="n">
        <v>-8.699999999999999</v>
      </c>
      <c r="G3724" t="n">
        <v>572.6660000000001</v>
      </c>
      <c r="H3724" t="n">
        <v>622.499</v>
      </c>
      <c r="I3724" t="n">
        <v>30</v>
      </c>
      <c r="J3724" t="inlineStr">
        <is>
          <t xml:space="preserve"> WT</t>
        </is>
      </c>
      <c r="K3724" t="inlineStr">
        <is>
          <t>Male</t>
        </is>
      </c>
      <c r="L3724" t="inlineStr">
        <is>
          <t>No focal subject</t>
        </is>
      </c>
      <c r="M3724" t="n">
        <v>59.664</v>
      </c>
      <c r="N3724" t="inlineStr">
        <is>
          <t>Explore_N</t>
        </is>
      </c>
      <c r="O3724" t="inlineStr">
        <is>
          <t>Novelty</t>
        </is>
      </c>
      <c r="P3724" t="inlineStr">
        <is>
          <t>STATE</t>
        </is>
      </c>
      <c r="Q3724" t="n">
        <v>184.9</v>
      </c>
      <c r="R3724" t="n">
        <v>186.133</v>
      </c>
      <c r="S3724" t="n">
        <v>1.233</v>
      </c>
      <c r="T3724" t="inlineStr">
        <is>
          <t>WT\test\c52m1.mp4</t>
        </is>
      </c>
      <c r="U3724" t="n">
        <v>5547</v>
      </c>
      <c r="V3724" t="n">
        <v>5584</v>
      </c>
      <c r="W3724" t="n">
        <v/>
      </c>
      <c r="X3724" t="n">
        <v/>
      </c>
      <c r="Y3724" t="n">
        <v/>
      </c>
      <c r="Z3724" t="n">
        <v/>
      </c>
      <c r="AA3724">
        <f>SUMIFS($S$2:S3724,$A$2:A3724,A3724,$N$2:N3724,"Explore*")</f>
        <v/>
      </c>
      <c r="AB3724">
        <f>IF(AND(LEFT(N3724,7)="Explore",(AA3724-IF(LEFT(N3724,7)="Explore",S3724,0))&lt;10),"SI","NO")</f>
        <v/>
      </c>
    </row>
    <row r="3725">
      <c r="A3725" t="inlineStr">
        <is>
          <t>c52m1_test</t>
        </is>
      </c>
      <c r="B3725" t="inlineStr">
        <is>
          <t>2026-02-18 12:11:32.125</t>
        </is>
      </c>
      <c r="C3725" t="n">
        <v/>
      </c>
      <c r="D3725" t="inlineStr">
        <is>
          <t>Media file</t>
        </is>
      </c>
      <c r="E3725" t="inlineStr">
        <is>
          <t>player #1:WT\test\c52m1.mp4</t>
        </is>
      </c>
      <c r="F3725" t="n">
        <v>-8.699999999999999</v>
      </c>
      <c r="G3725" t="n">
        <v>572.6660000000001</v>
      </c>
      <c r="H3725" t="n">
        <v>622.499</v>
      </c>
      <c r="I3725" t="n">
        <v>30</v>
      </c>
      <c r="J3725" t="inlineStr">
        <is>
          <t xml:space="preserve"> WT</t>
        </is>
      </c>
      <c r="K3725" t="inlineStr">
        <is>
          <t>Male</t>
        </is>
      </c>
      <c r="L3725" t="inlineStr">
        <is>
          <t>No focal subject</t>
        </is>
      </c>
      <c r="M3725" t="n">
        <v>59.664</v>
      </c>
      <c r="N3725" t="inlineStr">
        <is>
          <t>Explore_F</t>
        </is>
      </c>
      <c r="O3725" t="inlineStr">
        <is>
          <t>Familiar</t>
        </is>
      </c>
      <c r="P3725" t="inlineStr">
        <is>
          <t>STATE</t>
        </is>
      </c>
      <c r="Q3725" t="n">
        <v>187.266</v>
      </c>
      <c r="R3725" t="n">
        <v>187.666</v>
      </c>
      <c r="S3725" t="n">
        <v>0.4</v>
      </c>
      <c r="T3725" t="inlineStr">
        <is>
          <t>WT\test\c52m1.mp4</t>
        </is>
      </c>
      <c r="U3725" t="n">
        <v>5618</v>
      </c>
      <c r="V3725" t="n">
        <v>5630</v>
      </c>
      <c r="W3725" t="n">
        <v/>
      </c>
      <c r="X3725" t="n">
        <v/>
      </c>
      <c r="Y3725" t="n">
        <v/>
      </c>
      <c r="Z3725" t="n">
        <v/>
      </c>
      <c r="AA3725">
        <f>SUMIFS($S$2:S3725,$A$2:A3725,A3725,$N$2:N3725,"Explore*")</f>
        <v/>
      </c>
      <c r="AB3725">
        <f>IF(AND(LEFT(N3725,7)="Explore",(AA3725-IF(LEFT(N3725,7)="Explore",S3725,0))&lt;10),"SI","NO")</f>
        <v/>
      </c>
    </row>
    <row r="3726">
      <c r="A3726" t="inlineStr">
        <is>
          <t>c52m1_test</t>
        </is>
      </c>
      <c r="B3726" t="inlineStr">
        <is>
          <t>2026-02-18 12:11:32.125</t>
        </is>
      </c>
      <c r="C3726" t="n">
        <v/>
      </c>
      <c r="D3726" t="inlineStr">
        <is>
          <t>Media file</t>
        </is>
      </c>
      <c r="E3726" t="inlineStr">
        <is>
          <t>player #1:WT\test\c52m1.mp4</t>
        </is>
      </c>
      <c r="F3726" t="n">
        <v>-8.699999999999999</v>
      </c>
      <c r="G3726" t="n">
        <v>572.6660000000001</v>
      </c>
      <c r="H3726" t="n">
        <v>622.499</v>
      </c>
      <c r="I3726" t="n">
        <v>30</v>
      </c>
      <c r="J3726" t="inlineStr">
        <is>
          <t xml:space="preserve"> WT</t>
        </is>
      </c>
      <c r="K3726" t="inlineStr">
        <is>
          <t>Male</t>
        </is>
      </c>
      <c r="L3726" t="inlineStr">
        <is>
          <t>No focal subject</t>
        </is>
      </c>
      <c r="M3726" t="n">
        <v>59.664</v>
      </c>
      <c r="N3726" t="inlineStr">
        <is>
          <t>Explore_N</t>
        </is>
      </c>
      <c r="O3726" t="inlineStr">
        <is>
          <t>Novelty</t>
        </is>
      </c>
      <c r="P3726" t="inlineStr">
        <is>
          <t>STATE</t>
        </is>
      </c>
      <c r="Q3726" t="n">
        <v>200.9</v>
      </c>
      <c r="R3726" t="n">
        <v>201.433</v>
      </c>
      <c r="S3726" t="n">
        <v>0.533</v>
      </c>
      <c r="T3726" t="inlineStr">
        <is>
          <t>WT\test\c52m1.mp4</t>
        </is>
      </c>
      <c r="U3726" t="n">
        <v>6027</v>
      </c>
      <c r="V3726" t="n">
        <v>6043</v>
      </c>
      <c r="W3726" t="n">
        <v/>
      </c>
      <c r="X3726" t="n">
        <v/>
      </c>
      <c r="Y3726" t="n">
        <v/>
      </c>
      <c r="Z3726" t="n">
        <v/>
      </c>
      <c r="AA3726">
        <f>SUMIFS($S$2:S3726,$A$2:A3726,A3726,$N$2:N3726,"Explore*")</f>
        <v/>
      </c>
      <c r="AB3726">
        <f>IF(AND(LEFT(N3726,7)="Explore",(AA3726-IF(LEFT(N3726,7)="Explore",S3726,0))&lt;10),"SI","NO")</f>
        <v/>
      </c>
    </row>
    <row r="3727">
      <c r="A3727" t="inlineStr">
        <is>
          <t>c52m1_test</t>
        </is>
      </c>
      <c r="B3727" t="inlineStr">
        <is>
          <t>2026-02-18 12:11:32.125</t>
        </is>
      </c>
      <c r="C3727" t="n">
        <v/>
      </c>
      <c r="D3727" t="inlineStr">
        <is>
          <t>Media file</t>
        </is>
      </c>
      <c r="E3727" t="inlineStr">
        <is>
          <t>player #1:WT\test\c52m1.mp4</t>
        </is>
      </c>
      <c r="F3727" t="n">
        <v>-8.699999999999999</v>
      </c>
      <c r="G3727" t="n">
        <v>572.6660000000001</v>
      </c>
      <c r="H3727" t="n">
        <v>622.499</v>
      </c>
      <c r="I3727" t="n">
        <v>30</v>
      </c>
      <c r="J3727" t="inlineStr">
        <is>
          <t xml:space="preserve"> WT</t>
        </is>
      </c>
      <c r="K3727" t="inlineStr">
        <is>
          <t>Male</t>
        </is>
      </c>
      <c r="L3727" t="inlineStr">
        <is>
          <t>No focal subject</t>
        </is>
      </c>
      <c r="M3727" t="n">
        <v>59.664</v>
      </c>
      <c r="N3727" t="inlineStr">
        <is>
          <t>Explore_N</t>
        </is>
      </c>
      <c r="O3727" t="inlineStr">
        <is>
          <t>Novelty</t>
        </is>
      </c>
      <c r="P3727" t="inlineStr">
        <is>
          <t>STATE</t>
        </is>
      </c>
      <c r="Q3727" t="n">
        <v>207.766</v>
      </c>
      <c r="R3727" t="n">
        <v>208.166</v>
      </c>
      <c r="S3727" t="n">
        <v>0.4</v>
      </c>
      <c r="T3727" t="inlineStr">
        <is>
          <t>WT\test\c52m1.mp4</t>
        </is>
      </c>
      <c r="U3727" t="n">
        <v>6233</v>
      </c>
      <c r="V3727" t="n">
        <v>6245</v>
      </c>
      <c r="W3727" t="n">
        <v/>
      </c>
      <c r="X3727" t="n">
        <v/>
      </c>
      <c r="Y3727" t="n">
        <v/>
      </c>
      <c r="Z3727" t="n">
        <v/>
      </c>
      <c r="AA3727">
        <f>SUMIFS($S$2:S3727,$A$2:A3727,A3727,$N$2:N3727,"Explore*")</f>
        <v/>
      </c>
      <c r="AB3727">
        <f>IF(AND(LEFT(N3727,7)="Explore",(AA3727-IF(LEFT(N3727,7)="Explore",S3727,0))&lt;10),"SI","NO")</f>
        <v/>
      </c>
    </row>
    <row r="3728">
      <c r="A3728" t="inlineStr">
        <is>
          <t>c52m1_test</t>
        </is>
      </c>
      <c r="B3728" t="inlineStr">
        <is>
          <t>2026-02-18 12:11:32.125</t>
        </is>
      </c>
      <c r="C3728" t="n">
        <v/>
      </c>
      <c r="D3728" t="inlineStr">
        <is>
          <t>Media file</t>
        </is>
      </c>
      <c r="E3728" t="inlineStr">
        <is>
          <t>player #1:WT\test\c52m1.mp4</t>
        </is>
      </c>
      <c r="F3728" t="n">
        <v>-8.699999999999999</v>
      </c>
      <c r="G3728" t="n">
        <v>572.6660000000001</v>
      </c>
      <c r="H3728" t="n">
        <v>622.499</v>
      </c>
      <c r="I3728" t="n">
        <v>30</v>
      </c>
      <c r="J3728" t="inlineStr">
        <is>
          <t xml:space="preserve"> WT</t>
        </is>
      </c>
      <c r="K3728" t="inlineStr">
        <is>
          <t>Male</t>
        </is>
      </c>
      <c r="L3728" t="inlineStr">
        <is>
          <t>No focal subject</t>
        </is>
      </c>
      <c r="M3728" t="n">
        <v>59.664</v>
      </c>
      <c r="N3728" t="inlineStr">
        <is>
          <t>Explore_F</t>
        </is>
      </c>
      <c r="O3728" t="inlineStr">
        <is>
          <t>Familiar</t>
        </is>
      </c>
      <c r="P3728" t="inlineStr">
        <is>
          <t>STATE</t>
        </is>
      </c>
      <c r="Q3728" t="n">
        <v>221.533</v>
      </c>
      <c r="R3728" t="n">
        <v>222.233</v>
      </c>
      <c r="S3728" t="n">
        <v>0.7</v>
      </c>
      <c r="T3728" t="inlineStr">
        <is>
          <t>WT\test\c52m1.mp4</t>
        </is>
      </c>
      <c r="U3728" t="n">
        <v>6647</v>
      </c>
      <c r="V3728" t="n">
        <v>6667</v>
      </c>
      <c r="W3728" t="n">
        <v/>
      </c>
      <c r="X3728" t="n">
        <v/>
      </c>
      <c r="Y3728" t="n">
        <v/>
      </c>
      <c r="Z3728" t="n">
        <v/>
      </c>
      <c r="AA3728">
        <f>SUMIFS($S$2:S3728,$A$2:A3728,A3728,$N$2:N3728,"Explore*")</f>
        <v/>
      </c>
      <c r="AB3728">
        <f>IF(AND(LEFT(N3728,7)="Explore",(AA3728-IF(LEFT(N3728,7)="Explore",S3728,0))&lt;10),"SI","NO")</f>
        <v/>
      </c>
    </row>
    <row r="3729">
      <c r="A3729" t="inlineStr">
        <is>
          <t>c52m1_test</t>
        </is>
      </c>
      <c r="B3729" t="inlineStr">
        <is>
          <t>2026-02-18 12:11:32.125</t>
        </is>
      </c>
      <c r="C3729" t="n">
        <v/>
      </c>
      <c r="D3729" t="inlineStr">
        <is>
          <t>Media file</t>
        </is>
      </c>
      <c r="E3729" t="inlineStr">
        <is>
          <t>player #1:WT\test\c52m1.mp4</t>
        </is>
      </c>
      <c r="F3729" t="n">
        <v>-8.699999999999999</v>
      </c>
      <c r="G3729" t="n">
        <v>572.6660000000001</v>
      </c>
      <c r="H3729" t="n">
        <v>622.499</v>
      </c>
      <c r="I3729" t="n">
        <v>30</v>
      </c>
      <c r="J3729" t="inlineStr">
        <is>
          <t xml:space="preserve"> WT</t>
        </is>
      </c>
      <c r="K3729" t="inlineStr">
        <is>
          <t>Male</t>
        </is>
      </c>
      <c r="L3729" t="inlineStr">
        <is>
          <t>No focal subject</t>
        </is>
      </c>
      <c r="M3729" t="n">
        <v>59.664</v>
      </c>
      <c r="N3729" t="inlineStr">
        <is>
          <t>Explore_N</t>
        </is>
      </c>
      <c r="O3729" t="inlineStr">
        <is>
          <t>Novelty</t>
        </is>
      </c>
      <c r="P3729" t="inlineStr">
        <is>
          <t>STATE</t>
        </is>
      </c>
      <c r="Q3729" t="n">
        <v>225.633</v>
      </c>
      <c r="R3729" t="n">
        <v>227.366</v>
      </c>
      <c r="S3729" t="n">
        <v>1.733</v>
      </c>
      <c r="T3729" t="inlineStr">
        <is>
          <t>WT\test\c52m1.mp4</t>
        </is>
      </c>
      <c r="U3729" t="n">
        <v>6769</v>
      </c>
      <c r="V3729" t="n">
        <v>6821</v>
      </c>
      <c r="W3729" t="n">
        <v/>
      </c>
      <c r="X3729" t="n">
        <v/>
      </c>
      <c r="Y3729" t="n">
        <v/>
      </c>
      <c r="Z3729" t="n">
        <v/>
      </c>
      <c r="AA3729">
        <f>SUMIFS($S$2:S3729,$A$2:A3729,A3729,$N$2:N3729,"Explore*")</f>
        <v/>
      </c>
      <c r="AB3729">
        <f>IF(AND(LEFT(N3729,7)="Explore",(AA3729-IF(LEFT(N3729,7)="Explore",S3729,0))&lt;10),"SI","NO")</f>
        <v/>
      </c>
    </row>
    <row r="3730">
      <c r="A3730" t="inlineStr">
        <is>
          <t>c52m1_test</t>
        </is>
      </c>
      <c r="B3730" t="inlineStr">
        <is>
          <t>2026-02-18 12:11:32.125</t>
        </is>
      </c>
      <c r="C3730" t="n">
        <v/>
      </c>
      <c r="D3730" t="inlineStr">
        <is>
          <t>Media file</t>
        </is>
      </c>
      <c r="E3730" t="inlineStr">
        <is>
          <t>player #1:WT\test\c52m1.mp4</t>
        </is>
      </c>
      <c r="F3730" t="n">
        <v>-8.699999999999999</v>
      </c>
      <c r="G3730" t="n">
        <v>572.6660000000001</v>
      </c>
      <c r="H3730" t="n">
        <v>622.499</v>
      </c>
      <c r="I3730" t="n">
        <v>30</v>
      </c>
      <c r="J3730" t="inlineStr">
        <is>
          <t xml:space="preserve"> WT</t>
        </is>
      </c>
      <c r="K3730" t="inlineStr">
        <is>
          <t>Male</t>
        </is>
      </c>
      <c r="L3730" t="inlineStr">
        <is>
          <t>No focal subject</t>
        </is>
      </c>
      <c r="M3730" t="n">
        <v>59.664</v>
      </c>
      <c r="N3730" t="inlineStr">
        <is>
          <t>Explore_F</t>
        </is>
      </c>
      <c r="O3730" t="inlineStr">
        <is>
          <t>Familiar</t>
        </is>
      </c>
      <c r="P3730" t="inlineStr">
        <is>
          <t>STATE</t>
        </is>
      </c>
      <c r="Q3730" t="n">
        <v>254.533</v>
      </c>
      <c r="R3730" t="n">
        <v>255.733</v>
      </c>
      <c r="S3730" t="n">
        <v>1.2</v>
      </c>
      <c r="T3730" t="inlineStr">
        <is>
          <t>WT\test\c52m1.mp4</t>
        </is>
      </c>
      <c r="U3730" t="n">
        <v>7637</v>
      </c>
      <c r="V3730" t="n">
        <v>7672</v>
      </c>
      <c r="W3730" t="n">
        <v/>
      </c>
      <c r="X3730" t="n">
        <v/>
      </c>
      <c r="Y3730" t="n">
        <v/>
      </c>
      <c r="Z3730" t="n">
        <v/>
      </c>
      <c r="AA3730">
        <f>SUMIFS($S$2:S3730,$A$2:A3730,A3730,$N$2:N3730,"Explore*")</f>
        <v/>
      </c>
      <c r="AB3730">
        <f>IF(AND(LEFT(N3730,7)="Explore",(AA3730-IF(LEFT(N3730,7)="Explore",S3730,0))&lt;10),"SI","NO")</f>
        <v/>
      </c>
    </row>
    <row r="3731">
      <c r="A3731" t="inlineStr">
        <is>
          <t>c52m1_test</t>
        </is>
      </c>
      <c r="B3731" t="inlineStr">
        <is>
          <t>2026-02-18 12:11:32.125</t>
        </is>
      </c>
      <c r="C3731" t="n">
        <v/>
      </c>
      <c r="D3731" t="inlineStr">
        <is>
          <t>Media file</t>
        </is>
      </c>
      <c r="E3731" t="inlineStr">
        <is>
          <t>player #1:WT\test\c52m1.mp4</t>
        </is>
      </c>
      <c r="F3731" t="n">
        <v>-8.699999999999999</v>
      </c>
      <c r="G3731" t="n">
        <v>572.6660000000001</v>
      </c>
      <c r="H3731" t="n">
        <v>622.499</v>
      </c>
      <c r="I3731" t="n">
        <v>30</v>
      </c>
      <c r="J3731" t="inlineStr">
        <is>
          <t xml:space="preserve"> WT</t>
        </is>
      </c>
      <c r="K3731" t="inlineStr">
        <is>
          <t>Male</t>
        </is>
      </c>
      <c r="L3731" t="inlineStr">
        <is>
          <t>No focal subject</t>
        </is>
      </c>
      <c r="M3731" t="n">
        <v>59.664</v>
      </c>
      <c r="N3731" t="inlineStr">
        <is>
          <t>Explore_F</t>
        </is>
      </c>
      <c r="O3731" t="inlineStr">
        <is>
          <t>Familiar</t>
        </is>
      </c>
      <c r="P3731" t="inlineStr">
        <is>
          <t>STATE</t>
        </is>
      </c>
      <c r="Q3731" t="n">
        <v>280.3</v>
      </c>
      <c r="R3731" t="n">
        <v>280.966</v>
      </c>
      <c r="S3731" t="n">
        <v>0.666</v>
      </c>
      <c r="T3731" t="inlineStr">
        <is>
          <t>WT\test\c52m1.mp4</t>
        </is>
      </c>
      <c r="U3731" t="n">
        <v>8409</v>
      </c>
      <c r="V3731" t="n">
        <v>8429</v>
      </c>
      <c r="W3731" t="n">
        <v/>
      </c>
      <c r="X3731" t="n">
        <v/>
      </c>
      <c r="Y3731" t="n">
        <v/>
      </c>
      <c r="Z3731" t="n">
        <v/>
      </c>
      <c r="AA3731">
        <f>SUMIFS($S$2:S3731,$A$2:A3731,A3731,$N$2:N3731,"Explore*")</f>
        <v/>
      </c>
      <c r="AB3731">
        <f>IF(AND(LEFT(N3731,7)="Explore",(AA3731-IF(LEFT(N3731,7)="Explore",S3731,0))&lt;10),"SI","NO")</f>
        <v/>
      </c>
    </row>
    <row r="3732">
      <c r="A3732" t="inlineStr">
        <is>
          <t>c52m1_test</t>
        </is>
      </c>
      <c r="B3732" t="inlineStr">
        <is>
          <t>2026-02-18 12:11:32.125</t>
        </is>
      </c>
      <c r="C3732" t="n">
        <v/>
      </c>
      <c r="D3732" t="inlineStr">
        <is>
          <t>Media file</t>
        </is>
      </c>
      <c r="E3732" t="inlineStr">
        <is>
          <t>player #1:WT\test\c52m1.mp4</t>
        </is>
      </c>
      <c r="F3732" t="n">
        <v>-8.699999999999999</v>
      </c>
      <c r="G3732" t="n">
        <v>572.6660000000001</v>
      </c>
      <c r="H3732" t="n">
        <v>622.499</v>
      </c>
      <c r="I3732" t="n">
        <v>30</v>
      </c>
      <c r="J3732" t="inlineStr">
        <is>
          <t xml:space="preserve"> WT</t>
        </is>
      </c>
      <c r="K3732" t="inlineStr">
        <is>
          <t>Male</t>
        </is>
      </c>
      <c r="L3732" t="inlineStr">
        <is>
          <t>No focal subject</t>
        </is>
      </c>
      <c r="M3732" t="n">
        <v>59.664</v>
      </c>
      <c r="N3732" t="inlineStr">
        <is>
          <t>Explore_F</t>
        </is>
      </c>
      <c r="O3732" t="inlineStr">
        <is>
          <t>Familiar</t>
        </is>
      </c>
      <c r="P3732" t="inlineStr">
        <is>
          <t>STATE</t>
        </is>
      </c>
      <c r="Q3732" t="n">
        <v>287.766</v>
      </c>
      <c r="R3732" t="n">
        <v>288.666</v>
      </c>
      <c r="S3732" t="n">
        <v>0.9</v>
      </c>
      <c r="T3732" t="inlineStr">
        <is>
          <t>WT\test\c52m1.mp4</t>
        </is>
      </c>
      <c r="U3732" t="n">
        <v>8633</v>
      </c>
      <c r="V3732" t="n">
        <v>8660</v>
      </c>
      <c r="W3732" t="n">
        <v/>
      </c>
      <c r="X3732" t="n">
        <v/>
      </c>
      <c r="Y3732" t="n">
        <v/>
      </c>
      <c r="Z3732" t="n">
        <v/>
      </c>
      <c r="AA3732">
        <f>SUMIFS($S$2:S3732,$A$2:A3732,A3732,$N$2:N3732,"Explore*")</f>
        <v/>
      </c>
      <c r="AB3732">
        <f>IF(AND(LEFT(N3732,7)="Explore",(AA3732-IF(LEFT(N3732,7)="Explore",S3732,0))&lt;10),"SI","NO")</f>
        <v/>
      </c>
    </row>
    <row r="3733">
      <c r="A3733" t="inlineStr">
        <is>
          <t>c52m1_test</t>
        </is>
      </c>
      <c r="B3733" t="inlineStr">
        <is>
          <t>2026-02-18 12:11:32.125</t>
        </is>
      </c>
      <c r="C3733" t="n">
        <v/>
      </c>
      <c r="D3733" t="inlineStr">
        <is>
          <t>Media file</t>
        </is>
      </c>
      <c r="E3733" t="inlineStr">
        <is>
          <t>player #1:WT\test\c52m1.mp4</t>
        </is>
      </c>
      <c r="F3733" t="n">
        <v>-8.699999999999999</v>
      </c>
      <c r="G3733" t="n">
        <v>572.6660000000001</v>
      </c>
      <c r="H3733" t="n">
        <v>622.499</v>
      </c>
      <c r="I3733" t="n">
        <v>30</v>
      </c>
      <c r="J3733" t="inlineStr">
        <is>
          <t xml:space="preserve"> WT</t>
        </is>
      </c>
      <c r="K3733" t="inlineStr">
        <is>
          <t>Male</t>
        </is>
      </c>
      <c r="L3733" t="inlineStr">
        <is>
          <t>No focal subject</t>
        </is>
      </c>
      <c r="M3733" t="n">
        <v>59.664</v>
      </c>
      <c r="N3733" t="inlineStr">
        <is>
          <t>Explore_N</t>
        </is>
      </c>
      <c r="O3733" t="inlineStr">
        <is>
          <t>Novelty</t>
        </is>
      </c>
      <c r="P3733" t="inlineStr">
        <is>
          <t>STATE</t>
        </is>
      </c>
      <c r="Q3733" t="n">
        <v>297.033</v>
      </c>
      <c r="R3733" t="n">
        <v>298.4</v>
      </c>
      <c r="S3733" t="n">
        <v>1.367</v>
      </c>
      <c r="T3733" t="inlineStr">
        <is>
          <t>WT\test\c52m1.mp4</t>
        </is>
      </c>
      <c r="U3733" t="n">
        <v>8912</v>
      </c>
      <c r="V3733" t="n">
        <v>8952</v>
      </c>
      <c r="W3733" t="n">
        <v/>
      </c>
      <c r="X3733" t="n">
        <v/>
      </c>
      <c r="Y3733" t="n">
        <v/>
      </c>
      <c r="Z3733" t="n">
        <v/>
      </c>
      <c r="AA3733">
        <f>SUMIFS($S$2:S3733,$A$2:A3733,A3733,$N$2:N3733,"Explore*")</f>
        <v/>
      </c>
      <c r="AB3733">
        <f>IF(AND(LEFT(N3733,7)="Explore",(AA3733-IF(LEFT(N3733,7)="Explore",S3733,0))&lt;10),"SI","NO")</f>
        <v/>
      </c>
    </row>
    <row r="3734">
      <c r="A3734" t="inlineStr">
        <is>
          <t>c52m1_test</t>
        </is>
      </c>
      <c r="B3734" t="inlineStr">
        <is>
          <t>2026-02-18 12:11:32.125</t>
        </is>
      </c>
      <c r="C3734" t="n">
        <v/>
      </c>
      <c r="D3734" t="inlineStr">
        <is>
          <t>Media file</t>
        </is>
      </c>
      <c r="E3734" t="inlineStr">
        <is>
          <t>player #1:WT\test\c52m1.mp4</t>
        </is>
      </c>
      <c r="F3734" t="n">
        <v>-8.699999999999999</v>
      </c>
      <c r="G3734" t="n">
        <v>572.6660000000001</v>
      </c>
      <c r="H3734" t="n">
        <v>622.499</v>
      </c>
      <c r="I3734" t="n">
        <v>30</v>
      </c>
      <c r="J3734" t="inlineStr">
        <is>
          <t xml:space="preserve"> WT</t>
        </is>
      </c>
      <c r="K3734" t="inlineStr">
        <is>
          <t>Male</t>
        </is>
      </c>
      <c r="L3734" t="inlineStr">
        <is>
          <t>No focal subject</t>
        </is>
      </c>
      <c r="M3734" t="n">
        <v>59.664</v>
      </c>
      <c r="N3734" t="inlineStr">
        <is>
          <t>Explore_F</t>
        </is>
      </c>
      <c r="O3734" t="inlineStr">
        <is>
          <t>Familiar</t>
        </is>
      </c>
      <c r="P3734" t="inlineStr">
        <is>
          <t>STATE</t>
        </is>
      </c>
      <c r="Q3734" t="n">
        <v>299.933</v>
      </c>
      <c r="R3734" t="n">
        <v>301.433</v>
      </c>
      <c r="S3734" t="n">
        <v>1.5</v>
      </c>
      <c r="T3734" t="inlineStr">
        <is>
          <t>WT\test\c52m1.mp4</t>
        </is>
      </c>
      <c r="U3734" t="n">
        <v>8998</v>
      </c>
      <c r="V3734" t="n">
        <v>9043</v>
      </c>
      <c r="W3734" t="n">
        <v/>
      </c>
      <c r="X3734" t="n">
        <v/>
      </c>
      <c r="Y3734" t="n">
        <v/>
      </c>
      <c r="Z3734" t="n">
        <v/>
      </c>
      <c r="AA3734">
        <f>SUMIFS($S$2:S3734,$A$2:A3734,A3734,$N$2:N3734,"Explore*")</f>
        <v/>
      </c>
      <c r="AB3734">
        <f>IF(AND(LEFT(N3734,7)="Explore",(AA3734-IF(LEFT(N3734,7)="Explore",S3734,0))&lt;10),"SI","NO")</f>
        <v/>
      </c>
    </row>
    <row r="3735">
      <c r="A3735" t="inlineStr">
        <is>
          <t>c52m1_test</t>
        </is>
      </c>
      <c r="B3735" t="inlineStr">
        <is>
          <t>2026-02-18 12:11:32.125</t>
        </is>
      </c>
      <c r="C3735" t="n">
        <v/>
      </c>
      <c r="D3735" t="inlineStr">
        <is>
          <t>Media file</t>
        </is>
      </c>
      <c r="E3735" t="inlineStr">
        <is>
          <t>player #1:WT\test\c52m1.mp4</t>
        </is>
      </c>
      <c r="F3735" t="n">
        <v>-8.699999999999999</v>
      </c>
      <c r="G3735" t="n">
        <v>572.6660000000001</v>
      </c>
      <c r="H3735" t="n">
        <v>622.499</v>
      </c>
      <c r="I3735" t="n">
        <v>30</v>
      </c>
      <c r="J3735" t="inlineStr">
        <is>
          <t xml:space="preserve"> WT</t>
        </is>
      </c>
      <c r="K3735" t="inlineStr">
        <is>
          <t>Male</t>
        </is>
      </c>
      <c r="L3735" t="inlineStr">
        <is>
          <t>No focal subject</t>
        </is>
      </c>
      <c r="M3735" t="n">
        <v>59.664</v>
      </c>
      <c r="N3735" t="inlineStr">
        <is>
          <t>Explore_N</t>
        </is>
      </c>
      <c r="O3735" t="inlineStr">
        <is>
          <t>Novelty</t>
        </is>
      </c>
      <c r="P3735" t="inlineStr">
        <is>
          <t>STATE</t>
        </is>
      </c>
      <c r="Q3735" t="n">
        <v>312.2</v>
      </c>
      <c r="R3735" t="n">
        <v>313.366</v>
      </c>
      <c r="S3735" t="n">
        <v>1.166</v>
      </c>
      <c r="T3735" t="inlineStr">
        <is>
          <t>WT\test\c52m1.mp4</t>
        </is>
      </c>
      <c r="U3735" t="n">
        <v>9627</v>
      </c>
      <c r="V3735" t="n">
        <v>9662</v>
      </c>
      <c r="W3735" t="n">
        <v/>
      </c>
      <c r="X3735" t="n">
        <v/>
      </c>
      <c r="Y3735" t="n">
        <v/>
      </c>
      <c r="Z3735" t="n">
        <v/>
      </c>
      <c r="AA3735">
        <f>SUMIFS($S$2:S3735,$A$2:A3735,A3735,$N$2:N3735,"Explore*")</f>
        <v/>
      </c>
      <c r="AB3735">
        <f>IF(AND(LEFT(N3735,7)="Explore",(AA3735-IF(LEFT(N3735,7)="Explore",S3735,0))&lt;10),"SI","NO")</f>
        <v/>
      </c>
    </row>
    <row r="3736">
      <c r="A3736" t="inlineStr">
        <is>
          <t>c52m1_test</t>
        </is>
      </c>
      <c r="B3736" t="inlineStr">
        <is>
          <t>2026-02-18 12:11:32.125</t>
        </is>
      </c>
      <c r="C3736" t="n">
        <v/>
      </c>
      <c r="D3736" t="inlineStr">
        <is>
          <t>Media file</t>
        </is>
      </c>
      <c r="E3736" t="inlineStr">
        <is>
          <t>player #1:WT\test\c52m1.mp4</t>
        </is>
      </c>
      <c r="F3736" t="n">
        <v>-8.699999999999999</v>
      </c>
      <c r="G3736" t="n">
        <v>572.6660000000001</v>
      </c>
      <c r="H3736" t="n">
        <v>622.499</v>
      </c>
      <c r="I3736" t="n">
        <v>30</v>
      </c>
      <c r="J3736" t="inlineStr">
        <is>
          <t xml:space="preserve"> WT</t>
        </is>
      </c>
      <c r="K3736" t="inlineStr">
        <is>
          <t>Male</t>
        </is>
      </c>
      <c r="L3736" t="inlineStr">
        <is>
          <t>No focal subject</t>
        </is>
      </c>
      <c r="M3736" t="n">
        <v>59.664</v>
      </c>
      <c r="N3736" t="inlineStr">
        <is>
          <t>Explore_N</t>
        </is>
      </c>
      <c r="O3736" t="inlineStr">
        <is>
          <t>Novelty</t>
        </is>
      </c>
      <c r="P3736" t="inlineStr">
        <is>
          <t>STATE</t>
        </is>
      </c>
      <c r="Q3736" t="n">
        <v>315.5</v>
      </c>
      <c r="R3736" t="n">
        <v>316.266</v>
      </c>
      <c r="S3736" t="n">
        <v>0.766</v>
      </c>
      <c r="T3736" t="inlineStr">
        <is>
          <t>WT\test\c52m1.mp4</t>
        </is>
      </c>
      <c r="U3736" t="n">
        <v>9726</v>
      </c>
      <c r="V3736" t="n">
        <v>9749</v>
      </c>
      <c r="W3736" t="n">
        <v/>
      </c>
      <c r="X3736" t="n">
        <v/>
      </c>
      <c r="Y3736" t="n">
        <v/>
      </c>
      <c r="Z3736" t="n">
        <v/>
      </c>
      <c r="AA3736">
        <f>SUMIFS($S$2:S3736,$A$2:A3736,A3736,$N$2:N3736,"Explore*")</f>
        <v/>
      </c>
      <c r="AB3736">
        <f>IF(AND(LEFT(N3736,7)="Explore",(AA3736-IF(LEFT(N3736,7)="Explore",S3736,0))&lt;10),"SI","NO")</f>
        <v/>
      </c>
    </row>
    <row r="3737">
      <c r="A3737" t="inlineStr">
        <is>
          <t>c52m1_test</t>
        </is>
      </c>
      <c r="B3737" t="inlineStr">
        <is>
          <t>2026-02-18 12:11:32.125</t>
        </is>
      </c>
      <c r="C3737" t="n">
        <v/>
      </c>
      <c r="D3737" t="inlineStr">
        <is>
          <t>Media file</t>
        </is>
      </c>
      <c r="E3737" t="inlineStr">
        <is>
          <t>player #1:WT\test\c52m1.mp4</t>
        </is>
      </c>
      <c r="F3737" t="n">
        <v>-8.699999999999999</v>
      </c>
      <c r="G3737" t="n">
        <v>572.6660000000001</v>
      </c>
      <c r="H3737" t="n">
        <v>622.499</v>
      </c>
      <c r="I3737" t="n">
        <v>30</v>
      </c>
      <c r="J3737" t="inlineStr">
        <is>
          <t xml:space="preserve"> WT</t>
        </is>
      </c>
      <c r="K3737" t="inlineStr">
        <is>
          <t>Male</t>
        </is>
      </c>
      <c r="L3737" t="inlineStr">
        <is>
          <t>No focal subject</t>
        </is>
      </c>
      <c r="M3737" t="n">
        <v>59.664</v>
      </c>
      <c r="N3737" t="inlineStr">
        <is>
          <t>Explore_N</t>
        </is>
      </c>
      <c r="O3737" t="inlineStr">
        <is>
          <t>Novelty</t>
        </is>
      </c>
      <c r="P3737" t="inlineStr">
        <is>
          <t>STATE</t>
        </is>
      </c>
      <c r="Q3737" t="n">
        <v>318.466</v>
      </c>
      <c r="R3737" t="n">
        <v>319.433</v>
      </c>
      <c r="S3737" t="n">
        <v>0.967</v>
      </c>
      <c r="T3737" t="inlineStr">
        <is>
          <t>WT\test\c52m1.mp4</t>
        </is>
      </c>
      <c r="U3737" t="n">
        <v>9815</v>
      </c>
      <c r="V3737" t="n">
        <v>9844</v>
      </c>
      <c r="W3737" t="n">
        <v/>
      </c>
      <c r="X3737" t="n">
        <v/>
      </c>
      <c r="Y3737" t="n">
        <v/>
      </c>
      <c r="Z3737" t="n">
        <v/>
      </c>
      <c r="AA3737">
        <f>SUMIFS($S$2:S3737,$A$2:A3737,A3737,$N$2:N3737,"Explore*")</f>
        <v/>
      </c>
      <c r="AB3737">
        <f>IF(AND(LEFT(N3737,7)="Explore",(AA3737-IF(LEFT(N3737,7)="Explore",S3737,0))&lt;10),"SI","NO")</f>
        <v/>
      </c>
    </row>
    <row r="3738">
      <c r="A3738" t="inlineStr">
        <is>
          <t>c52m1_test</t>
        </is>
      </c>
      <c r="B3738" t="inlineStr">
        <is>
          <t>2026-02-18 12:11:32.125</t>
        </is>
      </c>
      <c r="C3738" t="n">
        <v/>
      </c>
      <c r="D3738" t="inlineStr">
        <is>
          <t>Media file</t>
        </is>
      </c>
      <c r="E3738" t="inlineStr">
        <is>
          <t>player #1:WT\test\c52m1.mp4</t>
        </is>
      </c>
      <c r="F3738" t="n">
        <v>-8.699999999999999</v>
      </c>
      <c r="G3738" t="n">
        <v>572.6660000000001</v>
      </c>
      <c r="H3738" t="n">
        <v>622.499</v>
      </c>
      <c r="I3738" t="n">
        <v>30</v>
      </c>
      <c r="J3738" t="inlineStr">
        <is>
          <t xml:space="preserve"> WT</t>
        </is>
      </c>
      <c r="K3738" t="inlineStr">
        <is>
          <t>Male</t>
        </is>
      </c>
      <c r="L3738" t="inlineStr">
        <is>
          <t>No focal subject</t>
        </is>
      </c>
      <c r="M3738" t="n">
        <v>59.664</v>
      </c>
      <c r="N3738" t="inlineStr">
        <is>
          <t>Explore_N</t>
        </is>
      </c>
      <c r="O3738" t="inlineStr">
        <is>
          <t>Novelty</t>
        </is>
      </c>
      <c r="P3738" t="inlineStr">
        <is>
          <t>STATE</t>
        </is>
      </c>
      <c r="Q3738" t="n">
        <v>322.8</v>
      </c>
      <c r="R3738" t="n">
        <v>323.933</v>
      </c>
      <c r="S3738" t="n">
        <v>1.133</v>
      </c>
      <c r="T3738" t="inlineStr">
        <is>
          <t>WT\test\c52m1.mp4</t>
        </is>
      </c>
      <c r="U3738" t="n">
        <v>9945</v>
      </c>
      <c r="V3738" t="n">
        <v>9979</v>
      </c>
      <c r="W3738" t="n">
        <v/>
      </c>
      <c r="X3738" t="n">
        <v/>
      </c>
      <c r="Y3738" t="n">
        <v/>
      </c>
      <c r="Z3738" t="n">
        <v/>
      </c>
      <c r="AA3738">
        <f>SUMIFS($S$2:S3738,$A$2:A3738,A3738,$N$2:N3738,"Explore*")</f>
        <v/>
      </c>
      <c r="AB3738">
        <f>IF(AND(LEFT(N3738,7)="Explore",(AA3738-IF(LEFT(N3738,7)="Explore",S3738,0))&lt;10),"SI","NO")</f>
        <v/>
      </c>
    </row>
    <row r="3739">
      <c r="A3739" t="inlineStr">
        <is>
          <t>c52m1_test</t>
        </is>
      </c>
      <c r="B3739" t="inlineStr">
        <is>
          <t>2026-02-18 12:11:32.125</t>
        </is>
      </c>
      <c r="C3739" t="n">
        <v/>
      </c>
      <c r="D3739" t="inlineStr">
        <is>
          <t>Media file</t>
        </is>
      </c>
      <c r="E3739" t="inlineStr">
        <is>
          <t>player #1:WT\test\c52m1.mp4</t>
        </is>
      </c>
      <c r="F3739" t="n">
        <v>-8.699999999999999</v>
      </c>
      <c r="G3739" t="n">
        <v>572.6660000000001</v>
      </c>
      <c r="H3739" t="n">
        <v>622.499</v>
      </c>
      <c r="I3739" t="n">
        <v>30</v>
      </c>
      <c r="J3739" t="inlineStr">
        <is>
          <t xml:space="preserve"> WT</t>
        </is>
      </c>
      <c r="K3739" t="inlineStr">
        <is>
          <t>Male</t>
        </is>
      </c>
      <c r="L3739" t="inlineStr">
        <is>
          <t>No focal subject</t>
        </is>
      </c>
      <c r="M3739" t="n">
        <v>59.664</v>
      </c>
      <c r="N3739" t="inlineStr">
        <is>
          <t>Explore_N</t>
        </is>
      </c>
      <c r="O3739" t="inlineStr">
        <is>
          <t>Novelty</t>
        </is>
      </c>
      <c r="P3739" t="inlineStr">
        <is>
          <t>STATE</t>
        </is>
      </c>
      <c r="Q3739" t="n">
        <v>325.166</v>
      </c>
      <c r="R3739" t="n">
        <v>327.1</v>
      </c>
      <c r="S3739" t="n">
        <v>1.934</v>
      </c>
      <c r="T3739" t="inlineStr">
        <is>
          <t>WT\test\c52m1.mp4</t>
        </is>
      </c>
      <c r="U3739" t="n">
        <v>10016</v>
      </c>
      <c r="V3739" t="n">
        <v>10074</v>
      </c>
      <c r="W3739" t="n">
        <v/>
      </c>
      <c r="X3739" t="n">
        <v/>
      </c>
      <c r="Y3739" t="n">
        <v/>
      </c>
      <c r="Z3739" t="n">
        <v/>
      </c>
      <c r="AA3739">
        <f>SUMIFS($S$2:S3739,$A$2:A3739,A3739,$N$2:N3739,"Explore*")</f>
        <v/>
      </c>
      <c r="AB3739">
        <f>IF(AND(LEFT(N3739,7)="Explore",(AA3739-IF(LEFT(N3739,7)="Explore",S3739,0))&lt;10),"SI","NO")</f>
        <v/>
      </c>
    </row>
    <row r="3740">
      <c r="A3740" t="inlineStr">
        <is>
          <t>c52m1_test</t>
        </is>
      </c>
      <c r="B3740" t="inlineStr">
        <is>
          <t>2026-02-18 12:11:32.125</t>
        </is>
      </c>
      <c r="C3740" t="n">
        <v/>
      </c>
      <c r="D3740" t="inlineStr">
        <is>
          <t>Media file</t>
        </is>
      </c>
      <c r="E3740" t="inlineStr">
        <is>
          <t>player #1:WT\test\c52m1.mp4</t>
        </is>
      </c>
      <c r="F3740" t="n">
        <v>-8.699999999999999</v>
      </c>
      <c r="G3740" t="n">
        <v>572.6660000000001</v>
      </c>
      <c r="H3740" t="n">
        <v>622.499</v>
      </c>
      <c r="I3740" t="n">
        <v>30</v>
      </c>
      <c r="J3740" t="inlineStr">
        <is>
          <t xml:space="preserve"> WT</t>
        </is>
      </c>
      <c r="K3740" t="inlineStr">
        <is>
          <t>Male</t>
        </is>
      </c>
      <c r="L3740" t="inlineStr">
        <is>
          <t>No focal subject</t>
        </is>
      </c>
      <c r="M3740" t="n">
        <v>59.664</v>
      </c>
      <c r="N3740" t="inlineStr">
        <is>
          <t>Explore_F</t>
        </is>
      </c>
      <c r="O3740" t="inlineStr">
        <is>
          <t>Familiar</t>
        </is>
      </c>
      <c r="P3740" t="inlineStr">
        <is>
          <t>STATE</t>
        </is>
      </c>
      <c r="Q3740" t="n">
        <v>331.566</v>
      </c>
      <c r="R3740" t="n">
        <v>332.733</v>
      </c>
      <c r="S3740" t="n">
        <v>1.167</v>
      </c>
      <c r="T3740" t="inlineStr">
        <is>
          <t>WT\test\c52m1.mp4</t>
        </is>
      </c>
      <c r="U3740" t="n">
        <v>10208</v>
      </c>
      <c r="V3740" t="n">
        <v>10243</v>
      </c>
      <c r="W3740" t="n">
        <v/>
      </c>
      <c r="X3740" t="n">
        <v/>
      </c>
      <c r="Y3740" t="n">
        <v/>
      </c>
      <c r="Z3740" t="n">
        <v/>
      </c>
      <c r="AA3740">
        <f>SUMIFS($S$2:S3740,$A$2:A3740,A3740,$N$2:N3740,"Explore*")</f>
        <v/>
      </c>
      <c r="AB3740">
        <f>IF(AND(LEFT(N3740,7)="Explore",(AA3740-IF(LEFT(N3740,7)="Explore",S3740,0))&lt;10),"SI","NO")</f>
        <v/>
      </c>
    </row>
    <row r="3741">
      <c r="A3741" t="inlineStr">
        <is>
          <t>c52m1_test</t>
        </is>
      </c>
      <c r="B3741" t="inlineStr">
        <is>
          <t>2026-02-18 12:11:32.125</t>
        </is>
      </c>
      <c r="C3741" t="n">
        <v/>
      </c>
      <c r="D3741" t="inlineStr">
        <is>
          <t>Media file</t>
        </is>
      </c>
      <c r="E3741" t="inlineStr">
        <is>
          <t>player #1:WT\test\c52m1.mp4</t>
        </is>
      </c>
      <c r="F3741" t="n">
        <v>-8.699999999999999</v>
      </c>
      <c r="G3741" t="n">
        <v>572.6660000000001</v>
      </c>
      <c r="H3741" t="n">
        <v>622.499</v>
      </c>
      <c r="I3741" t="n">
        <v>30</v>
      </c>
      <c r="J3741" t="inlineStr">
        <is>
          <t xml:space="preserve"> WT</t>
        </is>
      </c>
      <c r="K3741" t="inlineStr">
        <is>
          <t>Male</t>
        </is>
      </c>
      <c r="L3741" t="inlineStr">
        <is>
          <t>No focal subject</t>
        </is>
      </c>
      <c r="M3741" t="n">
        <v>59.664</v>
      </c>
      <c r="N3741" t="inlineStr">
        <is>
          <t>Explore_N</t>
        </is>
      </c>
      <c r="O3741" t="inlineStr">
        <is>
          <t>Novelty</t>
        </is>
      </c>
      <c r="P3741" t="inlineStr">
        <is>
          <t>STATE</t>
        </is>
      </c>
      <c r="Q3741" t="n">
        <v>350.5</v>
      </c>
      <c r="R3741" t="n">
        <v>351.5</v>
      </c>
      <c r="S3741" t="n">
        <v>1</v>
      </c>
      <c r="T3741" t="inlineStr">
        <is>
          <t>WT\test\c52m1.mp4</t>
        </is>
      </c>
      <c r="U3741" t="n">
        <v>10776</v>
      </c>
      <c r="V3741" t="n">
        <v>10806</v>
      </c>
      <c r="W3741" t="n">
        <v/>
      </c>
      <c r="X3741" t="n">
        <v/>
      </c>
      <c r="Y3741" t="n">
        <v/>
      </c>
      <c r="Z3741" t="n">
        <v/>
      </c>
      <c r="AA3741">
        <f>SUMIFS($S$2:S3741,$A$2:A3741,A3741,$N$2:N3741,"Explore*")</f>
        <v/>
      </c>
      <c r="AB3741">
        <f>IF(AND(LEFT(N3741,7)="Explore",(AA3741-IF(LEFT(N3741,7)="Explore",S3741,0))&lt;10),"SI","NO")</f>
        <v/>
      </c>
    </row>
    <row r="3742">
      <c r="A3742" t="inlineStr">
        <is>
          <t>c52m1_test</t>
        </is>
      </c>
      <c r="B3742" t="inlineStr">
        <is>
          <t>2026-02-18 12:11:32.125</t>
        </is>
      </c>
      <c r="C3742" t="n">
        <v/>
      </c>
      <c r="D3742" t="inlineStr">
        <is>
          <t>Media file</t>
        </is>
      </c>
      <c r="E3742" t="inlineStr">
        <is>
          <t>player #1:WT\test\c52m1.mp4</t>
        </is>
      </c>
      <c r="F3742" t="n">
        <v>-8.699999999999999</v>
      </c>
      <c r="G3742" t="n">
        <v>572.6660000000001</v>
      </c>
      <c r="H3742" t="n">
        <v>622.499</v>
      </c>
      <c r="I3742" t="n">
        <v>30</v>
      </c>
      <c r="J3742" t="inlineStr">
        <is>
          <t xml:space="preserve"> WT</t>
        </is>
      </c>
      <c r="K3742" t="inlineStr">
        <is>
          <t>Male</t>
        </is>
      </c>
      <c r="L3742" t="inlineStr">
        <is>
          <t>No focal subject</t>
        </is>
      </c>
      <c r="M3742" t="n">
        <v>59.664</v>
      </c>
      <c r="N3742" t="inlineStr">
        <is>
          <t>Explore_F</t>
        </is>
      </c>
      <c r="O3742" t="inlineStr">
        <is>
          <t>Familiar</t>
        </is>
      </c>
      <c r="P3742" t="inlineStr">
        <is>
          <t>STATE</t>
        </is>
      </c>
      <c r="Q3742" t="n">
        <v>367.766</v>
      </c>
      <c r="R3742" t="n">
        <v>368.433</v>
      </c>
      <c r="S3742" t="n">
        <v>0.667</v>
      </c>
      <c r="T3742" t="inlineStr">
        <is>
          <t>WT\test\c52m1.mp4</t>
        </is>
      </c>
      <c r="U3742" t="n">
        <v>11294</v>
      </c>
      <c r="V3742" t="n">
        <v>11314</v>
      </c>
      <c r="W3742" t="n">
        <v/>
      </c>
      <c r="X3742" t="n">
        <v/>
      </c>
      <c r="Y3742" t="n">
        <v/>
      </c>
      <c r="Z3742" t="n">
        <v/>
      </c>
      <c r="AA3742">
        <f>SUMIFS($S$2:S3742,$A$2:A3742,A3742,$N$2:N3742,"Explore*")</f>
        <v/>
      </c>
      <c r="AB3742">
        <f>IF(AND(LEFT(N3742,7)="Explore",(AA3742-IF(LEFT(N3742,7)="Explore",S3742,0))&lt;10),"SI","NO")</f>
        <v/>
      </c>
    </row>
    <row r="3743">
      <c r="A3743" t="inlineStr">
        <is>
          <t>c52m1_test</t>
        </is>
      </c>
      <c r="B3743" t="inlineStr">
        <is>
          <t>2026-02-18 12:11:32.125</t>
        </is>
      </c>
      <c r="C3743" t="n">
        <v/>
      </c>
      <c r="D3743" t="inlineStr">
        <is>
          <t>Media file</t>
        </is>
      </c>
      <c r="E3743" t="inlineStr">
        <is>
          <t>player #1:WT\test\c52m1.mp4</t>
        </is>
      </c>
      <c r="F3743" t="n">
        <v>-8.699999999999999</v>
      </c>
      <c r="G3743" t="n">
        <v>572.6660000000001</v>
      </c>
      <c r="H3743" t="n">
        <v>622.499</v>
      </c>
      <c r="I3743" t="n">
        <v>30</v>
      </c>
      <c r="J3743" t="inlineStr">
        <is>
          <t xml:space="preserve"> WT</t>
        </is>
      </c>
      <c r="K3743" t="inlineStr">
        <is>
          <t>Male</t>
        </is>
      </c>
      <c r="L3743" t="inlineStr">
        <is>
          <t>No focal subject</t>
        </is>
      </c>
      <c r="M3743" t="n">
        <v>59.664</v>
      </c>
      <c r="N3743" t="inlineStr">
        <is>
          <t>Explore_N</t>
        </is>
      </c>
      <c r="O3743" t="inlineStr">
        <is>
          <t>Novelty</t>
        </is>
      </c>
      <c r="P3743" t="inlineStr">
        <is>
          <t>STATE</t>
        </is>
      </c>
      <c r="Q3743" t="n">
        <v>369.3</v>
      </c>
      <c r="R3743" t="n">
        <v>370.033</v>
      </c>
      <c r="S3743" t="n">
        <v>0.733</v>
      </c>
      <c r="T3743" t="inlineStr">
        <is>
          <t>WT\test\c52m1.mp4</t>
        </is>
      </c>
      <c r="U3743" t="n">
        <v>11340</v>
      </c>
      <c r="V3743" t="n">
        <v>11362</v>
      </c>
      <c r="W3743" t="n">
        <v/>
      </c>
      <c r="X3743" t="n">
        <v/>
      </c>
      <c r="Y3743" t="n">
        <v/>
      </c>
      <c r="Z3743" t="n">
        <v/>
      </c>
      <c r="AA3743">
        <f>SUMIFS($S$2:S3743,$A$2:A3743,A3743,$N$2:N3743,"Explore*")</f>
        <v/>
      </c>
      <c r="AB3743">
        <f>IF(AND(LEFT(N3743,7)="Explore",(AA3743-IF(LEFT(N3743,7)="Explore",S3743,0))&lt;10),"SI","NO")</f>
        <v/>
      </c>
    </row>
    <row r="3744">
      <c r="A3744" t="inlineStr">
        <is>
          <t>c52m1_test</t>
        </is>
      </c>
      <c r="B3744" t="inlineStr">
        <is>
          <t>2026-02-18 12:11:32.125</t>
        </is>
      </c>
      <c r="C3744" t="n">
        <v/>
      </c>
      <c r="D3744" t="inlineStr">
        <is>
          <t>Media file</t>
        </is>
      </c>
      <c r="E3744" t="inlineStr">
        <is>
          <t>player #1:WT\test\c52m1.mp4</t>
        </is>
      </c>
      <c r="F3744" t="n">
        <v>-8.699999999999999</v>
      </c>
      <c r="G3744" t="n">
        <v>572.6660000000001</v>
      </c>
      <c r="H3744" t="n">
        <v>622.499</v>
      </c>
      <c r="I3744" t="n">
        <v>30</v>
      </c>
      <c r="J3744" t="inlineStr">
        <is>
          <t xml:space="preserve"> WT</t>
        </is>
      </c>
      <c r="K3744" t="inlineStr">
        <is>
          <t>Male</t>
        </is>
      </c>
      <c r="L3744" t="inlineStr">
        <is>
          <t>No focal subject</t>
        </is>
      </c>
      <c r="M3744" t="n">
        <v>59.664</v>
      </c>
      <c r="N3744" t="inlineStr">
        <is>
          <t>Explore_F</t>
        </is>
      </c>
      <c r="O3744" t="inlineStr">
        <is>
          <t>Familiar</t>
        </is>
      </c>
      <c r="P3744" t="inlineStr">
        <is>
          <t>STATE</t>
        </is>
      </c>
      <c r="Q3744" t="n">
        <v>394.566</v>
      </c>
      <c r="R3744" t="n">
        <v>396.066</v>
      </c>
      <c r="S3744" t="n">
        <v>1.5</v>
      </c>
      <c r="T3744" t="inlineStr">
        <is>
          <t>WT\test\c52m1.mp4</t>
        </is>
      </c>
      <c r="U3744" t="n">
        <v>12098</v>
      </c>
      <c r="V3744" t="n">
        <v>12143</v>
      </c>
      <c r="W3744" t="n">
        <v/>
      </c>
      <c r="X3744" t="n">
        <v/>
      </c>
      <c r="Y3744" t="n">
        <v/>
      </c>
      <c r="Z3744" t="n">
        <v/>
      </c>
      <c r="AA3744">
        <f>SUMIFS($S$2:S3744,$A$2:A3744,A3744,$N$2:N3744,"Explore*")</f>
        <v/>
      </c>
      <c r="AB3744">
        <f>IF(AND(LEFT(N3744,7)="Explore",(AA3744-IF(LEFT(N3744,7)="Explore",S3744,0))&lt;10),"SI","NO")</f>
        <v/>
      </c>
    </row>
    <row r="3745">
      <c r="A3745" t="inlineStr">
        <is>
          <t>c52m1_test</t>
        </is>
      </c>
      <c r="B3745" t="inlineStr">
        <is>
          <t>2026-02-18 12:11:32.125</t>
        </is>
      </c>
      <c r="C3745" t="n">
        <v/>
      </c>
      <c r="D3745" t="inlineStr">
        <is>
          <t>Media file</t>
        </is>
      </c>
      <c r="E3745" t="inlineStr">
        <is>
          <t>player #1:WT\test\c52m1.mp4</t>
        </is>
      </c>
      <c r="F3745" t="n">
        <v>-8.699999999999999</v>
      </c>
      <c r="G3745" t="n">
        <v>572.6660000000001</v>
      </c>
      <c r="H3745" t="n">
        <v>622.499</v>
      </c>
      <c r="I3745" t="n">
        <v>30</v>
      </c>
      <c r="J3745" t="inlineStr">
        <is>
          <t xml:space="preserve"> WT</t>
        </is>
      </c>
      <c r="K3745" t="inlineStr">
        <is>
          <t>Male</t>
        </is>
      </c>
      <c r="L3745" t="inlineStr">
        <is>
          <t>No focal subject</t>
        </is>
      </c>
      <c r="M3745" t="n">
        <v>59.664</v>
      </c>
      <c r="N3745" t="inlineStr">
        <is>
          <t>Explore_N</t>
        </is>
      </c>
      <c r="O3745" t="inlineStr">
        <is>
          <t>Novelty</t>
        </is>
      </c>
      <c r="P3745" t="inlineStr">
        <is>
          <t>STATE</t>
        </is>
      </c>
      <c r="Q3745" t="n">
        <v>442.766</v>
      </c>
      <c r="R3745" t="n">
        <v>443.4</v>
      </c>
      <c r="S3745" t="n">
        <v>0.634</v>
      </c>
      <c r="T3745" t="inlineStr">
        <is>
          <t>WT\test\c52m1.mp4</t>
        </is>
      </c>
      <c r="U3745" t="n">
        <v>13544</v>
      </c>
      <c r="V3745" t="n">
        <v>13563</v>
      </c>
      <c r="W3745" t="n">
        <v/>
      </c>
      <c r="X3745" t="n">
        <v/>
      </c>
      <c r="Y3745" t="n">
        <v/>
      </c>
      <c r="Z3745" t="n">
        <v/>
      </c>
      <c r="AA3745">
        <f>SUMIFS($S$2:S3745,$A$2:A3745,A3745,$N$2:N3745,"Explore*")</f>
        <v/>
      </c>
      <c r="AB3745">
        <f>IF(AND(LEFT(N3745,7)="Explore",(AA3745-IF(LEFT(N3745,7)="Explore",S3745,0))&lt;10),"SI","NO")</f>
        <v/>
      </c>
    </row>
    <row r="3746">
      <c r="A3746" t="inlineStr">
        <is>
          <t>c52m1_test</t>
        </is>
      </c>
      <c r="B3746" t="inlineStr">
        <is>
          <t>2026-02-18 12:11:32.125</t>
        </is>
      </c>
      <c r="C3746" t="n">
        <v/>
      </c>
      <c r="D3746" t="inlineStr">
        <is>
          <t>Media file</t>
        </is>
      </c>
      <c r="E3746" t="inlineStr">
        <is>
          <t>player #1:WT\test\c52m1.mp4</t>
        </is>
      </c>
      <c r="F3746" t="n">
        <v>-8.699999999999999</v>
      </c>
      <c r="G3746" t="n">
        <v>572.6660000000001</v>
      </c>
      <c r="H3746" t="n">
        <v>622.499</v>
      </c>
      <c r="I3746" t="n">
        <v>30</v>
      </c>
      <c r="J3746" t="inlineStr">
        <is>
          <t xml:space="preserve"> WT</t>
        </is>
      </c>
      <c r="K3746" t="inlineStr">
        <is>
          <t>Male</t>
        </is>
      </c>
      <c r="L3746" t="inlineStr">
        <is>
          <t>No focal subject</t>
        </is>
      </c>
      <c r="M3746" t="n">
        <v>59.664</v>
      </c>
      <c r="N3746" t="inlineStr">
        <is>
          <t>Explore_N</t>
        </is>
      </c>
      <c r="O3746" t="inlineStr">
        <is>
          <t>Novelty</t>
        </is>
      </c>
      <c r="P3746" t="inlineStr">
        <is>
          <t>STATE</t>
        </is>
      </c>
      <c r="Q3746" t="n">
        <v>445.8</v>
      </c>
      <c r="R3746" t="n">
        <v>446.333</v>
      </c>
      <c r="S3746" t="n">
        <v>0.533</v>
      </c>
      <c r="T3746" t="inlineStr">
        <is>
          <t>WT\test\c52m1.mp4</t>
        </is>
      </c>
      <c r="U3746" t="n">
        <v>13635</v>
      </c>
      <c r="V3746" t="n">
        <v>13651</v>
      </c>
      <c r="W3746" t="n">
        <v/>
      </c>
      <c r="X3746" t="n">
        <v/>
      </c>
      <c r="Y3746" t="n">
        <v/>
      </c>
      <c r="Z3746" t="n">
        <v/>
      </c>
      <c r="AA3746">
        <f>SUMIFS($S$2:S3746,$A$2:A3746,A3746,$N$2:N3746,"Explore*")</f>
        <v/>
      </c>
      <c r="AB3746">
        <f>IF(AND(LEFT(N3746,7)="Explore",(AA3746-IF(LEFT(N3746,7)="Explore",S3746,0))&lt;10),"SI","NO")</f>
        <v/>
      </c>
    </row>
    <row r="3747">
      <c r="A3747" t="inlineStr">
        <is>
          <t>c52m1_test</t>
        </is>
      </c>
      <c r="B3747" t="inlineStr">
        <is>
          <t>2026-02-18 12:11:32.125</t>
        </is>
      </c>
      <c r="C3747" t="n">
        <v/>
      </c>
      <c r="D3747" t="inlineStr">
        <is>
          <t>Media file</t>
        </is>
      </c>
      <c r="E3747" t="inlineStr">
        <is>
          <t>player #1:WT\test\c52m1.mp4</t>
        </is>
      </c>
      <c r="F3747" t="n">
        <v>-8.699999999999999</v>
      </c>
      <c r="G3747" t="n">
        <v>572.6660000000001</v>
      </c>
      <c r="H3747" t="n">
        <v>622.499</v>
      </c>
      <c r="I3747" t="n">
        <v>30</v>
      </c>
      <c r="J3747" t="inlineStr">
        <is>
          <t xml:space="preserve"> WT</t>
        </is>
      </c>
      <c r="K3747" t="inlineStr">
        <is>
          <t>Male</t>
        </is>
      </c>
      <c r="L3747" t="inlineStr">
        <is>
          <t>No focal subject</t>
        </is>
      </c>
      <c r="M3747" t="n">
        <v>59.664</v>
      </c>
      <c r="N3747" t="inlineStr">
        <is>
          <t>Explore_N</t>
        </is>
      </c>
      <c r="O3747" t="inlineStr">
        <is>
          <t>Novelty</t>
        </is>
      </c>
      <c r="P3747" t="inlineStr">
        <is>
          <t>STATE</t>
        </is>
      </c>
      <c r="Q3747" t="n">
        <v>448.3</v>
      </c>
      <c r="R3747" t="n">
        <v>449.033</v>
      </c>
      <c r="S3747" t="n">
        <v>0.733</v>
      </c>
      <c r="T3747" t="inlineStr">
        <is>
          <t>WT\test\c52m1.mp4</t>
        </is>
      </c>
      <c r="U3747" t="n">
        <v>13710</v>
      </c>
      <c r="V3747" t="n">
        <v>13732</v>
      </c>
      <c r="W3747" t="n">
        <v/>
      </c>
      <c r="X3747" t="n">
        <v/>
      </c>
      <c r="Y3747" t="n">
        <v/>
      </c>
      <c r="Z3747" t="n">
        <v/>
      </c>
      <c r="AA3747">
        <f>SUMIFS($S$2:S3747,$A$2:A3747,A3747,$N$2:N3747,"Explore*")</f>
        <v/>
      </c>
      <c r="AB3747">
        <f>IF(AND(LEFT(N3747,7)="Explore",(AA3747-IF(LEFT(N3747,7)="Explore",S3747,0))&lt;10),"SI","NO")</f>
        <v/>
      </c>
    </row>
    <row r="3748">
      <c r="A3748" t="inlineStr">
        <is>
          <t>c52m1_test</t>
        </is>
      </c>
      <c r="B3748" t="inlineStr">
        <is>
          <t>2026-02-18 12:11:32.125</t>
        </is>
      </c>
      <c r="C3748" t="n">
        <v/>
      </c>
      <c r="D3748" t="inlineStr">
        <is>
          <t>Media file</t>
        </is>
      </c>
      <c r="E3748" t="inlineStr">
        <is>
          <t>player #1:WT\test\c52m1.mp4</t>
        </is>
      </c>
      <c r="F3748" t="n">
        <v>-8.699999999999999</v>
      </c>
      <c r="G3748" t="n">
        <v>572.6660000000001</v>
      </c>
      <c r="H3748" t="n">
        <v>622.499</v>
      </c>
      <c r="I3748" t="n">
        <v>30</v>
      </c>
      <c r="J3748" t="inlineStr">
        <is>
          <t xml:space="preserve"> WT</t>
        </is>
      </c>
      <c r="K3748" t="inlineStr">
        <is>
          <t>Male</t>
        </is>
      </c>
      <c r="L3748" t="inlineStr">
        <is>
          <t>No focal subject</t>
        </is>
      </c>
      <c r="M3748" t="n">
        <v>59.664</v>
      </c>
      <c r="N3748" t="inlineStr">
        <is>
          <t>Explore_N</t>
        </is>
      </c>
      <c r="O3748" t="inlineStr">
        <is>
          <t>Novelty</t>
        </is>
      </c>
      <c r="P3748" t="inlineStr">
        <is>
          <t>STATE</t>
        </is>
      </c>
      <c r="Q3748" t="n">
        <v>450</v>
      </c>
      <c r="R3748" t="n">
        <v>451.233</v>
      </c>
      <c r="S3748" t="n">
        <v>1.233</v>
      </c>
      <c r="T3748" t="inlineStr">
        <is>
          <t>WT\test\c52m1.mp4</t>
        </is>
      </c>
      <c r="U3748" t="n">
        <v>13761</v>
      </c>
      <c r="V3748" t="n">
        <v>13798</v>
      </c>
      <c r="W3748" t="n">
        <v/>
      </c>
      <c r="X3748" t="n">
        <v/>
      </c>
      <c r="Y3748" t="n">
        <v/>
      </c>
      <c r="Z3748" t="n">
        <v/>
      </c>
      <c r="AA3748">
        <f>SUMIFS($S$2:S3748,$A$2:A3748,A3748,$N$2:N3748,"Explore*")</f>
        <v/>
      </c>
      <c r="AB3748">
        <f>IF(AND(LEFT(N3748,7)="Explore",(AA3748-IF(LEFT(N3748,7)="Explore",S3748,0))&lt;10),"SI","NO")</f>
        <v/>
      </c>
    </row>
    <row r="3749">
      <c r="A3749" t="inlineStr">
        <is>
          <t>c52m1_test</t>
        </is>
      </c>
      <c r="B3749" t="inlineStr">
        <is>
          <t>2026-02-18 12:11:32.125</t>
        </is>
      </c>
      <c r="C3749" t="n">
        <v/>
      </c>
      <c r="D3749" t="inlineStr">
        <is>
          <t>Media file</t>
        </is>
      </c>
      <c r="E3749" t="inlineStr">
        <is>
          <t>player #1:WT\test\c52m1.mp4</t>
        </is>
      </c>
      <c r="F3749" t="n">
        <v>-8.699999999999999</v>
      </c>
      <c r="G3749" t="n">
        <v>572.6660000000001</v>
      </c>
      <c r="H3749" t="n">
        <v>622.499</v>
      </c>
      <c r="I3749" t="n">
        <v>30</v>
      </c>
      <c r="J3749" t="inlineStr">
        <is>
          <t xml:space="preserve"> WT</t>
        </is>
      </c>
      <c r="K3749" t="inlineStr">
        <is>
          <t>Male</t>
        </is>
      </c>
      <c r="L3749" t="inlineStr">
        <is>
          <t>No focal subject</t>
        </is>
      </c>
      <c r="M3749" t="n">
        <v>59.664</v>
      </c>
      <c r="N3749" t="inlineStr">
        <is>
          <t>Explore_N</t>
        </is>
      </c>
      <c r="O3749" t="inlineStr">
        <is>
          <t>Novelty</t>
        </is>
      </c>
      <c r="P3749" t="inlineStr">
        <is>
          <t>STATE</t>
        </is>
      </c>
      <c r="Q3749" t="n">
        <v>454</v>
      </c>
      <c r="R3749" t="n">
        <v>455.033</v>
      </c>
      <c r="S3749" t="n">
        <v>1.033</v>
      </c>
      <c r="T3749" t="inlineStr">
        <is>
          <t>WT\test\c52m1.mp4</t>
        </is>
      </c>
      <c r="U3749" t="n">
        <v>13881</v>
      </c>
      <c r="V3749" t="n">
        <v>13912</v>
      </c>
      <c r="W3749" t="n">
        <v/>
      </c>
      <c r="X3749" t="n">
        <v/>
      </c>
      <c r="Y3749" t="n">
        <v/>
      </c>
      <c r="Z3749" t="n">
        <v/>
      </c>
      <c r="AA3749">
        <f>SUMIFS($S$2:S3749,$A$2:A3749,A3749,$N$2:N3749,"Explore*")</f>
        <v/>
      </c>
      <c r="AB3749">
        <f>IF(AND(LEFT(N3749,7)="Explore",(AA3749-IF(LEFT(N3749,7)="Explore",S3749,0))&lt;10),"SI","NO")</f>
        <v/>
      </c>
    </row>
    <row r="3750">
      <c r="A3750" t="inlineStr">
        <is>
          <t>c52m1_test</t>
        </is>
      </c>
      <c r="B3750" t="inlineStr">
        <is>
          <t>2026-02-18 12:11:32.125</t>
        </is>
      </c>
      <c r="C3750" t="n">
        <v/>
      </c>
      <c r="D3750" t="inlineStr">
        <is>
          <t>Media file</t>
        </is>
      </c>
      <c r="E3750" t="inlineStr">
        <is>
          <t>player #1:WT\test\c52m1.mp4</t>
        </is>
      </c>
      <c r="F3750" t="n">
        <v>-8.699999999999999</v>
      </c>
      <c r="G3750" t="n">
        <v>572.6660000000001</v>
      </c>
      <c r="H3750" t="n">
        <v>622.499</v>
      </c>
      <c r="I3750" t="n">
        <v>30</v>
      </c>
      <c r="J3750" t="inlineStr">
        <is>
          <t xml:space="preserve"> WT</t>
        </is>
      </c>
      <c r="K3750" t="inlineStr">
        <is>
          <t>Male</t>
        </is>
      </c>
      <c r="L3750" t="inlineStr">
        <is>
          <t>No focal subject</t>
        </is>
      </c>
      <c r="M3750" t="n">
        <v>59.664</v>
      </c>
      <c r="N3750" t="inlineStr">
        <is>
          <t>Explore_N</t>
        </is>
      </c>
      <c r="O3750" t="inlineStr">
        <is>
          <t>Novelty</t>
        </is>
      </c>
      <c r="P3750" t="inlineStr">
        <is>
          <t>STATE</t>
        </is>
      </c>
      <c r="Q3750" t="n">
        <v>456.466</v>
      </c>
      <c r="R3750" t="n">
        <v>457.566</v>
      </c>
      <c r="S3750" t="n">
        <v>1.1</v>
      </c>
      <c r="T3750" t="inlineStr">
        <is>
          <t>WT\test\c52m1.mp4</t>
        </is>
      </c>
      <c r="U3750" t="n">
        <v>13955</v>
      </c>
      <c r="V3750" t="n">
        <v>13988</v>
      </c>
      <c r="W3750" t="n">
        <v/>
      </c>
      <c r="X3750" t="n">
        <v/>
      </c>
      <c r="Y3750" t="n">
        <v/>
      </c>
      <c r="Z3750" t="n">
        <v/>
      </c>
      <c r="AA3750">
        <f>SUMIFS($S$2:S3750,$A$2:A3750,A3750,$N$2:N3750,"Explore*")</f>
        <v/>
      </c>
      <c r="AB3750">
        <f>IF(AND(LEFT(N3750,7)="Explore",(AA3750-IF(LEFT(N3750,7)="Explore",S3750,0))&lt;10),"SI","NO")</f>
        <v/>
      </c>
    </row>
    <row r="3751">
      <c r="A3751" t="inlineStr">
        <is>
          <t>c52m1_test</t>
        </is>
      </c>
      <c r="B3751" t="inlineStr">
        <is>
          <t>2026-02-18 12:11:32.125</t>
        </is>
      </c>
      <c r="C3751" t="n">
        <v/>
      </c>
      <c r="D3751" t="inlineStr">
        <is>
          <t>Media file</t>
        </is>
      </c>
      <c r="E3751" t="inlineStr">
        <is>
          <t>player #1:WT\test\c52m1.mp4</t>
        </is>
      </c>
      <c r="F3751" t="n">
        <v>-8.699999999999999</v>
      </c>
      <c r="G3751" t="n">
        <v>572.6660000000001</v>
      </c>
      <c r="H3751" t="n">
        <v>622.499</v>
      </c>
      <c r="I3751" t="n">
        <v>30</v>
      </c>
      <c r="J3751" t="inlineStr">
        <is>
          <t xml:space="preserve"> WT</t>
        </is>
      </c>
      <c r="K3751" t="inlineStr">
        <is>
          <t>Male</t>
        </is>
      </c>
      <c r="L3751" t="inlineStr">
        <is>
          <t>No focal subject</t>
        </is>
      </c>
      <c r="M3751" t="n">
        <v>59.664</v>
      </c>
      <c r="N3751" t="inlineStr">
        <is>
          <t>Explore_N</t>
        </is>
      </c>
      <c r="O3751" t="inlineStr">
        <is>
          <t>Novelty</t>
        </is>
      </c>
      <c r="P3751" t="inlineStr">
        <is>
          <t>STATE</t>
        </is>
      </c>
      <c r="Q3751" t="n">
        <v>461.533</v>
      </c>
      <c r="R3751" t="n">
        <v>462.1</v>
      </c>
      <c r="S3751" t="n">
        <v>0.5669999999999999</v>
      </c>
      <c r="T3751" t="inlineStr">
        <is>
          <t>WT\test\c52m1.mp4</t>
        </is>
      </c>
      <c r="U3751" t="n">
        <v>14107</v>
      </c>
      <c r="V3751" t="n">
        <v>14124</v>
      </c>
      <c r="W3751" t="n">
        <v/>
      </c>
      <c r="X3751" t="n">
        <v/>
      </c>
      <c r="Y3751" t="n">
        <v/>
      </c>
      <c r="Z3751" t="n">
        <v/>
      </c>
      <c r="AA3751">
        <f>SUMIFS($S$2:S3751,$A$2:A3751,A3751,$N$2:N3751,"Explore*")</f>
        <v/>
      </c>
      <c r="AB3751">
        <f>IF(AND(LEFT(N3751,7)="Explore",(AA3751-IF(LEFT(N3751,7)="Explore",S3751,0))&lt;10),"SI","NO")</f>
        <v/>
      </c>
    </row>
    <row r="3752">
      <c r="A3752" t="inlineStr">
        <is>
          <t>c52m1_test</t>
        </is>
      </c>
      <c r="B3752" t="inlineStr">
        <is>
          <t>2026-02-18 12:11:32.125</t>
        </is>
      </c>
      <c r="C3752" t="n">
        <v/>
      </c>
      <c r="D3752" t="inlineStr">
        <is>
          <t>Media file</t>
        </is>
      </c>
      <c r="E3752" t="inlineStr">
        <is>
          <t>player #1:WT\test\c52m1.mp4</t>
        </is>
      </c>
      <c r="F3752" t="n">
        <v>-8.699999999999999</v>
      </c>
      <c r="G3752" t="n">
        <v>572.6660000000001</v>
      </c>
      <c r="H3752" t="n">
        <v>622.499</v>
      </c>
      <c r="I3752" t="n">
        <v>30</v>
      </c>
      <c r="J3752" t="inlineStr">
        <is>
          <t xml:space="preserve"> WT</t>
        </is>
      </c>
      <c r="K3752" t="inlineStr">
        <is>
          <t>Male</t>
        </is>
      </c>
      <c r="L3752" t="inlineStr">
        <is>
          <t>No focal subject</t>
        </is>
      </c>
      <c r="M3752" t="n">
        <v>59.664</v>
      </c>
      <c r="N3752" t="inlineStr">
        <is>
          <t>Explore_F</t>
        </is>
      </c>
      <c r="O3752" t="inlineStr">
        <is>
          <t>Familiar</t>
        </is>
      </c>
      <c r="P3752" t="inlineStr">
        <is>
          <t>STATE</t>
        </is>
      </c>
      <c r="Q3752" t="n">
        <v>462.933</v>
      </c>
      <c r="R3752" t="n">
        <v>463.833</v>
      </c>
      <c r="S3752" t="n">
        <v>0.9</v>
      </c>
      <c r="T3752" t="inlineStr">
        <is>
          <t>WT\test\c52m1.mp4</t>
        </is>
      </c>
      <c r="U3752" t="n">
        <v>14149</v>
      </c>
      <c r="V3752" t="n">
        <v>14176</v>
      </c>
      <c r="W3752" t="n">
        <v/>
      </c>
      <c r="X3752" t="n">
        <v/>
      </c>
      <c r="Y3752" t="n">
        <v/>
      </c>
      <c r="Z3752" t="n">
        <v/>
      </c>
      <c r="AA3752">
        <f>SUMIFS($S$2:S3752,$A$2:A3752,A3752,$N$2:N3752,"Explore*")</f>
        <v/>
      </c>
      <c r="AB3752">
        <f>IF(AND(LEFT(N3752,7)="Explore",(AA3752-IF(LEFT(N3752,7)="Explore",S3752,0))&lt;10),"SI","NO")</f>
        <v/>
      </c>
    </row>
    <row r="3753">
      <c r="A3753" t="inlineStr">
        <is>
          <t>c52m1_test</t>
        </is>
      </c>
      <c r="B3753" t="inlineStr">
        <is>
          <t>2026-02-18 12:11:32.125</t>
        </is>
      </c>
      <c r="C3753" t="n">
        <v/>
      </c>
      <c r="D3753" t="inlineStr">
        <is>
          <t>Media file</t>
        </is>
      </c>
      <c r="E3753" t="inlineStr">
        <is>
          <t>player #1:WT\test\c52m1.mp4</t>
        </is>
      </c>
      <c r="F3753" t="n">
        <v>-8.699999999999999</v>
      </c>
      <c r="G3753" t="n">
        <v>572.6660000000001</v>
      </c>
      <c r="H3753" t="n">
        <v>622.499</v>
      </c>
      <c r="I3753" t="n">
        <v>30</v>
      </c>
      <c r="J3753" t="inlineStr">
        <is>
          <t xml:space="preserve"> WT</t>
        </is>
      </c>
      <c r="K3753" t="inlineStr">
        <is>
          <t>Male</t>
        </is>
      </c>
      <c r="L3753" t="inlineStr">
        <is>
          <t>No focal subject</t>
        </is>
      </c>
      <c r="M3753" t="n">
        <v>59.664</v>
      </c>
      <c r="N3753" t="inlineStr">
        <is>
          <t>Explore_N</t>
        </is>
      </c>
      <c r="O3753" t="inlineStr">
        <is>
          <t>Novelty</t>
        </is>
      </c>
      <c r="P3753" t="inlineStr">
        <is>
          <t>STATE</t>
        </is>
      </c>
      <c r="Q3753" t="n">
        <v>483.133</v>
      </c>
      <c r="R3753" t="n">
        <v>483.733</v>
      </c>
      <c r="S3753" t="n">
        <v>0.6</v>
      </c>
      <c r="T3753" t="inlineStr">
        <is>
          <t>WT\test\c52m1.mp4</t>
        </is>
      </c>
      <c r="U3753" t="n">
        <v>14755</v>
      </c>
      <c r="V3753" t="n">
        <v>14773</v>
      </c>
      <c r="W3753" t="n">
        <v/>
      </c>
      <c r="X3753" t="n">
        <v/>
      </c>
      <c r="Y3753" t="n">
        <v/>
      </c>
      <c r="Z3753" t="n">
        <v/>
      </c>
      <c r="AA3753">
        <f>SUMIFS($S$2:S3753,$A$2:A3753,A3753,$N$2:N3753,"Explore*")</f>
        <v/>
      </c>
      <c r="AB3753">
        <f>IF(AND(LEFT(N3753,7)="Explore",(AA3753-IF(LEFT(N3753,7)="Explore",S3753,0))&lt;10),"SI","NO")</f>
        <v/>
      </c>
    </row>
    <row r="3754">
      <c r="A3754" t="inlineStr">
        <is>
          <t>c52m1_test</t>
        </is>
      </c>
      <c r="B3754" t="inlineStr">
        <is>
          <t>2026-02-18 12:11:32.125</t>
        </is>
      </c>
      <c r="C3754" t="n">
        <v/>
      </c>
      <c r="D3754" t="inlineStr">
        <is>
          <t>Media file</t>
        </is>
      </c>
      <c r="E3754" t="inlineStr">
        <is>
          <t>player #1:WT\test\c52m1.mp4</t>
        </is>
      </c>
      <c r="F3754" t="n">
        <v>-8.699999999999999</v>
      </c>
      <c r="G3754" t="n">
        <v>572.6660000000001</v>
      </c>
      <c r="H3754" t="n">
        <v>622.499</v>
      </c>
      <c r="I3754" t="n">
        <v>30</v>
      </c>
      <c r="J3754" t="inlineStr">
        <is>
          <t xml:space="preserve"> WT</t>
        </is>
      </c>
      <c r="K3754" t="inlineStr">
        <is>
          <t>Male</t>
        </is>
      </c>
      <c r="L3754" t="inlineStr">
        <is>
          <t>No focal subject</t>
        </is>
      </c>
      <c r="M3754" t="n">
        <v>59.664</v>
      </c>
      <c r="N3754" t="inlineStr">
        <is>
          <t>Explore_N</t>
        </is>
      </c>
      <c r="O3754" t="inlineStr">
        <is>
          <t>Novelty</t>
        </is>
      </c>
      <c r="P3754" t="inlineStr">
        <is>
          <t>STATE</t>
        </is>
      </c>
      <c r="Q3754" t="n">
        <v>485.999</v>
      </c>
      <c r="R3754" t="n">
        <v>487.233</v>
      </c>
      <c r="S3754" t="n">
        <v>1.234</v>
      </c>
      <c r="T3754" t="inlineStr">
        <is>
          <t>WT\test\c52m1.mp4</t>
        </is>
      </c>
      <c r="U3754" t="n">
        <v>14841</v>
      </c>
      <c r="V3754" t="n">
        <v>14878</v>
      </c>
      <c r="W3754" t="n">
        <v/>
      </c>
      <c r="X3754" t="n">
        <v/>
      </c>
      <c r="Y3754" t="n">
        <v/>
      </c>
      <c r="Z3754" t="n">
        <v/>
      </c>
      <c r="AA3754">
        <f>SUMIFS($S$2:S3754,$A$2:A3754,A3754,$N$2:N3754,"Explore*")</f>
        <v/>
      </c>
      <c r="AB3754">
        <f>IF(AND(LEFT(N3754,7)="Explore",(AA3754-IF(LEFT(N3754,7)="Explore",S3754,0))&lt;10),"SI","NO")</f>
        <v/>
      </c>
    </row>
    <row r="3755">
      <c r="A3755" t="inlineStr">
        <is>
          <t>c52m1_test</t>
        </is>
      </c>
      <c r="B3755" t="inlineStr">
        <is>
          <t>2026-02-18 12:11:32.125</t>
        </is>
      </c>
      <c r="C3755" t="n">
        <v/>
      </c>
      <c r="D3755" t="inlineStr">
        <is>
          <t>Media file</t>
        </is>
      </c>
      <c r="E3755" t="inlineStr">
        <is>
          <t>player #1:WT\test\c52m1.mp4</t>
        </is>
      </c>
      <c r="F3755" t="n">
        <v>-8.699999999999999</v>
      </c>
      <c r="G3755" t="n">
        <v>572.6660000000001</v>
      </c>
      <c r="H3755" t="n">
        <v>622.499</v>
      </c>
      <c r="I3755" t="n">
        <v>30</v>
      </c>
      <c r="J3755" t="inlineStr">
        <is>
          <t xml:space="preserve"> WT</t>
        </is>
      </c>
      <c r="K3755" t="inlineStr">
        <is>
          <t>Male</t>
        </is>
      </c>
      <c r="L3755" t="inlineStr">
        <is>
          <t>No focal subject</t>
        </is>
      </c>
      <c r="M3755" t="n">
        <v>59.664</v>
      </c>
      <c r="N3755" t="inlineStr">
        <is>
          <t>Explore_F</t>
        </is>
      </c>
      <c r="O3755" t="inlineStr">
        <is>
          <t>Familiar</t>
        </is>
      </c>
      <c r="P3755" t="inlineStr">
        <is>
          <t>STATE</t>
        </is>
      </c>
      <c r="Q3755" t="n">
        <v>500.399</v>
      </c>
      <c r="R3755" t="n">
        <v>502.166</v>
      </c>
      <c r="S3755" t="n">
        <v>1.767</v>
      </c>
      <c r="T3755" t="inlineStr">
        <is>
          <t>WT\test\c52m1.mp4</t>
        </is>
      </c>
      <c r="U3755" t="n">
        <v>15273</v>
      </c>
      <c r="V3755" t="n">
        <v>15326</v>
      </c>
      <c r="W3755" t="n">
        <v/>
      </c>
      <c r="X3755" t="n">
        <v/>
      </c>
      <c r="Y3755" t="n">
        <v/>
      </c>
      <c r="Z3755" t="n">
        <v/>
      </c>
      <c r="AA3755">
        <f>SUMIFS($S$2:S3755,$A$2:A3755,A3755,$N$2:N3755,"Explore*")</f>
        <v/>
      </c>
      <c r="AB3755">
        <f>IF(AND(LEFT(N3755,7)="Explore",(AA3755-IF(LEFT(N3755,7)="Explore",S3755,0))&lt;10),"SI","NO")</f>
        <v/>
      </c>
    </row>
    <row r="3756">
      <c r="A3756" t="inlineStr">
        <is>
          <t>c52m1_test</t>
        </is>
      </c>
      <c r="B3756" t="inlineStr">
        <is>
          <t>2026-02-18 12:11:32.125</t>
        </is>
      </c>
      <c r="C3756" t="n">
        <v/>
      </c>
      <c r="D3756" t="inlineStr">
        <is>
          <t>Media file</t>
        </is>
      </c>
      <c r="E3756" t="inlineStr">
        <is>
          <t>player #1:WT\test\c52m1.mp4</t>
        </is>
      </c>
      <c r="F3756" t="n">
        <v>-8.699999999999999</v>
      </c>
      <c r="G3756" t="n">
        <v>572.6660000000001</v>
      </c>
      <c r="H3756" t="n">
        <v>622.499</v>
      </c>
      <c r="I3756" t="n">
        <v>30</v>
      </c>
      <c r="J3756" t="inlineStr">
        <is>
          <t xml:space="preserve"> WT</t>
        </is>
      </c>
      <c r="K3756" t="inlineStr">
        <is>
          <t>Male</t>
        </is>
      </c>
      <c r="L3756" t="inlineStr">
        <is>
          <t>No focal subject</t>
        </is>
      </c>
      <c r="M3756" t="n">
        <v>59.664</v>
      </c>
      <c r="N3756" t="inlineStr">
        <is>
          <t>Explore_N</t>
        </is>
      </c>
      <c r="O3756" t="inlineStr">
        <is>
          <t>Novelty</t>
        </is>
      </c>
      <c r="P3756" t="inlineStr">
        <is>
          <t>STATE</t>
        </is>
      </c>
      <c r="Q3756" t="n">
        <v>528.799</v>
      </c>
      <c r="R3756" t="n">
        <v>529.1660000000001</v>
      </c>
      <c r="S3756" t="n">
        <v>0.367</v>
      </c>
      <c r="T3756" t="inlineStr">
        <is>
          <t>WT\test\c52m1.mp4</t>
        </is>
      </c>
      <c r="U3756" t="n">
        <v>16125</v>
      </c>
      <c r="V3756" t="n">
        <v>16136</v>
      </c>
      <c r="W3756" t="n">
        <v/>
      </c>
      <c r="X3756" t="n">
        <v/>
      </c>
      <c r="Y3756" t="n">
        <v/>
      </c>
      <c r="Z3756" t="n">
        <v/>
      </c>
      <c r="AA3756">
        <f>SUMIFS($S$2:S3756,$A$2:A3756,A3756,$N$2:N3756,"Explore*")</f>
        <v/>
      </c>
      <c r="AB3756">
        <f>IF(AND(LEFT(N3756,7)="Explore",(AA3756-IF(LEFT(N3756,7)="Explore",S3756,0))&lt;10),"SI","NO")</f>
        <v/>
      </c>
    </row>
    <row r="3757">
      <c r="A3757" t="inlineStr">
        <is>
          <t>c52m1_test</t>
        </is>
      </c>
      <c r="B3757" t="inlineStr">
        <is>
          <t>2026-02-18 12:11:32.125</t>
        </is>
      </c>
      <c r="C3757" t="n">
        <v/>
      </c>
      <c r="D3757" t="inlineStr">
        <is>
          <t>Media file</t>
        </is>
      </c>
      <c r="E3757" t="inlineStr">
        <is>
          <t>player #1:WT\test\c52m1.mp4</t>
        </is>
      </c>
      <c r="F3757" t="n">
        <v>-8.699999999999999</v>
      </c>
      <c r="G3757" t="n">
        <v>572.6660000000001</v>
      </c>
      <c r="H3757" t="n">
        <v>622.499</v>
      </c>
      <c r="I3757" t="n">
        <v>30</v>
      </c>
      <c r="J3757" t="inlineStr">
        <is>
          <t xml:space="preserve"> WT</t>
        </is>
      </c>
      <c r="K3757" t="inlineStr">
        <is>
          <t>Male</t>
        </is>
      </c>
      <c r="L3757" t="inlineStr">
        <is>
          <t>No focal subject</t>
        </is>
      </c>
      <c r="M3757" t="n">
        <v>59.664</v>
      </c>
      <c r="N3757" t="inlineStr">
        <is>
          <t>Explore_F</t>
        </is>
      </c>
      <c r="O3757" t="inlineStr">
        <is>
          <t>Familiar</t>
        </is>
      </c>
      <c r="P3757" t="inlineStr">
        <is>
          <t>STATE</t>
        </is>
      </c>
      <c r="Q3757" t="n">
        <v>544.333</v>
      </c>
      <c r="R3757" t="n">
        <v>545.366</v>
      </c>
      <c r="S3757" t="n">
        <v>1.033</v>
      </c>
      <c r="T3757" t="inlineStr">
        <is>
          <t>WT\test\c52m1.mp4</t>
        </is>
      </c>
      <c r="U3757" t="n">
        <v>16591</v>
      </c>
      <c r="V3757" t="n">
        <v>16623</v>
      </c>
      <c r="W3757" t="n">
        <v/>
      </c>
      <c r="X3757" t="n">
        <v/>
      </c>
      <c r="Y3757" t="n">
        <v/>
      </c>
      <c r="Z3757" t="n">
        <v/>
      </c>
      <c r="AA3757">
        <f>SUMIFS($S$2:S3757,$A$2:A3757,A3757,$N$2:N3757,"Explore*")</f>
        <v/>
      </c>
      <c r="AB3757">
        <f>IF(AND(LEFT(N3757,7)="Explore",(AA3757-IF(LEFT(N3757,7)="Explore",S3757,0))&lt;10),"SI","NO")</f>
        <v/>
      </c>
    </row>
    <row r="3758">
      <c r="A3758" t="inlineStr">
        <is>
          <t>c52m1_test</t>
        </is>
      </c>
      <c r="B3758" t="inlineStr">
        <is>
          <t>2026-02-18 12:11:32.125</t>
        </is>
      </c>
      <c r="C3758" t="n">
        <v/>
      </c>
      <c r="D3758" t="inlineStr">
        <is>
          <t>Media file</t>
        </is>
      </c>
      <c r="E3758" t="inlineStr">
        <is>
          <t>player #1:WT\test\c52m1.mp4</t>
        </is>
      </c>
      <c r="F3758" t="n">
        <v>-8.699999999999999</v>
      </c>
      <c r="G3758" t="n">
        <v>572.6660000000001</v>
      </c>
      <c r="H3758" t="n">
        <v>622.499</v>
      </c>
      <c r="I3758" t="n">
        <v>30</v>
      </c>
      <c r="J3758" t="inlineStr">
        <is>
          <t xml:space="preserve"> WT</t>
        </is>
      </c>
      <c r="K3758" t="inlineStr">
        <is>
          <t>Male</t>
        </is>
      </c>
      <c r="L3758" t="inlineStr">
        <is>
          <t>No focal subject</t>
        </is>
      </c>
      <c r="M3758" t="n">
        <v>59.664</v>
      </c>
      <c r="N3758" t="inlineStr">
        <is>
          <t>Explore_N</t>
        </is>
      </c>
      <c r="O3758" t="inlineStr">
        <is>
          <t>Novelty</t>
        </is>
      </c>
      <c r="P3758" t="inlineStr">
        <is>
          <t>STATE</t>
        </is>
      </c>
      <c r="Q3758" t="n">
        <v>555.533</v>
      </c>
      <c r="R3758" t="n">
        <v>556.066</v>
      </c>
      <c r="S3758" t="n">
        <v>0.533</v>
      </c>
      <c r="T3758" t="inlineStr">
        <is>
          <t>WT\test\c52m1.mp4</t>
        </is>
      </c>
      <c r="U3758" t="n">
        <v>16927</v>
      </c>
      <c r="V3758" t="n">
        <v>16943</v>
      </c>
      <c r="W3758" t="n">
        <v/>
      </c>
      <c r="X3758" t="n">
        <v/>
      </c>
      <c r="Y3758" t="n">
        <v/>
      </c>
      <c r="Z3758" t="n">
        <v/>
      </c>
      <c r="AA3758">
        <f>SUMIFS($S$2:S3758,$A$2:A3758,A3758,$N$2:N3758,"Explore*")</f>
        <v/>
      </c>
      <c r="AB3758">
        <f>IF(AND(LEFT(N3758,7)="Explore",(AA3758-IF(LEFT(N3758,7)="Explore",S3758,0))&lt;10),"SI","NO")</f>
        <v/>
      </c>
    </row>
    <row r="3759">
      <c r="A3759" t="inlineStr">
        <is>
          <t>c52m1_test</t>
        </is>
      </c>
      <c r="B3759" t="inlineStr">
        <is>
          <t>2026-02-18 12:11:32.125</t>
        </is>
      </c>
      <c r="C3759" t="n">
        <v/>
      </c>
      <c r="D3759" t="inlineStr">
        <is>
          <t>Media file</t>
        </is>
      </c>
      <c r="E3759" t="inlineStr">
        <is>
          <t>player #1:WT\test\c52m1.mp4</t>
        </is>
      </c>
      <c r="F3759" t="n">
        <v>-8.699999999999999</v>
      </c>
      <c r="G3759" t="n">
        <v>572.6660000000001</v>
      </c>
      <c r="H3759" t="n">
        <v>622.499</v>
      </c>
      <c r="I3759" t="n">
        <v>30</v>
      </c>
      <c r="J3759" t="inlineStr">
        <is>
          <t xml:space="preserve"> WT</t>
        </is>
      </c>
      <c r="K3759" t="inlineStr">
        <is>
          <t>Male</t>
        </is>
      </c>
      <c r="L3759" t="inlineStr">
        <is>
          <t>No focal subject</t>
        </is>
      </c>
      <c r="M3759" t="n">
        <v>59.664</v>
      </c>
      <c r="N3759" t="inlineStr">
        <is>
          <t>Explore_F</t>
        </is>
      </c>
      <c r="O3759" t="inlineStr">
        <is>
          <t>Familiar</t>
        </is>
      </c>
      <c r="P3759" t="inlineStr">
        <is>
          <t>STATE</t>
        </is>
      </c>
      <c r="Q3759" t="n">
        <v>561.7329999999999</v>
      </c>
      <c r="R3759" t="n">
        <v>563.366</v>
      </c>
      <c r="S3759" t="n">
        <v>1.633</v>
      </c>
      <c r="T3759" t="inlineStr">
        <is>
          <t>WT\test\c52m1.mp4</t>
        </is>
      </c>
      <c r="U3759" t="n">
        <v>17113</v>
      </c>
      <c r="V3759" t="n">
        <v>17162</v>
      </c>
      <c r="W3759" t="n">
        <v/>
      </c>
      <c r="X3759" t="n">
        <v/>
      </c>
      <c r="Y3759" t="n">
        <v/>
      </c>
      <c r="Z3759" t="n">
        <v/>
      </c>
      <c r="AA3759">
        <f>SUMIFS($S$2:S3759,$A$2:A3759,A3759,$N$2:N3759,"Explore*")</f>
        <v/>
      </c>
      <c r="AB3759">
        <f>IF(AND(LEFT(N3759,7)="Explore",(AA3759-IF(LEFT(N3759,7)="Explore",S3759,0))&lt;10),"SI","NO")</f>
        <v/>
      </c>
    </row>
    <row r="3760">
      <c r="A3760" t="inlineStr">
        <is>
          <t>c52m1_test</t>
        </is>
      </c>
      <c r="B3760" t="inlineStr">
        <is>
          <t>2026-02-18 12:11:32.125</t>
        </is>
      </c>
      <c r="C3760" t="n">
        <v/>
      </c>
      <c r="D3760" t="inlineStr">
        <is>
          <t>Media file</t>
        </is>
      </c>
      <c r="E3760" t="inlineStr">
        <is>
          <t>player #1:WT\test\c52m1.mp4</t>
        </is>
      </c>
      <c r="F3760" t="n">
        <v>-8.699999999999999</v>
      </c>
      <c r="G3760" t="n">
        <v>572.6660000000001</v>
      </c>
      <c r="H3760" t="n">
        <v>622.499</v>
      </c>
      <c r="I3760" t="n">
        <v>30</v>
      </c>
      <c r="J3760" t="inlineStr">
        <is>
          <t xml:space="preserve"> WT</t>
        </is>
      </c>
      <c r="K3760" t="inlineStr">
        <is>
          <t>Male</t>
        </is>
      </c>
      <c r="L3760" t="inlineStr">
        <is>
          <t>No focal subject</t>
        </is>
      </c>
      <c r="M3760" t="n">
        <v>59.664</v>
      </c>
      <c r="N3760" t="inlineStr">
        <is>
          <t>Explore_F</t>
        </is>
      </c>
      <c r="O3760" t="inlineStr">
        <is>
          <t>Familiar</t>
        </is>
      </c>
      <c r="P3760" t="inlineStr">
        <is>
          <t>STATE</t>
        </is>
      </c>
      <c r="Q3760" t="n">
        <v>564.933</v>
      </c>
      <c r="R3760" t="n">
        <v>565.933</v>
      </c>
      <c r="S3760" t="n">
        <v>1</v>
      </c>
      <c r="T3760" t="inlineStr">
        <is>
          <t>WT\test\c52m1.mp4</t>
        </is>
      </c>
      <c r="U3760" t="n">
        <v>17209</v>
      </c>
      <c r="V3760" t="n">
        <v>17239</v>
      </c>
      <c r="W3760" t="n">
        <v/>
      </c>
      <c r="X3760" t="n">
        <v/>
      </c>
      <c r="Y3760" t="n">
        <v/>
      </c>
      <c r="Z3760" t="n">
        <v/>
      </c>
      <c r="AA3760">
        <f>SUMIFS($S$2:S3760,$A$2:A3760,A3760,$N$2:N3760,"Explore*")</f>
        <v/>
      </c>
      <c r="AB3760">
        <f>IF(AND(LEFT(N3760,7)="Explore",(AA3760-IF(LEFT(N3760,7)="Explore",S3760,0))&lt;10),"SI","NO")</f>
        <v/>
      </c>
    </row>
    <row r="3761">
      <c r="A3761" t="inlineStr">
        <is>
          <t>c52m1_test</t>
        </is>
      </c>
      <c r="B3761" t="inlineStr">
        <is>
          <t>2026-02-18 12:11:32.125</t>
        </is>
      </c>
      <c r="C3761" t="n">
        <v/>
      </c>
      <c r="D3761" t="inlineStr">
        <is>
          <t>Media file</t>
        </is>
      </c>
      <c r="E3761" t="inlineStr">
        <is>
          <t>player #1:WT\test\c52m1.mp4</t>
        </is>
      </c>
      <c r="F3761" t="n">
        <v>-8.699999999999999</v>
      </c>
      <c r="G3761" t="n">
        <v>572.6660000000001</v>
      </c>
      <c r="H3761" t="n">
        <v>622.499</v>
      </c>
      <c r="I3761" t="n">
        <v>30</v>
      </c>
      <c r="J3761" t="inlineStr">
        <is>
          <t xml:space="preserve"> WT</t>
        </is>
      </c>
      <c r="K3761" t="inlineStr">
        <is>
          <t>Male</t>
        </is>
      </c>
      <c r="L3761" t="inlineStr">
        <is>
          <t>No focal subject</t>
        </is>
      </c>
      <c r="M3761" t="n">
        <v>59.664</v>
      </c>
      <c r="N3761" t="inlineStr">
        <is>
          <t>Explore_F</t>
        </is>
      </c>
      <c r="O3761" t="inlineStr">
        <is>
          <t>Familiar</t>
        </is>
      </c>
      <c r="P3761" t="inlineStr">
        <is>
          <t>STATE</t>
        </is>
      </c>
      <c r="Q3761" t="n">
        <v>589.6660000000001</v>
      </c>
      <c r="R3761" t="n">
        <v>590.599</v>
      </c>
      <c r="S3761" t="n">
        <v>0.9330000000000001</v>
      </c>
      <c r="T3761" t="inlineStr">
        <is>
          <t>WT\test\c52m1.mp4</t>
        </is>
      </c>
      <c r="U3761" t="n">
        <v>17951</v>
      </c>
      <c r="V3761" t="n">
        <v>17979</v>
      </c>
      <c r="W3761" t="n">
        <v/>
      </c>
      <c r="X3761" t="n">
        <v/>
      </c>
      <c r="Y3761" t="n">
        <v/>
      </c>
      <c r="Z3761" t="n">
        <v/>
      </c>
      <c r="AA3761">
        <f>SUMIFS($S$2:S3761,$A$2:A3761,A3761,$N$2:N3761,"Explore*")</f>
        <v/>
      </c>
      <c r="AB3761">
        <f>IF(AND(LEFT(N3761,7)="Explore",(AA3761-IF(LEFT(N3761,7)="Explore",S3761,0))&lt;10),"SI","NO")</f>
        <v/>
      </c>
    </row>
    <row r="3762">
      <c r="A3762" t="inlineStr">
        <is>
          <t>c52m1_test</t>
        </is>
      </c>
      <c r="B3762" t="inlineStr">
        <is>
          <t>2026-02-18 12:11:32.125</t>
        </is>
      </c>
      <c r="C3762" t="n">
        <v/>
      </c>
      <c r="D3762" t="inlineStr">
        <is>
          <t>Media file</t>
        </is>
      </c>
      <c r="E3762" t="inlineStr">
        <is>
          <t>player #1:WT\test\c52m1.mp4</t>
        </is>
      </c>
      <c r="F3762" t="n">
        <v>-8.699999999999999</v>
      </c>
      <c r="G3762" t="n">
        <v>572.6660000000001</v>
      </c>
      <c r="H3762" t="n">
        <v>622.499</v>
      </c>
      <c r="I3762" t="n">
        <v>30</v>
      </c>
      <c r="J3762" t="inlineStr">
        <is>
          <t xml:space="preserve"> WT</t>
        </is>
      </c>
      <c r="K3762" t="inlineStr">
        <is>
          <t>Male</t>
        </is>
      </c>
      <c r="L3762" t="inlineStr">
        <is>
          <t>No focal subject</t>
        </is>
      </c>
      <c r="M3762" t="n">
        <v>59.664</v>
      </c>
      <c r="N3762" t="inlineStr">
        <is>
          <t>Explore_N</t>
        </is>
      </c>
      <c r="O3762" t="inlineStr">
        <is>
          <t>Novelty</t>
        </is>
      </c>
      <c r="P3762" t="inlineStr">
        <is>
          <t>STATE</t>
        </is>
      </c>
      <c r="Q3762" t="n">
        <v>597.033</v>
      </c>
      <c r="R3762" t="n">
        <v>598.1660000000001</v>
      </c>
      <c r="S3762" t="n">
        <v>1.133</v>
      </c>
      <c r="T3762" t="inlineStr">
        <is>
          <t>WT\test\c52m1.mp4</t>
        </is>
      </c>
      <c r="U3762" t="n">
        <v>18172</v>
      </c>
      <c r="V3762" t="n">
        <v>18206</v>
      </c>
      <c r="W3762" t="n">
        <v/>
      </c>
      <c r="X3762" t="n">
        <v/>
      </c>
      <c r="Y3762" t="n">
        <v/>
      </c>
      <c r="Z3762" t="n">
        <v/>
      </c>
      <c r="AA3762">
        <f>SUMIFS($S$2:S3762,$A$2:A3762,A3762,$N$2:N3762,"Explore*")</f>
        <v/>
      </c>
      <c r="AB3762">
        <f>IF(AND(LEFT(N3762,7)="Explore",(AA3762-IF(LEFT(N3762,7)="Explore",S3762,0))&lt;10),"SI","NO")</f>
        <v/>
      </c>
    </row>
    <row r="3763">
      <c r="A3763" t="inlineStr">
        <is>
          <t>c52m2_test</t>
        </is>
      </c>
      <c r="B3763" t="inlineStr">
        <is>
          <t>2026-02-18 14:11:06.357</t>
        </is>
      </c>
      <c r="C3763" t="n">
        <v/>
      </c>
      <c r="D3763" t="inlineStr">
        <is>
          <t>Media file</t>
        </is>
      </c>
      <c r="E3763" t="inlineStr">
        <is>
          <t>player #1:WT\test\c52m2.mp4</t>
        </is>
      </c>
      <c r="F3763" t="n">
        <v>-16.8</v>
      </c>
      <c r="G3763" t="n">
        <v>537.766</v>
      </c>
      <c r="H3763" t="n">
        <v>632.599</v>
      </c>
      <c r="I3763" t="n">
        <v>30</v>
      </c>
      <c r="J3763" t="inlineStr">
        <is>
          <t xml:space="preserve"> WT</t>
        </is>
      </c>
      <c r="K3763" t="inlineStr">
        <is>
          <t>Male</t>
        </is>
      </c>
      <c r="L3763" t="inlineStr">
        <is>
          <t>No focal subject</t>
        </is>
      </c>
      <c r="M3763" t="n">
        <v>40.798</v>
      </c>
      <c r="N3763" t="inlineStr">
        <is>
          <t>Explore_N</t>
        </is>
      </c>
      <c r="O3763" t="inlineStr">
        <is>
          <t>Novelty</t>
        </is>
      </c>
      <c r="P3763" t="inlineStr">
        <is>
          <t>STATE</t>
        </is>
      </c>
      <c r="Q3763" t="n">
        <v>10.167</v>
      </c>
      <c r="R3763" t="n">
        <v>11.333</v>
      </c>
      <c r="S3763" t="n">
        <v>1.166</v>
      </c>
      <c r="T3763" t="inlineStr">
        <is>
          <t>WT\test\c52m2.mp4</t>
        </is>
      </c>
      <c r="U3763" t="n">
        <v>305</v>
      </c>
      <c r="V3763" t="n">
        <v>340</v>
      </c>
      <c r="W3763" t="n">
        <v/>
      </c>
      <c r="X3763" t="n">
        <v/>
      </c>
      <c r="Y3763" t="n">
        <v/>
      </c>
      <c r="Z3763" t="n">
        <v/>
      </c>
      <c r="AA3763">
        <f>SUMIFS($S$2:S3763,$A$2:A3763,A3763,$N$2:N3763,"Explore*")</f>
        <v/>
      </c>
      <c r="AB3763">
        <f>IF(AND(LEFT(N3763,7)="Explore",(AA3763-IF(LEFT(N3763,7)="Explore",S3763,0))&lt;10),"SI","NO")</f>
        <v/>
      </c>
    </row>
    <row r="3764">
      <c r="A3764" t="inlineStr">
        <is>
          <t>c52m2_test</t>
        </is>
      </c>
      <c r="B3764" t="inlineStr">
        <is>
          <t>2026-02-18 14:11:06.357</t>
        </is>
      </c>
      <c r="C3764" t="n">
        <v/>
      </c>
      <c r="D3764" t="inlineStr">
        <is>
          <t>Media file</t>
        </is>
      </c>
      <c r="E3764" t="inlineStr">
        <is>
          <t>player #1:WT\test\c52m2.mp4</t>
        </is>
      </c>
      <c r="F3764" t="n">
        <v>-16.8</v>
      </c>
      <c r="G3764" t="n">
        <v>537.766</v>
      </c>
      <c r="H3764" t="n">
        <v>632.599</v>
      </c>
      <c r="I3764" t="n">
        <v>30</v>
      </c>
      <c r="J3764" t="inlineStr">
        <is>
          <t xml:space="preserve"> WT</t>
        </is>
      </c>
      <c r="K3764" t="inlineStr">
        <is>
          <t>Male</t>
        </is>
      </c>
      <c r="L3764" t="inlineStr">
        <is>
          <t>No focal subject</t>
        </is>
      </c>
      <c r="M3764" t="n">
        <v>40.798</v>
      </c>
      <c r="N3764" t="inlineStr">
        <is>
          <t>Explore_F</t>
        </is>
      </c>
      <c r="O3764" t="inlineStr">
        <is>
          <t>Familiar</t>
        </is>
      </c>
      <c r="P3764" t="inlineStr">
        <is>
          <t>STATE</t>
        </is>
      </c>
      <c r="Q3764" t="n">
        <v>21.367</v>
      </c>
      <c r="R3764" t="n">
        <v>23.333</v>
      </c>
      <c r="S3764" t="n">
        <v>1.966</v>
      </c>
      <c r="T3764" t="inlineStr">
        <is>
          <t>WT\test\c52m2.mp4</t>
        </is>
      </c>
      <c r="U3764" t="n">
        <v>640</v>
      </c>
      <c r="V3764" t="n">
        <v>699</v>
      </c>
      <c r="W3764" t="n">
        <v/>
      </c>
      <c r="X3764" t="n">
        <v/>
      </c>
      <c r="Y3764" t="n">
        <v/>
      </c>
      <c r="Z3764" t="n">
        <v/>
      </c>
      <c r="AA3764">
        <f>SUMIFS($S$2:S3764,$A$2:A3764,A3764,$N$2:N3764,"Explore*")</f>
        <v/>
      </c>
      <c r="AB3764">
        <f>IF(AND(LEFT(N3764,7)="Explore",(AA3764-IF(LEFT(N3764,7)="Explore",S3764,0))&lt;10),"SI","NO")</f>
        <v/>
      </c>
    </row>
    <row r="3765">
      <c r="A3765" t="inlineStr">
        <is>
          <t>c52m2_test</t>
        </is>
      </c>
      <c r="B3765" t="inlineStr">
        <is>
          <t>2026-02-18 14:11:06.357</t>
        </is>
      </c>
      <c r="C3765" t="n">
        <v/>
      </c>
      <c r="D3765" t="inlineStr">
        <is>
          <t>Media file</t>
        </is>
      </c>
      <c r="E3765" t="inlineStr">
        <is>
          <t>player #1:WT\test\c52m2.mp4</t>
        </is>
      </c>
      <c r="F3765" t="n">
        <v>-16.8</v>
      </c>
      <c r="G3765" t="n">
        <v>537.766</v>
      </c>
      <c r="H3765" t="n">
        <v>632.599</v>
      </c>
      <c r="I3765" t="n">
        <v>30</v>
      </c>
      <c r="J3765" t="inlineStr">
        <is>
          <t xml:space="preserve"> WT</t>
        </is>
      </c>
      <c r="K3765" t="inlineStr">
        <is>
          <t>Male</t>
        </is>
      </c>
      <c r="L3765" t="inlineStr">
        <is>
          <t>No focal subject</t>
        </is>
      </c>
      <c r="M3765" t="n">
        <v>40.798</v>
      </c>
      <c r="N3765" t="inlineStr">
        <is>
          <t>Explore_N</t>
        </is>
      </c>
      <c r="O3765" t="inlineStr">
        <is>
          <t>Novelty</t>
        </is>
      </c>
      <c r="P3765" t="inlineStr">
        <is>
          <t>STATE</t>
        </is>
      </c>
      <c r="Q3765" t="n">
        <v>26.767</v>
      </c>
      <c r="R3765" t="n">
        <v>27.733</v>
      </c>
      <c r="S3765" t="n">
        <v>0.966</v>
      </c>
      <c r="T3765" t="inlineStr">
        <is>
          <t>WT\test\c52m2.mp4</t>
        </is>
      </c>
      <c r="U3765" t="n">
        <v>802</v>
      </c>
      <c r="V3765" t="n">
        <v>831</v>
      </c>
      <c r="W3765" t="n">
        <v/>
      </c>
      <c r="X3765" t="n">
        <v/>
      </c>
      <c r="Y3765" t="n">
        <v/>
      </c>
      <c r="Z3765" t="n">
        <v/>
      </c>
      <c r="AA3765">
        <f>SUMIFS($S$2:S3765,$A$2:A3765,A3765,$N$2:N3765,"Explore*")</f>
        <v/>
      </c>
      <c r="AB3765">
        <f>IF(AND(LEFT(N3765,7)="Explore",(AA3765-IF(LEFT(N3765,7)="Explore",S3765,0))&lt;10),"SI","NO")</f>
        <v/>
      </c>
    </row>
    <row r="3766">
      <c r="A3766" t="inlineStr">
        <is>
          <t>c52m2_test</t>
        </is>
      </c>
      <c r="B3766" t="inlineStr">
        <is>
          <t>2026-02-18 14:11:06.357</t>
        </is>
      </c>
      <c r="C3766" t="n">
        <v/>
      </c>
      <c r="D3766" t="inlineStr">
        <is>
          <t>Media file</t>
        </is>
      </c>
      <c r="E3766" t="inlineStr">
        <is>
          <t>player #1:WT\test\c52m2.mp4</t>
        </is>
      </c>
      <c r="F3766" t="n">
        <v>-16.8</v>
      </c>
      <c r="G3766" t="n">
        <v>537.766</v>
      </c>
      <c r="H3766" t="n">
        <v>632.599</v>
      </c>
      <c r="I3766" t="n">
        <v>30</v>
      </c>
      <c r="J3766" t="inlineStr">
        <is>
          <t xml:space="preserve"> WT</t>
        </is>
      </c>
      <c r="K3766" t="inlineStr">
        <is>
          <t>Male</t>
        </is>
      </c>
      <c r="L3766" t="inlineStr">
        <is>
          <t>No focal subject</t>
        </is>
      </c>
      <c r="M3766" t="n">
        <v>40.798</v>
      </c>
      <c r="N3766" t="inlineStr">
        <is>
          <t>Explore_N</t>
        </is>
      </c>
      <c r="O3766" t="inlineStr">
        <is>
          <t>Novelty</t>
        </is>
      </c>
      <c r="P3766" t="inlineStr">
        <is>
          <t>STATE</t>
        </is>
      </c>
      <c r="Q3766" t="n">
        <v>34.8</v>
      </c>
      <c r="R3766" t="n">
        <v>35.3</v>
      </c>
      <c r="S3766" t="n">
        <v>0.5</v>
      </c>
      <c r="T3766" t="inlineStr">
        <is>
          <t>WT\test\c52m2.mp4</t>
        </is>
      </c>
      <c r="U3766" t="n">
        <v>1043</v>
      </c>
      <c r="V3766" t="n">
        <v>1058</v>
      </c>
      <c r="W3766" t="n">
        <v/>
      </c>
      <c r="X3766" t="n">
        <v/>
      </c>
      <c r="Y3766" t="n">
        <v/>
      </c>
      <c r="Z3766" t="n">
        <v/>
      </c>
      <c r="AA3766">
        <f>SUMIFS($S$2:S3766,$A$2:A3766,A3766,$N$2:N3766,"Explore*")</f>
        <v/>
      </c>
      <c r="AB3766">
        <f>IF(AND(LEFT(N3766,7)="Explore",(AA3766-IF(LEFT(N3766,7)="Explore",S3766,0))&lt;10),"SI","NO")</f>
        <v/>
      </c>
    </row>
    <row r="3767">
      <c r="A3767" t="inlineStr">
        <is>
          <t>c52m2_test</t>
        </is>
      </c>
      <c r="B3767" t="inlineStr">
        <is>
          <t>2026-02-18 14:11:06.357</t>
        </is>
      </c>
      <c r="C3767" t="n">
        <v/>
      </c>
      <c r="D3767" t="inlineStr">
        <is>
          <t>Media file</t>
        </is>
      </c>
      <c r="E3767" t="inlineStr">
        <is>
          <t>player #1:WT\test\c52m2.mp4</t>
        </is>
      </c>
      <c r="F3767" t="n">
        <v>-16.8</v>
      </c>
      <c r="G3767" t="n">
        <v>537.766</v>
      </c>
      <c r="H3767" t="n">
        <v>632.599</v>
      </c>
      <c r="I3767" t="n">
        <v>30</v>
      </c>
      <c r="J3767" t="inlineStr">
        <is>
          <t xml:space="preserve"> WT</t>
        </is>
      </c>
      <c r="K3767" t="inlineStr">
        <is>
          <t>Male</t>
        </is>
      </c>
      <c r="L3767" t="inlineStr">
        <is>
          <t>No focal subject</t>
        </is>
      </c>
      <c r="M3767" t="n">
        <v>40.798</v>
      </c>
      <c r="N3767" t="inlineStr">
        <is>
          <t>Explore_N</t>
        </is>
      </c>
      <c r="O3767" t="inlineStr">
        <is>
          <t>Novelty</t>
        </is>
      </c>
      <c r="P3767" t="inlineStr">
        <is>
          <t>STATE</t>
        </is>
      </c>
      <c r="Q3767" t="n">
        <v>38.5</v>
      </c>
      <c r="R3767" t="n">
        <v>40.467</v>
      </c>
      <c r="S3767" t="n">
        <v>1.967</v>
      </c>
      <c r="T3767" t="inlineStr">
        <is>
          <t>WT\test\c52m2.mp4</t>
        </is>
      </c>
      <c r="U3767" t="n">
        <v>1156</v>
      </c>
      <c r="V3767" t="n">
        <v>1213</v>
      </c>
      <c r="W3767" t="n">
        <v/>
      </c>
      <c r="X3767" t="n">
        <v/>
      </c>
      <c r="Y3767" t="n">
        <v/>
      </c>
      <c r="Z3767" t="n">
        <v/>
      </c>
      <c r="AA3767">
        <f>SUMIFS($S$2:S3767,$A$2:A3767,A3767,$N$2:N3767,"Explore*")</f>
        <v/>
      </c>
      <c r="AB3767">
        <f>IF(AND(LEFT(N3767,7)="Explore",(AA3767-IF(LEFT(N3767,7)="Explore",S3767,0))&lt;10),"SI","NO")</f>
        <v/>
      </c>
    </row>
    <row r="3768">
      <c r="A3768" t="inlineStr">
        <is>
          <t>c52m2_test</t>
        </is>
      </c>
      <c r="B3768" t="inlineStr">
        <is>
          <t>2026-02-18 14:11:06.357</t>
        </is>
      </c>
      <c r="C3768" t="n">
        <v/>
      </c>
      <c r="D3768" t="inlineStr">
        <is>
          <t>Media file</t>
        </is>
      </c>
      <c r="E3768" t="inlineStr">
        <is>
          <t>player #1:WT\test\c52m2.mp4</t>
        </is>
      </c>
      <c r="F3768" t="n">
        <v>-16.8</v>
      </c>
      <c r="G3768" t="n">
        <v>537.766</v>
      </c>
      <c r="H3768" t="n">
        <v>632.599</v>
      </c>
      <c r="I3768" t="n">
        <v>30</v>
      </c>
      <c r="J3768" t="inlineStr">
        <is>
          <t xml:space="preserve"> WT</t>
        </is>
      </c>
      <c r="K3768" t="inlineStr">
        <is>
          <t>Male</t>
        </is>
      </c>
      <c r="L3768" t="inlineStr">
        <is>
          <t>No focal subject</t>
        </is>
      </c>
      <c r="M3768" t="n">
        <v>40.798</v>
      </c>
      <c r="N3768" t="inlineStr">
        <is>
          <t>Explore_F</t>
        </is>
      </c>
      <c r="O3768" t="inlineStr">
        <is>
          <t>Familiar</t>
        </is>
      </c>
      <c r="P3768" t="inlineStr">
        <is>
          <t>STATE</t>
        </is>
      </c>
      <c r="Q3768" t="n">
        <v>50.567</v>
      </c>
      <c r="R3768" t="n">
        <v>51.767</v>
      </c>
      <c r="S3768" t="n">
        <v>1.2</v>
      </c>
      <c r="T3768" t="inlineStr">
        <is>
          <t>WT\test\c52m2.mp4</t>
        </is>
      </c>
      <c r="U3768" t="n">
        <v>1515</v>
      </c>
      <c r="V3768" t="n">
        <v>1551</v>
      </c>
      <c r="W3768" t="n">
        <v/>
      </c>
      <c r="X3768" t="n">
        <v/>
      </c>
      <c r="Y3768" t="n">
        <v/>
      </c>
      <c r="Z3768" t="n">
        <v/>
      </c>
      <c r="AA3768">
        <f>SUMIFS($S$2:S3768,$A$2:A3768,A3768,$N$2:N3768,"Explore*")</f>
        <v/>
      </c>
      <c r="AB3768">
        <f>IF(AND(LEFT(N3768,7)="Explore",(AA3768-IF(LEFT(N3768,7)="Explore",S3768,0))&lt;10),"SI","NO")</f>
        <v/>
      </c>
    </row>
    <row r="3769">
      <c r="A3769" t="inlineStr">
        <is>
          <t>c52m2_test</t>
        </is>
      </c>
      <c r="B3769" t="inlineStr">
        <is>
          <t>2026-02-18 14:11:06.357</t>
        </is>
      </c>
      <c r="C3769" t="n">
        <v/>
      </c>
      <c r="D3769" t="inlineStr">
        <is>
          <t>Media file</t>
        </is>
      </c>
      <c r="E3769" t="inlineStr">
        <is>
          <t>player #1:WT\test\c52m2.mp4</t>
        </is>
      </c>
      <c r="F3769" t="n">
        <v>-16.8</v>
      </c>
      <c r="G3769" t="n">
        <v>537.766</v>
      </c>
      <c r="H3769" t="n">
        <v>632.599</v>
      </c>
      <c r="I3769" t="n">
        <v>30</v>
      </c>
      <c r="J3769" t="inlineStr">
        <is>
          <t xml:space="preserve"> WT</t>
        </is>
      </c>
      <c r="K3769" t="inlineStr">
        <is>
          <t>Male</t>
        </is>
      </c>
      <c r="L3769" t="inlineStr">
        <is>
          <t>No focal subject</t>
        </is>
      </c>
      <c r="M3769" t="n">
        <v>40.798</v>
      </c>
      <c r="N3769" t="inlineStr">
        <is>
          <t>Explore_N</t>
        </is>
      </c>
      <c r="O3769" t="inlineStr">
        <is>
          <t>Novelty</t>
        </is>
      </c>
      <c r="P3769" t="inlineStr">
        <is>
          <t>STATE</t>
        </is>
      </c>
      <c r="Q3769" t="n">
        <v>52.967</v>
      </c>
      <c r="R3769" t="n">
        <v>53.833</v>
      </c>
      <c r="S3769" t="n">
        <v>0.866</v>
      </c>
      <c r="T3769" t="inlineStr">
        <is>
          <t>WT\test\c52m2.mp4</t>
        </is>
      </c>
      <c r="U3769" t="n">
        <v>1587</v>
      </c>
      <c r="V3769" t="n">
        <v>1613</v>
      </c>
      <c r="W3769" t="n">
        <v/>
      </c>
      <c r="X3769" t="n">
        <v/>
      </c>
      <c r="Y3769" t="n">
        <v/>
      </c>
      <c r="Z3769" t="n">
        <v/>
      </c>
      <c r="AA3769">
        <f>SUMIFS($S$2:S3769,$A$2:A3769,A3769,$N$2:N3769,"Explore*")</f>
        <v/>
      </c>
      <c r="AB3769">
        <f>IF(AND(LEFT(N3769,7)="Explore",(AA3769-IF(LEFT(N3769,7)="Explore",S3769,0))&lt;10),"SI","NO")</f>
        <v/>
      </c>
    </row>
    <row r="3770">
      <c r="A3770" t="inlineStr">
        <is>
          <t>c52m2_test</t>
        </is>
      </c>
      <c r="B3770" t="inlineStr">
        <is>
          <t>2026-02-18 14:11:06.357</t>
        </is>
      </c>
      <c r="C3770" t="n">
        <v/>
      </c>
      <c r="D3770" t="inlineStr">
        <is>
          <t>Media file</t>
        </is>
      </c>
      <c r="E3770" t="inlineStr">
        <is>
          <t>player #1:WT\test\c52m2.mp4</t>
        </is>
      </c>
      <c r="F3770" t="n">
        <v>-16.8</v>
      </c>
      <c r="G3770" t="n">
        <v>537.766</v>
      </c>
      <c r="H3770" t="n">
        <v>632.599</v>
      </c>
      <c r="I3770" t="n">
        <v>30</v>
      </c>
      <c r="J3770" t="inlineStr">
        <is>
          <t xml:space="preserve"> WT</t>
        </is>
      </c>
      <c r="K3770" t="inlineStr">
        <is>
          <t>Male</t>
        </is>
      </c>
      <c r="L3770" t="inlineStr">
        <is>
          <t>No focal subject</t>
        </is>
      </c>
      <c r="M3770" t="n">
        <v>40.798</v>
      </c>
      <c r="N3770" t="inlineStr">
        <is>
          <t>Explore_F</t>
        </is>
      </c>
      <c r="O3770" t="inlineStr">
        <is>
          <t>Familiar</t>
        </is>
      </c>
      <c r="P3770" t="inlineStr">
        <is>
          <t>STATE</t>
        </is>
      </c>
      <c r="Q3770" t="n">
        <v>71.267</v>
      </c>
      <c r="R3770" t="n">
        <v>72.43300000000001</v>
      </c>
      <c r="S3770" t="n">
        <v>1.166</v>
      </c>
      <c r="T3770" t="inlineStr">
        <is>
          <t>WT\test\c52m2.mp4</t>
        </is>
      </c>
      <c r="U3770" t="n">
        <v>2136</v>
      </c>
      <c r="V3770" t="n">
        <v>2171</v>
      </c>
      <c r="W3770" t="n">
        <v/>
      </c>
      <c r="X3770" t="n">
        <v/>
      </c>
      <c r="Y3770" t="n">
        <v/>
      </c>
      <c r="Z3770" t="n">
        <v/>
      </c>
      <c r="AA3770">
        <f>SUMIFS($S$2:S3770,$A$2:A3770,A3770,$N$2:N3770,"Explore*")</f>
        <v/>
      </c>
      <c r="AB3770">
        <f>IF(AND(LEFT(N3770,7)="Explore",(AA3770-IF(LEFT(N3770,7)="Explore",S3770,0))&lt;10),"SI","NO")</f>
        <v/>
      </c>
    </row>
    <row r="3771">
      <c r="A3771" t="inlineStr">
        <is>
          <t>c52m2_test</t>
        </is>
      </c>
      <c r="B3771" t="inlineStr">
        <is>
          <t>2026-02-18 14:11:06.357</t>
        </is>
      </c>
      <c r="C3771" t="n">
        <v/>
      </c>
      <c r="D3771" t="inlineStr">
        <is>
          <t>Media file</t>
        </is>
      </c>
      <c r="E3771" t="inlineStr">
        <is>
          <t>player #1:WT\test\c52m2.mp4</t>
        </is>
      </c>
      <c r="F3771" t="n">
        <v>-16.8</v>
      </c>
      <c r="G3771" t="n">
        <v>537.766</v>
      </c>
      <c r="H3771" t="n">
        <v>632.599</v>
      </c>
      <c r="I3771" t="n">
        <v>30</v>
      </c>
      <c r="J3771" t="inlineStr">
        <is>
          <t xml:space="preserve"> WT</t>
        </is>
      </c>
      <c r="K3771" t="inlineStr">
        <is>
          <t>Male</t>
        </is>
      </c>
      <c r="L3771" t="inlineStr">
        <is>
          <t>No focal subject</t>
        </is>
      </c>
      <c r="M3771" t="n">
        <v>40.798</v>
      </c>
      <c r="N3771" t="inlineStr">
        <is>
          <t>Explore_N</t>
        </is>
      </c>
      <c r="O3771" t="inlineStr">
        <is>
          <t>Novelty</t>
        </is>
      </c>
      <c r="P3771" t="inlineStr">
        <is>
          <t>STATE</t>
        </is>
      </c>
      <c r="Q3771" t="n">
        <v>95.56699999999999</v>
      </c>
      <c r="R3771" t="n">
        <v>96.56699999999999</v>
      </c>
      <c r="S3771" t="n">
        <v>1</v>
      </c>
      <c r="T3771" t="inlineStr">
        <is>
          <t>WT\test\c52m2.mp4</t>
        </is>
      </c>
      <c r="U3771" t="n">
        <v>2864</v>
      </c>
      <c r="V3771" t="n">
        <v>2894</v>
      </c>
      <c r="W3771" t="n">
        <v/>
      </c>
      <c r="X3771" t="n">
        <v/>
      </c>
      <c r="Y3771" t="n">
        <v/>
      </c>
      <c r="Z3771" t="n">
        <v/>
      </c>
      <c r="AA3771">
        <f>SUMIFS($S$2:S3771,$A$2:A3771,A3771,$N$2:N3771,"Explore*")</f>
        <v/>
      </c>
      <c r="AB3771">
        <f>IF(AND(LEFT(N3771,7)="Explore",(AA3771-IF(LEFT(N3771,7)="Explore",S3771,0))&lt;10),"SI","NO")</f>
        <v/>
      </c>
    </row>
    <row r="3772">
      <c r="A3772" t="inlineStr">
        <is>
          <t>c52m2_test</t>
        </is>
      </c>
      <c r="B3772" t="inlineStr">
        <is>
          <t>2026-02-18 14:11:06.357</t>
        </is>
      </c>
      <c r="C3772" t="n">
        <v/>
      </c>
      <c r="D3772" t="inlineStr">
        <is>
          <t>Media file</t>
        </is>
      </c>
      <c r="E3772" t="inlineStr">
        <is>
          <t>player #1:WT\test\c52m2.mp4</t>
        </is>
      </c>
      <c r="F3772" t="n">
        <v>-16.8</v>
      </c>
      <c r="G3772" t="n">
        <v>537.766</v>
      </c>
      <c r="H3772" t="n">
        <v>632.599</v>
      </c>
      <c r="I3772" t="n">
        <v>30</v>
      </c>
      <c r="J3772" t="inlineStr">
        <is>
          <t xml:space="preserve"> WT</t>
        </is>
      </c>
      <c r="K3772" t="inlineStr">
        <is>
          <t>Male</t>
        </is>
      </c>
      <c r="L3772" t="inlineStr">
        <is>
          <t>No focal subject</t>
        </is>
      </c>
      <c r="M3772" t="n">
        <v>40.798</v>
      </c>
      <c r="N3772" t="inlineStr">
        <is>
          <t>Explore_F</t>
        </is>
      </c>
      <c r="O3772" t="inlineStr">
        <is>
          <t>Familiar</t>
        </is>
      </c>
      <c r="P3772" t="inlineStr">
        <is>
          <t>STATE</t>
        </is>
      </c>
      <c r="Q3772" t="n">
        <v>100.233</v>
      </c>
      <c r="R3772" t="n">
        <v>100.533</v>
      </c>
      <c r="S3772" t="n">
        <v>0.3</v>
      </c>
      <c r="T3772" t="inlineStr">
        <is>
          <t>WT\test\c52m2.mp4</t>
        </is>
      </c>
      <c r="U3772" t="n">
        <v>3004</v>
      </c>
      <c r="V3772" t="n">
        <v>3014</v>
      </c>
      <c r="W3772" t="n">
        <v/>
      </c>
      <c r="X3772" t="n">
        <v/>
      </c>
      <c r="Y3772" t="n">
        <v/>
      </c>
      <c r="Z3772" t="n">
        <v/>
      </c>
      <c r="AA3772">
        <f>SUMIFS($S$2:S3772,$A$2:A3772,A3772,$N$2:N3772,"Explore*")</f>
        <v/>
      </c>
      <c r="AB3772">
        <f>IF(AND(LEFT(N3772,7)="Explore",(AA3772-IF(LEFT(N3772,7)="Explore",S3772,0))&lt;10),"SI","NO")</f>
        <v/>
      </c>
    </row>
    <row r="3773">
      <c r="A3773" t="inlineStr">
        <is>
          <t>c52m2_test</t>
        </is>
      </c>
      <c r="B3773" t="inlineStr">
        <is>
          <t>2026-02-18 14:11:06.357</t>
        </is>
      </c>
      <c r="C3773" t="n">
        <v/>
      </c>
      <c r="D3773" t="inlineStr">
        <is>
          <t>Media file</t>
        </is>
      </c>
      <c r="E3773" t="inlineStr">
        <is>
          <t>player #1:WT\test\c52m2.mp4</t>
        </is>
      </c>
      <c r="F3773" t="n">
        <v>-16.8</v>
      </c>
      <c r="G3773" t="n">
        <v>537.766</v>
      </c>
      <c r="H3773" t="n">
        <v>632.599</v>
      </c>
      <c r="I3773" t="n">
        <v>30</v>
      </c>
      <c r="J3773" t="inlineStr">
        <is>
          <t xml:space="preserve"> WT</t>
        </is>
      </c>
      <c r="K3773" t="inlineStr">
        <is>
          <t>Male</t>
        </is>
      </c>
      <c r="L3773" t="inlineStr">
        <is>
          <t>No focal subject</t>
        </is>
      </c>
      <c r="M3773" t="n">
        <v>40.798</v>
      </c>
      <c r="N3773" t="inlineStr">
        <is>
          <t>Explore_N</t>
        </is>
      </c>
      <c r="O3773" t="inlineStr">
        <is>
          <t>Novelty</t>
        </is>
      </c>
      <c r="P3773" t="inlineStr">
        <is>
          <t>STATE</t>
        </is>
      </c>
      <c r="Q3773" t="n">
        <v>107.3</v>
      </c>
      <c r="R3773" t="n">
        <v>107.6</v>
      </c>
      <c r="S3773" t="n">
        <v>0.3</v>
      </c>
      <c r="T3773" t="inlineStr">
        <is>
          <t>WT\test\c52m2.mp4</t>
        </is>
      </c>
      <c r="U3773" t="n">
        <v>3216</v>
      </c>
      <c r="V3773" t="n">
        <v>3225</v>
      </c>
      <c r="W3773" t="n">
        <v/>
      </c>
      <c r="X3773" t="n">
        <v/>
      </c>
      <c r="Y3773" t="n">
        <v/>
      </c>
      <c r="Z3773" t="n">
        <v/>
      </c>
      <c r="AA3773">
        <f>SUMIFS($S$2:S3773,$A$2:A3773,A3773,$N$2:N3773,"Explore*")</f>
        <v/>
      </c>
      <c r="AB3773">
        <f>IF(AND(LEFT(N3773,7)="Explore",(AA3773-IF(LEFT(N3773,7)="Explore",S3773,0))&lt;10),"SI","NO")</f>
        <v/>
      </c>
    </row>
    <row r="3774">
      <c r="A3774" t="inlineStr">
        <is>
          <t>c52m2_test</t>
        </is>
      </c>
      <c r="B3774" t="inlineStr">
        <is>
          <t>2026-02-18 14:11:06.357</t>
        </is>
      </c>
      <c r="C3774" t="n">
        <v/>
      </c>
      <c r="D3774" t="inlineStr">
        <is>
          <t>Media file</t>
        </is>
      </c>
      <c r="E3774" t="inlineStr">
        <is>
          <t>player #1:WT\test\c52m2.mp4</t>
        </is>
      </c>
      <c r="F3774" t="n">
        <v>-16.8</v>
      </c>
      <c r="G3774" t="n">
        <v>537.766</v>
      </c>
      <c r="H3774" t="n">
        <v>632.599</v>
      </c>
      <c r="I3774" t="n">
        <v>30</v>
      </c>
      <c r="J3774" t="inlineStr">
        <is>
          <t xml:space="preserve"> WT</t>
        </is>
      </c>
      <c r="K3774" t="inlineStr">
        <is>
          <t>Male</t>
        </is>
      </c>
      <c r="L3774" t="inlineStr">
        <is>
          <t>No focal subject</t>
        </is>
      </c>
      <c r="M3774" t="n">
        <v>40.798</v>
      </c>
      <c r="N3774" t="inlineStr">
        <is>
          <t>Explore_N</t>
        </is>
      </c>
      <c r="O3774" t="inlineStr">
        <is>
          <t>Novelty</t>
        </is>
      </c>
      <c r="P3774" t="inlineStr">
        <is>
          <t>STATE</t>
        </is>
      </c>
      <c r="Q3774" t="n">
        <v>109.133</v>
      </c>
      <c r="R3774" t="n">
        <v>110.5</v>
      </c>
      <c r="S3774" t="n">
        <v>1.367</v>
      </c>
      <c r="T3774" t="inlineStr">
        <is>
          <t>WT\test\c52m2.mp4</t>
        </is>
      </c>
      <c r="U3774" t="n">
        <v>3270</v>
      </c>
      <c r="V3774" t="n">
        <v>3313</v>
      </c>
      <c r="W3774" t="n">
        <v/>
      </c>
      <c r="X3774" t="n">
        <v/>
      </c>
      <c r="Y3774" t="n">
        <v/>
      </c>
      <c r="Z3774" t="n">
        <v/>
      </c>
      <c r="AA3774">
        <f>SUMIFS($S$2:S3774,$A$2:A3774,A3774,$N$2:N3774,"Explore*")</f>
        <v/>
      </c>
      <c r="AB3774">
        <f>IF(AND(LEFT(N3774,7)="Explore",(AA3774-IF(LEFT(N3774,7)="Explore",S3774,0))&lt;10),"SI","NO")</f>
        <v/>
      </c>
    </row>
    <row r="3775">
      <c r="A3775" t="inlineStr">
        <is>
          <t>c52m2_test</t>
        </is>
      </c>
      <c r="B3775" t="inlineStr">
        <is>
          <t>2026-02-18 14:11:06.357</t>
        </is>
      </c>
      <c r="C3775" t="n">
        <v/>
      </c>
      <c r="D3775" t="inlineStr">
        <is>
          <t>Media file</t>
        </is>
      </c>
      <c r="E3775" t="inlineStr">
        <is>
          <t>player #1:WT\test\c52m2.mp4</t>
        </is>
      </c>
      <c r="F3775" t="n">
        <v>-16.8</v>
      </c>
      <c r="G3775" t="n">
        <v>537.766</v>
      </c>
      <c r="H3775" t="n">
        <v>632.599</v>
      </c>
      <c r="I3775" t="n">
        <v>30</v>
      </c>
      <c r="J3775" t="inlineStr">
        <is>
          <t xml:space="preserve"> WT</t>
        </is>
      </c>
      <c r="K3775" t="inlineStr">
        <is>
          <t>Male</t>
        </is>
      </c>
      <c r="L3775" t="inlineStr">
        <is>
          <t>No focal subject</t>
        </is>
      </c>
      <c r="M3775" t="n">
        <v>40.798</v>
      </c>
      <c r="N3775" t="inlineStr">
        <is>
          <t>Explore_N</t>
        </is>
      </c>
      <c r="O3775" t="inlineStr">
        <is>
          <t>Novelty</t>
        </is>
      </c>
      <c r="P3775" t="inlineStr">
        <is>
          <t>STATE</t>
        </is>
      </c>
      <c r="Q3775" t="n">
        <v>119.233</v>
      </c>
      <c r="R3775" t="n">
        <v>119.967</v>
      </c>
      <c r="S3775" t="n">
        <v>0.734</v>
      </c>
      <c r="T3775" t="inlineStr">
        <is>
          <t>WT\test\c52m2.mp4</t>
        </is>
      </c>
      <c r="U3775" t="n">
        <v>3573</v>
      </c>
      <c r="V3775" t="n">
        <v>3595</v>
      </c>
      <c r="W3775" t="n">
        <v/>
      </c>
      <c r="X3775" t="n">
        <v/>
      </c>
      <c r="Y3775" t="n">
        <v/>
      </c>
      <c r="Z3775" t="n">
        <v/>
      </c>
      <c r="AA3775">
        <f>SUMIFS($S$2:S3775,$A$2:A3775,A3775,$N$2:N3775,"Explore*")</f>
        <v/>
      </c>
      <c r="AB3775">
        <f>IF(AND(LEFT(N3775,7)="Explore",(AA3775-IF(LEFT(N3775,7)="Explore",S3775,0))&lt;10),"SI","NO")</f>
        <v/>
      </c>
    </row>
    <row r="3776">
      <c r="A3776" t="inlineStr">
        <is>
          <t>c52m2_test</t>
        </is>
      </c>
      <c r="B3776" t="inlineStr">
        <is>
          <t>2026-02-18 14:11:06.357</t>
        </is>
      </c>
      <c r="C3776" t="n">
        <v/>
      </c>
      <c r="D3776" t="inlineStr">
        <is>
          <t>Media file</t>
        </is>
      </c>
      <c r="E3776" t="inlineStr">
        <is>
          <t>player #1:WT\test\c52m2.mp4</t>
        </is>
      </c>
      <c r="F3776" t="n">
        <v>-16.8</v>
      </c>
      <c r="G3776" t="n">
        <v>537.766</v>
      </c>
      <c r="H3776" t="n">
        <v>632.599</v>
      </c>
      <c r="I3776" t="n">
        <v>30</v>
      </c>
      <c r="J3776" t="inlineStr">
        <is>
          <t xml:space="preserve"> WT</t>
        </is>
      </c>
      <c r="K3776" t="inlineStr">
        <is>
          <t>Male</t>
        </is>
      </c>
      <c r="L3776" t="inlineStr">
        <is>
          <t>No focal subject</t>
        </is>
      </c>
      <c r="M3776" t="n">
        <v>40.798</v>
      </c>
      <c r="N3776" t="inlineStr">
        <is>
          <t>Explore_N</t>
        </is>
      </c>
      <c r="O3776" t="inlineStr">
        <is>
          <t>Novelty</t>
        </is>
      </c>
      <c r="P3776" t="inlineStr">
        <is>
          <t>STATE</t>
        </is>
      </c>
      <c r="Q3776" t="n">
        <v>130.767</v>
      </c>
      <c r="R3776" t="n">
        <v>131.167</v>
      </c>
      <c r="S3776" t="n">
        <v>0.4</v>
      </c>
      <c r="T3776" t="inlineStr">
        <is>
          <t>WT\test\c52m2.mp4</t>
        </is>
      </c>
      <c r="U3776" t="n">
        <v>3919</v>
      </c>
      <c r="V3776" t="n">
        <v>3931</v>
      </c>
      <c r="W3776" t="n">
        <v/>
      </c>
      <c r="X3776" t="n">
        <v/>
      </c>
      <c r="Y3776" t="n">
        <v/>
      </c>
      <c r="Z3776" t="n">
        <v/>
      </c>
      <c r="AA3776">
        <f>SUMIFS($S$2:S3776,$A$2:A3776,A3776,$N$2:N3776,"Explore*")</f>
        <v/>
      </c>
      <c r="AB3776">
        <f>IF(AND(LEFT(N3776,7)="Explore",(AA3776-IF(LEFT(N3776,7)="Explore",S3776,0))&lt;10),"SI","NO")</f>
        <v/>
      </c>
    </row>
    <row r="3777">
      <c r="A3777" t="inlineStr">
        <is>
          <t>c52m2_test</t>
        </is>
      </c>
      <c r="B3777" t="inlineStr">
        <is>
          <t>2026-02-18 14:11:06.357</t>
        </is>
      </c>
      <c r="C3777" t="n">
        <v/>
      </c>
      <c r="D3777" t="inlineStr">
        <is>
          <t>Media file</t>
        </is>
      </c>
      <c r="E3777" t="inlineStr">
        <is>
          <t>player #1:WT\test\c52m2.mp4</t>
        </is>
      </c>
      <c r="F3777" t="n">
        <v>-16.8</v>
      </c>
      <c r="G3777" t="n">
        <v>537.766</v>
      </c>
      <c r="H3777" t="n">
        <v>632.599</v>
      </c>
      <c r="I3777" t="n">
        <v>30</v>
      </c>
      <c r="J3777" t="inlineStr">
        <is>
          <t xml:space="preserve"> WT</t>
        </is>
      </c>
      <c r="K3777" t="inlineStr">
        <is>
          <t>Male</t>
        </is>
      </c>
      <c r="L3777" t="inlineStr">
        <is>
          <t>No focal subject</t>
        </is>
      </c>
      <c r="M3777" t="n">
        <v>40.798</v>
      </c>
      <c r="N3777" t="inlineStr">
        <is>
          <t>Explore_N</t>
        </is>
      </c>
      <c r="O3777" t="inlineStr">
        <is>
          <t>Novelty</t>
        </is>
      </c>
      <c r="P3777" t="inlineStr">
        <is>
          <t>STATE</t>
        </is>
      </c>
      <c r="Q3777" t="n">
        <v>152.933</v>
      </c>
      <c r="R3777" t="n">
        <v>153.266</v>
      </c>
      <c r="S3777" t="n">
        <v>0.333</v>
      </c>
      <c r="T3777" t="inlineStr">
        <is>
          <t>WT\test\c52m2.mp4</t>
        </is>
      </c>
      <c r="U3777" t="n">
        <v>4583</v>
      </c>
      <c r="V3777" t="n">
        <v>4593</v>
      </c>
      <c r="W3777" t="n">
        <v/>
      </c>
      <c r="X3777" t="n">
        <v/>
      </c>
      <c r="Y3777" t="n">
        <v/>
      </c>
      <c r="Z3777" t="n">
        <v/>
      </c>
      <c r="AA3777">
        <f>SUMIFS($S$2:S3777,$A$2:A3777,A3777,$N$2:N3777,"Explore*")</f>
        <v/>
      </c>
      <c r="AB3777">
        <f>IF(AND(LEFT(N3777,7)="Explore",(AA3777-IF(LEFT(N3777,7)="Explore",S3777,0))&lt;10),"SI","NO")</f>
        <v/>
      </c>
    </row>
    <row r="3778">
      <c r="A3778" t="inlineStr">
        <is>
          <t>c52m2_test</t>
        </is>
      </c>
      <c r="B3778" t="inlineStr">
        <is>
          <t>2026-02-18 14:11:06.357</t>
        </is>
      </c>
      <c r="C3778" t="n">
        <v/>
      </c>
      <c r="D3778" t="inlineStr">
        <is>
          <t>Media file</t>
        </is>
      </c>
      <c r="E3778" t="inlineStr">
        <is>
          <t>player #1:WT\test\c52m2.mp4</t>
        </is>
      </c>
      <c r="F3778" t="n">
        <v>-16.8</v>
      </c>
      <c r="G3778" t="n">
        <v>537.766</v>
      </c>
      <c r="H3778" t="n">
        <v>632.599</v>
      </c>
      <c r="I3778" t="n">
        <v>30</v>
      </c>
      <c r="J3778" t="inlineStr">
        <is>
          <t xml:space="preserve"> WT</t>
        </is>
      </c>
      <c r="K3778" t="inlineStr">
        <is>
          <t>Male</t>
        </is>
      </c>
      <c r="L3778" t="inlineStr">
        <is>
          <t>No focal subject</t>
        </is>
      </c>
      <c r="M3778" t="n">
        <v>40.798</v>
      </c>
      <c r="N3778" t="inlineStr">
        <is>
          <t>Explore_F</t>
        </is>
      </c>
      <c r="O3778" t="inlineStr">
        <is>
          <t>Familiar</t>
        </is>
      </c>
      <c r="P3778" t="inlineStr">
        <is>
          <t>STATE</t>
        </is>
      </c>
      <c r="Q3778" t="n">
        <v>155.1</v>
      </c>
      <c r="R3778" t="n">
        <v>155.333</v>
      </c>
      <c r="S3778" t="n">
        <v>0.233</v>
      </c>
      <c r="T3778" t="inlineStr">
        <is>
          <t>WT\test\c52m2.mp4</t>
        </is>
      </c>
      <c r="U3778" t="n">
        <v>4648</v>
      </c>
      <c r="V3778" t="n">
        <v>4655</v>
      </c>
      <c r="W3778" t="n">
        <v/>
      </c>
      <c r="X3778" t="n">
        <v/>
      </c>
      <c r="Y3778" t="n">
        <v/>
      </c>
      <c r="Z3778" t="n">
        <v/>
      </c>
      <c r="AA3778">
        <f>SUMIFS($S$2:S3778,$A$2:A3778,A3778,$N$2:N3778,"Explore*")</f>
        <v/>
      </c>
      <c r="AB3778">
        <f>IF(AND(LEFT(N3778,7)="Explore",(AA3778-IF(LEFT(N3778,7)="Explore",S3778,0))&lt;10),"SI","NO")</f>
        <v/>
      </c>
    </row>
    <row r="3779">
      <c r="A3779" t="inlineStr">
        <is>
          <t>c52m2_test</t>
        </is>
      </c>
      <c r="B3779" t="inlineStr">
        <is>
          <t>2026-02-18 14:11:06.357</t>
        </is>
      </c>
      <c r="C3779" t="n">
        <v/>
      </c>
      <c r="D3779" t="inlineStr">
        <is>
          <t>Media file</t>
        </is>
      </c>
      <c r="E3779" t="inlineStr">
        <is>
          <t>player #1:WT\test\c52m2.mp4</t>
        </is>
      </c>
      <c r="F3779" t="n">
        <v>-16.8</v>
      </c>
      <c r="G3779" t="n">
        <v>537.766</v>
      </c>
      <c r="H3779" t="n">
        <v>632.599</v>
      </c>
      <c r="I3779" t="n">
        <v>30</v>
      </c>
      <c r="J3779" t="inlineStr">
        <is>
          <t xml:space="preserve"> WT</t>
        </is>
      </c>
      <c r="K3779" t="inlineStr">
        <is>
          <t>Male</t>
        </is>
      </c>
      <c r="L3779" t="inlineStr">
        <is>
          <t>No focal subject</t>
        </is>
      </c>
      <c r="M3779" t="n">
        <v>40.798</v>
      </c>
      <c r="N3779" t="inlineStr">
        <is>
          <t>Explore_F</t>
        </is>
      </c>
      <c r="O3779" t="inlineStr">
        <is>
          <t>Familiar</t>
        </is>
      </c>
      <c r="P3779" t="inlineStr">
        <is>
          <t>STATE</t>
        </is>
      </c>
      <c r="Q3779" t="n">
        <v>157.666</v>
      </c>
      <c r="R3779" t="n">
        <v>159.133</v>
      </c>
      <c r="S3779" t="n">
        <v>1.467</v>
      </c>
      <c r="T3779" t="inlineStr">
        <is>
          <t>WT\test\c52m2.mp4</t>
        </is>
      </c>
      <c r="U3779" t="n">
        <v>4725</v>
      </c>
      <c r="V3779" t="n">
        <v>4769</v>
      </c>
      <c r="W3779" t="n">
        <v/>
      </c>
      <c r="X3779" t="n">
        <v/>
      </c>
      <c r="Y3779" t="n">
        <v/>
      </c>
      <c r="Z3779" t="n">
        <v/>
      </c>
      <c r="AA3779">
        <f>SUMIFS($S$2:S3779,$A$2:A3779,A3779,$N$2:N3779,"Explore*")</f>
        <v/>
      </c>
      <c r="AB3779">
        <f>IF(AND(LEFT(N3779,7)="Explore",(AA3779-IF(LEFT(N3779,7)="Explore",S3779,0))&lt;10),"SI","NO")</f>
        <v/>
      </c>
    </row>
    <row r="3780">
      <c r="A3780" t="inlineStr">
        <is>
          <t>c52m2_test</t>
        </is>
      </c>
      <c r="B3780" t="inlineStr">
        <is>
          <t>2026-02-18 14:11:06.357</t>
        </is>
      </c>
      <c r="C3780" t="n">
        <v/>
      </c>
      <c r="D3780" t="inlineStr">
        <is>
          <t>Media file</t>
        </is>
      </c>
      <c r="E3780" t="inlineStr">
        <is>
          <t>player #1:WT\test\c52m2.mp4</t>
        </is>
      </c>
      <c r="F3780" t="n">
        <v>-16.8</v>
      </c>
      <c r="G3780" t="n">
        <v>537.766</v>
      </c>
      <c r="H3780" t="n">
        <v>632.599</v>
      </c>
      <c r="I3780" t="n">
        <v>30</v>
      </c>
      <c r="J3780" t="inlineStr">
        <is>
          <t xml:space="preserve"> WT</t>
        </is>
      </c>
      <c r="K3780" t="inlineStr">
        <is>
          <t>Male</t>
        </is>
      </c>
      <c r="L3780" t="inlineStr">
        <is>
          <t>No focal subject</t>
        </is>
      </c>
      <c r="M3780" t="n">
        <v>40.798</v>
      </c>
      <c r="N3780" t="inlineStr">
        <is>
          <t>Explore_N</t>
        </is>
      </c>
      <c r="O3780" t="inlineStr">
        <is>
          <t>Novelty</t>
        </is>
      </c>
      <c r="P3780" t="inlineStr">
        <is>
          <t>STATE</t>
        </is>
      </c>
      <c r="Q3780" t="n">
        <v>204.4</v>
      </c>
      <c r="R3780" t="n">
        <v>204.9</v>
      </c>
      <c r="S3780" t="n">
        <v>0.5</v>
      </c>
      <c r="T3780" t="inlineStr">
        <is>
          <t>WT\test\c52m2.mp4</t>
        </is>
      </c>
      <c r="U3780" t="n">
        <v>6125</v>
      </c>
      <c r="V3780" t="n">
        <v>6140</v>
      </c>
      <c r="W3780" t="n">
        <v/>
      </c>
      <c r="X3780" t="n">
        <v/>
      </c>
      <c r="Y3780" t="n">
        <v/>
      </c>
      <c r="Z3780" t="n">
        <v/>
      </c>
      <c r="AA3780">
        <f>SUMIFS($S$2:S3780,$A$2:A3780,A3780,$N$2:N3780,"Explore*")</f>
        <v/>
      </c>
      <c r="AB3780">
        <f>IF(AND(LEFT(N3780,7)="Explore",(AA3780-IF(LEFT(N3780,7)="Explore",S3780,0))&lt;10),"SI","NO")</f>
        <v/>
      </c>
    </row>
    <row r="3781">
      <c r="A3781" t="inlineStr">
        <is>
          <t>c52m2_test</t>
        </is>
      </c>
      <c r="B3781" t="inlineStr">
        <is>
          <t>2026-02-18 14:11:06.357</t>
        </is>
      </c>
      <c r="C3781" t="n">
        <v/>
      </c>
      <c r="D3781" t="inlineStr">
        <is>
          <t>Media file</t>
        </is>
      </c>
      <c r="E3781" t="inlineStr">
        <is>
          <t>player #1:WT\test\c52m2.mp4</t>
        </is>
      </c>
      <c r="F3781" t="n">
        <v>-16.8</v>
      </c>
      <c r="G3781" t="n">
        <v>537.766</v>
      </c>
      <c r="H3781" t="n">
        <v>632.599</v>
      </c>
      <c r="I3781" t="n">
        <v>30</v>
      </c>
      <c r="J3781" t="inlineStr">
        <is>
          <t xml:space="preserve"> WT</t>
        </is>
      </c>
      <c r="K3781" t="inlineStr">
        <is>
          <t>Male</t>
        </is>
      </c>
      <c r="L3781" t="inlineStr">
        <is>
          <t>No focal subject</t>
        </is>
      </c>
      <c r="M3781" t="n">
        <v>40.798</v>
      </c>
      <c r="N3781" t="inlineStr">
        <is>
          <t>Explore_N</t>
        </is>
      </c>
      <c r="O3781" t="inlineStr">
        <is>
          <t>Novelty</t>
        </is>
      </c>
      <c r="P3781" t="inlineStr">
        <is>
          <t>STATE</t>
        </is>
      </c>
      <c r="Q3781" t="n">
        <v>205.4</v>
      </c>
      <c r="R3781" t="n">
        <v>207.333</v>
      </c>
      <c r="S3781" t="n">
        <v>1.933</v>
      </c>
      <c r="T3781" t="inlineStr">
        <is>
          <t>WT\test\c52m2.mp4</t>
        </is>
      </c>
      <c r="U3781" t="n">
        <v>6155</v>
      </c>
      <c r="V3781" t="n">
        <v>6213</v>
      </c>
      <c r="W3781" t="n">
        <v/>
      </c>
      <c r="X3781" t="n">
        <v/>
      </c>
      <c r="Y3781" t="n">
        <v/>
      </c>
      <c r="Z3781" t="n">
        <v/>
      </c>
      <c r="AA3781">
        <f>SUMIFS($S$2:S3781,$A$2:A3781,A3781,$N$2:N3781,"Explore*")</f>
        <v/>
      </c>
      <c r="AB3781">
        <f>IF(AND(LEFT(N3781,7)="Explore",(AA3781-IF(LEFT(N3781,7)="Explore",S3781,0))&lt;10),"SI","NO")</f>
        <v/>
      </c>
    </row>
    <row r="3782">
      <c r="A3782" t="inlineStr">
        <is>
          <t>c52m2_test</t>
        </is>
      </c>
      <c r="B3782" t="inlineStr">
        <is>
          <t>2026-02-18 14:11:06.357</t>
        </is>
      </c>
      <c r="C3782" t="n">
        <v/>
      </c>
      <c r="D3782" t="inlineStr">
        <is>
          <t>Media file</t>
        </is>
      </c>
      <c r="E3782" t="inlineStr">
        <is>
          <t>player #1:WT\test\c52m2.mp4</t>
        </is>
      </c>
      <c r="F3782" t="n">
        <v>-16.8</v>
      </c>
      <c r="G3782" t="n">
        <v>537.766</v>
      </c>
      <c r="H3782" t="n">
        <v>632.599</v>
      </c>
      <c r="I3782" t="n">
        <v>30</v>
      </c>
      <c r="J3782" t="inlineStr">
        <is>
          <t xml:space="preserve"> WT</t>
        </is>
      </c>
      <c r="K3782" t="inlineStr">
        <is>
          <t>Male</t>
        </is>
      </c>
      <c r="L3782" t="inlineStr">
        <is>
          <t>No focal subject</t>
        </is>
      </c>
      <c r="M3782" t="n">
        <v>40.798</v>
      </c>
      <c r="N3782" t="inlineStr">
        <is>
          <t>Explore_F</t>
        </is>
      </c>
      <c r="O3782" t="inlineStr">
        <is>
          <t>Familiar</t>
        </is>
      </c>
      <c r="P3782" t="inlineStr">
        <is>
          <t>STATE</t>
        </is>
      </c>
      <c r="Q3782" t="n">
        <v>212.733</v>
      </c>
      <c r="R3782" t="n">
        <v>213.333</v>
      </c>
      <c r="S3782" t="n">
        <v>0.6</v>
      </c>
      <c r="T3782" t="inlineStr">
        <is>
          <t>WT\test\c52m2.mp4</t>
        </is>
      </c>
      <c r="U3782" t="n">
        <v>6375</v>
      </c>
      <c r="V3782" t="n">
        <v>6393</v>
      </c>
      <c r="W3782" t="n">
        <v/>
      </c>
      <c r="X3782" t="n">
        <v/>
      </c>
      <c r="Y3782" t="n">
        <v/>
      </c>
      <c r="Z3782" t="n">
        <v/>
      </c>
      <c r="AA3782">
        <f>SUMIFS($S$2:S3782,$A$2:A3782,A3782,$N$2:N3782,"Explore*")</f>
        <v/>
      </c>
      <c r="AB3782">
        <f>IF(AND(LEFT(N3782,7)="Explore",(AA3782-IF(LEFT(N3782,7)="Explore",S3782,0))&lt;10),"SI","NO")</f>
        <v/>
      </c>
    </row>
    <row r="3783">
      <c r="A3783" t="inlineStr">
        <is>
          <t>c52m2_test</t>
        </is>
      </c>
      <c r="B3783" t="inlineStr">
        <is>
          <t>2026-02-18 14:11:06.357</t>
        </is>
      </c>
      <c r="C3783" t="n">
        <v/>
      </c>
      <c r="D3783" t="inlineStr">
        <is>
          <t>Media file</t>
        </is>
      </c>
      <c r="E3783" t="inlineStr">
        <is>
          <t>player #1:WT\test\c52m2.mp4</t>
        </is>
      </c>
      <c r="F3783" t="n">
        <v>-16.8</v>
      </c>
      <c r="G3783" t="n">
        <v>537.766</v>
      </c>
      <c r="H3783" t="n">
        <v>632.599</v>
      </c>
      <c r="I3783" t="n">
        <v>30</v>
      </c>
      <c r="J3783" t="inlineStr">
        <is>
          <t xml:space="preserve"> WT</t>
        </is>
      </c>
      <c r="K3783" t="inlineStr">
        <is>
          <t>Male</t>
        </is>
      </c>
      <c r="L3783" t="inlineStr">
        <is>
          <t>No focal subject</t>
        </is>
      </c>
      <c r="M3783" t="n">
        <v>40.798</v>
      </c>
      <c r="N3783" t="inlineStr">
        <is>
          <t>Explore_F</t>
        </is>
      </c>
      <c r="O3783" t="inlineStr">
        <is>
          <t>Familiar</t>
        </is>
      </c>
      <c r="P3783" t="inlineStr">
        <is>
          <t>STATE</t>
        </is>
      </c>
      <c r="Q3783" t="n">
        <v>214.433</v>
      </c>
      <c r="R3783" t="n">
        <v>216.333</v>
      </c>
      <c r="S3783" t="n">
        <v>1.9</v>
      </c>
      <c r="T3783" t="inlineStr">
        <is>
          <t>WT\test\c52m2.mp4</t>
        </is>
      </c>
      <c r="U3783" t="n">
        <v>6426</v>
      </c>
      <c r="V3783" t="n">
        <v>6483</v>
      </c>
      <c r="W3783" t="n">
        <v/>
      </c>
      <c r="X3783" t="n">
        <v/>
      </c>
      <c r="Y3783" t="n">
        <v/>
      </c>
      <c r="Z3783" t="n">
        <v/>
      </c>
      <c r="AA3783">
        <f>SUMIFS($S$2:S3783,$A$2:A3783,A3783,$N$2:N3783,"Explore*")</f>
        <v/>
      </c>
      <c r="AB3783">
        <f>IF(AND(LEFT(N3783,7)="Explore",(AA3783-IF(LEFT(N3783,7)="Explore",S3783,0))&lt;10),"SI","NO")</f>
        <v/>
      </c>
    </row>
    <row r="3784">
      <c r="A3784" t="inlineStr">
        <is>
          <t>c52m2_test</t>
        </is>
      </c>
      <c r="B3784" t="inlineStr">
        <is>
          <t>2026-02-18 14:11:06.357</t>
        </is>
      </c>
      <c r="C3784" t="n">
        <v/>
      </c>
      <c r="D3784" t="inlineStr">
        <is>
          <t>Media file</t>
        </is>
      </c>
      <c r="E3784" t="inlineStr">
        <is>
          <t>player #1:WT\test\c52m2.mp4</t>
        </is>
      </c>
      <c r="F3784" t="n">
        <v>-16.8</v>
      </c>
      <c r="G3784" t="n">
        <v>537.766</v>
      </c>
      <c r="H3784" t="n">
        <v>632.599</v>
      </c>
      <c r="I3784" t="n">
        <v>30</v>
      </c>
      <c r="J3784" t="inlineStr">
        <is>
          <t xml:space="preserve"> WT</t>
        </is>
      </c>
      <c r="K3784" t="inlineStr">
        <is>
          <t>Male</t>
        </is>
      </c>
      <c r="L3784" t="inlineStr">
        <is>
          <t>No focal subject</t>
        </is>
      </c>
      <c r="M3784" t="n">
        <v>40.798</v>
      </c>
      <c r="N3784" t="inlineStr">
        <is>
          <t>Explore_N</t>
        </is>
      </c>
      <c r="O3784" t="inlineStr">
        <is>
          <t>Novelty</t>
        </is>
      </c>
      <c r="P3784" t="inlineStr">
        <is>
          <t>STATE</t>
        </is>
      </c>
      <c r="Q3784" t="n">
        <v>224.1</v>
      </c>
      <c r="R3784" t="n">
        <v>226.033</v>
      </c>
      <c r="S3784" t="n">
        <v>1.933</v>
      </c>
      <c r="T3784" t="inlineStr">
        <is>
          <t>WT\test\c52m2.mp4</t>
        </is>
      </c>
      <c r="U3784" t="n">
        <v>6716</v>
      </c>
      <c r="V3784" t="n">
        <v>6775</v>
      </c>
      <c r="W3784" t="n">
        <v/>
      </c>
      <c r="X3784" t="n">
        <v/>
      </c>
      <c r="Y3784" t="n">
        <v/>
      </c>
      <c r="Z3784" t="n">
        <v/>
      </c>
      <c r="AA3784">
        <f>SUMIFS($S$2:S3784,$A$2:A3784,A3784,$N$2:N3784,"Explore*")</f>
        <v/>
      </c>
      <c r="AB3784">
        <f>IF(AND(LEFT(N3784,7)="Explore",(AA3784-IF(LEFT(N3784,7)="Explore",S3784,0))&lt;10),"SI","NO")</f>
        <v/>
      </c>
    </row>
    <row r="3785">
      <c r="A3785" t="inlineStr">
        <is>
          <t>c52m2_test</t>
        </is>
      </c>
      <c r="B3785" t="inlineStr">
        <is>
          <t>2026-02-18 14:11:06.357</t>
        </is>
      </c>
      <c r="C3785" t="n">
        <v/>
      </c>
      <c r="D3785" t="inlineStr">
        <is>
          <t>Media file</t>
        </is>
      </c>
      <c r="E3785" t="inlineStr">
        <is>
          <t>player #1:WT\test\c52m2.mp4</t>
        </is>
      </c>
      <c r="F3785" t="n">
        <v>-16.8</v>
      </c>
      <c r="G3785" t="n">
        <v>537.766</v>
      </c>
      <c r="H3785" t="n">
        <v>632.599</v>
      </c>
      <c r="I3785" t="n">
        <v>30</v>
      </c>
      <c r="J3785" t="inlineStr">
        <is>
          <t xml:space="preserve"> WT</t>
        </is>
      </c>
      <c r="K3785" t="inlineStr">
        <is>
          <t>Male</t>
        </is>
      </c>
      <c r="L3785" t="inlineStr">
        <is>
          <t>No focal subject</t>
        </is>
      </c>
      <c r="M3785" t="n">
        <v>40.798</v>
      </c>
      <c r="N3785" t="inlineStr">
        <is>
          <t>Explore_F</t>
        </is>
      </c>
      <c r="O3785" t="inlineStr">
        <is>
          <t>Familiar</t>
        </is>
      </c>
      <c r="P3785" t="inlineStr">
        <is>
          <t>STATE</t>
        </is>
      </c>
      <c r="Q3785" t="n">
        <v>237.333</v>
      </c>
      <c r="R3785" t="n">
        <v>237.733</v>
      </c>
      <c r="S3785" t="n">
        <v>0.4</v>
      </c>
      <c r="T3785" t="inlineStr">
        <is>
          <t>WT\test\c52m2.mp4</t>
        </is>
      </c>
      <c r="U3785" t="n">
        <v>7112</v>
      </c>
      <c r="V3785" t="n">
        <v>7124</v>
      </c>
      <c r="W3785" t="n">
        <v/>
      </c>
      <c r="X3785" t="n">
        <v/>
      </c>
      <c r="Y3785" t="n">
        <v/>
      </c>
      <c r="Z3785" t="n">
        <v/>
      </c>
      <c r="AA3785">
        <f>SUMIFS($S$2:S3785,$A$2:A3785,A3785,$N$2:N3785,"Explore*")</f>
        <v/>
      </c>
      <c r="AB3785">
        <f>IF(AND(LEFT(N3785,7)="Explore",(AA3785-IF(LEFT(N3785,7)="Explore",S3785,0))&lt;10),"SI","NO")</f>
        <v/>
      </c>
    </row>
    <row r="3786">
      <c r="A3786" t="inlineStr">
        <is>
          <t>c52m2_test</t>
        </is>
      </c>
      <c r="B3786" t="inlineStr">
        <is>
          <t>2026-02-18 14:11:06.357</t>
        </is>
      </c>
      <c r="C3786" t="n">
        <v/>
      </c>
      <c r="D3786" t="inlineStr">
        <is>
          <t>Media file</t>
        </is>
      </c>
      <c r="E3786" t="inlineStr">
        <is>
          <t>player #1:WT\test\c52m2.mp4</t>
        </is>
      </c>
      <c r="F3786" t="n">
        <v>-16.8</v>
      </c>
      <c r="G3786" t="n">
        <v>537.766</v>
      </c>
      <c r="H3786" t="n">
        <v>632.599</v>
      </c>
      <c r="I3786" t="n">
        <v>30</v>
      </c>
      <c r="J3786" t="inlineStr">
        <is>
          <t xml:space="preserve"> WT</t>
        </is>
      </c>
      <c r="K3786" t="inlineStr">
        <is>
          <t>Male</t>
        </is>
      </c>
      <c r="L3786" t="inlineStr">
        <is>
          <t>No focal subject</t>
        </is>
      </c>
      <c r="M3786" t="n">
        <v>40.798</v>
      </c>
      <c r="N3786" t="inlineStr">
        <is>
          <t>Explore_F</t>
        </is>
      </c>
      <c r="O3786" t="inlineStr">
        <is>
          <t>Familiar</t>
        </is>
      </c>
      <c r="P3786" t="inlineStr">
        <is>
          <t>STATE</t>
        </is>
      </c>
      <c r="Q3786" t="n">
        <v>248.033</v>
      </c>
      <c r="R3786" t="n">
        <v>249.433</v>
      </c>
      <c r="S3786" t="n">
        <v>1.4</v>
      </c>
      <c r="T3786" t="inlineStr">
        <is>
          <t>WT\test\c52m2.mp4</t>
        </is>
      </c>
      <c r="U3786" t="n">
        <v>7434</v>
      </c>
      <c r="V3786" t="n">
        <v>7475</v>
      </c>
      <c r="W3786" t="n">
        <v/>
      </c>
      <c r="X3786" t="n">
        <v/>
      </c>
      <c r="Y3786" t="n">
        <v/>
      </c>
      <c r="Z3786" t="n">
        <v/>
      </c>
      <c r="AA3786">
        <f>SUMIFS($S$2:S3786,$A$2:A3786,A3786,$N$2:N3786,"Explore*")</f>
        <v/>
      </c>
      <c r="AB3786">
        <f>IF(AND(LEFT(N3786,7)="Explore",(AA3786-IF(LEFT(N3786,7)="Explore",S3786,0))&lt;10),"SI","NO")</f>
        <v/>
      </c>
    </row>
    <row r="3787">
      <c r="A3787" t="inlineStr">
        <is>
          <t>c52m2_test</t>
        </is>
      </c>
      <c r="B3787" t="inlineStr">
        <is>
          <t>2026-02-18 14:11:06.357</t>
        </is>
      </c>
      <c r="C3787" t="n">
        <v/>
      </c>
      <c r="D3787" t="inlineStr">
        <is>
          <t>Media file</t>
        </is>
      </c>
      <c r="E3787" t="inlineStr">
        <is>
          <t>player #1:WT\test\c52m2.mp4</t>
        </is>
      </c>
      <c r="F3787" t="n">
        <v>-16.8</v>
      </c>
      <c r="G3787" t="n">
        <v>537.766</v>
      </c>
      <c r="H3787" t="n">
        <v>632.599</v>
      </c>
      <c r="I3787" t="n">
        <v>30</v>
      </c>
      <c r="J3787" t="inlineStr">
        <is>
          <t xml:space="preserve"> WT</t>
        </is>
      </c>
      <c r="K3787" t="inlineStr">
        <is>
          <t>Male</t>
        </is>
      </c>
      <c r="L3787" t="inlineStr">
        <is>
          <t>No focal subject</t>
        </is>
      </c>
      <c r="M3787" t="n">
        <v>40.798</v>
      </c>
      <c r="N3787" t="inlineStr">
        <is>
          <t>Explore_N</t>
        </is>
      </c>
      <c r="O3787" t="inlineStr">
        <is>
          <t>Novelty</t>
        </is>
      </c>
      <c r="P3787" t="inlineStr">
        <is>
          <t>STATE</t>
        </is>
      </c>
      <c r="Q3787" t="n">
        <v>259.433</v>
      </c>
      <c r="R3787" t="n">
        <v>260</v>
      </c>
      <c r="S3787" t="n">
        <v>0.5669999999999999</v>
      </c>
      <c r="T3787" t="inlineStr">
        <is>
          <t>WT\test\c52m2.mp4</t>
        </is>
      </c>
      <c r="U3787" t="n">
        <v>7775</v>
      </c>
      <c r="V3787" t="n">
        <v>7794</v>
      </c>
      <c r="W3787" t="n">
        <v/>
      </c>
      <c r="X3787" t="n">
        <v/>
      </c>
      <c r="Y3787" t="n">
        <v/>
      </c>
      <c r="Z3787" t="n">
        <v/>
      </c>
      <c r="AA3787">
        <f>SUMIFS($S$2:S3787,$A$2:A3787,A3787,$N$2:N3787,"Explore*")</f>
        <v/>
      </c>
      <c r="AB3787">
        <f>IF(AND(LEFT(N3787,7)="Explore",(AA3787-IF(LEFT(N3787,7)="Explore",S3787,0))&lt;10),"SI","NO")</f>
        <v/>
      </c>
    </row>
    <row r="3788">
      <c r="A3788" t="inlineStr">
        <is>
          <t>c52m2_test</t>
        </is>
      </c>
      <c r="B3788" t="inlineStr">
        <is>
          <t>2026-02-18 14:11:06.357</t>
        </is>
      </c>
      <c r="C3788" t="n">
        <v/>
      </c>
      <c r="D3788" t="inlineStr">
        <is>
          <t>Media file</t>
        </is>
      </c>
      <c r="E3788" t="inlineStr">
        <is>
          <t>player #1:WT\test\c52m2.mp4</t>
        </is>
      </c>
      <c r="F3788" t="n">
        <v>-16.8</v>
      </c>
      <c r="G3788" t="n">
        <v>537.766</v>
      </c>
      <c r="H3788" t="n">
        <v>632.599</v>
      </c>
      <c r="I3788" t="n">
        <v>30</v>
      </c>
      <c r="J3788" t="inlineStr">
        <is>
          <t xml:space="preserve"> WT</t>
        </is>
      </c>
      <c r="K3788" t="inlineStr">
        <is>
          <t>Male</t>
        </is>
      </c>
      <c r="L3788" t="inlineStr">
        <is>
          <t>No focal subject</t>
        </is>
      </c>
      <c r="M3788" t="n">
        <v>40.798</v>
      </c>
      <c r="N3788" t="inlineStr">
        <is>
          <t>Explore_N</t>
        </is>
      </c>
      <c r="O3788" t="inlineStr">
        <is>
          <t>Novelty</t>
        </is>
      </c>
      <c r="P3788" t="inlineStr">
        <is>
          <t>STATE</t>
        </is>
      </c>
      <c r="Q3788" t="n">
        <v>275.3</v>
      </c>
      <c r="R3788" t="n">
        <v>275.833</v>
      </c>
      <c r="S3788" t="n">
        <v>0.533</v>
      </c>
      <c r="T3788" t="inlineStr">
        <is>
          <t>WT\test\c52m2.mp4</t>
        </is>
      </c>
      <c r="U3788" t="n">
        <v>8250</v>
      </c>
      <c r="V3788" t="n">
        <v>8266</v>
      </c>
      <c r="W3788" t="n">
        <v/>
      </c>
      <c r="X3788" t="n">
        <v/>
      </c>
      <c r="Y3788" t="n">
        <v/>
      </c>
      <c r="Z3788" t="n">
        <v/>
      </c>
      <c r="AA3788">
        <f>SUMIFS($S$2:S3788,$A$2:A3788,A3788,$N$2:N3788,"Explore*")</f>
        <v/>
      </c>
      <c r="AB3788">
        <f>IF(AND(LEFT(N3788,7)="Explore",(AA3788-IF(LEFT(N3788,7)="Explore",S3788,0))&lt;10),"SI","NO")</f>
        <v/>
      </c>
    </row>
    <row r="3789">
      <c r="A3789" t="inlineStr">
        <is>
          <t>c52m2_test</t>
        </is>
      </c>
      <c r="B3789" t="inlineStr">
        <is>
          <t>2026-02-18 14:11:06.357</t>
        </is>
      </c>
      <c r="C3789" t="n">
        <v/>
      </c>
      <c r="D3789" t="inlineStr">
        <is>
          <t>Media file</t>
        </is>
      </c>
      <c r="E3789" t="inlineStr">
        <is>
          <t>player #1:WT\test\c52m2.mp4</t>
        </is>
      </c>
      <c r="F3789" t="n">
        <v>-16.8</v>
      </c>
      <c r="G3789" t="n">
        <v>537.766</v>
      </c>
      <c r="H3789" t="n">
        <v>632.599</v>
      </c>
      <c r="I3789" t="n">
        <v>30</v>
      </c>
      <c r="J3789" t="inlineStr">
        <is>
          <t xml:space="preserve"> WT</t>
        </is>
      </c>
      <c r="K3789" t="inlineStr">
        <is>
          <t>Male</t>
        </is>
      </c>
      <c r="L3789" t="inlineStr">
        <is>
          <t>No focal subject</t>
        </is>
      </c>
      <c r="M3789" t="n">
        <v>40.798</v>
      </c>
      <c r="N3789" t="inlineStr">
        <is>
          <t>Explore_N</t>
        </is>
      </c>
      <c r="O3789" t="inlineStr">
        <is>
          <t>Novelty</t>
        </is>
      </c>
      <c r="P3789" t="inlineStr">
        <is>
          <t>STATE</t>
        </is>
      </c>
      <c r="Q3789" t="n">
        <v>277.466</v>
      </c>
      <c r="R3789" t="n">
        <v>278.333</v>
      </c>
      <c r="S3789" t="n">
        <v>0.867</v>
      </c>
      <c r="T3789" t="inlineStr">
        <is>
          <t>WT\test\c52m2.mp4</t>
        </is>
      </c>
      <c r="U3789" t="n">
        <v>8315</v>
      </c>
      <c r="V3789" t="n">
        <v>8341</v>
      </c>
      <c r="W3789" t="n">
        <v/>
      </c>
      <c r="X3789" t="n">
        <v/>
      </c>
      <c r="Y3789" t="n">
        <v/>
      </c>
      <c r="Z3789" t="n">
        <v/>
      </c>
      <c r="AA3789">
        <f>SUMIFS($S$2:S3789,$A$2:A3789,A3789,$N$2:N3789,"Explore*")</f>
        <v/>
      </c>
      <c r="AB3789">
        <f>IF(AND(LEFT(N3789,7)="Explore",(AA3789-IF(LEFT(N3789,7)="Explore",S3789,0))&lt;10),"SI","NO")</f>
        <v/>
      </c>
    </row>
    <row r="3790">
      <c r="A3790" t="inlineStr">
        <is>
          <t>c52m2_test</t>
        </is>
      </c>
      <c r="B3790" t="inlineStr">
        <is>
          <t>2026-02-18 14:11:06.357</t>
        </is>
      </c>
      <c r="C3790" t="n">
        <v/>
      </c>
      <c r="D3790" t="inlineStr">
        <is>
          <t>Media file</t>
        </is>
      </c>
      <c r="E3790" t="inlineStr">
        <is>
          <t>player #1:WT\test\c52m2.mp4</t>
        </is>
      </c>
      <c r="F3790" t="n">
        <v>-16.8</v>
      </c>
      <c r="G3790" t="n">
        <v>537.766</v>
      </c>
      <c r="H3790" t="n">
        <v>632.599</v>
      </c>
      <c r="I3790" t="n">
        <v>30</v>
      </c>
      <c r="J3790" t="inlineStr">
        <is>
          <t xml:space="preserve"> WT</t>
        </is>
      </c>
      <c r="K3790" t="inlineStr">
        <is>
          <t>Male</t>
        </is>
      </c>
      <c r="L3790" t="inlineStr">
        <is>
          <t>No focal subject</t>
        </is>
      </c>
      <c r="M3790" t="n">
        <v>40.798</v>
      </c>
      <c r="N3790" t="inlineStr">
        <is>
          <t>Explore_N</t>
        </is>
      </c>
      <c r="O3790" t="inlineStr">
        <is>
          <t>Novelty</t>
        </is>
      </c>
      <c r="P3790" t="inlineStr">
        <is>
          <t>STATE</t>
        </is>
      </c>
      <c r="Q3790" t="n">
        <v>284.366</v>
      </c>
      <c r="R3790" t="n">
        <v>285.233</v>
      </c>
      <c r="S3790" t="n">
        <v>0.867</v>
      </c>
      <c r="T3790" t="inlineStr">
        <is>
          <t>WT\test\c52m2.mp4</t>
        </is>
      </c>
      <c r="U3790" t="n">
        <v>8522</v>
      </c>
      <c r="V3790" t="n">
        <v>8548</v>
      </c>
      <c r="W3790" t="n">
        <v/>
      </c>
      <c r="X3790" t="n">
        <v/>
      </c>
      <c r="Y3790" t="n">
        <v/>
      </c>
      <c r="Z3790" t="n">
        <v/>
      </c>
      <c r="AA3790">
        <f>SUMIFS($S$2:S3790,$A$2:A3790,A3790,$N$2:N3790,"Explore*")</f>
        <v/>
      </c>
      <c r="AB3790">
        <f>IF(AND(LEFT(N3790,7)="Explore",(AA3790-IF(LEFT(N3790,7)="Explore",S3790,0))&lt;10),"SI","NO")</f>
        <v/>
      </c>
    </row>
    <row r="3791">
      <c r="A3791" t="inlineStr">
        <is>
          <t>c52m2_test</t>
        </is>
      </c>
      <c r="B3791" t="inlineStr">
        <is>
          <t>2026-02-18 14:11:06.357</t>
        </is>
      </c>
      <c r="C3791" t="n">
        <v/>
      </c>
      <c r="D3791" t="inlineStr">
        <is>
          <t>Media file</t>
        </is>
      </c>
      <c r="E3791" t="inlineStr">
        <is>
          <t>player #1:WT\test\c52m2.mp4</t>
        </is>
      </c>
      <c r="F3791" t="n">
        <v>-16.8</v>
      </c>
      <c r="G3791" t="n">
        <v>537.766</v>
      </c>
      <c r="H3791" t="n">
        <v>632.599</v>
      </c>
      <c r="I3791" t="n">
        <v>30</v>
      </c>
      <c r="J3791" t="inlineStr">
        <is>
          <t xml:space="preserve"> WT</t>
        </is>
      </c>
      <c r="K3791" t="inlineStr">
        <is>
          <t>Male</t>
        </is>
      </c>
      <c r="L3791" t="inlineStr">
        <is>
          <t>No focal subject</t>
        </is>
      </c>
      <c r="M3791" t="n">
        <v>40.798</v>
      </c>
      <c r="N3791" t="inlineStr">
        <is>
          <t>Explore_N</t>
        </is>
      </c>
      <c r="O3791" t="inlineStr">
        <is>
          <t>Novelty</t>
        </is>
      </c>
      <c r="P3791" t="inlineStr">
        <is>
          <t>STATE</t>
        </is>
      </c>
      <c r="Q3791" t="n">
        <v>287.533</v>
      </c>
      <c r="R3791" t="n">
        <v>288.466</v>
      </c>
      <c r="S3791" t="n">
        <v>0.9330000000000001</v>
      </c>
      <c r="T3791" t="inlineStr">
        <is>
          <t>WT\test\c52m2.mp4</t>
        </is>
      </c>
      <c r="U3791" t="n">
        <v>8618</v>
      </c>
      <c r="V3791" t="n">
        <v>8645</v>
      </c>
      <c r="W3791" t="n">
        <v/>
      </c>
      <c r="X3791" t="n">
        <v/>
      </c>
      <c r="Y3791" t="n">
        <v/>
      </c>
      <c r="Z3791" t="n">
        <v/>
      </c>
      <c r="AA3791">
        <f>SUMIFS($S$2:S3791,$A$2:A3791,A3791,$N$2:N3791,"Explore*")</f>
        <v/>
      </c>
      <c r="AB3791">
        <f>IF(AND(LEFT(N3791,7)="Explore",(AA3791-IF(LEFT(N3791,7)="Explore",S3791,0))&lt;10),"SI","NO")</f>
        <v/>
      </c>
    </row>
    <row r="3792">
      <c r="A3792" t="inlineStr">
        <is>
          <t>c52m2_test</t>
        </is>
      </c>
      <c r="B3792" t="inlineStr">
        <is>
          <t>2026-02-18 14:11:06.357</t>
        </is>
      </c>
      <c r="C3792" t="n">
        <v/>
      </c>
      <c r="D3792" t="inlineStr">
        <is>
          <t>Media file</t>
        </is>
      </c>
      <c r="E3792" t="inlineStr">
        <is>
          <t>player #1:WT\test\c52m2.mp4</t>
        </is>
      </c>
      <c r="F3792" t="n">
        <v>-16.8</v>
      </c>
      <c r="G3792" t="n">
        <v>537.766</v>
      </c>
      <c r="H3792" t="n">
        <v>632.599</v>
      </c>
      <c r="I3792" t="n">
        <v>30</v>
      </c>
      <c r="J3792" t="inlineStr">
        <is>
          <t xml:space="preserve"> WT</t>
        </is>
      </c>
      <c r="K3792" t="inlineStr">
        <is>
          <t>Male</t>
        </is>
      </c>
      <c r="L3792" t="inlineStr">
        <is>
          <t>No focal subject</t>
        </is>
      </c>
      <c r="M3792" t="n">
        <v>40.798</v>
      </c>
      <c r="N3792" t="inlineStr">
        <is>
          <t>Explore_F</t>
        </is>
      </c>
      <c r="O3792" t="inlineStr">
        <is>
          <t>Familiar</t>
        </is>
      </c>
      <c r="P3792" t="inlineStr">
        <is>
          <t>STATE</t>
        </is>
      </c>
      <c r="Q3792" t="n">
        <v>290.8</v>
      </c>
      <c r="R3792" t="n">
        <v>294.9</v>
      </c>
      <c r="S3792" t="n">
        <v>4.1</v>
      </c>
      <c r="T3792" t="inlineStr">
        <is>
          <t>WT\test\c52m2.mp4</t>
        </is>
      </c>
      <c r="U3792" t="n">
        <v>8715</v>
      </c>
      <c r="V3792" t="n">
        <v>8837</v>
      </c>
      <c r="W3792" t="n">
        <v/>
      </c>
      <c r="X3792" t="n">
        <v/>
      </c>
      <c r="Y3792" t="n">
        <v/>
      </c>
      <c r="Z3792" t="n">
        <v/>
      </c>
      <c r="AA3792">
        <f>SUMIFS($S$2:S3792,$A$2:A3792,A3792,$N$2:N3792,"Explore*")</f>
        <v/>
      </c>
      <c r="AB3792">
        <f>IF(AND(LEFT(N3792,7)="Explore",(AA3792-IF(LEFT(N3792,7)="Explore",S3792,0))&lt;10),"SI","NO")</f>
        <v/>
      </c>
    </row>
    <row r="3793">
      <c r="A3793" t="inlineStr">
        <is>
          <t>c52m2_test</t>
        </is>
      </c>
      <c r="B3793" t="inlineStr">
        <is>
          <t>2026-02-18 14:11:06.357</t>
        </is>
      </c>
      <c r="C3793" t="n">
        <v/>
      </c>
      <c r="D3793" t="inlineStr">
        <is>
          <t>Media file</t>
        </is>
      </c>
      <c r="E3793" t="inlineStr">
        <is>
          <t>player #1:WT\test\c52m2.mp4</t>
        </is>
      </c>
      <c r="F3793" t="n">
        <v>-16.8</v>
      </c>
      <c r="G3793" t="n">
        <v>537.766</v>
      </c>
      <c r="H3793" t="n">
        <v>632.599</v>
      </c>
      <c r="I3793" t="n">
        <v>30</v>
      </c>
      <c r="J3793" t="inlineStr">
        <is>
          <t xml:space="preserve"> WT</t>
        </is>
      </c>
      <c r="K3793" t="inlineStr">
        <is>
          <t>Male</t>
        </is>
      </c>
      <c r="L3793" t="inlineStr">
        <is>
          <t>No focal subject</t>
        </is>
      </c>
      <c r="M3793" t="n">
        <v>40.798</v>
      </c>
      <c r="N3793" t="inlineStr">
        <is>
          <t>Explore_F</t>
        </is>
      </c>
      <c r="O3793" t="inlineStr">
        <is>
          <t>Familiar</t>
        </is>
      </c>
      <c r="P3793" t="inlineStr">
        <is>
          <t>STATE</t>
        </is>
      </c>
      <c r="Q3793" t="n">
        <v>304.133</v>
      </c>
      <c r="R3793" t="n">
        <v>305.333</v>
      </c>
      <c r="S3793" t="n">
        <v>1.2</v>
      </c>
      <c r="T3793" t="inlineStr">
        <is>
          <t>WT\test\c52m2.mp4</t>
        </is>
      </c>
      <c r="U3793" t="n">
        <v>9618</v>
      </c>
      <c r="V3793" t="n">
        <v>9654</v>
      </c>
      <c r="W3793" t="n">
        <v/>
      </c>
      <c r="X3793" t="n">
        <v/>
      </c>
      <c r="Y3793" t="n">
        <v/>
      </c>
      <c r="Z3793" t="n">
        <v/>
      </c>
      <c r="AA3793">
        <f>SUMIFS($S$2:S3793,$A$2:A3793,A3793,$N$2:N3793,"Explore*")</f>
        <v/>
      </c>
      <c r="AB3793">
        <f>IF(AND(LEFT(N3793,7)="Explore",(AA3793-IF(LEFT(N3793,7)="Explore",S3793,0))&lt;10),"SI","NO")</f>
        <v/>
      </c>
    </row>
    <row r="3794">
      <c r="A3794" t="inlineStr">
        <is>
          <t>c52m2_test</t>
        </is>
      </c>
      <c r="B3794" t="inlineStr">
        <is>
          <t>2026-02-18 14:11:06.357</t>
        </is>
      </c>
      <c r="C3794" t="n">
        <v/>
      </c>
      <c r="D3794" t="inlineStr">
        <is>
          <t>Media file</t>
        </is>
      </c>
      <c r="E3794" t="inlineStr">
        <is>
          <t>player #1:WT\test\c52m2.mp4</t>
        </is>
      </c>
      <c r="F3794" t="n">
        <v>-16.8</v>
      </c>
      <c r="G3794" t="n">
        <v>537.766</v>
      </c>
      <c r="H3794" t="n">
        <v>632.599</v>
      </c>
      <c r="I3794" t="n">
        <v>30</v>
      </c>
      <c r="J3794" t="inlineStr">
        <is>
          <t xml:space="preserve"> WT</t>
        </is>
      </c>
      <c r="K3794" t="inlineStr">
        <is>
          <t>Male</t>
        </is>
      </c>
      <c r="L3794" t="inlineStr">
        <is>
          <t>No focal subject</t>
        </is>
      </c>
      <c r="M3794" t="n">
        <v>40.798</v>
      </c>
      <c r="N3794" t="inlineStr">
        <is>
          <t>Explore_N</t>
        </is>
      </c>
      <c r="O3794" t="inlineStr">
        <is>
          <t>Novelty</t>
        </is>
      </c>
      <c r="P3794" t="inlineStr">
        <is>
          <t>STATE</t>
        </is>
      </c>
      <c r="Q3794" t="n">
        <v>366.766</v>
      </c>
      <c r="R3794" t="n">
        <v>367.5</v>
      </c>
      <c r="S3794" t="n">
        <v>0.734</v>
      </c>
      <c r="T3794" t="inlineStr">
        <is>
          <t>WT\test\c52m2.mp4</t>
        </is>
      </c>
      <c r="U3794" t="n">
        <v>11495</v>
      </c>
      <c r="V3794" t="n">
        <v>11517</v>
      </c>
      <c r="W3794" t="n">
        <v/>
      </c>
      <c r="X3794" t="n">
        <v/>
      </c>
      <c r="Y3794" t="n">
        <v/>
      </c>
      <c r="Z3794" t="n">
        <v/>
      </c>
      <c r="AA3794">
        <f>SUMIFS($S$2:S3794,$A$2:A3794,A3794,$N$2:N3794,"Explore*")</f>
        <v/>
      </c>
      <c r="AB3794">
        <f>IF(AND(LEFT(N3794,7)="Explore",(AA3794-IF(LEFT(N3794,7)="Explore",S3794,0))&lt;10),"SI","NO")</f>
        <v/>
      </c>
    </row>
    <row r="3795">
      <c r="A3795" t="inlineStr">
        <is>
          <t>c52m2_test</t>
        </is>
      </c>
      <c r="B3795" t="inlineStr">
        <is>
          <t>2026-02-18 14:11:06.357</t>
        </is>
      </c>
      <c r="C3795" t="n">
        <v/>
      </c>
      <c r="D3795" t="inlineStr">
        <is>
          <t>Media file</t>
        </is>
      </c>
      <c r="E3795" t="inlineStr">
        <is>
          <t>player #1:WT\test\c52m2.mp4</t>
        </is>
      </c>
      <c r="F3795" t="n">
        <v>-16.8</v>
      </c>
      <c r="G3795" t="n">
        <v>537.766</v>
      </c>
      <c r="H3795" t="n">
        <v>632.599</v>
      </c>
      <c r="I3795" t="n">
        <v>30</v>
      </c>
      <c r="J3795" t="inlineStr">
        <is>
          <t xml:space="preserve"> WT</t>
        </is>
      </c>
      <c r="K3795" t="inlineStr">
        <is>
          <t>Male</t>
        </is>
      </c>
      <c r="L3795" t="inlineStr">
        <is>
          <t>No focal subject</t>
        </is>
      </c>
      <c r="M3795" t="n">
        <v>40.798</v>
      </c>
      <c r="N3795" t="inlineStr">
        <is>
          <t>Explore_N</t>
        </is>
      </c>
      <c r="O3795" t="inlineStr">
        <is>
          <t>Novelty</t>
        </is>
      </c>
      <c r="P3795" t="inlineStr">
        <is>
          <t>STATE</t>
        </is>
      </c>
      <c r="Q3795" t="n">
        <v>392.7</v>
      </c>
      <c r="R3795" t="n">
        <v>393.466</v>
      </c>
      <c r="S3795" t="n">
        <v>0.766</v>
      </c>
      <c r="T3795" t="inlineStr">
        <is>
          <t>WT\test\c52m2.mp4</t>
        </is>
      </c>
      <c r="U3795" t="n">
        <v>12272</v>
      </c>
      <c r="V3795" t="n">
        <v>12295</v>
      </c>
      <c r="W3795" t="n">
        <v/>
      </c>
      <c r="X3795" t="n">
        <v/>
      </c>
      <c r="Y3795" t="n">
        <v/>
      </c>
      <c r="Z3795" t="n">
        <v/>
      </c>
      <c r="AA3795">
        <f>SUMIFS($S$2:S3795,$A$2:A3795,A3795,$N$2:N3795,"Explore*")</f>
        <v/>
      </c>
      <c r="AB3795">
        <f>IF(AND(LEFT(N3795,7)="Explore",(AA3795-IF(LEFT(N3795,7)="Explore",S3795,0))&lt;10),"SI","NO")</f>
        <v/>
      </c>
    </row>
    <row r="3796">
      <c r="A3796" t="inlineStr">
        <is>
          <t>c52m2_test</t>
        </is>
      </c>
      <c r="B3796" t="inlineStr">
        <is>
          <t>2026-02-18 14:11:06.357</t>
        </is>
      </c>
      <c r="C3796" t="n">
        <v/>
      </c>
      <c r="D3796" t="inlineStr">
        <is>
          <t>Media file</t>
        </is>
      </c>
      <c r="E3796" t="inlineStr">
        <is>
          <t>player #1:WT\test\c52m2.mp4</t>
        </is>
      </c>
      <c r="F3796" t="n">
        <v>-16.8</v>
      </c>
      <c r="G3796" t="n">
        <v>537.766</v>
      </c>
      <c r="H3796" t="n">
        <v>632.599</v>
      </c>
      <c r="I3796" t="n">
        <v>30</v>
      </c>
      <c r="J3796" t="inlineStr">
        <is>
          <t xml:space="preserve"> WT</t>
        </is>
      </c>
      <c r="K3796" t="inlineStr">
        <is>
          <t>Male</t>
        </is>
      </c>
      <c r="L3796" t="inlineStr">
        <is>
          <t>No focal subject</t>
        </is>
      </c>
      <c r="M3796" t="n">
        <v>40.798</v>
      </c>
      <c r="N3796" t="inlineStr">
        <is>
          <t>Explore_N</t>
        </is>
      </c>
      <c r="O3796" t="inlineStr">
        <is>
          <t>Novelty</t>
        </is>
      </c>
      <c r="P3796" t="inlineStr">
        <is>
          <t>STATE</t>
        </is>
      </c>
      <c r="Q3796" t="n">
        <v>396.933</v>
      </c>
      <c r="R3796" t="n">
        <v>397.7</v>
      </c>
      <c r="S3796" t="n">
        <v>0.767</v>
      </c>
      <c r="T3796" t="inlineStr">
        <is>
          <t>WT\test\c52m2.mp4</t>
        </is>
      </c>
      <c r="U3796" t="n">
        <v>12399</v>
      </c>
      <c r="V3796" t="n">
        <v>12422</v>
      </c>
      <c r="W3796" t="n">
        <v/>
      </c>
      <c r="X3796" t="n">
        <v/>
      </c>
      <c r="Y3796" t="n">
        <v/>
      </c>
      <c r="Z3796" t="n">
        <v/>
      </c>
      <c r="AA3796">
        <f>SUMIFS($S$2:S3796,$A$2:A3796,A3796,$N$2:N3796,"Explore*")</f>
        <v/>
      </c>
      <c r="AB3796">
        <f>IF(AND(LEFT(N3796,7)="Explore",(AA3796-IF(LEFT(N3796,7)="Explore",S3796,0))&lt;10),"SI","NO")</f>
        <v/>
      </c>
    </row>
    <row r="3797">
      <c r="A3797" t="inlineStr">
        <is>
          <t>c52m2_test</t>
        </is>
      </c>
      <c r="B3797" t="inlineStr">
        <is>
          <t>2026-02-18 14:11:06.357</t>
        </is>
      </c>
      <c r="C3797" t="n">
        <v/>
      </c>
      <c r="D3797" t="inlineStr">
        <is>
          <t>Media file</t>
        </is>
      </c>
      <c r="E3797" t="inlineStr">
        <is>
          <t>player #1:WT\test\c52m2.mp4</t>
        </is>
      </c>
      <c r="F3797" t="n">
        <v>-16.8</v>
      </c>
      <c r="G3797" t="n">
        <v>537.766</v>
      </c>
      <c r="H3797" t="n">
        <v>632.599</v>
      </c>
      <c r="I3797" t="n">
        <v>30</v>
      </c>
      <c r="J3797" t="inlineStr">
        <is>
          <t xml:space="preserve"> WT</t>
        </is>
      </c>
      <c r="K3797" t="inlineStr">
        <is>
          <t>Male</t>
        </is>
      </c>
      <c r="L3797" t="inlineStr">
        <is>
          <t>No focal subject</t>
        </is>
      </c>
      <c r="M3797" t="n">
        <v>40.798</v>
      </c>
      <c r="N3797" t="inlineStr">
        <is>
          <t>Explore_N</t>
        </is>
      </c>
      <c r="O3797" t="inlineStr">
        <is>
          <t>Novelty</t>
        </is>
      </c>
      <c r="P3797" t="inlineStr">
        <is>
          <t>STATE</t>
        </is>
      </c>
      <c r="Q3797" t="n">
        <v>405.133</v>
      </c>
      <c r="R3797" t="n">
        <v>405.833</v>
      </c>
      <c r="S3797" t="n">
        <v>0.7</v>
      </c>
      <c r="T3797" t="inlineStr">
        <is>
          <t>WT\test\c52m2.mp4</t>
        </is>
      </c>
      <c r="U3797" t="n">
        <v>12644</v>
      </c>
      <c r="V3797" t="n">
        <v>12665</v>
      </c>
      <c r="W3797" t="n">
        <v/>
      </c>
      <c r="X3797" t="n">
        <v/>
      </c>
      <c r="Y3797" t="n">
        <v/>
      </c>
      <c r="Z3797" t="n">
        <v/>
      </c>
      <c r="AA3797">
        <f>SUMIFS($S$2:S3797,$A$2:A3797,A3797,$N$2:N3797,"Explore*")</f>
        <v/>
      </c>
      <c r="AB3797">
        <f>IF(AND(LEFT(N3797,7)="Explore",(AA3797-IF(LEFT(N3797,7)="Explore",S3797,0))&lt;10),"SI","NO")</f>
        <v/>
      </c>
    </row>
    <row r="3798">
      <c r="A3798" t="inlineStr">
        <is>
          <t>c52m2_test</t>
        </is>
      </c>
      <c r="B3798" t="inlineStr">
        <is>
          <t>2026-02-18 14:11:06.357</t>
        </is>
      </c>
      <c r="C3798" t="n">
        <v/>
      </c>
      <c r="D3798" t="inlineStr">
        <is>
          <t>Media file</t>
        </is>
      </c>
      <c r="E3798" t="inlineStr">
        <is>
          <t>player #1:WT\test\c52m2.mp4</t>
        </is>
      </c>
      <c r="F3798" t="n">
        <v>-16.8</v>
      </c>
      <c r="G3798" t="n">
        <v>537.766</v>
      </c>
      <c r="H3798" t="n">
        <v>632.599</v>
      </c>
      <c r="I3798" t="n">
        <v>30</v>
      </c>
      <c r="J3798" t="inlineStr">
        <is>
          <t xml:space="preserve"> WT</t>
        </is>
      </c>
      <c r="K3798" t="inlineStr">
        <is>
          <t>Male</t>
        </is>
      </c>
      <c r="L3798" t="inlineStr">
        <is>
          <t>No focal subject</t>
        </is>
      </c>
      <c r="M3798" t="n">
        <v>40.798</v>
      </c>
      <c r="N3798" t="inlineStr">
        <is>
          <t>Explore_N</t>
        </is>
      </c>
      <c r="O3798" t="inlineStr">
        <is>
          <t>Novelty</t>
        </is>
      </c>
      <c r="P3798" t="inlineStr">
        <is>
          <t>STATE</t>
        </is>
      </c>
      <c r="Q3798" t="n">
        <v>439.1</v>
      </c>
      <c r="R3798" t="n">
        <v>440.1</v>
      </c>
      <c r="S3798" t="n">
        <v>1</v>
      </c>
      <c r="T3798" t="inlineStr">
        <is>
          <t>WT\test\c52m2.mp4</t>
        </is>
      </c>
      <c r="U3798" t="n">
        <v>13662</v>
      </c>
      <c r="V3798" t="n">
        <v>13692</v>
      </c>
      <c r="W3798" t="n">
        <v/>
      </c>
      <c r="X3798" t="n">
        <v/>
      </c>
      <c r="Y3798" t="n">
        <v/>
      </c>
      <c r="Z3798" t="n">
        <v/>
      </c>
      <c r="AA3798">
        <f>SUMIFS($S$2:S3798,$A$2:A3798,A3798,$N$2:N3798,"Explore*")</f>
        <v/>
      </c>
      <c r="AB3798">
        <f>IF(AND(LEFT(N3798,7)="Explore",(AA3798-IF(LEFT(N3798,7)="Explore",S3798,0))&lt;10),"SI","NO")</f>
        <v/>
      </c>
    </row>
    <row r="3799">
      <c r="A3799" t="inlineStr">
        <is>
          <t>c52m2_test</t>
        </is>
      </c>
      <c r="B3799" t="inlineStr">
        <is>
          <t>2026-02-18 14:11:06.357</t>
        </is>
      </c>
      <c r="C3799" t="n">
        <v/>
      </c>
      <c r="D3799" t="inlineStr">
        <is>
          <t>Media file</t>
        </is>
      </c>
      <c r="E3799" t="inlineStr">
        <is>
          <t>player #1:WT\test\c52m2.mp4</t>
        </is>
      </c>
      <c r="F3799" t="n">
        <v>-16.8</v>
      </c>
      <c r="G3799" t="n">
        <v>537.766</v>
      </c>
      <c r="H3799" t="n">
        <v>632.599</v>
      </c>
      <c r="I3799" t="n">
        <v>30</v>
      </c>
      <c r="J3799" t="inlineStr">
        <is>
          <t xml:space="preserve"> WT</t>
        </is>
      </c>
      <c r="K3799" t="inlineStr">
        <is>
          <t>Male</t>
        </is>
      </c>
      <c r="L3799" t="inlineStr">
        <is>
          <t>No focal subject</t>
        </is>
      </c>
      <c r="M3799" t="n">
        <v>40.798</v>
      </c>
      <c r="N3799" t="inlineStr">
        <is>
          <t>Explore_N</t>
        </is>
      </c>
      <c r="O3799" t="inlineStr">
        <is>
          <t>Novelty</t>
        </is>
      </c>
      <c r="P3799" t="inlineStr">
        <is>
          <t>STATE</t>
        </is>
      </c>
      <c r="Q3799" t="n">
        <v>466.766</v>
      </c>
      <c r="R3799" t="n">
        <v>467.333</v>
      </c>
      <c r="S3799" t="n">
        <v>0.5669999999999999</v>
      </c>
      <c r="T3799" t="inlineStr">
        <is>
          <t>WT\test\c52m2.mp4</t>
        </is>
      </c>
      <c r="U3799" t="n">
        <v>14491</v>
      </c>
      <c r="V3799" t="n">
        <v>14508</v>
      </c>
      <c r="W3799" t="n">
        <v/>
      </c>
      <c r="X3799" t="n">
        <v/>
      </c>
      <c r="Y3799" t="n">
        <v/>
      </c>
      <c r="Z3799" t="n">
        <v/>
      </c>
      <c r="AA3799">
        <f>SUMIFS($S$2:S3799,$A$2:A3799,A3799,$N$2:N3799,"Explore*")</f>
        <v/>
      </c>
      <c r="AB3799">
        <f>IF(AND(LEFT(N3799,7)="Explore",(AA3799-IF(LEFT(N3799,7)="Explore",S3799,0))&lt;10),"SI","NO")</f>
        <v/>
      </c>
    </row>
    <row r="3800">
      <c r="A3800" t="inlineStr">
        <is>
          <t>c52m2_test</t>
        </is>
      </c>
      <c r="B3800" t="inlineStr">
        <is>
          <t>2026-02-18 14:11:06.357</t>
        </is>
      </c>
      <c r="C3800" t="n">
        <v/>
      </c>
      <c r="D3800" t="inlineStr">
        <is>
          <t>Media file</t>
        </is>
      </c>
      <c r="E3800" t="inlineStr">
        <is>
          <t>player #1:WT\test\c52m2.mp4</t>
        </is>
      </c>
      <c r="F3800" t="n">
        <v>-16.8</v>
      </c>
      <c r="G3800" t="n">
        <v>537.766</v>
      </c>
      <c r="H3800" t="n">
        <v>632.599</v>
      </c>
      <c r="I3800" t="n">
        <v>30</v>
      </c>
      <c r="J3800" t="inlineStr">
        <is>
          <t xml:space="preserve"> WT</t>
        </is>
      </c>
      <c r="K3800" t="inlineStr">
        <is>
          <t>Male</t>
        </is>
      </c>
      <c r="L3800" t="inlineStr">
        <is>
          <t>No focal subject</t>
        </is>
      </c>
      <c r="M3800" t="n">
        <v>40.798</v>
      </c>
      <c r="N3800" t="inlineStr">
        <is>
          <t>Explore_F</t>
        </is>
      </c>
      <c r="O3800" t="inlineStr">
        <is>
          <t>Familiar</t>
        </is>
      </c>
      <c r="P3800" t="inlineStr">
        <is>
          <t>STATE</t>
        </is>
      </c>
      <c r="Q3800" t="n">
        <v>478.833</v>
      </c>
      <c r="R3800" t="n">
        <v>479.966</v>
      </c>
      <c r="S3800" t="n">
        <v>1.133</v>
      </c>
      <c r="T3800" t="inlineStr">
        <is>
          <t>WT\test\c52m2.mp4</t>
        </is>
      </c>
      <c r="U3800" t="n">
        <v>14853</v>
      </c>
      <c r="V3800" t="n">
        <v>14887</v>
      </c>
      <c r="W3800" t="n">
        <v/>
      </c>
      <c r="X3800" t="n">
        <v/>
      </c>
      <c r="Y3800" t="n">
        <v/>
      </c>
      <c r="Z3800" t="n">
        <v/>
      </c>
      <c r="AA3800">
        <f>SUMIFS($S$2:S3800,$A$2:A3800,A3800,$N$2:N3800,"Explore*")</f>
        <v/>
      </c>
      <c r="AB3800">
        <f>IF(AND(LEFT(N3800,7)="Explore",(AA3800-IF(LEFT(N3800,7)="Explore",S3800,0))&lt;10),"SI","NO")</f>
        <v/>
      </c>
    </row>
    <row r="3801">
      <c r="A3801" t="inlineStr">
        <is>
          <t>c52m2_test</t>
        </is>
      </c>
      <c r="B3801" t="inlineStr">
        <is>
          <t>2026-02-18 14:11:06.357</t>
        </is>
      </c>
      <c r="C3801" t="n">
        <v/>
      </c>
      <c r="D3801" t="inlineStr">
        <is>
          <t>Media file</t>
        </is>
      </c>
      <c r="E3801" t="inlineStr">
        <is>
          <t>player #1:WT\test\c52m2.mp4</t>
        </is>
      </c>
      <c r="F3801" t="n">
        <v>-16.8</v>
      </c>
      <c r="G3801" t="n">
        <v>537.766</v>
      </c>
      <c r="H3801" t="n">
        <v>632.599</v>
      </c>
      <c r="I3801" t="n">
        <v>30</v>
      </c>
      <c r="J3801" t="inlineStr">
        <is>
          <t xml:space="preserve"> WT</t>
        </is>
      </c>
      <c r="K3801" t="inlineStr">
        <is>
          <t>Male</t>
        </is>
      </c>
      <c r="L3801" t="inlineStr">
        <is>
          <t>No focal subject</t>
        </is>
      </c>
      <c r="M3801" t="n">
        <v>40.798</v>
      </c>
      <c r="N3801" t="inlineStr">
        <is>
          <t>Explore_F</t>
        </is>
      </c>
      <c r="O3801" t="inlineStr">
        <is>
          <t>Familiar</t>
        </is>
      </c>
      <c r="P3801" t="inlineStr">
        <is>
          <t>STATE</t>
        </is>
      </c>
      <c r="Q3801" t="n">
        <v>485.366</v>
      </c>
      <c r="R3801" t="n">
        <v>486.099</v>
      </c>
      <c r="S3801" t="n">
        <v>0.733</v>
      </c>
      <c r="T3801" t="inlineStr">
        <is>
          <t>WT\test\c52m2.mp4</t>
        </is>
      </c>
      <c r="U3801" t="n">
        <v>15049</v>
      </c>
      <c r="V3801" t="n">
        <v>15071</v>
      </c>
      <c r="W3801" t="n">
        <v/>
      </c>
      <c r="X3801" t="n">
        <v/>
      </c>
      <c r="Y3801" t="n">
        <v/>
      </c>
      <c r="Z3801" t="n">
        <v/>
      </c>
      <c r="AA3801">
        <f>SUMIFS($S$2:S3801,$A$2:A3801,A3801,$N$2:N3801,"Explore*")</f>
        <v/>
      </c>
      <c r="AB3801">
        <f>IF(AND(LEFT(N3801,7)="Explore",(AA3801-IF(LEFT(N3801,7)="Explore",S3801,0))&lt;10),"SI","NO")</f>
        <v/>
      </c>
    </row>
    <row r="3802">
      <c r="A3802" t="inlineStr">
        <is>
          <t>c52m2_test</t>
        </is>
      </c>
      <c r="B3802" t="inlineStr">
        <is>
          <t>2026-02-18 14:11:06.357</t>
        </is>
      </c>
      <c r="C3802" t="n">
        <v/>
      </c>
      <c r="D3802" t="inlineStr">
        <is>
          <t>Media file</t>
        </is>
      </c>
      <c r="E3802" t="inlineStr">
        <is>
          <t>player #1:WT\test\c52m2.mp4</t>
        </is>
      </c>
      <c r="F3802" t="n">
        <v>-16.8</v>
      </c>
      <c r="G3802" t="n">
        <v>537.766</v>
      </c>
      <c r="H3802" t="n">
        <v>632.599</v>
      </c>
      <c r="I3802" t="n">
        <v>30</v>
      </c>
      <c r="J3802" t="inlineStr">
        <is>
          <t xml:space="preserve"> WT</t>
        </is>
      </c>
      <c r="K3802" t="inlineStr">
        <is>
          <t>Male</t>
        </is>
      </c>
      <c r="L3802" t="inlineStr">
        <is>
          <t>No focal subject</t>
        </is>
      </c>
      <c r="M3802" t="n">
        <v>40.798</v>
      </c>
      <c r="N3802" t="inlineStr">
        <is>
          <t>Explore_N</t>
        </is>
      </c>
      <c r="O3802" t="inlineStr">
        <is>
          <t>Novelty</t>
        </is>
      </c>
      <c r="P3802" t="inlineStr">
        <is>
          <t>STATE</t>
        </is>
      </c>
      <c r="Q3802" t="n">
        <v>531.399</v>
      </c>
      <c r="R3802" t="n">
        <v>531.766</v>
      </c>
      <c r="S3802" t="n">
        <v>0.367</v>
      </c>
      <c r="T3802" t="inlineStr">
        <is>
          <t>WT\test\c52m2.mp4</t>
        </is>
      </c>
      <c r="U3802" t="n">
        <v>16428</v>
      </c>
      <c r="V3802" t="n">
        <v>16439</v>
      </c>
      <c r="W3802" t="n">
        <v/>
      </c>
      <c r="X3802" t="n">
        <v/>
      </c>
      <c r="Y3802" t="n">
        <v/>
      </c>
      <c r="Z3802" t="n">
        <v/>
      </c>
      <c r="AA3802">
        <f>SUMIFS($S$2:S3802,$A$2:A3802,A3802,$N$2:N3802,"Explore*")</f>
        <v/>
      </c>
      <c r="AB3802">
        <f>IF(AND(LEFT(N3802,7)="Explore",(AA3802-IF(LEFT(N3802,7)="Explore",S3802,0))&lt;10),"SI","NO")</f>
        <v/>
      </c>
    </row>
    <row r="3803">
      <c r="A3803" t="inlineStr">
        <is>
          <t>c52m2_test</t>
        </is>
      </c>
      <c r="B3803" t="inlineStr">
        <is>
          <t>2026-02-18 14:11:06.357</t>
        </is>
      </c>
      <c r="C3803" t="n">
        <v/>
      </c>
      <c r="D3803" t="inlineStr">
        <is>
          <t>Media file</t>
        </is>
      </c>
      <c r="E3803" t="inlineStr">
        <is>
          <t>player #1:WT\test\c52m2.mp4</t>
        </is>
      </c>
      <c r="F3803" t="n">
        <v>-16.8</v>
      </c>
      <c r="G3803" t="n">
        <v>537.766</v>
      </c>
      <c r="H3803" t="n">
        <v>632.599</v>
      </c>
      <c r="I3803" t="n">
        <v>30</v>
      </c>
      <c r="J3803" t="inlineStr">
        <is>
          <t xml:space="preserve"> WT</t>
        </is>
      </c>
      <c r="K3803" t="inlineStr">
        <is>
          <t>Male</t>
        </is>
      </c>
      <c r="L3803" t="inlineStr">
        <is>
          <t>No focal subject</t>
        </is>
      </c>
      <c r="M3803" t="n">
        <v>40.798</v>
      </c>
      <c r="N3803" t="inlineStr">
        <is>
          <t>Explore_F</t>
        </is>
      </c>
      <c r="O3803" t="inlineStr">
        <is>
          <t>Familiar</t>
        </is>
      </c>
      <c r="P3803" t="inlineStr">
        <is>
          <t>STATE</t>
        </is>
      </c>
      <c r="Q3803" t="n">
        <v>547.566</v>
      </c>
      <c r="R3803" t="n">
        <v>547.933</v>
      </c>
      <c r="S3803" t="n">
        <v>0.367</v>
      </c>
      <c r="T3803" t="inlineStr">
        <is>
          <t>WT\test\c52m2.mp4</t>
        </is>
      </c>
      <c r="U3803" t="n">
        <v>16913</v>
      </c>
      <c r="V3803" t="n">
        <v>16924</v>
      </c>
      <c r="W3803" t="n">
        <v/>
      </c>
      <c r="X3803" t="n">
        <v/>
      </c>
      <c r="Y3803" t="n">
        <v/>
      </c>
      <c r="Z3803" t="n">
        <v/>
      </c>
      <c r="AA3803">
        <f>SUMIFS($S$2:S3803,$A$2:A3803,A3803,$N$2:N3803,"Explore*")</f>
        <v/>
      </c>
      <c r="AB3803">
        <f>IF(AND(LEFT(N3803,7)="Explore",(AA3803-IF(LEFT(N3803,7)="Explore",S3803,0))&lt;10),"SI","NO")</f>
        <v/>
      </c>
    </row>
    <row r="3804">
      <c r="A3804" t="inlineStr">
        <is>
          <t>c53f1_test</t>
        </is>
      </c>
      <c r="B3804" t="inlineStr">
        <is>
          <t>2026-02-18 14:18:37.136</t>
        </is>
      </c>
      <c r="C3804" t="n">
        <v/>
      </c>
      <c r="D3804" t="inlineStr">
        <is>
          <t>Media file</t>
        </is>
      </c>
      <c r="E3804" t="inlineStr">
        <is>
          <t>player #1:WT\test\c53f1.mp4</t>
        </is>
      </c>
      <c r="F3804" t="n">
        <v>-17.6</v>
      </c>
      <c r="G3804" t="n">
        <v>562.966</v>
      </c>
      <c r="H3804" t="n">
        <v>638.833</v>
      </c>
      <c r="I3804" t="n">
        <v>30</v>
      </c>
      <c r="J3804" t="inlineStr">
        <is>
          <t xml:space="preserve"> WT</t>
        </is>
      </c>
      <c r="K3804" t="inlineStr">
        <is>
          <t xml:space="preserve"> Female</t>
        </is>
      </c>
      <c r="L3804" t="inlineStr">
        <is>
          <t>No focal subject</t>
        </is>
      </c>
      <c r="M3804" t="n">
        <v>36.032</v>
      </c>
      <c r="N3804" t="inlineStr">
        <is>
          <t>Explore_F</t>
        </is>
      </c>
      <c r="O3804" t="inlineStr">
        <is>
          <t>Familiar</t>
        </is>
      </c>
      <c r="P3804" t="inlineStr">
        <is>
          <t>STATE</t>
        </is>
      </c>
      <c r="Q3804" t="n">
        <v>14.933</v>
      </c>
      <c r="R3804" t="n">
        <v>15.233</v>
      </c>
      <c r="S3804" t="n">
        <v>0.3</v>
      </c>
      <c r="T3804" t="inlineStr">
        <is>
          <t>WT\test\c53f1.mp4</t>
        </is>
      </c>
      <c r="U3804" t="n">
        <v>448</v>
      </c>
      <c r="V3804" t="n">
        <v>457</v>
      </c>
      <c r="W3804" t="n">
        <v/>
      </c>
      <c r="X3804" t="n">
        <v/>
      </c>
      <c r="Y3804" t="n">
        <v/>
      </c>
      <c r="Z3804" t="n">
        <v/>
      </c>
      <c r="AA3804">
        <f>SUMIFS($S$2:S3804,$A$2:A3804,A3804,$N$2:N3804,"Explore*")</f>
        <v/>
      </c>
      <c r="AB3804">
        <f>IF(AND(LEFT(N3804,7)="Explore",(AA3804-IF(LEFT(N3804,7)="Explore",S3804,0))&lt;10),"SI","NO")</f>
        <v/>
      </c>
    </row>
    <row r="3805">
      <c r="A3805" t="inlineStr">
        <is>
          <t>c53f1_test</t>
        </is>
      </c>
      <c r="B3805" t="inlineStr">
        <is>
          <t>2026-02-18 14:18:37.136</t>
        </is>
      </c>
      <c r="C3805" t="n">
        <v/>
      </c>
      <c r="D3805" t="inlineStr">
        <is>
          <t>Media file</t>
        </is>
      </c>
      <c r="E3805" t="inlineStr">
        <is>
          <t>player #1:WT\test\c53f1.mp4</t>
        </is>
      </c>
      <c r="F3805" t="n">
        <v>-17.6</v>
      </c>
      <c r="G3805" t="n">
        <v>562.966</v>
      </c>
      <c r="H3805" t="n">
        <v>638.833</v>
      </c>
      <c r="I3805" t="n">
        <v>30</v>
      </c>
      <c r="J3805" t="inlineStr">
        <is>
          <t xml:space="preserve"> WT</t>
        </is>
      </c>
      <c r="K3805" t="inlineStr">
        <is>
          <t xml:space="preserve"> Female</t>
        </is>
      </c>
      <c r="L3805" t="inlineStr">
        <is>
          <t>No focal subject</t>
        </is>
      </c>
      <c r="M3805" t="n">
        <v>36.032</v>
      </c>
      <c r="N3805" t="inlineStr">
        <is>
          <t>Explore_F</t>
        </is>
      </c>
      <c r="O3805" t="inlineStr">
        <is>
          <t>Familiar</t>
        </is>
      </c>
      <c r="P3805" t="inlineStr">
        <is>
          <t>STATE</t>
        </is>
      </c>
      <c r="Q3805" t="n">
        <v>33.6</v>
      </c>
      <c r="R3805" t="n">
        <v>33.833</v>
      </c>
      <c r="S3805" t="n">
        <v>0.233</v>
      </c>
      <c r="T3805" t="inlineStr">
        <is>
          <t>WT\test\c53f1.mp4</t>
        </is>
      </c>
      <c r="U3805" t="n">
        <v>1008</v>
      </c>
      <c r="V3805" t="n">
        <v>1015</v>
      </c>
      <c r="W3805" t="n">
        <v/>
      </c>
      <c r="X3805" t="n">
        <v/>
      </c>
      <c r="Y3805" t="n">
        <v/>
      </c>
      <c r="Z3805" t="n">
        <v/>
      </c>
      <c r="AA3805">
        <f>SUMIFS($S$2:S3805,$A$2:A3805,A3805,$N$2:N3805,"Explore*")</f>
        <v/>
      </c>
      <c r="AB3805">
        <f>IF(AND(LEFT(N3805,7)="Explore",(AA3805-IF(LEFT(N3805,7)="Explore",S3805,0))&lt;10),"SI","NO")</f>
        <v/>
      </c>
    </row>
    <row r="3806">
      <c r="A3806" t="inlineStr">
        <is>
          <t>c53f1_test</t>
        </is>
      </c>
      <c r="B3806" t="inlineStr">
        <is>
          <t>2026-02-18 14:18:37.136</t>
        </is>
      </c>
      <c r="C3806" t="n">
        <v/>
      </c>
      <c r="D3806" t="inlineStr">
        <is>
          <t>Media file</t>
        </is>
      </c>
      <c r="E3806" t="inlineStr">
        <is>
          <t>player #1:WT\test\c53f1.mp4</t>
        </is>
      </c>
      <c r="F3806" t="n">
        <v>-17.6</v>
      </c>
      <c r="G3806" t="n">
        <v>562.966</v>
      </c>
      <c r="H3806" t="n">
        <v>638.833</v>
      </c>
      <c r="I3806" t="n">
        <v>30</v>
      </c>
      <c r="J3806" t="inlineStr">
        <is>
          <t xml:space="preserve"> WT</t>
        </is>
      </c>
      <c r="K3806" t="inlineStr">
        <is>
          <t xml:space="preserve"> Female</t>
        </is>
      </c>
      <c r="L3806" t="inlineStr">
        <is>
          <t>No focal subject</t>
        </is>
      </c>
      <c r="M3806" t="n">
        <v>36.032</v>
      </c>
      <c r="N3806" t="inlineStr">
        <is>
          <t>Explore_N</t>
        </is>
      </c>
      <c r="O3806" t="inlineStr">
        <is>
          <t>Novelty</t>
        </is>
      </c>
      <c r="P3806" t="inlineStr">
        <is>
          <t>STATE</t>
        </is>
      </c>
      <c r="Q3806" t="n">
        <v>60.8</v>
      </c>
      <c r="R3806" t="n">
        <v>61.2</v>
      </c>
      <c r="S3806" t="n">
        <v>0.4</v>
      </c>
      <c r="T3806" t="inlineStr">
        <is>
          <t>WT\test\c53f1.mp4</t>
        </is>
      </c>
      <c r="U3806" t="n">
        <v>1823</v>
      </c>
      <c r="V3806" t="n">
        <v>1835</v>
      </c>
      <c r="W3806" t="n">
        <v/>
      </c>
      <c r="X3806" t="n">
        <v/>
      </c>
      <c r="Y3806" t="n">
        <v/>
      </c>
      <c r="Z3806" t="n">
        <v/>
      </c>
      <c r="AA3806">
        <f>SUMIFS($S$2:S3806,$A$2:A3806,A3806,$N$2:N3806,"Explore*")</f>
        <v/>
      </c>
      <c r="AB3806">
        <f>IF(AND(LEFT(N3806,7)="Explore",(AA3806-IF(LEFT(N3806,7)="Explore",S3806,0))&lt;10),"SI","NO")</f>
        <v/>
      </c>
    </row>
    <row r="3807">
      <c r="A3807" t="inlineStr">
        <is>
          <t>c53f1_test</t>
        </is>
      </c>
      <c r="B3807" t="inlineStr">
        <is>
          <t>2026-02-18 14:18:37.136</t>
        </is>
      </c>
      <c r="C3807" t="n">
        <v/>
      </c>
      <c r="D3807" t="inlineStr">
        <is>
          <t>Media file</t>
        </is>
      </c>
      <c r="E3807" t="inlineStr">
        <is>
          <t>player #1:WT\test\c53f1.mp4</t>
        </is>
      </c>
      <c r="F3807" t="n">
        <v>-17.6</v>
      </c>
      <c r="G3807" t="n">
        <v>562.966</v>
      </c>
      <c r="H3807" t="n">
        <v>638.833</v>
      </c>
      <c r="I3807" t="n">
        <v>30</v>
      </c>
      <c r="J3807" t="inlineStr">
        <is>
          <t xml:space="preserve"> WT</t>
        </is>
      </c>
      <c r="K3807" t="inlineStr">
        <is>
          <t xml:space="preserve"> Female</t>
        </is>
      </c>
      <c r="L3807" t="inlineStr">
        <is>
          <t>No focal subject</t>
        </is>
      </c>
      <c r="M3807" t="n">
        <v>36.032</v>
      </c>
      <c r="N3807" t="inlineStr">
        <is>
          <t>Explore_F</t>
        </is>
      </c>
      <c r="O3807" t="inlineStr">
        <is>
          <t>Familiar</t>
        </is>
      </c>
      <c r="P3807" t="inlineStr">
        <is>
          <t>STATE</t>
        </is>
      </c>
      <c r="Q3807" t="n">
        <v>77.867</v>
      </c>
      <c r="R3807" t="n">
        <v>78.43300000000001</v>
      </c>
      <c r="S3807" t="n">
        <v>0.5659999999999999</v>
      </c>
      <c r="T3807" t="inlineStr">
        <is>
          <t>WT\test\c53f1.mp4</t>
        </is>
      </c>
      <c r="U3807" t="n">
        <v>2335</v>
      </c>
      <c r="V3807" t="n">
        <v>2352</v>
      </c>
      <c r="W3807" t="n">
        <v/>
      </c>
      <c r="X3807" t="n">
        <v/>
      </c>
      <c r="Y3807" t="n">
        <v/>
      </c>
      <c r="Z3807" t="n">
        <v/>
      </c>
      <c r="AA3807">
        <f>SUMIFS($S$2:S3807,$A$2:A3807,A3807,$N$2:N3807,"Explore*")</f>
        <v/>
      </c>
      <c r="AB3807">
        <f>IF(AND(LEFT(N3807,7)="Explore",(AA3807-IF(LEFT(N3807,7)="Explore",S3807,0))&lt;10),"SI","NO")</f>
        <v/>
      </c>
    </row>
    <row r="3808">
      <c r="A3808" t="inlineStr">
        <is>
          <t>c53f1_test</t>
        </is>
      </c>
      <c r="B3808" t="inlineStr">
        <is>
          <t>2026-02-18 14:18:37.136</t>
        </is>
      </c>
      <c r="C3808" t="n">
        <v/>
      </c>
      <c r="D3808" t="inlineStr">
        <is>
          <t>Media file</t>
        </is>
      </c>
      <c r="E3808" t="inlineStr">
        <is>
          <t>player #1:WT\test\c53f1.mp4</t>
        </is>
      </c>
      <c r="F3808" t="n">
        <v>-17.6</v>
      </c>
      <c r="G3808" t="n">
        <v>562.966</v>
      </c>
      <c r="H3808" t="n">
        <v>638.833</v>
      </c>
      <c r="I3808" t="n">
        <v>30</v>
      </c>
      <c r="J3808" t="inlineStr">
        <is>
          <t xml:space="preserve"> WT</t>
        </is>
      </c>
      <c r="K3808" t="inlineStr">
        <is>
          <t xml:space="preserve"> Female</t>
        </is>
      </c>
      <c r="L3808" t="inlineStr">
        <is>
          <t>No focal subject</t>
        </is>
      </c>
      <c r="M3808" t="n">
        <v>36.032</v>
      </c>
      <c r="N3808" t="inlineStr">
        <is>
          <t>Explore_N</t>
        </is>
      </c>
      <c r="O3808" t="inlineStr">
        <is>
          <t>Novelty</t>
        </is>
      </c>
      <c r="P3808" t="inlineStr">
        <is>
          <t>STATE</t>
        </is>
      </c>
      <c r="Q3808" t="n">
        <v>79.167</v>
      </c>
      <c r="R3808" t="n">
        <v>79.367</v>
      </c>
      <c r="S3808" t="n">
        <v>0.2</v>
      </c>
      <c r="T3808" t="inlineStr">
        <is>
          <t>WT\test\c53f1.mp4</t>
        </is>
      </c>
      <c r="U3808" t="n">
        <v>2374</v>
      </c>
      <c r="V3808" t="n">
        <v>2380</v>
      </c>
      <c r="W3808" t="n">
        <v/>
      </c>
      <c r="X3808" t="n">
        <v/>
      </c>
      <c r="Y3808" t="n">
        <v/>
      </c>
      <c r="Z3808" t="n">
        <v/>
      </c>
      <c r="AA3808">
        <f>SUMIFS($S$2:S3808,$A$2:A3808,A3808,$N$2:N3808,"Explore*")</f>
        <v/>
      </c>
      <c r="AB3808">
        <f>IF(AND(LEFT(N3808,7)="Explore",(AA3808-IF(LEFT(N3808,7)="Explore",S3808,0))&lt;10),"SI","NO")</f>
        <v/>
      </c>
    </row>
    <row r="3809">
      <c r="A3809" t="inlineStr">
        <is>
          <t>c53f1_test</t>
        </is>
      </c>
      <c r="B3809" t="inlineStr">
        <is>
          <t>2026-02-18 14:18:37.136</t>
        </is>
      </c>
      <c r="C3809" t="n">
        <v/>
      </c>
      <c r="D3809" t="inlineStr">
        <is>
          <t>Media file</t>
        </is>
      </c>
      <c r="E3809" t="inlineStr">
        <is>
          <t>player #1:WT\test\c53f1.mp4</t>
        </is>
      </c>
      <c r="F3809" t="n">
        <v>-17.6</v>
      </c>
      <c r="G3809" t="n">
        <v>562.966</v>
      </c>
      <c r="H3809" t="n">
        <v>638.833</v>
      </c>
      <c r="I3809" t="n">
        <v>30</v>
      </c>
      <c r="J3809" t="inlineStr">
        <is>
          <t xml:space="preserve"> WT</t>
        </is>
      </c>
      <c r="K3809" t="inlineStr">
        <is>
          <t xml:space="preserve"> Female</t>
        </is>
      </c>
      <c r="L3809" t="inlineStr">
        <is>
          <t>No focal subject</t>
        </is>
      </c>
      <c r="M3809" t="n">
        <v>36.032</v>
      </c>
      <c r="N3809" t="inlineStr">
        <is>
          <t>Explore_N</t>
        </is>
      </c>
      <c r="O3809" t="inlineStr">
        <is>
          <t>Novelty</t>
        </is>
      </c>
      <c r="P3809" t="inlineStr">
        <is>
          <t>STATE</t>
        </is>
      </c>
      <c r="Q3809" t="n">
        <v>101.767</v>
      </c>
      <c r="R3809" t="n">
        <v>102.3</v>
      </c>
      <c r="S3809" t="n">
        <v>0.533</v>
      </c>
      <c r="T3809" t="inlineStr">
        <is>
          <t>WT\test\c53f1.mp4</t>
        </is>
      </c>
      <c r="U3809" t="n">
        <v>3052</v>
      </c>
      <c r="V3809" t="n">
        <v>3068</v>
      </c>
      <c r="W3809" t="n">
        <v/>
      </c>
      <c r="X3809" t="n">
        <v/>
      </c>
      <c r="Y3809" t="n">
        <v/>
      </c>
      <c r="Z3809" t="n">
        <v/>
      </c>
      <c r="AA3809">
        <f>SUMIFS($S$2:S3809,$A$2:A3809,A3809,$N$2:N3809,"Explore*")</f>
        <v/>
      </c>
      <c r="AB3809">
        <f>IF(AND(LEFT(N3809,7)="Explore",(AA3809-IF(LEFT(N3809,7)="Explore",S3809,0))&lt;10),"SI","NO")</f>
        <v/>
      </c>
    </row>
    <row r="3810">
      <c r="A3810" t="inlineStr">
        <is>
          <t>c53f1_test</t>
        </is>
      </c>
      <c r="B3810" t="inlineStr">
        <is>
          <t>2026-02-18 14:18:37.136</t>
        </is>
      </c>
      <c r="C3810" t="n">
        <v/>
      </c>
      <c r="D3810" t="inlineStr">
        <is>
          <t>Media file</t>
        </is>
      </c>
      <c r="E3810" t="inlineStr">
        <is>
          <t>player #1:WT\test\c53f1.mp4</t>
        </is>
      </c>
      <c r="F3810" t="n">
        <v>-17.6</v>
      </c>
      <c r="G3810" t="n">
        <v>562.966</v>
      </c>
      <c r="H3810" t="n">
        <v>638.833</v>
      </c>
      <c r="I3810" t="n">
        <v>30</v>
      </c>
      <c r="J3810" t="inlineStr">
        <is>
          <t xml:space="preserve"> WT</t>
        </is>
      </c>
      <c r="K3810" t="inlineStr">
        <is>
          <t xml:space="preserve"> Female</t>
        </is>
      </c>
      <c r="L3810" t="inlineStr">
        <is>
          <t>No focal subject</t>
        </is>
      </c>
      <c r="M3810" t="n">
        <v>36.032</v>
      </c>
      <c r="N3810" t="inlineStr">
        <is>
          <t>Explore_N</t>
        </is>
      </c>
      <c r="O3810" t="inlineStr">
        <is>
          <t>Novelty</t>
        </is>
      </c>
      <c r="P3810" t="inlineStr">
        <is>
          <t>STATE</t>
        </is>
      </c>
      <c r="Q3810" t="n">
        <v>102.833</v>
      </c>
      <c r="R3810" t="n">
        <v>103.067</v>
      </c>
      <c r="S3810" t="n">
        <v>0.234</v>
      </c>
      <c r="T3810" t="inlineStr">
        <is>
          <t>WT\test\c53f1.mp4</t>
        </is>
      </c>
      <c r="U3810" t="n">
        <v>3084</v>
      </c>
      <c r="V3810" t="n">
        <v>3091</v>
      </c>
      <c r="W3810" t="n">
        <v/>
      </c>
      <c r="X3810" t="n">
        <v/>
      </c>
      <c r="Y3810" t="n">
        <v/>
      </c>
      <c r="Z3810" t="n">
        <v/>
      </c>
      <c r="AA3810">
        <f>SUMIFS($S$2:S3810,$A$2:A3810,A3810,$N$2:N3810,"Explore*")</f>
        <v/>
      </c>
      <c r="AB3810">
        <f>IF(AND(LEFT(N3810,7)="Explore",(AA3810-IF(LEFT(N3810,7)="Explore",S3810,0))&lt;10),"SI","NO")</f>
        <v/>
      </c>
    </row>
    <row r="3811">
      <c r="A3811" t="inlineStr">
        <is>
          <t>c53f1_test</t>
        </is>
      </c>
      <c r="B3811" t="inlineStr">
        <is>
          <t>2026-02-18 14:18:37.136</t>
        </is>
      </c>
      <c r="C3811" t="n">
        <v/>
      </c>
      <c r="D3811" t="inlineStr">
        <is>
          <t>Media file</t>
        </is>
      </c>
      <c r="E3811" t="inlineStr">
        <is>
          <t>player #1:WT\test\c53f1.mp4</t>
        </is>
      </c>
      <c r="F3811" t="n">
        <v>-17.6</v>
      </c>
      <c r="G3811" t="n">
        <v>562.966</v>
      </c>
      <c r="H3811" t="n">
        <v>638.833</v>
      </c>
      <c r="I3811" t="n">
        <v>30</v>
      </c>
      <c r="J3811" t="inlineStr">
        <is>
          <t xml:space="preserve"> WT</t>
        </is>
      </c>
      <c r="K3811" t="inlineStr">
        <is>
          <t xml:space="preserve"> Female</t>
        </is>
      </c>
      <c r="L3811" t="inlineStr">
        <is>
          <t>No focal subject</t>
        </is>
      </c>
      <c r="M3811" t="n">
        <v>36.032</v>
      </c>
      <c r="N3811" t="inlineStr">
        <is>
          <t>Explore_F</t>
        </is>
      </c>
      <c r="O3811" t="inlineStr">
        <is>
          <t>Familiar</t>
        </is>
      </c>
      <c r="P3811" t="inlineStr">
        <is>
          <t>STATE</t>
        </is>
      </c>
      <c r="Q3811" t="n">
        <v>107.067</v>
      </c>
      <c r="R3811" t="n">
        <v>107.367</v>
      </c>
      <c r="S3811" t="n">
        <v>0.3</v>
      </c>
      <c r="T3811" t="inlineStr">
        <is>
          <t>WT\test\c53f1.mp4</t>
        </is>
      </c>
      <c r="U3811" t="n">
        <v>3211</v>
      </c>
      <c r="V3811" t="n">
        <v>3220</v>
      </c>
      <c r="W3811" t="n">
        <v/>
      </c>
      <c r="X3811" t="n">
        <v/>
      </c>
      <c r="Y3811" t="n">
        <v/>
      </c>
      <c r="Z3811" t="n">
        <v/>
      </c>
      <c r="AA3811">
        <f>SUMIFS($S$2:S3811,$A$2:A3811,A3811,$N$2:N3811,"Explore*")</f>
        <v/>
      </c>
      <c r="AB3811">
        <f>IF(AND(LEFT(N3811,7)="Explore",(AA3811-IF(LEFT(N3811,7)="Explore",S3811,0))&lt;10),"SI","NO")</f>
        <v/>
      </c>
    </row>
    <row r="3812">
      <c r="A3812" t="inlineStr">
        <is>
          <t>c53f1_test</t>
        </is>
      </c>
      <c r="B3812" t="inlineStr">
        <is>
          <t>2026-02-18 14:18:37.136</t>
        </is>
      </c>
      <c r="C3812" t="n">
        <v/>
      </c>
      <c r="D3812" t="inlineStr">
        <is>
          <t>Media file</t>
        </is>
      </c>
      <c r="E3812" t="inlineStr">
        <is>
          <t>player #1:WT\test\c53f1.mp4</t>
        </is>
      </c>
      <c r="F3812" t="n">
        <v>-17.6</v>
      </c>
      <c r="G3812" t="n">
        <v>562.966</v>
      </c>
      <c r="H3812" t="n">
        <v>638.833</v>
      </c>
      <c r="I3812" t="n">
        <v>30</v>
      </c>
      <c r="J3812" t="inlineStr">
        <is>
          <t xml:space="preserve"> WT</t>
        </is>
      </c>
      <c r="K3812" t="inlineStr">
        <is>
          <t xml:space="preserve"> Female</t>
        </is>
      </c>
      <c r="L3812" t="inlineStr">
        <is>
          <t>No focal subject</t>
        </is>
      </c>
      <c r="M3812" t="n">
        <v>36.032</v>
      </c>
      <c r="N3812" t="inlineStr">
        <is>
          <t>Explore_N</t>
        </is>
      </c>
      <c r="O3812" t="inlineStr">
        <is>
          <t>Novelty</t>
        </is>
      </c>
      <c r="P3812" t="inlineStr">
        <is>
          <t>STATE</t>
        </is>
      </c>
      <c r="Q3812" t="n">
        <v>122.967</v>
      </c>
      <c r="R3812" t="n">
        <v>123.667</v>
      </c>
      <c r="S3812" t="n">
        <v>0.7</v>
      </c>
      <c r="T3812" t="inlineStr">
        <is>
          <t>WT\test\c53f1.mp4</t>
        </is>
      </c>
      <c r="U3812" t="n">
        <v>3688</v>
      </c>
      <c r="V3812" t="n">
        <v>3709</v>
      </c>
      <c r="W3812" t="n">
        <v/>
      </c>
      <c r="X3812" t="n">
        <v/>
      </c>
      <c r="Y3812" t="n">
        <v/>
      </c>
      <c r="Z3812" t="n">
        <v/>
      </c>
      <c r="AA3812">
        <f>SUMIFS($S$2:S3812,$A$2:A3812,A3812,$N$2:N3812,"Explore*")</f>
        <v/>
      </c>
      <c r="AB3812">
        <f>IF(AND(LEFT(N3812,7)="Explore",(AA3812-IF(LEFT(N3812,7)="Explore",S3812,0))&lt;10),"SI","NO")</f>
        <v/>
      </c>
    </row>
    <row r="3813">
      <c r="A3813" t="inlineStr">
        <is>
          <t>c53f1_test</t>
        </is>
      </c>
      <c r="B3813" t="inlineStr">
        <is>
          <t>2026-02-18 14:18:37.136</t>
        </is>
      </c>
      <c r="C3813" t="n">
        <v/>
      </c>
      <c r="D3813" t="inlineStr">
        <is>
          <t>Media file</t>
        </is>
      </c>
      <c r="E3813" t="inlineStr">
        <is>
          <t>player #1:WT\test\c53f1.mp4</t>
        </is>
      </c>
      <c r="F3813" t="n">
        <v>-17.6</v>
      </c>
      <c r="G3813" t="n">
        <v>562.966</v>
      </c>
      <c r="H3813" t="n">
        <v>638.833</v>
      </c>
      <c r="I3813" t="n">
        <v>30</v>
      </c>
      <c r="J3813" t="inlineStr">
        <is>
          <t xml:space="preserve"> WT</t>
        </is>
      </c>
      <c r="K3813" t="inlineStr">
        <is>
          <t xml:space="preserve"> Female</t>
        </is>
      </c>
      <c r="L3813" t="inlineStr">
        <is>
          <t>No focal subject</t>
        </is>
      </c>
      <c r="M3813" t="n">
        <v>36.032</v>
      </c>
      <c r="N3813" t="inlineStr">
        <is>
          <t>Explore_N</t>
        </is>
      </c>
      <c r="O3813" t="inlineStr">
        <is>
          <t>Novelty</t>
        </is>
      </c>
      <c r="P3813" t="inlineStr">
        <is>
          <t>STATE</t>
        </is>
      </c>
      <c r="Q3813" t="n">
        <v>179.666</v>
      </c>
      <c r="R3813" t="n">
        <v>180.1</v>
      </c>
      <c r="S3813" t="n">
        <v>0.434</v>
      </c>
      <c r="T3813" t="inlineStr">
        <is>
          <t>WT\test\c53f1.mp4</t>
        </is>
      </c>
      <c r="U3813" t="n">
        <v>5388</v>
      </c>
      <c r="V3813" t="n">
        <v>5401</v>
      </c>
      <c r="W3813" t="n">
        <v/>
      </c>
      <c r="X3813" t="n">
        <v/>
      </c>
      <c r="Y3813" t="n">
        <v/>
      </c>
      <c r="Z3813" t="n">
        <v/>
      </c>
      <c r="AA3813">
        <f>SUMIFS($S$2:S3813,$A$2:A3813,A3813,$N$2:N3813,"Explore*")</f>
        <v/>
      </c>
      <c r="AB3813">
        <f>IF(AND(LEFT(N3813,7)="Explore",(AA3813-IF(LEFT(N3813,7)="Explore",S3813,0))&lt;10),"SI","NO")</f>
        <v/>
      </c>
    </row>
    <row r="3814">
      <c r="A3814" t="inlineStr">
        <is>
          <t>c53f1_test</t>
        </is>
      </c>
      <c r="B3814" t="inlineStr">
        <is>
          <t>2026-02-18 14:18:37.136</t>
        </is>
      </c>
      <c r="C3814" t="n">
        <v/>
      </c>
      <c r="D3814" t="inlineStr">
        <is>
          <t>Media file</t>
        </is>
      </c>
      <c r="E3814" t="inlineStr">
        <is>
          <t>player #1:WT\test\c53f1.mp4</t>
        </is>
      </c>
      <c r="F3814" t="n">
        <v>-17.6</v>
      </c>
      <c r="G3814" t="n">
        <v>562.966</v>
      </c>
      <c r="H3814" t="n">
        <v>638.833</v>
      </c>
      <c r="I3814" t="n">
        <v>30</v>
      </c>
      <c r="J3814" t="inlineStr">
        <is>
          <t xml:space="preserve"> WT</t>
        </is>
      </c>
      <c r="K3814" t="inlineStr">
        <is>
          <t xml:space="preserve"> Female</t>
        </is>
      </c>
      <c r="L3814" t="inlineStr">
        <is>
          <t>No focal subject</t>
        </is>
      </c>
      <c r="M3814" t="n">
        <v>36.032</v>
      </c>
      <c r="N3814" t="inlineStr">
        <is>
          <t>Explore_F</t>
        </is>
      </c>
      <c r="O3814" t="inlineStr">
        <is>
          <t>Familiar</t>
        </is>
      </c>
      <c r="P3814" t="inlineStr">
        <is>
          <t>STATE</t>
        </is>
      </c>
      <c r="Q3814" t="n">
        <v>195.4</v>
      </c>
      <c r="R3814" t="n">
        <v>195.966</v>
      </c>
      <c r="S3814" t="n">
        <v>0.5659999999999999</v>
      </c>
      <c r="T3814" t="inlineStr">
        <is>
          <t>WT\test\c53f1.mp4</t>
        </is>
      </c>
      <c r="U3814" t="n">
        <v>5860</v>
      </c>
      <c r="V3814" t="n">
        <v>5877</v>
      </c>
      <c r="W3814" t="n">
        <v/>
      </c>
      <c r="X3814" t="n">
        <v/>
      </c>
      <c r="Y3814" t="n">
        <v/>
      </c>
      <c r="Z3814" t="n">
        <v/>
      </c>
      <c r="AA3814">
        <f>SUMIFS($S$2:S3814,$A$2:A3814,A3814,$N$2:N3814,"Explore*")</f>
        <v/>
      </c>
      <c r="AB3814">
        <f>IF(AND(LEFT(N3814,7)="Explore",(AA3814-IF(LEFT(N3814,7)="Explore",S3814,0))&lt;10),"SI","NO")</f>
        <v/>
      </c>
    </row>
    <row r="3815">
      <c r="A3815" t="inlineStr">
        <is>
          <t>c53f1_test</t>
        </is>
      </c>
      <c r="B3815" t="inlineStr">
        <is>
          <t>2026-02-18 14:18:37.136</t>
        </is>
      </c>
      <c r="C3815" t="n">
        <v/>
      </c>
      <c r="D3815" t="inlineStr">
        <is>
          <t>Media file</t>
        </is>
      </c>
      <c r="E3815" t="inlineStr">
        <is>
          <t>player #1:WT\test\c53f1.mp4</t>
        </is>
      </c>
      <c r="F3815" t="n">
        <v>-17.6</v>
      </c>
      <c r="G3815" t="n">
        <v>562.966</v>
      </c>
      <c r="H3815" t="n">
        <v>638.833</v>
      </c>
      <c r="I3815" t="n">
        <v>30</v>
      </c>
      <c r="J3815" t="inlineStr">
        <is>
          <t xml:space="preserve"> WT</t>
        </is>
      </c>
      <c r="K3815" t="inlineStr">
        <is>
          <t xml:space="preserve"> Female</t>
        </is>
      </c>
      <c r="L3815" t="inlineStr">
        <is>
          <t>No focal subject</t>
        </is>
      </c>
      <c r="M3815" t="n">
        <v>36.032</v>
      </c>
      <c r="N3815" t="inlineStr">
        <is>
          <t>Explore_F</t>
        </is>
      </c>
      <c r="O3815" t="inlineStr">
        <is>
          <t>Familiar</t>
        </is>
      </c>
      <c r="P3815" t="inlineStr">
        <is>
          <t>STATE</t>
        </is>
      </c>
      <c r="Q3815" t="n">
        <v>288.1</v>
      </c>
      <c r="R3815" t="n">
        <v>288.5</v>
      </c>
      <c r="S3815" t="n">
        <v>0.4</v>
      </c>
      <c r="T3815" t="inlineStr">
        <is>
          <t>WT\test\c53f1.mp4</t>
        </is>
      </c>
      <c r="U3815" t="n">
        <v>8640</v>
      </c>
      <c r="V3815" t="n">
        <v>8654</v>
      </c>
      <c r="W3815" t="n">
        <v/>
      </c>
      <c r="X3815" t="n">
        <v/>
      </c>
      <c r="Y3815" t="n">
        <v/>
      </c>
      <c r="Z3815" t="n">
        <v/>
      </c>
      <c r="AA3815">
        <f>SUMIFS($S$2:S3815,$A$2:A3815,A3815,$N$2:N3815,"Explore*")</f>
        <v/>
      </c>
      <c r="AB3815">
        <f>IF(AND(LEFT(N3815,7)="Explore",(AA3815-IF(LEFT(N3815,7)="Explore",S3815,0))&lt;10),"SI","NO")</f>
        <v/>
      </c>
    </row>
    <row r="3816">
      <c r="A3816" t="inlineStr">
        <is>
          <t>c53f1_test</t>
        </is>
      </c>
      <c r="B3816" t="inlineStr">
        <is>
          <t>2026-02-18 14:18:37.136</t>
        </is>
      </c>
      <c r="C3816" t="n">
        <v/>
      </c>
      <c r="D3816" t="inlineStr">
        <is>
          <t>Media file</t>
        </is>
      </c>
      <c r="E3816" t="inlineStr">
        <is>
          <t>player #1:WT\test\c53f1.mp4</t>
        </is>
      </c>
      <c r="F3816" t="n">
        <v>-17.6</v>
      </c>
      <c r="G3816" t="n">
        <v>562.966</v>
      </c>
      <c r="H3816" t="n">
        <v>638.833</v>
      </c>
      <c r="I3816" t="n">
        <v>30</v>
      </c>
      <c r="J3816" t="inlineStr">
        <is>
          <t xml:space="preserve"> WT</t>
        </is>
      </c>
      <c r="K3816" t="inlineStr">
        <is>
          <t xml:space="preserve"> Female</t>
        </is>
      </c>
      <c r="L3816" t="inlineStr">
        <is>
          <t>No focal subject</t>
        </is>
      </c>
      <c r="M3816" t="n">
        <v>36.032</v>
      </c>
      <c r="N3816" t="inlineStr">
        <is>
          <t>Explore_F</t>
        </is>
      </c>
      <c r="O3816" t="inlineStr">
        <is>
          <t>Familiar</t>
        </is>
      </c>
      <c r="P3816" t="inlineStr">
        <is>
          <t>STATE</t>
        </is>
      </c>
      <c r="Q3816" t="n">
        <v>289.133</v>
      </c>
      <c r="R3816" t="n">
        <v>289.333</v>
      </c>
      <c r="S3816" t="n">
        <v>0.2</v>
      </c>
      <c r="T3816" t="inlineStr">
        <is>
          <t>WT\test\c53f1.mp4</t>
        </is>
      </c>
      <c r="U3816" t="n">
        <v>8671</v>
      </c>
      <c r="V3816" t="n">
        <v>8677</v>
      </c>
      <c r="W3816" t="n">
        <v/>
      </c>
      <c r="X3816" t="n">
        <v/>
      </c>
      <c r="Y3816" t="n">
        <v/>
      </c>
      <c r="Z3816" t="n">
        <v/>
      </c>
      <c r="AA3816">
        <f>SUMIFS($S$2:S3816,$A$2:A3816,A3816,$N$2:N3816,"Explore*")</f>
        <v/>
      </c>
      <c r="AB3816">
        <f>IF(AND(LEFT(N3816,7)="Explore",(AA3816-IF(LEFT(N3816,7)="Explore",S3816,0))&lt;10),"SI","NO")</f>
        <v/>
      </c>
    </row>
    <row r="3817">
      <c r="A3817" t="inlineStr">
        <is>
          <t>c53f1_test</t>
        </is>
      </c>
      <c r="B3817" t="inlineStr">
        <is>
          <t>2026-02-18 14:18:37.136</t>
        </is>
      </c>
      <c r="C3817" t="n">
        <v/>
      </c>
      <c r="D3817" t="inlineStr">
        <is>
          <t>Media file</t>
        </is>
      </c>
      <c r="E3817" t="inlineStr">
        <is>
          <t>player #1:WT\test\c53f1.mp4</t>
        </is>
      </c>
      <c r="F3817" t="n">
        <v>-17.6</v>
      </c>
      <c r="G3817" t="n">
        <v>562.966</v>
      </c>
      <c r="H3817" t="n">
        <v>638.833</v>
      </c>
      <c r="I3817" t="n">
        <v>30</v>
      </c>
      <c r="J3817" t="inlineStr">
        <is>
          <t xml:space="preserve"> WT</t>
        </is>
      </c>
      <c r="K3817" t="inlineStr">
        <is>
          <t xml:space="preserve"> Female</t>
        </is>
      </c>
      <c r="L3817" t="inlineStr">
        <is>
          <t>No focal subject</t>
        </is>
      </c>
      <c r="M3817" t="n">
        <v>36.032</v>
      </c>
      <c r="N3817" t="inlineStr">
        <is>
          <t>Explore_N</t>
        </is>
      </c>
      <c r="O3817" t="inlineStr">
        <is>
          <t>Novelty</t>
        </is>
      </c>
      <c r="P3817" t="inlineStr">
        <is>
          <t>STATE</t>
        </is>
      </c>
      <c r="Q3817" t="n">
        <v>304.533</v>
      </c>
      <c r="R3817" t="n">
        <v>304.833</v>
      </c>
      <c r="S3817" t="n">
        <v>0.3</v>
      </c>
      <c r="T3817" t="inlineStr">
        <is>
          <t>WT\test\c53f1.mp4</t>
        </is>
      </c>
      <c r="U3817" t="n">
        <v>9134</v>
      </c>
      <c r="V3817" t="n">
        <v>9142</v>
      </c>
      <c r="W3817" t="n">
        <v/>
      </c>
      <c r="X3817" t="n">
        <v/>
      </c>
      <c r="Y3817" t="n">
        <v/>
      </c>
      <c r="Z3817" t="n">
        <v/>
      </c>
      <c r="AA3817">
        <f>SUMIFS($S$2:S3817,$A$2:A3817,A3817,$N$2:N3817,"Explore*")</f>
        <v/>
      </c>
      <c r="AB3817">
        <f>IF(AND(LEFT(N3817,7)="Explore",(AA3817-IF(LEFT(N3817,7)="Explore",S3817,0))&lt;10),"SI","NO")</f>
        <v/>
      </c>
    </row>
    <row r="3818">
      <c r="A3818" t="inlineStr">
        <is>
          <t>c53f1_test</t>
        </is>
      </c>
      <c r="B3818" t="inlineStr">
        <is>
          <t>2026-02-18 14:18:37.136</t>
        </is>
      </c>
      <c r="C3818" t="n">
        <v/>
      </c>
      <c r="D3818" t="inlineStr">
        <is>
          <t>Media file</t>
        </is>
      </c>
      <c r="E3818" t="inlineStr">
        <is>
          <t>player #1:WT\test\c53f1.mp4</t>
        </is>
      </c>
      <c r="F3818" t="n">
        <v>-17.6</v>
      </c>
      <c r="G3818" t="n">
        <v>562.966</v>
      </c>
      <c r="H3818" t="n">
        <v>638.833</v>
      </c>
      <c r="I3818" t="n">
        <v>30</v>
      </c>
      <c r="J3818" t="inlineStr">
        <is>
          <t xml:space="preserve"> WT</t>
        </is>
      </c>
      <c r="K3818" t="inlineStr">
        <is>
          <t xml:space="preserve"> Female</t>
        </is>
      </c>
      <c r="L3818" t="inlineStr">
        <is>
          <t>No focal subject</t>
        </is>
      </c>
      <c r="M3818" t="n">
        <v>36.032</v>
      </c>
      <c r="N3818" t="inlineStr">
        <is>
          <t>Explore_F</t>
        </is>
      </c>
      <c r="O3818" t="inlineStr">
        <is>
          <t>Familiar</t>
        </is>
      </c>
      <c r="P3818" t="inlineStr">
        <is>
          <t>STATE</t>
        </is>
      </c>
      <c r="Q3818" t="n">
        <v>348.333</v>
      </c>
      <c r="R3818" t="n">
        <v>348.633</v>
      </c>
      <c r="S3818" t="n">
        <v>0.3</v>
      </c>
      <c r="T3818" t="inlineStr">
        <is>
          <t>WT\test\c53f1.mp4</t>
        </is>
      </c>
      <c r="U3818" t="n">
        <v>10447</v>
      </c>
      <c r="V3818" t="n">
        <v>10456</v>
      </c>
      <c r="W3818" t="n">
        <v/>
      </c>
      <c r="X3818" t="n">
        <v/>
      </c>
      <c r="Y3818" t="n">
        <v/>
      </c>
      <c r="Z3818" t="n">
        <v/>
      </c>
      <c r="AA3818">
        <f>SUMIFS($S$2:S3818,$A$2:A3818,A3818,$N$2:N3818,"Explore*")</f>
        <v/>
      </c>
      <c r="AB3818">
        <f>IF(AND(LEFT(N3818,7)="Explore",(AA3818-IF(LEFT(N3818,7)="Explore",S3818,0))&lt;10),"SI","NO")</f>
        <v/>
      </c>
    </row>
    <row r="3819">
      <c r="A3819" t="inlineStr">
        <is>
          <t>c53f1_test</t>
        </is>
      </c>
      <c r="B3819" t="inlineStr">
        <is>
          <t>2026-02-18 14:18:37.136</t>
        </is>
      </c>
      <c r="C3819" t="n">
        <v/>
      </c>
      <c r="D3819" t="inlineStr">
        <is>
          <t>Media file</t>
        </is>
      </c>
      <c r="E3819" t="inlineStr">
        <is>
          <t>player #1:WT\test\c53f1.mp4</t>
        </is>
      </c>
      <c r="F3819" t="n">
        <v>-17.6</v>
      </c>
      <c r="G3819" t="n">
        <v>562.966</v>
      </c>
      <c r="H3819" t="n">
        <v>638.833</v>
      </c>
      <c r="I3819" t="n">
        <v>30</v>
      </c>
      <c r="J3819" t="inlineStr">
        <is>
          <t xml:space="preserve"> WT</t>
        </is>
      </c>
      <c r="K3819" t="inlineStr">
        <is>
          <t xml:space="preserve"> Female</t>
        </is>
      </c>
      <c r="L3819" t="inlineStr">
        <is>
          <t>No focal subject</t>
        </is>
      </c>
      <c r="M3819" t="n">
        <v>36.032</v>
      </c>
      <c r="N3819" t="inlineStr">
        <is>
          <t>Explore_F</t>
        </is>
      </c>
      <c r="O3819" t="inlineStr">
        <is>
          <t>Familiar</t>
        </is>
      </c>
      <c r="P3819" t="inlineStr">
        <is>
          <t>STATE</t>
        </is>
      </c>
      <c r="Q3819" t="n">
        <v>349.066</v>
      </c>
      <c r="R3819" t="n">
        <v>349.333</v>
      </c>
      <c r="S3819" t="n">
        <v>0.267</v>
      </c>
      <c r="T3819" t="inlineStr">
        <is>
          <t>WT\test\c53f1.mp4</t>
        </is>
      </c>
      <c r="U3819" t="n">
        <v>10469</v>
      </c>
      <c r="V3819" t="n">
        <v>10477</v>
      </c>
      <c r="W3819" t="n">
        <v/>
      </c>
      <c r="X3819" t="n">
        <v/>
      </c>
      <c r="Y3819" t="n">
        <v/>
      </c>
      <c r="Z3819" t="n">
        <v/>
      </c>
      <c r="AA3819">
        <f>SUMIFS($S$2:S3819,$A$2:A3819,A3819,$N$2:N3819,"Explore*")</f>
        <v/>
      </c>
      <c r="AB3819">
        <f>IF(AND(LEFT(N3819,7)="Explore",(AA3819-IF(LEFT(N3819,7)="Explore",S3819,0))&lt;10),"SI","NO")</f>
        <v/>
      </c>
    </row>
    <row r="3820">
      <c r="A3820" t="inlineStr">
        <is>
          <t>c53f1_test</t>
        </is>
      </c>
      <c r="B3820" t="inlineStr">
        <is>
          <t>2026-02-18 14:18:37.136</t>
        </is>
      </c>
      <c r="C3820" t="n">
        <v/>
      </c>
      <c r="D3820" t="inlineStr">
        <is>
          <t>Media file</t>
        </is>
      </c>
      <c r="E3820" t="inlineStr">
        <is>
          <t>player #1:WT\test\c53f1.mp4</t>
        </is>
      </c>
      <c r="F3820" t="n">
        <v>-17.6</v>
      </c>
      <c r="G3820" t="n">
        <v>562.966</v>
      </c>
      <c r="H3820" t="n">
        <v>638.833</v>
      </c>
      <c r="I3820" t="n">
        <v>30</v>
      </c>
      <c r="J3820" t="inlineStr">
        <is>
          <t xml:space="preserve"> WT</t>
        </is>
      </c>
      <c r="K3820" t="inlineStr">
        <is>
          <t xml:space="preserve"> Female</t>
        </is>
      </c>
      <c r="L3820" t="inlineStr">
        <is>
          <t>No focal subject</t>
        </is>
      </c>
      <c r="M3820" t="n">
        <v>36.032</v>
      </c>
      <c r="N3820" t="inlineStr">
        <is>
          <t>Explore_F</t>
        </is>
      </c>
      <c r="O3820" t="inlineStr">
        <is>
          <t>Familiar</t>
        </is>
      </c>
      <c r="P3820" t="inlineStr">
        <is>
          <t>STATE</t>
        </is>
      </c>
      <c r="Q3820" t="n">
        <v>386.9</v>
      </c>
      <c r="R3820" t="n">
        <v>387.2</v>
      </c>
      <c r="S3820" t="n">
        <v>0.3</v>
      </c>
      <c r="T3820" t="inlineStr">
        <is>
          <t>WT\test\c53f1.mp4</t>
        </is>
      </c>
      <c r="U3820" t="n">
        <v>11603</v>
      </c>
      <c r="V3820" t="n">
        <v>11614</v>
      </c>
      <c r="W3820" t="n">
        <v/>
      </c>
      <c r="X3820" t="n">
        <v/>
      </c>
      <c r="Y3820" t="n">
        <v/>
      </c>
      <c r="Z3820" t="n">
        <v/>
      </c>
      <c r="AA3820">
        <f>SUMIFS($S$2:S3820,$A$2:A3820,A3820,$N$2:N3820,"Explore*")</f>
        <v/>
      </c>
      <c r="AB3820">
        <f>IF(AND(LEFT(N3820,7)="Explore",(AA3820-IF(LEFT(N3820,7)="Explore",S3820,0))&lt;10),"SI","NO")</f>
        <v/>
      </c>
    </row>
    <row r="3821">
      <c r="A3821" t="inlineStr">
        <is>
          <t>c53f1_test</t>
        </is>
      </c>
      <c r="B3821" t="inlineStr">
        <is>
          <t>2026-02-18 14:18:37.136</t>
        </is>
      </c>
      <c r="C3821" t="n">
        <v/>
      </c>
      <c r="D3821" t="inlineStr">
        <is>
          <t>Media file</t>
        </is>
      </c>
      <c r="E3821" t="inlineStr">
        <is>
          <t>player #1:WT\test\c53f1.mp4</t>
        </is>
      </c>
      <c r="F3821" t="n">
        <v>-17.6</v>
      </c>
      <c r="G3821" t="n">
        <v>562.966</v>
      </c>
      <c r="H3821" t="n">
        <v>638.833</v>
      </c>
      <c r="I3821" t="n">
        <v>30</v>
      </c>
      <c r="J3821" t="inlineStr">
        <is>
          <t xml:space="preserve"> WT</t>
        </is>
      </c>
      <c r="K3821" t="inlineStr">
        <is>
          <t xml:space="preserve"> Female</t>
        </is>
      </c>
      <c r="L3821" t="inlineStr">
        <is>
          <t>No focal subject</t>
        </is>
      </c>
      <c r="M3821" t="n">
        <v>36.032</v>
      </c>
      <c r="N3821" t="inlineStr">
        <is>
          <t>Explore_N</t>
        </is>
      </c>
      <c r="O3821" t="inlineStr">
        <is>
          <t>Novelty</t>
        </is>
      </c>
      <c r="P3821" t="inlineStr">
        <is>
          <t>STATE</t>
        </is>
      </c>
      <c r="Q3821" t="n">
        <v>401.233</v>
      </c>
      <c r="R3821" t="n">
        <v>402.033</v>
      </c>
      <c r="S3821" t="n">
        <v>0.8</v>
      </c>
      <c r="T3821" t="inlineStr">
        <is>
          <t>WT\test\c53f1.mp4</t>
        </is>
      </c>
      <c r="U3821" t="n">
        <v>12034</v>
      </c>
      <c r="V3821" t="n">
        <v>12057</v>
      </c>
      <c r="W3821" t="n">
        <v/>
      </c>
      <c r="X3821" t="n">
        <v/>
      </c>
      <c r="Y3821" t="n">
        <v/>
      </c>
      <c r="Z3821" t="n">
        <v/>
      </c>
      <c r="AA3821">
        <f>SUMIFS($S$2:S3821,$A$2:A3821,A3821,$N$2:N3821,"Explore*")</f>
        <v/>
      </c>
      <c r="AB3821">
        <f>IF(AND(LEFT(N3821,7)="Explore",(AA3821-IF(LEFT(N3821,7)="Explore",S3821,0))&lt;10),"SI","NO")</f>
        <v/>
      </c>
    </row>
    <row r="3822">
      <c r="A3822" t="inlineStr">
        <is>
          <t>c53f1_test</t>
        </is>
      </c>
      <c r="B3822" t="inlineStr">
        <is>
          <t>2026-02-18 14:18:37.136</t>
        </is>
      </c>
      <c r="C3822" t="n">
        <v/>
      </c>
      <c r="D3822" t="inlineStr">
        <is>
          <t>Media file</t>
        </is>
      </c>
      <c r="E3822" t="inlineStr">
        <is>
          <t>player #1:WT\test\c53f1.mp4</t>
        </is>
      </c>
      <c r="F3822" t="n">
        <v>-17.6</v>
      </c>
      <c r="G3822" t="n">
        <v>562.966</v>
      </c>
      <c r="H3822" t="n">
        <v>638.833</v>
      </c>
      <c r="I3822" t="n">
        <v>30</v>
      </c>
      <c r="J3822" t="inlineStr">
        <is>
          <t xml:space="preserve"> WT</t>
        </is>
      </c>
      <c r="K3822" t="inlineStr">
        <is>
          <t xml:space="preserve"> Female</t>
        </is>
      </c>
      <c r="L3822" t="inlineStr">
        <is>
          <t>No focal subject</t>
        </is>
      </c>
      <c r="M3822" t="n">
        <v>36.032</v>
      </c>
      <c r="N3822" t="inlineStr">
        <is>
          <t>Explore_N</t>
        </is>
      </c>
      <c r="O3822" t="inlineStr">
        <is>
          <t>Novelty</t>
        </is>
      </c>
      <c r="P3822" t="inlineStr">
        <is>
          <t>STATE</t>
        </is>
      </c>
      <c r="Q3822" t="n">
        <v>409.9</v>
      </c>
      <c r="R3822" t="n">
        <v>411.833</v>
      </c>
      <c r="S3822" t="n">
        <v>1.933</v>
      </c>
      <c r="T3822" t="inlineStr">
        <is>
          <t>WT\test\c53f1.mp4</t>
        </is>
      </c>
      <c r="U3822" t="n">
        <v>12293</v>
      </c>
      <c r="V3822" t="n">
        <v>12351</v>
      </c>
      <c r="W3822" t="n">
        <v/>
      </c>
      <c r="X3822" t="n">
        <v/>
      </c>
      <c r="Y3822" t="n">
        <v/>
      </c>
      <c r="Z3822" t="n">
        <v/>
      </c>
      <c r="AA3822">
        <f>SUMIFS($S$2:S3822,$A$2:A3822,A3822,$N$2:N3822,"Explore*")</f>
        <v/>
      </c>
      <c r="AB3822">
        <f>IF(AND(LEFT(N3822,7)="Explore",(AA3822-IF(LEFT(N3822,7)="Explore",S3822,0))&lt;10),"SI","NO")</f>
        <v/>
      </c>
    </row>
    <row r="3823">
      <c r="A3823" t="inlineStr">
        <is>
          <t>c53f1_test</t>
        </is>
      </c>
      <c r="B3823" t="inlineStr">
        <is>
          <t>2026-02-18 14:18:37.136</t>
        </is>
      </c>
      <c r="C3823" t="n">
        <v/>
      </c>
      <c r="D3823" t="inlineStr">
        <is>
          <t>Media file</t>
        </is>
      </c>
      <c r="E3823" t="inlineStr">
        <is>
          <t>player #1:WT\test\c53f1.mp4</t>
        </is>
      </c>
      <c r="F3823" t="n">
        <v>-17.6</v>
      </c>
      <c r="G3823" t="n">
        <v>562.966</v>
      </c>
      <c r="H3823" t="n">
        <v>638.833</v>
      </c>
      <c r="I3823" t="n">
        <v>30</v>
      </c>
      <c r="J3823" t="inlineStr">
        <is>
          <t xml:space="preserve"> WT</t>
        </is>
      </c>
      <c r="K3823" t="inlineStr">
        <is>
          <t xml:space="preserve"> Female</t>
        </is>
      </c>
      <c r="L3823" t="inlineStr">
        <is>
          <t>No focal subject</t>
        </is>
      </c>
      <c r="M3823" t="n">
        <v>36.032</v>
      </c>
      <c r="N3823" t="inlineStr">
        <is>
          <t>Explore_N</t>
        </is>
      </c>
      <c r="O3823" t="inlineStr">
        <is>
          <t>Novelty</t>
        </is>
      </c>
      <c r="P3823" t="inlineStr">
        <is>
          <t>STATE</t>
        </is>
      </c>
      <c r="Q3823" t="n">
        <v>414.233</v>
      </c>
      <c r="R3823" t="n">
        <v>415.033</v>
      </c>
      <c r="S3823" t="n">
        <v>0.8</v>
      </c>
      <c r="T3823" t="inlineStr">
        <is>
          <t>WT\test\c53f1.mp4</t>
        </is>
      </c>
      <c r="U3823" t="n">
        <v>12424</v>
      </c>
      <c r="V3823" t="n">
        <v>12447</v>
      </c>
      <c r="W3823" t="n">
        <v/>
      </c>
      <c r="X3823" t="n">
        <v/>
      </c>
      <c r="Y3823" t="n">
        <v/>
      </c>
      <c r="Z3823" t="n">
        <v/>
      </c>
      <c r="AA3823">
        <f>SUMIFS($S$2:S3823,$A$2:A3823,A3823,$N$2:N3823,"Explore*")</f>
        <v/>
      </c>
      <c r="AB3823">
        <f>IF(AND(LEFT(N3823,7)="Explore",(AA3823-IF(LEFT(N3823,7)="Explore",S3823,0))&lt;10),"SI","NO")</f>
        <v/>
      </c>
    </row>
    <row r="3824">
      <c r="A3824" t="inlineStr">
        <is>
          <t>c53f1_test</t>
        </is>
      </c>
      <c r="B3824" t="inlineStr">
        <is>
          <t>2026-02-18 14:18:37.136</t>
        </is>
      </c>
      <c r="C3824" t="n">
        <v/>
      </c>
      <c r="D3824" t="inlineStr">
        <is>
          <t>Media file</t>
        </is>
      </c>
      <c r="E3824" t="inlineStr">
        <is>
          <t>player #1:WT\test\c53f1.mp4</t>
        </is>
      </c>
      <c r="F3824" t="n">
        <v>-17.6</v>
      </c>
      <c r="G3824" t="n">
        <v>562.966</v>
      </c>
      <c r="H3824" t="n">
        <v>638.833</v>
      </c>
      <c r="I3824" t="n">
        <v>30</v>
      </c>
      <c r="J3824" t="inlineStr">
        <is>
          <t xml:space="preserve"> WT</t>
        </is>
      </c>
      <c r="K3824" t="inlineStr">
        <is>
          <t xml:space="preserve"> Female</t>
        </is>
      </c>
      <c r="L3824" t="inlineStr">
        <is>
          <t>No focal subject</t>
        </is>
      </c>
      <c r="M3824" t="n">
        <v>36.032</v>
      </c>
      <c r="N3824" t="inlineStr">
        <is>
          <t>Explore_N</t>
        </is>
      </c>
      <c r="O3824" t="inlineStr">
        <is>
          <t>Novelty</t>
        </is>
      </c>
      <c r="P3824" t="inlineStr">
        <is>
          <t>STATE</t>
        </is>
      </c>
      <c r="Q3824" t="n">
        <v>416.766</v>
      </c>
      <c r="R3824" t="n">
        <v>416.966</v>
      </c>
      <c r="S3824" t="n">
        <v>0.2</v>
      </c>
      <c r="T3824" t="inlineStr">
        <is>
          <t>WT\test\c53f1.mp4</t>
        </is>
      </c>
      <c r="U3824" t="n">
        <v>12499</v>
      </c>
      <c r="V3824" t="n">
        <v>12505</v>
      </c>
      <c r="W3824" t="n">
        <v/>
      </c>
      <c r="X3824" t="n">
        <v/>
      </c>
      <c r="Y3824" t="n">
        <v/>
      </c>
      <c r="Z3824" t="n">
        <v/>
      </c>
      <c r="AA3824">
        <f>SUMIFS($S$2:S3824,$A$2:A3824,A3824,$N$2:N3824,"Explore*")</f>
        <v/>
      </c>
      <c r="AB3824">
        <f>IF(AND(LEFT(N3824,7)="Explore",(AA3824-IF(LEFT(N3824,7)="Explore",S3824,0))&lt;10),"SI","NO")</f>
        <v/>
      </c>
    </row>
    <row r="3825">
      <c r="A3825" t="inlineStr">
        <is>
          <t>c53f1_test</t>
        </is>
      </c>
      <c r="B3825" t="inlineStr">
        <is>
          <t>2026-02-18 14:18:37.136</t>
        </is>
      </c>
      <c r="C3825" t="n">
        <v/>
      </c>
      <c r="D3825" t="inlineStr">
        <is>
          <t>Media file</t>
        </is>
      </c>
      <c r="E3825" t="inlineStr">
        <is>
          <t>player #1:WT\test\c53f1.mp4</t>
        </is>
      </c>
      <c r="F3825" t="n">
        <v>-17.6</v>
      </c>
      <c r="G3825" t="n">
        <v>562.966</v>
      </c>
      <c r="H3825" t="n">
        <v>638.833</v>
      </c>
      <c r="I3825" t="n">
        <v>30</v>
      </c>
      <c r="J3825" t="inlineStr">
        <is>
          <t xml:space="preserve"> WT</t>
        </is>
      </c>
      <c r="K3825" t="inlineStr">
        <is>
          <t xml:space="preserve"> Female</t>
        </is>
      </c>
      <c r="L3825" t="inlineStr">
        <is>
          <t>No focal subject</t>
        </is>
      </c>
      <c r="M3825" t="n">
        <v>36.032</v>
      </c>
      <c r="N3825" t="inlineStr">
        <is>
          <t>Explore_N</t>
        </is>
      </c>
      <c r="O3825" t="inlineStr">
        <is>
          <t>Novelty</t>
        </is>
      </c>
      <c r="P3825" t="inlineStr">
        <is>
          <t>STATE</t>
        </is>
      </c>
      <c r="Q3825" t="n">
        <v>418.966</v>
      </c>
      <c r="R3825" t="n">
        <v>419.633</v>
      </c>
      <c r="S3825" t="n">
        <v>0.667</v>
      </c>
      <c r="T3825" t="inlineStr">
        <is>
          <t>WT\test\c53f1.mp4</t>
        </is>
      </c>
      <c r="U3825" t="n">
        <v>12565</v>
      </c>
      <c r="V3825" t="n">
        <v>12585</v>
      </c>
      <c r="W3825" t="n">
        <v/>
      </c>
      <c r="X3825" t="n">
        <v/>
      </c>
      <c r="Y3825" t="n">
        <v/>
      </c>
      <c r="Z3825" t="n">
        <v/>
      </c>
      <c r="AA3825">
        <f>SUMIFS($S$2:S3825,$A$2:A3825,A3825,$N$2:N3825,"Explore*")</f>
        <v/>
      </c>
      <c r="AB3825">
        <f>IF(AND(LEFT(N3825,7)="Explore",(AA3825-IF(LEFT(N3825,7)="Explore",S3825,0))&lt;10),"SI","NO")</f>
        <v/>
      </c>
    </row>
    <row r="3826">
      <c r="A3826" t="inlineStr">
        <is>
          <t>c53f1_test</t>
        </is>
      </c>
      <c r="B3826" t="inlineStr">
        <is>
          <t>2026-02-18 14:18:37.136</t>
        </is>
      </c>
      <c r="C3826" t="n">
        <v/>
      </c>
      <c r="D3826" t="inlineStr">
        <is>
          <t>Media file</t>
        </is>
      </c>
      <c r="E3826" t="inlineStr">
        <is>
          <t>player #1:WT\test\c53f1.mp4</t>
        </is>
      </c>
      <c r="F3826" t="n">
        <v>-17.6</v>
      </c>
      <c r="G3826" t="n">
        <v>562.966</v>
      </c>
      <c r="H3826" t="n">
        <v>638.833</v>
      </c>
      <c r="I3826" t="n">
        <v>30</v>
      </c>
      <c r="J3826" t="inlineStr">
        <is>
          <t xml:space="preserve"> WT</t>
        </is>
      </c>
      <c r="K3826" t="inlineStr">
        <is>
          <t xml:space="preserve"> Female</t>
        </is>
      </c>
      <c r="L3826" t="inlineStr">
        <is>
          <t>No focal subject</t>
        </is>
      </c>
      <c r="M3826" t="n">
        <v>36.032</v>
      </c>
      <c r="N3826" t="inlineStr">
        <is>
          <t>Explore_N</t>
        </is>
      </c>
      <c r="O3826" t="inlineStr">
        <is>
          <t>Novelty</t>
        </is>
      </c>
      <c r="P3826" t="inlineStr">
        <is>
          <t>STATE</t>
        </is>
      </c>
      <c r="Q3826" t="n">
        <v>421.433</v>
      </c>
      <c r="R3826" t="n">
        <v>421.7</v>
      </c>
      <c r="S3826" t="n">
        <v>0.267</v>
      </c>
      <c r="T3826" t="inlineStr">
        <is>
          <t>WT\test\c53f1.mp4</t>
        </is>
      </c>
      <c r="U3826" t="n">
        <v>12639</v>
      </c>
      <c r="V3826" t="n">
        <v>12649</v>
      </c>
      <c r="W3826" t="n">
        <v/>
      </c>
      <c r="X3826" t="n">
        <v/>
      </c>
      <c r="Y3826" t="n">
        <v/>
      </c>
      <c r="Z3826" t="n">
        <v/>
      </c>
      <c r="AA3826">
        <f>SUMIFS($S$2:S3826,$A$2:A3826,A3826,$N$2:N3826,"Explore*")</f>
        <v/>
      </c>
      <c r="AB3826">
        <f>IF(AND(LEFT(N3826,7)="Explore",(AA3826-IF(LEFT(N3826,7)="Explore",S3826,0))&lt;10),"SI","NO")</f>
        <v/>
      </c>
    </row>
    <row r="3827">
      <c r="A3827" t="inlineStr">
        <is>
          <t>c53f1_test</t>
        </is>
      </c>
      <c r="B3827" t="inlineStr">
        <is>
          <t>2026-02-18 14:18:37.136</t>
        </is>
      </c>
      <c r="C3827" t="n">
        <v/>
      </c>
      <c r="D3827" t="inlineStr">
        <is>
          <t>Media file</t>
        </is>
      </c>
      <c r="E3827" t="inlineStr">
        <is>
          <t>player #1:WT\test\c53f1.mp4</t>
        </is>
      </c>
      <c r="F3827" t="n">
        <v>-17.6</v>
      </c>
      <c r="G3827" t="n">
        <v>562.966</v>
      </c>
      <c r="H3827" t="n">
        <v>638.833</v>
      </c>
      <c r="I3827" t="n">
        <v>30</v>
      </c>
      <c r="J3827" t="inlineStr">
        <is>
          <t xml:space="preserve"> WT</t>
        </is>
      </c>
      <c r="K3827" t="inlineStr">
        <is>
          <t xml:space="preserve"> Female</t>
        </is>
      </c>
      <c r="L3827" t="inlineStr">
        <is>
          <t>No focal subject</t>
        </is>
      </c>
      <c r="M3827" t="n">
        <v>36.032</v>
      </c>
      <c r="N3827" t="inlineStr">
        <is>
          <t>Explore_N</t>
        </is>
      </c>
      <c r="O3827" t="inlineStr">
        <is>
          <t>Novelty</t>
        </is>
      </c>
      <c r="P3827" t="inlineStr">
        <is>
          <t>STATE</t>
        </is>
      </c>
      <c r="Q3827" t="n">
        <v>422.333</v>
      </c>
      <c r="R3827" t="n">
        <v>422.933</v>
      </c>
      <c r="S3827" t="n">
        <v>0.6</v>
      </c>
      <c r="T3827" t="inlineStr">
        <is>
          <t>WT\test\c53f1.mp4</t>
        </is>
      </c>
      <c r="U3827" t="n">
        <v>12666</v>
      </c>
      <c r="V3827" t="n">
        <v>12684</v>
      </c>
      <c r="W3827" t="n">
        <v/>
      </c>
      <c r="X3827" t="n">
        <v/>
      </c>
      <c r="Y3827" t="n">
        <v/>
      </c>
      <c r="Z3827" t="n">
        <v/>
      </c>
      <c r="AA3827">
        <f>SUMIFS($S$2:S3827,$A$2:A3827,A3827,$N$2:N3827,"Explore*")</f>
        <v/>
      </c>
      <c r="AB3827">
        <f>IF(AND(LEFT(N3827,7)="Explore",(AA3827-IF(LEFT(N3827,7)="Explore",S3827,0))&lt;10),"SI","NO")</f>
        <v/>
      </c>
    </row>
    <row r="3828">
      <c r="A3828" t="inlineStr">
        <is>
          <t>c53f1_test</t>
        </is>
      </c>
      <c r="B3828" t="inlineStr">
        <is>
          <t>2026-02-18 14:18:37.136</t>
        </is>
      </c>
      <c r="C3828" t="n">
        <v/>
      </c>
      <c r="D3828" t="inlineStr">
        <is>
          <t>Media file</t>
        </is>
      </c>
      <c r="E3828" t="inlineStr">
        <is>
          <t>player #1:WT\test\c53f1.mp4</t>
        </is>
      </c>
      <c r="F3828" t="n">
        <v>-17.6</v>
      </c>
      <c r="G3828" t="n">
        <v>562.966</v>
      </c>
      <c r="H3828" t="n">
        <v>638.833</v>
      </c>
      <c r="I3828" t="n">
        <v>30</v>
      </c>
      <c r="J3828" t="inlineStr">
        <is>
          <t xml:space="preserve"> WT</t>
        </is>
      </c>
      <c r="K3828" t="inlineStr">
        <is>
          <t xml:space="preserve"> Female</t>
        </is>
      </c>
      <c r="L3828" t="inlineStr">
        <is>
          <t>No focal subject</t>
        </is>
      </c>
      <c r="M3828" t="n">
        <v>36.032</v>
      </c>
      <c r="N3828" t="inlineStr">
        <is>
          <t>Explore_N</t>
        </is>
      </c>
      <c r="O3828" t="inlineStr">
        <is>
          <t>Novelty</t>
        </is>
      </c>
      <c r="P3828" t="inlineStr">
        <is>
          <t>STATE</t>
        </is>
      </c>
      <c r="Q3828" t="n">
        <v>425.066</v>
      </c>
      <c r="R3828" t="n">
        <v>426.2</v>
      </c>
      <c r="S3828" t="n">
        <v>1.134</v>
      </c>
      <c r="T3828" t="inlineStr">
        <is>
          <t>WT\test\c53f1.mp4</t>
        </is>
      </c>
      <c r="U3828" t="n">
        <v>12748</v>
      </c>
      <c r="V3828" t="n">
        <v>12784</v>
      </c>
      <c r="W3828" t="n">
        <v/>
      </c>
      <c r="X3828" t="n">
        <v/>
      </c>
      <c r="Y3828" t="n">
        <v/>
      </c>
      <c r="Z3828" t="n">
        <v/>
      </c>
      <c r="AA3828">
        <f>SUMIFS($S$2:S3828,$A$2:A3828,A3828,$N$2:N3828,"Explore*")</f>
        <v/>
      </c>
      <c r="AB3828">
        <f>IF(AND(LEFT(N3828,7)="Explore",(AA3828-IF(LEFT(N3828,7)="Explore",S3828,0))&lt;10),"SI","NO")</f>
        <v/>
      </c>
    </row>
    <row r="3829">
      <c r="A3829" t="inlineStr">
        <is>
          <t>c53f1_test</t>
        </is>
      </c>
      <c r="B3829" t="inlineStr">
        <is>
          <t>2026-02-18 14:18:37.136</t>
        </is>
      </c>
      <c r="C3829" t="n">
        <v/>
      </c>
      <c r="D3829" t="inlineStr">
        <is>
          <t>Media file</t>
        </is>
      </c>
      <c r="E3829" t="inlineStr">
        <is>
          <t>player #1:WT\test\c53f1.mp4</t>
        </is>
      </c>
      <c r="F3829" t="n">
        <v>-17.6</v>
      </c>
      <c r="G3829" t="n">
        <v>562.966</v>
      </c>
      <c r="H3829" t="n">
        <v>638.833</v>
      </c>
      <c r="I3829" t="n">
        <v>30</v>
      </c>
      <c r="J3829" t="inlineStr">
        <is>
          <t xml:space="preserve"> WT</t>
        </is>
      </c>
      <c r="K3829" t="inlineStr">
        <is>
          <t xml:space="preserve"> Female</t>
        </is>
      </c>
      <c r="L3829" t="inlineStr">
        <is>
          <t>No focal subject</t>
        </is>
      </c>
      <c r="M3829" t="n">
        <v>36.032</v>
      </c>
      <c r="N3829" t="inlineStr">
        <is>
          <t>Explore_N</t>
        </is>
      </c>
      <c r="O3829" t="inlineStr">
        <is>
          <t>Novelty</t>
        </is>
      </c>
      <c r="P3829" t="inlineStr">
        <is>
          <t>STATE</t>
        </is>
      </c>
      <c r="Q3829" t="n">
        <v>430.533</v>
      </c>
      <c r="R3829" t="n">
        <v>431.133</v>
      </c>
      <c r="S3829" t="n">
        <v>0.6</v>
      </c>
      <c r="T3829" t="inlineStr">
        <is>
          <t>WT\test\c53f1.mp4</t>
        </is>
      </c>
      <c r="U3829" t="n">
        <v>12912</v>
      </c>
      <c r="V3829" t="n">
        <v>12930</v>
      </c>
      <c r="W3829" t="n">
        <v/>
      </c>
      <c r="X3829" t="n">
        <v/>
      </c>
      <c r="Y3829" t="n">
        <v/>
      </c>
      <c r="Z3829" t="n">
        <v/>
      </c>
      <c r="AA3829">
        <f>SUMIFS($S$2:S3829,$A$2:A3829,A3829,$N$2:N3829,"Explore*")</f>
        <v/>
      </c>
      <c r="AB3829">
        <f>IF(AND(LEFT(N3829,7)="Explore",(AA3829-IF(LEFT(N3829,7)="Explore",S3829,0))&lt;10),"SI","NO")</f>
        <v/>
      </c>
    </row>
    <row r="3830">
      <c r="A3830" t="inlineStr">
        <is>
          <t>c53f1_test</t>
        </is>
      </c>
      <c r="B3830" t="inlineStr">
        <is>
          <t>2026-02-18 14:18:37.136</t>
        </is>
      </c>
      <c r="C3830" t="n">
        <v/>
      </c>
      <c r="D3830" t="inlineStr">
        <is>
          <t>Media file</t>
        </is>
      </c>
      <c r="E3830" t="inlineStr">
        <is>
          <t>player #1:WT\test\c53f1.mp4</t>
        </is>
      </c>
      <c r="F3830" t="n">
        <v>-17.6</v>
      </c>
      <c r="G3830" t="n">
        <v>562.966</v>
      </c>
      <c r="H3830" t="n">
        <v>638.833</v>
      </c>
      <c r="I3830" t="n">
        <v>30</v>
      </c>
      <c r="J3830" t="inlineStr">
        <is>
          <t xml:space="preserve"> WT</t>
        </is>
      </c>
      <c r="K3830" t="inlineStr">
        <is>
          <t xml:space="preserve"> Female</t>
        </is>
      </c>
      <c r="L3830" t="inlineStr">
        <is>
          <t>No focal subject</t>
        </is>
      </c>
      <c r="M3830" t="n">
        <v>36.032</v>
      </c>
      <c r="N3830" t="inlineStr">
        <is>
          <t>Explore_N</t>
        </is>
      </c>
      <c r="O3830" t="inlineStr">
        <is>
          <t>Novelty</t>
        </is>
      </c>
      <c r="P3830" t="inlineStr">
        <is>
          <t>STATE</t>
        </is>
      </c>
      <c r="Q3830" t="n">
        <v>431.8</v>
      </c>
      <c r="R3830" t="n">
        <v>432.066</v>
      </c>
      <c r="S3830" t="n">
        <v>0.266</v>
      </c>
      <c r="T3830" t="inlineStr">
        <is>
          <t>WT\test\c53f1.mp4</t>
        </is>
      </c>
      <c r="U3830" t="n">
        <v>12950</v>
      </c>
      <c r="V3830" t="n">
        <v>12958</v>
      </c>
      <c r="W3830" t="n">
        <v/>
      </c>
      <c r="X3830" t="n">
        <v/>
      </c>
      <c r="Y3830" t="n">
        <v/>
      </c>
      <c r="Z3830" t="n">
        <v/>
      </c>
      <c r="AA3830">
        <f>SUMIFS($S$2:S3830,$A$2:A3830,A3830,$N$2:N3830,"Explore*")</f>
        <v/>
      </c>
      <c r="AB3830">
        <f>IF(AND(LEFT(N3830,7)="Explore",(AA3830-IF(LEFT(N3830,7)="Explore",S3830,0))&lt;10),"SI","NO")</f>
        <v/>
      </c>
    </row>
    <row r="3831">
      <c r="A3831" t="inlineStr">
        <is>
          <t>c53f1_test</t>
        </is>
      </c>
      <c r="B3831" t="inlineStr">
        <is>
          <t>2026-02-18 14:18:37.136</t>
        </is>
      </c>
      <c r="C3831" t="n">
        <v/>
      </c>
      <c r="D3831" t="inlineStr">
        <is>
          <t>Media file</t>
        </is>
      </c>
      <c r="E3831" t="inlineStr">
        <is>
          <t>player #1:WT\test\c53f1.mp4</t>
        </is>
      </c>
      <c r="F3831" t="n">
        <v>-17.6</v>
      </c>
      <c r="G3831" t="n">
        <v>562.966</v>
      </c>
      <c r="H3831" t="n">
        <v>638.833</v>
      </c>
      <c r="I3831" t="n">
        <v>30</v>
      </c>
      <c r="J3831" t="inlineStr">
        <is>
          <t xml:space="preserve"> WT</t>
        </is>
      </c>
      <c r="K3831" t="inlineStr">
        <is>
          <t xml:space="preserve"> Female</t>
        </is>
      </c>
      <c r="L3831" t="inlineStr">
        <is>
          <t>No focal subject</t>
        </is>
      </c>
      <c r="M3831" t="n">
        <v>36.032</v>
      </c>
      <c r="N3831" t="inlineStr">
        <is>
          <t>Explore_N</t>
        </is>
      </c>
      <c r="O3831" t="inlineStr">
        <is>
          <t>Novelty</t>
        </is>
      </c>
      <c r="P3831" t="inlineStr">
        <is>
          <t>STATE</t>
        </is>
      </c>
      <c r="Q3831" t="n">
        <v>432.7</v>
      </c>
      <c r="R3831" t="n">
        <v>433.4</v>
      </c>
      <c r="S3831" t="n">
        <v>0.7</v>
      </c>
      <c r="T3831" t="inlineStr">
        <is>
          <t>WT\test\c53f1.mp4</t>
        </is>
      </c>
      <c r="U3831" t="n">
        <v>12979</v>
      </c>
      <c r="V3831" t="n">
        <v>12998</v>
      </c>
      <c r="W3831" t="n">
        <v/>
      </c>
      <c r="X3831" t="n">
        <v/>
      </c>
      <c r="Y3831" t="n">
        <v/>
      </c>
      <c r="Z3831" t="n">
        <v/>
      </c>
      <c r="AA3831">
        <f>SUMIFS($S$2:S3831,$A$2:A3831,A3831,$N$2:N3831,"Explore*")</f>
        <v/>
      </c>
      <c r="AB3831">
        <f>IF(AND(LEFT(N3831,7)="Explore",(AA3831-IF(LEFT(N3831,7)="Explore",S3831,0))&lt;10),"SI","NO")</f>
        <v/>
      </c>
    </row>
    <row r="3832">
      <c r="A3832" t="inlineStr">
        <is>
          <t>c53f1_test</t>
        </is>
      </c>
      <c r="B3832" t="inlineStr">
        <is>
          <t>2026-02-18 14:18:37.136</t>
        </is>
      </c>
      <c r="C3832" t="n">
        <v/>
      </c>
      <c r="D3832" t="inlineStr">
        <is>
          <t>Media file</t>
        </is>
      </c>
      <c r="E3832" t="inlineStr">
        <is>
          <t>player #1:WT\test\c53f1.mp4</t>
        </is>
      </c>
      <c r="F3832" t="n">
        <v>-17.6</v>
      </c>
      <c r="G3832" t="n">
        <v>562.966</v>
      </c>
      <c r="H3832" t="n">
        <v>638.833</v>
      </c>
      <c r="I3832" t="n">
        <v>30</v>
      </c>
      <c r="J3832" t="inlineStr">
        <is>
          <t xml:space="preserve"> WT</t>
        </is>
      </c>
      <c r="K3832" t="inlineStr">
        <is>
          <t xml:space="preserve"> Female</t>
        </is>
      </c>
      <c r="L3832" t="inlineStr">
        <is>
          <t>No focal subject</t>
        </is>
      </c>
      <c r="M3832" t="n">
        <v>36.032</v>
      </c>
      <c r="N3832" t="inlineStr">
        <is>
          <t>Explore_N</t>
        </is>
      </c>
      <c r="O3832" t="inlineStr">
        <is>
          <t>Novelty</t>
        </is>
      </c>
      <c r="P3832" t="inlineStr">
        <is>
          <t>STATE</t>
        </is>
      </c>
      <c r="Q3832" t="n">
        <v>435.266</v>
      </c>
      <c r="R3832" t="n">
        <v>435.5</v>
      </c>
      <c r="S3832" t="n">
        <v>0.234</v>
      </c>
      <c r="T3832" t="inlineStr">
        <is>
          <t>WT\test\c53f1.mp4</t>
        </is>
      </c>
      <c r="U3832" t="n">
        <v>13054</v>
      </c>
      <c r="V3832" t="n">
        <v>13061</v>
      </c>
      <c r="W3832" t="n">
        <v/>
      </c>
      <c r="X3832" t="n">
        <v/>
      </c>
      <c r="Y3832" t="n">
        <v/>
      </c>
      <c r="Z3832" t="n">
        <v/>
      </c>
      <c r="AA3832">
        <f>SUMIFS($S$2:S3832,$A$2:A3832,A3832,$N$2:N3832,"Explore*")</f>
        <v/>
      </c>
      <c r="AB3832">
        <f>IF(AND(LEFT(N3832,7)="Explore",(AA3832-IF(LEFT(N3832,7)="Explore",S3832,0))&lt;10),"SI","NO")</f>
        <v/>
      </c>
    </row>
    <row r="3833">
      <c r="A3833" t="inlineStr">
        <is>
          <t>c53f1_test</t>
        </is>
      </c>
      <c r="B3833" t="inlineStr">
        <is>
          <t>2026-02-18 14:18:37.136</t>
        </is>
      </c>
      <c r="C3833" t="n">
        <v/>
      </c>
      <c r="D3833" t="inlineStr">
        <is>
          <t>Media file</t>
        </is>
      </c>
      <c r="E3833" t="inlineStr">
        <is>
          <t>player #1:WT\test\c53f1.mp4</t>
        </is>
      </c>
      <c r="F3833" t="n">
        <v>-17.6</v>
      </c>
      <c r="G3833" t="n">
        <v>562.966</v>
      </c>
      <c r="H3833" t="n">
        <v>638.833</v>
      </c>
      <c r="I3833" t="n">
        <v>30</v>
      </c>
      <c r="J3833" t="inlineStr">
        <is>
          <t xml:space="preserve"> WT</t>
        </is>
      </c>
      <c r="K3833" t="inlineStr">
        <is>
          <t xml:space="preserve"> Female</t>
        </is>
      </c>
      <c r="L3833" t="inlineStr">
        <is>
          <t>No focal subject</t>
        </is>
      </c>
      <c r="M3833" t="n">
        <v>36.032</v>
      </c>
      <c r="N3833" t="inlineStr">
        <is>
          <t>Explore_N</t>
        </is>
      </c>
      <c r="O3833" t="inlineStr">
        <is>
          <t>Novelty</t>
        </is>
      </c>
      <c r="P3833" t="inlineStr">
        <is>
          <t>STATE</t>
        </is>
      </c>
      <c r="Q3833" t="n">
        <v>435.933</v>
      </c>
      <c r="R3833" t="n">
        <v>436.8</v>
      </c>
      <c r="S3833" t="n">
        <v>0.867</v>
      </c>
      <c r="T3833" t="inlineStr">
        <is>
          <t>WT\test\c53f1.mp4</t>
        </is>
      </c>
      <c r="U3833" t="n">
        <v>13074</v>
      </c>
      <c r="V3833" t="n">
        <v>13100</v>
      </c>
      <c r="W3833" t="n">
        <v/>
      </c>
      <c r="X3833" t="n">
        <v/>
      </c>
      <c r="Y3833" t="n">
        <v/>
      </c>
      <c r="Z3833" t="n">
        <v/>
      </c>
      <c r="AA3833">
        <f>SUMIFS($S$2:S3833,$A$2:A3833,A3833,$N$2:N3833,"Explore*")</f>
        <v/>
      </c>
      <c r="AB3833">
        <f>IF(AND(LEFT(N3833,7)="Explore",(AA3833-IF(LEFT(N3833,7)="Explore",S3833,0))&lt;10),"SI","NO")</f>
        <v/>
      </c>
    </row>
    <row r="3834">
      <c r="A3834" t="inlineStr">
        <is>
          <t>c53f1_test</t>
        </is>
      </c>
      <c r="B3834" t="inlineStr">
        <is>
          <t>2026-02-18 14:18:37.136</t>
        </is>
      </c>
      <c r="C3834" t="n">
        <v/>
      </c>
      <c r="D3834" t="inlineStr">
        <is>
          <t>Media file</t>
        </is>
      </c>
      <c r="E3834" t="inlineStr">
        <is>
          <t>player #1:WT\test\c53f1.mp4</t>
        </is>
      </c>
      <c r="F3834" t="n">
        <v>-17.6</v>
      </c>
      <c r="G3834" t="n">
        <v>562.966</v>
      </c>
      <c r="H3834" t="n">
        <v>638.833</v>
      </c>
      <c r="I3834" t="n">
        <v>30</v>
      </c>
      <c r="J3834" t="inlineStr">
        <is>
          <t xml:space="preserve"> WT</t>
        </is>
      </c>
      <c r="K3834" t="inlineStr">
        <is>
          <t xml:space="preserve"> Female</t>
        </is>
      </c>
      <c r="L3834" t="inlineStr">
        <is>
          <t>No focal subject</t>
        </is>
      </c>
      <c r="M3834" t="n">
        <v>36.032</v>
      </c>
      <c r="N3834" t="inlineStr">
        <is>
          <t>Explore_N</t>
        </is>
      </c>
      <c r="O3834" t="inlineStr">
        <is>
          <t>Novelty</t>
        </is>
      </c>
      <c r="P3834" t="inlineStr">
        <is>
          <t>STATE</t>
        </is>
      </c>
      <c r="Q3834" t="n">
        <v>439.466</v>
      </c>
      <c r="R3834" t="n">
        <v>440.466</v>
      </c>
      <c r="S3834" t="n">
        <v>1</v>
      </c>
      <c r="T3834" t="inlineStr">
        <is>
          <t>WT\test\c53f1.mp4</t>
        </is>
      </c>
      <c r="U3834" t="n">
        <v>13180</v>
      </c>
      <c r="V3834" t="n">
        <v>13210</v>
      </c>
      <c r="W3834" t="n">
        <v/>
      </c>
      <c r="X3834" t="n">
        <v/>
      </c>
      <c r="Y3834" t="n">
        <v/>
      </c>
      <c r="Z3834" t="n">
        <v/>
      </c>
      <c r="AA3834">
        <f>SUMIFS($S$2:S3834,$A$2:A3834,A3834,$N$2:N3834,"Explore*")</f>
        <v/>
      </c>
      <c r="AB3834">
        <f>IF(AND(LEFT(N3834,7)="Explore",(AA3834-IF(LEFT(N3834,7)="Explore",S3834,0))&lt;10),"SI","NO")</f>
        <v/>
      </c>
    </row>
    <row r="3835">
      <c r="A3835" t="inlineStr">
        <is>
          <t>c53f1_test</t>
        </is>
      </c>
      <c r="B3835" t="inlineStr">
        <is>
          <t>2026-02-18 14:18:37.136</t>
        </is>
      </c>
      <c r="C3835" t="n">
        <v/>
      </c>
      <c r="D3835" t="inlineStr">
        <is>
          <t>Media file</t>
        </is>
      </c>
      <c r="E3835" t="inlineStr">
        <is>
          <t>player #1:WT\test\c53f1.mp4</t>
        </is>
      </c>
      <c r="F3835" t="n">
        <v>-17.6</v>
      </c>
      <c r="G3835" t="n">
        <v>562.966</v>
      </c>
      <c r="H3835" t="n">
        <v>638.833</v>
      </c>
      <c r="I3835" t="n">
        <v>30</v>
      </c>
      <c r="J3835" t="inlineStr">
        <is>
          <t xml:space="preserve"> WT</t>
        </is>
      </c>
      <c r="K3835" t="inlineStr">
        <is>
          <t xml:space="preserve"> Female</t>
        </is>
      </c>
      <c r="L3835" t="inlineStr">
        <is>
          <t>No focal subject</t>
        </is>
      </c>
      <c r="M3835" t="n">
        <v>36.032</v>
      </c>
      <c r="N3835" t="inlineStr">
        <is>
          <t>Explore_N</t>
        </is>
      </c>
      <c r="O3835" t="inlineStr">
        <is>
          <t>Novelty</t>
        </is>
      </c>
      <c r="P3835" t="inlineStr">
        <is>
          <t>STATE</t>
        </is>
      </c>
      <c r="Q3835" t="n">
        <v>448.833</v>
      </c>
      <c r="R3835" t="n">
        <v>449.766</v>
      </c>
      <c r="S3835" t="n">
        <v>0.9330000000000001</v>
      </c>
      <c r="T3835" t="inlineStr">
        <is>
          <t>WT\test\c53f1.mp4</t>
        </is>
      </c>
      <c r="U3835" t="n">
        <v>13461</v>
      </c>
      <c r="V3835" t="n">
        <v>13489</v>
      </c>
      <c r="W3835" t="n">
        <v/>
      </c>
      <c r="X3835" t="n">
        <v/>
      </c>
      <c r="Y3835" t="n">
        <v/>
      </c>
      <c r="Z3835" t="n">
        <v/>
      </c>
      <c r="AA3835">
        <f>SUMIFS($S$2:S3835,$A$2:A3835,A3835,$N$2:N3835,"Explore*")</f>
        <v/>
      </c>
      <c r="AB3835">
        <f>IF(AND(LEFT(N3835,7)="Explore",(AA3835-IF(LEFT(N3835,7)="Explore",S3835,0))&lt;10),"SI","NO")</f>
        <v/>
      </c>
    </row>
    <row r="3836">
      <c r="A3836" t="inlineStr">
        <is>
          <t>c53f1_test</t>
        </is>
      </c>
      <c r="B3836" t="inlineStr">
        <is>
          <t>2026-02-18 14:18:37.136</t>
        </is>
      </c>
      <c r="C3836" t="n">
        <v/>
      </c>
      <c r="D3836" t="inlineStr">
        <is>
          <t>Media file</t>
        </is>
      </c>
      <c r="E3836" t="inlineStr">
        <is>
          <t>player #1:WT\test\c53f1.mp4</t>
        </is>
      </c>
      <c r="F3836" t="n">
        <v>-17.6</v>
      </c>
      <c r="G3836" t="n">
        <v>562.966</v>
      </c>
      <c r="H3836" t="n">
        <v>638.833</v>
      </c>
      <c r="I3836" t="n">
        <v>30</v>
      </c>
      <c r="J3836" t="inlineStr">
        <is>
          <t xml:space="preserve"> WT</t>
        </is>
      </c>
      <c r="K3836" t="inlineStr">
        <is>
          <t xml:space="preserve"> Female</t>
        </is>
      </c>
      <c r="L3836" t="inlineStr">
        <is>
          <t>No focal subject</t>
        </is>
      </c>
      <c r="M3836" t="n">
        <v>36.032</v>
      </c>
      <c r="N3836" t="inlineStr">
        <is>
          <t>Explore_N</t>
        </is>
      </c>
      <c r="O3836" t="inlineStr">
        <is>
          <t>Novelty</t>
        </is>
      </c>
      <c r="P3836" t="inlineStr">
        <is>
          <t>STATE</t>
        </is>
      </c>
      <c r="Q3836" t="n">
        <v>452.166</v>
      </c>
      <c r="R3836" t="n">
        <v>452.866</v>
      </c>
      <c r="S3836" t="n">
        <v>0.7</v>
      </c>
      <c r="T3836" t="inlineStr">
        <is>
          <t>WT\test\c53f1.mp4</t>
        </is>
      </c>
      <c r="U3836" t="n">
        <v>13561</v>
      </c>
      <c r="V3836" t="n">
        <v>13582</v>
      </c>
      <c r="W3836" t="n">
        <v/>
      </c>
      <c r="X3836" t="n">
        <v/>
      </c>
      <c r="Y3836" t="n">
        <v/>
      </c>
      <c r="Z3836" t="n">
        <v/>
      </c>
      <c r="AA3836">
        <f>SUMIFS($S$2:S3836,$A$2:A3836,A3836,$N$2:N3836,"Explore*")</f>
        <v/>
      </c>
      <c r="AB3836">
        <f>IF(AND(LEFT(N3836,7)="Explore",(AA3836-IF(LEFT(N3836,7)="Explore",S3836,0))&lt;10),"SI","NO")</f>
        <v/>
      </c>
    </row>
    <row r="3837">
      <c r="A3837" t="inlineStr">
        <is>
          <t>c53f1_test</t>
        </is>
      </c>
      <c r="B3837" t="inlineStr">
        <is>
          <t>2026-02-18 14:18:37.136</t>
        </is>
      </c>
      <c r="C3837" t="n">
        <v/>
      </c>
      <c r="D3837" t="inlineStr">
        <is>
          <t>Media file</t>
        </is>
      </c>
      <c r="E3837" t="inlineStr">
        <is>
          <t>player #1:WT\test\c53f1.mp4</t>
        </is>
      </c>
      <c r="F3837" t="n">
        <v>-17.6</v>
      </c>
      <c r="G3837" t="n">
        <v>562.966</v>
      </c>
      <c r="H3837" t="n">
        <v>638.833</v>
      </c>
      <c r="I3837" t="n">
        <v>30</v>
      </c>
      <c r="J3837" t="inlineStr">
        <is>
          <t xml:space="preserve"> WT</t>
        </is>
      </c>
      <c r="K3837" t="inlineStr">
        <is>
          <t xml:space="preserve"> Female</t>
        </is>
      </c>
      <c r="L3837" t="inlineStr">
        <is>
          <t>No focal subject</t>
        </is>
      </c>
      <c r="M3837" t="n">
        <v>36.032</v>
      </c>
      <c r="N3837" t="inlineStr">
        <is>
          <t>Explore_N</t>
        </is>
      </c>
      <c r="O3837" t="inlineStr">
        <is>
          <t>Novelty</t>
        </is>
      </c>
      <c r="P3837" t="inlineStr">
        <is>
          <t>STATE</t>
        </is>
      </c>
      <c r="Q3837" t="n">
        <v>454.7</v>
      </c>
      <c r="R3837" t="n">
        <v>455.333</v>
      </c>
      <c r="S3837" t="n">
        <v>0.633</v>
      </c>
      <c r="T3837" t="inlineStr">
        <is>
          <t>WT\test\c53f1.mp4</t>
        </is>
      </c>
      <c r="U3837" t="n">
        <v>13639</v>
      </c>
      <c r="V3837" t="n">
        <v>13656</v>
      </c>
      <c r="W3837" t="n">
        <v/>
      </c>
      <c r="X3837" t="n">
        <v/>
      </c>
      <c r="Y3837" t="n">
        <v/>
      </c>
      <c r="Z3837" t="n">
        <v/>
      </c>
      <c r="AA3837">
        <f>SUMIFS($S$2:S3837,$A$2:A3837,A3837,$N$2:N3837,"Explore*")</f>
        <v/>
      </c>
      <c r="AB3837">
        <f>IF(AND(LEFT(N3837,7)="Explore",(AA3837-IF(LEFT(N3837,7)="Explore",S3837,0))&lt;10),"SI","NO")</f>
        <v/>
      </c>
    </row>
    <row r="3838">
      <c r="A3838" t="inlineStr">
        <is>
          <t>c53f1_test</t>
        </is>
      </c>
      <c r="B3838" t="inlineStr">
        <is>
          <t>2026-02-18 14:18:37.136</t>
        </is>
      </c>
      <c r="C3838" t="n">
        <v/>
      </c>
      <c r="D3838" t="inlineStr">
        <is>
          <t>Media file</t>
        </is>
      </c>
      <c r="E3838" t="inlineStr">
        <is>
          <t>player #1:WT\test\c53f1.mp4</t>
        </is>
      </c>
      <c r="F3838" t="n">
        <v>-17.6</v>
      </c>
      <c r="G3838" t="n">
        <v>562.966</v>
      </c>
      <c r="H3838" t="n">
        <v>638.833</v>
      </c>
      <c r="I3838" t="n">
        <v>30</v>
      </c>
      <c r="J3838" t="inlineStr">
        <is>
          <t xml:space="preserve"> WT</t>
        </is>
      </c>
      <c r="K3838" t="inlineStr">
        <is>
          <t xml:space="preserve"> Female</t>
        </is>
      </c>
      <c r="L3838" t="inlineStr">
        <is>
          <t>No focal subject</t>
        </is>
      </c>
      <c r="M3838" t="n">
        <v>36.032</v>
      </c>
      <c r="N3838" t="inlineStr">
        <is>
          <t>Explore_F</t>
        </is>
      </c>
      <c r="O3838" t="inlineStr">
        <is>
          <t>Familiar</t>
        </is>
      </c>
      <c r="P3838" t="inlineStr">
        <is>
          <t>STATE</t>
        </is>
      </c>
      <c r="Q3838" t="n">
        <v>476.433</v>
      </c>
      <c r="R3838" t="n">
        <v>476.699</v>
      </c>
      <c r="S3838" t="n">
        <v>0.266</v>
      </c>
      <c r="T3838" t="inlineStr">
        <is>
          <t>WT\test\c53f1.mp4</t>
        </is>
      </c>
      <c r="U3838" t="n">
        <v>14288</v>
      </c>
      <c r="V3838" t="n">
        <v>14296</v>
      </c>
      <c r="W3838" t="n">
        <v/>
      </c>
      <c r="X3838" t="n">
        <v/>
      </c>
      <c r="Y3838" t="n">
        <v/>
      </c>
      <c r="Z3838" t="n">
        <v/>
      </c>
      <c r="AA3838">
        <f>SUMIFS($S$2:S3838,$A$2:A3838,A3838,$N$2:N3838,"Explore*")</f>
        <v/>
      </c>
      <c r="AB3838">
        <f>IF(AND(LEFT(N3838,7)="Explore",(AA3838-IF(LEFT(N3838,7)="Explore",S3838,0))&lt;10),"SI","NO")</f>
        <v/>
      </c>
    </row>
    <row r="3839">
      <c r="A3839" t="inlineStr">
        <is>
          <t>c53f1_test</t>
        </is>
      </c>
      <c r="B3839" t="inlineStr">
        <is>
          <t>2026-02-18 14:18:37.136</t>
        </is>
      </c>
      <c r="C3839" t="n">
        <v/>
      </c>
      <c r="D3839" t="inlineStr">
        <is>
          <t>Media file</t>
        </is>
      </c>
      <c r="E3839" t="inlineStr">
        <is>
          <t>player #1:WT\test\c53f1.mp4</t>
        </is>
      </c>
      <c r="F3839" t="n">
        <v>-17.6</v>
      </c>
      <c r="G3839" t="n">
        <v>562.966</v>
      </c>
      <c r="H3839" t="n">
        <v>638.833</v>
      </c>
      <c r="I3839" t="n">
        <v>30</v>
      </c>
      <c r="J3839" t="inlineStr">
        <is>
          <t xml:space="preserve"> WT</t>
        </is>
      </c>
      <c r="K3839" t="inlineStr">
        <is>
          <t xml:space="preserve"> Female</t>
        </is>
      </c>
      <c r="L3839" t="inlineStr">
        <is>
          <t>No focal subject</t>
        </is>
      </c>
      <c r="M3839" t="n">
        <v>36.032</v>
      </c>
      <c r="N3839" t="inlineStr">
        <is>
          <t>Explore_N</t>
        </is>
      </c>
      <c r="O3839" t="inlineStr">
        <is>
          <t>Novelty</t>
        </is>
      </c>
      <c r="P3839" t="inlineStr">
        <is>
          <t>STATE</t>
        </is>
      </c>
      <c r="Q3839" t="n">
        <v>487.199</v>
      </c>
      <c r="R3839" t="n">
        <v>487.999</v>
      </c>
      <c r="S3839" t="n">
        <v>0.8</v>
      </c>
      <c r="T3839" t="inlineStr">
        <is>
          <t>WT\test\c53f1.mp4</t>
        </is>
      </c>
      <c r="U3839" t="n">
        <v>14611</v>
      </c>
      <c r="V3839" t="n">
        <v>14635</v>
      </c>
      <c r="W3839" t="n">
        <v/>
      </c>
      <c r="X3839" t="n">
        <v/>
      </c>
      <c r="Y3839" t="n">
        <v/>
      </c>
      <c r="Z3839" t="n">
        <v/>
      </c>
      <c r="AA3839">
        <f>SUMIFS($S$2:S3839,$A$2:A3839,A3839,$N$2:N3839,"Explore*")</f>
        <v/>
      </c>
      <c r="AB3839">
        <f>IF(AND(LEFT(N3839,7)="Explore",(AA3839-IF(LEFT(N3839,7)="Explore",S3839,0))&lt;10),"SI","NO")</f>
        <v/>
      </c>
    </row>
    <row r="3840">
      <c r="A3840" t="inlineStr">
        <is>
          <t>c53f1_test</t>
        </is>
      </c>
      <c r="B3840" t="inlineStr">
        <is>
          <t>2026-02-18 14:18:37.136</t>
        </is>
      </c>
      <c r="C3840" t="n">
        <v/>
      </c>
      <c r="D3840" t="inlineStr">
        <is>
          <t>Media file</t>
        </is>
      </c>
      <c r="E3840" t="inlineStr">
        <is>
          <t>player #1:WT\test\c53f1.mp4</t>
        </is>
      </c>
      <c r="F3840" t="n">
        <v>-17.6</v>
      </c>
      <c r="G3840" t="n">
        <v>562.966</v>
      </c>
      <c r="H3840" t="n">
        <v>638.833</v>
      </c>
      <c r="I3840" t="n">
        <v>30</v>
      </c>
      <c r="J3840" t="inlineStr">
        <is>
          <t xml:space="preserve"> WT</t>
        </is>
      </c>
      <c r="K3840" t="inlineStr">
        <is>
          <t xml:space="preserve"> Female</t>
        </is>
      </c>
      <c r="L3840" t="inlineStr">
        <is>
          <t>No focal subject</t>
        </is>
      </c>
      <c r="M3840" t="n">
        <v>36.032</v>
      </c>
      <c r="N3840" t="inlineStr">
        <is>
          <t>Explore_N</t>
        </is>
      </c>
      <c r="O3840" t="inlineStr">
        <is>
          <t>Novelty</t>
        </is>
      </c>
      <c r="P3840" t="inlineStr">
        <is>
          <t>STATE</t>
        </is>
      </c>
      <c r="Q3840" t="n">
        <v>490.066</v>
      </c>
      <c r="R3840" t="n">
        <v>490.733</v>
      </c>
      <c r="S3840" t="n">
        <v>0.667</v>
      </c>
      <c r="T3840" t="inlineStr">
        <is>
          <t>WT\test\c53f1.mp4</t>
        </is>
      </c>
      <c r="U3840" t="n">
        <v>14697</v>
      </c>
      <c r="V3840" t="n">
        <v>14718</v>
      </c>
      <c r="W3840" t="n">
        <v/>
      </c>
      <c r="X3840" t="n">
        <v/>
      </c>
      <c r="Y3840" t="n">
        <v/>
      </c>
      <c r="Z3840" t="n">
        <v/>
      </c>
      <c r="AA3840">
        <f>SUMIFS($S$2:S3840,$A$2:A3840,A3840,$N$2:N3840,"Explore*")</f>
        <v/>
      </c>
      <c r="AB3840">
        <f>IF(AND(LEFT(N3840,7)="Explore",(AA3840-IF(LEFT(N3840,7)="Explore",S3840,0))&lt;10),"SI","NO")</f>
        <v/>
      </c>
    </row>
    <row r="3841">
      <c r="A3841" t="inlineStr">
        <is>
          <t>c53f1_test</t>
        </is>
      </c>
      <c r="B3841" t="inlineStr">
        <is>
          <t>2026-02-18 14:18:37.136</t>
        </is>
      </c>
      <c r="C3841" t="n">
        <v/>
      </c>
      <c r="D3841" t="inlineStr">
        <is>
          <t>Media file</t>
        </is>
      </c>
      <c r="E3841" t="inlineStr">
        <is>
          <t>player #1:WT\test\c53f1.mp4</t>
        </is>
      </c>
      <c r="F3841" t="n">
        <v>-17.6</v>
      </c>
      <c r="G3841" t="n">
        <v>562.966</v>
      </c>
      <c r="H3841" t="n">
        <v>638.833</v>
      </c>
      <c r="I3841" t="n">
        <v>30</v>
      </c>
      <c r="J3841" t="inlineStr">
        <is>
          <t xml:space="preserve"> WT</t>
        </is>
      </c>
      <c r="K3841" t="inlineStr">
        <is>
          <t xml:space="preserve"> Female</t>
        </is>
      </c>
      <c r="L3841" t="inlineStr">
        <is>
          <t>No focal subject</t>
        </is>
      </c>
      <c r="M3841" t="n">
        <v>36.032</v>
      </c>
      <c r="N3841" t="inlineStr">
        <is>
          <t>Explore_F</t>
        </is>
      </c>
      <c r="O3841" t="inlineStr">
        <is>
          <t>Familiar</t>
        </is>
      </c>
      <c r="P3841" t="inlineStr">
        <is>
          <t>STATE</t>
        </is>
      </c>
      <c r="Q3841" t="n">
        <v>496.133</v>
      </c>
      <c r="R3841" t="n">
        <v>496.433</v>
      </c>
      <c r="S3841" t="n">
        <v>0.3</v>
      </c>
      <c r="T3841" t="inlineStr">
        <is>
          <t>WT\test\c53f1.mp4</t>
        </is>
      </c>
      <c r="U3841" t="n">
        <v>15407</v>
      </c>
      <c r="V3841" t="n">
        <v>15416</v>
      </c>
      <c r="W3841" t="n">
        <v/>
      </c>
      <c r="X3841" t="n">
        <v/>
      </c>
      <c r="Y3841" t="n">
        <v/>
      </c>
      <c r="Z3841" t="n">
        <v/>
      </c>
      <c r="AA3841">
        <f>SUMIFS($S$2:S3841,$A$2:A3841,A3841,$N$2:N3841,"Explore*")</f>
        <v/>
      </c>
      <c r="AB3841">
        <f>IF(AND(LEFT(N3841,7)="Explore",(AA3841-IF(LEFT(N3841,7)="Explore",S3841,0))&lt;10),"SI","NO")</f>
        <v/>
      </c>
    </row>
    <row r="3842">
      <c r="A3842" t="inlineStr">
        <is>
          <t>c53f1_test</t>
        </is>
      </c>
      <c r="B3842" t="inlineStr">
        <is>
          <t>2026-02-18 14:18:37.136</t>
        </is>
      </c>
      <c r="C3842" t="n">
        <v/>
      </c>
      <c r="D3842" t="inlineStr">
        <is>
          <t>Media file</t>
        </is>
      </c>
      <c r="E3842" t="inlineStr">
        <is>
          <t>player #1:WT\test\c53f1.mp4</t>
        </is>
      </c>
      <c r="F3842" t="n">
        <v>-17.6</v>
      </c>
      <c r="G3842" t="n">
        <v>562.966</v>
      </c>
      <c r="H3842" t="n">
        <v>638.833</v>
      </c>
      <c r="I3842" t="n">
        <v>30</v>
      </c>
      <c r="J3842" t="inlineStr">
        <is>
          <t xml:space="preserve"> WT</t>
        </is>
      </c>
      <c r="K3842" t="inlineStr">
        <is>
          <t xml:space="preserve"> Female</t>
        </is>
      </c>
      <c r="L3842" t="inlineStr">
        <is>
          <t>No focal subject</t>
        </is>
      </c>
      <c r="M3842" t="n">
        <v>36.032</v>
      </c>
      <c r="N3842" t="inlineStr">
        <is>
          <t>Explore_N</t>
        </is>
      </c>
      <c r="O3842" t="inlineStr">
        <is>
          <t>Novelty</t>
        </is>
      </c>
      <c r="P3842" t="inlineStr">
        <is>
          <t>STATE</t>
        </is>
      </c>
      <c r="Q3842" t="n">
        <v>503.266</v>
      </c>
      <c r="R3842" t="n">
        <v>503.899</v>
      </c>
      <c r="S3842" t="n">
        <v>0.633</v>
      </c>
      <c r="T3842" t="inlineStr">
        <is>
          <t>WT\test\c53f1.mp4</t>
        </is>
      </c>
      <c r="U3842" t="n">
        <v>15621</v>
      </c>
      <c r="V3842" t="n">
        <v>15640</v>
      </c>
      <c r="W3842" t="n">
        <v/>
      </c>
      <c r="X3842" t="n">
        <v/>
      </c>
      <c r="Y3842" t="n">
        <v/>
      </c>
      <c r="Z3842" t="n">
        <v/>
      </c>
      <c r="AA3842">
        <f>SUMIFS($S$2:S3842,$A$2:A3842,A3842,$N$2:N3842,"Explore*")</f>
        <v/>
      </c>
      <c r="AB3842">
        <f>IF(AND(LEFT(N3842,7)="Explore",(AA3842-IF(LEFT(N3842,7)="Explore",S3842,0))&lt;10),"SI","NO")</f>
        <v/>
      </c>
    </row>
    <row r="3843">
      <c r="A3843" t="inlineStr">
        <is>
          <t>c53f1_test</t>
        </is>
      </c>
      <c r="B3843" t="inlineStr">
        <is>
          <t>2026-02-18 14:18:37.136</t>
        </is>
      </c>
      <c r="C3843" t="n">
        <v/>
      </c>
      <c r="D3843" t="inlineStr">
        <is>
          <t>Media file</t>
        </is>
      </c>
      <c r="E3843" t="inlineStr">
        <is>
          <t>player #1:WT\test\c53f1.mp4</t>
        </is>
      </c>
      <c r="F3843" t="n">
        <v>-17.6</v>
      </c>
      <c r="G3843" t="n">
        <v>562.966</v>
      </c>
      <c r="H3843" t="n">
        <v>638.833</v>
      </c>
      <c r="I3843" t="n">
        <v>30</v>
      </c>
      <c r="J3843" t="inlineStr">
        <is>
          <t xml:space="preserve"> WT</t>
        </is>
      </c>
      <c r="K3843" t="inlineStr">
        <is>
          <t xml:space="preserve"> Female</t>
        </is>
      </c>
      <c r="L3843" t="inlineStr">
        <is>
          <t>No focal subject</t>
        </is>
      </c>
      <c r="M3843" t="n">
        <v>36.032</v>
      </c>
      <c r="N3843" t="inlineStr">
        <is>
          <t>Explore_F</t>
        </is>
      </c>
      <c r="O3843" t="inlineStr">
        <is>
          <t>Familiar</t>
        </is>
      </c>
      <c r="P3843" t="inlineStr">
        <is>
          <t>STATE</t>
        </is>
      </c>
      <c r="Q3843" t="n">
        <v>505.166</v>
      </c>
      <c r="R3843" t="n">
        <v>505.666</v>
      </c>
      <c r="S3843" t="n">
        <v>0.5</v>
      </c>
      <c r="T3843" t="inlineStr">
        <is>
          <t>WT\test\c53f1.mp4</t>
        </is>
      </c>
      <c r="U3843" t="n">
        <v>15678</v>
      </c>
      <c r="V3843" t="n">
        <v>15693</v>
      </c>
      <c r="W3843" t="n">
        <v/>
      </c>
      <c r="X3843" t="n">
        <v/>
      </c>
      <c r="Y3843" t="n">
        <v/>
      </c>
      <c r="Z3843" t="n">
        <v/>
      </c>
      <c r="AA3843">
        <f>SUMIFS($S$2:S3843,$A$2:A3843,A3843,$N$2:N3843,"Explore*")</f>
        <v/>
      </c>
      <c r="AB3843">
        <f>IF(AND(LEFT(N3843,7)="Explore",(AA3843-IF(LEFT(N3843,7)="Explore",S3843,0))&lt;10),"SI","NO")</f>
        <v/>
      </c>
    </row>
    <row r="3844">
      <c r="A3844" t="inlineStr">
        <is>
          <t>c53f1_test</t>
        </is>
      </c>
      <c r="B3844" t="inlineStr">
        <is>
          <t>2026-02-18 14:18:37.136</t>
        </is>
      </c>
      <c r="C3844" t="n">
        <v/>
      </c>
      <c r="D3844" t="inlineStr">
        <is>
          <t>Media file</t>
        </is>
      </c>
      <c r="E3844" t="inlineStr">
        <is>
          <t>player #1:WT\test\c53f1.mp4</t>
        </is>
      </c>
      <c r="F3844" t="n">
        <v>-17.6</v>
      </c>
      <c r="G3844" t="n">
        <v>562.966</v>
      </c>
      <c r="H3844" t="n">
        <v>638.833</v>
      </c>
      <c r="I3844" t="n">
        <v>30</v>
      </c>
      <c r="J3844" t="inlineStr">
        <is>
          <t xml:space="preserve"> WT</t>
        </is>
      </c>
      <c r="K3844" t="inlineStr">
        <is>
          <t xml:space="preserve"> Female</t>
        </is>
      </c>
      <c r="L3844" t="inlineStr">
        <is>
          <t>No focal subject</t>
        </is>
      </c>
      <c r="M3844" t="n">
        <v>36.032</v>
      </c>
      <c r="N3844" t="inlineStr">
        <is>
          <t>Explore_N</t>
        </is>
      </c>
      <c r="O3844" t="inlineStr">
        <is>
          <t>Novelty</t>
        </is>
      </c>
      <c r="P3844" t="inlineStr">
        <is>
          <t>STATE</t>
        </is>
      </c>
      <c r="Q3844" t="n">
        <v>506.066</v>
      </c>
      <c r="R3844" t="n">
        <v>507.066</v>
      </c>
      <c r="S3844" t="n">
        <v>1</v>
      </c>
      <c r="T3844" t="inlineStr">
        <is>
          <t>WT\test\c53f1.mp4</t>
        </is>
      </c>
      <c r="U3844" t="n">
        <v>15705</v>
      </c>
      <c r="V3844" t="n">
        <v>15735</v>
      </c>
      <c r="W3844" t="n">
        <v/>
      </c>
      <c r="X3844" t="n">
        <v/>
      </c>
      <c r="Y3844" t="n">
        <v/>
      </c>
      <c r="Z3844" t="n">
        <v/>
      </c>
      <c r="AA3844">
        <f>SUMIFS($S$2:S3844,$A$2:A3844,A3844,$N$2:N3844,"Explore*")</f>
        <v/>
      </c>
      <c r="AB3844">
        <f>IF(AND(LEFT(N3844,7)="Explore",(AA3844-IF(LEFT(N3844,7)="Explore",S3844,0))&lt;10),"SI","NO")</f>
        <v/>
      </c>
    </row>
    <row r="3845">
      <c r="A3845" t="inlineStr">
        <is>
          <t>c53f1_test</t>
        </is>
      </c>
      <c r="B3845" t="inlineStr">
        <is>
          <t>2026-02-18 14:18:37.136</t>
        </is>
      </c>
      <c r="C3845" t="n">
        <v/>
      </c>
      <c r="D3845" t="inlineStr">
        <is>
          <t>Media file</t>
        </is>
      </c>
      <c r="E3845" t="inlineStr">
        <is>
          <t>player #1:WT\test\c53f1.mp4</t>
        </is>
      </c>
      <c r="F3845" t="n">
        <v>-17.6</v>
      </c>
      <c r="G3845" t="n">
        <v>562.966</v>
      </c>
      <c r="H3845" t="n">
        <v>638.833</v>
      </c>
      <c r="I3845" t="n">
        <v>30</v>
      </c>
      <c r="J3845" t="inlineStr">
        <is>
          <t xml:space="preserve"> WT</t>
        </is>
      </c>
      <c r="K3845" t="inlineStr">
        <is>
          <t xml:space="preserve"> Female</t>
        </is>
      </c>
      <c r="L3845" t="inlineStr">
        <is>
          <t>No focal subject</t>
        </is>
      </c>
      <c r="M3845" t="n">
        <v>36.032</v>
      </c>
      <c r="N3845" t="inlineStr">
        <is>
          <t>Explore_N</t>
        </is>
      </c>
      <c r="O3845" t="inlineStr">
        <is>
          <t>Novelty</t>
        </is>
      </c>
      <c r="P3845" t="inlineStr">
        <is>
          <t>STATE</t>
        </is>
      </c>
      <c r="Q3845" t="n">
        <v>508.066</v>
      </c>
      <c r="R3845" t="n">
        <v>509.099</v>
      </c>
      <c r="S3845" t="n">
        <v>1.033</v>
      </c>
      <c r="T3845" t="inlineStr">
        <is>
          <t>WT\test\c53f1.mp4</t>
        </is>
      </c>
      <c r="U3845" t="n">
        <v>15766</v>
      </c>
      <c r="V3845" t="n">
        <v>15796</v>
      </c>
      <c r="W3845" t="n">
        <v/>
      </c>
      <c r="X3845" t="n">
        <v/>
      </c>
      <c r="Y3845" t="n">
        <v/>
      </c>
      <c r="Z3845" t="n">
        <v/>
      </c>
      <c r="AA3845">
        <f>SUMIFS($S$2:S3845,$A$2:A3845,A3845,$N$2:N3845,"Explore*")</f>
        <v/>
      </c>
      <c r="AB3845">
        <f>IF(AND(LEFT(N3845,7)="Explore",(AA3845-IF(LEFT(N3845,7)="Explore",S3845,0))&lt;10),"SI","NO")</f>
        <v/>
      </c>
    </row>
    <row r="3846">
      <c r="A3846" t="inlineStr">
        <is>
          <t>c53f1_test</t>
        </is>
      </c>
      <c r="B3846" t="inlineStr">
        <is>
          <t>2026-02-18 14:18:37.136</t>
        </is>
      </c>
      <c r="C3846" t="n">
        <v/>
      </c>
      <c r="D3846" t="inlineStr">
        <is>
          <t>Media file</t>
        </is>
      </c>
      <c r="E3846" t="inlineStr">
        <is>
          <t>player #1:WT\test\c53f1.mp4</t>
        </is>
      </c>
      <c r="F3846" t="n">
        <v>-17.6</v>
      </c>
      <c r="G3846" t="n">
        <v>562.966</v>
      </c>
      <c r="H3846" t="n">
        <v>638.833</v>
      </c>
      <c r="I3846" t="n">
        <v>30</v>
      </c>
      <c r="J3846" t="inlineStr">
        <is>
          <t xml:space="preserve"> WT</t>
        </is>
      </c>
      <c r="K3846" t="inlineStr">
        <is>
          <t xml:space="preserve"> Female</t>
        </is>
      </c>
      <c r="L3846" t="inlineStr">
        <is>
          <t>No focal subject</t>
        </is>
      </c>
      <c r="M3846" t="n">
        <v>36.032</v>
      </c>
      <c r="N3846" t="inlineStr">
        <is>
          <t>Explore_N</t>
        </is>
      </c>
      <c r="O3846" t="inlineStr">
        <is>
          <t>Novelty</t>
        </is>
      </c>
      <c r="P3846" t="inlineStr">
        <is>
          <t>STATE</t>
        </is>
      </c>
      <c r="Q3846" t="n">
        <v>512.799</v>
      </c>
      <c r="R3846" t="n">
        <v>515.699</v>
      </c>
      <c r="S3846" t="n">
        <v>2.9</v>
      </c>
      <c r="T3846" t="inlineStr">
        <is>
          <t>WT\test\c53f1.mp4</t>
        </is>
      </c>
      <c r="U3846" t="n">
        <v>15907</v>
      </c>
      <c r="V3846" t="n">
        <v>15994</v>
      </c>
      <c r="W3846" t="n">
        <v/>
      </c>
      <c r="X3846" t="n">
        <v/>
      </c>
      <c r="Y3846" t="n">
        <v/>
      </c>
      <c r="Z3846" t="n">
        <v/>
      </c>
      <c r="AA3846">
        <f>SUMIFS($S$2:S3846,$A$2:A3846,A3846,$N$2:N3846,"Explore*")</f>
        <v/>
      </c>
      <c r="AB3846">
        <f>IF(AND(LEFT(N3846,7)="Explore",(AA3846-IF(LEFT(N3846,7)="Explore",S3846,0))&lt;10),"SI","NO")</f>
        <v/>
      </c>
    </row>
    <row r="3847">
      <c r="A3847" t="inlineStr">
        <is>
          <t>c53f1_test</t>
        </is>
      </c>
      <c r="B3847" t="inlineStr">
        <is>
          <t>2026-02-18 14:18:37.136</t>
        </is>
      </c>
      <c r="C3847" t="n">
        <v/>
      </c>
      <c r="D3847" t="inlineStr">
        <is>
          <t>Media file</t>
        </is>
      </c>
      <c r="E3847" t="inlineStr">
        <is>
          <t>player #1:WT\test\c53f1.mp4</t>
        </is>
      </c>
      <c r="F3847" t="n">
        <v>-17.6</v>
      </c>
      <c r="G3847" t="n">
        <v>562.966</v>
      </c>
      <c r="H3847" t="n">
        <v>638.833</v>
      </c>
      <c r="I3847" t="n">
        <v>30</v>
      </c>
      <c r="J3847" t="inlineStr">
        <is>
          <t xml:space="preserve"> WT</t>
        </is>
      </c>
      <c r="K3847" t="inlineStr">
        <is>
          <t xml:space="preserve"> Female</t>
        </is>
      </c>
      <c r="L3847" t="inlineStr">
        <is>
          <t>No focal subject</t>
        </is>
      </c>
      <c r="M3847" t="n">
        <v>36.032</v>
      </c>
      <c r="N3847" t="inlineStr">
        <is>
          <t>Explore_N</t>
        </is>
      </c>
      <c r="O3847" t="inlineStr">
        <is>
          <t>Novelty</t>
        </is>
      </c>
      <c r="P3847" t="inlineStr">
        <is>
          <t>STATE</t>
        </is>
      </c>
      <c r="Q3847" t="n">
        <v>516.266</v>
      </c>
      <c r="R3847" t="n">
        <v>517.1660000000001</v>
      </c>
      <c r="S3847" t="n">
        <v>0.9</v>
      </c>
      <c r="T3847" t="inlineStr">
        <is>
          <t>WT\test\c53f1.mp4</t>
        </is>
      </c>
      <c r="U3847" t="n">
        <v>16011</v>
      </c>
      <c r="V3847" t="n">
        <v>16038</v>
      </c>
      <c r="W3847" t="n">
        <v/>
      </c>
      <c r="X3847" t="n">
        <v/>
      </c>
      <c r="Y3847" t="n">
        <v/>
      </c>
      <c r="Z3847" t="n">
        <v/>
      </c>
      <c r="AA3847">
        <f>SUMIFS($S$2:S3847,$A$2:A3847,A3847,$N$2:N3847,"Explore*")</f>
        <v/>
      </c>
      <c r="AB3847">
        <f>IF(AND(LEFT(N3847,7)="Explore",(AA3847-IF(LEFT(N3847,7)="Explore",S3847,0))&lt;10),"SI","NO")</f>
        <v/>
      </c>
    </row>
    <row r="3848">
      <c r="A3848" t="inlineStr">
        <is>
          <t>c53f1_test</t>
        </is>
      </c>
      <c r="B3848" t="inlineStr">
        <is>
          <t>2026-02-18 14:18:37.136</t>
        </is>
      </c>
      <c r="C3848" t="n">
        <v/>
      </c>
      <c r="D3848" t="inlineStr">
        <is>
          <t>Media file</t>
        </is>
      </c>
      <c r="E3848" t="inlineStr">
        <is>
          <t>player #1:WT\test\c53f1.mp4</t>
        </is>
      </c>
      <c r="F3848" t="n">
        <v>-17.6</v>
      </c>
      <c r="G3848" t="n">
        <v>562.966</v>
      </c>
      <c r="H3848" t="n">
        <v>638.833</v>
      </c>
      <c r="I3848" t="n">
        <v>30</v>
      </c>
      <c r="J3848" t="inlineStr">
        <is>
          <t xml:space="preserve"> WT</t>
        </is>
      </c>
      <c r="K3848" t="inlineStr">
        <is>
          <t xml:space="preserve"> Female</t>
        </is>
      </c>
      <c r="L3848" t="inlineStr">
        <is>
          <t>No focal subject</t>
        </is>
      </c>
      <c r="M3848" t="n">
        <v>36.032</v>
      </c>
      <c r="N3848" t="inlineStr">
        <is>
          <t>Explore_N</t>
        </is>
      </c>
      <c r="O3848" t="inlineStr">
        <is>
          <t>Novelty</t>
        </is>
      </c>
      <c r="P3848" t="inlineStr">
        <is>
          <t>STATE</t>
        </is>
      </c>
      <c r="Q3848" t="n">
        <v>520.299</v>
      </c>
      <c r="R3848" t="n">
        <v>520.799</v>
      </c>
      <c r="S3848" t="n">
        <v>0.5</v>
      </c>
      <c r="T3848" t="inlineStr">
        <is>
          <t>WT\test\c53f1.mp4</t>
        </is>
      </c>
      <c r="U3848" t="n">
        <v>16132</v>
      </c>
      <c r="V3848" t="n">
        <v>16147</v>
      </c>
      <c r="W3848" t="n">
        <v/>
      </c>
      <c r="X3848" t="n">
        <v/>
      </c>
      <c r="Y3848" t="n">
        <v/>
      </c>
      <c r="Z3848" t="n">
        <v/>
      </c>
      <c r="AA3848">
        <f>SUMIFS($S$2:S3848,$A$2:A3848,A3848,$N$2:N3848,"Explore*")</f>
        <v/>
      </c>
      <c r="AB3848">
        <f>IF(AND(LEFT(N3848,7)="Explore",(AA3848-IF(LEFT(N3848,7)="Explore",S3848,0))&lt;10),"SI","NO")</f>
        <v/>
      </c>
    </row>
    <row r="3849">
      <c r="A3849" t="inlineStr">
        <is>
          <t>c53f1_test</t>
        </is>
      </c>
      <c r="B3849" t="inlineStr">
        <is>
          <t>2026-02-18 14:18:37.136</t>
        </is>
      </c>
      <c r="C3849" t="n">
        <v/>
      </c>
      <c r="D3849" t="inlineStr">
        <is>
          <t>Media file</t>
        </is>
      </c>
      <c r="E3849" t="inlineStr">
        <is>
          <t>player #1:WT\test\c53f1.mp4</t>
        </is>
      </c>
      <c r="F3849" t="n">
        <v>-17.6</v>
      </c>
      <c r="G3849" t="n">
        <v>562.966</v>
      </c>
      <c r="H3849" t="n">
        <v>638.833</v>
      </c>
      <c r="I3849" t="n">
        <v>30</v>
      </c>
      <c r="J3849" t="inlineStr">
        <is>
          <t xml:space="preserve"> WT</t>
        </is>
      </c>
      <c r="K3849" t="inlineStr">
        <is>
          <t xml:space="preserve"> Female</t>
        </is>
      </c>
      <c r="L3849" t="inlineStr">
        <is>
          <t>No focal subject</t>
        </is>
      </c>
      <c r="M3849" t="n">
        <v>36.032</v>
      </c>
      <c r="N3849" t="inlineStr">
        <is>
          <t>Explore_N</t>
        </is>
      </c>
      <c r="O3849" t="inlineStr">
        <is>
          <t>Novelty</t>
        </is>
      </c>
      <c r="P3849" t="inlineStr">
        <is>
          <t>STATE</t>
        </is>
      </c>
      <c r="Q3849" t="n">
        <v>523.199</v>
      </c>
      <c r="R3849" t="n">
        <v>523.766</v>
      </c>
      <c r="S3849" t="n">
        <v>0.5669999999999999</v>
      </c>
      <c r="T3849" t="inlineStr">
        <is>
          <t>WT\test\c53f1.mp4</t>
        </is>
      </c>
      <c r="U3849" t="n">
        <v>16219</v>
      </c>
      <c r="V3849" t="n">
        <v>16236</v>
      </c>
      <c r="W3849" t="n">
        <v/>
      </c>
      <c r="X3849" t="n">
        <v/>
      </c>
      <c r="Y3849" t="n">
        <v/>
      </c>
      <c r="Z3849" t="n">
        <v/>
      </c>
      <c r="AA3849">
        <f>SUMIFS($S$2:S3849,$A$2:A3849,A3849,$N$2:N3849,"Explore*")</f>
        <v/>
      </c>
      <c r="AB3849">
        <f>IF(AND(LEFT(N3849,7)="Explore",(AA3849-IF(LEFT(N3849,7)="Explore",S3849,0))&lt;10),"SI","NO")</f>
        <v/>
      </c>
    </row>
    <row r="3850">
      <c r="A3850" t="inlineStr">
        <is>
          <t>c53f1_test</t>
        </is>
      </c>
      <c r="B3850" t="inlineStr">
        <is>
          <t>2026-02-18 14:18:37.136</t>
        </is>
      </c>
      <c r="C3850" t="n">
        <v/>
      </c>
      <c r="D3850" t="inlineStr">
        <is>
          <t>Media file</t>
        </is>
      </c>
      <c r="E3850" t="inlineStr">
        <is>
          <t>player #1:WT\test\c53f1.mp4</t>
        </is>
      </c>
      <c r="F3850" t="n">
        <v>-17.6</v>
      </c>
      <c r="G3850" t="n">
        <v>562.966</v>
      </c>
      <c r="H3850" t="n">
        <v>638.833</v>
      </c>
      <c r="I3850" t="n">
        <v>30</v>
      </c>
      <c r="J3850" t="inlineStr">
        <is>
          <t xml:space="preserve"> WT</t>
        </is>
      </c>
      <c r="K3850" t="inlineStr">
        <is>
          <t xml:space="preserve"> Female</t>
        </is>
      </c>
      <c r="L3850" t="inlineStr">
        <is>
          <t>No focal subject</t>
        </is>
      </c>
      <c r="M3850" t="n">
        <v>36.032</v>
      </c>
      <c r="N3850" t="inlineStr">
        <is>
          <t>Explore_F</t>
        </is>
      </c>
      <c r="O3850" t="inlineStr">
        <is>
          <t>Familiar</t>
        </is>
      </c>
      <c r="P3850" t="inlineStr">
        <is>
          <t>STATE</t>
        </is>
      </c>
      <c r="Q3850" t="n">
        <v>550.799</v>
      </c>
      <c r="R3850" t="n">
        <v>551.1660000000001</v>
      </c>
      <c r="S3850" t="n">
        <v>0.367</v>
      </c>
      <c r="T3850" t="inlineStr">
        <is>
          <t>WT\test\c53f1.mp4</t>
        </is>
      </c>
      <c r="U3850" t="n">
        <v>17046</v>
      </c>
      <c r="V3850" t="n">
        <v>17057</v>
      </c>
      <c r="W3850" t="n">
        <v/>
      </c>
      <c r="X3850" t="n">
        <v/>
      </c>
      <c r="Y3850" t="n">
        <v/>
      </c>
      <c r="Z3850" t="n">
        <v/>
      </c>
      <c r="AA3850">
        <f>SUMIFS($S$2:S3850,$A$2:A3850,A3850,$N$2:N3850,"Explore*")</f>
        <v/>
      </c>
      <c r="AB3850">
        <f>IF(AND(LEFT(N3850,7)="Explore",(AA3850-IF(LEFT(N3850,7)="Explore",S3850,0))&lt;10),"SI","NO")</f>
        <v/>
      </c>
    </row>
    <row r="3851">
      <c r="A3851" t="inlineStr">
        <is>
          <t>c53f1_test</t>
        </is>
      </c>
      <c r="B3851" t="inlineStr">
        <is>
          <t>2026-02-18 14:18:37.136</t>
        </is>
      </c>
      <c r="C3851" t="n">
        <v/>
      </c>
      <c r="D3851" t="inlineStr">
        <is>
          <t>Media file</t>
        </is>
      </c>
      <c r="E3851" t="inlineStr">
        <is>
          <t>player #1:WT\test\c53f1.mp4</t>
        </is>
      </c>
      <c r="F3851" t="n">
        <v>-17.6</v>
      </c>
      <c r="G3851" t="n">
        <v>562.966</v>
      </c>
      <c r="H3851" t="n">
        <v>638.833</v>
      </c>
      <c r="I3851" t="n">
        <v>30</v>
      </c>
      <c r="J3851" t="inlineStr">
        <is>
          <t xml:space="preserve"> WT</t>
        </is>
      </c>
      <c r="K3851" t="inlineStr">
        <is>
          <t xml:space="preserve"> Female</t>
        </is>
      </c>
      <c r="L3851" t="inlineStr">
        <is>
          <t>No focal subject</t>
        </is>
      </c>
      <c r="M3851" t="n">
        <v>36.032</v>
      </c>
      <c r="N3851" t="inlineStr">
        <is>
          <t>Explore_N</t>
        </is>
      </c>
      <c r="O3851" t="inlineStr">
        <is>
          <t>Novelty</t>
        </is>
      </c>
      <c r="P3851" t="inlineStr">
        <is>
          <t>STATE</t>
        </is>
      </c>
      <c r="Q3851" t="n">
        <v>561.633</v>
      </c>
      <c r="R3851" t="n">
        <v>562.566</v>
      </c>
      <c r="S3851" t="n">
        <v>0.9330000000000001</v>
      </c>
      <c r="T3851" t="inlineStr">
        <is>
          <t>WT\test\c53f1.mp4</t>
        </is>
      </c>
      <c r="U3851" t="n">
        <v>17371</v>
      </c>
      <c r="V3851" t="n">
        <v>17399</v>
      </c>
      <c r="W3851" t="n">
        <v/>
      </c>
      <c r="X3851" t="n">
        <v/>
      </c>
      <c r="Y3851" t="n">
        <v/>
      </c>
      <c r="Z3851" t="n">
        <v/>
      </c>
      <c r="AA3851">
        <f>SUMIFS($S$2:S3851,$A$2:A3851,A3851,$N$2:N3851,"Explore*")</f>
        <v/>
      </c>
      <c r="AB3851">
        <f>IF(AND(LEFT(N3851,7)="Explore",(AA3851-IF(LEFT(N3851,7)="Explore",S3851,0))&lt;10),"SI","NO")</f>
        <v/>
      </c>
    </row>
    <row r="3852">
      <c r="A3852" t="inlineStr">
        <is>
          <t>c53f1_test</t>
        </is>
      </c>
      <c r="B3852" t="inlineStr">
        <is>
          <t>2026-02-18 14:18:37.136</t>
        </is>
      </c>
      <c r="C3852" t="n">
        <v/>
      </c>
      <c r="D3852" t="inlineStr">
        <is>
          <t>Media file</t>
        </is>
      </c>
      <c r="E3852" t="inlineStr">
        <is>
          <t>player #1:WT\test\c53f1.mp4</t>
        </is>
      </c>
      <c r="F3852" t="n">
        <v>-17.6</v>
      </c>
      <c r="G3852" t="n">
        <v>562.966</v>
      </c>
      <c r="H3852" t="n">
        <v>638.833</v>
      </c>
      <c r="I3852" t="n">
        <v>30</v>
      </c>
      <c r="J3852" t="inlineStr">
        <is>
          <t xml:space="preserve"> WT</t>
        </is>
      </c>
      <c r="K3852" t="inlineStr">
        <is>
          <t xml:space="preserve"> Female</t>
        </is>
      </c>
      <c r="L3852" t="inlineStr">
        <is>
          <t>No focal subject</t>
        </is>
      </c>
      <c r="M3852" t="n">
        <v>36.032</v>
      </c>
      <c r="N3852" t="inlineStr">
        <is>
          <t>Explore_N</t>
        </is>
      </c>
      <c r="O3852" t="inlineStr">
        <is>
          <t>Novelty</t>
        </is>
      </c>
      <c r="P3852" t="inlineStr">
        <is>
          <t>STATE</t>
        </is>
      </c>
      <c r="Q3852" t="n">
        <v>566.299</v>
      </c>
      <c r="R3852" t="n">
        <v>567.299</v>
      </c>
      <c r="S3852" t="n">
        <v>1</v>
      </c>
      <c r="T3852" t="inlineStr">
        <is>
          <t>WT\test\c53f1.mp4</t>
        </is>
      </c>
      <c r="U3852" t="n">
        <v>17511</v>
      </c>
      <c r="V3852" t="n">
        <v>17541</v>
      </c>
      <c r="W3852" t="n">
        <v/>
      </c>
      <c r="X3852" t="n">
        <v/>
      </c>
      <c r="Y3852" t="n">
        <v/>
      </c>
      <c r="Z3852" t="n">
        <v/>
      </c>
      <c r="AA3852">
        <f>SUMIFS($S$2:S3852,$A$2:A3852,A3852,$N$2:N3852,"Explore*")</f>
        <v/>
      </c>
      <c r="AB3852">
        <f>IF(AND(LEFT(N3852,7)="Explore",(AA3852-IF(LEFT(N3852,7)="Explore",S3852,0))&lt;10),"SI","NO")</f>
        <v/>
      </c>
    </row>
    <row r="3853">
      <c r="A3853" t="inlineStr">
        <is>
          <t>c53f1_test</t>
        </is>
      </c>
      <c r="B3853" t="inlineStr">
        <is>
          <t>2026-02-18 14:18:37.136</t>
        </is>
      </c>
      <c r="C3853" t="n">
        <v/>
      </c>
      <c r="D3853" t="inlineStr">
        <is>
          <t>Media file</t>
        </is>
      </c>
      <c r="E3853" t="inlineStr">
        <is>
          <t>player #1:WT\test\c53f1.mp4</t>
        </is>
      </c>
      <c r="F3853" t="n">
        <v>-17.6</v>
      </c>
      <c r="G3853" t="n">
        <v>562.966</v>
      </c>
      <c r="H3853" t="n">
        <v>638.833</v>
      </c>
      <c r="I3853" t="n">
        <v>30</v>
      </c>
      <c r="J3853" t="inlineStr">
        <is>
          <t xml:space="preserve"> WT</t>
        </is>
      </c>
      <c r="K3853" t="inlineStr">
        <is>
          <t xml:space="preserve"> Female</t>
        </is>
      </c>
      <c r="L3853" t="inlineStr">
        <is>
          <t>No focal subject</t>
        </is>
      </c>
      <c r="M3853" t="n">
        <v>36.032</v>
      </c>
      <c r="N3853" t="inlineStr">
        <is>
          <t>Explore_N</t>
        </is>
      </c>
      <c r="O3853" t="inlineStr">
        <is>
          <t>Novelty</t>
        </is>
      </c>
      <c r="P3853" t="inlineStr">
        <is>
          <t>STATE</t>
        </is>
      </c>
      <c r="Q3853" t="n">
        <v>568.699</v>
      </c>
      <c r="R3853" t="n">
        <v>570.599</v>
      </c>
      <c r="S3853" t="n">
        <v>1.9</v>
      </c>
      <c r="T3853" t="inlineStr">
        <is>
          <t>WT\test\c53f1.mp4</t>
        </is>
      </c>
      <c r="U3853" t="n">
        <v>17583</v>
      </c>
      <c r="V3853" t="n">
        <v>17640</v>
      </c>
      <c r="W3853" t="n">
        <v/>
      </c>
      <c r="X3853" t="n">
        <v/>
      </c>
      <c r="Y3853" t="n">
        <v/>
      </c>
      <c r="Z3853" t="n">
        <v/>
      </c>
      <c r="AA3853">
        <f>SUMIFS($S$2:S3853,$A$2:A3853,A3853,$N$2:N3853,"Explore*")</f>
        <v/>
      </c>
      <c r="AB3853">
        <f>IF(AND(LEFT(N3853,7)="Explore",(AA3853-IF(LEFT(N3853,7)="Explore",S3853,0))&lt;10),"SI","NO")</f>
        <v/>
      </c>
    </row>
    <row r="3854">
      <c r="A3854" t="inlineStr">
        <is>
          <t>c53f1_test</t>
        </is>
      </c>
      <c r="B3854" t="inlineStr">
        <is>
          <t>2026-02-18 14:18:37.136</t>
        </is>
      </c>
      <c r="C3854" t="n">
        <v/>
      </c>
      <c r="D3854" t="inlineStr">
        <is>
          <t>Media file</t>
        </is>
      </c>
      <c r="E3854" t="inlineStr">
        <is>
          <t>player #1:WT\test\c53f1.mp4</t>
        </is>
      </c>
      <c r="F3854" t="n">
        <v>-17.6</v>
      </c>
      <c r="G3854" t="n">
        <v>562.966</v>
      </c>
      <c r="H3854" t="n">
        <v>638.833</v>
      </c>
      <c r="I3854" t="n">
        <v>30</v>
      </c>
      <c r="J3854" t="inlineStr">
        <is>
          <t xml:space="preserve"> WT</t>
        </is>
      </c>
      <c r="K3854" t="inlineStr">
        <is>
          <t xml:space="preserve"> Female</t>
        </is>
      </c>
      <c r="L3854" t="inlineStr">
        <is>
          <t>No focal subject</t>
        </is>
      </c>
      <c r="M3854" t="n">
        <v>36.032</v>
      </c>
      <c r="N3854" t="inlineStr">
        <is>
          <t>Explore_N</t>
        </is>
      </c>
      <c r="O3854" t="inlineStr">
        <is>
          <t>Novelty</t>
        </is>
      </c>
      <c r="P3854" t="inlineStr">
        <is>
          <t>STATE</t>
        </is>
      </c>
      <c r="Q3854" t="n">
        <v>571.466</v>
      </c>
      <c r="R3854" t="n">
        <v>572.266</v>
      </c>
      <c r="S3854" t="n">
        <v>0.8</v>
      </c>
      <c r="T3854" t="inlineStr">
        <is>
          <t>WT\test\c53f1.mp4</t>
        </is>
      </c>
      <c r="U3854" t="n">
        <v>17666</v>
      </c>
      <c r="V3854" t="n">
        <v>17690</v>
      </c>
      <c r="W3854" t="n">
        <v/>
      </c>
      <c r="X3854" t="n">
        <v/>
      </c>
      <c r="Y3854" t="n">
        <v/>
      </c>
      <c r="Z3854" t="n">
        <v/>
      </c>
      <c r="AA3854">
        <f>SUMIFS($S$2:S3854,$A$2:A3854,A3854,$N$2:N3854,"Explore*")</f>
        <v/>
      </c>
      <c r="AB3854">
        <f>IF(AND(LEFT(N3854,7)="Explore",(AA3854-IF(LEFT(N3854,7)="Explore",S3854,0))&lt;10),"SI","NO")</f>
        <v/>
      </c>
    </row>
    <row r="3855">
      <c r="A3855" t="inlineStr">
        <is>
          <t>c53f1_test</t>
        </is>
      </c>
      <c r="B3855" t="inlineStr">
        <is>
          <t>2026-02-18 14:18:37.136</t>
        </is>
      </c>
      <c r="C3855" t="n">
        <v/>
      </c>
      <c r="D3855" t="inlineStr">
        <is>
          <t>Media file</t>
        </is>
      </c>
      <c r="E3855" t="inlineStr">
        <is>
          <t>player #1:WT\test\c53f1.mp4</t>
        </is>
      </c>
      <c r="F3855" t="n">
        <v>-17.6</v>
      </c>
      <c r="G3855" t="n">
        <v>562.966</v>
      </c>
      <c r="H3855" t="n">
        <v>638.833</v>
      </c>
      <c r="I3855" t="n">
        <v>30</v>
      </c>
      <c r="J3855" t="inlineStr">
        <is>
          <t xml:space="preserve"> WT</t>
        </is>
      </c>
      <c r="K3855" t="inlineStr">
        <is>
          <t xml:space="preserve"> Female</t>
        </is>
      </c>
      <c r="L3855" t="inlineStr">
        <is>
          <t>No focal subject</t>
        </is>
      </c>
      <c r="M3855" t="n">
        <v>36.032</v>
      </c>
      <c r="N3855" t="inlineStr">
        <is>
          <t>Explore_N</t>
        </is>
      </c>
      <c r="O3855" t="inlineStr">
        <is>
          <t>Novelty</t>
        </is>
      </c>
      <c r="P3855" t="inlineStr">
        <is>
          <t>STATE</t>
        </is>
      </c>
      <c r="Q3855" t="n">
        <v>574.066</v>
      </c>
      <c r="R3855" t="n">
        <v>575.799</v>
      </c>
      <c r="S3855" t="n">
        <v>1.733</v>
      </c>
      <c r="T3855" t="inlineStr">
        <is>
          <t>WT\test\c53f1.mp4</t>
        </is>
      </c>
      <c r="U3855" t="n">
        <v>17744</v>
      </c>
      <c r="V3855" t="n">
        <v>17796</v>
      </c>
      <c r="W3855" t="n">
        <v/>
      </c>
      <c r="X3855" t="n">
        <v/>
      </c>
      <c r="Y3855" t="n">
        <v/>
      </c>
      <c r="Z3855" t="n">
        <v/>
      </c>
      <c r="AA3855">
        <f>SUMIFS($S$2:S3855,$A$2:A3855,A3855,$N$2:N3855,"Explore*")</f>
        <v/>
      </c>
      <c r="AB3855">
        <f>IF(AND(LEFT(N3855,7)="Explore",(AA3855-IF(LEFT(N3855,7)="Explore",S3855,0))&lt;10),"SI","NO")</f>
        <v/>
      </c>
    </row>
    <row r="3856">
      <c r="A3856" t="inlineStr">
        <is>
          <t>c53f1_test</t>
        </is>
      </c>
      <c r="B3856" t="inlineStr">
        <is>
          <t>2026-02-18 14:18:37.136</t>
        </is>
      </c>
      <c r="C3856" t="n">
        <v/>
      </c>
      <c r="D3856" t="inlineStr">
        <is>
          <t>Media file</t>
        </is>
      </c>
      <c r="E3856" t="inlineStr">
        <is>
          <t>player #1:WT\test\c53f1.mp4</t>
        </is>
      </c>
      <c r="F3856" t="n">
        <v>-17.6</v>
      </c>
      <c r="G3856" t="n">
        <v>562.966</v>
      </c>
      <c r="H3856" t="n">
        <v>638.833</v>
      </c>
      <c r="I3856" t="n">
        <v>30</v>
      </c>
      <c r="J3856" t="inlineStr">
        <is>
          <t xml:space="preserve"> WT</t>
        </is>
      </c>
      <c r="K3856" t="inlineStr">
        <is>
          <t xml:space="preserve"> Female</t>
        </is>
      </c>
      <c r="L3856" t="inlineStr">
        <is>
          <t>No focal subject</t>
        </is>
      </c>
      <c r="M3856" t="n">
        <v>36.032</v>
      </c>
      <c r="N3856" t="inlineStr">
        <is>
          <t>Explore_N</t>
        </is>
      </c>
      <c r="O3856" t="inlineStr">
        <is>
          <t>Novelty</t>
        </is>
      </c>
      <c r="P3856" t="inlineStr">
        <is>
          <t>STATE</t>
        </is>
      </c>
      <c r="Q3856" t="n">
        <v>577.2329999999999</v>
      </c>
      <c r="R3856" t="n">
        <v>577.899</v>
      </c>
      <c r="S3856" t="n">
        <v>0.666</v>
      </c>
      <c r="T3856" t="inlineStr">
        <is>
          <t>WT\test\c53f1.mp4</t>
        </is>
      </c>
      <c r="U3856" t="n">
        <v>17839</v>
      </c>
      <c r="V3856" t="n">
        <v>17859</v>
      </c>
      <c r="W3856" t="n">
        <v/>
      </c>
      <c r="X3856" t="n">
        <v/>
      </c>
      <c r="Y3856" t="n">
        <v/>
      </c>
      <c r="Z3856" t="n">
        <v/>
      </c>
      <c r="AA3856">
        <f>SUMIFS($S$2:S3856,$A$2:A3856,A3856,$N$2:N3856,"Explore*")</f>
        <v/>
      </c>
      <c r="AB3856">
        <f>IF(AND(LEFT(N3856,7)="Explore",(AA3856-IF(LEFT(N3856,7)="Explore",S3856,0))&lt;10),"SI","NO")</f>
        <v/>
      </c>
    </row>
    <row r="3857">
      <c r="A3857" t="inlineStr">
        <is>
          <t>c53f2_test</t>
        </is>
      </c>
      <c r="B3857" t="inlineStr">
        <is>
          <t>2026-02-18 14:41:45.713</t>
        </is>
      </c>
      <c r="C3857" t="n">
        <v/>
      </c>
      <c r="D3857" t="inlineStr">
        <is>
          <t>Media file</t>
        </is>
      </c>
      <c r="E3857" t="inlineStr">
        <is>
          <t>player #1:WT\test\c53f2.mp4</t>
        </is>
      </c>
      <c r="F3857" t="n">
        <v>-21.1</v>
      </c>
      <c r="G3857" t="n">
        <v>593.066</v>
      </c>
      <c r="H3857" t="n">
        <v>634.566</v>
      </c>
      <c r="I3857" t="n">
        <v>30</v>
      </c>
      <c r="J3857" t="inlineStr">
        <is>
          <t xml:space="preserve"> WT</t>
        </is>
      </c>
      <c r="K3857" t="inlineStr">
        <is>
          <t xml:space="preserve"> Female</t>
        </is>
      </c>
      <c r="L3857" t="inlineStr">
        <is>
          <t>No focal subject</t>
        </is>
      </c>
      <c r="M3857" t="n">
        <v>19.236</v>
      </c>
      <c r="N3857" t="inlineStr">
        <is>
          <t>Explore_N</t>
        </is>
      </c>
      <c r="O3857" t="inlineStr">
        <is>
          <t>Novelty</t>
        </is>
      </c>
      <c r="P3857" t="inlineStr">
        <is>
          <t>STATE</t>
        </is>
      </c>
      <c r="Q3857" t="n">
        <v>3.8</v>
      </c>
      <c r="R3857" t="n">
        <v>4.7</v>
      </c>
      <c r="S3857" t="n">
        <v>0.9</v>
      </c>
      <c r="T3857" t="inlineStr">
        <is>
          <t>WT\test\c53f2.mp4</t>
        </is>
      </c>
      <c r="U3857" t="n">
        <v>114</v>
      </c>
      <c r="V3857" t="n">
        <v>141</v>
      </c>
      <c r="W3857" t="n">
        <v/>
      </c>
      <c r="X3857" t="n">
        <v/>
      </c>
      <c r="Y3857" t="n">
        <v/>
      </c>
      <c r="Z3857" t="n">
        <v/>
      </c>
      <c r="AA3857">
        <f>SUMIFS($S$2:S3857,$A$2:A3857,A3857,$N$2:N3857,"Explore*")</f>
        <v/>
      </c>
      <c r="AB3857">
        <f>IF(AND(LEFT(N3857,7)="Explore",(AA3857-IF(LEFT(N3857,7)="Explore",S3857,0))&lt;10),"SI","NO")</f>
        <v/>
      </c>
    </row>
    <row r="3858">
      <c r="A3858" t="inlineStr">
        <is>
          <t>c53f2_test</t>
        </is>
      </c>
      <c r="B3858" t="inlineStr">
        <is>
          <t>2026-02-18 14:41:45.713</t>
        </is>
      </c>
      <c r="C3858" t="n">
        <v/>
      </c>
      <c r="D3858" t="inlineStr">
        <is>
          <t>Media file</t>
        </is>
      </c>
      <c r="E3858" t="inlineStr">
        <is>
          <t>player #1:WT\test\c53f2.mp4</t>
        </is>
      </c>
      <c r="F3858" t="n">
        <v>-21.1</v>
      </c>
      <c r="G3858" t="n">
        <v>593.066</v>
      </c>
      <c r="H3858" t="n">
        <v>634.566</v>
      </c>
      <c r="I3858" t="n">
        <v>30</v>
      </c>
      <c r="J3858" t="inlineStr">
        <is>
          <t xml:space="preserve"> WT</t>
        </is>
      </c>
      <c r="K3858" t="inlineStr">
        <is>
          <t xml:space="preserve"> Female</t>
        </is>
      </c>
      <c r="L3858" t="inlineStr">
        <is>
          <t>No focal subject</t>
        </is>
      </c>
      <c r="M3858" t="n">
        <v>19.236</v>
      </c>
      <c r="N3858" t="inlineStr">
        <is>
          <t>Explore_F</t>
        </is>
      </c>
      <c r="O3858" t="inlineStr">
        <is>
          <t>Familiar</t>
        </is>
      </c>
      <c r="P3858" t="inlineStr">
        <is>
          <t>STATE</t>
        </is>
      </c>
      <c r="Q3858" t="n">
        <v>28.633</v>
      </c>
      <c r="R3858" t="n">
        <v>29.2</v>
      </c>
      <c r="S3858" t="n">
        <v>0.5669999999999999</v>
      </c>
      <c r="T3858" t="inlineStr">
        <is>
          <t>WT\test\c53f2.mp4</t>
        </is>
      </c>
      <c r="U3858" t="n">
        <v>859</v>
      </c>
      <c r="V3858" t="n">
        <v>876</v>
      </c>
      <c r="W3858" t="n">
        <v/>
      </c>
      <c r="X3858" t="n">
        <v/>
      </c>
      <c r="Y3858" t="n">
        <v/>
      </c>
      <c r="Z3858" t="n">
        <v/>
      </c>
      <c r="AA3858">
        <f>SUMIFS($S$2:S3858,$A$2:A3858,A3858,$N$2:N3858,"Explore*")</f>
        <v/>
      </c>
      <c r="AB3858">
        <f>IF(AND(LEFT(N3858,7)="Explore",(AA3858-IF(LEFT(N3858,7)="Explore",S3858,0))&lt;10),"SI","NO")</f>
        <v/>
      </c>
    </row>
    <row r="3859">
      <c r="A3859" t="inlineStr">
        <is>
          <t>c53f2_test</t>
        </is>
      </c>
      <c r="B3859" t="inlineStr">
        <is>
          <t>2026-02-18 14:41:45.713</t>
        </is>
      </c>
      <c r="C3859" t="n">
        <v/>
      </c>
      <c r="D3859" t="inlineStr">
        <is>
          <t>Media file</t>
        </is>
      </c>
      <c r="E3859" t="inlineStr">
        <is>
          <t>player #1:WT\test\c53f2.mp4</t>
        </is>
      </c>
      <c r="F3859" t="n">
        <v>-21.1</v>
      </c>
      <c r="G3859" t="n">
        <v>593.066</v>
      </c>
      <c r="H3859" t="n">
        <v>634.566</v>
      </c>
      <c r="I3859" t="n">
        <v>30</v>
      </c>
      <c r="J3859" t="inlineStr">
        <is>
          <t xml:space="preserve"> WT</t>
        </is>
      </c>
      <c r="K3859" t="inlineStr">
        <is>
          <t xml:space="preserve"> Female</t>
        </is>
      </c>
      <c r="L3859" t="inlineStr">
        <is>
          <t>No focal subject</t>
        </is>
      </c>
      <c r="M3859" t="n">
        <v>19.236</v>
      </c>
      <c r="N3859" t="inlineStr">
        <is>
          <t>Explore_N</t>
        </is>
      </c>
      <c r="O3859" t="inlineStr">
        <is>
          <t>Novelty</t>
        </is>
      </c>
      <c r="P3859" t="inlineStr">
        <is>
          <t>STATE</t>
        </is>
      </c>
      <c r="Q3859" t="n">
        <v>47.667</v>
      </c>
      <c r="R3859" t="n">
        <v>47.867</v>
      </c>
      <c r="S3859" t="n">
        <v>0.2</v>
      </c>
      <c r="T3859" t="inlineStr">
        <is>
          <t>WT\test\c53f2.mp4</t>
        </is>
      </c>
      <c r="U3859" t="n">
        <v>1430</v>
      </c>
      <c r="V3859" t="n">
        <v>1436</v>
      </c>
      <c r="W3859" t="n">
        <v/>
      </c>
      <c r="X3859" t="n">
        <v/>
      </c>
      <c r="Y3859" t="n">
        <v/>
      </c>
      <c r="Z3859" t="n">
        <v/>
      </c>
      <c r="AA3859">
        <f>SUMIFS($S$2:S3859,$A$2:A3859,A3859,$N$2:N3859,"Explore*")</f>
        <v/>
      </c>
      <c r="AB3859">
        <f>IF(AND(LEFT(N3859,7)="Explore",(AA3859-IF(LEFT(N3859,7)="Explore",S3859,0))&lt;10),"SI","NO")</f>
        <v/>
      </c>
    </row>
    <row r="3860">
      <c r="A3860" t="inlineStr">
        <is>
          <t>c53f2_test</t>
        </is>
      </c>
      <c r="B3860" t="inlineStr">
        <is>
          <t>2026-02-18 14:41:45.713</t>
        </is>
      </c>
      <c r="C3860" t="n">
        <v/>
      </c>
      <c r="D3860" t="inlineStr">
        <is>
          <t>Media file</t>
        </is>
      </c>
      <c r="E3860" t="inlineStr">
        <is>
          <t>player #1:WT\test\c53f2.mp4</t>
        </is>
      </c>
      <c r="F3860" t="n">
        <v>-21.1</v>
      </c>
      <c r="G3860" t="n">
        <v>593.066</v>
      </c>
      <c r="H3860" t="n">
        <v>634.566</v>
      </c>
      <c r="I3860" t="n">
        <v>30</v>
      </c>
      <c r="J3860" t="inlineStr">
        <is>
          <t xml:space="preserve"> WT</t>
        </is>
      </c>
      <c r="K3860" t="inlineStr">
        <is>
          <t xml:space="preserve"> Female</t>
        </is>
      </c>
      <c r="L3860" t="inlineStr">
        <is>
          <t>No focal subject</t>
        </is>
      </c>
      <c r="M3860" t="n">
        <v>19.236</v>
      </c>
      <c r="N3860" t="inlineStr">
        <is>
          <t>Explore_N</t>
        </is>
      </c>
      <c r="O3860" t="inlineStr">
        <is>
          <t>Novelty</t>
        </is>
      </c>
      <c r="P3860" t="inlineStr">
        <is>
          <t>STATE</t>
        </is>
      </c>
      <c r="Q3860" t="n">
        <v>53.633</v>
      </c>
      <c r="R3860" t="n">
        <v>53.933</v>
      </c>
      <c r="S3860" t="n">
        <v>0.3</v>
      </c>
      <c r="T3860" t="inlineStr">
        <is>
          <t>WT\test\c53f2.mp4</t>
        </is>
      </c>
      <c r="U3860" t="n">
        <v>1609</v>
      </c>
      <c r="V3860" t="n">
        <v>1618</v>
      </c>
      <c r="W3860" t="n">
        <v/>
      </c>
      <c r="X3860" t="n">
        <v/>
      </c>
      <c r="Y3860" t="n">
        <v/>
      </c>
      <c r="Z3860" t="n">
        <v/>
      </c>
      <c r="AA3860">
        <f>SUMIFS($S$2:S3860,$A$2:A3860,A3860,$N$2:N3860,"Explore*")</f>
        <v/>
      </c>
      <c r="AB3860">
        <f>IF(AND(LEFT(N3860,7)="Explore",(AA3860-IF(LEFT(N3860,7)="Explore",S3860,0))&lt;10),"SI","NO")</f>
        <v/>
      </c>
    </row>
    <row r="3861">
      <c r="A3861" t="inlineStr">
        <is>
          <t>c53f2_test</t>
        </is>
      </c>
      <c r="B3861" t="inlineStr">
        <is>
          <t>2026-02-18 14:41:45.713</t>
        </is>
      </c>
      <c r="C3861" t="n">
        <v/>
      </c>
      <c r="D3861" t="inlineStr">
        <is>
          <t>Media file</t>
        </is>
      </c>
      <c r="E3861" t="inlineStr">
        <is>
          <t>player #1:WT\test\c53f2.mp4</t>
        </is>
      </c>
      <c r="F3861" t="n">
        <v>-21.1</v>
      </c>
      <c r="G3861" t="n">
        <v>593.066</v>
      </c>
      <c r="H3861" t="n">
        <v>634.566</v>
      </c>
      <c r="I3861" t="n">
        <v>30</v>
      </c>
      <c r="J3861" t="inlineStr">
        <is>
          <t xml:space="preserve"> WT</t>
        </is>
      </c>
      <c r="K3861" t="inlineStr">
        <is>
          <t xml:space="preserve"> Female</t>
        </is>
      </c>
      <c r="L3861" t="inlineStr">
        <is>
          <t>No focal subject</t>
        </is>
      </c>
      <c r="M3861" t="n">
        <v>19.236</v>
      </c>
      <c r="N3861" t="inlineStr">
        <is>
          <t>Explore_N</t>
        </is>
      </c>
      <c r="O3861" t="inlineStr">
        <is>
          <t>Novelty</t>
        </is>
      </c>
      <c r="P3861" t="inlineStr">
        <is>
          <t>STATE</t>
        </is>
      </c>
      <c r="Q3861" t="n">
        <v>54.467</v>
      </c>
      <c r="R3861" t="n">
        <v>54.7</v>
      </c>
      <c r="S3861" t="n">
        <v>0.233</v>
      </c>
      <c r="T3861" t="inlineStr">
        <is>
          <t>WT\test\c53f2.mp4</t>
        </is>
      </c>
      <c r="U3861" t="n">
        <v>1634</v>
      </c>
      <c r="V3861" t="n">
        <v>1641</v>
      </c>
      <c r="W3861" t="n">
        <v/>
      </c>
      <c r="X3861" t="n">
        <v/>
      </c>
      <c r="Y3861" t="n">
        <v/>
      </c>
      <c r="Z3861" t="n">
        <v/>
      </c>
      <c r="AA3861">
        <f>SUMIFS($S$2:S3861,$A$2:A3861,A3861,$N$2:N3861,"Explore*")</f>
        <v/>
      </c>
      <c r="AB3861">
        <f>IF(AND(LEFT(N3861,7)="Explore",(AA3861-IF(LEFT(N3861,7)="Explore",S3861,0))&lt;10),"SI","NO")</f>
        <v/>
      </c>
    </row>
    <row r="3862">
      <c r="A3862" t="inlineStr">
        <is>
          <t>c53f2_test</t>
        </is>
      </c>
      <c r="B3862" t="inlineStr">
        <is>
          <t>2026-02-18 14:41:45.713</t>
        </is>
      </c>
      <c r="C3862" t="n">
        <v/>
      </c>
      <c r="D3862" t="inlineStr">
        <is>
          <t>Media file</t>
        </is>
      </c>
      <c r="E3862" t="inlineStr">
        <is>
          <t>player #1:WT\test\c53f2.mp4</t>
        </is>
      </c>
      <c r="F3862" t="n">
        <v>-21.1</v>
      </c>
      <c r="G3862" t="n">
        <v>593.066</v>
      </c>
      <c r="H3862" t="n">
        <v>634.566</v>
      </c>
      <c r="I3862" t="n">
        <v>30</v>
      </c>
      <c r="J3862" t="inlineStr">
        <is>
          <t xml:space="preserve"> WT</t>
        </is>
      </c>
      <c r="K3862" t="inlineStr">
        <is>
          <t xml:space="preserve"> Female</t>
        </is>
      </c>
      <c r="L3862" t="inlineStr">
        <is>
          <t>No focal subject</t>
        </is>
      </c>
      <c r="M3862" t="n">
        <v>19.236</v>
      </c>
      <c r="N3862" t="inlineStr">
        <is>
          <t>Explore_F</t>
        </is>
      </c>
      <c r="O3862" t="inlineStr">
        <is>
          <t>Familiar</t>
        </is>
      </c>
      <c r="P3862" t="inlineStr">
        <is>
          <t>STATE</t>
        </is>
      </c>
      <c r="Q3862" t="n">
        <v>85.967</v>
      </c>
      <c r="R3862" t="n">
        <v>86.333</v>
      </c>
      <c r="S3862" t="n">
        <v>0.366</v>
      </c>
      <c r="T3862" t="inlineStr">
        <is>
          <t>WT\test\c53f2.mp4</t>
        </is>
      </c>
      <c r="U3862" t="n">
        <v>2579</v>
      </c>
      <c r="V3862" t="n">
        <v>2590</v>
      </c>
      <c r="W3862" t="n">
        <v/>
      </c>
      <c r="X3862" t="n">
        <v/>
      </c>
      <c r="Y3862" t="n">
        <v/>
      </c>
      <c r="Z3862" t="n">
        <v/>
      </c>
      <c r="AA3862">
        <f>SUMIFS($S$2:S3862,$A$2:A3862,A3862,$N$2:N3862,"Explore*")</f>
        <v/>
      </c>
      <c r="AB3862">
        <f>IF(AND(LEFT(N3862,7)="Explore",(AA3862-IF(LEFT(N3862,7)="Explore",S3862,0))&lt;10),"SI","NO")</f>
        <v/>
      </c>
    </row>
    <row r="3863">
      <c r="A3863" t="inlineStr">
        <is>
          <t>c53f2_test</t>
        </is>
      </c>
      <c r="B3863" t="inlineStr">
        <is>
          <t>2026-02-18 14:41:45.713</t>
        </is>
      </c>
      <c r="C3863" t="n">
        <v/>
      </c>
      <c r="D3863" t="inlineStr">
        <is>
          <t>Media file</t>
        </is>
      </c>
      <c r="E3863" t="inlineStr">
        <is>
          <t>player #1:WT\test\c53f2.mp4</t>
        </is>
      </c>
      <c r="F3863" t="n">
        <v>-21.1</v>
      </c>
      <c r="G3863" t="n">
        <v>593.066</v>
      </c>
      <c r="H3863" t="n">
        <v>634.566</v>
      </c>
      <c r="I3863" t="n">
        <v>30</v>
      </c>
      <c r="J3863" t="inlineStr">
        <is>
          <t xml:space="preserve"> WT</t>
        </is>
      </c>
      <c r="K3863" t="inlineStr">
        <is>
          <t xml:space="preserve"> Female</t>
        </is>
      </c>
      <c r="L3863" t="inlineStr">
        <is>
          <t>No focal subject</t>
        </is>
      </c>
      <c r="M3863" t="n">
        <v>19.236</v>
      </c>
      <c r="N3863" t="inlineStr">
        <is>
          <t>Explore_N</t>
        </is>
      </c>
      <c r="O3863" t="inlineStr">
        <is>
          <t>Novelty</t>
        </is>
      </c>
      <c r="P3863" t="inlineStr">
        <is>
          <t>STATE</t>
        </is>
      </c>
      <c r="Q3863" t="n">
        <v>101.733</v>
      </c>
      <c r="R3863" t="n">
        <v>102.1</v>
      </c>
      <c r="S3863" t="n">
        <v>0.367</v>
      </c>
      <c r="T3863" t="inlineStr">
        <is>
          <t>WT\test\c53f2.mp4</t>
        </is>
      </c>
      <c r="U3863" t="n">
        <v>3052</v>
      </c>
      <c r="V3863" t="n">
        <v>3063</v>
      </c>
      <c r="W3863" t="n">
        <v/>
      </c>
      <c r="X3863" t="n">
        <v/>
      </c>
      <c r="Y3863" t="n">
        <v/>
      </c>
      <c r="Z3863" t="n">
        <v/>
      </c>
      <c r="AA3863">
        <f>SUMIFS($S$2:S3863,$A$2:A3863,A3863,$N$2:N3863,"Explore*")</f>
        <v/>
      </c>
      <c r="AB3863">
        <f>IF(AND(LEFT(N3863,7)="Explore",(AA3863-IF(LEFT(N3863,7)="Explore",S3863,0))&lt;10),"SI","NO")</f>
        <v/>
      </c>
    </row>
    <row r="3864">
      <c r="A3864" t="inlineStr">
        <is>
          <t>c53f2_test</t>
        </is>
      </c>
      <c r="B3864" t="inlineStr">
        <is>
          <t>2026-02-18 14:41:45.713</t>
        </is>
      </c>
      <c r="C3864" t="n">
        <v/>
      </c>
      <c r="D3864" t="inlineStr">
        <is>
          <t>Media file</t>
        </is>
      </c>
      <c r="E3864" t="inlineStr">
        <is>
          <t>player #1:WT\test\c53f2.mp4</t>
        </is>
      </c>
      <c r="F3864" t="n">
        <v>-21.1</v>
      </c>
      <c r="G3864" t="n">
        <v>593.066</v>
      </c>
      <c r="H3864" t="n">
        <v>634.566</v>
      </c>
      <c r="I3864" t="n">
        <v>30</v>
      </c>
      <c r="J3864" t="inlineStr">
        <is>
          <t xml:space="preserve"> WT</t>
        </is>
      </c>
      <c r="K3864" t="inlineStr">
        <is>
          <t xml:space="preserve"> Female</t>
        </is>
      </c>
      <c r="L3864" t="inlineStr">
        <is>
          <t>No focal subject</t>
        </is>
      </c>
      <c r="M3864" t="n">
        <v>19.236</v>
      </c>
      <c r="N3864" t="inlineStr">
        <is>
          <t>Explore_F</t>
        </is>
      </c>
      <c r="O3864" t="inlineStr">
        <is>
          <t>Familiar</t>
        </is>
      </c>
      <c r="P3864" t="inlineStr">
        <is>
          <t>STATE</t>
        </is>
      </c>
      <c r="Q3864" t="n">
        <v>135.833</v>
      </c>
      <c r="R3864" t="n">
        <v>136.2</v>
      </c>
      <c r="S3864" t="n">
        <v>0.367</v>
      </c>
      <c r="T3864" t="inlineStr">
        <is>
          <t>WT\test\c53f2.mp4</t>
        </is>
      </c>
      <c r="U3864" t="n">
        <v>4074</v>
      </c>
      <c r="V3864" t="n">
        <v>4085</v>
      </c>
      <c r="W3864" t="n">
        <v/>
      </c>
      <c r="X3864" t="n">
        <v/>
      </c>
      <c r="Y3864" t="n">
        <v/>
      </c>
      <c r="Z3864" t="n">
        <v/>
      </c>
      <c r="AA3864">
        <f>SUMIFS($S$2:S3864,$A$2:A3864,A3864,$N$2:N3864,"Explore*")</f>
        <v/>
      </c>
      <c r="AB3864">
        <f>IF(AND(LEFT(N3864,7)="Explore",(AA3864-IF(LEFT(N3864,7)="Explore",S3864,0))&lt;10),"SI","NO")</f>
        <v/>
      </c>
    </row>
    <row r="3865">
      <c r="A3865" t="inlineStr">
        <is>
          <t>c53f2_test</t>
        </is>
      </c>
      <c r="B3865" t="inlineStr">
        <is>
          <t>2026-02-18 14:41:45.713</t>
        </is>
      </c>
      <c r="C3865" t="n">
        <v/>
      </c>
      <c r="D3865" t="inlineStr">
        <is>
          <t>Media file</t>
        </is>
      </c>
      <c r="E3865" t="inlineStr">
        <is>
          <t>player #1:WT\test\c53f2.mp4</t>
        </is>
      </c>
      <c r="F3865" t="n">
        <v>-21.1</v>
      </c>
      <c r="G3865" t="n">
        <v>593.066</v>
      </c>
      <c r="H3865" t="n">
        <v>634.566</v>
      </c>
      <c r="I3865" t="n">
        <v>30</v>
      </c>
      <c r="J3865" t="inlineStr">
        <is>
          <t xml:space="preserve"> WT</t>
        </is>
      </c>
      <c r="K3865" t="inlineStr">
        <is>
          <t xml:space="preserve"> Female</t>
        </is>
      </c>
      <c r="L3865" t="inlineStr">
        <is>
          <t>No focal subject</t>
        </is>
      </c>
      <c r="M3865" t="n">
        <v>19.236</v>
      </c>
      <c r="N3865" t="inlineStr">
        <is>
          <t>Explore_N</t>
        </is>
      </c>
      <c r="O3865" t="inlineStr">
        <is>
          <t>Novelty</t>
        </is>
      </c>
      <c r="P3865" t="inlineStr">
        <is>
          <t>STATE</t>
        </is>
      </c>
      <c r="Q3865" t="n">
        <v>154.566</v>
      </c>
      <c r="R3865" t="n">
        <v>155.266</v>
      </c>
      <c r="S3865" t="n">
        <v>0.7</v>
      </c>
      <c r="T3865" t="inlineStr">
        <is>
          <t>WT\test\c53f2.mp4</t>
        </is>
      </c>
      <c r="U3865" t="n">
        <v>4636</v>
      </c>
      <c r="V3865" t="n">
        <v>4657</v>
      </c>
      <c r="W3865" t="n">
        <v/>
      </c>
      <c r="X3865" t="n">
        <v/>
      </c>
      <c r="Y3865" t="n">
        <v/>
      </c>
      <c r="Z3865" t="n">
        <v/>
      </c>
      <c r="AA3865">
        <f>SUMIFS($S$2:S3865,$A$2:A3865,A3865,$N$2:N3865,"Explore*")</f>
        <v/>
      </c>
      <c r="AB3865">
        <f>IF(AND(LEFT(N3865,7)="Explore",(AA3865-IF(LEFT(N3865,7)="Explore",S3865,0))&lt;10),"SI","NO")</f>
        <v/>
      </c>
    </row>
    <row r="3866">
      <c r="A3866" t="inlineStr">
        <is>
          <t>c53f2_test</t>
        </is>
      </c>
      <c r="B3866" t="inlineStr">
        <is>
          <t>2026-02-18 14:41:45.713</t>
        </is>
      </c>
      <c r="C3866" t="n">
        <v/>
      </c>
      <c r="D3866" t="inlineStr">
        <is>
          <t>Media file</t>
        </is>
      </c>
      <c r="E3866" t="inlineStr">
        <is>
          <t>player #1:WT\test\c53f2.mp4</t>
        </is>
      </c>
      <c r="F3866" t="n">
        <v>-21.1</v>
      </c>
      <c r="G3866" t="n">
        <v>593.066</v>
      </c>
      <c r="H3866" t="n">
        <v>634.566</v>
      </c>
      <c r="I3866" t="n">
        <v>30</v>
      </c>
      <c r="J3866" t="inlineStr">
        <is>
          <t xml:space="preserve"> WT</t>
        </is>
      </c>
      <c r="K3866" t="inlineStr">
        <is>
          <t xml:space="preserve"> Female</t>
        </is>
      </c>
      <c r="L3866" t="inlineStr">
        <is>
          <t>No focal subject</t>
        </is>
      </c>
      <c r="M3866" t="n">
        <v>19.236</v>
      </c>
      <c r="N3866" t="inlineStr">
        <is>
          <t>Explore_N</t>
        </is>
      </c>
      <c r="O3866" t="inlineStr">
        <is>
          <t>Novelty</t>
        </is>
      </c>
      <c r="P3866" t="inlineStr">
        <is>
          <t>STATE</t>
        </is>
      </c>
      <c r="Q3866" t="n">
        <v>238.433</v>
      </c>
      <c r="R3866" t="n">
        <v>238.666</v>
      </c>
      <c r="S3866" t="n">
        <v>0.233</v>
      </c>
      <c r="T3866" t="inlineStr">
        <is>
          <t>WT\test\c53f2.mp4</t>
        </is>
      </c>
      <c r="U3866" t="n">
        <v>7152</v>
      </c>
      <c r="V3866" t="n">
        <v>7159</v>
      </c>
      <c r="W3866" t="n">
        <v/>
      </c>
      <c r="X3866" t="n">
        <v/>
      </c>
      <c r="Y3866" t="n">
        <v/>
      </c>
      <c r="Z3866" t="n">
        <v/>
      </c>
      <c r="AA3866">
        <f>SUMIFS($S$2:S3866,$A$2:A3866,A3866,$N$2:N3866,"Explore*")</f>
        <v/>
      </c>
      <c r="AB3866">
        <f>IF(AND(LEFT(N3866,7)="Explore",(AA3866-IF(LEFT(N3866,7)="Explore",S3866,0))&lt;10),"SI","NO")</f>
        <v/>
      </c>
    </row>
    <row r="3867">
      <c r="A3867" t="inlineStr">
        <is>
          <t>c53f2_test</t>
        </is>
      </c>
      <c r="B3867" t="inlineStr">
        <is>
          <t>2026-02-18 14:41:45.713</t>
        </is>
      </c>
      <c r="C3867" t="n">
        <v/>
      </c>
      <c r="D3867" t="inlineStr">
        <is>
          <t>Media file</t>
        </is>
      </c>
      <c r="E3867" t="inlineStr">
        <is>
          <t>player #1:WT\test\c53f2.mp4</t>
        </is>
      </c>
      <c r="F3867" t="n">
        <v>-21.1</v>
      </c>
      <c r="G3867" t="n">
        <v>593.066</v>
      </c>
      <c r="H3867" t="n">
        <v>634.566</v>
      </c>
      <c r="I3867" t="n">
        <v>30</v>
      </c>
      <c r="J3867" t="inlineStr">
        <is>
          <t xml:space="preserve"> WT</t>
        </is>
      </c>
      <c r="K3867" t="inlineStr">
        <is>
          <t xml:space="preserve"> Female</t>
        </is>
      </c>
      <c r="L3867" t="inlineStr">
        <is>
          <t>No focal subject</t>
        </is>
      </c>
      <c r="M3867" t="n">
        <v>19.236</v>
      </c>
      <c r="N3867" t="inlineStr">
        <is>
          <t>Explore_N</t>
        </is>
      </c>
      <c r="O3867" t="inlineStr">
        <is>
          <t>Novelty</t>
        </is>
      </c>
      <c r="P3867" t="inlineStr">
        <is>
          <t>STATE</t>
        </is>
      </c>
      <c r="Q3867" t="n">
        <v>251.033</v>
      </c>
      <c r="R3867" t="n">
        <v>251.7</v>
      </c>
      <c r="S3867" t="n">
        <v>0.667</v>
      </c>
      <c r="T3867" t="inlineStr">
        <is>
          <t>WT\test\c53f2.mp4</t>
        </is>
      </c>
      <c r="U3867" t="n">
        <v>7530</v>
      </c>
      <c r="V3867" t="n">
        <v>7550</v>
      </c>
      <c r="W3867" t="n">
        <v/>
      </c>
      <c r="X3867" t="n">
        <v/>
      </c>
      <c r="Y3867" t="n">
        <v/>
      </c>
      <c r="Z3867" t="n">
        <v/>
      </c>
      <c r="AA3867">
        <f>SUMIFS($S$2:S3867,$A$2:A3867,A3867,$N$2:N3867,"Explore*")</f>
        <v/>
      </c>
      <c r="AB3867">
        <f>IF(AND(LEFT(N3867,7)="Explore",(AA3867-IF(LEFT(N3867,7)="Explore",S3867,0))&lt;10),"SI","NO")</f>
        <v/>
      </c>
    </row>
    <row r="3868">
      <c r="A3868" t="inlineStr">
        <is>
          <t>c53f2_test</t>
        </is>
      </c>
      <c r="B3868" t="inlineStr">
        <is>
          <t>2026-02-18 14:41:45.713</t>
        </is>
      </c>
      <c r="C3868" t="n">
        <v/>
      </c>
      <c r="D3868" t="inlineStr">
        <is>
          <t>Media file</t>
        </is>
      </c>
      <c r="E3868" t="inlineStr">
        <is>
          <t>player #1:WT\test\c53f2.mp4</t>
        </is>
      </c>
      <c r="F3868" t="n">
        <v>-21.1</v>
      </c>
      <c r="G3868" t="n">
        <v>593.066</v>
      </c>
      <c r="H3868" t="n">
        <v>634.566</v>
      </c>
      <c r="I3868" t="n">
        <v>30</v>
      </c>
      <c r="J3868" t="inlineStr">
        <is>
          <t xml:space="preserve"> WT</t>
        </is>
      </c>
      <c r="K3868" t="inlineStr">
        <is>
          <t xml:space="preserve"> Female</t>
        </is>
      </c>
      <c r="L3868" t="inlineStr">
        <is>
          <t>No focal subject</t>
        </is>
      </c>
      <c r="M3868" t="n">
        <v>19.236</v>
      </c>
      <c r="N3868" t="inlineStr">
        <is>
          <t>Explore_N</t>
        </is>
      </c>
      <c r="O3868" t="inlineStr">
        <is>
          <t>Novelty</t>
        </is>
      </c>
      <c r="P3868" t="inlineStr">
        <is>
          <t>STATE</t>
        </is>
      </c>
      <c r="Q3868" t="n">
        <v>260.266</v>
      </c>
      <c r="R3868" t="n">
        <v>260.566</v>
      </c>
      <c r="S3868" t="n">
        <v>0.3</v>
      </c>
      <c r="T3868" t="inlineStr">
        <is>
          <t>WT\test\c53f2.mp4</t>
        </is>
      </c>
      <c r="U3868" t="n">
        <v>7807</v>
      </c>
      <c r="V3868" t="n">
        <v>7816</v>
      </c>
      <c r="W3868" t="n">
        <v/>
      </c>
      <c r="X3868" t="n">
        <v/>
      </c>
      <c r="Y3868" t="n">
        <v/>
      </c>
      <c r="Z3868" t="n">
        <v/>
      </c>
      <c r="AA3868">
        <f>SUMIFS($S$2:S3868,$A$2:A3868,A3868,$N$2:N3868,"Explore*")</f>
        <v/>
      </c>
      <c r="AB3868">
        <f>IF(AND(LEFT(N3868,7)="Explore",(AA3868-IF(LEFT(N3868,7)="Explore",S3868,0))&lt;10),"SI","NO")</f>
        <v/>
      </c>
    </row>
    <row r="3869">
      <c r="A3869" t="inlineStr">
        <is>
          <t>c53f2_test</t>
        </is>
      </c>
      <c r="B3869" t="inlineStr">
        <is>
          <t>2026-02-18 14:41:45.713</t>
        </is>
      </c>
      <c r="C3869" t="n">
        <v/>
      </c>
      <c r="D3869" t="inlineStr">
        <is>
          <t>Media file</t>
        </is>
      </c>
      <c r="E3869" t="inlineStr">
        <is>
          <t>player #1:WT\test\c53f2.mp4</t>
        </is>
      </c>
      <c r="F3869" t="n">
        <v>-21.1</v>
      </c>
      <c r="G3869" t="n">
        <v>593.066</v>
      </c>
      <c r="H3869" t="n">
        <v>634.566</v>
      </c>
      <c r="I3869" t="n">
        <v>30</v>
      </c>
      <c r="J3869" t="inlineStr">
        <is>
          <t xml:space="preserve"> WT</t>
        </is>
      </c>
      <c r="K3869" t="inlineStr">
        <is>
          <t xml:space="preserve"> Female</t>
        </is>
      </c>
      <c r="L3869" t="inlineStr">
        <is>
          <t>No focal subject</t>
        </is>
      </c>
      <c r="M3869" t="n">
        <v>19.236</v>
      </c>
      <c r="N3869" t="inlineStr">
        <is>
          <t>Explore_F</t>
        </is>
      </c>
      <c r="O3869" t="inlineStr">
        <is>
          <t>Familiar</t>
        </is>
      </c>
      <c r="P3869" t="inlineStr">
        <is>
          <t>STATE</t>
        </is>
      </c>
      <c r="Q3869" t="n">
        <v>269.733</v>
      </c>
      <c r="R3869" t="n">
        <v>270</v>
      </c>
      <c r="S3869" t="n">
        <v>0.267</v>
      </c>
      <c r="T3869" t="inlineStr">
        <is>
          <t>WT\test\c53f2.mp4</t>
        </is>
      </c>
      <c r="U3869" t="n">
        <v>8091</v>
      </c>
      <c r="V3869" t="n">
        <v>8099</v>
      </c>
      <c r="W3869" t="n">
        <v/>
      </c>
      <c r="X3869" t="n">
        <v/>
      </c>
      <c r="Y3869" t="n">
        <v/>
      </c>
      <c r="Z3869" t="n">
        <v/>
      </c>
      <c r="AA3869">
        <f>SUMIFS($S$2:S3869,$A$2:A3869,A3869,$N$2:N3869,"Explore*")</f>
        <v/>
      </c>
      <c r="AB3869">
        <f>IF(AND(LEFT(N3869,7)="Explore",(AA3869-IF(LEFT(N3869,7)="Explore",S3869,0))&lt;10),"SI","NO")</f>
        <v/>
      </c>
    </row>
    <row r="3870">
      <c r="A3870" t="inlineStr">
        <is>
          <t>c53f2_test</t>
        </is>
      </c>
      <c r="B3870" t="inlineStr">
        <is>
          <t>2026-02-18 14:41:45.713</t>
        </is>
      </c>
      <c r="C3870" t="n">
        <v/>
      </c>
      <c r="D3870" t="inlineStr">
        <is>
          <t>Media file</t>
        </is>
      </c>
      <c r="E3870" t="inlineStr">
        <is>
          <t>player #1:WT\test\c53f2.mp4</t>
        </is>
      </c>
      <c r="F3870" t="n">
        <v>-21.1</v>
      </c>
      <c r="G3870" t="n">
        <v>593.066</v>
      </c>
      <c r="H3870" t="n">
        <v>634.566</v>
      </c>
      <c r="I3870" t="n">
        <v>30</v>
      </c>
      <c r="J3870" t="inlineStr">
        <is>
          <t xml:space="preserve"> WT</t>
        </is>
      </c>
      <c r="K3870" t="inlineStr">
        <is>
          <t xml:space="preserve"> Female</t>
        </is>
      </c>
      <c r="L3870" t="inlineStr">
        <is>
          <t>No focal subject</t>
        </is>
      </c>
      <c r="M3870" t="n">
        <v>19.236</v>
      </c>
      <c r="N3870" t="inlineStr">
        <is>
          <t>Explore_N</t>
        </is>
      </c>
      <c r="O3870" t="inlineStr">
        <is>
          <t>Novelty</t>
        </is>
      </c>
      <c r="P3870" t="inlineStr">
        <is>
          <t>STATE</t>
        </is>
      </c>
      <c r="Q3870" t="n">
        <v>302.933</v>
      </c>
      <c r="R3870" t="n">
        <v>303.333</v>
      </c>
      <c r="S3870" t="n">
        <v>0.4</v>
      </c>
      <c r="T3870" t="inlineStr">
        <is>
          <t>WT\test\c53f2.mp4</t>
        </is>
      </c>
      <c r="U3870" t="n">
        <v>9087</v>
      </c>
      <c r="V3870" t="n">
        <v>9099</v>
      </c>
      <c r="W3870" t="n">
        <v/>
      </c>
      <c r="X3870" t="n">
        <v/>
      </c>
      <c r="Y3870" t="n">
        <v/>
      </c>
      <c r="Z3870" t="n">
        <v/>
      </c>
      <c r="AA3870">
        <f>SUMIFS($S$2:S3870,$A$2:A3870,A3870,$N$2:N3870,"Explore*")</f>
        <v/>
      </c>
      <c r="AB3870">
        <f>IF(AND(LEFT(N3870,7)="Explore",(AA3870-IF(LEFT(N3870,7)="Explore",S3870,0))&lt;10),"SI","NO")</f>
        <v/>
      </c>
    </row>
    <row r="3871">
      <c r="A3871" t="inlineStr">
        <is>
          <t>c53f2_test</t>
        </is>
      </c>
      <c r="B3871" t="inlineStr">
        <is>
          <t>2026-02-18 14:41:45.713</t>
        </is>
      </c>
      <c r="C3871" t="n">
        <v/>
      </c>
      <c r="D3871" t="inlineStr">
        <is>
          <t>Media file</t>
        </is>
      </c>
      <c r="E3871" t="inlineStr">
        <is>
          <t>player #1:WT\test\c53f2.mp4</t>
        </is>
      </c>
      <c r="F3871" t="n">
        <v>-21.1</v>
      </c>
      <c r="G3871" t="n">
        <v>593.066</v>
      </c>
      <c r="H3871" t="n">
        <v>634.566</v>
      </c>
      <c r="I3871" t="n">
        <v>30</v>
      </c>
      <c r="J3871" t="inlineStr">
        <is>
          <t xml:space="preserve"> WT</t>
        </is>
      </c>
      <c r="K3871" t="inlineStr">
        <is>
          <t xml:space="preserve"> Female</t>
        </is>
      </c>
      <c r="L3871" t="inlineStr">
        <is>
          <t>No focal subject</t>
        </is>
      </c>
      <c r="M3871" t="n">
        <v>19.236</v>
      </c>
      <c r="N3871" t="inlineStr">
        <is>
          <t>Explore_F</t>
        </is>
      </c>
      <c r="O3871" t="inlineStr">
        <is>
          <t>Familiar</t>
        </is>
      </c>
      <c r="P3871" t="inlineStr">
        <is>
          <t>STATE</t>
        </is>
      </c>
      <c r="Q3871" t="n">
        <v>312.166</v>
      </c>
      <c r="R3871" t="n">
        <v>312.433</v>
      </c>
      <c r="S3871" t="n">
        <v>0.267</v>
      </c>
      <c r="T3871" t="inlineStr">
        <is>
          <t>WT\test\c53f2.mp4</t>
        </is>
      </c>
      <c r="U3871" t="n">
        <v>9364</v>
      </c>
      <c r="V3871" t="n">
        <v>9372</v>
      </c>
      <c r="W3871" t="n">
        <v/>
      </c>
      <c r="X3871" t="n">
        <v/>
      </c>
      <c r="Y3871" t="n">
        <v/>
      </c>
      <c r="Z3871" t="n">
        <v/>
      </c>
      <c r="AA3871">
        <f>SUMIFS($S$2:S3871,$A$2:A3871,A3871,$N$2:N3871,"Explore*")</f>
        <v/>
      </c>
      <c r="AB3871">
        <f>IF(AND(LEFT(N3871,7)="Explore",(AA3871-IF(LEFT(N3871,7)="Explore",S3871,0))&lt;10),"SI","NO")</f>
        <v/>
      </c>
    </row>
    <row r="3872">
      <c r="A3872" t="inlineStr">
        <is>
          <t>c53f2_test</t>
        </is>
      </c>
      <c r="B3872" t="inlineStr">
        <is>
          <t>2026-02-18 14:41:45.713</t>
        </is>
      </c>
      <c r="C3872" t="n">
        <v/>
      </c>
      <c r="D3872" t="inlineStr">
        <is>
          <t>Media file</t>
        </is>
      </c>
      <c r="E3872" t="inlineStr">
        <is>
          <t>player #1:WT\test\c53f2.mp4</t>
        </is>
      </c>
      <c r="F3872" t="n">
        <v>-21.1</v>
      </c>
      <c r="G3872" t="n">
        <v>593.066</v>
      </c>
      <c r="H3872" t="n">
        <v>634.566</v>
      </c>
      <c r="I3872" t="n">
        <v>30</v>
      </c>
      <c r="J3872" t="inlineStr">
        <is>
          <t xml:space="preserve"> WT</t>
        </is>
      </c>
      <c r="K3872" t="inlineStr">
        <is>
          <t xml:space="preserve"> Female</t>
        </is>
      </c>
      <c r="L3872" t="inlineStr">
        <is>
          <t>No focal subject</t>
        </is>
      </c>
      <c r="M3872" t="n">
        <v>19.236</v>
      </c>
      <c r="N3872" t="inlineStr">
        <is>
          <t>Explore_N</t>
        </is>
      </c>
      <c r="O3872" t="inlineStr">
        <is>
          <t>Novelty</t>
        </is>
      </c>
      <c r="P3872" t="inlineStr">
        <is>
          <t>STATE</t>
        </is>
      </c>
      <c r="Q3872" t="n">
        <v>334.533</v>
      </c>
      <c r="R3872" t="n">
        <v>334.866</v>
      </c>
      <c r="S3872" t="n">
        <v>0.333</v>
      </c>
      <c r="T3872" t="inlineStr">
        <is>
          <t>WT\test\c53f2.mp4</t>
        </is>
      </c>
      <c r="U3872" t="n">
        <v>10035</v>
      </c>
      <c r="V3872" t="n">
        <v>10045</v>
      </c>
      <c r="W3872" t="n">
        <v/>
      </c>
      <c r="X3872" t="n">
        <v/>
      </c>
      <c r="Y3872" t="n">
        <v/>
      </c>
      <c r="Z3872" t="n">
        <v/>
      </c>
      <c r="AA3872">
        <f>SUMIFS($S$2:S3872,$A$2:A3872,A3872,$N$2:N3872,"Explore*")</f>
        <v/>
      </c>
      <c r="AB3872">
        <f>IF(AND(LEFT(N3872,7)="Explore",(AA3872-IF(LEFT(N3872,7)="Explore",S3872,0))&lt;10),"SI","NO")</f>
        <v/>
      </c>
    </row>
    <row r="3873">
      <c r="A3873" t="inlineStr">
        <is>
          <t>c53f2_test</t>
        </is>
      </c>
      <c r="B3873" t="inlineStr">
        <is>
          <t>2026-02-18 14:41:45.713</t>
        </is>
      </c>
      <c r="C3873" t="n">
        <v/>
      </c>
      <c r="D3873" t="inlineStr">
        <is>
          <t>Media file</t>
        </is>
      </c>
      <c r="E3873" t="inlineStr">
        <is>
          <t>player #1:WT\test\c53f2.mp4</t>
        </is>
      </c>
      <c r="F3873" t="n">
        <v>-21.1</v>
      </c>
      <c r="G3873" t="n">
        <v>593.066</v>
      </c>
      <c r="H3873" t="n">
        <v>634.566</v>
      </c>
      <c r="I3873" t="n">
        <v>30</v>
      </c>
      <c r="J3873" t="inlineStr">
        <is>
          <t xml:space="preserve"> WT</t>
        </is>
      </c>
      <c r="K3873" t="inlineStr">
        <is>
          <t xml:space="preserve"> Female</t>
        </is>
      </c>
      <c r="L3873" t="inlineStr">
        <is>
          <t>No focal subject</t>
        </is>
      </c>
      <c r="M3873" t="n">
        <v>19.236</v>
      </c>
      <c r="N3873" t="inlineStr">
        <is>
          <t>Explore_N</t>
        </is>
      </c>
      <c r="O3873" t="inlineStr">
        <is>
          <t>Novelty</t>
        </is>
      </c>
      <c r="P3873" t="inlineStr">
        <is>
          <t>STATE</t>
        </is>
      </c>
      <c r="Q3873" t="n">
        <v>340.966</v>
      </c>
      <c r="R3873" t="n">
        <v>341.266</v>
      </c>
      <c r="S3873" t="n">
        <v>0.3</v>
      </c>
      <c r="T3873" t="inlineStr">
        <is>
          <t>WT\test\c53f2.mp4</t>
        </is>
      </c>
      <c r="U3873" t="n">
        <v>10228</v>
      </c>
      <c r="V3873" t="n">
        <v>10237</v>
      </c>
      <c r="W3873" t="n">
        <v/>
      </c>
      <c r="X3873" t="n">
        <v/>
      </c>
      <c r="Y3873" t="n">
        <v/>
      </c>
      <c r="Z3873" t="n">
        <v/>
      </c>
      <c r="AA3873">
        <f>SUMIFS($S$2:S3873,$A$2:A3873,A3873,$N$2:N3873,"Explore*")</f>
        <v/>
      </c>
      <c r="AB3873">
        <f>IF(AND(LEFT(N3873,7)="Explore",(AA3873-IF(LEFT(N3873,7)="Explore",S3873,0))&lt;10),"SI","NO")</f>
        <v/>
      </c>
    </row>
    <row r="3874">
      <c r="A3874" t="inlineStr">
        <is>
          <t>c53f2_test</t>
        </is>
      </c>
      <c r="B3874" t="inlineStr">
        <is>
          <t>2026-02-18 14:41:45.713</t>
        </is>
      </c>
      <c r="C3874" t="n">
        <v/>
      </c>
      <c r="D3874" t="inlineStr">
        <is>
          <t>Media file</t>
        </is>
      </c>
      <c r="E3874" t="inlineStr">
        <is>
          <t>player #1:WT\test\c53f2.mp4</t>
        </is>
      </c>
      <c r="F3874" t="n">
        <v>-21.1</v>
      </c>
      <c r="G3874" t="n">
        <v>593.066</v>
      </c>
      <c r="H3874" t="n">
        <v>634.566</v>
      </c>
      <c r="I3874" t="n">
        <v>30</v>
      </c>
      <c r="J3874" t="inlineStr">
        <is>
          <t xml:space="preserve"> WT</t>
        </is>
      </c>
      <c r="K3874" t="inlineStr">
        <is>
          <t xml:space="preserve"> Female</t>
        </is>
      </c>
      <c r="L3874" t="inlineStr">
        <is>
          <t>No focal subject</t>
        </is>
      </c>
      <c r="M3874" t="n">
        <v>19.236</v>
      </c>
      <c r="N3874" t="inlineStr">
        <is>
          <t>Explore_F</t>
        </is>
      </c>
      <c r="O3874" t="inlineStr">
        <is>
          <t>Familiar</t>
        </is>
      </c>
      <c r="P3874" t="inlineStr">
        <is>
          <t>STATE</t>
        </is>
      </c>
      <c r="Q3874" t="n">
        <v>350.1</v>
      </c>
      <c r="R3874" t="n">
        <v>350.3</v>
      </c>
      <c r="S3874" t="n">
        <v>0.2</v>
      </c>
      <c r="T3874" t="inlineStr">
        <is>
          <t>WT\test\c53f2.mp4</t>
        </is>
      </c>
      <c r="U3874" t="n">
        <v>10503</v>
      </c>
      <c r="V3874" t="n">
        <v>10508</v>
      </c>
      <c r="W3874" t="n">
        <v/>
      </c>
      <c r="X3874" t="n">
        <v/>
      </c>
      <c r="Y3874" t="n">
        <v/>
      </c>
      <c r="Z3874" t="n">
        <v/>
      </c>
      <c r="AA3874">
        <f>SUMIFS($S$2:S3874,$A$2:A3874,A3874,$N$2:N3874,"Explore*")</f>
        <v/>
      </c>
      <c r="AB3874">
        <f>IF(AND(LEFT(N3874,7)="Explore",(AA3874-IF(LEFT(N3874,7)="Explore",S3874,0))&lt;10),"SI","NO")</f>
        <v/>
      </c>
    </row>
    <row r="3875">
      <c r="A3875" t="inlineStr">
        <is>
          <t>c53f2_test</t>
        </is>
      </c>
      <c r="B3875" t="inlineStr">
        <is>
          <t>2026-02-18 14:41:45.713</t>
        </is>
      </c>
      <c r="C3875" t="n">
        <v/>
      </c>
      <c r="D3875" t="inlineStr">
        <is>
          <t>Media file</t>
        </is>
      </c>
      <c r="E3875" t="inlineStr">
        <is>
          <t>player #1:WT\test\c53f2.mp4</t>
        </is>
      </c>
      <c r="F3875" t="n">
        <v>-21.1</v>
      </c>
      <c r="G3875" t="n">
        <v>593.066</v>
      </c>
      <c r="H3875" t="n">
        <v>634.566</v>
      </c>
      <c r="I3875" t="n">
        <v>30</v>
      </c>
      <c r="J3875" t="inlineStr">
        <is>
          <t xml:space="preserve"> WT</t>
        </is>
      </c>
      <c r="K3875" t="inlineStr">
        <is>
          <t xml:space="preserve"> Female</t>
        </is>
      </c>
      <c r="L3875" t="inlineStr">
        <is>
          <t>No focal subject</t>
        </is>
      </c>
      <c r="M3875" t="n">
        <v>19.236</v>
      </c>
      <c r="N3875" t="inlineStr">
        <is>
          <t>Explore_N</t>
        </is>
      </c>
      <c r="O3875" t="inlineStr">
        <is>
          <t>Novelty</t>
        </is>
      </c>
      <c r="P3875" t="inlineStr">
        <is>
          <t>STATE</t>
        </is>
      </c>
      <c r="Q3875" t="n">
        <v>412.766</v>
      </c>
      <c r="R3875" t="n">
        <v>413.033</v>
      </c>
      <c r="S3875" t="n">
        <v>0.267</v>
      </c>
      <c r="T3875" t="inlineStr">
        <is>
          <t>WT\test\c53f2.mp4</t>
        </is>
      </c>
      <c r="U3875" t="n">
        <v>12381</v>
      </c>
      <c r="V3875" t="n">
        <v>12389</v>
      </c>
      <c r="W3875" t="n">
        <v/>
      </c>
      <c r="X3875" t="n">
        <v/>
      </c>
      <c r="Y3875" t="n">
        <v/>
      </c>
      <c r="Z3875" t="n">
        <v/>
      </c>
      <c r="AA3875">
        <f>SUMIFS($S$2:S3875,$A$2:A3875,A3875,$N$2:N3875,"Explore*")</f>
        <v/>
      </c>
      <c r="AB3875">
        <f>IF(AND(LEFT(N3875,7)="Explore",(AA3875-IF(LEFT(N3875,7)="Explore",S3875,0))&lt;10),"SI","NO")</f>
        <v/>
      </c>
    </row>
    <row r="3876">
      <c r="A3876" t="inlineStr">
        <is>
          <t>c53f2_test</t>
        </is>
      </c>
      <c r="B3876" t="inlineStr">
        <is>
          <t>2026-02-18 14:41:45.713</t>
        </is>
      </c>
      <c r="C3876" t="n">
        <v/>
      </c>
      <c r="D3876" t="inlineStr">
        <is>
          <t>Media file</t>
        </is>
      </c>
      <c r="E3876" t="inlineStr">
        <is>
          <t>player #1:WT\test\c53f2.mp4</t>
        </is>
      </c>
      <c r="F3876" t="n">
        <v>-21.1</v>
      </c>
      <c r="G3876" t="n">
        <v>593.066</v>
      </c>
      <c r="H3876" t="n">
        <v>634.566</v>
      </c>
      <c r="I3876" t="n">
        <v>30</v>
      </c>
      <c r="J3876" t="inlineStr">
        <is>
          <t xml:space="preserve"> WT</t>
        </is>
      </c>
      <c r="K3876" t="inlineStr">
        <is>
          <t xml:space="preserve"> Female</t>
        </is>
      </c>
      <c r="L3876" t="inlineStr">
        <is>
          <t>No focal subject</t>
        </is>
      </c>
      <c r="M3876" t="n">
        <v>19.236</v>
      </c>
      <c r="N3876" t="inlineStr">
        <is>
          <t>Explore_F</t>
        </is>
      </c>
      <c r="O3876" t="inlineStr">
        <is>
          <t>Familiar</t>
        </is>
      </c>
      <c r="P3876" t="inlineStr">
        <is>
          <t>STATE</t>
        </is>
      </c>
      <c r="Q3876" t="n">
        <v>430.333</v>
      </c>
      <c r="R3876" t="n">
        <v>431.133</v>
      </c>
      <c r="S3876" t="n">
        <v>0.8</v>
      </c>
      <c r="T3876" t="inlineStr">
        <is>
          <t>WT\test\c53f2.mp4</t>
        </is>
      </c>
      <c r="U3876" t="n">
        <v>12908</v>
      </c>
      <c r="V3876" t="n">
        <v>12932</v>
      </c>
      <c r="W3876" t="n">
        <v/>
      </c>
      <c r="X3876" t="n">
        <v/>
      </c>
      <c r="Y3876" t="n">
        <v/>
      </c>
      <c r="Z3876" t="n">
        <v/>
      </c>
      <c r="AA3876">
        <f>SUMIFS($S$2:S3876,$A$2:A3876,A3876,$N$2:N3876,"Explore*")</f>
        <v/>
      </c>
      <c r="AB3876">
        <f>IF(AND(LEFT(N3876,7)="Explore",(AA3876-IF(LEFT(N3876,7)="Explore",S3876,0))&lt;10),"SI","NO")</f>
        <v/>
      </c>
    </row>
    <row r="3877">
      <c r="A3877" t="inlineStr">
        <is>
          <t>c53f2_test</t>
        </is>
      </c>
      <c r="B3877" t="inlineStr">
        <is>
          <t>2026-02-18 14:41:45.713</t>
        </is>
      </c>
      <c r="C3877" t="n">
        <v/>
      </c>
      <c r="D3877" t="inlineStr">
        <is>
          <t>Media file</t>
        </is>
      </c>
      <c r="E3877" t="inlineStr">
        <is>
          <t>player #1:WT\test\c53f2.mp4</t>
        </is>
      </c>
      <c r="F3877" t="n">
        <v>-21.1</v>
      </c>
      <c r="G3877" t="n">
        <v>593.066</v>
      </c>
      <c r="H3877" t="n">
        <v>634.566</v>
      </c>
      <c r="I3877" t="n">
        <v>30</v>
      </c>
      <c r="J3877" t="inlineStr">
        <is>
          <t xml:space="preserve"> WT</t>
        </is>
      </c>
      <c r="K3877" t="inlineStr">
        <is>
          <t xml:space="preserve"> Female</t>
        </is>
      </c>
      <c r="L3877" t="inlineStr">
        <is>
          <t>No focal subject</t>
        </is>
      </c>
      <c r="M3877" t="n">
        <v>19.236</v>
      </c>
      <c r="N3877" t="inlineStr">
        <is>
          <t>Explore_N</t>
        </is>
      </c>
      <c r="O3877" t="inlineStr">
        <is>
          <t>Novelty</t>
        </is>
      </c>
      <c r="P3877" t="inlineStr">
        <is>
          <t>STATE</t>
        </is>
      </c>
      <c r="Q3877" t="n">
        <v>443.733</v>
      </c>
      <c r="R3877" t="n">
        <v>444.266</v>
      </c>
      <c r="S3877" t="n">
        <v>0.533</v>
      </c>
      <c r="T3877" t="inlineStr">
        <is>
          <t>WT\test\c53f2.mp4</t>
        </is>
      </c>
      <c r="U3877" t="n">
        <v>13310</v>
      </c>
      <c r="V3877" t="n">
        <v>13326</v>
      </c>
      <c r="W3877" t="n">
        <v/>
      </c>
      <c r="X3877" t="n">
        <v/>
      </c>
      <c r="Y3877" t="n">
        <v/>
      </c>
      <c r="Z3877" t="n">
        <v/>
      </c>
      <c r="AA3877">
        <f>SUMIFS($S$2:S3877,$A$2:A3877,A3877,$N$2:N3877,"Explore*")</f>
        <v/>
      </c>
      <c r="AB3877">
        <f>IF(AND(LEFT(N3877,7)="Explore",(AA3877-IF(LEFT(N3877,7)="Explore",S3877,0))&lt;10),"SI","NO")</f>
        <v/>
      </c>
    </row>
    <row r="3878">
      <c r="A3878" t="inlineStr">
        <is>
          <t>c53f2_test</t>
        </is>
      </c>
      <c r="B3878" t="inlineStr">
        <is>
          <t>2026-02-18 14:41:45.713</t>
        </is>
      </c>
      <c r="C3878" t="n">
        <v/>
      </c>
      <c r="D3878" t="inlineStr">
        <is>
          <t>Media file</t>
        </is>
      </c>
      <c r="E3878" t="inlineStr">
        <is>
          <t>player #1:WT\test\c53f2.mp4</t>
        </is>
      </c>
      <c r="F3878" t="n">
        <v>-21.1</v>
      </c>
      <c r="G3878" t="n">
        <v>593.066</v>
      </c>
      <c r="H3878" t="n">
        <v>634.566</v>
      </c>
      <c r="I3878" t="n">
        <v>30</v>
      </c>
      <c r="J3878" t="inlineStr">
        <is>
          <t xml:space="preserve"> WT</t>
        </is>
      </c>
      <c r="K3878" t="inlineStr">
        <is>
          <t xml:space="preserve"> Female</t>
        </is>
      </c>
      <c r="L3878" t="inlineStr">
        <is>
          <t>No focal subject</t>
        </is>
      </c>
      <c r="M3878" t="n">
        <v>19.236</v>
      </c>
      <c r="N3878" t="inlineStr">
        <is>
          <t>Explore_F</t>
        </is>
      </c>
      <c r="O3878" t="inlineStr">
        <is>
          <t>Familiar</t>
        </is>
      </c>
      <c r="P3878" t="inlineStr">
        <is>
          <t>STATE</t>
        </is>
      </c>
      <c r="Q3878" t="n">
        <v>444.733</v>
      </c>
      <c r="R3878" t="n">
        <v>445.266</v>
      </c>
      <c r="S3878" t="n">
        <v>0.533</v>
      </c>
      <c r="T3878" t="inlineStr">
        <is>
          <t>WT\test\c53f2.mp4</t>
        </is>
      </c>
      <c r="U3878" t="n">
        <v>13340</v>
      </c>
      <c r="V3878" t="n">
        <v>13356</v>
      </c>
      <c r="W3878" t="n">
        <v/>
      </c>
      <c r="X3878" t="n">
        <v/>
      </c>
      <c r="Y3878" t="n">
        <v/>
      </c>
      <c r="Z3878" t="n">
        <v/>
      </c>
      <c r="AA3878">
        <f>SUMIFS($S$2:S3878,$A$2:A3878,A3878,$N$2:N3878,"Explore*")</f>
        <v/>
      </c>
      <c r="AB3878">
        <f>IF(AND(LEFT(N3878,7)="Explore",(AA3878-IF(LEFT(N3878,7)="Explore",S3878,0))&lt;10),"SI","NO")</f>
        <v/>
      </c>
    </row>
    <row r="3879">
      <c r="A3879" t="inlineStr">
        <is>
          <t>c53f2_test</t>
        </is>
      </c>
      <c r="B3879" t="inlineStr">
        <is>
          <t>2026-02-18 14:41:45.713</t>
        </is>
      </c>
      <c r="C3879" t="n">
        <v/>
      </c>
      <c r="D3879" t="inlineStr">
        <is>
          <t>Media file</t>
        </is>
      </c>
      <c r="E3879" t="inlineStr">
        <is>
          <t>player #1:WT\test\c53f2.mp4</t>
        </is>
      </c>
      <c r="F3879" t="n">
        <v>-21.1</v>
      </c>
      <c r="G3879" t="n">
        <v>593.066</v>
      </c>
      <c r="H3879" t="n">
        <v>634.566</v>
      </c>
      <c r="I3879" t="n">
        <v>30</v>
      </c>
      <c r="J3879" t="inlineStr">
        <is>
          <t xml:space="preserve"> WT</t>
        </is>
      </c>
      <c r="K3879" t="inlineStr">
        <is>
          <t xml:space="preserve"> Female</t>
        </is>
      </c>
      <c r="L3879" t="inlineStr">
        <is>
          <t>No focal subject</t>
        </is>
      </c>
      <c r="M3879" t="n">
        <v>19.236</v>
      </c>
      <c r="N3879" t="inlineStr">
        <is>
          <t>Explore_F</t>
        </is>
      </c>
      <c r="O3879" t="inlineStr">
        <is>
          <t>Familiar</t>
        </is>
      </c>
      <c r="P3879" t="inlineStr">
        <is>
          <t>STATE</t>
        </is>
      </c>
      <c r="Q3879" t="n">
        <v>472.766</v>
      </c>
      <c r="R3879" t="n">
        <v>472.933</v>
      </c>
      <c r="S3879" t="n">
        <v>0.167</v>
      </c>
      <c r="T3879" t="inlineStr">
        <is>
          <t>WT\test\c53f2.mp4</t>
        </is>
      </c>
      <c r="U3879" t="n">
        <v>14181</v>
      </c>
      <c r="V3879" t="n">
        <v>14186</v>
      </c>
      <c r="W3879" t="n">
        <v/>
      </c>
      <c r="X3879" t="n">
        <v/>
      </c>
      <c r="Y3879" t="n">
        <v/>
      </c>
      <c r="Z3879" t="n">
        <v/>
      </c>
      <c r="AA3879">
        <f>SUMIFS($S$2:S3879,$A$2:A3879,A3879,$N$2:N3879,"Explore*")</f>
        <v/>
      </c>
      <c r="AB3879">
        <f>IF(AND(LEFT(N3879,7)="Explore",(AA3879-IF(LEFT(N3879,7)="Explore",S3879,0))&lt;10),"SI","NO")</f>
        <v/>
      </c>
    </row>
    <row r="3880">
      <c r="A3880" t="inlineStr">
        <is>
          <t>c53f2_test</t>
        </is>
      </c>
      <c r="B3880" t="inlineStr">
        <is>
          <t>2026-02-18 14:41:45.713</t>
        </is>
      </c>
      <c r="C3880" t="n">
        <v/>
      </c>
      <c r="D3880" t="inlineStr">
        <is>
          <t>Media file</t>
        </is>
      </c>
      <c r="E3880" t="inlineStr">
        <is>
          <t>player #1:WT\test\c53f2.mp4</t>
        </is>
      </c>
      <c r="F3880" t="n">
        <v>-21.1</v>
      </c>
      <c r="G3880" t="n">
        <v>593.066</v>
      </c>
      <c r="H3880" t="n">
        <v>634.566</v>
      </c>
      <c r="I3880" t="n">
        <v>30</v>
      </c>
      <c r="J3880" t="inlineStr">
        <is>
          <t xml:space="preserve"> WT</t>
        </is>
      </c>
      <c r="K3880" t="inlineStr">
        <is>
          <t xml:space="preserve"> Female</t>
        </is>
      </c>
      <c r="L3880" t="inlineStr">
        <is>
          <t>No focal subject</t>
        </is>
      </c>
      <c r="M3880" t="n">
        <v>19.236</v>
      </c>
      <c r="N3880" t="inlineStr">
        <is>
          <t>Explore_N</t>
        </is>
      </c>
      <c r="O3880" t="inlineStr">
        <is>
          <t>Novelty</t>
        </is>
      </c>
      <c r="P3880" t="inlineStr">
        <is>
          <t>STATE</t>
        </is>
      </c>
      <c r="Q3880" t="n">
        <v>475.599</v>
      </c>
      <c r="R3880" t="n">
        <v>475.966</v>
      </c>
      <c r="S3880" t="n">
        <v>0.367</v>
      </c>
      <c r="T3880" t="inlineStr">
        <is>
          <t>WT\test\c53f2.mp4</t>
        </is>
      </c>
      <c r="U3880" t="n">
        <v>14267</v>
      </c>
      <c r="V3880" t="n">
        <v>14277</v>
      </c>
      <c r="W3880" t="n">
        <v/>
      </c>
      <c r="X3880" t="n">
        <v/>
      </c>
      <c r="Y3880" t="n">
        <v/>
      </c>
      <c r="Z3880" t="n">
        <v/>
      </c>
      <c r="AA3880">
        <f>SUMIFS($S$2:S3880,$A$2:A3880,A3880,$N$2:N3880,"Explore*")</f>
        <v/>
      </c>
      <c r="AB3880">
        <f>IF(AND(LEFT(N3880,7)="Explore",(AA3880-IF(LEFT(N3880,7)="Explore",S3880,0))&lt;10),"SI","NO")</f>
        <v/>
      </c>
    </row>
    <row r="3881">
      <c r="A3881" t="inlineStr">
        <is>
          <t>c53f2_test</t>
        </is>
      </c>
      <c r="B3881" t="inlineStr">
        <is>
          <t>2026-02-18 14:41:45.713</t>
        </is>
      </c>
      <c r="C3881" t="n">
        <v/>
      </c>
      <c r="D3881" t="inlineStr">
        <is>
          <t>Media file</t>
        </is>
      </c>
      <c r="E3881" t="inlineStr">
        <is>
          <t>player #1:WT\test\c53f2.mp4</t>
        </is>
      </c>
      <c r="F3881" t="n">
        <v>-21.1</v>
      </c>
      <c r="G3881" t="n">
        <v>593.066</v>
      </c>
      <c r="H3881" t="n">
        <v>634.566</v>
      </c>
      <c r="I3881" t="n">
        <v>30</v>
      </c>
      <c r="J3881" t="inlineStr">
        <is>
          <t xml:space="preserve"> WT</t>
        </is>
      </c>
      <c r="K3881" t="inlineStr">
        <is>
          <t xml:space="preserve"> Female</t>
        </is>
      </c>
      <c r="L3881" t="inlineStr">
        <is>
          <t>No focal subject</t>
        </is>
      </c>
      <c r="M3881" t="n">
        <v>19.236</v>
      </c>
      <c r="N3881" t="inlineStr">
        <is>
          <t>Explore_N</t>
        </is>
      </c>
      <c r="O3881" t="inlineStr">
        <is>
          <t>Novelty</t>
        </is>
      </c>
      <c r="P3881" t="inlineStr">
        <is>
          <t>STATE</t>
        </is>
      </c>
      <c r="Q3881" t="n">
        <v>484.866</v>
      </c>
      <c r="R3881" t="n">
        <v>486.266</v>
      </c>
      <c r="S3881" t="n">
        <v>1.4</v>
      </c>
      <c r="T3881" t="inlineStr">
        <is>
          <t>WT\test\c53f2.mp4</t>
        </is>
      </c>
      <c r="U3881" t="n">
        <v>14544</v>
      </c>
      <c r="V3881" t="n">
        <v>14586</v>
      </c>
      <c r="W3881" t="n">
        <v/>
      </c>
      <c r="X3881" t="n">
        <v/>
      </c>
      <c r="Y3881" t="n">
        <v/>
      </c>
      <c r="Z3881" t="n">
        <v/>
      </c>
      <c r="AA3881">
        <f>SUMIFS($S$2:S3881,$A$2:A3881,A3881,$N$2:N3881,"Explore*")</f>
        <v/>
      </c>
      <c r="AB3881">
        <f>IF(AND(LEFT(N3881,7)="Explore",(AA3881-IF(LEFT(N3881,7)="Explore",S3881,0))&lt;10),"SI","NO")</f>
        <v/>
      </c>
    </row>
    <row r="3882">
      <c r="A3882" t="inlineStr">
        <is>
          <t>c53f2_test</t>
        </is>
      </c>
      <c r="B3882" t="inlineStr">
        <is>
          <t>2026-02-18 14:41:45.713</t>
        </is>
      </c>
      <c r="C3882" t="n">
        <v/>
      </c>
      <c r="D3882" t="inlineStr">
        <is>
          <t>Media file</t>
        </is>
      </c>
      <c r="E3882" t="inlineStr">
        <is>
          <t>player #1:WT\test\c53f2.mp4</t>
        </is>
      </c>
      <c r="F3882" t="n">
        <v>-21.1</v>
      </c>
      <c r="G3882" t="n">
        <v>593.066</v>
      </c>
      <c r="H3882" t="n">
        <v>634.566</v>
      </c>
      <c r="I3882" t="n">
        <v>30</v>
      </c>
      <c r="J3882" t="inlineStr">
        <is>
          <t xml:space="preserve"> WT</t>
        </is>
      </c>
      <c r="K3882" t="inlineStr">
        <is>
          <t xml:space="preserve"> Female</t>
        </is>
      </c>
      <c r="L3882" t="inlineStr">
        <is>
          <t>No focal subject</t>
        </is>
      </c>
      <c r="M3882" t="n">
        <v>19.236</v>
      </c>
      <c r="N3882" t="inlineStr">
        <is>
          <t>Explore_N</t>
        </is>
      </c>
      <c r="O3882" t="inlineStr">
        <is>
          <t>Novelty</t>
        </is>
      </c>
      <c r="P3882" t="inlineStr">
        <is>
          <t>STATE</t>
        </is>
      </c>
      <c r="Q3882" t="n">
        <v>511.366</v>
      </c>
      <c r="R3882" t="n">
        <v>512.033</v>
      </c>
      <c r="S3882" t="n">
        <v>0.667</v>
      </c>
      <c r="T3882" t="inlineStr">
        <is>
          <t>WT\test\c53f2.mp4</t>
        </is>
      </c>
      <c r="U3882" t="n">
        <v>15339</v>
      </c>
      <c r="V3882" t="n">
        <v>15359</v>
      </c>
      <c r="W3882" t="n">
        <v/>
      </c>
      <c r="X3882" t="n">
        <v/>
      </c>
      <c r="Y3882" t="n">
        <v/>
      </c>
      <c r="Z3882" t="n">
        <v/>
      </c>
      <c r="AA3882">
        <f>SUMIFS($S$2:S3882,$A$2:A3882,A3882,$N$2:N3882,"Explore*")</f>
        <v/>
      </c>
      <c r="AB3882">
        <f>IF(AND(LEFT(N3882,7)="Explore",(AA3882-IF(LEFT(N3882,7)="Explore",S3882,0))&lt;10),"SI","NO")</f>
        <v/>
      </c>
    </row>
    <row r="3883">
      <c r="A3883" t="inlineStr">
        <is>
          <t>c53f2_test</t>
        </is>
      </c>
      <c r="B3883" t="inlineStr">
        <is>
          <t>2026-02-18 14:41:45.713</t>
        </is>
      </c>
      <c r="C3883" t="n">
        <v/>
      </c>
      <c r="D3883" t="inlineStr">
        <is>
          <t>Media file</t>
        </is>
      </c>
      <c r="E3883" t="inlineStr">
        <is>
          <t>player #1:WT\test\c53f2.mp4</t>
        </is>
      </c>
      <c r="F3883" t="n">
        <v>-21.1</v>
      </c>
      <c r="G3883" t="n">
        <v>593.066</v>
      </c>
      <c r="H3883" t="n">
        <v>634.566</v>
      </c>
      <c r="I3883" t="n">
        <v>30</v>
      </c>
      <c r="J3883" t="inlineStr">
        <is>
          <t xml:space="preserve"> WT</t>
        </is>
      </c>
      <c r="K3883" t="inlineStr">
        <is>
          <t xml:space="preserve"> Female</t>
        </is>
      </c>
      <c r="L3883" t="inlineStr">
        <is>
          <t>No focal subject</t>
        </is>
      </c>
      <c r="M3883" t="n">
        <v>19.236</v>
      </c>
      <c r="N3883" t="inlineStr">
        <is>
          <t>Explore_F</t>
        </is>
      </c>
      <c r="O3883" t="inlineStr">
        <is>
          <t>Familiar</t>
        </is>
      </c>
      <c r="P3883" t="inlineStr">
        <is>
          <t>STATE</t>
        </is>
      </c>
      <c r="Q3883" t="n">
        <v>512.899</v>
      </c>
      <c r="R3883" t="n">
        <v>513.133</v>
      </c>
      <c r="S3883" t="n">
        <v>0.234</v>
      </c>
      <c r="T3883" t="inlineStr">
        <is>
          <t>WT\test\c53f2.mp4</t>
        </is>
      </c>
      <c r="U3883" t="n">
        <v>15385</v>
      </c>
      <c r="V3883" t="n">
        <v>15392</v>
      </c>
      <c r="W3883" t="n">
        <v/>
      </c>
      <c r="X3883" t="n">
        <v/>
      </c>
      <c r="Y3883" t="n">
        <v/>
      </c>
      <c r="Z3883" t="n">
        <v/>
      </c>
      <c r="AA3883">
        <f>SUMIFS($S$2:S3883,$A$2:A3883,A3883,$N$2:N3883,"Explore*")</f>
        <v/>
      </c>
      <c r="AB3883">
        <f>IF(AND(LEFT(N3883,7)="Explore",(AA3883-IF(LEFT(N3883,7)="Explore",S3883,0))&lt;10),"SI","NO")</f>
        <v/>
      </c>
    </row>
    <row r="3884">
      <c r="A3884" t="inlineStr">
        <is>
          <t>c53f2_test</t>
        </is>
      </c>
      <c r="B3884" t="inlineStr">
        <is>
          <t>2026-02-18 14:41:45.713</t>
        </is>
      </c>
      <c r="C3884" t="n">
        <v/>
      </c>
      <c r="D3884" t="inlineStr">
        <is>
          <t>Media file</t>
        </is>
      </c>
      <c r="E3884" t="inlineStr">
        <is>
          <t>player #1:WT\test\c53f2.mp4</t>
        </is>
      </c>
      <c r="F3884" t="n">
        <v>-21.1</v>
      </c>
      <c r="G3884" t="n">
        <v>593.066</v>
      </c>
      <c r="H3884" t="n">
        <v>634.566</v>
      </c>
      <c r="I3884" t="n">
        <v>30</v>
      </c>
      <c r="J3884" t="inlineStr">
        <is>
          <t xml:space="preserve"> WT</t>
        </is>
      </c>
      <c r="K3884" t="inlineStr">
        <is>
          <t xml:space="preserve"> Female</t>
        </is>
      </c>
      <c r="L3884" t="inlineStr">
        <is>
          <t>No focal subject</t>
        </is>
      </c>
      <c r="M3884" t="n">
        <v>19.236</v>
      </c>
      <c r="N3884" t="inlineStr">
        <is>
          <t>Explore_N</t>
        </is>
      </c>
      <c r="O3884" t="inlineStr">
        <is>
          <t>Novelty</t>
        </is>
      </c>
      <c r="P3884" t="inlineStr">
        <is>
          <t>STATE</t>
        </is>
      </c>
      <c r="Q3884" t="n">
        <v>513.566</v>
      </c>
      <c r="R3884" t="n">
        <v>515.033</v>
      </c>
      <c r="S3884" t="n">
        <v>1.467</v>
      </c>
      <c r="T3884" t="inlineStr">
        <is>
          <t>WT\test\c53f2.mp4</t>
        </is>
      </c>
      <c r="U3884" t="n">
        <v>15405</v>
      </c>
      <c r="V3884" t="n">
        <v>15449</v>
      </c>
      <c r="W3884" t="n">
        <v/>
      </c>
      <c r="X3884" t="n">
        <v/>
      </c>
      <c r="Y3884" t="n">
        <v/>
      </c>
      <c r="Z3884" t="n">
        <v/>
      </c>
      <c r="AA3884">
        <f>SUMIFS($S$2:S3884,$A$2:A3884,A3884,$N$2:N3884,"Explore*")</f>
        <v/>
      </c>
      <c r="AB3884">
        <f>IF(AND(LEFT(N3884,7)="Explore",(AA3884-IF(LEFT(N3884,7)="Explore",S3884,0))&lt;10),"SI","NO")</f>
        <v/>
      </c>
    </row>
    <row r="3885">
      <c r="A3885" t="inlineStr">
        <is>
          <t>c53f2_test</t>
        </is>
      </c>
      <c r="B3885" t="inlineStr">
        <is>
          <t>2026-02-18 14:41:45.713</t>
        </is>
      </c>
      <c r="C3885" t="n">
        <v/>
      </c>
      <c r="D3885" t="inlineStr">
        <is>
          <t>Media file</t>
        </is>
      </c>
      <c r="E3885" t="inlineStr">
        <is>
          <t>player #1:WT\test\c53f2.mp4</t>
        </is>
      </c>
      <c r="F3885" t="n">
        <v>-21.1</v>
      </c>
      <c r="G3885" t="n">
        <v>593.066</v>
      </c>
      <c r="H3885" t="n">
        <v>634.566</v>
      </c>
      <c r="I3885" t="n">
        <v>30</v>
      </c>
      <c r="J3885" t="inlineStr">
        <is>
          <t xml:space="preserve"> WT</t>
        </is>
      </c>
      <c r="K3885" t="inlineStr">
        <is>
          <t xml:space="preserve"> Female</t>
        </is>
      </c>
      <c r="L3885" t="inlineStr">
        <is>
          <t>No focal subject</t>
        </is>
      </c>
      <c r="M3885" t="n">
        <v>19.236</v>
      </c>
      <c r="N3885" t="inlineStr">
        <is>
          <t>Explore_N</t>
        </is>
      </c>
      <c r="O3885" t="inlineStr">
        <is>
          <t>Novelty</t>
        </is>
      </c>
      <c r="P3885" t="inlineStr">
        <is>
          <t>STATE</t>
        </is>
      </c>
      <c r="Q3885" t="n">
        <v>528.1660000000001</v>
      </c>
      <c r="R3885" t="n">
        <v>529.6660000000001</v>
      </c>
      <c r="S3885" t="n">
        <v>1.5</v>
      </c>
      <c r="T3885" t="inlineStr">
        <is>
          <t>WT\test\c53f2.mp4</t>
        </is>
      </c>
      <c r="U3885" t="n">
        <v>15843</v>
      </c>
      <c r="V3885" t="n">
        <v>15888</v>
      </c>
      <c r="W3885" t="n">
        <v/>
      </c>
      <c r="X3885" t="n">
        <v/>
      </c>
      <c r="Y3885" t="n">
        <v/>
      </c>
      <c r="Z3885" t="n">
        <v/>
      </c>
      <c r="AA3885">
        <f>SUMIFS($S$2:S3885,$A$2:A3885,A3885,$N$2:N3885,"Explore*")</f>
        <v/>
      </c>
      <c r="AB3885">
        <f>IF(AND(LEFT(N3885,7)="Explore",(AA3885-IF(LEFT(N3885,7)="Explore",S3885,0))&lt;10),"SI","NO")</f>
        <v/>
      </c>
    </row>
    <row r="3886">
      <c r="A3886" t="inlineStr">
        <is>
          <t>c53f2_test</t>
        </is>
      </c>
      <c r="B3886" t="inlineStr">
        <is>
          <t>2026-02-18 14:41:45.713</t>
        </is>
      </c>
      <c r="C3886" t="n">
        <v/>
      </c>
      <c r="D3886" t="inlineStr">
        <is>
          <t>Media file</t>
        </is>
      </c>
      <c r="E3886" t="inlineStr">
        <is>
          <t>player #1:WT\test\c53f2.mp4</t>
        </is>
      </c>
      <c r="F3886" t="n">
        <v>-21.1</v>
      </c>
      <c r="G3886" t="n">
        <v>593.066</v>
      </c>
      <c r="H3886" t="n">
        <v>634.566</v>
      </c>
      <c r="I3886" t="n">
        <v>30</v>
      </c>
      <c r="J3886" t="inlineStr">
        <is>
          <t xml:space="preserve"> WT</t>
        </is>
      </c>
      <c r="K3886" t="inlineStr">
        <is>
          <t xml:space="preserve"> Female</t>
        </is>
      </c>
      <c r="L3886" t="inlineStr">
        <is>
          <t>No focal subject</t>
        </is>
      </c>
      <c r="M3886" t="n">
        <v>19.236</v>
      </c>
      <c r="N3886" t="inlineStr">
        <is>
          <t>Explore_N</t>
        </is>
      </c>
      <c r="O3886" t="inlineStr">
        <is>
          <t>Novelty</t>
        </is>
      </c>
      <c r="P3886" t="inlineStr">
        <is>
          <t>STATE</t>
        </is>
      </c>
      <c r="Q3886" t="n">
        <v>534.766</v>
      </c>
      <c r="R3886" t="n">
        <v>535.833</v>
      </c>
      <c r="S3886" t="n">
        <v>1.067</v>
      </c>
      <c r="T3886" t="inlineStr">
        <is>
          <t>WT\test\c53f2.mp4</t>
        </is>
      </c>
      <c r="U3886" t="n">
        <v>16041</v>
      </c>
      <c r="V3886" t="n">
        <v>16073</v>
      </c>
      <c r="W3886" t="n">
        <v/>
      </c>
      <c r="X3886" t="n">
        <v/>
      </c>
      <c r="Y3886" t="n">
        <v/>
      </c>
      <c r="Z3886" t="n">
        <v/>
      </c>
      <c r="AA3886">
        <f>SUMIFS($S$2:S3886,$A$2:A3886,A3886,$N$2:N3886,"Explore*")</f>
        <v/>
      </c>
      <c r="AB3886">
        <f>IF(AND(LEFT(N3886,7)="Explore",(AA3886-IF(LEFT(N3886,7)="Explore",S3886,0))&lt;10),"SI","NO")</f>
        <v/>
      </c>
    </row>
    <row r="3887">
      <c r="A3887" t="inlineStr">
        <is>
          <t>c53f2_test</t>
        </is>
      </c>
      <c r="B3887" t="inlineStr">
        <is>
          <t>2026-02-18 14:41:45.713</t>
        </is>
      </c>
      <c r="C3887" t="n">
        <v/>
      </c>
      <c r="D3887" t="inlineStr">
        <is>
          <t>Media file</t>
        </is>
      </c>
      <c r="E3887" t="inlineStr">
        <is>
          <t>player #1:WT\test\c53f2.mp4</t>
        </is>
      </c>
      <c r="F3887" t="n">
        <v>-21.1</v>
      </c>
      <c r="G3887" t="n">
        <v>593.066</v>
      </c>
      <c r="H3887" t="n">
        <v>634.566</v>
      </c>
      <c r="I3887" t="n">
        <v>30</v>
      </c>
      <c r="J3887" t="inlineStr">
        <is>
          <t xml:space="preserve"> WT</t>
        </is>
      </c>
      <c r="K3887" t="inlineStr">
        <is>
          <t xml:space="preserve"> Female</t>
        </is>
      </c>
      <c r="L3887" t="inlineStr">
        <is>
          <t>No focal subject</t>
        </is>
      </c>
      <c r="M3887" t="n">
        <v>19.236</v>
      </c>
      <c r="N3887" t="inlineStr">
        <is>
          <t>Explore_N</t>
        </is>
      </c>
      <c r="O3887" t="inlineStr">
        <is>
          <t>Novelty</t>
        </is>
      </c>
      <c r="P3887" t="inlineStr">
        <is>
          <t>STATE</t>
        </is>
      </c>
      <c r="Q3887" t="n">
        <v>549.533</v>
      </c>
      <c r="R3887" t="n">
        <v>550.2329999999999</v>
      </c>
      <c r="S3887" t="n">
        <v>0.7</v>
      </c>
      <c r="T3887" t="inlineStr">
        <is>
          <t>WT\test\c53f2.mp4</t>
        </is>
      </c>
      <c r="U3887" t="n">
        <v>16484</v>
      </c>
      <c r="V3887" t="n">
        <v>16505</v>
      </c>
      <c r="W3887" t="n">
        <v/>
      </c>
      <c r="X3887" t="n">
        <v/>
      </c>
      <c r="Y3887" t="n">
        <v/>
      </c>
      <c r="Z3887" t="n">
        <v/>
      </c>
      <c r="AA3887">
        <f>SUMIFS($S$2:S3887,$A$2:A3887,A3887,$N$2:N3887,"Explore*")</f>
        <v/>
      </c>
      <c r="AB3887">
        <f>IF(AND(LEFT(N3887,7)="Explore",(AA3887-IF(LEFT(N3887,7)="Explore",S3887,0))&lt;10),"SI","NO")</f>
        <v/>
      </c>
    </row>
    <row r="3888">
      <c r="A3888" t="inlineStr">
        <is>
          <t>c53f2_test</t>
        </is>
      </c>
      <c r="B3888" t="inlineStr">
        <is>
          <t>2026-02-18 14:41:45.713</t>
        </is>
      </c>
      <c r="C3888" t="n">
        <v/>
      </c>
      <c r="D3888" t="inlineStr">
        <is>
          <t>Media file</t>
        </is>
      </c>
      <c r="E3888" t="inlineStr">
        <is>
          <t>player #1:WT\test\c53f2.mp4</t>
        </is>
      </c>
      <c r="F3888" t="n">
        <v>-21.1</v>
      </c>
      <c r="G3888" t="n">
        <v>593.066</v>
      </c>
      <c r="H3888" t="n">
        <v>634.566</v>
      </c>
      <c r="I3888" t="n">
        <v>30</v>
      </c>
      <c r="J3888" t="inlineStr">
        <is>
          <t xml:space="preserve"> WT</t>
        </is>
      </c>
      <c r="K3888" t="inlineStr">
        <is>
          <t xml:space="preserve"> Female</t>
        </is>
      </c>
      <c r="L3888" t="inlineStr">
        <is>
          <t>No focal subject</t>
        </is>
      </c>
      <c r="M3888" t="n">
        <v>19.236</v>
      </c>
      <c r="N3888" t="inlineStr">
        <is>
          <t>Explore_N</t>
        </is>
      </c>
      <c r="O3888" t="inlineStr">
        <is>
          <t>Novelty</t>
        </is>
      </c>
      <c r="P3888" t="inlineStr">
        <is>
          <t>STATE</t>
        </is>
      </c>
      <c r="Q3888" t="n">
        <v>573.999</v>
      </c>
      <c r="R3888" t="n">
        <v>575.533</v>
      </c>
      <c r="S3888" t="n">
        <v>1.534</v>
      </c>
      <c r="T3888" t="inlineStr">
        <is>
          <t>WT\test\c53f2.mp4</t>
        </is>
      </c>
      <c r="U3888" t="n">
        <v>17218</v>
      </c>
      <c r="V3888" t="n">
        <v>17264</v>
      </c>
      <c r="W3888" t="n">
        <v/>
      </c>
      <c r="X3888" t="n">
        <v/>
      </c>
      <c r="Y3888" t="n">
        <v/>
      </c>
      <c r="Z3888" t="n">
        <v/>
      </c>
      <c r="AA3888">
        <f>SUMIFS($S$2:S3888,$A$2:A3888,A3888,$N$2:N3888,"Explore*")</f>
        <v/>
      </c>
      <c r="AB3888">
        <f>IF(AND(LEFT(N3888,7)="Explore",(AA3888-IF(LEFT(N3888,7)="Explore",S3888,0))&lt;10),"SI","NO")</f>
        <v/>
      </c>
    </row>
    <row r="3889">
      <c r="A3889" t="inlineStr">
        <is>
          <t>c53f2_test</t>
        </is>
      </c>
      <c r="B3889" t="inlineStr">
        <is>
          <t>2026-02-18 14:41:45.713</t>
        </is>
      </c>
      <c r="C3889" t="n">
        <v/>
      </c>
      <c r="D3889" t="inlineStr">
        <is>
          <t>Media file</t>
        </is>
      </c>
      <c r="E3889" t="inlineStr">
        <is>
          <t>player #1:WT\test\c53f2.mp4</t>
        </is>
      </c>
      <c r="F3889" t="n">
        <v>-21.1</v>
      </c>
      <c r="G3889" t="n">
        <v>593.066</v>
      </c>
      <c r="H3889" t="n">
        <v>634.566</v>
      </c>
      <c r="I3889" t="n">
        <v>30</v>
      </c>
      <c r="J3889" t="inlineStr">
        <is>
          <t xml:space="preserve"> WT</t>
        </is>
      </c>
      <c r="K3889" t="inlineStr">
        <is>
          <t xml:space="preserve"> Female</t>
        </is>
      </c>
      <c r="L3889" t="inlineStr">
        <is>
          <t>No focal subject</t>
        </is>
      </c>
      <c r="M3889" t="n">
        <v>19.236</v>
      </c>
      <c r="N3889" t="inlineStr">
        <is>
          <t>Explore_F</t>
        </is>
      </c>
      <c r="O3889" t="inlineStr">
        <is>
          <t>Familiar</t>
        </is>
      </c>
      <c r="P3889" t="inlineStr">
        <is>
          <t>STATE</t>
        </is>
      </c>
      <c r="Q3889" t="n">
        <v>584.366</v>
      </c>
      <c r="R3889" t="n">
        <v>585.1660000000001</v>
      </c>
      <c r="S3889" t="n">
        <v>0.8</v>
      </c>
      <c r="T3889" t="inlineStr">
        <is>
          <t>WT\test\c53f2.mp4</t>
        </is>
      </c>
      <c r="U3889" t="n">
        <v>17529</v>
      </c>
      <c r="V3889" t="n">
        <v>17553</v>
      </c>
      <c r="W3889" t="n">
        <v/>
      </c>
      <c r="X3889" t="n">
        <v/>
      </c>
      <c r="Y3889" t="n">
        <v/>
      </c>
      <c r="Z3889" t="n">
        <v/>
      </c>
      <c r="AA3889">
        <f>SUMIFS($S$2:S3889,$A$2:A3889,A3889,$N$2:N3889,"Explore*")</f>
        <v/>
      </c>
      <c r="AB3889">
        <f>IF(AND(LEFT(N3889,7)="Explore",(AA3889-IF(LEFT(N3889,7)="Explore",S3889,0))&lt;10),"SI","NO")</f>
        <v/>
      </c>
    </row>
    <row r="3890">
      <c r="A3890" t="inlineStr">
        <is>
          <t>c53f2_test</t>
        </is>
      </c>
      <c r="B3890" t="inlineStr">
        <is>
          <t>2026-02-18 14:41:45.713</t>
        </is>
      </c>
      <c r="C3890" t="n">
        <v/>
      </c>
      <c r="D3890" t="inlineStr">
        <is>
          <t>Media file</t>
        </is>
      </c>
      <c r="E3890" t="inlineStr">
        <is>
          <t>player #1:WT\test\c53f2.mp4</t>
        </is>
      </c>
      <c r="F3890" t="n">
        <v>-21.1</v>
      </c>
      <c r="G3890" t="n">
        <v>593.066</v>
      </c>
      <c r="H3890" t="n">
        <v>634.566</v>
      </c>
      <c r="I3890" t="n">
        <v>30</v>
      </c>
      <c r="J3890" t="inlineStr">
        <is>
          <t xml:space="preserve"> WT</t>
        </is>
      </c>
      <c r="K3890" t="inlineStr">
        <is>
          <t xml:space="preserve"> Female</t>
        </is>
      </c>
      <c r="L3890" t="inlineStr">
        <is>
          <t>No focal subject</t>
        </is>
      </c>
      <c r="M3890" t="n">
        <v>19.236</v>
      </c>
      <c r="N3890" t="inlineStr">
        <is>
          <t>Explore_F</t>
        </is>
      </c>
      <c r="O3890" t="inlineStr">
        <is>
          <t>Familiar</t>
        </is>
      </c>
      <c r="P3890" t="inlineStr">
        <is>
          <t>STATE</t>
        </is>
      </c>
      <c r="Q3890" t="n">
        <v>596.633</v>
      </c>
      <c r="R3890" t="n">
        <v>596.866</v>
      </c>
      <c r="S3890" t="n">
        <v>0.233</v>
      </c>
      <c r="T3890" t="inlineStr">
        <is>
          <t>WT\test\c53f2.mp4</t>
        </is>
      </c>
      <c r="U3890" t="n">
        <v>17897</v>
      </c>
      <c r="V3890" t="n">
        <v>17904</v>
      </c>
      <c r="W3890" t="n">
        <v/>
      </c>
      <c r="X3890" t="n">
        <v/>
      </c>
      <c r="Y3890" t="n">
        <v/>
      </c>
      <c r="Z3890" t="n">
        <v/>
      </c>
      <c r="AA3890">
        <f>SUMIFS($S$2:S3890,$A$2:A3890,A3890,$N$2:N3890,"Explore*")</f>
        <v/>
      </c>
      <c r="AB3890">
        <f>IF(AND(LEFT(N3890,7)="Explore",(AA3890-IF(LEFT(N3890,7)="Explore",S3890,0))&lt;10),"SI","NO")</f>
        <v/>
      </c>
    </row>
    <row r="3891">
      <c r="A3891" t="inlineStr">
        <is>
          <t>c53f3_test</t>
        </is>
      </c>
      <c r="B3891" t="inlineStr">
        <is>
          <t>2026-02-18 15:19:02.344</t>
        </is>
      </c>
      <c r="C3891" t="n">
        <v/>
      </c>
      <c r="D3891" t="inlineStr">
        <is>
          <t>Media file</t>
        </is>
      </c>
      <c r="E3891" t="inlineStr">
        <is>
          <t>player #1:WT\test\c53f3.mp4</t>
        </is>
      </c>
      <c r="F3891" t="n">
        <v>-21.367</v>
      </c>
      <c r="G3891" t="n">
        <v>556.7</v>
      </c>
      <c r="H3891" t="n">
        <v>636.033</v>
      </c>
      <c r="I3891" t="n">
        <v>30</v>
      </c>
      <c r="J3891" t="inlineStr">
        <is>
          <t xml:space="preserve"> WT</t>
        </is>
      </c>
      <c r="K3891" t="inlineStr">
        <is>
          <t xml:space="preserve"> Female</t>
        </is>
      </c>
      <c r="L3891" t="inlineStr">
        <is>
          <t>No focal subject</t>
        </is>
      </c>
      <c r="M3891" t="n">
        <v>6.599</v>
      </c>
      <c r="N3891" t="inlineStr">
        <is>
          <t>Explore_N</t>
        </is>
      </c>
      <c r="O3891" t="inlineStr">
        <is>
          <t>Novelty</t>
        </is>
      </c>
      <c r="P3891" t="inlineStr">
        <is>
          <t>STATE</t>
        </is>
      </c>
      <c r="Q3891" t="n">
        <v>23.666</v>
      </c>
      <c r="R3891" t="n">
        <v>24.266</v>
      </c>
      <c r="S3891" t="n">
        <v>0.6</v>
      </c>
      <c r="T3891" t="inlineStr">
        <is>
          <t>WT\test\c53f3.mp4</t>
        </is>
      </c>
      <c r="U3891" t="n">
        <v>710</v>
      </c>
      <c r="V3891" t="n">
        <v>728</v>
      </c>
      <c r="W3891" t="n">
        <v/>
      </c>
      <c r="X3891" t="n">
        <v/>
      </c>
      <c r="Y3891" t="n">
        <v/>
      </c>
      <c r="Z3891" t="n">
        <v/>
      </c>
      <c r="AA3891">
        <f>SUMIFS($S$2:S3891,$A$2:A3891,A3891,$N$2:N3891,"Explore*")</f>
        <v/>
      </c>
      <c r="AB3891">
        <f>IF(AND(LEFT(N3891,7)="Explore",(AA3891-IF(LEFT(N3891,7)="Explore",S3891,0))&lt;10),"SI","NO")</f>
        <v/>
      </c>
    </row>
    <row r="3892">
      <c r="A3892" t="inlineStr">
        <is>
          <t>c53f3_test</t>
        </is>
      </c>
      <c r="B3892" t="inlineStr">
        <is>
          <t>2026-02-18 15:19:02.344</t>
        </is>
      </c>
      <c r="C3892" t="n">
        <v/>
      </c>
      <c r="D3892" t="inlineStr">
        <is>
          <t>Media file</t>
        </is>
      </c>
      <c r="E3892" t="inlineStr">
        <is>
          <t>player #1:WT\test\c53f3.mp4</t>
        </is>
      </c>
      <c r="F3892" t="n">
        <v>-21.367</v>
      </c>
      <c r="G3892" t="n">
        <v>556.7</v>
      </c>
      <c r="H3892" t="n">
        <v>636.033</v>
      </c>
      <c r="I3892" t="n">
        <v>30</v>
      </c>
      <c r="J3892" t="inlineStr">
        <is>
          <t xml:space="preserve"> WT</t>
        </is>
      </c>
      <c r="K3892" t="inlineStr">
        <is>
          <t xml:space="preserve"> Female</t>
        </is>
      </c>
      <c r="L3892" t="inlineStr">
        <is>
          <t>No focal subject</t>
        </is>
      </c>
      <c r="M3892" t="n">
        <v>6.599</v>
      </c>
      <c r="N3892" t="inlineStr">
        <is>
          <t>Explore_N</t>
        </is>
      </c>
      <c r="O3892" t="inlineStr">
        <is>
          <t>Novelty</t>
        </is>
      </c>
      <c r="P3892" t="inlineStr">
        <is>
          <t>STATE</t>
        </is>
      </c>
      <c r="Q3892" t="n">
        <v>75.733</v>
      </c>
      <c r="R3892" t="n">
        <v>76.333</v>
      </c>
      <c r="S3892" t="n">
        <v>0.6</v>
      </c>
      <c r="T3892" t="inlineStr">
        <is>
          <t>WT\test\c53f3.mp4</t>
        </is>
      </c>
      <c r="U3892" t="n">
        <v>2272</v>
      </c>
      <c r="V3892" t="n">
        <v>2290</v>
      </c>
      <c r="W3892" t="n">
        <v/>
      </c>
      <c r="X3892" t="n">
        <v/>
      </c>
      <c r="Y3892" t="n">
        <v/>
      </c>
      <c r="Z3892" t="n">
        <v/>
      </c>
      <c r="AA3892">
        <f>SUMIFS($S$2:S3892,$A$2:A3892,A3892,$N$2:N3892,"Explore*")</f>
        <v/>
      </c>
      <c r="AB3892">
        <f>IF(AND(LEFT(N3892,7)="Explore",(AA3892-IF(LEFT(N3892,7)="Explore",S3892,0))&lt;10),"SI","NO")</f>
        <v/>
      </c>
    </row>
    <row r="3893">
      <c r="A3893" t="inlineStr">
        <is>
          <t>c53f3_test</t>
        </is>
      </c>
      <c r="B3893" t="inlineStr">
        <is>
          <t>2026-02-18 15:19:02.344</t>
        </is>
      </c>
      <c r="C3893" t="n">
        <v/>
      </c>
      <c r="D3893" t="inlineStr">
        <is>
          <t>Media file</t>
        </is>
      </c>
      <c r="E3893" t="inlineStr">
        <is>
          <t>player #1:WT\test\c53f3.mp4</t>
        </is>
      </c>
      <c r="F3893" t="n">
        <v>-21.367</v>
      </c>
      <c r="G3893" t="n">
        <v>556.7</v>
      </c>
      <c r="H3893" t="n">
        <v>636.033</v>
      </c>
      <c r="I3893" t="n">
        <v>30</v>
      </c>
      <c r="J3893" t="inlineStr">
        <is>
          <t xml:space="preserve"> WT</t>
        </is>
      </c>
      <c r="K3893" t="inlineStr">
        <is>
          <t xml:space="preserve"> Female</t>
        </is>
      </c>
      <c r="L3893" t="inlineStr">
        <is>
          <t>No focal subject</t>
        </is>
      </c>
      <c r="M3893" t="n">
        <v>6.599</v>
      </c>
      <c r="N3893" t="inlineStr">
        <is>
          <t>Explore_F</t>
        </is>
      </c>
      <c r="O3893" t="inlineStr">
        <is>
          <t>Familiar</t>
        </is>
      </c>
      <c r="P3893" t="inlineStr">
        <is>
          <t>STATE</t>
        </is>
      </c>
      <c r="Q3893" t="n">
        <v>189.366</v>
      </c>
      <c r="R3893" t="n">
        <v>190.099</v>
      </c>
      <c r="S3893" t="n">
        <v>0.733</v>
      </c>
      <c r="T3893" t="inlineStr">
        <is>
          <t>WT\test\c53f3.mp4</t>
        </is>
      </c>
      <c r="U3893" t="n">
        <v>5681</v>
      </c>
      <c r="V3893" t="n">
        <v>5703</v>
      </c>
      <c r="W3893" t="n">
        <v/>
      </c>
      <c r="X3893" t="n">
        <v/>
      </c>
      <c r="Y3893" t="n">
        <v/>
      </c>
      <c r="Z3893" t="n">
        <v/>
      </c>
      <c r="AA3893">
        <f>SUMIFS($S$2:S3893,$A$2:A3893,A3893,$N$2:N3893,"Explore*")</f>
        <v/>
      </c>
      <c r="AB3893">
        <f>IF(AND(LEFT(N3893,7)="Explore",(AA3893-IF(LEFT(N3893,7)="Explore",S3893,0))&lt;10),"SI","NO")</f>
        <v/>
      </c>
    </row>
    <row r="3894">
      <c r="A3894" t="inlineStr">
        <is>
          <t>c53f3_test</t>
        </is>
      </c>
      <c r="B3894" t="inlineStr">
        <is>
          <t>2026-02-18 15:19:02.344</t>
        </is>
      </c>
      <c r="C3894" t="n">
        <v/>
      </c>
      <c r="D3894" t="inlineStr">
        <is>
          <t>Media file</t>
        </is>
      </c>
      <c r="E3894" t="inlineStr">
        <is>
          <t>player #1:WT\test\c53f3.mp4</t>
        </is>
      </c>
      <c r="F3894" t="n">
        <v>-21.367</v>
      </c>
      <c r="G3894" t="n">
        <v>556.7</v>
      </c>
      <c r="H3894" t="n">
        <v>636.033</v>
      </c>
      <c r="I3894" t="n">
        <v>30</v>
      </c>
      <c r="J3894" t="inlineStr">
        <is>
          <t xml:space="preserve"> WT</t>
        </is>
      </c>
      <c r="K3894" t="inlineStr">
        <is>
          <t xml:space="preserve"> Female</t>
        </is>
      </c>
      <c r="L3894" t="inlineStr">
        <is>
          <t>No focal subject</t>
        </is>
      </c>
      <c r="M3894" t="n">
        <v>6.599</v>
      </c>
      <c r="N3894" t="inlineStr">
        <is>
          <t>Explore_N</t>
        </is>
      </c>
      <c r="O3894" t="inlineStr">
        <is>
          <t>Novelty</t>
        </is>
      </c>
      <c r="P3894" t="inlineStr">
        <is>
          <t>STATE</t>
        </is>
      </c>
      <c r="Q3894" t="n">
        <v>230.733</v>
      </c>
      <c r="R3894" t="n">
        <v>231.166</v>
      </c>
      <c r="S3894" t="n">
        <v>0.433</v>
      </c>
      <c r="T3894" t="inlineStr">
        <is>
          <t>WT\test\c53f3.mp4</t>
        </is>
      </c>
      <c r="U3894" t="n">
        <v>6922</v>
      </c>
      <c r="V3894" t="n">
        <v>6935</v>
      </c>
      <c r="W3894" t="n">
        <v/>
      </c>
      <c r="X3894" t="n">
        <v/>
      </c>
      <c r="Y3894" t="n">
        <v/>
      </c>
      <c r="Z3894" t="n">
        <v/>
      </c>
      <c r="AA3894">
        <f>SUMIFS($S$2:S3894,$A$2:A3894,A3894,$N$2:N3894,"Explore*")</f>
        <v/>
      </c>
      <c r="AB3894">
        <f>IF(AND(LEFT(N3894,7)="Explore",(AA3894-IF(LEFT(N3894,7)="Explore",S3894,0))&lt;10),"SI","NO")</f>
        <v/>
      </c>
    </row>
    <row r="3895">
      <c r="A3895" t="inlineStr">
        <is>
          <t>c53f3_test</t>
        </is>
      </c>
      <c r="B3895" t="inlineStr">
        <is>
          <t>2026-02-18 15:19:02.344</t>
        </is>
      </c>
      <c r="C3895" t="n">
        <v/>
      </c>
      <c r="D3895" t="inlineStr">
        <is>
          <t>Media file</t>
        </is>
      </c>
      <c r="E3895" t="inlineStr">
        <is>
          <t>player #1:WT\test\c53f3.mp4</t>
        </is>
      </c>
      <c r="F3895" t="n">
        <v>-21.367</v>
      </c>
      <c r="G3895" t="n">
        <v>556.7</v>
      </c>
      <c r="H3895" t="n">
        <v>636.033</v>
      </c>
      <c r="I3895" t="n">
        <v>30</v>
      </c>
      <c r="J3895" t="inlineStr">
        <is>
          <t xml:space="preserve"> WT</t>
        </is>
      </c>
      <c r="K3895" t="inlineStr">
        <is>
          <t xml:space="preserve"> Female</t>
        </is>
      </c>
      <c r="L3895" t="inlineStr">
        <is>
          <t>No focal subject</t>
        </is>
      </c>
      <c r="M3895" t="n">
        <v>6.599</v>
      </c>
      <c r="N3895" t="inlineStr">
        <is>
          <t>Explore_N</t>
        </is>
      </c>
      <c r="O3895" t="inlineStr">
        <is>
          <t>Novelty</t>
        </is>
      </c>
      <c r="P3895" t="inlineStr">
        <is>
          <t>STATE</t>
        </is>
      </c>
      <c r="Q3895" t="n">
        <v>445.233</v>
      </c>
      <c r="R3895" t="n">
        <v>445.733</v>
      </c>
      <c r="S3895" t="n">
        <v>0.5</v>
      </c>
      <c r="T3895" t="inlineStr">
        <is>
          <t>WT\test\c53f3.mp4</t>
        </is>
      </c>
      <c r="U3895" t="n">
        <v>13357</v>
      </c>
      <c r="V3895" t="n">
        <v>13372</v>
      </c>
      <c r="W3895" t="n">
        <v/>
      </c>
      <c r="X3895" t="n">
        <v/>
      </c>
      <c r="Y3895" t="n">
        <v/>
      </c>
      <c r="Z3895" t="n">
        <v/>
      </c>
      <c r="AA3895">
        <f>SUMIFS($S$2:S3895,$A$2:A3895,A3895,$N$2:N3895,"Explore*")</f>
        <v/>
      </c>
      <c r="AB3895">
        <f>IF(AND(LEFT(N3895,7)="Explore",(AA3895-IF(LEFT(N3895,7)="Explore",S3895,0))&lt;10),"SI","NO")</f>
        <v/>
      </c>
    </row>
    <row r="3896">
      <c r="A3896" t="inlineStr">
        <is>
          <t>c53f3_test</t>
        </is>
      </c>
      <c r="B3896" t="inlineStr">
        <is>
          <t>2026-02-18 15:19:02.344</t>
        </is>
      </c>
      <c r="C3896" t="n">
        <v/>
      </c>
      <c r="D3896" t="inlineStr">
        <is>
          <t>Media file</t>
        </is>
      </c>
      <c r="E3896" t="inlineStr">
        <is>
          <t>player #1:WT\test\c53f3.mp4</t>
        </is>
      </c>
      <c r="F3896" t="n">
        <v>-21.367</v>
      </c>
      <c r="G3896" t="n">
        <v>556.7</v>
      </c>
      <c r="H3896" t="n">
        <v>636.033</v>
      </c>
      <c r="I3896" t="n">
        <v>30</v>
      </c>
      <c r="J3896" t="inlineStr">
        <is>
          <t xml:space="preserve"> WT</t>
        </is>
      </c>
      <c r="K3896" t="inlineStr">
        <is>
          <t xml:space="preserve"> Female</t>
        </is>
      </c>
      <c r="L3896" t="inlineStr">
        <is>
          <t>No focal subject</t>
        </is>
      </c>
      <c r="M3896" t="n">
        <v>6.599</v>
      </c>
      <c r="N3896" t="inlineStr">
        <is>
          <t>Explore_N</t>
        </is>
      </c>
      <c r="O3896" t="inlineStr">
        <is>
          <t>Novelty</t>
        </is>
      </c>
      <c r="P3896" t="inlineStr">
        <is>
          <t>STATE</t>
        </is>
      </c>
      <c r="Q3896" t="n">
        <v>446.233</v>
      </c>
      <c r="R3896" t="n">
        <v>446.666</v>
      </c>
      <c r="S3896" t="n">
        <v>0.433</v>
      </c>
      <c r="T3896" t="inlineStr">
        <is>
          <t>WT\test\c53f3.mp4</t>
        </is>
      </c>
      <c r="U3896" t="n">
        <v>13387</v>
      </c>
      <c r="V3896" t="n">
        <v>13400</v>
      </c>
      <c r="W3896" t="n">
        <v/>
      </c>
      <c r="X3896" t="n">
        <v/>
      </c>
      <c r="Y3896" t="n">
        <v/>
      </c>
      <c r="Z3896" t="n">
        <v/>
      </c>
      <c r="AA3896">
        <f>SUMIFS($S$2:S3896,$A$2:A3896,A3896,$N$2:N3896,"Explore*")</f>
        <v/>
      </c>
      <c r="AB3896">
        <f>IF(AND(LEFT(N3896,7)="Explore",(AA3896-IF(LEFT(N3896,7)="Explore",S3896,0))&lt;10),"SI","NO")</f>
        <v/>
      </c>
    </row>
    <row r="3897">
      <c r="A3897" t="inlineStr">
        <is>
          <t>c53f3_test</t>
        </is>
      </c>
      <c r="B3897" t="inlineStr">
        <is>
          <t>2026-02-18 15:19:02.344</t>
        </is>
      </c>
      <c r="C3897" t="n">
        <v/>
      </c>
      <c r="D3897" t="inlineStr">
        <is>
          <t>Media file</t>
        </is>
      </c>
      <c r="E3897" t="inlineStr">
        <is>
          <t>player #1:WT\test\c53f3.mp4</t>
        </is>
      </c>
      <c r="F3897" t="n">
        <v>-21.367</v>
      </c>
      <c r="G3897" t="n">
        <v>556.7</v>
      </c>
      <c r="H3897" t="n">
        <v>636.033</v>
      </c>
      <c r="I3897" t="n">
        <v>30</v>
      </c>
      <c r="J3897" t="inlineStr">
        <is>
          <t xml:space="preserve"> WT</t>
        </is>
      </c>
      <c r="K3897" t="inlineStr">
        <is>
          <t xml:space="preserve"> Female</t>
        </is>
      </c>
      <c r="L3897" t="inlineStr">
        <is>
          <t>No focal subject</t>
        </is>
      </c>
      <c r="M3897" t="n">
        <v>6.599</v>
      </c>
      <c r="N3897" t="inlineStr">
        <is>
          <t>Explore_N</t>
        </is>
      </c>
      <c r="O3897" t="inlineStr">
        <is>
          <t>Novelty</t>
        </is>
      </c>
      <c r="P3897" t="inlineStr">
        <is>
          <t>STATE</t>
        </is>
      </c>
      <c r="Q3897" t="n">
        <v>518.1660000000001</v>
      </c>
      <c r="R3897" t="n">
        <v>518.466</v>
      </c>
      <c r="S3897" t="n">
        <v>0.3</v>
      </c>
      <c r="T3897" t="inlineStr">
        <is>
          <t>WT\test\c53f3.mp4</t>
        </is>
      </c>
      <c r="U3897" t="n">
        <v>15545</v>
      </c>
      <c r="V3897" t="n">
        <v>15554</v>
      </c>
      <c r="W3897" t="n">
        <v/>
      </c>
      <c r="X3897" t="n">
        <v/>
      </c>
      <c r="Y3897" t="n">
        <v/>
      </c>
      <c r="Z3897" t="n">
        <v/>
      </c>
      <c r="AA3897">
        <f>SUMIFS($S$2:S3897,$A$2:A3897,A3897,$N$2:N3897,"Explore*")</f>
        <v/>
      </c>
      <c r="AB3897">
        <f>IF(AND(LEFT(N3897,7)="Explore",(AA3897-IF(LEFT(N3897,7)="Explore",S3897,0))&lt;10),"SI","NO")</f>
        <v/>
      </c>
    </row>
    <row r="3898">
      <c r="A3898" t="inlineStr">
        <is>
          <t>c53f3_test</t>
        </is>
      </c>
      <c r="B3898" t="inlineStr">
        <is>
          <t>2026-02-18 15:19:02.344</t>
        </is>
      </c>
      <c r="C3898" t="n">
        <v/>
      </c>
      <c r="D3898" t="inlineStr">
        <is>
          <t>Media file</t>
        </is>
      </c>
      <c r="E3898" t="inlineStr">
        <is>
          <t>player #1:WT\test\c53f3.mp4</t>
        </is>
      </c>
      <c r="F3898" t="n">
        <v>-21.367</v>
      </c>
      <c r="G3898" t="n">
        <v>556.7</v>
      </c>
      <c r="H3898" t="n">
        <v>636.033</v>
      </c>
      <c r="I3898" t="n">
        <v>30</v>
      </c>
      <c r="J3898" t="inlineStr">
        <is>
          <t xml:space="preserve"> WT</t>
        </is>
      </c>
      <c r="K3898" t="inlineStr">
        <is>
          <t xml:space="preserve"> Female</t>
        </is>
      </c>
      <c r="L3898" t="inlineStr">
        <is>
          <t>No focal subject</t>
        </is>
      </c>
      <c r="M3898" t="n">
        <v>6.599</v>
      </c>
      <c r="N3898" t="inlineStr">
        <is>
          <t>Explore_N</t>
        </is>
      </c>
      <c r="O3898" t="inlineStr">
        <is>
          <t>Novelty</t>
        </is>
      </c>
      <c r="P3898" t="inlineStr">
        <is>
          <t>STATE</t>
        </is>
      </c>
      <c r="Q3898" t="n">
        <v>519.699</v>
      </c>
      <c r="R3898" t="n">
        <v>520.366</v>
      </c>
      <c r="S3898" t="n">
        <v>0.667</v>
      </c>
      <c r="T3898" t="inlineStr">
        <is>
          <t>WT\test\c53f3.mp4</t>
        </is>
      </c>
      <c r="U3898" t="n">
        <v>15591</v>
      </c>
      <c r="V3898" t="n">
        <v>15611</v>
      </c>
      <c r="W3898" t="n">
        <v/>
      </c>
      <c r="X3898" t="n">
        <v/>
      </c>
      <c r="Y3898" t="n">
        <v/>
      </c>
      <c r="Z3898" t="n">
        <v/>
      </c>
      <c r="AA3898">
        <f>SUMIFS($S$2:S3898,$A$2:A3898,A3898,$N$2:N3898,"Explore*")</f>
        <v/>
      </c>
      <c r="AB3898">
        <f>IF(AND(LEFT(N3898,7)="Explore",(AA3898-IF(LEFT(N3898,7)="Explore",S3898,0))&lt;10),"SI","NO")</f>
        <v/>
      </c>
    </row>
    <row r="3899">
      <c r="A3899" t="inlineStr">
        <is>
          <t>c53f3_test</t>
        </is>
      </c>
      <c r="B3899" t="inlineStr">
        <is>
          <t>2026-02-18 15:19:02.344</t>
        </is>
      </c>
      <c r="C3899" t="n">
        <v/>
      </c>
      <c r="D3899" t="inlineStr">
        <is>
          <t>Media file</t>
        </is>
      </c>
      <c r="E3899" t="inlineStr">
        <is>
          <t>player #1:WT\test\c53f3.mp4</t>
        </is>
      </c>
      <c r="F3899" t="n">
        <v>-21.367</v>
      </c>
      <c r="G3899" t="n">
        <v>556.7</v>
      </c>
      <c r="H3899" t="n">
        <v>636.033</v>
      </c>
      <c r="I3899" t="n">
        <v>30</v>
      </c>
      <c r="J3899" t="inlineStr">
        <is>
          <t xml:space="preserve"> WT</t>
        </is>
      </c>
      <c r="K3899" t="inlineStr">
        <is>
          <t xml:space="preserve"> Female</t>
        </is>
      </c>
      <c r="L3899" t="inlineStr">
        <is>
          <t>No focal subject</t>
        </is>
      </c>
      <c r="M3899" t="n">
        <v>6.599</v>
      </c>
      <c r="N3899" t="inlineStr">
        <is>
          <t>Explore_N</t>
        </is>
      </c>
      <c r="O3899" t="inlineStr">
        <is>
          <t>Novelty</t>
        </is>
      </c>
      <c r="P3899" t="inlineStr">
        <is>
          <t>STATE</t>
        </is>
      </c>
      <c r="Q3899" t="n">
        <v>532.999</v>
      </c>
      <c r="R3899" t="n">
        <v>534.299</v>
      </c>
      <c r="S3899" t="n">
        <v>1.3</v>
      </c>
      <c r="T3899" t="inlineStr">
        <is>
          <t>WT\test\c53f3.mp4</t>
        </is>
      </c>
      <c r="U3899" t="n">
        <v>15990</v>
      </c>
      <c r="V3899" t="n">
        <v>16029</v>
      </c>
      <c r="W3899" t="n">
        <v/>
      </c>
      <c r="X3899" t="n">
        <v/>
      </c>
      <c r="Y3899" t="n">
        <v/>
      </c>
      <c r="Z3899" t="n">
        <v/>
      </c>
      <c r="AA3899">
        <f>SUMIFS($S$2:S3899,$A$2:A3899,A3899,$N$2:N3899,"Explore*")</f>
        <v/>
      </c>
      <c r="AB3899">
        <f>IF(AND(LEFT(N3899,7)="Explore",(AA3899-IF(LEFT(N3899,7)="Explore",S3899,0))&lt;10),"SI","NO")</f>
        <v/>
      </c>
    </row>
    <row r="3900">
      <c r="A3900" t="inlineStr">
        <is>
          <t>c53f3_test</t>
        </is>
      </c>
      <c r="B3900" t="inlineStr">
        <is>
          <t>2026-02-18 15:19:02.344</t>
        </is>
      </c>
      <c r="C3900" t="n">
        <v/>
      </c>
      <c r="D3900" t="inlineStr">
        <is>
          <t>Media file</t>
        </is>
      </c>
      <c r="E3900" t="inlineStr">
        <is>
          <t>player #1:WT\test\c53f3.mp4</t>
        </is>
      </c>
      <c r="F3900" t="n">
        <v>-21.367</v>
      </c>
      <c r="G3900" t="n">
        <v>556.7</v>
      </c>
      <c r="H3900" t="n">
        <v>636.033</v>
      </c>
      <c r="I3900" t="n">
        <v>30</v>
      </c>
      <c r="J3900" t="inlineStr">
        <is>
          <t xml:space="preserve"> WT</t>
        </is>
      </c>
      <c r="K3900" t="inlineStr">
        <is>
          <t xml:space="preserve"> Female</t>
        </is>
      </c>
      <c r="L3900" t="inlineStr">
        <is>
          <t>No focal subject</t>
        </is>
      </c>
      <c r="M3900" t="n">
        <v>6.599</v>
      </c>
      <c r="N3900" t="inlineStr">
        <is>
          <t>Explore_F</t>
        </is>
      </c>
      <c r="O3900" t="inlineStr">
        <is>
          <t>Familiar</t>
        </is>
      </c>
      <c r="P3900" t="inlineStr">
        <is>
          <t>STATE</t>
        </is>
      </c>
      <c r="Q3900" t="n">
        <v>549.266</v>
      </c>
      <c r="R3900" t="n">
        <v>549.432</v>
      </c>
      <c r="S3900" t="n">
        <v>0.166</v>
      </c>
      <c r="T3900" t="inlineStr">
        <is>
          <t>WT\test\c53f3.mp4</t>
        </is>
      </c>
      <c r="U3900" t="n">
        <v>16478</v>
      </c>
      <c r="V3900" t="n">
        <v>16483</v>
      </c>
      <c r="W3900" t="n">
        <v/>
      </c>
      <c r="X3900" t="n">
        <v/>
      </c>
      <c r="Y3900" t="n">
        <v/>
      </c>
      <c r="Z3900" t="n">
        <v/>
      </c>
      <c r="AA3900">
        <f>SUMIFS($S$2:S3900,$A$2:A3900,A3900,$N$2:N3900,"Explore*")</f>
        <v/>
      </c>
      <c r="AB3900">
        <f>IF(AND(LEFT(N3900,7)="Explore",(AA3900-IF(LEFT(N3900,7)="Explore",S3900,0))&lt;10),"SI","NO")</f>
        <v/>
      </c>
    </row>
    <row r="3901">
      <c r="A3901" t="inlineStr">
        <is>
          <t>c53f3_test</t>
        </is>
      </c>
      <c r="B3901" t="inlineStr">
        <is>
          <t>2026-02-18 15:19:02.344</t>
        </is>
      </c>
      <c r="C3901" t="n">
        <v/>
      </c>
      <c r="D3901" t="inlineStr">
        <is>
          <t>Media file</t>
        </is>
      </c>
      <c r="E3901" t="inlineStr">
        <is>
          <t>player #1:WT\test\c53f3.mp4</t>
        </is>
      </c>
      <c r="F3901" t="n">
        <v>-21.367</v>
      </c>
      <c r="G3901" t="n">
        <v>556.7</v>
      </c>
      <c r="H3901" t="n">
        <v>636.033</v>
      </c>
      <c r="I3901" t="n">
        <v>30</v>
      </c>
      <c r="J3901" t="inlineStr">
        <is>
          <t xml:space="preserve"> WT</t>
        </is>
      </c>
      <c r="K3901" t="inlineStr">
        <is>
          <t xml:space="preserve"> Female</t>
        </is>
      </c>
      <c r="L3901" t="inlineStr">
        <is>
          <t>No focal subject</t>
        </is>
      </c>
      <c r="M3901" t="n">
        <v>6.599</v>
      </c>
      <c r="N3901" t="inlineStr">
        <is>
          <t>Explore_N</t>
        </is>
      </c>
      <c r="O3901" t="inlineStr">
        <is>
          <t>Novelty</t>
        </is>
      </c>
      <c r="P3901" t="inlineStr">
        <is>
          <t>STATE</t>
        </is>
      </c>
      <c r="Q3901" t="n">
        <v>556.932</v>
      </c>
      <c r="R3901" t="n">
        <v>557.1319999999999</v>
      </c>
      <c r="S3901" t="n">
        <v>0.2</v>
      </c>
      <c r="T3901" t="inlineStr">
        <is>
          <t>WT\test\c53f3.mp4</t>
        </is>
      </c>
      <c r="U3901" t="n">
        <v>16708</v>
      </c>
      <c r="V3901" t="n">
        <v>16714</v>
      </c>
      <c r="W3901" t="n">
        <v/>
      </c>
      <c r="X3901" t="n">
        <v/>
      </c>
      <c r="Y3901" t="n">
        <v/>
      </c>
      <c r="Z3901" t="n">
        <v/>
      </c>
      <c r="AA3901">
        <f>SUMIFS($S$2:S3901,$A$2:A3901,A3901,$N$2:N3901,"Explore*")</f>
        <v/>
      </c>
      <c r="AB3901">
        <f>IF(AND(LEFT(N3901,7)="Explore",(AA3901-IF(LEFT(N3901,7)="Explore",S3901,0))&lt;10),"SI","NO")</f>
        <v/>
      </c>
    </row>
    <row r="3902">
      <c r="A3902" t="inlineStr">
        <is>
          <t>c53f3_test</t>
        </is>
      </c>
      <c r="B3902" t="inlineStr">
        <is>
          <t>2026-02-18 15:19:02.344</t>
        </is>
      </c>
      <c r="C3902" t="n">
        <v/>
      </c>
      <c r="D3902" t="inlineStr">
        <is>
          <t>Media file</t>
        </is>
      </c>
      <c r="E3902" t="inlineStr">
        <is>
          <t>player #1:WT\test\c53f3.mp4</t>
        </is>
      </c>
      <c r="F3902" t="n">
        <v>-21.367</v>
      </c>
      <c r="G3902" t="n">
        <v>556.7</v>
      </c>
      <c r="H3902" t="n">
        <v>636.033</v>
      </c>
      <c r="I3902" t="n">
        <v>30</v>
      </c>
      <c r="J3902" t="inlineStr">
        <is>
          <t xml:space="preserve"> WT</t>
        </is>
      </c>
      <c r="K3902" t="inlineStr">
        <is>
          <t xml:space="preserve"> Female</t>
        </is>
      </c>
      <c r="L3902" t="inlineStr">
        <is>
          <t>No focal subject</t>
        </is>
      </c>
      <c r="M3902" t="n">
        <v>6.599</v>
      </c>
      <c r="N3902" t="inlineStr">
        <is>
          <t>Explore_N</t>
        </is>
      </c>
      <c r="O3902" t="inlineStr">
        <is>
          <t>Novelty</t>
        </is>
      </c>
      <c r="P3902" t="inlineStr">
        <is>
          <t>STATE</t>
        </is>
      </c>
      <c r="Q3902" t="n">
        <v>557.599</v>
      </c>
      <c r="R3902" t="n">
        <v>557.899</v>
      </c>
      <c r="S3902" t="n">
        <v>0.3</v>
      </c>
      <c r="T3902" t="inlineStr">
        <is>
          <t>WT\test\c53f3.mp4</t>
        </is>
      </c>
      <c r="U3902" t="n">
        <v>16728</v>
      </c>
      <c r="V3902" t="n">
        <v>16737</v>
      </c>
      <c r="W3902" t="n">
        <v/>
      </c>
      <c r="X3902" t="n">
        <v/>
      </c>
      <c r="Y3902" t="n">
        <v/>
      </c>
      <c r="Z3902" t="n">
        <v/>
      </c>
      <c r="AA3902">
        <f>SUMIFS($S$2:S3902,$A$2:A3902,A3902,$N$2:N3902,"Explore*")</f>
        <v/>
      </c>
      <c r="AB3902">
        <f>IF(AND(LEFT(N3902,7)="Explore",(AA3902-IF(LEFT(N3902,7)="Explore",S3902,0))&lt;10),"SI","NO")</f>
        <v/>
      </c>
    </row>
    <row r="3903">
      <c r="A3903" t="inlineStr">
        <is>
          <t>c53f3_test</t>
        </is>
      </c>
      <c r="B3903" t="inlineStr">
        <is>
          <t>2026-02-18 15:19:02.344</t>
        </is>
      </c>
      <c r="C3903" t="n">
        <v/>
      </c>
      <c r="D3903" t="inlineStr">
        <is>
          <t>Media file</t>
        </is>
      </c>
      <c r="E3903" t="inlineStr">
        <is>
          <t>player #1:WT\test\c53f3.mp4</t>
        </is>
      </c>
      <c r="F3903" t="n">
        <v>-21.367</v>
      </c>
      <c r="G3903" t="n">
        <v>556.7</v>
      </c>
      <c r="H3903" t="n">
        <v>636.033</v>
      </c>
      <c r="I3903" t="n">
        <v>30</v>
      </c>
      <c r="J3903" t="inlineStr">
        <is>
          <t xml:space="preserve"> WT</t>
        </is>
      </c>
      <c r="K3903" t="inlineStr">
        <is>
          <t xml:space="preserve"> Female</t>
        </is>
      </c>
      <c r="L3903" t="inlineStr">
        <is>
          <t>No focal subject</t>
        </is>
      </c>
      <c r="M3903" t="n">
        <v>6.599</v>
      </c>
      <c r="N3903" t="inlineStr">
        <is>
          <t>Explore_N</t>
        </is>
      </c>
      <c r="O3903" t="inlineStr">
        <is>
          <t>Novelty</t>
        </is>
      </c>
      <c r="P3903" t="inlineStr">
        <is>
          <t>STATE</t>
        </is>
      </c>
      <c r="Q3903" t="n">
        <v>579.999</v>
      </c>
      <c r="R3903" t="n">
        <v>580.366</v>
      </c>
      <c r="S3903" t="n">
        <v>0.367</v>
      </c>
      <c r="T3903" t="inlineStr">
        <is>
          <t>WT\test\c53f3.mp4</t>
        </is>
      </c>
      <c r="U3903" t="n">
        <v>17400</v>
      </c>
      <c r="V3903" t="n">
        <v>17411</v>
      </c>
      <c r="W3903" t="n">
        <v/>
      </c>
      <c r="X3903" t="n">
        <v/>
      </c>
      <c r="Y3903" t="n">
        <v/>
      </c>
      <c r="Z3903" t="n">
        <v/>
      </c>
      <c r="AA3903">
        <f>SUMIFS($S$2:S3903,$A$2:A3903,A3903,$N$2:N3903,"Explore*")</f>
        <v/>
      </c>
      <c r="AB3903">
        <f>IF(AND(LEFT(N3903,7)="Explore",(AA3903-IF(LEFT(N3903,7)="Explore",S3903,0))&lt;10),"SI","NO")</f>
        <v/>
      </c>
    </row>
    <row r="3904">
      <c r="A3904" t="inlineStr">
        <is>
          <t>c53f4_test</t>
        </is>
      </c>
      <c r="B3904" t="inlineStr">
        <is>
          <t>2026-02-18 15:35:26.813</t>
        </is>
      </c>
      <c r="C3904" t="n">
        <v/>
      </c>
      <c r="D3904" t="inlineStr">
        <is>
          <t>Media file</t>
        </is>
      </c>
      <c r="E3904" t="inlineStr">
        <is>
          <t>player #1:WT\test\c53f4.mp4</t>
        </is>
      </c>
      <c r="F3904" t="n">
        <v>-9.233000000000001</v>
      </c>
      <c r="G3904" t="n">
        <v>499.632</v>
      </c>
      <c r="H3904" t="n">
        <v>621.133</v>
      </c>
      <c r="I3904" t="n">
        <v>30</v>
      </c>
      <c r="J3904" t="inlineStr">
        <is>
          <t xml:space="preserve"> WT</t>
        </is>
      </c>
      <c r="K3904" t="inlineStr">
        <is>
          <t xml:space="preserve"> Female</t>
        </is>
      </c>
      <c r="L3904" t="inlineStr">
        <is>
          <t>No focal subject</t>
        </is>
      </c>
      <c r="M3904" t="n">
        <v>41.367</v>
      </c>
      <c r="N3904" t="inlineStr">
        <is>
          <t>Explore_F</t>
        </is>
      </c>
      <c r="O3904" t="inlineStr">
        <is>
          <t>Familiar</t>
        </is>
      </c>
      <c r="P3904" t="inlineStr">
        <is>
          <t>STATE</t>
        </is>
      </c>
      <c r="Q3904" t="n">
        <v>98.634</v>
      </c>
      <c r="R3904" t="n">
        <v>98.967</v>
      </c>
      <c r="S3904" t="n">
        <v>0.333</v>
      </c>
      <c r="T3904" t="inlineStr">
        <is>
          <t>WT\test\c53f4.mp4</t>
        </is>
      </c>
      <c r="U3904" t="n">
        <v>2959</v>
      </c>
      <c r="V3904" t="n">
        <v>2969</v>
      </c>
      <c r="W3904" t="n">
        <v/>
      </c>
      <c r="X3904" t="n">
        <v/>
      </c>
      <c r="Y3904" t="n">
        <v/>
      </c>
      <c r="Z3904" t="n">
        <v/>
      </c>
      <c r="AA3904">
        <f>SUMIFS($S$2:S3904,$A$2:A3904,A3904,$N$2:N3904,"Explore*")</f>
        <v/>
      </c>
      <c r="AB3904">
        <f>IF(AND(LEFT(N3904,7)="Explore",(AA3904-IF(LEFT(N3904,7)="Explore",S3904,0))&lt;10),"SI","NO")</f>
        <v/>
      </c>
    </row>
    <row r="3905">
      <c r="A3905" t="inlineStr">
        <is>
          <t>c53f4_test</t>
        </is>
      </c>
      <c r="B3905" t="inlineStr">
        <is>
          <t>2026-02-18 15:35:26.813</t>
        </is>
      </c>
      <c r="C3905" t="n">
        <v/>
      </c>
      <c r="D3905" t="inlineStr">
        <is>
          <t>Media file</t>
        </is>
      </c>
      <c r="E3905" t="inlineStr">
        <is>
          <t>player #1:WT\test\c53f4.mp4</t>
        </is>
      </c>
      <c r="F3905" t="n">
        <v>-9.233000000000001</v>
      </c>
      <c r="G3905" t="n">
        <v>499.632</v>
      </c>
      <c r="H3905" t="n">
        <v>621.133</v>
      </c>
      <c r="I3905" t="n">
        <v>30</v>
      </c>
      <c r="J3905" t="inlineStr">
        <is>
          <t xml:space="preserve"> WT</t>
        </is>
      </c>
      <c r="K3905" t="inlineStr">
        <is>
          <t xml:space="preserve"> Female</t>
        </is>
      </c>
      <c r="L3905" t="inlineStr">
        <is>
          <t>No focal subject</t>
        </is>
      </c>
      <c r="M3905" t="n">
        <v>41.367</v>
      </c>
      <c r="N3905" t="inlineStr">
        <is>
          <t>Explore_F</t>
        </is>
      </c>
      <c r="O3905" t="inlineStr">
        <is>
          <t>Familiar</t>
        </is>
      </c>
      <c r="P3905" t="inlineStr">
        <is>
          <t>STATE</t>
        </is>
      </c>
      <c r="Q3905" t="n">
        <v>120.434</v>
      </c>
      <c r="R3905" t="n">
        <v>120.634</v>
      </c>
      <c r="S3905" t="n">
        <v>0.2</v>
      </c>
      <c r="T3905" t="inlineStr">
        <is>
          <t>WT\test\c53f4.mp4</t>
        </is>
      </c>
      <c r="U3905" t="n">
        <v>3613</v>
      </c>
      <c r="V3905" t="n">
        <v>3619</v>
      </c>
      <c r="W3905" t="n">
        <v/>
      </c>
      <c r="X3905" t="n">
        <v/>
      </c>
      <c r="Y3905" t="n">
        <v/>
      </c>
      <c r="Z3905" t="n">
        <v/>
      </c>
      <c r="AA3905">
        <f>SUMIFS($S$2:S3905,$A$2:A3905,A3905,$N$2:N3905,"Explore*")</f>
        <v/>
      </c>
      <c r="AB3905">
        <f>IF(AND(LEFT(N3905,7)="Explore",(AA3905-IF(LEFT(N3905,7)="Explore",S3905,0))&lt;10),"SI","NO")</f>
        <v/>
      </c>
    </row>
    <row r="3906">
      <c r="A3906" t="inlineStr">
        <is>
          <t>c53f4_test</t>
        </is>
      </c>
      <c r="B3906" t="inlineStr">
        <is>
          <t>2026-02-18 15:35:26.813</t>
        </is>
      </c>
      <c r="C3906" t="n">
        <v/>
      </c>
      <c r="D3906" t="inlineStr">
        <is>
          <t>Media file</t>
        </is>
      </c>
      <c r="E3906" t="inlineStr">
        <is>
          <t>player #1:WT\test\c53f4.mp4</t>
        </is>
      </c>
      <c r="F3906" t="n">
        <v>-9.233000000000001</v>
      </c>
      <c r="G3906" t="n">
        <v>499.632</v>
      </c>
      <c r="H3906" t="n">
        <v>621.133</v>
      </c>
      <c r="I3906" t="n">
        <v>30</v>
      </c>
      <c r="J3906" t="inlineStr">
        <is>
          <t xml:space="preserve"> WT</t>
        </is>
      </c>
      <c r="K3906" t="inlineStr">
        <is>
          <t xml:space="preserve"> Female</t>
        </is>
      </c>
      <c r="L3906" t="inlineStr">
        <is>
          <t>No focal subject</t>
        </is>
      </c>
      <c r="M3906" t="n">
        <v>41.367</v>
      </c>
      <c r="N3906" t="inlineStr">
        <is>
          <t>Explore_N</t>
        </is>
      </c>
      <c r="O3906" t="inlineStr">
        <is>
          <t>Novelty</t>
        </is>
      </c>
      <c r="P3906" t="inlineStr">
        <is>
          <t>STATE</t>
        </is>
      </c>
      <c r="Q3906" t="n">
        <v>127.267</v>
      </c>
      <c r="R3906" t="n">
        <v>128.267</v>
      </c>
      <c r="S3906" t="n">
        <v>1</v>
      </c>
      <c r="T3906" t="inlineStr">
        <is>
          <t>WT\test\c53f4.mp4</t>
        </is>
      </c>
      <c r="U3906" t="n">
        <v>3818</v>
      </c>
      <c r="V3906" t="n">
        <v>3848</v>
      </c>
      <c r="W3906" t="n">
        <v/>
      </c>
      <c r="X3906" t="n">
        <v/>
      </c>
      <c r="Y3906" t="n">
        <v/>
      </c>
      <c r="Z3906" t="n">
        <v/>
      </c>
      <c r="AA3906">
        <f>SUMIFS($S$2:S3906,$A$2:A3906,A3906,$N$2:N3906,"Explore*")</f>
        <v/>
      </c>
      <c r="AB3906">
        <f>IF(AND(LEFT(N3906,7)="Explore",(AA3906-IF(LEFT(N3906,7)="Explore",S3906,0))&lt;10),"SI","NO")</f>
        <v/>
      </c>
    </row>
    <row r="3907">
      <c r="A3907" t="inlineStr">
        <is>
          <t>c53f4_test</t>
        </is>
      </c>
      <c r="B3907" t="inlineStr">
        <is>
          <t>2026-02-18 15:35:26.813</t>
        </is>
      </c>
      <c r="C3907" t="n">
        <v/>
      </c>
      <c r="D3907" t="inlineStr">
        <is>
          <t>Media file</t>
        </is>
      </c>
      <c r="E3907" t="inlineStr">
        <is>
          <t>player #1:WT\test\c53f4.mp4</t>
        </is>
      </c>
      <c r="F3907" t="n">
        <v>-9.233000000000001</v>
      </c>
      <c r="G3907" t="n">
        <v>499.632</v>
      </c>
      <c r="H3907" t="n">
        <v>621.133</v>
      </c>
      <c r="I3907" t="n">
        <v>30</v>
      </c>
      <c r="J3907" t="inlineStr">
        <is>
          <t xml:space="preserve"> WT</t>
        </is>
      </c>
      <c r="K3907" t="inlineStr">
        <is>
          <t xml:space="preserve"> Female</t>
        </is>
      </c>
      <c r="L3907" t="inlineStr">
        <is>
          <t>No focal subject</t>
        </is>
      </c>
      <c r="M3907" t="n">
        <v>41.367</v>
      </c>
      <c r="N3907" t="inlineStr">
        <is>
          <t>Explore_N</t>
        </is>
      </c>
      <c r="O3907" t="inlineStr">
        <is>
          <t>Novelty</t>
        </is>
      </c>
      <c r="P3907" t="inlineStr">
        <is>
          <t>STATE</t>
        </is>
      </c>
      <c r="Q3907" t="n">
        <v>149.567</v>
      </c>
      <c r="R3907" t="n">
        <v>150.1</v>
      </c>
      <c r="S3907" t="n">
        <v>0.533</v>
      </c>
      <c r="T3907" t="inlineStr">
        <is>
          <t>WT\test\c53f4.mp4</t>
        </is>
      </c>
      <c r="U3907" t="n">
        <v>4487</v>
      </c>
      <c r="V3907" t="n">
        <v>4503</v>
      </c>
      <c r="W3907" t="n">
        <v/>
      </c>
      <c r="X3907" t="n">
        <v/>
      </c>
      <c r="Y3907" t="n">
        <v/>
      </c>
      <c r="Z3907" t="n">
        <v/>
      </c>
      <c r="AA3907">
        <f>SUMIFS($S$2:S3907,$A$2:A3907,A3907,$N$2:N3907,"Explore*")</f>
        <v/>
      </c>
      <c r="AB3907">
        <f>IF(AND(LEFT(N3907,7)="Explore",(AA3907-IF(LEFT(N3907,7)="Explore",S3907,0))&lt;10),"SI","NO")</f>
        <v/>
      </c>
    </row>
    <row r="3908">
      <c r="A3908" t="inlineStr">
        <is>
          <t>c53f4_test</t>
        </is>
      </c>
      <c r="B3908" t="inlineStr">
        <is>
          <t>2026-02-18 15:35:26.813</t>
        </is>
      </c>
      <c r="C3908" t="n">
        <v/>
      </c>
      <c r="D3908" t="inlineStr">
        <is>
          <t>Media file</t>
        </is>
      </c>
      <c r="E3908" t="inlineStr">
        <is>
          <t>player #1:WT\test\c53f4.mp4</t>
        </is>
      </c>
      <c r="F3908" t="n">
        <v>-9.233000000000001</v>
      </c>
      <c r="G3908" t="n">
        <v>499.632</v>
      </c>
      <c r="H3908" t="n">
        <v>621.133</v>
      </c>
      <c r="I3908" t="n">
        <v>30</v>
      </c>
      <c r="J3908" t="inlineStr">
        <is>
          <t xml:space="preserve"> WT</t>
        </is>
      </c>
      <c r="K3908" t="inlineStr">
        <is>
          <t xml:space="preserve"> Female</t>
        </is>
      </c>
      <c r="L3908" t="inlineStr">
        <is>
          <t>No focal subject</t>
        </is>
      </c>
      <c r="M3908" t="n">
        <v>41.367</v>
      </c>
      <c r="N3908" t="inlineStr">
        <is>
          <t>Explore_N</t>
        </is>
      </c>
      <c r="O3908" t="inlineStr">
        <is>
          <t>Novelty</t>
        </is>
      </c>
      <c r="P3908" t="inlineStr">
        <is>
          <t>STATE</t>
        </is>
      </c>
      <c r="Q3908" t="n">
        <v>163.133</v>
      </c>
      <c r="R3908" t="n">
        <v>163.567</v>
      </c>
      <c r="S3908" t="n">
        <v>0.434</v>
      </c>
      <c r="T3908" t="inlineStr">
        <is>
          <t>WT\test\c53f4.mp4</t>
        </is>
      </c>
      <c r="U3908" t="n">
        <v>4894</v>
      </c>
      <c r="V3908" t="n">
        <v>4907</v>
      </c>
      <c r="W3908" t="n">
        <v/>
      </c>
      <c r="X3908" t="n">
        <v/>
      </c>
      <c r="Y3908" t="n">
        <v/>
      </c>
      <c r="Z3908" t="n">
        <v/>
      </c>
      <c r="AA3908">
        <f>SUMIFS($S$2:S3908,$A$2:A3908,A3908,$N$2:N3908,"Explore*")</f>
        <v/>
      </c>
      <c r="AB3908">
        <f>IF(AND(LEFT(N3908,7)="Explore",(AA3908-IF(LEFT(N3908,7)="Explore",S3908,0))&lt;10),"SI","NO")</f>
        <v/>
      </c>
    </row>
    <row r="3909">
      <c r="A3909" t="inlineStr">
        <is>
          <t>c53f4_test</t>
        </is>
      </c>
      <c r="B3909" t="inlineStr">
        <is>
          <t>2026-02-18 15:35:26.813</t>
        </is>
      </c>
      <c r="C3909" t="n">
        <v/>
      </c>
      <c r="D3909" t="inlineStr">
        <is>
          <t>Media file</t>
        </is>
      </c>
      <c r="E3909" t="inlineStr">
        <is>
          <t>player #1:WT\test\c53f4.mp4</t>
        </is>
      </c>
      <c r="F3909" t="n">
        <v>-9.233000000000001</v>
      </c>
      <c r="G3909" t="n">
        <v>499.632</v>
      </c>
      <c r="H3909" t="n">
        <v>621.133</v>
      </c>
      <c r="I3909" t="n">
        <v>30</v>
      </c>
      <c r="J3909" t="inlineStr">
        <is>
          <t xml:space="preserve"> WT</t>
        </is>
      </c>
      <c r="K3909" t="inlineStr">
        <is>
          <t xml:space="preserve"> Female</t>
        </is>
      </c>
      <c r="L3909" t="inlineStr">
        <is>
          <t>No focal subject</t>
        </is>
      </c>
      <c r="M3909" t="n">
        <v>41.367</v>
      </c>
      <c r="N3909" t="inlineStr">
        <is>
          <t>Explore_F</t>
        </is>
      </c>
      <c r="O3909" t="inlineStr">
        <is>
          <t>Familiar</t>
        </is>
      </c>
      <c r="P3909" t="inlineStr">
        <is>
          <t>STATE</t>
        </is>
      </c>
      <c r="Q3909" t="n">
        <v>171.9</v>
      </c>
      <c r="R3909" t="n">
        <v>172.133</v>
      </c>
      <c r="S3909" t="n">
        <v>0.233</v>
      </c>
      <c r="T3909" t="inlineStr">
        <is>
          <t>WT\test\c53f4.mp4</t>
        </is>
      </c>
      <c r="U3909" t="n">
        <v>5157</v>
      </c>
      <c r="V3909" t="n">
        <v>5164</v>
      </c>
      <c r="W3909" t="n">
        <v/>
      </c>
      <c r="X3909" t="n">
        <v/>
      </c>
      <c r="Y3909" t="n">
        <v/>
      </c>
      <c r="Z3909" t="n">
        <v/>
      </c>
      <c r="AA3909">
        <f>SUMIFS($S$2:S3909,$A$2:A3909,A3909,$N$2:N3909,"Explore*")</f>
        <v/>
      </c>
      <c r="AB3909">
        <f>IF(AND(LEFT(N3909,7)="Explore",(AA3909-IF(LEFT(N3909,7)="Explore",S3909,0))&lt;10),"SI","NO")</f>
        <v/>
      </c>
    </row>
    <row r="3910">
      <c r="A3910" t="inlineStr">
        <is>
          <t>c53f4_test</t>
        </is>
      </c>
      <c r="B3910" t="inlineStr">
        <is>
          <t>2026-02-18 15:35:26.813</t>
        </is>
      </c>
      <c r="C3910" t="n">
        <v/>
      </c>
      <c r="D3910" t="inlineStr">
        <is>
          <t>Media file</t>
        </is>
      </c>
      <c r="E3910" t="inlineStr">
        <is>
          <t>player #1:WT\test\c53f4.mp4</t>
        </is>
      </c>
      <c r="F3910" t="n">
        <v>-9.233000000000001</v>
      </c>
      <c r="G3910" t="n">
        <v>499.632</v>
      </c>
      <c r="H3910" t="n">
        <v>621.133</v>
      </c>
      <c r="I3910" t="n">
        <v>30</v>
      </c>
      <c r="J3910" t="inlineStr">
        <is>
          <t xml:space="preserve"> WT</t>
        </is>
      </c>
      <c r="K3910" t="inlineStr">
        <is>
          <t xml:space="preserve"> Female</t>
        </is>
      </c>
      <c r="L3910" t="inlineStr">
        <is>
          <t>No focal subject</t>
        </is>
      </c>
      <c r="M3910" t="n">
        <v>41.367</v>
      </c>
      <c r="N3910" t="inlineStr">
        <is>
          <t>Explore_N</t>
        </is>
      </c>
      <c r="O3910" t="inlineStr">
        <is>
          <t>Novelty</t>
        </is>
      </c>
      <c r="P3910" t="inlineStr">
        <is>
          <t>STATE</t>
        </is>
      </c>
      <c r="Q3910" t="n">
        <v>243.933</v>
      </c>
      <c r="R3910" t="n">
        <v>245.133</v>
      </c>
      <c r="S3910" t="n">
        <v>1.2</v>
      </c>
      <c r="T3910" t="inlineStr">
        <is>
          <t>WT\test\c53f4.mp4</t>
        </is>
      </c>
      <c r="U3910" t="n">
        <v>7318</v>
      </c>
      <c r="V3910" t="n">
        <v>7354</v>
      </c>
      <c r="W3910" t="n">
        <v/>
      </c>
      <c r="X3910" t="n">
        <v/>
      </c>
      <c r="Y3910" t="n">
        <v/>
      </c>
      <c r="Z3910" t="n">
        <v/>
      </c>
      <c r="AA3910">
        <f>SUMIFS($S$2:S3910,$A$2:A3910,A3910,$N$2:N3910,"Explore*")</f>
        <v/>
      </c>
      <c r="AB3910">
        <f>IF(AND(LEFT(N3910,7)="Explore",(AA3910-IF(LEFT(N3910,7)="Explore",S3910,0))&lt;10),"SI","NO")</f>
        <v/>
      </c>
    </row>
    <row r="3911">
      <c r="A3911" t="inlineStr">
        <is>
          <t>c53f4_test</t>
        </is>
      </c>
      <c r="B3911" t="inlineStr">
        <is>
          <t>2026-02-18 15:35:26.813</t>
        </is>
      </c>
      <c r="C3911" t="n">
        <v/>
      </c>
      <c r="D3911" t="inlineStr">
        <is>
          <t>Media file</t>
        </is>
      </c>
      <c r="E3911" t="inlineStr">
        <is>
          <t>player #1:WT\test\c53f4.mp4</t>
        </is>
      </c>
      <c r="F3911" t="n">
        <v>-9.233000000000001</v>
      </c>
      <c r="G3911" t="n">
        <v>499.632</v>
      </c>
      <c r="H3911" t="n">
        <v>621.133</v>
      </c>
      <c r="I3911" t="n">
        <v>30</v>
      </c>
      <c r="J3911" t="inlineStr">
        <is>
          <t xml:space="preserve"> WT</t>
        </is>
      </c>
      <c r="K3911" t="inlineStr">
        <is>
          <t xml:space="preserve"> Female</t>
        </is>
      </c>
      <c r="L3911" t="inlineStr">
        <is>
          <t>No focal subject</t>
        </is>
      </c>
      <c r="M3911" t="n">
        <v>41.367</v>
      </c>
      <c r="N3911" t="inlineStr">
        <is>
          <t>Explore_N</t>
        </is>
      </c>
      <c r="O3911" t="inlineStr">
        <is>
          <t>Novelty</t>
        </is>
      </c>
      <c r="P3911" t="inlineStr">
        <is>
          <t>STATE</t>
        </is>
      </c>
      <c r="Q3911" t="n">
        <v>247.633</v>
      </c>
      <c r="R3911" t="n">
        <v>248.033</v>
      </c>
      <c r="S3911" t="n">
        <v>0.4</v>
      </c>
      <c r="T3911" t="inlineStr">
        <is>
          <t>WT\test\c53f4.mp4</t>
        </is>
      </c>
      <c r="U3911" t="n">
        <v>7429</v>
      </c>
      <c r="V3911" t="n">
        <v>7442</v>
      </c>
      <c r="W3911" t="n">
        <v/>
      </c>
      <c r="X3911" t="n">
        <v/>
      </c>
      <c r="Y3911" t="n">
        <v/>
      </c>
      <c r="Z3911" t="n">
        <v/>
      </c>
      <c r="AA3911">
        <f>SUMIFS($S$2:S3911,$A$2:A3911,A3911,$N$2:N3911,"Explore*")</f>
        <v/>
      </c>
      <c r="AB3911">
        <f>IF(AND(LEFT(N3911,7)="Explore",(AA3911-IF(LEFT(N3911,7)="Explore",S3911,0))&lt;10),"SI","NO")</f>
        <v/>
      </c>
    </row>
    <row r="3912">
      <c r="A3912" t="inlineStr">
        <is>
          <t>c53f4_test</t>
        </is>
      </c>
      <c r="B3912" t="inlineStr">
        <is>
          <t>2026-02-18 15:35:26.813</t>
        </is>
      </c>
      <c r="C3912" t="n">
        <v/>
      </c>
      <c r="D3912" t="inlineStr">
        <is>
          <t>Media file</t>
        </is>
      </c>
      <c r="E3912" t="inlineStr">
        <is>
          <t>player #1:WT\test\c53f4.mp4</t>
        </is>
      </c>
      <c r="F3912" t="n">
        <v>-9.233000000000001</v>
      </c>
      <c r="G3912" t="n">
        <v>499.632</v>
      </c>
      <c r="H3912" t="n">
        <v>621.133</v>
      </c>
      <c r="I3912" t="n">
        <v>30</v>
      </c>
      <c r="J3912" t="inlineStr">
        <is>
          <t xml:space="preserve"> WT</t>
        </is>
      </c>
      <c r="K3912" t="inlineStr">
        <is>
          <t xml:space="preserve"> Female</t>
        </is>
      </c>
      <c r="L3912" t="inlineStr">
        <is>
          <t>No focal subject</t>
        </is>
      </c>
      <c r="M3912" t="n">
        <v>41.367</v>
      </c>
      <c r="N3912" t="inlineStr">
        <is>
          <t>Explore_N</t>
        </is>
      </c>
      <c r="O3912" t="inlineStr">
        <is>
          <t>Novelty</t>
        </is>
      </c>
      <c r="P3912" t="inlineStr">
        <is>
          <t>STATE</t>
        </is>
      </c>
      <c r="Q3912" t="n">
        <v>261.967</v>
      </c>
      <c r="R3912" t="n">
        <v>263.4</v>
      </c>
      <c r="S3912" t="n">
        <v>1.433</v>
      </c>
      <c r="T3912" t="inlineStr">
        <is>
          <t>WT\test\c53f4.mp4</t>
        </is>
      </c>
      <c r="U3912" t="n">
        <v>7859</v>
      </c>
      <c r="V3912" t="n">
        <v>7902</v>
      </c>
      <c r="W3912" t="n">
        <v/>
      </c>
      <c r="X3912" t="n">
        <v/>
      </c>
      <c r="Y3912" t="n">
        <v/>
      </c>
      <c r="Z3912" t="n">
        <v/>
      </c>
      <c r="AA3912">
        <f>SUMIFS($S$2:S3912,$A$2:A3912,A3912,$N$2:N3912,"Explore*")</f>
        <v/>
      </c>
      <c r="AB3912">
        <f>IF(AND(LEFT(N3912,7)="Explore",(AA3912-IF(LEFT(N3912,7)="Explore",S3912,0))&lt;10),"SI","NO")</f>
        <v/>
      </c>
    </row>
    <row r="3913">
      <c r="A3913" t="inlineStr">
        <is>
          <t>c53f4_test</t>
        </is>
      </c>
      <c r="B3913" t="inlineStr">
        <is>
          <t>2026-02-18 15:35:26.813</t>
        </is>
      </c>
      <c r="C3913" t="n">
        <v/>
      </c>
      <c r="D3913" t="inlineStr">
        <is>
          <t>Media file</t>
        </is>
      </c>
      <c r="E3913" t="inlineStr">
        <is>
          <t>player #1:WT\test\c53f4.mp4</t>
        </is>
      </c>
      <c r="F3913" t="n">
        <v>-9.233000000000001</v>
      </c>
      <c r="G3913" t="n">
        <v>499.632</v>
      </c>
      <c r="H3913" t="n">
        <v>621.133</v>
      </c>
      <c r="I3913" t="n">
        <v>30</v>
      </c>
      <c r="J3913" t="inlineStr">
        <is>
          <t xml:space="preserve"> WT</t>
        </is>
      </c>
      <c r="K3913" t="inlineStr">
        <is>
          <t xml:space="preserve"> Female</t>
        </is>
      </c>
      <c r="L3913" t="inlineStr">
        <is>
          <t>No focal subject</t>
        </is>
      </c>
      <c r="M3913" t="n">
        <v>41.367</v>
      </c>
      <c r="N3913" t="inlineStr">
        <is>
          <t>Explore_N</t>
        </is>
      </c>
      <c r="O3913" t="inlineStr">
        <is>
          <t>Novelty</t>
        </is>
      </c>
      <c r="P3913" t="inlineStr">
        <is>
          <t>STATE</t>
        </is>
      </c>
      <c r="Q3913" t="n">
        <v>263.933</v>
      </c>
      <c r="R3913" t="n">
        <v>264.633</v>
      </c>
      <c r="S3913" t="n">
        <v>0.7</v>
      </c>
      <c r="T3913" t="inlineStr">
        <is>
          <t>WT\test\c53f4.mp4</t>
        </is>
      </c>
      <c r="U3913" t="n">
        <v>7918</v>
      </c>
      <c r="V3913" t="n">
        <v>7939</v>
      </c>
      <c r="W3913" t="n">
        <v/>
      </c>
      <c r="X3913" t="n">
        <v/>
      </c>
      <c r="Y3913" t="n">
        <v/>
      </c>
      <c r="Z3913" t="n">
        <v/>
      </c>
      <c r="AA3913">
        <f>SUMIFS($S$2:S3913,$A$2:A3913,A3913,$N$2:N3913,"Explore*")</f>
        <v/>
      </c>
      <c r="AB3913">
        <f>IF(AND(LEFT(N3913,7)="Explore",(AA3913-IF(LEFT(N3913,7)="Explore",S3913,0))&lt;10),"SI","NO")</f>
        <v/>
      </c>
    </row>
    <row r="3914">
      <c r="A3914" t="inlineStr">
        <is>
          <t>c53f4_test</t>
        </is>
      </c>
      <c r="B3914" t="inlineStr">
        <is>
          <t>2026-02-18 15:35:26.813</t>
        </is>
      </c>
      <c r="C3914" t="n">
        <v/>
      </c>
      <c r="D3914" t="inlineStr">
        <is>
          <t>Media file</t>
        </is>
      </c>
      <c r="E3914" t="inlineStr">
        <is>
          <t>player #1:WT\test\c53f4.mp4</t>
        </is>
      </c>
      <c r="F3914" t="n">
        <v>-9.233000000000001</v>
      </c>
      <c r="G3914" t="n">
        <v>499.632</v>
      </c>
      <c r="H3914" t="n">
        <v>621.133</v>
      </c>
      <c r="I3914" t="n">
        <v>30</v>
      </c>
      <c r="J3914" t="inlineStr">
        <is>
          <t xml:space="preserve"> WT</t>
        </is>
      </c>
      <c r="K3914" t="inlineStr">
        <is>
          <t xml:space="preserve"> Female</t>
        </is>
      </c>
      <c r="L3914" t="inlineStr">
        <is>
          <t>No focal subject</t>
        </is>
      </c>
      <c r="M3914" t="n">
        <v>41.367</v>
      </c>
      <c r="N3914" t="inlineStr">
        <is>
          <t>Explore_N</t>
        </is>
      </c>
      <c r="O3914" t="inlineStr">
        <is>
          <t>Novelty</t>
        </is>
      </c>
      <c r="P3914" t="inlineStr">
        <is>
          <t>STATE</t>
        </is>
      </c>
      <c r="Q3914" t="n">
        <v>268.433</v>
      </c>
      <c r="R3914" t="n">
        <v>268.8</v>
      </c>
      <c r="S3914" t="n">
        <v>0.367</v>
      </c>
      <c r="T3914" t="inlineStr">
        <is>
          <t>WT\test\c53f4.mp4</t>
        </is>
      </c>
      <c r="U3914" t="n">
        <v>8053</v>
      </c>
      <c r="V3914" t="n">
        <v>8064</v>
      </c>
      <c r="W3914" t="n">
        <v/>
      </c>
      <c r="X3914" t="n">
        <v/>
      </c>
      <c r="Y3914" t="n">
        <v/>
      </c>
      <c r="Z3914" t="n">
        <v/>
      </c>
      <c r="AA3914">
        <f>SUMIFS($S$2:S3914,$A$2:A3914,A3914,$N$2:N3914,"Explore*")</f>
        <v/>
      </c>
      <c r="AB3914">
        <f>IF(AND(LEFT(N3914,7)="Explore",(AA3914-IF(LEFT(N3914,7)="Explore",S3914,0))&lt;10),"SI","NO")</f>
        <v/>
      </c>
    </row>
    <row r="3915">
      <c r="A3915" t="inlineStr">
        <is>
          <t>c53f4_test</t>
        </is>
      </c>
      <c r="B3915" t="inlineStr">
        <is>
          <t>2026-02-18 15:35:26.813</t>
        </is>
      </c>
      <c r="C3915" t="n">
        <v/>
      </c>
      <c r="D3915" t="inlineStr">
        <is>
          <t>Media file</t>
        </is>
      </c>
      <c r="E3915" t="inlineStr">
        <is>
          <t>player #1:WT\test\c53f4.mp4</t>
        </is>
      </c>
      <c r="F3915" t="n">
        <v>-9.233000000000001</v>
      </c>
      <c r="G3915" t="n">
        <v>499.632</v>
      </c>
      <c r="H3915" t="n">
        <v>621.133</v>
      </c>
      <c r="I3915" t="n">
        <v>30</v>
      </c>
      <c r="J3915" t="inlineStr">
        <is>
          <t xml:space="preserve"> WT</t>
        </is>
      </c>
      <c r="K3915" t="inlineStr">
        <is>
          <t xml:space="preserve"> Female</t>
        </is>
      </c>
      <c r="L3915" t="inlineStr">
        <is>
          <t>No focal subject</t>
        </is>
      </c>
      <c r="M3915" t="n">
        <v>41.367</v>
      </c>
      <c r="N3915" t="inlineStr">
        <is>
          <t>Explore_F</t>
        </is>
      </c>
      <c r="O3915" t="inlineStr">
        <is>
          <t>Familiar</t>
        </is>
      </c>
      <c r="P3915" t="inlineStr">
        <is>
          <t>STATE</t>
        </is>
      </c>
      <c r="Q3915" t="n">
        <v>280.567</v>
      </c>
      <c r="R3915" t="n">
        <v>281</v>
      </c>
      <c r="S3915" t="n">
        <v>0.433</v>
      </c>
      <c r="T3915" t="inlineStr">
        <is>
          <t>WT\test\c53f4.mp4</t>
        </is>
      </c>
      <c r="U3915" t="n">
        <v>8417</v>
      </c>
      <c r="V3915" t="n">
        <v>8432</v>
      </c>
      <c r="W3915" t="n">
        <v/>
      </c>
      <c r="X3915" t="n">
        <v/>
      </c>
      <c r="Y3915" t="n">
        <v/>
      </c>
      <c r="Z3915" t="n">
        <v/>
      </c>
      <c r="AA3915">
        <f>SUMIFS($S$2:S3915,$A$2:A3915,A3915,$N$2:N3915,"Explore*")</f>
        <v/>
      </c>
      <c r="AB3915">
        <f>IF(AND(LEFT(N3915,7)="Explore",(AA3915-IF(LEFT(N3915,7)="Explore",S3915,0))&lt;10),"SI","NO")</f>
        <v/>
      </c>
    </row>
    <row r="3916">
      <c r="A3916" t="inlineStr">
        <is>
          <t>c53f4_test</t>
        </is>
      </c>
      <c r="B3916" t="inlineStr">
        <is>
          <t>2026-02-18 15:35:26.813</t>
        </is>
      </c>
      <c r="C3916" t="n">
        <v/>
      </c>
      <c r="D3916" t="inlineStr">
        <is>
          <t>Media file</t>
        </is>
      </c>
      <c r="E3916" t="inlineStr">
        <is>
          <t>player #1:WT\test\c53f4.mp4</t>
        </is>
      </c>
      <c r="F3916" t="n">
        <v>-9.233000000000001</v>
      </c>
      <c r="G3916" t="n">
        <v>499.632</v>
      </c>
      <c r="H3916" t="n">
        <v>621.133</v>
      </c>
      <c r="I3916" t="n">
        <v>30</v>
      </c>
      <c r="J3916" t="inlineStr">
        <is>
          <t xml:space="preserve"> WT</t>
        </is>
      </c>
      <c r="K3916" t="inlineStr">
        <is>
          <t xml:space="preserve"> Female</t>
        </is>
      </c>
      <c r="L3916" t="inlineStr">
        <is>
          <t>No focal subject</t>
        </is>
      </c>
      <c r="M3916" t="n">
        <v>41.367</v>
      </c>
      <c r="N3916" t="inlineStr">
        <is>
          <t>Explore_F</t>
        </is>
      </c>
      <c r="O3916" t="inlineStr">
        <is>
          <t>Familiar</t>
        </is>
      </c>
      <c r="P3916" t="inlineStr">
        <is>
          <t>STATE</t>
        </is>
      </c>
      <c r="Q3916" t="n">
        <v>311.667</v>
      </c>
      <c r="R3916" t="n">
        <v>312</v>
      </c>
      <c r="S3916" t="n">
        <v>0.333</v>
      </c>
      <c r="T3916" t="inlineStr">
        <is>
          <t>WT\test\c53f4.mp4</t>
        </is>
      </c>
      <c r="U3916" t="n">
        <v>9350</v>
      </c>
      <c r="V3916" t="n">
        <v>9362</v>
      </c>
      <c r="W3916" t="n">
        <v/>
      </c>
      <c r="X3916" t="n">
        <v/>
      </c>
      <c r="Y3916" t="n">
        <v/>
      </c>
      <c r="Z3916" t="n">
        <v/>
      </c>
      <c r="AA3916">
        <f>SUMIFS($S$2:S3916,$A$2:A3916,A3916,$N$2:N3916,"Explore*")</f>
        <v/>
      </c>
      <c r="AB3916">
        <f>IF(AND(LEFT(N3916,7)="Explore",(AA3916-IF(LEFT(N3916,7)="Explore",S3916,0))&lt;10),"SI","NO")</f>
        <v/>
      </c>
    </row>
    <row r="3917">
      <c r="A3917" t="inlineStr">
        <is>
          <t>c53f4_test</t>
        </is>
      </c>
      <c r="B3917" t="inlineStr">
        <is>
          <t>2026-02-18 15:35:26.813</t>
        </is>
      </c>
      <c r="C3917" t="n">
        <v/>
      </c>
      <c r="D3917" t="inlineStr">
        <is>
          <t>Media file</t>
        </is>
      </c>
      <c r="E3917" t="inlineStr">
        <is>
          <t>player #1:WT\test\c53f4.mp4</t>
        </is>
      </c>
      <c r="F3917" t="n">
        <v>-9.233000000000001</v>
      </c>
      <c r="G3917" t="n">
        <v>499.632</v>
      </c>
      <c r="H3917" t="n">
        <v>621.133</v>
      </c>
      <c r="I3917" t="n">
        <v>30</v>
      </c>
      <c r="J3917" t="inlineStr">
        <is>
          <t xml:space="preserve"> WT</t>
        </is>
      </c>
      <c r="K3917" t="inlineStr">
        <is>
          <t xml:space="preserve"> Female</t>
        </is>
      </c>
      <c r="L3917" t="inlineStr">
        <is>
          <t>No focal subject</t>
        </is>
      </c>
      <c r="M3917" t="n">
        <v>41.367</v>
      </c>
      <c r="N3917" t="inlineStr">
        <is>
          <t>Explore_F</t>
        </is>
      </c>
      <c r="O3917" t="inlineStr">
        <is>
          <t>Familiar</t>
        </is>
      </c>
      <c r="P3917" t="inlineStr">
        <is>
          <t>STATE</t>
        </is>
      </c>
      <c r="Q3917" t="n">
        <v>390.7</v>
      </c>
      <c r="R3917" t="n">
        <v>390.933</v>
      </c>
      <c r="S3917" t="n">
        <v>0.233</v>
      </c>
      <c r="T3917" t="inlineStr">
        <is>
          <t>WT\test\c53f4.mp4</t>
        </is>
      </c>
      <c r="U3917" t="n">
        <v>11721</v>
      </c>
      <c r="V3917" t="n">
        <v>11728</v>
      </c>
      <c r="W3917" t="n">
        <v/>
      </c>
      <c r="X3917" t="n">
        <v/>
      </c>
      <c r="Y3917" t="n">
        <v/>
      </c>
      <c r="Z3917" t="n">
        <v/>
      </c>
      <c r="AA3917">
        <f>SUMIFS($S$2:S3917,$A$2:A3917,A3917,$N$2:N3917,"Explore*")</f>
        <v/>
      </c>
      <c r="AB3917">
        <f>IF(AND(LEFT(N3917,7)="Explore",(AA3917-IF(LEFT(N3917,7)="Explore",S3917,0))&lt;10),"SI","NO")</f>
        <v/>
      </c>
    </row>
    <row r="3918">
      <c r="A3918" t="inlineStr">
        <is>
          <t>c53f4_test</t>
        </is>
      </c>
      <c r="B3918" t="inlineStr">
        <is>
          <t>2026-02-18 15:35:26.813</t>
        </is>
      </c>
      <c r="C3918" t="n">
        <v/>
      </c>
      <c r="D3918" t="inlineStr">
        <is>
          <t>Media file</t>
        </is>
      </c>
      <c r="E3918" t="inlineStr">
        <is>
          <t>player #1:WT\test\c53f4.mp4</t>
        </is>
      </c>
      <c r="F3918" t="n">
        <v>-9.233000000000001</v>
      </c>
      <c r="G3918" t="n">
        <v>499.632</v>
      </c>
      <c r="H3918" t="n">
        <v>621.133</v>
      </c>
      <c r="I3918" t="n">
        <v>30</v>
      </c>
      <c r="J3918" t="inlineStr">
        <is>
          <t xml:space="preserve"> WT</t>
        </is>
      </c>
      <c r="K3918" t="inlineStr">
        <is>
          <t xml:space="preserve"> Female</t>
        </is>
      </c>
      <c r="L3918" t="inlineStr">
        <is>
          <t>No focal subject</t>
        </is>
      </c>
      <c r="M3918" t="n">
        <v>41.367</v>
      </c>
      <c r="N3918" t="inlineStr">
        <is>
          <t>Explore_N</t>
        </is>
      </c>
      <c r="O3918" t="inlineStr">
        <is>
          <t>Novelty</t>
        </is>
      </c>
      <c r="P3918" t="inlineStr">
        <is>
          <t>STATE</t>
        </is>
      </c>
      <c r="Q3918" t="n">
        <v>412.4</v>
      </c>
      <c r="R3918" t="n">
        <v>412.9</v>
      </c>
      <c r="S3918" t="n">
        <v>0.5</v>
      </c>
      <c r="T3918" t="inlineStr">
        <is>
          <t>WT\test\c53f4.mp4</t>
        </is>
      </c>
      <c r="U3918" t="n">
        <v>12372</v>
      </c>
      <c r="V3918" t="n">
        <v>12387</v>
      </c>
      <c r="W3918" t="n">
        <v/>
      </c>
      <c r="X3918" t="n">
        <v/>
      </c>
      <c r="Y3918" t="n">
        <v/>
      </c>
      <c r="Z3918" t="n">
        <v/>
      </c>
      <c r="AA3918">
        <f>SUMIFS($S$2:S3918,$A$2:A3918,A3918,$N$2:N3918,"Explore*")</f>
        <v/>
      </c>
      <c r="AB3918">
        <f>IF(AND(LEFT(N3918,7)="Explore",(AA3918-IF(LEFT(N3918,7)="Explore",S3918,0))&lt;10),"SI","NO")</f>
        <v/>
      </c>
    </row>
    <row r="3919">
      <c r="A3919" t="inlineStr">
        <is>
          <t>c53f4_test</t>
        </is>
      </c>
      <c r="B3919" t="inlineStr">
        <is>
          <t>2026-02-18 15:35:26.813</t>
        </is>
      </c>
      <c r="C3919" t="n">
        <v/>
      </c>
      <c r="D3919" t="inlineStr">
        <is>
          <t>Media file</t>
        </is>
      </c>
      <c r="E3919" t="inlineStr">
        <is>
          <t>player #1:WT\test\c53f4.mp4</t>
        </is>
      </c>
      <c r="F3919" t="n">
        <v>-9.233000000000001</v>
      </c>
      <c r="G3919" t="n">
        <v>499.632</v>
      </c>
      <c r="H3919" t="n">
        <v>621.133</v>
      </c>
      <c r="I3919" t="n">
        <v>30</v>
      </c>
      <c r="J3919" t="inlineStr">
        <is>
          <t xml:space="preserve"> WT</t>
        </is>
      </c>
      <c r="K3919" t="inlineStr">
        <is>
          <t xml:space="preserve"> Female</t>
        </is>
      </c>
      <c r="L3919" t="inlineStr">
        <is>
          <t>No focal subject</t>
        </is>
      </c>
      <c r="M3919" t="n">
        <v>41.367</v>
      </c>
      <c r="N3919" t="inlineStr">
        <is>
          <t>Explore_N</t>
        </is>
      </c>
      <c r="O3919" t="inlineStr">
        <is>
          <t>Novelty</t>
        </is>
      </c>
      <c r="P3919" t="inlineStr">
        <is>
          <t>STATE</t>
        </is>
      </c>
      <c r="Q3919" t="n">
        <v>413.3</v>
      </c>
      <c r="R3919" t="n">
        <v>413.733</v>
      </c>
      <c r="S3919" t="n">
        <v>0.433</v>
      </c>
      <c r="T3919" t="inlineStr">
        <is>
          <t>WT\test\c53f4.mp4</t>
        </is>
      </c>
      <c r="U3919" t="n">
        <v>12399</v>
      </c>
      <c r="V3919" t="n">
        <v>12412</v>
      </c>
      <c r="W3919" t="n">
        <v/>
      </c>
      <c r="X3919" t="n">
        <v/>
      </c>
      <c r="Y3919" t="n">
        <v/>
      </c>
      <c r="Z3919" t="n">
        <v/>
      </c>
      <c r="AA3919">
        <f>SUMIFS($S$2:S3919,$A$2:A3919,A3919,$N$2:N3919,"Explore*")</f>
        <v/>
      </c>
      <c r="AB3919">
        <f>IF(AND(LEFT(N3919,7)="Explore",(AA3919-IF(LEFT(N3919,7)="Explore",S3919,0))&lt;10),"SI","NO")</f>
        <v/>
      </c>
    </row>
    <row r="3920">
      <c r="A3920" t="inlineStr">
        <is>
          <t>c53f4_test</t>
        </is>
      </c>
      <c r="B3920" t="inlineStr">
        <is>
          <t>2026-02-18 15:35:26.813</t>
        </is>
      </c>
      <c r="C3920" t="n">
        <v/>
      </c>
      <c r="D3920" t="inlineStr">
        <is>
          <t>Media file</t>
        </is>
      </c>
      <c r="E3920" t="inlineStr">
        <is>
          <t>player #1:WT\test\c53f4.mp4</t>
        </is>
      </c>
      <c r="F3920" t="n">
        <v>-9.233000000000001</v>
      </c>
      <c r="G3920" t="n">
        <v>499.632</v>
      </c>
      <c r="H3920" t="n">
        <v>621.133</v>
      </c>
      <c r="I3920" t="n">
        <v>30</v>
      </c>
      <c r="J3920" t="inlineStr">
        <is>
          <t xml:space="preserve"> WT</t>
        </is>
      </c>
      <c r="K3920" t="inlineStr">
        <is>
          <t xml:space="preserve"> Female</t>
        </is>
      </c>
      <c r="L3920" t="inlineStr">
        <is>
          <t>No focal subject</t>
        </is>
      </c>
      <c r="M3920" t="n">
        <v>41.367</v>
      </c>
      <c r="N3920" t="inlineStr">
        <is>
          <t>Explore_N</t>
        </is>
      </c>
      <c r="O3920" t="inlineStr">
        <is>
          <t>Novelty</t>
        </is>
      </c>
      <c r="P3920" t="inlineStr">
        <is>
          <t>STATE</t>
        </is>
      </c>
      <c r="Q3920" t="n">
        <v>414.433</v>
      </c>
      <c r="R3920" t="n">
        <v>415.8</v>
      </c>
      <c r="S3920" t="n">
        <v>1.367</v>
      </c>
      <c r="T3920" t="inlineStr">
        <is>
          <t>WT\test\c53f4.mp4</t>
        </is>
      </c>
      <c r="U3920" t="n">
        <v>12433</v>
      </c>
      <c r="V3920" t="n">
        <v>12474</v>
      </c>
      <c r="W3920" t="n">
        <v/>
      </c>
      <c r="X3920" t="n">
        <v/>
      </c>
      <c r="Y3920" t="n">
        <v/>
      </c>
      <c r="Z3920" t="n">
        <v/>
      </c>
      <c r="AA3920">
        <f>SUMIFS($S$2:S3920,$A$2:A3920,A3920,$N$2:N3920,"Explore*")</f>
        <v/>
      </c>
      <c r="AB3920">
        <f>IF(AND(LEFT(N3920,7)="Explore",(AA3920-IF(LEFT(N3920,7)="Explore",S3920,0))&lt;10),"SI","NO")</f>
        <v/>
      </c>
    </row>
    <row r="3921">
      <c r="A3921" t="inlineStr">
        <is>
          <t>c53f4_test</t>
        </is>
      </c>
      <c r="B3921" t="inlineStr">
        <is>
          <t>2026-02-18 15:35:26.813</t>
        </is>
      </c>
      <c r="C3921" t="n">
        <v/>
      </c>
      <c r="D3921" t="inlineStr">
        <is>
          <t>Media file</t>
        </is>
      </c>
      <c r="E3921" t="inlineStr">
        <is>
          <t>player #1:WT\test\c53f4.mp4</t>
        </is>
      </c>
      <c r="F3921" t="n">
        <v>-9.233000000000001</v>
      </c>
      <c r="G3921" t="n">
        <v>499.632</v>
      </c>
      <c r="H3921" t="n">
        <v>621.133</v>
      </c>
      <c r="I3921" t="n">
        <v>30</v>
      </c>
      <c r="J3921" t="inlineStr">
        <is>
          <t xml:space="preserve"> WT</t>
        </is>
      </c>
      <c r="K3921" t="inlineStr">
        <is>
          <t xml:space="preserve"> Female</t>
        </is>
      </c>
      <c r="L3921" t="inlineStr">
        <is>
          <t>No focal subject</t>
        </is>
      </c>
      <c r="M3921" t="n">
        <v>41.367</v>
      </c>
      <c r="N3921" t="inlineStr">
        <is>
          <t>Explore_N</t>
        </is>
      </c>
      <c r="O3921" t="inlineStr">
        <is>
          <t>Novelty</t>
        </is>
      </c>
      <c r="P3921" t="inlineStr">
        <is>
          <t>STATE</t>
        </is>
      </c>
      <c r="Q3921" t="n">
        <v>416.3</v>
      </c>
      <c r="R3921" t="n">
        <v>416.7</v>
      </c>
      <c r="S3921" t="n">
        <v>0.4</v>
      </c>
      <c r="T3921" t="inlineStr">
        <is>
          <t>WT\test\c53f4.mp4</t>
        </is>
      </c>
      <c r="U3921" t="n">
        <v>12489</v>
      </c>
      <c r="V3921" t="n">
        <v>12501</v>
      </c>
      <c r="W3921" t="n">
        <v/>
      </c>
      <c r="X3921" t="n">
        <v/>
      </c>
      <c r="Y3921" t="n">
        <v/>
      </c>
      <c r="Z3921" t="n">
        <v/>
      </c>
      <c r="AA3921">
        <f>SUMIFS($S$2:S3921,$A$2:A3921,A3921,$N$2:N3921,"Explore*")</f>
        <v/>
      </c>
      <c r="AB3921">
        <f>IF(AND(LEFT(N3921,7)="Explore",(AA3921-IF(LEFT(N3921,7)="Explore",S3921,0))&lt;10),"SI","NO")</f>
        <v/>
      </c>
    </row>
    <row r="3922">
      <c r="A3922" t="inlineStr">
        <is>
          <t>c53f4_test</t>
        </is>
      </c>
      <c r="B3922" t="inlineStr">
        <is>
          <t>2026-02-18 15:35:26.813</t>
        </is>
      </c>
      <c r="C3922" t="n">
        <v/>
      </c>
      <c r="D3922" t="inlineStr">
        <is>
          <t>Media file</t>
        </is>
      </c>
      <c r="E3922" t="inlineStr">
        <is>
          <t>player #1:WT\test\c53f4.mp4</t>
        </is>
      </c>
      <c r="F3922" t="n">
        <v>-9.233000000000001</v>
      </c>
      <c r="G3922" t="n">
        <v>499.632</v>
      </c>
      <c r="H3922" t="n">
        <v>621.133</v>
      </c>
      <c r="I3922" t="n">
        <v>30</v>
      </c>
      <c r="J3922" t="inlineStr">
        <is>
          <t xml:space="preserve"> WT</t>
        </is>
      </c>
      <c r="K3922" t="inlineStr">
        <is>
          <t xml:space="preserve"> Female</t>
        </is>
      </c>
      <c r="L3922" t="inlineStr">
        <is>
          <t>No focal subject</t>
        </is>
      </c>
      <c r="M3922" t="n">
        <v>41.367</v>
      </c>
      <c r="N3922" t="inlineStr">
        <is>
          <t>Explore_N</t>
        </is>
      </c>
      <c r="O3922" t="inlineStr">
        <is>
          <t>Novelty</t>
        </is>
      </c>
      <c r="P3922" t="inlineStr">
        <is>
          <t>STATE</t>
        </is>
      </c>
      <c r="Q3922" t="n">
        <v>417.6</v>
      </c>
      <c r="R3922" t="n">
        <v>419.067</v>
      </c>
      <c r="S3922" t="n">
        <v>1.467</v>
      </c>
      <c r="T3922" t="inlineStr">
        <is>
          <t>WT\test\c53f4.mp4</t>
        </is>
      </c>
      <c r="U3922" t="n">
        <v>12528</v>
      </c>
      <c r="V3922" t="n">
        <v>12572</v>
      </c>
      <c r="W3922" t="n">
        <v/>
      </c>
      <c r="X3922" t="n">
        <v/>
      </c>
      <c r="Y3922" t="n">
        <v/>
      </c>
      <c r="Z3922" t="n">
        <v/>
      </c>
      <c r="AA3922">
        <f>SUMIFS($S$2:S3922,$A$2:A3922,A3922,$N$2:N3922,"Explore*")</f>
        <v/>
      </c>
      <c r="AB3922">
        <f>IF(AND(LEFT(N3922,7)="Explore",(AA3922-IF(LEFT(N3922,7)="Explore",S3922,0))&lt;10),"SI","NO")</f>
        <v/>
      </c>
    </row>
    <row r="3923">
      <c r="A3923" t="inlineStr">
        <is>
          <t>c53f4_test</t>
        </is>
      </c>
      <c r="B3923" t="inlineStr">
        <is>
          <t>2026-02-18 15:35:26.813</t>
        </is>
      </c>
      <c r="C3923" t="n">
        <v/>
      </c>
      <c r="D3923" t="inlineStr">
        <is>
          <t>Media file</t>
        </is>
      </c>
      <c r="E3923" t="inlineStr">
        <is>
          <t>player #1:WT\test\c53f4.mp4</t>
        </is>
      </c>
      <c r="F3923" t="n">
        <v>-9.233000000000001</v>
      </c>
      <c r="G3923" t="n">
        <v>499.632</v>
      </c>
      <c r="H3923" t="n">
        <v>621.133</v>
      </c>
      <c r="I3923" t="n">
        <v>30</v>
      </c>
      <c r="J3923" t="inlineStr">
        <is>
          <t xml:space="preserve"> WT</t>
        </is>
      </c>
      <c r="K3923" t="inlineStr">
        <is>
          <t xml:space="preserve"> Female</t>
        </is>
      </c>
      <c r="L3923" t="inlineStr">
        <is>
          <t>No focal subject</t>
        </is>
      </c>
      <c r="M3923" t="n">
        <v>41.367</v>
      </c>
      <c r="N3923" t="inlineStr">
        <is>
          <t>Explore_N</t>
        </is>
      </c>
      <c r="O3923" t="inlineStr">
        <is>
          <t>Novelty</t>
        </is>
      </c>
      <c r="P3923" t="inlineStr">
        <is>
          <t>STATE</t>
        </is>
      </c>
      <c r="Q3923" t="n">
        <v>421.433</v>
      </c>
      <c r="R3923" t="n">
        <v>423.1</v>
      </c>
      <c r="S3923" t="n">
        <v>1.667</v>
      </c>
      <c r="T3923" t="inlineStr">
        <is>
          <t>WT\test\c53f4.mp4</t>
        </is>
      </c>
      <c r="U3923" t="n">
        <v>12643</v>
      </c>
      <c r="V3923" t="n">
        <v>12693</v>
      </c>
      <c r="W3923" t="n">
        <v/>
      </c>
      <c r="X3923" t="n">
        <v/>
      </c>
      <c r="Y3923" t="n">
        <v/>
      </c>
      <c r="Z3923" t="n">
        <v/>
      </c>
      <c r="AA3923">
        <f>SUMIFS($S$2:S3923,$A$2:A3923,A3923,$N$2:N3923,"Explore*")</f>
        <v/>
      </c>
      <c r="AB3923">
        <f>IF(AND(LEFT(N3923,7)="Explore",(AA3923-IF(LEFT(N3923,7)="Explore",S3923,0))&lt;10),"SI","NO")</f>
        <v/>
      </c>
    </row>
    <row r="3924">
      <c r="A3924" t="inlineStr">
        <is>
          <t>c53f4_test</t>
        </is>
      </c>
      <c r="B3924" t="inlineStr">
        <is>
          <t>2026-02-18 15:35:26.813</t>
        </is>
      </c>
      <c r="C3924" t="n">
        <v/>
      </c>
      <c r="D3924" t="inlineStr">
        <is>
          <t>Media file</t>
        </is>
      </c>
      <c r="E3924" t="inlineStr">
        <is>
          <t>player #1:WT\test\c53f4.mp4</t>
        </is>
      </c>
      <c r="F3924" t="n">
        <v>-9.233000000000001</v>
      </c>
      <c r="G3924" t="n">
        <v>499.632</v>
      </c>
      <c r="H3924" t="n">
        <v>621.133</v>
      </c>
      <c r="I3924" t="n">
        <v>30</v>
      </c>
      <c r="J3924" t="inlineStr">
        <is>
          <t xml:space="preserve"> WT</t>
        </is>
      </c>
      <c r="K3924" t="inlineStr">
        <is>
          <t xml:space="preserve"> Female</t>
        </is>
      </c>
      <c r="L3924" t="inlineStr">
        <is>
          <t>No focal subject</t>
        </is>
      </c>
      <c r="M3924" t="n">
        <v>41.367</v>
      </c>
      <c r="N3924" t="inlineStr">
        <is>
          <t>Explore_N</t>
        </is>
      </c>
      <c r="O3924" t="inlineStr">
        <is>
          <t>Novelty</t>
        </is>
      </c>
      <c r="P3924" t="inlineStr">
        <is>
          <t>STATE</t>
        </is>
      </c>
      <c r="Q3924" t="n">
        <v>450.3</v>
      </c>
      <c r="R3924" t="n">
        <v>452.367</v>
      </c>
      <c r="S3924" t="n">
        <v>2.067</v>
      </c>
      <c r="T3924" t="inlineStr">
        <is>
          <t>WT\test\c53f4.mp4</t>
        </is>
      </c>
      <c r="U3924" t="n">
        <v>13509</v>
      </c>
      <c r="V3924" t="n">
        <v>13571</v>
      </c>
      <c r="W3924" t="n">
        <v/>
      </c>
      <c r="X3924" t="n">
        <v/>
      </c>
      <c r="Y3924" t="n">
        <v/>
      </c>
      <c r="Z3924" t="n">
        <v/>
      </c>
      <c r="AA3924">
        <f>SUMIFS($S$2:S3924,$A$2:A3924,A3924,$N$2:N3924,"Explore*")</f>
        <v/>
      </c>
      <c r="AB3924">
        <f>IF(AND(LEFT(N3924,7)="Explore",(AA3924-IF(LEFT(N3924,7)="Explore",S3924,0))&lt;10),"SI","NO")</f>
        <v/>
      </c>
    </row>
    <row r="3925">
      <c r="A3925" t="inlineStr">
        <is>
          <t>c53f4_test</t>
        </is>
      </c>
      <c r="B3925" t="inlineStr">
        <is>
          <t>2026-02-18 15:35:26.813</t>
        </is>
      </c>
      <c r="C3925" t="n">
        <v/>
      </c>
      <c r="D3925" t="inlineStr">
        <is>
          <t>Media file</t>
        </is>
      </c>
      <c r="E3925" t="inlineStr">
        <is>
          <t>player #1:WT\test\c53f4.mp4</t>
        </is>
      </c>
      <c r="F3925" t="n">
        <v>-9.233000000000001</v>
      </c>
      <c r="G3925" t="n">
        <v>499.632</v>
      </c>
      <c r="H3925" t="n">
        <v>621.133</v>
      </c>
      <c r="I3925" t="n">
        <v>30</v>
      </c>
      <c r="J3925" t="inlineStr">
        <is>
          <t xml:space="preserve"> WT</t>
        </is>
      </c>
      <c r="K3925" t="inlineStr">
        <is>
          <t xml:space="preserve"> Female</t>
        </is>
      </c>
      <c r="L3925" t="inlineStr">
        <is>
          <t>No focal subject</t>
        </is>
      </c>
      <c r="M3925" t="n">
        <v>41.367</v>
      </c>
      <c r="N3925" t="inlineStr">
        <is>
          <t>Explore_N</t>
        </is>
      </c>
      <c r="O3925" t="inlineStr">
        <is>
          <t>Novelty</t>
        </is>
      </c>
      <c r="P3925" t="inlineStr">
        <is>
          <t>STATE</t>
        </is>
      </c>
      <c r="Q3925" t="n">
        <v>463.667</v>
      </c>
      <c r="R3925" t="n">
        <v>465.067</v>
      </c>
      <c r="S3925" t="n">
        <v>1.4</v>
      </c>
      <c r="T3925" t="inlineStr">
        <is>
          <t>WT\test\c53f4.mp4</t>
        </is>
      </c>
      <c r="U3925" t="n">
        <v>13910</v>
      </c>
      <c r="V3925" t="n">
        <v>13952</v>
      </c>
      <c r="W3925" t="n">
        <v/>
      </c>
      <c r="X3925" t="n">
        <v/>
      </c>
      <c r="Y3925" t="n">
        <v/>
      </c>
      <c r="Z3925" t="n">
        <v/>
      </c>
      <c r="AA3925">
        <f>SUMIFS($S$2:S3925,$A$2:A3925,A3925,$N$2:N3925,"Explore*")</f>
        <v/>
      </c>
      <c r="AB3925">
        <f>IF(AND(LEFT(N3925,7)="Explore",(AA3925-IF(LEFT(N3925,7)="Explore",S3925,0))&lt;10),"SI","NO")</f>
        <v/>
      </c>
    </row>
    <row r="3926">
      <c r="A3926" t="inlineStr">
        <is>
          <t>c53f4_test</t>
        </is>
      </c>
      <c r="B3926" t="inlineStr">
        <is>
          <t>2026-02-18 15:35:26.813</t>
        </is>
      </c>
      <c r="C3926" t="n">
        <v/>
      </c>
      <c r="D3926" t="inlineStr">
        <is>
          <t>Media file</t>
        </is>
      </c>
      <c r="E3926" t="inlineStr">
        <is>
          <t>player #1:WT\test\c53f4.mp4</t>
        </is>
      </c>
      <c r="F3926" t="n">
        <v>-9.233000000000001</v>
      </c>
      <c r="G3926" t="n">
        <v>499.632</v>
      </c>
      <c r="H3926" t="n">
        <v>621.133</v>
      </c>
      <c r="I3926" t="n">
        <v>30</v>
      </c>
      <c r="J3926" t="inlineStr">
        <is>
          <t xml:space="preserve"> WT</t>
        </is>
      </c>
      <c r="K3926" t="inlineStr">
        <is>
          <t xml:space="preserve"> Female</t>
        </is>
      </c>
      <c r="L3926" t="inlineStr">
        <is>
          <t>No focal subject</t>
        </is>
      </c>
      <c r="M3926" t="n">
        <v>41.367</v>
      </c>
      <c r="N3926" t="inlineStr">
        <is>
          <t>Explore_N</t>
        </is>
      </c>
      <c r="O3926" t="inlineStr">
        <is>
          <t>Novelty</t>
        </is>
      </c>
      <c r="P3926" t="inlineStr">
        <is>
          <t>STATE</t>
        </is>
      </c>
      <c r="Q3926" t="n">
        <v>466.933</v>
      </c>
      <c r="R3926" t="n">
        <v>468.367</v>
      </c>
      <c r="S3926" t="n">
        <v>1.434</v>
      </c>
      <c r="T3926" t="inlineStr">
        <is>
          <t>WT\test\c53f4.mp4</t>
        </is>
      </c>
      <c r="U3926" t="n">
        <v>14008</v>
      </c>
      <c r="V3926" t="n">
        <v>14051</v>
      </c>
      <c r="W3926" t="n">
        <v/>
      </c>
      <c r="X3926" t="n">
        <v/>
      </c>
      <c r="Y3926" t="n">
        <v/>
      </c>
      <c r="Z3926" t="n">
        <v/>
      </c>
      <c r="AA3926">
        <f>SUMIFS($S$2:S3926,$A$2:A3926,A3926,$N$2:N3926,"Explore*")</f>
        <v/>
      </c>
      <c r="AB3926">
        <f>IF(AND(LEFT(N3926,7)="Explore",(AA3926-IF(LEFT(N3926,7)="Explore",S3926,0))&lt;10),"SI","NO")</f>
        <v/>
      </c>
    </row>
    <row r="3927">
      <c r="A3927" t="inlineStr">
        <is>
          <t>c53f4_test</t>
        </is>
      </c>
      <c r="B3927" t="inlineStr">
        <is>
          <t>2026-02-18 15:35:26.813</t>
        </is>
      </c>
      <c r="C3927" t="n">
        <v/>
      </c>
      <c r="D3927" t="inlineStr">
        <is>
          <t>Media file</t>
        </is>
      </c>
      <c r="E3927" t="inlineStr">
        <is>
          <t>player #1:WT\test\c53f4.mp4</t>
        </is>
      </c>
      <c r="F3927" t="n">
        <v>-9.233000000000001</v>
      </c>
      <c r="G3927" t="n">
        <v>499.632</v>
      </c>
      <c r="H3927" t="n">
        <v>621.133</v>
      </c>
      <c r="I3927" t="n">
        <v>30</v>
      </c>
      <c r="J3927" t="inlineStr">
        <is>
          <t xml:space="preserve"> WT</t>
        </is>
      </c>
      <c r="K3927" t="inlineStr">
        <is>
          <t xml:space="preserve"> Female</t>
        </is>
      </c>
      <c r="L3927" t="inlineStr">
        <is>
          <t>No focal subject</t>
        </is>
      </c>
      <c r="M3927" t="n">
        <v>41.367</v>
      </c>
      <c r="N3927" t="inlineStr">
        <is>
          <t>Explore_N</t>
        </is>
      </c>
      <c r="O3927" t="inlineStr">
        <is>
          <t>Novelty</t>
        </is>
      </c>
      <c r="P3927" t="inlineStr">
        <is>
          <t>STATE</t>
        </is>
      </c>
      <c r="Q3927" t="n">
        <v>469.933</v>
      </c>
      <c r="R3927" t="n">
        <v>471.2</v>
      </c>
      <c r="S3927" t="n">
        <v>1.267</v>
      </c>
      <c r="T3927" t="inlineStr">
        <is>
          <t>WT\test\c53f4.mp4</t>
        </is>
      </c>
      <c r="U3927" t="n">
        <v>14098</v>
      </c>
      <c r="V3927" t="n">
        <v>14136</v>
      </c>
      <c r="W3927" t="n">
        <v/>
      </c>
      <c r="X3927" t="n">
        <v/>
      </c>
      <c r="Y3927" t="n">
        <v/>
      </c>
      <c r="Z3927" t="n">
        <v/>
      </c>
      <c r="AA3927">
        <f>SUMIFS($S$2:S3927,$A$2:A3927,A3927,$N$2:N3927,"Explore*")</f>
        <v/>
      </c>
      <c r="AB3927">
        <f>IF(AND(LEFT(N3927,7)="Explore",(AA3927-IF(LEFT(N3927,7)="Explore",S3927,0))&lt;10),"SI","NO")</f>
        <v/>
      </c>
    </row>
    <row r="3928">
      <c r="A3928" t="inlineStr">
        <is>
          <t>c53f4_test</t>
        </is>
      </c>
      <c r="B3928" t="inlineStr">
        <is>
          <t>2026-02-18 15:35:26.813</t>
        </is>
      </c>
      <c r="C3928" t="n">
        <v/>
      </c>
      <c r="D3928" t="inlineStr">
        <is>
          <t>Media file</t>
        </is>
      </c>
      <c r="E3928" t="inlineStr">
        <is>
          <t>player #1:WT\test\c53f4.mp4</t>
        </is>
      </c>
      <c r="F3928" t="n">
        <v>-9.233000000000001</v>
      </c>
      <c r="G3928" t="n">
        <v>499.632</v>
      </c>
      <c r="H3928" t="n">
        <v>621.133</v>
      </c>
      <c r="I3928" t="n">
        <v>30</v>
      </c>
      <c r="J3928" t="inlineStr">
        <is>
          <t xml:space="preserve"> WT</t>
        </is>
      </c>
      <c r="K3928" t="inlineStr">
        <is>
          <t xml:space="preserve"> Female</t>
        </is>
      </c>
      <c r="L3928" t="inlineStr">
        <is>
          <t>No focal subject</t>
        </is>
      </c>
      <c r="M3928" t="n">
        <v>41.367</v>
      </c>
      <c r="N3928" t="inlineStr">
        <is>
          <t>Explore_N</t>
        </is>
      </c>
      <c r="O3928" t="inlineStr">
        <is>
          <t>Novelty</t>
        </is>
      </c>
      <c r="P3928" t="inlineStr">
        <is>
          <t>STATE</t>
        </is>
      </c>
      <c r="Q3928" t="n">
        <v>472.033</v>
      </c>
      <c r="R3928" t="n">
        <v>473</v>
      </c>
      <c r="S3928" t="n">
        <v>0.967</v>
      </c>
      <c r="T3928" t="inlineStr">
        <is>
          <t>WT\test\c53f4.mp4</t>
        </is>
      </c>
      <c r="U3928" t="n">
        <v>14162</v>
      </c>
      <c r="V3928" t="n">
        <v>14192</v>
      </c>
      <c r="W3928" t="n">
        <v/>
      </c>
      <c r="X3928" t="n">
        <v/>
      </c>
      <c r="Y3928" t="n">
        <v/>
      </c>
      <c r="Z3928" t="n">
        <v/>
      </c>
      <c r="AA3928">
        <f>SUMIFS($S$2:S3928,$A$2:A3928,A3928,$N$2:N3928,"Explore*")</f>
        <v/>
      </c>
      <c r="AB3928">
        <f>IF(AND(LEFT(N3928,7)="Explore",(AA3928-IF(LEFT(N3928,7)="Explore",S3928,0))&lt;10),"SI","NO")</f>
        <v/>
      </c>
    </row>
    <row r="3929">
      <c r="A3929" t="inlineStr">
        <is>
          <t>c53f4_test</t>
        </is>
      </c>
      <c r="B3929" t="inlineStr">
        <is>
          <t>2026-02-18 15:35:26.813</t>
        </is>
      </c>
      <c r="C3929" t="n">
        <v/>
      </c>
      <c r="D3929" t="inlineStr">
        <is>
          <t>Media file</t>
        </is>
      </c>
      <c r="E3929" t="inlineStr">
        <is>
          <t>player #1:WT\test\c53f4.mp4</t>
        </is>
      </c>
      <c r="F3929" t="n">
        <v>-9.233000000000001</v>
      </c>
      <c r="G3929" t="n">
        <v>499.632</v>
      </c>
      <c r="H3929" t="n">
        <v>621.133</v>
      </c>
      <c r="I3929" t="n">
        <v>30</v>
      </c>
      <c r="J3929" t="inlineStr">
        <is>
          <t xml:space="preserve"> WT</t>
        </is>
      </c>
      <c r="K3929" t="inlineStr">
        <is>
          <t xml:space="preserve"> Female</t>
        </is>
      </c>
      <c r="L3929" t="inlineStr">
        <is>
          <t>No focal subject</t>
        </is>
      </c>
      <c r="M3929" t="n">
        <v>41.367</v>
      </c>
      <c r="N3929" t="inlineStr">
        <is>
          <t>Explore_N</t>
        </is>
      </c>
      <c r="O3929" t="inlineStr">
        <is>
          <t>Novelty</t>
        </is>
      </c>
      <c r="P3929" t="inlineStr">
        <is>
          <t>STATE</t>
        </is>
      </c>
      <c r="Q3929" t="n">
        <v>474.633</v>
      </c>
      <c r="R3929" t="n">
        <v>476.2</v>
      </c>
      <c r="S3929" t="n">
        <v>1.567</v>
      </c>
      <c r="T3929" t="inlineStr">
        <is>
          <t>WT\test\c53f4.mp4</t>
        </is>
      </c>
      <c r="U3929" t="n">
        <v>14239</v>
      </c>
      <c r="V3929" t="n">
        <v>14286</v>
      </c>
      <c r="W3929" t="n">
        <v/>
      </c>
      <c r="X3929" t="n">
        <v/>
      </c>
      <c r="Y3929" t="n">
        <v/>
      </c>
      <c r="Z3929" t="n">
        <v/>
      </c>
      <c r="AA3929">
        <f>SUMIFS($S$2:S3929,$A$2:A3929,A3929,$N$2:N3929,"Explore*")</f>
        <v/>
      </c>
      <c r="AB3929">
        <f>IF(AND(LEFT(N3929,7)="Explore",(AA3929-IF(LEFT(N3929,7)="Explore",S3929,0))&lt;10),"SI","NO")</f>
        <v/>
      </c>
    </row>
    <row r="3930">
      <c r="A3930" t="inlineStr">
        <is>
          <t>c53f4_test</t>
        </is>
      </c>
      <c r="B3930" t="inlineStr">
        <is>
          <t>2026-02-18 15:35:26.813</t>
        </is>
      </c>
      <c r="C3930" t="n">
        <v/>
      </c>
      <c r="D3930" t="inlineStr">
        <is>
          <t>Media file</t>
        </is>
      </c>
      <c r="E3930" t="inlineStr">
        <is>
          <t>player #1:WT\test\c53f4.mp4</t>
        </is>
      </c>
      <c r="F3930" t="n">
        <v>-9.233000000000001</v>
      </c>
      <c r="G3930" t="n">
        <v>499.632</v>
      </c>
      <c r="H3930" t="n">
        <v>621.133</v>
      </c>
      <c r="I3930" t="n">
        <v>30</v>
      </c>
      <c r="J3930" t="inlineStr">
        <is>
          <t xml:space="preserve"> WT</t>
        </is>
      </c>
      <c r="K3930" t="inlineStr">
        <is>
          <t xml:space="preserve"> Female</t>
        </is>
      </c>
      <c r="L3930" t="inlineStr">
        <is>
          <t>No focal subject</t>
        </is>
      </c>
      <c r="M3930" t="n">
        <v>41.367</v>
      </c>
      <c r="N3930" t="inlineStr">
        <is>
          <t>Explore_N</t>
        </is>
      </c>
      <c r="O3930" t="inlineStr">
        <is>
          <t>Novelty</t>
        </is>
      </c>
      <c r="P3930" t="inlineStr">
        <is>
          <t>STATE</t>
        </is>
      </c>
      <c r="Q3930" t="n">
        <v>477.233</v>
      </c>
      <c r="R3930" t="n">
        <v>480.233</v>
      </c>
      <c r="S3930" t="n">
        <v>3</v>
      </c>
      <c r="T3930" t="inlineStr">
        <is>
          <t>WT\test\c53f4.mp4</t>
        </is>
      </c>
      <c r="U3930" t="n">
        <v>14594</v>
      </c>
      <c r="V3930" t="n">
        <v>14684</v>
      </c>
      <c r="W3930" t="n">
        <v/>
      </c>
      <c r="X3930" t="n">
        <v/>
      </c>
      <c r="Y3930" t="n">
        <v/>
      </c>
      <c r="Z3930" t="n">
        <v/>
      </c>
      <c r="AA3930">
        <f>SUMIFS($S$2:S3930,$A$2:A3930,A3930,$N$2:N3930,"Explore*")</f>
        <v/>
      </c>
      <c r="AB3930">
        <f>IF(AND(LEFT(N3930,7)="Explore",(AA3930-IF(LEFT(N3930,7)="Explore",S3930,0))&lt;10),"SI","NO")</f>
        <v/>
      </c>
    </row>
    <row r="3931">
      <c r="A3931" t="inlineStr">
        <is>
          <t>c53f4_test</t>
        </is>
      </c>
      <c r="B3931" t="inlineStr">
        <is>
          <t>2026-02-18 15:35:26.813</t>
        </is>
      </c>
      <c r="C3931" t="n">
        <v/>
      </c>
      <c r="D3931" t="inlineStr">
        <is>
          <t>Media file</t>
        </is>
      </c>
      <c r="E3931" t="inlineStr">
        <is>
          <t>player #1:WT\test\c53f4.mp4</t>
        </is>
      </c>
      <c r="F3931" t="n">
        <v>-9.233000000000001</v>
      </c>
      <c r="G3931" t="n">
        <v>499.632</v>
      </c>
      <c r="H3931" t="n">
        <v>621.133</v>
      </c>
      <c r="I3931" t="n">
        <v>30</v>
      </c>
      <c r="J3931" t="inlineStr">
        <is>
          <t xml:space="preserve"> WT</t>
        </is>
      </c>
      <c r="K3931" t="inlineStr">
        <is>
          <t xml:space="preserve"> Female</t>
        </is>
      </c>
      <c r="L3931" t="inlineStr">
        <is>
          <t>No focal subject</t>
        </is>
      </c>
      <c r="M3931" t="n">
        <v>41.367</v>
      </c>
      <c r="N3931" t="inlineStr">
        <is>
          <t>Explore_N</t>
        </is>
      </c>
      <c r="O3931" t="inlineStr">
        <is>
          <t>Novelty</t>
        </is>
      </c>
      <c r="P3931" t="inlineStr">
        <is>
          <t>STATE</t>
        </is>
      </c>
      <c r="Q3931" t="n">
        <v>481.7</v>
      </c>
      <c r="R3931" t="n">
        <v>482.7</v>
      </c>
      <c r="S3931" t="n">
        <v>1</v>
      </c>
      <c r="T3931" t="inlineStr">
        <is>
          <t>WT\test\c53f4.mp4</t>
        </is>
      </c>
      <c r="U3931" t="n">
        <v>14728</v>
      </c>
      <c r="V3931" t="n">
        <v>14758</v>
      </c>
      <c r="W3931" t="n">
        <v/>
      </c>
      <c r="X3931" t="n">
        <v/>
      </c>
      <c r="Y3931" t="n">
        <v/>
      </c>
      <c r="Z3931" t="n">
        <v/>
      </c>
      <c r="AA3931">
        <f>SUMIFS($S$2:S3931,$A$2:A3931,A3931,$N$2:N3931,"Explore*")</f>
        <v/>
      </c>
      <c r="AB3931">
        <f>IF(AND(LEFT(N3931,7)="Explore",(AA3931-IF(LEFT(N3931,7)="Explore",S3931,0))&lt;10),"SI","NO")</f>
        <v/>
      </c>
    </row>
    <row r="3932">
      <c r="A3932" t="inlineStr">
        <is>
          <t>c53f4_test</t>
        </is>
      </c>
      <c r="B3932" t="inlineStr">
        <is>
          <t>2026-02-18 15:35:26.813</t>
        </is>
      </c>
      <c r="C3932" t="n">
        <v/>
      </c>
      <c r="D3932" t="inlineStr">
        <is>
          <t>Media file</t>
        </is>
      </c>
      <c r="E3932" t="inlineStr">
        <is>
          <t>player #1:WT\test\c53f4.mp4</t>
        </is>
      </c>
      <c r="F3932" t="n">
        <v>-9.233000000000001</v>
      </c>
      <c r="G3932" t="n">
        <v>499.632</v>
      </c>
      <c r="H3932" t="n">
        <v>621.133</v>
      </c>
      <c r="I3932" t="n">
        <v>30</v>
      </c>
      <c r="J3932" t="inlineStr">
        <is>
          <t xml:space="preserve"> WT</t>
        </is>
      </c>
      <c r="K3932" t="inlineStr">
        <is>
          <t xml:space="preserve"> Female</t>
        </is>
      </c>
      <c r="L3932" t="inlineStr">
        <is>
          <t>No focal subject</t>
        </is>
      </c>
      <c r="M3932" t="n">
        <v>41.367</v>
      </c>
      <c r="N3932" t="inlineStr">
        <is>
          <t>Explore_N</t>
        </is>
      </c>
      <c r="O3932" t="inlineStr">
        <is>
          <t>Novelty</t>
        </is>
      </c>
      <c r="P3932" t="inlineStr">
        <is>
          <t>STATE</t>
        </is>
      </c>
      <c r="Q3932" t="n">
        <v>485.366</v>
      </c>
      <c r="R3932" t="n">
        <v>487.466</v>
      </c>
      <c r="S3932" t="n">
        <v>2.1</v>
      </c>
      <c r="T3932" t="inlineStr">
        <is>
          <t>WT\test\c53f4.mp4</t>
        </is>
      </c>
      <c r="U3932" t="n">
        <v>14838</v>
      </c>
      <c r="V3932" t="n">
        <v>14901</v>
      </c>
      <c r="W3932" t="n">
        <v/>
      </c>
      <c r="X3932" t="n">
        <v/>
      </c>
      <c r="Y3932" t="n">
        <v/>
      </c>
      <c r="Z3932" t="n">
        <v/>
      </c>
      <c r="AA3932">
        <f>SUMIFS($S$2:S3932,$A$2:A3932,A3932,$N$2:N3932,"Explore*")</f>
        <v/>
      </c>
      <c r="AB3932">
        <f>IF(AND(LEFT(N3932,7)="Explore",(AA3932-IF(LEFT(N3932,7)="Explore",S3932,0))&lt;10),"SI","NO")</f>
        <v/>
      </c>
    </row>
    <row r="3933">
      <c r="A3933" t="inlineStr">
        <is>
          <t>c53f4_test</t>
        </is>
      </c>
      <c r="B3933" t="inlineStr">
        <is>
          <t>2026-02-18 15:35:26.813</t>
        </is>
      </c>
      <c r="C3933" t="n">
        <v/>
      </c>
      <c r="D3933" t="inlineStr">
        <is>
          <t>Media file</t>
        </is>
      </c>
      <c r="E3933" t="inlineStr">
        <is>
          <t>player #1:WT\test\c53f4.mp4</t>
        </is>
      </c>
      <c r="F3933" t="n">
        <v>-9.233000000000001</v>
      </c>
      <c r="G3933" t="n">
        <v>499.632</v>
      </c>
      <c r="H3933" t="n">
        <v>621.133</v>
      </c>
      <c r="I3933" t="n">
        <v>30</v>
      </c>
      <c r="J3933" t="inlineStr">
        <is>
          <t xml:space="preserve"> WT</t>
        </is>
      </c>
      <c r="K3933" t="inlineStr">
        <is>
          <t xml:space="preserve"> Female</t>
        </is>
      </c>
      <c r="L3933" t="inlineStr">
        <is>
          <t>No focal subject</t>
        </is>
      </c>
      <c r="M3933" t="n">
        <v>41.367</v>
      </c>
      <c r="N3933" t="inlineStr">
        <is>
          <t>Explore_F</t>
        </is>
      </c>
      <c r="O3933" t="inlineStr">
        <is>
          <t>Familiar</t>
        </is>
      </c>
      <c r="P3933" t="inlineStr">
        <is>
          <t>STATE</t>
        </is>
      </c>
      <c r="Q3933" t="n">
        <v>500.1</v>
      </c>
      <c r="R3933" t="n">
        <v>500.7</v>
      </c>
      <c r="S3933" t="n">
        <v>0.6</v>
      </c>
      <c r="T3933" t="inlineStr">
        <is>
          <t>WT\test\c53f4.mp4</t>
        </is>
      </c>
      <c r="U3933" t="n">
        <v>15280</v>
      </c>
      <c r="V3933" t="n">
        <v>15298</v>
      </c>
      <c r="W3933" t="n">
        <v/>
      </c>
      <c r="X3933" t="n">
        <v/>
      </c>
      <c r="Y3933" t="n">
        <v/>
      </c>
      <c r="Z3933" t="n">
        <v/>
      </c>
      <c r="AA3933">
        <f>SUMIFS($S$2:S3933,$A$2:A3933,A3933,$N$2:N3933,"Explore*")</f>
        <v/>
      </c>
      <c r="AB3933">
        <f>IF(AND(LEFT(N3933,7)="Explore",(AA3933-IF(LEFT(N3933,7)="Explore",S3933,0))&lt;10),"SI","NO")</f>
        <v/>
      </c>
    </row>
    <row r="3934">
      <c r="A3934" t="inlineStr">
        <is>
          <t>c53f4_test</t>
        </is>
      </c>
      <c r="B3934" t="inlineStr">
        <is>
          <t>2026-02-18 15:35:26.813</t>
        </is>
      </c>
      <c r="C3934" t="n">
        <v/>
      </c>
      <c r="D3934" t="inlineStr">
        <is>
          <t>Media file</t>
        </is>
      </c>
      <c r="E3934" t="inlineStr">
        <is>
          <t>player #1:WT\test\c53f4.mp4</t>
        </is>
      </c>
      <c r="F3934" t="n">
        <v>-9.233000000000001</v>
      </c>
      <c r="G3934" t="n">
        <v>499.632</v>
      </c>
      <c r="H3934" t="n">
        <v>621.133</v>
      </c>
      <c r="I3934" t="n">
        <v>30</v>
      </c>
      <c r="J3934" t="inlineStr">
        <is>
          <t xml:space="preserve"> WT</t>
        </is>
      </c>
      <c r="K3934" t="inlineStr">
        <is>
          <t xml:space="preserve"> Female</t>
        </is>
      </c>
      <c r="L3934" t="inlineStr">
        <is>
          <t>No focal subject</t>
        </is>
      </c>
      <c r="M3934" t="n">
        <v>41.367</v>
      </c>
      <c r="N3934" t="inlineStr">
        <is>
          <t>Explore_N</t>
        </is>
      </c>
      <c r="O3934" t="inlineStr">
        <is>
          <t>Novelty</t>
        </is>
      </c>
      <c r="P3934" t="inlineStr">
        <is>
          <t>STATE</t>
        </is>
      </c>
      <c r="Q3934" t="n">
        <v>518.466</v>
      </c>
      <c r="R3934" t="n">
        <v>519.366</v>
      </c>
      <c r="S3934" t="n">
        <v>0.9</v>
      </c>
      <c r="T3934" t="inlineStr">
        <is>
          <t>WT\test\c53f4.mp4</t>
        </is>
      </c>
      <c r="U3934" t="n">
        <v>15831</v>
      </c>
      <c r="V3934" t="n">
        <v>15858</v>
      </c>
      <c r="W3934" t="n">
        <v/>
      </c>
      <c r="X3934" t="n">
        <v/>
      </c>
      <c r="Y3934" t="n">
        <v/>
      </c>
      <c r="Z3934" t="n">
        <v/>
      </c>
      <c r="AA3934">
        <f>SUMIFS($S$2:S3934,$A$2:A3934,A3934,$N$2:N3934,"Explore*")</f>
        <v/>
      </c>
      <c r="AB3934">
        <f>IF(AND(LEFT(N3934,7)="Explore",(AA3934-IF(LEFT(N3934,7)="Explore",S3934,0))&lt;10),"SI","NO")</f>
        <v/>
      </c>
    </row>
    <row r="3935">
      <c r="A3935" t="inlineStr">
        <is>
          <t>c53f4_test</t>
        </is>
      </c>
      <c r="B3935" t="inlineStr">
        <is>
          <t>2026-02-18 15:35:26.813</t>
        </is>
      </c>
      <c r="C3935" t="n">
        <v/>
      </c>
      <c r="D3935" t="inlineStr">
        <is>
          <t>Media file</t>
        </is>
      </c>
      <c r="E3935" t="inlineStr">
        <is>
          <t>player #1:WT\test\c53f4.mp4</t>
        </is>
      </c>
      <c r="F3935" t="n">
        <v>-9.233000000000001</v>
      </c>
      <c r="G3935" t="n">
        <v>499.632</v>
      </c>
      <c r="H3935" t="n">
        <v>621.133</v>
      </c>
      <c r="I3935" t="n">
        <v>30</v>
      </c>
      <c r="J3935" t="inlineStr">
        <is>
          <t xml:space="preserve"> WT</t>
        </is>
      </c>
      <c r="K3935" t="inlineStr">
        <is>
          <t xml:space="preserve"> Female</t>
        </is>
      </c>
      <c r="L3935" t="inlineStr">
        <is>
          <t>No focal subject</t>
        </is>
      </c>
      <c r="M3935" t="n">
        <v>41.367</v>
      </c>
      <c r="N3935" t="inlineStr">
        <is>
          <t>Explore_N</t>
        </is>
      </c>
      <c r="O3935" t="inlineStr">
        <is>
          <t>Novelty</t>
        </is>
      </c>
      <c r="P3935" t="inlineStr">
        <is>
          <t>STATE</t>
        </is>
      </c>
      <c r="Q3935" t="n">
        <v>524.466</v>
      </c>
      <c r="R3935" t="n">
        <v>525.266</v>
      </c>
      <c r="S3935" t="n">
        <v>0.8</v>
      </c>
      <c r="T3935" t="inlineStr">
        <is>
          <t>WT\test\c53f4.mp4</t>
        </is>
      </c>
      <c r="U3935" t="n">
        <v>16011</v>
      </c>
      <c r="V3935" t="n">
        <v>16035</v>
      </c>
      <c r="W3935" t="n">
        <v/>
      </c>
      <c r="X3935" t="n">
        <v/>
      </c>
      <c r="Y3935" t="n">
        <v/>
      </c>
      <c r="Z3935" t="n">
        <v/>
      </c>
      <c r="AA3935">
        <f>SUMIFS($S$2:S3935,$A$2:A3935,A3935,$N$2:N3935,"Explore*")</f>
        <v/>
      </c>
      <c r="AB3935">
        <f>IF(AND(LEFT(N3935,7)="Explore",(AA3935-IF(LEFT(N3935,7)="Explore",S3935,0))&lt;10),"SI","NO")</f>
        <v/>
      </c>
    </row>
    <row r="3936">
      <c r="A3936" t="inlineStr">
        <is>
          <t>c53f4_test</t>
        </is>
      </c>
      <c r="B3936" t="inlineStr">
        <is>
          <t>2026-02-18 15:35:26.813</t>
        </is>
      </c>
      <c r="C3936" t="n">
        <v/>
      </c>
      <c r="D3936" t="inlineStr">
        <is>
          <t>Media file</t>
        </is>
      </c>
      <c r="E3936" t="inlineStr">
        <is>
          <t>player #1:WT\test\c53f4.mp4</t>
        </is>
      </c>
      <c r="F3936" t="n">
        <v>-9.233000000000001</v>
      </c>
      <c r="G3936" t="n">
        <v>499.632</v>
      </c>
      <c r="H3936" t="n">
        <v>621.133</v>
      </c>
      <c r="I3936" t="n">
        <v>30</v>
      </c>
      <c r="J3936" t="inlineStr">
        <is>
          <t xml:space="preserve"> WT</t>
        </is>
      </c>
      <c r="K3936" t="inlineStr">
        <is>
          <t xml:space="preserve"> Female</t>
        </is>
      </c>
      <c r="L3936" t="inlineStr">
        <is>
          <t>No focal subject</t>
        </is>
      </c>
      <c r="M3936" t="n">
        <v>41.367</v>
      </c>
      <c r="N3936" t="inlineStr">
        <is>
          <t>Explore_N</t>
        </is>
      </c>
      <c r="O3936" t="inlineStr">
        <is>
          <t>Novelty</t>
        </is>
      </c>
      <c r="P3936" t="inlineStr">
        <is>
          <t>STATE</t>
        </is>
      </c>
      <c r="Q3936" t="n">
        <v>528.766</v>
      </c>
      <c r="R3936" t="n">
        <v>529.766</v>
      </c>
      <c r="S3936" t="n">
        <v>1</v>
      </c>
      <c r="T3936" t="inlineStr">
        <is>
          <t>WT\test\c53f4.mp4</t>
        </is>
      </c>
      <c r="U3936" t="n">
        <v>16140</v>
      </c>
      <c r="V3936" t="n">
        <v>16170</v>
      </c>
      <c r="W3936" t="n">
        <v/>
      </c>
      <c r="X3936" t="n">
        <v/>
      </c>
      <c r="Y3936" t="n">
        <v/>
      </c>
      <c r="Z3936" t="n">
        <v/>
      </c>
      <c r="AA3936">
        <f>SUMIFS($S$2:S3936,$A$2:A3936,A3936,$N$2:N3936,"Explore*")</f>
        <v/>
      </c>
      <c r="AB3936">
        <f>IF(AND(LEFT(N3936,7)="Explore",(AA3936-IF(LEFT(N3936,7)="Explore",S3936,0))&lt;10),"SI","NO")</f>
        <v/>
      </c>
    </row>
    <row r="3937">
      <c r="A3937" t="inlineStr">
        <is>
          <t>c53f4_test</t>
        </is>
      </c>
      <c r="B3937" t="inlineStr">
        <is>
          <t>2026-02-18 15:35:26.813</t>
        </is>
      </c>
      <c r="C3937" t="n">
        <v/>
      </c>
      <c r="D3937" t="inlineStr">
        <is>
          <t>Media file</t>
        </is>
      </c>
      <c r="E3937" t="inlineStr">
        <is>
          <t>player #1:WT\test\c53f4.mp4</t>
        </is>
      </c>
      <c r="F3937" t="n">
        <v>-9.233000000000001</v>
      </c>
      <c r="G3937" t="n">
        <v>499.632</v>
      </c>
      <c r="H3937" t="n">
        <v>621.133</v>
      </c>
      <c r="I3937" t="n">
        <v>30</v>
      </c>
      <c r="J3937" t="inlineStr">
        <is>
          <t xml:space="preserve"> WT</t>
        </is>
      </c>
      <c r="K3937" t="inlineStr">
        <is>
          <t xml:space="preserve"> Female</t>
        </is>
      </c>
      <c r="L3937" t="inlineStr">
        <is>
          <t>No focal subject</t>
        </is>
      </c>
      <c r="M3937" t="n">
        <v>41.367</v>
      </c>
      <c r="N3937" t="inlineStr">
        <is>
          <t>Explore_N</t>
        </is>
      </c>
      <c r="O3937" t="inlineStr">
        <is>
          <t>Novelty</t>
        </is>
      </c>
      <c r="P3937" t="inlineStr">
        <is>
          <t>STATE</t>
        </is>
      </c>
      <c r="Q3937" t="n">
        <v>530.366</v>
      </c>
      <c r="R3937" t="n">
        <v>530.9</v>
      </c>
      <c r="S3937" t="n">
        <v>0.534</v>
      </c>
      <c r="T3937" t="inlineStr">
        <is>
          <t>WT\test\c53f4.mp4</t>
        </is>
      </c>
      <c r="U3937" t="n">
        <v>16188</v>
      </c>
      <c r="V3937" t="n">
        <v>16204</v>
      </c>
      <c r="W3937" t="n">
        <v/>
      </c>
      <c r="X3937" t="n">
        <v/>
      </c>
      <c r="Y3937" t="n">
        <v/>
      </c>
      <c r="Z3937" t="n">
        <v/>
      </c>
      <c r="AA3937">
        <f>SUMIFS($S$2:S3937,$A$2:A3937,A3937,$N$2:N3937,"Explore*")</f>
        <v/>
      </c>
      <c r="AB3937">
        <f>IF(AND(LEFT(N3937,7)="Explore",(AA3937-IF(LEFT(N3937,7)="Explore",S3937,0))&lt;10),"SI","NO")</f>
        <v/>
      </c>
    </row>
    <row r="3938">
      <c r="A3938" t="inlineStr">
        <is>
          <t>c53f4_test</t>
        </is>
      </c>
      <c r="B3938" t="inlineStr">
        <is>
          <t>2026-02-18 15:35:26.813</t>
        </is>
      </c>
      <c r="C3938" t="n">
        <v/>
      </c>
      <c r="D3938" t="inlineStr">
        <is>
          <t>Media file</t>
        </is>
      </c>
      <c r="E3938" t="inlineStr">
        <is>
          <t>player #1:WT\test\c53f4.mp4</t>
        </is>
      </c>
      <c r="F3938" t="n">
        <v>-9.233000000000001</v>
      </c>
      <c r="G3938" t="n">
        <v>499.632</v>
      </c>
      <c r="H3938" t="n">
        <v>621.133</v>
      </c>
      <c r="I3938" t="n">
        <v>30</v>
      </c>
      <c r="J3938" t="inlineStr">
        <is>
          <t xml:space="preserve"> WT</t>
        </is>
      </c>
      <c r="K3938" t="inlineStr">
        <is>
          <t xml:space="preserve"> Female</t>
        </is>
      </c>
      <c r="L3938" t="inlineStr">
        <is>
          <t>No focal subject</t>
        </is>
      </c>
      <c r="M3938" t="n">
        <v>41.367</v>
      </c>
      <c r="N3938" t="inlineStr">
        <is>
          <t>Explore_N</t>
        </is>
      </c>
      <c r="O3938" t="inlineStr">
        <is>
          <t>Novelty</t>
        </is>
      </c>
      <c r="P3938" t="inlineStr">
        <is>
          <t>STATE</t>
        </is>
      </c>
      <c r="Q3938" t="n">
        <v>532.8</v>
      </c>
      <c r="R3938" t="n">
        <v>534.633</v>
      </c>
      <c r="S3938" t="n">
        <v>1.833</v>
      </c>
      <c r="T3938" t="inlineStr">
        <is>
          <t>WT\test\c53f4.mp4</t>
        </is>
      </c>
      <c r="U3938" t="n">
        <v>16261</v>
      </c>
      <c r="V3938" t="n">
        <v>16316</v>
      </c>
      <c r="W3938" t="n">
        <v/>
      </c>
      <c r="X3938" t="n">
        <v/>
      </c>
      <c r="Y3938" t="n">
        <v/>
      </c>
      <c r="Z3938" t="n">
        <v/>
      </c>
      <c r="AA3938">
        <f>SUMIFS($S$2:S3938,$A$2:A3938,A3938,$N$2:N3938,"Explore*")</f>
        <v/>
      </c>
      <c r="AB3938">
        <f>IF(AND(LEFT(N3938,7)="Explore",(AA3938-IF(LEFT(N3938,7)="Explore",S3938,0))&lt;10),"SI","NO")</f>
        <v/>
      </c>
    </row>
    <row r="3939">
      <c r="A3939" t="inlineStr">
        <is>
          <t>c53f4_test</t>
        </is>
      </c>
      <c r="B3939" t="inlineStr">
        <is>
          <t>2026-02-18 15:35:26.813</t>
        </is>
      </c>
      <c r="C3939" t="n">
        <v/>
      </c>
      <c r="D3939" t="inlineStr">
        <is>
          <t>Media file</t>
        </is>
      </c>
      <c r="E3939" t="inlineStr">
        <is>
          <t>player #1:WT\test\c53f4.mp4</t>
        </is>
      </c>
      <c r="F3939" t="n">
        <v>-9.233000000000001</v>
      </c>
      <c r="G3939" t="n">
        <v>499.632</v>
      </c>
      <c r="H3939" t="n">
        <v>621.133</v>
      </c>
      <c r="I3939" t="n">
        <v>30</v>
      </c>
      <c r="J3939" t="inlineStr">
        <is>
          <t xml:space="preserve"> WT</t>
        </is>
      </c>
      <c r="K3939" t="inlineStr">
        <is>
          <t xml:space="preserve"> Female</t>
        </is>
      </c>
      <c r="L3939" t="inlineStr">
        <is>
          <t>No focal subject</t>
        </is>
      </c>
      <c r="M3939" t="n">
        <v>41.367</v>
      </c>
      <c r="N3939" t="inlineStr">
        <is>
          <t>Explore_N</t>
        </is>
      </c>
      <c r="O3939" t="inlineStr">
        <is>
          <t>Novelty</t>
        </is>
      </c>
      <c r="P3939" t="inlineStr">
        <is>
          <t>STATE</t>
        </is>
      </c>
      <c r="Q3939" t="n">
        <v>536.133</v>
      </c>
      <c r="R3939" t="n">
        <v>536.933</v>
      </c>
      <c r="S3939" t="n">
        <v>0.8</v>
      </c>
      <c r="T3939" t="inlineStr">
        <is>
          <t>WT\test\c53f4.mp4</t>
        </is>
      </c>
      <c r="U3939" t="n">
        <v>16361</v>
      </c>
      <c r="V3939" t="n">
        <v>16385</v>
      </c>
      <c r="W3939" t="n">
        <v/>
      </c>
      <c r="X3939" t="n">
        <v/>
      </c>
      <c r="Y3939" t="n">
        <v/>
      </c>
      <c r="Z3939" t="n">
        <v/>
      </c>
      <c r="AA3939">
        <f>SUMIFS($S$2:S3939,$A$2:A3939,A3939,$N$2:N3939,"Explore*")</f>
        <v/>
      </c>
      <c r="AB3939">
        <f>IF(AND(LEFT(N3939,7)="Explore",(AA3939-IF(LEFT(N3939,7)="Explore",S3939,0))&lt;10),"SI","NO")</f>
        <v/>
      </c>
    </row>
    <row r="3940">
      <c r="A3940" t="inlineStr">
        <is>
          <t>c53f4_test</t>
        </is>
      </c>
      <c r="B3940" t="inlineStr">
        <is>
          <t>2026-02-18 15:35:26.813</t>
        </is>
      </c>
      <c r="C3940" t="n">
        <v/>
      </c>
      <c r="D3940" t="inlineStr">
        <is>
          <t>Media file</t>
        </is>
      </c>
      <c r="E3940" t="inlineStr">
        <is>
          <t>player #1:WT\test\c53f4.mp4</t>
        </is>
      </c>
      <c r="F3940" t="n">
        <v>-9.233000000000001</v>
      </c>
      <c r="G3940" t="n">
        <v>499.632</v>
      </c>
      <c r="H3940" t="n">
        <v>621.133</v>
      </c>
      <c r="I3940" t="n">
        <v>30</v>
      </c>
      <c r="J3940" t="inlineStr">
        <is>
          <t xml:space="preserve"> WT</t>
        </is>
      </c>
      <c r="K3940" t="inlineStr">
        <is>
          <t xml:space="preserve"> Female</t>
        </is>
      </c>
      <c r="L3940" t="inlineStr">
        <is>
          <t>No focal subject</t>
        </is>
      </c>
      <c r="M3940" t="n">
        <v>41.367</v>
      </c>
      <c r="N3940" t="inlineStr">
        <is>
          <t>Explore_N</t>
        </is>
      </c>
      <c r="O3940" t="inlineStr">
        <is>
          <t>Novelty</t>
        </is>
      </c>
      <c r="P3940" t="inlineStr">
        <is>
          <t>STATE</t>
        </is>
      </c>
      <c r="Q3940" t="n">
        <v>566.8</v>
      </c>
      <c r="R3940" t="n">
        <v>567.7329999999999</v>
      </c>
      <c r="S3940" t="n">
        <v>0.9330000000000001</v>
      </c>
      <c r="T3940" t="inlineStr">
        <is>
          <t>WT\test\c53f4.mp4</t>
        </is>
      </c>
      <c r="U3940" t="n">
        <v>17281</v>
      </c>
      <c r="V3940" t="n">
        <v>17308</v>
      </c>
      <c r="W3940" t="n">
        <v/>
      </c>
      <c r="X3940" t="n">
        <v/>
      </c>
      <c r="Y3940" t="n">
        <v/>
      </c>
      <c r="Z3940" t="n">
        <v/>
      </c>
      <c r="AA3940">
        <f>SUMIFS($S$2:S3940,$A$2:A3940,A3940,$N$2:N3940,"Explore*")</f>
        <v/>
      </c>
      <c r="AB3940">
        <f>IF(AND(LEFT(N3940,7)="Explore",(AA3940-IF(LEFT(N3940,7)="Explore",S3940,0))&lt;10),"SI","NO")</f>
        <v/>
      </c>
    </row>
    <row r="3941">
      <c r="A3941" t="inlineStr">
        <is>
          <t>c53f4_test</t>
        </is>
      </c>
      <c r="B3941" t="inlineStr">
        <is>
          <t>2026-02-18 15:35:26.813</t>
        </is>
      </c>
      <c r="C3941" t="n">
        <v/>
      </c>
      <c r="D3941" t="inlineStr">
        <is>
          <t>Media file</t>
        </is>
      </c>
      <c r="E3941" t="inlineStr">
        <is>
          <t>player #1:WT\test\c53f4.mp4</t>
        </is>
      </c>
      <c r="F3941" t="n">
        <v>-9.233000000000001</v>
      </c>
      <c r="G3941" t="n">
        <v>499.632</v>
      </c>
      <c r="H3941" t="n">
        <v>621.133</v>
      </c>
      <c r="I3941" t="n">
        <v>30</v>
      </c>
      <c r="J3941" t="inlineStr">
        <is>
          <t xml:space="preserve"> WT</t>
        </is>
      </c>
      <c r="K3941" t="inlineStr">
        <is>
          <t xml:space="preserve"> Female</t>
        </is>
      </c>
      <c r="L3941" t="inlineStr">
        <is>
          <t>No focal subject</t>
        </is>
      </c>
      <c r="M3941" t="n">
        <v>41.367</v>
      </c>
      <c r="N3941" t="inlineStr">
        <is>
          <t>Explore_N</t>
        </is>
      </c>
      <c r="O3941" t="inlineStr">
        <is>
          <t>Novelty</t>
        </is>
      </c>
      <c r="P3941" t="inlineStr">
        <is>
          <t>STATE</t>
        </is>
      </c>
      <c r="Q3941" t="n">
        <v>574.833</v>
      </c>
      <c r="R3941" t="n">
        <v>576.1</v>
      </c>
      <c r="S3941" t="n">
        <v>1.267</v>
      </c>
      <c r="T3941" t="inlineStr">
        <is>
          <t>WT\test\c53f4.mp4</t>
        </is>
      </c>
      <c r="U3941" t="n">
        <v>17521</v>
      </c>
      <c r="V3941" t="n">
        <v>17559</v>
      </c>
      <c r="W3941" t="n">
        <v/>
      </c>
      <c r="X3941" t="n">
        <v/>
      </c>
      <c r="Y3941" t="n">
        <v/>
      </c>
      <c r="Z3941" t="n">
        <v/>
      </c>
      <c r="AA3941">
        <f>SUMIFS($S$2:S3941,$A$2:A3941,A3941,$N$2:N3941,"Explore*")</f>
        <v/>
      </c>
      <c r="AB3941">
        <f>IF(AND(LEFT(N3941,7)="Explore",(AA3941-IF(LEFT(N3941,7)="Explore",S3941,0))&lt;10),"SI","NO")</f>
        <v/>
      </c>
    </row>
    <row r="3942">
      <c r="A3942" t="inlineStr">
        <is>
          <t>c53f4_test</t>
        </is>
      </c>
      <c r="B3942" t="inlineStr">
        <is>
          <t>2026-02-18 15:35:26.813</t>
        </is>
      </c>
      <c r="C3942" t="n">
        <v/>
      </c>
      <c r="D3942" t="inlineStr">
        <is>
          <t>Media file</t>
        </is>
      </c>
      <c r="E3942" t="inlineStr">
        <is>
          <t>player #1:WT\test\c53f4.mp4</t>
        </is>
      </c>
      <c r="F3942" t="n">
        <v>-9.233000000000001</v>
      </c>
      <c r="G3942" t="n">
        <v>499.632</v>
      </c>
      <c r="H3942" t="n">
        <v>621.133</v>
      </c>
      <c r="I3942" t="n">
        <v>30</v>
      </c>
      <c r="J3942" t="inlineStr">
        <is>
          <t xml:space="preserve"> WT</t>
        </is>
      </c>
      <c r="K3942" t="inlineStr">
        <is>
          <t xml:space="preserve"> Female</t>
        </is>
      </c>
      <c r="L3942" t="inlineStr">
        <is>
          <t>No focal subject</t>
        </is>
      </c>
      <c r="M3942" t="n">
        <v>41.367</v>
      </c>
      <c r="N3942" t="inlineStr">
        <is>
          <t>Explore_N</t>
        </is>
      </c>
      <c r="O3942" t="inlineStr">
        <is>
          <t>Novelty</t>
        </is>
      </c>
      <c r="P3942" t="inlineStr">
        <is>
          <t>STATE</t>
        </is>
      </c>
      <c r="Q3942" t="n">
        <v>579.333</v>
      </c>
      <c r="R3942" t="n">
        <v>580.266</v>
      </c>
      <c r="S3942" t="n">
        <v>0.9330000000000001</v>
      </c>
      <c r="T3942" t="inlineStr">
        <is>
          <t>WT\test\c53f4.mp4</t>
        </is>
      </c>
      <c r="U3942" t="n">
        <v>17656</v>
      </c>
      <c r="V3942" t="n">
        <v>17684</v>
      </c>
      <c r="W3942" t="n">
        <v/>
      </c>
      <c r="X3942" t="n">
        <v/>
      </c>
      <c r="Y3942" t="n">
        <v/>
      </c>
      <c r="Z3942" t="n">
        <v/>
      </c>
      <c r="AA3942">
        <f>SUMIFS($S$2:S3942,$A$2:A3942,A3942,$N$2:N3942,"Explore*")</f>
        <v/>
      </c>
      <c r="AB3942">
        <f>IF(AND(LEFT(N3942,7)="Explore",(AA3942-IF(LEFT(N3942,7)="Explore",S3942,0))&lt;10),"SI","NO")</f>
        <v/>
      </c>
    </row>
    <row r="3943">
      <c r="A3943" t="inlineStr">
        <is>
          <t>c53f4_test</t>
        </is>
      </c>
      <c r="B3943" t="inlineStr">
        <is>
          <t>2026-02-18 15:35:26.813</t>
        </is>
      </c>
      <c r="C3943" t="n">
        <v/>
      </c>
      <c r="D3943" t="inlineStr">
        <is>
          <t>Media file</t>
        </is>
      </c>
      <c r="E3943" t="inlineStr">
        <is>
          <t>player #1:WT\test\c53f4.mp4</t>
        </is>
      </c>
      <c r="F3943" t="n">
        <v>-9.233000000000001</v>
      </c>
      <c r="G3943" t="n">
        <v>499.632</v>
      </c>
      <c r="H3943" t="n">
        <v>621.133</v>
      </c>
      <c r="I3943" t="n">
        <v>30</v>
      </c>
      <c r="J3943" t="inlineStr">
        <is>
          <t xml:space="preserve"> WT</t>
        </is>
      </c>
      <c r="K3943" t="inlineStr">
        <is>
          <t xml:space="preserve"> Female</t>
        </is>
      </c>
      <c r="L3943" t="inlineStr">
        <is>
          <t>No focal subject</t>
        </is>
      </c>
      <c r="M3943" t="n">
        <v>41.367</v>
      </c>
      <c r="N3943" t="inlineStr">
        <is>
          <t>Explore_N</t>
        </is>
      </c>
      <c r="O3943" t="inlineStr">
        <is>
          <t>Novelty</t>
        </is>
      </c>
      <c r="P3943" t="inlineStr">
        <is>
          <t>STATE</t>
        </is>
      </c>
      <c r="Q3943" t="n">
        <v>582.1</v>
      </c>
      <c r="R3943" t="n">
        <v>582.966</v>
      </c>
      <c r="S3943" t="n">
        <v>0.866</v>
      </c>
      <c r="T3943" t="inlineStr">
        <is>
          <t>WT\test\c53f4.mp4</t>
        </is>
      </c>
      <c r="U3943" t="n">
        <v>17739</v>
      </c>
      <c r="V3943" t="n">
        <v>17765</v>
      </c>
      <c r="W3943" t="n">
        <v/>
      </c>
      <c r="X3943" t="n">
        <v/>
      </c>
      <c r="Y3943" t="n">
        <v/>
      </c>
      <c r="Z3943" t="n">
        <v/>
      </c>
      <c r="AA3943">
        <f>SUMIFS($S$2:S3943,$A$2:A3943,A3943,$N$2:N3943,"Explore*")</f>
        <v/>
      </c>
      <c r="AB3943">
        <f>IF(AND(LEFT(N3943,7)="Explore",(AA3943-IF(LEFT(N3943,7)="Explore",S3943,0))&lt;10),"SI","NO")</f>
        <v/>
      </c>
    </row>
    <row r="3944">
      <c r="A3944" t="inlineStr">
        <is>
          <t>c53f4_test</t>
        </is>
      </c>
      <c r="B3944" t="inlineStr">
        <is>
          <t>2026-02-18 15:35:26.813</t>
        </is>
      </c>
      <c r="C3944" t="n">
        <v/>
      </c>
      <c r="D3944" t="inlineStr">
        <is>
          <t>Media file</t>
        </is>
      </c>
      <c r="E3944" t="inlineStr">
        <is>
          <t>player #1:WT\test\c53f4.mp4</t>
        </is>
      </c>
      <c r="F3944" t="n">
        <v>-9.233000000000001</v>
      </c>
      <c r="G3944" t="n">
        <v>499.632</v>
      </c>
      <c r="H3944" t="n">
        <v>621.133</v>
      </c>
      <c r="I3944" t="n">
        <v>30</v>
      </c>
      <c r="J3944" t="inlineStr">
        <is>
          <t xml:space="preserve"> WT</t>
        </is>
      </c>
      <c r="K3944" t="inlineStr">
        <is>
          <t xml:space="preserve"> Female</t>
        </is>
      </c>
      <c r="L3944" t="inlineStr">
        <is>
          <t>No focal subject</t>
        </is>
      </c>
      <c r="M3944" t="n">
        <v>41.367</v>
      </c>
      <c r="N3944" t="inlineStr">
        <is>
          <t>Explore_N</t>
        </is>
      </c>
      <c r="O3944" t="inlineStr">
        <is>
          <t>Novelty</t>
        </is>
      </c>
      <c r="P3944" t="inlineStr">
        <is>
          <t>STATE</t>
        </is>
      </c>
      <c r="Q3944" t="n">
        <v>588.2</v>
      </c>
      <c r="R3944" t="n">
        <v>588.866</v>
      </c>
      <c r="S3944" t="n">
        <v>0.666</v>
      </c>
      <c r="T3944" t="inlineStr">
        <is>
          <t>WT\test\c53f4.mp4</t>
        </is>
      </c>
      <c r="U3944" t="n">
        <v>17922</v>
      </c>
      <c r="V3944" t="n">
        <v>17942</v>
      </c>
      <c r="W3944" t="n">
        <v/>
      </c>
      <c r="X3944" t="n">
        <v/>
      </c>
      <c r="Y3944" t="n">
        <v/>
      </c>
      <c r="Z3944" t="n">
        <v/>
      </c>
      <c r="AA3944">
        <f>SUMIFS($S$2:S3944,$A$2:A3944,A3944,$N$2:N3944,"Explore*")</f>
        <v/>
      </c>
      <c r="AB3944">
        <f>IF(AND(LEFT(N3944,7)="Explore",(AA3944-IF(LEFT(N3944,7)="Explore",S3944,0))&lt;10),"SI","NO")</f>
        <v/>
      </c>
    </row>
    <row r="3945">
      <c r="A3945" t="inlineStr">
        <is>
          <t>c53f4_test</t>
        </is>
      </c>
      <c r="B3945" t="inlineStr">
        <is>
          <t>2026-02-18 15:35:26.813</t>
        </is>
      </c>
      <c r="C3945" t="n">
        <v/>
      </c>
      <c r="D3945" t="inlineStr">
        <is>
          <t>Media file</t>
        </is>
      </c>
      <c r="E3945" t="inlineStr">
        <is>
          <t>player #1:WT\test\c53f4.mp4</t>
        </is>
      </c>
      <c r="F3945" t="n">
        <v>-9.233000000000001</v>
      </c>
      <c r="G3945" t="n">
        <v>499.632</v>
      </c>
      <c r="H3945" t="n">
        <v>621.133</v>
      </c>
      <c r="I3945" t="n">
        <v>30</v>
      </c>
      <c r="J3945" t="inlineStr">
        <is>
          <t xml:space="preserve"> WT</t>
        </is>
      </c>
      <c r="K3945" t="inlineStr">
        <is>
          <t xml:space="preserve"> Female</t>
        </is>
      </c>
      <c r="L3945" t="inlineStr">
        <is>
          <t>No focal subject</t>
        </is>
      </c>
      <c r="M3945" t="n">
        <v>41.367</v>
      </c>
      <c r="N3945" t="inlineStr">
        <is>
          <t>Explore_N</t>
        </is>
      </c>
      <c r="O3945" t="inlineStr">
        <is>
          <t>Novelty</t>
        </is>
      </c>
      <c r="P3945" t="inlineStr">
        <is>
          <t>STATE</t>
        </is>
      </c>
      <c r="Q3945" t="n">
        <v>590.966</v>
      </c>
      <c r="R3945" t="n">
        <v>592.1660000000001</v>
      </c>
      <c r="S3945" t="n">
        <v>1.2</v>
      </c>
      <c r="T3945" t="inlineStr">
        <is>
          <t>WT\test\c53f4.mp4</t>
        </is>
      </c>
      <c r="U3945" t="n">
        <v>18005</v>
      </c>
      <c r="V3945" t="n">
        <v>18041</v>
      </c>
      <c r="W3945" t="n">
        <v/>
      </c>
      <c r="X3945" t="n">
        <v/>
      </c>
      <c r="Y3945" t="n">
        <v/>
      </c>
      <c r="Z3945" t="n">
        <v/>
      </c>
      <c r="AA3945">
        <f>SUMIFS($S$2:S3945,$A$2:A3945,A3945,$N$2:N3945,"Explore*")</f>
        <v/>
      </c>
      <c r="AB3945">
        <f>IF(AND(LEFT(N3945,7)="Explore",(AA3945-IF(LEFT(N3945,7)="Explore",S3945,0))&lt;10),"SI","NO")</f>
        <v/>
      </c>
    </row>
    <row r="3946">
      <c r="A3946" t="inlineStr">
        <is>
          <t>c53f4_test</t>
        </is>
      </c>
      <c r="B3946" t="inlineStr">
        <is>
          <t>2026-02-18 15:35:26.813</t>
        </is>
      </c>
      <c r="C3946" t="n">
        <v/>
      </c>
      <c r="D3946" t="inlineStr">
        <is>
          <t>Media file</t>
        </is>
      </c>
      <c r="E3946" t="inlineStr">
        <is>
          <t>player #1:WT\test\c53f4.mp4</t>
        </is>
      </c>
      <c r="F3946" t="n">
        <v>-9.233000000000001</v>
      </c>
      <c r="G3946" t="n">
        <v>499.632</v>
      </c>
      <c r="H3946" t="n">
        <v>621.133</v>
      </c>
      <c r="I3946" t="n">
        <v>30</v>
      </c>
      <c r="J3946" t="inlineStr">
        <is>
          <t xml:space="preserve"> WT</t>
        </is>
      </c>
      <c r="K3946" t="inlineStr">
        <is>
          <t xml:space="preserve"> Female</t>
        </is>
      </c>
      <c r="L3946" t="inlineStr">
        <is>
          <t>No focal subject</t>
        </is>
      </c>
      <c r="M3946" t="n">
        <v>41.367</v>
      </c>
      <c r="N3946" t="inlineStr">
        <is>
          <t>Explore_F</t>
        </is>
      </c>
      <c r="O3946" t="inlineStr">
        <is>
          <t>Familiar</t>
        </is>
      </c>
      <c r="P3946" t="inlineStr">
        <is>
          <t>STATE</t>
        </is>
      </c>
      <c r="Q3946" t="n">
        <v>594.766</v>
      </c>
      <c r="R3946" t="n">
        <v>595.133</v>
      </c>
      <c r="S3946" t="n">
        <v>0.367</v>
      </c>
      <c r="T3946" t="inlineStr">
        <is>
          <t>WT\test\c53f4.mp4</t>
        </is>
      </c>
      <c r="U3946" t="n">
        <v>18119</v>
      </c>
      <c r="V3946" t="n">
        <v>18130</v>
      </c>
      <c r="W3946" t="n">
        <v/>
      </c>
      <c r="X3946" t="n">
        <v/>
      </c>
      <c r="Y3946" t="n">
        <v/>
      </c>
      <c r="Z3946" t="n">
        <v/>
      </c>
      <c r="AA3946">
        <f>SUMIFS($S$2:S3946,$A$2:A3946,A3946,$N$2:N3946,"Explore*")</f>
        <v/>
      </c>
      <c r="AB3946">
        <f>IF(AND(LEFT(N3946,7)="Explore",(AA3946-IF(LEFT(N3946,7)="Explore",S3946,0))&lt;10),"SI","NO")</f>
        <v/>
      </c>
    </row>
    <row r="3947">
      <c r="A3947" t="inlineStr">
        <is>
          <t>c53f4_test</t>
        </is>
      </c>
      <c r="B3947" t="inlineStr">
        <is>
          <t>2026-02-18 15:35:26.813</t>
        </is>
      </c>
      <c r="C3947" t="n">
        <v/>
      </c>
      <c r="D3947" t="inlineStr">
        <is>
          <t>Media file</t>
        </is>
      </c>
      <c r="E3947" t="inlineStr">
        <is>
          <t>player #1:WT\test\c53f4.mp4</t>
        </is>
      </c>
      <c r="F3947" t="n">
        <v>-9.233000000000001</v>
      </c>
      <c r="G3947" t="n">
        <v>499.632</v>
      </c>
      <c r="H3947" t="n">
        <v>621.133</v>
      </c>
      <c r="I3947" t="n">
        <v>30</v>
      </c>
      <c r="J3947" t="inlineStr">
        <is>
          <t xml:space="preserve"> WT</t>
        </is>
      </c>
      <c r="K3947" t="inlineStr">
        <is>
          <t xml:space="preserve"> Female</t>
        </is>
      </c>
      <c r="L3947" t="inlineStr">
        <is>
          <t>No focal subject</t>
        </is>
      </c>
      <c r="M3947" t="n">
        <v>41.367</v>
      </c>
      <c r="N3947" t="inlineStr">
        <is>
          <t>Explore_F</t>
        </is>
      </c>
      <c r="O3947" t="inlineStr">
        <is>
          <t>Familiar</t>
        </is>
      </c>
      <c r="P3947" t="inlineStr">
        <is>
          <t>STATE</t>
        </is>
      </c>
      <c r="Q3947" t="n">
        <v>598.066</v>
      </c>
      <c r="R3947" t="n">
        <v>598.266</v>
      </c>
      <c r="S3947" t="n">
        <v>0.2</v>
      </c>
      <c r="T3947" t="inlineStr">
        <is>
          <t>WT\test\c53f4.mp4</t>
        </is>
      </c>
      <c r="U3947" t="n">
        <v>18218</v>
      </c>
      <c r="V3947" t="n">
        <v>18224</v>
      </c>
      <c r="W3947" t="n">
        <v/>
      </c>
      <c r="X3947" t="n">
        <v/>
      </c>
      <c r="Y3947" t="n">
        <v/>
      </c>
      <c r="Z3947" t="n">
        <v/>
      </c>
      <c r="AA3947">
        <f>SUMIFS($S$2:S3947,$A$2:A3947,A3947,$N$2:N3947,"Explore*")</f>
        <v/>
      </c>
      <c r="AB3947">
        <f>IF(AND(LEFT(N3947,7)="Explore",(AA3947-IF(LEFT(N3947,7)="Explore",S3947,0))&lt;10),"SI","NO")</f>
        <v/>
      </c>
    </row>
    <row r="3948">
      <c r="A3948" t="inlineStr">
        <is>
          <t>c58m1_test</t>
        </is>
      </c>
      <c r="B3948" t="inlineStr">
        <is>
          <t>2026-07-01 10:57:05.382</t>
        </is>
      </c>
      <c r="C3948" t="n">
        <v/>
      </c>
      <c r="D3948" t="inlineStr">
        <is>
          <t>Media file</t>
        </is>
      </c>
      <c r="E3948" t="inlineStr">
        <is>
          <t>player #1:C:/Users/manuel.felline/Documents/BEHAVIOR BTBR/NOR second cohort/WT/test/c58_m1.mp4</t>
        </is>
      </c>
      <c r="F3948" t="n">
        <v>-9.300000000000001</v>
      </c>
      <c r="G3948" t="n">
        <v>510.633</v>
      </c>
      <c r="H3948" t="n">
        <v>624.766</v>
      </c>
      <c r="I3948" t="n">
        <v>30</v>
      </c>
      <c r="J3948" t="inlineStr">
        <is>
          <t xml:space="preserve"> WT</t>
        </is>
      </c>
      <c r="K3948" t="inlineStr">
        <is>
          <t>Male</t>
        </is>
      </c>
      <c r="L3948" t="inlineStr">
        <is>
          <t>No focal subject</t>
        </is>
      </c>
      <c r="M3948" t="n">
        <v>43.334</v>
      </c>
      <c r="N3948" t="inlineStr">
        <is>
          <t>Explore_N</t>
        </is>
      </c>
      <c r="O3948" t="inlineStr">
        <is>
          <t>Novelty</t>
        </is>
      </c>
      <c r="P3948" t="inlineStr">
        <is>
          <t>STATE</t>
        </is>
      </c>
      <c r="Q3948" t="n">
        <v>24.033</v>
      </c>
      <c r="R3948" t="n">
        <v>24.8</v>
      </c>
      <c r="S3948" t="n">
        <v>0.767</v>
      </c>
      <c r="T3948" t="inlineStr">
        <is>
          <t>C:/Users/manuel.felline/Documents/BEHAVIOR BTBR/NOR second cohort/WT/test/c58_m1.mp4</t>
        </is>
      </c>
      <c r="U3948" t="n">
        <v>1000</v>
      </c>
      <c r="V3948" t="n">
        <v>1023</v>
      </c>
      <c r="W3948" t="n">
        <v/>
      </c>
      <c r="X3948" t="n">
        <v/>
      </c>
      <c r="Y3948" t="n">
        <v/>
      </c>
      <c r="Z3948" t="n">
        <v/>
      </c>
      <c r="AA3948">
        <f>SUMIFS($S$2:S3948,$A$2:A3948,A3948,$N$2:N3948,"Explore*")</f>
        <v/>
      </c>
      <c r="AB3948">
        <f>IF(AND(LEFT(N3948,7)="Explore",(AA3948-IF(LEFT(N3948,7)="Explore",S3948,0))&lt;10),"SI","NO")</f>
        <v/>
      </c>
    </row>
    <row r="3949">
      <c r="A3949" t="inlineStr">
        <is>
          <t>c58m1_test</t>
        </is>
      </c>
      <c r="B3949" t="inlineStr">
        <is>
          <t>2026-07-01 10:57:05.382</t>
        </is>
      </c>
      <c r="C3949" t="n">
        <v/>
      </c>
      <c r="D3949" t="inlineStr">
        <is>
          <t>Media file</t>
        </is>
      </c>
      <c r="E3949" t="inlineStr">
        <is>
          <t>player #1:C:/Users/manuel.felline/Documents/BEHAVIOR BTBR/NOR second cohort/WT/test/c58_m1.mp4</t>
        </is>
      </c>
      <c r="F3949" t="n">
        <v>-9.300000000000001</v>
      </c>
      <c r="G3949" t="n">
        <v>510.633</v>
      </c>
      <c r="H3949" t="n">
        <v>624.766</v>
      </c>
      <c r="I3949" t="n">
        <v>30</v>
      </c>
      <c r="J3949" t="inlineStr">
        <is>
          <t xml:space="preserve"> WT</t>
        </is>
      </c>
      <c r="K3949" t="inlineStr">
        <is>
          <t>Male</t>
        </is>
      </c>
      <c r="L3949" t="inlineStr">
        <is>
          <t>No focal subject</t>
        </is>
      </c>
      <c r="M3949" t="n">
        <v>43.334</v>
      </c>
      <c r="N3949" t="inlineStr">
        <is>
          <t>Explore_N</t>
        </is>
      </c>
      <c r="O3949" t="inlineStr">
        <is>
          <t>Novelty</t>
        </is>
      </c>
      <c r="P3949" t="inlineStr">
        <is>
          <t>STATE</t>
        </is>
      </c>
      <c r="Q3949" t="n">
        <v>56.1</v>
      </c>
      <c r="R3949" t="n">
        <v>56.733</v>
      </c>
      <c r="S3949" t="n">
        <v>0.633</v>
      </c>
      <c r="T3949" t="inlineStr">
        <is>
          <t>C:/Users/manuel.felline/Documents/BEHAVIOR BTBR/NOR second cohort/WT/test/c58_m1.mp4</t>
        </is>
      </c>
      <c r="U3949" t="n">
        <v>1961</v>
      </c>
      <c r="V3949" t="n">
        <v>1980</v>
      </c>
      <c r="W3949" t="n">
        <v/>
      </c>
      <c r="X3949" t="n">
        <v/>
      </c>
      <c r="Y3949" t="n">
        <v/>
      </c>
      <c r="Z3949" t="n">
        <v/>
      </c>
      <c r="AA3949">
        <f>SUMIFS($S$2:S3949,$A$2:A3949,A3949,$N$2:N3949,"Explore*")</f>
        <v/>
      </c>
      <c r="AB3949">
        <f>IF(AND(LEFT(N3949,7)="Explore",(AA3949-IF(LEFT(N3949,7)="Explore",S3949,0))&lt;10),"SI","NO")</f>
        <v/>
      </c>
    </row>
    <row r="3950">
      <c r="A3950" t="inlineStr">
        <is>
          <t>c58m1_test</t>
        </is>
      </c>
      <c r="B3950" t="inlineStr">
        <is>
          <t>2026-07-01 10:57:05.382</t>
        </is>
      </c>
      <c r="C3950" t="n">
        <v/>
      </c>
      <c r="D3950" t="inlineStr">
        <is>
          <t>Media file</t>
        </is>
      </c>
      <c r="E3950" t="inlineStr">
        <is>
          <t>player #1:C:/Users/manuel.felline/Documents/BEHAVIOR BTBR/NOR second cohort/WT/test/c58_m1.mp4</t>
        </is>
      </c>
      <c r="F3950" t="n">
        <v>-9.300000000000001</v>
      </c>
      <c r="G3950" t="n">
        <v>510.633</v>
      </c>
      <c r="H3950" t="n">
        <v>624.766</v>
      </c>
      <c r="I3950" t="n">
        <v>30</v>
      </c>
      <c r="J3950" t="inlineStr">
        <is>
          <t xml:space="preserve"> WT</t>
        </is>
      </c>
      <c r="K3950" t="inlineStr">
        <is>
          <t>Male</t>
        </is>
      </c>
      <c r="L3950" t="inlineStr">
        <is>
          <t>No focal subject</t>
        </is>
      </c>
      <c r="M3950" t="n">
        <v>43.334</v>
      </c>
      <c r="N3950" t="inlineStr">
        <is>
          <t>Explore_N</t>
        </is>
      </c>
      <c r="O3950" t="inlineStr">
        <is>
          <t>Novelty</t>
        </is>
      </c>
      <c r="P3950" t="inlineStr">
        <is>
          <t>STATE</t>
        </is>
      </c>
      <c r="Q3950" t="n">
        <v>59.5</v>
      </c>
      <c r="R3950" t="n">
        <v>60.367</v>
      </c>
      <c r="S3950" t="n">
        <v>0.867</v>
      </c>
      <c r="T3950" t="inlineStr">
        <is>
          <t>C:/Users/manuel.felline/Documents/BEHAVIOR BTBR/NOR second cohort/WT/test/c58_m1.mp4</t>
        </is>
      </c>
      <c r="U3950" t="n">
        <v>2063</v>
      </c>
      <c r="V3950" t="n">
        <v>2089</v>
      </c>
      <c r="W3950" t="n">
        <v/>
      </c>
      <c r="X3950" t="n">
        <v/>
      </c>
      <c r="Y3950" t="n">
        <v/>
      </c>
      <c r="Z3950" t="n">
        <v/>
      </c>
      <c r="AA3950">
        <f>SUMIFS($S$2:S3950,$A$2:A3950,A3950,$N$2:N3950,"Explore*")</f>
        <v/>
      </c>
      <c r="AB3950">
        <f>IF(AND(LEFT(N3950,7)="Explore",(AA3950-IF(LEFT(N3950,7)="Explore",S3950,0))&lt;10),"SI","NO")</f>
        <v/>
      </c>
    </row>
    <row r="3951">
      <c r="A3951" t="inlineStr">
        <is>
          <t>c58m1_test</t>
        </is>
      </c>
      <c r="B3951" t="inlineStr">
        <is>
          <t>2026-07-01 10:57:05.382</t>
        </is>
      </c>
      <c r="C3951" t="n">
        <v/>
      </c>
      <c r="D3951" t="inlineStr">
        <is>
          <t>Media file</t>
        </is>
      </c>
      <c r="E3951" t="inlineStr">
        <is>
          <t>player #1:C:/Users/manuel.felline/Documents/BEHAVIOR BTBR/NOR second cohort/WT/test/c58_m1.mp4</t>
        </is>
      </c>
      <c r="F3951" t="n">
        <v>-9.300000000000001</v>
      </c>
      <c r="G3951" t="n">
        <v>510.633</v>
      </c>
      <c r="H3951" t="n">
        <v>624.766</v>
      </c>
      <c r="I3951" t="n">
        <v>30</v>
      </c>
      <c r="J3951" t="inlineStr">
        <is>
          <t xml:space="preserve"> WT</t>
        </is>
      </c>
      <c r="K3951" t="inlineStr">
        <is>
          <t>Male</t>
        </is>
      </c>
      <c r="L3951" t="inlineStr">
        <is>
          <t>No focal subject</t>
        </is>
      </c>
      <c r="M3951" t="n">
        <v>43.334</v>
      </c>
      <c r="N3951" t="inlineStr">
        <is>
          <t>Explore_F</t>
        </is>
      </c>
      <c r="O3951" t="inlineStr">
        <is>
          <t>Familiar</t>
        </is>
      </c>
      <c r="P3951" t="inlineStr">
        <is>
          <t>STATE</t>
        </is>
      </c>
      <c r="Q3951" t="n">
        <v>64.133</v>
      </c>
      <c r="R3951" t="n">
        <v>64.967</v>
      </c>
      <c r="S3951" t="n">
        <v>0.834</v>
      </c>
      <c r="T3951" t="inlineStr">
        <is>
          <t>C:/Users/manuel.felline/Documents/BEHAVIOR BTBR/NOR second cohort/WT/test/c58_m1.mp4</t>
        </is>
      </c>
      <c r="U3951" t="n">
        <v>2202</v>
      </c>
      <c r="V3951" t="n">
        <v>2227</v>
      </c>
      <c r="W3951" t="n">
        <v/>
      </c>
      <c r="X3951" t="n">
        <v/>
      </c>
      <c r="Y3951" t="n">
        <v/>
      </c>
      <c r="Z3951" t="n">
        <v/>
      </c>
      <c r="AA3951">
        <f>SUMIFS($S$2:S3951,$A$2:A3951,A3951,$N$2:N3951,"Explore*")</f>
        <v/>
      </c>
      <c r="AB3951">
        <f>IF(AND(LEFT(N3951,7)="Explore",(AA3951-IF(LEFT(N3951,7)="Explore",S3951,0))&lt;10),"SI","NO")</f>
        <v/>
      </c>
    </row>
    <row r="3952">
      <c r="A3952" t="inlineStr">
        <is>
          <t>c58m1_test</t>
        </is>
      </c>
      <c r="B3952" t="inlineStr">
        <is>
          <t>2026-07-01 10:57:05.382</t>
        </is>
      </c>
      <c r="C3952" t="n">
        <v/>
      </c>
      <c r="D3952" t="inlineStr">
        <is>
          <t>Media file</t>
        </is>
      </c>
      <c r="E3952" t="inlineStr">
        <is>
          <t>player #1:C:/Users/manuel.felline/Documents/BEHAVIOR BTBR/NOR second cohort/WT/test/c58_m1.mp4</t>
        </is>
      </c>
      <c r="F3952" t="n">
        <v>-9.300000000000001</v>
      </c>
      <c r="G3952" t="n">
        <v>510.633</v>
      </c>
      <c r="H3952" t="n">
        <v>624.766</v>
      </c>
      <c r="I3952" t="n">
        <v>30</v>
      </c>
      <c r="J3952" t="inlineStr">
        <is>
          <t xml:space="preserve"> WT</t>
        </is>
      </c>
      <c r="K3952" t="inlineStr">
        <is>
          <t>Male</t>
        </is>
      </c>
      <c r="L3952" t="inlineStr">
        <is>
          <t>No focal subject</t>
        </is>
      </c>
      <c r="M3952" t="n">
        <v>43.334</v>
      </c>
      <c r="N3952" t="inlineStr">
        <is>
          <t>Explore_N</t>
        </is>
      </c>
      <c r="O3952" t="inlineStr">
        <is>
          <t>Novelty</t>
        </is>
      </c>
      <c r="P3952" t="inlineStr">
        <is>
          <t>STATE</t>
        </is>
      </c>
      <c r="Q3952" t="n">
        <v>70.867</v>
      </c>
      <c r="R3952" t="n">
        <v>71.867</v>
      </c>
      <c r="S3952" t="n">
        <v>1</v>
      </c>
      <c r="T3952" t="inlineStr">
        <is>
          <t>C:/Users/manuel.felline/Documents/BEHAVIOR BTBR/NOR second cohort/WT/test/c58_m1.mp4</t>
        </is>
      </c>
      <c r="U3952" t="n">
        <v>2404</v>
      </c>
      <c r="V3952" t="n">
        <v>2434</v>
      </c>
      <c r="W3952" t="n">
        <v/>
      </c>
      <c r="X3952" t="n">
        <v/>
      </c>
      <c r="Y3952" t="n">
        <v/>
      </c>
      <c r="Z3952" t="n">
        <v/>
      </c>
      <c r="AA3952">
        <f>SUMIFS($S$2:S3952,$A$2:A3952,A3952,$N$2:N3952,"Explore*")</f>
        <v/>
      </c>
      <c r="AB3952">
        <f>IF(AND(LEFT(N3952,7)="Explore",(AA3952-IF(LEFT(N3952,7)="Explore",S3952,0))&lt;10),"SI","NO")</f>
        <v/>
      </c>
    </row>
    <row r="3953">
      <c r="A3953" t="inlineStr">
        <is>
          <t>c58m1_test</t>
        </is>
      </c>
      <c r="B3953" t="inlineStr">
        <is>
          <t>2026-07-01 10:57:05.382</t>
        </is>
      </c>
      <c r="C3953" t="n">
        <v/>
      </c>
      <c r="D3953" t="inlineStr">
        <is>
          <t>Media file</t>
        </is>
      </c>
      <c r="E3953" t="inlineStr">
        <is>
          <t>player #1:C:/Users/manuel.felline/Documents/BEHAVIOR BTBR/NOR second cohort/WT/test/c58_m1.mp4</t>
        </is>
      </c>
      <c r="F3953" t="n">
        <v>-9.300000000000001</v>
      </c>
      <c r="G3953" t="n">
        <v>510.633</v>
      </c>
      <c r="H3953" t="n">
        <v>624.766</v>
      </c>
      <c r="I3953" t="n">
        <v>30</v>
      </c>
      <c r="J3953" t="inlineStr">
        <is>
          <t xml:space="preserve"> WT</t>
        </is>
      </c>
      <c r="K3953" t="inlineStr">
        <is>
          <t>Male</t>
        </is>
      </c>
      <c r="L3953" t="inlineStr">
        <is>
          <t>No focal subject</t>
        </is>
      </c>
      <c r="M3953" t="n">
        <v>43.334</v>
      </c>
      <c r="N3953" t="inlineStr">
        <is>
          <t>Explore_N</t>
        </is>
      </c>
      <c r="O3953" t="inlineStr">
        <is>
          <t>Novelty</t>
        </is>
      </c>
      <c r="P3953" t="inlineStr">
        <is>
          <t>STATE</t>
        </is>
      </c>
      <c r="Q3953" t="n">
        <v>82.40000000000001</v>
      </c>
      <c r="R3953" t="n">
        <v>83.133</v>
      </c>
      <c r="S3953" t="n">
        <v>0.733</v>
      </c>
      <c r="T3953" t="inlineStr">
        <is>
          <t>C:/Users/manuel.felline/Documents/BEHAVIOR BTBR/NOR second cohort/WT/test/c58_m1.mp4</t>
        </is>
      </c>
      <c r="U3953" t="n">
        <v>2750</v>
      </c>
      <c r="V3953" t="n">
        <v>2772</v>
      </c>
      <c r="W3953" t="n">
        <v/>
      </c>
      <c r="X3953" t="n">
        <v/>
      </c>
      <c r="Y3953" t="n">
        <v/>
      </c>
      <c r="Z3953" t="n">
        <v/>
      </c>
      <c r="AA3953">
        <f>SUMIFS($S$2:S3953,$A$2:A3953,A3953,$N$2:N3953,"Explore*")</f>
        <v/>
      </c>
      <c r="AB3953">
        <f>IF(AND(LEFT(N3953,7)="Explore",(AA3953-IF(LEFT(N3953,7)="Explore",S3953,0))&lt;10),"SI","NO")</f>
        <v/>
      </c>
    </row>
    <row r="3954">
      <c r="A3954" t="inlineStr">
        <is>
          <t>c58m1_test</t>
        </is>
      </c>
      <c r="B3954" t="inlineStr">
        <is>
          <t>2026-07-01 10:57:05.382</t>
        </is>
      </c>
      <c r="C3954" t="n">
        <v/>
      </c>
      <c r="D3954" t="inlineStr">
        <is>
          <t>Media file</t>
        </is>
      </c>
      <c r="E3954" t="inlineStr">
        <is>
          <t>player #1:C:/Users/manuel.felline/Documents/BEHAVIOR BTBR/NOR second cohort/WT/test/c58_m1.mp4</t>
        </is>
      </c>
      <c r="F3954" t="n">
        <v>-9.300000000000001</v>
      </c>
      <c r="G3954" t="n">
        <v>510.633</v>
      </c>
      <c r="H3954" t="n">
        <v>624.766</v>
      </c>
      <c r="I3954" t="n">
        <v>30</v>
      </c>
      <c r="J3954" t="inlineStr">
        <is>
          <t xml:space="preserve"> WT</t>
        </is>
      </c>
      <c r="K3954" t="inlineStr">
        <is>
          <t>Male</t>
        </is>
      </c>
      <c r="L3954" t="inlineStr">
        <is>
          <t>No focal subject</t>
        </is>
      </c>
      <c r="M3954" t="n">
        <v>43.334</v>
      </c>
      <c r="N3954" t="inlineStr">
        <is>
          <t>Explore_N</t>
        </is>
      </c>
      <c r="O3954" t="inlineStr">
        <is>
          <t>Novelty</t>
        </is>
      </c>
      <c r="P3954" t="inlineStr">
        <is>
          <t>STATE</t>
        </is>
      </c>
      <c r="Q3954" t="n">
        <v>86.267</v>
      </c>
      <c r="R3954" t="n">
        <v>87.40000000000001</v>
      </c>
      <c r="S3954" t="n">
        <v>1.133</v>
      </c>
      <c r="T3954" t="inlineStr">
        <is>
          <t>C:/Users/manuel.felline/Documents/BEHAVIOR BTBR/NOR second cohort/WT/test/c58_m1.mp4</t>
        </is>
      </c>
      <c r="U3954" t="n">
        <v>2866</v>
      </c>
      <c r="V3954" t="n">
        <v>2900</v>
      </c>
      <c r="W3954" t="n">
        <v/>
      </c>
      <c r="X3954" t="n">
        <v/>
      </c>
      <c r="Y3954" t="n">
        <v/>
      </c>
      <c r="Z3954" t="n">
        <v/>
      </c>
      <c r="AA3954">
        <f>SUMIFS($S$2:S3954,$A$2:A3954,A3954,$N$2:N3954,"Explore*")</f>
        <v/>
      </c>
      <c r="AB3954">
        <f>IF(AND(LEFT(N3954,7)="Explore",(AA3954-IF(LEFT(N3954,7)="Explore",S3954,0))&lt;10),"SI","NO")</f>
        <v/>
      </c>
    </row>
    <row r="3955">
      <c r="A3955" t="inlineStr">
        <is>
          <t>c58m1_test</t>
        </is>
      </c>
      <c r="B3955" t="inlineStr">
        <is>
          <t>2026-07-01 10:57:05.382</t>
        </is>
      </c>
      <c r="C3955" t="n">
        <v/>
      </c>
      <c r="D3955" t="inlineStr">
        <is>
          <t>Media file</t>
        </is>
      </c>
      <c r="E3955" t="inlineStr">
        <is>
          <t>player #1:C:/Users/manuel.felline/Documents/BEHAVIOR BTBR/NOR second cohort/WT/test/c58_m1.mp4</t>
        </is>
      </c>
      <c r="F3955" t="n">
        <v>-9.300000000000001</v>
      </c>
      <c r="G3955" t="n">
        <v>510.633</v>
      </c>
      <c r="H3955" t="n">
        <v>624.766</v>
      </c>
      <c r="I3955" t="n">
        <v>30</v>
      </c>
      <c r="J3955" t="inlineStr">
        <is>
          <t xml:space="preserve"> WT</t>
        </is>
      </c>
      <c r="K3955" t="inlineStr">
        <is>
          <t>Male</t>
        </is>
      </c>
      <c r="L3955" t="inlineStr">
        <is>
          <t>No focal subject</t>
        </is>
      </c>
      <c r="M3955" t="n">
        <v>43.334</v>
      </c>
      <c r="N3955" t="inlineStr">
        <is>
          <t>Explore_F</t>
        </is>
      </c>
      <c r="O3955" t="inlineStr">
        <is>
          <t>Familiar</t>
        </is>
      </c>
      <c r="P3955" t="inlineStr">
        <is>
          <t>STATE</t>
        </is>
      </c>
      <c r="Q3955" t="n">
        <v>111.567</v>
      </c>
      <c r="R3955" t="n">
        <v>112.9</v>
      </c>
      <c r="S3955" t="n">
        <v>1.333</v>
      </c>
      <c r="T3955" t="inlineStr">
        <is>
          <t>C:/Users/manuel.felline/Documents/BEHAVIOR BTBR/NOR second cohort/WT/test/c58_m1.mp4</t>
        </is>
      </c>
      <c r="U3955" t="n">
        <v>3625</v>
      </c>
      <c r="V3955" t="n">
        <v>3665</v>
      </c>
      <c r="W3955" t="n">
        <v/>
      </c>
      <c r="X3955" t="n">
        <v/>
      </c>
      <c r="Y3955" t="n">
        <v/>
      </c>
      <c r="Z3955" t="n">
        <v/>
      </c>
      <c r="AA3955">
        <f>SUMIFS($S$2:S3955,$A$2:A3955,A3955,$N$2:N3955,"Explore*")</f>
        <v/>
      </c>
      <c r="AB3955">
        <f>IF(AND(LEFT(N3955,7)="Explore",(AA3955-IF(LEFT(N3955,7)="Explore",S3955,0))&lt;10),"SI","NO")</f>
        <v/>
      </c>
    </row>
    <row r="3956">
      <c r="A3956" t="inlineStr">
        <is>
          <t>c58m1_test</t>
        </is>
      </c>
      <c r="B3956" t="inlineStr">
        <is>
          <t>2026-07-01 10:57:05.382</t>
        </is>
      </c>
      <c r="C3956" t="n">
        <v/>
      </c>
      <c r="D3956" t="inlineStr">
        <is>
          <t>Media file</t>
        </is>
      </c>
      <c r="E3956" t="inlineStr">
        <is>
          <t>player #1:C:/Users/manuel.felline/Documents/BEHAVIOR BTBR/NOR second cohort/WT/test/c58_m1.mp4</t>
        </is>
      </c>
      <c r="F3956" t="n">
        <v>-9.300000000000001</v>
      </c>
      <c r="G3956" t="n">
        <v>510.633</v>
      </c>
      <c r="H3956" t="n">
        <v>624.766</v>
      </c>
      <c r="I3956" t="n">
        <v>30</v>
      </c>
      <c r="J3956" t="inlineStr">
        <is>
          <t xml:space="preserve"> WT</t>
        </is>
      </c>
      <c r="K3956" t="inlineStr">
        <is>
          <t>Male</t>
        </is>
      </c>
      <c r="L3956" t="inlineStr">
        <is>
          <t>No focal subject</t>
        </is>
      </c>
      <c r="M3956" t="n">
        <v>43.334</v>
      </c>
      <c r="N3956" t="inlineStr">
        <is>
          <t>Explore_N</t>
        </is>
      </c>
      <c r="O3956" t="inlineStr">
        <is>
          <t>Novelty</t>
        </is>
      </c>
      <c r="P3956" t="inlineStr">
        <is>
          <t>STATE</t>
        </is>
      </c>
      <c r="Q3956" t="n">
        <v>259.2</v>
      </c>
      <c r="R3956" t="n">
        <v>260.666</v>
      </c>
      <c r="S3956" t="n">
        <v>1.466</v>
      </c>
      <c r="T3956" t="inlineStr">
        <is>
          <t>C:/Users/manuel.felline/Documents/BEHAVIOR BTBR/NOR second cohort/WT/test/c58_m1.mp4</t>
        </is>
      </c>
      <c r="U3956" t="n">
        <v>8052</v>
      </c>
      <c r="V3956" t="n">
        <v>8096</v>
      </c>
      <c r="W3956" t="n">
        <v/>
      </c>
      <c r="X3956" t="n">
        <v/>
      </c>
      <c r="Y3956" t="n">
        <v/>
      </c>
      <c r="Z3956" t="n">
        <v/>
      </c>
      <c r="AA3956">
        <f>SUMIFS($S$2:S3956,$A$2:A3956,A3956,$N$2:N3956,"Explore*")</f>
        <v/>
      </c>
      <c r="AB3956">
        <f>IF(AND(LEFT(N3956,7)="Explore",(AA3956-IF(LEFT(N3956,7)="Explore",S3956,0))&lt;10),"SI","NO")</f>
        <v/>
      </c>
    </row>
    <row r="3957">
      <c r="A3957" t="inlineStr">
        <is>
          <t>c58m1_test</t>
        </is>
      </c>
      <c r="B3957" t="inlineStr">
        <is>
          <t>2026-07-01 10:57:05.382</t>
        </is>
      </c>
      <c r="C3957" t="n">
        <v/>
      </c>
      <c r="D3957" t="inlineStr">
        <is>
          <t>Media file</t>
        </is>
      </c>
      <c r="E3957" t="inlineStr">
        <is>
          <t>player #1:C:/Users/manuel.felline/Documents/BEHAVIOR BTBR/NOR second cohort/WT/test/c58_m1.mp4</t>
        </is>
      </c>
      <c r="F3957" t="n">
        <v>-9.300000000000001</v>
      </c>
      <c r="G3957" t="n">
        <v>510.633</v>
      </c>
      <c r="H3957" t="n">
        <v>624.766</v>
      </c>
      <c r="I3957" t="n">
        <v>30</v>
      </c>
      <c r="J3957" t="inlineStr">
        <is>
          <t xml:space="preserve"> WT</t>
        </is>
      </c>
      <c r="K3957" t="inlineStr">
        <is>
          <t>Male</t>
        </is>
      </c>
      <c r="L3957" t="inlineStr">
        <is>
          <t>No focal subject</t>
        </is>
      </c>
      <c r="M3957" t="n">
        <v>43.334</v>
      </c>
      <c r="N3957" t="inlineStr">
        <is>
          <t>Explore_N</t>
        </is>
      </c>
      <c r="O3957" t="inlineStr">
        <is>
          <t>Novelty</t>
        </is>
      </c>
      <c r="P3957" t="inlineStr">
        <is>
          <t>STATE</t>
        </is>
      </c>
      <c r="Q3957" t="n">
        <v>274.1</v>
      </c>
      <c r="R3957" t="n">
        <v>276</v>
      </c>
      <c r="S3957" t="n">
        <v>1.9</v>
      </c>
      <c r="T3957" t="inlineStr">
        <is>
          <t>C:/Users/manuel.felline/Documents/BEHAVIOR BTBR/NOR second cohort/WT/test/c58_m1.mp4</t>
        </is>
      </c>
      <c r="U3957" t="n">
        <v>8499</v>
      </c>
      <c r="V3957" t="n">
        <v>8556</v>
      </c>
      <c r="W3957" t="n">
        <v/>
      </c>
      <c r="X3957" t="n">
        <v/>
      </c>
      <c r="Y3957" t="n">
        <v/>
      </c>
      <c r="Z3957" t="n">
        <v/>
      </c>
      <c r="AA3957">
        <f>SUMIFS($S$2:S3957,$A$2:A3957,A3957,$N$2:N3957,"Explore*")</f>
        <v/>
      </c>
      <c r="AB3957">
        <f>IF(AND(LEFT(N3957,7)="Explore",(AA3957-IF(LEFT(N3957,7)="Explore",S3957,0))&lt;10),"SI","NO")</f>
        <v/>
      </c>
    </row>
    <row r="3958">
      <c r="A3958" t="inlineStr">
        <is>
          <t>c58m1_test</t>
        </is>
      </c>
      <c r="B3958" t="inlineStr">
        <is>
          <t>2026-07-01 10:57:05.382</t>
        </is>
      </c>
      <c r="C3958" t="n">
        <v/>
      </c>
      <c r="D3958" t="inlineStr">
        <is>
          <t>Media file</t>
        </is>
      </c>
      <c r="E3958" t="inlineStr">
        <is>
          <t>player #1:C:/Users/manuel.felline/Documents/BEHAVIOR BTBR/NOR second cohort/WT/test/c58_m1.mp4</t>
        </is>
      </c>
      <c r="F3958" t="n">
        <v>-9.300000000000001</v>
      </c>
      <c r="G3958" t="n">
        <v>510.633</v>
      </c>
      <c r="H3958" t="n">
        <v>624.766</v>
      </c>
      <c r="I3958" t="n">
        <v>30</v>
      </c>
      <c r="J3958" t="inlineStr">
        <is>
          <t xml:space="preserve"> WT</t>
        </is>
      </c>
      <c r="K3958" t="inlineStr">
        <is>
          <t>Male</t>
        </is>
      </c>
      <c r="L3958" t="inlineStr">
        <is>
          <t>No focal subject</t>
        </is>
      </c>
      <c r="M3958" t="n">
        <v>43.334</v>
      </c>
      <c r="N3958" t="inlineStr">
        <is>
          <t>Explore_F</t>
        </is>
      </c>
      <c r="O3958" t="inlineStr">
        <is>
          <t>Familiar</t>
        </is>
      </c>
      <c r="P3958" t="inlineStr">
        <is>
          <t>STATE</t>
        </is>
      </c>
      <c r="Q3958" t="n">
        <v>278.266</v>
      </c>
      <c r="R3958" t="n">
        <v>279.466</v>
      </c>
      <c r="S3958" t="n">
        <v>1.2</v>
      </c>
      <c r="T3958" t="inlineStr">
        <is>
          <t>C:/Users/manuel.felline/Documents/BEHAVIOR BTBR/NOR second cohort/WT/test/c58_m1.mp4</t>
        </is>
      </c>
      <c r="U3958" t="n">
        <v>8624</v>
      </c>
      <c r="V3958" t="n">
        <v>8660</v>
      </c>
      <c r="W3958" t="n">
        <v/>
      </c>
      <c r="X3958" t="n">
        <v/>
      </c>
      <c r="Y3958" t="n">
        <v/>
      </c>
      <c r="Z3958" t="n">
        <v/>
      </c>
      <c r="AA3958">
        <f>SUMIFS($S$2:S3958,$A$2:A3958,A3958,$N$2:N3958,"Explore*")</f>
        <v/>
      </c>
      <c r="AB3958">
        <f>IF(AND(LEFT(N3958,7)="Explore",(AA3958-IF(LEFT(N3958,7)="Explore",S3958,0))&lt;10),"SI","NO")</f>
        <v/>
      </c>
    </row>
    <row r="3959">
      <c r="A3959" t="inlineStr">
        <is>
          <t>c58m1_test</t>
        </is>
      </c>
      <c r="B3959" t="inlineStr">
        <is>
          <t>2026-07-01 10:57:05.382</t>
        </is>
      </c>
      <c r="C3959" t="n">
        <v/>
      </c>
      <c r="D3959" t="inlineStr">
        <is>
          <t>Media file</t>
        </is>
      </c>
      <c r="E3959" t="inlineStr">
        <is>
          <t>player #1:C:/Users/manuel.felline/Documents/BEHAVIOR BTBR/NOR second cohort/WT/test/c58_m1.mp4</t>
        </is>
      </c>
      <c r="F3959" t="n">
        <v>-9.300000000000001</v>
      </c>
      <c r="G3959" t="n">
        <v>510.633</v>
      </c>
      <c r="H3959" t="n">
        <v>624.766</v>
      </c>
      <c r="I3959" t="n">
        <v>30</v>
      </c>
      <c r="J3959" t="inlineStr">
        <is>
          <t xml:space="preserve"> WT</t>
        </is>
      </c>
      <c r="K3959" t="inlineStr">
        <is>
          <t>Male</t>
        </is>
      </c>
      <c r="L3959" t="inlineStr">
        <is>
          <t>No focal subject</t>
        </is>
      </c>
      <c r="M3959" t="n">
        <v>43.334</v>
      </c>
      <c r="N3959" t="inlineStr">
        <is>
          <t>Explore_N</t>
        </is>
      </c>
      <c r="O3959" t="inlineStr">
        <is>
          <t>Novelty</t>
        </is>
      </c>
      <c r="P3959" t="inlineStr">
        <is>
          <t>STATE</t>
        </is>
      </c>
      <c r="Q3959" t="n">
        <v>288.866</v>
      </c>
      <c r="R3959" t="n">
        <v>289.6</v>
      </c>
      <c r="S3959" t="n">
        <v>0.734</v>
      </c>
      <c r="T3959" t="inlineStr">
        <is>
          <t>C:/Users/manuel.felline/Documents/BEHAVIOR BTBR/NOR second cohort/WT/test/c58_m1.mp4</t>
        </is>
      </c>
      <c r="U3959" t="n">
        <v>8942</v>
      </c>
      <c r="V3959" t="n">
        <v>8964</v>
      </c>
      <c r="W3959" t="n">
        <v/>
      </c>
      <c r="X3959" t="n">
        <v/>
      </c>
      <c r="Y3959" t="n">
        <v/>
      </c>
      <c r="Z3959" t="n">
        <v/>
      </c>
      <c r="AA3959">
        <f>SUMIFS($S$2:S3959,$A$2:A3959,A3959,$N$2:N3959,"Explore*")</f>
        <v/>
      </c>
      <c r="AB3959">
        <f>IF(AND(LEFT(N3959,7)="Explore",(AA3959-IF(LEFT(N3959,7)="Explore",S3959,0))&lt;10),"SI","NO")</f>
        <v/>
      </c>
    </row>
    <row r="3960">
      <c r="A3960" t="inlineStr">
        <is>
          <t>c58m1_test</t>
        </is>
      </c>
      <c r="B3960" t="inlineStr">
        <is>
          <t>2026-07-01 10:57:05.382</t>
        </is>
      </c>
      <c r="C3960" t="n">
        <v/>
      </c>
      <c r="D3960" t="inlineStr">
        <is>
          <t>Media file</t>
        </is>
      </c>
      <c r="E3960" t="inlineStr">
        <is>
          <t>player #1:C:/Users/manuel.felline/Documents/BEHAVIOR BTBR/NOR second cohort/WT/test/c58_m1.mp4</t>
        </is>
      </c>
      <c r="F3960" t="n">
        <v>-9.300000000000001</v>
      </c>
      <c r="G3960" t="n">
        <v>510.633</v>
      </c>
      <c r="H3960" t="n">
        <v>624.766</v>
      </c>
      <c r="I3960" t="n">
        <v>30</v>
      </c>
      <c r="J3960" t="inlineStr">
        <is>
          <t xml:space="preserve"> WT</t>
        </is>
      </c>
      <c r="K3960" t="inlineStr">
        <is>
          <t>Male</t>
        </is>
      </c>
      <c r="L3960" t="inlineStr">
        <is>
          <t>No focal subject</t>
        </is>
      </c>
      <c r="M3960" t="n">
        <v>43.334</v>
      </c>
      <c r="N3960" t="inlineStr">
        <is>
          <t>Explore_N</t>
        </is>
      </c>
      <c r="O3960" t="inlineStr">
        <is>
          <t>Novelty</t>
        </is>
      </c>
      <c r="P3960" t="inlineStr">
        <is>
          <t>STATE</t>
        </is>
      </c>
      <c r="Q3960" t="n">
        <v>291.966</v>
      </c>
      <c r="R3960" t="n">
        <v>293</v>
      </c>
      <c r="S3960" t="n">
        <v>1.034</v>
      </c>
      <c r="T3960" t="inlineStr">
        <is>
          <t>C:/Users/manuel.felline/Documents/BEHAVIOR BTBR/NOR second cohort/WT/test/c58_m1.mp4</t>
        </is>
      </c>
      <c r="U3960" t="n">
        <v>9035</v>
      </c>
      <c r="V3960" t="n">
        <v>9066</v>
      </c>
      <c r="W3960" t="n">
        <v/>
      </c>
      <c r="X3960" t="n">
        <v/>
      </c>
      <c r="Y3960" t="n">
        <v/>
      </c>
      <c r="Z3960" t="n">
        <v/>
      </c>
      <c r="AA3960">
        <f>SUMIFS($S$2:S3960,$A$2:A3960,A3960,$N$2:N3960,"Explore*")</f>
        <v/>
      </c>
      <c r="AB3960">
        <f>IF(AND(LEFT(N3960,7)="Explore",(AA3960-IF(LEFT(N3960,7)="Explore",S3960,0))&lt;10),"SI","NO")</f>
        <v/>
      </c>
    </row>
    <row r="3961">
      <c r="A3961" t="inlineStr">
        <is>
          <t>c58m1_test</t>
        </is>
      </c>
      <c r="B3961" t="inlineStr">
        <is>
          <t>2026-07-01 10:57:05.382</t>
        </is>
      </c>
      <c r="C3961" t="n">
        <v/>
      </c>
      <c r="D3961" t="inlineStr">
        <is>
          <t>Media file</t>
        </is>
      </c>
      <c r="E3961" t="inlineStr">
        <is>
          <t>player #1:C:/Users/manuel.felline/Documents/BEHAVIOR BTBR/NOR second cohort/WT/test/c58_m1.mp4</t>
        </is>
      </c>
      <c r="F3961" t="n">
        <v>-9.300000000000001</v>
      </c>
      <c r="G3961" t="n">
        <v>510.633</v>
      </c>
      <c r="H3961" t="n">
        <v>624.766</v>
      </c>
      <c r="I3961" t="n">
        <v>30</v>
      </c>
      <c r="J3961" t="inlineStr">
        <is>
          <t xml:space="preserve"> WT</t>
        </is>
      </c>
      <c r="K3961" t="inlineStr">
        <is>
          <t>Male</t>
        </is>
      </c>
      <c r="L3961" t="inlineStr">
        <is>
          <t>No focal subject</t>
        </is>
      </c>
      <c r="M3961" t="n">
        <v>43.334</v>
      </c>
      <c r="N3961" t="inlineStr">
        <is>
          <t>Explore_N</t>
        </is>
      </c>
      <c r="O3961" t="inlineStr">
        <is>
          <t>Novelty</t>
        </is>
      </c>
      <c r="P3961" t="inlineStr">
        <is>
          <t>STATE</t>
        </is>
      </c>
      <c r="Q3961" t="n">
        <v>320.8</v>
      </c>
      <c r="R3961" t="n">
        <v>321.666</v>
      </c>
      <c r="S3961" t="n">
        <v>0.866</v>
      </c>
      <c r="T3961" t="inlineStr">
        <is>
          <t>C:/Users/manuel.felline/Documents/BEHAVIOR BTBR/NOR second cohort/WT/test/c58_m1.mp4</t>
        </is>
      </c>
      <c r="U3961" t="n">
        <v>9900</v>
      </c>
      <c r="V3961" t="n">
        <v>9926</v>
      </c>
      <c r="W3961" t="n">
        <v/>
      </c>
      <c r="X3961" t="n">
        <v/>
      </c>
      <c r="Y3961" t="n">
        <v/>
      </c>
      <c r="Z3961" t="n">
        <v/>
      </c>
      <c r="AA3961">
        <f>SUMIFS($S$2:S3961,$A$2:A3961,A3961,$N$2:N3961,"Explore*")</f>
        <v/>
      </c>
      <c r="AB3961">
        <f>IF(AND(LEFT(N3961,7)="Explore",(AA3961-IF(LEFT(N3961,7)="Explore",S3961,0))&lt;10),"SI","NO")</f>
        <v/>
      </c>
    </row>
    <row r="3962">
      <c r="A3962" t="inlineStr">
        <is>
          <t>c58m1_test</t>
        </is>
      </c>
      <c r="B3962" t="inlineStr">
        <is>
          <t>2026-07-01 10:57:05.382</t>
        </is>
      </c>
      <c r="C3962" t="n">
        <v/>
      </c>
      <c r="D3962" t="inlineStr">
        <is>
          <t>Media file</t>
        </is>
      </c>
      <c r="E3962" t="inlineStr">
        <is>
          <t>player #1:C:/Users/manuel.felline/Documents/BEHAVIOR BTBR/NOR second cohort/WT/test/c58_m1.mp4</t>
        </is>
      </c>
      <c r="F3962" t="n">
        <v>-9.300000000000001</v>
      </c>
      <c r="G3962" t="n">
        <v>510.633</v>
      </c>
      <c r="H3962" t="n">
        <v>624.766</v>
      </c>
      <c r="I3962" t="n">
        <v>30</v>
      </c>
      <c r="J3962" t="inlineStr">
        <is>
          <t xml:space="preserve"> WT</t>
        </is>
      </c>
      <c r="K3962" t="inlineStr">
        <is>
          <t>Male</t>
        </is>
      </c>
      <c r="L3962" t="inlineStr">
        <is>
          <t>No focal subject</t>
        </is>
      </c>
      <c r="M3962" t="n">
        <v>43.334</v>
      </c>
      <c r="N3962" t="inlineStr">
        <is>
          <t>Explore_N</t>
        </is>
      </c>
      <c r="O3962" t="inlineStr">
        <is>
          <t>Novelty</t>
        </is>
      </c>
      <c r="P3962" t="inlineStr">
        <is>
          <t>STATE</t>
        </is>
      </c>
      <c r="Q3962" t="n">
        <v>364.366</v>
      </c>
      <c r="R3962" t="n">
        <v>366.2</v>
      </c>
      <c r="S3962" t="n">
        <v>1.834</v>
      </c>
      <c r="T3962" t="inlineStr">
        <is>
          <t>C:/Users/manuel.felline/Documents/BEHAVIOR BTBR/NOR second cohort/WT/test/c58_m1.mp4</t>
        </is>
      </c>
      <c r="U3962" t="n">
        <v>11206</v>
      </c>
      <c r="V3962" t="n">
        <v>11261</v>
      </c>
      <c r="W3962" t="n">
        <v/>
      </c>
      <c r="X3962" t="n">
        <v/>
      </c>
      <c r="Y3962" t="n">
        <v/>
      </c>
      <c r="Z3962" t="n">
        <v/>
      </c>
      <c r="AA3962">
        <f>SUMIFS($S$2:S3962,$A$2:A3962,A3962,$N$2:N3962,"Explore*")</f>
        <v/>
      </c>
      <c r="AB3962">
        <f>IF(AND(LEFT(N3962,7)="Explore",(AA3962-IF(LEFT(N3962,7)="Explore",S3962,0))&lt;10),"SI","NO")</f>
        <v/>
      </c>
    </row>
    <row r="3963">
      <c r="A3963" t="inlineStr">
        <is>
          <t>c58m1_test</t>
        </is>
      </c>
      <c r="B3963" t="inlineStr">
        <is>
          <t>2026-07-01 10:57:05.382</t>
        </is>
      </c>
      <c r="C3963" t="n">
        <v/>
      </c>
      <c r="D3963" t="inlineStr">
        <is>
          <t>Media file</t>
        </is>
      </c>
      <c r="E3963" t="inlineStr">
        <is>
          <t>player #1:C:/Users/manuel.felline/Documents/BEHAVIOR BTBR/NOR second cohort/WT/test/c58_m1.mp4</t>
        </is>
      </c>
      <c r="F3963" t="n">
        <v>-9.300000000000001</v>
      </c>
      <c r="G3963" t="n">
        <v>510.633</v>
      </c>
      <c r="H3963" t="n">
        <v>624.766</v>
      </c>
      <c r="I3963" t="n">
        <v>30</v>
      </c>
      <c r="J3963" t="inlineStr">
        <is>
          <t xml:space="preserve"> WT</t>
        </is>
      </c>
      <c r="K3963" t="inlineStr">
        <is>
          <t>Male</t>
        </is>
      </c>
      <c r="L3963" t="inlineStr">
        <is>
          <t>No focal subject</t>
        </is>
      </c>
      <c r="M3963" t="n">
        <v>43.334</v>
      </c>
      <c r="N3963" t="inlineStr">
        <is>
          <t>Explore_F</t>
        </is>
      </c>
      <c r="O3963" t="inlineStr">
        <is>
          <t>Familiar</t>
        </is>
      </c>
      <c r="P3963" t="inlineStr">
        <is>
          <t>STATE</t>
        </is>
      </c>
      <c r="Q3963" t="n">
        <v>396.233</v>
      </c>
      <c r="R3963" t="n">
        <v>397.366</v>
      </c>
      <c r="S3963" t="n">
        <v>1.133</v>
      </c>
      <c r="T3963" t="inlineStr">
        <is>
          <t>C:/Users/manuel.felline/Documents/BEHAVIOR BTBR/NOR second cohort/WT/test/c58_m1.mp4</t>
        </is>
      </c>
      <c r="U3963" t="n">
        <v>12162</v>
      </c>
      <c r="V3963" t="n">
        <v>12196</v>
      </c>
      <c r="W3963" t="n">
        <v/>
      </c>
      <c r="X3963" t="n">
        <v/>
      </c>
      <c r="Y3963" t="n">
        <v/>
      </c>
      <c r="Z3963" t="n">
        <v/>
      </c>
      <c r="AA3963">
        <f>SUMIFS($S$2:S3963,$A$2:A3963,A3963,$N$2:N3963,"Explore*")</f>
        <v/>
      </c>
      <c r="AB3963">
        <f>IF(AND(LEFT(N3963,7)="Explore",(AA3963-IF(LEFT(N3963,7)="Explore",S3963,0))&lt;10),"SI","NO")</f>
        <v/>
      </c>
    </row>
    <row r="3964">
      <c r="A3964" t="inlineStr">
        <is>
          <t>c58m1_test</t>
        </is>
      </c>
      <c r="B3964" t="inlineStr">
        <is>
          <t>2026-07-01 10:57:05.382</t>
        </is>
      </c>
      <c r="C3964" t="n">
        <v/>
      </c>
      <c r="D3964" t="inlineStr">
        <is>
          <t>Media file</t>
        </is>
      </c>
      <c r="E3964" t="inlineStr">
        <is>
          <t>player #1:C:/Users/manuel.felline/Documents/BEHAVIOR BTBR/NOR second cohort/WT/test/c58_m1.mp4</t>
        </is>
      </c>
      <c r="F3964" t="n">
        <v>-9.300000000000001</v>
      </c>
      <c r="G3964" t="n">
        <v>510.633</v>
      </c>
      <c r="H3964" t="n">
        <v>624.766</v>
      </c>
      <c r="I3964" t="n">
        <v>30</v>
      </c>
      <c r="J3964" t="inlineStr">
        <is>
          <t xml:space="preserve"> WT</t>
        </is>
      </c>
      <c r="K3964" t="inlineStr">
        <is>
          <t>Male</t>
        </is>
      </c>
      <c r="L3964" t="inlineStr">
        <is>
          <t>No focal subject</t>
        </is>
      </c>
      <c r="M3964" t="n">
        <v>43.334</v>
      </c>
      <c r="N3964" t="inlineStr">
        <is>
          <t>Explore_N</t>
        </is>
      </c>
      <c r="O3964" t="inlineStr">
        <is>
          <t>Novelty</t>
        </is>
      </c>
      <c r="P3964" t="inlineStr">
        <is>
          <t>STATE</t>
        </is>
      </c>
      <c r="Q3964" t="n">
        <v>399.133</v>
      </c>
      <c r="R3964" t="n">
        <v>400.866</v>
      </c>
      <c r="S3964" t="n">
        <v>1.733</v>
      </c>
      <c r="T3964" t="inlineStr">
        <is>
          <t>C:/Users/manuel.felline/Documents/BEHAVIOR BTBR/NOR second cohort/WT/test/c58_m1.mp4</t>
        </is>
      </c>
      <c r="U3964" t="n">
        <v>12249</v>
      </c>
      <c r="V3964" t="n">
        <v>12301</v>
      </c>
      <c r="W3964" t="n">
        <v/>
      </c>
      <c r="X3964" t="n">
        <v/>
      </c>
      <c r="Y3964" t="n">
        <v/>
      </c>
      <c r="Z3964" t="n">
        <v/>
      </c>
      <c r="AA3964">
        <f>SUMIFS($S$2:S3964,$A$2:A3964,A3964,$N$2:N3964,"Explore*")</f>
        <v/>
      </c>
      <c r="AB3964">
        <f>IF(AND(LEFT(N3964,7)="Explore",(AA3964-IF(LEFT(N3964,7)="Explore",S3964,0))&lt;10),"SI","NO")</f>
        <v/>
      </c>
    </row>
    <row r="3965">
      <c r="A3965" t="inlineStr">
        <is>
          <t>c58m1_test</t>
        </is>
      </c>
      <c r="B3965" t="inlineStr">
        <is>
          <t>2026-07-01 10:57:05.382</t>
        </is>
      </c>
      <c r="C3965" t="n">
        <v/>
      </c>
      <c r="D3965" t="inlineStr">
        <is>
          <t>Media file</t>
        </is>
      </c>
      <c r="E3965" t="inlineStr">
        <is>
          <t>player #1:C:/Users/manuel.felline/Documents/BEHAVIOR BTBR/NOR second cohort/WT/test/c58_m1.mp4</t>
        </is>
      </c>
      <c r="F3965" t="n">
        <v>-9.300000000000001</v>
      </c>
      <c r="G3965" t="n">
        <v>510.633</v>
      </c>
      <c r="H3965" t="n">
        <v>624.766</v>
      </c>
      <c r="I3965" t="n">
        <v>30</v>
      </c>
      <c r="J3965" t="inlineStr">
        <is>
          <t xml:space="preserve"> WT</t>
        </is>
      </c>
      <c r="K3965" t="inlineStr">
        <is>
          <t>Male</t>
        </is>
      </c>
      <c r="L3965" t="inlineStr">
        <is>
          <t>No focal subject</t>
        </is>
      </c>
      <c r="M3965" t="n">
        <v>43.334</v>
      </c>
      <c r="N3965" t="inlineStr">
        <is>
          <t>Explore_N</t>
        </is>
      </c>
      <c r="O3965" t="inlineStr">
        <is>
          <t>Novelty</t>
        </is>
      </c>
      <c r="P3965" t="inlineStr">
        <is>
          <t>STATE</t>
        </is>
      </c>
      <c r="Q3965" t="n">
        <v>403.833</v>
      </c>
      <c r="R3965" t="n">
        <v>404.833</v>
      </c>
      <c r="S3965" t="n">
        <v>1</v>
      </c>
      <c r="T3965" t="inlineStr">
        <is>
          <t>C:/Users/manuel.felline/Documents/BEHAVIOR BTBR/NOR second cohort/WT/test/c58_m1.mp4</t>
        </is>
      </c>
      <c r="U3965" t="n">
        <v>12390</v>
      </c>
      <c r="V3965" t="n">
        <v>12420</v>
      </c>
      <c r="W3965" t="n">
        <v/>
      </c>
      <c r="X3965" t="n">
        <v/>
      </c>
      <c r="Y3965" t="n">
        <v/>
      </c>
      <c r="Z3965" t="n">
        <v/>
      </c>
      <c r="AA3965">
        <f>SUMIFS($S$2:S3965,$A$2:A3965,A3965,$N$2:N3965,"Explore*")</f>
        <v/>
      </c>
      <c r="AB3965">
        <f>IF(AND(LEFT(N3965,7)="Explore",(AA3965-IF(LEFT(N3965,7)="Explore",S3965,0))&lt;10),"SI","NO")</f>
        <v/>
      </c>
    </row>
    <row r="3966">
      <c r="A3966" t="inlineStr">
        <is>
          <t>c58m1_test</t>
        </is>
      </c>
      <c r="B3966" t="inlineStr">
        <is>
          <t>2026-07-01 10:57:05.382</t>
        </is>
      </c>
      <c r="C3966" t="n">
        <v/>
      </c>
      <c r="D3966" t="inlineStr">
        <is>
          <t>Media file</t>
        </is>
      </c>
      <c r="E3966" t="inlineStr">
        <is>
          <t>player #1:C:/Users/manuel.felline/Documents/BEHAVIOR BTBR/NOR second cohort/WT/test/c58_m1.mp4</t>
        </is>
      </c>
      <c r="F3966" t="n">
        <v>-9.300000000000001</v>
      </c>
      <c r="G3966" t="n">
        <v>510.633</v>
      </c>
      <c r="H3966" t="n">
        <v>624.766</v>
      </c>
      <c r="I3966" t="n">
        <v>30</v>
      </c>
      <c r="J3966" t="inlineStr">
        <is>
          <t xml:space="preserve"> WT</t>
        </is>
      </c>
      <c r="K3966" t="inlineStr">
        <is>
          <t>Male</t>
        </is>
      </c>
      <c r="L3966" t="inlineStr">
        <is>
          <t>No focal subject</t>
        </is>
      </c>
      <c r="M3966" t="n">
        <v>43.334</v>
      </c>
      <c r="N3966" t="inlineStr">
        <is>
          <t>Explore_N</t>
        </is>
      </c>
      <c r="O3966" t="inlineStr">
        <is>
          <t>Novelty</t>
        </is>
      </c>
      <c r="P3966" t="inlineStr">
        <is>
          <t>STATE</t>
        </is>
      </c>
      <c r="Q3966" t="n">
        <v>425.5</v>
      </c>
      <c r="R3966" t="n">
        <v>425.966</v>
      </c>
      <c r="S3966" t="n">
        <v>0.466</v>
      </c>
      <c r="T3966" t="inlineStr">
        <is>
          <t>C:/Users/manuel.felline/Documents/BEHAVIOR BTBR/NOR second cohort/WT/test/c58_m1.mp4</t>
        </is>
      </c>
      <c r="U3966" t="n">
        <v>13040</v>
      </c>
      <c r="V3966" t="n">
        <v>13054</v>
      </c>
      <c r="W3966" t="n">
        <v/>
      </c>
      <c r="X3966" t="n">
        <v/>
      </c>
      <c r="Y3966" t="n">
        <v/>
      </c>
      <c r="Z3966" t="n">
        <v/>
      </c>
      <c r="AA3966">
        <f>SUMIFS($S$2:S3966,$A$2:A3966,A3966,$N$2:N3966,"Explore*")</f>
        <v/>
      </c>
      <c r="AB3966">
        <f>IF(AND(LEFT(N3966,7)="Explore",(AA3966-IF(LEFT(N3966,7)="Explore",S3966,0))&lt;10),"SI","NO")</f>
        <v/>
      </c>
    </row>
    <row r="3967">
      <c r="A3967" t="inlineStr">
        <is>
          <t>c58m1_test</t>
        </is>
      </c>
      <c r="B3967" t="inlineStr">
        <is>
          <t>2026-07-01 10:57:05.382</t>
        </is>
      </c>
      <c r="C3967" t="n">
        <v/>
      </c>
      <c r="D3967" t="inlineStr">
        <is>
          <t>Media file</t>
        </is>
      </c>
      <c r="E3967" t="inlineStr">
        <is>
          <t>player #1:C:/Users/manuel.felline/Documents/BEHAVIOR BTBR/NOR second cohort/WT/test/c58_m1.mp4</t>
        </is>
      </c>
      <c r="F3967" t="n">
        <v>-9.300000000000001</v>
      </c>
      <c r="G3967" t="n">
        <v>510.633</v>
      </c>
      <c r="H3967" t="n">
        <v>624.766</v>
      </c>
      <c r="I3967" t="n">
        <v>30</v>
      </c>
      <c r="J3967" t="inlineStr">
        <is>
          <t xml:space="preserve"> WT</t>
        </is>
      </c>
      <c r="K3967" t="inlineStr">
        <is>
          <t>Male</t>
        </is>
      </c>
      <c r="L3967" t="inlineStr">
        <is>
          <t>No focal subject</t>
        </is>
      </c>
      <c r="M3967" t="n">
        <v>43.334</v>
      </c>
      <c r="N3967" t="inlineStr">
        <is>
          <t>Explore_N</t>
        </is>
      </c>
      <c r="O3967" t="inlineStr">
        <is>
          <t>Novelty</t>
        </is>
      </c>
      <c r="P3967" t="inlineStr">
        <is>
          <t>STATE</t>
        </is>
      </c>
      <c r="Q3967" t="n">
        <v>426.833</v>
      </c>
      <c r="R3967" t="n">
        <v>430.5</v>
      </c>
      <c r="S3967" t="n">
        <v>3.667</v>
      </c>
      <c r="T3967" t="inlineStr">
        <is>
          <t>C:/Users/manuel.felline/Documents/BEHAVIOR BTBR/NOR second cohort/WT/test/c58_m1.mp4</t>
        </is>
      </c>
      <c r="U3967" t="n">
        <v>13080</v>
      </c>
      <c r="V3967" t="n">
        <v>13189</v>
      </c>
      <c r="W3967" t="n">
        <v/>
      </c>
      <c r="X3967" t="n">
        <v/>
      </c>
      <c r="Y3967" t="n">
        <v/>
      </c>
      <c r="Z3967" t="n">
        <v/>
      </c>
      <c r="AA3967">
        <f>SUMIFS($S$2:S3967,$A$2:A3967,A3967,$N$2:N3967,"Explore*")</f>
        <v/>
      </c>
      <c r="AB3967">
        <f>IF(AND(LEFT(N3967,7)="Explore",(AA3967-IF(LEFT(N3967,7)="Explore",S3967,0))&lt;10),"SI","NO")</f>
        <v/>
      </c>
    </row>
    <row r="3968">
      <c r="A3968" t="inlineStr">
        <is>
          <t>c58m1_test</t>
        </is>
      </c>
      <c r="B3968" t="inlineStr">
        <is>
          <t>2026-07-01 10:57:05.382</t>
        </is>
      </c>
      <c r="C3968" t="n">
        <v/>
      </c>
      <c r="D3968" t="inlineStr">
        <is>
          <t>Media file</t>
        </is>
      </c>
      <c r="E3968" t="inlineStr">
        <is>
          <t>player #1:C:/Users/manuel.felline/Documents/BEHAVIOR BTBR/NOR second cohort/WT/test/c58_m1.mp4</t>
        </is>
      </c>
      <c r="F3968" t="n">
        <v>-9.300000000000001</v>
      </c>
      <c r="G3968" t="n">
        <v>510.633</v>
      </c>
      <c r="H3968" t="n">
        <v>624.766</v>
      </c>
      <c r="I3968" t="n">
        <v>30</v>
      </c>
      <c r="J3968" t="inlineStr">
        <is>
          <t xml:space="preserve"> WT</t>
        </is>
      </c>
      <c r="K3968" t="inlineStr">
        <is>
          <t>Male</t>
        </is>
      </c>
      <c r="L3968" t="inlineStr">
        <is>
          <t>No focal subject</t>
        </is>
      </c>
      <c r="M3968" t="n">
        <v>43.334</v>
      </c>
      <c r="N3968" t="inlineStr">
        <is>
          <t>Explore_N</t>
        </is>
      </c>
      <c r="O3968" t="inlineStr">
        <is>
          <t>Novelty</t>
        </is>
      </c>
      <c r="P3968" t="inlineStr">
        <is>
          <t>STATE</t>
        </is>
      </c>
      <c r="Q3968" t="n">
        <v>431.666</v>
      </c>
      <c r="R3968" t="n">
        <v>432.7</v>
      </c>
      <c r="S3968" t="n">
        <v>1.034</v>
      </c>
      <c r="T3968" t="inlineStr">
        <is>
          <t>C:/Users/manuel.felline/Documents/BEHAVIOR BTBR/NOR second cohort/WT/test/c58_m1.mp4</t>
        </is>
      </c>
      <c r="U3968" t="n">
        <v>13224</v>
      </c>
      <c r="V3968" t="n">
        <v>13255</v>
      </c>
      <c r="W3968" t="n">
        <v/>
      </c>
      <c r="X3968" t="n">
        <v/>
      </c>
      <c r="Y3968" t="n">
        <v/>
      </c>
      <c r="Z3968" t="n">
        <v/>
      </c>
      <c r="AA3968">
        <f>SUMIFS($S$2:S3968,$A$2:A3968,A3968,$N$2:N3968,"Explore*")</f>
        <v/>
      </c>
      <c r="AB3968">
        <f>IF(AND(LEFT(N3968,7)="Explore",(AA3968-IF(LEFT(N3968,7)="Explore",S3968,0))&lt;10),"SI","NO")</f>
        <v/>
      </c>
    </row>
    <row r="3969">
      <c r="A3969" t="inlineStr">
        <is>
          <t>c58m1_test</t>
        </is>
      </c>
      <c r="B3969" t="inlineStr">
        <is>
          <t>2026-07-01 10:57:05.382</t>
        </is>
      </c>
      <c r="C3969" t="n">
        <v/>
      </c>
      <c r="D3969" t="inlineStr">
        <is>
          <t>Media file</t>
        </is>
      </c>
      <c r="E3969" t="inlineStr">
        <is>
          <t>player #1:C:/Users/manuel.felline/Documents/BEHAVIOR BTBR/NOR second cohort/WT/test/c58_m1.mp4</t>
        </is>
      </c>
      <c r="F3969" t="n">
        <v>-9.300000000000001</v>
      </c>
      <c r="G3969" t="n">
        <v>510.633</v>
      </c>
      <c r="H3969" t="n">
        <v>624.766</v>
      </c>
      <c r="I3969" t="n">
        <v>30</v>
      </c>
      <c r="J3969" t="inlineStr">
        <is>
          <t xml:space="preserve"> WT</t>
        </is>
      </c>
      <c r="K3969" t="inlineStr">
        <is>
          <t>Male</t>
        </is>
      </c>
      <c r="L3969" t="inlineStr">
        <is>
          <t>No focal subject</t>
        </is>
      </c>
      <c r="M3969" t="n">
        <v>43.334</v>
      </c>
      <c r="N3969" t="inlineStr">
        <is>
          <t>Explore_N</t>
        </is>
      </c>
      <c r="O3969" t="inlineStr">
        <is>
          <t>Novelty</t>
        </is>
      </c>
      <c r="P3969" t="inlineStr">
        <is>
          <t>STATE</t>
        </is>
      </c>
      <c r="Q3969" t="n">
        <v>434.466</v>
      </c>
      <c r="R3969" t="n">
        <v>435.366</v>
      </c>
      <c r="S3969" t="n">
        <v>0.9</v>
      </c>
      <c r="T3969" t="inlineStr">
        <is>
          <t>C:/Users/manuel.felline/Documents/BEHAVIOR BTBR/NOR second cohort/WT/test/c58_m1.mp4</t>
        </is>
      </c>
      <c r="U3969" t="n">
        <v>13308</v>
      </c>
      <c r="V3969" t="n">
        <v>13335</v>
      </c>
      <c r="W3969" t="n">
        <v/>
      </c>
      <c r="X3969" t="n">
        <v/>
      </c>
      <c r="Y3969" t="n">
        <v/>
      </c>
      <c r="Z3969" t="n">
        <v/>
      </c>
      <c r="AA3969">
        <f>SUMIFS($S$2:S3969,$A$2:A3969,A3969,$N$2:N3969,"Explore*")</f>
        <v/>
      </c>
      <c r="AB3969">
        <f>IF(AND(LEFT(N3969,7)="Explore",(AA3969-IF(LEFT(N3969,7)="Explore",S3969,0))&lt;10),"SI","NO")</f>
        <v/>
      </c>
    </row>
    <row r="3970">
      <c r="A3970" t="inlineStr">
        <is>
          <t>c58m1_test</t>
        </is>
      </c>
      <c r="B3970" t="inlineStr">
        <is>
          <t>2026-07-01 10:57:05.382</t>
        </is>
      </c>
      <c r="C3970" t="n">
        <v/>
      </c>
      <c r="D3970" t="inlineStr">
        <is>
          <t>Media file</t>
        </is>
      </c>
      <c r="E3970" t="inlineStr">
        <is>
          <t>player #1:C:/Users/manuel.felline/Documents/BEHAVIOR BTBR/NOR second cohort/WT/test/c58_m1.mp4</t>
        </is>
      </c>
      <c r="F3970" t="n">
        <v>-9.300000000000001</v>
      </c>
      <c r="G3970" t="n">
        <v>510.633</v>
      </c>
      <c r="H3970" t="n">
        <v>624.766</v>
      </c>
      <c r="I3970" t="n">
        <v>30</v>
      </c>
      <c r="J3970" t="inlineStr">
        <is>
          <t xml:space="preserve"> WT</t>
        </is>
      </c>
      <c r="K3970" t="inlineStr">
        <is>
          <t>Male</t>
        </is>
      </c>
      <c r="L3970" t="inlineStr">
        <is>
          <t>No focal subject</t>
        </is>
      </c>
      <c r="M3970" t="n">
        <v>43.334</v>
      </c>
      <c r="N3970" t="inlineStr">
        <is>
          <t>Explore_N</t>
        </is>
      </c>
      <c r="O3970" t="inlineStr">
        <is>
          <t>Novelty</t>
        </is>
      </c>
      <c r="P3970" t="inlineStr">
        <is>
          <t>STATE</t>
        </is>
      </c>
      <c r="Q3970" t="n">
        <v>436.366</v>
      </c>
      <c r="R3970" t="n">
        <v>438.8</v>
      </c>
      <c r="S3970" t="n">
        <v>2.434</v>
      </c>
      <c r="T3970" t="inlineStr">
        <is>
          <t>C:/Users/manuel.felline/Documents/BEHAVIOR BTBR/NOR second cohort/WT/test/c58_m1.mp4</t>
        </is>
      </c>
      <c r="U3970" t="n">
        <v>13365</v>
      </c>
      <c r="V3970" t="n">
        <v>13438</v>
      </c>
      <c r="W3970" t="n">
        <v/>
      </c>
      <c r="X3970" t="n">
        <v/>
      </c>
      <c r="Y3970" t="n">
        <v/>
      </c>
      <c r="Z3970" t="n">
        <v/>
      </c>
      <c r="AA3970">
        <f>SUMIFS($S$2:S3970,$A$2:A3970,A3970,$N$2:N3970,"Explore*")</f>
        <v/>
      </c>
      <c r="AB3970">
        <f>IF(AND(LEFT(N3970,7)="Explore",(AA3970-IF(LEFT(N3970,7)="Explore",S3970,0))&lt;10),"SI","NO")</f>
        <v/>
      </c>
    </row>
    <row r="3971">
      <c r="A3971" t="inlineStr">
        <is>
          <t>c58m1_test</t>
        </is>
      </c>
      <c r="B3971" t="inlineStr">
        <is>
          <t>2026-07-01 10:57:05.382</t>
        </is>
      </c>
      <c r="C3971" t="n">
        <v/>
      </c>
      <c r="D3971" t="inlineStr">
        <is>
          <t>Media file</t>
        </is>
      </c>
      <c r="E3971" t="inlineStr">
        <is>
          <t>player #1:C:/Users/manuel.felline/Documents/BEHAVIOR BTBR/NOR second cohort/WT/test/c58_m1.mp4</t>
        </is>
      </c>
      <c r="F3971" t="n">
        <v>-9.300000000000001</v>
      </c>
      <c r="G3971" t="n">
        <v>510.633</v>
      </c>
      <c r="H3971" t="n">
        <v>624.766</v>
      </c>
      <c r="I3971" t="n">
        <v>30</v>
      </c>
      <c r="J3971" t="inlineStr">
        <is>
          <t xml:space="preserve"> WT</t>
        </is>
      </c>
      <c r="K3971" t="inlineStr">
        <is>
          <t>Male</t>
        </is>
      </c>
      <c r="L3971" t="inlineStr">
        <is>
          <t>No focal subject</t>
        </is>
      </c>
      <c r="M3971" t="n">
        <v>43.334</v>
      </c>
      <c r="N3971" t="inlineStr">
        <is>
          <t>Explore_N</t>
        </is>
      </c>
      <c r="O3971" t="inlineStr">
        <is>
          <t>Novelty</t>
        </is>
      </c>
      <c r="P3971" t="inlineStr">
        <is>
          <t>STATE</t>
        </is>
      </c>
      <c r="Q3971" t="n">
        <v>440.166</v>
      </c>
      <c r="R3971" t="n">
        <v>441.566</v>
      </c>
      <c r="S3971" t="n">
        <v>1.4</v>
      </c>
      <c r="T3971" t="inlineStr">
        <is>
          <t>C:/Users/manuel.felline/Documents/BEHAVIOR BTBR/NOR second cohort/WT/test/c58_m1.mp4</t>
        </is>
      </c>
      <c r="U3971" t="n">
        <v>13479</v>
      </c>
      <c r="V3971" t="n">
        <v>13521</v>
      </c>
      <c r="W3971" t="n">
        <v/>
      </c>
      <c r="X3971" t="n">
        <v/>
      </c>
      <c r="Y3971" t="n">
        <v/>
      </c>
      <c r="Z3971" t="n">
        <v/>
      </c>
      <c r="AA3971">
        <f>SUMIFS($S$2:S3971,$A$2:A3971,A3971,$N$2:N3971,"Explore*")</f>
        <v/>
      </c>
      <c r="AB3971">
        <f>IF(AND(LEFT(N3971,7)="Explore",(AA3971-IF(LEFT(N3971,7)="Explore",S3971,0))&lt;10),"SI","NO")</f>
        <v/>
      </c>
    </row>
    <row r="3972">
      <c r="A3972" t="inlineStr">
        <is>
          <t>c58m1_test</t>
        </is>
      </c>
      <c r="B3972" t="inlineStr">
        <is>
          <t>2026-07-01 10:57:05.382</t>
        </is>
      </c>
      <c r="C3972" t="n">
        <v/>
      </c>
      <c r="D3972" t="inlineStr">
        <is>
          <t>Media file</t>
        </is>
      </c>
      <c r="E3972" t="inlineStr">
        <is>
          <t>player #1:C:/Users/manuel.felline/Documents/BEHAVIOR BTBR/NOR second cohort/WT/test/c58_m1.mp4</t>
        </is>
      </c>
      <c r="F3972" t="n">
        <v>-9.300000000000001</v>
      </c>
      <c r="G3972" t="n">
        <v>510.633</v>
      </c>
      <c r="H3972" t="n">
        <v>624.766</v>
      </c>
      <c r="I3972" t="n">
        <v>30</v>
      </c>
      <c r="J3972" t="inlineStr">
        <is>
          <t xml:space="preserve"> WT</t>
        </is>
      </c>
      <c r="K3972" t="inlineStr">
        <is>
          <t>Male</t>
        </is>
      </c>
      <c r="L3972" t="inlineStr">
        <is>
          <t>No focal subject</t>
        </is>
      </c>
      <c r="M3972" t="n">
        <v>43.334</v>
      </c>
      <c r="N3972" t="inlineStr">
        <is>
          <t>Explore_N</t>
        </is>
      </c>
      <c r="O3972" t="inlineStr">
        <is>
          <t>Novelty</t>
        </is>
      </c>
      <c r="P3972" t="inlineStr">
        <is>
          <t>STATE</t>
        </is>
      </c>
      <c r="Q3972" t="n">
        <v>443.833</v>
      </c>
      <c r="R3972" t="n">
        <v>445.533</v>
      </c>
      <c r="S3972" t="n">
        <v>1.7</v>
      </c>
      <c r="T3972" t="inlineStr">
        <is>
          <t>C:/Users/manuel.felline/Documents/BEHAVIOR BTBR/NOR second cohort/WT/test/c58_m1.mp4</t>
        </is>
      </c>
      <c r="U3972" t="n">
        <v>13589</v>
      </c>
      <c r="V3972" t="n">
        <v>13640</v>
      </c>
      <c r="W3972" t="n">
        <v/>
      </c>
      <c r="X3972" t="n">
        <v/>
      </c>
      <c r="Y3972" t="n">
        <v/>
      </c>
      <c r="Z3972" t="n">
        <v/>
      </c>
      <c r="AA3972">
        <f>SUMIFS($S$2:S3972,$A$2:A3972,A3972,$N$2:N3972,"Explore*")</f>
        <v/>
      </c>
      <c r="AB3972">
        <f>IF(AND(LEFT(N3972,7)="Explore",(AA3972-IF(LEFT(N3972,7)="Explore",S3972,0))&lt;10),"SI","NO")</f>
        <v/>
      </c>
    </row>
    <row r="3973">
      <c r="A3973" t="inlineStr">
        <is>
          <t>c58m1_test</t>
        </is>
      </c>
      <c r="B3973" t="inlineStr">
        <is>
          <t>2026-07-01 10:57:05.382</t>
        </is>
      </c>
      <c r="C3973" t="n">
        <v/>
      </c>
      <c r="D3973" t="inlineStr">
        <is>
          <t>Media file</t>
        </is>
      </c>
      <c r="E3973" t="inlineStr">
        <is>
          <t>player #1:C:/Users/manuel.felline/Documents/BEHAVIOR BTBR/NOR second cohort/WT/test/c58_m1.mp4</t>
        </is>
      </c>
      <c r="F3973" t="n">
        <v>-9.300000000000001</v>
      </c>
      <c r="G3973" t="n">
        <v>510.633</v>
      </c>
      <c r="H3973" t="n">
        <v>624.766</v>
      </c>
      <c r="I3973" t="n">
        <v>30</v>
      </c>
      <c r="J3973" t="inlineStr">
        <is>
          <t xml:space="preserve"> WT</t>
        </is>
      </c>
      <c r="K3973" t="inlineStr">
        <is>
          <t>Male</t>
        </is>
      </c>
      <c r="L3973" t="inlineStr">
        <is>
          <t>No focal subject</t>
        </is>
      </c>
      <c r="M3973" t="n">
        <v>43.334</v>
      </c>
      <c r="N3973" t="inlineStr">
        <is>
          <t>Explore_N</t>
        </is>
      </c>
      <c r="O3973" t="inlineStr">
        <is>
          <t>Novelty</t>
        </is>
      </c>
      <c r="P3973" t="inlineStr">
        <is>
          <t>STATE</t>
        </is>
      </c>
      <c r="Q3973" t="n">
        <v>446.266</v>
      </c>
      <c r="R3973" t="n">
        <v>446.733</v>
      </c>
      <c r="S3973" t="n">
        <v>0.467</v>
      </c>
      <c r="T3973" t="inlineStr">
        <is>
          <t>C:/Users/manuel.felline/Documents/BEHAVIOR BTBR/NOR second cohort/WT/test/c58_m1.mp4</t>
        </is>
      </c>
      <c r="U3973" t="n">
        <v>13662</v>
      </c>
      <c r="V3973" t="n">
        <v>13676</v>
      </c>
      <c r="W3973" t="n">
        <v/>
      </c>
      <c r="X3973" t="n">
        <v/>
      </c>
      <c r="Y3973" t="n">
        <v/>
      </c>
      <c r="Z3973" t="n">
        <v/>
      </c>
      <c r="AA3973">
        <f>SUMIFS($S$2:S3973,$A$2:A3973,A3973,$N$2:N3973,"Explore*")</f>
        <v/>
      </c>
      <c r="AB3973">
        <f>IF(AND(LEFT(N3973,7)="Explore",(AA3973-IF(LEFT(N3973,7)="Explore",S3973,0))&lt;10),"SI","NO")</f>
        <v/>
      </c>
    </row>
    <row r="3974">
      <c r="A3974" t="inlineStr">
        <is>
          <t>c58m1_test</t>
        </is>
      </c>
      <c r="B3974" t="inlineStr">
        <is>
          <t>2026-07-01 10:57:05.382</t>
        </is>
      </c>
      <c r="C3974" t="n">
        <v/>
      </c>
      <c r="D3974" t="inlineStr">
        <is>
          <t>Media file</t>
        </is>
      </c>
      <c r="E3974" t="inlineStr">
        <is>
          <t>player #1:C:/Users/manuel.felline/Documents/BEHAVIOR BTBR/NOR second cohort/WT/test/c58_m1.mp4</t>
        </is>
      </c>
      <c r="F3974" t="n">
        <v>-9.300000000000001</v>
      </c>
      <c r="G3974" t="n">
        <v>510.633</v>
      </c>
      <c r="H3974" t="n">
        <v>624.766</v>
      </c>
      <c r="I3974" t="n">
        <v>30</v>
      </c>
      <c r="J3974" t="inlineStr">
        <is>
          <t xml:space="preserve"> WT</t>
        </is>
      </c>
      <c r="K3974" t="inlineStr">
        <is>
          <t>Male</t>
        </is>
      </c>
      <c r="L3974" t="inlineStr">
        <is>
          <t>No focal subject</t>
        </is>
      </c>
      <c r="M3974" t="n">
        <v>43.334</v>
      </c>
      <c r="N3974" t="inlineStr">
        <is>
          <t>Explore_N</t>
        </is>
      </c>
      <c r="O3974" t="inlineStr">
        <is>
          <t>Novelty</t>
        </is>
      </c>
      <c r="P3974" t="inlineStr">
        <is>
          <t>STATE</t>
        </is>
      </c>
      <c r="Q3974" t="n">
        <v>447.1</v>
      </c>
      <c r="R3974" t="n">
        <v>449.5</v>
      </c>
      <c r="S3974" t="n">
        <v>2.4</v>
      </c>
      <c r="T3974" t="inlineStr">
        <is>
          <t>C:/Users/manuel.felline/Documents/BEHAVIOR BTBR/NOR second cohort/WT/test/c58_m1.mp4</t>
        </is>
      </c>
      <c r="U3974" t="n">
        <v>13687</v>
      </c>
      <c r="V3974" t="n">
        <v>13759</v>
      </c>
      <c r="W3974" t="n">
        <v/>
      </c>
      <c r="X3974" t="n">
        <v/>
      </c>
      <c r="Y3974" t="n">
        <v/>
      </c>
      <c r="Z3974" t="n">
        <v/>
      </c>
      <c r="AA3974">
        <f>SUMIFS($S$2:S3974,$A$2:A3974,A3974,$N$2:N3974,"Explore*")</f>
        <v/>
      </c>
      <c r="AB3974">
        <f>IF(AND(LEFT(N3974,7)="Explore",(AA3974-IF(LEFT(N3974,7)="Explore",S3974,0))&lt;10),"SI","NO")</f>
        <v/>
      </c>
    </row>
    <row r="3975">
      <c r="A3975" t="inlineStr">
        <is>
          <t>c58m1_test</t>
        </is>
      </c>
      <c r="B3975" t="inlineStr">
        <is>
          <t>2026-07-01 10:57:05.382</t>
        </is>
      </c>
      <c r="C3975" t="n">
        <v/>
      </c>
      <c r="D3975" t="inlineStr">
        <is>
          <t>Media file</t>
        </is>
      </c>
      <c r="E3975" t="inlineStr">
        <is>
          <t>player #1:C:/Users/manuel.felline/Documents/BEHAVIOR BTBR/NOR second cohort/WT/test/c58_m1.mp4</t>
        </is>
      </c>
      <c r="F3975" t="n">
        <v>-9.300000000000001</v>
      </c>
      <c r="G3975" t="n">
        <v>510.633</v>
      </c>
      <c r="H3975" t="n">
        <v>624.766</v>
      </c>
      <c r="I3975" t="n">
        <v>30</v>
      </c>
      <c r="J3975" t="inlineStr">
        <is>
          <t xml:space="preserve"> WT</t>
        </is>
      </c>
      <c r="K3975" t="inlineStr">
        <is>
          <t>Male</t>
        </is>
      </c>
      <c r="L3975" t="inlineStr">
        <is>
          <t>No focal subject</t>
        </is>
      </c>
      <c r="M3975" t="n">
        <v>43.334</v>
      </c>
      <c r="N3975" t="inlineStr">
        <is>
          <t>Explore_N</t>
        </is>
      </c>
      <c r="O3975" t="inlineStr">
        <is>
          <t>Novelty</t>
        </is>
      </c>
      <c r="P3975" t="inlineStr">
        <is>
          <t>STATE</t>
        </is>
      </c>
      <c r="Q3975" t="n">
        <v>450.166</v>
      </c>
      <c r="R3975" t="n">
        <v>451.333</v>
      </c>
      <c r="S3975" t="n">
        <v>1.167</v>
      </c>
      <c r="T3975" t="inlineStr">
        <is>
          <t>C:/Users/manuel.felline/Documents/BEHAVIOR BTBR/NOR second cohort/WT/test/c58_m1.mp4</t>
        </is>
      </c>
      <c r="U3975" t="n">
        <v>13779</v>
      </c>
      <c r="V3975" t="n">
        <v>13814</v>
      </c>
      <c r="W3975" t="n">
        <v/>
      </c>
      <c r="X3975" t="n">
        <v/>
      </c>
      <c r="Y3975" t="n">
        <v/>
      </c>
      <c r="Z3975" t="n">
        <v/>
      </c>
      <c r="AA3975">
        <f>SUMIFS($S$2:S3975,$A$2:A3975,A3975,$N$2:N3975,"Explore*")</f>
        <v/>
      </c>
      <c r="AB3975">
        <f>IF(AND(LEFT(N3975,7)="Explore",(AA3975-IF(LEFT(N3975,7)="Explore",S3975,0))&lt;10),"SI","NO")</f>
        <v/>
      </c>
    </row>
    <row r="3976">
      <c r="A3976" t="inlineStr">
        <is>
          <t>c58m1_test</t>
        </is>
      </c>
      <c r="B3976" t="inlineStr">
        <is>
          <t>2026-07-01 10:57:05.382</t>
        </is>
      </c>
      <c r="C3976" t="n">
        <v/>
      </c>
      <c r="D3976" t="inlineStr">
        <is>
          <t>Media file</t>
        </is>
      </c>
      <c r="E3976" t="inlineStr">
        <is>
          <t>player #1:C:/Users/manuel.felline/Documents/BEHAVIOR BTBR/NOR second cohort/WT/test/c58_m1.mp4</t>
        </is>
      </c>
      <c r="F3976" t="n">
        <v>-9.300000000000001</v>
      </c>
      <c r="G3976" t="n">
        <v>510.633</v>
      </c>
      <c r="H3976" t="n">
        <v>624.766</v>
      </c>
      <c r="I3976" t="n">
        <v>30</v>
      </c>
      <c r="J3976" t="inlineStr">
        <is>
          <t xml:space="preserve"> WT</t>
        </is>
      </c>
      <c r="K3976" t="inlineStr">
        <is>
          <t>Male</t>
        </is>
      </c>
      <c r="L3976" t="inlineStr">
        <is>
          <t>No focal subject</t>
        </is>
      </c>
      <c r="M3976" t="n">
        <v>43.334</v>
      </c>
      <c r="N3976" t="inlineStr">
        <is>
          <t>Explore_N</t>
        </is>
      </c>
      <c r="O3976" t="inlineStr">
        <is>
          <t>Novelty</t>
        </is>
      </c>
      <c r="P3976" t="inlineStr">
        <is>
          <t>STATE</t>
        </is>
      </c>
      <c r="Q3976" t="n">
        <v>454.066</v>
      </c>
      <c r="R3976" t="n">
        <v>455.566</v>
      </c>
      <c r="S3976" t="n">
        <v>1.5</v>
      </c>
      <c r="T3976" t="inlineStr">
        <is>
          <t>C:/Users/manuel.felline/Documents/BEHAVIOR BTBR/NOR second cohort/WT/test/c58_m1.mp4</t>
        </is>
      </c>
      <c r="U3976" t="n">
        <v>13896</v>
      </c>
      <c r="V3976" t="n">
        <v>13941</v>
      </c>
      <c r="W3976" t="n">
        <v/>
      </c>
      <c r="X3976" t="n">
        <v/>
      </c>
      <c r="Y3976" t="n">
        <v/>
      </c>
      <c r="Z3976" t="n">
        <v/>
      </c>
      <c r="AA3976">
        <f>SUMIFS($S$2:S3976,$A$2:A3976,A3976,$N$2:N3976,"Explore*")</f>
        <v/>
      </c>
      <c r="AB3976">
        <f>IF(AND(LEFT(N3976,7)="Explore",(AA3976-IF(LEFT(N3976,7)="Explore",S3976,0))&lt;10),"SI","NO")</f>
        <v/>
      </c>
    </row>
    <row r="3977">
      <c r="A3977" t="inlineStr">
        <is>
          <t>c58m1_test</t>
        </is>
      </c>
      <c r="B3977" t="inlineStr">
        <is>
          <t>2026-07-01 10:57:05.382</t>
        </is>
      </c>
      <c r="C3977" t="n">
        <v/>
      </c>
      <c r="D3977" t="inlineStr">
        <is>
          <t>Media file</t>
        </is>
      </c>
      <c r="E3977" t="inlineStr">
        <is>
          <t>player #1:C:/Users/manuel.felline/Documents/BEHAVIOR BTBR/NOR second cohort/WT/test/c58_m1.mp4</t>
        </is>
      </c>
      <c r="F3977" t="n">
        <v>-9.300000000000001</v>
      </c>
      <c r="G3977" t="n">
        <v>510.633</v>
      </c>
      <c r="H3977" t="n">
        <v>624.766</v>
      </c>
      <c r="I3977" t="n">
        <v>30</v>
      </c>
      <c r="J3977" t="inlineStr">
        <is>
          <t xml:space="preserve"> WT</t>
        </is>
      </c>
      <c r="K3977" t="inlineStr">
        <is>
          <t>Male</t>
        </is>
      </c>
      <c r="L3977" t="inlineStr">
        <is>
          <t>No focal subject</t>
        </is>
      </c>
      <c r="M3977" t="n">
        <v>43.334</v>
      </c>
      <c r="N3977" t="inlineStr">
        <is>
          <t>Explore_N</t>
        </is>
      </c>
      <c r="O3977" t="inlineStr">
        <is>
          <t>Novelty</t>
        </is>
      </c>
      <c r="P3977" t="inlineStr">
        <is>
          <t>STATE</t>
        </is>
      </c>
      <c r="Q3977" t="n">
        <v>456.933</v>
      </c>
      <c r="R3977" t="n">
        <v>457.533</v>
      </c>
      <c r="S3977" t="n">
        <v>0.6</v>
      </c>
      <c r="T3977" t="inlineStr">
        <is>
          <t>C:/Users/manuel.felline/Documents/BEHAVIOR BTBR/NOR second cohort/WT/test/c58_m1.mp4</t>
        </is>
      </c>
      <c r="U3977" t="n">
        <v>13982</v>
      </c>
      <c r="V3977" t="n">
        <v>14000</v>
      </c>
      <c r="W3977" t="n">
        <v/>
      </c>
      <c r="X3977" t="n">
        <v/>
      </c>
      <c r="Y3977" t="n">
        <v/>
      </c>
      <c r="Z3977" t="n">
        <v/>
      </c>
      <c r="AA3977">
        <f>SUMIFS($S$2:S3977,$A$2:A3977,A3977,$N$2:N3977,"Explore*")</f>
        <v/>
      </c>
      <c r="AB3977">
        <f>IF(AND(LEFT(N3977,7)="Explore",(AA3977-IF(LEFT(N3977,7)="Explore",S3977,0))&lt;10),"SI","NO")</f>
        <v/>
      </c>
    </row>
    <row r="3978">
      <c r="A3978" t="inlineStr">
        <is>
          <t>c58m1_test</t>
        </is>
      </c>
      <c r="B3978" t="inlineStr">
        <is>
          <t>2026-07-01 10:57:05.382</t>
        </is>
      </c>
      <c r="C3978" t="n">
        <v/>
      </c>
      <c r="D3978" t="inlineStr">
        <is>
          <t>Media file</t>
        </is>
      </c>
      <c r="E3978" t="inlineStr">
        <is>
          <t>player #1:C:/Users/manuel.felline/Documents/BEHAVIOR BTBR/NOR second cohort/WT/test/c58_m1.mp4</t>
        </is>
      </c>
      <c r="F3978" t="n">
        <v>-9.300000000000001</v>
      </c>
      <c r="G3978" t="n">
        <v>510.633</v>
      </c>
      <c r="H3978" t="n">
        <v>624.766</v>
      </c>
      <c r="I3978" t="n">
        <v>30</v>
      </c>
      <c r="J3978" t="inlineStr">
        <is>
          <t xml:space="preserve"> WT</t>
        </is>
      </c>
      <c r="K3978" t="inlineStr">
        <is>
          <t>Male</t>
        </is>
      </c>
      <c r="L3978" t="inlineStr">
        <is>
          <t>No focal subject</t>
        </is>
      </c>
      <c r="M3978" t="n">
        <v>43.334</v>
      </c>
      <c r="N3978" t="inlineStr">
        <is>
          <t>Explore_F</t>
        </is>
      </c>
      <c r="O3978" t="inlineStr">
        <is>
          <t>Familiar</t>
        </is>
      </c>
      <c r="P3978" t="inlineStr">
        <is>
          <t>STATE</t>
        </is>
      </c>
      <c r="Q3978" t="n">
        <v>461.433</v>
      </c>
      <c r="R3978" t="n">
        <v>463.333</v>
      </c>
      <c r="S3978" t="n">
        <v>1.9</v>
      </c>
      <c r="T3978" t="inlineStr">
        <is>
          <t>C:/Users/manuel.felline/Documents/BEHAVIOR BTBR/NOR second cohort/WT/test/c58_m1.mp4</t>
        </is>
      </c>
      <c r="U3978" t="n">
        <v>14117</v>
      </c>
      <c r="V3978" t="n">
        <v>14174</v>
      </c>
      <c r="W3978" t="n">
        <v/>
      </c>
      <c r="X3978" t="n">
        <v/>
      </c>
      <c r="Y3978" t="n">
        <v/>
      </c>
      <c r="Z3978" t="n">
        <v/>
      </c>
      <c r="AA3978">
        <f>SUMIFS($S$2:S3978,$A$2:A3978,A3978,$N$2:N3978,"Explore*")</f>
        <v/>
      </c>
      <c r="AB3978">
        <f>IF(AND(LEFT(N3978,7)="Explore",(AA3978-IF(LEFT(N3978,7)="Explore",S3978,0))&lt;10),"SI","NO")</f>
        <v/>
      </c>
    </row>
    <row r="3979">
      <c r="A3979" t="inlineStr">
        <is>
          <t>c58m1_test</t>
        </is>
      </c>
      <c r="B3979" t="inlineStr">
        <is>
          <t>2026-07-01 10:57:05.382</t>
        </is>
      </c>
      <c r="C3979" t="n">
        <v/>
      </c>
      <c r="D3979" t="inlineStr">
        <is>
          <t>Media file</t>
        </is>
      </c>
      <c r="E3979" t="inlineStr">
        <is>
          <t>player #1:C:/Users/manuel.felline/Documents/BEHAVIOR BTBR/NOR second cohort/WT/test/c58_m1.mp4</t>
        </is>
      </c>
      <c r="F3979" t="n">
        <v>-9.300000000000001</v>
      </c>
      <c r="G3979" t="n">
        <v>510.633</v>
      </c>
      <c r="H3979" t="n">
        <v>624.766</v>
      </c>
      <c r="I3979" t="n">
        <v>30</v>
      </c>
      <c r="J3979" t="inlineStr">
        <is>
          <t xml:space="preserve"> WT</t>
        </is>
      </c>
      <c r="K3979" t="inlineStr">
        <is>
          <t>Male</t>
        </is>
      </c>
      <c r="L3979" t="inlineStr">
        <is>
          <t>No focal subject</t>
        </is>
      </c>
      <c r="M3979" t="n">
        <v>43.334</v>
      </c>
      <c r="N3979" t="inlineStr">
        <is>
          <t>Explore_F</t>
        </is>
      </c>
      <c r="O3979" t="inlineStr">
        <is>
          <t>Familiar</t>
        </is>
      </c>
      <c r="P3979" t="inlineStr">
        <is>
          <t>STATE</t>
        </is>
      </c>
      <c r="Q3979" t="n">
        <v>468.3</v>
      </c>
      <c r="R3979" t="n">
        <v>468.933</v>
      </c>
      <c r="S3979" t="n">
        <v>0.633</v>
      </c>
      <c r="T3979" t="inlineStr">
        <is>
          <t>C:/Users/manuel.felline/Documents/BEHAVIOR BTBR/NOR second cohort/WT/test/c58_m1.mp4</t>
        </is>
      </c>
      <c r="U3979" t="n">
        <v>14323</v>
      </c>
      <c r="V3979" t="n">
        <v>14342</v>
      </c>
      <c r="W3979" t="n">
        <v/>
      </c>
      <c r="X3979" t="n">
        <v/>
      </c>
      <c r="Y3979" t="n">
        <v/>
      </c>
      <c r="Z3979" t="n">
        <v/>
      </c>
      <c r="AA3979">
        <f>SUMIFS($S$2:S3979,$A$2:A3979,A3979,$N$2:N3979,"Explore*")</f>
        <v/>
      </c>
      <c r="AB3979">
        <f>IF(AND(LEFT(N3979,7)="Explore",(AA3979-IF(LEFT(N3979,7)="Explore",S3979,0))&lt;10),"SI","NO")</f>
        <v/>
      </c>
    </row>
    <row r="3980">
      <c r="A3980" t="inlineStr">
        <is>
          <t>c58m1_test</t>
        </is>
      </c>
      <c r="B3980" t="inlineStr">
        <is>
          <t>2026-07-01 10:57:05.382</t>
        </is>
      </c>
      <c r="C3980" t="n">
        <v/>
      </c>
      <c r="D3980" t="inlineStr">
        <is>
          <t>Media file</t>
        </is>
      </c>
      <c r="E3980" t="inlineStr">
        <is>
          <t>player #1:C:/Users/manuel.felline/Documents/BEHAVIOR BTBR/NOR second cohort/WT/test/c58_m1.mp4</t>
        </is>
      </c>
      <c r="F3980" t="n">
        <v>-9.300000000000001</v>
      </c>
      <c r="G3980" t="n">
        <v>510.633</v>
      </c>
      <c r="H3980" t="n">
        <v>624.766</v>
      </c>
      <c r="I3980" t="n">
        <v>30</v>
      </c>
      <c r="J3980" t="inlineStr">
        <is>
          <t xml:space="preserve"> WT</t>
        </is>
      </c>
      <c r="K3980" t="inlineStr">
        <is>
          <t>Male</t>
        </is>
      </c>
      <c r="L3980" t="inlineStr">
        <is>
          <t>No focal subject</t>
        </is>
      </c>
      <c r="M3980" t="n">
        <v>43.334</v>
      </c>
      <c r="N3980" t="inlineStr">
        <is>
          <t>Explore_F</t>
        </is>
      </c>
      <c r="O3980" t="inlineStr">
        <is>
          <t>Familiar</t>
        </is>
      </c>
      <c r="P3980" t="inlineStr">
        <is>
          <t>STATE</t>
        </is>
      </c>
      <c r="Q3980" t="n">
        <v>475.333</v>
      </c>
      <c r="R3980" t="n">
        <v>476.166</v>
      </c>
      <c r="S3980" t="n">
        <v>0.833</v>
      </c>
      <c r="T3980" t="inlineStr">
        <is>
          <t>C:/Users/manuel.felline/Documents/BEHAVIOR BTBR/NOR second cohort/WT/test/c58_m1.mp4</t>
        </is>
      </c>
      <c r="U3980" t="n">
        <v>14534</v>
      </c>
      <c r="V3980" t="n">
        <v>14559</v>
      </c>
      <c r="W3980" t="n">
        <v/>
      </c>
      <c r="X3980" t="n">
        <v/>
      </c>
      <c r="Y3980" t="n">
        <v/>
      </c>
      <c r="Z3980" t="n">
        <v/>
      </c>
      <c r="AA3980">
        <f>SUMIFS($S$2:S3980,$A$2:A3980,A3980,$N$2:N3980,"Explore*")</f>
        <v/>
      </c>
      <c r="AB3980">
        <f>IF(AND(LEFT(N3980,7)="Explore",(AA3980-IF(LEFT(N3980,7)="Explore",S3980,0))&lt;10),"SI","NO")</f>
        <v/>
      </c>
    </row>
    <row r="3981">
      <c r="A3981" t="inlineStr">
        <is>
          <t>c58m1_test</t>
        </is>
      </c>
      <c r="B3981" t="inlineStr">
        <is>
          <t>2026-07-01 10:57:05.382</t>
        </is>
      </c>
      <c r="C3981" t="n">
        <v/>
      </c>
      <c r="D3981" t="inlineStr">
        <is>
          <t>Media file</t>
        </is>
      </c>
      <c r="E3981" t="inlineStr">
        <is>
          <t>player #1:C:/Users/manuel.felline/Documents/BEHAVIOR BTBR/NOR second cohort/WT/test/c58_m1.mp4</t>
        </is>
      </c>
      <c r="F3981" t="n">
        <v>-9.300000000000001</v>
      </c>
      <c r="G3981" t="n">
        <v>510.633</v>
      </c>
      <c r="H3981" t="n">
        <v>624.766</v>
      </c>
      <c r="I3981" t="n">
        <v>30</v>
      </c>
      <c r="J3981" t="inlineStr">
        <is>
          <t xml:space="preserve"> WT</t>
        </is>
      </c>
      <c r="K3981" t="inlineStr">
        <is>
          <t>Male</t>
        </is>
      </c>
      <c r="L3981" t="inlineStr">
        <is>
          <t>No focal subject</t>
        </is>
      </c>
      <c r="M3981" t="n">
        <v>43.334</v>
      </c>
      <c r="N3981" t="inlineStr">
        <is>
          <t>Explore_N</t>
        </is>
      </c>
      <c r="O3981" t="inlineStr">
        <is>
          <t>Novelty</t>
        </is>
      </c>
      <c r="P3981" t="inlineStr">
        <is>
          <t>STATE</t>
        </is>
      </c>
      <c r="Q3981" t="n">
        <v>532.633</v>
      </c>
      <c r="R3981" t="n">
        <v>534.6660000000001</v>
      </c>
      <c r="S3981" t="n">
        <v>2.033</v>
      </c>
      <c r="T3981" t="inlineStr">
        <is>
          <t>C:/Users/manuel.felline/Documents/BEHAVIOR BTBR/NOR second cohort/WT/test/c58_m1.mp4</t>
        </is>
      </c>
      <c r="U3981" t="n">
        <v>16252</v>
      </c>
      <c r="V3981" t="n">
        <v>16313</v>
      </c>
      <c r="W3981" t="n">
        <v/>
      </c>
      <c r="X3981" t="n">
        <v/>
      </c>
      <c r="Y3981" t="n">
        <v/>
      </c>
      <c r="Z3981" t="n">
        <v/>
      </c>
      <c r="AA3981">
        <f>SUMIFS($S$2:S3981,$A$2:A3981,A3981,$N$2:N3981,"Explore*")</f>
        <v/>
      </c>
      <c r="AB3981">
        <f>IF(AND(LEFT(N3981,7)="Explore",(AA3981-IF(LEFT(N3981,7)="Explore",S3981,0))&lt;10),"SI","NO")</f>
        <v/>
      </c>
    </row>
    <row r="3982">
      <c r="A3982" t="inlineStr">
        <is>
          <t>c58m2_test</t>
        </is>
      </c>
      <c r="B3982" t="inlineStr">
        <is>
          <t>2026-07-02 10:25:12.364</t>
        </is>
      </c>
      <c r="C3982" t="n">
        <v/>
      </c>
      <c r="D3982" t="inlineStr">
        <is>
          <t>Media file</t>
        </is>
      </c>
      <c r="E3982" t="inlineStr">
        <is>
          <t>player #1:C:/Users/manuel.felline/Documents/BEHAVIOR BTBR/NOR second cohort/WT/test/c58_m2.mp4</t>
        </is>
      </c>
      <c r="F3982" t="n">
        <v>-19.933</v>
      </c>
      <c r="G3982" t="n">
        <v>588.1660000000001</v>
      </c>
      <c r="H3982" t="n">
        <v>635.833</v>
      </c>
      <c r="I3982" t="n">
        <v>30</v>
      </c>
      <c r="J3982" t="inlineStr">
        <is>
          <t xml:space="preserve"> WT</t>
        </is>
      </c>
      <c r="K3982" t="inlineStr">
        <is>
          <t>Male</t>
        </is>
      </c>
      <c r="L3982" t="inlineStr">
        <is>
          <t>No focal subject</t>
        </is>
      </c>
      <c r="M3982" t="n">
        <v>38.5</v>
      </c>
      <c r="N3982" t="inlineStr">
        <is>
          <t>Explore_N</t>
        </is>
      </c>
      <c r="O3982" t="inlineStr">
        <is>
          <t>Novelty</t>
        </is>
      </c>
      <c r="P3982" t="inlineStr">
        <is>
          <t>STATE</t>
        </is>
      </c>
      <c r="Q3982" t="n">
        <v>7.134</v>
      </c>
      <c r="R3982" t="n">
        <v>7.5</v>
      </c>
      <c r="S3982" t="n">
        <v>0.366</v>
      </c>
      <c r="T3982" t="inlineStr">
        <is>
          <t>C:/Users/manuel.felline/Documents/BEHAVIOR BTBR/NOR second cohort/WT/test/c58_m2.mp4</t>
        </is>
      </c>
      <c r="U3982" t="n">
        <v>812</v>
      </c>
      <c r="V3982" t="n">
        <v>823</v>
      </c>
      <c r="W3982" t="n">
        <v/>
      </c>
      <c r="X3982" t="n">
        <v/>
      </c>
      <c r="Y3982" t="n">
        <v/>
      </c>
      <c r="Z3982" t="n">
        <v/>
      </c>
      <c r="AA3982">
        <f>SUMIFS($S$2:S3982,$A$2:A3982,A3982,$N$2:N3982,"Explore*")</f>
        <v/>
      </c>
      <c r="AB3982">
        <f>IF(AND(LEFT(N3982,7)="Explore",(AA3982-IF(LEFT(N3982,7)="Explore",S3982,0))&lt;10),"SI","NO")</f>
        <v/>
      </c>
    </row>
    <row r="3983">
      <c r="A3983" t="inlineStr">
        <is>
          <t>c58m2_test</t>
        </is>
      </c>
      <c r="B3983" t="inlineStr">
        <is>
          <t>2026-07-02 10:25:12.364</t>
        </is>
      </c>
      <c r="C3983" t="n">
        <v/>
      </c>
      <c r="D3983" t="inlineStr">
        <is>
          <t>Media file</t>
        </is>
      </c>
      <c r="E3983" t="inlineStr">
        <is>
          <t>player #1:C:/Users/manuel.felline/Documents/BEHAVIOR BTBR/NOR second cohort/WT/test/c58_m2.mp4</t>
        </is>
      </c>
      <c r="F3983" t="n">
        <v>-19.933</v>
      </c>
      <c r="G3983" t="n">
        <v>588.1660000000001</v>
      </c>
      <c r="H3983" t="n">
        <v>635.833</v>
      </c>
      <c r="I3983" t="n">
        <v>30</v>
      </c>
      <c r="J3983" t="inlineStr">
        <is>
          <t xml:space="preserve"> WT</t>
        </is>
      </c>
      <c r="K3983" t="inlineStr">
        <is>
          <t>Male</t>
        </is>
      </c>
      <c r="L3983" t="inlineStr">
        <is>
          <t>No focal subject</t>
        </is>
      </c>
      <c r="M3983" t="n">
        <v>38.5</v>
      </c>
      <c r="N3983" t="inlineStr">
        <is>
          <t>Explore_F</t>
        </is>
      </c>
      <c r="O3983" t="inlineStr">
        <is>
          <t>Familiar</t>
        </is>
      </c>
      <c r="P3983" t="inlineStr">
        <is>
          <t>STATE</t>
        </is>
      </c>
      <c r="Q3983" t="n">
        <v>31.134</v>
      </c>
      <c r="R3983" t="n">
        <v>31.434</v>
      </c>
      <c r="S3983" t="n">
        <v>0.3</v>
      </c>
      <c r="T3983" t="inlineStr">
        <is>
          <t>C:/Users/manuel.felline/Documents/BEHAVIOR BTBR/NOR second cohort/WT/test/c58_m2.mp4</t>
        </is>
      </c>
      <c r="U3983" t="n">
        <v>1532</v>
      </c>
      <c r="V3983" t="n">
        <v>1541</v>
      </c>
      <c r="W3983" t="n">
        <v/>
      </c>
      <c r="X3983" t="n">
        <v/>
      </c>
      <c r="Y3983" t="n">
        <v/>
      </c>
      <c r="Z3983" t="n">
        <v/>
      </c>
      <c r="AA3983">
        <f>SUMIFS($S$2:S3983,$A$2:A3983,A3983,$N$2:N3983,"Explore*")</f>
        <v/>
      </c>
      <c r="AB3983">
        <f>IF(AND(LEFT(N3983,7)="Explore",(AA3983-IF(LEFT(N3983,7)="Explore",S3983,0))&lt;10),"SI","NO")</f>
        <v/>
      </c>
    </row>
    <row r="3984">
      <c r="A3984" t="inlineStr">
        <is>
          <t>c58m2_test</t>
        </is>
      </c>
      <c r="B3984" t="inlineStr">
        <is>
          <t>2026-07-02 10:25:12.364</t>
        </is>
      </c>
      <c r="C3984" t="n">
        <v/>
      </c>
      <c r="D3984" t="inlineStr">
        <is>
          <t>Media file</t>
        </is>
      </c>
      <c r="E3984" t="inlineStr">
        <is>
          <t>player #1:C:/Users/manuel.felline/Documents/BEHAVIOR BTBR/NOR second cohort/WT/test/c58_m2.mp4</t>
        </is>
      </c>
      <c r="F3984" t="n">
        <v>-19.933</v>
      </c>
      <c r="G3984" t="n">
        <v>588.1660000000001</v>
      </c>
      <c r="H3984" t="n">
        <v>635.833</v>
      </c>
      <c r="I3984" t="n">
        <v>30</v>
      </c>
      <c r="J3984" t="inlineStr">
        <is>
          <t xml:space="preserve"> WT</t>
        </is>
      </c>
      <c r="K3984" t="inlineStr">
        <is>
          <t>Male</t>
        </is>
      </c>
      <c r="L3984" t="inlineStr">
        <is>
          <t>No focal subject</t>
        </is>
      </c>
      <c r="M3984" t="n">
        <v>38.5</v>
      </c>
      <c r="N3984" t="inlineStr">
        <is>
          <t>Explore_N</t>
        </is>
      </c>
      <c r="O3984" t="inlineStr">
        <is>
          <t>Novelty</t>
        </is>
      </c>
      <c r="P3984" t="inlineStr">
        <is>
          <t>STATE</t>
        </is>
      </c>
      <c r="Q3984" t="n">
        <v>34.2</v>
      </c>
      <c r="R3984" t="n">
        <v>34.5</v>
      </c>
      <c r="S3984" t="n">
        <v>0.3</v>
      </c>
      <c r="T3984" t="inlineStr">
        <is>
          <t>C:/Users/manuel.felline/Documents/BEHAVIOR BTBR/NOR second cohort/WT/test/c58_m2.mp4</t>
        </is>
      </c>
      <c r="U3984" t="n">
        <v>1624</v>
      </c>
      <c r="V3984" t="n">
        <v>1633</v>
      </c>
      <c r="W3984" t="n">
        <v/>
      </c>
      <c r="X3984" t="n">
        <v/>
      </c>
      <c r="Y3984" t="n">
        <v/>
      </c>
      <c r="Z3984" t="n">
        <v/>
      </c>
      <c r="AA3984">
        <f>SUMIFS($S$2:S3984,$A$2:A3984,A3984,$N$2:N3984,"Explore*")</f>
        <v/>
      </c>
      <c r="AB3984">
        <f>IF(AND(LEFT(N3984,7)="Explore",(AA3984-IF(LEFT(N3984,7)="Explore",S3984,0))&lt;10),"SI","NO")</f>
        <v/>
      </c>
    </row>
    <row r="3985">
      <c r="A3985" t="inlineStr">
        <is>
          <t>c58m2_test</t>
        </is>
      </c>
      <c r="B3985" t="inlineStr">
        <is>
          <t>2026-07-02 10:25:12.364</t>
        </is>
      </c>
      <c r="C3985" t="n">
        <v/>
      </c>
      <c r="D3985" t="inlineStr">
        <is>
          <t>Media file</t>
        </is>
      </c>
      <c r="E3985" t="inlineStr">
        <is>
          <t>player #1:C:/Users/manuel.felline/Documents/BEHAVIOR BTBR/NOR second cohort/WT/test/c58_m2.mp4</t>
        </is>
      </c>
      <c r="F3985" t="n">
        <v>-19.933</v>
      </c>
      <c r="G3985" t="n">
        <v>588.1660000000001</v>
      </c>
      <c r="H3985" t="n">
        <v>635.833</v>
      </c>
      <c r="I3985" t="n">
        <v>30</v>
      </c>
      <c r="J3985" t="inlineStr">
        <is>
          <t xml:space="preserve"> WT</t>
        </is>
      </c>
      <c r="K3985" t="inlineStr">
        <is>
          <t>Male</t>
        </is>
      </c>
      <c r="L3985" t="inlineStr">
        <is>
          <t>No focal subject</t>
        </is>
      </c>
      <c r="M3985" t="n">
        <v>38.5</v>
      </c>
      <c r="N3985" t="inlineStr">
        <is>
          <t>Explore_N</t>
        </is>
      </c>
      <c r="O3985" t="inlineStr">
        <is>
          <t>Novelty</t>
        </is>
      </c>
      <c r="P3985" t="inlineStr">
        <is>
          <t>STATE</t>
        </is>
      </c>
      <c r="Q3985" t="n">
        <v>43.867</v>
      </c>
      <c r="R3985" t="n">
        <v>46.4</v>
      </c>
      <c r="S3985" t="n">
        <v>2.533</v>
      </c>
      <c r="T3985" t="inlineStr">
        <is>
          <t>C:/Users/manuel.felline/Documents/BEHAVIOR BTBR/NOR second cohort/WT/test/c58_m2.mp4</t>
        </is>
      </c>
      <c r="U3985" t="n">
        <v>1914</v>
      </c>
      <c r="V3985" t="n">
        <v>1990</v>
      </c>
      <c r="W3985" t="n">
        <v/>
      </c>
      <c r="X3985" t="n">
        <v/>
      </c>
      <c r="Y3985" t="n">
        <v/>
      </c>
      <c r="Z3985" t="n">
        <v/>
      </c>
      <c r="AA3985">
        <f>SUMIFS($S$2:S3985,$A$2:A3985,A3985,$N$2:N3985,"Explore*")</f>
        <v/>
      </c>
      <c r="AB3985">
        <f>IF(AND(LEFT(N3985,7)="Explore",(AA3985-IF(LEFT(N3985,7)="Explore",S3985,0))&lt;10),"SI","NO")</f>
        <v/>
      </c>
    </row>
    <row r="3986">
      <c r="A3986" t="inlineStr">
        <is>
          <t>c58m2_test</t>
        </is>
      </c>
      <c r="B3986" t="inlineStr">
        <is>
          <t>2026-07-02 10:25:12.364</t>
        </is>
      </c>
      <c r="C3986" t="n">
        <v/>
      </c>
      <c r="D3986" t="inlineStr">
        <is>
          <t>Media file</t>
        </is>
      </c>
      <c r="E3986" t="inlineStr">
        <is>
          <t>player #1:C:/Users/manuel.felline/Documents/BEHAVIOR BTBR/NOR second cohort/WT/test/c58_m2.mp4</t>
        </is>
      </c>
      <c r="F3986" t="n">
        <v>-19.933</v>
      </c>
      <c r="G3986" t="n">
        <v>588.1660000000001</v>
      </c>
      <c r="H3986" t="n">
        <v>635.833</v>
      </c>
      <c r="I3986" t="n">
        <v>30</v>
      </c>
      <c r="J3986" t="inlineStr">
        <is>
          <t xml:space="preserve"> WT</t>
        </is>
      </c>
      <c r="K3986" t="inlineStr">
        <is>
          <t>Male</t>
        </is>
      </c>
      <c r="L3986" t="inlineStr">
        <is>
          <t>No focal subject</t>
        </is>
      </c>
      <c r="M3986" t="n">
        <v>38.5</v>
      </c>
      <c r="N3986" t="inlineStr">
        <is>
          <t>Explore_N</t>
        </is>
      </c>
      <c r="O3986" t="inlineStr">
        <is>
          <t>Novelty</t>
        </is>
      </c>
      <c r="P3986" t="inlineStr">
        <is>
          <t>STATE</t>
        </is>
      </c>
      <c r="Q3986" t="n">
        <v>56.334</v>
      </c>
      <c r="R3986" t="n">
        <v>56.767</v>
      </c>
      <c r="S3986" t="n">
        <v>0.433</v>
      </c>
      <c r="T3986" t="inlineStr">
        <is>
          <t>C:/Users/manuel.felline/Documents/BEHAVIOR BTBR/NOR second cohort/WT/test/c58_m2.mp4</t>
        </is>
      </c>
      <c r="U3986" t="n">
        <v>2288</v>
      </c>
      <c r="V3986" t="n">
        <v>2301</v>
      </c>
      <c r="W3986" t="n">
        <v/>
      </c>
      <c r="X3986" t="n">
        <v/>
      </c>
      <c r="Y3986" t="n">
        <v/>
      </c>
      <c r="Z3986" t="n">
        <v/>
      </c>
      <c r="AA3986">
        <f>SUMIFS($S$2:S3986,$A$2:A3986,A3986,$N$2:N3986,"Explore*")</f>
        <v/>
      </c>
      <c r="AB3986">
        <f>IF(AND(LEFT(N3986,7)="Explore",(AA3986-IF(LEFT(N3986,7)="Explore",S3986,0))&lt;10),"SI","NO")</f>
        <v/>
      </c>
    </row>
    <row r="3987">
      <c r="A3987" t="inlineStr">
        <is>
          <t>c58m2_test</t>
        </is>
      </c>
      <c r="B3987" t="inlineStr">
        <is>
          <t>2026-07-02 10:25:12.364</t>
        </is>
      </c>
      <c r="C3987" t="n">
        <v/>
      </c>
      <c r="D3987" t="inlineStr">
        <is>
          <t>Media file</t>
        </is>
      </c>
      <c r="E3987" t="inlineStr">
        <is>
          <t>player #1:C:/Users/manuel.felline/Documents/BEHAVIOR BTBR/NOR second cohort/WT/test/c58_m2.mp4</t>
        </is>
      </c>
      <c r="F3987" t="n">
        <v>-19.933</v>
      </c>
      <c r="G3987" t="n">
        <v>588.1660000000001</v>
      </c>
      <c r="H3987" t="n">
        <v>635.833</v>
      </c>
      <c r="I3987" t="n">
        <v>30</v>
      </c>
      <c r="J3987" t="inlineStr">
        <is>
          <t xml:space="preserve"> WT</t>
        </is>
      </c>
      <c r="K3987" t="inlineStr">
        <is>
          <t>Male</t>
        </is>
      </c>
      <c r="L3987" t="inlineStr">
        <is>
          <t>No focal subject</t>
        </is>
      </c>
      <c r="M3987" t="n">
        <v>38.5</v>
      </c>
      <c r="N3987" t="inlineStr">
        <is>
          <t>Explore_N</t>
        </is>
      </c>
      <c r="O3987" t="inlineStr">
        <is>
          <t>Novelty</t>
        </is>
      </c>
      <c r="P3987" t="inlineStr">
        <is>
          <t>STATE</t>
        </is>
      </c>
      <c r="Q3987" t="n">
        <v>60.2</v>
      </c>
      <c r="R3987" t="n">
        <v>63.067</v>
      </c>
      <c r="S3987" t="n">
        <v>2.867</v>
      </c>
      <c r="T3987" t="inlineStr">
        <is>
          <t>C:/Users/manuel.felline/Documents/BEHAVIOR BTBR/NOR second cohort/WT/test/c58_m2.mp4</t>
        </is>
      </c>
      <c r="U3987" t="n">
        <v>2404</v>
      </c>
      <c r="V3987" t="n">
        <v>2490</v>
      </c>
      <c r="W3987" t="n">
        <v/>
      </c>
      <c r="X3987" t="n">
        <v/>
      </c>
      <c r="Y3987" t="n">
        <v/>
      </c>
      <c r="Z3987" t="n">
        <v/>
      </c>
      <c r="AA3987">
        <f>SUMIFS($S$2:S3987,$A$2:A3987,A3987,$N$2:N3987,"Explore*")</f>
        <v/>
      </c>
      <c r="AB3987">
        <f>IF(AND(LEFT(N3987,7)="Explore",(AA3987-IF(LEFT(N3987,7)="Explore",S3987,0))&lt;10),"SI","NO")</f>
        <v/>
      </c>
    </row>
    <row r="3988">
      <c r="A3988" t="inlineStr">
        <is>
          <t>c58m2_test</t>
        </is>
      </c>
      <c r="B3988" t="inlineStr">
        <is>
          <t>2026-07-02 10:25:12.364</t>
        </is>
      </c>
      <c r="C3988" t="n">
        <v/>
      </c>
      <c r="D3988" t="inlineStr">
        <is>
          <t>Media file</t>
        </is>
      </c>
      <c r="E3988" t="inlineStr">
        <is>
          <t>player #1:C:/Users/manuel.felline/Documents/BEHAVIOR BTBR/NOR second cohort/WT/test/c58_m2.mp4</t>
        </is>
      </c>
      <c r="F3988" t="n">
        <v>-19.933</v>
      </c>
      <c r="G3988" t="n">
        <v>588.1660000000001</v>
      </c>
      <c r="H3988" t="n">
        <v>635.833</v>
      </c>
      <c r="I3988" t="n">
        <v>30</v>
      </c>
      <c r="J3988" t="inlineStr">
        <is>
          <t xml:space="preserve"> WT</t>
        </is>
      </c>
      <c r="K3988" t="inlineStr">
        <is>
          <t>Male</t>
        </is>
      </c>
      <c r="L3988" t="inlineStr">
        <is>
          <t>No focal subject</t>
        </is>
      </c>
      <c r="M3988" t="n">
        <v>38.5</v>
      </c>
      <c r="N3988" t="inlineStr">
        <is>
          <t>Explore_F</t>
        </is>
      </c>
      <c r="O3988" t="inlineStr">
        <is>
          <t>Familiar</t>
        </is>
      </c>
      <c r="P3988" t="inlineStr">
        <is>
          <t>STATE</t>
        </is>
      </c>
      <c r="Q3988" t="n">
        <v>67.334</v>
      </c>
      <c r="R3988" t="n">
        <v>67.73399999999999</v>
      </c>
      <c r="S3988" t="n">
        <v>0.4</v>
      </c>
      <c r="T3988" t="inlineStr">
        <is>
          <t>C:/Users/manuel.felline/Documents/BEHAVIOR BTBR/NOR second cohort/WT/test/c58_m2.mp4</t>
        </is>
      </c>
      <c r="U3988" t="n">
        <v>2618</v>
      </c>
      <c r="V3988" t="n">
        <v>2630</v>
      </c>
      <c r="W3988" t="n">
        <v/>
      </c>
      <c r="X3988" t="n">
        <v/>
      </c>
      <c r="Y3988" t="n">
        <v/>
      </c>
      <c r="Z3988" t="n">
        <v/>
      </c>
      <c r="AA3988">
        <f>SUMIFS($S$2:S3988,$A$2:A3988,A3988,$N$2:N3988,"Explore*")</f>
        <v/>
      </c>
      <c r="AB3988">
        <f>IF(AND(LEFT(N3988,7)="Explore",(AA3988-IF(LEFT(N3988,7)="Explore",S3988,0))&lt;10),"SI","NO")</f>
        <v/>
      </c>
    </row>
    <row r="3989">
      <c r="A3989" t="inlineStr">
        <is>
          <t>c58m2_test</t>
        </is>
      </c>
      <c r="B3989" t="inlineStr">
        <is>
          <t>2026-07-02 10:25:12.364</t>
        </is>
      </c>
      <c r="C3989" t="n">
        <v/>
      </c>
      <c r="D3989" t="inlineStr">
        <is>
          <t>Media file</t>
        </is>
      </c>
      <c r="E3989" t="inlineStr">
        <is>
          <t>player #1:C:/Users/manuel.felline/Documents/BEHAVIOR BTBR/NOR second cohort/WT/test/c58_m2.mp4</t>
        </is>
      </c>
      <c r="F3989" t="n">
        <v>-19.933</v>
      </c>
      <c r="G3989" t="n">
        <v>588.1660000000001</v>
      </c>
      <c r="H3989" t="n">
        <v>635.833</v>
      </c>
      <c r="I3989" t="n">
        <v>30</v>
      </c>
      <c r="J3989" t="inlineStr">
        <is>
          <t xml:space="preserve"> WT</t>
        </is>
      </c>
      <c r="K3989" t="inlineStr">
        <is>
          <t>Male</t>
        </is>
      </c>
      <c r="L3989" t="inlineStr">
        <is>
          <t>No focal subject</t>
        </is>
      </c>
      <c r="M3989" t="n">
        <v>38.5</v>
      </c>
      <c r="N3989" t="inlineStr">
        <is>
          <t>Explore_F</t>
        </is>
      </c>
      <c r="O3989" t="inlineStr">
        <is>
          <t>Familiar</t>
        </is>
      </c>
      <c r="P3989" t="inlineStr">
        <is>
          <t>STATE</t>
        </is>
      </c>
      <c r="Q3989" t="n">
        <v>84.467</v>
      </c>
      <c r="R3989" t="n">
        <v>84.73399999999999</v>
      </c>
      <c r="S3989" t="n">
        <v>0.267</v>
      </c>
      <c r="T3989" t="inlineStr">
        <is>
          <t>C:/Users/manuel.felline/Documents/BEHAVIOR BTBR/NOR second cohort/WT/test/c58_m2.mp4</t>
        </is>
      </c>
      <c r="U3989" t="n">
        <v>3132</v>
      </c>
      <c r="V3989" t="n">
        <v>3140</v>
      </c>
      <c r="W3989" t="n">
        <v/>
      </c>
      <c r="X3989" t="n">
        <v/>
      </c>
      <c r="Y3989" t="n">
        <v/>
      </c>
      <c r="Z3989" t="n">
        <v/>
      </c>
      <c r="AA3989">
        <f>SUMIFS($S$2:S3989,$A$2:A3989,A3989,$N$2:N3989,"Explore*")</f>
        <v/>
      </c>
      <c r="AB3989">
        <f>IF(AND(LEFT(N3989,7)="Explore",(AA3989-IF(LEFT(N3989,7)="Explore",S3989,0))&lt;10),"SI","NO")</f>
        <v/>
      </c>
    </row>
    <row r="3990">
      <c r="A3990" t="inlineStr">
        <is>
          <t>c58m2_test</t>
        </is>
      </c>
      <c r="B3990" t="inlineStr">
        <is>
          <t>2026-07-02 10:25:12.364</t>
        </is>
      </c>
      <c r="C3990" t="n">
        <v/>
      </c>
      <c r="D3990" t="inlineStr">
        <is>
          <t>Media file</t>
        </is>
      </c>
      <c r="E3990" t="inlineStr">
        <is>
          <t>player #1:C:/Users/manuel.felline/Documents/BEHAVIOR BTBR/NOR second cohort/WT/test/c58_m2.mp4</t>
        </is>
      </c>
      <c r="F3990" t="n">
        <v>-19.933</v>
      </c>
      <c r="G3990" t="n">
        <v>588.1660000000001</v>
      </c>
      <c r="H3990" t="n">
        <v>635.833</v>
      </c>
      <c r="I3990" t="n">
        <v>30</v>
      </c>
      <c r="J3990" t="inlineStr">
        <is>
          <t xml:space="preserve"> WT</t>
        </is>
      </c>
      <c r="K3990" t="inlineStr">
        <is>
          <t>Male</t>
        </is>
      </c>
      <c r="L3990" t="inlineStr">
        <is>
          <t>No focal subject</t>
        </is>
      </c>
      <c r="M3990" t="n">
        <v>38.5</v>
      </c>
      <c r="N3990" t="inlineStr">
        <is>
          <t>Explore_N</t>
        </is>
      </c>
      <c r="O3990" t="inlineStr">
        <is>
          <t>Novelty</t>
        </is>
      </c>
      <c r="P3990" t="inlineStr">
        <is>
          <t>STATE</t>
        </is>
      </c>
      <c r="Q3990" t="n">
        <v>89.634</v>
      </c>
      <c r="R3990" t="n">
        <v>89.834</v>
      </c>
      <c r="S3990" t="n">
        <v>0.2</v>
      </c>
      <c r="T3990" t="inlineStr">
        <is>
          <t>C:/Users/manuel.felline/Documents/BEHAVIOR BTBR/NOR second cohort/WT/test/c58_m2.mp4</t>
        </is>
      </c>
      <c r="U3990" t="n">
        <v>3287</v>
      </c>
      <c r="V3990" t="n">
        <v>3293</v>
      </c>
      <c r="W3990" t="n">
        <v/>
      </c>
      <c r="X3990" t="n">
        <v/>
      </c>
      <c r="Y3990" t="n">
        <v/>
      </c>
      <c r="Z3990" t="n">
        <v/>
      </c>
      <c r="AA3990">
        <f>SUMIFS($S$2:S3990,$A$2:A3990,A3990,$N$2:N3990,"Explore*")</f>
        <v/>
      </c>
      <c r="AB3990">
        <f>IF(AND(LEFT(N3990,7)="Explore",(AA3990-IF(LEFT(N3990,7)="Explore",S3990,0))&lt;10),"SI","NO")</f>
        <v/>
      </c>
    </row>
    <row r="3991">
      <c r="A3991" t="inlineStr">
        <is>
          <t>c58m2_test</t>
        </is>
      </c>
      <c r="B3991" t="inlineStr">
        <is>
          <t>2026-07-02 10:25:12.364</t>
        </is>
      </c>
      <c r="C3991" t="n">
        <v/>
      </c>
      <c r="D3991" t="inlineStr">
        <is>
          <t>Media file</t>
        </is>
      </c>
      <c r="E3991" t="inlineStr">
        <is>
          <t>player #1:C:/Users/manuel.felline/Documents/BEHAVIOR BTBR/NOR second cohort/WT/test/c58_m2.mp4</t>
        </is>
      </c>
      <c r="F3991" t="n">
        <v>-19.933</v>
      </c>
      <c r="G3991" t="n">
        <v>588.1660000000001</v>
      </c>
      <c r="H3991" t="n">
        <v>635.833</v>
      </c>
      <c r="I3991" t="n">
        <v>30</v>
      </c>
      <c r="J3991" t="inlineStr">
        <is>
          <t xml:space="preserve"> WT</t>
        </is>
      </c>
      <c r="K3991" t="inlineStr">
        <is>
          <t>Male</t>
        </is>
      </c>
      <c r="L3991" t="inlineStr">
        <is>
          <t>No focal subject</t>
        </is>
      </c>
      <c r="M3991" t="n">
        <v>38.5</v>
      </c>
      <c r="N3991" t="inlineStr">
        <is>
          <t>Explore_N</t>
        </is>
      </c>
      <c r="O3991" t="inlineStr">
        <is>
          <t>Novelty</t>
        </is>
      </c>
      <c r="P3991" t="inlineStr">
        <is>
          <t>STATE</t>
        </is>
      </c>
      <c r="Q3991" t="n">
        <v>92.434</v>
      </c>
      <c r="R3991" t="n">
        <v>94.53400000000001</v>
      </c>
      <c r="S3991" t="n">
        <v>2.1</v>
      </c>
      <c r="T3991" t="inlineStr">
        <is>
          <t>C:/Users/manuel.felline/Documents/BEHAVIOR BTBR/NOR second cohort/WT/test/c58_m2.mp4</t>
        </is>
      </c>
      <c r="U3991" t="n">
        <v>3370</v>
      </c>
      <c r="V3991" t="n">
        <v>3433</v>
      </c>
      <c r="W3991" t="n">
        <v/>
      </c>
      <c r="X3991" t="n">
        <v/>
      </c>
      <c r="Y3991" t="n">
        <v/>
      </c>
      <c r="Z3991" t="n">
        <v/>
      </c>
      <c r="AA3991">
        <f>SUMIFS($S$2:S3991,$A$2:A3991,A3991,$N$2:N3991,"Explore*")</f>
        <v/>
      </c>
      <c r="AB3991">
        <f>IF(AND(LEFT(N3991,7)="Explore",(AA3991-IF(LEFT(N3991,7)="Explore",S3991,0))&lt;10),"SI","NO")</f>
        <v/>
      </c>
    </row>
    <row r="3992">
      <c r="A3992" t="inlineStr">
        <is>
          <t>c58m2_test</t>
        </is>
      </c>
      <c r="B3992" t="inlineStr">
        <is>
          <t>2026-07-02 10:25:12.364</t>
        </is>
      </c>
      <c r="C3992" t="n">
        <v/>
      </c>
      <c r="D3992" t="inlineStr">
        <is>
          <t>Media file</t>
        </is>
      </c>
      <c r="E3992" t="inlineStr">
        <is>
          <t>player #1:C:/Users/manuel.felline/Documents/BEHAVIOR BTBR/NOR second cohort/WT/test/c58_m2.mp4</t>
        </is>
      </c>
      <c r="F3992" t="n">
        <v>-19.933</v>
      </c>
      <c r="G3992" t="n">
        <v>588.1660000000001</v>
      </c>
      <c r="H3992" t="n">
        <v>635.833</v>
      </c>
      <c r="I3992" t="n">
        <v>30</v>
      </c>
      <c r="J3992" t="inlineStr">
        <is>
          <t xml:space="preserve"> WT</t>
        </is>
      </c>
      <c r="K3992" t="inlineStr">
        <is>
          <t>Male</t>
        </is>
      </c>
      <c r="L3992" t="inlineStr">
        <is>
          <t>No focal subject</t>
        </is>
      </c>
      <c r="M3992" t="n">
        <v>38.5</v>
      </c>
      <c r="N3992" t="inlineStr">
        <is>
          <t>Explore_F</t>
        </is>
      </c>
      <c r="O3992" t="inlineStr">
        <is>
          <t>Familiar</t>
        </is>
      </c>
      <c r="P3992" t="inlineStr">
        <is>
          <t>STATE</t>
        </is>
      </c>
      <c r="Q3992" t="n">
        <v>130.1</v>
      </c>
      <c r="R3992" t="n">
        <v>130.467</v>
      </c>
      <c r="S3992" t="n">
        <v>0.367</v>
      </c>
      <c r="T3992" t="inlineStr">
        <is>
          <t>C:/Users/manuel.felline/Documents/BEHAVIOR BTBR/NOR second cohort/WT/test/c58_m2.mp4</t>
        </is>
      </c>
      <c r="U3992" t="n">
        <v>4500</v>
      </c>
      <c r="V3992" t="n">
        <v>4511</v>
      </c>
      <c r="W3992" t="n">
        <v/>
      </c>
      <c r="X3992" t="n">
        <v/>
      </c>
      <c r="Y3992" t="n">
        <v/>
      </c>
      <c r="Z3992" t="n">
        <v/>
      </c>
      <c r="AA3992">
        <f>SUMIFS($S$2:S3992,$A$2:A3992,A3992,$N$2:N3992,"Explore*")</f>
        <v/>
      </c>
      <c r="AB3992">
        <f>IF(AND(LEFT(N3992,7)="Explore",(AA3992-IF(LEFT(N3992,7)="Explore",S3992,0))&lt;10),"SI","NO")</f>
        <v/>
      </c>
    </row>
    <row r="3993">
      <c r="A3993" t="inlineStr">
        <is>
          <t>c58m2_test</t>
        </is>
      </c>
      <c r="B3993" t="inlineStr">
        <is>
          <t>2026-07-02 10:25:12.364</t>
        </is>
      </c>
      <c r="C3993" t="n">
        <v/>
      </c>
      <c r="D3993" t="inlineStr">
        <is>
          <t>Media file</t>
        </is>
      </c>
      <c r="E3993" t="inlineStr">
        <is>
          <t>player #1:C:/Users/manuel.felline/Documents/BEHAVIOR BTBR/NOR second cohort/WT/test/c58_m2.mp4</t>
        </is>
      </c>
      <c r="F3993" t="n">
        <v>-19.933</v>
      </c>
      <c r="G3993" t="n">
        <v>588.1660000000001</v>
      </c>
      <c r="H3993" t="n">
        <v>635.833</v>
      </c>
      <c r="I3993" t="n">
        <v>30</v>
      </c>
      <c r="J3993" t="inlineStr">
        <is>
          <t xml:space="preserve"> WT</t>
        </is>
      </c>
      <c r="K3993" t="inlineStr">
        <is>
          <t>Male</t>
        </is>
      </c>
      <c r="L3993" t="inlineStr">
        <is>
          <t>No focal subject</t>
        </is>
      </c>
      <c r="M3993" t="n">
        <v>38.5</v>
      </c>
      <c r="N3993" t="inlineStr">
        <is>
          <t>Explore_N</t>
        </is>
      </c>
      <c r="O3993" t="inlineStr">
        <is>
          <t>Novelty</t>
        </is>
      </c>
      <c r="P3993" t="inlineStr">
        <is>
          <t>STATE</t>
        </is>
      </c>
      <c r="Q3993" t="n">
        <v>151.267</v>
      </c>
      <c r="R3993" t="n">
        <v>152.1</v>
      </c>
      <c r="S3993" t="n">
        <v>0.833</v>
      </c>
      <c r="T3993" t="inlineStr">
        <is>
          <t>C:/Users/manuel.felline/Documents/BEHAVIOR BTBR/NOR second cohort/WT/test/c58_m2.mp4</t>
        </is>
      </c>
      <c r="U3993" t="n">
        <v>5135</v>
      </c>
      <c r="V3993" t="n">
        <v>5160</v>
      </c>
      <c r="W3993" t="n">
        <v/>
      </c>
      <c r="X3993" t="n">
        <v/>
      </c>
      <c r="Y3993" t="n">
        <v/>
      </c>
      <c r="Z3993" t="n">
        <v/>
      </c>
      <c r="AA3993">
        <f>SUMIFS($S$2:S3993,$A$2:A3993,A3993,$N$2:N3993,"Explore*")</f>
        <v/>
      </c>
      <c r="AB3993">
        <f>IF(AND(LEFT(N3993,7)="Explore",(AA3993-IF(LEFT(N3993,7)="Explore",S3993,0))&lt;10),"SI","NO")</f>
        <v/>
      </c>
    </row>
    <row r="3994">
      <c r="A3994" t="inlineStr">
        <is>
          <t>c58m2_test</t>
        </is>
      </c>
      <c r="B3994" t="inlineStr">
        <is>
          <t>2026-07-02 10:25:12.364</t>
        </is>
      </c>
      <c r="C3994" t="n">
        <v/>
      </c>
      <c r="D3994" t="inlineStr">
        <is>
          <t>Media file</t>
        </is>
      </c>
      <c r="E3994" t="inlineStr">
        <is>
          <t>player #1:C:/Users/manuel.felline/Documents/BEHAVIOR BTBR/NOR second cohort/WT/test/c58_m2.mp4</t>
        </is>
      </c>
      <c r="F3994" t="n">
        <v>-19.933</v>
      </c>
      <c r="G3994" t="n">
        <v>588.1660000000001</v>
      </c>
      <c r="H3994" t="n">
        <v>635.833</v>
      </c>
      <c r="I3994" t="n">
        <v>30</v>
      </c>
      <c r="J3994" t="inlineStr">
        <is>
          <t xml:space="preserve"> WT</t>
        </is>
      </c>
      <c r="K3994" t="inlineStr">
        <is>
          <t>Male</t>
        </is>
      </c>
      <c r="L3994" t="inlineStr">
        <is>
          <t>No focal subject</t>
        </is>
      </c>
      <c r="M3994" t="n">
        <v>38.5</v>
      </c>
      <c r="N3994" t="inlineStr">
        <is>
          <t>Explore_F</t>
        </is>
      </c>
      <c r="O3994" t="inlineStr">
        <is>
          <t>Familiar</t>
        </is>
      </c>
      <c r="P3994" t="inlineStr">
        <is>
          <t>STATE</t>
        </is>
      </c>
      <c r="Q3994" t="n">
        <v>165.4</v>
      </c>
      <c r="R3994" t="n">
        <v>165.9</v>
      </c>
      <c r="S3994" t="n">
        <v>0.5</v>
      </c>
      <c r="T3994" t="inlineStr">
        <is>
          <t>C:/Users/manuel.felline/Documents/BEHAVIOR BTBR/NOR second cohort/WT/test/c58_m2.mp4</t>
        </is>
      </c>
      <c r="U3994" t="n">
        <v>5559</v>
      </c>
      <c r="V3994" t="n">
        <v>5574</v>
      </c>
      <c r="W3994" t="n">
        <v/>
      </c>
      <c r="X3994" t="n">
        <v/>
      </c>
      <c r="Y3994" t="n">
        <v/>
      </c>
      <c r="Z3994" t="n">
        <v/>
      </c>
      <c r="AA3994">
        <f>SUMIFS($S$2:S3994,$A$2:A3994,A3994,$N$2:N3994,"Explore*")</f>
        <v/>
      </c>
      <c r="AB3994">
        <f>IF(AND(LEFT(N3994,7)="Explore",(AA3994-IF(LEFT(N3994,7)="Explore",S3994,0))&lt;10),"SI","NO")</f>
        <v/>
      </c>
    </row>
    <row r="3995">
      <c r="A3995" t="inlineStr">
        <is>
          <t>c58m2_test</t>
        </is>
      </c>
      <c r="B3995" t="inlineStr">
        <is>
          <t>2026-07-02 10:25:12.364</t>
        </is>
      </c>
      <c r="C3995" t="n">
        <v/>
      </c>
      <c r="D3995" t="inlineStr">
        <is>
          <t>Media file</t>
        </is>
      </c>
      <c r="E3995" t="inlineStr">
        <is>
          <t>player #1:C:/Users/manuel.felline/Documents/BEHAVIOR BTBR/NOR second cohort/WT/test/c58_m2.mp4</t>
        </is>
      </c>
      <c r="F3995" t="n">
        <v>-19.933</v>
      </c>
      <c r="G3995" t="n">
        <v>588.1660000000001</v>
      </c>
      <c r="H3995" t="n">
        <v>635.833</v>
      </c>
      <c r="I3995" t="n">
        <v>30</v>
      </c>
      <c r="J3995" t="inlineStr">
        <is>
          <t xml:space="preserve"> WT</t>
        </is>
      </c>
      <c r="K3995" t="inlineStr">
        <is>
          <t>Male</t>
        </is>
      </c>
      <c r="L3995" t="inlineStr">
        <is>
          <t>No focal subject</t>
        </is>
      </c>
      <c r="M3995" t="n">
        <v>38.5</v>
      </c>
      <c r="N3995" t="inlineStr">
        <is>
          <t>Explore_F</t>
        </is>
      </c>
      <c r="O3995" t="inlineStr">
        <is>
          <t>Familiar</t>
        </is>
      </c>
      <c r="P3995" t="inlineStr">
        <is>
          <t>STATE</t>
        </is>
      </c>
      <c r="Q3995" t="n">
        <v>172.8</v>
      </c>
      <c r="R3995" t="n">
        <v>174.167</v>
      </c>
      <c r="S3995" t="n">
        <v>1.367</v>
      </c>
      <c r="T3995" t="inlineStr">
        <is>
          <t>C:/Users/manuel.felline/Documents/BEHAVIOR BTBR/NOR second cohort/WT/test/c58_m2.mp4</t>
        </is>
      </c>
      <c r="U3995" t="n">
        <v>5781</v>
      </c>
      <c r="V3995" t="n">
        <v>5822</v>
      </c>
      <c r="W3995" t="n">
        <v/>
      </c>
      <c r="X3995" t="n">
        <v/>
      </c>
      <c r="Y3995" t="n">
        <v/>
      </c>
      <c r="Z3995" t="n">
        <v/>
      </c>
      <c r="AA3995">
        <f>SUMIFS($S$2:S3995,$A$2:A3995,A3995,$N$2:N3995,"Explore*")</f>
        <v/>
      </c>
      <c r="AB3995">
        <f>IF(AND(LEFT(N3995,7)="Explore",(AA3995-IF(LEFT(N3995,7)="Explore",S3995,0))&lt;10),"SI","NO")</f>
        <v/>
      </c>
    </row>
    <row r="3996">
      <c r="A3996" t="inlineStr">
        <is>
          <t>c58m2_test</t>
        </is>
      </c>
      <c r="B3996" t="inlineStr">
        <is>
          <t>2026-07-02 10:25:12.364</t>
        </is>
      </c>
      <c r="C3996" t="n">
        <v/>
      </c>
      <c r="D3996" t="inlineStr">
        <is>
          <t>Media file</t>
        </is>
      </c>
      <c r="E3996" t="inlineStr">
        <is>
          <t>player #1:C:/Users/manuel.felline/Documents/BEHAVIOR BTBR/NOR second cohort/WT/test/c58_m2.mp4</t>
        </is>
      </c>
      <c r="F3996" t="n">
        <v>-19.933</v>
      </c>
      <c r="G3996" t="n">
        <v>588.1660000000001</v>
      </c>
      <c r="H3996" t="n">
        <v>635.833</v>
      </c>
      <c r="I3996" t="n">
        <v>30</v>
      </c>
      <c r="J3996" t="inlineStr">
        <is>
          <t xml:space="preserve"> WT</t>
        </is>
      </c>
      <c r="K3996" t="inlineStr">
        <is>
          <t>Male</t>
        </is>
      </c>
      <c r="L3996" t="inlineStr">
        <is>
          <t>No focal subject</t>
        </is>
      </c>
      <c r="M3996" t="n">
        <v>38.5</v>
      </c>
      <c r="N3996" t="inlineStr">
        <is>
          <t>Explore_N</t>
        </is>
      </c>
      <c r="O3996" t="inlineStr">
        <is>
          <t>Novelty</t>
        </is>
      </c>
      <c r="P3996" t="inlineStr">
        <is>
          <t>STATE</t>
        </is>
      </c>
      <c r="Q3996" t="n">
        <v>180.767</v>
      </c>
      <c r="R3996" t="n">
        <v>181.9</v>
      </c>
      <c r="S3996" t="n">
        <v>1.133</v>
      </c>
      <c r="T3996" t="inlineStr">
        <is>
          <t>C:/Users/manuel.felline/Documents/BEHAVIOR BTBR/NOR second cohort/WT/test/c58_m2.mp4</t>
        </is>
      </c>
      <c r="U3996" t="n">
        <v>6020</v>
      </c>
      <c r="V3996" t="n">
        <v>6054</v>
      </c>
      <c r="W3996" t="n">
        <v/>
      </c>
      <c r="X3996" t="n">
        <v/>
      </c>
      <c r="Y3996" t="n">
        <v/>
      </c>
      <c r="Z3996" t="n">
        <v/>
      </c>
      <c r="AA3996">
        <f>SUMIFS($S$2:S3996,$A$2:A3996,A3996,$N$2:N3996,"Explore*")</f>
        <v/>
      </c>
      <c r="AB3996">
        <f>IF(AND(LEFT(N3996,7)="Explore",(AA3996-IF(LEFT(N3996,7)="Explore",S3996,0))&lt;10),"SI","NO")</f>
        <v/>
      </c>
    </row>
    <row r="3997">
      <c r="A3997" t="inlineStr">
        <is>
          <t>c58m2_test</t>
        </is>
      </c>
      <c r="B3997" t="inlineStr">
        <is>
          <t>2026-07-02 10:25:12.364</t>
        </is>
      </c>
      <c r="C3997" t="n">
        <v/>
      </c>
      <c r="D3997" t="inlineStr">
        <is>
          <t>Media file</t>
        </is>
      </c>
      <c r="E3997" t="inlineStr">
        <is>
          <t>player #1:C:/Users/manuel.felline/Documents/BEHAVIOR BTBR/NOR second cohort/WT/test/c58_m2.mp4</t>
        </is>
      </c>
      <c r="F3997" t="n">
        <v>-19.933</v>
      </c>
      <c r="G3997" t="n">
        <v>588.1660000000001</v>
      </c>
      <c r="H3997" t="n">
        <v>635.833</v>
      </c>
      <c r="I3997" t="n">
        <v>30</v>
      </c>
      <c r="J3997" t="inlineStr">
        <is>
          <t xml:space="preserve"> WT</t>
        </is>
      </c>
      <c r="K3997" t="inlineStr">
        <is>
          <t>Male</t>
        </is>
      </c>
      <c r="L3997" t="inlineStr">
        <is>
          <t>No focal subject</t>
        </is>
      </c>
      <c r="M3997" t="n">
        <v>38.5</v>
      </c>
      <c r="N3997" t="inlineStr">
        <is>
          <t>Explore_F</t>
        </is>
      </c>
      <c r="O3997" t="inlineStr">
        <is>
          <t>Familiar</t>
        </is>
      </c>
      <c r="P3997" t="inlineStr">
        <is>
          <t>STATE</t>
        </is>
      </c>
      <c r="Q3997" t="n">
        <v>184.433</v>
      </c>
      <c r="R3997" t="n">
        <v>184.733</v>
      </c>
      <c r="S3997" t="n">
        <v>0.3</v>
      </c>
      <c r="T3997" t="inlineStr">
        <is>
          <t>C:/Users/manuel.felline/Documents/BEHAVIOR BTBR/NOR second cohort/WT/test/c58_m2.mp4</t>
        </is>
      </c>
      <c r="U3997" t="n">
        <v>6130</v>
      </c>
      <c r="V3997" t="n">
        <v>6139</v>
      </c>
      <c r="W3997" t="n">
        <v/>
      </c>
      <c r="X3997" t="n">
        <v/>
      </c>
      <c r="Y3997" t="n">
        <v/>
      </c>
      <c r="Z3997" t="n">
        <v/>
      </c>
      <c r="AA3997">
        <f>SUMIFS($S$2:S3997,$A$2:A3997,A3997,$N$2:N3997,"Explore*")</f>
        <v/>
      </c>
      <c r="AB3997">
        <f>IF(AND(LEFT(N3997,7)="Explore",(AA3997-IF(LEFT(N3997,7)="Explore",S3997,0))&lt;10),"SI","NO")</f>
        <v/>
      </c>
    </row>
    <row r="3998">
      <c r="A3998" t="inlineStr">
        <is>
          <t>c58m2_test</t>
        </is>
      </c>
      <c r="B3998" t="inlineStr">
        <is>
          <t>2026-07-02 10:25:12.364</t>
        </is>
      </c>
      <c r="C3998" t="n">
        <v/>
      </c>
      <c r="D3998" t="inlineStr">
        <is>
          <t>Media file</t>
        </is>
      </c>
      <c r="E3998" t="inlineStr">
        <is>
          <t>player #1:C:/Users/manuel.felline/Documents/BEHAVIOR BTBR/NOR second cohort/WT/test/c58_m2.mp4</t>
        </is>
      </c>
      <c r="F3998" t="n">
        <v>-19.933</v>
      </c>
      <c r="G3998" t="n">
        <v>588.1660000000001</v>
      </c>
      <c r="H3998" t="n">
        <v>635.833</v>
      </c>
      <c r="I3998" t="n">
        <v>30</v>
      </c>
      <c r="J3998" t="inlineStr">
        <is>
          <t xml:space="preserve"> WT</t>
        </is>
      </c>
      <c r="K3998" t="inlineStr">
        <is>
          <t>Male</t>
        </is>
      </c>
      <c r="L3998" t="inlineStr">
        <is>
          <t>No focal subject</t>
        </is>
      </c>
      <c r="M3998" t="n">
        <v>38.5</v>
      </c>
      <c r="N3998" t="inlineStr">
        <is>
          <t>Explore_N</t>
        </is>
      </c>
      <c r="O3998" t="inlineStr">
        <is>
          <t>Novelty</t>
        </is>
      </c>
      <c r="P3998" t="inlineStr">
        <is>
          <t>STATE</t>
        </is>
      </c>
      <c r="Q3998" t="n">
        <v>185.8</v>
      </c>
      <c r="R3998" t="n">
        <v>186.433</v>
      </c>
      <c r="S3998" t="n">
        <v>0.633</v>
      </c>
      <c r="T3998" t="inlineStr">
        <is>
          <t>C:/Users/manuel.felline/Documents/BEHAVIOR BTBR/NOR second cohort/WT/test/c58_m2.mp4</t>
        </is>
      </c>
      <c r="U3998" t="n">
        <v>6171</v>
      </c>
      <c r="V3998" t="n">
        <v>6190</v>
      </c>
      <c r="W3998" t="n">
        <v/>
      </c>
      <c r="X3998" t="n">
        <v/>
      </c>
      <c r="Y3998" t="n">
        <v/>
      </c>
      <c r="Z3998" t="n">
        <v/>
      </c>
      <c r="AA3998">
        <f>SUMIFS($S$2:S3998,$A$2:A3998,A3998,$N$2:N3998,"Explore*")</f>
        <v/>
      </c>
      <c r="AB3998">
        <f>IF(AND(LEFT(N3998,7)="Explore",(AA3998-IF(LEFT(N3998,7)="Explore",S3998,0))&lt;10),"SI","NO")</f>
        <v/>
      </c>
    </row>
    <row r="3999">
      <c r="A3999" t="inlineStr">
        <is>
          <t>c58m2_test</t>
        </is>
      </c>
      <c r="B3999" t="inlineStr">
        <is>
          <t>2026-07-02 10:25:12.364</t>
        </is>
      </c>
      <c r="C3999" t="n">
        <v/>
      </c>
      <c r="D3999" t="inlineStr">
        <is>
          <t>Media file</t>
        </is>
      </c>
      <c r="E3999" t="inlineStr">
        <is>
          <t>player #1:C:/Users/manuel.felline/Documents/BEHAVIOR BTBR/NOR second cohort/WT/test/c58_m2.mp4</t>
        </is>
      </c>
      <c r="F3999" t="n">
        <v>-19.933</v>
      </c>
      <c r="G3999" t="n">
        <v>588.1660000000001</v>
      </c>
      <c r="H3999" t="n">
        <v>635.833</v>
      </c>
      <c r="I3999" t="n">
        <v>30</v>
      </c>
      <c r="J3999" t="inlineStr">
        <is>
          <t xml:space="preserve"> WT</t>
        </is>
      </c>
      <c r="K3999" t="inlineStr">
        <is>
          <t>Male</t>
        </is>
      </c>
      <c r="L3999" t="inlineStr">
        <is>
          <t>No focal subject</t>
        </is>
      </c>
      <c r="M3999" t="n">
        <v>38.5</v>
      </c>
      <c r="N3999" t="inlineStr">
        <is>
          <t>Explore_N</t>
        </is>
      </c>
      <c r="O3999" t="inlineStr">
        <is>
          <t>Novelty</t>
        </is>
      </c>
      <c r="P3999" t="inlineStr">
        <is>
          <t>STATE</t>
        </is>
      </c>
      <c r="Q3999" t="n">
        <v>188.267</v>
      </c>
      <c r="R3999" t="n">
        <v>188.8</v>
      </c>
      <c r="S3999" t="n">
        <v>0.533</v>
      </c>
      <c r="T3999" t="inlineStr">
        <is>
          <t>C:/Users/manuel.felline/Documents/BEHAVIOR BTBR/NOR second cohort/WT/test/c58_m2.mp4</t>
        </is>
      </c>
      <c r="U3999" t="n">
        <v>6245</v>
      </c>
      <c r="V3999" t="n">
        <v>6261</v>
      </c>
      <c r="W3999" t="n">
        <v/>
      </c>
      <c r="X3999" t="n">
        <v/>
      </c>
      <c r="Y3999" t="n">
        <v/>
      </c>
      <c r="Z3999" t="n">
        <v/>
      </c>
      <c r="AA3999">
        <f>SUMIFS($S$2:S3999,$A$2:A3999,A3999,$N$2:N3999,"Explore*")</f>
        <v/>
      </c>
      <c r="AB3999">
        <f>IF(AND(LEFT(N3999,7)="Explore",(AA3999-IF(LEFT(N3999,7)="Explore",S3999,0))&lt;10),"SI","NO")</f>
        <v/>
      </c>
    </row>
    <row r="4000">
      <c r="A4000" t="inlineStr">
        <is>
          <t>c58m2_test</t>
        </is>
      </c>
      <c r="B4000" t="inlineStr">
        <is>
          <t>2026-07-02 10:25:12.364</t>
        </is>
      </c>
      <c r="C4000" t="n">
        <v/>
      </c>
      <c r="D4000" t="inlineStr">
        <is>
          <t>Media file</t>
        </is>
      </c>
      <c r="E4000" t="inlineStr">
        <is>
          <t>player #1:C:/Users/manuel.felline/Documents/BEHAVIOR BTBR/NOR second cohort/WT/test/c58_m2.mp4</t>
        </is>
      </c>
      <c r="F4000" t="n">
        <v>-19.933</v>
      </c>
      <c r="G4000" t="n">
        <v>588.1660000000001</v>
      </c>
      <c r="H4000" t="n">
        <v>635.833</v>
      </c>
      <c r="I4000" t="n">
        <v>30</v>
      </c>
      <c r="J4000" t="inlineStr">
        <is>
          <t xml:space="preserve"> WT</t>
        </is>
      </c>
      <c r="K4000" t="inlineStr">
        <is>
          <t>Male</t>
        </is>
      </c>
      <c r="L4000" t="inlineStr">
        <is>
          <t>No focal subject</t>
        </is>
      </c>
      <c r="M4000" t="n">
        <v>38.5</v>
      </c>
      <c r="N4000" t="inlineStr">
        <is>
          <t>Explore_N</t>
        </is>
      </c>
      <c r="O4000" t="inlineStr">
        <is>
          <t>Novelty</t>
        </is>
      </c>
      <c r="P4000" t="inlineStr">
        <is>
          <t>STATE</t>
        </is>
      </c>
      <c r="Q4000" t="n">
        <v>201.633</v>
      </c>
      <c r="R4000" t="n">
        <v>202.2</v>
      </c>
      <c r="S4000" t="n">
        <v>0.5669999999999999</v>
      </c>
      <c r="T4000" t="inlineStr">
        <is>
          <t>C:/Users/manuel.felline/Documents/BEHAVIOR BTBR/NOR second cohort/WT/test/c58_m2.mp4</t>
        </is>
      </c>
      <c r="U4000" t="n">
        <v>6646</v>
      </c>
      <c r="V4000" t="n">
        <v>6663</v>
      </c>
      <c r="W4000" t="n">
        <v/>
      </c>
      <c r="X4000" t="n">
        <v/>
      </c>
      <c r="Y4000" t="n">
        <v/>
      </c>
      <c r="Z4000" t="n">
        <v/>
      </c>
      <c r="AA4000">
        <f>SUMIFS($S$2:S4000,$A$2:A4000,A4000,$N$2:N4000,"Explore*")</f>
        <v/>
      </c>
      <c r="AB4000">
        <f>IF(AND(LEFT(N4000,7)="Explore",(AA4000-IF(LEFT(N4000,7)="Explore",S4000,0))&lt;10),"SI","NO")</f>
        <v/>
      </c>
    </row>
    <row r="4001">
      <c r="A4001" t="inlineStr">
        <is>
          <t>c58m2_test</t>
        </is>
      </c>
      <c r="B4001" t="inlineStr">
        <is>
          <t>2026-07-02 10:25:12.364</t>
        </is>
      </c>
      <c r="C4001" t="n">
        <v/>
      </c>
      <c r="D4001" t="inlineStr">
        <is>
          <t>Media file</t>
        </is>
      </c>
      <c r="E4001" t="inlineStr">
        <is>
          <t>player #1:C:/Users/manuel.felline/Documents/BEHAVIOR BTBR/NOR second cohort/WT/test/c58_m2.mp4</t>
        </is>
      </c>
      <c r="F4001" t="n">
        <v>-19.933</v>
      </c>
      <c r="G4001" t="n">
        <v>588.1660000000001</v>
      </c>
      <c r="H4001" t="n">
        <v>635.833</v>
      </c>
      <c r="I4001" t="n">
        <v>30</v>
      </c>
      <c r="J4001" t="inlineStr">
        <is>
          <t xml:space="preserve"> WT</t>
        </is>
      </c>
      <c r="K4001" t="inlineStr">
        <is>
          <t>Male</t>
        </is>
      </c>
      <c r="L4001" t="inlineStr">
        <is>
          <t>No focal subject</t>
        </is>
      </c>
      <c r="M4001" t="n">
        <v>38.5</v>
      </c>
      <c r="N4001" t="inlineStr">
        <is>
          <t>Explore_N</t>
        </is>
      </c>
      <c r="O4001" t="inlineStr">
        <is>
          <t>Novelty</t>
        </is>
      </c>
      <c r="P4001" t="inlineStr">
        <is>
          <t>STATE</t>
        </is>
      </c>
      <c r="Q4001" t="n">
        <v>216.5</v>
      </c>
      <c r="R4001" t="n">
        <v>217.533</v>
      </c>
      <c r="S4001" t="n">
        <v>1.033</v>
      </c>
      <c r="T4001" t="inlineStr">
        <is>
          <t>C:/Users/manuel.felline/Documents/BEHAVIOR BTBR/NOR second cohort/WT/test/c58_m2.mp4</t>
        </is>
      </c>
      <c r="U4001" t="n">
        <v>7092</v>
      </c>
      <c r="V4001" t="n">
        <v>7123</v>
      </c>
      <c r="W4001" t="n">
        <v/>
      </c>
      <c r="X4001" t="n">
        <v/>
      </c>
      <c r="Y4001" t="n">
        <v/>
      </c>
      <c r="Z4001" t="n">
        <v/>
      </c>
      <c r="AA4001">
        <f>SUMIFS($S$2:S4001,$A$2:A4001,A4001,$N$2:N4001,"Explore*")</f>
        <v/>
      </c>
      <c r="AB4001">
        <f>IF(AND(LEFT(N4001,7)="Explore",(AA4001-IF(LEFT(N4001,7)="Explore",S4001,0))&lt;10),"SI","NO")</f>
        <v/>
      </c>
    </row>
    <row r="4002">
      <c r="A4002" t="inlineStr">
        <is>
          <t>c58m2_test</t>
        </is>
      </c>
      <c r="B4002" t="inlineStr">
        <is>
          <t>2026-07-02 10:25:12.364</t>
        </is>
      </c>
      <c r="C4002" t="n">
        <v/>
      </c>
      <c r="D4002" t="inlineStr">
        <is>
          <t>Media file</t>
        </is>
      </c>
      <c r="E4002" t="inlineStr">
        <is>
          <t>player #1:C:/Users/manuel.felline/Documents/BEHAVIOR BTBR/NOR second cohort/WT/test/c58_m2.mp4</t>
        </is>
      </c>
      <c r="F4002" t="n">
        <v>-19.933</v>
      </c>
      <c r="G4002" t="n">
        <v>588.1660000000001</v>
      </c>
      <c r="H4002" t="n">
        <v>635.833</v>
      </c>
      <c r="I4002" t="n">
        <v>30</v>
      </c>
      <c r="J4002" t="inlineStr">
        <is>
          <t xml:space="preserve"> WT</t>
        </is>
      </c>
      <c r="K4002" t="inlineStr">
        <is>
          <t>Male</t>
        </is>
      </c>
      <c r="L4002" t="inlineStr">
        <is>
          <t>No focal subject</t>
        </is>
      </c>
      <c r="M4002" t="n">
        <v>38.5</v>
      </c>
      <c r="N4002" t="inlineStr">
        <is>
          <t>Explore_N</t>
        </is>
      </c>
      <c r="O4002" t="inlineStr">
        <is>
          <t>Novelty</t>
        </is>
      </c>
      <c r="P4002" t="inlineStr">
        <is>
          <t>STATE</t>
        </is>
      </c>
      <c r="Q4002" t="n">
        <v>220.833</v>
      </c>
      <c r="R4002" t="n">
        <v>221.733</v>
      </c>
      <c r="S4002" t="n">
        <v>0.9</v>
      </c>
      <c r="T4002" t="inlineStr">
        <is>
          <t>C:/Users/manuel.felline/Documents/BEHAVIOR BTBR/NOR second cohort/WT/test/c58_m2.mp4</t>
        </is>
      </c>
      <c r="U4002" t="n">
        <v>7222</v>
      </c>
      <c r="V4002" t="n">
        <v>7249</v>
      </c>
      <c r="W4002" t="n">
        <v/>
      </c>
      <c r="X4002" t="n">
        <v/>
      </c>
      <c r="Y4002" t="n">
        <v/>
      </c>
      <c r="Z4002" t="n">
        <v/>
      </c>
      <c r="AA4002">
        <f>SUMIFS($S$2:S4002,$A$2:A4002,A4002,$N$2:N4002,"Explore*")</f>
        <v/>
      </c>
      <c r="AB4002">
        <f>IF(AND(LEFT(N4002,7)="Explore",(AA4002-IF(LEFT(N4002,7)="Explore",S4002,0))&lt;10),"SI","NO")</f>
        <v/>
      </c>
    </row>
    <row r="4003">
      <c r="A4003" t="inlineStr">
        <is>
          <t>c58m2_test</t>
        </is>
      </c>
      <c r="B4003" t="inlineStr">
        <is>
          <t>2026-07-02 10:25:12.364</t>
        </is>
      </c>
      <c r="C4003" t="n">
        <v/>
      </c>
      <c r="D4003" t="inlineStr">
        <is>
          <t>Media file</t>
        </is>
      </c>
      <c r="E4003" t="inlineStr">
        <is>
          <t>player #1:C:/Users/manuel.felline/Documents/BEHAVIOR BTBR/NOR second cohort/WT/test/c58_m2.mp4</t>
        </is>
      </c>
      <c r="F4003" t="n">
        <v>-19.933</v>
      </c>
      <c r="G4003" t="n">
        <v>588.1660000000001</v>
      </c>
      <c r="H4003" t="n">
        <v>635.833</v>
      </c>
      <c r="I4003" t="n">
        <v>30</v>
      </c>
      <c r="J4003" t="inlineStr">
        <is>
          <t xml:space="preserve"> WT</t>
        </is>
      </c>
      <c r="K4003" t="inlineStr">
        <is>
          <t>Male</t>
        </is>
      </c>
      <c r="L4003" t="inlineStr">
        <is>
          <t>No focal subject</t>
        </is>
      </c>
      <c r="M4003" t="n">
        <v>38.5</v>
      </c>
      <c r="N4003" t="inlineStr">
        <is>
          <t>Explore_N</t>
        </is>
      </c>
      <c r="O4003" t="inlineStr">
        <is>
          <t>Novelty</t>
        </is>
      </c>
      <c r="P4003" t="inlineStr">
        <is>
          <t>STATE</t>
        </is>
      </c>
      <c r="Q4003" t="n">
        <v>226.067</v>
      </c>
      <c r="R4003" t="n">
        <v>228.6</v>
      </c>
      <c r="S4003" t="n">
        <v>2.533</v>
      </c>
      <c r="T4003" t="inlineStr">
        <is>
          <t>C:/Users/manuel.felline/Documents/BEHAVIOR BTBR/NOR second cohort/WT/test/c58_m2.mp4</t>
        </is>
      </c>
      <c r="U4003" t="n">
        <v>7379</v>
      </c>
      <c r="V4003" t="n">
        <v>7455</v>
      </c>
      <c r="W4003" t="n">
        <v/>
      </c>
      <c r="X4003" t="n">
        <v/>
      </c>
      <c r="Y4003" t="n">
        <v/>
      </c>
      <c r="Z4003" t="n">
        <v/>
      </c>
      <c r="AA4003">
        <f>SUMIFS($S$2:S4003,$A$2:A4003,A4003,$N$2:N4003,"Explore*")</f>
        <v/>
      </c>
      <c r="AB4003">
        <f>IF(AND(LEFT(N4003,7)="Explore",(AA4003-IF(LEFT(N4003,7)="Explore",S4003,0))&lt;10),"SI","NO")</f>
        <v/>
      </c>
    </row>
    <row r="4004">
      <c r="A4004" t="inlineStr">
        <is>
          <t>c58m2_test</t>
        </is>
      </c>
      <c r="B4004" t="inlineStr">
        <is>
          <t>2026-07-02 10:25:12.364</t>
        </is>
      </c>
      <c r="C4004" t="n">
        <v/>
      </c>
      <c r="D4004" t="inlineStr">
        <is>
          <t>Media file</t>
        </is>
      </c>
      <c r="E4004" t="inlineStr">
        <is>
          <t>player #1:C:/Users/manuel.felline/Documents/BEHAVIOR BTBR/NOR second cohort/WT/test/c58_m2.mp4</t>
        </is>
      </c>
      <c r="F4004" t="n">
        <v>-19.933</v>
      </c>
      <c r="G4004" t="n">
        <v>588.1660000000001</v>
      </c>
      <c r="H4004" t="n">
        <v>635.833</v>
      </c>
      <c r="I4004" t="n">
        <v>30</v>
      </c>
      <c r="J4004" t="inlineStr">
        <is>
          <t xml:space="preserve"> WT</t>
        </is>
      </c>
      <c r="K4004" t="inlineStr">
        <is>
          <t>Male</t>
        </is>
      </c>
      <c r="L4004" t="inlineStr">
        <is>
          <t>No focal subject</t>
        </is>
      </c>
      <c r="M4004" t="n">
        <v>38.5</v>
      </c>
      <c r="N4004" t="inlineStr">
        <is>
          <t>Explore_N</t>
        </is>
      </c>
      <c r="O4004" t="inlineStr">
        <is>
          <t>Novelty</t>
        </is>
      </c>
      <c r="P4004" t="inlineStr">
        <is>
          <t>STATE</t>
        </is>
      </c>
      <c r="Q4004" t="n">
        <v>231.233</v>
      </c>
      <c r="R4004" t="n">
        <v>232.133</v>
      </c>
      <c r="S4004" t="n">
        <v>0.9</v>
      </c>
      <c r="T4004" t="inlineStr">
        <is>
          <t>C:/Users/manuel.felline/Documents/BEHAVIOR BTBR/NOR second cohort/WT/test/c58_m2.mp4</t>
        </is>
      </c>
      <c r="U4004" t="n">
        <v>7534</v>
      </c>
      <c r="V4004" t="n">
        <v>7561</v>
      </c>
      <c r="W4004" t="n">
        <v/>
      </c>
      <c r="X4004" t="n">
        <v/>
      </c>
      <c r="Y4004" t="n">
        <v/>
      </c>
      <c r="Z4004" t="n">
        <v/>
      </c>
      <c r="AA4004">
        <f>SUMIFS($S$2:S4004,$A$2:A4004,A4004,$N$2:N4004,"Explore*")</f>
        <v/>
      </c>
      <c r="AB4004">
        <f>IF(AND(LEFT(N4004,7)="Explore",(AA4004-IF(LEFT(N4004,7)="Explore",S4004,0))&lt;10),"SI","NO")</f>
        <v/>
      </c>
    </row>
    <row r="4005">
      <c r="A4005" t="inlineStr">
        <is>
          <t>c58m2_test</t>
        </is>
      </c>
      <c r="B4005" t="inlineStr">
        <is>
          <t>2026-07-02 10:25:12.364</t>
        </is>
      </c>
      <c r="C4005" t="n">
        <v/>
      </c>
      <c r="D4005" t="inlineStr">
        <is>
          <t>Media file</t>
        </is>
      </c>
      <c r="E4005" t="inlineStr">
        <is>
          <t>player #1:C:/Users/manuel.felline/Documents/BEHAVIOR BTBR/NOR second cohort/WT/test/c58_m2.mp4</t>
        </is>
      </c>
      <c r="F4005" t="n">
        <v>-19.933</v>
      </c>
      <c r="G4005" t="n">
        <v>588.1660000000001</v>
      </c>
      <c r="H4005" t="n">
        <v>635.833</v>
      </c>
      <c r="I4005" t="n">
        <v>30</v>
      </c>
      <c r="J4005" t="inlineStr">
        <is>
          <t xml:space="preserve"> WT</t>
        </is>
      </c>
      <c r="K4005" t="inlineStr">
        <is>
          <t>Male</t>
        </is>
      </c>
      <c r="L4005" t="inlineStr">
        <is>
          <t>No focal subject</t>
        </is>
      </c>
      <c r="M4005" t="n">
        <v>38.5</v>
      </c>
      <c r="N4005" t="inlineStr">
        <is>
          <t>Explore_F</t>
        </is>
      </c>
      <c r="O4005" t="inlineStr">
        <is>
          <t>Familiar</t>
        </is>
      </c>
      <c r="P4005" t="inlineStr">
        <is>
          <t>STATE</t>
        </is>
      </c>
      <c r="Q4005" t="n">
        <v>263</v>
      </c>
      <c r="R4005" t="n">
        <v>263.467</v>
      </c>
      <c r="S4005" t="n">
        <v>0.467</v>
      </c>
      <c r="T4005" t="inlineStr">
        <is>
          <t>C:/Users/manuel.felline/Documents/BEHAVIOR BTBR/NOR second cohort/WT/test/c58_m2.mp4</t>
        </is>
      </c>
      <c r="U4005" t="n">
        <v>8487</v>
      </c>
      <c r="V4005" t="n">
        <v>8501</v>
      </c>
      <c r="W4005" t="n">
        <v/>
      </c>
      <c r="X4005" t="n">
        <v/>
      </c>
      <c r="Y4005" t="n">
        <v/>
      </c>
      <c r="Z4005" t="n">
        <v/>
      </c>
      <c r="AA4005">
        <f>SUMIFS($S$2:S4005,$A$2:A4005,A4005,$N$2:N4005,"Explore*")</f>
        <v/>
      </c>
      <c r="AB4005">
        <f>IF(AND(LEFT(N4005,7)="Explore",(AA4005-IF(LEFT(N4005,7)="Explore",S4005,0))&lt;10),"SI","NO")</f>
        <v/>
      </c>
    </row>
    <row r="4006">
      <c r="A4006" t="inlineStr">
        <is>
          <t>c58m2_test</t>
        </is>
      </c>
      <c r="B4006" t="inlineStr">
        <is>
          <t>2026-07-02 10:25:12.364</t>
        </is>
      </c>
      <c r="C4006" t="n">
        <v/>
      </c>
      <c r="D4006" t="inlineStr">
        <is>
          <t>Media file</t>
        </is>
      </c>
      <c r="E4006" t="inlineStr">
        <is>
          <t>player #1:C:/Users/manuel.felline/Documents/BEHAVIOR BTBR/NOR second cohort/WT/test/c58_m2.mp4</t>
        </is>
      </c>
      <c r="F4006" t="n">
        <v>-19.933</v>
      </c>
      <c r="G4006" t="n">
        <v>588.1660000000001</v>
      </c>
      <c r="H4006" t="n">
        <v>635.833</v>
      </c>
      <c r="I4006" t="n">
        <v>30</v>
      </c>
      <c r="J4006" t="inlineStr">
        <is>
          <t xml:space="preserve"> WT</t>
        </is>
      </c>
      <c r="K4006" t="inlineStr">
        <is>
          <t>Male</t>
        </is>
      </c>
      <c r="L4006" t="inlineStr">
        <is>
          <t>No focal subject</t>
        </is>
      </c>
      <c r="M4006" t="n">
        <v>38.5</v>
      </c>
      <c r="N4006" t="inlineStr">
        <is>
          <t>Explore_N</t>
        </is>
      </c>
      <c r="O4006" t="inlineStr">
        <is>
          <t>Novelty</t>
        </is>
      </c>
      <c r="P4006" t="inlineStr">
        <is>
          <t>STATE</t>
        </is>
      </c>
      <c r="Q4006" t="n">
        <v>271.3</v>
      </c>
      <c r="R4006" t="n">
        <v>271.733</v>
      </c>
      <c r="S4006" t="n">
        <v>0.433</v>
      </c>
      <c r="T4006" t="inlineStr">
        <is>
          <t>C:/Users/manuel.felline/Documents/BEHAVIOR BTBR/NOR second cohort/WT/test/c58_m2.mp4</t>
        </is>
      </c>
      <c r="U4006" t="n">
        <v>8736</v>
      </c>
      <c r="V4006" t="n">
        <v>8749</v>
      </c>
      <c r="W4006" t="n">
        <v/>
      </c>
      <c r="X4006" t="n">
        <v/>
      </c>
      <c r="Y4006" t="n">
        <v/>
      </c>
      <c r="Z4006" t="n">
        <v/>
      </c>
      <c r="AA4006">
        <f>SUMIFS($S$2:S4006,$A$2:A4006,A4006,$N$2:N4006,"Explore*")</f>
        <v/>
      </c>
      <c r="AB4006">
        <f>IF(AND(LEFT(N4006,7)="Explore",(AA4006-IF(LEFT(N4006,7)="Explore",S4006,0))&lt;10),"SI","NO")</f>
        <v/>
      </c>
    </row>
    <row r="4007">
      <c r="A4007" t="inlineStr">
        <is>
          <t>c58m2_test</t>
        </is>
      </c>
      <c r="B4007" t="inlineStr">
        <is>
          <t>2026-07-02 10:25:12.364</t>
        </is>
      </c>
      <c r="C4007" t="n">
        <v/>
      </c>
      <c r="D4007" t="inlineStr">
        <is>
          <t>Media file</t>
        </is>
      </c>
      <c r="E4007" t="inlineStr">
        <is>
          <t>player #1:C:/Users/manuel.felline/Documents/BEHAVIOR BTBR/NOR second cohort/WT/test/c58_m2.mp4</t>
        </is>
      </c>
      <c r="F4007" t="n">
        <v>-19.933</v>
      </c>
      <c r="G4007" t="n">
        <v>588.1660000000001</v>
      </c>
      <c r="H4007" t="n">
        <v>635.833</v>
      </c>
      <c r="I4007" t="n">
        <v>30</v>
      </c>
      <c r="J4007" t="inlineStr">
        <is>
          <t xml:space="preserve"> WT</t>
        </is>
      </c>
      <c r="K4007" t="inlineStr">
        <is>
          <t>Male</t>
        </is>
      </c>
      <c r="L4007" t="inlineStr">
        <is>
          <t>No focal subject</t>
        </is>
      </c>
      <c r="M4007" t="n">
        <v>38.5</v>
      </c>
      <c r="N4007" t="inlineStr">
        <is>
          <t>Explore_N</t>
        </is>
      </c>
      <c r="O4007" t="inlineStr">
        <is>
          <t>Novelty</t>
        </is>
      </c>
      <c r="P4007" t="inlineStr">
        <is>
          <t>STATE</t>
        </is>
      </c>
      <c r="Q4007" t="n">
        <v>280.067</v>
      </c>
      <c r="R4007" t="n">
        <v>280.5</v>
      </c>
      <c r="S4007" t="n">
        <v>0.433</v>
      </c>
      <c r="T4007" t="inlineStr">
        <is>
          <t>C:/Users/manuel.felline/Documents/BEHAVIOR BTBR/NOR second cohort/WT/test/c58_m2.mp4</t>
        </is>
      </c>
      <c r="U4007" t="n">
        <v>8999</v>
      </c>
      <c r="V4007" t="n">
        <v>9012</v>
      </c>
      <c r="W4007" t="n">
        <v/>
      </c>
      <c r="X4007" t="n">
        <v/>
      </c>
      <c r="Y4007" t="n">
        <v/>
      </c>
      <c r="Z4007" t="n">
        <v/>
      </c>
      <c r="AA4007">
        <f>SUMIFS($S$2:S4007,$A$2:A4007,A4007,$N$2:N4007,"Explore*")</f>
        <v/>
      </c>
      <c r="AB4007">
        <f>IF(AND(LEFT(N4007,7)="Explore",(AA4007-IF(LEFT(N4007,7)="Explore",S4007,0))&lt;10),"SI","NO")</f>
        <v/>
      </c>
    </row>
    <row r="4008">
      <c r="A4008" t="inlineStr">
        <is>
          <t>c58m2_test</t>
        </is>
      </c>
      <c r="B4008" t="inlineStr">
        <is>
          <t>2026-07-02 10:25:12.364</t>
        </is>
      </c>
      <c r="C4008" t="n">
        <v/>
      </c>
      <c r="D4008" t="inlineStr">
        <is>
          <t>Media file</t>
        </is>
      </c>
      <c r="E4008" t="inlineStr">
        <is>
          <t>player #1:C:/Users/manuel.felline/Documents/BEHAVIOR BTBR/NOR second cohort/WT/test/c58_m2.mp4</t>
        </is>
      </c>
      <c r="F4008" t="n">
        <v>-19.933</v>
      </c>
      <c r="G4008" t="n">
        <v>588.1660000000001</v>
      </c>
      <c r="H4008" t="n">
        <v>635.833</v>
      </c>
      <c r="I4008" t="n">
        <v>30</v>
      </c>
      <c r="J4008" t="inlineStr">
        <is>
          <t xml:space="preserve"> WT</t>
        </is>
      </c>
      <c r="K4008" t="inlineStr">
        <is>
          <t>Male</t>
        </is>
      </c>
      <c r="L4008" t="inlineStr">
        <is>
          <t>No focal subject</t>
        </is>
      </c>
      <c r="M4008" t="n">
        <v>38.5</v>
      </c>
      <c r="N4008" t="inlineStr">
        <is>
          <t>Explore_F</t>
        </is>
      </c>
      <c r="O4008" t="inlineStr">
        <is>
          <t>Familiar</t>
        </is>
      </c>
      <c r="P4008" t="inlineStr">
        <is>
          <t>STATE</t>
        </is>
      </c>
      <c r="Q4008" t="n">
        <v>289.5</v>
      </c>
      <c r="R4008" t="n">
        <v>290.067</v>
      </c>
      <c r="S4008" t="n">
        <v>0.5669999999999999</v>
      </c>
      <c r="T4008" t="inlineStr">
        <is>
          <t>C:/Users/manuel.felline/Documents/BEHAVIOR BTBR/NOR second cohort/WT/test/c58_m2.mp4</t>
        </is>
      </c>
      <c r="U4008" t="n">
        <v>9282</v>
      </c>
      <c r="V4008" t="n">
        <v>9299</v>
      </c>
      <c r="W4008" t="n">
        <v/>
      </c>
      <c r="X4008" t="n">
        <v/>
      </c>
      <c r="Y4008" t="n">
        <v/>
      </c>
      <c r="Z4008" t="n">
        <v/>
      </c>
      <c r="AA4008">
        <f>SUMIFS($S$2:S4008,$A$2:A4008,A4008,$N$2:N4008,"Explore*")</f>
        <v/>
      </c>
      <c r="AB4008">
        <f>IF(AND(LEFT(N4008,7)="Explore",(AA4008-IF(LEFT(N4008,7)="Explore",S4008,0))&lt;10),"SI","NO")</f>
        <v/>
      </c>
    </row>
    <row r="4009">
      <c r="A4009" t="inlineStr">
        <is>
          <t>c58m2_test</t>
        </is>
      </c>
      <c r="B4009" t="inlineStr">
        <is>
          <t>2026-07-02 10:25:12.364</t>
        </is>
      </c>
      <c r="C4009" t="n">
        <v/>
      </c>
      <c r="D4009" t="inlineStr">
        <is>
          <t>Media file</t>
        </is>
      </c>
      <c r="E4009" t="inlineStr">
        <is>
          <t>player #1:C:/Users/manuel.felline/Documents/BEHAVIOR BTBR/NOR second cohort/WT/test/c58_m2.mp4</t>
        </is>
      </c>
      <c r="F4009" t="n">
        <v>-19.933</v>
      </c>
      <c r="G4009" t="n">
        <v>588.1660000000001</v>
      </c>
      <c r="H4009" t="n">
        <v>635.833</v>
      </c>
      <c r="I4009" t="n">
        <v>30</v>
      </c>
      <c r="J4009" t="inlineStr">
        <is>
          <t xml:space="preserve"> WT</t>
        </is>
      </c>
      <c r="K4009" t="inlineStr">
        <is>
          <t>Male</t>
        </is>
      </c>
      <c r="L4009" t="inlineStr">
        <is>
          <t>No focal subject</t>
        </is>
      </c>
      <c r="M4009" t="n">
        <v>38.5</v>
      </c>
      <c r="N4009" t="inlineStr">
        <is>
          <t>Explore_F</t>
        </is>
      </c>
      <c r="O4009" t="inlineStr">
        <is>
          <t>Familiar</t>
        </is>
      </c>
      <c r="P4009" t="inlineStr">
        <is>
          <t>STATE</t>
        </is>
      </c>
      <c r="Q4009" t="n">
        <v>296.233</v>
      </c>
      <c r="R4009" t="n">
        <v>297.267</v>
      </c>
      <c r="S4009" t="n">
        <v>1.034</v>
      </c>
      <c r="T4009" t="inlineStr">
        <is>
          <t>C:/Users/manuel.felline/Documents/BEHAVIOR BTBR/NOR second cohort/WT/test/c58_m2.mp4</t>
        </is>
      </c>
      <c r="U4009" t="n">
        <v>9484</v>
      </c>
      <c r="V4009" t="n">
        <v>9515</v>
      </c>
      <c r="W4009" t="n">
        <v/>
      </c>
      <c r="X4009" t="n">
        <v/>
      </c>
      <c r="Y4009" t="n">
        <v/>
      </c>
      <c r="Z4009" t="n">
        <v/>
      </c>
      <c r="AA4009">
        <f>SUMIFS($S$2:S4009,$A$2:A4009,A4009,$N$2:N4009,"Explore*")</f>
        <v/>
      </c>
      <c r="AB4009">
        <f>IF(AND(LEFT(N4009,7)="Explore",(AA4009-IF(LEFT(N4009,7)="Explore",S4009,0))&lt;10),"SI","NO")</f>
        <v/>
      </c>
    </row>
    <row r="4010">
      <c r="A4010" t="inlineStr">
        <is>
          <t>c58m2_test</t>
        </is>
      </c>
      <c r="B4010" t="inlineStr">
        <is>
          <t>2026-07-02 10:25:12.364</t>
        </is>
      </c>
      <c r="C4010" t="n">
        <v/>
      </c>
      <c r="D4010" t="inlineStr">
        <is>
          <t>Media file</t>
        </is>
      </c>
      <c r="E4010" t="inlineStr">
        <is>
          <t>player #1:C:/Users/manuel.felline/Documents/BEHAVIOR BTBR/NOR second cohort/WT/test/c58_m2.mp4</t>
        </is>
      </c>
      <c r="F4010" t="n">
        <v>-19.933</v>
      </c>
      <c r="G4010" t="n">
        <v>588.1660000000001</v>
      </c>
      <c r="H4010" t="n">
        <v>635.833</v>
      </c>
      <c r="I4010" t="n">
        <v>30</v>
      </c>
      <c r="J4010" t="inlineStr">
        <is>
          <t xml:space="preserve"> WT</t>
        </is>
      </c>
      <c r="K4010" t="inlineStr">
        <is>
          <t>Male</t>
        </is>
      </c>
      <c r="L4010" t="inlineStr">
        <is>
          <t>No focal subject</t>
        </is>
      </c>
      <c r="M4010" t="n">
        <v>38.5</v>
      </c>
      <c r="N4010" t="inlineStr">
        <is>
          <t>Explore_F</t>
        </is>
      </c>
      <c r="O4010" t="inlineStr">
        <is>
          <t>Familiar</t>
        </is>
      </c>
      <c r="P4010" t="inlineStr">
        <is>
          <t>STATE</t>
        </is>
      </c>
      <c r="Q4010" t="n">
        <v>305.533</v>
      </c>
      <c r="R4010" t="n">
        <v>305.9</v>
      </c>
      <c r="S4010" t="n">
        <v>0.367</v>
      </c>
      <c r="T4010" t="inlineStr">
        <is>
          <t>C:/Users/manuel.felline/Documents/BEHAVIOR BTBR/NOR second cohort/WT/test/c58_m2.mp4</t>
        </is>
      </c>
      <c r="U4010" t="n">
        <v>9763</v>
      </c>
      <c r="V4010" t="n">
        <v>9774</v>
      </c>
      <c r="W4010" t="n">
        <v/>
      </c>
      <c r="X4010" t="n">
        <v/>
      </c>
      <c r="Y4010" t="n">
        <v/>
      </c>
      <c r="Z4010" t="n">
        <v/>
      </c>
      <c r="AA4010">
        <f>SUMIFS($S$2:S4010,$A$2:A4010,A4010,$N$2:N4010,"Explore*")</f>
        <v/>
      </c>
      <c r="AB4010">
        <f>IF(AND(LEFT(N4010,7)="Explore",(AA4010-IF(LEFT(N4010,7)="Explore",S4010,0))&lt;10),"SI","NO")</f>
        <v/>
      </c>
    </row>
    <row r="4011">
      <c r="A4011" t="inlineStr">
        <is>
          <t>c58m2_test</t>
        </is>
      </c>
      <c r="B4011" t="inlineStr">
        <is>
          <t>2026-07-02 10:25:12.364</t>
        </is>
      </c>
      <c r="C4011" t="n">
        <v/>
      </c>
      <c r="D4011" t="inlineStr">
        <is>
          <t>Media file</t>
        </is>
      </c>
      <c r="E4011" t="inlineStr">
        <is>
          <t>player #1:C:/Users/manuel.felline/Documents/BEHAVIOR BTBR/NOR second cohort/WT/test/c58_m2.mp4</t>
        </is>
      </c>
      <c r="F4011" t="n">
        <v>-19.933</v>
      </c>
      <c r="G4011" t="n">
        <v>588.1660000000001</v>
      </c>
      <c r="H4011" t="n">
        <v>635.833</v>
      </c>
      <c r="I4011" t="n">
        <v>30</v>
      </c>
      <c r="J4011" t="inlineStr">
        <is>
          <t xml:space="preserve"> WT</t>
        </is>
      </c>
      <c r="K4011" t="inlineStr">
        <is>
          <t>Male</t>
        </is>
      </c>
      <c r="L4011" t="inlineStr">
        <is>
          <t>No focal subject</t>
        </is>
      </c>
      <c r="M4011" t="n">
        <v>38.5</v>
      </c>
      <c r="N4011" t="inlineStr">
        <is>
          <t>Explore_N</t>
        </is>
      </c>
      <c r="O4011" t="inlineStr">
        <is>
          <t>Novelty</t>
        </is>
      </c>
      <c r="P4011" t="inlineStr">
        <is>
          <t>STATE</t>
        </is>
      </c>
      <c r="Q4011" t="n">
        <v>312.6</v>
      </c>
      <c r="R4011" t="n">
        <v>313.667</v>
      </c>
      <c r="S4011" t="n">
        <v>1.067</v>
      </c>
      <c r="T4011" t="inlineStr">
        <is>
          <t>C:/Users/manuel.felline/Documents/BEHAVIOR BTBR/NOR second cohort/WT/test/c58_m2.mp4</t>
        </is>
      </c>
      <c r="U4011" t="n">
        <v>9975</v>
      </c>
      <c r="V4011" t="n">
        <v>10007</v>
      </c>
      <c r="W4011" t="n">
        <v/>
      </c>
      <c r="X4011" t="n">
        <v/>
      </c>
      <c r="Y4011" t="n">
        <v/>
      </c>
      <c r="Z4011" t="n">
        <v/>
      </c>
      <c r="AA4011">
        <f>SUMIFS($S$2:S4011,$A$2:A4011,A4011,$N$2:N4011,"Explore*")</f>
        <v/>
      </c>
      <c r="AB4011">
        <f>IF(AND(LEFT(N4011,7)="Explore",(AA4011-IF(LEFT(N4011,7)="Explore",S4011,0))&lt;10),"SI","NO")</f>
        <v/>
      </c>
    </row>
    <row r="4012">
      <c r="A4012" t="inlineStr">
        <is>
          <t>c58m2_test</t>
        </is>
      </c>
      <c r="B4012" t="inlineStr">
        <is>
          <t>2026-07-02 10:25:12.364</t>
        </is>
      </c>
      <c r="C4012" t="n">
        <v/>
      </c>
      <c r="D4012" t="inlineStr">
        <is>
          <t>Media file</t>
        </is>
      </c>
      <c r="E4012" t="inlineStr">
        <is>
          <t>player #1:C:/Users/manuel.felline/Documents/BEHAVIOR BTBR/NOR second cohort/WT/test/c58_m2.mp4</t>
        </is>
      </c>
      <c r="F4012" t="n">
        <v>-19.933</v>
      </c>
      <c r="G4012" t="n">
        <v>588.1660000000001</v>
      </c>
      <c r="H4012" t="n">
        <v>635.833</v>
      </c>
      <c r="I4012" t="n">
        <v>30</v>
      </c>
      <c r="J4012" t="inlineStr">
        <is>
          <t xml:space="preserve"> WT</t>
        </is>
      </c>
      <c r="K4012" t="inlineStr">
        <is>
          <t>Male</t>
        </is>
      </c>
      <c r="L4012" t="inlineStr">
        <is>
          <t>No focal subject</t>
        </is>
      </c>
      <c r="M4012" t="n">
        <v>38.5</v>
      </c>
      <c r="N4012" t="inlineStr">
        <is>
          <t>Explore_N</t>
        </is>
      </c>
      <c r="O4012" t="inlineStr">
        <is>
          <t>Novelty</t>
        </is>
      </c>
      <c r="P4012" t="inlineStr">
        <is>
          <t>STATE</t>
        </is>
      </c>
      <c r="Q4012" t="n">
        <v>322.867</v>
      </c>
      <c r="R4012" t="n">
        <v>323.233</v>
      </c>
      <c r="S4012" t="n">
        <v>0.366</v>
      </c>
      <c r="T4012" t="inlineStr">
        <is>
          <t>C:/Users/manuel.felline/Documents/BEHAVIOR BTBR/NOR second cohort/WT/test/c58_m2.mp4</t>
        </is>
      </c>
      <c r="U4012" t="n">
        <v>10282</v>
      </c>
      <c r="V4012" t="n">
        <v>10293</v>
      </c>
      <c r="W4012" t="n">
        <v/>
      </c>
      <c r="X4012" t="n">
        <v/>
      </c>
      <c r="Y4012" t="n">
        <v/>
      </c>
      <c r="Z4012" t="n">
        <v/>
      </c>
      <c r="AA4012">
        <f>SUMIFS($S$2:S4012,$A$2:A4012,A4012,$N$2:N4012,"Explore*")</f>
        <v/>
      </c>
      <c r="AB4012">
        <f>IF(AND(LEFT(N4012,7)="Explore",(AA4012-IF(LEFT(N4012,7)="Explore",S4012,0))&lt;10),"SI","NO")</f>
        <v/>
      </c>
    </row>
    <row r="4013">
      <c r="A4013" t="inlineStr">
        <is>
          <t>c58m2_test</t>
        </is>
      </c>
      <c r="B4013" t="inlineStr">
        <is>
          <t>2026-07-02 10:25:12.364</t>
        </is>
      </c>
      <c r="C4013" t="n">
        <v/>
      </c>
      <c r="D4013" t="inlineStr">
        <is>
          <t>Media file</t>
        </is>
      </c>
      <c r="E4013" t="inlineStr">
        <is>
          <t>player #1:C:/Users/manuel.felline/Documents/BEHAVIOR BTBR/NOR second cohort/WT/test/c58_m2.mp4</t>
        </is>
      </c>
      <c r="F4013" t="n">
        <v>-19.933</v>
      </c>
      <c r="G4013" t="n">
        <v>588.1660000000001</v>
      </c>
      <c r="H4013" t="n">
        <v>635.833</v>
      </c>
      <c r="I4013" t="n">
        <v>30</v>
      </c>
      <c r="J4013" t="inlineStr">
        <is>
          <t xml:space="preserve"> WT</t>
        </is>
      </c>
      <c r="K4013" t="inlineStr">
        <is>
          <t>Male</t>
        </is>
      </c>
      <c r="L4013" t="inlineStr">
        <is>
          <t>No focal subject</t>
        </is>
      </c>
      <c r="M4013" t="n">
        <v>38.5</v>
      </c>
      <c r="N4013" t="inlineStr">
        <is>
          <t>Explore_N</t>
        </is>
      </c>
      <c r="O4013" t="inlineStr">
        <is>
          <t>Novelty</t>
        </is>
      </c>
      <c r="P4013" t="inlineStr">
        <is>
          <t>STATE</t>
        </is>
      </c>
      <c r="Q4013" t="n">
        <v>329.233</v>
      </c>
      <c r="R4013" t="n">
        <v>330.733</v>
      </c>
      <c r="S4013" t="n">
        <v>1.5</v>
      </c>
      <c r="T4013" t="inlineStr">
        <is>
          <t>C:/Users/manuel.felline/Documents/BEHAVIOR BTBR/NOR second cohort/WT/test/c58_m2.mp4</t>
        </is>
      </c>
      <c r="U4013" t="n">
        <v>10473</v>
      </c>
      <c r="V4013" t="n">
        <v>10518</v>
      </c>
      <c r="W4013" t="n">
        <v/>
      </c>
      <c r="X4013" t="n">
        <v/>
      </c>
      <c r="Y4013" t="n">
        <v/>
      </c>
      <c r="Z4013" t="n">
        <v/>
      </c>
      <c r="AA4013">
        <f>SUMIFS($S$2:S4013,$A$2:A4013,A4013,$N$2:N4013,"Explore*")</f>
        <v/>
      </c>
      <c r="AB4013">
        <f>IF(AND(LEFT(N4013,7)="Explore",(AA4013-IF(LEFT(N4013,7)="Explore",S4013,0))&lt;10),"SI","NO")</f>
        <v/>
      </c>
    </row>
    <row r="4014">
      <c r="A4014" t="inlineStr">
        <is>
          <t>c58m2_test</t>
        </is>
      </c>
      <c r="B4014" t="inlineStr">
        <is>
          <t>2026-07-02 10:25:12.364</t>
        </is>
      </c>
      <c r="C4014" t="n">
        <v/>
      </c>
      <c r="D4014" t="inlineStr">
        <is>
          <t>Media file</t>
        </is>
      </c>
      <c r="E4014" t="inlineStr">
        <is>
          <t>player #1:C:/Users/manuel.felline/Documents/BEHAVIOR BTBR/NOR second cohort/WT/test/c58_m2.mp4</t>
        </is>
      </c>
      <c r="F4014" t="n">
        <v>-19.933</v>
      </c>
      <c r="G4014" t="n">
        <v>588.1660000000001</v>
      </c>
      <c r="H4014" t="n">
        <v>635.833</v>
      </c>
      <c r="I4014" t="n">
        <v>30</v>
      </c>
      <c r="J4014" t="inlineStr">
        <is>
          <t xml:space="preserve"> WT</t>
        </is>
      </c>
      <c r="K4014" t="inlineStr">
        <is>
          <t>Male</t>
        </is>
      </c>
      <c r="L4014" t="inlineStr">
        <is>
          <t>No focal subject</t>
        </is>
      </c>
      <c r="M4014" t="n">
        <v>38.5</v>
      </c>
      <c r="N4014" t="inlineStr">
        <is>
          <t>Explore_N</t>
        </is>
      </c>
      <c r="O4014" t="inlineStr">
        <is>
          <t>Novelty</t>
        </is>
      </c>
      <c r="P4014" t="inlineStr">
        <is>
          <t>STATE</t>
        </is>
      </c>
      <c r="Q4014" t="n">
        <v>333.033</v>
      </c>
      <c r="R4014" t="n">
        <v>333.733</v>
      </c>
      <c r="S4014" t="n">
        <v>0.7</v>
      </c>
      <c r="T4014" t="inlineStr">
        <is>
          <t>C:/Users/manuel.felline/Documents/BEHAVIOR BTBR/NOR second cohort/WT/test/c58_m2.mp4</t>
        </is>
      </c>
      <c r="U4014" t="n">
        <v>10587</v>
      </c>
      <c r="V4014" t="n">
        <v>10608</v>
      </c>
      <c r="W4014" t="n">
        <v/>
      </c>
      <c r="X4014" t="n">
        <v/>
      </c>
      <c r="Y4014" t="n">
        <v/>
      </c>
      <c r="Z4014" t="n">
        <v/>
      </c>
      <c r="AA4014">
        <f>SUMIFS($S$2:S4014,$A$2:A4014,A4014,$N$2:N4014,"Explore*")</f>
        <v/>
      </c>
      <c r="AB4014">
        <f>IF(AND(LEFT(N4014,7)="Explore",(AA4014-IF(LEFT(N4014,7)="Explore",S4014,0))&lt;10),"SI","NO")</f>
        <v/>
      </c>
    </row>
    <row r="4015">
      <c r="A4015" t="inlineStr">
        <is>
          <t>c58m2_test</t>
        </is>
      </c>
      <c r="B4015" t="inlineStr">
        <is>
          <t>2026-07-02 10:25:12.364</t>
        </is>
      </c>
      <c r="C4015" t="n">
        <v/>
      </c>
      <c r="D4015" t="inlineStr">
        <is>
          <t>Media file</t>
        </is>
      </c>
      <c r="E4015" t="inlineStr">
        <is>
          <t>player #1:C:/Users/manuel.felline/Documents/BEHAVIOR BTBR/NOR second cohort/WT/test/c58_m2.mp4</t>
        </is>
      </c>
      <c r="F4015" t="n">
        <v>-19.933</v>
      </c>
      <c r="G4015" t="n">
        <v>588.1660000000001</v>
      </c>
      <c r="H4015" t="n">
        <v>635.833</v>
      </c>
      <c r="I4015" t="n">
        <v>30</v>
      </c>
      <c r="J4015" t="inlineStr">
        <is>
          <t xml:space="preserve"> WT</t>
        </is>
      </c>
      <c r="K4015" t="inlineStr">
        <is>
          <t>Male</t>
        </is>
      </c>
      <c r="L4015" t="inlineStr">
        <is>
          <t>No focal subject</t>
        </is>
      </c>
      <c r="M4015" t="n">
        <v>38.5</v>
      </c>
      <c r="N4015" t="inlineStr">
        <is>
          <t>Explore_N</t>
        </is>
      </c>
      <c r="O4015" t="inlineStr">
        <is>
          <t>Novelty</t>
        </is>
      </c>
      <c r="P4015" t="inlineStr">
        <is>
          <t>STATE</t>
        </is>
      </c>
      <c r="Q4015" t="n">
        <v>334.933</v>
      </c>
      <c r="R4015" t="n">
        <v>335.867</v>
      </c>
      <c r="S4015" t="n">
        <v>0.9340000000000001</v>
      </c>
      <c r="T4015" t="inlineStr">
        <is>
          <t>C:/Users/manuel.felline/Documents/BEHAVIOR BTBR/NOR second cohort/WT/test/c58_m2.mp4</t>
        </is>
      </c>
      <c r="U4015" t="n">
        <v>10644</v>
      </c>
      <c r="V4015" t="n">
        <v>10672</v>
      </c>
      <c r="W4015" t="n">
        <v/>
      </c>
      <c r="X4015" t="n">
        <v/>
      </c>
      <c r="Y4015" t="n">
        <v/>
      </c>
      <c r="Z4015" t="n">
        <v/>
      </c>
      <c r="AA4015">
        <f>SUMIFS($S$2:S4015,$A$2:A4015,A4015,$N$2:N4015,"Explore*")</f>
        <v/>
      </c>
      <c r="AB4015">
        <f>IF(AND(LEFT(N4015,7)="Explore",(AA4015-IF(LEFT(N4015,7)="Explore",S4015,0))&lt;10),"SI","NO")</f>
        <v/>
      </c>
    </row>
    <row r="4016">
      <c r="A4016" t="inlineStr">
        <is>
          <t>c58m2_test</t>
        </is>
      </c>
      <c r="B4016" t="inlineStr">
        <is>
          <t>2026-07-02 10:25:12.364</t>
        </is>
      </c>
      <c r="C4016" t="n">
        <v/>
      </c>
      <c r="D4016" t="inlineStr">
        <is>
          <t>Media file</t>
        </is>
      </c>
      <c r="E4016" t="inlineStr">
        <is>
          <t>player #1:C:/Users/manuel.felline/Documents/BEHAVIOR BTBR/NOR second cohort/WT/test/c58_m2.mp4</t>
        </is>
      </c>
      <c r="F4016" t="n">
        <v>-19.933</v>
      </c>
      <c r="G4016" t="n">
        <v>588.1660000000001</v>
      </c>
      <c r="H4016" t="n">
        <v>635.833</v>
      </c>
      <c r="I4016" t="n">
        <v>30</v>
      </c>
      <c r="J4016" t="inlineStr">
        <is>
          <t xml:space="preserve"> WT</t>
        </is>
      </c>
      <c r="K4016" t="inlineStr">
        <is>
          <t>Male</t>
        </is>
      </c>
      <c r="L4016" t="inlineStr">
        <is>
          <t>No focal subject</t>
        </is>
      </c>
      <c r="M4016" t="n">
        <v>38.5</v>
      </c>
      <c r="N4016" t="inlineStr">
        <is>
          <t>Explore_F</t>
        </is>
      </c>
      <c r="O4016" t="inlineStr">
        <is>
          <t>Familiar</t>
        </is>
      </c>
      <c r="P4016" t="inlineStr">
        <is>
          <t>STATE</t>
        </is>
      </c>
      <c r="Q4016" t="n">
        <v>361.667</v>
      </c>
      <c r="R4016" t="n">
        <v>362.2</v>
      </c>
      <c r="S4016" t="n">
        <v>0.533</v>
      </c>
      <c r="T4016" t="inlineStr">
        <is>
          <t>C:/Users/manuel.felline/Documents/BEHAVIOR BTBR/NOR second cohort/WT/test/c58_m2.mp4</t>
        </is>
      </c>
      <c r="U4016" t="n">
        <v>11446</v>
      </c>
      <c r="V4016" t="n">
        <v>11462</v>
      </c>
      <c r="W4016" t="n">
        <v/>
      </c>
      <c r="X4016" t="n">
        <v/>
      </c>
      <c r="Y4016" t="n">
        <v/>
      </c>
      <c r="Z4016" t="n">
        <v/>
      </c>
      <c r="AA4016">
        <f>SUMIFS($S$2:S4016,$A$2:A4016,A4016,$N$2:N4016,"Explore*")</f>
        <v/>
      </c>
      <c r="AB4016">
        <f>IF(AND(LEFT(N4016,7)="Explore",(AA4016-IF(LEFT(N4016,7)="Explore",S4016,0))&lt;10),"SI","NO")</f>
        <v/>
      </c>
    </row>
    <row r="4017">
      <c r="A4017" t="inlineStr">
        <is>
          <t>c58m2_test</t>
        </is>
      </c>
      <c r="B4017" t="inlineStr">
        <is>
          <t>2026-07-02 10:25:12.364</t>
        </is>
      </c>
      <c r="C4017" t="n">
        <v/>
      </c>
      <c r="D4017" t="inlineStr">
        <is>
          <t>Media file</t>
        </is>
      </c>
      <c r="E4017" t="inlineStr">
        <is>
          <t>player #1:C:/Users/manuel.felline/Documents/BEHAVIOR BTBR/NOR second cohort/WT/test/c58_m2.mp4</t>
        </is>
      </c>
      <c r="F4017" t="n">
        <v>-19.933</v>
      </c>
      <c r="G4017" t="n">
        <v>588.1660000000001</v>
      </c>
      <c r="H4017" t="n">
        <v>635.833</v>
      </c>
      <c r="I4017" t="n">
        <v>30</v>
      </c>
      <c r="J4017" t="inlineStr">
        <is>
          <t xml:space="preserve"> WT</t>
        </is>
      </c>
      <c r="K4017" t="inlineStr">
        <is>
          <t>Male</t>
        </is>
      </c>
      <c r="L4017" t="inlineStr">
        <is>
          <t>No focal subject</t>
        </is>
      </c>
      <c r="M4017" t="n">
        <v>38.5</v>
      </c>
      <c r="N4017" t="inlineStr">
        <is>
          <t>Explore_N</t>
        </is>
      </c>
      <c r="O4017" t="inlineStr">
        <is>
          <t>Novelty</t>
        </is>
      </c>
      <c r="P4017" t="inlineStr">
        <is>
          <t>STATE</t>
        </is>
      </c>
      <c r="Q4017" t="n">
        <v>392.3</v>
      </c>
      <c r="R4017" t="n">
        <v>393.8</v>
      </c>
      <c r="S4017" t="n">
        <v>1.5</v>
      </c>
      <c r="T4017" t="inlineStr">
        <is>
          <t>C:/Users/manuel.felline/Documents/BEHAVIOR BTBR/NOR second cohort/WT/test/c58_m2.mp4</t>
        </is>
      </c>
      <c r="U4017" t="n">
        <v>12365</v>
      </c>
      <c r="V4017" t="n">
        <v>12410</v>
      </c>
      <c r="W4017" t="n">
        <v/>
      </c>
      <c r="X4017" t="n">
        <v/>
      </c>
      <c r="Y4017" t="n">
        <v/>
      </c>
      <c r="Z4017" t="n">
        <v/>
      </c>
      <c r="AA4017">
        <f>SUMIFS($S$2:S4017,$A$2:A4017,A4017,$N$2:N4017,"Explore*")</f>
        <v/>
      </c>
      <c r="AB4017">
        <f>IF(AND(LEFT(N4017,7)="Explore",(AA4017-IF(LEFT(N4017,7)="Explore",S4017,0))&lt;10),"SI","NO")</f>
        <v/>
      </c>
    </row>
    <row r="4018">
      <c r="A4018" t="inlineStr">
        <is>
          <t>c58m2_test</t>
        </is>
      </c>
      <c r="B4018" t="inlineStr">
        <is>
          <t>2026-07-02 10:25:12.364</t>
        </is>
      </c>
      <c r="C4018" t="n">
        <v/>
      </c>
      <c r="D4018" t="inlineStr">
        <is>
          <t>Media file</t>
        </is>
      </c>
      <c r="E4018" t="inlineStr">
        <is>
          <t>player #1:C:/Users/manuel.felline/Documents/BEHAVIOR BTBR/NOR second cohort/WT/test/c58_m2.mp4</t>
        </is>
      </c>
      <c r="F4018" t="n">
        <v>-19.933</v>
      </c>
      <c r="G4018" t="n">
        <v>588.1660000000001</v>
      </c>
      <c r="H4018" t="n">
        <v>635.833</v>
      </c>
      <c r="I4018" t="n">
        <v>30</v>
      </c>
      <c r="J4018" t="inlineStr">
        <is>
          <t xml:space="preserve"> WT</t>
        </is>
      </c>
      <c r="K4018" t="inlineStr">
        <is>
          <t>Male</t>
        </is>
      </c>
      <c r="L4018" t="inlineStr">
        <is>
          <t>No focal subject</t>
        </is>
      </c>
      <c r="M4018" t="n">
        <v>38.5</v>
      </c>
      <c r="N4018" t="inlineStr">
        <is>
          <t>Explore_F</t>
        </is>
      </c>
      <c r="O4018" t="inlineStr">
        <is>
          <t>Familiar</t>
        </is>
      </c>
      <c r="P4018" t="inlineStr">
        <is>
          <t>STATE</t>
        </is>
      </c>
      <c r="Q4018" t="n">
        <v>413.9</v>
      </c>
      <c r="R4018" t="n">
        <v>415</v>
      </c>
      <c r="S4018" t="n">
        <v>1.1</v>
      </c>
      <c r="T4018" t="inlineStr">
        <is>
          <t>C:/Users/manuel.felline/Documents/BEHAVIOR BTBR/NOR second cohort/WT/test/c58_m2.mp4</t>
        </is>
      </c>
      <c r="U4018" t="n">
        <v>13013</v>
      </c>
      <c r="V4018" t="n">
        <v>13046</v>
      </c>
      <c r="W4018" t="n">
        <v/>
      </c>
      <c r="X4018" t="n">
        <v/>
      </c>
      <c r="Y4018" t="n">
        <v/>
      </c>
      <c r="Z4018" t="n">
        <v/>
      </c>
      <c r="AA4018">
        <f>SUMIFS($S$2:S4018,$A$2:A4018,A4018,$N$2:N4018,"Explore*")</f>
        <v/>
      </c>
      <c r="AB4018">
        <f>IF(AND(LEFT(N4018,7)="Explore",(AA4018-IF(LEFT(N4018,7)="Explore",S4018,0))&lt;10),"SI","NO")</f>
        <v/>
      </c>
    </row>
    <row r="4019">
      <c r="A4019" t="inlineStr">
        <is>
          <t>c58m2_test</t>
        </is>
      </c>
      <c r="B4019" t="inlineStr">
        <is>
          <t>2026-07-02 10:25:12.364</t>
        </is>
      </c>
      <c r="C4019" t="n">
        <v/>
      </c>
      <c r="D4019" t="inlineStr">
        <is>
          <t>Media file</t>
        </is>
      </c>
      <c r="E4019" t="inlineStr">
        <is>
          <t>player #1:C:/Users/manuel.felline/Documents/BEHAVIOR BTBR/NOR second cohort/WT/test/c58_m2.mp4</t>
        </is>
      </c>
      <c r="F4019" t="n">
        <v>-19.933</v>
      </c>
      <c r="G4019" t="n">
        <v>588.1660000000001</v>
      </c>
      <c r="H4019" t="n">
        <v>635.833</v>
      </c>
      <c r="I4019" t="n">
        <v>30</v>
      </c>
      <c r="J4019" t="inlineStr">
        <is>
          <t xml:space="preserve"> WT</t>
        </is>
      </c>
      <c r="K4019" t="inlineStr">
        <is>
          <t>Male</t>
        </is>
      </c>
      <c r="L4019" t="inlineStr">
        <is>
          <t>No focal subject</t>
        </is>
      </c>
      <c r="M4019" t="n">
        <v>38.5</v>
      </c>
      <c r="N4019" t="inlineStr">
        <is>
          <t>Explore_N</t>
        </is>
      </c>
      <c r="O4019" t="inlineStr">
        <is>
          <t>Novelty</t>
        </is>
      </c>
      <c r="P4019" t="inlineStr">
        <is>
          <t>STATE</t>
        </is>
      </c>
      <c r="Q4019" t="n">
        <v>425.9</v>
      </c>
      <c r="R4019" t="n">
        <v>427.5</v>
      </c>
      <c r="S4019" t="n">
        <v>1.6</v>
      </c>
      <c r="T4019" t="inlineStr">
        <is>
          <t>C:/Users/manuel.felline/Documents/BEHAVIOR BTBR/NOR second cohort/WT/test/c58_m2.mp4</t>
        </is>
      </c>
      <c r="U4019" t="n">
        <v>13373</v>
      </c>
      <c r="V4019" t="n">
        <v>13421</v>
      </c>
      <c r="W4019" t="n">
        <v/>
      </c>
      <c r="X4019" t="n">
        <v/>
      </c>
      <c r="Y4019" t="n">
        <v/>
      </c>
      <c r="Z4019" t="n">
        <v/>
      </c>
      <c r="AA4019">
        <f>SUMIFS($S$2:S4019,$A$2:A4019,A4019,$N$2:N4019,"Explore*")</f>
        <v/>
      </c>
      <c r="AB4019">
        <f>IF(AND(LEFT(N4019,7)="Explore",(AA4019-IF(LEFT(N4019,7)="Explore",S4019,0))&lt;10),"SI","NO")</f>
        <v/>
      </c>
    </row>
    <row r="4020">
      <c r="A4020" t="inlineStr">
        <is>
          <t>c58m2_test</t>
        </is>
      </c>
      <c r="B4020" t="inlineStr">
        <is>
          <t>2026-07-02 10:25:12.364</t>
        </is>
      </c>
      <c r="C4020" t="n">
        <v/>
      </c>
      <c r="D4020" t="inlineStr">
        <is>
          <t>Media file</t>
        </is>
      </c>
      <c r="E4020" t="inlineStr">
        <is>
          <t>player #1:C:/Users/manuel.felline/Documents/BEHAVIOR BTBR/NOR second cohort/WT/test/c58_m2.mp4</t>
        </is>
      </c>
      <c r="F4020" t="n">
        <v>-19.933</v>
      </c>
      <c r="G4020" t="n">
        <v>588.1660000000001</v>
      </c>
      <c r="H4020" t="n">
        <v>635.833</v>
      </c>
      <c r="I4020" t="n">
        <v>30</v>
      </c>
      <c r="J4020" t="inlineStr">
        <is>
          <t xml:space="preserve"> WT</t>
        </is>
      </c>
      <c r="K4020" t="inlineStr">
        <is>
          <t>Male</t>
        </is>
      </c>
      <c r="L4020" t="inlineStr">
        <is>
          <t>No focal subject</t>
        </is>
      </c>
      <c r="M4020" t="n">
        <v>38.5</v>
      </c>
      <c r="N4020" t="inlineStr">
        <is>
          <t>Explore_N</t>
        </is>
      </c>
      <c r="O4020" t="inlineStr">
        <is>
          <t>Novelty</t>
        </is>
      </c>
      <c r="P4020" t="inlineStr">
        <is>
          <t>STATE</t>
        </is>
      </c>
      <c r="Q4020" t="n">
        <v>451.333</v>
      </c>
      <c r="R4020" t="n">
        <v>452</v>
      </c>
      <c r="S4020" t="n">
        <v>0.667</v>
      </c>
      <c r="T4020" t="inlineStr">
        <is>
          <t>C:/Users/manuel.felline/Documents/BEHAVIOR BTBR/NOR second cohort/WT/test/c58_m2.mp4</t>
        </is>
      </c>
      <c r="U4020" t="n">
        <v>14136</v>
      </c>
      <c r="V4020" t="n">
        <v>14156</v>
      </c>
      <c r="W4020" t="n">
        <v/>
      </c>
      <c r="X4020" t="n">
        <v/>
      </c>
      <c r="Y4020" t="n">
        <v/>
      </c>
      <c r="Z4020" t="n">
        <v/>
      </c>
      <c r="AA4020">
        <f>SUMIFS($S$2:S4020,$A$2:A4020,A4020,$N$2:N4020,"Explore*")</f>
        <v/>
      </c>
      <c r="AB4020">
        <f>IF(AND(LEFT(N4020,7)="Explore",(AA4020-IF(LEFT(N4020,7)="Explore",S4020,0))&lt;10),"SI","NO")</f>
        <v/>
      </c>
    </row>
    <row r="4021">
      <c r="A4021" t="inlineStr">
        <is>
          <t>c58m2_test</t>
        </is>
      </c>
      <c r="B4021" t="inlineStr">
        <is>
          <t>2026-07-02 10:25:12.364</t>
        </is>
      </c>
      <c r="C4021" t="n">
        <v/>
      </c>
      <c r="D4021" t="inlineStr">
        <is>
          <t>Media file</t>
        </is>
      </c>
      <c r="E4021" t="inlineStr">
        <is>
          <t>player #1:C:/Users/manuel.felline/Documents/BEHAVIOR BTBR/NOR second cohort/WT/test/c58_m2.mp4</t>
        </is>
      </c>
      <c r="F4021" t="n">
        <v>-19.933</v>
      </c>
      <c r="G4021" t="n">
        <v>588.1660000000001</v>
      </c>
      <c r="H4021" t="n">
        <v>635.833</v>
      </c>
      <c r="I4021" t="n">
        <v>30</v>
      </c>
      <c r="J4021" t="inlineStr">
        <is>
          <t xml:space="preserve"> WT</t>
        </is>
      </c>
      <c r="K4021" t="inlineStr">
        <is>
          <t>Male</t>
        </is>
      </c>
      <c r="L4021" t="inlineStr">
        <is>
          <t>No focal subject</t>
        </is>
      </c>
      <c r="M4021" t="n">
        <v>38.5</v>
      </c>
      <c r="N4021" t="inlineStr">
        <is>
          <t>Explore_N</t>
        </is>
      </c>
      <c r="O4021" t="inlineStr">
        <is>
          <t>Novelty</t>
        </is>
      </c>
      <c r="P4021" t="inlineStr">
        <is>
          <t>STATE</t>
        </is>
      </c>
      <c r="Q4021" t="n">
        <v>469.366</v>
      </c>
      <c r="R4021" t="n">
        <v>469.933</v>
      </c>
      <c r="S4021" t="n">
        <v>0.5669999999999999</v>
      </c>
      <c r="T4021" t="inlineStr">
        <is>
          <t>C:/Users/manuel.felline/Documents/BEHAVIOR BTBR/NOR second cohort/WT/test/c58_m2.mp4</t>
        </is>
      </c>
      <c r="U4021" t="n">
        <v>14677</v>
      </c>
      <c r="V4021" t="n">
        <v>14694</v>
      </c>
      <c r="W4021" t="n">
        <v/>
      </c>
      <c r="X4021" t="n">
        <v/>
      </c>
      <c r="Y4021" t="n">
        <v/>
      </c>
      <c r="Z4021" t="n">
        <v/>
      </c>
      <c r="AA4021">
        <f>SUMIFS($S$2:S4021,$A$2:A4021,A4021,$N$2:N4021,"Explore*")</f>
        <v/>
      </c>
      <c r="AB4021">
        <f>IF(AND(LEFT(N4021,7)="Explore",(AA4021-IF(LEFT(N4021,7)="Explore",S4021,0))&lt;10),"SI","NO")</f>
        <v/>
      </c>
    </row>
    <row r="4022">
      <c r="A4022" t="inlineStr">
        <is>
          <t>c58m2_test</t>
        </is>
      </c>
      <c r="B4022" t="inlineStr">
        <is>
          <t>2026-07-02 10:25:12.364</t>
        </is>
      </c>
      <c r="C4022" t="n">
        <v/>
      </c>
      <c r="D4022" t="inlineStr">
        <is>
          <t>Media file</t>
        </is>
      </c>
      <c r="E4022" t="inlineStr">
        <is>
          <t>player #1:C:/Users/manuel.felline/Documents/BEHAVIOR BTBR/NOR second cohort/WT/test/c58_m2.mp4</t>
        </is>
      </c>
      <c r="F4022" t="n">
        <v>-19.933</v>
      </c>
      <c r="G4022" t="n">
        <v>588.1660000000001</v>
      </c>
      <c r="H4022" t="n">
        <v>635.833</v>
      </c>
      <c r="I4022" t="n">
        <v>30</v>
      </c>
      <c r="J4022" t="inlineStr">
        <is>
          <t xml:space="preserve"> WT</t>
        </is>
      </c>
      <c r="K4022" t="inlineStr">
        <is>
          <t>Male</t>
        </is>
      </c>
      <c r="L4022" t="inlineStr">
        <is>
          <t>No focal subject</t>
        </is>
      </c>
      <c r="M4022" t="n">
        <v>38.5</v>
      </c>
      <c r="N4022" t="inlineStr">
        <is>
          <t>Explore_F</t>
        </is>
      </c>
      <c r="O4022" t="inlineStr">
        <is>
          <t>Familiar</t>
        </is>
      </c>
      <c r="P4022" t="inlineStr">
        <is>
          <t>STATE</t>
        </is>
      </c>
      <c r="Q4022" t="n">
        <v>492.3</v>
      </c>
      <c r="R4022" t="n">
        <v>492.566</v>
      </c>
      <c r="S4022" t="n">
        <v>0.266</v>
      </c>
      <c r="T4022" t="inlineStr">
        <is>
          <t>C:/Users/manuel.felline/Documents/BEHAVIOR BTBR/NOR second cohort/WT/test/c58_m2.mp4</t>
        </is>
      </c>
      <c r="U4022" t="n">
        <v>15365</v>
      </c>
      <c r="V4022" t="n">
        <v>15373</v>
      </c>
      <c r="W4022" t="n">
        <v/>
      </c>
      <c r="X4022" t="n">
        <v/>
      </c>
      <c r="Y4022" t="n">
        <v/>
      </c>
      <c r="Z4022" t="n">
        <v/>
      </c>
      <c r="AA4022">
        <f>SUMIFS($S$2:S4022,$A$2:A4022,A4022,$N$2:N4022,"Explore*")</f>
        <v/>
      </c>
      <c r="AB4022">
        <f>IF(AND(LEFT(N4022,7)="Explore",(AA4022-IF(LEFT(N4022,7)="Explore",S4022,0))&lt;10),"SI","NO")</f>
        <v/>
      </c>
    </row>
    <row r="4023">
      <c r="A4023" t="inlineStr">
        <is>
          <t>c58m2_test</t>
        </is>
      </c>
      <c r="B4023" t="inlineStr">
        <is>
          <t>2026-07-02 10:25:12.364</t>
        </is>
      </c>
      <c r="C4023" t="n">
        <v/>
      </c>
      <c r="D4023" t="inlineStr">
        <is>
          <t>Media file</t>
        </is>
      </c>
      <c r="E4023" t="inlineStr">
        <is>
          <t>player #1:C:/Users/manuel.felline/Documents/BEHAVIOR BTBR/NOR second cohort/WT/test/c58_m2.mp4</t>
        </is>
      </c>
      <c r="F4023" t="n">
        <v>-19.933</v>
      </c>
      <c r="G4023" t="n">
        <v>588.1660000000001</v>
      </c>
      <c r="H4023" t="n">
        <v>635.833</v>
      </c>
      <c r="I4023" t="n">
        <v>30</v>
      </c>
      <c r="J4023" t="inlineStr">
        <is>
          <t xml:space="preserve"> WT</t>
        </is>
      </c>
      <c r="K4023" t="inlineStr">
        <is>
          <t>Male</t>
        </is>
      </c>
      <c r="L4023" t="inlineStr">
        <is>
          <t>No focal subject</t>
        </is>
      </c>
      <c r="M4023" t="n">
        <v>38.5</v>
      </c>
      <c r="N4023" t="inlineStr">
        <is>
          <t>Explore_F</t>
        </is>
      </c>
      <c r="O4023" t="inlineStr">
        <is>
          <t>Familiar</t>
        </is>
      </c>
      <c r="P4023" t="inlineStr">
        <is>
          <t>STATE</t>
        </is>
      </c>
      <c r="Q4023" t="n">
        <v>512.5</v>
      </c>
      <c r="R4023" t="n">
        <v>512.766</v>
      </c>
      <c r="S4023" t="n">
        <v>0.266</v>
      </c>
      <c r="T4023" t="inlineStr">
        <is>
          <t>C:/Users/manuel.felline/Documents/BEHAVIOR BTBR/NOR second cohort/WT/test/c58_m2.mp4</t>
        </is>
      </c>
      <c r="U4023" t="n">
        <v>15971</v>
      </c>
      <c r="V4023" t="n">
        <v>15979</v>
      </c>
      <c r="W4023" t="n">
        <v/>
      </c>
      <c r="X4023" t="n">
        <v/>
      </c>
      <c r="Y4023" t="n">
        <v/>
      </c>
      <c r="Z4023" t="n">
        <v/>
      </c>
      <c r="AA4023">
        <f>SUMIFS($S$2:S4023,$A$2:A4023,A4023,$N$2:N4023,"Explore*")</f>
        <v/>
      </c>
      <c r="AB4023">
        <f>IF(AND(LEFT(N4023,7)="Explore",(AA4023-IF(LEFT(N4023,7)="Explore",S4023,0))&lt;10),"SI","NO")</f>
        <v/>
      </c>
    </row>
    <row r="4024">
      <c r="A4024" t="inlineStr">
        <is>
          <t>c58m2_test</t>
        </is>
      </c>
      <c r="B4024" t="inlineStr">
        <is>
          <t>2026-07-02 10:25:12.364</t>
        </is>
      </c>
      <c r="C4024" t="n">
        <v/>
      </c>
      <c r="D4024" t="inlineStr">
        <is>
          <t>Media file</t>
        </is>
      </c>
      <c r="E4024" t="inlineStr">
        <is>
          <t>player #1:C:/Users/manuel.felline/Documents/BEHAVIOR BTBR/NOR second cohort/WT/test/c58_m2.mp4</t>
        </is>
      </c>
      <c r="F4024" t="n">
        <v>-19.933</v>
      </c>
      <c r="G4024" t="n">
        <v>588.1660000000001</v>
      </c>
      <c r="H4024" t="n">
        <v>635.833</v>
      </c>
      <c r="I4024" t="n">
        <v>30</v>
      </c>
      <c r="J4024" t="inlineStr">
        <is>
          <t xml:space="preserve"> WT</t>
        </is>
      </c>
      <c r="K4024" t="inlineStr">
        <is>
          <t>Male</t>
        </is>
      </c>
      <c r="L4024" t="inlineStr">
        <is>
          <t>No focal subject</t>
        </is>
      </c>
      <c r="M4024" t="n">
        <v>38.5</v>
      </c>
      <c r="N4024" t="inlineStr">
        <is>
          <t>Explore_N</t>
        </is>
      </c>
      <c r="O4024" t="inlineStr">
        <is>
          <t>Novelty</t>
        </is>
      </c>
      <c r="P4024" t="inlineStr">
        <is>
          <t>STATE</t>
        </is>
      </c>
      <c r="Q4024" t="n">
        <v>520.966</v>
      </c>
      <c r="R4024" t="n">
        <v>521.633</v>
      </c>
      <c r="S4024" t="n">
        <v>0.667</v>
      </c>
      <c r="T4024" t="inlineStr">
        <is>
          <t>C:/Users/manuel.felline/Documents/BEHAVIOR BTBR/NOR second cohort/WT/test/c58_m2.mp4</t>
        </is>
      </c>
      <c r="U4024" t="n">
        <v>16225</v>
      </c>
      <c r="V4024" t="n">
        <v>16245</v>
      </c>
      <c r="W4024" t="n">
        <v/>
      </c>
      <c r="X4024" t="n">
        <v/>
      </c>
      <c r="Y4024" t="n">
        <v/>
      </c>
      <c r="Z4024" t="n">
        <v/>
      </c>
      <c r="AA4024">
        <f>SUMIFS($S$2:S4024,$A$2:A4024,A4024,$N$2:N4024,"Explore*")</f>
        <v/>
      </c>
      <c r="AB4024">
        <f>IF(AND(LEFT(N4024,7)="Explore",(AA4024-IF(LEFT(N4024,7)="Explore",S4024,0))&lt;10),"SI","NO")</f>
        <v/>
      </c>
    </row>
    <row r="4025">
      <c r="A4025" t="inlineStr">
        <is>
          <t>c58m2_test</t>
        </is>
      </c>
      <c r="B4025" t="inlineStr">
        <is>
          <t>2026-07-02 10:25:12.364</t>
        </is>
      </c>
      <c r="C4025" t="n">
        <v/>
      </c>
      <c r="D4025" t="inlineStr">
        <is>
          <t>Media file</t>
        </is>
      </c>
      <c r="E4025" t="inlineStr">
        <is>
          <t>player #1:C:/Users/manuel.felline/Documents/BEHAVIOR BTBR/NOR second cohort/WT/test/c58_m2.mp4</t>
        </is>
      </c>
      <c r="F4025" t="n">
        <v>-19.933</v>
      </c>
      <c r="G4025" t="n">
        <v>588.1660000000001</v>
      </c>
      <c r="H4025" t="n">
        <v>635.833</v>
      </c>
      <c r="I4025" t="n">
        <v>30</v>
      </c>
      <c r="J4025" t="inlineStr">
        <is>
          <t xml:space="preserve"> WT</t>
        </is>
      </c>
      <c r="K4025" t="inlineStr">
        <is>
          <t>Male</t>
        </is>
      </c>
      <c r="L4025" t="inlineStr">
        <is>
          <t>No focal subject</t>
        </is>
      </c>
      <c r="M4025" t="n">
        <v>38.5</v>
      </c>
      <c r="N4025" t="inlineStr">
        <is>
          <t>Explore_N</t>
        </is>
      </c>
      <c r="O4025" t="inlineStr">
        <is>
          <t>Novelty</t>
        </is>
      </c>
      <c r="P4025" t="inlineStr">
        <is>
          <t>STATE</t>
        </is>
      </c>
      <c r="Q4025" t="n">
        <v>567.8</v>
      </c>
      <c r="R4025" t="n">
        <v>569.1</v>
      </c>
      <c r="S4025" t="n">
        <v>1.3</v>
      </c>
      <c r="T4025" t="inlineStr">
        <is>
          <t>C:/Users/manuel.felline/Documents/BEHAVIOR BTBR/NOR second cohort/WT/test/c58_m2.mp4</t>
        </is>
      </c>
      <c r="U4025" t="n">
        <v>17629</v>
      </c>
      <c r="V4025" t="n">
        <v>17668</v>
      </c>
      <c r="W4025" t="n">
        <v/>
      </c>
      <c r="X4025" t="n">
        <v/>
      </c>
      <c r="Y4025" t="n">
        <v/>
      </c>
      <c r="Z4025" t="n">
        <v/>
      </c>
      <c r="AA4025">
        <f>SUMIFS($S$2:S4025,$A$2:A4025,A4025,$N$2:N4025,"Explore*")</f>
        <v/>
      </c>
      <c r="AB4025">
        <f>IF(AND(LEFT(N4025,7)="Explore",(AA4025-IF(LEFT(N4025,7)="Explore",S4025,0))&lt;10),"SI","NO")</f>
        <v/>
      </c>
    </row>
    <row r="4026">
      <c r="A4026" t="inlineStr">
        <is>
          <t>c58m2_test</t>
        </is>
      </c>
      <c r="B4026" t="inlineStr">
        <is>
          <t>2026-07-02 10:25:12.364</t>
        </is>
      </c>
      <c r="C4026" t="n">
        <v/>
      </c>
      <c r="D4026" t="inlineStr">
        <is>
          <t>Media file</t>
        </is>
      </c>
      <c r="E4026" t="inlineStr">
        <is>
          <t>player #1:C:/Users/manuel.felline/Documents/BEHAVIOR BTBR/NOR second cohort/WT/test/c58_m2.mp4</t>
        </is>
      </c>
      <c r="F4026" t="n">
        <v>-19.933</v>
      </c>
      <c r="G4026" t="n">
        <v>588.1660000000001</v>
      </c>
      <c r="H4026" t="n">
        <v>635.833</v>
      </c>
      <c r="I4026" t="n">
        <v>30</v>
      </c>
      <c r="J4026" t="inlineStr">
        <is>
          <t xml:space="preserve"> WT</t>
        </is>
      </c>
      <c r="K4026" t="inlineStr">
        <is>
          <t>Male</t>
        </is>
      </c>
      <c r="L4026" t="inlineStr">
        <is>
          <t>No focal subject</t>
        </is>
      </c>
      <c r="M4026" t="n">
        <v>38.5</v>
      </c>
      <c r="N4026" t="inlineStr">
        <is>
          <t>Explore_F</t>
        </is>
      </c>
      <c r="O4026" t="inlineStr">
        <is>
          <t>Familiar</t>
        </is>
      </c>
      <c r="P4026" t="inlineStr">
        <is>
          <t>STATE</t>
        </is>
      </c>
      <c r="Q4026" t="n">
        <v>575.2329999999999</v>
      </c>
      <c r="R4026" t="n">
        <v>575.5</v>
      </c>
      <c r="S4026" t="n">
        <v>0.267</v>
      </c>
      <c r="T4026" t="inlineStr">
        <is>
          <t>C:/Users/manuel.felline/Documents/BEHAVIOR BTBR/NOR second cohort/WT/test/c58_m2.mp4</t>
        </is>
      </c>
      <c r="U4026" t="n">
        <v>17852</v>
      </c>
      <c r="V4026" t="n">
        <v>17860</v>
      </c>
      <c r="W4026" t="n">
        <v/>
      </c>
      <c r="X4026" t="n">
        <v/>
      </c>
      <c r="Y4026" t="n">
        <v/>
      </c>
      <c r="Z4026" t="n">
        <v/>
      </c>
      <c r="AA4026">
        <f>SUMIFS($S$2:S4026,$A$2:A4026,A4026,$N$2:N4026,"Explore*")</f>
        <v/>
      </c>
      <c r="AB4026">
        <f>IF(AND(LEFT(N4026,7)="Explore",(AA4026-IF(LEFT(N4026,7)="Explore",S4026,0))&lt;10),"SI","NO")</f>
        <v/>
      </c>
    </row>
    <row r="4027">
      <c r="A4027" t="inlineStr">
        <is>
          <t>c58m2_test</t>
        </is>
      </c>
      <c r="B4027" t="inlineStr">
        <is>
          <t>2026-07-02 10:25:12.364</t>
        </is>
      </c>
      <c r="C4027" t="n">
        <v/>
      </c>
      <c r="D4027" t="inlineStr">
        <is>
          <t>Media file</t>
        </is>
      </c>
      <c r="E4027" t="inlineStr">
        <is>
          <t>player #1:C:/Users/manuel.felline/Documents/BEHAVIOR BTBR/NOR second cohort/WT/test/c58_m2.mp4</t>
        </is>
      </c>
      <c r="F4027" t="n">
        <v>-19.933</v>
      </c>
      <c r="G4027" t="n">
        <v>588.1660000000001</v>
      </c>
      <c r="H4027" t="n">
        <v>635.833</v>
      </c>
      <c r="I4027" t="n">
        <v>30</v>
      </c>
      <c r="J4027" t="inlineStr">
        <is>
          <t xml:space="preserve"> WT</t>
        </is>
      </c>
      <c r="K4027" t="inlineStr">
        <is>
          <t>Male</t>
        </is>
      </c>
      <c r="L4027" t="inlineStr">
        <is>
          <t>No focal subject</t>
        </is>
      </c>
      <c r="M4027" t="n">
        <v>38.5</v>
      </c>
      <c r="N4027" t="inlineStr">
        <is>
          <t>Explore_F</t>
        </is>
      </c>
      <c r="O4027" t="inlineStr">
        <is>
          <t>Familiar</t>
        </is>
      </c>
      <c r="P4027" t="inlineStr">
        <is>
          <t>STATE</t>
        </is>
      </c>
      <c r="Q4027" t="n">
        <v>588</v>
      </c>
      <c r="R4027" t="n">
        <v>588.2</v>
      </c>
      <c r="S4027" t="n">
        <v>0.2</v>
      </c>
      <c r="T4027" t="inlineStr">
        <is>
          <t>C:/Users/manuel.felline/Documents/BEHAVIOR BTBR/NOR second cohort/WT/test/c58_m2.mp4</t>
        </is>
      </c>
      <c r="U4027" t="n">
        <v>18235</v>
      </c>
      <c r="V4027" t="n">
        <v>18241</v>
      </c>
      <c r="W4027" t="n">
        <v/>
      </c>
      <c r="X4027" t="n">
        <v/>
      </c>
      <c r="Y4027" t="n">
        <v/>
      </c>
      <c r="Z4027" t="n">
        <v/>
      </c>
      <c r="AA4027">
        <f>SUMIFS($S$2:S4027,$A$2:A4027,A4027,$N$2:N4027,"Explore*")</f>
        <v/>
      </c>
      <c r="AB4027">
        <f>IF(AND(LEFT(N4027,7)="Explore",(AA4027-IF(LEFT(N4027,7)="Explore",S4027,0))&lt;10),"SI","NO")</f>
        <v/>
      </c>
    </row>
    <row r="4028">
      <c r="A4028" t="inlineStr">
        <is>
          <t>c58m2_test</t>
        </is>
      </c>
      <c r="B4028" t="inlineStr">
        <is>
          <t>2026-07-02 10:25:12.364</t>
        </is>
      </c>
      <c r="C4028" t="n">
        <v/>
      </c>
      <c r="D4028" t="inlineStr">
        <is>
          <t>Media file</t>
        </is>
      </c>
      <c r="E4028" t="inlineStr">
        <is>
          <t>player #1:C:/Users/manuel.felline/Documents/BEHAVIOR BTBR/NOR second cohort/WT/test/c58_m2.mp4</t>
        </is>
      </c>
      <c r="F4028" t="n">
        <v>-19.933</v>
      </c>
      <c r="G4028" t="n">
        <v>588.1660000000001</v>
      </c>
      <c r="H4028" t="n">
        <v>635.833</v>
      </c>
      <c r="I4028" t="n">
        <v>30</v>
      </c>
      <c r="J4028" t="inlineStr">
        <is>
          <t xml:space="preserve"> WT</t>
        </is>
      </c>
      <c r="K4028" t="inlineStr">
        <is>
          <t>Male</t>
        </is>
      </c>
      <c r="L4028" t="inlineStr">
        <is>
          <t>No focal subject</t>
        </is>
      </c>
      <c r="M4028" t="n">
        <v>38.5</v>
      </c>
      <c r="N4028" t="inlineStr">
        <is>
          <t>Explore_F</t>
        </is>
      </c>
      <c r="O4028" t="inlineStr">
        <is>
          <t>Familiar</t>
        </is>
      </c>
      <c r="P4028" t="inlineStr">
        <is>
          <t>STATE</t>
        </is>
      </c>
      <c r="Q4028" t="n">
        <v>594.966</v>
      </c>
      <c r="R4028" t="n">
        <v>595.3</v>
      </c>
      <c r="S4028" t="n">
        <v>0.334</v>
      </c>
      <c r="T4028" t="inlineStr">
        <is>
          <t>C:/Users/manuel.felline/Documents/BEHAVIOR BTBR/NOR second cohort/WT/test/c58_m2.mp4</t>
        </is>
      </c>
      <c r="U4028" t="n">
        <v>18444</v>
      </c>
      <c r="V4028" t="n">
        <v>18454</v>
      </c>
      <c r="W4028" t="n">
        <v/>
      </c>
      <c r="X4028" t="n">
        <v/>
      </c>
      <c r="Y4028" t="n">
        <v/>
      </c>
      <c r="Z4028" t="n">
        <v/>
      </c>
      <c r="AA4028">
        <f>SUMIFS($S$2:S4028,$A$2:A4028,A4028,$N$2:N4028,"Explore*")</f>
        <v/>
      </c>
      <c r="AB4028">
        <f>IF(AND(LEFT(N4028,7)="Explore",(AA4028-IF(LEFT(N4028,7)="Explore",S4028,0))&lt;10),"SI","NO")</f>
        <v/>
      </c>
    </row>
    <row r="4029">
      <c r="A4029" t="inlineStr">
        <is>
          <t>c58m3_test</t>
        </is>
      </c>
      <c r="B4029" t="inlineStr">
        <is>
          <t>2026-07-02 11:20:21.395</t>
        </is>
      </c>
      <c r="C4029" t="n">
        <v/>
      </c>
      <c r="D4029" t="inlineStr">
        <is>
          <t>Media file</t>
        </is>
      </c>
      <c r="E4029" t="inlineStr">
        <is>
          <t>player #1:C:/Users/manuel.felline/Documents/BEHAVIOR BTBR/NOR second cohort/WT/test/c58_m3.mp4</t>
        </is>
      </c>
      <c r="F4029" t="n">
        <v>-6.667</v>
      </c>
      <c r="G4029" t="n">
        <v>539.1660000000001</v>
      </c>
      <c r="H4029" t="n">
        <v>626.6660000000001</v>
      </c>
      <c r="I4029" t="n">
        <v>30</v>
      </c>
      <c r="J4029" t="inlineStr">
        <is>
          <t xml:space="preserve"> WT</t>
        </is>
      </c>
      <c r="K4029" t="inlineStr">
        <is>
          <t>Male</t>
        </is>
      </c>
      <c r="L4029" t="inlineStr">
        <is>
          <t>No focal subject</t>
        </is>
      </c>
      <c r="M4029" t="n">
        <v>56.937</v>
      </c>
      <c r="N4029" t="inlineStr">
        <is>
          <t>Explore_N</t>
        </is>
      </c>
      <c r="O4029" t="inlineStr">
        <is>
          <t>Novelty</t>
        </is>
      </c>
      <c r="P4029" t="inlineStr">
        <is>
          <t>STATE</t>
        </is>
      </c>
      <c r="Q4029" t="n">
        <v>22.9</v>
      </c>
      <c r="R4029" t="n">
        <v>23.3</v>
      </c>
      <c r="S4029" t="n">
        <v>0.4</v>
      </c>
      <c r="T4029" t="inlineStr">
        <is>
          <t>C:/Users/manuel.felline/Documents/BEHAVIOR BTBR/NOR second cohort/WT/test/c58_m3.mp4</t>
        </is>
      </c>
      <c r="U4029" t="n">
        <v>887</v>
      </c>
      <c r="V4029" t="n">
        <v>899</v>
      </c>
      <c r="W4029" t="n">
        <v/>
      </c>
      <c r="X4029" t="n">
        <v/>
      </c>
      <c r="Y4029" t="n">
        <v/>
      </c>
      <c r="Z4029" t="n">
        <v/>
      </c>
      <c r="AA4029">
        <f>SUMIFS($S$2:S4029,$A$2:A4029,A4029,$N$2:N4029,"Explore*")</f>
        <v/>
      </c>
      <c r="AB4029">
        <f>IF(AND(LEFT(N4029,7)="Explore",(AA4029-IF(LEFT(N4029,7)="Explore",S4029,0))&lt;10),"SI","NO")</f>
        <v/>
      </c>
    </row>
    <row r="4030">
      <c r="A4030" t="inlineStr">
        <is>
          <t>c58m3_test</t>
        </is>
      </c>
      <c r="B4030" t="inlineStr">
        <is>
          <t>2026-07-02 11:20:21.395</t>
        </is>
      </c>
      <c r="C4030" t="n">
        <v/>
      </c>
      <c r="D4030" t="inlineStr">
        <is>
          <t>Media file</t>
        </is>
      </c>
      <c r="E4030" t="inlineStr">
        <is>
          <t>player #1:C:/Users/manuel.felline/Documents/BEHAVIOR BTBR/NOR second cohort/WT/test/c58_m3.mp4</t>
        </is>
      </c>
      <c r="F4030" t="n">
        <v>-6.667</v>
      </c>
      <c r="G4030" t="n">
        <v>539.1660000000001</v>
      </c>
      <c r="H4030" t="n">
        <v>626.6660000000001</v>
      </c>
      <c r="I4030" t="n">
        <v>30</v>
      </c>
      <c r="J4030" t="inlineStr">
        <is>
          <t xml:space="preserve"> WT</t>
        </is>
      </c>
      <c r="K4030" t="inlineStr">
        <is>
          <t>Male</t>
        </is>
      </c>
      <c r="L4030" t="inlineStr">
        <is>
          <t>No focal subject</t>
        </is>
      </c>
      <c r="M4030" t="n">
        <v>56.937</v>
      </c>
      <c r="N4030" t="inlineStr">
        <is>
          <t>Explore_N</t>
        </is>
      </c>
      <c r="O4030" t="inlineStr">
        <is>
          <t>Novelty</t>
        </is>
      </c>
      <c r="P4030" t="inlineStr">
        <is>
          <t>STATE</t>
        </is>
      </c>
      <c r="Q4030" t="n">
        <v>43.833</v>
      </c>
      <c r="R4030" t="n">
        <v>45.4</v>
      </c>
      <c r="S4030" t="n">
        <v>1.567</v>
      </c>
      <c r="T4030" t="inlineStr">
        <is>
          <t>C:/Users/manuel.felline/Documents/BEHAVIOR BTBR/NOR second cohort/WT/test/c58_m3.mp4</t>
        </is>
      </c>
      <c r="U4030" t="n">
        <v>1516</v>
      </c>
      <c r="V4030" t="n">
        <v>1562</v>
      </c>
      <c r="W4030" t="n">
        <v/>
      </c>
      <c r="X4030" t="n">
        <v/>
      </c>
      <c r="Y4030" t="n">
        <v/>
      </c>
      <c r="Z4030" t="n">
        <v/>
      </c>
      <c r="AA4030">
        <f>SUMIFS($S$2:S4030,$A$2:A4030,A4030,$N$2:N4030,"Explore*")</f>
        <v/>
      </c>
      <c r="AB4030">
        <f>IF(AND(LEFT(N4030,7)="Explore",(AA4030-IF(LEFT(N4030,7)="Explore",S4030,0))&lt;10),"SI","NO")</f>
        <v/>
      </c>
    </row>
    <row r="4031">
      <c r="A4031" t="inlineStr">
        <is>
          <t>c58m3_test</t>
        </is>
      </c>
      <c r="B4031" t="inlineStr">
        <is>
          <t>2026-07-02 11:20:21.395</t>
        </is>
      </c>
      <c r="C4031" t="n">
        <v/>
      </c>
      <c r="D4031" t="inlineStr">
        <is>
          <t>Media file</t>
        </is>
      </c>
      <c r="E4031" t="inlineStr">
        <is>
          <t>player #1:C:/Users/manuel.felline/Documents/BEHAVIOR BTBR/NOR second cohort/WT/test/c58_m3.mp4</t>
        </is>
      </c>
      <c r="F4031" t="n">
        <v>-6.667</v>
      </c>
      <c r="G4031" t="n">
        <v>539.1660000000001</v>
      </c>
      <c r="H4031" t="n">
        <v>626.6660000000001</v>
      </c>
      <c r="I4031" t="n">
        <v>30</v>
      </c>
      <c r="J4031" t="inlineStr">
        <is>
          <t xml:space="preserve"> WT</t>
        </is>
      </c>
      <c r="K4031" t="inlineStr">
        <is>
          <t>Male</t>
        </is>
      </c>
      <c r="L4031" t="inlineStr">
        <is>
          <t>No focal subject</t>
        </is>
      </c>
      <c r="M4031" t="n">
        <v>56.937</v>
      </c>
      <c r="N4031" t="inlineStr">
        <is>
          <t>Explore_N</t>
        </is>
      </c>
      <c r="O4031" t="inlineStr">
        <is>
          <t>Novelty</t>
        </is>
      </c>
      <c r="P4031" t="inlineStr">
        <is>
          <t>STATE</t>
        </is>
      </c>
      <c r="Q4031" t="n">
        <v>48.366</v>
      </c>
      <c r="R4031" t="n">
        <v>49.6</v>
      </c>
      <c r="S4031" t="n">
        <v>1.234</v>
      </c>
      <c r="T4031" t="inlineStr">
        <is>
          <t>C:/Users/manuel.felline/Documents/BEHAVIOR BTBR/NOR second cohort/WT/test/c58_m3.mp4</t>
        </is>
      </c>
      <c r="U4031" t="n">
        <v>1651</v>
      </c>
      <c r="V4031" t="n">
        <v>1688</v>
      </c>
      <c r="W4031" t="n">
        <v/>
      </c>
      <c r="X4031" t="n">
        <v/>
      </c>
      <c r="Y4031" t="n">
        <v/>
      </c>
      <c r="Z4031" t="n">
        <v/>
      </c>
      <c r="AA4031">
        <f>SUMIFS($S$2:S4031,$A$2:A4031,A4031,$N$2:N4031,"Explore*")</f>
        <v/>
      </c>
      <c r="AB4031">
        <f>IF(AND(LEFT(N4031,7)="Explore",(AA4031-IF(LEFT(N4031,7)="Explore",S4031,0))&lt;10),"SI","NO")</f>
        <v/>
      </c>
    </row>
    <row r="4032">
      <c r="A4032" t="inlineStr">
        <is>
          <t>c58m3_test</t>
        </is>
      </c>
      <c r="B4032" t="inlineStr">
        <is>
          <t>2026-07-02 11:20:21.395</t>
        </is>
      </c>
      <c r="C4032" t="n">
        <v/>
      </c>
      <c r="D4032" t="inlineStr">
        <is>
          <t>Media file</t>
        </is>
      </c>
      <c r="E4032" t="inlineStr">
        <is>
          <t>player #1:C:/Users/manuel.felline/Documents/BEHAVIOR BTBR/NOR second cohort/WT/test/c58_m3.mp4</t>
        </is>
      </c>
      <c r="F4032" t="n">
        <v>-6.667</v>
      </c>
      <c r="G4032" t="n">
        <v>539.1660000000001</v>
      </c>
      <c r="H4032" t="n">
        <v>626.6660000000001</v>
      </c>
      <c r="I4032" t="n">
        <v>30</v>
      </c>
      <c r="J4032" t="inlineStr">
        <is>
          <t xml:space="preserve"> WT</t>
        </is>
      </c>
      <c r="K4032" t="inlineStr">
        <is>
          <t>Male</t>
        </is>
      </c>
      <c r="L4032" t="inlineStr">
        <is>
          <t>No focal subject</t>
        </is>
      </c>
      <c r="M4032" t="n">
        <v>56.937</v>
      </c>
      <c r="N4032" t="inlineStr">
        <is>
          <t>Explore_N</t>
        </is>
      </c>
      <c r="O4032" t="inlineStr">
        <is>
          <t>Novelty</t>
        </is>
      </c>
      <c r="P4032" t="inlineStr">
        <is>
          <t>STATE</t>
        </is>
      </c>
      <c r="Q4032" t="n">
        <v>51.166</v>
      </c>
      <c r="R4032" t="n">
        <v>52.7</v>
      </c>
      <c r="S4032" t="n">
        <v>1.534</v>
      </c>
      <c r="T4032" t="inlineStr">
        <is>
          <t>C:/Users/manuel.felline/Documents/BEHAVIOR BTBR/NOR second cohort/WT/test/c58_m3.mp4</t>
        </is>
      </c>
      <c r="U4032" t="n">
        <v>1735</v>
      </c>
      <c r="V4032" t="n">
        <v>1781</v>
      </c>
      <c r="W4032" t="n">
        <v/>
      </c>
      <c r="X4032" t="n">
        <v/>
      </c>
      <c r="Y4032" t="n">
        <v/>
      </c>
      <c r="Z4032" t="n">
        <v/>
      </c>
      <c r="AA4032">
        <f>SUMIFS($S$2:S4032,$A$2:A4032,A4032,$N$2:N4032,"Explore*")</f>
        <v/>
      </c>
      <c r="AB4032">
        <f>IF(AND(LEFT(N4032,7)="Explore",(AA4032-IF(LEFT(N4032,7)="Explore",S4032,0))&lt;10),"SI","NO")</f>
        <v/>
      </c>
    </row>
    <row r="4033">
      <c r="A4033" t="inlineStr">
        <is>
          <t>c58m3_test</t>
        </is>
      </c>
      <c r="B4033" t="inlineStr">
        <is>
          <t>2026-07-02 11:20:21.395</t>
        </is>
      </c>
      <c r="C4033" t="n">
        <v/>
      </c>
      <c r="D4033" t="inlineStr">
        <is>
          <t>Media file</t>
        </is>
      </c>
      <c r="E4033" t="inlineStr">
        <is>
          <t>player #1:C:/Users/manuel.felline/Documents/BEHAVIOR BTBR/NOR second cohort/WT/test/c58_m3.mp4</t>
        </is>
      </c>
      <c r="F4033" t="n">
        <v>-6.667</v>
      </c>
      <c r="G4033" t="n">
        <v>539.1660000000001</v>
      </c>
      <c r="H4033" t="n">
        <v>626.6660000000001</v>
      </c>
      <c r="I4033" t="n">
        <v>30</v>
      </c>
      <c r="J4033" t="inlineStr">
        <is>
          <t xml:space="preserve"> WT</t>
        </is>
      </c>
      <c r="K4033" t="inlineStr">
        <is>
          <t>Male</t>
        </is>
      </c>
      <c r="L4033" t="inlineStr">
        <is>
          <t>No focal subject</t>
        </is>
      </c>
      <c r="M4033" t="n">
        <v>56.937</v>
      </c>
      <c r="N4033" t="inlineStr">
        <is>
          <t>Explore_N</t>
        </is>
      </c>
      <c r="O4033" t="inlineStr">
        <is>
          <t>Novelty</t>
        </is>
      </c>
      <c r="P4033" t="inlineStr">
        <is>
          <t>STATE</t>
        </is>
      </c>
      <c r="Q4033" t="n">
        <v>60.033</v>
      </c>
      <c r="R4033" t="n">
        <v>60.433</v>
      </c>
      <c r="S4033" t="n">
        <v>0.4</v>
      </c>
      <c r="T4033" t="inlineStr">
        <is>
          <t>C:/Users/manuel.felline/Documents/BEHAVIOR BTBR/NOR second cohort/WT/test/c58_m3.mp4</t>
        </is>
      </c>
      <c r="U4033" t="n">
        <v>2001</v>
      </c>
      <c r="V4033" t="n">
        <v>2013</v>
      </c>
      <c r="W4033" t="n">
        <v/>
      </c>
      <c r="X4033" t="n">
        <v/>
      </c>
      <c r="Y4033" t="n">
        <v/>
      </c>
      <c r="Z4033" t="n">
        <v/>
      </c>
      <c r="AA4033">
        <f>SUMIFS($S$2:S4033,$A$2:A4033,A4033,$N$2:N4033,"Explore*")</f>
        <v/>
      </c>
      <c r="AB4033">
        <f>IF(AND(LEFT(N4033,7)="Explore",(AA4033-IF(LEFT(N4033,7)="Explore",S4033,0))&lt;10),"SI","NO")</f>
        <v/>
      </c>
    </row>
    <row r="4034">
      <c r="A4034" t="inlineStr">
        <is>
          <t>c58m3_test</t>
        </is>
      </c>
      <c r="B4034" t="inlineStr">
        <is>
          <t>2026-07-02 11:20:21.395</t>
        </is>
      </c>
      <c r="C4034" t="n">
        <v/>
      </c>
      <c r="D4034" t="inlineStr">
        <is>
          <t>Media file</t>
        </is>
      </c>
      <c r="E4034" t="inlineStr">
        <is>
          <t>player #1:C:/Users/manuel.felline/Documents/BEHAVIOR BTBR/NOR second cohort/WT/test/c58_m3.mp4</t>
        </is>
      </c>
      <c r="F4034" t="n">
        <v>-6.667</v>
      </c>
      <c r="G4034" t="n">
        <v>539.1660000000001</v>
      </c>
      <c r="H4034" t="n">
        <v>626.6660000000001</v>
      </c>
      <c r="I4034" t="n">
        <v>30</v>
      </c>
      <c r="J4034" t="inlineStr">
        <is>
          <t xml:space="preserve"> WT</t>
        </is>
      </c>
      <c r="K4034" t="inlineStr">
        <is>
          <t>Male</t>
        </is>
      </c>
      <c r="L4034" t="inlineStr">
        <is>
          <t>No focal subject</t>
        </is>
      </c>
      <c r="M4034" t="n">
        <v>56.937</v>
      </c>
      <c r="N4034" t="inlineStr">
        <is>
          <t>Explore_N</t>
        </is>
      </c>
      <c r="O4034" t="inlineStr">
        <is>
          <t>Novelty</t>
        </is>
      </c>
      <c r="P4034" t="inlineStr">
        <is>
          <t>STATE</t>
        </is>
      </c>
      <c r="Q4034" t="n">
        <v>69.09999999999999</v>
      </c>
      <c r="R4034" t="n">
        <v>69.633</v>
      </c>
      <c r="S4034" t="n">
        <v>0.533</v>
      </c>
      <c r="T4034" t="inlineStr">
        <is>
          <t>C:/Users/manuel.felline/Documents/BEHAVIOR BTBR/NOR second cohort/WT/test/c58_m3.mp4</t>
        </is>
      </c>
      <c r="U4034" t="n">
        <v>2273</v>
      </c>
      <c r="V4034" t="n">
        <v>2289</v>
      </c>
      <c r="W4034" t="n">
        <v/>
      </c>
      <c r="X4034" t="n">
        <v/>
      </c>
      <c r="Y4034" t="n">
        <v/>
      </c>
      <c r="Z4034" t="n">
        <v/>
      </c>
      <c r="AA4034">
        <f>SUMIFS($S$2:S4034,$A$2:A4034,A4034,$N$2:N4034,"Explore*")</f>
        <v/>
      </c>
      <c r="AB4034">
        <f>IF(AND(LEFT(N4034,7)="Explore",(AA4034-IF(LEFT(N4034,7)="Explore",S4034,0))&lt;10),"SI","NO")</f>
        <v/>
      </c>
    </row>
    <row r="4035">
      <c r="A4035" t="inlineStr">
        <is>
          <t>c58m3_test</t>
        </is>
      </c>
      <c r="B4035" t="inlineStr">
        <is>
          <t>2026-07-02 11:20:21.395</t>
        </is>
      </c>
      <c r="C4035" t="n">
        <v/>
      </c>
      <c r="D4035" t="inlineStr">
        <is>
          <t>Media file</t>
        </is>
      </c>
      <c r="E4035" t="inlineStr">
        <is>
          <t>player #1:C:/Users/manuel.felline/Documents/BEHAVIOR BTBR/NOR second cohort/WT/test/c58_m3.mp4</t>
        </is>
      </c>
      <c r="F4035" t="n">
        <v>-6.667</v>
      </c>
      <c r="G4035" t="n">
        <v>539.1660000000001</v>
      </c>
      <c r="H4035" t="n">
        <v>626.6660000000001</v>
      </c>
      <c r="I4035" t="n">
        <v>30</v>
      </c>
      <c r="J4035" t="inlineStr">
        <is>
          <t xml:space="preserve"> WT</t>
        </is>
      </c>
      <c r="K4035" t="inlineStr">
        <is>
          <t>Male</t>
        </is>
      </c>
      <c r="L4035" t="inlineStr">
        <is>
          <t>No focal subject</t>
        </is>
      </c>
      <c r="M4035" t="n">
        <v>56.937</v>
      </c>
      <c r="N4035" t="inlineStr">
        <is>
          <t>Explore_F</t>
        </is>
      </c>
      <c r="O4035" t="inlineStr">
        <is>
          <t>Familiar</t>
        </is>
      </c>
      <c r="P4035" t="inlineStr">
        <is>
          <t>STATE</t>
        </is>
      </c>
      <c r="Q4035" t="n">
        <v>71.233</v>
      </c>
      <c r="R4035" t="n">
        <v>72.40000000000001</v>
      </c>
      <c r="S4035" t="n">
        <v>1.167</v>
      </c>
      <c r="T4035" t="inlineStr">
        <is>
          <t>C:/Users/manuel.felline/Documents/BEHAVIOR BTBR/NOR second cohort/WT/test/c58_m3.mp4</t>
        </is>
      </c>
      <c r="U4035" t="n">
        <v>2337</v>
      </c>
      <c r="V4035" t="n">
        <v>2372</v>
      </c>
      <c r="W4035" t="n">
        <v/>
      </c>
      <c r="X4035" t="n">
        <v/>
      </c>
      <c r="Y4035" t="n">
        <v/>
      </c>
      <c r="Z4035" t="n">
        <v/>
      </c>
      <c r="AA4035">
        <f>SUMIFS($S$2:S4035,$A$2:A4035,A4035,$N$2:N4035,"Explore*")</f>
        <v/>
      </c>
      <c r="AB4035">
        <f>IF(AND(LEFT(N4035,7)="Explore",(AA4035-IF(LEFT(N4035,7)="Explore",S4035,0))&lt;10),"SI","NO")</f>
        <v/>
      </c>
    </row>
    <row r="4036">
      <c r="A4036" t="inlineStr">
        <is>
          <t>c58m3_test</t>
        </is>
      </c>
      <c r="B4036" t="inlineStr">
        <is>
          <t>2026-07-02 11:20:21.395</t>
        </is>
      </c>
      <c r="C4036" t="n">
        <v/>
      </c>
      <c r="D4036" t="inlineStr">
        <is>
          <t>Media file</t>
        </is>
      </c>
      <c r="E4036" t="inlineStr">
        <is>
          <t>player #1:C:/Users/manuel.felline/Documents/BEHAVIOR BTBR/NOR second cohort/WT/test/c58_m3.mp4</t>
        </is>
      </c>
      <c r="F4036" t="n">
        <v>-6.667</v>
      </c>
      <c r="G4036" t="n">
        <v>539.1660000000001</v>
      </c>
      <c r="H4036" t="n">
        <v>626.6660000000001</v>
      </c>
      <c r="I4036" t="n">
        <v>30</v>
      </c>
      <c r="J4036" t="inlineStr">
        <is>
          <t xml:space="preserve"> WT</t>
        </is>
      </c>
      <c r="K4036" t="inlineStr">
        <is>
          <t>Male</t>
        </is>
      </c>
      <c r="L4036" t="inlineStr">
        <is>
          <t>No focal subject</t>
        </is>
      </c>
      <c r="M4036" t="n">
        <v>56.937</v>
      </c>
      <c r="N4036" t="inlineStr">
        <is>
          <t>Explore_F</t>
        </is>
      </c>
      <c r="O4036" t="inlineStr">
        <is>
          <t>Familiar</t>
        </is>
      </c>
      <c r="P4036" t="inlineStr">
        <is>
          <t>STATE</t>
        </is>
      </c>
      <c r="Q4036" t="n">
        <v>99.43300000000001</v>
      </c>
      <c r="R4036" t="n">
        <v>99.90000000000001</v>
      </c>
      <c r="S4036" t="n">
        <v>0.467</v>
      </c>
      <c r="T4036" t="inlineStr">
        <is>
          <t>C:/Users/manuel.felline/Documents/BEHAVIOR BTBR/NOR second cohort/WT/test/c58_m3.mp4</t>
        </is>
      </c>
      <c r="U4036" t="n">
        <v>3183</v>
      </c>
      <c r="V4036" t="n">
        <v>3197</v>
      </c>
      <c r="W4036" t="n">
        <v/>
      </c>
      <c r="X4036" t="n">
        <v/>
      </c>
      <c r="Y4036" t="n">
        <v/>
      </c>
      <c r="Z4036" t="n">
        <v/>
      </c>
      <c r="AA4036">
        <f>SUMIFS($S$2:S4036,$A$2:A4036,A4036,$N$2:N4036,"Explore*")</f>
        <v/>
      </c>
      <c r="AB4036">
        <f>IF(AND(LEFT(N4036,7)="Explore",(AA4036-IF(LEFT(N4036,7)="Explore",S4036,0))&lt;10),"SI","NO")</f>
        <v/>
      </c>
    </row>
    <row r="4037">
      <c r="A4037" t="inlineStr">
        <is>
          <t>c58m3_test</t>
        </is>
      </c>
      <c r="B4037" t="inlineStr">
        <is>
          <t>2026-07-02 11:20:21.395</t>
        </is>
      </c>
      <c r="C4037" t="n">
        <v/>
      </c>
      <c r="D4037" t="inlineStr">
        <is>
          <t>Media file</t>
        </is>
      </c>
      <c r="E4037" t="inlineStr">
        <is>
          <t>player #1:C:/Users/manuel.felline/Documents/BEHAVIOR BTBR/NOR second cohort/WT/test/c58_m3.mp4</t>
        </is>
      </c>
      <c r="F4037" t="n">
        <v>-6.667</v>
      </c>
      <c r="G4037" t="n">
        <v>539.1660000000001</v>
      </c>
      <c r="H4037" t="n">
        <v>626.6660000000001</v>
      </c>
      <c r="I4037" t="n">
        <v>30</v>
      </c>
      <c r="J4037" t="inlineStr">
        <is>
          <t xml:space="preserve"> WT</t>
        </is>
      </c>
      <c r="K4037" t="inlineStr">
        <is>
          <t>Male</t>
        </is>
      </c>
      <c r="L4037" t="inlineStr">
        <is>
          <t>No focal subject</t>
        </is>
      </c>
      <c r="M4037" t="n">
        <v>56.937</v>
      </c>
      <c r="N4037" t="inlineStr">
        <is>
          <t>Explore_F</t>
        </is>
      </c>
      <c r="O4037" t="inlineStr">
        <is>
          <t>Familiar</t>
        </is>
      </c>
      <c r="P4037" t="inlineStr">
        <is>
          <t>STATE</t>
        </is>
      </c>
      <c r="Q4037" t="n">
        <v>146.666</v>
      </c>
      <c r="R4037" t="n">
        <v>147.033</v>
      </c>
      <c r="S4037" t="n">
        <v>0.367</v>
      </c>
      <c r="T4037" t="inlineStr">
        <is>
          <t>C:/Users/manuel.felline/Documents/BEHAVIOR BTBR/NOR second cohort/WT/test/c58_m3.mp4</t>
        </is>
      </c>
      <c r="U4037" t="n">
        <v>4600</v>
      </c>
      <c r="V4037" t="n">
        <v>4611</v>
      </c>
      <c r="W4037" t="n">
        <v/>
      </c>
      <c r="X4037" t="n">
        <v/>
      </c>
      <c r="Y4037" t="n">
        <v/>
      </c>
      <c r="Z4037" t="n">
        <v/>
      </c>
      <c r="AA4037">
        <f>SUMIFS($S$2:S4037,$A$2:A4037,A4037,$N$2:N4037,"Explore*")</f>
        <v/>
      </c>
      <c r="AB4037">
        <f>IF(AND(LEFT(N4037,7)="Explore",(AA4037-IF(LEFT(N4037,7)="Explore",S4037,0))&lt;10),"SI","NO")</f>
        <v/>
      </c>
    </row>
    <row r="4038">
      <c r="A4038" t="inlineStr">
        <is>
          <t>c58m3_test</t>
        </is>
      </c>
      <c r="B4038" t="inlineStr">
        <is>
          <t>2026-07-02 11:20:21.395</t>
        </is>
      </c>
      <c r="C4038" t="n">
        <v/>
      </c>
      <c r="D4038" t="inlineStr">
        <is>
          <t>Media file</t>
        </is>
      </c>
      <c r="E4038" t="inlineStr">
        <is>
          <t>player #1:C:/Users/manuel.felline/Documents/BEHAVIOR BTBR/NOR second cohort/WT/test/c58_m3.mp4</t>
        </is>
      </c>
      <c r="F4038" t="n">
        <v>-6.667</v>
      </c>
      <c r="G4038" t="n">
        <v>539.1660000000001</v>
      </c>
      <c r="H4038" t="n">
        <v>626.6660000000001</v>
      </c>
      <c r="I4038" t="n">
        <v>30</v>
      </c>
      <c r="J4038" t="inlineStr">
        <is>
          <t xml:space="preserve"> WT</t>
        </is>
      </c>
      <c r="K4038" t="inlineStr">
        <is>
          <t>Male</t>
        </is>
      </c>
      <c r="L4038" t="inlineStr">
        <is>
          <t>No focal subject</t>
        </is>
      </c>
      <c r="M4038" t="n">
        <v>56.937</v>
      </c>
      <c r="N4038" t="inlineStr">
        <is>
          <t>Explore_N</t>
        </is>
      </c>
      <c r="O4038" t="inlineStr">
        <is>
          <t>Novelty</t>
        </is>
      </c>
      <c r="P4038" t="inlineStr">
        <is>
          <t>STATE</t>
        </is>
      </c>
      <c r="Q4038" t="n">
        <v>150.3</v>
      </c>
      <c r="R4038" t="n">
        <v>151.3</v>
      </c>
      <c r="S4038" t="n">
        <v>1</v>
      </c>
      <c r="T4038" t="inlineStr">
        <is>
          <t>C:/Users/manuel.felline/Documents/BEHAVIOR BTBR/NOR second cohort/WT/test/c58_m3.mp4</t>
        </is>
      </c>
      <c r="U4038" t="n">
        <v>4709</v>
      </c>
      <c r="V4038" t="n">
        <v>4739</v>
      </c>
      <c r="W4038" t="n">
        <v/>
      </c>
      <c r="X4038" t="n">
        <v/>
      </c>
      <c r="Y4038" t="n">
        <v/>
      </c>
      <c r="Z4038" t="n">
        <v/>
      </c>
      <c r="AA4038">
        <f>SUMIFS($S$2:S4038,$A$2:A4038,A4038,$N$2:N4038,"Explore*")</f>
        <v/>
      </c>
      <c r="AB4038">
        <f>IF(AND(LEFT(N4038,7)="Explore",(AA4038-IF(LEFT(N4038,7)="Explore",S4038,0))&lt;10),"SI","NO")</f>
        <v/>
      </c>
    </row>
    <row r="4039">
      <c r="A4039" t="inlineStr">
        <is>
          <t>c58m3_test</t>
        </is>
      </c>
      <c r="B4039" t="inlineStr">
        <is>
          <t>2026-07-02 11:20:21.395</t>
        </is>
      </c>
      <c r="C4039" t="n">
        <v/>
      </c>
      <c r="D4039" t="inlineStr">
        <is>
          <t>Media file</t>
        </is>
      </c>
      <c r="E4039" t="inlineStr">
        <is>
          <t>player #1:C:/Users/manuel.felline/Documents/BEHAVIOR BTBR/NOR second cohort/WT/test/c58_m3.mp4</t>
        </is>
      </c>
      <c r="F4039" t="n">
        <v>-6.667</v>
      </c>
      <c r="G4039" t="n">
        <v>539.1660000000001</v>
      </c>
      <c r="H4039" t="n">
        <v>626.6660000000001</v>
      </c>
      <c r="I4039" t="n">
        <v>30</v>
      </c>
      <c r="J4039" t="inlineStr">
        <is>
          <t xml:space="preserve"> WT</t>
        </is>
      </c>
      <c r="K4039" t="inlineStr">
        <is>
          <t>Male</t>
        </is>
      </c>
      <c r="L4039" t="inlineStr">
        <is>
          <t>No focal subject</t>
        </is>
      </c>
      <c r="M4039" t="n">
        <v>56.937</v>
      </c>
      <c r="N4039" t="inlineStr">
        <is>
          <t>Explore_N</t>
        </is>
      </c>
      <c r="O4039" t="inlineStr">
        <is>
          <t>Novelty</t>
        </is>
      </c>
      <c r="P4039" t="inlineStr">
        <is>
          <t>STATE</t>
        </is>
      </c>
      <c r="Q4039" t="n">
        <v>152.866</v>
      </c>
      <c r="R4039" t="n">
        <v>154.033</v>
      </c>
      <c r="S4039" t="n">
        <v>1.167</v>
      </c>
      <c r="T4039" t="inlineStr">
        <is>
          <t>C:/Users/manuel.felline/Documents/BEHAVIOR BTBR/NOR second cohort/WT/test/c58_m3.mp4</t>
        </is>
      </c>
      <c r="U4039" t="n">
        <v>4786</v>
      </c>
      <c r="V4039" t="n">
        <v>4821</v>
      </c>
      <c r="W4039" t="n">
        <v/>
      </c>
      <c r="X4039" t="n">
        <v/>
      </c>
      <c r="Y4039" t="n">
        <v/>
      </c>
      <c r="Z4039" t="n">
        <v/>
      </c>
      <c r="AA4039">
        <f>SUMIFS($S$2:S4039,$A$2:A4039,A4039,$N$2:N4039,"Explore*")</f>
        <v/>
      </c>
      <c r="AB4039">
        <f>IF(AND(LEFT(N4039,7)="Explore",(AA4039-IF(LEFT(N4039,7)="Explore",S4039,0))&lt;10),"SI","NO")</f>
        <v/>
      </c>
    </row>
    <row r="4040">
      <c r="A4040" t="inlineStr">
        <is>
          <t>c58m3_test</t>
        </is>
      </c>
      <c r="B4040" t="inlineStr">
        <is>
          <t>2026-07-02 11:20:21.395</t>
        </is>
      </c>
      <c r="C4040" t="n">
        <v/>
      </c>
      <c r="D4040" t="inlineStr">
        <is>
          <t>Media file</t>
        </is>
      </c>
      <c r="E4040" t="inlineStr">
        <is>
          <t>player #1:C:/Users/manuel.felline/Documents/BEHAVIOR BTBR/NOR second cohort/WT/test/c58_m3.mp4</t>
        </is>
      </c>
      <c r="F4040" t="n">
        <v>-6.667</v>
      </c>
      <c r="G4040" t="n">
        <v>539.1660000000001</v>
      </c>
      <c r="H4040" t="n">
        <v>626.6660000000001</v>
      </c>
      <c r="I4040" t="n">
        <v>30</v>
      </c>
      <c r="J4040" t="inlineStr">
        <is>
          <t xml:space="preserve"> WT</t>
        </is>
      </c>
      <c r="K4040" t="inlineStr">
        <is>
          <t>Male</t>
        </is>
      </c>
      <c r="L4040" t="inlineStr">
        <is>
          <t>No focal subject</t>
        </is>
      </c>
      <c r="M4040" t="n">
        <v>56.937</v>
      </c>
      <c r="N4040" t="inlineStr">
        <is>
          <t>Explore_N</t>
        </is>
      </c>
      <c r="O4040" t="inlineStr">
        <is>
          <t>Novelty</t>
        </is>
      </c>
      <c r="P4040" t="inlineStr">
        <is>
          <t>STATE</t>
        </is>
      </c>
      <c r="Q4040" t="n">
        <v>155.3</v>
      </c>
      <c r="R4040" t="n">
        <v>156.999</v>
      </c>
      <c r="S4040" t="n">
        <v>1.699</v>
      </c>
      <c r="T4040" t="inlineStr">
        <is>
          <t>C:/Users/manuel.felline/Documents/BEHAVIOR BTBR/NOR second cohort/WT/test/c58_m3.mp4</t>
        </is>
      </c>
      <c r="U4040" t="n">
        <v>4859</v>
      </c>
      <c r="V4040" t="n">
        <v>4910</v>
      </c>
      <c r="W4040" t="n">
        <v/>
      </c>
      <c r="X4040" t="n">
        <v/>
      </c>
      <c r="Y4040" t="n">
        <v/>
      </c>
      <c r="Z4040" t="n">
        <v/>
      </c>
      <c r="AA4040">
        <f>SUMIFS($S$2:S4040,$A$2:A4040,A4040,$N$2:N4040,"Explore*")</f>
        <v/>
      </c>
      <c r="AB4040">
        <f>IF(AND(LEFT(N4040,7)="Explore",(AA4040-IF(LEFT(N4040,7)="Explore",S4040,0))&lt;10),"SI","NO")</f>
        <v/>
      </c>
    </row>
    <row r="4041">
      <c r="A4041" t="inlineStr">
        <is>
          <t>c58m3_test</t>
        </is>
      </c>
      <c r="B4041" t="inlineStr">
        <is>
          <t>2026-07-02 11:20:21.395</t>
        </is>
      </c>
      <c r="C4041" t="n">
        <v/>
      </c>
      <c r="D4041" t="inlineStr">
        <is>
          <t>Media file</t>
        </is>
      </c>
      <c r="E4041" t="inlineStr">
        <is>
          <t>player #1:C:/Users/manuel.felline/Documents/BEHAVIOR BTBR/NOR second cohort/WT/test/c58_m3.mp4</t>
        </is>
      </c>
      <c r="F4041" t="n">
        <v>-6.667</v>
      </c>
      <c r="G4041" t="n">
        <v>539.1660000000001</v>
      </c>
      <c r="H4041" t="n">
        <v>626.6660000000001</v>
      </c>
      <c r="I4041" t="n">
        <v>30</v>
      </c>
      <c r="J4041" t="inlineStr">
        <is>
          <t xml:space="preserve"> WT</t>
        </is>
      </c>
      <c r="K4041" t="inlineStr">
        <is>
          <t>Male</t>
        </is>
      </c>
      <c r="L4041" t="inlineStr">
        <is>
          <t>No focal subject</t>
        </is>
      </c>
      <c r="M4041" t="n">
        <v>56.937</v>
      </c>
      <c r="N4041" t="inlineStr">
        <is>
          <t>Explore_N</t>
        </is>
      </c>
      <c r="O4041" t="inlineStr">
        <is>
          <t>Novelty</t>
        </is>
      </c>
      <c r="P4041" t="inlineStr">
        <is>
          <t>STATE</t>
        </is>
      </c>
      <c r="Q4041" t="n">
        <v>158.166</v>
      </c>
      <c r="R4041" t="n">
        <v>159.599</v>
      </c>
      <c r="S4041" t="n">
        <v>1.433</v>
      </c>
      <c r="T4041" t="inlineStr">
        <is>
          <t>C:/Users/manuel.felline/Documents/BEHAVIOR BTBR/NOR second cohort/WT/test/c58_m3.mp4</t>
        </is>
      </c>
      <c r="U4041" t="n">
        <v>4945</v>
      </c>
      <c r="V4041" t="n">
        <v>4988</v>
      </c>
      <c r="W4041" t="n">
        <v/>
      </c>
      <c r="X4041" t="n">
        <v/>
      </c>
      <c r="Y4041" t="n">
        <v/>
      </c>
      <c r="Z4041" t="n">
        <v/>
      </c>
      <c r="AA4041">
        <f>SUMIFS($S$2:S4041,$A$2:A4041,A4041,$N$2:N4041,"Explore*")</f>
        <v/>
      </c>
      <c r="AB4041">
        <f>IF(AND(LEFT(N4041,7)="Explore",(AA4041-IF(LEFT(N4041,7)="Explore",S4041,0))&lt;10),"SI","NO")</f>
        <v/>
      </c>
    </row>
    <row r="4042">
      <c r="A4042" t="inlineStr">
        <is>
          <t>c58m3_test</t>
        </is>
      </c>
      <c r="B4042" t="inlineStr">
        <is>
          <t>2026-07-02 11:20:21.395</t>
        </is>
      </c>
      <c r="C4042" t="n">
        <v/>
      </c>
      <c r="D4042" t="inlineStr">
        <is>
          <t>Media file</t>
        </is>
      </c>
      <c r="E4042" t="inlineStr">
        <is>
          <t>player #1:C:/Users/manuel.felline/Documents/BEHAVIOR BTBR/NOR second cohort/WT/test/c58_m3.mp4</t>
        </is>
      </c>
      <c r="F4042" t="n">
        <v>-6.667</v>
      </c>
      <c r="G4042" t="n">
        <v>539.1660000000001</v>
      </c>
      <c r="H4042" t="n">
        <v>626.6660000000001</v>
      </c>
      <c r="I4042" t="n">
        <v>30</v>
      </c>
      <c r="J4042" t="inlineStr">
        <is>
          <t xml:space="preserve"> WT</t>
        </is>
      </c>
      <c r="K4042" t="inlineStr">
        <is>
          <t>Male</t>
        </is>
      </c>
      <c r="L4042" t="inlineStr">
        <is>
          <t>No focal subject</t>
        </is>
      </c>
      <c r="M4042" t="n">
        <v>56.937</v>
      </c>
      <c r="N4042" t="inlineStr">
        <is>
          <t>Explore_N</t>
        </is>
      </c>
      <c r="O4042" t="inlineStr">
        <is>
          <t>Novelty</t>
        </is>
      </c>
      <c r="P4042" t="inlineStr">
        <is>
          <t>STATE</t>
        </is>
      </c>
      <c r="Q4042" t="n">
        <v>164.033</v>
      </c>
      <c r="R4042" t="n">
        <v>164.966</v>
      </c>
      <c r="S4042" t="n">
        <v>0.9330000000000001</v>
      </c>
      <c r="T4042" t="inlineStr">
        <is>
          <t>C:/Users/manuel.felline/Documents/BEHAVIOR BTBR/NOR second cohort/WT/test/c58_m3.mp4</t>
        </is>
      </c>
      <c r="U4042" t="n">
        <v>5121</v>
      </c>
      <c r="V4042" t="n">
        <v>5149</v>
      </c>
      <c r="W4042" t="n">
        <v/>
      </c>
      <c r="X4042" t="n">
        <v/>
      </c>
      <c r="Y4042" t="n">
        <v/>
      </c>
      <c r="Z4042" t="n">
        <v/>
      </c>
      <c r="AA4042">
        <f>SUMIFS($S$2:S4042,$A$2:A4042,A4042,$N$2:N4042,"Explore*")</f>
        <v/>
      </c>
      <c r="AB4042">
        <f>IF(AND(LEFT(N4042,7)="Explore",(AA4042-IF(LEFT(N4042,7)="Explore",S4042,0))&lt;10),"SI","NO")</f>
        <v/>
      </c>
    </row>
    <row r="4043">
      <c r="A4043" t="inlineStr">
        <is>
          <t>c58m3_test</t>
        </is>
      </c>
      <c r="B4043" t="inlineStr">
        <is>
          <t>2026-07-02 11:20:21.395</t>
        </is>
      </c>
      <c r="C4043" t="n">
        <v/>
      </c>
      <c r="D4043" t="inlineStr">
        <is>
          <t>Media file</t>
        </is>
      </c>
      <c r="E4043" t="inlineStr">
        <is>
          <t>player #1:C:/Users/manuel.felline/Documents/BEHAVIOR BTBR/NOR second cohort/WT/test/c58_m3.mp4</t>
        </is>
      </c>
      <c r="F4043" t="n">
        <v>-6.667</v>
      </c>
      <c r="G4043" t="n">
        <v>539.1660000000001</v>
      </c>
      <c r="H4043" t="n">
        <v>626.6660000000001</v>
      </c>
      <c r="I4043" t="n">
        <v>30</v>
      </c>
      <c r="J4043" t="inlineStr">
        <is>
          <t xml:space="preserve"> WT</t>
        </is>
      </c>
      <c r="K4043" t="inlineStr">
        <is>
          <t>Male</t>
        </is>
      </c>
      <c r="L4043" t="inlineStr">
        <is>
          <t>No focal subject</t>
        </is>
      </c>
      <c r="M4043" t="n">
        <v>56.937</v>
      </c>
      <c r="N4043" t="inlineStr">
        <is>
          <t>Explore_N</t>
        </is>
      </c>
      <c r="O4043" t="inlineStr">
        <is>
          <t>Novelty</t>
        </is>
      </c>
      <c r="P4043" t="inlineStr">
        <is>
          <t>STATE</t>
        </is>
      </c>
      <c r="Q4043" t="n">
        <v>168.933</v>
      </c>
      <c r="R4043" t="n">
        <v>169.833</v>
      </c>
      <c r="S4043" t="n">
        <v>0.9</v>
      </c>
      <c r="T4043" t="inlineStr">
        <is>
          <t>C:/Users/manuel.felline/Documents/BEHAVIOR BTBR/NOR second cohort/WT/test/c58_m3.mp4</t>
        </is>
      </c>
      <c r="U4043" t="n">
        <v>5268</v>
      </c>
      <c r="V4043" t="n">
        <v>5295</v>
      </c>
      <c r="W4043" t="n">
        <v/>
      </c>
      <c r="X4043" t="n">
        <v/>
      </c>
      <c r="Y4043" t="n">
        <v/>
      </c>
      <c r="Z4043" t="n">
        <v/>
      </c>
      <c r="AA4043">
        <f>SUMIFS($S$2:S4043,$A$2:A4043,A4043,$N$2:N4043,"Explore*")</f>
        <v/>
      </c>
      <c r="AB4043">
        <f>IF(AND(LEFT(N4043,7)="Explore",(AA4043-IF(LEFT(N4043,7)="Explore",S4043,0))&lt;10),"SI","NO")</f>
        <v/>
      </c>
    </row>
    <row r="4044">
      <c r="A4044" t="inlineStr">
        <is>
          <t>c58m3_test</t>
        </is>
      </c>
      <c r="B4044" t="inlineStr">
        <is>
          <t>2026-07-02 11:20:21.395</t>
        </is>
      </c>
      <c r="C4044" t="n">
        <v/>
      </c>
      <c r="D4044" t="inlineStr">
        <is>
          <t>Media file</t>
        </is>
      </c>
      <c r="E4044" t="inlineStr">
        <is>
          <t>player #1:C:/Users/manuel.felline/Documents/BEHAVIOR BTBR/NOR second cohort/WT/test/c58_m3.mp4</t>
        </is>
      </c>
      <c r="F4044" t="n">
        <v>-6.667</v>
      </c>
      <c r="G4044" t="n">
        <v>539.1660000000001</v>
      </c>
      <c r="H4044" t="n">
        <v>626.6660000000001</v>
      </c>
      <c r="I4044" t="n">
        <v>30</v>
      </c>
      <c r="J4044" t="inlineStr">
        <is>
          <t xml:space="preserve"> WT</t>
        </is>
      </c>
      <c r="K4044" t="inlineStr">
        <is>
          <t>Male</t>
        </is>
      </c>
      <c r="L4044" t="inlineStr">
        <is>
          <t>No focal subject</t>
        </is>
      </c>
      <c r="M4044" t="n">
        <v>56.937</v>
      </c>
      <c r="N4044" t="inlineStr">
        <is>
          <t>Explore_N</t>
        </is>
      </c>
      <c r="O4044" t="inlineStr">
        <is>
          <t>Novelty</t>
        </is>
      </c>
      <c r="P4044" t="inlineStr">
        <is>
          <t>STATE</t>
        </is>
      </c>
      <c r="Q4044" t="n">
        <v>170.699</v>
      </c>
      <c r="R4044" t="n">
        <v>171.799</v>
      </c>
      <c r="S4044" t="n">
        <v>1.1</v>
      </c>
      <c r="T4044" t="inlineStr">
        <is>
          <t>C:/Users/manuel.felline/Documents/BEHAVIOR BTBR/NOR second cohort/WT/test/c58_m3.mp4</t>
        </is>
      </c>
      <c r="U4044" t="n">
        <v>5321</v>
      </c>
      <c r="V4044" t="n">
        <v>5354</v>
      </c>
      <c r="W4044" t="n">
        <v/>
      </c>
      <c r="X4044" t="n">
        <v/>
      </c>
      <c r="Y4044" t="n">
        <v/>
      </c>
      <c r="Z4044" t="n">
        <v/>
      </c>
      <c r="AA4044">
        <f>SUMIFS($S$2:S4044,$A$2:A4044,A4044,$N$2:N4044,"Explore*")</f>
        <v/>
      </c>
      <c r="AB4044">
        <f>IF(AND(LEFT(N4044,7)="Explore",(AA4044-IF(LEFT(N4044,7)="Explore",S4044,0))&lt;10),"SI","NO")</f>
        <v/>
      </c>
    </row>
    <row r="4045">
      <c r="A4045" t="inlineStr">
        <is>
          <t>c58m3_test</t>
        </is>
      </c>
      <c r="B4045" t="inlineStr">
        <is>
          <t>2026-07-02 11:20:21.395</t>
        </is>
      </c>
      <c r="C4045" t="n">
        <v/>
      </c>
      <c r="D4045" t="inlineStr">
        <is>
          <t>Media file</t>
        </is>
      </c>
      <c r="E4045" t="inlineStr">
        <is>
          <t>player #1:C:/Users/manuel.felline/Documents/BEHAVIOR BTBR/NOR second cohort/WT/test/c58_m3.mp4</t>
        </is>
      </c>
      <c r="F4045" t="n">
        <v>-6.667</v>
      </c>
      <c r="G4045" t="n">
        <v>539.1660000000001</v>
      </c>
      <c r="H4045" t="n">
        <v>626.6660000000001</v>
      </c>
      <c r="I4045" t="n">
        <v>30</v>
      </c>
      <c r="J4045" t="inlineStr">
        <is>
          <t xml:space="preserve"> WT</t>
        </is>
      </c>
      <c r="K4045" t="inlineStr">
        <is>
          <t>Male</t>
        </is>
      </c>
      <c r="L4045" t="inlineStr">
        <is>
          <t>No focal subject</t>
        </is>
      </c>
      <c r="M4045" t="n">
        <v>56.937</v>
      </c>
      <c r="N4045" t="inlineStr">
        <is>
          <t>Explore_N</t>
        </is>
      </c>
      <c r="O4045" t="inlineStr">
        <is>
          <t>Novelty</t>
        </is>
      </c>
      <c r="P4045" t="inlineStr">
        <is>
          <t>STATE</t>
        </is>
      </c>
      <c r="Q4045" t="n">
        <v>173.333</v>
      </c>
      <c r="R4045" t="n">
        <v>174.099</v>
      </c>
      <c r="S4045" t="n">
        <v>0.766</v>
      </c>
      <c r="T4045" t="inlineStr">
        <is>
          <t>C:/Users/manuel.felline/Documents/BEHAVIOR BTBR/NOR second cohort/WT/test/c58_m3.mp4</t>
        </is>
      </c>
      <c r="U4045" t="n">
        <v>5400</v>
      </c>
      <c r="V4045" t="n">
        <v>5423</v>
      </c>
      <c r="W4045" t="n">
        <v/>
      </c>
      <c r="X4045" t="n">
        <v/>
      </c>
      <c r="Y4045" t="n">
        <v/>
      </c>
      <c r="Z4045" t="n">
        <v/>
      </c>
      <c r="AA4045">
        <f>SUMIFS($S$2:S4045,$A$2:A4045,A4045,$N$2:N4045,"Explore*")</f>
        <v/>
      </c>
      <c r="AB4045">
        <f>IF(AND(LEFT(N4045,7)="Explore",(AA4045-IF(LEFT(N4045,7)="Explore",S4045,0))&lt;10),"SI","NO")</f>
        <v/>
      </c>
    </row>
    <row r="4046">
      <c r="A4046" t="inlineStr">
        <is>
          <t>c58m3_test</t>
        </is>
      </c>
      <c r="B4046" t="inlineStr">
        <is>
          <t>2026-07-02 11:20:21.395</t>
        </is>
      </c>
      <c r="C4046" t="n">
        <v/>
      </c>
      <c r="D4046" t="inlineStr">
        <is>
          <t>Media file</t>
        </is>
      </c>
      <c r="E4046" t="inlineStr">
        <is>
          <t>player #1:C:/Users/manuel.felline/Documents/BEHAVIOR BTBR/NOR second cohort/WT/test/c58_m3.mp4</t>
        </is>
      </c>
      <c r="F4046" t="n">
        <v>-6.667</v>
      </c>
      <c r="G4046" t="n">
        <v>539.1660000000001</v>
      </c>
      <c r="H4046" t="n">
        <v>626.6660000000001</v>
      </c>
      <c r="I4046" t="n">
        <v>30</v>
      </c>
      <c r="J4046" t="inlineStr">
        <is>
          <t xml:space="preserve"> WT</t>
        </is>
      </c>
      <c r="K4046" t="inlineStr">
        <is>
          <t>Male</t>
        </is>
      </c>
      <c r="L4046" t="inlineStr">
        <is>
          <t>No focal subject</t>
        </is>
      </c>
      <c r="M4046" t="n">
        <v>56.937</v>
      </c>
      <c r="N4046" t="inlineStr">
        <is>
          <t>Explore_N</t>
        </is>
      </c>
      <c r="O4046" t="inlineStr">
        <is>
          <t>Novelty</t>
        </is>
      </c>
      <c r="P4046" t="inlineStr">
        <is>
          <t>STATE</t>
        </is>
      </c>
      <c r="Q4046" t="n">
        <v>175.099</v>
      </c>
      <c r="R4046" t="n">
        <v>175.533</v>
      </c>
      <c r="S4046" t="n">
        <v>0.434</v>
      </c>
      <c r="T4046" t="inlineStr">
        <is>
          <t>C:/Users/manuel.felline/Documents/BEHAVIOR BTBR/NOR second cohort/WT/test/c58_m3.mp4</t>
        </is>
      </c>
      <c r="U4046" t="n">
        <v>5453</v>
      </c>
      <c r="V4046" t="n">
        <v>5466</v>
      </c>
      <c r="W4046" t="n">
        <v/>
      </c>
      <c r="X4046" t="n">
        <v/>
      </c>
      <c r="Y4046" t="n">
        <v/>
      </c>
      <c r="Z4046" t="n">
        <v/>
      </c>
      <c r="AA4046">
        <f>SUMIFS($S$2:S4046,$A$2:A4046,A4046,$N$2:N4046,"Explore*")</f>
        <v/>
      </c>
      <c r="AB4046">
        <f>IF(AND(LEFT(N4046,7)="Explore",(AA4046-IF(LEFT(N4046,7)="Explore",S4046,0))&lt;10),"SI","NO")</f>
        <v/>
      </c>
    </row>
    <row r="4047">
      <c r="A4047" t="inlineStr">
        <is>
          <t>c58m3_test</t>
        </is>
      </c>
      <c r="B4047" t="inlineStr">
        <is>
          <t>2026-07-02 11:20:21.395</t>
        </is>
      </c>
      <c r="C4047" t="n">
        <v/>
      </c>
      <c r="D4047" t="inlineStr">
        <is>
          <t>Media file</t>
        </is>
      </c>
      <c r="E4047" t="inlineStr">
        <is>
          <t>player #1:C:/Users/manuel.felline/Documents/BEHAVIOR BTBR/NOR second cohort/WT/test/c58_m3.mp4</t>
        </is>
      </c>
      <c r="F4047" t="n">
        <v>-6.667</v>
      </c>
      <c r="G4047" t="n">
        <v>539.1660000000001</v>
      </c>
      <c r="H4047" t="n">
        <v>626.6660000000001</v>
      </c>
      <c r="I4047" t="n">
        <v>30</v>
      </c>
      <c r="J4047" t="inlineStr">
        <is>
          <t xml:space="preserve"> WT</t>
        </is>
      </c>
      <c r="K4047" t="inlineStr">
        <is>
          <t>Male</t>
        </is>
      </c>
      <c r="L4047" t="inlineStr">
        <is>
          <t>No focal subject</t>
        </is>
      </c>
      <c r="M4047" t="n">
        <v>56.937</v>
      </c>
      <c r="N4047" t="inlineStr">
        <is>
          <t>Explore_F</t>
        </is>
      </c>
      <c r="O4047" t="inlineStr">
        <is>
          <t>Familiar</t>
        </is>
      </c>
      <c r="P4047" t="inlineStr">
        <is>
          <t>STATE</t>
        </is>
      </c>
      <c r="Q4047" t="n">
        <v>243.099</v>
      </c>
      <c r="R4047" t="n">
        <v>244.633</v>
      </c>
      <c r="S4047" t="n">
        <v>1.534</v>
      </c>
      <c r="T4047" t="inlineStr">
        <is>
          <t>C:/Users/manuel.felline/Documents/BEHAVIOR BTBR/NOR second cohort/WT/test/c58_m3.mp4</t>
        </is>
      </c>
      <c r="U4047" t="n">
        <v>7493</v>
      </c>
      <c r="V4047" t="n">
        <v>7539</v>
      </c>
      <c r="W4047" t="n">
        <v/>
      </c>
      <c r="X4047" t="n">
        <v/>
      </c>
      <c r="Y4047" t="n">
        <v/>
      </c>
      <c r="Z4047" t="n">
        <v/>
      </c>
      <c r="AA4047">
        <f>SUMIFS($S$2:S4047,$A$2:A4047,A4047,$N$2:N4047,"Explore*")</f>
        <v/>
      </c>
      <c r="AB4047">
        <f>IF(AND(LEFT(N4047,7)="Explore",(AA4047-IF(LEFT(N4047,7)="Explore",S4047,0))&lt;10),"SI","NO")</f>
        <v/>
      </c>
    </row>
    <row r="4048">
      <c r="A4048" t="inlineStr">
        <is>
          <t>c58m3_test</t>
        </is>
      </c>
      <c r="B4048" t="inlineStr">
        <is>
          <t>2026-07-02 11:20:21.395</t>
        </is>
      </c>
      <c r="C4048" t="n">
        <v/>
      </c>
      <c r="D4048" t="inlineStr">
        <is>
          <t>Media file</t>
        </is>
      </c>
      <c r="E4048" t="inlineStr">
        <is>
          <t>player #1:C:/Users/manuel.felline/Documents/BEHAVIOR BTBR/NOR second cohort/WT/test/c58_m3.mp4</t>
        </is>
      </c>
      <c r="F4048" t="n">
        <v>-6.667</v>
      </c>
      <c r="G4048" t="n">
        <v>539.1660000000001</v>
      </c>
      <c r="H4048" t="n">
        <v>626.6660000000001</v>
      </c>
      <c r="I4048" t="n">
        <v>30</v>
      </c>
      <c r="J4048" t="inlineStr">
        <is>
          <t xml:space="preserve"> WT</t>
        </is>
      </c>
      <c r="K4048" t="inlineStr">
        <is>
          <t>Male</t>
        </is>
      </c>
      <c r="L4048" t="inlineStr">
        <is>
          <t>No focal subject</t>
        </is>
      </c>
      <c r="M4048" t="n">
        <v>56.937</v>
      </c>
      <c r="N4048" t="inlineStr">
        <is>
          <t>Explore_N</t>
        </is>
      </c>
      <c r="O4048" t="inlineStr">
        <is>
          <t>Novelty</t>
        </is>
      </c>
      <c r="P4048" t="inlineStr">
        <is>
          <t>STATE</t>
        </is>
      </c>
      <c r="Q4048" t="n">
        <v>250.199</v>
      </c>
      <c r="R4048" t="n">
        <v>250.499</v>
      </c>
      <c r="S4048" t="n">
        <v>0.3</v>
      </c>
      <c r="T4048" t="inlineStr">
        <is>
          <t>C:/Users/manuel.felline/Documents/BEHAVIOR BTBR/NOR second cohort/WT/test/c58_m3.mp4</t>
        </is>
      </c>
      <c r="U4048" t="n">
        <v>7706</v>
      </c>
      <c r="V4048" t="n">
        <v>7715</v>
      </c>
      <c r="W4048" t="n">
        <v/>
      </c>
      <c r="X4048" t="n">
        <v/>
      </c>
      <c r="Y4048" t="n">
        <v/>
      </c>
      <c r="Z4048" t="n">
        <v/>
      </c>
      <c r="AA4048">
        <f>SUMIFS($S$2:S4048,$A$2:A4048,A4048,$N$2:N4048,"Explore*")</f>
        <v/>
      </c>
      <c r="AB4048">
        <f>IF(AND(LEFT(N4048,7)="Explore",(AA4048-IF(LEFT(N4048,7)="Explore",S4048,0))&lt;10),"SI","NO")</f>
        <v/>
      </c>
    </row>
    <row r="4049">
      <c r="A4049" t="inlineStr">
        <is>
          <t>c58m3_test</t>
        </is>
      </c>
      <c r="B4049" t="inlineStr">
        <is>
          <t>2026-07-02 11:20:21.395</t>
        </is>
      </c>
      <c r="C4049" t="n">
        <v/>
      </c>
      <c r="D4049" t="inlineStr">
        <is>
          <t>Media file</t>
        </is>
      </c>
      <c r="E4049" t="inlineStr">
        <is>
          <t>player #1:C:/Users/manuel.felline/Documents/BEHAVIOR BTBR/NOR second cohort/WT/test/c58_m3.mp4</t>
        </is>
      </c>
      <c r="F4049" t="n">
        <v>-6.667</v>
      </c>
      <c r="G4049" t="n">
        <v>539.1660000000001</v>
      </c>
      <c r="H4049" t="n">
        <v>626.6660000000001</v>
      </c>
      <c r="I4049" t="n">
        <v>30</v>
      </c>
      <c r="J4049" t="inlineStr">
        <is>
          <t xml:space="preserve"> WT</t>
        </is>
      </c>
      <c r="K4049" t="inlineStr">
        <is>
          <t>Male</t>
        </is>
      </c>
      <c r="L4049" t="inlineStr">
        <is>
          <t>No focal subject</t>
        </is>
      </c>
      <c r="M4049" t="n">
        <v>56.937</v>
      </c>
      <c r="N4049" t="inlineStr">
        <is>
          <t>Explore_N</t>
        </is>
      </c>
      <c r="O4049" t="inlineStr">
        <is>
          <t>Novelty</t>
        </is>
      </c>
      <c r="P4049" t="inlineStr">
        <is>
          <t>STATE</t>
        </is>
      </c>
      <c r="Q4049" t="n">
        <v>286.366</v>
      </c>
      <c r="R4049" t="n">
        <v>288.699</v>
      </c>
      <c r="S4049" t="n">
        <v>2.333</v>
      </c>
      <c r="T4049" t="inlineStr">
        <is>
          <t>C:/Users/manuel.felline/Documents/BEHAVIOR BTBR/NOR second cohort/WT/test/c58_m3.mp4</t>
        </is>
      </c>
      <c r="U4049" t="n">
        <v>8791</v>
      </c>
      <c r="V4049" t="n">
        <v>8861</v>
      </c>
      <c r="W4049" t="n">
        <v/>
      </c>
      <c r="X4049" t="n">
        <v/>
      </c>
      <c r="Y4049" t="n">
        <v/>
      </c>
      <c r="Z4049" t="n">
        <v/>
      </c>
      <c r="AA4049">
        <f>SUMIFS($S$2:S4049,$A$2:A4049,A4049,$N$2:N4049,"Explore*")</f>
        <v/>
      </c>
      <c r="AB4049">
        <f>IF(AND(LEFT(N4049,7)="Explore",(AA4049-IF(LEFT(N4049,7)="Explore",S4049,0))&lt;10),"SI","NO")</f>
        <v/>
      </c>
    </row>
    <row r="4050">
      <c r="A4050" t="inlineStr">
        <is>
          <t>c58m3_test</t>
        </is>
      </c>
      <c r="B4050" t="inlineStr">
        <is>
          <t>2026-07-02 11:20:21.395</t>
        </is>
      </c>
      <c r="C4050" t="n">
        <v/>
      </c>
      <c r="D4050" t="inlineStr">
        <is>
          <t>Media file</t>
        </is>
      </c>
      <c r="E4050" t="inlineStr">
        <is>
          <t>player #1:C:/Users/manuel.felline/Documents/BEHAVIOR BTBR/NOR second cohort/WT/test/c58_m3.mp4</t>
        </is>
      </c>
      <c r="F4050" t="n">
        <v>-6.667</v>
      </c>
      <c r="G4050" t="n">
        <v>539.1660000000001</v>
      </c>
      <c r="H4050" t="n">
        <v>626.6660000000001</v>
      </c>
      <c r="I4050" t="n">
        <v>30</v>
      </c>
      <c r="J4050" t="inlineStr">
        <is>
          <t xml:space="preserve"> WT</t>
        </is>
      </c>
      <c r="K4050" t="inlineStr">
        <is>
          <t>Male</t>
        </is>
      </c>
      <c r="L4050" t="inlineStr">
        <is>
          <t>No focal subject</t>
        </is>
      </c>
      <c r="M4050" t="n">
        <v>56.937</v>
      </c>
      <c r="N4050" t="inlineStr">
        <is>
          <t>Explore_F</t>
        </is>
      </c>
      <c r="O4050" t="inlineStr">
        <is>
          <t>Familiar</t>
        </is>
      </c>
      <c r="P4050" t="inlineStr">
        <is>
          <t>STATE</t>
        </is>
      </c>
      <c r="Q4050" t="n">
        <v>297.666</v>
      </c>
      <c r="R4050" t="n">
        <v>299.266</v>
      </c>
      <c r="S4050" t="n">
        <v>1.6</v>
      </c>
      <c r="T4050" t="inlineStr">
        <is>
          <t>C:/Users/manuel.felline/Documents/BEHAVIOR BTBR/NOR second cohort/WT/test/c58_m3.mp4</t>
        </is>
      </c>
      <c r="U4050" t="n">
        <v>9130</v>
      </c>
      <c r="V4050" t="n">
        <v>9178</v>
      </c>
      <c r="W4050" t="n">
        <v/>
      </c>
      <c r="X4050" t="n">
        <v/>
      </c>
      <c r="Y4050" t="n">
        <v/>
      </c>
      <c r="Z4050" t="n">
        <v/>
      </c>
      <c r="AA4050">
        <f>SUMIFS($S$2:S4050,$A$2:A4050,A4050,$N$2:N4050,"Explore*")</f>
        <v/>
      </c>
      <c r="AB4050">
        <f>IF(AND(LEFT(N4050,7)="Explore",(AA4050-IF(LEFT(N4050,7)="Explore",S4050,0))&lt;10),"SI","NO")</f>
        <v/>
      </c>
    </row>
    <row r="4051">
      <c r="A4051" t="inlineStr">
        <is>
          <t>c58m3_test</t>
        </is>
      </c>
      <c r="B4051" t="inlineStr">
        <is>
          <t>2026-07-02 11:20:21.395</t>
        </is>
      </c>
      <c r="C4051" t="n">
        <v/>
      </c>
      <c r="D4051" t="inlineStr">
        <is>
          <t>Media file</t>
        </is>
      </c>
      <c r="E4051" t="inlineStr">
        <is>
          <t>player #1:C:/Users/manuel.felline/Documents/BEHAVIOR BTBR/NOR second cohort/WT/test/c58_m3.mp4</t>
        </is>
      </c>
      <c r="F4051" t="n">
        <v>-6.667</v>
      </c>
      <c r="G4051" t="n">
        <v>539.1660000000001</v>
      </c>
      <c r="H4051" t="n">
        <v>626.6660000000001</v>
      </c>
      <c r="I4051" t="n">
        <v>30</v>
      </c>
      <c r="J4051" t="inlineStr">
        <is>
          <t xml:space="preserve"> WT</t>
        </is>
      </c>
      <c r="K4051" t="inlineStr">
        <is>
          <t>Male</t>
        </is>
      </c>
      <c r="L4051" t="inlineStr">
        <is>
          <t>No focal subject</t>
        </is>
      </c>
      <c r="M4051" t="n">
        <v>56.937</v>
      </c>
      <c r="N4051" t="inlineStr">
        <is>
          <t>Explore_N</t>
        </is>
      </c>
      <c r="O4051" t="inlineStr">
        <is>
          <t>Novelty</t>
        </is>
      </c>
      <c r="P4051" t="inlineStr">
        <is>
          <t>STATE</t>
        </is>
      </c>
      <c r="Q4051" t="n">
        <v>301.699</v>
      </c>
      <c r="R4051" t="n">
        <v>302.633</v>
      </c>
      <c r="S4051" t="n">
        <v>0.9340000000000001</v>
      </c>
      <c r="T4051" t="inlineStr">
        <is>
          <t>C:/Users/manuel.felline/Documents/BEHAVIOR BTBR/NOR second cohort/WT/test/c58_m3.mp4</t>
        </is>
      </c>
      <c r="U4051" t="n">
        <v>9251</v>
      </c>
      <c r="V4051" t="n">
        <v>9279</v>
      </c>
      <c r="W4051" t="n">
        <v/>
      </c>
      <c r="X4051" t="n">
        <v/>
      </c>
      <c r="Y4051" t="n">
        <v/>
      </c>
      <c r="Z4051" t="n">
        <v/>
      </c>
      <c r="AA4051">
        <f>SUMIFS($S$2:S4051,$A$2:A4051,A4051,$N$2:N4051,"Explore*")</f>
        <v/>
      </c>
      <c r="AB4051">
        <f>IF(AND(LEFT(N4051,7)="Explore",(AA4051-IF(LEFT(N4051,7)="Explore",S4051,0))&lt;10),"SI","NO")</f>
        <v/>
      </c>
    </row>
    <row r="4052">
      <c r="A4052" t="inlineStr">
        <is>
          <t>c58m3_test</t>
        </is>
      </c>
      <c r="B4052" t="inlineStr">
        <is>
          <t>2026-07-02 11:20:21.395</t>
        </is>
      </c>
      <c r="C4052" t="n">
        <v/>
      </c>
      <c r="D4052" t="inlineStr">
        <is>
          <t>Media file</t>
        </is>
      </c>
      <c r="E4052" t="inlineStr">
        <is>
          <t>player #1:C:/Users/manuel.felline/Documents/BEHAVIOR BTBR/NOR second cohort/WT/test/c58_m3.mp4</t>
        </is>
      </c>
      <c r="F4052" t="n">
        <v>-6.667</v>
      </c>
      <c r="G4052" t="n">
        <v>539.1660000000001</v>
      </c>
      <c r="H4052" t="n">
        <v>626.6660000000001</v>
      </c>
      <c r="I4052" t="n">
        <v>30</v>
      </c>
      <c r="J4052" t="inlineStr">
        <is>
          <t xml:space="preserve"> WT</t>
        </is>
      </c>
      <c r="K4052" t="inlineStr">
        <is>
          <t>Male</t>
        </is>
      </c>
      <c r="L4052" t="inlineStr">
        <is>
          <t>No focal subject</t>
        </is>
      </c>
      <c r="M4052" t="n">
        <v>56.937</v>
      </c>
      <c r="N4052" t="inlineStr">
        <is>
          <t>Explore_N</t>
        </is>
      </c>
      <c r="O4052" t="inlineStr">
        <is>
          <t>Novelty</t>
        </is>
      </c>
      <c r="P4052" t="inlineStr">
        <is>
          <t>STATE</t>
        </is>
      </c>
      <c r="Q4052" t="n">
        <v>315.199</v>
      </c>
      <c r="R4052" t="n">
        <v>315.499</v>
      </c>
      <c r="S4052" t="n">
        <v>0.3</v>
      </c>
      <c r="T4052" t="inlineStr">
        <is>
          <t>C:/Users/manuel.felline/Documents/BEHAVIOR BTBR/NOR second cohort/WT/test/c58_m3.mp4</t>
        </is>
      </c>
      <c r="U4052" t="n">
        <v>9656</v>
      </c>
      <c r="V4052" t="n">
        <v>9665</v>
      </c>
      <c r="W4052" t="n">
        <v/>
      </c>
      <c r="X4052" t="n">
        <v/>
      </c>
      <c r="Y4052" t="n">
        <v/>
      </c>
      <c r="Z4052" t="n">
        <v/>
      </c>
      <c r="AA4052">
        <f>SUMIFS($S$2:S4052,$A$2:A4052,A4052,$N$2:N4052,"Explore*")</f>
        <v/>
      </c>
      <c r="AB4052">
        <f>IF(AND(LEFT(N4052,7)="Explore",(AA4052-IF(LEFT(N4052,7)="Explore",S4052,0))&lt;10),"SI","NO")</f>
        <v/>
      </c>
    </row>
    <row r="4053">
      <c r="A4053" t="inlineStr">
        <is>
          <t>c58m3_test</t>
        </is>
      </c>
      <c r="B4053" t="inlineStr">
        <is>
          <t>2026-07-02 11:20:21.395</t>
        </is>
      </c>
      <c r="C4053" t="n">
        <v/>
      </c>
      <c r="D4053" t="inlineStr">
        <is>
          <t>Media file</t>
        </is>
      </c>
      <c r="E4053" t="inlineStr">
        <is>
          <t>player #1:C:/Users/manuel.felline/Documents/BEHAVIOR BTBR/NOR second cohort/WT/test/c58_m3.mp4</t>
        </is>
      </c>
      <c r="F4053" t="n">
        <v>-6.667</v>
      </c>
      <c r="G4053" t="n">
        <v>539.1660000000001</v>
      </c>
      <c r="H4053" t="n">
        <v>626.6660000000001</v>
      </c>
      <c r="I4053" t="n">
        <v>30</v>
      </c>
      <c r="J4053" t="inlineStr">
        <is>
          <t xml:space="preserve"> WT</t>
        </is>
      </c>
      <c r="K4053" t="inlineStr">
        <is>
          <t>Male</t>
        </is>
      </c>
      <c r="L4053" t="inlineStr">
        <is>
          <t>No focal subject</t>
        </is>
      </c>
      <c r="M4053" t="n">
        <v>56.937</v>
      </c>
      <c r="N4053" t="inlineStr">
        <is>
          <t>Explore_F</t>
        </is>
      </c>
      <c r="O4053" t="inlineStr">
        <is>
          <t>Familiar</t>
        </is>
      </c>
      <c r="P4053" t="inlineStr">
        <is>
          <t>STATE</t>
        </is>
      </c>
      <c r="Q4053" t="n">
        <v>360.766</v>
      </c>
      <c r="R4053" t="n">
        <v>362.566</v>
      </c>
      <c r="S4053" t="n">
        <v>1.8</v>
      </c>
      <c r="T4053" t="inlineStr">
        <is>
          <t>C:/Users/manuel.felline/Documents/BEHAVIOR BTBR/NOR second cohort/WT/test/c58_m3.mp4</t>
        </is>
      </c>
      <c r="U4053" t="n">
        <v>11023</v>
      </c>
      <c r="V4053" t="n">
        <v>11077</v>
      </c>
      <c r="W4053" t="n">
        <v/>
      </c>
      <c r="X4053" t="n">
        <v/>
      </c>
      <c r="Y4053" t="n">
        <v/>
      </c>
      <c r="Z4053" t="n">
        <v/>
      </c>
      <c r="AA4053">
        <f>SUMIFS($S$2:S4053,$A$2:A4053,A4053,$N$2:N4053,"Explore*")</f>
        <v/>
      </c>
      <c r="AB4053">
        <f>IF(AND(LEFT(N4053,7)="Explore",(AA4053-IF(LEFT(N4053,7)="Explore",S4053,0))&lt;10),"SI","NO")</f>
        <v/>
      </c>
    </row>
    <row r="4054">
      <c r="A4054" t="inlineStr">
        <is>
          <t>c58m3_test</t>
        </is>
      </c>
      <c r="B4054" t="inlineStr">
        <is>
          <t>2026-07-02 11:20:21.395</t>
        </is>
      </c>
      <c r="C4054" t="n">
        <v/>
      </c>
      <c r="D4054" t="inlineStr">
        <is>
          <t>Media file</t>
        </is>
      </c>
      <c r="E4054" t="inlineStr">
        <is>
          <t>player #1:C:/Users/manuel.felline/Documents/BEHAVIOR BTBR/NOR second cohort/WT/test/c58_m3.mp4</t>
        </is>
      </c>
      <c r="F4054" t="n">
        <v>-6.667</v>
      </c>
      <c r="G4054" t="n">
        <v>539.1660000000001</v>
      </c>
      <c r="H4054" t="n">
        <v>626.6660000000001</v>
      </c>
      <c r="I4054" t="n">
        <v>30</v>
      </c>
      <c r="J4054" t="inlineStr">
        <is>
          <t xml:space="preserve"> WT</t>
        </is>
      </c>
      <c r="K4054" t="inlineStr">
        <is>
          <t>Male</t>
        </is>
      </c>
      <c r="L4054" t="inlineStr">
        <is>
          <t>No focal subject</t>
        </is>
      </c>
      <c r="M4054" t="n">
        <v>56.937</v>
      </c>
      <c r="N4054" t="inlineStr">
        <is>
          <t>Explore_N</t>
        </is>
      </c>
      <c r="O4054" t="inlineStr">
        <is>
          <t>Novelty</t>
        </is>
      </c>
      <c r="P4054" t="inlineStr">
        <is>
          <t>STATE</t>
        </is>
      </c>
      <c r="Q4054" t="n">
        <v>363.799</v>
      </c>
      <c r="R4054" t="n">
        <v>365.133</v>
      </c>
      <c r="S4054" t="n">
        <v>1.334</v>
      </c>
      <c r="T4054" t="inlineStr">
        <is>
          <t>C:/Users/manuel.felline/Documents/BEHAVIOR BTBR/NOR second cohort/WT/test/c58_m3.mp4</t>
        </is>
      </c>
      <c r="U4054" t="n">
        <v>11114</v>
      </c>
      <c r="V4054" t="n">
        <v>11154</v>
      </c>
      <c r="W4054" t="n">
        <v/>
      </c>
      <c r="X4054" t="n">
        <v/>
      </c>
      <c r="Y4054" t="n">
        <v/>
      </c>
      <c r="Z4054" t="n">
        <v/>
      </c>
      <c r="AA4054">
        <f>SUMIFS($S$2:S4054,$A$2:A4054,A4054,$N$2:N4054,"Explore*")</f>
        <v/>
      </c>
      <c r="AB4054">
        <f>IF(AND(LEFT(N4054,7)="Explore",(AA4054-IF(LEFT(N4054,7)="Explore",S4054,0))&lt;10),"SI","NO")</f>
        <v/>
      </c>
    </row>
    <row r="4055">
      <c r="A4055" t="inlineStr">
        <is>
          <t>c58m3_test</t>
        </is>
      </c>
      <c r="B4055" t="inlineStr">
        <is>
          <t>2026-07-02 11:20:21.395</t>
        </is>
      </c>
      <c r="C4055" t="n">
        <v/>
      </c>
      <c r="D4055" t="inlineStr">
        <is>
          <t>Media file</t>
        </is>
      </c>
      <c r="E4055" t="inlineStr">
        <is>
          <t>player #1:C:/Users/manuel.felline/Documents/BEHAVIOR BTBR/NOR second cohort/WT/test/c58_m3.mp4</t>
        </is>
      </c>
      <c r="F4055" t="n">
        <v>-6.667</v>
      </c>
      <c r="G4055" t="n">
        <v>539.1660000000001</v>
      </c>
      <c r="H4055" t="n">
        <v>626.6660000000001</v>
      </c>
      <c r="I4055" t="n">
        <v>30</v>
      </c>
      <c r="J4055" t="inlineStr">
        <is>
          <t xml:space="preserve"> WT</t>
        </is>
      </c>
      <c r="K4055" t="inlineStr">
        <is>
          <t>Male</t>
        </is>
      </c>
      <c r="L4055" t="inlineStr">
        <is>
          <t>No focal subject</t>
        </is>
      </c>
      <c r="M4055" t="n">
        <v>56.937</v>
      </c>
      <c r="N4055" t="inlineStr">
        <is>
          <t>Explore_N</t>
        </is>
      </c>
      <c r="O4055" t="inlineStr">
        <is>
          <t>Novelty</t>
        </is>
      </c>
      <c r="P4055" t="inlineStr">
        <is>
          <t>STATE</t>
        </is>
      </c>
      <c r="Q4055" t="n">
        <v>366.166</v>
      </c>
      <c r="R4055" t="n">
        <v>367.033</v>
      </c>
      <c r="S4055" t="n">
        <v>0.867</v>
      </c>
      <c r="T4055" t="inlineStr">
        <is>
          <t>C:/Users/manuel.felline/Documents/BEHAVIOR BTBR/NOR second cohort/WT/test/c58_m3.mp4</t>
        </is>
      </c>
      <c r="U4055" t="n">
        <v>11185</v>
      </c>
      <c r="V4055" t="n">
        <v>11211</v>
      </c>
      <c r="W4055" t="n">
        <v/>
      </c>
      <c r="X4055" t="n">
        <v/>
      </c>
      <c r="Y4055" t="n">
        <v/>
      </c>
      <c r="Z4055" t="n">
        <v/>
      </c>
      <c r="AA4055">
        <f>SUMIFS($S$2:S4055,$A$2:A4055,A4055,$N$2:N4055,"Explore*")</f>
        <v/>
      </c>
      <c r="AB4055">
        <f>IF(AND(LEFT(N4055,7)="Explore",(AA4055-IF(LEFT(N4055,7)="Explore",S4055,0))&lt;10),"SI","NO")</f>
        <v/>
      </c>
    </row>
    <row r="4056">
      <c r="A4056" t="inlineStr">
        <is>
          <t>c58m3_test</t>
        </is>
      </c>
      <c r="B4056" t="inlineStr">
        <is>
          <t>2026-07-02 11:20:21.395</t>
        </is>
      </c>
      <c r="C4056" t="n">
        <v/>
      </c>
      <c r="D4056" t="inlineStr">
        <is>
          <t>Media file</t>
        </is>
      </c>
      <c r="E4056" t="inlineStr">
        <is>
          <t>player #1:C:/Users/manuel.felline/Documents/BEHAVIOR BTBR/NOR second cohort/WT/test/c58_m3.mp4</t>
        </is>
      </c>
      <c r="F4056" t="n">
        <v>-6.667</v>
      </c>
      <c r="G4056" t="n">
        <v>539.1660000000001</v>
      </c>
      <c r="H4056" t="n">
        <v>626.6660000000001</v>
      </c>
      <c r="I4056" t="n">
        <v>30</v>
      </c>
      <c r="J4056" t="inlineStr">
        <is>
          <t xml:space="preserve"> WT</t>
        </is>
      </c>
      <c r="K4056" t="inlineStr">
        <is>
          <t>Male</t>
        </is>
      </c>
      <c r="L4056" t="inlineStr">
        <is>
          <t>No focal subject</t>
        </is>
      </c>
      <c r="M4056" t="n">
        <v>56.937</v>
      </c>
      <c r="N4056" t="inlineStr">
        <is>
          <t>Explore_N</t>
        </is>
      </c>
      <c r="O4056" t="inlineStr">
        <is>
          <t>Novelty</t>
        </is>
      </c>
      <c r="P4056" t="inlineStr">
        <is>
          <t>STATE</t>
        </is>
      </c>
      <c r="Q4056" t="n">
        <v>368.766</v>
      </c>
      <c r="R4056" t="n">
        <v>369.599</v>
      </c>
      <c r="S4056" t="n">
        <v>0.833</v>
      </c>
      <c r="T4056" t="inlineStr">
        <is>
          <t>C:/Users/manuel.felline/Documents/BEHAVIOR BTBR/NOR second cohort/WT/test/c58_m3.mp4</t>
        </is>
      </c>
      <c r="U4056" t="n">
        <v>11263</v>
      </c>
      <c r="V4056" t="n">
        <v>11288</v>
      </c>
      <c r="W4056" t="n">
        <v/>
      </c>
      <c r="X4056" t="n">
        <v/>
      </c>
      <c r="Y4056" t="n">
        <v/>
      </c>
      <c r="Z4056" t="n">
        <v/>
      </c>
      <c r="AA4056">
        <f>SUMIFS($S$2:S4056,$A$2:A4056,A4056,$N$2:N4056,"Explore*")</f>
        <v/>
      </c>
      <c r="AB4056">
        <f>IF(AND(LEFT(N4056,7)="Explore",(AA4056-IF(LEFT(N4056,7)="Explore",S4056,0))&lt;10),"SI","NO")</f>
        <v/>
      </c>
    </row>
    <row r="4057">
      <c r="A4057" t="inlineStr">
        <is>
          <t>c58m3_test</t>
        </is>
      </c>
      <c r="B4057" t="inlineStr">
        <is>
          <t>2026-07-02 11:20:21.395</t>
        </is>
      </c>
      <c r="C4057" t="n">
        <v/>
      </c>
      <c r="D4057" t="inlineStr">
        <is>
          <t>Media file</t>
        </is>
      </c>
      <c r="E4057" t="inlineStr">
        <is>
          <t>player #1:C:/Users/manuel.felline/Documents/BEHAVIOR BTBR/NOR second cohort/WT/test/c58_m3.mp4</t>
        </is>
      </c>
      <c r="F4057" t="n">
        <v>-6.667</v>
      </c>
      <c r="G4057" t="n">
        <v>539.1660000000001</v>
      </c>
      <c r="H4057" t="n">
        <v>626.6660000000001</v>
      </c>
      <c r="I4057" t="n">
        <v>30</v>
      </c>
      <c r="J4057" t="inlineStr">
        <is>
          <t xml:space="preserve"> WT</t>
        </is>
      </c>
      <c r="K4057" t="inlineStr">
        <is>
          <t>Male</t>
        </is>
      </c>
      <c r="L4057" t="inlineStr">
        <is>
          <t>No focal subject</t>
        </is>
      </c>
      <c r="M4057" t="n">
        <v>56.937</v>
      </c>
      <c r="N4057" t="inlineStr">
        <is>
          <t>Explore_N</t>
        </is>
      </c>
      <c r="O4057" t="inlineStr">
        <is>
          <t>Novelty</t>
        </is>
      </c>
      <c r="P4057" t="inlineStr">
        <is>
          <t>STATE</t>
        </is>
      </c>
      <c r="Q4057" t="n">
        <v>372.299</v>
      </c>
      <c r="R4057" t="n">
        <v>374.566</v>
      </c>
      <c r="S4057" t="n">
        <v>2.267</v>
      </c>
      <c r="T4057" t="inlineStr">
        <is>
          <t>C:/Users/manuel.felline/Documents/BEHAVIOR BTBR/NOR second cohort/WT/test/c58_m3.mp4</t>
        </is>
      </c>
      <c r="U4057" t="n">
        <v>11369</v>
      </c>
      <c r="V4057" t="n">
        <v>11437</v>
      </c>
      <c r="W4057" t="n">
        <v/>
      </c>
      <c r="X4057" t="n">
        <v/>
      </c>
      <c r="Y4057" t="n">
        <v/>
      </c>
      <c r="Z4057" t="n">
        <v/>
      </c>
      <c r="AA4057">
        <f>SUMIFS($S$2:S4057,$A$2:A4057,A4057,$N$2:N4057,"Explore*")</f>
        <v/>
      </c>
      <c r="AB4057">
        <f>IF(AND(LEFT(N4057,7)="Explore",(AA4057-IF(LEFT(N4057,7)="Explore",S4057,0))&lt;10),"SI","NO")</f>
        <v/>
      </c>
    </row>
    <row r="4058">
      <c r="A4058" t="inlineStr">
        <is>
          <t>c58m3_test</t>
        </is>
      </c>
      <c r="B4058" t="inlineStr">
        <is>
          <t>2026-07-02 11:20:21.395</t>
        </is>
      </c>
      <c r="C4058" t="n">
        <v/>
      </c>
      <c r="D4058" t="inlineStr">
        <is>
          <t>Media file</t>
        </is>
      </c>
      <c r="E4058" t="inlineStr">
        <is>
          <t>player #1:C:/Users/manuel.felline/Documents/BEHAVIOR BTBR/NOR second cohort/WT/test/c58_m3.mp4</t>
        </is>
      </c>
      <c r="F4058" t="n">
        <v>-6.667</v>
      </c>
      <c r="G4058" t="n">
        <v>539.1660000000001</v>
      </c>
      <c r="H4058" t="n">
        <v>626.6660000000001</v>
      </c>
      <c r="I4058" t="n">
        <v>30</v>
      </c>
      <c r="J4058" t="inlineStr">
        <is>
          <t xml:space="preserve"> WT</t>
        </is>
      </c>
      <c r="K4058" t="inlineStr">
        <is>
          <t>Male</t>
        </is>
      </c>
      <c r="L4058" t="inlineStr">
        <is>
          <t>No focal subject</t>
        </is>
      </c>
      <c r="M4058" t="n">
        <v>56.937</v>
      </c>
      <c r="N4058" t="inlineStr">
        <is>
          <t>Explore_N</t>
        </is>
      </c>
      <c r="O4058" t="inlineStr">
        <is>
          <t>Novelty</t>
        </is>
      </c>
      <c r="P4058" t="inlineStr">
        <is>
          <t>STATE</t>
        </is>
      </c>
      <c r="Q4058" t="n">
        <v>375.066</v>
      </c>
      <c r="R4058" t="n">
        <v>375.799</v>
      </c>
      <c r="S4058" t="n">
        <v>0.733</v>
      </c>
      <c r="T4058" t="inlineStr">
        <is>
          <t>C:/Users/manuel.felline/Documents/BEHAVIOR BTBR/NOR second cohort/WT/test/c58_m3.mp4</t>
        </is>
      </c>
      <c r="U4058" t="n">
        <v>11452</v>
      </c>
      <c r="V4058" t="n">
        <v>11474</v>
      </c>
      <c r="W4058" t="n">
        <v/>
      </c>
      <c r="X4058" t="n">
        <v/>
      </c>
      <c r="Y4058" t="n">
        <v/>
      </c>
      <c r="Z4058" t="n">
        <v/>
      </c>
      <c r="AA4058">
        <f>SUMIFS($S$2:S4058,$A$2:A4058,A4058,$N$2:N4058,"Explore*")</f>
        <v/>
      </c>
      <c r="AB4058">
        <f>IF(AND(LEFT(N4058,7)="Explore",(AA4058-IF(LEFT(N4058,7)="Explore",S4058,0))&lt;10),"SI","NO")</f>
        <v/>
      </c>
    </row>
    <row r="4059">
      <c r="A4059" t="inlineStr">
        <is>
          <t>c58m3_test</t>
        </is>
      </c>
      <c r="B4059" t="inlineStr">
        <is>
          <t>2026-07-02 11:20:21.395</t>
        </is>
      </c>
      <c r="C4059" t="n">
        <v/>
      </c>
      <c r="D4059" t="inlineStr">
        <is>
          <t>Media file</t>
        </is>
      </c>
      <c r="E4059" t="inlineStr">
        <is>
          <t>player #1:C:/Users/manuel.felline/Documents/BEHAVIOR BTBR/NOR second cohort/WT/test/c58_m3.mp4</t>
        </is>
      </c>
      <c r="F4059" t="n">
        <v>-6.667</v>
      </c>
      <c r="G4059" t="n">
        <v>539.1660000000001</v>
      </c>
      <c r="H4059" t="n">
        <v>626.6660000000001</v>
      </c>
      <c r="I4059" t="n">
        <v>30</v>
      </c>
      <c r="J4059" t="inlineStr">
        <is>
          <t xml:space="preserve"> WT</t>
        </is>
      </c>
      <c r="K4059" t="inlineStr">
        <is>
          <t>Male</t>
        </is>
      </c>
      <c r="L4059" t="inlineStr">
        <is>
          <t>No focal subject</t>
        </is>
      </c>
      <c r="M4059" t="n">
        <v>56.937</v>
      </c>
      <c r="N4059" t="inlineStr">
        <is>
          <t>Explore_N</t>
        </is>
      </c>
      <c r="O4059" t="inlineStr">
        <is>
          <t>Novelty</t>
        </is>
      </c>
      <c r="P4059" t="inlineStr">
        <is>
          <t>STATE</t>
        </is>
      </c>
      <c r="Q4059" t="n">
        <v>378.133</v>
      </c>
      <c r="R4059" t="n">
        <v>379.533</v>
      </c>
      <c r="S4059" t="n">
        <v>1.4</v>
      </c>
      <c r="T4059" t="inlineStr">
        <is>
          <t>C:/Users/manuel.felline/Documents/BEHAVIOR BTBR/NOR second cohort/WT/test/c58_m3.mp4</t>
        </is>
      </c>
      <c r="U4059" t="n">
        <v>11544</v>
      </c>
      <c r="V4059" t="n">
        <v>11586</v>
      </c>
      <c r="W4059" t="n">
        <v/>
      </c>
      <c r="X4059" t="n">
        <v/>
      </c>
      <c r="Y4059" t="n">
        <v/>
      </c>
      <c r="Z4059" t="n">
        <v/>
      </c>
      <c r="AA4059">
        <f>SUMIFS($S$2:S4059,$A$2:A4059,A4059,$N$2:N4059,"Explore*")</f>
        <v/>
      </c>
      <c r="AB4059">
        <f>IF(AND(LEFT(N4059,7)="Explore",(AA4059-IF(LEFT(N4059,7)="Explore",S4059,0))&lt;10),"SI","NO")</f>
        <v/>
      </c>
    </row>
    <row r="4060">
      <c r="A4060" t="inlineStr">
        <is>
          <t>c58m3_test</t>
        </is>
      </c>
      <c r="B4060" t="inlineStr">
        <is>
          <t>2026-07-02 11:20:21.395</t>
        </is>
      </c>
      <c r="C4060" t="n">
        <v/>
      </c>
      <c r="D4060" t="inlineStr">
        <is>
          <t>Media file</t>
        </is>
      </c>
      <c r="E4060" t="inlineStr">
        <is>
          <t>player #1:C:/Users/manuel.felline/Documents/BEHAVIOR BTBR/NOR second cohort/WT/test/c58_m3.mp4</t>
        </is>
      </c>
      <c r="F4060" t="n">
        <v>-6.667</v>
      </c>
      <c r="G4060" t="n">
        <v>539.1660000000001</v>
      </c>
      <c r="H4060" t="n">
        <v>626.6660000000001</v>
      </c>
      <c r="I4060" t="n">
        <v>30</v>
      </c>
      <c r="J4060" t="inlineStr">
        <is>
          <t xml:space="preserve"> WT</t>
        </is>
      </c>
      <c r="K4060" t="inlineStr">
        <is>
          <t>Male</t>
        </is>
      </c>
      <c r="L4060" t="inlineStr">
        <is>
          <t>No focal subject</t>
        </is>
      </c>
      <c r="M4060" t="n">
        <v>56.937</v>
      </c>
      <c r="N4060" t="inlineStr">
        <is>
          <t>Explore_N</t>
        </is>
      </c>
      <c r="O4060" t="inlineStr">
        <is>
          <t>Novelty</t>
        </is>
      </c>
      <c r="P4060" t="inlineStr">
        <is>
          <t>STATE</t>
        </is>
      </c>
      <c r="Q4060" t="n">
        <v>399.999</v>
      </c>
      <c r="R4060" t="n">
        <v>400.666</v>
      </c>
      <c r="S4060" t="n">
        <v>0.667</v>
      </c>
      <c r="T4060" t="inlineStr">
        <is>
          <t>C:/Users/manuel.felline/Documents/BEHAVIOR BTBR/NOR second cohort/WT/test/c58_m3.mp4</t>
        </is>
      </c>
      <c r="U4060" t="n">
        <v>12200</v>
      </c>
      <c r="V4060" t="n">
        <v>12220</v>
      </c>
      <c r="W4060" t="n">
        <v/>
      </c>
      <c r="X4060" t="n">
        <v/>
      </c>
      <c r="Y4060" t="n">
        <v/>
      </c>
      <c r="Z4060" t="n">
        <v/>
      </c>
      <c r="AA4060">
        <f>SUMIFS($S$2:S4060,$A$2:A4060,A4060,$N$2:N4060,"Explore*")</f>
        <v/>
      </c>
      <c r="AB4060">
        <f>IF(AND(LEFT(N4060,7)="Explore",(AA4060-IF(LEFT(N4060,7)="Explore",S4060,0))&lt;10),"SI","NO")</f>
        <v/>
      </c>
    </row>
    <row r="4061">
      <c r="A4061" t="inlineStr">
        <is>
          <t>c58m3_test</t>
        </is>
      </c>
      <c r="B4061" t="inlineStr">
        <is>
          <t>2026-07-02 11:20:21.395</t>
        </is>
      </c>
      <c r="C4061" t="n">
        <v/>
      </c>
      <c r="D4061" t="inlineStr">
        <is>
          <t>Media file</t>
        </is>
      </c>
      <c r="E4061" t="inlineStr">
        <is>
          <t>player #1:C:/Users/manuel.felline/Documents/BEHAVIOR BTBR/NOR second cohort/WT/test/c58_m3.mp4</t>
        </is>
      </c>
      <c r="F4061" t="n">
        <v>-6.667</v>
      </c>
      <c r="G4061" t="n">
        <v>539.1660000000001</v>
      </c>
      <c r="H4061" t="n">
        <v>626.6660000000001</v>
      </c>
      <c r="I4061" t="n">
        <v>30</v>
      </c>
      <c r="J4061" t="inlineStr">
        <is>
          <t xml:space="preserve"> WT</t>
        </is>
      </c>
      <c r="K4061" t="inlineStr">
        <is>
          <t>Male</t>
        </is>
      </c>
      <c r="L4061" t="inlineStr">
        <is>
          <t>No focal subject</t>
        </is>
      </c>
      <c r="M4061" t="n">
        <v>56.937</v>
      </c>
      <c r="N4061" t="inlineStr">
        <is>
          <t>Explore_N</t>
        </is>
      </c>
      <c r="O4061" t="inlineStr">
        <is>
          <t>Novelty</t>
        </is>
      </c>
      <c r="P4061" t="inlineStr">
        <is>
          <t>STATE</t>
        </is>
      </c>
      <c r="Q4061" t="n">
        <v>401.666</v>
      </c>
      <c r="R4061" t="n">
        <v>402.633</v>
      </c>
      <c r="S4061" t="n">
        <v>0.967</v>
      </c>
      <c r="T4061" t="inlineStr">
        <is>
          <t>C:/Users/manuel.felline/Documents/BEHAVIOR BTBR/NOR second cohort/WT/test/c58_m3.mp4</t>
        </is>
      </c>
      <c r="U4061" t="n">
        <v>12250</v>
      </c>
      <c r="V4061" t="n">
        <v>12279</v>
      </c>
      <c r="W4061" t="n">
        <v/>
      </c>
      <c r="X4061" t="n">
        <v/>
      </c>
      <c r="Y4061" t="n">
        <v/>
      </c>
      <c r="Z4061" t="n">
        <v/>
      </c>
      <c r="AA4061">
        <f>SUMIFS($S$2:S4061,$A$2:A4061,A4061,$N$2:N4061,"Explore*")</f>
        <v/>
      </c>
      <c r="AB4061">
        <f>IF(AND(LEFT(N4061,7)="Explore",(AA4061-IF(LEFT(N4061,7)="Explore",S4061,0))&lt;10),"SI","NO")</f>
        <v/>
      </c>
    </row>
    <row r="4062">
      <c r="A4062" t="inlineStr">
        <is>
          <t>c58m3_test</t>
        </is>
      </c>
      <c r="B4062" t="inlineStr">
        <is>
          <t>2026-07-02 11:20:21.395</t>
        </is>
      </c>
      <c r="C4062" t="n">
        <v/>
      </c>
      <c r="D4062" t="inlineStr">
        <is>
          <t>Media file</t>
        </is>
      </c>
      <c r="E4062" t="inlineStr">
        <is>
          <t>player #1:C:/Users/manuel.felline/Documents/BEHAVIOR BTBR/NOR second cohort/WT/test/c58_m3.mp4</t>
        </is>
      </c>
      <c r="F4062" t="n">
        <v>-6.667</v>
      </c>
      <c r="G4062" t="n">
        <v>539.1660000000001</v>
      </c>
      <c r="H4062" t="n">
        <v>626.6660000000001</v>
      </c>
      <c r="I4062" t="n">
        <v>30</v>
      </c>
      <c r="J4062" t="inlineStr">
        <is>
          <t xml:space="preserve"> WT</t>
        </is>
      </c>
      <c r="K4062" t="inlineStr">
        <is>
          <t>Male</t>
        </is>
      </c>
      <c r="L4062" t="inlineStr">
        <is>
          <t>No focal subject</t>
        </is>
      </c>
      <c r="M4062" t="n">
        <v>56.937</v>
      </c>
      <c r="N4062" t="inlineStr">
        <is>
          <t>Explore_F</t>
        </is>
      </c>
      <c r="O4062" t="inlineStr">
        <is>
          <t>Familiar</t>
        </is>
      </c>
      <c r="P4062" t="inlineStr">
        <is>
          <t>STATE</t>
        </is>
      </c>
      <c r="Q4062" t="n">
        <v>406.033</v>
      </c>
      <c r="R4062" t="n">
        <v>409.066</v>
      </c>
      <c r="S4062" t="n">
        <v>3.033</v>
      </c>
      <c r="T4062" t="inlineStr">
        <is>
          <t>C:/Users/manuel.felline/Documents/BEHAVIOR BTBR/NOR second cohort/WT/test/c58_m3.mp4</t>
        </is>
      </c>
      <c r="U4062" t="n">
        <v>12381</v>
      </c>
      <c r="V4062" t="n">
        <v>12472</v>
      </c>
      <c r="W4062" t="n">
        <v/>
      </c>
      <c r="X4062" t="n">
        <v/>
      </c>
      <c r="Y4062" t="n">
        <v/>
      </c>
      <c r="Z4062" t="n">
        <v/>
      </c>
      <c r="AA4062">
        <f>SUMIFS($S$2:S4062,$A$2:A4062,A4062,$N$2:N4062,"Explore*")</f>
        <v/>
      </c>
      <c r="AB4062">
        <f>IF(AND(LEFT(N4062,7)="Explore",(AA4062-IF(LEFT(N4062,7)="Explore",S4062,0))&lt;10),"SI","NO")</f>
        <v/>
      </c>
    </row>
    <row r="4063">
      <c r="A4063" t="inlineStr">
        <is>
          <t>c58m3_test</t>
        </is>
      </c>
      <c r="B4063" t="inlineStr">
        <is>
          <t>2026-07-02 11:20:21.395</t>
        </is>
      </c>
      <c r="C4063" t="n">
        <v/>
      </c>
      <c r="D4063" t="inlineStr">
        <is>
          <t>Media file</t>
        </is>
      </c>
      <c r="E4063" t="inlineStr">
        <is>
          <t>player #1:C:/Users/manuel.felline/Documents/BEHAVIOR BTBR/NOR second cohort/WT/test/c58_m3.mp4</t>
        </is>
      </c>
      <c r="F4063" t="n">
        <v>-6.667</v>
      </c>
      <c r="G4063" t="n">
        <v>539.1660000000001</v>
      </c>
      <c r="H4063" t="n">
        <v>626.6660000000001</v>
      </c>
      <c r="I4063" t="n">
        <v>30</v>
      </c>
      <c r="J4063" t="inlineStr">
        <is>
          <t xml:space="preserve"> WT</t>
        </is>
      </c>
      <c r="K4063" t="inlineStr">
        <is>
          <t>Male</t>
        </is>
      </c>
      <c r="L4063" t="inlineStr">
        <is>
          <t>No focal subject</t>
        </is>
      </c>
      <c r="M4063" t="n">
        <v>56.937</v>
      </c>
      <c r="N4063" t="inlineStr">
        <is>
          <t>Explore_N</t>
        </is>
      </c>
      <c r="O4063" t="inlineStr">
        <is>
          <t>Novelty</t>
        </is>
      </c>
      <c r="P4063" t="inlineStr">
        <is>
          <t>STATE</t>
        </is>
      </c>
      <c r="Q4063" t="n">
        <v>426.099</v>
      </c>
      <c r="R4063" t="n">
        <v>427.099</v>
      </c>
      <c r="S4063" t="n">
        <v>1</v>
      </c>
      <c r="T4063" t="inlineStr">
        <is>
          <t>C:/Users/manuel.felline/Documents/BEHAVIOR BTBR/NOR second cohort/WT/test/c58_m3.mp4</t>
        </is>
      </c>
      <c r="U4063" t="n">
        <v>12983</v>
      </c>
      <c r="V4063" t="n">
        <v>13013</v>
      </c>
      <c r="W4063" t="n">
        <v/>
      </c>
      <c r="X4063" t="n">
        <v/>
      </c>
      <c r="Y4063" t="n">
        <v/>
      </c>
      <c r="Z4063" t="n">
        <v/>
      </c>
      <c r="AA4063">
        <f>SUMIFS($S$2:S4063,$A$2:A4063,A4063,$N$2:N4063,"Explore*")</f>
        <v/>
      </c>
      <c r="AB4063">
        <f>IF(AND(LEFT(N4063,7)="Explore",(AA4063-IF(LEFT(N4063,7)="Explore",S4063,0))&lt;10),"SI","NO")</f>
        <v/>
      </c>
    </row>
    <row r="4064">
      <c r="A4064" t="inlineStr">
        <is>
          <t>c58m3_test</t>
        </is>
      </c>
      <c r="B4064" t="inlineStr">
        <is>
          <t>2026-07-02 11:20:21.395</t>
        </is>
      </c>
      <c r="C4064" t="n">
        <v/>
      </c>
      <c r="D4064" t="inlineStr">
        <is>
          <t>Media file</t>
        </is>
      </c>
      <c r="E4064" t="inlineStr">
        <is>
          <t>player #1:C:/Users/manuel.felline/Documents/BEHAVIOR BTBR/NOR second cohort/WT/test/c58_m3.mp4</t>
        </is>
      </c>
      <c r="F4064" t="n">
        <v>-6.667</v>
      </c>
      <c r="G4064" t="n">
        <v>539.1660000000001</v>
      </c>
      <c r="H4064" t="n">
        <v>626.6660000000001</v>
      </c>
      <c r="I4064" t="n">
        <v>30</v>
      </c>
      <c r="J4064" t="inlineStr">
        <is>
          <t xml:space="preserve"> WT</t>
        </is>
      </c>
      <c r="K4064" t="inlineStr">
        <is>
          <t>Male</t>
        </is>
      </c>
      <c r="L4064" t="inlineStr">
        <is>
          <t>No focal subject</t>
        </is>
      </c>
      <c r="M4064" t="n">
        <v>56.937</v>
      </c>
      <c r="N4064" t="inlineStr">
        <is>
          <t>Explore_F</t>
        </is>
      </c>
      <c r="O4064" t="inlineStr">
        <is>
          <t>Familiar</t>
        </is>
      </c>
      <c r="P4064" t="inlineStr">
        <is>
          <t>STATE</t>
        </is>
      </c>
      <c r="Q4064" t="n">
        <v>432.699</v>
      </c>
      <c r="R4064" t="n">
        <v>433.666</v>
      </c>
      <c r="S4064" t="n">
        <v>0.967</v>
      </c>
      <c r="T4064" t="inlineStr">
        <is>
          <t>C:/Users/manuel.felline/Documents/BEHAVIOR BTBR/NOR second cohort/WT/test/c58_m3.mp4</t>
        </is>
      </c>
      <c r="U4064" t="n">
        <v>13181</v>
      </c>
      <c r="V4064" t="n">
        <v>13210</v>
      </c>
      <c r="W4064" t="n">
        <v/>
      </c>
      <c r="X4064" t="n">
        <v/>
      </c>
      <c r="Y4064" t="n">
        <v/>
      </c>
      <c r="Z4064" t="n">
        <v/>
      </c>
      <c r="AA4064">
        <f>SUMIFS($S$2:S4064,$A$2:A4064,A4064,$N$2:N4064,"Explore*")</f>
        <v/>
      </c>
      <c r="AB4064">
        <f>IF(AND(LEFT(N4064,7)="Explore",(AA4064-IF(LEFT(N4064,7)="Explore",S4064,0))&lt;10),"SI","NO")</f>
        <v/>
      </c>
    </row>
    <row r="4065">
      <c r="A4065" t="inlineStr">
        <is>
          <t>c58m3_test</t>
        </is>
      </c>
      <c r="B4065" t="inlineStr">
        <is>
          <t>2026-07-02 11:20:21.395</t>
        </is>
      </c>
      <c r="C4065" t="n">
        <v/>
      </c>
      <c r="D4065" t="inlineStr">
        <is>
          <t>Media file</t>
        </is>
      </c>
      <c r="E4065" t="inlineStr">
        <is>
          <t>player #1:C:/Users/manuel.felline/Documents/BEHAVIOR BTBR/NOR second cohort/WT/test/c58_m3.mp4</t>
        </is>
      </c>
      <c r="F4065" t="n">
        <v>-6.667</v>
      </c>
      <c r="G4065" t="n">
        <v>539.1660000000001</v>
      </c>
      <c r="H4065" t="n">
        <v>626.6660000000001</v>
      </c>
      <c r="I4065" t="n">
        <v>30</v>
      </c>
      <c r="J4065" t="inlineStr">
        <is>
          <t xml:space="preserve"> WT</t>
        </is>
      </c>
      <c r="K4065" t="inlineStr">
        <is>
          <t>Male</t>
        </is>
      </c>
      <c r="L4065" t="inlineStr">
        <is>
          <t>No focal subject</t>
        </is>
      </c>
      <c r="M4065" t="n">
        <v>56.937</v>
      </c>
      <c r="N4065" t="inlineStr">
        <is>
          <t>Explore_N</t>
        </is>
      </c>
      <c r="O4065" t="inlineStr">
        <is>
          <t>Novelty</t>
        </is>
      </c>
      <c r="P4065" t="inlineStr">
        <is>
          <t>STATE</t>
        </is>
      </c>
      <c r="Q4065" t="n">
        <v>496.366</v>
      </c>
      <c r="R4065" t="n">
        <v>498.199</v>
      </c>
      <c r="S4065" t="n">
        <v>1.833</v>
      </c>
      <c r="T4065" t="inlineStr">
        <is>
          <t>C:/Users/manuel.felline/Documents/BEHAVIOR BTBR/NOR second cohort/WT/test/c58_m3.mp4</t>
        </is>
      </c>
      <c r="U4065" t="n">
        <v>15091</v>
      </c>
      <c r="V4065" t="n">
        <v>15146</v>
      </c>
      <c r="W4065" t="n">
        <v/>
      </c>
      <c r="X4065" t="n">
        <v/>
      </c>
      <c r="Y4065" t="n">
        <v/>
      </c>
      <c r="Z4065" t="n">
        <v/>
      </c>
      <c r="AA4065">
        <f>SUMIFS($S$2:S4065,$A$2:A4065,A4065,$N$2:N4065,"Explore*")</f>
        <v/>
      </c>
      <c r="AB4065">
        <f>IF(AND(LEFT(N4065,7)="Explore",(AA4065-IF(LEFT(N4065,7)="Explore",S4065,0))&lt;10),"SI","NO")</f>
        <v/>
      </c>
    </row>
    <row r="4066">
      <c r="A4066" t="inlineStr">
        <is>
          <t>c58m3_test</t>
        </is>
      </c>
      <c r="B4066" t="inlineStr">
        <is>
          <t>2026-07-02 11:20:21.395</t>
        </is>
      </c>
      <c r="C4066" t="n">
        <v/>
      </c>
      <c r="D4066" t="inlineStr">
        <is>
          <t>Media file</t>
        </is>
      </c>
      <c r="E4066" t="inlineStr">
        <is>
          <t>player #1:C:/Users/manuel.felline/Documents/BEHAVIOR BTBR/NOR second cohort/WT/test/c58_m3.mp4</t>
        </is>
      </c>
      <c r="F4066" t="n">
        <v>-6.667</v>
      </c>
      <c r="G4066" t="n">
        <v>539.1660000000001</v>
      </c>
      <c r="H4066" t="n">
        <v>626.6660000000001</v>
      </c>
      <c r="I4066" t="n">
        <v>30</v>
      </c>
      <c r="J4066" t="inlineStr">
        <is>
          <t xml:space="preserve"> WT</t>
        </is>
      </c>
      <c r="K4066" t="inlineStr">
        <is>
          <t>Male</t>
        </is>
      </c>
      <c r="L4066" t="inlineStr">
        <is>
          <t>No focal subject</t>
        </is>
      </c>
      <c r="M4066" t="n">
        <v>56.937</v>
      </c>
      <c r="N4066" t="inlineStr">
        <is>
          <t>Explore_N</t>
        </is>
      </c>
      <c r="O4066" t="inlineStr">
        <is>
          <t>Novelty</t>
        </is>
      </c>
      <c r="P4066" t="inlineStr">
        <is>
          <t>STATE</t>
        </is>
      </c>
      <c r="Q4066" t="n">
        <v>499.332</v>
      </c>
      <c r="R4066" t="n">
        <v>500.399</v>
      </c>
      <c r="S4066" t="n">
        <v>1.067</v>
      </c>
      <c r="T4066" t="inlineStr">
        <is>
          <t>C:/Users/manuel.felline/Documents/BEHAVIOR BTBR/NOR second cohort/WT/test/c58_m3.mp4</t>
        </is>
      </c>
      <c r="U4066" t="n">
        <v>15180</v>
      </c>
      <c r="V4066" t="n">
        <v>15212</v>
      </c>
      <c r="W4066" t="n">
        <v/>
      </c>
      <c r="X4066" t="n">
        <v/>
      </c>
      <c r="Y4066" t="n">
        <v/>
      </c>
      <c r="Z4066" t="n">
        <v/>
      </c>
      <c r="AA4066">
        <f>SUMIFS($S$2:S4066,$A$2:A4066,A4066,$N$2:N4066,"Explore*")</f>
        <v/>
      </c>
      <c r="AB4066">
        <f>IF(AND(LEFT(N4066,7)="Explore",(AA4066-IF(LEFT(N4066,7)="Explore",S4066,0))&lt;10),"SI","NO")</f>
        <v/>
      </c>
    </row>
    <row r="4067">
      <c r="A4067" t="inlineStr">
        <is>
          <t>c58m3_test</t>
        </is>
      </c>
      <c r="B4067" t="inlineStr">
        <is>
          <t>2026-07-02 11:20:21.395</t>
        </is>
      </c>
      <c r="C4067" t="n">
        <v/>
      </c>
      <c r="D4067" t="inlineStr">
        <is>
          <t>Media file</t>
        </is>
      </c>
      <c r="E4067" t="inlineStr">
        <is>
          <t>player #1:C:/Users/manuel.felline/Documents/BEHAVIOR BTBR/NOR second cohort/WT/test/c58_m3.mp4</t>
        </is>
      </c>
      <c r="F4067" t="n">
        <v>-6.667</v>
      </c>
      <c r="G4067" t="n">
        <v>539.1660000000001</v>
      </c>
      <c r="H4067" t="n">
        <v>626.6660000000001</v>
      </c>
      <c r="I4067" t="n">
        <v>30</v>
      </c>
      <c r="J4067" t="inlineStr">
        <is>
          <t xml:space="preserve"> WT</t>
        </is>
      </c>
      <c r="K4067" t="inlineStr">
        <is>
          <t>Male</t>
        </is>
      </c>
      <c r="L4067" t="inlineStr">
        <is>
          <t>No focal subject</t>
        </is>
      </c>
      <c r="M4067" t="n">
        <v>56.937</v>
      </c>
      <c r="N4067" t="inlineStr">
        <is>
          <t>Explore_N</t>
        </is>
      </c>
      <c r="O4067" t="inlineStr">
        <is>
          <t>Novelty</t>
        </is>
      </c>
      <c r="P4067" t="inlineStr">
        <is>
          <t>STATE</t>
        </is>
      </c>
      <c r="Q4067" t="n">
        <v>518.866</v>
      </c>
      <c r="R4067" t="n">
        <v>521.199</v>
      </c>
      <c r="S4067" t="n">
        <v>2.333</v>
      </c>
      <c r="T4067" t="inlineStr">
        <is>
          <t>C:/Users/manuel.felline/Documents/BEHAVIOR BTBR/NOR second cohort/WT/test/c58_m3.mp4</t>
        </is>
      </c>
      <c r="U4067" t="n">
        <v>15766</v>
      </c>
      <c r="V4067" t="n">
        <v>15836</v>
      </c>
      <c r="W4067" t="n">
        <v/>
      </c>
      <c r="X4067" t="n">
        <v/>
      </c>
      <c r="Y4067" t="n">
        <v/>
      </c>
      <c r="Z4067" t="n">
        <v/>
      </c>
      <c r="AA4067">
        <f>SUMIFS($S$2:S4067,$A$2:A4067,A4067,$N$2:N4067,"Explore*")</f>
        <v/>
      </c>
      <c r="AB4067">
        <f>IF(AND(LEFT(N4067,7)="Explore",(AA4067-IF(LEFT(N4067,7)="Explore",S4067,0))&lt;10),"SI","NO")</f>
        <v/>
      </c>
    </row>
    <row r="4068">
      <c r="A4068" t="inlineStr">
        <is>
          <t>c58m3_test</t>
        </is>
      </c>
      <c r="B4068" t="inlineStr">
        <is>
          <t>2026-07-02 11:20:21.395</t>
        </is>
      </c>
      <c r="C4068" t="n">
        <v/>
      </c>
      <c r="D4068" t="inlineStr">
        <is>
          <t>Media file</t>
        </is>
      </c>
      <c r="E4068" t="inlineStr">
        <is>
          <t>player #1:C:/Users/manuel.felline/Documents/BEHAVIOR BTBR/NOR second cohort/WT/test/c58_m3.mp4</t>
        </is>
      </c>
      <c r="F4068" t="n">
        <v>-6.667</v>
      </c>
      <c r="G4068" t="n">
        <v>539.1660000000001</v>
      </c>
      <c r="H4068" t="n">
        <v>626.6660000000001</v>
      </c>
      <c r="I4068" t="n">
        <v>30</v>
      </c>
      <c r="J4068" t="inlineStr">
        <is>
          <t xml:space="preserve"> WT</t>
        </is>
      </c>
      <c r="K4068" t="inlineStr">
        <is>
          <t>Male</t>
        </is>
      </c>
      <c r="L4068" t="inlineStr">
        <is>
          <t>No focal subject</t>
        </is>
      </c>
      <c r="M4068" t="n">
        <v>56.937</v>
      </c>
      <c r="N4068" t="inlineStr">
        <is>
          <t>Explore_N</t>
        </is>
      </c>
      <c r="O4068" t="inlineStr">
        <is>
          <t>Novelty</t>
        </is>
      </c>
      <c r="P4068" t="inlineStr">
        <is>
          <t>STATE</t>
        </is>
      </c>
      <c r="Q4068" t="n">
        <v>524.399</v>
      </c>
      <c r="R4068" t="n">
        <v>525.399</v>
      </c>
      <c r="S4068" t="n">
        <v>1</v>
      </c>
      <c r="T4068" t="inlineStr">
        <is>
          <t>C:/Users/manuel.felline/Documents/BEHAVIOR BTBR/NOR second cohort/WT/test/c58_m3.mp4</t>
        </is>
      </c>
      <c r="U4068" t="n">
        <v>15932</v>
      </c>
      <c r="V4068" t="n">
        <v>15962</v>
      </c>
      <c r="W4068" t="n">
        <v/>
      </c>
      <c r="X4068" t="n">
        <v/>
      </c>
      <c r="Y4068" t="n">
        <v/>
      </c>
      <c r="Z4068" t="n">
        <v/>
      </c>
      <c r="AA4068">
        <f>SUMIFS($S$2:S4068,$A$2:A4068,A4068,$N$2:N4068,"Explore*")</f>
        <v/>
      </c>
      <c r="AB4068">
        <f>IF(AND(LEFT(N4068,7)="Explore",(AA4068-IF(LEFT(N4068,7)="Explore",S4068,0))&lt;10),"SI","NO")</f>
        <v/>
      </c>
    </row>
    <row r="4069">
      <c r="A4069" t="inlineStr">
        <is>
          <t>c58m3_test</t>
        </is>
      </c>
      <c r="B4069" t="inlineStr">
        <is>
          <t>2026-07-02 11:20:21.395</t>
        </is>
      </c>
      <c r="C4069" t="n">
        <v/>
      </c>
      <c r="D4069" t="inlineStr">
        <is>
          <t>Media file</t>
        </is>
      </c>
      <c r="E4069" t="inlineStr">
        <is>
          <t>player #1:C:/Users/manuel.felline/Documents/BEHAVIOR BTBR/NOR second cohort/WT/test/c58_m3.mp4</t>
        </is>
      </c>
      <c r="F4069" t="n">
        <v>-6.667</v>
      </c>
      <c r="G4069" t="n">
        <v>539.1660000000001</v>
      </c>
      <c r="H4069" t="n">
        <v>626.6660000000001</v>
      </c>
      <c r="I4069" t="n">
        <v>30</v>
      </c>
      <c r="J4069" t="inlineStr">
        <is>
          <t xml:space="preserve"> WT</t>
        </is>
      </c>
      <c r="K4069" t="inlineStr">
        <is>
          <t>Male</t>
        </is>
      </c>
      <c r="L4069" t="inlineStr">
        <is>
          <t>No focal subject</t>
        </is>
      </c>
      <c r="M4069" t="n">
        <v>56.937</v>
      </c>
      <c r="N4069" t="inlineStr">
        <is>
          <t>Explore_N</t>
        </is>
      </c>
      <c r="O4069" t="inlineStr">
        <is>
          <t>Novelty</t>
        </is>
      </c>
      <c r="P4069" t="inlineStr">
        <is>
          <t>STATE</t>
        </is>
      </c>
      <c r="Q4069" t="n">
        <v>533.899</v>
      </c>
      <c r="R4069" t="n">
        <v>534.332</v>
      </c>
      <c r="S4069" t="n">
        <v>0.433</v>
      </c>
      <c r="T4069" t="inlineStr">
        <is>
          <t>C:/Users/manuel.felline/Documents/BEHAVIOR BTBR/NOR second cohort/WT/test/c58_m3.mp4</t>
        </is>
      </c>
      <c r="U4069" t="n">
        <v>16217</v>
      </c>
      <c r="V4069" t="n">
        <v>16230</v>
      </c>
      <c r="W4069" t="n">
        <v/>
      </c>
      <c r="X4069" t="n">
        <v/>
      </c>
      <c r="Y4069" t="n">
        <v/>
      </c>
      <c r="Z4069" t="n">
        <v/>
      </c>
      <c r="AA4069">
        <f>SUMIFS($S$2:S4069,$A$2:A4069,A4069,$N$2:N4069,"Explore*")</f>
        <v/>
      </c>
      <c r="AB4069">
        <f>IF(AND(LEFT(N4069,7)="Explore",(AA4069-IF(LEFT(N4069,7)="Explore",S4069,0))&lt;10),"SI","NO")</f>
        <v/>
      </c>
    </row>
    <row r="4070">
      <c r="A4070" t="inlineStr">
        <is>
          <t>c58m3_test</t>
        </is>
      </c>
      <c r="B4070" t="inlineStr">
        <is>
          <t>2026-07-02 11:20:21.395</t>
        </is>
      </c>
      <c r="C4070" t="n">
        <v/>
      </c>
      <c r="D4070" t="inlineStr">
        <is>
          <t>Media file</t>
        </is>
      </c>
      <c r="E4070" t="inlineStr">
        <is>
          <t>player #1:C:/Users/manuel.felline/Documents/BEHAVIOR BTBR/NOR second cohort/WT/test/c58_m3.mp4</t>
        </is>
      </c>
      <c r="F4070" t="n">
        <v>-6.667</v>
      </c>
      <c r="G4070" t="n">
        <v>539.1660000000001</v>
      </c>
      <c r="H4070" t="n">
        <v>626.6660000000001</v>
      </c>
      <c r="I4070" t="n">
        <v>30</v>
      </c>
      <c r="J4070" t="inlineStr">
        <is>
          <t xml:space="preserve"> WT</t>
        </is>
      </c>
      <c r="K4070" t="inlineStr">
        <is>
          <t>Male</t>
        </is>
      </c>
      <c r="L4070" t="inlineStr">
        <is>
          <t>No focal subject</t>
        </is>
      </c>
      <c r="M4070" t="n">
        <v>56.937</v>
      </c>
      <c r="N4070" t="inlineStr">
        <is>
          <t>Explore_N</t>
        </is>
      </c>
      <c r="O4070" t="inlineStr">
        <is>
          <t>Novelty</t>
        </is>
      </c>
      <c r="P4070" t="inlineStr">
        <is>
          <t>STATE</t>
        </is>
      </c>
      <c r="Q4070" t="n">
        <v>535.299</v>
      </c>
      <c r="R4070" t="n">
        <v>536.599</v>
      </c>
      <c r="S4070" t="n">
        <v>1.3</v>
      </c>
      <c r="T4070" t="inlineStr">
        <is>
          <t>C:/Users/manuel.felline/Documents/BEHAVIOR BTBR/NOR second cohort/WT/test/c58_m3.mp4</t>
        </is>
      </c>
      <c r="U4070" t="n">
        <v>16259</v>
      </c>
      <c r="V4070" t="n">
        <v>16298</v>
      </c>
      <c r="W4070" t="n">
        <v/>
      </c>
      <c r="X4070" t="n">
        <v/>
      </c>
      <c r="Y4070" t="n">
        <v/>
      </c>
      <c r="Z4070" t="n">
        <v/>
      </c>
      <c r="AA4070">
        <f>SUMIFS($S$2:S4070,$A$2:A4070,A4070,$N$2:N4070,"Explore*")</f>
        <v/>
      </c>
      <c r="AB4070">
        <f>IF(AND(LEFT(N4070,7)="Explore",(AA4070-IF(LEFT(N4070,7)="Explore",S4070,0))&lt;10),"SI","NO")</f>
        <v/>
      </c>
    </row>
    <row r="4071">
      <c r="A4071" t="inlineStr">
        <is>
          <t>c58m3_test</t>
        </is>
      </c>
      <c r="B4071" t="inlineStr">
        <is>
          <t>2026-07-02 11:20:21.395</t>
        </is>
      </c>
      <c r="C4071" t="n">
        <v/>
      </c>
      <c r="D4071" t="inlineStr">
        <is>
          <t>Media file</t>
        </is>
      </c>
      <c r="E4071" t="inlineStr">
        <is>
          <t>player #1:C:/Users/manuel.felline/Documents/BEHAVIOR BTBR/NOR second cohort/WT/test/c58_m3.mp4</t>
        </is>
      </c>
      <c r="F4071" t="n">
        <v>-6.667</v>
      </c>
      <c r="G4071" t="n">
        <v>539.1660000000001</v>
      </c>
      <c r="H4071" t="n">
        <v>626.6660000000001</v>
      </c>
      <c r="I4071" t="n">
        <v>30</v>
      </c>
      <c r="J4071" t="inlineStr">
        <is>
          <t xml:space="preserve"> WT</t>
        </is>
      </c>
      <c r="K4071" t="inlineStr">
        <is>
          <t>Male</t>
        </is>
      </c>
      <c r="L4071" t="inlineStr">
        <is>
          <t>No focal subject</t>
        </is>
      </c>
      <c r="M4071" t="n">
        <v>56.937</v>
      </c>
      <c r="N4071" t="inlineStr">
        <is>
          <t>Explore_N</t>
        </is>
      </c>
      <c r="O4071" t="inlineStr">
        <is>
          <t>Novelty</t>
        </is>
      </c>
      <c r="P4071" t="inlineStr">
        <is>
          <t>STATE</t>
        </is>
      </c>
      <c r="Q4071" t="n">
        <v>538.566</v>
      </c>
      <c r="R4071" t="n">
        <v>539.466</v>
      </c>
      <c r="S4071" t="n">
        <v>0.9</v>
      </c>
      <c r="T4071" t="inlineStr">
        <is>
          <t>C:/Users/manuel.felline/Documents/BEHAVIOR BTBR/NOR second cohort/WT/test/c58_m3.mp4</t>
        </is>
      </c>
      <c r="U4071" t="n">
        <v>16357</v>
      </c>
      <c r="V4071" t="n">
        <v>16384</v>
      </c>
      <c r="W4071" t="n">
        <v/>
      </c>
      <c r="X4071" t="n">
        <v/>
      </c>
      <c r="Y4071" t="n">
        <v/>
      </c>
      <c r="Z4071" t="n">
        <v/>
      </c>
      <c r="AA4071">
        <f>SUMIFS($S$2:S4071,$A$2:A4071,A4071,$N$2:N4071,"Explore*")</f>
        <v/>
      </c>
      <c r="AB4071">
        <f>IF(AND(LEFT(N4071,7)="Explore",(AA4071-IF(LEFT(N4071,7)="Explore",S4071,0))&lt;10),"SI","NO")</f>
        <v/>
      </c>
    </row>
    <row r="4072">
      <c r="A4072" t="inlineStr">
        <is>
          <t>c58m3_test</t>
        </is>
      </c>
      <c r="B4072" t="inlineStr">
        <is>
          <t>2026-07-02 11:20:21.395</t>
        </is>
      </c>
      <c r="C4072" t="n">
        <v/>
      </c>
      <c r="D4072" t="inlineStr">
        <is>
          <t>Media file</t>
        </is>
      </c>
      <c r="E4072" t="inlineStr">
        <is>
          <t>player #1:C:/Users/manuel.felline/Documents/BEHAVIOR BTBR/NOR second cohort/WT/test/c58_m3.mp4</t>
        </is>
      </c>
      <c r="F4072" t="n">
        <v>-6.667</v>
      </c>
      <c r="G4072" t="n">
        <v>539.1660000000001</v>
      </c>
      <c r="H4072" t="n">
        <v>626.6660000000001</v>
      </c>
      <c r="I4072" t="n">
        <v>30</v>
      </c>
      <c r="J4072" t="inlineStr">
        <is>
          <t xml:space="preserve"> WT</t>
        </is>
      </c>
      <c r="K4072" t="inlineStr">
        <is>
          <t>Male</t>
        </is>
      </c>
      <c r="L4072" t="inlineStr">
        <is>
          <t>No focal subject</t>
        </is>
      </c>
      <c r="M4072" t="n">
        <v>56.937</v>
      </c>
      <c r="N4072" t="inlineStr">
        <is>
          <t>Explore_N</t>
        </is>
      </c>
      <c r="O4072" t="inlineStr">
        <is>
          <t>Novelty</t>
        </is>
      </c>
      <c r="P4072" t="inlineStr">
        <is>
          <t>STATE</t>
        </is>
      </c>
      <c r="Q4072" t="n">
        <v>540.499</v>
      </c>
      <c r="R4072" t="n">
        <v>542.466</v>
      </c>
      <c r="S4072" t="n">
        <v>1.967</v>
      </c>
      <c r="T4072" t="inlineStr">
        <is>
          <t>C:/Users/manuel.felline/Documents/BEHAVIOR BTBR/NOR second cohort/WT/test/c58_m3.mp4</t>
        </is>
      </c>
      <c r="U4072" t="n">
        <v>16415</v>
      </c>
      <c r="V4072" t="n">
        <v>16474</v>
      </c>
      <c r="W4072" t="n">
        <v/>
      </c>
      <c r="X4072" t="n">
        <v/>
      </c>
      <c r="Y4072" t="n">
        <v/>
      </c>
      <c r="Z4072" t="n">
        <v/>
      </c>
      <c r="AA4072">
        <f>SUMIFS($S$2:S4072,$A$2:A4072,A4072,$N$2:N4072,"Explore*")</f>
        <v/>
      </c>
      <c r="AB4072">
        <f>IF(AND(LEFT(N4072,7)="Explore",(AA4072-IF(LEFT(N4072,7)="Explore",S4072,0))&lt;10),"SI","NO")</f>
        <v/>
      </c>
    </row>
    <row r="4073">
      <c r="A4073" t="inlineStr">
        <is>
          <t>c58m3_test</t>
        </is>
      </c>
      <c r="B4073" t="inlineStr">
        <is>
          <t>2026-07-02 11:20:21.395</t>
        </is>
      </c>
      <c r="C4073" t="n">
        <v/>
      </c>
      <c r="D4073" t="inlineStr">
        <is>
          <t>Media file</t>
        </is>
      </c>
      <c r="E4073" t="inlineStr">
        <is>
          <t>player #1:C:/Users/manuel.felline/Documents/BEHAVIOR BTBR/NOR second cohort/WT/test/c58_m3.mp4</t>
        </is>
      </c>
      <c r="F4073" t="n">
        <v>-6.667</v>
      </c>
      <c r="G4073" t="n">
        <v>539.1660000000001</v>
      </c>
      <c r="H4073" t="n">
        <v>626.6660000000001</v>
      </c>
      <c r="I4073" t="n">
        <v>30</v>
      </c>
      <c r="J4073" t="inlineStr">
        <is>
          <t xml:space="preserve"> WT</t>
        </is>
      </c>
      <c r="K4073" t="inlineStr">
        <is>
          <t>Male</t>
        </is>
      </c>
      <c r="L4073" t="inlineStr">
        <is>
          <t>No focal subject</t>
        </is>
      </c>
      <c r="M4073" t="n">
        <v>56.937</v>
      </c>
      <c r="N4073" t="inlineStr">
        <is>
          <t>Explore_N</t>
        </is>
      </c>
      <c r="O4073" t="inlineStr">
        <is>
          <t>Novelty</t>
        </is>
      </c>
      <c r="P4073" t="inlineStr">
        <is>
          <t>STATE</t>
        </is>
      </c>
      <c r="Q4073" t="n">
        <v>543.6660000000001</v>
      </c>
      <c r="R4073" t="n">
        <v>545.6660000000001</v>
      </c>
      <c r="S4073" t="n">
        <v>2</v>
      </c>
      <c r="T4073" t="inlineStr">
        <is>
          <t>C:/Users/manuel.felline/Documents/BEHAVIOR BTBR/NOR second cohort/WT/test/c58_m3.mp4</t>
        </is>
      </c>
      <c r="U4073" t="n">
        <v>16510</v>
      </c>
      <c r="V4073" t="n">
        <v>16570</v>
      </c>
      <c r="W4073" t="n">
        <v/>
      </c>
      <c r="X4073" t="n">
        <v/>
      </c>
      <c r="Y4073" t="n">
        <v/>
      </c>
      <c r="Z4073" t="n">
        <v/>
      </c>
      <c r="AA4073">
        <f>SUMIFS($S$2:S4073,$A$2:A4073,A4073,$N$2:N4073,"Explore*")</f>
        <v/>
      </c>
      <c r="AB4073">
        <f>IF(AND(LEFT(N4073,7)="Explore",(AA4073-IF(LEFT(N4073,7)="Explore",S4073,0))&lt;10),"SI","NO")</f>
        <v/>
      </c>
    </row>
    <row r="4074">
      <c r="A4074" t="inlineStr">
        <is>
          <t>c58m3_test</t>
        </is>
      </c>
      <c r="B4074" t="inlineStr">
        <is>
          <t>2026-07-02 11:20:21.395</t>
        </is>
      </c>
      <c r="C4074" t="n">
        <v/>
      </c>
      <c r="D4074" t="inlineStr">
        <is>
          <t>Media file</t>
        </is>
      </c>
      <c r="E4074" t="inlineStr">
        <is>
          <t>player #1:C:/Users/manuel.felline/Documents/BEHAVIOR BTBR/NOR second cohort/WT/test/c58_m3.mp4</t>
        </is>
      </c>
      <c r="F4074" t="n">
        <v>-6.667</v>
      </c>
      <c r="G4074" t="n">
        <v>539.1660000000001</v>
      </c>
      <c r="H4074" t="n">
        <v>626.6660000000001</v>
      </c>
      <c r="I4074" t="n">
        <v>30</v>
      </c>
      <c r="J4074" t="inlineStr">
        <is>
          <t xml:space="preserve"> WT</t>
        </is>
      </c>
      <c r="K4074" t="inlineStr">
        <is>
          <t>Male</t>
        </is>
      </c>
      <c r="L4074" t="inlineStr">
        <is>
          <t>No focal subject</t>
        </is>
      </c>
      <c r="M4074" t="n">
        <v>56.937</v>
      </c>
      <c r="N4074" t="inlineStr">
        <is>
          <t>Explore_N</t>
        </is>
      </c>
      <c r="O4074" t="inlineStr">
        <is>
          <t>Novelty</t>
        </is>
      </c>
      <c r="P4074" t="inlineStr">
        <is>
          <t>STATE</t>
        </is>
      </c>
      <c r="Q4074" t="n">
        <v>549.899</v>
      </c>
      <c r="R4074" t="n">
        <v>552.1660000000001</v>
      </c>
      <c r="S4074" t="n">
        <v>2.267</v>
      </c>
      <c r="T4074" t="inlineStr">
        <is>
          <t>C:/Users/manuel.felline/Documents/BEHAVIOR BTBR/NOR second cohort/WT/test/c58_m3.mp4</t>
        </is>
      </c>
      <c r="U4074" t="n">
        <v>16697</v>
      </c>
      <c r="V4074" t="n">
        <v>16765</v>
      </c>
      <c r="W4074" t="n">
        <v/>
      </c>
      <c r="X4074" t="n">
        <v/>
      </c>
      <c r="Y4074" t="n">
        <v/>
      </c>
      <c r="Z4074" t="n">
        <v/>
      </c>
      <c r="AA4074">
        <f>SUMIFS($S$2:S4074,$A$2:A4074,A4074,$N$2:N4074,"Explore*")</f>
        <v/>
      </c>
      <c r="AB4074">
        <f>IF(AND(LEFT(N4074,7)="Explore",(AA4074-IF(LEFT(N4074,7)="Explore",S4074,0))&lt;10),"SI","NO")</f>
        <v/>
      </c>
    </row>
    <row r="4075">
      <c r="A4075" t="inlineStr">
        <is>
          <t>c58m3_test</t>
        </is>
      </c>
      <c r="B4075" t="inlineStr">
        <is>
          <t>2026-07-02 11:20:21.395</t>
        </is>
      </c>
      <c r="C4075" t="n">
        <v/>
      </c>
      <c r="D4075" t="inlineStr">
        <is>
          <t>Media file</t>
        </is>
      </c>
      <c r="E4075" t="inlineStr">
        <is>
          <t>player #1:C:/Users/manuel.felline/Documents/BEHAVIOR BTBR/NOR second cohort/WT/test/c58_m3.mp4</t>
        </is>
      </c>
      <c r="F4075" t="n">
        <v>-6.667</v>
      </c>
      <c r="G4075" t="n">
        <v>539.1660000000001</v>
      </c>
      <c r="H4075" t="n">
        <v>626.6660000000001</v>
      </c>
      <c r="I4075" t="n">
        <v>30</v>
      </c>
      <c r="J4075" t="inlineStr">
        <is>
          <t xml:space="preserve"> WT</t>
        </is>
      </c>
      <c r="K4075" t="inlineStr">
        <is>
          <t>Male</t>
        </is>
      </c>
      <c r="L4075" t="inlineStr">
        <is>
          <t>No focal subject</t>
        </is>
      </c>
      <c r="M4075" t="n">
        <v>56.937</v>
      </c>
      <c r="N4075" t="inlineStr">
        <is>
          <t>Explore_F</t>
        </is>
      </c>
      <c r="O4075" t="inlineStr">
        <is>
          <t>Familiar</t>
        </is>
      </c>
      <c r="P4075" t="inlineStr">
        <is>
          <t>STATE</t>
        </is>
      </c>
      <c r="Q4075" t="n">
        <v>560.199</v>
      </c>
      <c r="R4075" t="n">
        <v>562.066</v>
      </c>
      <c r="S4075" t="n">
        <v>1.867</v>
      </c>
      <c r="T4075" t="inlineStr">
        <is>
          <t>C:/Users/manuel.felline/Documents/BEHAVIOR BTBR/NOR second cohort/WT/test/c58_m3.mp4</t>
        </is>
      </c>
      <c r="U4075" t="n">
        <v>17006</v>
      </c>
      <c r="V4075" t="n">
        <v>17062</v>
      </c>
      <c r="W4075" t="n">
        <v/>
      </c>
      <c r="X4075" t="n">
        <v/>
      </c>
      <c r="Y4075" t="n">
        <v/>
      </c>
      <c r="Z4075" t="n">
        <v/>
      </c>
      <c r="AA4075">
        <f>SUMIFS($S$2:S4075,$A$2:A4075,A4075,$N$2:N4075,"Explore*")</f>
        <v/>
      </c>
      <c r="AB4075">
        <f>IF(AND(LEFT(N4075,7)="Explore",(AA4075-IF(LEFT(N4075,7)="Explore",S4075,0))&lt;10),"SI","NO")</f>
        <v/>
      </c>
    </row>
    <row r="4076">
      <c r="A4076" t="inlineStr">
        <is>
          <t>c58m4_test</t>
        </is>
      </c>
      <c r="B4076" t="inlineStr">
        <is>
          <t>2026-07-02 12:05:14.764</t>
        </is>
      </c>
      <c r="C4076" t="n">
        <v/>
      </c>
      <c r="D4076" t="inlineStr">
        <is>
          <t>Media file</t>
        </is>
      </c>
      <c r="E4076" t="inlineStr">
        <is>
          <t>player #1:C:/Users/manuel.felline/Documents/BEHAVIOR BTBR/NOR second cohort/WT/test/c58_m4.mp4</t>
        </is>
      </c>
      <c r="F4076" t="n">
        <v>-14.6</v>
      </c>
      <c r="G4076" t="n">
        <v>573.366</v>
      </c>
      <c r="H4076" t="n">
        <v>627.6660000000001</v>
      </c>
      <c r="I4076" t="n">
        <v>30</v>
      </c>
      <c r="J4076" t="inlineStr">
        <is>
          <t xml:space="preserve"> WT</t>
        </is>
      </c>
      <c r="K4076" t="inlineStr">
        <is>
          <t>Male</t>
        </is>
      </c>
      <c r="L4076" t="inlineStr">
        <is>
          <t>No focal subject</t>
        </is>
      </c>
      <c r="M4076" t="n">
        <v>39.167</v>
      </c>
      <c r="N4076" t="inlineStr">
        <is>
          <t>Explore_F</t>
        </is>
      </c>
      <c r="O4076" t="inlineStr">
        <is>
          <t>Familiar</t>
        </is>
      </c>
      <c r="P4076" t="inlineStr">
        <is>
          <t>STATE</t>
        </is>
      </c>
      <c r="Q4076" t="n">
        <v>13.333</v>
      </c>
      <c r="R4076" t="n">
        <v>13.533</v>
      </c>
      <c r="S4076" t="n">
        <v>0.2</v>
      </c>
      <c r="T4076" t="inlineStr">
        <is>
          <t>C:/Users/manuel.felline/Documents/BEHAVIOR BTBR/NOR second cohort/WT/test/c58_m4.mp4</t>
        </is>
      </c>
      <c r="U4076" t="n">
        <v>838</v>
      </c>
      <c r="V4076" t="n">
        <v>844</v>
      </c>
      <c r="W4076" t="n">
        <v/>
      </c>
      <c r="X4076" t="n">
        <v/>
      </c>
      <c r="Y4076" t="n">
        <v/>
      </c>
      <c r="Z4076" t="n">
        <v/>
      </c>
      <c r="AA4076">
        <f>SUMIFS($S$2:S4076,$A$2:A4076,A4076,$N$2:N4076,"Explore*")</f>
        <v/>
      </c>
      <c r="AB4076">
        <f>IF(AND(LEFT(N4076,7)="Explore",(AA4076-IF(LEFT(N4076,7)="Explore",S4076,0))&lt;10),"SI","NO")</f>
        <v/>
      </c>
    </row>
    <row r="4077">
      <c r="A4077" t="inlineStr">
        <is>
          <t>c58m4_test</t>
        </is>
      </c>
      <c r="B4077" t="inlineStr">
        <is>
          <t>2026-07-02 12:05:14.764</t>
        </is>
      </c>
      <c r="C4077" t="n">
        <v/>
      </c>
      <c r="D4077" t="inlineStr">
        <is>
          <t>Media file</t>
        </is>
      </c>
      <c r="E4077" t="inlineStr">
        <is>
          <t>player #1:C:/Users/manuel.felline/Documents/BEHAVIOR BTBR/NOR second cohort/WT/test/c58_m4.mp4</t>
        </is>
      </c>
      <c r="F4077" t="n">
        <v>-14.6</v>
      </c>
      <c r="G4077" t="n">
        <v>573.366</v>
      </c>
      <c r="H4077" t="n">
        <v>627.6660000000001</v>
      </c>
      <c r="I4077" t="n">
        <v>30</v>
      </c>
      <c r="J4077" t="inlineStr">
        <is>
          <t xml:space="preserve"> WT</t>
        </is>
      </c>
      <c r="K4077" t="inlineStr">
        <is>
          <t>Male</t>
        </is>
      </c>
      <c r="L4077" t="inlineStr">
        <is>
          <t>No focal subject</t>
        </is>
      </c>
      <c r="M4077" t="n">
        <v>39.167</v>
      </c>
      <c r="N4077" t="inlineStr">
        <is>
          <t>Explore_N</t>
        </is>
      </c>
      <c r="O4077" t="inlineStr">
        <is>
          <t>Novelty</t>
        </is>
      </c>
      <c r="P4077" t="inlineStr">
        <is>
          <t>STATE</t>
        </is>
      </c>
      <c r="Q4077" t="n">
        <v>16.567</v>
      </c>
      <c r="R4077" t="n">
        <v>17.1</v>
      </c>
      <c r="S4077" t="n">
        <v>0.533</v>
      </c>
      <c r="T4077" t="inlineStr">
        <is>
          <t>C:/Users/manuel.felline/Documents/BEHAVIOR BTBR/NOR second cohort/WT/test/c58_m4.mp4</t>
        </is>
      </c>
      <c r="U4077" t="n">
        <v>935</v>
      </c>
      <c r="V4077" t="n">
        <v>951</v>
      </c>
      <c r="W4077" t="n">
        <v/>
      </c>
      <c r="X4077" t="n">
        <v/>
      </c>
      <c r="Y4077" t="n">
        <v/>
      </c>
      <c r="Z4077" t="n">
        <v/>
      </c>
      <c r="AA4077">
        <f>SUMIFS($S$2:S4077,$A$2:A4077,A4077,$N$2:N4077,"Explore*")</f>
        <v/>
      </c>
      <c r="AB4077">
        <f>IF(AND(LEFT(N4077,7)="Explore",(AA4077-IF(LEFT(N4077,7)="Explore",S4077,0))&lt;10),"SI","NO")</f>
        <v/>
      </c>
    </row>
    <row r="4078">
      <c r="A4078" t="inlineStr">
        <is>
          <t>c58m4_test</t>
        </is>
      </c>
      <c r="B4078" t="inlineStr">
        <is>
          <t>2026-07-02 12:05:14.764</t>
        </is>
      </c>
      <c r="C4078" t="n">
        <v/>
      </c>
      <c r="D4078" t="inlineStr">
        <is>
          <t>Media file</t>
        </is>
      </c>
      <c r="E4078" t="inlineStr">
        <is>
          <t>player #1:C:/Users/manuel.felline/Documents/BEHAVIOR BTBR/NOR second cohort/WT/test/c58_m4.mp4</t>
        </is>
      </c>
      <c r="F4078" t="n">
        <v>-14.6</v>
      </c>
      <c r="G4078" t="n">
        <v>573.366</v>
      </c>
      <c r="H4078" t="n">
        <v>627.6660000000001</v>
      </c>
      <c r="I4078" t="n">
        <v>30</v>
      </c>
      <c r="J4078" t="inlineStr">
        <is>
          <t xml:space="preserve"> WT</t>
        </is>
      </c>
      <c r="K4078" t="inlineStr">
        <is>
          <t>Male</t>
        </is>
      </c>
      <c r="L4078" t="inlineStr">
        <is>
          <t>No focal subject</t>
        </is>
      </c>
      <c r="M4078" t="n">
        <v>39.167</v>
      </c>
      <c r="N4078" t="inlineStr">
        <is>
          <t>Explore_N</t>
        </is>
      </c>
      <c r="O4078" t="inlineStr">
        <is>
          <t>Novelty</t>
        </is>
      </c>
      <c r="P4078" t="inlineStr">
        <is>
          <t>STATE</t>
        </is>
      </c>
      <c r="Q4078" t="n">
        <v>40.7</v>
      </c>
      <c r="R4078" t="n">
        <v>41.833</v>
      </c>
      <c r="S4078" t="n">
        <v>1.133</v>
      </c>
      <c r="T4078" t="inlineStr">
        <is>
          <t>C:/Users/manuel.felline/Documents/BEHAVIOR BTBR/NOR second cohort/WT/test/c58_m4.mp4</t>
        </is>
      </c>
      <c r="U4078" t="n">
        <v>1659</v>
      </c>
      <c r="V4078" t="n">
        <v>1693</v>
      </c>
      <c r="W4078" t="n">
        <v/>
      </c>
      <c r="X4078" t="n">
        <v/>
      </c>
      <c r="Y4078" t="n">
        <v/>
      </c>
      <c r="Z4078" t="n">
        <v/>
      </c>
      <c r="AA4078">
        <f>SUMIFS($S$2:S4078,$A$2:A4078,A4078,$N$2:N4078,"Explore*")</f>
        <v/>
      </c>
      <c r="AB4078">
        <f>IF(AND(LEFT(N4078,7)="Explore",(AA4078-IF(LEFT(N4078,7)="Explore",S4078,0))&lt;10),"SI","NO")</f>
        <v/>
      </c>
    </row>
    <row r="4079">
      <c r="A4079" t="inlineStr">
        <is>
          <t>c58m4_test</t>
        </is>
      </c>
      <c r="B4079" t="inlineStr">
        <is>
          <t>2026-07-02 12:05:14.764</t>
        </is>
      </c>
      <c r="C4079" t="n">
        <v/>
      </c>
      <c r="D4079" t="inlineStr">
        <is>
          <t>Media file</t>
        </is>
      </c>
      <c r="E4079" t="inlineStr">
        <is>
          <t>player #1:C:/Users/manuel.felline/Documents/BEHAVIOR BTBR/NOR second cohort/WT/test/c58_m4.mp4</t>
        </is>
      </c>
      <c r="F4079" t="n">
        <v>-14.6</v>
      </c>
      <c r="G4079" t="n">
        <v>573.366</v>
      </c>
      <c r="H4079" t="n">
        <v>627.6660000000001</v>
      </c>
      <c r="I4079" t="n">
        <v>30</v>
      </c>
      <c r="J4079" t="inlineStr">
        <is>
          <t xml:space="preserve"> WT</t>
        </is>
      </c>
      <c r="K4079" t="inlineStr">
        <is>
          <t>Male</t>
        </is>
      </c>
      <c r="L4079" t="inlineStr">
        <is>
          <t>No focal subject</t>
        </is>
      </c>
      <c r="M4079" t="n">
        <v>39.167</v>
      </c>
      <c r="N4079" t="inlineStr">
        <is>
          <t>Explore_N</t>
        </is>
      </c>
      <c r="O4079" t="inlineStr">
        <is>
          <t>Novelty</t>
        </is>
      </c>
      <c r="P4079" t="inlineStr">
        <is>
          <t>STATE</t>
        </is>
      </c>
      <c r="Q4079" t="n">
        <v>43.633</v>
      </c>
      <c r="R4079" t="n">
        <v>44.567</v>
      </c>
      <c r="S4079" t="n">
        <v>0.9340000000000001</v>
      </c>
      <c r="T4079" t="inlineStr">
        <is>
          <t>C:/Users/manuel.felline/Documents/BEHAVIOR BTBR/NOR second cohort/WT/test/c58_m4.mp4</t>
        </is>
      </c>
      <c r="U4079" t="n">
        <v>1747</v>
      </c>
      <c r="V4079" t="n">
        <v>1775</v>
      </c>
      <c r="W4079" t="n">
        <v/>
      </c>
      <c r="X4079" t="n">
        <v/>
      </c>
      <c r="Y4079" t="n">
        <v/>
      </c>
      <c r="Z4079" t="n">
        <v/>
      </c>
      <c r="AA4079">
        <f>SUMIFS($S$2:S4079,$A$2:A4079,A4079,$N$2:N4079,"Explore*")</f>
        <v/>
      </c>
      <c r="AB4079">
        <f>IF(AND(LEFT(N4079,7)="Explore",(AA4079-IF(LEFT(N4079,7)="Explore",S4079,0))&lt;10),"SI","NO")</f>
        <v/>
      </c>
    </row>
    <row r="4080">
      <c r="A4080" t="inlineStr">
        <is>
          <t>c58m4_test</t>
        </is>
      </c>
      <c r="B4080" t="inlineStr">
        <is>
          <t>2026-07-02 12:05:14.764</t>
        </is>
      </c>
      <c r="C4080" t="n">
        <v/>
      </c>
      <c r="D4080" t="inlineStr">
        <is>
          <t>Media file</t>
        </is>
      </c>
      <c r="E4080" t="inlineStr">
        <is>
          <t>player #1:C:/Users/manuel.felline/Documents/BEHAVIOR BTBR/NOR second cohort/WT/test/c58_m4.mp4</t>
        </is>
      </c>
      <c r="F4080" t="n">
        <v>-14.6</v>
      </c>
      <c r="G4080" t="n">
        <v>573.366</v>
      </c>
      <c r="H4080" t="n">
        <v>627.6660000000001</v>
      </c>
      <c r="I4080" t="n">
        <v>30</v>
      </c>
      <c r="J4080" t="inlineStr">
        <is>
          <t xml:space="preserve"> WT</t>
        </is>
      </c>
      <c r="K4080" t="inlineStr">
        <is>
          <t>Male</t>
        </is>
      </c>
      <c r="L4080" t="inlineStr">
        <is>
          <t>No focal subject</t>
        </is>
      </c>
      <c r="M4080" t="n">
        <v>39.167</v>
      </c>
      <c r="N4080" t="inlineStr">
        <is>
          <t>Explore_N</t>
        </is>
      </c>
      <c r="O4080" t="inlineStr">
        <is>
          <t>Novelty</t>
        </is>
      </c>
      <c r="P4080" t="inlineStr">
        <is>
          <t>STATE</t>
        </is>
      </c>
      <c r="Q4080" t="n">
        <v>69.967</v>
      </c>
      <c r="R4080" t="n">
        <v>70.3</v>
      </c>
      <c r="S4080" t="n">
        <v>0.333</v>
      </c>
      <c r="T4080" t="inlineStr">
        <is>
          <t>C:/Users/manuel.felline/Documents/BEHAVIOR BTBR/NOR second cohort/WT/test/c58_m4.mp4</t>
        </is>
      </c>
      <c r="U4080" t="n">
        <v>2537</v>
      </c>
      <c r="V4080" t="n">
        <v>2547</v>
      </c>
      <c r="W4080" t="n">
        <v/>
      </c>
      <c r="X4080" t="n">
        <v/>
      </c>
      <c r="Y4080" t="n">
        <v/>
      </c>
      <c r="Z4080" t="n">
        <v/>
      </c>
      <c r="AA4080">
        <f>SUMIFS($S$2:S4080,$A$2:A4080,A4080,$N$2:N4080,"Explore*")</f>
        <v/>
      </c>
      <c r="AB4080">
        <f>IF(AND(LEFT(N4080,7)="Explore",(AA4080-IF(LEFT(N4080,7)="Explore",S4080,0))&lt;10),"SI","NO")</f>
        <v/>
      </c>
    </row>
    <row r="4081">
      <c r="A4081" t="inlineStr">
        <is>
          <t>c58m4_test</t>
        </is>
      </c>
      <c r="B4081" t="inlineStr">
        <is>
          <t>2026-07-02 12:05:14.764</t>
        </is>
      </c>
      <c r="C4081" t="n">
        <v/>
      </c>
      <c r="D4081" t="inlineStr">
        <is>
          <t>Media file</t>
        </is>
      </c>
      <c r="E4081" t="inlineStr">
        <is>
          <t>player #1:C:/Users/manuel.felline/Documents/BEHAVIOR BTBR/NOR second cohort/WT/test/c58_m4.mp4</t>
        </is>
      </c>
      <c r="F4081" t="n">
        <v>-14.6</v>
      </c>
      <c r="G4081" t="n">
        <v>573.366</v>
      </c>
      <c r="H4081" t="n">
        <v>627.6660000000001</v>
      </c>
      <c r="I4081" t="n">
        <v>30</v>
      </c>
      <c r="J4081" t="inlineStr">
        <is>
          <t xml:space="preserve"> WT</t>
        </is>
      </c>
      <c r="K4081" t="inlineStr">
        <is>
          <t>Male</t>
        </is>
      </c>
      <c r="L4081" t="inlineStr">
        <is>
          <t>No focal subject</t>
        </is>
      </c>
      <c r="M4081" t="n">
        <v>39.167</v>
      </c>
      <c r="N4081" t="inlineStr">
        <is>
          <t>Explore_N</t>
        </is>
      </c>
      <c r="O4081" t="inlineStr">
        <is>
          <t>Novelty</t>
        </is>
      </c>
      <c r="P4081" t="inlineStr">
        <is>
          <t>STATE</t>
        </is>
      </c>
      <c r="Q4081" t="n">
        <v>74.93300000000001</v>
      </c>
      <c r="R4081" t="n">
        <v>75.167</v>
      </c>
      <c r="S4081" t="n">
        <v>0.234</v>
      </c>
      <c r="T4081" t="inlineStr">
        <is>
          <t>C:/Users/manuel.felline/Documents/BEHAVIOR BTBR/NOR second cohort/WT/test/c58_m4.mp4</t>
        </is>
      </c>
      <c r="U4081" t="n">
        <v>2686</v>
      </c>
      <c r="V4081" t="n">
        <v>2693</v>
      </c>
      <c r="W4081" t="n">
        <v/>
      </c>
      <c r="X4081" t="n">
        <v/>
      </c>
      <c r="Y4081" t="n">
        <v/>
      </c>
      <c r="Z4081" t="n">
        <v/>
      </c>
      <c r="AA4081">
        <f>SUMIFS($S$2:S4081,$A$2:A4081,A4081,$N$2:N4081,"Explore*")</f>
        <v/>
      </c>
      <c r="AB4081">
        <f>IF(AND(LEFT(N4081,7)="Explore",(AA4081-IF(LEFT(N4081,7)="Explore",S4081,0))&lt;10),"SI","NO")</f>
        <v/>
      </c>
    </row>
    <row r="4082">
      <c r="A4082" t="inlineStr">
        <is>
          <t>c58m4_test</t>
        </is>
      </c>
      <c r="B4082" t="inlineStr">
        <is>
          <t>2026-07-02 12:05:14.764</t>
        </is>
      </c>
      <c r="C4082" t="n">
        <v/>
      </c>
      <c r="D4082" t="inlineStr">
        <is>
          <t>Media file</t>
        </is>
      </c>
      <c r="E4082" t="inlineStr">
        <is>
          <t>player #1:C:/Users/manuel.felline/Documents/BEHAVIOR BTBR/NOR second cohort/WT/test/c58_m4.mp4</t>
        </is>
      </c>
      <c r="F4082" t="n">
        <v>-14.6</v>
      </c>
      <c r="G4082" t="n">
        <v>573.366</v>
      </c>
      <c r="H4082" t="n">
        <v>627.6660000000001</v>
      </c>
      <c r="I4082" t="n">
        <v>30</v>
      </c>
      <c r="J4082" t="inlineStr">
        <is>
          <t xml:space="preserve"> WT</t>
        </is>
      </c>
      <c r="K4082" t="inlineStr">
        <is>
          <t>Male</t>
        </is>
      </c>
      <c r="L4082" t="inlineStr">
        <is>
          <t>No focal subject</t>
        </is>
      </c>
      <c r="M4082" t="n">
        <v>39.167</v>
      </c>
      <c r="N4082" t="inlineStr">
        <is>
          <t>Explore_F</t>
        </is>
      </c>
      <c r="O4082" t="inlineStr">
        <is>
          <t>Familiar</t>
        </is>
      </c>
      <c r="P4082" t="inlineStr">
        <is>
          <t>STATE</t>
        </is>
      </c>
      <c r="Q4082" t="n">
        <v>127.667</v>
      </c>
      <c r="R4082" t="n">
        <v>129</v>
      </c>
      <c r="S4082" t="n">
        <v>1.333</v>
      </c>
      <c r="T4082" t="inlineStr">
        <is>
          <t>C:/Users/manuel.felline/Documents/BEHAVIOR BTBR/NOR second cohort/WT/test/c58_m4.mp4</t>
        </is>
      </c>
      <c r="U4082" t="n">
        <v>4268</v>
      </c>
      <c r="V4082" t="n">
        <v>4308</v>
      </c>
      <c r="W4082" t="n">
        <v/>
      </c>
      <c r="X4082" t="n">
        <v/>
      </c>
      <c r="Y4082" t="n">
        <v/>
      </c>
      <c r="Z4082" t="n">
        <v/>
      </c>
      <c r="AA4082">
        <f>SUMIFS($S$2:S4082,$A$2:A4082,A4082,$N$2:N4082,"Explore*")</f>
        <v/>
      </c>
      <c r="AB4082">
        <f>IF(AND(LEFT(N4082,7)="Explore",(AA4082-IF(LEFT(N4082,7)="Explore",S4082,0))&lt;10),"SI","NO")</f>
        <v/>
      </c>
    </row>
    <row r="4083">
      <c r="A4083" t="inlineStr">
        <is>
          <t>c58m4_test</t>
        </is>
      </c>
      <c r="B4083" t="inlineStr">
        <is>
          <t>2026-07-02 12:05:14.764</t>
        </is>
      </c>
      <c r="C4083" t="n">
        <v/>
      </c>
      <c r="D4083" t="inlineStr">
        <is>
          <t>Media file</t>
        </is>
      </c>
      <c r="E4083" t="inlineStr">
        <is>
          <t>player #1:C:/Users/manuel.felline/Documents/BEHAVIOR BTBR/NOR second cohort/WT/test/c58_m4.mp4</t>
        </is>
      </c>
      <c r="F4083" t="n">
        <v>-14.6</v>
      </c>
      <c r="G4083" t="n">
        <v>573.366</v>
      </c>
      <c r="H4083" t="n">
        <v>627.6660000000001</v>
      </c>
      <c r="I4083" t="n">
        <v>30</v>
      </c>
      <c r="J4083" t="inlineStr">
        <is>
          <t xml:space="preserve"> WT</t>
        </is>
      </c>
      <c r="K4083" t="inlineStr">
        <is>
          <t>Male</t>
        </is>
      </c>
      <c r="L4083" t="inlineStr">
        <is>
          <t>No focal subject</t>
        </is>
      </c>
      <c r="M4083" t="n">
        <v>39.167</v>
      </c>
      <c r="N4083" t="inlineStr">
        <is>
          <t>Explore_F</t>
        </is>
      </c>
      <c r="O4083" t="inlineStr">
        <is>
          <t>Familiar</t>
        </is>
      </c>
      <c r="P4083" t="inlineStr">
        <is>
          <t>STATE</t>
        </is>
      </c>
      <c r="Q4083" t="n">
        <v>132.067</v>
      </c>
      <c r="R4083" t="n">
        <v>133.3</v>
      </c>
      <c r="S4083" t="n">
        <v>1.233</v>
      </c>
      <c r="T4083" t="inlineStr">
        <is>
          <t>C:/Users/manuel.felline/Documents/BEHAVIOR BTBR/NOR second cohort/WT/test/c58_m4.mp4</t>
        </is>
      </c>
      <c r="U4083" t="n">
        <v>4400</v>
      </c>
      <c r="V4083" t="n">
        <v>4437</v>
      </c>
      <c r="W4083" t="n">
        <v/>
      </c>
      <c r="X4083" t="n">
        <v/>
      </c>
      <c r="Y4083" t="n">
        <v/>
      </c>
      <c r="Z4083" t="n">
        <v/>
      </c>
      <c r="AA4083">
        <f>SUMIFS($S$2:S4083,$A$2:A4083,A4083,$N$2:N4083,"Explore*")</f>
        <v/>
      </c>
      <c r="AB4083">
        <f>IF(AND(LEFT(N4083,7)="Explore",(AA4083-IF(LEFT(N4083,7)="Explore",S4083,0))&lt;10),"SI","NO")</f>
        <v/>
      </c>
    </row>
    <row r="4084">
      <c r="A4084" t="inlineStr">
        <is>
          <t>c58m4_test</t>
        </is>
      </c>
      <c r="B4084" t="inlineStr">
        <is>
          <t>2026-07-02 12:05:14.764</t>
        </is>
      </c>
      <c r="C4084" t="n">
        <v/>
      </c>
      <c r="D4084" t="inlineStr">
        <is>
          <t>Media file</t>
        </is>
      </c>
      <c r="E4084" t="inlineStr">
        <is>
          <t>player #1:C:/Users/manuel.felline/Documents/BEHAVIOR BTBR/NOR second cohort/WT/test/c58_m4.mp4</t>
        </is>
      </c>
      <c r="F4084" t="n">
        <v>-14.6</v>
      </c>
      <c r="G4084" t="n">
        <v>573.366</v>
      </c>
      <c r="H4084" t="n">
        <v>627.6660000000001</v>
      </c>
      <c r="I4084" t="n">
        <v>30</v>
      </c>
      <c r="J4084" t="inlineStr">
        <is>
          <t xml:space="preserve"> WT</t>
        </is>
      </c>
      <c r="K4084" t="inlineStr">
        <is>
          <t>Male</t>
        </is>
      </c>
      <c r="L4084" t="inlineStr">
        <is>
          <t>No focal subject</t>
        </is>
      </c>
      <c r="M4084" t="n">
        <v>39.167</v>
      </c>
      <c r="N4084" t="inlineStr">
        <is>
          <t>Explore_F</t>
        </is>
      </c>
      <c r="O4084" t="inlineStr">
        <is>
          <t>Familiar</t>
        </is>
      </c>
      <c r="P4084" t="inlineStr">
        <is>
          <t>STATE</t>
        </is>
      </c>
      <c r="Q4084" t="n">
        <v>135.233</v>
      </c>
      <c r="R4084" t="n">
        <v>137</v>
      </c>
      <c r="S4084" t="n">
        <v>1.767</v>
      </c>
      <c r="T4084" t="inlineStr">
        <is>
          <t>C:/Users/manuel.felline/Documents/BEHAVIOR BTBR/NOR second cohort/WT/test/c58_m4.mp4</t>
        </is>
      </c>
      <c r="U4084" t="n">
        <v>4495</v>
      </c>
      <c r="V4084" t="n">
        <v>4548</v>
      </c>
      <c r="W4084" t="n">
        <v/>
      </c>
      <c r="X4084" t="n">
        <v/>
      </c>
      <c r="Y4084" t="n">
        <v/>
      </c>
      <c r="Z4084" t="n">
        <v/>
      </c>
      <c r="AA4084">
        <f>SUMIFS($S$2:S4084,$A$2:A4084,A4084,$N$2:N4084,"Explore*")</f>
        <v/>
      </c>
      <c r="AB4084">
        <f>IF(AND(LEFT(N4084,7)="Explore",(AA4084-IF(LEFT(N4084,7)="Explore",S4084,0))&lt;10),"SI","NO")</f>
        <v/>
      </c>
    </row>
    <row r="4085">
      <c r="A4085" t="inlineStr">
        <is>
          <t>c58m4_test</t>
        </is>
      </c>
      <c r="B4085" t="inlineStr">
        <is>
          <t>2026-07-02 12:05:14.764</t>
        </is>
      </c>
      <c r="C4085" t="n">
        <v/>
      </c>
      <c r="D4085" t="inlineStr">
        <is>
          <t>Media file</t>
        </is>
      </c>
      <c r="E4085" t="inlineStr">
        <is>
          <t>player #1:C:/Users/manuel.felline/Documents/BEHAVIOR BTBR/NOR second cohort/WT/test/c58_m4.mp4</t>
        </is>
      </c>
      <c r="F4085" t="n">
        <v>-14.6</v>
      </c>
      <c r="G4085" t="n">
        <v>573.366</v>
      </c>
      <c r="H4085" t="n">
        <v>627.6660000000001</v>
      </c>
      <c r="I4085" t="n">
        <v>30</v>
      </c>
      <c r="J4085" t="inlineStr">
        <is>
          <t xml:space="preserve"> WT</t>
        </is>
      </c>
      <c r="K4085" t="inlineStr">
        <is>
          <t>Male</t>
        </is>
      </c>
      <c r="L4085" t="inlineStr">
        <is>
          <t>No focal subject</t>
        </is>
      </c>
      <c r="M4085" t="n">
        <v>39.167</v>
      </c>
      <c r="N4085" t="inlineStr">
        <is>
          <t>Explore_F</t>
        </is>
      </c>
      <c r="O4085" t="inlineStr">
        <is>
          <t>Familiar</t>
        </is>
      </c>
      <c r="P4085" t="inlineStr">
        <is>
          <t>STATE</t>
        </is>
      </c>
      <c r="Q4085" t="n">
        <v>147.267</v>
      </c>
      <c r="R4085" t="n">
        <v>148.266</v>
      </c>
      <c r="S4085" t="n">
        <v>0.999</v>
      </c>
      <c r="T4085" t="inlineStr">
        <is>
          <t>C:/Users/manuel.felline/Documents/BEHAVIOR BTBR/NOR second cohort/WT/test/c58_m4.mp4</t>
        </is>
      </c>
      <c r="U4085" t="n">
        <v>4856</v>
      </c>
      <c r="V4085" t="n">
        <v>4886</v>
      </c>
      <c r="W4085" t="n">
        <v/>
      </c>
      <c r="X4085" t="n">
        <v/>
      </c>
      <c r="Y4085" t="n">
        <v/>
      </c>
      <c r="Z4085" t="n">
        <v/>
      </c>
      <c r="AA4085">
        <f>SUMIFS($S$2:S4085,$A$2:A4085,A4085,$N$2:N4085,"Explore*")</f>
        <v/>
      </c>
      <c r="AB4085">
        <f>IF(AND(LEFT(N4085,7)="Explore",(AA4085-IF(LEFT(N4085,7)="Explore",S4085,0))&lt;10),"SI","NO")</f>
        <v/>
      </c>
    </row>
    <row r="4086">
      <c r="A4086" t="inlineStr">
        <is>
          <t>c58m4_test</t>
        </is>
      </c>
      <c r="B4086" t="inlineStr">
        <is>
          <t>2026-07-02 12:05:14.764</t>
        </is>
      </c>
      <c r="C4086" t="n">
        <v/>
      </c>
      <c r="D4086" t="inlineStr">
        <is>
          <t>Media file</t>
        </is>
      </c>
      <c r="E4086" t="inlineStr">
        <is>
          <t>player #1:C:/Users/manuel.felline/Documents/BEHAVIOR BTBR/NOR second cohort/WT/test/c58_m4.mp4</t>
        </is>
      </c>
      <c r="F4086" t="n">
        <v>-14.6</v>
      </c>
      <c r="G4086" t="n">
        <v>573.366</v>
      </c>
      <c r="H4086" t="n">
        <v>627.6660000000001</v>
      </c>
      <c r="I4086" t="n">
        <v>30</v>
      </c>
      <c r="J4086" t="inlineStr">
        <is>
          <t xml:space="preserve"> WT</t>
        </is>
      </c>
      <c r="K4086" t="inlineStr">
        <is>
          <t>Male</t>
        </is>
      </c>
      <c r="L4086" t="inlineStr">
        <is>
          <t>No focal subject</t>
        </is>
      </c>
      <c r="M4086" t="n">
        <v>39.167</v>
      </c>
      <c r="N4086" t="inlineStr">
        <is>
          <t>Explore_F</t>
        </is>
      </c>
      <c r="O4086" t="inlineStr">
        <is>
          <t>Familiar</t>
        </is>
      </c>
      <c r="P4086" t="inlineStr">
        <is>
          <t>STATE</t>
        </is>
      </c>
      <c r="Q4086" t="n">
        <v>168.133</v>
      </c>
      <c r="R4086" t="n">
        <v>169.533</v>
      </c>
      <c r="S4086" t="n">
        <v>1.4</v>
      </c>
      <c r="T4086" t="inlineStr">
        <is>
          <t>C:/Users/manuel.felline/Documents/BEHAVIOR BTBR/NOR second cohort/WT/test/c58_m4.mp4</t>
        </is>
      </c>
      <c r="U4086" t="n">
        <v>5482</v>
      </c>
      <c r="V4086" t="n">
        <v>5524</v>
      </c>
      <c r="W4086" t="n">
        <v/>
      </c>
      <c r="X4086" t="n">
        <v/>
      </c>
      <c r="Y4086" t="n">
        <v/>
      </c>
      <c r="Z4086" t="n">
        <v/>
      </c>
      <c r="AA4086">
        <f>SUMIFS($S$2:S4086,$A$2:A4086,A4086,$N$2:N4086,"Explore*")</f>
        <v/>
      </c>
      <c r="AB4086">
        <f>IF(AND(LEFT(N4086,7)="Explore",(AA4086-IF(LEFT(N4086,7)="Explore",S4086,0))&lt;10),"SI","NO")</f>
        <v/>
      </c>
    </row>
    <row r="4087">
      <c r="A4087" t="inlineStr">
        <is>
          <t>c58m4_test</t>
        </is>
      </c>
      <c r="B4087" t="inlineStr">
        <is>
          <t>2026-07-02 12:05:14.764</t>
        </is>
      </c>
      <c r="C4087" t="n">
        <v/>
      </c>
      <c r="D4087" t="inlineStr">
        <is>
          <t>Media file</t>
        </is>
      </c>
      <c r="E4087" t="inlineStr">
        <is>
          <t>player #1:C:/Users/manuel.felline/Documents/BEHAVIOR BTBR/NOR second cohort/WT/test/c58_m4.mp4</t>
        </is>
      </c>
      <c r="F4087" t="n">
        <v>-14.6</v>
      </c>
      <c r="G4087" t="n">
        <v>573.366</v>
      </c>
      <c r="H4087" t="n">
        <v>627.6660000000001</v>
      </c>
      <c r="I4087" t="n">
        <v>30</v>
      </c>
      <c r="J4087" t="inlineStr">
        <is>
          <t xml:space="preserve"> WT</t>
        </is>
      </c>
      <c r="K4087" t="inlineStr">
        <is>
          <t>Male</t>
        </is>
      </c>
      <c r="L4087" t="inlineStr">
        <is>
          <t>No focal subject</t>
        </is>
      </c>
      <c r="M4087" t="n">
        <v>39.167</v>
      </c>
      <c r="N4087" t="inlineStr">
        <is>
          <t>Explore_N</t>
        </is>
      </c>
      <c r="O4087" t="inlineStr">
        <is>
          <t>Novelty</t>
        </is>
      </c>
      <c r="P4087" t="inlineStr">
        <is>
          <t>STATE</t>
        </is>
      </c>
      <c r="Q4087" t="n">
        <v>173.933</v>
      </c>
      <c r="R4087" t="n">
        <v>174.733</v>
      </c>
      <c r="S4087" t="n">
        <v>0.8</v>
      </c>
      <c r="T4087" t="inlineStr">
        <is>
          <t>C:/Users/manuel.felline/Documents/BEHAVIOR BTBR/NOR second cohort/WT/test/c58_m4.mp4</t>
        </is>
      </c>
      <c r="U4087" t="n">
        <v>5656</v>
      </c>
      <c r="V4087" t="n">
        <v>5680</v>
      </c>
      <c r="W4087" t="n">
        <v/>
      </c>
      <c r="X4087" t="n">
        <v/>
      </c>
      <c r="Y4087" t="n">
        <v/>
      </c>
      <c r="Z4087" t="n">
        <v/>
      </c>
      <c r="AA4087">
        <f>SUMIFS($S$2:S4087,$A$2:A4087,A4087,$N$2:N4087,"Explore*")</f>
        <v/>
      </c>
      <c r="AB4087">
        <f>IF(AND(LEFT(N4087,7)="Explore",(AA4087-IF(LEFT(N4087,7)="Explore",S4087,0))&lt;10),"SI","NO")</f>
        <v/>
      </c>
    </row>
    <row r="4088">
      <c r="A4088" t="inlineStr">
        <is>
          <t>c58m4_test</t>
        </is>
      </c>
      <c r="B4088" t="inlineStr">
        <is>
          <t>2026-07-02 12:05:14.764</t>
        </is>
      </c>
      <c r="C4088" t="n">
        <v/>
      </c>
      <c r="D4088" t="inlineStr">
        <is>
          <t>Media file</t>
        </is>
      </c>
      <c r="E4088" t="inlineStr">
        <is>
          <t>player #1:C:/Users/manuel.felline/Documents/BEHAVIOR BTBR/NOR second cohort/WT/test/c58_m4.mp4</t>
        </is>
      </c>
      <c r="F4088" t="n">
        <v>-14.6</v>
      </c>
      <c r="G4088" t="n">
        <v>573.366</v>
      </c>
      <c r="H4088" t="n">
        <v>627.6660000000001</v>
      </c>
      <c r="I4088" t="n">
        <v>30</v>
      </c>
      <c r="J4088" t="inlineStr">
        <is>
          <t xml:space="preserve"> WT</t>
        </is>
      </c>
      <c r="K4088" t="inlineStr">
        <is>
          <t>Male</t>
        </is>
      </c>
      <c r="L4088" t="inlineStr">
        <is>
          <t>No focal subject</t>
        </is>
      </c>
      <c r="M4088" t="n">
        <v>39.167</v>
      </c>
      <c r="N4088" t="inlineStr">
        <is>
          <t>Explore_F</t>
        </is>
      </c>
      <c r="O4088" t="inlineStr">
        <is>
          <t>Familiar</t>
        </is>
      </c>
      <c r="P4088" t="inlineStr">
        <is>
          <t>STATE</t>
        </is>
      </c>
      <c r="Q4088" t="n">
        <v>182.7</v>
      </c>
      <c r="R4088" t="n">
        <v>183.433</v>
      </c>
      <c r="S4088" t="n">
        <v>0.733</v>
      </c>
      <c r="T4088" t="inlineStr">
        <is>
          <t>C:/Users/manuel.felline/Documents/BEHAVIOR BTBR/NOR second cohort/WT/test/c58_m4.mp4</t>
        </is>
      </c>
      <c r="U4088" t="n">
        <v>5919</v>
      </c>
      <c r="V4088" t="n">
        <v>5941</v>
      </c>
      <c r="W4088" t="n">
        <v/>
      </c>
      <c r="X4088" t="n">
        <v/>
      </c>
      <c r="Y4088" t="n">
        <v/>
      </c>
      <c r="Z4088" t="n">
        <v/>
      </c>
      <c r="AA4088">
        <f>SUMIFS($S$2:S4088,$A$2:A4088,A4088,$N$2:N4088,"Explore*")</f>
        <v/>
      </c>
      <c r="AB4088">
        <f>IF(AND(LEFT(N4088,7)="Explore",(AA4088-IF(LEFT(N4088,7)="Explore",S4088,0))&lt;10),"SI","NO")</f>
        <v/>
      </c>
    </row>
    <row r="4089">
      <c r="A4089" t="inlineStr">
        <is>
          <t>c58m4_test</t>
        </is>
      </c>
      <c r="B4089" t="inlineStr">
        <is>
          <t>2026-07-02 12:05:14.764</t>
        </is>
      </c>
      <c r="C4089" t="n">
        <v/>
      </c>
      <c r="D4089" t="inlineStr">
        <is>
          <t>Media file</t>
        </is>
      </c>
      <c r="E4089" t="inlineStr">
        <is>
          <t>player #1:C:/Users/manuel.felline/Documents/BEHAVIOR BTBR/NOR second cohort/WT/test/c58_m4.mp4</t>
        </is>
      </c>
      <c r="F4089" t="n">
        <v>-14.6</v>
      </c>
      <c r="G4089" t="n">
        <v>573.366</v>
      </c>
      <c r="H4089" t="n">
        <v>627.6660000000001</v>
      </c>
      <c r="I4089" t="n">
        <v>30</v>
      </c>
      <c r="J4089" t="inlineStr">
        <is>
          <t xml:space="preserve"> WT</t>
        </is>
      </c>
      <c r="K4089" t="inlineStr">
        <is>
          <t>Male</t>
        </is>
      </c>
      <c r="L4089" t="inlineStr">
        <is>
          <t>No focal subject</t>
        </is>
      </c>
      <c r="M4089" t="n">
        <v>39.167</v>
      </c>
      <c r="N4089" t="inlineStr">
        <is>
          <t>Explore_N</t>
        </is>
      </c>
      <c r="O4089" t="inlineStr">
        <is>
          <t>Novelty</t>
        </is>
      </c>
      <c r="P4089" t="inlineStr">
        <is>
          <t>STATE</t>
        </is>
      </c>
      <c r="Q4089" t="n">
        <v>267.966</v>
      </c>
      <c r="R4089" t="n">
        <v>269.133</v>
      </c>
      <c r="S4089" t="n">
        <v>1.167</v>
      </c>
      <c r="T4089" t="inlineStr">
        <is>
          <t>C:/Users/manuel.felline/Documents/BEHAVIOR BTBR/NOR second cohort/WT/test/c58_m4.mp4</t>
        </is>
      </c>
      <c r="U4089" t="n">
        <v>8477</v>
      </c>
      <c r="V4089" t="n">
        <v>8512</v>
      </c>
      <c r="W4089" t="n">
        <v/>
      </c>
      <c r="X4089" t="n">
        <v/>
      </c>
      <c r="Y4089" t="n">
        <v/>
      </c>
      <c r="Z4089" t="n">
        <v/>
      </c>
      <c r="AA4089">
        <f>SUMIFS($S$2:S4089,$A$2:A4089,A4089,$N$2:N4089,"Explore*")</f>
        <v/>
      </c>
      <c r="AB4089">
        <f>IF(AND(LEFT(N4089,7)="Explore",(AA4089-IF(LEFT(N4089,7)="Explore",S4089,0))&lt;10),"SI","NO")</f>
        <v/>
      </c>
    </row>
    <row r="4090">
      <c r="A4090" t="inlineStr">
        <is>
          <t>c58m4_test</t>
        </is>
      </c>
      <c r="B4090" t="inlineStr">
        <is>
          <t>2026-07-02 12:05:14.764</t>
        </is>
      </c>
      <c r="C4090" t="n">
        <v/>
      </c>
      <c r="D4090" t="inlineStr">
        <is>
          <t>Media file</t>
        </is>
      </c>
      <c r="E4090" t="inlineStr">
        <is>
          <t>player #1:C:/Users/manuel.felline/Documents/BEHAVIOR BTBR/NOR second cohort/WT/test/c58_m4.mp4</t>
        </is>
      </c>
      <c r="F4090" t="n">
        <v>-14.6</v>
      </c>
      <c r="G4090" t="n">
        <v>573.366</v>
      </c>
      <c r="H4090" t="n">
        <v>627.6660000000001</v>
      </c>
      <c r="I4090" t="n">
        <v>30</v>
      </c>
      <c r="J4090" t="inlineStr">
        <is>
          <t xml:space="preserve"> WT</t>
        </is>
      </c>
      <c r="K4090" t="inlineStr">
        <is>
          <t>Male</t>
        </is>
      </c>
      <c r="L4090" t="inlineStr">
        <is>
          <t>No focal subject</t>
        </is>
      </c>
      <c r="M4090" t="n">
        <v>39.167</v>
      </c>
      <c r="N4090" t="inlineStr">
        <is>
          <t>Explore_F</t>
        </is>
      </c>
      <c r="O4090" t="inlineStr">
        <is>
          <t>Familiar</t>
        </is>
      </c>
      <c r="P4090" t="inlineStr">
        <is>
          <t>STATE</t>
        </is>
      </c>
      <c r="Q4090" t="n">
        <v>293.433</v>
      </c>
      <c r="R4090" t="n">
        <v>294.633</v>
      </c>
      <c r="S4090" t="n">
        <v>1.2</v>
      </c>
      <c r="T4090" t="inlineStr">
        <is>
          <t>C:/Users/manuel.felline/Documents/BEHAVIOR BTBR/NOR second cohort/WT/test/c58_m4.mp4</t>
        </is>
      </c>
      <c r="U4090" t="n">
        <v>9241</v>
      </c>
      <c r="V4090" t="n">
        <v>9277</v>
      </c>
      <c r="W4090" t="n">
        <v/>
      </c>
      <c r="X4090" t="n">
        <v/>
      </c>
      <c r="Y4090" t="n">
        <v/>
      </c>
      <c r="Z4090" t="n">
        <v/>
      </c>
      <c r="AA4090">
        <f>SUMIFS($S$2:S4090,$A$2:A4090,A4090,$N$2:N4090,"Explore*")</f>
        <v/>
      </c>
      <c r="AB4090">
        <f>IF(AND(LEFT(N4090,7)="Explore",(AA4090-IF(LEFT(N4090,7)="Explore",S4090,0))&lt;10),"SI","NO")</f>
        <v/>
      </c>
    </row>
    <row r="4091">
      <c r="A4091" t="inlineStr">
        <is>
          <t>c58m4_test</t>
        </is>
      </c>
      <c r="B4091" t="inlineStr">
        <is>
          <t>2026-07-02 12:05:14.764</t>
        </is>
      </c>
      <c r="C4091" t="n">
        <v/>
      </c>
      <c r="D4091" t="inlineStr">
        <is>
          <t>Media file</t>
        </is>
      </c>
      <c r="E4091" t="inlineStr">
        <is>
          <t>player #1:C:/Users/manuel.felline/Documents/BEHAVIOR BTBR/NOR second cohort/WT/test/c58_m4.mp4</t>
        </is>
      </c>
      <c r="F4091" t="n">
        <v>-14.6</v>
      </c>
      <c r="G4091" t="n">
        <v>573.366</v>
      </c>
      <c r="H4091" t="n">
        <v>627.6660000000001</v>
      </c>
      <c r="I4091" t="n">
        <v>30</v>
      </c>
      <c r="J4091" t="inlineStr">
        <is>
          <t xml:space="preserve"> WT</t>
        </is>
      </c>
      <c r="K4091" t="inlineStr">
        <is>
          <t>Male</t>
        </is>
      </c>
      <c r="L4091" t="inlineStr">
        <is>
          <t>No focal subject</t>
        </is>
      </c>
      <c r="M4091" t="n">
        <v>39.167</v>
      </c>
      <c r="N4091" t="inlineStr">
        <is>
          <t>Explore_N</t>
        </is>
      </c>
      <c r="O4091" t="inlineStr">
        <is>
          <t>Novelty</t>
        </is>
      </c>
      <c r="P4091" t="inlineStr">
        <is>
          <t>STATE</t>
        </is>
      </c>
      <c r="Q4091" t="n">
        <v>297.033</v>
      </c>
      <c r="R4091" t="n">
        <v>298.233</v>
      </c>
      <c r="S4091" t="n">
        <v>1.2</v>
      </c>
      <c r="T4091" t="inlineStr">
        <is>
          <t>C:/Users/manuel.felline/Documents/BEHAVIOR BTBR/NOR second cohort/WT/test/c58_m4.mp4</t>
        </is>
      </c>
      <c r="U4091" t="n">
        <v>9349</v>
      </c>
      <c r="V4091" t="n">
        <v>9385</v>
      </c>
      <c r="W4091" t="n">
        <v/>
      </c>
      <c r="X4091" t="n">
        <v/>
      </c>
      <c r="Y4091" t="n">
        <v/>
      </c>
      <c r="Z4091" t="n">
        <v/>
      </c>
      <c r="AA4091">
        <f>SUMIFS($S$2:S4091,$A$2:A4091,A4091,$N$2:N4091,"Explore*")</f>
        <v/>
      </c>
      <c r="AB4091">
        <f>IF(AND(LEFT(N4091,7)="Explore",(AA4091-IF(LEFT(N4091,7)="Explore",S4091,0))&lt;10),"SI","NO")</f>
        <v/>
      </c>
    </row>
    <row r="4092">
      <c r="A4092" t="inlineStr">
        <is>
          <t>c58m4_test</t>
        </is>
      </c>
      <c r="B4092" t="inlineStr">
        <is>
          <t>2026-07-02 12:05:14.764</t>
        </is>
      </c>
      <c r="C4092" t="n">
        <v/>
      </c>
      <c r="D4092" t="inlineStr">
        <is>
          <t>Media file</t>
        </is>
      </c>
      <c r="E4092" t="inlineStr">
        <is>
          <t>player #1:C:/Users/manuel.felline/Documents/BEHAVIOR BTBR/NOR second cohort/WT/test/c58_m4.mp4</t>
        </is>
      </c>
      <c r="F4092" t="n">
        <v>-14.6</v>
      </c>
      <c r="G4092" t="n">
        <v>573.366</v>
      </c>
      <c r="H4092" t="n">
        <v>627.6660000000001</v>
      </c>
      <c r="I4092" t="n">
        <v>30</v>
      </c>
      <c r="J4092" t="inlineStr">
        <is>
          <t xml:space="preserve"> WT</t>
        </is>
      </c>
      <c r="K4092" t="inlineStr">
        <is>
          <t>Male</t>
        </is>
      </c>
      <c r="L4092" t="inlineStr">
        <is>
          <t>No focal subject</t>
        </is>
      </c>
      <c r="M4092" t="n">
        <v>39.167</v>
      </c>
      <c r="N4092" t="inlineStr">
        <is>
          <t>Explore_N</t>
        </is>
      </c>
      <c r="O4092" t="inlineStr">
        <is>
          <t>Novelty</t>
        </is>
      </c>
      <c r="P4092" t="inlineStr">
        <is>
          <t>STATE</t>
        </is>
      </c>
      <c r="Q4092" t="n">
        <v>300.633</v>
      </c>
      <c r="R4092" t="n">
        <v>301.133</v>
      </c>
      <c r="S4092" t="n">
        <v>0.5</v>
      </c>
      <c r="T4092" t="inlineStr">
        <is>
          <t>C:/Users/manuel.felline/Documents/BEHAVIOR BTBR/NOR second cohort/WT/test/c58_m4.mp4</t>
        </is>
      </c>
      <c r="U4092" t="n">
        <v>9457</v>
      </c>
      <c r="V4092" t="n">
        <v>9472</v>
      </c>
      <c r="W4092" t="n">
        <v/>
      </c>
      <c r="X4092" t="n">
        <v/>
      </c>
      <c r="Y4092" t="n">
        <v/>
      </c>
      <c r="Z4092" t="n">
        <v/>
      </c>
      <c r="AA4092">
        <f>SUMIFS($S$2:S4092,$A$2:A4092,A4092,$N$2:N4092,"Explore*")</f>
        <v/>
      </c>
      <c r="AB4092">
        <f>IF(AND(LEFT(N4092,7)="Explore",(AA4092-IF(LEFT(N4092,7)="Explore",S4092,0))&lt;10),"SI","NO")</f>
        <v/>
      </c>
    </row>
    <row r="4093">
      <c r="A4093" t="inlineStr">
        <is>
          <t>c58m4_test</t>
        </is>
      </c>
      <c r="B4093" t="inlineStr">
        <is>
          <t>2026-07-02 12:05:14.764</t>
        </is>
      </c>
      <c r="C4093" t="n">
        <v/>
      </c>
      <c r="D4093" t="inlineStr">
        <is>
          <t>Media file</t>
        </is>
      </c>
      <c r="E4093" t="inlineStr">
        <is>
          <t>player #1:C:/Users/manuel.felline/Documents/BEHAVIOR BTBR/NOR second cohort/WT/test/c58_m4.mp4</t>
        </is>
      </c>
      <c r="F4093" t="n">
        <v>-14.6</v>
      </c>
      <c r="G4093" t="n">
        <v>573.366</v>
      </c>
      <c r="H4093" t="n">
        <v>627.6660000000001</v>
      </c>
      <c r="I4093" t="n">
        <v>30</v>
      </c>
      <c r="J4093" t="inlineStr">
        <is>
          <t xml:space="preserve"> WT</t>
        </is>
      </c>
      <c r="K4093" t="inlineStr">
        <is>
          <t>Male</t>
        </is>
      </c>
      <c r="L4093" t="inlineStr">
        <is>
          <t>No focal subject</t>
        </is>
      </c>
      <c r="M4093" t="n">
        <v>39.167</v>
      </c>
      <c r="N4093" t="inlineStr">
        <is>
          <t>Explore_N</t>
        </is>
      </c>
      <c r="O4093" t="inlineStr">
        <is>
          <t>Novelty</t>
        </is>
      </c>
      <c r="P4093" t="inlineStr">
        <is>
          <t>STATE</t>
        </is>
      </c>
      <c r="Q4093" t="n">
        <v>304.333</v>
      </c>
      <c r="R4093" t="n">
        <v>304.7</v>
      </c>
      <c r="S4093" t="n">
        <v>0.367</v>
      </c>
      <c r="T4093" t="inlineStr">
        <is>
          <t>C:/Users/manuel.felline/Documents/BEHAVIOR BTBR/NOR second cohort/WT/test/c58_m4.mp4</t>
        </is>
      </c>
      <c r="U4093" t="n">
        <v>9568</v>
      </c>
      <c r="V4093" t="n">
        <v>9579</v>
      </c>
      <c r="W4093" t="n">
        <v/>
      </c>
      <c r="X4093" t="n">
        <v/>
      </c>
      <c r="Y4093" t="n">
        <v/>
      </c>
      <c r="Z4093" t="n">
        <v/>
      </c>
      <c r="AA4093">
        <f>SUMIFS($S$2:S4093,$A$2:A4093,A4093,$N$2:N4093,"Explore*")</f>
        <v/>
      </c>
      <c r="AB4093">
        <f>IF(AND(LEFT(N4093,7)="Explore",(AA4093-IF(LEFT(N4093,7)="Explore",S4093,0))&lt;10),"SI","NO")</f>
        <v/>
      </c>
    </row>
    <row r="4094">
      <c r="A4094" t="inlineStr">
        <is>
          <t>c58m4_test</t>
        </is>
      </c>
      <c r="B4094" t="inlineStr">
        <is>
          <t>2026-07-02 12:05:14.764</t>
        </is>
      </c>
      <c r="C4094" t="n">
        <v/>
      </c>
      <c r="D4094" t="inlineStr">
        <is>
          <t>Media file</t>
        </is>
      </c>
      <c r="E4094" t="inlineStr">
        <is>
          <t>player #1:C:/Users/manuel.felline/Documents/BEHAVIOR BTBR/NOR second cohort/WT/test/c58_m4.mp4</t>
        </is>
      </c>
      <c r="F4094" t="n">
        <v>-14.6</v>
      </c>
      <c r="G4094" t="n">
        <v>573.366</v>
      </c>
      <c r="H4094" t="n">
        <v>627.6660000000001</v>
      </c>
      <c r="I4094" t="n">
        <v>30</v>
      </c>
      <c r="J4094" t="inlineStr">
        <is>
          <t xml:space="preserve"> WT</t>
        </is>
      </c>
      <c r="K4094" t="inlineStr">
        <is>
          <t>Male</t>
        </is>
      </c>
      <c r="L4094" t="inlineStr">
        <is>
          <t>No focal subject</t>
        </is>
      </c>
      <c r="M4094" t="n">
        <v>39.167</v>
      </c>
      <c r="N4094" t="inlineStr">
        <is>
          <t>Explore_N</t>
        </is>
      </c>
      <c r="O4094" t="inlineStr">
        <is>
          <t>Novelty</t>
        </is>
      </c>
      <c r="P4094" t="inlineStr">
        <is>
          <t>STATE</t>
        </is>
      </c>
      <c r="Q4094" t="n">
        <v>315.2</v>
      </c>
      <c r="R4094" t="n">
        <v>315.766</v>
      </c>
      <c r="S4094" t="n">
        <v>0.5659999999999999</v>
      </c>
      <c r="T4094" t="inlineStr">
        <is>
          <t>C:/Users/manuel.felline/Documents/BEHAVIOR BTBR/NOR second cohort/WT/test/c58_m4.mp4</t>
        </is>
      </c>
      <c r="U4094" t="n">
        <v>9894</v>
      </c>
      <c r="V4094" t="n">
        <v>9911</v>
      </c>
      <c r="W4094" t="n">
        <v/>
      </c>
      <c r="X4094" t="n">
        <v/>
      </c>
      <c r="Y4094" t="n">
        <v/>
      </c>
      <c r="Z4094" t="n">
        <v/>
      </c>
      <c r="AA4094">
        <f>SUMIFS($S$2:S4094,$A$2:A4094,A4094,$N$2:N4094,"Explore*")</f>
        <v/>
      </c>
      <c r="AB4094">
        <f>IF(AND(LEFT(N4094,7)="Explore",(AA4094-IF(LEFT(N4094,7)="Explore",S4094,0))&lt;10),"SI","NO")</f>
        <v/>
      </c>
    </row>
    <row r="4095">
      <c r="A4095" t="inlineStr">
        <is>
          <t>c58m4_test</t>
        </is>
      </c>
      <c r="B4095" t="inlineStr">
        <is>
          <t>2026-07-02 12:05:14.764</t>
        </is>
      </c>
      <c r="C4095" t="n">
        <v/>
      </c>
      <c r="D4095" t="inlineStr">
        <is>
          <t>Media file</t>
        </is>
      </c>
      <c r="E4095" t="inlineStr">
        <is>
          <t>player #1:C:/Users/manuel.felline/Documents/BEHAVIOR BTBR/NOR second cohort/WT/test/c58_m4.mp4</t>
        </is>
      </c>
      <c r="F4095" t="n">
        <v>-14.6</v>
      </c>
      <c r="G4095" t="n">
        <v>573.366</v>
      </c>
      <c r="H4095" t="n">
        <v>627.6660000000001</v>
      </c>
      <c r="I4095" t="n">
        <v>30</v>
      </c>
      <c r="J4095" t="inlineStr">
        <is>
          <t xml:space="preserve"> WT</t>
        </is>
      </c>
      <c r="K4095" t="inlineStr">
        <is>
          <t>Male</t>
        </is>
      </c>
      <c r="L4095" t="inlineStr">
        <is>
          <t>No focal subject</t>
        </is>
      </c>
      <c r="M4095" t="n">
        <v>39.167</v>
      </c>
      <c r="N4095" t="inlineStr">
        <is>
          <t>Explore_N</t>
        </is>
      </c>
      <c r="O4095" t="inlineStr">
        <is>
          <t>Novelty</t>
        </is>
      </c>
      <c r="P4095" t="inlineStr">
        <is>
          <t>STATE</t>
        </is>
      </c>
      <c r="Q4095" t="n">
        <v>331.766</v>
      </c>
      <c r="R4095" t="n">
        <v>332.5</v>
      </c>
      <c r="S4095" t="n">
        <v>0.734</v>
      </c>
      <c r="T4095" t="inlineStr">
        <is>
          <t>C:/Users/manuel.felline/Documents/BEHAVIOR BTBR/NOR second cohort/WT/test/c58_m4.mp4</t>
        </is>
      </c>
      <c r="U4095" t="n">
        <v>10391</v>
      </c>
      <c r="V4095" t="n">
        <v>10413</v>
      </c>
      <c r="W4095" t="n">
        <v/>
      </c>
      <c r="X4095" t="n">
        <v/>
      </c>
      <c r="Y4095" t="n">
        <v/>
      </c>
      <c r="Z4095" t="n">
        <v/>
      </c>
      <c r="AA4095">
        <f>SUMIFS($S$2:S4095,$A$2:A4095,A4095,$N$2:N4095,"Explore*")</f>
        <v/>
      </c>
      <c r="AB4095">
        <f>IF(AND(LEFT(N4095,7)="Explore",(AA4095-IF(LEFT(N4095,7)="Explore",S4095,0))&lt;10),"SI","NO")</f>
        <v/>
      </c>
    </row>
    <row r="4096">
      <c r="A4096" t="inlineStr">
        <is>
          <t>c58m4_test</t>
        </is>
      </c>
      <c r="B4096" t="inlineStr">
        <is>
          <t>2026-07-02 12:05:14.764</t>
        </is>
      </c>
      <c r="C4096" t="n">
        <v/>
      </c>
      <c r="D4096" t="inlineStr">
        <is>
          <t>Media file</t>
        </is>
      </c>
      <c r="E4096" t="inlineStr">
        <is>
          <t>player #1:C:/Users/manuel.felline/Documents/BEHAVIOR BTBR/NOR second cohort/WT/test/c58_m4.mp4</t>
        </is>
      </c>
      <c r="F4096" t="n">
        <v>-14.6</v>
      </c>
      <c r="G4096" t="n">
        <v>573.366</v>
      </c>
      <c r="H4096" t="n">
        <v>627.6660000000001</v>
      </c>
      <c r="I4096" t="n">
        <v>30</v>
      </c>
      <c r="J4096" t="inlineStr">
        <is>
          <t xml:space="preserve"> WT</t>
        </is>
      </c>
      <c r="K4096" t="inlineStr">
        <is>
          <t>Male</t>
        </is>
      </c>
      <c r="L4096" t="inlineStr">
        <is>
          <t>No focal subject</t>
        </is>
      </c>
      <c r="M4096" t="n">
        <v>39.167</v>
      </c>
      <c r="N4096" t="inlineStr">
        <is>
          <t>Explore_N</t>
        </is>
      </c>
      <c r="O4096" t="inlineStr">
        <is>
          <t>Novelty</t>
        </is>
      </c>
      <c r="P4096" t="inlineStr">
        <is>
          <t>STATE</t>
        </is>
      </c>
      <c r="Q4096" t="n">
        <v>343.7</v>
      </c>
      <c r="R4096" t="n">
        <v>344.033</v>
      </c>
      <c r="S4096" t="n">
        <v>0.333</v>
      </c>
      <c r="T4096" t="inlineStr">
        <is>
          <t>C:/Users/manuel.felline/Documents/BEHAVIOR BTBR/NOR second cohort/WT/test/c58_m4.mp4</t>
        </is>
      </c>
      <c r="U4096" t="n">
        <v>10749</v>
      </c>
      <c r="V4096" t="n">
        <v>10760</v>
      </c>
      <c r="W4096" t="n">
        <v/>
      </c>
      <c r="X4096" t="n">
        <v/>
      </c>
      <c r="Y4096" t="n">
        <v/>
      </c>
      <c r="Z4096" t="n">
        <v/>
      </c>
      <c r="AA4096">
        <f>SUMIFS($S$2:S4096,$A$2:A4096,A4096,$N$2:N4096,"Explore*")</f>
        <v/>
      </c>
      <c r="AB4096">
        <f>IF(AND(LEFT(N4096,7)="Explore",(AA4096-IF(LEFT(N4096,7)="Explore",S4096,0))&lt;10),"SI","NO")</f>
        <v/>
      </c>
    </row>
    <row r="4097">
      <c r="A4097" t="inlineStr">
        <is>
          <t>c58m4_test</t>
        </is>
      </c>
      <c r="B4097" t="inlineStr">
        <is>
          <t>2026-07-02 12:05:14.764</t>
        </is>
      </c>
      <c r="C4097" t="n">
        <v/>
      </c>
      <c r="D4097" t="inlineStr">
        <is>
          <t>Media file</t>
        </is>
      </c>
      <c r="E4097" t="inlineStr">
        <is>
          <t>player #1:C:/Users/manuel.felline/Documents/BEHAVIOR BTBR/NOR second cohort/WT/test/c58_m4.mp4</t>
        </is>
      </c>
      <c r="F4097" t="n">
        <v>-14.6</v>
      </c>
      <c r="G4097" t="n">
        <v>573.366</v>
      </c>
      <c r="H4097" t="n">
        <v>627.6660000000001</v>
      </c>
      <c r="I4097" t="n">
        <v>30</v>
      </c>
      <c r="J4097" t="inlineStr">
        <is>
          <t xml:space="preserve"> WT</t>
        </is>
      </c>
      <c r="K4097" t="inlineStr">
        <is>
          <t>Male</t>
        </is>
      </c>
      <c r="L4097" t="inlineStr">
        <is>
          <t>No focal subject</t>
        </is>
      </c>
      <c r="M4097" t="n">
        <v>39.167</v>
      </c>
      <c r="N4097" t="inlineStr">
        <is>
          <t>Explore_N</t>
        </is>
      </c>
      <c r="O4097" t="inlineStr">
        <is>
          <t>Novelty</t>
        </is>
      </c>
      <c r="P4097" t="inlineStr">
        <is>
          <t>STATE</t>
        </is>
      </c>
      <c r="Q4097" t="n">
        <v>345.3</v>
      </c>
      <c r="R4097" t="n">
        <v>346.2</v>
      </c>
      <c r="S4097" t="n">
        <v>0.9</v>
      </c>
      <c r="T4097" t="inlineStr">
        <is>
          <t>C:/Users/manuel.felline/Documents/BEHAVIOR BTBR/NOR second cohort/WT/test/c58_m4.mp4</t>
        </is>
      </c>
      <c r="U4097" t="n">
        <v>10797</v>
      </c>
      <c r="V4097" t="n">
        <v>10824</v>
      </c>
      <c r="W4097" t="n">
        <v/>
      </c>
      <c r="X4097" t="n">
        <v/>
      </c>
      <c r="Y4097" t="n">
        <v/>
      </c>
      <c r="Z4097" t="n">
        <v/>
      </c>
      <c r="AA4097">
        <f>SUMIFS($S$2:S4097,$A$2:A4097,A4097,$N$2:N4097,"Explore*")</f>
        <v/>
      </c>
      <c r="AB4097">
        <f>IF(AND(LEFT(N4097,7)="Explore",(AA4097-IF(LEFT(N4097,7)="Explore",S4097,0))&lt;10),"SI","NO")</f>
        <v/>
      </c>
    </row>
    <row r="4098">
      <c r="A4098" t="inlineStr">
        <is>
          <t>c58m4_test</t>
        </is>
      </c>
      <c r="B4098" t="inlineStr">
        <is>
          <t>2026-07-02 12:05:14.764</t>
        </is>
      </c>
      <c r="C4098" t="n">
        <v/>
      </c>
      <c r="D4098" t="inlineStr">
        <is>
          <t>Media file</t>
        </is>
      </c>
      <c r="E4098" t="inlineStr">
        <is>
          <t>player #1:C:/Users/manuel.felline/Documents/BEHAVIOR BTBR/NOR second cohort/WT/test/c58_m4.mp4</t>
        </is>
      </c>
      <c r="F4098" t="n">
        <v>-14.6</v>
      </c>
      <c r="G4098" t="n">
        <v>573.366</v>
      </c>
      <c r="H4098" t="n">
        <v>627.6660000000001</v>
      </c>
      <c r="I4098" t="n">
        <v>30</v>
      </c>
      <c r="J4098" t="inlineStr">
        <is>
          <t xml:space="preserve"> WT</t>
        </is>
      </c>
      <c r="K4098" t="inlineStr">
        <is>
          <t>Male</t>
        </is>
      </c>
      <c r="L4098" t="inlineStr">
        <is>
          <t>No focal subject</t>
        </is>
      </c>
      <c r="M4098" t="n">
        <v>39.167</v>
      </c>
      <c r="N4098" t="inlineStr">
        <is>
          <t>Explore_N</t>
        </is>
      </c>
      <c r="O4098" t="inlineStr">
        <is>
          <t>Novelty</t>
        </is>
      </c>
      <c r="P4098" t="inlineStr">
        <is>
          <t>STATE</t>
        </is>
      </c>
      <c r="Q4098" t="n">
        <v>359.566</v>
      </c>
      <c r="R4098" t="n">
        <v>359.9</v>
      </c>
      <c r="S4098" t="n">
        <v>0.334</v>
      </c>
      <c r="T4098" t="inlineStr">
        <is>
          <t>C:/Users/manuel.felline/Documents/BEHAVIOR BTBR/NOR second cohort/WT/test/c58_m4.mp4</t>
        </is>
      </c>
      <c r="U4098" t="n">
        <v>11225</v>
      </c>
      <c r="V4098" t="n">
        <v>11235</v>
      </c>
      <c r="W4098" t="n">
        <v/>
      </c>
      <c r="X4098" t="n">
        <v/>
      </c>
      <c r="Y4098" t="n">
        <v/>
      </c>
      <c r="Z4098" t="n">
        <v/>
      </c>
      <c r="AA4098">
        <f>SUMIFS($S$2:S4098,$A$2:A4098,A4098,$N$2:N4098,"Explore*")</f>
        <v/>
      </c>
      <c r="AB4098">
        <f>IF(AND(LEFT(N4098,7)="Explore",(AA4098-IF(LEFT(N4098,7)="Explore",S4098,0))&lt;10),"SI","NO")</f>
        <v/>
      </c>
    </row>
    <row r="4099">
      <c r="A4099" t="inlineStr">
        <is>
          <t>c58m4_test</t>
        </is>
      </c>
      <c r="B4099" t="inlineStr">
        <is>
          <t>2026-07-02 12:05:14.764</t>
        </is>
      </c>
      <c r="C4099" t="n">
        <v/>
      </c>
      <c r="D4099" t="inlineStr">
        <is>
          <t>Media file</t>
        </is>
      </c>
      <c r="E4099" t="inlineStr">
        <is>
          <t>player #1:C:/Users/manuel.felline/Documents/BEHAVIOR BTBR/NOR second cohort/WT/test/c58_m4.mp4</t>
        </is>
      </c>
      <c r="F4099" t="n">
        <v>-14.6</v>
      </c>
      <c r="G4099" t="n">
        <v>573.366</v>
      </c>
      <c r="H4099" t="n">
        <v>627.6660000000001</v>
      </c>
      <c r="I4099" t="n">
        <v>30</v>
      </c>
      <c r="J4099" t="inlineStr">
        <is>
          <t xml:space="preserve"> WT</t>
        </is>
      </c>
      <c r="K4099" t="inlineStr">
        <is>
          <t>Male</t>
        </is>
      </c>
      <c r="L4099" t="inlineStr">
        <is>
          <t>No focal subject</t>
        </is>
      </c>
      <c r="M4099" t="n">
        <v>39.167</v>
      </c>
      <c r="N4099" t="inlineStr">
        <is>
          <t>Explore_N</t>
        </is>
      </c>
      <c r="O4099" t="inlineStr">
        <is>
          <t>Novelty</t>
        </is>
      </c>
      <c r="P4099" t="inlineStr">
        <is>
          <t>STATE</t>
        </is>
      </c>
      <c r="Q4099" t="n">
        <v>362.333</v>
      </c>
      <c r="R4099" t="n">
        <v>363.1</v>
      </c>
      <c r="S4099" t="n">
        <v>0.767</v>
      </c>
      <c r="T4099" t="inlineStr">
        <is>
          <t>C:/Users/manuel.felline/Documents/BEHAVIOR BTBR/NOR second cohort/WT/test/c58_m4.mp4</t>
        </is>
      </c>
      <c r="U4099" t="n">
        <v>11308</v>
      </c>
      <c r="V4099" t="n">
        <v>11331</v>
      </c>
      <c r="W4099" t="n">
        <v/>
      </c>
      <c r="X4099" t="n">
        <v/>
      </c>
      <c r="Y4099" t="n">
        <v/>
      </c>
      <c r="Z4099" t="n">
        <v/>
      </c>
      <c r="AA4099">
        <f>SUMIFS($S$2:S4099,$A$2:A4099,A4099,$N$2:N4099,"Explore*")</f>
        <v/>
      </c>
      <c r="AB4099">
        <f>IF(AND(LEFT(N4099,7)="Explore",(AA4099-IF(LEFT(N4099,7)="Explore",S4099,0))&lt;10),"SI","NO")</f>
        <v/>
      </c>
    </row>
    <row r="4100">
      <c r="A4100" t="inlineStr">
        <is>
          <t>c58m4_test</t>
        </is>
      </c>
      <c r="B4100" t="inlineStr">
        <is>
          <t>2026-07-02 12:05:14.764</t>
        </is>
      </c>
      <c r="C4100" t="n">
        <v/>
      </c>
      <c r="D4100" t="inlineStr">
        <is>
          <t>Media file</t>
        </is>
      </c>
      <c r="E4100" t="inlineStr">
        <is>
          <t>player #1:C:/Users/manuel.felline/Documents/BEHAVIOR BTBR/NOR second cohort/WT/test/c58_m4.mp4</t>
        </is>
      </c>
      <c r="F4100" t="n">
        <v>-14.6</v>
      </c>
      <c r="G4100" t="n">
        <v>573.366</v>
      </c>
      <c r="H4100" t="n">
        <v>627.6660000000001</v>
      </c>
      <c r="I4100" t="n">
        <v>30</v>
      </c>
      <c r="J4100" t="inlineStr">
        <is>
          <t xml:space="preserve"> WT</t>
        </is>
      </c>
      <c r="K4100" t="inlineStr">
        <is>
          <t>Male</t>
        </is>
      </c>
      <c r="L4100" t="inlineStr">
        <is>
          <t>No focal subject</t>
        </is>
      </c>
      <c r="M4100" t="n">
        <v>39.167</v>
      </c>
      <c r="N4100" t="inlineStr">
        <is>
          <t>Explore_F</t>
        </is>
      </c>
      <c r="O4100" t="inlineStr">
        <is>
          <t>Familiar</t>
        </is>
      </c>
      <c r="P4100" t="inlineStr">
        <is>
          <t>STATE</t>
        </is>
      </c>
      <c r="Q4100" t="n">
        <v>396.466</v>
      </c>
      <c r="R4100" t="n">
        <v>397.533</v>
      </c>
      <c r="S4100" t="n">
        <v>1.067</v>
      </c>
      <c r="T4100" t="inlineStr">
        <is>
          <t>C:/Users/manuel.felline/Documents/BEHAVIOR BTBR/NOR second cohort/WT/test/c58_m4.mp4</t>
        </is>
      </c>
      <c r="U4100" t="n">
        <v>12332</v>
      </c>
      <c r="V4100" t="n">
        <v>12364</v>
      </c>
      <c r="W4100" t="n">
        <v/>
      </c>
      <c r="X4100" t="n">
        <v/>
      </c>
      <c r="Y4100" t="n">
        <v/>
      </c>
      <c r="Z4100" t="n">
        <v/>
      </c>
      <c r="AA4100">
        <f>SUMIFS($S$2:S4100,$A$2:A4100,A4100,$N$2:N4100,"Explore*")</f>
        <v/>
      </c>
      <c r="AB4100">
        <f>IF(AND(LEFT(N4100,7)="Explore",(AA4100-IF(LEFT(N4100,7)="Explore",S4100,0))&lt;10),"SI","NO")</f>
        <v/>
      </c>
    </row>
    <row r="4101">
      <c r="A4101" t="inlineStr">
        <is>
          <t>c58m4_test</t>
        </is>
      </c>
      <c r="B4101" t="inlineStr">
        <is>
          <t>2026-07-02 12:05:14.764</t>
        </is>
      </c>
      <c r="C4101" t="n">
        <v/>
      </c>
      <c r="D4101" t="inlineStr">
        <is>
          <t>Media file</t>
        </is>
      </c>
      <c r="E4101" t="inlineStr">
        <is>
          <t>player #1:C:/Users/manuel.felline/Documents/BEHAVIOR BTBR/NOR second cohort/WT/test/c58_m4.mp4</t>
        </is>
      </c>
      <c r="F4101" t="n">
        <v>-14.6</v>
      </c>
      <c r="G4101" t="n">
        <v>573.366</v>
      </c>
      <c r="H4101" t="n">
        <v>627.6660000000001</v>
      </c>
      <c r="I4101" t="n">
        <v>30</v>
      </c>
      <c r="J4101" t="inlineStr">
        <is>
          <t xml:space="preserve"> WT</t>
        </is>
      </c>
      <c r="K4101" t="inlineStr">
        <is>
          <t>Male</t>
        </is>
      </c>
      <c r="L4101" t="inlineStr">
        <is>
          <t>No focal subject</t>
        </is>
      </c>
      <c r="M4101" t="n">
        <v>39.167</v>
      </c>
      <c r="N4101" t="inlineStr">
        <is>
          <t>Explore_F</t>
        </is>
      </c>
      <c r="O4101" t="inlineStr">
        <is>
          <t>Familiar</t>
        </is>
      </c>
      <c r="P4101" t="inlineStr">
        <is>
          <t>STATE</t>
        </is>
      </c>
      <c r="Q4101" t="n">
        <v>409.9</v>
      </c>
      <c r="R4101" t="n">
        <v>410.966</v>
      </c>
      <c r="S4101" t="n">
        <v>1.066</v>
      </c>
      <c r="T4101" t="inlineStr">
        <is>
          <t>C:/Users/manuel.felline/Documents/BEHAVIOR BTBR/NOR second cohort/WT/test/c58_m4.mp4</t>
        </is>
      </c>
      <c r="U4101" t="n">
        <v>12735</v>
      </c>
      <c r="V4101" t="n">
        <v>12767</v>
      </c>
      <c r="W4101" t="n">
        <v/>
      </c>
      <c r="X4101" t="n">
        <v/>
      </c>
      <c r="Y4101" t="n">
        <v/>
      </c>
      <c r="Z4101" t="n">
        <v/>
      </c>
      <c r="AA4101">
        <f>SUMIFS($S$2:S4101,$A$2:A4101,A4101,$N$2:N4101,"Explore*")</f>
        <v/>
      </c>
      <c r="AB4101">
        <f>IF(AND(LEFT(N4101,7)="Explore",(AA4101-IF(LEFT(N4101,7)="Explore",S4101,0))&lt;10),"SI","NO")</f>
        <v/>
      </c>
    </row>
    <row r="4102">
      <c r="A4102" t="inlineStr">
        <is>
          <t>c58m4_test</t>
        </is>
      </c>
      <c r="B4102" t="inlineStr">
        <is>
          <t>2026-07-02 12:05:14.764</t>
        </is>
      </c>
      <c r="C4102" t="n">
        <v/>
      </c>
      <c r="D4102" t="inlineStr">
        <is>
          <t>Media file</t>
        </is>
      </c>
      <c r="E4102" t="inlineStr">
        <is>
          <t>player #1:C:/Users/manuel.felline/Documents/BEHAVIOR BTBR/NOR second cohort/WT/test/c58_m4.mp4</t>
        </is>
      </c>
      <c r="F4102" t="n">
        <v>-14.6</v>
      </c>
      <c r="G4102" t="n">
        <v>573.366</v>
      </c>
      <c r="H4102" t="n">
        <v>627.6660000000001</v>
      </c>
      <c r="I4102" t="n">
        <v>30</v>
      </c>
      <c r="J4102" t="inlineStr">
        <is>
          <t xml:space="preserve"> WT</t>
        </is>
      </c>
      <c r="K4102" t="inlineStr">
        <is>
          <t>Male</t>
        </is>
      </c>
      <c r="L4102" t="inlineStr">
        <is>
          <t>No focal subject</t>
        </is>
      </c>
      <c r="M4102" t="n">
        <v>39.167</v>
      </c>
      <c r="N4102" t="inlineStr">
        <is>
          <t>Explore_N</t>
        </is>
      </c>
      <c r="O4102" t="inlineStr">
        <is>
          <t>Novelty</t>
        </is>
      </c>
      <c r="P4102" t="inlineStr">
        <is>
          <t>STATE</t>
        </is>
      </c>
      <c r="Q4102" t="n">
        <v>419</v>
      </c>
      <c r="R4102" t="n">
        <v>419.633</v>
      </c>
      <c r="S4102" t="n">
        <v>0.633</v>
      </c>
      <c r="T4102" t="inlineStr">
        <is>
          <t>C:/Users/manuel.felline/Documents/BEHAVIOR BTBR/NOR second cohort/WT/test/c58_m4.mp4</t>
        </is>
      </c>
      <c r="U4102" t="n">
        <v>13008</v>
      </c>
      <c r="V4102" t="n">
        <v>13027</v>
      </c>
      <c r="W4102" t="n">
        <v/>
      </c>
      <c r="X4102" t="n">
        <v/>
      </c>
      <c r="Y4102" t="n">
        <v/>
      </c>
      <c r="Z4102" t="n">
        <v/>
      </c>
      <c r="AA4102">
        <f>SUMIFS($S$2:S4102,$A$2:A4102,A4102,$N$2:N4102,"Explore*")</f>
        <v/>
      </c>
      <c r="AB4102">
        <f>IF(AND(LEFT(N4102,7)="Explore",(AA4102-IF(LEFT(N4102,7)="Explore",S4102,0))&lt;10),"SI","NO")</f>
        <v/>
      </c>
    </row>
    <row r="4103">
      <c r="A4103" t="inlineStr">
        <is>
          <t>c58m4_test</t>
        </is>
      </c>
      <c r="B4103" t="inlineStr">
        <is>
          <t>2026-07-02 12:05:14.764</t>
        </is>
      </c>
      <c r="C4103" t="n">
        <v/>
      </c>
      <c r="D4103" t="inlineStr">
        <is>
          <t>Media file</t>
        </is>
      </c>
      <c r="E4103" t="inlineStr">
        <is>
          <t>player #1:C:/Users/manuel.felline/Documents/BEHAVIOR BTBR/NOR second cohort/WT/test/c58_m4.mp4</t>
        </is>
      </c>
      <c r="F4103" t="n">
        <v>-14.6</v>
      </c>
      <c r="G4103" t="n">
        <v>573.366</v>
      </c>
      <c r="H4103" t="n">
        <v>627.6660000000001</v>
      </c>
      <c r="I4103" t="n">
        <v>30</v>
      </c>
      <c r="J4103" t="inlineStr">
        <is>
          <t xml:space="preserve"> WT</t>
        </is>
      </c>
      <c r="K4103" t="inlineStr">
        <is>
          <t>Male</t>
        </is>
      </c>
      <c r="L4103" t="inlineStr">
        <is>
          <t>No focal subject</t>
        </is>
      </c>
      <c r="M4103" t="n">
        <v>39.167</v>
      </c>
      <c r="N4103" t="inlineStr">
        <is>
          <t>Explore_N</t>
        </is>
      </c>
      <c r="O4103" t="inlineStr">
        <is>
          <t>Novelty</t>
        </is>
      </c>
      <c r="P4103" t="inlineStr">
        <is>
          <t>STATE</t>
        </is>
      </c>
      <c r="Q4103" t="n">
        <v>454.166</v>
      </c>
      <c r="R4103" t="n">
        <v>456.133</v>
      </c>
      <c r="S4103" t="n">
        <v>1.967</v>
      </c>
      <c r="T4103" t="inlineStr">
        <is>
          <t>C:/Users/manuel.felline/Documents/BEHAVIOR BTBR/NOR second cohort/WT/test/c58_m4.mp4</t>
        </is>
      </c>
      <c r="U4103" t="n">
        <v>14063</v>
      </c>
      <c r="V4103" t="n">
        <v>14122</v>
      </c>
      <c r="W4103" t="n">
        <v/>
      </c>
      <c r="X4103" t="n">
        <v/>
      </c>
      <c r="Y4103" t="n">
        <v/>
      </c>
      <c r="Z4103" t="n">
        <v/>
      </c>
      <c r="AA4103">
        <f>SUMIFS($S$2:S4103,$A$2:A4103,A4103,$N$2:N4103,"Explore*")</f>
        <v/>
      </c>
      <c r="AB4103">
        <f>IF(AND(LEFT(N4103,7)="Explore",(AA4103-IF(LEFT(N4103,7)="Explore",S4103,0))&lt;10),"SI","NO")</f>
        <v/>
      </c>
    </row>
    <row r="4104">
      <c r="A4104" t="inlineStr">
        <is>
          <t>c58m4_test</t>
        </is>
      </c>
      <c r="B4104" t="inlineStr">
        <is>
          <t>2026-07-02 12:05:14.764</t>
        </is>
      </c>
      <c r="C4104" t="n">
        <v/>
      </c>
      <c r="D4104" t="inlineStr">
        <is>
          <t>Media file</t>
        </is>
      </c>
      <c r="E4104" t="inlineStr">
        <is>
          <t>player #1:C:/Users/manuel.felline/Documents/BEHAVIOR BTBR/NOR second cohort/WT/test/c58_m4.mp4</t>
        </is>
      </c>
      <c r="F4104" t="n">
        <v>-14.6</v>
      </c>
      <c r="G4104" t="n">
        <v>573.366</v>
      </c>
      <c r="H4104" t="n">
        <v>627.6660000000001</v>
      </c>
      <c r="I4104" t="n">
        <v>30</v>
      </c>
      <c r="J4104" t="inlineStr">
        <is>
          <t xml:space="preserve"> WT</t>
        </is>
      </c>
      <c r="K4104" t="inlineStr">
        <is>
          <t>Male</t>
        </is>
      </c>
      <c r="L4104" t="inlineStr">
        <is>
          <t>No focal subject</t>
        </is>
      </c>
      <c r="M4104" t="n">
        <v>39.167</v>
      </c>
      <c r="N4104" t="inlineStr">
        <is>
          <t>Explore_N</t>
        </is>
      </c>
      <c r="O4104" t="inlineStr">
        <is>
          <t>Novelty</t>
        </is>
      </c>
      <c r="P4104" t="inlineStr">
        <is>
          <t>STATE</t>
        </is>
      </c>
      <c r="Q4104" t="n">
        <v>466.766</v>
      </c>
      <c r="R4104" t="n">
        <v>468.333</v>
      </c>
      <c r="S4104" t="n">
        <v>1.567</v>
      </c>
      <c r="T4104" t="inlineStr">
        <is>
          <t>C:/Users/manuel.felline/Documents/BEHAVIOR BTBR/NOR second cohort/WT/test/c58_m4.mp4</t>
        </is>
      </c>
      <c r="U4104" t="n">
        <v>14441</v>
      </c>
      <c r="V4104" t="n">
        <v>14488</v>
      </c>
      <c r="W4104" t="n">
        <v/>
      </c>
      <c r="X4104" t="n">
        <v/>
      </c>
      <c r="Y4104" t="n">
        <v/>
      </c>
      <c r="Z4104" t="n">
        <v/>
      </c>
      <c r="AA4104">
        <f>SUMIFS($S$2:S4104,$A$2:A4104,A4104,$N$2:N4104,"Explore*")</f>
        <v/>
      </c>
      <c r="AB4104">
        <f>IF(AND(LEFT(N4104,7)="Explore",(AA4104-IF(LEFT(N4104,7)="Explore",S4104,0))&lt;10),"SI","NO")</f>
        <v/>
      </c>
    </row>
    <row r="4105">
      <c r="A4105" t="inlineStr">
        <is>
          <t>c58m4_test</t>
        </is>
      </c>
      <c r="B4105" t="inlineStr">
        <is>
          <t>2026-07-02 12:05:14.764</t>
        </is>
      </c>
      <c r="C4105" t="n">
        <v/>
      </c>
      <c r="D4105" t="inlineStr">
        <is>
          <t>Media file</t>
        </is>
      </c>
      <c r="E4105" t="inlineStr">
        <is>
          <t>player #1:C:/Users/manuel.felline/Documents/BEHAVIOR BTBR/NOR second cohort/WT/test/c58_m4.mp4</t>
        </is>
      </c>
      <c r="F4105" t="n">
        <v>-14.6</v>
      </c>
      <c r="G4105" t="n">
        <v>573.366</v>
      </c>
      <c r="H4105" t="n">
        <v>627.6660000000001</v>
      </c>
      <c r="I4105" t="n">
        <v>30</v>
      </c>
      <c r="J4105" t="inlineStr">
        <is>
          <t xml:space="preserve"> WT</t>
        </is>
      </c>
      <c r="K4105" t="inlineStr">
        <is>
          <t>Male</t>
        </is>
      </c>
      <c r="L4105" t="inlineStr">
        <is>
          <t>No focal subject</t>
        </is>
      </c>
      <c r="M4105" t="n">
        <v>39.167</v>
      </c>
      <c r="N4105" t="inlineStr">
        <is>
          <t>Explore_N</t>
        </is>
      </c>
      <c r="O4105" t="inlineStr">
        <is>
          <t>Novelty</t>
        </is>
      </c>
      <c r="P4105" t="inlineStr">
        <is>
          <t>STATE</t>
        </is>
      </c>
      <c r="Q4105" t="n">
        <v>469.866</v>
      </c>
      <c r="R4105" t="n">
        <v>470.766</v>
      </c>
      <c r="S4105" t="n">
        <v>0.9</v>
      </c>
      <c r="T4105" t="inlineStr">
        <is>
          <t>C:/Users/manuel.felline/Documents/BEHAVIOR BTBR/NOR second cohort/WT/test/c58_m4.mp4</t>
        </is>
      </c>
      <c r="U4105" t="n">
        <v>14534</v>
      </c>
      <c r="V4105" t="n">
        <v>14561</v>
      </c>
      <c r="W4105" t="n">
        <v/>
      </c>
      <c r="X4105" t="n">
        <v/>
      </c>
      <c r="Y4105" t="n">
        <v/>
      </c>
      <c r="Z4105" t="n">
        <v/>
      </c>
      <c r="AA4105">
        <f>SUMIFS($S$2:S4105,$A$2:A4105,A4105,$N$2:N4105,"Explore*")</f>
        <v/>
      </c>
      <c r="AB4105">
        <f>IF(AND(LEFT(N4105,7)="Explore",(AA4105-IF(LEFT(N4105,7)="Explore",S4105,0))&lt;10),"SI","NO")</f>
        <v/>
      </c>
    </row>
    <row r="4106">
      <c r="A4106" t="inlineStr">
        <is>
          <t>c58m4_test</t>
        </is>
      </c>
      <c r="B4106" t="inlineStr">
        <is>
          <t>2026-07-02 12:05:14.764</t>
        </is>
      </c>
      <c r="C4106" t="n">
        <v/>
      </c>
      <c r="D4106" t="inlineStr">
        <is>
          <t>Media file</t>
        </is>
      </c>
      <c r="E4106" t="inlineStr">
        <is>
          <t>player #1:C:/Users/manuel.felline/Documents/BEHAVIOR BTBR/NOR second cohort/WT/test/c58_m4.mp4</t>
        </is>
      </c>
      <c r="F4106" t="n">
        <v>-14.6</v>
      </c>
      <c r="G4106" t="n">
        <v>573.366</v>
      </c>
      <c r="H4106" t="n">
        <v>627.6660000000001</v>
      </c>
      <c r="I4106" t="n">
        <v>30</v>
      </c>
      <c r="J4106" t="inlineStr">
        <is>
          <t xml:space="preserve"> WT</t>
        </is>
      </c>
      <c r="K4106" t="inlineStr">
        <is>
          <t>Male</t>
        </is>
      </c>
      <c r="L4106" t="inlineStr">
        <is>
          <t>No focal subject</t>
        </is>
      </c>
      <c r="M4106" t="n">
        <v>39.167</v>
      </c>
      <c r="N4106" t="inlineStr">
        <is>
          <t>Explore_N</t>
        </is>
      </c>
      <c r="O4106" t="inlineStr">
        <is>
          <t>Novelty</t>
        </is>
      </c>
      <c r="P4106" t="inlineStr">
        <is>
          <t>STATE</t>
        </is>
      </c>
      <c r="Q4106" t="n">
        <v>471.966</v>
      </c>
      <c r="R4106" t="n">
        <v>473.433</v>
      </c>
      <c r="S4106" t="n">
        <v>1.467</v>
      </c>
      <c r="T4106" t="inlineStr">
        <is>
          <t>C:/Users/manuel.felline/Documents/BEHAVIOR BTBR/NOR second cohort/WT/test/c58_m4.mp4</t>
        </is>
      </c>
      <c r="U4106" t="n">
        <v>14597</v>
      </c>
      <c r="V4106" t="n">
        <v>14641</v>
      </c>
      <c r="W4106" t="n">
        <v/>
      </c>
      <c r="X4106" t="n">
        <v/>
      </c>
      <c r="Y4106" t="n">
        <v/>
      </c>
      <c r="Z4106" t="n">
        <v/>
      </c>
      <c r="AA4106">
        <f>SUMIFS($S$2:S4106,$A$2:A4106,A4106,$N$2:N4106,"Explore*")</f>
        <v/>
      </c>
      <c r="AB4106">
        <f>IF(AND(LEFT(N4106,7)="Explore",(AA4106-IF(LEFT(N4106,7)="Explore",S4106,0))&lt;10),"SI","NO")</f>
        <v/>
      </c>
    </row>
    <row r="4107">
      <c r="A4107" t="inlineStr">
        <is>
          <t>c58m4_test</t>
        </is>
      </c>
      <c r="B4107" t="inlineStr">
        <is>
          <t>2026-07-02 12:05:14.764</t>
        </is>
      </c>
      <c r="C4107" t="n">
        <v/>
      </c>
      <c r="D4107" t="inlineStr">
        <is>
          <t>Media file</t>
        </is>
      </c>
      <c r="E4107" t="inlineStr">
        <is>
          <t>player #1:C:/Users/manuel.felline/Documents/BEHAVIOR BTBR/NOR second cohort/WT/test/c58_m4.mp4</t>
        </is>
      </c>
      <c r="F4107" t="n">
        <v>-14.6</v>
      </c>
      <c r="G4107" t="n">
        <v>573.366</v>
      </c>
      <c r="H4107" t="n">
        <v>627.6660000000001</v>
      </c>
      <c r="I4107" t="n">
        <v>30</v>
      </c>
      <c r="J4107" t="inlineStr">
        <is>
          <t xml:space="preserve"> WT</t>
        </is>
      </c>
      <c r="K4107" t="inlineStr">
        <is>
          <t>Male</t>
        </is>
      </c>
      <c r="L4107" t="inlineStr">
        <is>
          <t>No focal subject</t>
        </is>
      </c>
      <c r="M4107" t="n">
        <v>39.167</v>
      </c>
      <c r="N4107" t="inlineStr">
        <is>
          <t>Explore_N</t>
        </is>
      </c>
      <c r="O4107" t="inlineStr">
        <is>
          <t>Novelty</t>
        </is>
      </c>
      <c r="P4107" t="inlineStr">
        <is>
          <t>STATE</t>
        </is>
      </c>
      <c r="Q4107" t="n">
        <v>478.833</v>
      </c>
      <c r="R4107" t="n">
        <v>480.166</v>
      </c>
      <c r="S4107" t="n">
        <v>1.333</v>
      </c>
      <c r="T4107" t="inlineStr">
        <is>
          <t>C:/Users/manuel.felline/Documents/BEHAVIOR BTBR/NOR second cohort/WT/test/c58_m4.mp4</t>
        </is>
      </c>
      <c r="U4107" t="n">
        <v>14803</v>
      </c>
      <c r="V4107" t="n">
        <v>14843</v>
      </c>
      <c r="W4107" t="n">
        <v/>
      </c>
      <c r="X4107" t="n">
        <v/>
      </c>
      <c r="Y4107" t="n">
        <v/>
      </c>
      <c r="Z4107" t="n">
        <v/>
      </c>
      <c r="AA4107">
        <f>SUMIFS($S$2:S4107,$A$2:A4107,A4107,$N$2:N4107,"Explore*")</f>
        <v/>
      </c>
      <c r="AB4107">
        <f>IF(AND(LEFT(N4107,7)="Explore",(AA4107-IF(LEFT(N4107,7)="Explore",S4107,0))&lt;10),"SI","NO")</f>
        <v/>
      </c>
    </row>
    <row r="4108">
      <c r="A4108" t="inlineStr">
        <is>
          <t>c58m4_test</t>
        </is>
      </c>
      <c r="B4108" t="inlineStr">
        <is>
          <t>2026-07-02 12:05:14.764</t>
        </is>
      </c>
      <c r="C4108" t="n">
        <v/>
      </c>
      <c r="D4108" t="inlineStr">
        <is>
          <t>Media file</t>
        </is>
      </c>
      <c r="E4108" t="inlineStr">
        <is>
          <t>player #1:C:/Users/manuel.felline/Documents/BEHAVIOR BTBR/NOR second cohort/WT/test/c58_m4.mp4</t>
        </is>
      </c>
      <c r="F4108" t="n">
        <v>-14.6</v>
      </c>
      <c r="G4108" t="n">
        <v>573.366</v>
      </c>
      <c r="H4108" t="n">
        <v>627.6660000000001</v>
      </c>
      <c r="I4108" t="n">
        <v>30</v>
      </c>
      <c r="J4108" t="inlineStr">
        <is>
          <t xml:space="preserve"> WT</t>
        </is>
      </c>
      <c r="K4108" t="inlineStr">
        <is>
          <t>Male</t>
        </is>
      </c>
      <c r="L4108" t="inlineStr">
        <is>
          <t>No focal subject</t>
        </is>
      </c>
      <c r="M4108" t="n">
        <v>39.167</v>
      </c>
      <c r="N4108" t="inlineStr">
        <is>
          <t>Explore_N</t>
        </is>
      </c>
      <c r="O4108" t="inlineStr">
        <is>
          <t>Novelty</t>
        </is>
      </c>
      <c r="P4108" t="inlineStr">
        <is>
          <t>STATE</t>
        </is>
      </c>
      <c r="Q4108" t="n">
        <v>504.466</v>
      </c>
      <c r="R4108" t="n">
        <v>505.199</v>
      </c>
      <c r="S4108" t="n">
        <v>0.733</v>
      </c>
      <c r="T4108" t="inlineStr">
        <is>
          <t>C:/Users/manuel.felline/Documents/BEHAVIOR BTBR/NOR second cohort/WT/test/c58_m4.mp4</t>
        </is>
      </c>
      <c r="U4108" t="n">
        <v>15572</v>
      </c>
      <c r="V4108" t="n">
        <v>15594</v>
      </c>
      <c r="W4108" t="n">
        <v/>
      </c>
      <c r="X4108" t="n">
        <v/>
      </c>
      <c r="Y4108" t="n">
        <v/>
      </c>
      <c r="Z4108" t="n">
        <v/>
      </c>
      <c r="AA4108">
        <f>SUMIFS($S$2:S4108,$A$2:A4108,A4108,$N$2:N4108,"Explore*")</f>
        <v/>
      </c>
      <c r="AB4108">
        <f>IF(AND(LEFT(N4108,7)="Explore",(AA4108-IF(LEFT(N4108,7)="Explore",S4108,0))&lt;10),"SI","NO")</f>
        <v/>
      </c>
    </row>
    <row r="4109">
      <c r="A4109" t="inlineStr">
        <is>
          <t>c58m4_test</t>
        </is>
      </c>
      <c r="B4109" t="inlineStr">
        <is>
          <t>2026-07-02 12:05:14.764</t>
        </is>
      </c>
      <c r="C4109" t="n">
        <v/>
      </c>
      <c r="D4109" t="inlineStr">
        <is>
          <t>Media file</t>
        </is>
      </c>
      <c r="E4109" t="inlineStr">
        <is>
          <t>player #1:C:/Users/manuel.felline/Documents/BEHAVIOR BTBR/NOR second cohort/WT/test/c58_m4.mp4</t>
        </is>
      </c>
      <c r="F4109" t="n">
        <v>-14.6</v>
      </c>
      <c r="G4109" t="n">
        <v>573.366</v>
      </c>
      <c r="H4109" t="n">
        <v>627.6660000000001</v>
      </c>
      <c r="I4109" t="n">
        <v>30</v>
      </c>
      <c r="J4109" t="inlineStr">
        <is>
          <t xml:space="preserve"> WT</t>
        </is>
      </c>
      <c r="K4109" t="inlineStr">
        <is>
          <t>Male</t>
        </is>
      </c>
      <c r="L4109" t="inlineStr">
        <is>
          <t>No focal subject</t>
        </is>
      </c>
      <c r="M4109" t="n">
        <v>39.167</v>
      </c>
      <c r="N4109" t="inlineStr">
        <is>
          <t>Explore_F</t>
        </is>
      </c>
      <c r="O4109" t="inlineStr">
        <is>
          <t>Familiar</t>
        </is>
      </c>
      <c r="P4109" t="inlineStr">
        <is>
          <t>STATE</t>
        </is>
      </c>
      <c r="Q4109" t="n">
        <v>508.966</v>
      </c>
      <c r="R4109" t="n">
        <v>510.633</v>
      </c>
      <c r="S4109" t="n">
        <v>1.667</v>
      </c>
      <c r="T4109" t="inlineStr">
        <is>
          <t>C:/Users/manuel.felline/Documents/BEHAVIOR BTBR/NOR second cohort/WT/test/c58_m4.mp4</t>
        </is>
      </c>
      <c r="U4109" t="n">
        <v>15707</v>
      </c>
      <c r="V4109" t="n">
        <v>15757</v>
      </c>
      <c r="W4109" t="n">
        <v/>
      </c>
      <c r="X4109" t="n">
        <v/>
      </c>
      <c r="Y4109" t="n">
        <v/>
      </c>
      <c r="Z4109" t="n">
        <v/>
      </c>
      <c r="AA4109">
        <f>SUMIFS($S$2:S4109,$A$2:A4109,A4109,$N$2:N4109,"Explore*")</f>
        <v/>
      </c>
      <c r="AB4109">
        <f>IF(AND(LEFT(N4109,7)="Explore",(AA4109-IF(LEFT(N4109,7)="Explore",S4109,0))&lt;10),"SI","NO")</f>
        <v/>
      </c>
    </row>
    <row r="4110">
      <c r="A4110" t="inlineStr">
        <is>
          <t>c58m4_test</t>
        </is>
      </c>
      <c r="B4110" t="inlineStr">
        <is>
          <t>2026-07-02 12:05:14.764</t>
        </is>
      </c>
      <c r="C4110" t="n">
        <v/>
      </c>
      <c r="D4110" t="inlineStr">
        <is>
          <t>Media file</t>
        </is>
      </c>
      <c r="E4110" t="inlineStr">
        <is>
          <t>player #1:C:/Users/manuel.felline/Documents/BEHAVIOR BTBR/NOR second cohort/WT/test/c58_m4.mp4</t>
        </is>
      </c>
      <c r="F4110" t="n">
        <v>-14.6</v>
      </c>
      <c r="G4110" t="n">
        <v>573.366</v>
      </c>
      <c r="H4110" t="n">
        <v>627.6660000000001</v>
      </c>
      <c r="I4110" t="n">
        <v>30</v>
      </c>
      <c r="J4110" t="inlineStr">
        <is>
          <t xml:space="preserve"> WT</t>
        </is>
      </c>
      <c r="K4110" t="inlineStr">
        <is>
          <t>Male</t>
        </is>
      </c>
      <c r="L4110" t="inlineStr">
        <is>
          <t>No focal subject</t>
        </is>
      </c>
      <c r="M4110" t="n">
        <v>39.167</v>
      </c>
      <c r="N4110" t="inlineStr">
        <is>
          <t>Explore_F</t>
        </is>
      </c>
      <c r="O4110" t="inlineStr">
        <is>
          <t>Familiar</t>
        </is>
      </c>
      <c r="P4110" t="inlineStr">
        <is>
          <t>STATE</t>
        </is>
      </c>
      <c r="Q4110" t="n">
        <v>513.299</v>
      </c>
      <c r="R4110" t="n">
        <v>514.033</v>
      </c>
      <c r="S4110" t="n">
        <v>0.734</v>
      </c>
      <c r="T4110" t="inlineStr">
        <is>
          <t>C:/Users/manuel.felline/Documents/BEHAVIOR BTBR/NOR second cohort/WT/test/c58_m4.mp4</t>
        </is>
      </c>
      <c r="U4110" t="n">
        <v>15837</v>
      </c>
      <c r="V4110" t="n">
        <v>15859</v>
      </c>
      <c r="W4110" t="n">
        <v/>
      </c>
      <c r="X4110" t="n">
        <v/>
      </c>
      <c r="Y4110" t="n">
        <v/>
      </c>
      <c r="Z4110" t="n">
        <v/>
      </c>
      <c r="AA4110">
        <f>SUMIFS($S$2:S4110,$A$2:A4110,A4110,$N$2:N4110,"Explore*")</f>
        <v/>
      </c>
      <c r="AB4110">
        <f>IF(AND(LEFT(N4110,7)="Explore",(AA4110-IF(LEFT(N4110,7)="Explore",S4110,0))&lt;10),"SI","NO")</f>
        <v/>
      </c>
    </row>
    <row r="4111">
      <c r="A4111" t="inlineStr">
        <is>
          <t>c58m4_test</t>
        </is>
      </c>
      <c r="B4111" t="inlineStr">
        <is>
          <t>2026-07-02 12:05:14.764</t>
        </is>
      </c>
      <c r="C4111" t="n">
        <v/>
      </c>
      <c r="D4111" t="inlineStr">
        <is>
          <t>Media file</t>
        </is>
      </c>
      <c r="E4111" t="inlineStr">
        <is>
          <t>player #1:C:/Users/manuel.felline/Documents/BEHAVIOR BTBR/NOR second cohort/WT/test/c58_m4.mp4</t>
        </is>
      </c>
      <c r="F4111" t="n">
        <v>-14.6</v>
      </c>
      <c r="G4111" t="n">
        <v>573.366</v>
      </c>
      <c r="H4111" t="n">
        <v>627.6660000000001</v>
      </c>
      <c r="I4111" t="n">
        <v>30</v>
      </c>
      <c r="J4111" t="inlineStr">
        <is>
          <t xml:space="preserve"> WT</t>
        </is>
      </c>
      <c r="K4111" t="inlineStr">
        <is>
          <t>Male</t>
        </is>
      </c>
      <c r="L4111" t="inlineStr">
        <is>
          <t>No focal subject</t>
        </is>
      </c>
      <c r="M4111" t="n">
        <v>39.167</v>
      </c>
      <c r="N4111" t="inlineStr">
        <is>
          <t>Explore_N</t>
        </is>
      </c>
      <c r="O4111" t="inlineStr">
        <is>
          <t>Novelty</t>
        </is>
      </c>
      <c r="P4111" t="inlineStr">
        <is>
          <t>STATE</t>
        </is>
      </c>
      <c r="Q4111" t="n">
        <v>525.633</v>
      </c>
      <c r="R4111" t="n">
        <v>526.299</v>
      </c>
      <c r="S4111" t="n">
        <v>0.666</v>
      </c>
      <c r="T4111" t="inlineStr">
        <is>
          <t>C:/Users/manuel.felline/Documents/BEHAVIOR BTBR/NOR second cohort/WT/test/c58_m4.mp4</t>
        </is>
      </c>
      <c r="U4111" t="n">
        <v>16207</v>
      </c>
      <c r="V4111" t="n">
        <v>16227</v>
      </c>
      <c r="W4111" t="n">
        <v/>
      </c>
      <c r="X4111" t="n">
        <v/>
      </c>
      <c r="Y4111" t="n">
        <v/>
      </c>
      <c r="Z4111" t="n">
        <v/>
      </c>
      <c r="AA4111">
        <f>SUMIFS($S$2:S4111,$A$2:A4111,A4111,$N$2:N4111,"Explore*")</f>
        <v/>
      </c>
      <c r="AB4111">
        <f>IF(AND(LEFT(N4111,7)="Explore",(AA4111-IF(LEFT(N4111,7)="Explore",S4111,0))&lt;10),"SI","NO")</f>
        <v/>
      </c>
    </row>
    <row r="4112">
      <c r="A4112" t="inlineStr">
        <is>
          <t>c58m4_test</t>
        </is>
      </c>
      <c r="B4112" t="inlineStr">
        <is>
          <t>2026-07-02 12:05:14.764</t>
        </is>
      </c>
      <c r="C4112" t="n">
        <v/>
      </c>
      <c r="D4112" t="inlineStr">
        <is>
          <t>Media file</t>
        </is>
      </c>
      <c r="E4112" t="inlineStr">
        <is>
          <t>player #1:C:/Users/manuel.felline/Documents/BEHAVIOR BTBR/NOR second cohort/WT/test/c58_m4.mp4</t>
        </is>
      </c>
      <c r="F4112" t="n">
        <v>-14.6</v>
      </c>
      <c r="G4112" t="n">
        <v>573.366</v>
      </c>
      <c r="H4112" t="n">
        <v>627.6660000000001</v>
      </c>
      <c r="I4112" t="n">
        <v>30</v>
      </c>
      <c r="J4112" t="inlineStr">
        <is>
          <t xml:space="preserve"> WT</t>
        </is>
      </c>
      <c r="K4112" t="inlineStr">
        <is>
          <t>Male</t>
        </is>
      </c>
      <c r="L4112" t="inlineStr">
        <is>
          <t>No focal subject</t>
        </is>
      </c>
      <c r="M4112" t="n">
        <v>39.167</v>
      </c>
      <c r="N4112" t="inlineStr">
        <is>
          <t>Explore_F</t>
        </is>
      </c>
      <c r="O4112" t="inlineStr">
        <is>
          <t>Familiar</t>
        </is>
      </c>
      <c r="P4112" t="inlineStr">
        <is>
          <t>STATE</t>
        </is>
      </c>
      <c r="Q4112" t="n">
        <v>544.433</v>
      </c>
      <c r="R4112" t="n">
        <v>546.533</v>
      </c>
      <c r="S4112" t="n">
        <v>2.1</v>
      </c>
      <c r="T4112" t="inlineStr">
        <is>
          <t>C:/Users/manuel.felline/Documents/BEHAVIOR BTBR/NOR second cohort/WT/test/c58_m4.mp4</t>
        </is>
      </c>
      <c r="U4112" t="n">
        <v>16771</v>
      </c>
      <c r="V4112" t="n">
        <v>16834</v>
      </c>
      <c r="W4112" t="n">
        <v/>
      </c>
      <c r="X4112" t="n">
        <v/>
      </c>
      <c r="Y4112" t="n">
        <v/>
      </c>
      <c r="Z4112" t="n">
        <v/>
      </c>
      <c r="AA4112">
        <f>SUMIFS($S$2:S4112,$A$2:A4112,A4112,$N$2:N4112,"Explore*")</f>
        <v/>
      </c>
      <c r="AB4112">
        <f>IF(AND(LEFT(N4112,7)="Explore",(AA4112-IF(LEFT(N4112,7)="Explore",S4112,0))&lt;10),"SI","NO")</f>
        <v/>
      </c>
    </row>
    <row r="4113">
      <c r="A4113" t="inlineStr">
        <is>
          <t>c58m4_test</t>
        </is>
      </c>
      <c r="B4113" t="inlineStr">
        <is>
          <t>2026-07-02 12:05:14.764</t>
        </is>
      </c>
      <c r="C4113" t="n">
        <v/>
      </c>
      <c r="D4113" t="inlineStr">
        <is>
          <t>Media file</t>
        </is>
      </c>
      <c r="E4113" t="inlineStr">
        <is>
          <t>player #1:C:/Users/manuel.felline/Documents/BEHAVIOR BTBR/NOR second cohort/WT/test/c58_m4.mp4</t>
        </is>
      </c>
      <c r="F4113" t="n">
        <v>-14.6</v>
      </c>
      <c r="G4113" t="n">
        <v>573.366</v>
      </c>
      <c r="H4113" t="n">
        <v>627.6660000000001</v>
      </c>
      <c r="I4113" t="n">
        <v>30</v>
      </c>
      <c r="J4113" t="inlineStr">
        <is>
          <t xml:space="preserve"> WT</t>
        </is>
      </c>
      <c r="K4113" t="inlineStr">
        <is>
          <t>Male</t>
        </is>
      </c>
      <c r="L4113" t="inlineStr">
        <is>
          <t>No focal subject</t>
        </is>
      </c>
      <c r="M4113" t="n">
        <v>39.167</v>
      </c>
      <c r="N4113" t="inlineStr">
        <is>
          <t>Explore_F</t>
        </is>
      </c>
      <c r="O4113" t="inlineStr">
        <is>
          <t>Familiar</t>
        </is>
      </c>
      <c r="P4113" t="inlineStr">
        <is>
          <t>STATE</t>
        </is>
      </c>
      <c r="Q4113" t="n">
        <v>576.566</v>
      </c>
      <c r="R4113" t="n">
        <v>577.799</v>
      </c>
      <c r="S4113" t="n">
        <v>1.233</v>
      </c>
      <c r="T4113" t="inlineStr">
        <is>
          <t>C:/Users/manuel.felline/Documents/BEHAVIOR BTBR/NOR second cohort/WT/test/c58_m4.mp4</t>
        </is>
      </c>
      <c r="U4113" t="n">
        <v>17735</v>
      </c>
      <c r="V4113" t="n">
        <v>17772</v>
      </c>
      <c r="W4113" t="n">
        <v/>
      </c>
      <c r="X4113" t="n">
        <v/>
      </c>
      <c r="Y4113" t="n">
        <v/>
      </c>
      <c r="Z4113" t="n">
        <v/>
      </c>
      <c r="AA4113">
        <f>SUMIFS($S$2:S4113,$A$2:A4113,A4113,$N$2:N4113,"Explore*")</f>
        <v/>
      </c>
      <c r="AB4113">
        <f>IF(AND(LEFT(N4113,7)="Explore",(AA4113-IF(LEFT(N4113,7)="Explore",S4113,0))&lt;10),"SI","NO")</f>
        <v/>
      </c>
    </row>
    <row r="4114">
      <c r="A4114" t="inlineStr">
        <is>
          <t>c58m4_test</t>
        </is>
      </c>
      <c r="B4114" t="inlineStr">
        <is>
          <t>2026-07-02 12:05:14.764</t>
        </is>
      </c>
      <c r="C4114" t="n">
        <v/>
      </c>
      <c r="D4114" t="inlineStr">
        <is>
          <t>Media file</t>
        </is>
      </c>
      <c r="E4114" t="inlineStr">
        <is>
          <t>player #1:C:/Users/manuel.felline/Documents/BEHAVIOR BTBR/NOR second cohort/WT/test/c58_m4.mp4</t>
        </is>
      </c>
      <c r="F4114" t="n">
        <v>-14.6</v>
      </c>
      <c r="G4114" t="n">
        <v>573.366</v>
      </c>
      <c r="H4114" t="n">
        <v>627.6660000000001</v>
      </c>
      <c r="I4114" t="n">
        <v>30</v>
      </c>
      <c r="J4114" t="inlineStr">
        <is>
          <t xml:space="preserve"> WT</t>
        </is>
      </c>
      <c r="K4114" t="inlineStr">
        <is>
          <t>Male</t>
        </is>
      </c>
      <c r="L4114" t="inlineStr">
        <is>
          <t>No focal subject</t>
        </is>
      </c>
      <c r="M4114" t="n">
        <v>39.167</v>
      </c>
      <c r="N4114" t="inlineStr">
        <is>
          <t>Explore_F</t>
        </is>
      </c>
      <c r="O4114" t="inlineStr">
        <is>
          <t>Familiar</t>
        </is>
      </c>
      <c r="P4114" t="inlineStr">
        <is>
          <t>STATE</t>
        </is>
      </c>
      <c r="Q4114" t="n">
        <v>582.699</v>
      </c>
      <c r="R4114" t="n">
        <v>583.533</v>
      </c>
      <c r="S4114" t="n">
        <v>0.834</v>
      </c>
      <c r="T4114" t="inlineStr">
        <is>
          <t>C:/Users/manuel.felline/Documents/BEHAVIOR BTBR/NOR second cohort/WT/test/c58_m4.mp4</t>
        </is>
      </c>
      <c r="U4114" t="n">
        <v>17919</v>
      </c>
      <c r="V4114" t="n">
        <v>17944</v>
      </c>
      <c r="W4114" t="n">
        <v/>
      </c>
      <c r="X4114" t="n">
        <v/>
      </c>
      <c r="Y4114" t="n">
        <v/>
      </c>
      <c r="Z4114" t="n">
        <v/>
      </c>
      <c r="AA4114">
        <f>SUMIFS($S$2:S4114,$A$2:A4114,A4114,$N$2:N4114,"Explore*")</f>
        <v/>
      </c>
      <c r="AB4114">
        <f>IF(AND(LEFT(N4114,7)="Explore",(AA4114-IF(LEFT(N4114,7)="Explore",S4114,0))&lt;10),"SI","NO")</f>
        <v/>
      </c>
    </row>
    <row r="4115">
      <c r="A4115" t="inlineStr">
        <is>
          <t>c58m4_test</t>
        </is>
      </c>
      <c r="B4115" t="inlineStr">
        <is>
          <t>2026-07-02 12:05:14.764</t>
        </is>
      </c>
      <c r="C4115" t="n">
        <v/>
      </c>
      <c r="D4115" t="inlineStr">
        <is>
          <t>Media file</t>
        </is>
      </c>
      <c r="E4115" t="inlineStr">
        <is>
          <t>player #1:C:/Users/manuel.felline/Documents/BEHAVIOR BTBR/NOR second cohort/WT/test/c58_m4.mp4</t>
        </is>
      </c>
      <c r="F4115" t="n">
        <v>-14.6</v>
      </c>
      <c r="G4115" t="n">
        <v>573.366</v>
      </c>
      <c r="H4115" t="n">
        <v>627.6660000000001</v>
      </c>
      <c r="I4115" t="n">
        <v>30</v>
      </c>
      <c r="J4115" t="inlineStr">
        <is>
          <t xml:space="preserve"> WT</t>
        </is>
      </c>
      <c r="K4115" t="inlineStr">
        <is>
          <t>Male</t>
        </is>
      </c>
      <c r="L4115" t="inlineStr">
        <is>
          <t>No focal subject</t>
        </is>
      </c>
      <c r="M4115" t="n">
        <v>39.167</v>
      </c>
      <c r="N4115" t="inlineStr">
        <is>
          <t>Explore_F</t>
        </is>
      </c>
      <c r="O4115" t="inlineStr">
        <is>
          <t>Familiar</t>
        </is>
      </c>
      <c r="P4115" t="inlineStr">
        <is>
          <t>STATE</t>
        </is>
      </c>
      <c r="Q4115" t="n">
        <v>585.199</v>
      </c>
      <c r="R4115" t="n">
        <v>586.699</v>
      </c>
      <c r="S4115" t="n">
        <v>1.5</v>
      </c>
      <c r="T4115" t="inlineStr">
        <is>
          <t>C:/Users/manuel.felline/Documents/BEHAVIOR BTBR/NOR second cohort/WT/test/c58_m4.mp4</t>
        </is>
      </c>
      <c r="U4115" t="n">
        <v>17994</v>
      </c>
      <c r="V4115" t="n">
        <v>18039</v>
      </c>
      <c r="W4115" t="n">
        <v/>
      </c>
      <c r="X4115" t="n">
        <v/>
      </c>
      <c r="Y4115" t="n">
        <v/>
      </c>
      <c r="Z4115" t="n">
        <v/>
      </c>
      <c r="AA4115">
        <f>SUMIFS($S$2:S4115,$A$2:A4115,A4115,$N$2:N4115,"Explore*")</f>
        <v/>
      </c>
      <c r="AB4115">
        <f>IF(AND(LEFT(N4115,7)="Explore",(AA4115-IF(LEFT(N4115,7)="Explore",S4115,0))&lt;10),"SI","NO")</f>
        <v/>
      </c>
    </row>
    <row r="4116">
      <c r="A4116" t="inlineStr">
        <is>
          <t>c58m5_test</t>
        </is>
      </c>
      <c r="B4116" t="inlineStr">
        <is>
          <t>2026-07-02 15:27:13.204</t>
        </is>
      </c>
      <c r="C4116" t="n">
        <v/>
      </c>
      <c r="D4116" t="inlineStr">
        <is>
          <t>Media file</t>
        </is>
      </c>
      <c r="E4116" t="inlineStr">
        <is>
          <t>player #1:C:/Users/manuel.felline/Documents/BEHAVIOR BTBR/NOR second cohort/WT/test/c58_m5.mp4</t>
        </is>
      </c>
      <c r="F4116" t="n">
        <v>0</v>
      </c>
      <c r="G4116" t="n">
        <v>572.466</v>
      </c>
      <c r="H4116" t="n">
        <v>641.7329999999999</v>
      </c>
      <c r="I4116" t="n">
        <v>30</v>
      </c>
      <c r="J4116" t="inlineStr">
        <is>
          <t xml:space="preserve"> WT</t>
        </is>
      </c>
      <c r="K4116" t="inlineStr">
        <is>
          <t>Male</t>
        </is>
      </c>
      <c r="L4116" t="inlineStr">
        <is>
          <t>No focal subject</t>
        </is>
      </c>
      <c r="M4116" t="n">
        <v>78.574</v>
      </c>
      <c r="N4116" t="inlineStr">
        <is>
          <t>Explore_F</t>
        </is>
      </c>
      <c r="O4116" t="inlineStr">
        <is>
          <t>Familiar</t>
        </is>
      </c>
      <c r="P4116" t="inlineStr">
        <is>
          <t>STATE</t>
        </is>
      </c>
      <c r="Q4116" t="n">
        <v>11.533</v>
      </c>
      <c r="R4116" t="n">
        <v>12.067</v>
      </c>
      <c r="S4116" t="n">
        <v>0.534</v>
      </c>
      <c r="T4116" t="inlineStr">
        <is>
          <t>C:/Users/manuel.felline/Documents/BEHAVIOR BTBR/NOR second cohort/WT/test/c58_m5.mp4</t>
        </is>
      </c>
      <c r="U4116" t="n">
        <v>346</v>
      </c>
      <c r="V4116" t="n">
        <v>362</v>
      </c>
      <c r="W4116" t="n">
        <v/>
      </c>
      <c r="X4116" t="n">
        <v/>
      </c>
      <c r="Y4116" t="n">
        <v/>
      </c>
      <c r="Z4116" t="n">
        <v/>
      </c>
      <c r="AA4116">
        <f>SUMIFS($S$2:S4116,$A$2:A4116,A4116,$N$2:N4116,"Explore*")</f>
        <v/>
      </c>
      <c r="AB4116">
        <f>IF(AND(LEFT(N4116,7)="Explore",(AA4116-IF(LEFT(N4116,7)="Explore",S4116,0))&lt;10),"SI","NO")</f>
        <v/>
      </c>
    </row>
    <row r="4117">
      <c r="A4117" t="inlineStr">
        <is>
          <t>c58m5_test</t>
        </is>
      </c>
      <c r="B4117" t="inlineStr">
        <is>
          <t>2026-07-02 15:27:13.204</t>
        </is>
      </c>
      <c r="C4117" t="n">
        <v/>
      </c>
      <c r="D4117" t="inlineStr">
        <is>
          <t>Media file</t>
        </is>
      </c>
      <c r="E4117" t="inlineStr">
        <is>
          <t>player #1:C:/Users/manuel.felline/Documents/BEHAVIOR BTBR/NOR second cohort/WT/test/c58_m5.mp4</t>
        </is>
      </c>
      <c r="F4117" t="n">
        <v>0</v>
      </c>
      <c r="G4117" t="n">
        <v>572.466</v>
      </c>
      <c r="H4117" t="n">
        <v>641.7329999999999</v>
      </c>
      <c r="I4117" t="n">
        <v>30</v>
      </c>
      <c r="J4117" t="inlineStr">
        <is>
          <t xml:space="preserve"> WT</t>
        </is>
      </c>
      <c r="K4117" t="inlineStr">
        <is>
          <t>Male</t>
        </is>
      </c>
      <c r="L4117" t="inlineStr">
        <is>
          <t>No focal subject</t>
        </is>
      </c>
      <c r="M4117" t="n">
        <v>78.574</v>
      </c>
      <c r="N4117" t="inlineStr">
        <is>
          <t>Explore_F</t>
        </is>
      </c>
      <c r="O4117" t="inlineStr">
        <is>
          <t>Familiar</t>
        </is>
      </c>
      <c r="P4117" t="inlineStr">
        <is>
          <t>STATE</t>
        </is>
      </c>
      <c r="Q4117" t="n">
        <v>13.833</v>
      </c>
      <c r="R4117" t="n">
        <v>14.133</v>
      </c>
      <c r="S4117" t="n">
        <v>0.3</v>
      </c>
      <c r="T4117" t="inlineStr">
        <is>
          <t>C:/Users/manuel.felline/Documents/BEHAVIOR BTBR/NOR second cohort/WT/test/c58_m5.mp4</t>
        </is>
      </c>
      <c r="U4117" t="n">
        <v>415</v>
      </c>
      <c r="V4117" t="n">
        <v>424</v>
      </c>
      <c r="W4117" t="n">
        <v/>
      </c>
      <c r="X4117" t="n">
        <v/>
      </c>
      <c r="Y4117" t="n">
        <v/>
      </c>
      <c r="Z4117" t="n">
        <v/>
      </c>
      <c r="AA4117">
        <f>SUMIFS($S$2:S4117,$A$2:A4117,A4117,$N$2:N4117,"Explore*")</f>
        <v/>
      </c>
      <c r="AB4117">
        <f>IF(AND(LEFT(N4117,7)="Explore",(AA4117-IF(LEFT(N4117,7)="Explore",S4117,0))&lt;10),"SI","NO")</f>
        <v/>
      </c>
    </row>
    <row r="4118">
      <c r="A4118" t="inlineStr">
        <is>
          <t>c58m5_test</t>
        </is>
      </c>
      <c r="B4118" t="inlineStr">
        <is>
          <t>2026-07-02 15:27:13.204</t>
        </is>
      </c>
      <c r="C4118" t="n">
        <v/>
      </c>
      <c r="D4118" t="inlineStr">
        <is>
          <t>Media file</t>
        </is>
      </c>
      <c r="E4118" t="inlineStr">
        <is>
          <t>player #1:C:/Users/manuel.felline/Documents/BEHAVIOR BTBR/NOR second cohort/WT/test/c58_m5.mp4</t>
        </is>
      </c>
      <c r="F4118" t="n">
        <v>0</v>
      </c>
      <c r="G4118" t="n">
        <v>572.466</v>
      </c>
      <c r="H4118" t="n">
        <v>641.7329999999999</v>
      </c>
      <c r="I4118" t="n">
        <v>30</v>
      </c>
      <c r="J4118" t="inlineStr">
        <is>
          <t xml:space="preserve"> WT</t>
        </is>
      </c>
      <c r="K4118" t="inlineStr">
        <is>
          <t>Male</t>
        </is>
      </c>
      <c r="L4118" t="inlineStr">
        <is>
          <t>No focal subject</t>
        </is>
      </c>
      <c r="M4118" t="n">
        <v>78.574</v>
      </c>
      <c r="N4118" t="inlineStr">
        <is>
          <t>Explore_N</t>
        </is>
      </c>
      <c r="O4118" t="inlineStr">
        <is>
          <t>Novelty</t>
        </is>
      </c>
      <c r="P4118" t="inlineStr">
        <is>
          <t>STATE</t>
        </is>
      </c>
      <c r="Q4118" t="n">
        <v>22.433</v>
      </c>
      <c r="R4118" t="n">
        <v>23.1</v>
      </c>
      <c r="S4118" t="n">
        <v>0.667</v>
      </c>
      <c r="T4118" t="inlineStr">
        <is>
          <t>C:/Users/manuel.felline/Documents/BEHAVIOR BTBR/NOR second cohort/WT/test/c58_m5.mp4</t>
        </is>
      </c>
      <c r="U4118" t="n">
        <v>673</v>
      </c>
      <c r="V4118" t="n">
        <v>693</v>
      </c>
      <c r="W4118" t="n">
        <v/>
      </c>
      <c r="X4118" t="n">
        <v/>
      </c>
      <c r="Y4118" t="n">
        <v/>
      </c>
      <c r="Z4118" t="n">
        <v/>
      </c>
      <c r="AA4118">
        <f>SUMIFS($S$2:S4118,$A$2:A4118,A4118,$N$2:N4118,"Explore*")</f>
        <v/>
      </c>
      <c r="AB4118">
        <f>IF(AND(LEFT(N4118,7)="Explore",(AA4118-IF(LEFT(N4118,7)="Explore",S4118,0))&lt;10),"SI","NO")</f>
        <v/>
      </c>
    </row>
    <row r="4119">
      <c r="A4119" t="inlineStr">
        <is>
          <t>c58m5_test</t>
        </is>
      </c>
      <c r="B4119" t="inlineStr">
        <is>
          <t>2026-07-02 15:27:13.204</t>
        </is>
      </c>
      <c r="C4119" t="n">
        <v/>
      </c>
      <c r="D4119" t="inlineStr">
        <is>
          <t>Media file</t>
        </is>
      </c>
      <c r="E4119" t="inlineStr">
        <is>
          <t>player #1:C:/Users/manuel.felline/Documents/BEHAVIOR BTBR/NOR second cohort/WT/test/c58_m5.mp4</t>
        </is>
      </c>
      <c r="F4119" t="n">
        <v>0</v>
      </c>
      <c r="G4119" t="n">
        <v>572.466</v>
      </c>
      <c r="H4119" t="n">
        <v>641.7329999999999</v>
      </c>
      <c r="I4119" t="n">
        <v>30</v>
      </c>
      <c r="J4119" t="inlineStr">
        <is>
          <t xml:space="preserve"> WT</t>
        </is>
      </c>
      <c r="K4119" t="inlineStr">
        <is>
          <t>Male</t>
        </is>
      </c>
      <c r="L4119" t="inlineStr">
        <is>
          <t>No focal subject</t>
        </is>
      </c>
      <c r="M4119" t="n">
        <v>78.574</v>
      </c>
      <c r="N4119" t="inlineStr">
        <is>
          <t>Explore_N</t>
        </is>
      </c>
      <c r="O4119" t="inlineStr">
        <is>
          <t>Novelty</t>
        </is>
      </c>
      <c r="P4119" t="inlineStr">
        <is>
          <t>STATE</t>
        </is>
      </c>
      <c r="Q4119" t="n">
        <v>26.967</v>
      </c>
      <c r="R4119" t="n">
        <v>27.133</v>
      </c>
      <c r="S4119" t="n">
        <v>0.166</v>
      </c>
      <c r="T4119" t="inlineStr">
        <is>
          <t>C:/Users/manuel.felline/Documents/BEHAVIOR BTBR/NOR second cohort/WT/test/c58_m5.mp4</t>
        </is>
      </c>
      <c r="U4119" t="n">
        <v>809</v>
      </c>
      <c r="V4119" t="n">
        <v>814</v>
      </c>
      <c r="W4119" t="n">
        <v/>
      </c>
      <c r="X4119" t="n">
        <v/>
      </c>
      <c r="Y4119" t="n">
        <v/>
      </c>
      <c r="Z4119" t="n">
        <v/>
      </c>
      <c r="AA4119">
        <f>SUMIFS($S$2:S4119,$A$2:A4119,A4119,$N$2:N4119,"Explore*")</f>
        <v/>
      </c>
      <c r="AB4119">
        <f>IF(AND(LEFT(N4119,7)="Explore",(AA4119-IF(LEFT(N4119,7)="Explore",S4119,0))&lt;10),"SI","NO")</f>
        <v/>
      </c>
    </row>
    <row r="4120">
      <c r="A4120" t="inlineStr">
        <is>
          <t>c58m5_test</t>
        </is>
      </c>
      <c r="B4120" t="inlineStr">
        <is>
          <t>2026-07-02 15:27:13.204</t>
        </is>
      </c>
      <c r="C4120" t="n">
        <v/>
      </c>
      <c r="D4120" t="inlineStr">
        <is>
          <t>Media file</t>
        </is>
      </c>
      <c r="E4120" t="inlineStr">
        <is>
          <t>player #1:C:/Users/manuel.felline/Documents/BEHAVIOR BTBR/NOR second cohort/WT/test/c58_m5.mp4</t>
        </is>
      </c>
      <c r="F4120" t="n">
        <v>0</v>
      </c>
      <c r="G4120" t="n">
        <v>572.466</v>
      </c>
      <c r="H4120" t="n">
        <v>641.7329999999999</v>
      </c>
      <c r="I4120" t="n">
        <v>30</v>
      </c>
      <c r="J4120" t="inlineStr">
        <is>
          <t xml:space="preserve"> WT</t>
        </is>
      </c>
      <c r="K4120" t="inlineStr">
        <is>
          <t>Male</t>
        </is>
      </c>
      <c r="L4120" t="inlineStr">
        <is>
          <t>No focal subject</t>
        </is>
      </c>
      <c r="M4120" t="n">
        <v>78.574</v>
      </c>
      <c r="N4120" t="inlineStr">
        <is>
          <t>Explore_F</t>
        </is>
      </c>
      <c r="O4120" t="inlineStr">
        <is>
          <t>Familiar</t>
        </is>
      </c>
      <c r="P4120" t="inlineStr">
        <is>
          <t>STATE</t>
        </is>
      </c>
      <c r="Q4120" t="n">
        <v>32.7</v>
      </c>
      <c r="R4120" t="n">
        <v>34.1</v>
      </c>
      <c r="S4120" t="n">
        <v>1.4</v>
      </c>
      <c r="T4120" t="inlineStr">
        <is>
          <t>C:/Users/manuel.felline/Documents/BEHAVIOR BTBR/NOR second cohort/WT/test/c58_m5.mp4</t>
        </is>
      </c>
      <c r="U4120" t="n">
        <v>980</v>
      </c>
      <c r="V4120" t="n">
        <v>1022</v>
      </c>
      <c r="W4120" t="n">
        <v/>
      </c>
      <c r="X4120" t="n">
        <v/>
      </c>
      <c r="Y4120" t="n">
        <v/>
      </c>
      <c r="Z4120" t="n">
        <v/>
      </c>
      <c r="AA4120">
        <f>SUMIFS($S$2:S4120,$A$2:A4120,A4120,$N$2:N4120,"Explore*")</f>
        <v/>
      </c>
      <c r="AB4120">
        <f>IF(AND(LEFT(N4120,7)="Explore",(AA4120-IF(LEFT(N4120,7)="Explore",S4120,0))&lt;10),"SI","NO")</f>
        <v/>
      </c>
    </row>
    <row r="4121">
      <c r="A4121" t="inlineStr">
        <is>
          <t>c58m5_test</t>
        </is>
      </c>
      <c r="B4121" t="inlineStr">
        <is>
          <t>2026-07-02 15:27:13.204</t>
        </is>
      </c>
      <c r="C4121" t="n">
        <v/>
      </c>
      <c r="D4121" t="inlineStr">
        <is>
          <t>Media file</t>
        </is>
      </c>
      <c r="E4121" t="inlineStr">
        <is>
          <t>player #1:C:/Users/manuel.felline/Documents/BEHAVIOR BTBR/NOR second cohort/WT/test/c58_m5.mp4</t>
        </is>
      </c>
      <c r="F4121" t="n">
        <v>0</v>
      </c>
      <c r="G4121" t="n">
        <v>572.466</v>
      </c>
      <c r="H4121" t="n">
        <v>641.7329999999999</v>
      </c>
      <c r="I4121" t="n">
        <v>30</v>
      </c>
      <c r="J4121" t="inlineStr">
        <is>
          <t xml:space="preserve"> WT</t>
        </is>
      </c>
      <c r="K4121" t="inlineStr">
        <is>
          <t>Male</t>
        </is>
      </c>
      <c r="L4121" t="inlineStr">
        <is>
          <t>No focal subject</t>
        </is>
      </c>
      <c r="M4121" t="n">
        <v>78.574</v>
      </c>
      <c r="N4121" t="inlineStr">
        <is>
          <t>Explore_F</t>
        </is>
      </c>
      <c r="O4121" t="inlineStr">
        <is>
          <t>Familiar</t>
        </is>
      </c>
      <c r="P4121" t="inlineStr">
        <is>
          <t>STATE</t>
        </is>
      </c>
      <c r="Q4121" t="n">
        <v>45.4</v>
      </c>
      <c r="R4121" t="n">
        <v>45.667</v>
      </c>
      <c r="S4121" t="n">
        <v>0.267</v>
      </c>
      <c r="T4121" t="inlineStr">
        <is>
          <t>C:/Users/manuel.felline/Documents/BEHAVIOR BTBR/NOR second cohort/WT/test/c58_m5.mp4</t>
        </is>
      </c>
      <c r="U4121" t="n">
        <v>1361</v>
      </c>
      <c r="V4121" t="n">
        <v>1369</v>
      </c>
      <c r="W4121" t="n">
        <v/>
      </c>
      <c r="X4121" t="n">
        <v/>
      </c>
      <c r="Y4121" t="n">
        <v/>
      </c>
      <c r="Z4121" t="n">
        <v/>
      </c>
      <c r="AA4121">
        <f>SUMIFS($S$2:S4121,$A$2:A4121,A4121,$N$2:N4121,"Explore*")</f>
        <v/>
      </c>
      <c r="AB4121">
        <f>IF(AND(LEFT(N4121,7)="Explore",(AA4121-IF(LEFT(N4121,7)="Explore",S4121,0))&lt;10),"SI","NO")</f>
        <v/>
      </c>
    </row>
    <row r="4122">
      <c r="A4122" t="inlineStr">
        <is>
          <t>c58m5_test</t>
        </is>
      </c>
      <c r="B4122" t="inlineStr">
        <is>
          <t>2026-07-02 15:27:13.204</t>
        </is>
      </c>
      <c r="C4122" t="n">
        <v/>
      </c>
      <c r="D4122" t="inlineStr">
        <is>
          <t>Media file</t>
        </is>
      </c>
      <c r="E4122" t="inlineStr">
        <is>
          <t>player #1:C:/Users/manuel.felline/Documents/BEHAVIOR BTBR/NOR second cohort/WT/test/c58_m5.mp4</t>
        </is>
      </c>
      <c r="F4122" t="n">
        <v>0</v>
      </c>
      <c r="G4122" t="n">
        <v>572.466</v>
      </c>
      <c r="H4122" t="n">
        <v>641.7329999999999</v>
      </c>
      <c r="I4122" t="n">
        <v>30</v>
      </c>
      <c r="J4122" t="inlineStr">
        <is>
          <t xml:space="preserve"> WT</t>
        </is>
      </c>
      <c r="K4122" t="inlineStr">
        <is>
          <t>Male</t>
        </is>
      </c>
      <c r="L4122" t="inlineStr">
        <is>
          <t>No focal subject</t>
        </is>
      </c>
      <c r="M4122" t="n">
        <v>78.574</v>
      </c>
      <c r="N4122" t="inlineStr">
        <is>
          <t>Explore_N</t>
        </is>
      </c>
      <c r="O4122" t="inlineStr">
        <is>
          <t>Novelty</t>
        </is>
      </c>
      <c r="P4122" t="inlineStr">
        <is>
          <t>STATE</t>
        </is>
      </c>
      <c r="Q4122" t="n">
        <v>48.3</v>
      </c>
      <c r="R4122" t="n">
        <v>49.367</v>
      </c>
      <c r="S4122" t="n">
        <v>1.067</v>
      </c>
      <c r="T4122" t="inlineStr">
        <is>
          <t>C:/Users/manuel.felline/Documents/BEHAVIOR BTBR/NOR second cohort/WT/test/c58_m5.mp4</t>
        </is>
      </c>
      <c r="U4122" t="n">
        <v>1448</v>
      </c>
      <c r="V4122" t="n">
        <v>1480</v>
      </c>
      <c r="W4122" t="n">
        <v/>
      </c>
      <c r="X4122" t="n">
        <v/>
      </c>
      <c r="Y4122" t="n">
        <v/>
      </c>
      <c r="Z4122" t="n">
        <v/>
      </c>
      <c r="AA4122">
        <f>SUMIFS($S$2:S4122,$A$2:A4122,A4122,$N$2:N4122,"Explore*")</f>
        <v/>
      </c>
      <c r="AB4122">
        <f>IF(AND(LEFT(N4122,7)="Explore",(AA4122-IF(LEFT(N4122,7)="Explore",S4122,0))&lt;10),"SI","NO")</f>
        <v/>
      </c>
    </row>
    <row r="4123">
      <c r="A4123" t="inlineStr">
        <is>
          <t>c58m5_test</t>
        </is>
      </c>
      <c r="B4123" t="inlineStr">
        <is>
          <t>2026-07-02 15:27:13.204</t>
        </is>
      </c>
      <c r="C4123" t="n">
        <v/>
      </c>
      <c r="D4123" t="inlineStr">
        <is>
          <t>Media file</t>
        </is>
      </c>
      <c r="E4123" t="inlineStr">
        <is>
          <t>player #1:C:/Users/manuel.felline/Documents/BEHAVIOR BTBR/NOR second cohort/WT/test/c58_m5.mp4</t>
        </is>
      </c>
      <c r="F4123" t="n">
        <v>0</v>
      </c>
      <c r="G4123" t="n">
        <v>572.466</v>
      </c>
      <c r="H4123" t="n">
        <v>641.7329999999999</v>
      </c>
      <c r="I4123" t="n">
        <v>30</v>
      </c>
      <c r="J4123" t="inlineStr">
        <is>
          <t xml:space="preserve"> WT</t>
        </is>
      </c>
      <c r="K4123" t="inlineStr">
        <is>
          <t>Male</t>
        </is>
      </c>
      <c r="L4123" t="inlineStr">
        <is>
          <t>No focal subject</t>
        </is>
      </c>
      <c r="M4123" t="n">
        <v>78.574</v>
      </c>
      <c r="N4123" t="inlineStr">
        <is>
          <t>Explore_N</t>
        </is>
      </c>
      <c r="O4123" t="inlineStr">
        <is>
          <t>Novelty</t>
        </is>
      </c>
      <c r="P4123" t="inlineStr">
        <is>
          <t>STATE</t>
        </is>
      </c>
      <c r="Q4123" t="n">
        <v>51.167</v>
      </c>
      <c r="R4123" t="n">
        <v>52.467</v>
      </c>
      <c r="S4123" t="n">
        <v>1.3</v>
      </c>
      <c r="T4123" t="inlineStr">
        <is>
          <t>C:/Users/manuel.felline/Documents/BEHAVIOR BTBR/NOR second cohort/WT/test/c58_m5.mp4</t>
        </is>
      </c>
      <c r="U4123" t="n">
        <v>1534</v>
      </c>
      <c r="V4123" t="n">
        <v>1573</v>
      </c>
      <c r="W4123" t="n">
        <v/>
      </c>
      <c r="X4123" t="n">
        <v/>
      </c>
      <c r="Y4123" t="n">
        <v/>
      </c>
      <c r="Z4123" t="n">
        <v/>
      </c>
      <c r="AA4123">
        <f>SUMIFS($S$2:S4123,$A$2:A4123,A4123,$N$2:N4123,"Explore*")</f>
        <v/>
      </c>
      <c r="AB4123">
        <f>IF(AND(LEFT(N4123,7)="Explore",(AA4123-IF(LEFT(N4123,7)="Explore",S4123,0))&lt;10),"SI","NO")</f>
        <v/>
      </c>
    </row>
    <row r="4124">
      <c r="A4124" t="inlineStr">
        <is>
          <t>c58m5_test</t>
        </is>
      </c>
      <c r="B4124" t="inlineStr">
        <is>
          <t>2026-07-02 15:27:13.204</t>
        </is>
      </c>
      <c r="C4124" t="n">
        <v/>
      </c>
      <c r="D4124" t="inlineStr">
        <is>
          <t>Media file</t>
        </is>
      </c>
      <c r="E4124" t="inlineStr">
        <is>
          <t>player #1:C:/Users/manuel.felline/Documents/BEHAVIOR BTBR/NOR second cohort/WT/test/c58_m5.mp4</t>
        </is>
      </c>
      <c r="F4124" t="n">
        <v>0</v>
      </c>
      <c r="G4124" t="n">
        <v>572.466</v>
      </c>
      <c r="H4124" t="n">
        <v>641.7329999999999</v>
      </c>
      <c r="I4124" t="n">
        <v>30</v>
      </c>
      <c r="J4124" t="inlineStr">
        <is>
          <t xml:space="preserve"> WT</t>
        </is>
      </c>
      <c r="K4124" t="inlineStr">
        <is>
          <t>Male</t>
        </is>
      </c>
      <c r="L4124" t="inlineStr">
        <is>
          <t>No focal subject</t>
        </is>
      </c>
      <c r="M4124" t="n">
        <v>78.574</v>
      </c>
      <c r="N4124" t="inlineStr">
        <is>
          <t>Explore_N</t>
        </is>
      </c>
      <c r="O4124" t="inlineStr">
        <is>
          <t>Novelty</t>
        </is>
      </c>
      <c r="P4124" t="inlineStr">
        <is>
          <t>STATE</t>
        </is>
      </c>
      <c r="Q4124" t="n">
        <v>66.633</v>
      </c>
      <c r="R4124" t="n">
        <v>67.56699999999999</v>
      </c>
      <c r="S4124" t="n">
        <v>0.9340000000000001</v>
      </c>
      <c r="T4124" t="inlineStr">
        <is>
          <t>C:/Users/manuel.felline/Documents/BEHAVIOR BTBR/NOR second cohort/WT/test/c58_m5.mp4</t>
        </is>
      </c>
      <c r="U4124" t="n">
        <v>1998</v>
      </c>
      <c r="V4124" t="n">
        <v>2026</v>
      </c>
      <c r="W4124" t="n">
        <v/>
      </c>
      <c r="X4124" t="n">
        <v/>
      </c>
      <c r="Y4124" t="n">
        <v/>
      </c>
      <c r="Z4124" t="n">
        <v/>
      </c>
      <c r="AA4124">
        <f>SUMIFS($S$2:S4124,$A$2:A4124,A4124,$N$2:N4124,"Explore*")</f>
        <v/>
      </c>
      <c r="AB4124">
        <f>IF(AND(LEFT(N4124,7)="Explore",(AA4124-IF(LEFT(N4124,7)="Explore",S4124,0))&lt;10),"SI","NO")</f>
        <v/>
      </c>
    </row>
    <row r="4125">
      <c r="A4125" t="inlineStr">
        <is>
          <t>c58m5_test</t>
        </is>
      </c>
      <c r="B4125" t="inlineStr">
        <is>
          <t>2026-07-02 15:27:13.204</t>
        </is>
      </c>
      <c r="C4125" t="n">
        <v/>
      </c>
      <c r="D4125" t="inlineStr">
        <is>
          <t>Media file</t>
        </is>
      </c>
      <c r="E4125" t="inlineStr">
        <is>
          <t>player #1:C:/Users/manuel.felline/Documents/BEHAVIOR BTBR/NOR second cohort/WT/test/c58_m5.mp4</t>
        </is>
      </c>
      <c r="F4125" t="n">
        <v>0</v>
      </c>
      <c r="G4125" t="n">
        <v>572.466</v>
      </c>
      <c r="H4125" t="n">
        <v>641.7329999999999</v>
      </c>
      <c r="I4125" t="n">
        <v>30</v>
      </c>
      <c r="J4125" t="inlineStr">
        <is>
          <t xml:space="preserve"> WT</t>
        </is>
      </c>
      <c r="K4125" t="inlineStr">
        <is>
          <t>Male</t>
        </is>
      </c>
      <c r="L4125" t="inlineStr">
        <is>
          <t>No focal subject</t>
        </is>
      </c>
      <c r="M4125" t="n">
        <v>78.574</v>
      </c>
      <c r="N4125" t="inlineStr">
        <is>
          <t>Explore_F</t>
        </is>
      </c>
      <c r="O4125" t="inlineStr">
        <is>
          <t>Familiar</t>
        </is>
      </c>
      <c r="P4125" t="inlineStr">
        <is>
          <t>STATE</t>
        </is>
      </c>
      <c r="Q4125" t="n">
        <v>78.133</v>
      </c>
      <c r="R4125" t="n">
        <v>78.767</v>
      </c>
      <c r="S4125" t="n">
        <v>0.634</v>
      </c>
      <c r="T4125" t="inlineStr">
        <is>
          <t>C:/Users/manuel.felline/Documents/BEHAVIOR BTBR/NOR second cohort/WT/test/c58_m5.mp4</t>
        </is>
      </c>
      <c r="U4125" t="n">
        <v>2343</v>
      </c>
      <c r="V4125" t="n">
        <v>2362</v>
      </c>
      <c r="W4125" t="n">
        <v/>
      </c>
      <c r="X4125" t="n">
        <v/>
      </c>
      <c r="Y4125" t="n">
        <v/>
      </c>
      <c r="Z4125" t="n">
        <v/>
      </c>
      <c r="AA4125">
        <f>SUMIFS($S$2:S4125,$A$2:A4125,A4125,$N$2:N4125,"Explore*")</f>
        <v/>
      </c>
      <c r="AB4125">
        <f>IF(AND(LEFT(N4125,7)="Explore",(AA4125-IF(LEFT(N4125,7)="Explore",S4125,0))&lt;10),"SI","NO")</f>
        <v/>
      </c>
    </row>
    <row r="4126">
      <c r="A4126" t="inlineStr">
        <is>
          <t>c58m5_test</t>
        </is>
      </c>
      <c r="B4126" t="inlineStr">
        <is>
          <t>2026-07-02 15:27:13.204</t>
        </is>
      </c>
      <c r="C4126" t="n">
        <v/>
      </c>
      <c r="D4126" t="inlineStr">
        <is>
          <t>Media file</t>
        </is>
      </c>
      <c r="E4126" t="inlineStr">
        <is>
          <t>player #1:C:/Users/manuel.felline/Documents/BEHAVIOR BTBR/NOR second cohort/WT/test/c58_m5.mp4</t>
        </is>
      </c>
      <c r="F4126" t="n">
        <v>0</v>
      </c>
      <c r="G4126" t="n">
        <v>572.466</v>
      </c>
      <c r="H4126" t="n">
        <v>641.7329999999999</v>
      </c>
      <c r="I4126" t="n">
        <v>30</v>
      </c>
      <c r="J4126" t="inlineStr">
        <is>
          <t xml:space="preserve"> WT</t>
        </is>
      </c>
      <c r="K4126" t="inlineStr">
        <is>
          <t>Male</t>
        </is>
      </c>
      <c r="L4126" t="inlineStr">
        <is>
          <t>No focal subject</t>
        </is>
      </c>
      <c r="M4126" t="n">
        <v>78.574</v>
      </c>
      <c r="N4126" t="inlineStr">
        <is>
          <t>Explore_N</t>
        </is>
      </c>
      <c r="O4126" t="inlineStr">
        <is>
          <t>Novelty</t>
        </is>
      </c>
      <c r="P4126" t="inlineStr">
        <is>
          <t>STATE</t>
        </is>
      </c>
      <c r="Q4126" t="n">
        <v>94.40000000000001</v>
      </c>
      <c r="R4126" t="n">
        <v>95.367</v>
      </c>
      <c r="S4126" t="n">
        <v>0.967</v>
      </c>
      <c r="T4126" t="inlineStr">
        <is>
          <t>C:/Users/manuel.felline/Documents/BEHAVIOR BTBR/NOR second cohort/WT/test/c58_m5.mp4</t>
        </is>
      </c>
      <c r="U4126" t="n">
        <v>2831</v>
      </c>
      <c r="V4126" t="n">
        <v>2860</v>
      </c>
      <c r="W4126" t="n">
        <v/>
      </c>
      <c r="X4126" t="n">
        <v/>
      </c>
      <c r="Y4126" t="n">
        <v/>
      </c>
      <c r="Z4126" t="n">
        <v/>
      </c>
      <c r="AA4126">
        <f>SUMIFS($S$2:S4126,$A$2:A4126,A4126,$N$2:N4126,"Explore*")</f>
        <v/>
      </c>
      <c r="AB4126">
        <f>IF(AND(LEFT(N4126,7)="Explore",(AA4126-IF(LEFT(N4126,7)="Explore",S4126,0))&lt;10),"SI","NO")</f>
        <v/>
      </c>
    </row>
    <row r="4127">
      <c r="A4127" t="inlineStr">
        <is>
          <t>c58m5_test</t>
        </is>
      </c>
      <c r="B4127" t="inlineStr">
        <is>
          <t>2026-07-02 15:27:13.204</t>
        </is>
      </c>
      <c r="C4127" t="n">
        <v/>
      </c>
      <c r="D4127" t="inlineStr">
        <is>
          <t>Media file</t>
        </is>
      </c>
      <c r="E4127" t="inlineStr">
        <is>
          <t>player #1:C:/Users/manuel.felline/Documents/BEHAVIOR BTBR/NOR second cohort/WT/test/c58_m5.mp4</t>
        </is>
      </c>
      <c r="F4127" t="n">
        <v>0</v>
      </c>
      <c r="G4127" t="n">
        <v>572.466</v>
      </c>
      <c r="H4127" t="n">
        <v>641.7329999999999</v>
      </c>
      <c r="I4127" t="n">
        <v>30</v>
      </c>
      <c r="J4127" t="inlineStr">
        <is>
          <t xml:space="preserve"> WT</t>
        </is>
      </c>
      <c r="K4127" t="inlineStr">
        <is>
          <t>Male</t>
        </is>
      </c>
      <c r="L4127" t="inlineStr">
        <is>
          <t>No focal subject</t>
        </is>
      </c>
      <c r="M4127" t="n">
        <v>78.574</v>
      </c>
      <c r="N4127" t="inlineStr">
        <is>
          <t>Explore_F</t>
        </is>
      </c>
      <c r="O4127" t="inlineStr">
        <is>
          <t>Familiar</t>
        </is>
      </c>
      <c r="P4127" t="inlineStr">
        <is>
          <t>STATE</t>
        </is>
      </c>
      <c r="Q4127" t="n">
        <v>99.40000000000001</v>
      </c>
      <c r="R4127" t="n">
        <v>100.5</v>
      </c>
      <c r="S4127" t="n">
        <v>1.1</v>
      </c>
      <c r="T4127" t="inlineStr">
        <is>
          <t>C:/Users/manuel.felline/Documents/BEHAVIOR BTBR/NOR second cohort/WT/test/c58_m5.mp4</t>
        </is>
      </c>
      <c r="U4127" t="n">
        <v>2980</v>
      </c>
      <c r="V4127" t="n">
        <v>3013</v>
      </c>
      <c r="W4127" t="n">
        <v/>
      </c>
      <c r="X4127" t="n">
        <v/>
      </c>
      <c r="Y4127" t="n">
        <v/>
      </c>
      <c r="Z4127" t="n">
        <v/>
      </c>
      <c r="AA4127">
        <f>SUMIFS($S$2:S4127,$A$2:A4127,A4127,$N$2:N4127,"Explore*")</f>
        <v/>
      </c>
      <c r="AB4127">
        <f>IF(AND(LEFT(N4127,7)="Explore",(AA4127-IF(LEFT(N4127,7)="Explore",S4127,0))&lt;10),"SI","NO")</f>
        <v/>
      </c>
    </row>
    <row r="4128">
      <c r="A4128" t="inlineStr">
        <is>
          <t>c58m5_test</t>
        </is>
      </c>
      <c r="B4128" t="inlineStr">
        <is>
          <t>2026-07-02 15:27:13.204</t>
        </is>
      </c>
      <c r="C4128" t="n">
        <v/>
      </c>
      <c r="D4128" t="inlineStr">
        <is>
          <t>Media file</t>
        </is>
      </c>
      <c r="E4128" t="inlineStr">
        <is>
          <t>player #1:C:/Users/manuel.felline/Documents/BEHAVIOR BTBR/NOR second cohort/WT/test/c58_m5.mp4</t>
        </is>
      </c>
      <c r="F4128" t="n">
        <v>0</v>
      </c>
      <c r="G4128" t="n">
        <v>572.466</v>
      </c>
      <c r="H4128" t="n">
        <v>641.7329999999999</v>
      </c>
      <c r="I4128" t="n">
        <v>30</v>
      </c>
      <c r="J4128" t="inlineStr">
        <is>
          <t xml:space="preserve"> WT</t>
        </is>
      </c>
      <c r="K4128" t="inlineStr">
        <is>
          <t>Male</t>
        </is>
      </c>
      <c r="L4128" t="inlineStr">
        <is>
          <t>No focal subject</t>
        </is>
      </c>
      <c r="M4128" t="n">
        <v>78.574</v>
      </c>
      <c r="N4128" t="inlineStr">
        <is>
          <t>Explore_N</t>
        </is>
      </c>
      <c r="O4128" t="inlineStr">
        <is>
          <t>Novelty</t>
        </is>
      </c>
      <c r="P4128" t="inlineStr">
        <is>
          <t>STATE</t>
        </is>
      </c>
      <c r="Q4128" t="n">
        <v>105.433</v>
      </c>
      <c r="R4128" t="n">
        <v>106.933</v>
      </c>
      <c r="S4128" t="n">
        <v>1.5</v>
      </c>
      <c r="T4128" t="inlineStr">
        <is>
          <t>C:/Users/manuel.felline/Documents/BEHAVIOR BTBR/NOR second cohort/WT/test/c58_m5.mp4</t>
        </is>
      </c>
      <c r="U4128" t="n">
        <v>3161</v>
      </c>
      <c r="V4128" t="n">
        <v>3206</v>
      </c>
      <c r="W4128" t="n">
        <v/>
      </c>
      <c r="X4128" t="n">
        <v/>
      </c>
      <c r="Y4128" t="n">
        <v/>
      </c>
      <c r="Z4128" t="n">
        <v/>
      </c>
      <c r="AA4128">
        <f>SUMIFS($S$2:S4128,$A$2:A4128,A4128,$N$2:N4128,"Explore*")</f>
        <v/>
      </c>
      <c r="AB4128">
        <f>IF(AND(LEFT(N4128,7)="Explore",(AA4128-IF(LEFT(N4128,7)="Explore",S4128,0))&lt;10),"SI","NO")</f>
        <v/>
      </c>
    </row>
    <row r="4129">
      <c r="A4129" t="inlineStr">
        <is>
          <t>c58m5_test</t>
        </is>
      </c>
      <c r="B4129" t="inlineStr">
        <is>
          <t>2026-07-02 15:27:13.204</t>
        </is>
      </c>
      <c r="C4129" t="n">
        <v/>
      </c>
      <c r="D4129" t="inlineStr">
        <is>
          <t>Media file</t>
        </is>
      </c>
      <c r="E4129" t="inlineStr">
        <is>
          <t>player #1:C:/Users/manuel.felline/Documents/BEHAVIOR BTBR/NOR second cohort/WT/test/c58_m5.mp4</t>
        </is>
      </c>
      <c r="F4129" t="n">
        <v>0</v>
      </c>
      <c r="G4129" t="n">
        <v>572.466</v>
      </c>
      <c r="H4129" t="n">
        <v>641.7329999999999</v>
      </c>
      <c r="I4129" t="n">
        <v>30</v>
      </c>
      <c r="J4129" t="inlineStr">
        <is>
          <t xml:space="preserve"> WT</t>
        </is>
      </c>
      <c r="K4129" t="inlineStr">
        <is>
          <t>Male</t>
        </is>
      </c>
      <c r="L4129" t="inlineStr">
        <is>
          <t>No focal subject</t>
        </is>
      </c>
      <c r="M4129" t="n">
        <v>78.574</v>
      </c>
      <c r="N4129" t="inlineStr">
        <is>
          <t>Explore_N</t>
        </is>
      </c>
      <c r="O4129" t="inlineStr">
        <is>
          <t>Novelty</t>
        </is>
      </c>
      <c r="P4129" t="inlineStr">
        <is>
          <t>STATE</t>
        </is>
      </c>
      <c r="Q4129" t="n">
        <v>128.3</v>
      </c>
      <c r="R4129" t="n">
        <v>128.933</v>
      </c>
      <c r="S4129" t="n">
        <v>0.633</v>
      </c>
      <c r="T4129" t="inlineStr">
        <is>
          <t>C:/Users/manuel.felline/Documents/BEHAVIOR BTBR/NOR second cohort/WT/test/c58_m5.mp4</t>
        </is>
      </c>
      <c r="U4129" t="n">
        <v>3847</v>
      </c>
      <c r="V4129" t="n">
        <v>3866</v>
      </c>
      <c r="W4129" t="n">
        <v/>
      </c>
      <c r="X4129" t="n">
        <v/>
      </c>
      <c r="Y4129" t="n">
        <v/>
      </c>
      <c r="Z4129" t="n">
        <v/>
      </c>
      <c r="AA4129">
        <f>SUMIFS($S$2:S4129,$A$2:A4129,A4129,$N$2:N4129,"Explore*")</f>
        <v/>
      </c>
      <c r="AB4129">
        <f>IF(AND(LEFT(N4129,7)="Explore",(AA4129-IF(LEFT(N4129,7)="Explore",S4129,0))&lt;10),"SI","NO")</f>
        <v/>
      </c>
    </row>
    <row r="4130">
      <c r="A4130" t="inlineStr">
        <is>
          <t>c58m5_test</t>
        </is>
      </c>
      <c r="B4130" t="inlineStr">
        <is>
          <t>2026-07-02 15:27:13.204</t>
        </is>
      </c>
      <c r="C4130" t="n">
        <v/>
      </c>
      <c r="D4130" t="inlineStr">
        <is>
          <t>Media file</t>
        </is>
      </c>
      <c r="E4130" t="inlineStr">
        <is>
          <t>player #1:C:/Users/manuel.felline/Documents/BEHAVIOR BTBR/NOR second cohort/WT/test/c58_m5.mp4</t>
        </is>
      </c>
      <c r="F4130" t="n">
        <v>0</v>
      </c>
      <c r="G4130" t="n">
        <v>572.466</v>
      </c>
      <c r="H4130" t="n">
        <v>641.7329999999999</v>
      </c>
      <c r="I4130" t="n">
        <v>30</v>
      </c>
      <c r="J4130" t="inlineStr">
        <is>
          <t xml:space="preserve"> WT</t>
        </is>
      </c>
      <c r="K4130" t="inlineStr">
        <is>
          <t>Male</t>
        </is>
      </c>
      <c r="L4130" t="inlineStr">
        <is>
          <t>No focal subject</t>
        </is>
      </c>
      <c r="M4130" t="n">
        <v>78.574</v>
      </c>
      <c r="N4130" t="inlineStr">
        <is>
          <t>Explore_N</t>
        </is>
      </c>
      <c r="O4130" t="inlineStr">
        <is>
          <t>Novelty</t>
        </is>
      </c>
      <c r="P4130" t="inlineStr">
        <is>
          <t>STATE</t>
        </is>
      </c>
      <c r="Q4130" t="n">
        <v>129.5</v>
      </c>
      <c r="R4130" t="n">
        <v>131.067</v>
      </c>
      <c r="S4130" t="n">
        <v>1.567</v>
      </c>
      <c r="T4130" t="inlineStr">
        <is>
          <t>C:/Users/manuel.felline/Documents/BEHAVIOR BTBR/NOR second cohort/WT/test/c58_m5.mp4</t>
        </is>
      </c>
      <c r="U4130" t="n">
        <v>3883</v>
      </c>
      <c r="V4130" t="n">
        <v>3930</v>
      </c>
      <c r="W4130" t="n">
        <v/>
      </c>
      <c r="X4130" t="n">
        <v/>
      </c>
      <c r="Y4130" t="n">
        <v/>
      </c>
      <c r="Z4130" t="n">
        <v/>
      </c>
      <c r="AA4130">
        <f>SUMIFS($S$2:S4130,$A$2:A4130,A4130,$N$2:N4130,"Explore*")</f>
        <v/>
      </c>
      <c r="AB4130">
        <f>IF(AND(LEFT(N4130,7)="Explore",(AA4130-IF(LEFT(N4130,7)="Explore",S4130,0))&lt;10),"SI","NO")</f>
        <v/>
      </c>
    </row>
    <row r="4131">
      <c r="A4131" t="inlineStr">
        <is>
          <t>c58m5_test</t>
        </is>
      </c>
      <c r="B4131" t="inlineStr">
        <is>
          <t>2026-07-02 15:27:13.204</t>
        </is>
      </c>
      <c r="C4131" t="n">
        <v/>
      </c>
      <c r="D4131" t="inlineStr">
        <is>
          <t>Media file</t>
        </is>
      </c>
      <c r="E4131" t="inlineStr">
        <is>
          <t>player #1:C:/Users/manuel.felline/Documents/BEHAVIOR BTBR/NOR second cohort/WT/test/c58_m5.mp4</t>
        </is>
      </c>
      <c r="F4131" t="n">
        <v>0</v>
      </c>
      <c r="G4131" t="n">
        <v>572.466</v>
      </c>
      <c r="H4131" t="n">
        <v>641.7329999999999</v>
      </c>
      <c r="I4131" t="n">
        <v>30</v>
      </c>
      <c r="J4131" t="inlineStr">
        <is>
          <t xml:space="preserve"> WT</t>
        </is>
      </c>
      <c r="K4131" t="inlineStr">
        <is>
          <t>Male</t>
        </is>
      </c>
      <c r="L4131" t="inlineStr">
        <is>
          <t>No focal subject</t>
        </is>
      </c>
      <c r="M4131" t="n">
        <v>78.574</v>
      </c>
      <c r="N4131" t="inlineStr">
        <is>
          <t>Explore_N</t>
        </is>
      </c>
      <c r="O4131" t="inlineStr">
        <is>
          <t>Novelty</t>
        </is>
      </c>
      <c r="P4131" t="inlineStr">
        <is>
          <t>STATE</t>
        </is>
      </c>
      <c r="Q4131" t="n">
        <v>132.233</v>
      </c>
      <c r="R4131" t="n">
        <v>132.833</v>
      </c>
      <c r="S4131" t="n">
        <v>0.6</v>
      </c>
      <c r="T4131" t="inlineStr">
        <is>
          <t>C:/Users/manuel.felline/Documents/BEHAVIOR BTBR/NOR second cohort/WT/test/c58_m5.mp4</t>
        </is>
      </c>
      <c r="U4131" t="n">
        <v>3965</v>
      </c>
      <c r="V4131" t="n">
        <v>3983</v>
      </c>
      <c r="W4131" t="n">
        <v/>
      </c>
      <c r="X4131" t="n">
        <v/>
      </c>
      <c r="Y4131" t="n">
        <v/>
      </c>
      <c r="Z4131" t="n">
        <v/>
      </c>
      <c r="AA4131">
        <f>SUMIFS($S$2:S4131,$A$2:A4131,A4131,$N$2:N4131,"Explore*")</f>
        <v/>
      </c>
      <c r="AB4131">
        <f>IF(AND(LEFT(N4131,7)="Explore",(AA4131-IF(LEFT(N4131,7)="Explore",S4131,0))&lt;10),"SI","NO")</f>
        <v/>
      </c>
    </row>
    <row r="4132">
      <c r="A4132" t="inlineStr">
        <is>
          <t>c58m5_test</t>
        </is>
      </c>
      <c r="B4132" t="inlineStr">
        <is>
          <t>2026-07-02 15:27:13.204</t>
        </is>
      </c>
      <c r="C4132" t="n">
        <v/>
      </c>
      <c r="D4132" t="inlineStr">
        <is>
          <t>Media file</t>
        </is>
      </c>
      <c r="E4132" t="inlineStr">
        <is>
          <t>player #1:C:/Users/manuel.felline/Documents/BEHAVIOR BTBR/NOR second cohort/WT/test/c58_m5.mp4</t>
        </is>
      </c>
      <c r="F4132" t="n">
        <v>0</v>
      </c>
      <c r="G4132" t="n">
        <v>572.466</v>
      </c>
      <c r="H4132" t="n">
        <v>641.7329999999999</v>
      </c>
      <c r="I4132" t="n">
        <v>30</v>
      </c>
      <c r="J4132" t="inlineStr">
        <is>
          <t xml:space="preserve"> WT</t>
        </is>
      </c>
      <c r="K4132" t="inlineStr">
        <is>
          <t>Male</t>
        </is>
      </c>
      <c r="L4132" t="inlineStr">
        <is>
          <t>No focal subject</t>
        </is>
      </c>
      <c r="M4132" t="n">
        <v>78.574</v>
      </c>
      <c r="N4132" t="inlineStr">
        <is>
          <t>Explore_N</t>
        </is>
      </c>
      <c r="O4132" t="inlineStr">
        <is>
          <t>Novelty</t>
        </is>
      </c>
      <c r="P4132" t="inlineStr">
        <is>
          <t>STATE</t>
        </is>
      </c>
      <c r="Q4132" t="n">
        <v>137.533</v>
      </c>
      <c r="R4132" t="n">
        <v>138.267</v>
      </c>
      <c r="S4132" t="n">
        <v>0.734</v>
      </c>
      <c r="T4132" t="inlineStr">
        <is>
          <t>C:/Users/manuel.felline/Documents/BEHAVIOR BTBR/NOR second cohort/WT/test/c58_m5.mp4</t>
        </is>
      </c>
      <c r="U4132" t="n">
        <v>4124</v>
      </c>
      <c r="V4132" t="n">
        <v>4146</v>
      </c>
      <c r="W4132" t="n">
        <v/>
      </c>
      <c r="X4132" t="n">
        <v/>
      </c>
      <c r="Y4132" t="n">
        <v/>
      </c>
      <c r="Z4132" t="n">
        <v/>
      </c>
      <c r="AA4132">
        <f>SUMIFS($S$2:S4132,$A$2:A4132,A4132,$N$2:N4132,"Explore*")</f>
        <v/>
      </c>
      <c r="AB4132">
        <f>IF(AND(LEFT(N4132,7)="Explore",(AA4132-IF(LEFT(N4132,7)="Explore",S4132,0))&lt;10),"SI","NO")</f>
        <v/>
      </c>
    </row>
    <row r="4133">
      <c r="A4133" t="inlineStr">
        <is>
          <t>c58m5_test</t>
        </is>
      </c>
      <c r="B4133" t="inlineStr">
        <is>
          <t>2026-07-02 15:27:13.204</t>
        </is>
      </c>
      <c r="C4133" t="n">
        <v/>
      </c>
      <c r="D4133" t="inlineStr">
        <is>
          <t>Media file</t>
        </is>
      </c>
      <c r="E4133" t="inlineStr">
        <is>
          <t>player #1:C:/Users/manuel.felline/Documents/BEHAVIOR BTBR/NOR second cohort/WT/test/c58_m5.mp4</t>
        </is>
      </c>
      <c r="F4133" t="n">
        <v>0</v>
      </c>
      <c r="G4133" t="n">
        <v>572.466</v>
      </c>
      <c r="H4133" t="n">
        <v>641.7329999999999</v>
      </c>
      <c r="I4133" t="n">
        <v>30</v>
      </c>
      <c r="J4133" t="inlineStr">
        <is>
          <t xml:space="preserve"> WT</t>
        </is>
      </c>
      <c r="K4133" t="inlineStr">
        <is>
          <t>Male</t>
        </is>
      </c>
      <c r="L4133" t="inlineStr">
        <is>
          <t>No focal subject</t>
        </is>
      </c>
      <c r="M4133" t="n">
        <v>78.574</v>
      </c>
      <c r="N4133" t="inlineStr">
        <is>
          <t>Explore_N</t>
        </is>
      </c>
      <c r="O4133" t="inlineStr">
        <is>
          <t>Novelty</t>
        </is>
      </c>
      <c r="P4133" t="inlineStr">
        <is>
          <t>STATE</t>
        </is>
      </c>
      <c r="Q4133" t="n">
        <v>140.167</v>
      </c>
      <c r="R4133" t="n">
        <v>140.933</v>
      </c>
      <c r="S4133" t="n">
        <v>0.766</v>
      </c>
      <c r="T4133" t="inlineStr">
        <is>
          <t>C:/Users/manuel.felline/Documents/BEHAVIOR BTBR/NOR second cohort/WT/test/c58_m5.mp4</t>
        </is>
      </c>
      <c r="U4133" t="n">
        <v>4203</v>
      </c>
      <c r="V4133" t="n">
        <v>4226</v>
      </c>
      <c r="W4133" t="n">
        <v/>
      </c>
      <c r="X4133" t="n">
        <v/>
      </c>
      <c r="Y4133" t="n">
        <v/>
      </c>
      <c r="Z4133" t="n">
        <v/>
      </c>
      <c r="AA4133">
        <f>SUMIFS($S$2:S4133,$A$2:A4133,A4133,$N$2:N4133,"Explore*")</f>
        <v/>
      </c>
      <c r="AB4133">
        <f>IF(AND(LEFT(N4133,7)="Explore",(AA4133-IF(LEFT(N4133,7)="Explore",S4133,0))&lt;10),"SI","NO")</f>
        <v/>
      </c>
    </row>
    <row r="4134">
      <c r="A4134" t="inlineStr">
        <is>
          <t>c58m5_test</t>
        </is>
      </c>
      <c r="B4134" t="inlineStr">
        <is>
          <t>2026-07-02 15:27:13.204</t>
        </is>
      </c>
      <c r="C4134" t="n">
        <v/>
      </c>
      <c r="D4134" t="inlineStr">
        <is>
          <t>Media file</t>
        </is>
      </c>
      <c r="E4134" t="inlineStr">
        <is>
          <t>player #1:C:/Users/manuel.felline/Documents/BEHAVIOR BTBR/NOR second cohort/WT/test/c58_m5.mp4</t>
        </is>
      </c>
      <c r="F4134" t="n">
        <v>0</v>
      </c>
      <c r="G4134" t="n">
        <v>572.466</v>
      </c>
      <c r="H4134" t="n">
        <v>641.7329999999999</v>
      </c>
      <c r="I4134" t="n">
        <v>30</v>
      </c>
      <c r="J4134" t="inlineStr">
        <is>
          <t xml:space="preserve"> WT</t>
        </is>
      </c>
      <c r="K4134" t="inlineStr">
        <is>
          <t>Male</t>
        </is>
      </c>
      <c r="L4134" t="inlineStr">
        <is>
          <t>No focal subject</t>
        </is>
      </c>
      <c r="M4134" t="n">
        <v>78.574</v>
      </c>
      <c r="N4134" t="inlineStr">
        <is>
          <t>Explore_N</t>
        </is>
      </c>
      <c r="O4134" t="inlineStr">
        <is>
          <t>Novelty</t>
        </is>
      </c>
      <c r="P4134" t="inlineStr">
        <is>
          <t>STATE</t>
        </is>
      </c>
      <c r="Q4134" t="n">
        <v>141.6</v>
      </c>
      <c r="R4134" t="n">
        <v>143.133</v>
      </c>
      <c r="S4134" t="n">
        <v>1.533</v>
      </c>
      <c r="T4134" t="inlineStr">
        <is>
          <t>C:/Users/manuel.felline/Documents/BEHAVIOR BTBR/NOR second cohort/WT/test/c58_m5.mp4</t>
        </is>
      </c>
      <c r="U4134" t="n">
        <v>4246</v>
      </c>
      <c r="V4134" t="n">
        <v>4293</v>
      </c>
      <c r="W4134" t="n">
        <v/>
      </c>
      <c r="X4134" t="n">
        <v/>
      </c>
      <c r="Y4134" t="n">
        <v/>
      </c>
      <c r="Z4134" t="n">
        <v/>
      </c>
      <c r="AA4134">
        <f>SUMIFS($S$2:S4134,$A$2:A4134,A4134,$N$2:N4134,"Explore*")</f>
        <v/>
      </c>
      <c r="AB4134">
        <f>IF(AND(LEFT(N4134,7)="Explore",(AA4134-IF(LEFT(N4134,7)="Explore",S4134,0))&lt;10),"SI","NO")</f>
        <v/>
      </c>
    </row>
    <row r="4135">
      <c r="A4135" t="inlineStr">
        <is>
          <t>c58m5_test</t>
        </is>
      </c>
      <c r="B4135" t="inlineStr">
        <is>
          <t>2026-07-02 15:27:13.204</t>
        </is>
      </c>
      <c r="C4135" t="n">
        <v/>
      </c>
      <c r="D4135" t="inlineStr">
        <is>
          <t>Media file</t>
        </is>
      </c>
      <c r="E4135" t="inlineStr">
        <is>
          <t>player #1:C:/Users/manuel.felline/Documents/BEHAVIOR BTBR/NOR second cohort/WT/test/c58_m5.mp4</t>
        </is>
      </c>
      <c r="F4135" t="n">
        <v>0</v>
      </c>
      <c r="G4135" t="n">
        <v>572.466</v>
      </c>
      <c r="H4135" t="n">
        <v>641.7329999999999</v>
      </c>
      <c r="I4135" t="n">
        <v>30</v>
      </c>
      <c r="J4135" t="inlineStr">
        <is>
          <t xml:space="preserve"> WT</t>
        </is>
      </c>
      <c r="K4135" t="inlineStr">
        <is>
          <t>Male</t>
        </is>
      </c>
      <c r="L4135" t="inlineStr">
        <is>
          <t>No focal subject</t>
        </is>
      </c>
      <c r="M4135" t="n">
        <v>78.574</v>
      </c>
      <c r="N4135" t="inlineStr">
        <is>
          <t>Explore_N</t>
        </is>
      </c>
      <c r="O4135" t="inlineStr">
        <is>
          <t>Novelty</t>
        </is>
      </c>
      <c r="P4135" t="inlineStr">
        <is>
          <t>STATE</t>
        </is>
      </c>
      <c r="Q4135" t="n">
        <v>143.8</v>
      </c>
      <c r="R4135" t="n">
        <v>144.567</v>
      </c>
      <c r="S4135" t="n">
        <v>0.767</v>
      </c>
      <c r="T4135" t="inlineStr">
        <is>
          <t>C:/Users/manuel.felline/Documents/BEHAVIOR BTBR/NOR second cohort/WT/test/c58_m5.mp4</t>
        </is>
      </c>
      <c r="U4135" t="n">
        <v>4312</v>
      </c>
      <c r="V4135" t="n">
        <v>4335</v>
      </c>
      <c r="W4135" t="n">
        <v/>
      </c>
      <c r="X4135" t="n">
        <v/>
      </c>
      <c r="Y4135" t="n">
        <v/>
      </c>
      <c r="Z4135" t="n">
        <v/>
      </c>
      <c r="AA4135">
        <f>SUMIFS($S$2:S4135,$A$2:A4135,A4135,$N$2:N4135,"Explore*")</f>
        <v/>
      </c>
      <c r="AB4135">
        <f>IF(AND(LEFT(N4135,7)="Explore",(AA4135-IF(LEFT(N4135,7)="Explore",S4135,0))&lt;10),"SI","NO")</f>
        <v/>
      </c>
    </row>
    <row r="4136">
      <c r="A4136" t="inlineStr">
        <is>
          <t>c58m5_test</t>
        </is>
      </c>
      <c r="B4136" t="inlineStr">
        <is>
          <t>2026-07-02 15:27:13.204</t>
        </is>
      </c>
      <c r="C4136" t="n">
        <v/>
      </c>
      <c r="D4136" t="inlineStr">
        <is>
          <t>Media file</t>
        </is>
      </c>
      <c r="E4136" t="inlineStr">
        <is>
          <t>player #1:C:/Users/manuel.felline/Documents/BEHAVIOR BTBR/NOR second cohort/WT/test/c58_m5.mp4</t>
        </is>
      </c>
      <c r="F4136" t="n">
        <v>0</v>
      </c>
      <c r="G4136" t="n">
        <v>572.466</v>
      </c>
      <c r="H4136" t="n">
        <v>641.7329999999999</v>
      </c>
      <c r="I4136" t="n">
        <v>30</v>
      </c>
      <c r="J4136" t="inlineStr">
        <is>
          <t xml:space="preserve"> WT</t>
        </is>
      </c>
      <c r="K4136" t="inlineStr">
        <is>
          <t>Male</t>
        </is>
      </c>
      <c r="L4136" t="inlineStr">
        <is>
          <t>No focal subject</t>
        </is>
      </c>
      <c r="M4136" t="n">
        <v>78.574</v>
      </c>
      <c r="N4136" t="inlineStr">
        <is>
          <t>Explore_N</t>
        </is>
      </c>
      <c r="O4136" t="inlineStr">
        <is>
          <t>Novelty</t>
        </is>
      </c>
      <c r="P4136" t="inlineStr">
        <is>
          <t>STATE</t>
        </is>
      </c>
      <c r="Q4136" t="n">
        <v>170.866</v>
      </c>
      <c r="R4136" t="n">
        <v>171.633</v>
      </c>
      <c r="S4136" t="n">
        <v>0.767</v>
      </c>
      <c r="T4136" t="inlineStr">
        <is>
          <t>C:/Users/manuel.felline/Documents/BEHAVIOR BTBR/NOR second cohort/WT/test/c58_m5.mp4</t>
        </is>
      </c>
      <c r="U4136" t="n">
        <v>5123</v>
      </c>
      <c r="V4136" t="n">
        <v>5146</v>
      </c>
      <c r="W4136" t="n">
        <v/>
      </c>
      <c r="X4136" t="n">
        <v/>
      </c>
      <c r="Y4136" t="n">
        <v/>
      </c>
      <c r="Z4136" t="n">
        <v/>
      </c>
      <c r="AA4136">
        <f>SUMIFS($S$2:S4136,$A$2:A4136,A4136,$N$2:N4136,"Explore*")</f>
        <v/>
      </c>
      <c r="AB4136">
        <f>IF(AND(LEFT(N4136,7)="Explore",(AA4136-IF(LEFT(N4136,7)="Explore",S4136,0))&lt;10),"SI","NO")</f>
        <v/>
      </c>
    </row>
    <row r="4137">
      <c r="A4137" t="inlineStr">
        <is>
          <t>c58m5_test</t>
        </is>
      </c>
      <c r="B4137" t="inlineStr">
        <is>
          <t>2026-07-02 15:27:13.204</t>
        </is>
      </c>
      <c r="C4137" t="n">
        <v/>
      </c>
      <c r="D4137" t="inlineStr">
        <is>
          <t>Media file</t>
        </is>
      </c>
      <c r="E4137" t="inlineStr">
        <is>
          <t>player #1:C:/Users/manuel.felline/Documents/BEHAVIOR BTBR/NOR second cohort/WT/test/c58_m5.mp4</t>
        </is>
      </c>
      <c r="F4137" t="n">
        <v>0</v>
      </c>
      <c r="G4137" t="n">
        <v>572.466</v>
      </c>
      <c r="H4137" t="n">
        <v>641.7329999999999</v>
      </c>
      <c r="I4137" t="n">
        <v>30</v>
      </c>
      <c r="J4137" t="inlineStr">
        <is>
          <t xml:space="preserve"> WT</t>
        </is>
      </c>
      <c r="K4137" t="inlineStr">
        <is>
          <t>Male</t>
        </is>
      </c>
      <c r="L4137" t="inlineStr">
        <is>
          <t>No focal subject</t>
        </is>
      </c>
      <c r="M4137" t="n">
        <v>78.574</v>
      </c>
      <c r="N4137" t="inlineStr">
        <is>
          <t>Explore_N</t>
        </is>
      </c>
      <c r="O4137" t="inlineStr">
        <is>
          <t>Novelty</t>
        </is>
      </c>
      <c r="P4137" t="inlineStr">
        <is>
          <t>STATE</t>
        </is>
      </c>
      <c r="Q4137" t="n">
        <v>173.766</v>
      </c>
      <c r="R4137" t="n">
        <v>175</v>
      </c>
      <c r="S4137" t="n">
        <v>1.234</v>
      </c>
      <c r="T4137" t="inlineStr">
        <is>
          <t>C:/Users/manuel.felline/Documents/BEHAVIOR BTBR/NOR second cohort/WT/test/c58_m5.mp4</t>
        </is>
      </c>
      <c r="U4137" t="n">
        <v>5210</v>
      </c>
      <c r="V4137" t="n">
        <v>5247</v>
      </c>
      <c r="W4137" t="n">
        <v/>
      </c>
      <c r="X4137" t="n">
        <v/>
      </c>
      <c r="Y4137" t="n">
        <v/>
      </c>
      <c r="Z4137" t="n">
        <v/>
      </c>
      <c r="AA4137">
        <f>SUMIFS($S$2:S4137,$A$2:A4137,A4137,$N$2:N4137,"Explore*")</f>
        <v/>
      </c>
      <c r="AB4137">
        <f>IF(AND(LEFT(N4137,7)="Explore",(AA4137-IF(LEFT(N4137,7)="Explore",S4137,0))&lt;10),"SI","NO")</f>
        <v/>
      </c>
    </row>
    <row r="4138">
      <c r="A4138" t="inlineStr">
        <is>
          <t>c58m5_test</t>
        </is>
      </c>
      <c r="B4138" t="inlineStr">
        <is>
          <t>2026-07-02 15:27:13.204</t>
        </is>
      </c>
      <c r="C4138" t="n">
        <v/>
      </c>
      <c r="D4138" t="inlineStr">
        <is>
          <t>Media file</t>
        </is>
      </c>
      <c r="E4138" t="inlineStr">
        <is>
          <t>player #1:C:/Users/manuel.felline/Documents/BEHAVIOR BTBR/NOR second cohort/WT/test/c58_m5.mp4</t>
        </is>
      </c>
      <c r="F4138" t="n">
        <v>0</v>
      </c>
      <c r="G4138" t="n">
        <v>572.466</v>
      </c>
      <c r="H4138" t="n">
        <v>641.7329999999999</v>
      </c>
      <c r="I4138" t="n">
        <v>30</v>
      </c>
      <c r="J4138" t="inlineStr">
        <is>
          <t xml:space="preserve"> WT</t>
        </is>
      </c>
      <c r="K4138" t="inlineStr">
        <is>
          <t>Male</t>
        </is>
      </c>
      <c r="L4138" t="inlineStr">
        <is>
          <t>No focal subject</t>
        </is>
      </c>
      <c r="M4138" t="n">
        <v>78.574</v>
      </c>
      <c r="N4138" t="inlineStr">
        <is>
          <t>Explore_N</t>
        </is>
      </c>
      <c r="O4138" t="inlineStr">
        <is>
          <t>Novelty</t>
        </is>
      </c>
      <c r="P4138" t="inlineStr">
        <is>
          <t>STATE</t>
        </is>
      </c>
      <c r="Q4138" t="n">
        <v>176.766</v>
      </c>
      <c r="R4138" t="n">
        <v>178.066</v>
      </c>
      <c r="S4138" t="n">
        <v>1.3</v>
      </c>
      <c r="T4138" t="inlineStr">
        <is>
          <t>C:/Users/manuel.felline/Documents/BEHAVIOR BTBR/NOR second cohort/WT/test/c58_m5.mp4</t>
        </is>
      </c>
      <c r="U4138" t="n">
        <v>5300</v>
      </c>
      <c r="V4138" t="n">
        <v>5339</v>
      </c>
      <c r="W4138" t="n">
        <v/>
      </c>
      <c r="X4138" t="n">
        <v/>
      </c>
      <c r="Y4138" t="n">
        <v/>
      </c>
      <c r="Z4138" t="n">
        <v/>
      </c>
      <c r="AA4138">
        <f>SUMIFS($S$2:S4138,$A$2:A4138,A4138,$N$2:N4138,"Explore*")</f>
        <v/>
      </c>
      <c r="AB4138">
        <f>IF(AND(LEFT(N4138,7)="Explore",(AA4138-IF(LEFT(N4138,7)="Explore",S4138,0))&lt;10),"SI","NO")</f>
        <v/>
      </c>
    </row>
    <row r="4139">
      <c r="A4139" t="inlineStr">
        <is>
          <t>c58m5_test</t>
        </is>
      </c>
      <c r="B4139" t="inlineStr">
        <is>
          <t>2026-07-02 15:27:13.204</t>
        </is>
      </c>
      <c r="C4139" t="n">
        <v/>
      </c>
      <c r="D4139" t="inlineStr">
        <is>
          <t>Media file</t>
        </is>
      </c>
      <c r="E4139" t="inlineStr">
        <is>
          <t>player #1:C:/Users/manuel.felline/Documents/BEHAVIOR BTBR/NOR second cohort/WT/test/c58_m5.mp4</t>
        </is>
      </c>
      <c r="F4139" t="n">
        <v>0</v>
      </c>
      <c r="G4139" t="n">
        <v>572.466</v>
      </c>
      <c r="H4139" t="n">
        <v>641.7329999999999</v>
      </c>
      <c r="I4139" t="n">
        <v>30</v>
      </c>
      <c r="J4139" t="inlineStr">
        <is>
          <t xml:space="preserve"> WT</t>
        </is>
      </c>
      <c r="K4139" t="inlineStr">
        <is>
          <t>Male</t>
        </is>
      </c>
      <c r="L4139" t="inlineStr">
        <is>
          <t>No focal subject</t>
        </is>
      </c>
      <c r="M4139" t="n">
        <v>78.574</v>
      </c>
      <c r="N4139" t="inlineStr">
        <is>
          <t>Explore_F</t>
        </is>
      </c>
      <c r="O4139" t="inlineStr">
        <is>
          <t>Familiar</t>
        </is>
      </c>
      <c r="P4139" t="inlineStr">
        <is>
          <t>STATE</t>
        </is>
      </c>
      <c r="Q4139" t="n">
        <v>184.066</v>
      </c>
      <c r="R4139" t="n">
        <v>185.866</v>
      </c>
      <c r="S4139" t="n">
        <v>1.8</v>
      </c>
      <c r="T4139" t="inlineStr">
        <is>
          <t>C:/Users/manuel.felline/Documents/BEHAVIOR BTBR/NOR second cohort/WT/test/c58_m5.mp4</t>
        </is>
      </c>
      <c r="U4139" t="n">
        <v>5519</v>
      </c>
      <c r="V4139" t="n">
        <v>5573</v>
      </c>
      <c r="W4139" t="n">
        <v/>
      </c>
      <c r="X4139" t="n">
        <v/>
      </c>
      <c r="Y4139" t="n">
        <v/>
      </c>
      <c r="Z4139" t="n">
        <v/>
      </c>
      <c r="AA4139">
        <f>SUMIFS($S$2:S4139,$A$2:A4139,A4139,$N$2:N4139,"Explore*")</f>
        <v/>
      </c>
      <c r="AB4139">
        <f>IF(AND(LEFT(N4139,7)="Explore",(AA4139-IF(LEFT(N4139,7)="Explore",S4139,0))&lt;10),"SI","NO")</f>
        <v/>
      </c>
    </row>
    <row r="4140">
      <c r="A4140" t="inlineStr">
        <is>
          <t>c58m5_test</t>
        </is>
      </c>
      <c r="B4140" t="inlineStr">
        <is>
          <t>2026-07-02 15:27:13.204</t>
        </is>
      </c>
      <c r="C4140" t="n">
        <v/>
      </c>
      <c r="D4140" t="inlineStr">
        <is>
          <t>Media file</t>
        </is>
      </c>
      <c r="E4140" t="inlineStr">
        <is>
          <t>player #1:C:/Users/manuel.felline/Documents/BEHAVIOR BTBR/NOR second cohort/WT/test/c58_m5.mp4</t>
        </is>
      </c>
      <c r="F4140" t="n">
        <v>0</v>
      </c>
      <c r="G4140" t="n">
        <v>572.466</v>
      </c>
      <c r="H4140" t="n">
        <v>641.7329999999999</v>
      </c>
      <c r="I4140" t="n">
        <v>30</v>
      </c>
      <c r="J4140" t="inlineStr">
        <is>
          <t xml:space="preserve"> WT</t>
        </is>
      </c>
      <c r="K4140" t="inlineStr">
        <is>
          <t>Male</t>
        </is>
      </c>
      <c r="L4140" t="inlineStr">
        <is>
          <t>No focal subject</t>
        </is>
      </c>
      <c r="M4140" t="n">
        <v>78.574</v>
      </c>
      <c r="N4140" t="inlineStr">
        <is>
          <t>Explore_F</t>
        </is>
      </c>
      <c r="O4140" t="inlineStr">
        <is>
          <t>Familiar</t>
        </is>
      </c>
      <c r="P4140" t="inlineStr">
        <is>
          <t>STATE</t>
        </is>
      </c>
      <c r="Q4140" t="n">
        <v>187.533</v>
      </c>
      <c r="R4140" t="n">
        <v>189</v>
      </c>
      <c r="S4140" t="n">
        <v>1.467</v>
      </c>
      <c r="T4140" t="inlineStr">
        <is>
          <t>C:/Users/manuel.felline/Documents/BEHAVIOR BTBR/NOR second cohort/WT/test/c58_m5.mp4</t>
        </is>
      </c>
      <c r="U4140" t="n">
        <v>5623</v>
      </c>
      <c r="V4140" t="n">
        <v>5667</v>
      </c>
      <c r="W4140" t="n">
        <v/>
      </c>
      <c r="X4140" t="n">
        <v/>
      </c>
      <c r="Y4140" t="n">
        <v/>
      </c>
      <c r="Z4140" t="n">
        <v/>
      </c>
      <c r="AA4140">
        <f>SUMIFS($S$2:S4140,$A$2:A4140,A4140,$N$2:N4140,"Explore*")</f>
        <v/>
      </c>
      <c r="AB4140">
        <f>IF(AND(LEFT(N4140,7)="Explore",(AA4140-IF(LEFT(N4140,7)="Explore",S4140,0))&lt;10),"SI","NO")</f>
        <v/>
      </c>
    </row>
    <row r="4141">
      <c r="A4141" t="inlineStr">
        <is>
          <t>c58m5_test</t>
        </is>
      </c>
      <c r="B4141" t="inlineStr">
        <is>
          <t>2026-07-02 15:27:13.204</t>
        </is>
      </c>
      <c r="C4141" t="n">
        <v/>
      </c>
      <c r="D4141" t="inlineStr">
        <is>
          <t>Media file</t>
        </is>
      </c>
      <c r="E4141" t="inlineStr">
        <is>
          <t>player #1:C:/Users/manuel.felline/Documents/BEHAVIOR BTBR/NOR second cohort/WT/test/c58_m5.mp4</t>
        </is>
      </c>
      <c r="F4141" t="n">
        <v>0</v>
      </c>
      <c r="G4141" t="n">
        <v>572.466</v>
      </c>
      <c r="H4141" t="n">
        <v>641.7329999999999</v>
      </c>
      <c r="I4141" t="n">
        <v>30</v>
      </c>
      <c r="J4141" t="inlineStr">
        <is>
          <t xml:space="preserve"> WT</t>
        </is>
      </c>
      <c r="K4141" t="inlineStr">
        <is>
          <t>Male</t>
        </is>
      </c>
      <c r="L4141" t="inlineStr">
        <is>
          <t>No focal subject</t>
        </is>
      </c>
      <c r="M4141" t="n">
        <v>78.574</v>
      </c>
      <c r="N4141" t="inlineStr">
        <is>
          <t>Explore_N</t>
        </is>
      </c>
      <c r="O4141" t="inlineStr">
        <is>
          <t>Novelty</t>
        </is>
      </c>
      <c r="P4141" t="inlineStr">
        <is>
          <t>STATE</t>
        </is>
      </c>
      <c r="Q4141" t="n">
        <v>196.6</v>
      </c>
      <c r="R4141" t="n">
        <v>197.433</v>
      </c>
      <c r="S4141" t="n">
        <v>0.833</v>
      </c>
      <c r="T4141" t="inlineStr">
        <is>
          <t>C:/Users/manuel.felline/Documents/BEHAVIOR BTBR/NOR second cohort/WT/test/c58_m5.mp4</t>
        </is>
      </c>
      <c r="U4141" t="n">
        <v>5895</v>
      </c>
      <c r="V4141" t="n">
        <v>5920</v>
      </c>
      <c r="W4141" t="n">
        <v/>
      </c>
      <c r="X4141" t="n">
        <v/>
      </c>
      <c r="Y4141" t="n">
        <v/>
      </c>
      <c r="Z4141" t="n">
        <v/>
      </c>
      <c r="AA4141">
        <f>SUMIFS($S$2:S4141,$A$2:A4141,A4141,$N$2:N4141,"Explore*")</f>
        <v/>
      </c>
      <c r="AB4141">
        <f>IF(AND(LEFT(N4141,7)="Explore",(AA4141-IF(LEFT(N4141,7)="Explore",S4141,0))&lt;10),"SI","NO")</f>
        <v/>
      </c>
    </row>
    <row r="4142">
      <c r="A4142" t="inlineStr">
        <is>
          <t>c58m5_test</t>
        </is>
      </c>
      <c r="B4142" t="inlineStr">
        <is>
          <t>2026-07-02 15:27:13.204</t>
        </is>
      </c>
      <c r="C4142" t="n">
        <v/>
      </c>
      <c r="D4142" t="inlineStr">
        <is>
          <t>Media file</t>
        </is>
      </c>
      <c r="E4142" t="inlineStr">
        <is>
          <t>player #1:C:/Users/manuel.felline/Documents/BEHAVIOR BTBR/NOR second cohort/WT/test/c58_m5.mp4</t>
        </is>
      </c>
      <c r="F4142" t="n">
        <v>0</v>
      </c>
      <c r="G4142" t="n">
        <v>572.466</v>
      </c>
      <c r="H4142" t="n">
        <v>641.7329999999999</v>
      </c>
      <c r="I4142" t="n">
        <v>30</v>
      </c>
      <c r="J4142" t="inlineStr">
        <is>
          <t xml:space="preserve"> WT</t>
        </is>
      </c>
      <c r="K4142" t="inlineStr">
        <is>
          <t>Male</t>
        </is>
      </c>
      <c r="L4142" t="inlineStr">
        <is>
          <t>No focal subject</t>
        </is>
      </c>
      <c r="M4142" t="n">
        <v>78.574</v>
      </c>
      <c r="N4142" t="inlineStr">
        <is>
          <t>Explore_N</t>
        </is>
      </c>
      <c r="O4142" t="inlineStr">
        <is>
          <t>Novelty</t>
        </is>
      </c>
      <c r="P4142" t="inlineStr">
        <is>
          <t>STATE</t>
        </is>
      </c>
      <c r="Q4142" t="n">
        <v>199.133</v>
      </c>
      <c r="R4142" t="n">
        <v>200.033</v>
      </c>
      <c r="S4142" t="n">
        <v>0.9</v>
      </c>
      <c r="T4142" t="inlineStr">
        <is>
          <t>C:/Users/manuel.felline/Documents/BEHAVIOR BTBR/NOR second cohort/WT/test/c58_m5.mp4</t>
        </is>
      </c>
      <c r="U4142" t="n">
        <v>5971</v>
      </c>
      <c r="V4142" t="n">
        <v>5998</v>
      </c>
      <c r="W4142" t="n">
        <v/>
      </c>
      <c r="X4142" t="n">
        <v/>
      </c>
      <c r="Y4142" t="n">
        <v/>
      </c>
      <c r="Z4142" t="n">
        <v/>
      </c>
      <c r="AA4142">
        <f>SUMIFS($S$2:S4142,$A$2:A4142,A4142,$N$2:N4142,"Explore*")</f>
        <v/>
      </c>
      <c r="AB4142">
        <f>IF(AND(LEFT(N4142,7)="Explore",(AA4142-IF(LEFT(N4142,7)="Explore",S4142,0))&lt;10),"SI","NO")</f>
        <v/>
      </c>
    </row>
    <row r="4143">
      <c r="A4143" t="inlineStr">
        <is>
          <t>c58m5_test</t>
        </is>
      </c>
      <c r="B4143" t="inlineStr">
        <is>
          <t>2026-07-02 15:27:13.204</t>
        </is>
      </c>
      <c r="C4143" t="n">
        <v/>
      </c>
      <c r="D4143" t="inlineStr">
        <is>
          <t>Media file</t>
        </is>
      </c>
      <c r="E4143" t="inlineStr">
        <is>
          <t>player #1:C:/Users/manuel.felline/Documents/BEHAVIOR BTBR/NOR second cohort/WT/test/c58_m5.mp4</t>
        </is>
      </c>
      <c r="F4143" t="n">
        <v>0</v>
      </c>
      <c r="G4143" t="n">
        <v>572.466</v>
      </c>
      <c r="H4143" t="n">
        <v>641.7329999999999</v>
      </c>
      <c r="I4143" t="n">
        <v>30</v>
      </c>
      <c r="J4143" t="inlineStr">
        <is>
          <t xml:space="preserve"> WT</t>
        </is>
      </c>
      <c r="K4143" t="inlineStr">
        <is>
          <t>Male</t>
        </is>
      </c>
      <c r="L4143" t="inlineStr">
        <is>
          <t>No focal subject</t>
        </is>
      </c>
      <c r="M4143" t="n">
        <v>78.574</v>
      </c>
      <c r="N4143" t="inlineStr">
        <is>
          <t>Explore_N</t>
        </is>
      </c>
      <c r="O4143" t="inlineStr">
        <is>
          <t>Novelty</t>
        </is>
      </c>
      <c r="P4143" t="inlineStr">
        <is>
          <t>STATE</t>
        </is>
      </c>
      <c r="Q4143" t="n">
        <v>201.2</v>
      </c>
      <c r="R4143" t="n">
        <v>201.933</v>
      </c>
      <c r="S4143" t="n">
        <v>0.733</v>
      </c>
      <c r="T4143" t="inlineStr">
        <is>
          <t>C:/Users/manuel.felline/Documents/BEHAVIOR BTBR/NOR second cohort/WT/test/c58_m5.mp4</t>
        </is>
      </c>
      <c r="U4143" t="n">
        <v>6033</v>
      </c>
      <c r="V4143" t="n">
        <v>6055</v>
      </c>
      <c r="W4143" t="n">
        <v/>
      </c>
      <c r="X4143" t="n">
        <v/>
      </c>
      <c r="Y4143" t="n">
        <v/>
      </c>
      <c r="Z4143" t="n">
        <v/>
      </c>
      <c r="AA4143">
        <f>SUMIFS($S$2:S4143,$A$2:A4143,A4143,$N$2:N4143,"Explore*")</f>
        <v/>
      </c>
      <c r="AB4143">
        <f>IF(AND(LEFT(N4143,7)="Explore",(AA4143-IF(LEFT(N4143,7)="Explore",S4143,0))&lt;10),"SI","NO")</f>
        <v/>
      </c>
    </row>
    <row r="4144">
      <c r="A4144" t="inlineStr">
        <is>
          <t>c58m5_test</t>
        </is>
      </c>
      <c r="B4144" t="inlineStr">
        <is>
          <t>2026-07-02 15:27:13.204</t>
        </is>
      </c>
      <c r="C4144" t="n">
        <v/>
      </c>
      <c r="D4144" t="inlineStr">
        <is>
          <t>Media file</t>
        </is>
      </c>
      <c r="E4144" t="inlineStr">
        <is>
          <t>player #1:C:/Users/manuel.felline/Documents/BEHAVIOR BTBR/NOR second cohort/WT/test/c58_m5.mp4</t>
        </is>
      </c>
      <c r="F4144" t="n">
        <v>0</v>
      </c>
      <c r="G4144" t="n">
        <v>572.466</v>
      </c>
      <c r="H4144" t="n">
        <v>641.7329999999999</v>
      </c>
      <c r="I4144" t="n">
        <v>30</v>
      </c>
      <c r="J4144" t="inlineStr">
        <is>
          <t xml:space="preserve"> WT</t>
        </is>
      </c>
      <c r="K4144" t="inlineStr">
        <is>
          <t>Male</t>
        </is>
      </c>
      <c r="L4144" t="inlineStr">
        <is>
          <t>No focal subject</t>
        </is>
      </c>
      <c r="M4144" t="n">
        <v>78.574</v>
      </c>
      <c r="N4144" t="inlineStr">
        <is>
          <t>Explore_F</t>
        </is>
      </c>
      <c r="O4144" t="inlineStr">
        <is>
          <t>Familiar</t>
        </is>
      </c>
      <c r="P4144" t="inlineStr">
        <is>
          <t>STATE</t>
        </is>
      </c>
      <c r="Q4144" t="n">
        <v>209.166</v>
      </c>
      <c r="R4144" t="n">
        <v>209.566</v>
      </c>
      <c r="S4144" t="n">
        <v>0.4</v>
      </c>
      <c r="T4144" t="inlineStr">
        <is>
          <t>C:/Users/manuel.felline/Documents/BEHAVIOR BTBR/NOR second cohort/WT/test/c58_m5.mp4</t>
        </is>
      </c>
      <c r="U4144" t="n">
        <v>6272</v>
      </c>
      <c r="V4144" t="n">
        <v>6284</v>
      </c>
      <c r="W4144" t="n">
        <v/>
      </c>
      <c r="X4144" t="n">
        <v/>
      </c>
      <c r="Y4144" t="n">
        <v/>
      </c>
      <c r="Z4144" t="n">
        <v/>
      </c>
      <c r="AA4144">
        <f>SUMIFS($S$2:S4144,$A$2:A4144,A4144,$N$2:N4144,"Explore*")</f>
        <v/>
      </c>
      <c r="AB4144">
        <f>IF(AND(LEFT(N4144,7)="Explore",(AA4144-IF(LEFT(N4144,7)="Explore",S4144,0))&lt;10),"SI","NO")</f>
        <v/>
      </c>
    </row>
    <row r="4145">
      <c r="A4145" t="inlineStr">
        <is>
          <t>c58m5_test</t>
        </is>
      </c>
      <c r="B4145" t="inlineStr">
        <is>
          <t>2026-07-02 15:27:13.204</t>
        </is>
      </c>
      <c r="C4145" t="n">
        <v/>
      </c>
      <c r="D4145" t="inlineStr">
        <is>
          <t>Media file</t>
        </is>
      </c>
      <c r="E4145" t="inlineStr">
        <is>
          <t>player #1:C:/Users/manuel.felline/Documents/BEHAVIOR BTBR/NOR second cohort/WT/test/c58_m5.mp4</t>
        </is>
      </c>
      <c r="F4145" t="n">
        <v>0</v>
      </c>
      <c r="G4145" t="n">
        <v>572.466</v>
      </c>
      <c r="H4145" t="n">
        <v>641.7329999999999</v>
      </c>
      <c r="I4145" t="n">
        <v>30</v>
      </c>
      <c r="J4145" t="inlineStr">
        <is>
          <t xml:space="preserve"> WT</t>
        </is>
      </c>
      <c r="K4145" t="inlineStr">
        <is>
          <t>Male</t>
        </is>
      </c>
      <c r="L4145" t="inlineStr">
        <is>
          <t>No focal subject</t>
        </is>
      </c>
      <c r="M4145" t="n">
        <v>78.574</v>
      </c>
      <c r="N4145" t="inlineStr">
        <is>
          <t>Explore_N</t>
        </is>
      </c>
      <c r="O4145" t="inlineStr">
        <is>
          <t>Novelty</t>
        </is>
      </c>
      <c r="P4145" t="inlineStr">
        <is>
          <t>STATE</t>
        </is>
      </c>
      <c r="Q4145" t="n">
        <v>211.966</v>
      </c>
      <c r="R4145" t="n">
        <v>212.766</v>
      </c>
      <c r="S4145" t="n">
        <v>0.8</v>
      </c>
      <c r="T4145" t="inlineStr">
        <is>
          <t>C:/Users/manuel.felline/Documents/BEHAVIOR BTBR/NOR second cohort/WT/test/c58_m5.mp4</t>
        </is>
      </c>
      <c r="U4145" t="n">
        <v>6356</v>
      </c>
      <c r="V4145" t="n">
        <v>6380</v>
      </c>
      <c r="W4145" t="n">
        <v/>
      </c>
      <c r="X4145" t="n">
        <v/>
      </c>
      <c r="Y4145" t="n">
        <v/>
      </c>
      <c r="Z4145" t="n">
        <v/>
      </c>
      <c r="AA4145">
        <f>SUMIFS($S$2:S4145,$A$2:A4145,A4145,$N$2:N4145,"Explore*")</f>
        <v/>
      </c>
      <c r="AB4145">
        <f>IF(AND(LEFT(N4145,7)="Explore",(AA4145-IF(LEFT(N4145,7)="Explore",S4145,0))&lt;10),"SI","NO")</f>
        <v/>
      </c>
    </row>
    <row r="4146">
      <c r="A4146" t="inlineStr">
        <is>
          <t>c58m5_test</t>
        </is>
      </c>
      <c r="B4146" t="inlineStr">
        <is>
          <t>2026-07-02 15:27:13.204</t>
        </is>
      </c>
      <c r="C4146" t="n">
        <v/>
      </c>
      <c r="D4146" t="inlineStr">
        <is>
          <t>Media file</t>
        </is>
      </c>
      <c r="E4146" t="inlineStr">
        <is>
          <t>player #1:C:/Users/manuel.felline/Documents/BEHAVIOR BTBR/NOR second cohort/WT/test/c58_m5.mp4</t>
        </is>
      </c>
      <c r="F4146" t="n">
        <v>0</v>
      </c>
      <c r="G4146" t="n">
        <v>572.466</v>
      </c>
      <c r="H4146" t="n">
        <v>641.7329999999999</v>
      </c>
      <c r="I4146" t="n">
        <v>30</v>
      </c>
      <c r="J4146" t="inlineStr">
        <is>
          <t xml:space="preserve"> WT</t>
        </is>
      </c>
      <c r="K4146" t="inlineStr">
        <is>
          <t>Male</t>
        </is>
      </c>
      <c r="L4146" t="inlineStr">
        <is>
          <t>No focal subject</t>
        </is>
      </c>
      <c r="M4146" t="n">
        <v>78.574</v>
      </c>
      <c r="N4146" t="inlineStr">
        <is>
          <t>Explore_F</t>
        </is>
      </c>
      <c r="O4146" t="inlineStr">
        <is>
          <t>Familiar</t>
        </is>
      </c>
      <c r="P4146" t="inlineStr">
        <is>
          <t>STATE</t>
        </is>
      </c>
      <c r="Q4146" t="n">
        <v>241.933</v>
      </c>
      <c r="R4146" t="n">
        <v>243.666</v>
      </c>
      <c r="S4146" t="n">
        <v>1.733</v>
      </c>
      <c r="T4146" t="inlineStr">
        <is>
          <t>C:/Users/manuel.felline/Documents/BEHAVIOR BTBR/NOR second cohort/WT/test/c58_m5.mp4</t>
        </is>
      </c>
      <c r="U4146" t="n">
        <v>7254</v>
      </c>
      <c r="V4146" t="n">
        <v>7306</v>
      </c>
      <c r="W4146" t="n">
        <v/>
      </c>
      <c r="X4146" t="n">
        <v/>
      </c>
      <c r="Y4146" t="n">
        <v/>
      </c>
      <c r="Z4146" t="n">
        <v/>
      </c>
      <c r="AA4146">
        <f>SUMIFS($S$2:S4146,$A$2:A4146,A4146,$N$2:N4146,"Explore*")</f>
        <v/>
      </c>
      <c r="AB4146">
        <f>IF(AND(LEFT(N4146,7)="Explore",(AA4146-IF(LEFT(N4146,7)="Explore",S4146,0))&lt;10),"SI","NO")</f>
        <v/>
      </c>
    </row>
    <row r="4147">
      <c r="A4147" t="inlineStr">
        <is>
          <t>c58m5_test</t>
        </is>
      </c>
      <c r="B4147" t="inlineStr">
        <is>
          <t>2026-07-02 15:27:13.204</t>
        </is>
      </c>
      <c r="C4147" t="n">
        <v/>
      </c>
      <c r="D4147" t="inlineStr">
        <is>
          <t>Media file</t>
        </is>
      </c>
      <c r="E4147" t="inlineStr">
        <is>
          <t>player #1:C:/Users/manuel.felline/Documents/BEHAVIOR BTBR/NOR second cohort/WT/test/c58_m5.mp4</t>
        </is>
      </c>
      <c r="F4147" t="n">
        <v>0</v>
      </c>
      <c r="G4147" t="n">
        <v>572.466</v>
      </c>
      <c r="H4147" t="n">
        <v>641.7329999999999</v>
      </c>
      <c r="I4147" t="n">
        <v>30</v>
      </c>
      <c r="J4147" t="inlineStr">
        <is>
          <t xml:space="preserve"> WT</t>
        </is>
      </c>
      <c r="K4147" t="inlineStr">
        <is>
          <t>Male</t>
        </is>
      </c>
      <c r="L4147" t="inlineStr">
        <is>
          <t>No focal subject</t>
        </is>
      </c>
      <c r="M4147" t="n">
        <v>78.574</v>
      </c>
      <c r="N4147" t="inlineStr">
        <is>
          <t>Explore_N</t>
        </is>
      </c>
      <c r="O4147" t="inlineStr">
        <is>
          <t>Novelty</t>
        </is>
      </c>
      <c r="P4147" t="inlineStr">
        <is>
          <t>STATE</t>
        </is>
      </c>
      <c r="Q4147" t="n">
        <v>248.733</v>
      </c>
      <c r="R4147" t="n">
        <v>249.633</v>
      </c>
      <c r="S4147" t="n">
        <v>0.9</v>
      </c>
      <c r="T4147" t="inlineStr">
        <is>
          <t>C:/Users/manuel.felline/Documents/BEHAVIOR BTBR/NOR second cohort/WT/test/c58_m5.mp4</t>
        </is>
      </c>
      <c r="U4147" t="n">
        <v>7458</v>
      </c>
      <c r="V4147" t="n">
        <v>7485</v>
      </c>
      <c r="W4147" t="n">
        <v/>
      </c>
      <c r="X4147" t="n">
        <v/>
      </c>
      <c r="Y4147" t="n">
        <v/>
      </c>
      <c r="Z4147" t="n">
        <v/>
      </c>
      <c r="AA4147">
        <f>SUMIFS($S$2:S4147,$A$2:A4147,A4147,$N$2:N4147,"Explore*")</f>
        <v/>
      </c>
      <c r="AB4147">
        <f>IF(AND(LEFT(N4147,7)="Explore",(AA4147-IF(LEFT(N4147,7)="Explore",S4147,0))&lt;10),"SI","NO")</f>
        <v/>
      </c>
    </row>
    <row r="4148">
      <c r="A4148" t="inlineStr">
        <is>
          <t>c58m5_test</t>
        </is>
      </c>
      <c r="B4148" t="inlineStr">
        <is>
          <t>2026-07-02 15:27:13.204</t>
        </is>
      </c>
      <c r="C4148" t="n">
        <v/>
      </c>
      <c r="D4148" t="inlineStr">
        <is>
          <t>Media file</t>
        </is>
      </c>
      <c r="E4148" t="inlineStr">
        <is>
          <t>player #1:C:/Users/manuel.felline/Documents/BEHAVIOR BTBR/NOR second cohort/WT/test/c58_m5.mp4</t>
        </is>
      </c>
      <c r="F4148" t="n">
        <v>0</v>
      </c>
      <c r="G4148" t="n">
        <v>572.466</v>
      </c>
      <c r="H4148" t="n">
        <v>641.7329999999999</v>
      </c>
      <c r="I4148" t="n">
        <v>30</v>
      </c>
      <c r="J4148" t="inlineStr">
        <is>
          <t xml:space="preserve"> WT</t>
        </is>
      </c>
      <c r="K4148" t="inlineStr">
        <is>
          <t>Male</t>
        </is>
      </c>
      <c r="L4148" t="inlineStr">
        <is>
          <t>No focal subject</t>
        </is>
      </c>
      <c r="M4148" t="n">
        <v>78.574</v>
      </c>
      <c r="N4148" t="inlineStr">
        <is>
          <t>Explore_N</t>
        </is>
      </c>
      <c r="O4148" t="inlineStr">
        <is>
          <t>Novelty</t>
        </is>
      </c>
      <c r="P4148" t="inlineStr">
        <is>
          <t>STATE</t>
        </is>
      </c>
      <c r="Q4148" t="n">
        <v>250.766</v>
      </c>
      <c r="R4148" t="n">
        <v>251.666</v>
      </c>
      <c r="S4148" t="n">
        <v>0.9</v>
      </c>
      <c r="T4148" t="inlineStr">
        <is>
          <t>C:/Users/manuel.felline/Documents/BEHAVIOR BTBR/NOR second cohort/WT/test/c58_m5.mp4</t>
        </is>
      </c>
      <c r="U4148" t="n">
        <v>7519</v>
      </c>
      <c r="V4148" t="n">
        <v>7546</v>
      </c>
      <c r="W4148" t="n">
        <v/>
      </c>
      <c r="X4148" t="n">
        <v/>
      </c>
      <c r="Y4148" t="n">
        <v/>
      </c>
      <c r="Z4148" t="n">
        <v/>
      </c>
      <c r="AA4148">
        <f>SUMIFS($S$2:S4148,$A$2:A4148,A4148,$N$2:N4148,"Explore*")</f>
        <v/>
      </c>
      <c r="AB4148">
        <f>IF(AND(LEFT(N4148,7)="Explore",(AA4148-IF(LEFT(N4148,7)="Explore",S4148,0))&lt;10),"SI","NO")</f>
        <v/>
      </c>
    </row>
    <row r="4149">
      <c r="A4149" t="inlineStr">
        <is>
          <t>c58m5_test</t>
        </is>
      </c>
      <c r="B4149" t="inlineStr">
        <is>
          <t>2026-07-02 15:27:13.204</t>
        </is>
      </c>
      <c r="C4149" t="n">
        <v/>
      </c>
      <c r="D4149" t="inlineStr">
        <is>
          <t>Media file</t>
        </is>
      </c>
      <c r="E4149" t="inlineStr">
        <is>
          <t>player #1:C:/Users/manuel.felline/Documents/BEHAVIOR BTBR/NOR second cohort/WT/test/c58_m5.mp4</t>
        </is>
      </c>
      <c r="F4149" t="n">
        <v>0</v>
      </c>
      <c r="G4149" t="n">
        <v>572.466</v>
      </c>
      <c r="H4149" t="n">
        <v>641.7329999999999</v>
      </c>
      <c r="I4149" t="n">
        <v>30</v>
      </c>
      <c r="J4149" t="inlineStr">
        <is>
          <t xml:space="preserve"> WT</t>
        </is>
      </c>
      <c r="K4149" t="inlineStr">
        <is>
          <t>Male</t>
        </is>
      </c>
      <c r="L4149" t="inlineStr">
        <is>
          <t>No focal subject</t>
        </is>
      </c>
      <c r="M4149" t="n">
        <v>78.574</v>
      </c>
      <c r="N4149" t="inlineStr">
        <is>
          <t>Explore_N</t>
        </is>
      </c>
      <c r="O4149" t="inlineStr">
        <is>
          <t>Novelty</t>
        </is>
      </c>
      <c r="P4149" t="inlineStr">
        <is>
          <t>STATE</t>
        </is>
      </c>
      <c r="Q4149" t="n">
        <v>252.833</v>
      </c>
      <c r="R4149" t="n">
        <v>253.666</v>
      </c>
      <c r="S4149" t="n">
        <v>0.833</v>
      </c>
      <c r="T4149" t="inlineStr">
        <is>
          <t>C:/Users/manuel.felline/Documents/BEHAVIOR BTBR/NOR second cohort/WT/test/c58_m5.mp4</t>
        </is>
      </c>
      <c r="U4149" t="n">
        <v>7581</v>
      </c>
      <c r="V4149" t="n">
        <v>7606</v>
      </c>
      <c r="W4149" t="n">
        <v/>
      </c>
      <c r="X4149" t="n">
        <v/>
      </c>
      <c r="Y4149" t="n">
        <v/>
      </c>
      <c r="Z4149" t="n">
        <v/>
      </c>
      <c r="AA4149">
        <f>SUMIFS($S$2:S4149,$A$2:A4149,A4149,$N$2:N4149,"Explore*")</f>
        <v/>
      </c>
      <c r="AB4149">
        <f>IF(AND(LEFT(N4149,7)="Explore",(AA4149-IF(LEFT(N4149,7)="Explore",S4149,0))&lt;10),"SI","NO")</f>
        <v/>
      </c>
    </row>
    <row r="4150">
      <c r="A4150" t="inlineStr">
        <is>
          <t>c58m5_test</t>
        </is>
      </c>
      <c r="B4150" t="inlineStr">
        <is>
          <t>2026-07-02 15:27:13.204</t>
        </is>
      </c>
      <c r="C4150" t="n">
        <v/>
      </c>
      <c r="D4150" t="inlineStr">
        <is>
          <t>Media file</t>
        </is>
      </c>
      <c r="E4150" t="inlineStr">
        <is>
          <t>player #1:C:/Users/manuel.felline/Documents/BEHAVIOR BTBR/NOR second cohort/WT/test/c58_m5.mp4</t>
        </is>
      </c>
      <c r="F4150" t="n">
        <v>0</v>
      </c>
      <c r="G4150" t="n">
        <v>572.466</v>
      </c>
      <c r="H4150" t="n">
        <v>641.7329999999999</v>
      </c>
      <c r="I4150" t="n">
        <v>30</v>
      </c>
      <c r="J4150" t="inlineStr">
        <is>
          <t xml:space="preserve"> WT</t>
        </is>
      </c>
      <c r="K4150" t="inlineStr">
        <is>
          <t>Male</t>
        </is>
      </c>
      <c r="L4150" t="inlineStr">
        <is>
          <t>No focal subject</t>
        </is>
      </c>
      <c r="M4150" t="n">
        <v>78.574</v>
      </c>
      <c r="N4150" t="inlineStr">
        <is>
          <t>Explore_N</t>
        </is>
      </c>
      <c r="O4150" t="inlineStr">
        <is>
          <t>Novelty</t>
        </is>
      </c>
      <c r="P4150" t="inlineStr">
        <is>
          <t>STATE</t>
        </is>
      </c>
      <c r="Q4150" t="n">
        <v>256.133</v>
      </c>
      <c r="R4150" t="n">
        <v>257.1</v>
      </c>
      <c r="S4150" t="n">
        <v>0.967</v>
      </c>
      <c r="T4150" t="inlineStr">
        <is>
          <t>C:/Users/manuel.felline/Documents/BEHAVIOR BTBR/NOR second cohort/WT/test/c58_m5.mp4</t>
        </is>
      </c>
      <c r="U4150" t="n">
        <v>7680</v>
      </c>
      <c r="V4150" t="n">
        <v>7709</v>
      </c>
      <c r="W4150" t="n">
        <v/>
      </c>
      <c r="X4150" t="n">
        <v/>
      </c>
      <c r="Y4150" t="n">
        <v/>
      </c>
      <c r="Z4150" t="n">
        <v/>
      </c>
      <c r="AA4150">
        <f>SUMIFS($S$2:S4150,$A$2:A4150,A4150,$N$2:N4150,"Explore*")</f>
        <v/>
      </c>
      <c r="AB4150">
        <f>IF(AND(LEFT(N4150,7)="Explore",(AA4150-IF(LEFT(N4150,7)="Explore",S4150,0))&lt;10),"SI","NO")</f>
        <v/>
      </c>
    </row>
    <row r="4151">
      <c r="A4151" t="inlineStr">
        <is>
          <t>c58m5_test</t>
        </is>
      </c>
      <c r="B4151" t="inlineStr">
        <is>
          <t>2026-07-02 15:27:13.204</t>
        </is>
      </c>
      <c r="C4151" t="n">
        <v/>
      </c>
      <c r="D4151" t="inlineStr">
        <is>
          <t>Media file</t>
        </is>
      </c>
      <c r="E4151" t="inlineStr">
        <is>
          <t>player #1:C:/Users/manuel.felline/Documents/BEHAVIOR BTBR/NOR second cohort/WT/test/c58_m5.mp4</t>
        </is>
      </c>
      <c r="F4151" t="n">
        <v>0</v>
      </c>
      <c r="G4151" t="n">
        <v>572.466</v>
      </c>
      <c r="H4151" t="n">
        <v>641.7329999999999</v>
      </c>
      <c r="I4151" t="n">
        <v>30</v>
      </c>
      <c r="J4151" t="inlineStr">
        <is>
          <t xml:space="preserve"> WT</t>
        </is>
      </c>
      <c r="K4151" t="inlineStr">
        <is>
          <t>Male</t>
        </is>
      </c>
      <c r="L4151" t="inlineStr">
        <is>
          <t>No focal subject</t>
        </is>
      </c>
      <c r="M4151" t="n">
        <v>78.574</v>
      </c>
      <c r="N4151" t="inlineStr">
        <is>
          <t>Explore_N</t>
        </is>
      </c>
      <c r="O4151" t="inlineStr">
        <is>
          <t>Novelty</t>
        </is>
      </c>
      <c r="P4151" t="inlineStr">
        <is>
          <t>STATE</t>
        </is>
      </c>
      <c r="Q4151" t="n">
        <v>260.733</v>
      </c>
      <c r="R4151" t="n">
        <v>261.466</v>
      </c>
      <c r="S4151" t="n">
        <v>0.733</v>
      </c>
      <c r="T4151" t="inlineStr">
        <is>
          <t>C:/Users/manuel.felline/Documents/BEHAVIOR BTBR/NOR second cohort/WT/test/c58_m5.mp4</t>
        </is>
      </c>
      <c r="U4151" t="n">
        <v>7818</v>
      </c>
      <c r="V4151" t="n">
        <v>7840</v>
      </c>
      <c r="W4151" t="n">
        <v/>
      </c>
      <c r="X4151" t="n">
        <v/>
      </c>
      <c r="Y4151" t="n">
        <v/>
      </c>
      <c r="Z4151" t="n">
        <v/>
      </c>
      <c r="AA4151">
        <f>SUMIFS($S$2:S4151,$A$2:A4151,A4151,$N$2:N4151,"Explore*")</f>
        <v/>
      </c>
      <c r="AB4151">
        <f>IF(AND(LEFT(N4151,7)="Explore",(AA4151-IF(LEFT(N4151,7)="Explore",S4151,0))&lt;10),"SI","NO")</f>
        <v/>
      </c>
    </row>
    <row r="4152">
      <c r="A4152" t="inlineStr">
        <is>
          <t>c58m5_test</t>
        </is>
      </c>
      <c r="B4152" t="inlineStr">
        <is>
          <t>2026-07-02 15:27:13.204</t>
        </is>
      </c>
      <c r="C4152" t="n">
        <v/>
      </c>
      <c r="D4152" t="inlineStr">
        <is>
          <t>Media file</t>
        </is>
      </c>
      <c r="E4152" t="inlineStr">
        <is>
          <t>player #1:C:/Users/manuel.felline/Documents/BEHAVIOR BTBR/NOR second cohort/WT/test/c58_m5.mp4</t>
        </is>
      </c>
      <c r="F4152" t="n">
        <v>0</v>
      </c>
      <c r="G4152" t="n">
        <v>572.466</v>
      </c>
      <c r="H4152" t="n">
        <v>641.7329999999999</v>
      </c>
      <c r="I4152" t="n">
        <v>30</v>
      </c>
      <c r="J4152" t="inlineStr">
        <is>
          <t xml:space="preserve"> WT</t>
        </is>
      </c>
      <c r="K4152" t="inlineStr">
        <is>
          <t>Male</t>
        </is>
      </c>
      <c r="L4152" t="inlineStr">
        <is>
          <t>No focal subject</t>
        </is>
      </c>
      <c r="M4152" t="n">
        <v>78.574</v>
      </c>
      <c r="N4152" t="inlineStr">
        <is>
          <t>Explore_N</t>
        </is>
      </c>
      <c r="O4152" t="inlineStr">
        <is>
          <t>Novelty</t>
        </is>
      </c>
      <c r="P4152" t="inlineStr">
        <is>
          <t>STATE</t>
        </is>
      </c>
      <c r="Q4152" t="n">
        <v>267.966</v>
      </c>
      <c r="R4152" t="n">
        <v>268.4</v>
      </c>
      <c r="S4152" t="n">
        <v>0.434</v>
      </c>
      <c r="T4152" t="inlineStr">
        <is>
          <t>C:/Users/manuel.felline/Documents/BEHAVIOR BTBR/NOR second cohort/WT/test/c58_m5.mp4</t>
        </is>
      </c>
      <c r="U4152" t="n">
        <v>8035</v>
      </c>
      <c r="V4152" t="n">
        <v>8048</v>
      </c>
      <c r="W4152" t="n">
        <v/>
      </c>
      <c r="X4152" t="n">
        <v/>
      </c>
      <c r="Y4152" t="n">
        <v/>
      </c>
      <c r="Z4152" t="n">
        <v/>
      </c>
      <c r="AA4152">
        <f>SUMIFS($S$2:S4152,$A$2:A4152,A4152,$N$2:N4152,"Explore*")</f>
        <v/>
      </c>
      <c r="AB4152">
        <f>IF(AND(LEFT(N4152,7)="Explore",(AA4152-IF(LEFT(N4152,7)="Explore",S4152,0))&lt;10),"SI","NO")</f>
        <v/>
      </c>
    </row>
    <row r="4153">
      <c r="A4153" t="inlineStr">
        <is>
          <t>c58m5_test</t>
        </is>
      </c>
      <c r="B4153" t="inlineStr">
        <is>
          <t>2026-07-02 15:27:13.204</t>
        </is>
      </c>
      <c r="C4153" t="n">
        <v/>
      </c>
      <c r="D4153" t="inlineStr">
        <is>
          <t>Media file</t>
        </is>
      </c>
      <c r="E4153" t="inlineStr">
        <is>
          <t>player #1:C:/Users/manuel.felline/Documents/BEHAVIOR BTBR/NOR second cohort/WT/test/c58_m5.mp4</t>
        </is>
      </c>
      <c r="F4153" t="n">
        <v>0</v>
      </c>
      <c r="G4153" t="n">
        <v>572.466</v>
      </c>
      <c r="H4153" t="n">
        <v>641.7329999999999</v>
      </c>
      <c r="I4153" t="n">
        <v>30</v>
      </c>
      <c r="J4153" t="inlineStr">
        <is>
          <t xml:space="preserve"> WT</t>
        </is>
      </c>
      <c r="K4153" t="inlineStr">
        <is>
          <t>Male</t>
        </is>
      </c>
      <c r="L4153" t="inlineStr">
        <is>
          <t>No focal subject</t>
        </is>
      </c>
      <c r="M4153" t="n">
        <v>78.574</v>
      </c>
      <c r="N4153" t="inlineStr">
        <is>
          <t>Explore_N</t>
        </is>
      </c>
      <c r="O4153" t="inlineStr">
        <is>
          <t>Novelty</t>
        </is>
      </c>
      <c r="P4153" t="inlineStr">
        <is>
          <t>STATE</t>
        </is>
      </c>
      <c r="Q4153" t="n">
        <v>275.7</v>
      </c>
      <c r="R4153" t="n">
        <v>276.6</v>
      </c>
      <c r="S4153" t="n">
        <v>0.9</v>
      </c>
      <c r="T4153" t="inlineStr">
        <is>
          <t>C:/Users/manuel.felline/Documents/BEHAVIOR BTBR/NOR second cohort/WT/test/c58_m5.mp4</t>
        </is>
      </c>
      <c r="U4153" t="n">
        <v>8267</v>
      </c>
      <c r="V4153" t="n">
        <v>8294</v>
      </c>
      <c r="W4153" t="n">
        <v/>
      </c>
      <c r="X4153" t="n">
        <v/>
      </c>
      <c r="Y4153" t="n">
        <v/>
      </c>
      <c r="Z4153" t="n">
        <v/>
      </c>
      <c r="AA4153">
        <f>SUMIFS($S$2:S4153,$A$2:A4153,A4153,$N$2:N4153,"Explore*")</f>
        <v/>
      </c>
      <c r="AB4153">
        <f>IF(AND(LEFT(N4153,7)="Explore",(AA4153-IF(LEFT(N4153,7)="Explore",S4153,0))&lt;10),"SI","NO")</f>
        <v/>
      </c>
    </row>
    <row r="4154">
      <c r="A4154" t="inlineStr">
        <is>
          <t>c58m5_test</t>
        </is>
      </c>
      <c r="B4154" t="inlineStr">
        <is>
          <t>2026-07-02 15:27:13.204</t>
        </is>
      </c>
      <c r="C4154" t="n">
        <v/>
      </c>
      <c r="D4154" t="inlineStr">
        <is>
          <t>Media file</t>
        </is>
      </c>
      <c r="E4154" t="inlineStr">
        <is>
          <t>player #1:C:/Users/manuel.felline/Documents/BEHAVIOR BTBR/NOR second cohort/WT/test/c58_m5.mp4</t>
        </is>
      </c>
      <c r="F4154" t="n">
        <v>0</v>
      </c>
      <c r="G4154" t="n">
        <v>572.466</v>
      </c>
      <c r="H4154" t="n">
        <v>641.7329999999999</v>
      </c>
      <c r="I4154" t="n">
        <v>30</v>
      </c>
      <c r="J4154" t="inlineStr">
        <is>
          <t xml:space="preserve"> WT</t>
        </is>
      </c>
      <c r="K4154" t="inlineStr">
        <is>
          <t>Male</t>
        </is>
      </c>
      <c r="L4154" t="inlineStr">
        <is>
          <t>No focal subject</t>
        </is>
      </c>
      <c r="M4154" t="n">
        <v>78.574</v>
      </c>
      <c r="N4154" t="inlineStr">
        <is>
          <t>Explore_N</t>
        </is>
      </c>
      <c r="O4154" t="inlineStr">
        <is>
          <t>Novelty</t>
        </is>
      </c>
      <c r="P4154" t="inlineStr">
        <is>
          <t>STATE</t>
        </is>
      </c>
      <c r="Q4154" t="n">
        <v>278.033</v>
      </c>
      <c r="R4154" t="n">
        <v>278.833</v>
      </c>
      <c r="S4154" t="n">
        <v>0.8</v>
      </c>
      <c r="T4154" t="inlineStr">
        <is>
          <t>C:/Users/manuel.felline/Documents/BEHAVIOR BTBR/NOR second cohort/WT/test/c58_m5.mp4</t>
        </is>
      </c>
      <c r="U4154" t="n">
        <v>8337</v>
      </c>
      <c r="V4154" t="n">
        <v>8361</v>
      </c>
      <c r="W4154" t="n">
        <v/>
      </c>
      <c r="X4154" t="n">
        <v/>
      </c>
      <c r="Y4154" t="n">
        <v/>
      </c>
      <c r="Z4154" t="n">
        <v/>
      </c>
      <c r="AA4154">
        <f>SUMIFS($S$2:S4154,$A$2:A4154,A4154,$N$2:N4154,"Explore*")</f>
        <v/>
      </c>
      <c r="AB4154">
        <f>IF(AND(LEFT(N4154,7)="Explore",(AA4154-IF(LEFT(N4154,7)="Explore",S4154,0))&lt;10),"SI","NO")</f>
        <v/>
      </c>
    </row>
    <row r="4155">
      <c r="A4155" t="inlineStr">
        <is>
          <t>c58m5_test</t>
        </is>
      </c>
      <c r="B4155" t="inlineStr">
        <is>
          <t>2026-07-02 15:27:13.204</t>
        </is>
      </c>
      <c r="C4155" t="n">
        <v/>
      </c>
      <c r="D4155" t="inlineStr">
        <is>
          <t>Media file</t>
        </is>
      </c>
      <c r="E4155" t="inlineStr">
        <is>
          <t>player #1:C:/Users/manuel.felline/Documents/BEHAVIOR BTBR/NOR second cohort/WT/test/c58_m5.mp4</t>
        </is>
      </c>
      <c r="F4155" t="n">
        <v>0</v>
      </c>
      <c r="G4155" t="n">
        <v>572.466</v>
      </c>
      <c r="H4155" t="n">
        <v>641.7329999999999</v>
      </c>
      <c r="I4155" t="n">
        <v>30</v>
      </c>
      <c r="J4155" t="inlineStr">
        <is>
          <t xml:space="preserve"> WT</t>
        </is>
      </c>
      <c r="K4155" t="inlineStr">
        <is>
          <t>Male</t>
        </is>
      </c>
      <c r="L4155" t="inlineStr">
        <is>
          <t>No focal subject</t>
        </is>
      </c>
      <c r="M4155" t="n">
        <v>78.574</v>
      </c>
      <c r="N4155" t="inlineStr">
        <is>
          <t>Explore_F</t>
        </is>
      </c>
      <c r="O4155" t="inlineStr">
        <is>
          <t>Familiar</t>
        </is>
      </c>
      <c r="P4155" t="inlineStr">
        <is>
          <t>STATE</t>
        </is>
      </c>
      <c r="Q4155" t="n">
        <v>284.1</v>
      </c>
      <c r="R4155" t="n">
        <v>285.3</v>
      </c>
      <c r="S4155" t="n">
        <v>1.2</v>
      </c>
      <c r="T4155" t="inlineStr">
        <is>
          <t>C:/Users/manuel.felline/Documents/BEHAVIOR BTBR/NOR second cohort/WT/test/c58_m5.mp4</t>
        </is>
      </c>
      <c r="U4155" t="n">
        <v>8519</v>
      </c>
      <c r="V4155" t="n">
        <v>8555</v>
      </c>
      <c r="W4155" t="n">
        <v/>
      </c>
      <c r="X4155" t="n">
        <v/>
      </c>
      <c r="Y4155" t="n">
        <v/>
      </c>
      <c r="Z4155" t="n">
        <v/>
      </c>
      <c r="AA4155">
        <f>SUMIFS($S$2:S4155,$A$2:A4155,A4155,$N$2:N4155,"Explore*")</f>
        <v/>
      </c>
      <c r="AB4155">
        <f>IF(AND(LEFT(N4155,7)="Explore",(AA4155-IF(LEFT(N4155,7)="Explore",S4155,0))&lt;10),"SI","NO")</f>
        <v/>
      </c>
    </row>
    <row r="4156">
      <c r="A4156" t="inlineStr">
        <is>
          <t>c58m5_test</t>
        </is>
      </c>
      <c r="B4156" t="inlineStr">
        <is>
          <t>2026-07-02 15:27:13.204</t>
        </is>
      </c>
      <c r="C4156" t="n">
        <v/>
      </c>
      <c r="D4156" t="inlineStr">
        <is>
          <t>Media file</t>
        </is>
      </c>
      <c r="E4156" t="inlineStr">
        <is>
          <t>player #1:C:/Users/manuel.felline/Documents/BEHAVIOR BTBR/NOR second cohort/WT/test/c58_m5.mp4</t>
        </is>
      </c>
      <c r="F4156" t="n">
        <v>0</v>
      </c>
      <c r="G4156" t="n">
        <v>572.466</v>
      </c>
      <c r="H4156" t="n">
        <v>641.7329999999999</v>
      </c>
      <c r="I4156" t="n">
        <v>30</v>
      </c>
      <c r="J4156" t="inlineStr">
        <is>
          <t xml:space="preserve"> WT</t>
        </is>
      </c>
      <c r="K4156" t="inlineStr">
        <is>
          <t>Male</t>
        </is>
      </c>
      <c r="L4156" t="inlineStr">
        <is>
          <t>No focal subject</t>
        </is>
      </c>
      <c r="M4156" t="n">
        <v>78.574</v>
      </c>
      <c r="N4156" t="inlineStr">
        <is>
          <t>Explore_N</t>
        </is>
      </c>
      <c r="O4156" t="inlineStr">
        <is>
          <t>Novelty</t>
        </is>
      </c>
      <c r="P4156" t="inlineStr">
        <is>
          <t>STATE</t>
        </is>
      </c>
      <c r="Q4156" t="n">
        <v>290.766</v>
      </c>
      <c r="R4156" t="n">
        <v>291.6</v>
      </c>
      <c r="S4156" t="n">
        <v>0.834</v>
      </c>
      <c r="T4156" t="inlineStr">
        <is>
          <t>C:/Users/manuel.felline/Documents/BEHAVIOR BTBR/NOR second cohort/WT/test/c58_m5.mp4</t>
        </is>
      </c>
      <c r="U4156" t="n">
        <v>8719</v>
      </c>
      <c r="V4156" t="n">
        <v>8744</v>
      </c>
      <c r="W4156" t="n">
        <v/>
      </c>
      <c r="X4156" t="n">
        <v/>
      </c>
      <c r="Y4156" t="n">
        <v/>
      </c>
      <c r="Z4156" t="n">
        <v/>
      </c>
      <c r="AA4156">
        <f>SUMIFS($S$2:S4156,$A$2:A4156,A4156,$N$2:N4156,"Explore*")</f>
        <v/>
      </c>
      <c r="AB4156">
        <f>IF(AND(LEFT(N4156,7)="Explore",(AA4156-IF(LEFT(N4156,7)="Explore",S4156,0))&lt;10),"SI","NO")</f>
        <v/>
      </c>
    </row>
    <row r="4157">
      <c r="A4157" t="inlineStr">
        <is>
          <t>c58m5_test</t>
        </is>
      </c>
      <c r="B4157" t="inlineStr">
        <is>
          <t>2026-07-02 15:27:13.204</t>
        </is>
      </c>
      <c r="C4157" t="n">
        <v/>
      </c>
      <c r="D4157" t="inlineStr">
        <is>
          <t>Media file</t>
        </is>
      </c>
      <c r="E4157" t="inlineStr">
        <is>
          <t>player #1:C:/Users/manuel.felline/Documents/BEHAVIOR BTBR/NOR second cohort/WT/test/c58_m5.mp4</t>
        </is>
      </c>
      <c r="F4157" t="n">
        <v>0</v>
      </c>
      <c r="G4157" t="n">
        <v>572.466</v>
      </c>
      <c r="H4157" t="n">
        <v>641.7329999999999</v>
      </c>
      <c r="I4157" t="n">
        <v>30</v>
      </c>
      <c r="J4157" t="inlineStr">
        <is>
          <t xml:space="preserve"> WT</t>
        </is>
      </c>
      <c r="K4157" t="inlineStr">
        <is>
          <t>Male</t>
        </is>
      </c>
      <c r="L4157" t="inlineStr">
        <is>
          <t>No focal subject</t>
        </is>
      </c>
      <c r="M4157" t="n">
        <v>78.574</v>
      </c>
      <c r="N4157" t="inlineStr">
        <is>
          <t>Explore_N</t>
        </is>
      </c>
      <c r="O4157" t="inlineStr">
        <is>
          <t>Novelty</t>
        </is>
      </c>
      <c r="P4157" t="inlineStr">
        <is>
          <t>STATE</t>
        </is>
      </c>
      <c r="Q4157" t="n">
        <v>294.633</v>
      </c>
      <c r="R4157" t="n">
        <v>296.333</v>
      </c>
      <c r="S4157" t="n">
        <v>1.7</v>
      </c>
      <c r="T4157" t="inlineStr">
        <is>
          <t>C:/Users/manuel.felline/Documents/BEHAVIOR BTBR/NOR second cohort/WT/test/c58_m5.mp4</t>
        </is>
      </c>
      <c r="U4157" t="n">
        <v>8834</v>
      </c>
      <c r="V4157" t="n">
        <v>8885</v>
      </c>
      <c r="W4157" t="n">
        <v/>
      </c>
      <c r="X4157" t="n">
        <v/>
      </c>
      <c r="Y4157" t="n">
        <v/>
      </c>
      <c r="Z4157" t="n">
        <v/>
      </c>
      <c r="AA4157">
        <f>SUMIFS($S$2:S4157,$A$2:A4157,A4157,$N$2:N4157,"Explore*")</f>
        <v/>
      </c>
      <c r="AB4157">
        <f>IF(AND(LEFT(N4157,7)="Explore",(AA4157-IF(LEFT(N4157,7)="Explore",S4157,0))&lt;10),"SI","NO")</f>
        <v/>
      </c>
    </row>
    <row r="4158">
      <c r="A4158" t="inlineStr">
        <is>
          <t>c58m5_test</t>
        </is>
      </c>
      <c r="B4158" t="inlineStr">
        <is>
          <t>2026-07-02 15:27:13.204</t>
        </is>
      </c>
      <c r="C4158" t="n">
        <v/>
      </c>
      <c r="D4158" t="inlineStr">
        <is>
          <t>Media file</t>
        </is>
      </c>
      <c r="E4158" t="inlineStr">
        <is>
          <t>player #1:C:/Users/manuel.felline/Documents/BEHAVIOR BTBR/NOR second cohort/WT/test/c58_m5.mp4</t>
        </is>
      </c>
      <c r="F4158" t="n">
        <v>0</v>
      </c>
      <c r="G4158" t="n">
        <v>572.466</v>
      </c>
      <c r="H4158" t="n">
        <v>641.7329999999999</v>
      </c>
      <c r="I4158" t="n">
        <v>30</v>
      </c>
      <c r="J4158" t="inlineStr">
        <is>
          <t xml:space="preserve"> WT</t>
        </is>
      </c>
      <c r="K4158" t="inlineStr">
        <is>
          <t>Male</t>
        </is>
      </c>
      <c r="L4158" t="inlineStr">
        <is>
          <t>No focal subject</t>
        </is>
      </c>
      <c r="M4158" t="n">
        <v>78.574</v>
      </c>
      <c r="N4158" t="inlineStr">
        <is>
          <t>Explore_N</t>
        </is>
      </c>
      <c r="O4158" t="inlineStr">
        <is>
          <t>Novelty</t>
        </is>
      </c>
      <c r="P4158" t="inlineStr">
        <is>
          <t>STATE</t>
        </is>
      </c>
      <c r="Q4158" t="n">
        <v>327.133</v>
      </c>
      <c r="R4158" t="n">
        <v>329.5</v>
      </c>
      <c r="S4158" t="n">
        <v>2.367</v>
      </c>
      <c r="T4158" t="inlineStr">
        <is>
          <t>C:/Users/manuel.felline/Documents/BEHAVIOR BTBR/NOR second cohort/WT/test/c58_m5.mp4</t>
        </is>
      </c>
      <c r="U4158" t="n">
        <v>9809</v>
      </c>
      <c r="V4158" t="n">
        <v>9880</v>
      </c>
      <c r="W4158" t="n">
        <v/>
      </c>
      <c r="X4158" t="n">
        <v/>
      </c>
      <c r="Y4158" t="n">
        <v/>
      </c>
      <c r="Z4158" t="n">
        <v/>
      </c>
      <c r="AA4158">
        <f>SUMIFS($S$2:S4158,$A$2:A4158,A4158,$N$2:N4158,"Explore*")</f>
        <v/>
      </c>
      <c r="AB4158">
        <f>IF(AND(LEFT(N4158,7)="Explore",(AA4158-IF(LEFT(N4158,7)="Explore",S4158,0))&lt;10),"SI","NO")</f>
        <v/>
      </c>
    </row>
    <row r="4159">
      <c r="A4159" t="inlineStr">
        <is>
          <t>c58m5_test</t>
        </is>
      </c>
      <c r="B4159" t="inlineStr">
        <is>
          <t>2026-07-02 15:27:13.204</t>
        </is>
      </c>
      <c r="C4159" t="n">
        <v/>
      </c>
      <c r="D4159" t="inlineStr">
        <is>
          <t>Media file</t>
        </is>
      </c>
      <c r="E4159" t="inlineStr">
        <is>
          <t>player #1:C:/Users/manuel.felline/Documents/BEHAVIOR BTBR/NOR second cohort/WT/test/c58_m5.mp4</t>
        </is>
      </c>
      <c r="F4159" t="n">
        <v>0</v>
      </c>
      <c r="G4159" t="n">
        <v>572.466</v>
      </c>
      <c r="H4159" t="n">
        <v>641.7329999999999</v>
      </c>
      <c r="I4159" t="n">
        <v>30</v>
      </c>
      <c r="J4159" t="inlineStr">
        <is>
          <t xml:space="preserve"> WT</t>
        </is>
      </c>
      <c r="K4159" t="inlineStr">
        <is>
          <t>Male</t>
        </is>
      </c>
      <c r="L4159" t="inlineStr">
        <is>
          <t>No focal subject</t>
        </is>
      </c>
      <c r="M4159" t="n">
        <v>78.574</v>
      </c>
      <c r="N4159" t="inlineStr">
        <is>
          <t>Explore_N</t>
        </is>
      </c>
      <c r="O4159" t="inlineStr">
        <is>
          <t>Novelty</t>
        </is>
      </c>
      <c r="P4159" t="inlineStr">
        <is>
          <t>STATE</t>
        </is>
      </c>
      <c r="Q4159" t="n">
        <v>333.566</v>
      </c>
      <c r="R4159" t="n">
        <v>334.9</v>
      </c>
      <c r="S4159" t="n">
        <v>1.334</v>
      </c>
      <c r="T4159" t="inlineStr">
        <is>
          <t>C:/Users/manuel.felline/Documents/BEHAVIOR BTBR/NOR second cohort/WT/test/c58_m5.mp4</t>
        </is>
      </c>
      <c r="U4159" t="n">
        <v>10003</v>
      </c>
      <c r="V4159" t="n">
        <v>10042</v>
      </c>
      <c r="W4159" t="n">
        <v/>
      </c>
      <c r="X4159" t="n">
        <v/>
      </c>
      <c r="Y4159" t="n">
        <v/>
      </c>
      <c r="Z4159" t="n">
        <v/>
      </c>
      <c r="AA4159">
        <f>SUMIFS($S$2:S4159,$A$2:A4159,A4159,$N$2:N4159,"Explore*")</f>
        <v/>
      </c>
      <c r="AB4159">
        <f>IF(AND(LEFT(N4159,7)="Explore",(AA4159-IF(LEFT(N4159,7)="Explore",S4159,0))&lt;10),"SI","NO")</f>
        <v/>
      </c>
    </row>
    <row r="4160">
      <c r="A4160" t="inlineStr">
        <is>
          <t>c58m5_test</t>
        </is>
      </c>
      <c r="B4160" t="inlineStr">
        <is>
          <t>2026-07-02 15:27:13.204</t>
        </is>
      </c>
      <c r="C4160" t="n">
        <v/>
      </c>
      <c r="D4160" t="inlineStr">
        <is>
          <t>Media file</t>
        </is>
      </c>
      <c r="E4160" t="inlineStr">
        <is>
          <t>player #1:C:/Users/manuel.felline/Documents/BEHAVIOR BTBR/NOR second cohort/WT/test/c58_m5.mp4</t>
        </is>
      </c>
      <c r="F4160" t="n">
        <v>0</v>
      </c>
      <c r="G4160" t="n">
        <v>572.466</v>
      </c>
      <c r="H4160" t="n">
        <v>641.7329999999999</v>
      </c>
      <c r="I4160" t="n">
        <v>30</v>
      </c>
      <c r="J4160" t="inlineStr">
        <is>
          <t xml:space="preserve"> WT</t>
        </is>
      </c>
      <c r="K4160" t="inlineStr">
        <is>
          <t>Male</t>
        </is>
      </c>
      <c r="L4160" t="inlineStr">
        <is>
          <t>No focal subject</t>
        </is>
      </c>
      <c r="M4160" t="n">
        <v>78.574</v>
      </c>
      <c r="N4160" t="inlineStr">
        <is>
          <t>Explore_N</t>
        </is>
      </c>
      <c r="O4160" t="inlineStr">
        <is>
          <t>Novelty</t>
        </is>
      </c>
      <c r="P4160" t="inlineStr">
        <is>
          <t>STATE</t>
        </is>
      </c>
      <c r="Q4160" t="n">
        <v>344.566</v>
      </c>
      <c r="R4160" t="n">
        <v>345.866</v>
      </c>
      <c r="S4160" t="n">
        <v>1.3</v>
      </c>
      <c r="T4160" t="inlineStr">
        <is>
          <t>C:/Users/manuel.felline/Documents/BEHAVIOR BTBR/NOR second cohort/WT/test/c58_m5.mp4</t>
        </is>
      </c>
      <c r="U4160" t="n">
        <v>10332</v>
      </c>
      <c r="V4160" t="n">
        <v>10371</v>
      </c>
      <c r="W4160" t="n">
        <v/>
      </c>
      <c r="X4160" t="n">
        <v/>
      </c>
      <c r="Y4160" t="n">
        <v/>
      </c>
      <c r="Z4160" t="n">
        <v/>
      </c>
      <c r="AA4160">
        <f>SUMIFS($S$2:S4160,$A$2:A4160,A4160,$N$2:N4160,"Explore*")</f>
        <v/>
      </c>
      <c r="AB4160">
        <f>IF(AND(LEFT(N4160,7)="Explore",(AA4160-IF(LEFT(N4160,7)="Explore",S4160,0))&lt;10),"SI","NO")</f>
        <v/>
      </c>
    </row>
    <row r="4161">
      <c r="A4161" t="inlineStr">
        <is>
          <t>c58m5_test</t>
        </is>
      </c>
      <c r="B4161" t="inlineStr">
        <is>
          <t>2026-07-02 15:27:13.204</t>
        </is>
      </c>
      <c r="C4161" t="n">
        <v/>
      </c>
      <c r="D4161" t="inlineStr">
        <is>
          <t>Media file</t>
        </is>
      </c>
      <c r="E4161" t="inlineStr">
        <is>
          <t>player #1:C:/Users/manuel.felline/Documents/BEHAVIOR BTBR/NOR second cohort/WT/test/c58_m5.mp4</t>
        </is>
      </c>
      <c r="F4161" t="n">
        <v>0</v>
      </c>
      <c r="G4161" t="n">
        <v>572.466</v>
      </c>
      <c r="H4161" t="n">
        <v>641.7329999999999</v>
      </c>
      <c r="I4161" t="n">
        <v>30</v>
      </c>
      <c r="J4161" t="inlineStr">
        <is>
          <t xml:space="preserve"> WT</t>
        </is>
      </c>
      <c r="K4161" t="inlineStr">
        <is>
          <t>Male</t>
        </is>
      </c>
      <c r="L4161" t="inlineStr">
        <is>
          <t>No focal subject</t>
        </is>
      </c>
      <c r="M4161" t="n">
        <v>78.574</v>
      </c>
      <c r="N4161" t="inlineStr">
        <is>
          <t>Explore_N</t>
        </is>
      </c>
      <c r="O4161" t="inlineStr">
        <is>
          <t>Novelty</t>
        </is>
      </c>
      <c r="P4161" t="inlineStr">
        <is>
          <t>STATE</t>
        </is>
      </c>
      <c r="Q4161" t="n">
        <v>351.233</v>
      </c>
      <c r="R4161" t="n">
        <v>352</v>
      </c>
      <c r="S4161" t="n">
        <v>0.767</v>
      </c>
      <c r="T4161" t="inlineStr">
        <is>
          <t>C:/Users/manuel.felline/Documents/BEHAVIOR BTBR/NOR second cohort/WT/test/c58_m5.mp4</t>
        </is>
      </c>
      <c r="U4161" t="n">
        <v>10532</v>
      </c>
      <c r="V4161" t="n">
        <v>10555</v>
      </c>
      <c r="W4161" t="n">
        <v/>
      </c>
      <c r="X4161" t="n">
        <v/>
      </c>
      <c r="Y4161" t="n">
        <v/>
      </c>
      <c r="Z4161" t="n">
        <v/>
      </c>
      <c r="AA4161">
        <f>SUMIFS($S$2:S4161,$A$2:A4161,A4161,$N$2:N4161,"Explore*")</f>
        <v/>
      </c>
      <c r="AB4161">
        <f>IF(AND(LEFT(N4161,7)="Explore",(AA4161-IF(LEFT(N4161,7)="Explore",S4161,0))&lt;10),"SI","NO")</f>
        <v/>
      </c>
    </row>
    <row r="4162">
      <c r="A4162" t="inlineStr">
        <is>
          <t>c58m5_test</t>
        </is>
      </c>
      <c r="B4162" t="inlineStr">
        <is>
          <t>2026-07-02 15:27:13.204</t>
        </is>
      </c>
      <c r="C4162" t="n">
        <v/>
      </c>
      <c r="D4162" t="inlineStr">
        <is>
          <t>Media file</t>
        </is>
      </c>
      <c r="E4162" t="inlineStr">
        <is>
          <t>player #1:C:/Users/manuel.felline/Documents/BEHAVIOR BTBR/NOR second cohort/WT/test/c58_m5.mp4</t>
        </is>
      </c>
      <c r="F4162" t="n">
        <v>0</v>
      </c>
      <c r="G4162" t="n">
        <v>572.466</v>
      </c>
      <c r="H4162" t="n">
        <v>641.7329999999999</v>
      </c>
      <c r="I4162" t="n">
        <v>30</v>
      </c>
      <c r="J4162" t="inlineStr">
        <is>
          <t xml:space="preserve"> WT</t>
        </is>
      </c>
      <c r="K4162" t="inlineStr">
        <is>
          <t>Male</t>
        </is>
      </c>
      <c r="L4162" t="inlineStr">
        <is>
          <t>No focal subject</t>
        </is>
      </c>
      <c r="M4162" t="n">
        <v>78.574</v>
      </c>
      <c r="N4162" t="inlineStr">
        <is>
          <t>Explore_N</t>
        </is>
      </c>
      <c r="O4162" t="inlineStr">
        <is>
          <t>Novelty</t>
        </is>
      </c>
      <c r="P4162" t="inlineStr">
        <is>
          <t>STATE</t>
        </is>
      </c>
      <c r="Q4162" t="n">
        <v>361.566</v>
      </c>
      <c r="R4162" t="n">
        <v>363.033</v>
      </c>
      <c r="S4162" t="n">
        <v>1.467</v>
      </c>
      <c r="T4162" t="inlineStr">
        <is>
          <t>C:/Users/manuel.felline/Documents/BEHAVIOR BTBR/NOR second cohort/WT/test/c58_m5.mp4</t>
        </is>
      </c>
      <c r="U4162" t="n">
        <v>10841</v>
      </c>
      <c r="V4162" t="n">
        <v>10885</v>
      </c>
      <c r="W4162" t="n">
        <v/>
      </c>
      <c r="X4162" t="n">
        <v/>
      </c>
      <c r="Y4162" t="n">
        <v/>
      </c>
      <c r="Z4162" t="n">
        <v/>
      </c>
      <c r="AA4162">
        <f>SUMIFS($S$2:S4162,$A$2:A4162,A4162,$N$2:N4162,"Explore*")</f>
        <v/>
      </c>
      <c r="AB4162">
        <f>IF(AND(LEFT(N4162,7)="Explore",(AA4162-IF(LEFT(N4162,7)="Explore",S4162,0))&lt;10),"SI","NO")</f>
        <v/>
      </c>
    </row>
    <row r="4163">
      <c r="A4163" t="inlineStr">
        <is>
          <t>c58m5_test</t>
        </is>
      </c>
      <c r="B4163" t="inlineStr">
        <is>
          <t>2026-07-02 15:27:13.204</t>
        </is>
      </c>
      <c r="C4163" t="n">
        <v/>
      </c>
      <c r="D4163" t="inlineStr">
        <is>
          <t>Media file</t>
        </is>
      </c>
      <c r="E4163" t="inlineStr">
        <is>
          <t>player #1:C:/Users/manuel.felline/Documents/BEHAVIOR BTBR/NOR second cohort/WT/test/c58_m5.mp4</t>
        </is>
      </c>
      <c r="F4163" t="n">
        <v>0</v>
      </c>
      <c r="G4163" t="n">
        <v>572.466</v>
      </c>
      <c r="H4163" t="n">
        <v>641.7329999999999</v>
      </c>
      <c r="I4163" t="n">
        <v>30</v>
      </c>
      <c r="J4163" t="inlineStr">
        <is>
          <t xml:space="preserve"> WT</t>
        </is>
      </c>
      <c r="K4163" t="inlineStr">
        <is>
          <t>Male</t>
        </is>
      </c>
      <c r="L4163" t="inlineStr">
        <is>
          <t>No focal subject</t>
        </is>
      </c>
      <c r="M4163" t="n">
        <v>78.574</v>
      </c>
      <c r="N4163" t="inlineStr">
        <is>
          <t>Explore_N</t>
        </is>
      </c>
      <c r="O4163" t="inlineStr">
        <is>
          <t>Novelty</t>
        </is>
      </c>
      <c r="P4163" t="inlineStr">
        <is>
          <t>STATE</t>
        </is>
      </c>
      <c r="Q4163" t="n">
        <v>376.233</v>
      </c>
      <c r="R4163" t="n">
        <v>377.566</v>
      </c>
      <c r="S4163" t="n">
        <v>1.333</v>
      </c>
      <c r="T4163" t="inlineStr">
        <is>
          <t>C:/Users/manuel.felline/Documents/BEHAVIOR BTBR/NOR second cohort/WT/test/c58_m5.mp4</t>
        </is>
      </c>
      <c r="U4163" t="n">
        <v>11281</v>
      </c>
      <c r="V4163" t="n">
        <v>11321</v>
      </c>
      <c r="W4163" t="n">
        <v/>
      </c>
      <c r="X4163" t="n">
        <v/>
      </c>
      <c r="Y4163" t="n">
        <v/>
      </c>
      <c r="Z4163" t="n">
        <v/>
      </c>
      <c r="AA4163">
        <f>SUMIFS($S$2:S4163,$A$2:A4163,A4163,$N$2:N4163,"Explore*")</f>
        <v/>
      </c>
      <c r="AB4163">
        <f>IF(AND(LEFT(N4163,7)="Explore",(AA4163-IF(LEFT(N4163,7)="Explore",S4163,0))&lt;10),"SI","NO")</f>
        <v/>
      </c>
    </row>
    <row r="4164">
      <c r="A4164" t="inlineStr">
        <is>
          <t>c58m5_test</t>
        </is>
      </c>
      <c r="B4164" t="inlineStr">
        <is>
          <t>2026-07-02 15:27:13.204</t>
        </is>
      </c>
      <c r="C4164" t="n">
        <v/>
      </c>
      <c r="D4164" t="inlineStr">
        <is>
          <t>Media file</t>
        </is>
      </c>
      <c r="E4164" t="inlineStr">
        <is>
          <t>player #1:C:/Users/manuel.felline/Documents/BEHAVIOR BTBR/NOR second cohort/WT/test/c58_m5.mp4</t>
        </is>
      </c>
      <c r="F4164" t="n">
        <v>0</v>
      </c>
      <c r="G4164" t="n">
        <v>572.466</v>
      </c>
      <c r="H4164" t="n">
        <v>641.7329999999999</v>
      </c>
      <c r="I4164" t="n">
        <v>30</v>
      </c>
      <c r="J4164" t="inlineStr">
        <is>
          <t xml:space="preserve"> WT</t>
        </is>
      </c>
      <c r="K4164" t="inlineStr">
        <is>
          <t>Male</t>
        </is>
      </c>
      <c r="L4164" t="inlineStr">
        <is>
          <t>No focal subject</t>
        </is>
      </c>
      <c r="M4164" t="n">
        <v>78.574</v>
      </c>
      <c r="N4164" t="inlineStr">
        <is>
          <t>Explore_F</t>
        </is>
      </c>
      <c r="O4164" t="inlineStr">
        <is>
          <t>Familiar</t>
        </is>
      </c>
      <c r="P4164" t="inlineStr">
        <is>
          <t>STATE</t>
        </is>
      </c>
      <c r="Q4164" t="n">
        <v>384.2</v>
      </c>
      <c r="R4164" t="n">
        <v>389.466</v>
      </c>
      <c r="S4164" t="n">
        <v>5.266</v>
      </c>
      <c r="T4164" t="inlineStr">
        <is>
          <t>C:/Users/manuel.felline/Documents/BEHAVIOR BTBR/NOR second cohort/WT/test/c58_m5.mp4</t>
        </is>
      </c>
      <c r="U4164" t="n">
        <v>11520</v>
      </c>
      <c r="V4164" t="n">
        <v>11678</v>
      </c>
      <c r="W4164" t="n">
        <v/>
      </c>
      <c r="X4164" t="n">
        <v/>
      </c>
      <c r="Y4164" t="n">
        <v/>
      </c>
      <c r="Z4164" t="n">
        <v/>
      </c>
      <c r="AA4164">
        <f>SUMIFS($S$2:S4164,$A$2:A4164,A4164,$N$2:N4164,"Explore*")</f>
        <v/>
      </c>
      <c r="AB4164">
        <f>IF(AND(LEFT(N4164,7)="Explore",(AA4164-IF(LEFT(N4164,7)="Explore",S4164,0))&lt;10),"SI","NO")</f>
        <v/>
      </c>
    </row>
    <row r="4165">
      <c r="A4165" t="inlineStr">
        <is>
          <t>c58m5_test</t>
        </is>
      </c>
      <c r="B4165" t="inlineStr">
        <is>
          <t>2026-07-02 15:27:13.204</t>
        </is>
      </c>
      <c r="C4165" t="n">
        <v/>
      </c>
      <c r="D4165" t="inlineStr">
        <is>
          <t>Media file</t>
        </is>
      </c>
      <c r="E4165" t="inlineStr">
        <is>
          <t>player #1:C:/Users/manuel.felline/Documents/BEHAVIOR BTBR/NOR second cohort/WT/test/c58_m5.mp4</t>
        </is>
      </c>
      <c r="F4165" t="n">
        <v>0</v>
      </c>
      <c r="G4165" t="n">
        <v>572.466</v>
      </c>
      <c r="H4165" t="n">
        <v>641.7329999999999</v>
      </c>
      <c r="I4165" t="n">
        <v>30</v>
      </c>
      <c r="J4165" t="inlineStr">
        <is>
          <t xml:space="preserve"> WT</t>
        </is>
      </c>
      <c r="K4165" t="inlineStr">
        <is>
          <t>Male</t>
        </is>
      </c>
      <c r="L4165" t="inlineStr">
        <is>
          <t>No focal subject</t>
        </is>
      </c>
      <c r="M4165" t="n">
        <v>78.574</v>
      </c>
      <c r="N4165" t="inlineStr">
        <is>
          <t>Explore_F</t>
        </is>
      </c>
      <c r="O4165" t="inlineStr">
        <is>
          <t>Familiar</t>
        </is>
      </c>
      <c r="P4165" t="inlineStr">
        <is>
          <t>STATE</t>
        </is>
      </c>
      <c r="Q4165" t="n">
        <v>395.533</v>
      </c>
      <c r="R4165" t="n">
        <v>396.3</v>
      </c>
      <c r="S4165" t="n">
        <v>0.767</v>
      </c>
      <c r="T4165" t="inlineStr">
        <is>
          <t>C:/Users/manuel.felline/Documents/BEHAVIOR BTBR/NOR second cohort/WT/test/c58_m5.mp4</t>
        </is>
      </c>
      <c r="U4165" t="n">
        <v>11860</v>
      </c>
      <c r="V4165" t="n">
        <v>11883</v>
      </c>
      <c r="W4165" t="n">
        <v/>
      </c>
      <c r="X4165" t="n">
        <v/>
      </c>
      <c r="Y4165" t="n">
        <v/>
      </c>
      <c r="Z4165" t="n">
        <v/>
      </c>
      <c r="AA4165">
        <f>SUMIFS($S$2:S4165,$A$2:A4165,A4165,$N$2:N4165,"Explore*")</f>
        <v/>
      </c>
      <c r="AB4165">
        <f>IF(AND(LEFT(N4165,7)="Explore",(AA4165-IF(LEFT(N4165,7)="Explore",S4165,0))&lt;10),"SI","NO")</f>
        <v/>
      </c>
    </row>
    <row r="4166">
      <c r="A4166" t="inlineStr">
        <is>
          <t>c58m5_test</t>
        </is>
      </c>
      <c r="B4166" t="inlineStr">
        <is>
          <t>2026-07-02 15:27:13.204</t>
        </is>
      </c>
      <c r="C4166" t="n">
        <v/>
      </c>
      <c r="D4166" t="inlineStr">
        <is>
          <t>Media file</t>
        </is>
      </c>
      <c r="E4166" t="inlineStr">
        <is>
          <t>player #1:C:/Users/manuel.felline/Documents/BEHAVIOR BTBR/NOR second cohort/WT/test/c58_m5.mp4</t>
        </is>
      </c>
      <c r="F4166" t="n">
        <v>0</v>
      </c>
      <c r="G4166" t="n">
        <v>572.466</v>
      </c>
      <c r="H4166" t="n">
        <v>641.7329999999999</v>
      </c>
      <c r="I4166" t="n">
        <v>30</v>
      </c>
      <c r="J4166" t="inlineStr">
        <is>
          <t xml:space="preserve"> WT</t>
        </is>
      </c>
      <c r="K4166" t="inlineStr">
        <is>
          <t>Male</t>
        </is>
      </c>
      <c r="L4166" t="inlineStr">
        <is>
          <t>No focal subject</t>
        </is>
      </c>
      <c r="M4166" t="n">
        <v>78.574</v>
      </c>
      <c r="N4166" t="inlineStr">
        <is>
          <t>Explore_N</t>
        </is>
      </c>
      <c r="O4166" t="inlineStr">
        <is>
          <t>Novelty</t>
        </is>
      </c>
      <c r="P4166" t="inlineStr">
        <is>
          <t>STATE</t>
        </is>
      </c>
      <c r="Q4166" t="n">
        <v>419.633</v>
      </c>
      <c r="R4166" t="n">
        <v>420.666</v>
      </c>
      <c r="S4166" t="n">
        <v>1.033</v>
      </c>
      <c r="T4166" t="inlineStr">
        <is>
          <t>C:/Users/manuel.felline/Documents/BEHAVIOR BTBR/NOR second cohort/WT/test/c58_m5.mp4</t>
        </is>
      </c>
      <c r="U4166" t="n">
        <v>12583</v>
      </c>
      <c r="V4166" t="n">
        <v>12615</v>
      </c>
      <c r="W4166" t="n">
        <v/>
      </c>
      <c r="X4166" t="n">
        <v/>
      </c>
      <c r="Y4166" t="n">
        <v/>
      </c>
      <c r="Z4166" t="n">
        <v/>
      </c>
      <c r="AA4166">
        <f>SUMIFS($S$2:S4166,$A$2:A4166,A4166,$N$2:N4166,"Explore*")</f>
        <v/>
      </c>
      <c r="AB4166">
        <f>IF(AND(LEFT(N4166,7)="Explore",(AA4166-IF(LEFT(N4166,7)="Explore",S4166,0))&lt;10),"SI","NO")</f>
        <v/>
      </c>
    </row>
    <row r="4167">
      <c r="A4167" t="inlineStr">
        <is>
          <t>c58m5_test</t>
        </is>
      </c>
      <c r="B4167" t="inlineStr">
        <is>
          <t>2026-07-02 15:27:13.204</t>
        </is>
      </c>
      <c r="C4167" t="n">
        <v/>
      </c>
      <c r="D4167" t="inlineStr">
        <is>
          <t>Media file</t>
        </is>
      </c>
      <c r="E4167" t="inlineStr">
        <is>
          <t>player #1:C:/Users/manuel.felline/Documents/BEHAVIOR BTBR/NOR second cohort/WT/test/c58_m5.mp4</t>
        </is>
      </c>
      <c r="F4167" t="n">
        <v>0</v>
      </c>
      <c r="G4167" t="n">
        <v>572.466</v>
      </c>
      <c r="H4167" t="n">
        <v>641.7329999999999</v>
      </c>
      <c r="I4167" t="n">
        <v>30</v>
      </c>
      <c r="J4167" t="inlineStr">
        <is>
          <t xml:space="preserve"> WT</t>
        </is>
      </c>
      <c r="K4167" t="inlineStr">
        <is>
          <t>Male</t>
        </is>
      </c>
      <c r="L4167" t="inlineStr">
        <is>
          <t>No focal subject</t>
        </is>
      </c>
      <c r="M4167" t="n">
        <v>78.574</v>
      </c>
      <c r="N4167" t="inlineStr">
        <is>
          <t>Explore_N</t>
        </is>
      </c>
      <c r="O4167" t="inlineStr">
        <is>
          <t>Novelty</t>
        </is>
      </c>
      <c r="P4167" t="inlineStr">
        <is>
          <t>STATE</t>
        </is>
      </c>
      <c r="Q4167" t="n">
        <v>436.133</v>
      </c>
      <c r="R4167" t="n">
        <v>436.733</v>
      </c>
      <c r="S4167" t="n">
        <v>0.6</v>
      </c>
      <c r="T4167" t="inlineStr">
        <is>
          <t>C:/Users/manuel.felline/Documents/BEHAVIOR BTBR/NOR second cohort/WT/test/c58_m5.mp4</t>
        </is>
      </c>
      <c r="U4167" t="n">
        <v>13077</v>
      </c>
      <c r="V4167" t="n">
        <v>13095</v>
      </c>
      <c r="W4167" t="n">
        <v/>
      </c>
      <c r="X4167" t="n">
        <v/>
      </c>
      <c r="Y4167" t="n">
        <v/>
      </c>
      <c r="Z4167" t="n">
        <v/>
      </c>
      <c r="AA4167">
        <f>SUMIFS($S$2:S4167,$A$2:A4167,A4167,$N$2:N4167,"Explore*")</f>
        <v/>
      </c>
      <c r="AB4167">
        <f>IF(AND(LEFT(N4167,7)="Explore",(AA4167-IF(LEFT(N4167,7)="Explore",S4167,0))&lt;10),"SI","NO")</f>
        <v/>
      </c>
    </row>
    <row r="4168">
      <c r="A4168" t="inlineStr">
        <is>
          <t>c58m5_test</t>
        </is>
      </c>
      <c r="B4168" t="inlineStr">
        <is>
          <t>2026-07-02 15:27:13.204</t>
        </is>
      </c>
      <c r="C4168" t="n">
        <v/>
      </c>
      <c r="D4168" t="inlineStr">
        <is>
          <t>Media file</t>
        </is>
      </c>
      <c r="E4168" t="inlineStr">
        <is>
          <t>player #1:C:/Users/manuel.felline/Documents/BEHAVIOR BTBR/NOR second cohort/WT/test/c58_m5.mp4</t>
        </is>
      </c>
      <c r="F4168" t="n">
        <v>0</v>
      </c>
      <c r="G4168" t="n">
        <v>572.466</v>
      </c>
      <c r="H4168" t="n">
        <v>641.7329999999999</v>
      </c>
      <c r="I4168" t="n">
        <v>30</v>
      </c>
      <c r="J4168" t="inlineStr">
        <is>
          <t xml:space="preserve"> WT</t>
        </is>
      </c>
      <c r="K4168" t="inlineStr">
        <is>
          <t>Male</t>
        </is>
      </c>
      <c r="L4168" t="inlineStr">
        <is>
          <t>No focal subject</t>
        </is>
      </c>
      <c r="M4168" t="n">
        <v>78.574</v>
      </c>
      <c r="N4168" t="inlineStr">
        <is>
          <t>Explore_N</t>
        </is>
      </c>
      <c r="O4168" t="inlineStr">
        <is>
          <t>Novelty</t>
        </is>
      </c>
      <c r="P4168" t="inlineStr">
        <is>
          <t>STATE</t>
        </is>
      </c>
      <c r="Q4168" t="n">
        <v>439.366</v>
      </c>
      <c r="R4168" t="n">
        <v>439.866</v>
      </c>
      <c r="S4168" t="n">
        <v>0.5</v>
      </c>
      <c r="T4168" t="inlineStr">
        <is>
          <t>C:/Users/manuel.felline/Documents/BEHAVIOR BTBR/NOR second cohort/WT/test/c58_m5.mp4</t>
        </is>
      </c>
      <c r="U4168" t="n">
        <v>13174</v>
      </c>
      <c r="V4168" t="n">
        <v>13190</v>
      </c>
      <c r="W4168" t="n">
        <v/>
      </c>
      <c r="X4168" t="n">
        <v/>
      </c>
      <c r="Y4168" t="n">
        <v/>
      </c>
      <c r="Z4168" t="n">
        <v/>
      </c>
      <c r="AA4168">
        <f>SUMIFS($S$2:S4168,$A$2:A4168,A4168,$N$2:N4168,"Explore*")</f>
        <v/>
      </c>
      <c r="AB4168">
        <f>IF(AND(LEFT(N4168,7)="Explore",(AA4168-IF(LEFT(N4168,7)="Explore",S4168,0))&lt;10),"SI","NO")</f>
        <v/>
      </c>
    </row>
    <row r="4169">
      <c r="A4169" t="inlineStr">
        <is>
          <t>c58m5_test</t>
        </is>
      </c>
      <c r="B4169" t="inlineStr">
        <is>
          <t>2026-07-02 15:27:13.204</t>
        </is>
      </c>
      <c r="C4169" t="n">
        <v/>
      </c>
      <c r="D4169" t="inlineStr">
        <is>
          <t>Media file</t>
        </is>
      </c>
      <c r="E4169" t="inlineStr">
        <is>
          <t>player #1:C:/Users/manuel.felline/Documents/BEHAVIOR BTBR/NOR second cohort/WT/test/c58_m5.mp4</t>
        </is>
      </c>
      <c r="F4169" t="n">
        <v>0</v>
      </c>
      <c r="G4169" t="n">
        <v>572.466</v>
      </c>
      <c r="H4169" t="n">
        <v>641.7329999999999</v>
      </c>
      <c r="I4169" t="n">
        <v>30</v>
      </c>
      <c r="J4169" t="inlineStr">
        <is>
          <t xml:space="preserve"> WT</t>
        </is>
      </c>
      <c r="K4169" t="inlineStr">
        <is>
          <t>Male</t>
        </is>
      </c>
      <c r="L4169" t="inlineStr">
        <is>
          <t>No focal subject</t>
        </is>
      </c>
      <c r="M4169" t="n">
        <v>78.574</v>
      </c>
      <c r="N4169" t="inlineStr">
        <is>
          <t>Explore_N</t>
        </is>
      </c>
      <c r="O4169" t="inlineStr">
        <is>
          <t>Novelty</t>
        </is>
      </c>
      <c r="P4169" t="inlineStr">
        <is>
          <t>STATE</t>
        </is>
      </c>
      <c r="Q4169" t="n">
        <v>444.133</v>
      </c>
      <c r="R4169" t="n">
        <v>445.366</v>
      </c>
      <c r="S4169" t="n">
        <v>1.233</v>
      </c>
      <c r="T4169" t="inlineStr">
        <is>
          <t>C:/Users/manuel.felline/Documents/BEHAVIOR BTBR/NOR second cohort/WT/test/c58_m5.mp4</t>
        </is>
      </c>
      <c r="U4169" t="n">
        <v>13317</v>
      </c>
      <c r="V4169" t="n">
        <v>13354</v>
      </c>
      <c r="W4169" t="n">
        <v/>
      </c>
      <c r="X4169" t="n">
        <v/>
      </c>
      <c r="Y4169" t="n">
        <v/>
      </c>
      <c r="Z4169" t="n">
        <v/>
      </c>
      <c r="AA4169">
        <f>SUMIFS($S$2:S4169,$A$2:A4169,A4169,$N$2:N4169,"Explore*")</f>
        <v/>
      </c>
      <c r="AB4169">
        <f>IF(AND(LEFT(N4169,7)="Explore",(AA4169-IF(LEFT(N4169,7)="Explore",S4169,0))&lt;10),"SI","NO")</f>
        <v/>
      </c>
    </row>
    <row r="4170">
      <c r="A4170" t="inlineStr">
        <is>
          <t>c58m5_test</t>
        </is>
      </c>
      <c r="B4170" t="inlineStr">
        <is>
          <t>2026-07-02 15:27:13.204</t>
        </is>
      </c>
      <c r="C4170" t="n">
        <v/>
      </c>
      <c r="D4170" t="inlineStr">
        <is>
          <t>Media file</t>
        </is>
      </c>
      <c r="E4170" t="inlineStr">
        <is>
          <t>player #1:C:/Users/manuel.felline/Documents/BEHAVIOR BTBR/NOR second cohort/WT/test/c58_m5.mp4</t>
        </is>
      </c>
      <c r="F4170" t="n">
        <v>0</v>
      </c>
      <c r="G4170" t="n">
        <v>572.466</v>
      </c>
      <c r="H4170" t="n">
        <v>641.7329999999999</v>
      </c>
      <c r="I4170" t="n">
        <v>30</v>
      </c>
      <c r="J4170" t="inlineStr">
        <is>
          <t xml:space="preserve"> WT</t>
        </is>
      </c>
      <c r="K4170" t="inlineStr">
        <is>
          <t>Male</t>
        </is>
      </c>
      <c r="L4170" t="inlineStr">
        <is>
          <t>No focal subject</t>
        </is>
      </c>
      <c r="M4170" t="n">
        <v>78.574</v>
      </c>
      <c r="N4170" t="inlineStr">
        <is>
          <t>Explore_N</t>
        </is>
      </c>
      <c r="O4170" t="inlineStr">
        <is>
          <t>Novelty</t>
        </is>
      </c>
      <c r="P4170" t="inlineStr">
        <is>
          <t>STATE</t>
        </is>
      </c>
      <c r="Q4170" t="n">
        <v>450.766</v>
      </c>
      <c r="R4170" t="n">
        <v>451.966</v>
      </c>
      <c r="S4170" t="n">
        <v>1.2</v>
      </c>
      <c r="T4170" t="inlineStr">
        <is>
          <t>C:/Users/manuel.felline/Documents/BEHAVIOR BTBR/NOR second cohort/WT/test/c58_m5.mp4</t>
        </is>
      </c>
      <c r="U4170" t="n">
        <v>13516</v>
      </c>
      <c r="V4170" t="n">
        <v>13552</v>
      </c>
      <c r="W4170" t="n">
        <v/>
      </c>
      <c r="X4170" t="n">
        <v/>
      </c>
      <c r="Y4170" t="n">
        <v/>
      </c>
      <c r="Z4170" t="n">
        <v/>
      </c>
      <c r="AA4170">
        <f>SUMIFS($S$2:S4170,$A$2:A4170,A4170,$N$2:N4170,"Explore*")</f>
        <v/>
      </c>
      <c r="AB4170">
        <f>IF(AND(LEFT(N4170,7)="Explore",(AA4170-IF(LEFT(N4170,7)="Explore",S4170,0))&lt;10),"SI","NO")</f>
        <v/>
      </c>
    </row>
    <row r="4171">
      <c r="A4171" t="inlineStr">
        <is>
          <t>c58m5_test</t>
        </is>
      </c>
      <c r="B4171" t="inlineStr">
        <is>
          <t>2026-07-02 15:27:13.204</t>
        </is>
      </c>
      <c r="C4171" t="n">
        <v/>
      </c>
      <c r="D4171" t="inlineStr">
        <is>
          <t>Media file</t>
        </is>
      </c>
      <c r="E4171" t="inlineStr">
        <is>
          <t>player #1:C:/Users/manuel.felline/Documents/BEHAVIOR BTBR/NOR second cohort/WT/test/c58_m5.mp4</t>
        </is>
      </c>
      <c r="F4171" t="n">
        <v>0</v>
      </c>
      <c r="G4171" t="n">
        <v>572.466</v>
      </c>
      <c r="H4171" t="n">
        <v>641.7329999999999</v>
      </c>
      <c r="I4171" t="n">
        <v>30</v>
      </c>
      <c r="J4171" t="inlineStr">
        <is>
          <t xml:space="preserve"> WT</t>
        </is>
      </c>
      <c r="K4171" t="inlineStr">
        <is>
          <t>Male</t>
        </is>
      </c>
      <c r="L4171" t="inlineStr">
        <is>
          <t>No focal subject</t>
        </is>
      </c>
      <c r="M4171" t="n">
        <v>78.574</v>
      </c>
      <c r="N4171" t="inlineStr">
        <is>
          <t>Explore_N</t>
        </is>
      </c>
      <c r="O4171" t="inlineStr">
        <is>
          <t>Novelty</t>
        </is>
      </c>
      <c r="P4171" t="inlineStr">
        <is>
          <t>STATE</t>
        </is>
      </c>
      <c r="Q4171" t="n">
        <v>455.766</v>
      </c>
      <c r="R4171" t="n">
        <v>456.566</v>
      </c>
      <c r="S4171" t="n">
        <v>0.8</v>
      </c>
      <c r="T4171" t="inlineStr">
        <is>
          <t>C:/Users/manuel.felline/Documents/BEHAVIOR BTBR/NOR second cohort/WT/test/c58_m5.mp4</t>
        </is>
      </c>
      <c r="U4171" t="n">
        <v>13666</v>
      </c>
      <c r="V4171" t="n">
        <v>13690</v>
      </c>
      <c r="W4171" t="n">
        <v/>
      </c>
      <c r="X4171" t="n">
        <v/>
      </c>
      <c r="Y4171" t="n">
        <v/>
      </c>
      <c r="Z4171" t="n">
        <v/>
      </c>
      <c r="AA4171">
        <f>SUMIFS($S$2:S4171,$A$2:A4171,A4171,$N$2:N4171,"Explore*")</f>
        <v/>
      </c>
      <c r="AB4171">
        <f>IF(AND(LEFT(N4171,7)="Explore",(AA4171-IF(LEFT(N4171,7)="Explore",S4171,0))&lt;10),"SI","NO")</f>
        <v/>
      </c>
    </row>
    <row r="4172">
      <c r="A4172" t="inlineStr">
        <is>
          <t>c58m5_test</t>
        </is>
      </c>
      <c r="B4172" t="inlineStr">
        <is>
          <t>2026-07-02 15:27:13.204</t>
        </is>
      </c>
      <c r="C4172" t="n">
        <v/>
      </c>
      <c r="D4172" t="inlineStr">
        <is>
          <t>Media file</t>
        </is>
      </c>
      <c r="E4172" t="inlineStr">
        <is>
          <t>player #1:C:/Users/manuel.felline/Documents/BEHAVIOR BTBR/NOR second cohort/WT/test/c58_m5.mp4</t>
        </is>
      </c>
      <c r="F4172" t="n">
        <v>0</v>
      </c>
      <c r="G4172" t="n">
        <v>572.466</v>
      </c>
      <c r="H4172" t="n">
        <v>641.7329999999999</v>
      </c>
      <c r="I4172" t="n">
        <v>30</v>
      </c>
      <c r="J4172" t="inlineStr">
        <is>
          <t xml:space="preserve"> WT</t>
        </is>
      </c>
      <c r="K4172" t="inlineStr">
        <is>
          <t>Male</t>
        </is>
      </c>
      <c r="L4172" t="inlineStr">
        <is>
          <t>No focal subject</t>
        </is>
      </c>
      <c r="M4172" t="n">
        <v>78.574</v>
      </c>
      <c r="N4172" t="inlineStr">
        <is>
          <t>Explore_N</t>
        </is>
      </c>
      <c r="O4172" t="inlineStr">
        <is>
          <t>Novelty</t>
        </is>
      </c>
      <c r="P4172" t="inlineStr">
        <is>
          <t>STATE</t>
        </is>
      </c>
      <c r="Q4172" t="n">
        <v>462.366</v>
      </c>
      <c r="R4172" t="n">
        <v>463.666</v>
      </c>
      <c r="S4172" t="n">
        <v>1.3</v>
      </c>
      <c r="T4172" t="inlineStr">
        <is>
          <t>C:/Users/manuel.felline/Documents/BEHAVIOR BTBR/NOR second cohort/WT/test/c58_m5.mp4</t>
        </is>
      </c>
      <c r="U4172" t="n">
        <v>13864</v>
      </c>
      <c r="V4172" t="n">
        <v>13903</v>
      </c>
      <c r="W4172" t="n">
        <v/>
      </c>
      <c r="X4172" t="n">
        <v/>
      </c>
      <c r="Y4172" t="n">
        <v/>
      </c>
      <c r="Z4172" t="n">
        <v/>
      </c>
      <c r="AA4172">
        <f>SUMIFS($S$2:S4172,$A$2:A4172,A4172,$N$2:N4172,"Explore*")</f>
        <v/>
      </c>
      <c r="AB4172">
        <f>IF(AND(LEFT(N4172,7)="Explore",(AA4172-IF(LEFT(N4172,7)="Explore",S4172,0))&lt;10),"SI","NO")</f>
        <v/>
      </c>
    </row>
    <row r="4173">
      <c r="A4173" t="inlineStr">
        <is>
          <t>c58m5_test</t>
        </is>
      </c>
      <c r="B4173" t="inlineStr">
        <is>
          <t>2026-07-02 15:27:13.204</t>
        </is>
      </c>
      <c r="C4173" t="n">
        <v/>
      </c>
      <c r="D4173" t="inlineStr">
        <is>
          <t>Media file</t>
        </is>
      </c>
      <c r="E4173" t="inlineStr">
        <is>
          <t>player #1:C:/Users/manuel.felline/Documents/BEHAVIOR BTBR/NOR second cohort/WT/test/c58_m5.mp4</t>
        </is>
      </c>
      <c r="F4173" t="n">
        <v>0</v>
      </c>
      <c r="G4173" t="n">
        <v>572.466</v>
      </c>
      <c r="H4173" t="n">
        <v>641.7329999999999</v>
      </c>
      <c r="I4173" t="n">
        <v>30</v>
      </c>
      <c r="J4173" t="inlineStr">
        <is>
          <t xml:space="preserve"> WT</t>
        </is>
      </c>
      <c r="K4173" t="inlineStr">
        <is>
          <t>Male</t>
        </is>
      </c>
      <c r="L4173" t="inlineStr">
        <is>
          <t>No focal subject</t>
        </is>
      </c>
      <c r="M4173" t="n">
        <v>78.574</v>
      </c>
      <c r="N4173" t="inlineStr">
        <is>
          <t>Explore_N</t>
        </is>
      </c>
      <c r="O4173" t="inlineStr">
        <is>
          <t>Novelty</t>
        </is>
      </c>
      <c r="P4173" t="inlineStr">
        <is>
          <t>STATE</t>
        </is>
      </c>
      <c r="Q4173" t="n">
        <v>482.866</v>
      </c>
      <c r="R4173" t="n">
        <v>485.266</v>
      </c>
      <c r="S4173" t="n">
        <v>2.4</v>
      </c>
      <c r="T4173" t="inlineStr">
        <is>
          <t>C:/Users/manuel.felline/Documents/BEHAVIOR BTBR/NOR second cohort/WT/test/c58_m5.mp4</t>
        </is>
      </c>
      <c r="U4173" t="n">
        <v>14479</v>
      </c>
      <c r="V4173" t="n">
        <v>14551</v>
      </c>
      <c r="W4173" t="n">
        <v/>
      </c>
      <c r="X4173" t="n">
        <v/>
      </c>
      <c r="Y4173" t="n">
        <v/>
      </c>
      <c r="Z4173" t="n">
        <v/>
      </c>
      <c r="AA4173">
        <f>SUMIFS($S$2:S4173,$A$2:A4173,A4173,$N$2:N4173,"Explore*")</f>
        <v/>
      </c>
      <c r="AB4173">
        <f>IF(AND(LEFT(N4173,7)="Explore",(AA4173-IF(LEFT(N4173,7)="Explore",S4173,0))&lt;10),"SI","NO")</f>
        <v/>
      </c>
    </row>
    <row r="4174">
      <c r="A4174" t="inlineStr">
        <is>
          <t>c58m5_test</t>
        </is>
      </c>
      <c r="B4174" t="inlineStr">
        <is>
          <t>2026-07-02 15:27:13.204</t>
        </is>
      </c>
      <c r="C4174" t="n">
        <v/>
      </c>
      <c r="D4174" t="inlineStr">
        <is>
          <t>Media file</t>
        </is>
      </c>
      <c r="E4174" t="inlineStr">
        <is>
          <t>player #1:C:/Users/manuel.felline/Documents/BEHAVIOR BTBR/NOR second cohort/WT/test/c58_m5.mp4</t>
        </is>
      </c>
      <c r="F4174" t="n">
        <v>0</v>
      </c>
      <c r="G4174" t="n">
        <v>572.466</v>
      </c>
      <c r="H4174" t="n">
        <v>641.7329999999999</v>
      </c>
      <c r="I4174" t="n">
        <v>30</v>
      </c>
      <c r="J4174" t="inlineStr">
        <is>
          <t xml:space="preserve"> WT</t>
        </is>
      </c>
      <c r="K4174" t="inlineStr">
        <is>
          <t>Male</t>
        </is>
      </c>
      <c r="L4174" t="inlineStr">
        <is>
          <t>No focal subject</t>
        </is>
      </c>
      <c r="M4174" t="n">
        <v>78.574</v>
      </c>
      <c r="N4174" t="inlineStr">
        <is>
          <t>Explore_N</t>
        </is>
      </c>
      <c r="O4174" t="inlineStr">
        <is>
          <t>Novelty</t>
        </is>
      </c>
      <c r="P4174" t="inlineStr">
        <is>
          <t>STATE</t>
        </is>
      </c>
      <c r="Q4174" t="n">
        <v>495.166</v>
      </c>
      <c r="R4174" t="n">
        <v>496.233</v>
      </c>
      <c r="S4174" t="n">
        <v>1.067</v>
      </c>
      <c r="T4174" t="inlineStr">
        <is>
          <t>C:/Users/manuel.felline/Documents/BEHAVIOR BTBR/NOR second cohort/WT/test/c58_m5.mp4</t>
        </is>
      </c>
      <c r="U4174" t="n">
        <v>14847</v>
      </c>
      <c r="V4174" t="n">
        <v>14879</v>
      </c>
      <c r="W4174" t="n">
        <v/>
      </c>
      <c r="X4174" t="n">
        <v/>
      </c>
      <c r="Y4174" t="n">
        <v/>
      </c>
      <c r="Z4174" t="n">
        <v/>
      </c>
      <c r="AA4174">
        <f>SUMIFS($S$2:S4174,$A$2:A4174,A4174,$N$2:N4174,"Explore*")</f>
        <v/>
      </c>
      <c r="AB4174">
        <f>IF(AND(LEFT(N4174,7)="Explore",(AA4174-IF(LEFT(N4174,7)="Explore",S4174,0))&lt;10),"SI","NO")</f>
        <v/>
      </c>
    </row>
    <row r="4175">
      <c r="A4175" t="inlineStr">
        <is>
          <t>c58m5_test</t>
        </is>
      </c>
      <c r="B4175" t="inlineStr">
        <is>
          <t>2026-07-02 15:27:13.204</t>
        </is>
      </c>
      <c r="C4175" t="n">
        <v/>
      </c>
      <c r="D4175" t="inlineStr">
        <is>
          <t>Media file</t>
        </is>
      </c>
      <c r="E4175" t="inlineStr">
        <is>
          <t>player #1:C:/Users/manuel.felline/Documents/BEHAVIOR BTBR/NOR second cohort/WT/test/c58_m5.mp4</t>
        </is>
      </c>
      <c r="F4175" t="n">
        <v>0</v>
      </c>
      <c r="G4175" t="n">
        <v>572.466</v>
      </c>
      <c r="H4175" t="n">
        <v>641.7329999999999</v>
      </c>
      <c r="I4175" t="n">
        <v>30</v>
      </c>
      <c r="J4175" t="inlineStr">
        <is>
          <t xml:space="preserve"> WT</t>
        </is>
      </c>
      <c r="K4175" t="inlineStr">
        <is>
          <t>Male</t>
        </is>
      </c>
      <c r="L4175" t="inlineStr">
        <is>
          <t>No focal subject</t>
        </is>
      </c>
      <c r="M4175" t="n">
        <v>78.574</v>
      </c>
      <c r="N4175" t="inlineStr">
        <is>
          <t>Explore_N</t>
        </is>
      </c>
      <c r="O4175" t="inlineStr">
        <is>
          <t>Novelty</t>
        </is>
      </c>
      <c r="P4175" t="inlineStr">
        <is>
          <t>STATE</t>
        </is>
      </c>
      <c r="Q4175" t="n">
        <v>498.499</v>
      </c>
      <c r="R4175" t="n">
        <v>499.533</v>
      </c>
      <c r="S4175" t="n">
        <v>1.034</v>
      </c>
      <c r="T4175" t="inlineStr">
        <is>
          <t>C:/Users/manuel.felline/Documents/BEHAVIOR BTBR/NOR second cohort/WT/test/c58_m5.mp4</t>
        </is>
      </c>
      <c r="U4175" t="n">
        <v>14947</v>
      </c>
      <c r="V4175" t="n">
        <v>14978</v>
      </c>
      <c r="W4175" t="n">
        <v/>
      </c>
      <c r="X4175" t="n">
        <v/>
      </c>
      <c r="Y4175" t="n">
        <v/>
      </c>
      <c r="Z4175" t="n">
        <v/>
      </c>
      <c r="AA4175">
        <f>SUMIFS($S$2:S4175,$A$2:A4175,A4175,$N$2:N4175,"Explore*")</f>
        <v/>
      </c>
      <c r="AB4175">
        <f>IF(AND(LEFT(N4175,7)="Explore",(AA4175-IF(LEFT(N4175,7)="Explore",S4175,0))&lt;10),"SI","NO")</f>
        <v/>
      </c>
    </row>
    <row r="4176">
      <c r="A4176" t="inlineStr">
        <is>
          <t>c58m5_test</t>
        </is>
      </c>
      <c r="B4176" t="inlineStr">
        <is>
          <t>2026-07-02 15:27:13.204</t>
        </is>
      </c>
      <c r="C4176" t="n">
        <v/>
      </c>
      <c r="D4176" t="inlineStr">
        <is>
          <t>Media file</t>
        </is>
      </c>
      <c r="E4176" t="inlineStr">
        <is>
          <t>player #1:C:/Users/manuel.felline/Documents/BEHAVIOR BTBR/NOR second cohort/WT/test/c58_m5.mp4</t>
        </is>
      </c>
      <c r="F4176" t="n">
        <v>0</v>
      </c>
      <c r="G4176" t="n">
        <v>572.466</v>
      </c>
      <c r="H4176" t="n">
        <v>641.7329999999999</v>
      </c>
      <c r="I4176" t="n">
        <v>30</v>
      </c>
      <c r="J4176" t="inlineStr">
        <is>
          <t xml:space="preserve"> WT</t>
        </is>
      </c>
      <c r="K4176" t="inlineStr">
        <is>
          <t>Male</t>
        </is>
      </c>
      <c r="L4176" t="inlineStr">
        <is>
          <t>No focal subject</t>
        </is>
      </c>
      <c r="M4176" t="n">
        <v>78.574</v>
      </c>
      <c r="N4176" t="inlineStr">
        <is>
          <t>Explore_N</t>
        </is>
      </c>
      <c r="O4176" t="inlineStr">
        <is>
          <t>Novelty</t>
        </is>
      </c>
      <c r="P4176" t="inlineStr">
        <is>
          <t>STATE</t>
        </is>
      </c>
      <c r="Q4176" t="n">
        <v>506.766</v>
      </c>
      <c r="R4176" t="n">
        <v>509.533</v>
      </c>
      <c r="S4176" t="n">
        <v>2.767</v>
      </c>
      <c r="T4176" t="inlineStr">
        <is>
          <t>C:/Users/manuel.felline/Documents/BEHAVIOR BTBR/NOR second cohort/WT/test/c58_m5.mp4</t>
        </is>
      </c>
      <c r="U4176" t="n">
        <v>15195</v>
      </c>
      <c r="V4176" t="n">
        <v>15279</v>
      </c>
      <c r="W4176" t="n">
        <v/>
      </c>
      <c r="X4176" t="n">
        <v/>
      </c>
      <c r="Y4176" t="n">
        <v/>
      </c>
      <c r="Z4176" t="n">
        <v/>
      </c>
      <c r="AA4176">
        <f>SUMIFS($S$2:S4176,$A$2:A4176,A4176,$N$2:N4176,"Explore*")</f>
        <v/>
      </c>
      <c r="AB4176">
        <f>IF(AND(LEFT(N4176,7)="Explore",(AA4176-IF(LEFT(N4176,7)="Explore",S4176,0))&lt;10),"SI","NO")</f>
        <v/>
      </c>
    </row>
    <row r="4177">
      <c r="A4177" t="inlineStr">
        <is>
          <t>c58m5_test</t>
        </is>
      </c>
      <c r="B4177" t="inlineStr">
        <is>
          <t>2026-07-02 15:27:13.204</t>
        </is>
      </c>
      <c r="C4177" t="n">
        <v/>
      </c>
      <c r="D4177" t="inlineStr">
        <is>
          <t>Media file</t>
        </is>
      </c>
      <c r="E4177" t="inlineStr">
        <is>
          <t>player #1:C:/Users/manuel.felline/Documents/BEHAVIOR BTBR/NOR second cohort/WT/test/c58_m5.mp4</t>
        </is>
      </c>
      <c r="F4177" t="n">
        <v>0</v>
      </c>
      <c r="G4177" t="n">
        <v>572.466</v>
      </c>
      <c r="H4177" t="n">
        <v>641.7329999999999</v>
      </c>
      <c r="I4177" t="n">
        <v>30</v>
      </c>
      <c r="J4177" t="inlineStr">
        <is>
          <t xml:space="preserve"> WT</t>
        </is>
      </c>
      <c r="K4177" t="inlineStr">
        <is>
          <t>Male</t>
        </is>
      </c>
      <c r="L4177" t="inlineStr">
        <is>
          <t>No focal subject</t>
        </is>
      </c>
      <c r="M4177" t="n">
        <v>78.574</v>
      </c>
      <c r="N4177" t="inlineStr">
        <is>
          <t>Explore_N</t>
        </is>
      </c>
      <c r="O4177" t="inlineStr">
        <is>
          <t>Novelty</t>
        </is>
      </c>
      <c r="P4177" t="inlineStr">
        <is>
          <t>STATE</t>
        </is>
      </c>
      <c r="Q4177" t="n">
        <v>512.066</v>
      </c>
      <c r="R4177" t="n">
        <v>513.433</v>
      </c>
      <c r="S4177" t="n">
        <v>1.367</v>
      </c>
      <c r="T4177" t="inlineStr">
        <is>
          <t>C:/Users/manuel.felline/Documents/BEHAVIOR BTBR/NOR second cohort/WT/test/c58_m5.mp4</t>
        </is>
      </c>
      <c r="U4177" t="n">
        <v>15354</v>
      </c>
      <c r="V4177" t="n">
        <v>15395</v>
      </c>
      <c r="W4177" t="n">
        <v/>
      </c>
      <c r="X4177" t="n">
        <v/>
      </c>
      <c r="Y4177" t="n">
        <v/>
      </c>
      <c r="Z4177" t="n">
        <v/>
      </c>
      <c r="AA4177">
        <f>SUMIFS($S$2:S4177,$A$2:A4177,A4177,$N$2:N4177,"Explore*")</f>
        <v/>
      </c>
      <c r="AB4177">
        <f>IF(AND(LEFT(N4177,7)="Explore",(AA4177-IF(LEFT(N4177,7)="Explore",S4177,0))&lt;10),"SI","NO")</f>
        <v/>
      </c>
    </row>
    <row r="4178">
      <c r="A4178" t="inlineStr">
        <is>
          <t>c58m5_test</t>
        </is>
      </c>
      <c r="B4178" t="inlineStr">
        <is>
          <t>2026-07-02 15:27:13.204</t>
        </is>
      </c>
      <c r="C4178" t="n">
        <v/>
      </c>
      <c r="D4178" t="inlineStr">
        <is>
          <t>Media file</t>
        </is>
      </c>
      <c r="E4178" t="inlineStr">
        <is>
          <t>player #1:C:/Users/manuel.felline/Documents/BEHAVIOR BTBR/NOR second cohort/WT/test/c58_m5.mp4</t>
        </is>
      </c>
      <c r="F4178" t="n">
        <v>0</v>
      </c>
      <c r="G4178" t="n">
        <v>572.466</v>
      </c>
      <c r="H4178" t="n">
        <v>641.7329999999999</v>
      </c>
      <c r="I4178" t="n">
        <v>30</v>
      </c>
      <c r="J4178" t="inlineStr">
        <is>
          <t xml:space="preserve"> WT</t>
        </is>
      </c>
      <c r="K4178" t="inlineStr">
        <is>
          <t>Male</t>
        </is>
      </c>
      <c r="L4178" t="inlineStr">
        <is>
          <t>No focal subject</t>
        </is>
      </c>
      <c r="M4178" t="n">
        <v>78.574</v>
      </c>
      <c r="N4178" t="inlineStr">
        <is>
          <t>Explore_N</t>
        </is>
      </c>
      <c r="O4178" t="inlineStr">
        <is>
          <t>Novelty</t>
        </is>
      </c>
      <c r="P4178" t="inlineStr">
        <is>
          <t>STATE</t>
        </is>
      </c>
      <c r="Q4178" t="n">
        <v>525.399</v>
      </c>
      <c r="R4178" t="n">
        <v>526.366</v>
      </c>
      <c r="S4178" t="n">
        <v>0.967</v>
      </c>
      <c r="T4178" t="inlineStr">
        <is>
          <t>C:/Users/manuel.felline/Documents/BEHAVIOR BTBR/NOR second cohort/WT/test/c58_m5.mp4</t>
        </is>
      </c>
      <c r="U4178" t="n">
        <v>15754</v>
      </c>
      <c r="V4178" t="n">
        <v>15783</v>
      </c>
      <c r="W4178" t="n">
        <v/>
      </c>
      <c r="X4178" t="n">
        <v/>
      </c>
      <c r="Y4178" t="n">
        <v/>
      </c>
      <c r="Z4178" t="n">
        <v/>
      </c>
      <c r="AA4178">
        <f>SUMIFS($S$2:S4178,$A$2:A4178,A4178,$N$2:N4178,"Explore*")</f>
        <v/>
      </c>
      <c r="AB4178">
        <f>IF(AND(LEFT(N4178,7)="Explore",(AA4178-IF(LEFT(N4178,7)="Explore",S4178,0))&lt;10),"SI","NO")</f>
        <v/>
      </c>
    </row>
    <row r="4179">
      <c r="A4179" t="inlineStr">
        <is>
          <t>c58m5_test</t>
        </is>
      </c>
      <c r="B4179" t="inlineStr">
        <is>
          <t>2026-07-02 15:27:13.204</t>
        </is>
      </c>
      <c r="C4179" t="n">
        <v/>
      </c>
      <c r="D4179" t="inlineStr">
        <is>
          <t>Media file</t>
        </is>
      </c>
      <c r="E4179" t="inlineStr">
        <is>
          <t>player #1:C:/Users/manuel.felline/Documents/BEHAVIOR BTBR/NOR second cohort/WT/test/c58_m5.mp4</t>
        </is>
      </c>
      <c r="F4179" t="n">
        <v>0</v>
      </c>
      <c r="G4179" t="n">
        <v>572.466</v>
      </c>
      <c r="H4179" t="n">
        <v>641.7329999999999</v>
      </c>
      <c r="I4179" t="n">
        <v>30</v>
      </c>
      <c r="J4179" t="inlineStr">
        <is>
          <t xml:space="preserve"> WT</t>
        </is>
      </c>
      <c r="K4179" t="inlineStr">
        <is>
          <t>Male</t>
        </is>
      </c>
      <c r="L4179" t="inlineStr">
        <is>
          <t>No focal subject</t>
        </is>
      </c>
      <c r="M4179" t="n">
        <v>78.574</v>
      </c>
      <c r="N4179" t="inlineStr">
        <is>
          <t>Explore_N</t>
        </is>
      </c>
      <c r="O4179" t="inlineStr">
        <is>
          <t>Novelty</t>
        </is>
      </c>
      <c r="P4179" t="inlineStr">
        <is>
          <t>STATE</t>
        </is>
      </c>
      <c r="Q4179" t="n">
        <v>535.399</v>
      </c>
      <c r="R4179" t="n">
        <v>535.966</v>
      </c>
      <c r="S4179" t="n">
        <v>0.5669999999999999</v>
      </c>
      <c r="T4179" t="inlineStr">
        <is>
          <t>C:/Users/manuel.felline/Documents/BEHAVIOR BTBR/NOR second cohort/WT/test/c58_m5.mp4</t>
        </is>
      </c>
      <c r="U4179" t="n">
        <v>16054</v>
      </c>
      <c r="V4179" t="n">
        <v>16071</v>
      </c>
      <c r="W4179" t="n">
        <v/>
      </c>
      <c r="X4179" t="n">
        <v/>
      </c>
      <c r="Y4179" t="n">
        <v/>
      </c>
      <c r="Z4179" t="n">
        <v/>
      </c>
      <c r="AA4179">
        <f>SUMIFS($S$2:S4179,$A$2:A4179,A4179,$N$2:N4179,"Explore*")</f>
        <v/>
      </c>
      <c r="AB4179">
        <f>IF(AND(LEFT(N4179,7)="Explore",(AA4179-IF(LEFT(N4179,7)="Explore",S4179,0))&lt;10),"SI","NO")</f>
        <v/>
      </c>
    </row>
    <row r="4180">
      <c r="A4180" t="inlineStr">
        <is>
          <t>c58m5_test</t>
        </is>
      </c>
      <c r="B4180" t="inlineStr">
        <is>
          <t>2026-07-02 15:27:13.204</t>
        </is>
      </c>
      <c r="C4180" t="n">
        <v/>
      </c>
      <c r="D4180" t="inlineStr">
        <is>
          <t>Media file</t>
        </is>
      </c>
      <c r="E4180" t="inlineStr">
        <is>
          <t>player #1:C:/Users/manuel.felline/Documents/BEHAVIOR BTBR/NOR second cohort/WT/test/c58_m5.mp4</t>
        </is>
      </c>
      <c r="F4180" t="n">
        <v>0</v>
      </c>
      <c r="G4180" t="n">
        <v>572.466</v>
      </c>
      <c r="H4180" t="n">
        <v>641.7329999999999</v>
      </c>
      <c r="I4180" t="n">
        <v>30</v>
      </c>
      <c r="J4180" t="inlineStr">
        <is>
          <t xml:space="preserve"> WT</t>
        </is>
      </c>
      <c r="K4180" t="inlineStr">
        <is>
          <t>Male</t>
        </is>
      </c>
      <c r="L4180" t="inlineStr">
        <is>
          <t>No focal subject</t>
        </is>
      </c>
      <c r="M4180" t="n">
        <v>78.574</v>
      </c>
      <c r="N4180" t="inlineStr">
        <is>
          <t>Explore_F</t>
        </is>
      </c>
      <c r="O4180" t="inlineStr">
        <is>
          <t>Familiar</t>
        </is>
      </c>
      <c r="P4180" t="inlineStr">
        <is>
          <t>STATE</t>
        </is>
      </c>
      <c r="Q4180" t="n">
        <v>541.999</v>
      </c>
      <c r="R4180" t="n">
        <v>543.133</v>
      </c>
      <c r="S4180" t="n">
        <v>1.134</v>
      </c>
      <c r="T4180" t="inlineStr">
        <is>
          <t>C:/Users/manuel.felline/Documents/BEHAVIOR BTBR/NOR second cohort/WT/test/c58_m5.mp4</t>
        </is>
      </c>
      <c r="U4180" t="n">
        <v>16252</v>
      </c>
      <c r="V4180" t="n">
        <v>16286</v>
      </c>
      <c r="W4180" t="n">
        <v/>
      </c>
      <c r="X4180" t="n">
        <v/>
      </c>
      <c r="Y4180" t="n">
        <v/>
      </c>
      <c r="Z4180" t="n">
        <v/>
      </c>
      <c r="AA4180">
        <f>SUMIFS($S$2:S4180,$A$2:A4180,A4180,$N$2:N4180,"Explore*")</f>
        <v/>
      </c>
      <c r="AB4180">
        <f>IF(AND(LEFT(N4180,7)="Explore",(AA4180-IF(LEFT(N4180,7)="Explore",S4180,0))&lt;10),"SI","NO")</f>
        <v/>
      </c>
    </row>
    <row r="4181">
      <c r="A4181" t="inlineStr">
        <is>
          <t>c58m5_test</t>
        </is>
      </c>
      <c r="B4181" t="inlineStr">
        <is>
          <t>2026-07-02 15:27:13.204</t>
        </is>
      </c>
      <c r="C4181" t="n">
        <v/>
      </c>
      <c r="D4181" t="inlineStr">
        <is>
          <t>Media file</t>
        </is>
      </c>
      <c r="E4181" t="inlineStr">
        <is>
          <t>player #1:C:/Users/manuel.felline/Documents/BEHAVIOR BTBR/NOR second cohort/WT/test/c58_m5.mp4</t>
        </is>
      </c>
      <c r="F4181" t="n">
        <v>0</v>
      </c>
      <c r="G4181" t="n">
        <v>572.466</v>
      </c>
      <c r="H4181" t="n">
        <v>641.7329999999999</v>
      </c>
      <c r="I4181" t="n">
        <v>30</v>
      </c>
      <c r="J4181" t="inlineStr">
        <is>
          <t xml:space="preserve"> WT</t>
        </is>
      </c>
      <c r="K4181" t="inlineStr">
        <is>
          <t>Male</t>
        </is>
      </c>
      <c r="L4181" t="inlineStr">
        <is>
          <t>No focal subject</t>
        </is>
      </c>
      <c r="M4181" t="n">
        <v>78.574</v>
      </c>
      <c r="N4181" t="inlineStr">
        <is>
          <t>Explore_N</t>
        </is>
      </c>
      <c r="O4181" t="inlineStr">
        <is>
          <t>Novelty</t>
        </is>
      </c>
      <c r="P4181" t="inlineStr">
        <is>
          <t>STATE</t>
        </is>
      </c>
      <c r="Q4181" t="n">
        <v>544.833</v>
      </c>
      <c r="R4181" t="n">
        <v>545.766</v>
      </c>
      <c r="S4181" t="n">
        <v>0.9330000000000001</v>
      </c>
      <c r="T4181" t="inlineStr">
        <is>
          <t>C:/Users/manuel.felline/Documents/BEHAVIOR BTBR/NOR second cohort/WT/test/c58_m5.mp4</t>
        </is>
      </c>
      <c r="U4181" t="n">
        <v>16337</v>
      </c>
      <c r="V4181" t="n">
        <v>16366</v>
      </c>
      <c r="W4181" t="n">
        <v/>
      </c>
      <c r="X4181" t="n">
        <v/>
      </c>
      <c r="Y4181" t="n">
        <v/>
      </c>
      <c r="Z4181" t="n">
        <v/>
      </c>
      <c r="AA4181">
        <f>SUMIFS($S$2:S4181,$A$2:A4181,A4181,$N$2:N4181,"Explore*")</f>
        <v/>
      </c>
      <c r="AB4181">
        <f>IF(AND(LEFT(N4181,7)="Explore",(AA4181-IF(LEFT(N4181,7)="Explore",S4181,0))&lt;10),"SI","NO")</f>
        <v/>
      </c>
    </row>
    <row r="4182">
      <c r="A4182" t="inlineStr">
        <is>
          <t>c58m5_test</t>
        </is>
      </c>
      <c r="B4182" t="inlineStr">
        <is>
          <t>2026-07-02 15:27:13.204</t>
        </is>
      </c>
      <c r="C4182" t="n">
        <v/>
      </c>
      <c r="D4182" t="inlineStr">
        <is>
          <t>Media file</t>
        </is>
      </c>
      <c r="E4182" t="inlineStr">
        <is>
          <t>player #1:C:/Users/manuel.felline/Documents/BEHAVIOR BTBR/NOR second cohort/WT/test/c58_m5.mp4</t>
        </is>
      </c>
      <c r="F4182" t="n">
        <v>0</v>
      </c>
      <c r="G4182" t="n">
        <v>572.466</v>
      </c>
      <c r="H4182" t="n">
        <v>641.7329999999999</v>
      </c>
      <c r="I4182" t="n">
        <v>30</v>
      </c>
      <c r="J4182" t="inlineStr">
        <is>
          <t xml:space="preserve"> WT</t>
        </is>
      </c>
      <c r="K4182" t="inlineStr">
        <is>
          <t>Male</t>
        </is>
      </c>
      <c r="L4182" t="inlineStr">
        <is>
          <t>No focal subject</t>
        </is>
      </c>
      <c r="M4182" t="n">
        <v>78.574</v>
      </c>
      <c r="N4182" t="inlineStr">
        <is>
          <t>Explore_N</t>
        </is>
      </c>
      <c r="O4182" t="inlineStr">
        <is>
          <t>Novelty</t>
        </is>
      </c>
      <c r="P4182" t="inlineStr">
        <is>
          <t>STATE</t>
        </is>
      </c>
      <c r="Q4182" t="n">
        <v>546.799</v>
      </c>
      <c r="R4182" t="n">
        <v>547.133</v>
      </c>
      <c r="S4182" t="n">
        <v>0.334</v>
      </c>
      <c r="T4182" t="inlineStr">
        <is>
          <t>C:/Users/manuel.felline/Documents/BEHAVIOR BTBR/NOR second cohort/WT/test/c58_m5.mp4</t>
        </is>
      </c>
      <c r="U4182" t="n">
        <v>16396</v>
      </c>
      <c r="V4182" t="n">
        <v>16406</v>
      </c>
      <c r="W4182" t="n">
        <v/>
      </c>
      <c r="X4182" t="n">
        <v/>
      </c>
      <c r="Y4182" t="n">
        <v/>
      </c>
      <c r="Z4182" t="n">
        <v/>
      </c>
      <c r="AA4182">
        <f>SUMIFS($S$2:S4182,$A$2:A4182,A4182,$N$2:N4182,"Explore*")</f>
        <v/>
      </c>
      <c r="AB4182">
        <f>IF(AND(LEFT(N4182,7)="Explore",(AA4182-IF(LEFT(N4182,7)="Explore",S4182,0))&lt;10),"SI","NO")</f>
        <v/>
      </c>
    </row>
    <row r="4183">
      <c r="A4183" t="inlineStr">
        <is>
          <t>c58m5_test</t>
        </is>
      </c>
      <c r="B4183" t="inlineStr">
        <is>
          <t>2026-07-02 15:27:13.204</t>
        </is>
      </c>
      <c r="C4183" t="n">
        <v/>
      </c>
      <c r="D4183" t="inlineStr">
        <is>
          <t>Media file</t>
        </is>
      </c>
      <c r="E4183" t="inlineStr">
        <is>
          <t>player #1:C:/Users/manuel.felline/Documents/BEHAVIOR BTBR/NOR second cohort/WT/test/c58_m5.mp4</t>
        </is>
      </c>
      <c r="F4183" t="n">
        <v>0</v>
      </c>
      <c r="G4183" t="n">
        <v>572.466</v>
      </c>
      <c r="H4183" t="n">
        <v>641.7329999999999</v>
      </c>
      <c r="I4183" t="n">
        <v>30</v>
      </c>
      <c r="J4183" t="inlineStr">
        <is>
          <t xml:space="preserve"> WT</t>
        </is>
      </c>
      <c r="K4183" t="inlineStr">
        <is>
          <t>Male</t>
        </is>
      </c>
      <c r="L4183" t="inlineStr">
        <is>
          <t>No focal subject</t>
        </is>
      </c>
      <c r="M4183" t="n">
        <v>78.574</v>
      </c>
      <c r="N4183" t="inlineStr">
        <is>
          <t>Explore_N</t>
        </is>
      </c>
      <c r="O4183" t="inlineStr">
        <is>
          <t>Novelty</t>
        </is>
      </c>
      <c r="P4183" t="inlineStr">
        <is>
          <t>STATE</t>
        </is>
      </c>
      <c r="Q4183" t="n">
        <v>552.466</v>
      </c>
      <c r="R4183" t="n">
        <v>553.066</v>
      </c>
      <c r="S4183" t="n">
        <v>0.6</v>
      </c>
      <c r="T4183" t="inlineStr">
        <is>
          <t>C:/Users/manuel.felline/Documents/BEHAVIOR BTBR/NOR second cohort/WT/test/c58_m5.mp4</t>
        </is>
      </c>
      <c r="U4183" t="n">
        <v>16566</v>
      </c>
      <c r="V4183" t="n">
        <v>16584</v>
      </c>
      <c r="W4183" t="n">
        <v/>
      </c>
      <c r="X4183" t="n">
        <v/>
      </c>
      <c r="Y4183" t="n">
        <v/>
      </c>
      <c r="Z4183" t="n">
        <v/>
      </c>
      <c r="AA4183">
        <f>SUMIFS($S$2:S4183,$A$2:A4183,A4183,$N$2:N4183,"Explore*")</f>
        <v/>
      </c>
      <c r="AB4183">
        <f>IF(AND(LEFT(N4183,7)="Explore",(AA4183-IF(LEFT(N4183,7)="Explore",S4183,0))&lt;10),"SI","NO")</f>
        <v/>
      </c>
    </row>
    <row r="4184">
      <c r="A4184" t="inlineStr">
        <is>
          <t>c58m5_test</t>
        </is>
      </c>
      <c r="B4184" t="inlineStr">
        <is>
          <t>2026-07-02 15:27:13.204</t>
        </is>
      </c>
      <c r="C4184" t="n">
        <v/>
      </c>
      <c r="D4184" t="inlineStr">
        <is>
          <t>Media file</t>
        </is>
      </c>
      <c r="E4184" t="inlineStr">
        <is>
          <t>player #1:C:/Users/manuel.felline/Documents/BEHAVIOR BTBR/NOR second cohort/WT/test/c58_m5.mp4</t>
        </is>
      </c>
      <c r="F4184" t="n">
        <v>0</v>
      </c>
      <c r="G4184" t="n">
        <v>572.466</v>
      </c>
      <c r="H4184" t="n">
        <v>641.7329999999999</v>
      </c>
      <c r="I4184" t="n">
        <v>30</v>
      </c>
      <c r="J4184" t="inlineStr">
        <is>
          <t xml:space="preserve"> WT</t>
        </is>
      </c>
      <c r="K4184" t="inlineStr">
        <is>
          <t>Male</t>
        </is>
      </c>
      <c r="L4184" t="inlineStr">
        <is>
          <t>No focal subject</t>
        </is>
      </c>
      <c r="M4184" t="n">
        <v>78.574</v>
      </c>
      <c r="N4184" t="inlineStr">
        <is>
          <t>Explore_F</t>
        </is>
      </c>
      <c r="O4184" t="inlineStr">
        <is>
          <t>Familiar</t>
        </is>
      </c>
      <c r="P4184" t="inlineStr">
        <is>
          <t>STATE</t>
        </is>
      </c>
      <c r="Q4184" t="n">
        <v>565.466</v>
      </c>
      <c r="R4184" t="n">
        <v>566.866</v>
      </c>
      <c r="S4184" t="n">
        <v>1.4</v>
      </c>
      <c r="T4184" t="inlineStr">
        <is>
          <t>C:/Users/manuel.felline/Documents/BEHAVIOR BTBR/NOR second cohort/WT/test/c58_m5.mp4</t>
        </is>
      </c>
      <c r="U4184" t="n">
        <v>16955</v>
      </c>
      <c r="V4184" t="n">
        <v>16997</v>
      </c>
      <c r="W4184" t="n">
        <v/>
      </c>
      <c r="X4184" t="n">
        <v/>
      </c>
      <c r="Y4184" t="n">
        <v/>
      </c>
      <c r="Z4184" t="n">
        <v/>
      </c>
      <c r="AA4184">
        <f>SUMIFS($S$2:S4184,$A$2:A4184,A4184,$N$2:N4184,"Explore*")</f>
        <v/>
      </c>
      <c r="AB4184">
        <f>IF(AND(LEFT(N4184,7)="Explore",(AA4184-IF(LEFT(N4184,7)="Explore",S4184,0))&lt;10),"SI","NO")</f>
        <v/>
      </c>
    </row>
    <row r="4185">
      <c r="A4185" t="inlineStr">
        <is>
          <t>c58m5_test</t>
        </is>
      </c>
      <c r="B4185" t="inlineStr">
        <is>
          <t>2026-07-02 15:27:13.204</t>
        </is>
      </c>
      <c r="C4185" t="n">
        <v/>
      </c>
      <c r="D4185" t="inlineStr">
        <is>
          <t>Media file</t>
        </is>
      </c>
      <c r="E4185" t="inlineStr">
        <is>
          <t>player #1:C:/Users/manuel.felline/Documents/BEHAVIOR BTBR/NOR second cohort/WT/test/c58_m5.mp4</t>
        </is>
      </c>
      <c r="F4185" t="n">
        <v>0</v>
      </c>
      <c r="G4185" t="n">
        <v>572.466</v>
      </c>
      <c r="H4185" t="n">
        <v>641.7329999999999</v>
      </c>
      <c r="I4185" t="n">
        <v>30</v>
      </c>
      <c r="J4185" t="inlineStr">
        <is>
          <t xml:space="preserve"> WT</t>
        </is>
      </c>
      <c r="K4185" t="inlineStr">
        <is>
          <t>Male</t>
        </is>
      </c>
      <c r="L4185" t="inlineStr">
        <is>
          <t>No focal subject</t>
        </is>
      </c>
      <c r="M4185" t="n">
        <v>78.574</v>
      </c>
      <c r="N4185" t="inlineStr">
        <is>
          <t>Explore_N</t>
        </is>
      </c>
      <c r="O4185" t="inlineStr">
        <is>
          <t>Novelty</t>
        </is>
      </c>
      <c r="P4185" t="inlineStr">
        <is>
          <t>STATE</t>
        </is>
      </c>
      <c r="Q4185" t="n">
        <v>572.6660000000001</v>
      </c>
      <c r="R4185" t="n">
        <v>573.099</v>
      </c>
      <c r="S4185" t="n">
        <v>0.433</v>
      </c>
      <c r="T4185" t="inlineStr">
        <is>
          <t>C:/Users/manuel.felline/Documents/BEHAVIOR BTBR/NOR second cohort/WT/test/c58_m5.mp4</t>
        </is>
      </c>
      <c r="U4185" t="n">
        <v>17171</v>
      </c>
      <c r="V4185" t="n">
        <v>17184</v>
      </c>
      <c r="W4185" t="n">
        <v/>
      </c>
      <c r="X4185" t="n">
        <v/>
      </c>
      <c r="Y4185" t="n">
        <v/>
      </c>
      <c r="Z4185" t="n">
        <v/>
      </c>
      <c r="AA4185">
        <f>SUMIFS($S$2:S4185,$A$2:A4185,A4185,$N$2:N4185,"Explore*")</f>
        <v/>
      </c>
      <c r="AB4185">
        <f>IF(AND(LEFT(N4185,7)="Explore",(AA4185-IF(LEFT(N4185,7)="Explore",S4185,0))&lt;10),"SI","NO")</f>
        <v/>
      </c>
    </row>
    <row r="4186">
      <c r="A4186" t="inlineStr">
        <is>
          <t>c58m5_test</t>
        </is>
      </c>
      <c r="B4186" t="inlineStr">
        <is>
          <t>2026-07-02 15:27:13.204</t>
        </is>
      </c>
      <c r="C4186" t="n">
        <v/>
      </c>
      <c r="D4186" t="inlineStr">
        <is>
          <t>Media file</t>
        </is>
      </c>
      <c r="E4186" t="inlineStr">
        <is>
          <t>player #1:C:/Users/manuel.felline/Documents/BEHAVIOR BTBR/NOR second cohort/WT/test/c58_m5.mp4</t>
        </is>
      </c>
      <c r="F4186" t="n">
        <v>0</v>
      </c>
      <c r="G4186" t="n">
        <v>572.466</v>
      </c>
      <c r="H4186" t="n">
        <v>641.7329999999999</v>
      </c>
      <c r="I4186" t="n">
        <v>30</v>
      </c>
      <c r="J4186" t="inlineStr">
        <is>
          <t xml:space="preserve"> WT</t>
        </is>
      </c>
      <c r="K4186" t="inlineStr">
        <is>
          <t>Male</t>
        </is>
      </c>
      <c r="L4186" t="inlineStr">
        <is>
          <t>No focal subject</t>
        </is>
      </c>
      <c r="M4186" t="n">
        <v>78.574</v>
      </c>
      <c r="N4186" t="inlineStr">
        <is>
          <t>Explore_F</t>
        </is>
      </c>
      <c r="O4186" t="inlineStr">
        <is>
          <t>Familiar</t>
        </is>
      </c>
      <c r="P4186" t="inlineStr">
        <is>
          <t>STATE</t>
        </is>
      </c>
      <c r="Q4186" t="n">
        <v>581.299</v>
      </c>
      <c r="R4186" t="n">
        <v>583.999</v>
      </c>
      <c r="S4186" t="n">
        <v>2.7</v>
      </c>
      <c r="T4186" t="inlineStr">
        <is>
          <t>C:/Users/manuel.felline/Documents/BEHAVIOR BTBR/NOR second cohort/WT/test/c58_m5.mp4</t>
        </is>
      </c>
      <c r="U4186" t="n">
        <v>17430</v>
      </c>
      <c r="V4186" t="n">
        <v>17511</v>
      </c>
      <c r="W4186" t="n">
        <v/>
      </c>
      <c r="X4186" t="n">
        <v/>
      </c>
      <c r="Y4186" t="n">
        <v/>
      </c>
      <c r="Z4186" t="n">
        <v/>
      </c>
      <c r="AA4186">
        <f>SUMIFS($S$2:S4186,$A$2:A4186,A4186,$N$2:N4186,"Explore*")</f>
        <v/>
      </c>
      <c r="AB4186">
        <f>IF(AND(LEFT(N4186,7)="Explore",(AA4186-IF(LEFT(N4186,7)="Explore",S4186,0))&lt;10),"SI","NO")</f>
        <v/>
      </c>
    </row>
    <row r="4187">
      <c r="A4187" t="inlineStr">
        <is>
          <t>c59f1_test</t>
        </is>
      </c>
      <c r="B4187" t="inlineStr">
        <is>
          <t>2026-07-03 12:31:59.670</t>
        </is>
      </c>
      <c r="C4187" t="n">
        <v/>
      </c>
      <c r="D4187" t="inlineStr">
        <is>
          <t>Media file</t>
        </is>
      </c>
      <c r="E4187" t="inlineStr">
        <is>
          <t>player #1:C:/Users/manuel.felline/Documents/BEHAVIOR BTBR/NOR second cohort/WT/test/c59_f1.mp4</t>
        </is>
      </c>
      <c r="F4187" t="n">
        <v>-4.1</v>
      </c>
      <c r="G4187" t="n">
        <v>519.7329999999999</v>
      </c>
      <c r="H4187" t="n">
        <v>619.266</v>
      </c>
      <c r="I4187" t="n">
        <v>30</v>
      </c>
      <c r="J4187" t="inlineStr">
        <is>
          <t xml:space="preserve"> WT</t>
        </is>
      </c>
      <c r="K4187" t="inlineStr">
        <is>
          <t xml:space="preserve"> Female</t>
        </is>
      </c>
      <c r="L4187" t="inlineStr">
        <is>
          <t>No focal subject</t>
        </is>
      </c>
      <c r="M4187" t="n">
        <v>33.935</v>
      </c>
      <c r="N4187" t="inlineStr">
        <is>
          <t>Explore_N</t>
        </is>
      </c>
      <c r="O4187" t="inlineStr">
        <is>
          <t>Novelty</t>
        </is>
      </c>
      <c r="P4187" t="inlineStr">
        <is>
          <t>STATE</t>
        </is>
      </c>
      <c r="Q4187" t="n">
        <v>3.533</v>
      </c>
      <c r="R4187" t="n">
        <v>3.867</v>
      </c>
      <c r="S4187" t="n">
        <v>0.334</v>
      </c>
      <c r="T4187" t="inlineStr">
        <is>
          <t>C:/Users/manuel.felline/Documents/BEHAVIOR BTBR/NOR second cohort/WT/test/c59_f1.mp4</t>
        </is>
      </c>
      <c r="U4187" t="n">
        <v>229</v>
      </c>
      <c r="V4187" t="n">
        <v>239</v>
      </c>
      <c r="W4187" t="n">
        <v/>
      </c>
      <c r="X4187" t="n">
        <v/>
      </c>
      <c r="Y4187" t="n">
        <v/>
      </c>
      <c r="Z4187" t="n">
        <v/>
      </c>
      <c r="AA4187">
        <f>SUMIFS($S$2:S4187,$A$2:A4187,A4187,$N$2:N4187,"Explore*")</f>
        <v/>
      </c>
      <c r="AB4187">
        <f>IF(AND(LEFT(N4187,7)="Explore",(AA4187-IF(LEFT(N4187,7)="Explore",S4187,0))&lt;10),"SI","NO")</f>
        <v/>
      </c>
    </row>
    <row r="4188">
      <c r="A4188" t="inlineStr">
        <is>
          <t>c59f1_test</t>
        </is>
      </c>
      <c r="B4188" t="inlineStr">
        <is>
          <t>2026-07-03 12:31:59.670</t>
        </is>
      </c>
      <c r="C4188" t="n">
        <v/>
      </c>
      <c r="D4188" t="inlineStr">
        <is>
          <t>Media file</t>
        </is>
      </c>
      <c r="E4188" t="inlineStr">
        <is>
          <t>player #1:C:/Users/manuel.felline/Documents/BEHAVIOR BTBR/NOR second cohort/WT/test/c59_f1.mp4</t>
        </is>
      </c>
      <c r="F4188" t="n">
        <v>-4.1</v>
      </c>
      <c r="G4188" t="n">
        <v>519.7329999999999</v>
      </c>
      <c r="H4188" t="n">
        <v>619.266</v>
      </c>
      <c r="I4188" t="n">
        <v>30</v>
      </c>
      <c r="J4188" t="inlineStr">
        <is>
          <t xml:space="preserve"> WT</t>
        </is>
      </c>
      <c r="K4188" t="inlineStr">
        <is>
          <t xml:space="preserve"> Female</t>
        </is>
      </c>
      <c r="L4188" t="inlineStr">
        <is>
          <t>No focal subject</t>
        </is>
      </c>
      <c r="M4188" t="n">
        <v>33.935</v>
      </c>
      <c r="N4188" t="inlineStr">
        <is>
          <t>Explore_N</t>
        </is>
      </c>
      <c r="O4188" t="inlineStr">
        <is>
          <t>Novelty</t>
        </is>
      </c>
      <c r="P4188" t="inlineStr">
        <is>
          <t>STATE</t>
        </is>
      </c>
      <c r="Q4188" t="n">
        <v>6.6</v>
      </c>
      <c r="R4188" t="n">
        <v>7.133</v>
      </c>
      <c r="S4188" t="n">
        <v>0.533</v>
      </c>
      <c r="T4188" t="inlineStr">
        <is>
          <t>C:/Users/manuel.felline/Documents/BEHAVIOR BTBR/NOR second cohort/WT/test/c59_f1.mp4</t>
        </is>
      </c>
      <c r="U4188" t="n">
        <v>321</v>
      </c>
      <c r="V4188" t="n">
        <v>337</v>
      </c>
      <c r="W4188" t="n">
        <v/>
      </c>
      <c r="X4188" t="n">
        <v/>
      </c>
      <c r="Y4188" t="n">
        <v/>
      </c>
      <c r="Z4188" t="n">
        <v/>
      </c>
      <c r="AA4188">
        <f>SUMIFS($S$2:S4188,$A$2:A4188,A4188,$N$2:N4188,"Explore*")</f>
        <v/>
      </c>
      <c r="AB4188">
        <f>IF(AND(LEFT(N4188,7)="Explore",(AA4188-IF(LEFT(N4188,7)="Explore",S4188,0))&lt;10),"SI","NO")</f>
        <v/>
      </c>
    </row>
    <row r="4189">
      <c r="A4189" t="inlineStr">
        <is>
          <t>c59f1_test</t>
        </is>
      </c>
      <c r="B4189" t="inlineStr">
        <is>
          <t>2026-07-03 12:31:59.670</t>
        </is>
      </c>
      <c r="C4189" t="n">
        <v/>
      </c>
      <c r="D4189" t="inlineStr">
        <is>
          <t>Media file</t>
        </is>
      </c>
      <c r="E4189" t="inlineStr">
        <is>
          <t>player #1:C:/Users/manuel.felline/Documents/BEHAVIOR BTBR/NOR second cohort/WT/test/c59_f1.mp4</t>
        </is>
      </c>
      <c r="F4189" t="n">
        <v>-4.1</v>
      </c>
      <c r="G4189" t="n">
        <v>519.7329999999999</v>
      </c>
      <c r="H4189" t="n">
        <v>619.266</v>
      </c>
      <c r="I4189" t="n">
        <v>30</v>
      </c>
      <c r="J4189" t="inlineStr">
        <is>
          <t xml:space="preserve"> WT</t>
        </is>
      </c>
      <c r="K4189" t="inlineStr">
        <is>
          <t xml:space="preserve"> Female</t>
        </is>
      </c>
      <c r="L4189" t="inlineStr">
        <is>
          <t>No focal subject</t>
        </is>
      </c>
      <c r="M4189" t="n">
        <v>33.935</v>
      </c>
      <c r="N4189" t="inlineStr">
        <is>
          <t>Explore_N</t>
        </is>
      </c>
      <c r="O4189" t="inlineStr">
        <is>
          <t>Novelty</t>
        </is>
      </c>
      <c r="P4189" t="inlineStr">
        <is>
          <t>STATE</t>
        </is>
      </c>
      <c r="Q4189" t="n">
        <v>39.867</v>
      </c>
      <c r="R4189" t="n">
        <v>40.2</v>
      </c>
      <c r="S4189" t="n">
        <v>0.333</v>
      </c>
      <c r="T4189" t="inlineStr">
        <is>
          <t>C:/Users/manuel.felline/Documents/BEHAVIOR BTBR/NOR second cohort/WT/test/c59_f1.mp4</t>
        </is>
      </c>
      <c r="U4189" t="n">
        <v>1319</v>
      </c>
      <c r="V4189" t="n">
        <v>1329</v>
      </c>
      <c r="W4189" t="n">
        <v/>
      </c>
      <c r="X4189" t="n">
        <v/>
      </c>
      <c r="Y4189" t="n">
        <v/>
      </c>
      <c r="Z4189" t="n">
        <v/>
      </c>
      <c r="AA4189">
        <f>SUMIFS($S$2:S4189,$A$2:A4189,A4189,$N$2:N4189,"Explore*")</f>
        <v/>
      </c>
      <c r="AB4189">
        <f>IF(AND(LEFT(N4189,7)="Explore",(AA4189-IF(LEFT(N4189,7)="Explore",S4189,0))&lt;10),"SI","NO")</f>
        <v/>
      </c>
    </row>
    <row r="4190">
      <c r="A4190" t="inlineStr">
        <is>
          <t>c59f1_test</t>
        </is>
      </c>
      <c r="B4190" t="inlineStr">
        <is>
          <t>2026-07-03 12:31:59.670</t>
        </is>
      </c>
      <c r="C4190" t="n">
        <v/>
      </c>
      <c r="D4190" t="inlineStr">
        <is>
          <t>Media file</t>
        </is>
      </c>
      <c r="E4190" t="inlineStr">
        <is>
          <t>player #1:C:/Users/manuel.felline/Documents/BEHAVIOR BTBR/NOR second cohort/WT/test/c59_f1.mp4</t>
        </is>
      </c>
      <c r="F4190" t="n">
        <v>-4.1</v>
      </c>
      <c r="G4190" t="n">
        <v>519.7329999999999</v>
      </c>
      <c r="H4190" t="n">
        <v>619.266</v>
      </c>
      <c r="I4190" t="n">
        <v>30</v>
      </c>
      <c r="J4190" t="inlineStr">
        <is>
          <t xml:space="preserve"> WT</t>
        </is>
      </c>
      <c r="K4190" t="inlineStr">
        <is>
          <t xml:space="preserve"> Female</t>
        </is>
      </c>
      <c r="L4190" t="inlineStr">
        <is>
          <t>No focal subject</t>
        </is>
      </c>
      <c r="M4190" t="n">
        <v>33.935</v>
      </c>
      <c r="N4190" t="inlineStr">
        <is>
          <t>Explore_N</t>
        </is>
      </c>
      <c r="O4190" t="inlineStr">
        <is>
          <t>Novelty</t>
        </is>
      </c>
      <c r="P4190" t="inlineStr">
        <is>
          <t>STATE</t>
        </is>
      </c>
      <c r="Q4190" t="n">
        <v>49.5</v>
      </c>
      <c r="R4190" t="n">
        <v>50.567</v>
      </c>
      <c r="S4190" t="n">
        <v>1.067</v>
      </c>
      <c r="T4190" t="inlineStr">
        <is>
          <t>C:/Users/manuel.felline/Documents/BEHAVIOR BTBR/NOR second cohort/WT/test/c59_f1.mp4</t>
        </is>
      </c>
      <c r="U4190" t="n">
        <v>1607</v>
      </c>
      <c r="V4190" t="n">
        <v>1639</v>
      </c>
      <c r="W4190" t="n">
        <v/>
      </c>
      <c r="X4190" t="n">
        <v/>
      </c>
      <c r="Y4190" t="n">
        <v/>
      </c>
      <c r="Z4190" t="n">
        <v/>
      </c>
      <c r="AA4190">
        <f>SUMIFS($S$2:S4190,$A$2:A4190,A4190,$N$2:N4190,"Explore*")</f>
        <v/>
      </c>
      <c r="AB4190">
        <f>IF(AND(LEFT(N4190,7)="Explore",(AA4190-IF(LEFT(N4190,7)="Explore",S4190,0))&lt;10),"SI","NO")</f>
        <v/>
      </c>
    </row>
    <row r="4191">
      <c r="A4191" t="inlineStr">
        <is>
          <t>c59f1_test</t>
        </is>
      </c>
      <c r="B4191" t="inlineStr">
        <is>
          <t>2026-07-03 12:31:59.670</t>
        </is>
      </c>
      <c r="C4191" t="n">
        <v/>
      </c>
      <c r="D4191" t="inlineStr">
        <is>
          <t>Media file</t>
        </is>
      </c>
      <c r="E4191" t="inlineStr">
        <is>
          <t>player #1:C:/Users/manuel.felline/Documents/BEHAVIOR BTBR/NOR second cohort/WT/test/c59_f1.mp4</t>
        </is>
      </c>
      <c r="F4191" t="n">
        <v>-4.1</v>
      </c>
      <c r="G4191" t="n">
        <v>519.7329999999999</v>
      </c>
      <c r="H4191" t="n">
        <v>619.266</v>
      </c>
      <c r="I4191" t="n">
        <v>30</v>
      </c>
      <c r="J4191" t="inlineStr">
        <is>
          <t xml:space="preserve"> WT</t>
        </is>
      </c>
      <c r="K4191" t="inlineStr">
        <is>
          <t xml:space="preserve"> Female</t>
        </is>
      </c>
      <c r="L4191" t="inlineStr">
        <is>
          <t>No focal subject</t>
        </is>
      </c>
      <c r="M4191" t="n">
        <v>33.935</v>
      </c>
      <c r="N4191" t="inlineStr">
        <is>
          <t>Explore_F</t>
        </is>
      </c>
      <c r="O4191" t="inlineStr">
        <is>
          <t>Familiar</t>
        </is>
      </c>
      <c r="P4191" t="inlineStr">
        <is>
          <t>STATE</t>
        </is>
      </c>
      <c r="Q4191" t="n">
        <v>54.8</v>
      </c>
      <c r="R4191" t="n">
        <v>57.2</v>
      </c>
      <c r="S4191" t="n">
        <v>2.4</v>
      </c>
      <c r="T4191" t="inlineStr">
        <is>
          <t>C:/Users/manuel.felline/Documents/BEHAVIOR BTBR/NOR second cohort/WT/test/c59_f1.mp4</t>
        </is>
      </c>
      <c r="U4191" t="n">
        <v>1766</v>
      </c>
      <c r="V4191" t="n">
        <v>1838</v>
      </c>
      <c r="W4191" t="n">
        <v/>
      </c>
      <c r="X4191" t="n">
        <v/>
      </c>
      <c r="Y4191" t="n">
        <v/>
      </c>
      <c r="Z4191" t="n">
        <v/>
      </c>
      <c r="AA4191">
        <f>SUMIFS($S$2:S4191,$A$2:A4191,A4191,$N$2:N4191,"Explore*")</f>
        <v/>
      </c>
      <c r="AB4191">
        <f>IF(AND(LEFT(N4191,7)="Explore",(AA4191-IF(LEFT(N4191,7)="Explore",S4191,0))&lt;10),"SI","NO")</f>
        <v/>
      </c>
    </row>
    <row r="4192">
      <c r="A4192" t="inlineStr">
        <is>
          <t>c59f1_test</t>
        </is>
      </c>
      <c r="B4192" t="inlineStr">
        <is>
          <t>2026-07-03 12:31:59.670</t>
        </is>
      </c>
      <c r="C4192" t="n">
        <v/>
      </c>
      <c r="D4192" t="inlineStr">
        <is>
          <t>Media file</t>
        </is>
      </c>
      <c r="E4192" t="inlineStr">
        <is>
          <t>player #1:C:/Users/manuel.felline/Documents/BEHAVIOR BTBR/NOR second cohort/WT/test/c59_f1.mp4</t>
        </is>
      </c>
      <c r="F4192" t="n">
        <v>-4.1</v>
      </c>
      <c r="G4192" t="n">
        <v>519.7329999999999</v>
      </c>
      <c r="H4192" t="n">
        <v>619.266</v>
      </c>
      <c r="I4192" t="n">
        <v>30</v>
      </c>
      <c r="J4192" t="inlineStr">
        <is>
          <t xml:space="preserve"> WT</t>
        </is>
      </c>
      <c r="K4192" t="inlineStr">
        <is>
          <t xml:space="preserve"> Female</t>
        </is>
      </c>
      <c r="L4192" t="inlineStr">
        <is>
          <t>No focal subject</t>
        </is>
      </c>
      <c r="M4192" t="n">
        <v>33.935</v>
      </c>
      <c r="N4192" t="inlineStr">
        <is>
          <t>Explore_F</t>
        </is>
      </c>
      <c r="O4192" t="inlineStr">
        <is>
          <t>Familiar</t>
        </is>
      </c>
      <c r="P4192" t="inlineStr">
        <is>
          <t>STATE</t>
        </is>
      </c>
      <c r="Q4192" t="n">
        <v>83.5</v>
      </c>
      <c r="R4192" t="n">
        <v>85.3</v>
      </c>
      <c r="S4192" t="n">
        <v>1.8</v>
      </c>
      <c r="T4192" t="inlineStr">
        <is>
          <t>C:/Users/manuel.felline/Documents/BEHAVIOR BTBR/NOR second cohort/WT/test/c59_f1.mp4</t>
        </is>
      </c>
      <c r="U4192" t="n">
        <v>2627</v>
      </c>
      <c r="V4192" t="n">
        <v>2681</v>
      </c>
      <c r="W4192" t="n">
        <v/>
      </c>
      <c r="X4192" t="n">
        <v/>
      </c>
      <c r="Y4192" t="n">
        <v/>
      </c>
      <c r="Z4192" t="n">
        <v/>
      </c>
      <c r="AA4192">
        <f>SUMIFS($S$2:S4192,$A$2:A4192,A4192,$N$2:N4192,"Explore*")</f>
        <v/>
      </c>
      <c r="AB4192">
        <f>IF(AND(LEFT(N4192,7)="Explore",(AA4192-IF(LEFT(N4192,7)="Explore",S4192,0))&lt;10),"SI","NO")</f>
        <v/>
      </c>
    </row>
    <row r="4193">
      <c r="A4193" t="inlineStr">
        <is>
          <t>c59f1_test</t>
        </is>
      </c>
      <c r="B4193" t="inlineStr">
        <is>
          <t>2026-07-03 12:31:59.670</t>
        </is>
      </c>
      <c r="C4193" t="n">
        <v/>
      </c>
      <c r="D4193" t="inlineStr">
        <is>
          <t>Media file</t>
        </is>
      </c>
      <c r="E4193" t="inlineStr">
        <is>
          <t>player #1:C:/Users/manuel.felline/Documents/BEHAVIOR BTBR/NOR second cohort/WT/test/c59_f1.mp4</t>
        </is>
      </c>
      <c r="F4193" t="n">
        <v>-4.1</v>
      </c>
      <c r="G4193" t="n">
        <v>519.7329999999999</v>
      </c>
      <c r="H4193" t="n">
        <v>619.266</v>
      </c>
      <c r="I4193" t="n">
        <v>30</v>
      </c>
      <c r="J4193" t="inlineStr">
        <is>
          <t xml:space="preserve"> WT</t>
        </is>
      </c>
      <c r="K4193" t="inlineStr">
        <is>
          <t xml:space="preserve"> Female</t>
        </is>
      </c>
      <c r="L4193" t="inlineStr">
        <is>
          <t>No focal subject</t>
        </is>
      </c>
      <c r="M4193" t="n">
        <v>33.935</v>
      </c>
      <c r="N4193" t="inlineStr">
        <is>
          <t>Explore_N</t>
        </is>
      </c>
      <c r="O4193" t="inlineStr">
        <is>
          <t>Novelty</t>
        </is>
      </c>
      <c r="P4193" t="inlineStr">
        <is>
          <t>STATE</t>
        </is>
      </c>
      <c r="Q4193" t="n">
        <v>86.7</v>
      </c>
      <c r="R4193" t="n">
        <v>87.133</v>
      </c>
      <c r="S4193" t="n">
        <v>0.433</v>
      </c>
      <c r="T4193" t="inlineStr">
        <is>
          <t>C:/Users/manuel.felline/Documents/BEHAVIOR BTBR/NOR second cohort/WT/test/c59_f1.mp4</t>
        </is>
      </c>
      <c r="U4193" t="n">
        <v>2723</v>
      </c>
      <c r="V4193" t="n">
        <v>2736</v>
      </c>
      <c r="W4193" t="n">
        <v/>
      </c>
      <c r="X4193" t="n">
        <v/>
      </c>
      <c r="Y4193" t="n">
        <v/>
      </c>
      <c r="Z4193" t="n">
        <v/>
      </c>
      <c r="AA4193">
        <f>SUMIFS($S$2:S4193,$A$2:A4193,A4193,$N$2:N4193,"Explore*")</f>
        <v/>
      </c>
      <c r="AB4193">
        <f>IF(AND(LEFT(N4193,7)="Explore",(AA4193-IF(LEFT(N4193,7)="Explore",S4193,0))&lt;10),"SI","NO")</f>
        <v/>
      </c>
    </row>
    <row r="4194">
      <c r="A4194" t="inlineStr">
        <is>
          <t>c59f1_test</t>
        </is>
      </c>
      <c r="B4194" t="inlineStr">
        <is>
          <t>2026-07-03 12:31:59.670</t>
        </is>
      </c>
      <c r="C4194" t="n">
        <v/>
      </c>
      <c r="D4194" t="inlineStr">
        <is>
          <t>Media file</t>
        </is>
      </c>
      <c r="E4194" t="inlineStr">
        <is>
          <t>player #1:C:/Users/manuel.felline/Documents/BEHAVIOR BTBR/NOR second cohort/WT/test/c59_f1.mp4</t>
        </is>
      </c>
      <c r="F4194" t="n">
        <v>-4.1</v>
      </c>
      <c r="G4194" t="n">
        <v>519.7329999999999</v>
      </c>
      <c r="H4194" t="n">
        <v>619.266</v>
      </c>
      <c r="I4194" t="n">
        <v>30</v>
      </c>
      <c r="J4194" t="inlineStr">
        <is>
          <t xml:space="preserve"> WT</t>
        </is>
      </c>
      <c r="K4194" t="inlineStr">
        <is>
          <t xml:space="preserve"> Female</t>
        </is>
      </c>
      <c r="L4194" t="inlineStr">
        <is>
          <t>No focal subject</t>
        </is>
      </c>
      <c r="M4194" t="n">
        <v>33.935</v>
      </c>
      <c r="N4194" t="inlineStr">
        <is>
          <t>Explore_N</t>
        </is>
      </c>
      <c r="O4194" t="inlineStr">
        <is>
          <t>Novelty</t>
        </is>
      </c>
      <c r="P4194" t="inlineStr">
        <is>
          <t>STATE</t>
        </is>
      </c>
      <c r="Q4194" t="n">
        <v>115.233</v>
      </c>
      <c r="R4194" t="n">
        <v>116.933</v>
      </c>
      <c r="S4194" t="n">
        <v>1.7</v>
      </c>
      <c r="T4194" t="inlineStr">
        <is>
          <t>C:/Users/manuel.felline/Documents/BEHAVIOR BTBR/NOR second cohort/WT/test/c59_f1.mp4</t>
        </is>
      </c>
      <c r="U4194" t="n">
        <v>3579</v>
      </c>
      <c r="V4194" t="n">
        <v>3630</v>
      </c>
      <c r="W4194" t="n">
        <v/>
      </c>
      <c r="X4194" t="n">
        <v/>
      </c>
      <c r="Y4194" t="n">
        <v/>
      </c>
      <c r="Z4194" t="n">
        <v/>
      </c>
      <c r="AA4194">
        <f>SUMIFS($S$2:S4194,$A$2:A4194,A4194,$N$2:N4194,"Explore*")</f>
        <v/>
      </c>
      <c r="AB4194">
        <f>IF(AND(LEFT(N4194,7)="Explore",(AA4194-IF(LEFT(N4194,7)="Explore",S4194,0))&lt;10),"SI","NO")</f>
        <v/>
      </c>
    </row>
    <row r="4195">
      <c r="A4195" t="inlineStr">
        <is>
          <t>c59f1_test</t>
        </is>
      </c>
      <c r="B4195" t="inlineStr">
        <is>
          <t>2026-07-03 12:31:59.670</t>
        </is>
      </c>
      <c r="C4195" t="n">
        <v/>
      </c>
      <c r="D4195" t="inlineStr">
        <is>
          <t>Media file</t>
        </is>
      </c>
      <c r="E4195" t="inlineStr">
        <is>
          <t>player #1:C:/Users/manuel.felline/Documents/BEHAVIOR BTBR/NOR second cohort/WT/test/c59_f1.mp4</t>
        </is>
      </c>
      <c r="F4195" t="n">
        <v>-4.1</v>
      </c>
      <c r="G4195" t="n">
        <v>519.7329999999999</v>
      </c>
      <c r="H4195" t="n">
        <v>619.266</v>
      </c>
      <c r="I4195" t="n">
        <v>30</v>
      </c>
      <c r="J4195" t="inlineStr">
        <is>
          <t xml:space="preserve"> WT</t>
        </is>
      </c>
      <c r="K4195" t="inlineStr">
        <is>
          <t xml:space="preserve"> Female</t>
        </is>
      </c>
      <c r="L4195" t="inlineStr">
        <is>
          <t>No focal subject</t>
        </is>
      </c>
      <c r="M4195" t="n">
        <v>33.935</v>
      </c>
      <c r="N4195" t="inlineStr">
        <is>
          <t>Explore_F</t>
        </is>
      </c>
      <c r="O4195" t="inlineStr">
        <is>
          <t>Familiar</t>
        </is>
      </c>
      <c r="P4195" t="inlineStr">
        <is>
          <t>STATE</t>
        </is>
      </c>
      <c r="Q4195" t="n">
        <v>124.467</v>
      </c>
      <c r="R4195" t="n">
        <v>124.767</v>
      </c>
      <c r="S4195" t="n">
        <v>0.3</v>
      </c>
      <c r="T4195" t="inlineStr">
        <is>
          <t>C:/Users/manuel.felline/Documents/BEHAVIOR BTBR/NOR second cohort/WT/test/c59_f1.mp4</t>
        </is>
      </c>
      <c r="U4195" t="n">
        <v>3856</v>
      </c>
      <c r="V4195" t="n">
        <v>3865</v>
      </c>
      <c r="W4195" t="n">
        <v/>
      </c>
      <c r="X4195" t="n">
        <v/>
      </c>
      <c r="Y4195" t="n">
        <v/>
      </c>
      <c r="Z4195" t="n">
        <v/>
      </c>
      <c r="AA4195">
        <f>SUMIFS($S$2:S4195,$A$2:A4195,A4195,$N$2:N4195,"Explore*")</f>
        <v/>
      </c>
      <c r="AB4195">
        <f>IF(AND(LEFT(N4195,7)="Explore",(AA4195-IF(LEFT(N4195,7)="Explore",S4195,0))&lt;10),"SI","NO")</f>
        <v/>
      </c>
    </row>
    <row r="4196">
      <c r="A4196" t="inlineStr">
        <is>
          <t>c59f1_test</t>
        </is>
      </c>
      <c r="B4196" t="inlineStr">
        <is>
          <t>2026-07-03 12:31:59.670</t>
        </is>
      </c>
      <c r="C4196" t="n">
        <v/>
      </c>
      <c r="D4196" t="inlineStr">
        <is>
          <t>Media file</t>
        </is>
      </c>
      <c r="E4196" t="inlineStr">
        <is>
          <t>player #1:C:/Users/manuel.felline/Documents/BEHAVIOR BTBR/NOR second cohort/WT/test/c59_f1.mp4</t>
        </is>
      </c>
      <c r="F4196" t="n">
        <v>-4.1</v>
      </c>
      <c r="G4196" t="n">
        <v>519.7329999999999</v>
      </c>
      <c r="H4196" t="n">
        <v>619.266</v>
      </c>
      <c r="I4196" t="n">
        <v>30</v>
      </c>
      <c r="J4196" t="inlineStr">
        <is>
          <t xml:space="preserve"> WT</t>
        </is>
      </c>
      <c r="K4196" t="inlineStr">
        <is>
          <t xml:space="preserve"> Female</t>
        </is>
      </c>
      <c r="L4196" t="inlineStr">
        <is>
          <t>No focal subject</t>
        </is>
      </c>
      <c r="M4196" t="n">
        <v>33.935</v>
      </c>
      <c r="N4196" t="inlineStr">
        <is>
          <t>Explore_F</t>
        </is>
      </c>
      <c r="O4196" t="inlineStr">
        <is>
          <t>Familiar</t>
        </is>
      </c>
      <c r="P4196" t="inlineStr">
        <is>
          <t>STATE</t>
        </is>
      </c>
      <c r="Q4196" t="n">
        <v>141.3</v>
      </c>
      <c r="R4196" t="n">
        <v>144</v>
      </c>
      <c r="S4196" t="n">
        <v>2.7</v>
      </c>
      <c r="T4196" t="inlineStr">
        <is>
          <t>C:/Users/manuel.felline/Documents/BEHAVIOR BTBR/NOR second cohort/WT/test/c59_f1.mp4</t>
        </is>
      </c>
      <c r="U4196" t="n">
        <v>4361</v>
      </c>
      <c r="V4196" t="n">
        <v>4442</v>
      </c>
      <c r="W4196" t="n">
        <v/>
      </c>
      <c r="X4196" t="n">
        <v/>
      </c>
      <c r="Y4196" t="n">
        <v/>
      </c>
      <c r="Z4196" t="n">
        <v/>
      </c>
      <c r="AA4196">
        <f>SUMIFS($S$2:S4196,$A$2:A4196,A4196,$N$2:N4196,"Explore*")</f>
        <v/>
      </c>
      <c r="AB4196">
        <f>IF(AND(LEFT(N4196,7)="Explore",(AA4196-IF(LEFT(N4196,7)="Explore",S4196,0))&lt;10),"SI","NO")</f>
        <v/>
      </c>
    </row>
    <row r="4197">
      <c r="A4197" t="inlineStr">
        <is>
          <t>c59f1_test</t>
        </is>
      </c>
      <c r="B4197" t="inlineStr">
        <is>
          <t>2026-07-03 12:31:59.670</t>
        </is>
      </c>
      <c r="C4197" t="n">
        <v/>
      </c>
      <c r="D4197" t="inlineStr">
        <is>
          <t>Media file</t>
        </is>
      </c>
      <c r="E4197" t="inlineStr">
        <is>
          <t>player #1:C:/Users/manuel.felline/Documents/BEHAVIOR BTBR/NOR second cohort/WT/test/c59_f1.mp4</t>
        </is>
      </c>
      <c r="F4197" t="n">
        <v>-4.1</v>
      </c>
      <c r="G4197" t="n">
        <v>519.7329999999999</v>
      </c>
      <c r="H4197" t="n">
        <v>619.266</v>
      </c>
      <c r="I4197" t="n">
        <v>30</v>
      </c>
      <c r="J4197" t="inlineStr">
        <is>
          <t xml:space="preserve"> WT</t>
        </is>
      </c>
      <c r="K4197" t="inlineStr">
        <is>
          <t xml:space="preserve"> Female</t>
        </is>
      </c>
      <c r="L4197" t="inlineStr">
        <is>
          <t>No focal subject</t>
        </is>
      </c>
      <c r="M4197" t="n">
        <v>33.935</v>
      </c>
      <c r="N4197" t="inlineStr">
        <is>
          <t>Explore_N</t>
        </is>
      </c>
      <c r="O4197" t="inlineStr">
        <is>
          <t>Novelty</t>
        </is>
      </c>
      <c r="P4197" t="inlineStr">
        <is>
          <t>STATE</t>
        </is>
      </c>
      <c r="Q4197" t="n">
        <v>148.033</v>
      </c>
      <c r="R4197" t="n">
        <v>149.167</v>
      </c>
      <c r="S4197" t="n">
        <v>1.134</v>
      </c>
      <c r="T4197" t="inlineStr">
        <is>
          <t>C:/Users/manuel.felline/Documents/BEHAVIOR BTBR/NOR second cohort/WT/test/c59_f1.mp4</t>
        </is>
      </c>
      <c r="U4197" t="n">
        <v>4562</v>
      </c>
      <c r="V4197" t="n">
        <v>4596</v>
      </c>
      <c r="W4197" t="n">
        <v/>
      </c>
      <c r="X4197" t="n">
        <v/>
      </c>
      <c r="Y4197" t="n">
        <v/>
      </c>
      <c r="Z4197" t="n">
        <v/>
      </c>
      <c r="AA4197">
        <f>SUMIFS($S$2:S4197,$A$2:A4197,A4197,$N$2:N4197,"Explore*")</f>
        <v/>
      </c>
      <c r="AB4197">
        <f>IF(AND(LEFT(N4197,7)="Explore",(AA4197-IF(LEFT(N4197,7)="Explore",S4197,0))&lt;10),"SI","NO")</f>
        <v/>
      </c>
    </row>
    <row r="4198">
      <c r="A4198" t="inlineStr">
        <is>
          <t>c59f1_test</t>
        </is>
      </c>
      <c r="B4198" t="inlineStr">
        <is>
          <t>2026-07-03 12:31:59.670</t>
        </is>
      </c>
      <c r="C4198" t="n">
        <v/>
      </c>
      <c r="D4198" t="inlineStr">
        <is>
          <t>Media file</t>
        </is>
      </c>
      <c r="E4198" t="inlineStr">
        <is>
          <t>player #1:C:/Users/manuel.felline/Documents/BEHAVIOR BTBR/NOR second cohort/WT/test/c59_f1.mp4</t>
        </is>
      </c>
      <c r="F4198" t="n">
        <v>-4.1</v>
      </c>
      <c r="G4198" t="n">
        <v>519.7329999999999</v>
      </c>
      <c r="H4198" t="n">
        <v>619.266</v>
      </c>
      <c r="I4198" t="n">
        <v>30</v>
      </c>
      <c r="J4198" t="inlineStr">
        <is>
          <t xml:space="preserve"> WT</t>
        </is>
      </c>
      <c r="K4198" t="inlineStr">
        <is>
          <t xml:space="preserve"> Female</t>
        </is>
      </c>
      <c r="L4198" t="inlineStr">
        <is>
          <t>No focal subject</t>
        </is>
      </c>
      <c r="M4198" t="n">
        <v>33.935</v>
      </c>
      <c r="N4198" t="inlineStr">
        <is>
          <t>Explore_N</t>
        </is>
      </c>
      <c r="O4198" t="inlineStr">
        <is>
          <t>Novelty</t>
        </is>
      </c>
      <c r="P4198" t="inlineStr">
        <is>
          <t>STATE</t>
        </is>
      </c>
      <c r="Q4198" t="n">
        <v>191.9</v>
      </c>
      <c r="R4198" t="n">
        <v>193.4</v>
      </c>
      <c r="S4198" t="n">
        <v>1.5</v>
      </c>
      <c r="T4198" t="inlineStr">
        <is>
          <t>C:/Users/manuel.felline/Documents/BEHAVIOR BTBR/NOR second cohort/WT/test/c59_f1.mp4</t>
        </is>
      </c>
      <c r="U4198" t="n">
        <v>5878</v>
      </c>
      <c r="V4198" t="n">
        <v>5923</v>
      </c>
      <c r="W4198" t="n">
        <v/>
      </c>
      <c r="X4198" t="n">
        <v/>
      </c>
      <c r="Y4198" t="n">
        <v/>
      </c>
      <c r="Z4198" t="n">
        <v/>
      </c>
      <c r="AA4198">
        <f>SUMIFS($S$2:S4198,$A$2:A4198,A4198,$N$2:N4198,"Explore*")</f>
        <v/>
      </c>
      <c r="AB4198">
        <f>IF(AND(LEFT(N4198,7)="Explore",(AA4198-IF(LEFT(N4198,7)="Explore",S4198,0))&lt;10),"SI","NO")</f>
        <v/>
      </c>
    </row>
    <row r="4199">
      <c r="A4199" t="inlineStr">
        <is>
          <t>c59f1_test</t>
        </is>
      </c>
      <c r="B4199" t="inlineStr">
        <is>
          <t>2026-07-03 12:31:59.670</t>
        </is>
      </c>
      <c r="C4199" t="n">
        <v/>
      </c>
      <c r="D4199" t="inlineStr">
        <is>
          <t>Media file</t>
        </is>
      </c>
      <c r="E4199" t="inlineStr">
        <is>
          <t>player #1:C:/Users/manuel.felline/Documents/BEHAVIOR BTBR/NOR second cohort/WT/test/c59_f1.mp4</t>
        </is>
      </c>
      <c r="F4199" t="n">
        <v>-4.1</v>
      </c>
      <c r="G4199" t="n">
        <v>519.7329999999999</v>
      </c>
      <c r="H4199" t="n">
        <v>619.266</v>
      </c>
      <c r="I4199" t="n">
        <v>30</v>
      </c>
      <c r="J4199" t="inlineStr">
        <is>
          <t xml:space="preserve"> WT</t>
        </is>
      </c>
      <c r="K4199" t="inlineStr">
        <is>
          <t xml:space="preserve"> Female</t>
        </is>
      </c>
      <c r="L4199" t="inlineStr">
        <is>
          <t>No focal subject</t>
        </is>
      </c>
      <c r="M4199" t="n">
        <v>33.935</v>
      </c>
      <c r="N4199" t="inlineStr">
        <is>
          <t>Explore_N</t>
        </is>
      </c>
      <c r="O4199" t="inlineStr">
        <is>
          <t>Novelty</t>
        </is>
      </c>
      <c r="P4199" t="inlineStr">
        <is>
          <t>STATE</t>
        </is>
      </c>
      <c r="Q4199" t="n">
        <v>371.633</v>
      </c>
      <c r="R4199" t="n">
        <v>372.4</v>
      </c>
      <c r="S4199" t="n">
        <v>0.767</v>
      </c>
      <c r="T4199" t="inlineStr">
        <is>
          <t>C:/Users/manuel.felline/Documents/BEHAVIOR BTBR/NOR second cohort/WT/test/c59_f1.mp4</t>
        </is>
      </c>
      <c r="U4199" t="n">
        <v>11268</v>
      </c>
      <c r="V4199" t="n">
        <v>11291</v>
      </c>
      <c r="W4199" t="n">
        <v/>
      </c>
      <c r="X4199" t="n">
        <v/>
      </c>
      <c r="Y4199" t="n">
        <v/>
      </c>
      <c r="Z4199" t="n">
        <v/>
      </c>
      <c r="AA4199">
        <f>SUMIFS($S$2:S4199,$A$2:A4199,A4199,$N$2:N4199,"Explore*")</f>
        <v/>
      </c>
      <c r="AB4199">
        <f>IF(AND(LEFT(N4199,7)="Explore",(AA4199-IF(LEFT(N4199,7)="Explore",S4199,0))&lt;10),"SI","NO")</f>
        <v/>
      </c>
    </row>
    <row r="4200">
      <c r="A4200" t="inlineStr">
        <is>
          <t>c59f1_test</t>
        </is>
      </c>
      <c r="B4200" t="inlineStr">
        <is>
          <t>2026-07-03 12:31:59.670</t>
        </is>
      </c>
      <c r="C4200" t="n">
        <v/>
      </c>
      <c r="D4200" t="inlineStr">
        <is>
          <t>Media file</t>
        </is>
      </c>
      <c r="E4200" t="inlineStr">
        <is>
          <t>player #1:C:/Users/manuel.felline/Documents/BEHAVIOR BTBR/NOR second cohort/WT/test/c59_f1.mp4</t>
        </is>
      </c>
      <c r="F4200" t="n">
        <v>-4.1</v>
      </c>
      <c r="G4200" t="n">
        <v>519.7329999999999</v>
      </c>
      <c r="H4200" t="n">
        <v>619.266</v>
      </c>
      <c r="I4200" t="n">
        <v>30</v>
      </c>
      <c r="J4200" t="inlineStr">
        <is>
          <t xml:space="preserve"> WT</t>
        </is>
      </c>
      <c r="K4200" t="inlineStr">
        <is>
          <t xml:space="preserve"> Female</t>
        </is>
      </c>
      <c r="L4200" t="inlineStr">
        <is>
          <t>No focal subject</t>
        </is>
      </c>
      <c r="M4200" t="n">
        <v>33.935</v>
      </c>
      <c r="N4200" t="inlineStr">
        <is>
          <t>Explore_N</t>
        </is>
      </c>
      <c r="O4200" t="inlineStr">
        <is>
          <t>Novelty</t>
        </is>
      </c>
      <c r="P4200" t="inlineStr">
        <is>
          <t>STATE</t>
        </is>
      </c>
      <c r="Q4200" t="n">
        <v>384.7</v>
      </c>
      <c r="R4200" t="n">
        <v>385.433</v>
      </c>
      <c r="S4200" t="n">
        <v>0.733</v>
      </c>
      <c r="T4200" t="inlineStr">
        <is>
          <t>C:/Users/manuel.felline/Documents/BEHAVIOR BTBR/NOR second cohort/WT/test/c59_f1.mp4</t>
        </is>
      </c>
      <c r="U4200" t="n">
        <v>11660</v>
      </c>
      <c r="V4200" t="n">
        <v>11682</v>
      </c>
      <c r="W4200" t="n">
        <v/>
      </c>
      <c r="X4200" t="n">
        <v/>
      </c>
      <c r="Y4200" t="n">
        <v/>
      </c>
      <c r="Z4200" t="n">
        <v/>
      </c>
      <c r="AA4200">
        <f>SUMIFS($S$2:S4200,$A$2:A4200,A4200,$N$2:N4200,"Explore*")</f>
        <v/>
      </c>
      <c r="AB4200">
        <f>IF(AND(LEFT(N4200,7)="Explore",(AA4200-IF(LEFT(N4200,7)="Explore",S4200,0))&lt;10),"SI","NO")</f>
        <v/>
      </c>
    </row>
    <row r="4201">
      <c r="A4201" t="inlineStr">
        <is>
          <t>c59f1_test</t>
        </is>
      </c>
      <c r="B4201" t="inlineStr">
        <is>
          <t>2026-07-03 12:31:59.670</t>
        </is>
      </c>
      <c r="C4201" t="n">
        <v/>
      </c>
      <c r="D4201" t="inlineStr">
        <is>
          <t>Media file</t>
        </is>
      </c>
      <c r="E4201" t="inlineStr">
        <is>
          <t>player #1:C:/Users/manuel.felline/Documents/BEHAVIOR BTBR/NOR second cohort/WT/test/c59_f1.mp4</t>
        </is>
      </c>
      <c r="F4201" t="n">
        <v>-4.1</v>
      </c>
      <c r="G4201" t="n">
        <v>519.7329999999999</v>
      </c>
      <c r="H4201" t="n">
        <v>619.266</v>
      </c>
      <c r="I4201" t="n">
        <v>30</v>
      </c>
      <c r="J4201" t="inlineStr">
        <is>
          <t xml:space="preserve"> WT</t>
        </is>
      </c>
      <c r="K4201" t="inlineStr">
        <is>
          <t xml:space="preserve"> Female</t>
        </is>
      </c>
      <c r="L4201" t="inlineStr">
        <is>
          <t>No focal subject</t>
        </is>
      </c>
      <c r="M4201" t="n">
        <v>33.935</v>
      </c>
      <c r="N4201" t="inlineStr">
        <is>
          <t>Explore_N</t>
        </is>
      </c>
      <c r="O4201" t="inlineStr">
        <is>
          <t>Novelty</t>
        </is>
      </c>
      <c r="P4201" t="inlineStr">
        <is>
          <t>STATE</t>
        </is>
      </c>
      <c r="Q4201" t="n">
        <v>388.4</v>
      </c>
      <c r="R4201" t="n">
        <v>389.2</v>
      </c>
      <c r="S4201" t="n">
        <v>0.8</v>
      </c>
      <c r="T4201" t="inlineStr">
        <is>
          <t>C:/Users/manuel.felline/Documents/BEHAVIOR BTBR/NOR second cohort/WT/test/c59_f1.mp4</t>
        </is>
      </c>
      <c r="U4201" t="n">
        <v>11771</v>
      </c>
      <c r="V4201" t="n">
        <v>11795</v>
      </c>
      <c r="W4201" t="n">
        <v/>
      </c>
      <c r="X4201" t="n">
        <v/>
      </c>
      <c r="Y4201" t="n">
        <v/>
      </c>
      <c r="Z4201" t="n">
        <v/>
      </c>
      <c r="AA4201">
        <f>SUMIFS($S$2:S4201,$A$2:A4201,A4201,$N$2:N4201,"Explore*")</f>
        <v/>
      </c>
      <c r="AB4201">
        <f>IF(AND(LEFT(N4201,7)="Explore",(AA4201-IF(LEFT(N4201,7)="Explore",S4201,0))&lt;10),"SI","NO")</f>
        <v/>
      </c>
    </row>
    <row r="4202">
      <c r="A4202" t="inlineStr">
        <is>
          <t>c59f1_test</t>
        </is>
      </c>
      <c r="B4202" t="inlineStr">
        <is>
          <t>2026-07-03 12:31:59.670</t>
        </is>
      </c>
      <c r="C4202" t="n">
        <v/>
      </c>
      <c r="D4202" t="inlineStr">
        <is>
          <t>Media file</t>
        </is>
      </c>
      <c r="E4202" t="inlineStr">
        <is>
          <t>player #1:C:/Users/manuel.felline/Documents/BEHAVIOR BTBR/NOR second cohort/WT/test/c59_f1.mp4</t>
        </is>
      </c>
      <c r="F4202" t="n">
        <v>-4.1</v>
      </c>
      <c r="G4202" t="n">
        <v>519.7329999999999</v>
      </c>
      <c r="H4202" t="n">
        <v>619.266</v>
      </c>
      <c r="I4202" t="n">
        <v>30</v>
      </c>
      <c r="J4202" t="inlineStr">
        <is>
          <t xml:space="preserve"> WT</t>
        </is>
      </c>
      <c r="K4202" t="inlineStr">
        <is>
          <t xml:space="preserve"> Female</t>
        </is>
      </c>
      <c r="L4202" t="inlineStr">
        <is>
          <t>No focal subject</t>
        </is>
      </c>
      <c r="M4202" t="n">
        <v>33.935</v>
      </c>
      <c r="N4202" t="inlineStr">
        <is>
          <t>Explore_F</t>
        </is>
      </c>
      <c r="O4202" t="inlineStr">
        <is>
          <t>Familiar</t>
        </is>
      </c>
      <c r="P4202" t="inlineStr">
        <is>
          <t>STATE</t>
        </is>
      </c>
      <c r="Q4202" t="n">
        <v>394.033</v>
      </c>
      <c r="R4202" t="n">
        <v>394.8</v>
      </c>
      <c r="S4202" t="n">
        <v>0.767</v>
      </c>
      <c r="T4202" t="inlineStr">
        <is>
          <t>C:/Users/manuel.felline/Documents/BEHAVIOR BTBR/NOR second cohort/WT/test/c59_f1.mp4</t>
        </is>
      </c>
      <c r="U4202" t="n">
        <v>11940</v>
      </c>
      <c r="V4202" t="n">
        <v>11963</v>
      </c>
      <c r="W4202" t="n">
        <v/>
      </c>
      <c r="X4202" t="n">
        <v/>
      </c>
      <c r="Y4202" t="n">
        <v/>
      </c>
      <c r="Z4202" t="n">
        <v/>
      </c>
      <c r="AA4202">
        <f>SUMIFS($S$2:S4202,$A$2:A4202,A4202,$N$2:N4202,"Explore*")</f>
        <v/>
      </c>
      <c r="AB4202">
        <f>IF(AND(LEFT(N4202,7)="Explore",(AA4202-IF(LEFT(N4202,7)="Explore",S4202,0))&lt;10),"SI","NO")</f>
        <v/>
      </c>
    </row>
    <row r="4203">
      <c r="A4203" t="inlineStr">
        <is>
          <t>c59f1_test</t>
        </is>
      </c>
      <c r="B4203" t="inlineStr">
        <is>
          <t>2026-07-03 12:31:59.670</t>
        </is>
      </c>
      <c r="C4203" t="n">
        <v/>
      </c>
      <c r="D4203" t="inlineStr">
        <is>
          <t>Media file</t>
        </is>
      </c>
      <c r="E4203" t="inlineStr">
        <is>
          <t>player #1:C:/Users/manuel.felline/Documents/BEHAVIOR BTBR/NOR second cohort/WT/test/c59_f1.mp4</t>
        </is>
      </c>
      <c r="F4203" t="n">
        <v>-4.1</v>
      </c>
      <c r="G4203" t="n">
        <v>519.7329999999999</v>
      </c>
      <c r="H4203" t="n">
        <v>619.266</v>
      </c>
      <c r="I4203" t="n">
        <v>30</v>
      </c>
      <c r="J4203" t="inlineStr">
        <is>
          <t xml:space="preserve"> WT</t>
        </is>
      </c>
      <c r="K4203" t="inlineStr">
        <is>
          <t xml:space="preserve"> Female</t>
        </is>
      </c>
      <c r="L4203" t="inlineStr">
        <is>
          <t>No focal subject</t>
        </is>
      </c>
      <c r="M4203" t="n">
        <v>33.935</v>
      </c>
      <c r="N4203" t="inlineStr">
        <is>
          <t>Explore_N</t>
        </is>
      </c>
      <c r="O4203" t="inlineStr">
        <is>
          <t>Novelty</t>
        </is>
      </c>
      <c r="P4203" t="inlineStr">
        <is>
          <t>STATE</t>
        </is>
      </c>
      <c r="Q4203" t="n">
        <v>399.066</v>
      </c>
      <c r="R4203" t="n">
        <v>399.533</v>
      </c>
      <c r="S4203" t="n">
        <v>0.467</v>
      </c>
      <c r="T4203" t="inlineStr">
        <is>
          <t>C:/Users/manuel.felline/Documents/BEHAVIOR BTBR/NOR second cohort/WT/test/c59_f1.mp4</t>
        </is>
      </c>
      <c r="U4203" t="n">
        <v>12091</v>
      </c>
      <c r="V4203" t="n">
        <v>12105</v>
      </c>
      <c r="W4203" t="n">
        <v/>
      </c>
      <c r="X4203" t="n">
        <v/>
      </c>
      <c r="Y4203" t="n">
        <v/>
      </c>
      <c r="Z4203" t="n">
        <v/>
      </c>
      <c r="AA4203">
        <f>SUMIFS($S$2:S4203,$A$2:A4203,A4203,$N$2:N4203,"Explore*")</f>
        <v/>
      </c>
      <c r="AB4203">
        <f>IF(AND(LEFT(N4203,7)="Explore",(AA4203-IF(LEFT(N4203,7)="Explore",S4203,0))&lt;10),"SI","NO")</f>
        <v/>
      </c>
    </row>
    <row r="4204">
      <c r="A4204" t="inlineStr">
        <is>
          <t>c59f1_test</t>
        </is>
      </c>
      <c r="B4204" t="inlineStr">
        <is>
          <t>2026-07-03 12:31:59.670</t>
        </is>
      </c>
      <c r="C4204" t="n">
        <v/>
      </c>
      <c r="D4204" t="inlineStr">
        <is>
          <t>Media file</t>
        </is>
      </c>
      <c r="E4204" t="inlineStr">
        <is>
          <t>player #1:C:/Users/manuel.felline/Documents/BEHAVIOR BTBR/NOR second cohort/WT/test/c59_f1.mp4</t>
        </is>
      </c>
      <c r="F4204" t="n">
        <v>-4.1</v>
      </c>
      <c r="G4204" t="n">
        <v>519.7329999999999</v>
      </c>
      <c r="H4204" t="n">
        <v>619.266</v>
      </c>
      <c r="I4204" t="n">
        <v>30</v>
      </c>
      <c r="J4204" t="inlineStr">
        <is>
          <t xml:space="preserve"> WT</t>
        </is>
      </c>
      <c r="K4204" t="inlineStr">
        <is>
          <t xml:space="preserve"> Female</t>
        </is>
      </c>
      <c r="L4204" t="inlineStr">
        <is>
          <t>No focal subject</t>
        </is>
      </c>
      <c r="M4204" t="n">
        <v>33.935</v>
      </c>
      <c r="N4204" t="inlineStr">
        <is>
          <t>Explore_N</t>
        </is>
      </c>
      <c r="O4204" t="inlineStr">
        <is>
          <t>Novelty</t>
        </is>
      </c>
      <c r="P4204" t="inlineStr">
        <is>
          <t>STATE</t>
        </is>
      </c>
      <c r="Q4204" t="n">
        <v>403</v>
      </c>
      <c r="R4204" t="n">
        <v>403.933</v>
      </c>
      <c r="S4204" t="n">
        <v>0.9330000000000001</v>
      </c>
      <c r="T4204" t="inlineStr">
        <is>
          <t>C:/Users/manuel.felline/Documents/BEHAVIOR BTBR/NOR second cohort/WT/test/c59_f1.mp4</t>
        </is>
      </c>
      <c r="U4204" t="n">
        <v>12209</v>
      </c>
      <c r="V4204" t="n">
        <v>12237</v>
      </c>
      <c r="W4204" t="n">
        <v/>
      </c>
      <c r="X4204" t="n">
        <v/>
      </c>
      <c r="Y4204" t="n">
        <v/>
      </c>
      <c r="Z4204" t="n">
        <v/>
      </c>
      <c r="AA4204">
        <f>SUMIFS($S$2:S4204,$A$2:A4204,A4204,$N$2:N4204,"Explore*")</f>
        <v/>
      </c>
      <c r="AB4204">
        <f>IF(AND(LEFT(N4204,7)="Explore",(AA4204-IF(LEFT(N4204,7)="Explore",S4204,0))&lt;10),"SI","NO")</f>
        <v/>
      </c>
    </row>
    <row r="4205">
      <c r="A4205" t="inlineStr">
        <is>
          <t>c59f1_test</t>
        </is>
      </c>
      <c r="B4205" t="inlineStr">
        <is>
          <t>2026-07-03 12:31:59.670</t>
        </is>
      </c>
      <c r="C4205" t="n">
        <v/>
      </c>
      <c r="D4205" t="inlineStr">
        <is>
          <t>Media file</t>
        </is>
      </c>
      <c r="E4205" t="inlineStr">
        <is>
          <t>player #1:C:/Users/manuel.felline/Documents/BEHAVIOR BTBR/NOR second cohort/WT/test/c59_f1.mp4</t>
        </is>
      </c>
      <c r="F4205" t="n">
        <v>-4.1</v>
      </c>
      <c r="G4205" t="n">
        <v>519.7329999999999</v>
      </c>
      <c r="H4205" t="n">
        <v>619.266</v>
      </c>
      <c r="I4205" t="n">
        <v>30</v>
      </c>
      <c r="J4205" t="inlineStr">
        <is>
          <t xml:space="preserve"> WT</t>
        </is>
      </c>
      <c r="K4205" t="inlineStr">
        <is>
          <t xml:space="preserve"> Female</t>
        </is>
      </c>
      <c r="L4205" t="inlineStr">
        <is>
          <t>No focal subject</t>
        </is>
      </c>
      <c r="M4205" t="n">
        <v>33.935</v>
      </c>
      <c r="N4205" t="inlineStr">
        <is>
          <t>Explore_N</t>
        </is>
      </c>
      <c r="O4205" t="inlineStr">
        <is>
          <t>Novelty</t>
        </is>
      </c>
      <c r="P4205" t="inlineStr">
        <is>
          <t>STATE</t>
        </is>
      </c>
      <c r="Q4205" t="n">
        <v>408.033</v>
      </c>
      <c r="R4205" t="n">
        <v>408.533</v>
      </c>
      <c r="S4205" t="n">
        <v>0.5</v>
      </c>
      <c r="T4205" t="inlineStr">
        <is>
          <t>C:/Users/manuel.felline/Documents/BEHAVIOR BTBR/NOR second cohort/WT/test/c59_f1.mp4</t>
        </is>
      </c>
      <c r="U4205" t="n">
        <v>12360</v>
      </c>
      <c r="V4205" t="n">
        <v>12375</v>
      </c>
      <c r="W4205" t="n">
        <v/>
      </c>
      <c r="X4205" t="n">
        <v/>
      </c>
      <c r="Y4205" t="n">
        <v/>
      </c>
      <c r="Z4205" t="n">
        <v/>
      </c>
      <c r="AA4205">
        <f>SUMIFS($S$2:S4205,$A$2:A4205,A4205,$N$2:N4205,"Explore*")</f>
        <v/>
      </c>
      <c r="AB4205">
        <f>IF(AND(LEFT(N4205,7)="Explore",(AA4205-IF(LEFT(N4205,7)="Explore",S4205,0))&lt;10),"SI","NO")</f>
        <v/>
      </c>
    </row>
    <row r="4206">
      <c r="A4206" t="inlineStr">
        <is>
          <t>c59f1_test</t>
        </is>
      </c>
      <c r="B4206" t="inlineStr">
        <is>
          <t>2026-07-03 12:31:59.670</t>
        </is>
      </c>
      <c r="C4206" t="n">
        <v/>
      </c>
      <c r="D4206" t="inlineStr">
        <is>
          <t>Media file</t>
        </is>
      </c>
      <c r="E4206" t="inlineStr">
        <is>
          <t>player #1:C:/Users/manuel.felline/Documents/BEHAVIOR BTBR/NOR second cohort/WT/test/c59_f1.mp4</t>
        </is>
      </c>
      <c r="F4206" t="n">
        <v>-4.1</v>
      </c>
      <c r="G4206" t="n">
        <v>519.7329999999999</v>
      </c>
      <c r="H4206" t="n">
        <v>619.266</v>
      </c>
      <c r="I4206" t="n">
        <v>30</v>
      </c>
      <c r="J4206" t="inlineStr">
        <is>
          <t xml:space="preserve"> WT</t>
        </is>
      </c>
      <c r="K4206" t="inlineStr">
        <is>
          <t xml:space="preserve"> Female</t>
        </is>
      </c>
      <c r="L4206" t="inlineStr">
        <is>
          <t>No focal subject</t>
        </is>
      </c>
      <c r="M4206" t="n">
        <v>33.935</v>
      </c>
      <c r="N4206" t="inlineStr">
        <is>
          <t>Explore_F</t>
        </is>
      </c>
      <c r="O4206" t="inlineStr">
        <is>
          <t>Familiar</t>
        </is>
      </c>
      <c r="P4206" t="inlineStr">
        <is>
          <t>STATE</t>
        </is>
      </c>
      <c r="Q4206" t="n">
        <v>420.866</v>
      </c>
      <c r="R4206" t="n">
        <v>422.3</v>
      </c>
      <c r="S4206" t="n">
        <v>1.434</v>
      </c>
      <c r="T4206" t="inlineStr">
        <is>
          <t>C:/Users/manuel.felline/Documents/BEHAVIOR BTBR/NOR second cohort/WT/test/c59_f1.mp4</t>
        </is>
      </c>
      <c r="U4206" t="n">
        <v>12745</v>
      </c>
      <c r="V4206" t="n">
        <v>12788</v>
      </c>
      <c r="W4206" t="n">
        <v/>
      </c>
      <c r="X4206" t="n">
        <v/>
      </c>
      <c r="Y4206" t="n">
        <v/>
      </c>
      <c r="Z4206" t="n">
        <v/>
      </c>
      <c r="AA4206">
        <f>SUMIFS($S$2:S4206,$A$2:A4206,A4206,$N$2:N4206,"Explore*")</f>
        <v/>
      </c>
      <c r="AB4206">
        <f>IF(AND(LEFT(N4206,7)="Explore",(AA4206-IF(LEFT(N4206,7)="Explore",S4206,0))&lt;10),"SI","NO")</f>
        <v/>
      </c>
    </row>
    <row r="4207">
      <c r="A4207" t="inlineStr">
        <is>
          <t>c59f1_test</t>
        </is>
      </c>
      <c r="B4207" t="inlineStr">
        <is>
          <t>2026-07-03 12:31:59.670</t>
        </is>
      </c>
      <c r="C4207" t="n">
        <v/>
      </c>
      <c r="D4207" t="inlineStr">
        <is>
          <t>Media file</t>
        </is>
      </c>
      <c r="E4207" t="inlineStr">
        <is>
          <t>player #1:C:/Users/manuel.felline/Documents/BEHAVIOR BTBR/NOR second cohort/WT/test/c59_f1.mp4</t>
        </is>
      </c>
      <c r="F4207" t="n">
        <v>-4.1</v>
      </c>
      <c r="G4207" t="n">
        <v>519.7329999999999</v>
      </c>
      <c r="H4207" t="n">
        <v>619.266</v>
      </c>
      <c r="I4207" t="n">
        <v>30</v>
      </c>
      <c r="J4207" t="inlineStr">
        <is>
          <t xml:space="preserve"> WT</t>
        </is>
      </c>
      <c r="K4207" t="inlineStr">
        <is>
          <t xml:space="preserve"> Female</t>
        </is>
      </c>
      <c r="L4207" t="inlineStr">
        <is>
          <t>No focal subject</t>
        </is>
      </c>
      <c r="M4207" t="n">
        <v>33.935</v>
      </c>
      <c r="N4207" t="inlineStr">
        <is>
          <t>Explore_N</t>
        </is>
      </c>
      <c r="O4207" t="inlineStr">
        <is>
          <t>Novelty</t>
        </is>
      </c>
      <c r="P4207" t="inlineStr">
        <is>
          <t>STATE</t>
        </is>
      </c>
      <c r="Q4207" t="n">
        <v>449.666</v>
      </c>
      <c r="R4207" t="n">
        <v>450.033</v>
      </c>
      <c r="S4207" t="n">
        <v>0.367</v>
      </c>
      <c r="T4207" t="inlineStr">
        <is>
          <t>C:/Users/manuel.felline/Documents/BEHAVIOR BTBR/NOR second cohort/WT/test/c59_f1.mp4</t>
        </is>
      </c>
      <c r="U4207" t="n">
        <v>13608</v>
      </c>
      <c r="V4207" t="n">
        <v>13619</v>
      </c>
      <c r="W4207" t="n">
        <v/>
      </c>
      <c r="X4207" t="n">
        <v/>
      </c>
      <c r="Y4207" t="n">
        <v/>
      </c>
      <c r="Z4207" t="n">
        <v/>
      </c>
      <c r="AA4207">
        <f>SUMIFS($S$2:S4207,$A$2:A4207,A4207,$N$2:N4207,"Explore*")</f>
        <v/>
      </c>
      <c r="AB4207">
        <f>IF(AND(LEFT(N4207,7)="Explore",(AA4207-IF(LEFT(N4207,7)="Explore",S4207,0))&lt;10),"SI","NO")</f>
        <v/>
      </c>
    </row>
    <row r="4208">
      <c r="A4208" t="inlineStr">
        <is>
          <t>c59f1_test</t>
        </is>
      </c>
      <c r="B4208" t="inlineStr">
        <is>
          <t>2026-07-03 12:31:59.670</t>
        </is>
      </c>
      <c r="C4208" t="n">
        <v/>
      </c>
      <c r="D4208" t="inlineStr">
        <is>
          <t>Media file</t>
        </is>
      </c>
      <c r="E4208" t="inlineStr">
        <is>
          <t>player #1:C:/Users/manuel.felline/Documents/BEHAVIOR BTBR/NOR second cohort/WT/test/c59_f1.mp4</t>
        </is>
      </c>
      <c r="F4208" t="n">
        <v>-4.1</v>
      </c>
      <c r="G4208" t="n">
        <v>519.7329999999999</v>
      </c>
      <c r="H4208" t="n">
        <v>619.266</v>
      </c>
      <c r="I4208" t="n">
        <v>30</v>
      </c>
      <c r="J4208" t="inlineStr">
        <is>
          <t xml:space="preserve"> WT</t>
        </is>
      </c>
      <c r="K4208" t="inlineStr">
        <is>
          <t xml:space="preserve"> Female</t>
        </is>
      </c>
      <c r="L4208" t="inlineStr">
        <is>
          <t>No focal subject</t>
        </is>
      </c>
      <c r="M4208" t="n">
        <v>33.935</v>
      </c>
      <c r="N4208" t="inlineStr">
        <is>
          <t>Explore_N</t>
        </is>
      </c>
      <c r="O4208" t="inlineStr">
        <is>
          <t>Novelty</t>
        </is>
      </c>
      <c r="P4208" t="inlineStr">
        <is>
          <t>STATE</t>
        </is>
      </c>
      <c r="Q4208" t="n">
        <v>454.866</v>
      </c>
      <c r="R4208" t="n">
        <v>455.433</v>
      </c>
      <c r="S4208" t="n">
        <v>0.5669999999999999</v>
      </c>
      <c r="T4208" t="inlineStr">
        <is>
          <t>C:/Users/manuel.felline/Documents/BEHAVIOR BTBR/NOR second cohort/WT/test/c59_f1.mp4</t>
        </is>
      </c>
      <c r="U4208" t="n">
        <v>13764</v>
      </c>
      <c r="V4208" t="n">
        <v>13781</v>
      </c>
      <c r="W4208" t="n">
        <v/>
      </c>
      <c r="X4208" t="n">
        <v/>
      </c>
      <c r="Y4208" t="n">
        <v/>
      </c>
      <c r="Z4208" t="n">
        <v/>
      </c>
      <c r="AA4208">
        <f>SUMIFS($S$2:S4208,$A$2:A4208,A4208,$N$2:N4208,"Explore*")</f>
        <v/>
      </c>
      <c r="AB4208">
        <f>IF(AND(LEFT(N4208,7)="Explore",(AA4208-IF(LEFT(N4208,7)="Explore",S4208,0))&lt;10),"SI","NO")</f>
        <v/>
      </c>
    </row>
    <row r="4209">
      <c r="A4209" t="inlineStr">
        <is>
          <t>c59f1_test</t>
        </is>
      </c>
      <c r="B4209" t="inlineStr">
        <is>
          <t>2026-07-03 12:31:59.670</t>
        </is>
      </c>
      <c r="C4209" t="n">
        <v/>
      </c>
      <c r="D4209" t="inlineStr">
        <is>
          <t>Media file</t>
        </is>
      </c>
      <c r="E4209" t="inlineStr">
        <is>
          <t>player #1:C:/Users/manuel.felline/Documents/BEHAVIOR BTBR/NOR second cohort/WT/test/c59_f1.mp4</t>
        </is>
      </c>
      <c r="F4209" t="n">
        <v>-4.1</v>
      </c>
      <c r="G4209" t="n">
        <v>519.7329999999999</v>
      </c>
      <c r="H4209" t="n">
        <v>619.266</v>
      </c>
      <c r="I4209" t="n">
        <v>30</v>
      </c>
      <c r="J4209" t="inlineStr">
        <is>
          <t xml:space="preserve"> WT</t>
        </is>
      </c>
      <c r="K4209" t="inlineStr">
        <is>
          <t xml:space="preserve"> Female</t>
        </is>
      </c>
      <c r="L4209" t="inlineStr">
        <is>
          <t>No focal subject</t>
        </is>
      </c>
      <c r="M4209" t="n">
        <v>33.935</v>
      </c>
      <c r="N4209" t="inlineStr">
        <is>
          <t>Explore_N</t>
        </is>
      </c>
      <c r="O4209" t="inlineStr">
        <is>
          <t>Novelty</t>
        </is>
      </c>
      <c r="P4209" t="inlineStr">
        <is>
          <t>STATE</t>
        </is>
      </c>
      <c r="Q4209" t="n">
        <v>456.366</v>
      </c>
      <c r="R4209" t="n">
        <v>457.033</v>
      </c>
      <c r="S4209" t="n">
        <v>0.667</v>
      </c>
      <c r="T4209" t="inlineStr">
        <is>
          <t>C:/Users/manuel.felline/Documents/BEHAVIOR BTBR/NOR second cohort/WT/test/c59_f1.mp4</t>
        </is>
      </c>
      <c r="U4209" t="n">
        <v>13809</v>
      </c>
      <c r="V4209" t="n">
        <v>13829</v>
      </c>
      <c r="W4209" t="n">
        <v/>
      </c>
      <c r="X4209" t="n">
        <v/>
      </c>
      <c r="Y4209" t="n">
        <v/>
      </c>
      <c r="Z4209" t="n">
        <v/>
      </c>
      <c r="AA4209">
        <f>SUMIFS($S$2:S4209,$A$2:A4209,A4209,$N$2:N4209,"Explore*")</f>
        <v/>
      </c>
      <c r="AB4209">
        <f>IF(AND(LEFT(N4209,7)="Explore",(AA4209-IF(LEFT(N4209,7)="Explore",S4209,0))&lt;10),"SI","NO")</f>
        <v/>
      </c>
    </row>
    <row r="4210">
      <c r="A4210" t="inlineStr">
        <is>
          <t>c59f1_test</t>
        </is>
      </c>
      <c r="B4210" t="inlineStr">
        <is>
          <t>2026-07-03 12:31:59.670</t>
        </is>
      </c>
      <c r="C4210" t="n">
        <v/>
      </c>
      <c r="D4210" t="inlineStr">
        <is>
          <t>Media file</t>
        </is>
      </c>
      <c r="E4210" t="inlineStr">
        <is>
          <t>player #1:C:/Users/manuel.felline/Documents/BEHAVIOR BTBR/NOR second cohort/WT/test/c59_f1.mp4</t>
        </is>
      </c>
      <c r="F4210" t="n">
        <v>-4.1</v>
      </c>
      <c r="G4210" t="n">
        <v>519.7329999999999</v>
      </c>
      <c r="H4210" t="n">
        <v>619.266</v>
      </c>
      <c r="I4210" t="n">
        <v>30</v>
      </c>
      <c r="J4210" t="inlineStr">
        <is>
          <t xml:space="preserve"> WT</t>
        </is>
      </c>
      <c r="K4210" t="inlineStr">
        <is>
          <t xml:space="preserve"> Female</t>
        </is>
      </c>
      <c r="L4210" t="inlineStr">
        <is>
          <t>No focal subject</t>
        </is>
      </c>
      <c r="M4210" t="n">
        <v>33.935</v>
      </c>
      <c r="N4210" t="inlineStr">
        <is>
          <t>Explore_N</t>
        </is>
      </c>
      <c r="O4210" t="inlineStr">
        <is>
          <t>Novelty</t>
        </is>
      </c>
      <c r="P4210" t="inlineStr">
        <is>
          <t>STATE</t>
        </is>
      </c>
      <c r="Q4210" t="n">
        <v>464.433</v>
      </c>
      <c r="R4210" t="n">
        <v>465.1</v>
      </c>
      <c r="S4210" t="n">
        <v>0.667</v>
      </c>
      <c r="T4210" t="inlineStr">
        <is>
          <t>C:/Users/manuel.felline/Documents/BEHAVIOR BTBR/NOR second cohort/WT/test/c59_f1.mp4</t>
        </is>
      </c>
      <c r="U4210" t="n">
        <v>14051</v>
      </c>
      <c r="V4210" t="n">
        <v>14071</v>
      </c>
      <c r="W4210" t="n">
        <v/>
      </c>
      <c r="X4210" t="n">
        <v/>
      </c>
      <c r="Y4210" t="n">
        <v/>
      </c>
      <c r="Z4210" t="n">
        <v/>
      </c>
      <c r="AA4210">
        <f>SUMIFS($S$2:S4210,$A$2:A4210,A4210,$N$2:N4210,"Explore*")</f>
        <v/>
      </c>
      <c r="AB4210">
        <f>IF(AND(LEFT(N4210,7)="Explore",(AA4210-IF(LEFT(N4210,7)="Explore",S4210,0))&lt;10),"SI","NO")</f>
        <v/>
      </c>
    </row>
    <row r="4211">
      <c r="A4211" t="inlineStr">
        <is>
          <t>c59f1_test</t>
        </is>
      </c>
      <c r="B4211" t="inlineStr">
        <is>
          <t>2026-07-03 12:31:59.670</t>
        </is>
      </c>
      <c r="C4211" t="n">
        <v/>
      </c>
      <c r="D4211" t="inlineStr">
        <is>
          <t>Media file</t>
        </is>
      </c>
      <c r="E4211" t="inlineStr">
        <is>
          <t>player #1:C:/Users/manuel.felline/Documents/BEHAVIOR BTBR/NOR second cohort/WT/test/c59_f1.mp4</t>
        </is>
      </c>
      <c r="F4211" t="n">
        <v>-4.1</v>
      </c>
      <c r="G4211" t="n">
        <v>519.7329999999999</v>
      </c>
      <c r="H4211" t="n">
        <v>619.266</v>
      </c>
      <c r="I4211" t="n">
        <v>30</v>
      </c>
      <c r="J4211" t="inlineStr">
        <is>
          <t xml:space="preserve"> WT</t>
        </is>
      </c>
      <c r="K4211" t="inlineStr">
        <is>
          <t xml:space="preserve"> Female</t>
        </is>
      </c>
      <c r="L4211" t="inlineStr">
        <is>
          <t>No focal subject</t>
        </is>
      </c>
      <c r="M4211" t="n">
        <v>33.935</v>
      </c>
      <c r="N4211" t="inlineStr">
        <is>
          <t>Explore_N</t>
        </is>
      </c>
      <c r="O4211" t="inlineStr">
        <is>
          <t>Novelty</t>
        </is>
      </c>
      <c r="P4211" t="inlineStr">
        <is>
          <t>STATE</t>
        </is>
      </c>
      <c r="Q4211" t="n">
        <v>466.1</v>
      </c>
      <c r="R4211" t="n">
        <v>466.766</v>
      </c>
      <c r="S4211" t="n">
        <v>0.666</v>
      </c>
      <c r="T4211" t="inlineStr">
        <is>
          <t>C:/Users/manuel.felline/Documents/BEHAVIOR BTBR/NOR second cohort/WT/test/c59_f1.mp4</t>
        </is>
      </c>
      <c r="U4211" t="n">
        <v>14101</v>
      </c>
      <c r="V4211" t="n">
        <v>14121</v>
      </c>
      <c r="W4211" t="n">
        <v/>
      </c>
      <c r="X4211" t="n">
        <v/>
      </c>
      <c r="Y4211" t="n">
        <v/>
      </c>
      <c r="Z4211" t="n">
        <v/>
      </c>
      <c r="AA4211">
        <f>SUMIFS($S$2:S4211,$A$2:A4211,A4211,$N$2:N4211,"Explore*")</f>
        <v/>
      </c>
      <c r="AB4211">
        <f>IF(AND(LEFT(N4211,7)="Explore",(AA4211-IF(LEFT(N4211,7)="Explore",S4211,0))&lt;10),"SI","NO")</f>
        <v/>
      </c>
    </row>
    <row r="4212">
      <c r="A4212" t="inlineStr">
        <is>
          <t>c59f1_test</t>
        </is>
      </c>
      <c r="B4212" t="inlineStr">
        <is>
          <t>2026-07-03 12:31:59.670</t>
        </is>
      </c>
      <c r="C4212" t="n">
        <v/>
      </c>
      <c r="D4212" t="inlineStr">
        <is>
          <t>Media file</t>
        </is>
      </c>
      <c r="E4212" t="inlineStr">
        <is>
          <t>player #1:C:/Users/manuel.felline/Documents/BEHAVIOR BTBR/NOR second cohort/WT/test/c59_f1.mp4</t>
        </is>
      </c>
      <c r="F4212" t="n">
        <v>-4.1</v>
      </c>
      <c r="G4212" t="n">
        <v>519.7329999999999</v>
      </c>
      <c r="H4212" t="n">
        <v>619.266</v>
      </c>
      <c r="I4212" t="n">
        <v>30</v>
      </c>
      <c r="J4212" t="inlineStr">
        <is>
          <t xml:space="preserve"> WT</t>
        </is>
      </c>
      <c r="K4212" t="inlineStr">
        <is>
          <t xml:space="preserve"> Female</t>
        </is>
      </c>
      <c r="L4212" t="inlineStr">
        <is>
          <t>No focal subject</t>
        </is>
      </c>
      <c r="M4212" t="n">
        <v>33.935</v>
      </c>
      <c r="N4212" t="inlineStr">
        <is>
          <t>Explore_N</t>
        </is>
      </c>
      <c r="O4212" t="inlineStr">
        <is>
          <t>Novelty</t>
        </is>
      </c>
      <c r="P4212" t="inlineStr">
        <is>
          <t>STATE</t>
        </is>
      </c>
      <c r="Q4212" t="n">
        <v>467.733</v>
      </c>
      <c r="R4212" t="n">
        <v>468.533</v>
      </c>
      <c r="S4212" t="n">
        <v>0.8</v>
      </c>
      <c r="T4212" t="inlineStr">
        <is>
          <t>C:/Users/manuel.felline/Documents/BEHAVIOR BTBR/NOR second cohort/WT/test/c59_f1.mp4</t>
        </is>
      </c>
      <c r="U4212" t="n">
        <v>14150</v>
      </c>
      <c r="V4212" t="n">
        <v>14174</v>
      </c>
      <c r="W4212" t="n">
        <v/>
      </c>
      <c r="X4212" t="n">
        <v/>
      </c>
      <c r="Y4212" t="n">
        <v/>
      </c>
      <c r="Z4212" t="n">
        <v/>
      </c>
      <c r="AA4212">
        <f>SUMIFS($S$2:S4212,$A$2:A4212,A4212,$N$2:N4212,"Explore*")</f>
        <v/>
      </c>
      <c r="AB4212">
        <f>IF(AND(LEFT(N4212,7)="Explore",(AA4212-IF(LEFT(N4212,7)="Explore",S4212,0))&lt;10),"SI","NO")</f>
        <v/>
      </c>
    </row>
    <row r="4213">
      <c r="A4213" t="inlineStr">
        <is>
          <t>c59f1_test</t>
        </is>
      </c>
      <c r="B4213" t="inlineStr">
        <is>
          <t>2026-07-03 12:31:59.670</t>
        </is>
      </c>
      <c r="C4213" t="n">
        <v/>
      </c>
      <c r="D4213" t="inlineStr">
        <is>
          <t>Media file</t>
        </is>
      </c>
      <c r="E4213" t="inlineStr">
        <is>
          <t>player #1:C:/Users/manuel.felline/Documents/BEHAVIOR BTBR/NOR second cohort/WT/test/c59_f1.mp4</t>
        </is>
      </c>
      <c r="F4213" t="n">
        <v>-4.1</v>
      </c>
      <c r="G4213" t="n">
        <v>519.7329999999999</v>
      </c>
      <c r="H4213" t="n">
        <v>619.266</v>
      </c>
      <c r="I4213" t="n">
        <v>30</v>
      </c>
      <c r="J4213" t="inlineStr">
        <is>
          <t xml:space="preserve"> WT</t>
        </is>
      </c>
      <c r="K4213" t="inlineStr">
        <is>
          <t xml:space="preserve"> Female</t>
        </is>
      </c>
      <c r="L4213" t="inlineStr">
        <is>
          <t>No focal subject</t>
        </is>
      </c>
      <c r="M4213" t="n">
        <v>33.935</v>
      </c>
      <c r="N4213" t="inlineStr">
        <is>
          <t>Explore_N</t>
        </is>
      </c>
      <c r="O4213" t="inlineStr">
        <is>
          <t>Novelty</t>
        </is>
      </c>
      <c r="P4213" t="inlineStr">
        <is>
          <t>STATE</t>
        </is>
      </c>
      <c r="Q4213" t="n">
        <v>470.333</v>
      </c>
      <c r="R4213" t="n">
        <v>471.8</v>
      </c>
      <c r="S4213" t="n">
        <v>1.467</v>
      </c>
      <c r="T4213" t="inlineStr">
        <is>
          <t>C:/Users/manuel.felline/Documents/BEHAVIOR BTBR/NOR second cohort/WT/test/c59_f1.mp4</t>
        </is>
      </c>
      <c r="U4213" t="n">
        <v>14228</v>
      </c>
      <c r="V4213" t="n">
        <v>14272</v>
      </c>
      <c r="W4213" t="n">
        <v/>
      </c>
      <c r="X4213" t="n">
        <v/>
      </c>
      <c r="Y4213" t="n">
        <v/>
      </c>
      <c r="Z4213" t="n">
        <v/>
      </c>
      <c r="AA4213">
        <f>SUMIFS($S$2:S4213,$A$2:A4213,A4213,$N$2:N4213,"Explore*")</f>
        <v/>
      </c>
      <c r="AB4213">
        <f>IF(AND(LEFT(N4213,7)="Explore",(AA4213-IF(LEFT(N4213,7)="Explore",S4213,0))&lt;10),"SI","NO")</f>
        <v/>
      </c>
    </row>
    <row r="4214">
      <c r="A4214" t="inlineStr">
        <is>
          <t>c59f1_test</t>
        </is>
      </c>
      <c r="B4214" t="inlineStr">
        <is>
          <t>2026-07-03 12:31:59.670</t>
        </is>
      </c>
      <c r="C4214" t="n">
        <v/>
      </c>
      <c r="D4214" t="inlineStr">
        <is>
          <t>Media file</t>
        </is>
      </c>
      <c r="E4214" t="inlineStr">
        <is>
          <t>player #1:C:/Users/manuel.felline/Documents/BEHAVIOR BTBR/NOR second cohort/WT/test/c59_f1.mp4</t>
        </is>
      </c>
      <c r="F4214" t="n">
        <v>-4.1</v>
      </c>
      <c r="G4214" t="n">
        <v>519.7329999999999</v>
      </c>
      <c r="H4214" t="n">
        <v>619.266</v>
      </c>
      <c r="I4214" t="n">
        <v>30</v>
      </c>
      <c r="J4214" t="inlineStr">
        <is>
          <t xml:space="preserve"> WT</t>
        </is>
      </c>
      <c r="K4214" t="inlineStr">
        <is>
          <t xml:space="preserve"> Female</t>
        </is>
      </c>
      <c r="L4214" t="inlineStr">
        <is>
          <t>No focal subject</t>
        </is>
      </c>
      <c r="M4214" t="n">
        <v>33.935</v>
      </c>
      <c r="N4214" t="inlineStr">
        <is>
          <t>Explore_N</t>
        </is>
      </c>
      <c r="O4214" t="inlineStr">
        <is>
          <t>Novelty</t>
        </is>
      </c>
      <c r="P4214" t="inlineStr">
        <is>
          <t>STATE</t>
        </is>
      </c>
      <c r="Q4214" t="n">
        <v>473.4</v>
      </c>
      <c r="R4214" t="n">
        <v>474.966</v>
      </c>
      <c r="S4214" t="n">
        <v>1.566</v>
      </c>
      <c r="T4214" t="inlineStr">
        <is>
          <t>C:/Users/manuel.felline/Documents/BEHAVIOR BTBR/NOR second cohort/WT/test/c59_f1.mp4</t>
        </is>
      </c>
      <c r="U4214" t="n">
        <v>14320</v>
      </c>
      <c r="V4214" t="n">
        <v>14367</v>
      </c>
      <c r="W4214" t="n">
        <v/>
      </c>
      <c r="X4214" t="n">
        <v/>
      </c>
      <c r="Y4214" t="n">
        <v/>
      </c>
      <c r="Z4214" t="n">
        <v/>
      </c>
      <c r="AA4214">
        <f>SUMIFS($S$2:S4214,$A$2:A4214,A4214,$N$2:N4214,"Explore*")</f>
        <v/>
      </c>
      <c r="AB4214">
        <f>IF(AND(LEFT(N4214,7)="Explore",(AA4214-IF(LEFT(N4214,7)="Explore",S4214,0))&lt;10),"SI","NO")</f>
        <v/>
      </c>
    </row>
    <row r="4215">
      <c r="A4215" t="inlineStr">
        <is>
          <t>c59f1_test</t>
        </is>
      </c>
      <c r="B4215" t="inlineStr">
        <is>
          <t>2026-07-03 12:31:59.670</t>
        </is>
      </c>
      <c r="C4215" t="n">
        <v/>
      </c>
      <c r="D4215" t="inlineStr">
        <is>
          <t>Media file</t>
        </is>
      </c>
      <c r="E4215" t="inlineStr">
        <is>
          <t>player #1:C:/Users/manuel.felline/Documents/BEHAVIOR BTBR/NOR second cohort/WT/test/c59_f1.mp4</t>
        </is>
      </c>
      <c r="F4215" t="n">
        <v>-4.1</v>
      </c>
      <c r="G4215" t="n">
        <v>519.7329999999999</v>
      </c>
      <c r="H4215" t="n">
        <v>619.266</v>
      </c>
      <c r="I4215" t="n">
        <v>30</v>
      </c>
      <c r="J4215" t="inlineStr">
        <is>
          <t xml:space="preserve"> WT</t>
        </is>
      </c>
      <c r="K4215" t="inlineStr">
        <is>
          <t xml:space="preserve"> Female</t>
        </is>
      </c>
      <c r="L4215" t="inlineStr">
        <is>
          <t>No focal subject</t>
        </is>
      </c>
      <c r="M4215" t="n">
        <v>33.935</v>
      </c>
      <c r="N4215" t="inlineStr">
        <is>
          <t>Explore_N</t>
        </is>
      </c>
      <c r="O4215" t="inlineStr">
        <is>
          <t>Novelty</t>
        </is>
      </c>
      <c r="P4215" t="inlineStr">
        <is>
          <t>STATE</t>
        </is>
      </c>
      <c r="Q4215" t="n">
        <v>476</v>
      </c>
      <c r="R4215" t="n">
        <v>476.766</v>
      </c>
      <c r="S4215" t="n">
        <v>0.766</v>
      </c>
      <c r="T4215" t="inlineStr">
        <is>
          <t>C:/Users/manuel.felline/Documents/BEHAVIOR BTBR/NOR second cohort/WT/test/c59_f1.mp4</t>
        </is>
      </c>
      <c r="U4215" t="n">
        <v>14398</v>
      </c>
      <c r="V4215" t="n">
        <v>14421</v>
      </c>
      <c r="W4215" t="n">
        <v/>
      </c>
      <c r="X4215" t="n">
        <v/>
      </c>
      <c r="Y4215" t="n">
        <v/>
      </c>
      <c r="Z4215" t="n">
        <v/>
      </c>
      <c r="AA4215">
        <f>SUMIFS($S$2:S4215,$A$2:A4215,A4215,$N$2:N4215,"Explore*")</f>
        <v/>
      </c>
      <c r="AB4215">
        <f>IF(AND(LEFT(N4215,7)="Explore",(AA4215-IF(LEFT(N4215,7)="Explore",S4215,0))&lt;10),"SI","NO")</f>
        <v/>
      </c>
    </row>
    <row r="4216">
      <c r="A4216" t="inlineStr">
        <is>
          <t>c59f1_test</t>
        </is>
      </c>
      <c r="B4216" t="inlineStr">
        <is>
          <t>2026-07-03 12:31:59.670</t>
        </is>
      </c>
      <c r="C4216" t="n">
        <v/>
      </c>
      <c r="D4216" t="inlineStr">
        <is>
          <t>Media file</t>
        </is>
      </c>
      <c r="E4216" t="inlineStr">
        <is>
          <t>player #1:C:/Users/manuel.felline/Documents/BEHAVIOR BTBR/NOR second cohort/WT/test/c59_f1.mp4</t>
        </is>
      </c>
      <c r="F4216" t="n">
        <v>-4.1</v>
      </c>
      <c r="G4216" t="n">
        <v>519.7329999999999</v>
      </c>
      <c r="H4216" t="n">
        <v>619.266</v>
      </c>
      <c r="I4216" t="n">
        <v>30</v>
      </c>
      <c r="J4216" t="inlineStr">
        <is>
          <t xml:space="preserve"> WT</t>
        </is>
      </c>
      <c r="K4216" t="inlineStr">
        <is>
          <t xml:space="preserve"> Female</t>
        </is>
      </c>
      <c r="L4216" t="inlineStr">
        <is>
          <t>No focal subject</t>
        </is>
      </c>
      <c r="M4216" t="n">
        <v>33.935</v>
      </c>
      <c r="N4216" t="inlineStr">
        <is>
          <t>Explore_N</t>
        </is>
      </c>
      <c r="O4216" t="inlineStr">
        <is>
          <t>Novelty</t>
        </is>
      </c>
      <c r="P4216" t="inlineStr">
        <is>
          <t>STATE</t>
        </is>
      </c>
      <c r="Q4216" t="n">
        <v>491.799</v>
      </c>
      <c r="R4216" t="n">
        <v>492.399</v>
      </c>
      <c r="S4216" t="n">
        <v>0.6</v>
      </c>
      <c r="T4216" t="inlineStr">
        <is>
          <t>C:/Users/manuel.felline/Documents/BEHAVIOR BTBR/NOR second cohort/WT/test/c59_f1.mp4</t>
        </is>
      </c>
      <c r="U4216" t="n">
        <v>14872</v>
      </c>
      <c r="V4216" t="n">
        <v>14890</v>
      </c>
      <c r="W4216" t="n">
        <v/>
      </c>
      <c r="X4216" t="n">
        <v/>
      </c>
      <c r="Y4216" t="n">
        <v/>
      </c>
      <c r="Z4216" t="n">
        <v/>
      </c>
      <c r="AA4216">
        <f>SUMIFS($S$2:S4216,$A$2:A4216,A4216,$N$2:N4216,"Explore*")</f>
        <v/>
      </c>
      <c r="AB4216">
        <f>IF(AND(LEFT(N4216,7)="Explore",(AA4216-IF(LEFT(N4216,7)="Explore",S4216,0))&lt;10),"SI","NO")</f>
        <v/>
      </c>
    </row>
    <row r="4217">
      <c r="A4217" t="inlineStr">
        <is>
          <t>c59f1_test</t>
        </is>
      </c>
      <c r="B4217" t="inlineStr">
        <is>
          <t>2026-07-03 12:31:59.670</t>
        </is>
      </c>
      <c r="C4217" t="n">
        <v/>
      </c>
      <c r="D4217" t="inlineStr">
        <is>
          <t>Media file</t>
        </is>
      </c>
      <c r="E4217" t="inlineStr">
        <is>
          <t>player #1:C:/Users/manuel.felline/Documents/BEHAVIOR BTBR/NOR second cohort/WT/test/c59_f1.mp4</t>
        </is>
      </c>
      <c r="F4217" t="n">
        <v>-4.1</v>
      </c>
      <c r="G4217" t="n">
        <v>519.7329999999999</v>
      </c>
      <c r="H4217" t="n">
        <v>619.266</v>
      </c>
      <c r="I4217" t="n">
        <v>30</v>
      </c>
      <c r="J4217" t="inlineStr">
        <is>
          <t xml:space="preserve"> WT</t>
        </is>
      </c>
      <c r="K4217" t="inlineStr">
        <is>
          <t xml:space="preserve"> Female</t>
        </is>
      </c>
      <c r="L4217" t="inlineStr">
        <is>
          <t>No focal subject</t>
        </is>
      </c>
      <c r="M4217" t="n">
        <v>33.935</v>
      </c>
      <c r="N4217" t="inlineStr">
        <is>
          <t>Explore_F</t>
        </is>
      </c>
      <c r="O4217" t="inlineStr">
        <is>
          <t>Familiar</t>
        </is>
      </c>
      <c r="P4217" t="inlineStr">
        <is>
          <t>STATE</t>
        </is>
      </c>
      <c r="Q4217" t="n">
        <v>495.366</v>
      </c>
      <c r="R4217" t="n">
        <v>497.533</v>
      </c>
      <c r="S4217" t="n">
        <v>2.167</v>
      </c>
      <c r="T4217" t="inlineStr">
        <is>
          <t>C:/Users/manuel.felline/Documents/BEHAVIOR BTBR/NOR second cohort/WT/test/c59_f1.mp4</t>
        </is>
      </c>
      <c r="U4217" t="n">
        <v>14979</v>
      </c>
      <c r="V4217" t="n">
        <v>15044</v>
      </c>
      <c r="W4217" t="n">
        <v/>
      </c>
      <c r="X4217" t="n">
        <v/>
      </c>
      <c r="Y4217" t="n">
        <v/>
      </c>
      <c r="Z4217" t="n">
        <v/>
      </c>
      <c r="AA4217">
        <f>SUMIFS($S$2:S4217,$A$2:A4217,A4217,$N$2:N4217,"Explore*")</f>
        <v/>
      </c>
      <c r="AB4217">
        <f>IF(AND(LEFT(N4217,7)="Explore",(AA4217-IF(LEFT(N4217,7)="Explore",S4217,0))&lt;10),"SI","NO")</f>
        <v/>
      </c>
    </row>
    <row r="4218">
      <c r="A4218" t="inlineStr">
        <is>
          <t>c59f1_test</t>
        </is>
      </c>
      <c r="B4218" t="inlineStr">
        <is>
          <t>2026-07-03 12:31:59.670</t>
        </is>
      </c>
      <c r="C4218" t="n">
        <v/>
      </c>
      <c r="D4218" t="inlineStr">
        <is>
          <t>Media file</t>
        </is>
      </c>
      <c r="E4218" t="inlineStr">
        <is>
          <t>player #1:C:/Users/manuel.felline/Documents/BEHAVIOR BTBR/NOR second cohort/WT/test/c59_f1.mp4</t>
        </is>
      </c>
      <c r="F4218" t="n">
        <v>-4.1</v>
      </c>
      <c r="G4218" t="n">
        <v>519.7329999999999</v>
      </c>
      <c r="H4218" t="n">
        <v>619.266</v>
      </c>
      <c r="I4218" t="n">
        <v>30</v>
      </c>
      <c r="J4218" t="inlineStr">
        <is>
          <t xml:space="preserve"> WT</t>
        </is>
      </c>
      <c r="K4218" t="inlineStr">
        <is>
          <t xml:space="preserve"> Female</t>
        </is>
      </c>
      <c r="L4218" t="inlineStr">
        <is>
          <t>No focal subject</t>
        </is>
      </c>
      <c r="M4218" t="n">
        <v>33.935</v>
      </c>
      <c r="N4218" t="inlineStr">
        <is>
          <t>Explore_N</t>
        </is>
      </c>
      <c r="O4218" t="inlineStr">
        <is>
          <t>Novelty</t>
        </is>
      </c>
      <c r="P4218" t="inlineStr">
        <is>
          <t>STATE</t>
        </is>
      </c>
      <c r="Q4218" t="n">
        <v>499.233</v>
      </c>
      <c r="R4218" t="n">
        <v>499.933</v>
      </c>
      <c r="S4218" t="n">
        <v>0.7</v>
      </c>
      <c r="T4218" t="inlineStr">
        <is>
          <t>C:/Users/manuel.felline/Documents/BEHAVIOR BTBR/NOR second cohort/WT/test/c59_f1.mp4</t>
        </is>
      </c>
      <c r="U4218" t="n">
        <v>15095</v>
      </c>
      <c r="V4218" t="n">
        <v>15116</v>
      </c>
      <c r="W4218" t="n">
        <v/>
      </c>
      <c r="X4218" t="n">
        <v/>
      </c>
      <c r="Y4218" t="n">
        <v/>
      </c>
      <c r="Z4218" t="n">
        <v/>
      </c>
      <c r="AA4218">
        <f>SUMIFS($S$2:S4218,$A$2:A4218,A4218,$N$2:N4218,"Explore*")</f>
        <v/>
      </c>
      <c r="AB4218">
        <f>IF(AND(LEFT(N4218,7)="Explore",(AA4218-IF(LEFT(N4218,7)="Explore",S4218,0))&lt;10),"SI","NO")</f>
        <v/>
      </c>
    </row>
    <row r="4219">
      <c r="A4219" t="inlineStr">
        <is>
          <t>c59f1_test</t>
        </is>
      </c>
      <c r="B4219" t="inlineStr">
        <is>
          <t>2026-07-03 12:31:59.670</t>
        </is>
      </c>
      <c r="C4219" t="n">
        <v/>
      </c>
      <c r="D4219" t="inlineStr">
        <is>
          <t>Media file</t>
        </is>
      </c>
      <c r="E4219" t="inlineStr">
        <is>
          <t>player #1:C:/Users/manuel.felline/Documents/BEHAVIOR BTBR/NOR second cohort/WT/test/c59_f1.mp4</t>
        </is>
      </c>
      <c r="F4219" t="n">
        <v>-4.1</v>
      </c>
      <c r="G4219" t="n">
        <v>519.7329999999999</v>
      </c>
      <c r="H4219" t="n">
        <v>619.266</v>
      </c>
      <c r="I4219" t="n">
        <v>30</v>
      </c>
      <c r="J4219" t="inlineStr">
        <is>
          <t xml:space="preserve"> WT</t>
        </is>
      </c>
      <c r="K4219" t="inlineStr">
        <is>
          <t xml:space="preserve"> Female</t>
        </is>
      </c>
      <c r="L4219" t="inlineStr">
        <is>
          <t>No focal subject</t>
        </is>
      </c>
      <c r="M4219" t="n">
        <v>33.935</v>
      </c>
      <c r="N4219" t="inlineStr">
        <is>
          <t>Explore_N</t>
        </is>
      </c>
      <c r="O4219" t="inlineStr">
        <is>
          <t>Novelty</t>
        </is>
      </c>
      <c r="P4219" t="inlineStr">
        <is>
          <t>STATE</t>
        </is>
      </c>
      <c r="Q4219" t="n">
        <v>502.666</v>
      </c>
      <c r="R4219" t="n">
        <v>503.533</v>
      </c>
      <c r="S4219" t="n">
        <v>0.867</v>
      </c>
      <c r="T4219" t="inlineStr">
        <is>
          <t>C:/Users/manuel.felline/Documents/BEHAVIOR BTBR/NOR second cohort/WT/test/c59_f1.mp4</t>
        </is>
      </c>
      <c r="U4219" t="n">
        <v>15198</v>
      </c>
      <c r="V4219" t="n">
        <v>15224</v>
      </c>
      <c r="W4219" t="n">
        <v/>
      </c>
      <c r="X4219" t="n">
        <v/>
      </c>
      <c r="Y4219" t="n">
        <v/>
      </c>
      <c r="Z4219" t="n">
        <v/>
      </c>
      <c r="AA4219">
        <f>SUMIFS($S$2:S4219,$A$2:A4219,A4219,$N$2:N4219,"Explore*")</f>
        <v/>
      </c>
      <c r="AB4219">
        <f>IF(AND(LEFT(N4219,7)="Explore",(AA4219-IF(LEFT(N4219,7)="Explore",S4219,0))&lt;10),"SI","NO")</f>
        <v/>
      </c>
    </row>
    <row r="4220">
      <c r="A4220" t="inlineStr">
        <is>
          <t>c59f1_test</t>
        </is>
      </c>
      <c r="B4220" t="inlineStr">
        <is>
          <t>2026-07-03 12:31:59.670</t>
        </is>
      </c>
      <c r="C4220" t="n">
        <v/>
      </c>
      <c r="D4220" t="inlineStr">
        <is>
          <t>Media file</t>
        </is>
      </c>
      <c r="E4220" t="inlineStr">
        <is>
          <t>player #1:C:/Users/manuel.felline/Documents/BEHAVIOR BTBR/NOR second cohort/WT/test/c59_f1.mp4</t>
        </is>
      </c>
      <c r="F4220" t="n">
        <v>-4.1</v>
      </c>
      <c r="G4220" t="n">
        <v>519.7329999999999</v>
      </c>
      <c r="H4220" t="n">
        <v>619.266</v>
      </c>
      <c r="I4220" t="n">
        <v>30</v>
      </c>
      <c r="J4220" t="inlineStr">
        <is>
          <t xml:space="preserve"> WT</t>
        </is>
      </c>
      <c r="K4220" t="inlineStr">
        <is>
          <t xml:space="preserve"> Female</t>
        </is>
      </c>
      <c r="L4220" t="inlineStr">
        <is>
          <t>No focal subject</t>
        </is>
      </c>
      <c r="M4220" t="n">
        <v>33.935</v>
      </c>
      <c r="N4220" t="inlineStr">
        <is>
          <t>Explore_N</t>
        </is>
      </c>
      <c r="O4220" t="inlineStr">
        <is>
          <t>Novelty</t>
        </is>
      </c>
      <c r="P4220" t="inlineStr">
        <is>
          <t>STATE</t>
        </is>
      </c>
      <c r="Q4220" t="n">
        <v>504.666</v>
      </c>
      <c r="R4220" t="n">
        <v>505.666</v>
      </c>
      <c r="S4220" t="n">
        <v>1</v>
      </c>
      <c r="T4220" t="inlineStr">
        <is>
          <t>C:/Users/manuel.felline/Documents/BEHAVIOR BTBR/NOR second cohort/WT/test/c59_f1.mp4</t>
        </is>
      </c>
      <c r="U4220" t="n">
        <v>15258</v>
      </c>
      <c r="V4220" t="n">
        <v>15288</v>
      </c>
      <c r="W4220" t="n">
        <v/>
      </c>
      <c r="X4220" t="n">
        <v/>
      </c>
      <c r="Y4220" t="n">
        <v/>
      </c>
      <c r="Z4220" t="n">
        <v/>
      </c>
      <c r="AA4220">
        <f>SUMIFS($S$2:S4220,$A$2:A4220,A4220,$N$2:N4220,"Explore*")</f>
        <v/>
      </c>
      <c r="AB4220">
        <f>IF(AND(LEFT(N4220,7)="Explore",(AA4220-IF(LEFT(N4220,7)="Explore",S4220,0))&lt;10),"SI","NO")</f>
        <v/>
      </c>
    </row>
    <row r="4221">
      <c r="A4221" t="inlineStr">
        <is>
          <t>c59f1_test</t>
        </is>
      </c>
      <c r="B4221" t="inlineStr">
        <is>
          <t>2026-07-03 12:31:59.670</t>
        </is>
      </c>
      <c r="C4221" t="n">
        <v/>
      </c>
      <c r="D4221" t="inlineStr">
        <is>
          <t>Media file</t>
        </is>
      </c>
      <c r="E4221" t="inlineStr">
        <is>
          <t>player #1:C:/Users/manuel.felline/Documents/BEHAVIOR BTBR/NOR second cohort/WT/test/c59_f1.mp4</t>
        </is>
      </c>
      <c r="F4221" t="n">
        <v>-4.1</v>
      </c>
      <c r="G4221" t="n">
        <v>519.7329999999999</v>
      </c>
      <c r="H4221" t="n">
        <v>619.266</v>
      </c>
      <c r="I4221" t="n">
        <v>30</v>
      </c>
      <c r="J4221" t="inlineStr">
        <is>
          <t xml:space="preserve"> WT</t>
        </is>
      </c>
      <c r="K4221" t="inlineStr">
        <is>
          <t xml:space="preserve"> Female</t>
        </is>
      </c>
      <c r="L4221" t="inlineStr">
        <is>
          <t>No focal subject</t>
        </is>
      </c>
      <c r="M4221" t="n">
        <v>33.935</v>
      </c>
      <c r="N4221" t="inlineStr">
        <is>
          <t>Explore_N</t>
        </is>
      </c>
      <c r="O4221" t="inlineStr">
        <is>
          <t>Novelty</t>
        </is>
      </c>
      <c r="P4221" t="inlineStr">
        <is>
          <t>STATE</t>
        </is>
      </c>
      <c r="Q4221" t="n">
        <v>522.833</v>
      </c>
      <c r="R4221" t="n">
        <v>523.266</v>
      </c>
      <c r="S4221" t="n">
        <v>0.433</v>
      </c>
      <c r="T4221" t="inlineStr">
        <is>
          <t>C:/Users/manuel.felline/Documents/BEHAVIOR BTBR/NOR second cohort/WT/test/c59_f1.mp4</t>
        </is>
      </c>
      <c r="U4221" t="n">
        <v>15803</v>
      </c>
      <c r="V4221" t="n">
        <v>15816</v>
      </c>
      <c r="W4221" t="n">
        <v/>
      </c>
      <c r="X4221" t="n">
        <v/>
      </c>
      <c r="Y4221" t="n">
        <v/>
      </c>
      <c r="Z4221" t="n">
        <v/>
      </c>
      <c r="AA4221">
        <f>SUMIFS($S$2:S4221,$A$2:A4221,A4221,$N$2:N4221,"Explore*")</f>
        <v/>
      </c>
      <c r="AB4221">
        <f>IF(AND(LEFT(N4221,7)="Explore",(AA4221-IF(LEFT(N4221,7)="Explore",S4221,0))&lt;10),"SI","NO")</f>
        <v/>
      </c>
    </row>
    <row r="4222">
      <c r="A4222" t="inlineStr">
        <is>
          <t>c59f2_test</t>
        </is>
      </c>
      <c r="B4222" t="inlineStr">
        <is>
          <t>2026-07-03 15:32:21.272</t>
        </is>
      </c>
      <c r="C4222" t="n">
        <v/>
      </c>
      <c r="D4222" t="inlineStr">
        <is>
          <t>Media file</t>
        </is>
      </c>
      <c r="E4222" t="inlineStr">
        <is>
          <t>player #1:C:/Users/manuel.felline/Documents/BEHAVIOR BTBR/NOR second cohort/WT/test/c59_f2.mp4</t>
        </is>
      </c>
      <c r="F4222" t="n">
        <v>-6.9</v>
      </c>
      <c r="G4222" t="n">
        <v>491.099</v>
      </c>
      <c r="H4222" t="n">
        <v>625.133</v>
      </c>
      <c r="I4222" t="n">
        <v>30</v>
      </c>
      <c r="J4222" t="inlineStr">
        <is>
          <t xml:space="preserve"> WT</t>
        </is>
      </c>
      <c r="K4222" t="inlineStr">
        <is>
          <t xml:space="preserve"> Female</t>
        </is>
      </c>
      <c r="L4222" t="inlineStr">
        <is>
          <t>No focal subject</t>
        </is>
      </c>
      <c r="M4222" t="n">
        <v>85.13</v>
      </c>
      <c r="N4222" t="inlineStr">
        <is>
          <t>Explore_N</t>
        </is>
      </c>
      <c r="O4222" t="inlineStr">
        <is>
          <t>Novelty</t>
        </is>
      </c>
      <c r="P4222" t="inlineStr">
        <is>
          <t>STATE</t>
        </is>
      </c>
      <c r="Q4222" t="n">
        <v>14.1</v>
      </c>
      <c r="R4222" t="n">
        <v>14.4</v>
      </c>
      <c r="S4222" t="n">
        <v>0.3</v>
      </c>
      <c r="T4222" t="inlineStr">
        <is>
          <t>C:/Users/manuel.felline/Documents/BEHAVIOR BTBR/NOR second cohort/WT/test/c59_f2.mp4</t>
        </is>
      </c>
      <c r="U4222" t="n">
        <v>630</v>
      </c>
      <c r="V4222" t="n">
        <v>639</v>
      </c>
      <c r="W4222" t="n">
        <v/>
      </c>
      <c r="X4222" t="n">
        <v/>
      </c>
      <c r="Y4222" t="n">
        <v/>
      </c>
      <c r="Z4222" t="n">
        <v/>
      </c>
      <c r="AA4222">
        <f>SUMIFS($S$2:S4222,$A$2:A4222,A4222,$N$2:N4222,"Explore*")</f>
        <v/>
      </c>
      <c r="AB4222">
        <f>IF(AND(LEFT(N4222,7)="Explore",(AA4222-IF(LEFT(N4222,7)="Explore",S4222,0))&lt;10),"SI","NO")</f>
        <v/>
      </c>
    </row>
    <row r="4223">
      <c r="A4223" t="inlineStr">
        <is>
          <t>c59f2_test</t>
        </is>
      </c>
      <c r="B4223" t="inlineStr">
        <is>
          <t>2026-07-03 15:32:21.272</t>
        </is>
      </c>
      <c r="C4223" t="n">
        <v/>
      </c>
      <c r="D4223" t="inlineStr">
        <is>
          <t>Media file</t>
        </is>
      </c>
      <c r="E4223" t="inlineStr">
        <is>
          <t>player #1:C:/Users/manuel.felline/Documents/BEHAVIOR BTBR/NOR second cohort/WT/test/c59_f2.mp4</t>
        </is>
      </c>
      <c r="F4223" t="n">
        <v>-6.9</v>
      </c>
      <c r="G4223" t="n">
        <v>491.099</v>
      </c>
      <c r="H4223" t="n">
        <v>625.133</v>
      </c>
      <c r="I4223" t="n">
        <v>30</v>
      </c>
      <c r="J4223" t="inlineStr">
        <is>
          <t xml:space="preserve"> WT</t>
        </is>
      </c>
      <c r="K4223" t="inlineStr">
        <is>
          <t xml:space="preserve"> Female</t>
        </is>
      </c>
      <c r="L4223" t="inlineStr">
        <is>
          <t>No focal subject</t>
        </is>
      </c>
      <c r="M4223" t="n">
        <v>85.13</v>
      </c>
      <c r="N4223" t="inlineStr">
        <is>
          <t>Explore_F</t>
        </is>
      </c>
      <c r="O4223" t="inlineStr">
        <is>
          <t>Familiar</t>
        </is>
      </c>
      <c r="P4223" t="inlineStr">
        <is>
          <t>STATE</t>
        </is>
      </c>
      <c r="Q4223" t="n">
        <v>19.833</v>
      </c>
      <c r="R4223" t="n">
        <v>20.233</v>
      </c>
      <c r="S4223" t="n">
        <v>0.4</v>
      </c>
      <c r="T4223" t="inlineStr">
        <is>
          <t>C:/Users/manuel.felline/Documents/BEHAVIOR BTBR/NOR second cohort/WT/test/c59_f2.mp4</t>
        </is>
      </c>
      <c r="U4223" t="n">
        <v>802</v>
      </c>
      <c r="V4223" t="n">
        <v>814</v>
      </c>
      <c r="W4223" t="n">
        <v/>
      </c>
      <c r="X4223" t="n">
        <v/>
      </c>
      <c r="Y4223" t="n">
        <v/>
      </c>
      <c r="Z4223" t="n">
        <v/>
      </c>
      <c r="AA4223">
        <f>SUMIFS($S$2:S4223,$A$2:A4223,A4223,$N$2:N4223,"Explore*")</f>
        <v/>
      </c>
      <c r="AB4223">
        <f>IF(AND(LEFT(N4223,7)="Explore",(AA4223-IF(LEFT(N4223,7)="Explore",S4223,0))&lt;10),"SI","NO")</f>
        <v/>
      </c>
    </row>
    <row r="4224">
      <c r="A4224" t="inlineStr">
        <is>
          <t>c59f2_test</t>
        </is>
      </c>
      <c r="B4224" t="inlineStr">
        <is>
          <t>2026-07-03 15:32:21.272</t>
        </is>
      </c>
      <c r="C4224" t="n">
        <v/>
      </c>
      <c r="D4224" t="inlineStr">
        <is>
          <t>Media file</t>
        </is>
      </c>
      <c r="E4224" t="inlineStr">
        <is>
          <t>player #1:C:/Users/manuel.felline/Documents/BEHAVIOR BTBR/NOR second cohort/WT/test/c59_f2.mp4</t>
        </is>
      </c>
      <c r="F4224" t="n">
        <v>-6.9</v>
      </c>
      <c r="G4224" t="n">
        <v>491.099</v>
      </c>
      <c r="H4224" t="n">
        <v>625.133</v>
      </c>
      <c r="I4224" t="n">
        <v>30</v>
      </c>
      <c r="J4224" t="inlineStr">
        <is>
          <t xml:space="preserve"> WT</t>
        </is>
      </c>
      <c r="K4224" t="inlineStr">
        <is>
          <t xml:space="preserve"> Female</t>
        </is>
      </c>
      <c r="L4224" t="inlineStr">
        <is>
          <t>No focal subject</t>
        </is>
      </c>
      <c r="M4224" t="n">
        <v>85.13</v>
      </c>
      <c r="N4224" t="inlineStr">
        <is>
          <t>Explore_N</t>
        </is>
      </c>
      <c r="O4224" t="inlineStr">
        <is>
          <t>Novelty</t>
        </is>
      </c>
      <c r="P4224" t="inlineStr">
        <is>
          <t>STATE</t>
        </is>
      </c>
      <c r="Q4224" t="n">
        <v>25.6</v>
      </c>
      <c r="R4224" t="n">
        <v>27.467</v>
      </c>
      <c r="S4224" t="n">
        <v>1.867</v>
      </c>
      <c r="T4224" t="inlineStr">
        <is>
          <t>C:/Users/manuel.felline/Documents/BEHAVIOR BTBR/NOR second cohort/WT/test/c59_f2.mp4</t>
        </is>
      </c>
      <c r="U4224" t="n">
        <v>975</v>
      </c>
      <c r="V4224" t="n">
        <v>1031</v>
      </c>
      <c r="W4224" t="n">
        <v/>
      </c>
      <c r="X4224" t="n">
        <v/>
      </c>
      <c r="Y4224" t="n">
        <v/>
      </c>
      <c r="Z4224" t="n">
        <v/>
      </c>
      <c r="AA4224">
        <f>SUMIFS($S$2:S4224,$A$2:A4224,A4224,$N$2:N4224,"Explore*")</f>
        <v/>
      </c>
      <c r="AB4224">
        <f>IF(AND(LEFT(N4224,7)="Explore",(AA4224-IF(LEFT(N4224,7)="Explore",S4224,0))&lt;10),"SI","NO")</f>
        <v/>
      </c>
    </row>
    <row r="4225">
      <c r="A4225" t="inlineStr">
        <is>
          <t>c59f2_test</t>
        </is>
      </c>
      <c r="B4225" t="inlineStr">
        <is>
          <t>2026-07-03 15:32:21.272</t>
        </is>
      </c>
      <c r="C4225" t="n">
        <v/>
      </c>
      <c r="D4225" t="inlineStr">
        <is>
          <t>Media file</t>
        </is>
      </c>
      <c r="E4225" t="inlineStr">
        <is>
          <t>player #1:C:/Users/manuel.felline/Documents/BEHAVIOR BTBR/NOR second cohort/WT/test/c59_f2.mp4</t>
        </is>
      </c>
      <c r="F4225" t="n">
        <v>-6.9</v>
      </c>
      <c r="G4225" t="n">
        <v>491.099</v>
      </c>
      <c r="H4225" t="n">
        <v>625.133</v>
      </c>
      <c r="I4225" t="n">
        <v>30</v>
      </c>
      <c r="J4225" t="inlineStr">
        <is>
          <t xml:space="preserve"> WT</t>
        </is>
      </c>
      <c r="K4225" t="inlineStr">
        <is>
          <t xml:space="preserve"> Female</t>
        </is>
      </c>
      <c r="L4225" t="inlineStr">
        <is>
          <t>No focal subject</t>
        </is>
      </c>
      <c r="M4225" t="n">
        <v>85.13</v>
      </c>
      <c r="N4225" t="inlineStr">
        <is>
          <t>Explore_N</t>
        </is>
      </c>
      <c r="O4225" t="inlineStr">
        <is>
          <t>Novelty</t>
        </is>
      </c>
      <c r="P4225" t="inlineStr">
        <is>
          <t>STATE</t>
        </is>
      </c>
      <c r="Q4225" t="n">
        <v>41.933</v>
      </c>
      <c r="R4225" t="n">
        <v>42.933</v>
      </c>
      <c r="S4225" t="n">
        <v>1</v>
      </c>
      <c r="T4225" t="inlineStr">
        <is>
          <t>C:/Users/manuel.felline/Documents/BEHAVIOR BTBR/NOR second cohort/WT/test/c59_f2.mp4</t>
        </is>
      </c>
      <c r="U4225" t="n">
        <v>1465</v>
      </c>
      <c r="V4225" t="n">
        <v>1495</v>
      </c>
      <c r="W4225" t="n">
        <v/>
      </c>
      <c r="X4225" t="n">
        <v/>
      </c>
      <c r="Y4225" t="n">
        <v/>
      </c>
      <c r="Z4225" t="n">
        <v/>
      </c>
      <c r="AA4225">
        <f>SUMIFS($S$2:S4225,$A$2:A4225,A4225,$N$2:N4225,"Explore*")</f>
        <v/>
      </c>
      <c r="AB4225">
        <f>IF(AND(LEFT(N4225,7)="Explore",(AA4225-IF(LEFT(N4225,7)="Explore",S4225,0))&lt;10),"SI","NO")</f>
        <v/>
      </c>
    </row>
    <row r="4226">
      <c r="A4226" t="inlineStr">
        <is>
          <t>c59f2_test</t>
        </is>
      </c>
      <c r="B4226" t="inlineStr">
        <is>
          <t>2026-07-03 15:32:21.272</t>
        </is>
      </c>
      <c r="C4226" t="n">
        <v/>
      </c>
      <c r="D4226" t="inlineStr">
        <is>
          <t>Media file</t>
        </is>
      </c>
      <c r="E4226" t="inlineStr">
        <is>
          <t>player #1:C:/Users/manuel.felline/Documents/BEHAVIOR BTBR/NOR second cohort/WT/test/c59_f2.mp4</t>
        </is>
      </c>
      <c r="F4226" t="n">
        <v>-6.9</v>
      </c>
      <c r="G4226" t="n">
        <v>491.099</v>
      </c>
      <c r="H4226" t="n">
        <v>625.133</v>
      </c>
      <c r="I4226" t="n">
        <v>30</v>
      </c>
      <c r="J4226" t="inlineStr">
        <is>
          <t xml:space="preserve"> WT</t>
        </is>
      </c>
      <c r="K4226" t="inlineStr">
        <is>
          <t xml:space="preserve"> Female</t>
        </is>
      </c>
      <c r="L4226" t="inlineStr">
        <is>
          <t>No focal subject</t>
        </is>
      </c>
      <c r="M4226" t="n">
        <v>85.13</v>
      </c>
      <c r="N4226" t="inlineStr">
        <is>
          <t>Explore_N</t>
        </is>
      </c>
      <c r="O4226" t="inlineStr">
        <is>
          <t>Novelty</t>
        </is>
      </c>
      <c r="P4226" t="inlineStr">
        <is>
          <t>STATE</t>
        </is>
      </c>
      <c r="Q4226" t="n">
        <v>48.167</v>
      </c>
      <c r="R4226" t="n">
        <v>48.7</v>
      </c>
      <c r="S4226" t="n">
        <v>0.533</v>
      </c>
      <c r="T4226" t="inlineStr">
        <is>
          <t>C:/Users/manuel.felline/Documents/BEHAVIOR BTBR/NOR second cohort/WT/test/c59_f2.mp4</t>
        </is>
      </c>
      <c r="U4226" t="n">
        <v>1652</v>
      </c>
      <c r="V4226" t="n">
        <v>1668</v>
      </c>
      <c r="W4226" t="n">
        <v/>
      </c>
      <c r="X4226" t="n">
        <v/>
      </c>
      <c r="Y4226" t="n">
        <v/>
      </c>
      <c r="Z4226" t="n">
        <v/>
      </c>
      <c r="AA4226">
        <f>SUMIFS($S$2:S4226,$A$2:A4226,A4226,$N$2:N4226,"Explore*")</f>
        <v/>
      </c>
      <c r="AB4226">
        <f>IF(AND(LEFT(N4226,7)="Explore",(AA4226-IF(LEFT(N4226,7)="Explore",S4226,0))&lt;10),"SI","NO")</f>
        <v/>
      </c>
    </row>
    <row r="4227">
      <c r="A4227" t="inlineStr">
        <is>
          <t>c59f2_test</t>
        </is>
      </c>
      <c r="B4227" t="inlineStr">
        <is>
          <t>2026-07-03 15:32:21.272</t>
        </is>
      </c>
      <c r="C4227" t="n">
        <v/>
      </c>
      <c r="D4227" t="inlineStr">
        <is>
          <t>Media file</t>
        </is>
      </c>
      <c r="E4227" t="inlineStr">
        <is>
          <t>player #1:C:/Users/manuel.felline/Documents/BEHAVIOR BTBR/NOR second cohort/WT/test/c59_f2.mp4</t>
        </is>
      </c>
      <c r="F4227" t="n">
        <v>-6.9</v>
      </c>
      <c r="G4227" t="n">
        <v>491.099</v>
      </c>
      <c r="H4227" t="n">
        <v>625.133</v>
      </c>
      <c r="I4227" t="n">
        <v>30</v>
      </c>
      <c r="J4227" t="inlineStr">
        <is>
          <t xml:space="preserve"> WT</t>
        </is>
      </c>
      <c r="K4227" t="inlineStr">
        <is>
          <t xml:space="preserve"> Female</t>
        </is>
      </c>
      <c r="L4227" t="inlineStr">
        <is>
          <t>No focal subject</t>
        </is>
      </c>
      <c r="M4227" t="n">
        <v>85.13</v>
      </c>
      <c r="N4227" t="inlineStr">
        <is>
          <t>Explore_F</t>
        </is>
      </c>
      <c r="O4227" t="inlineStr">
        <is>
          <t>Familiar</t>
        </is>
      </c>
      <c r="P4227" t="inlineStr">
        <is>
          <t>STATE</t>
        </is>
      </c>
      <c r="Q4227" t="n">
        <v>50.667</v>
      </c>
      <c r="R4227" t="n">
        <v>51.533</v>
      </c>
      <c r="S4227" t="n">
        <v>0.866</v>
      </c>
      <c r="T4227" t="inlineStr">
        <is>
          <t>C:/Users/manuel.felline/Documents/BEHAVIOR BTBR/NOR second cohort/WT/test/c59_f2.mp4</t>
        </is>
      </c>
      <c r="U4227" t="n">
        <v>1727</v>
      </c>
      <c r="V4227" t="n">
        <v>1753</v>
      </c>
      <c r="W4227" t="n">
        <v/>
      </c>
      <c r="X4227" t="n">
        <v/>
      </c>
      <c r="Y4227" t="n">
        <v/>
      </c>
      <c r="Z4227" t="n">
        <v/>
      </c>
      <c r="AA4227">
        <f>SUMIFS($S$2:S4227,$A$2:A4227,A4227,$N$2:N4227,"Explore*")</f>
        <v/>
      </c>
      <c r="AB4227">
        <f>IF(AND(LEFT(N4227,7)="Explore",(AA4227-IF(LEFT(N4227,7)="Explore",S4227,0))&lt;10),"SI","NO")</f>
        <v/>
      </c>
    </row>
    <row r="4228">
      <c r="A4228" t="inlineStr">
        <is>
          <t>c59f2_test</t>
        </is>
      </c>
      <c r="B4228" t="inlineStr">
        <is>
          <t>2026-07-03 15:32:21.272</t>
        </is>
      </c>
      <c r="C4228" t="n">
        <v/>
      </c>
      <c r="D4228" t="inlineStr">
        <is>
          <t>Media file</t>
        </is>
      </c>
      <c r="E4228" t="inlineStr">
        <is>
          <t>player #1:C:/Users/manuel.felline/Documents/BEHAVIOR BTBR/NOR second cohort/WT/test/c59_f2.mp4</t>
        </is>
      </c>
      <c r="F4228" t="n">
        <v>-6.9</v>
      </c>
      <c r="G4228" t="n">
        <v>491.099</v>
      </c>
      <c r="H4228" t="n">
        <v>625.133</v>
      </c>
      <c r="I4228" t="n">
        <v>30</v>
      </c>
      <c r="J4228" t="inlineStr">
        <is>
          <t xml:space="preserve"> WT</t>
        </is>
      </c>
      <c r="K4228" t="inlineStr">
        <is>
          <t xml:space="preserve"> Female</t>
        </is>
      </c>
      <c r="L4228" t="inlineStr">
        <is>
          <t>No focal subject</t>
        </is>
      </c>
      <c r="M4228" t="n">
        <v>85.13</v>
      </c>
      <c r="N4228" t="inlineStr">
        <is>
          <t>Explore_N</t>
        </is>
      </c>
      <c r="O4228" t="inlineStr">
        <is>
          <t>Novelty</t>
        </is>
      </c>
      <c r="P4228" t="inlineStr">
        <is>
          <t>STATE</t>
        </is>
      </c>
      <c r="Q4228" t="n">
        <v>62.867</v>
      </c>
      <c r="R4228" t="n">
        <v>63.467</v>
      </c>
      <c r="S4228" t="n">
        <v>0.6</v>
      </c>
      <c r="T4228" t="inlineStr">
        <is>
          <t>C:/Users/manuel.felline/Documents/BEHAVIOR BTBR/NOR second cohort/WT/test/c59_f2.mp4</t>
        </is>
      </c>
      <c r="U4228" t="n">
        <v>2093</v>
      </c>
      <c r="V4228" t="n">
        <v>2111</v>
      </c>
      <c r="W4228" t="n">
        <v/>
      </c>
      <c r="X4228" t="n">
        <v/>
      </c>
      <c r="Y4228" t="n">
        <v/>
      </c>
      <c r="Z4228" t="n">
        <v/>
      </c>
      <c r="AA4228">
        <f>SUMIFS($S$2:S4228,$A$2:A4228,A4228,$N$2:N4228,"Explore*")</f>
        <v/>
      </c>
      <c r="AB4228">
        <f>IF(AND(LEFT(N4228,7)="Explore",(AA4228-IF(LEFT(N4228,7)="Explore",S4228,0))&lt;10),"SI","NO")</f>
        <v/>
      </c>
    </row>
    <row r="4229">
      <c r="A4229" t="inlineStr">
        <is>
          <t>c59f2_test</t>
        </is>
      </c>
      <c r="B4229" t="inlineStr">
        <is>
          <t>2026-07-03 15:32:21.272</t>
        </is>
      </c>
      <c r="C4229" t="n">
        <v/>
      </c>
      <c r="D4229" t="inlineStr">
        <is>
          <t>Media file</t>
        </is>
      </c>
      <c r="E4229" t="inlineStr">
        <is>
          <t>player #1:C:/Users/manuel.felline/Documents/BEHAVIOR BTBR/NOR second cohort/WT/test/c59_f2.mp4</t>
        </is>
      </c>
      <c r="F4229" t="n">
        <v>-6.9</v>
      </c>
      <c r="G4229" t="n">
        <v>491.099</v>
      </c>
      <c r="H4229" t="n">
        <v>625.133</v>
      </c>
      <c r="I4229" t="n">
        <v>30</v>
      </c>
      <c r="J4229" t="inlineStr">
        <is>
          <t xml:space="preserve"> WT</t>
        </is>
      </c>
      <c r="K4229" t="inlineStr">
        <is>
          <t xml:space="preserve"> Female</t>
        </is>
      </c>
      <c r="L4229" t="inlineStr">
        <is>
          <t>No focal subject</t>
        </is>
      </c>
      <c r="M4229" t="n">
        <v>85.13</v>
      </c>
      <c r="N4229" t="inlineStr">
        <is>
          <t>Explore_N</t>
        </is>
      </c>
      <c r="O4229" t="inlineStr">
        <is>
          <t>Novelty</t>
        </is>
      </c>
      <c r="P4229" t="inlineStr">
        <is>
          <t>STATE</t>
        </is>
      </c>
      <c r="Q4229" t="n">
        <v>64.7</v>
      </c>
      <c r="R4229" t="n">
        <v>65.467</v>
      </c>
      <c r="S4229" t="n">
        <v>0.767</v>
      </c>
      <c r="T4229" t="inlineStr">
        <is>
          <t>C:/Users/manuel.felline/Documents/BEHAVIOR BTBR/NOR second cohort/WT/test/c59_f2.mp4</t>
        </is>
      </c>
      <c r="U4229" t="n">
        <v>2148</v>
      </c>
      <c r="V4229" t="n">
        <v>2171</v>
      </c>
      <c r="W4229" t="n">
        <v/>
      </c>
      <c r="X4229" t="n">
        <v/>
      </c>
      <c r="Y4229" t="n">
        <v/>
      </c>
      <c r="Z4229" t="n">
        <v/>
      </c>
      <c r="AA4229">
        <f>SUMIFS($S$2:S4229,$A$2:A4229,A4229,$N$2:N4229,"Explore*")</f>
        <v/>
      </c>
      <c r="AB4229">
        <f>IF(AND(LEFT(N4229,7)="Explore",(AA4229-IF(LEFT(N4229,7)="Explore",S4229,0))&lt;10),"SI","NO")</f>
        <v/>
      </c>
    </row>
    <row r="4230">
      <c r="A4230" t="inlineStr">
        <is>
          <t>c59f2_test</t>
        </is>
      </c>
      <c r="B4230" t="inlineStr">
        <is>
          <t>2026-07-03 15:32:21.272</t>
        </is>
      </c>
      <c r="C4230" t="n">
        <v/>
      </c>
      <c r="D4230" t="inlineStr">
        <is>
          <t>Media file</t>
        </is>
      </c>
      <c r="E4230" t="inlineStr">
        <is>
          <t>player #1:C:/Users/manuel.felline/Documents/BEHAVIOR BTBR/NOR second cohort/WT/test/c59_f2.mp4</t>
        </is>
      </c>
      <c r="F4230" t="n">
        <v>-6.9</v>
      </c>
      <c r="G4230" t="n">
        <v>491.099</v>
      </c>
      <c r="H4230" t="n">
        <v>625.133</v>
      </c>
      <c r="I4230" t="n">
        <v>30</v>
      </c>
      <c r="J4230" t="inlineStr">
        <is>
          <t xml:space="preserve"> WT</t>
        </is>
      </c>
      <c r="K4230" t="inlineStr">
        <is>
          <t xml:space="preserve"> Female</t>
        </is>
      </c>
      <c r="L4230" t="inlineStr">
        <is>
          <t>No focal subject</t>
        </is>
      </c>
      <c r="M4230" t="n">
        <v>85.13</v>
      </c>
      <c r="N4230" t="inlineStr">
        <is>
          <t>Explore_N</t>
        </is>
      </c>
      <c r="O4230" t="inlineStr">
        <is>
          <t>Novelty</t>
        </is>
      </c>
      <c r="P4230" t="inlineStr">
        <is>
          <t>STATE</t>
        </is>
      </c>
      <c r="Q4230" t="n">
        <v>66.967</v>
      </c>
      <c r="R4230" t="n">
        <v>67.667</v>
      </c>
      <c r="S4230" t="n">
        <v>0.7</v>
      </c>
      <c r="T4230" t="inlineStr">
        <is>
          <t>C:/Users/manuel.felline/Documents/BEHAVIOR BTBR/NOR second cohort/WT/test/c59_f2.mp4</t>
        </is>
      </c>
      <c r="U4230" t="n">
        <v>2216</v>
      </c>
      <c r="V4230" t="n">
        <v>2237</v>
      </c>
      <c r="W4230" t="n">
        <v/>
      </c>
      <c r="X4230" t="n">
        <v/>
      </c>
      <c r="Y4230" t="n">
        <v/>
      </c>
      <c r="Z4230" t="n">
        <v/>
      </c>
      <c r="AA4230">
        <f>SUMIFS($S$2:S4230,$A$2:A4230,A4230,$N$2:N4230,"Explore*")</f>
        <v/>
      </c>
      <c r="AB4230">
        <f>IF(AND(LEFT(N4230,7)="Explore",(AA4230-IF(LEFT(N4230,7)="Explore",S4230,0))&lt;10),"SI","NO")</f>
        <v/>
      </c>
    </row>
    <row r="4231">
      <c r="A4231" t="inlineStr">
        <is>
          <t>c59f2_test</t>
        </is>
      </c>
      <c r="B4231" t="inlineStr">
        <is>
          <t>2026-07-03 15:32:21.272</t>
        </is>
      </c>
      <c r="C4231" t="n">
        <v/>
      </c>
      <c r="D4231" t="inlineStr">
        <is>
          <t>Media file</t>
        </is>
      </c>
      <c r="E4231" t="inlineStr">
        <is>
          <t>player #1:C:/Users/manuel.felline/Documents/BEHAVIOR BTBR/NOR second cohort/WT/test/c59_f2.mp4</t>
        </is>
      </c>
      <c r="F4231" t="n">
        <v>-6.9</v>
      </c>
      <c r="G4231" t="n">
        <v>491.099</v>
      </c>
      <c r="H4231" t="n">
        <v>625.133</v>
      </c>
      <c r="I4231" t="n">
        <v>30</v>
      </c>
      <c r="J4231" t="inlineStr">
        <is>
          <t xml:space="preserve"> WT</t>
        </is>
      </c>
      <c r="K4231" t="inlineStr">
        <is>
          <t xml:space="preserve"> Female</t>
        </is>
      </c>
      <c r="L4231" t="inlineStr">
        <is>
          <t>No focal subject</t>
        </is>
      </c>
      <c r="M4231" t="n">
        <v>85.13</v>
      </c>
      <c r="N4231" t="inlineStr">
        <is>
          <t>Explore_N</t>
        </is>
      </c>
      <c r="O4231" t="inlineStr">
        <is>
          <t>Novelty</t>
        </is>
      </c>
      <c r="P4231" t="inlineStr">
        <is>
          <t>STATE</t>
        </is>
      </c>
      <c r="Q4231" t="n">
        <v>68.367</v>
      </c>
      <c r="R4231" t="n">
        <v>68.93300000000001</v>
      </c>
      <c r="S4231" t="n">
        <v>0.5659999999999999</v>
      </c>
      <c r="T4231" t="inlineStr">
        <is>
          <t>C:/Users/manuel.felline/Documents/BEHAVIOR BTBR/NOR second cohort/WT/test/c59_f2.mp4</t>
        </is>
      </c>
      <c r="U4231" t="n">
        <v>2258</v>
      </c>
      <c r="V4231" t="n">
        <v>2275</v>
      </c>
      <c r="W4231" t="n">
        <v/>
      </c>
      <c r="X4231" t="n">
        <v/>
      </c>
      <c r="Y4231" t="n">
        <v/>
      </c>
      <c r="Z4231" t="n">
        <v/>
      </c>
      <c r="AA4231">
        <f>SUMIFS($S$2:S4231,$A$2:A4231,A4231,$N$2:N4231,"Explore*")</f>
        <v/>
      </c>
      <c r="AB4231">
        <f>IF(AND(LEFT(N4231,7)="Explore",(AA4231-IF(LEFT(N4231,7)="Explore",S4231,0))&lt;10),"SI","NO")</f>
        <v/>
      </c>
    </row>
    <row r="4232">
      <c r="A4232" t="inlineStr">
        <is>
          <t>c59f2_test</t>
        </is>
      </c>
      <c r="B4232" t="inlineStr">
        <is>
          <t>2026-07-03 15:32:21.272</t>
        </is>
      </c>
      <c r="C4232" t="n">
        <v/>
      </c>
      <c r="D4232" t="inlineStr">
        <is>
          <t>Media file</t>
        </is>
      </c>
      <c r="E4232" t="inlineStr">
        <is>
          <t>player #1:C:/Users/manuel.felline/Documents/BEHAVIOR BTBR/NOR second cohort/WT/test/c59_f2.mp4</t>
        </is>
      </c>
      <c r="F4232" t="n">
        <v>-6.9</v>
      </c>
      <c r="G4232" t="n">
        <v>491.099</v>
      </c>
      <c r="H4232" t="n">
        <v>625.133</v>
      </c>
      <c r="I4232" t="n">
        <v>30</v>
      </c>
      <c r="J4232" t="inlineStr">
        <is>
          <t xml:space="preserve"> WT</t>
        </is>
      </c>
      <c r="K4232" t="inlineStr">
        <is>
          <t xml:space="preserve"> Female</t>
        </is>
      </c>
      <c r="L4232" t="inlineStr">
        <is>
          <t>No focal subject</t>
        </is>
      </c>
      <c r="M4232" t="n">
        <v>85.13</v>
      </c>
      <c r="N4232" t="inlineStr">
        <is>
          <t>Explore_F</t>
        </is>
      </c>
      <c r="O4232" t="inlineStr">
        <is>
          <t>Familiar</t>
        </is>
      </c>
      <c r="P4232" t="inlineStr">
        <is>
          <t>STATE</t>
        </is>
      </c>
      <c r="Q4232" t="n">
        <v>75.43300000000001</v>
      </c>
      <c r="R4232" t="n">
        <v>76.733</v>
      </c>
      <c r="S4232" t="n">
        <v>1.3</v>
      </c>
      <c r="T4232" t="inlineStr">
        <is>
          <t>C:/Users/manuel.felline/Documents/BEHAVIOR BTBR/NOR second cohort/WT/test/c59_f2.mp4</t>
        </is>
      </c>
      <c r="U4232" t="n">
        <v>2470</v>
      </c>
      <c r="V4232" t="n">
        <v>2509</v>
      </c>
      <c r="W4232" t="n">
        <v/>
      </c>
      <c r="X4232" t="n">
        <v/>
      </c>
      <c r="Y4232" t="n">
        <v/>
      </c>
      <c r="Z4232" t="n">
        <v/>
      </c>
      <c r="AA4232">
        <f>SUMIFS($S$2:S4232,$A$2:A4232,A4232,$N$2:N4232,"Explore*")</f>
        <v/>
      </c>
      <c r="AB4232">
        <f>IF(AND(LEFT(N4232,7)="Explore",(AA4232-IF(LEFT(N4232,7)="Explore",S4232,0))&lt;10),"SI","NO")</f>
        <v/>
      </c>
    </row>
    <row r="4233">
      <c r="A4233" t="inlineStr">
        <is>
          <t>c59f2_test</t>
        </is>
      </c>
      <c r="B4233" t="inlineStr">
        <is>
          <t>2026-07-03 15:32:21.272</t>
        </is>
      </c>
      <c r="C4233" t="n">
        <v/>
      </c>
      <c r="D4233" t="inlineStr">
        <is>
          <t>Media file</t>
        </is>
      </c>
      <c r="E4233" t="inlineStr">
        <is>
          <t>player #1:C:/Users/manuel.felline/Documents/BEHAVIOR BTBR/NOR second cohort/WT/test/c59_f2.mp4</t>
        </is>
      </c>
      <c r="F4233" t="n">
        <v>-6.9</v>
      </c>
      <c r="G4233" t="n">
        <v>491.099</v>
      </c>
      <c r="H4233" t="n">
        <v>625.133</v>
      </c>
      <c r="I4233" t="n">
        <v>30</v>
      </c>
      <c r="J4233" t="inlineStr">
        <is>
          <t xml:space="preserve"> WT</t>
        </is>
      </c>
      <c r="K4233" t="inlineStr">
        <is>
          <t xml:space="preserve"> Female</t>
        </is>
      </c>
      <c r="L4233" t="inlineStr">
        <is>
          <t>No focal subject</t>
        </is>
      </c>
      <c r="M4233" t="n">
        <v>85.13</v>
      </c>
      <c r="N4233" t="inlineStr">
        <is>
          <t>Explore_F</t>
        </is>
      </c>
      <c r="O4233" t="inlineStr">
        <is>
          <t>Familiar</t>
        </is>
      </c>
      <c r="P4233" t="inlineStr">
        <is>
          <t>STATE</t>
        </is>
      </c>
      <c r="Q4233" t="n">
        <v>82.267</v>
      </c>
      <c r="R4233" t="n">
        <v>84</v>
      </c>
      <c r="S4233" t="n">
        <v>1.733</v>
      </c>
      <c r="T4233" t="inlineStr">
        <is>
          <t>C:/Users/manuel.felline/Documents/BEHAVIOR BTBR/NOR second cohort/WT/test/c59_f2.mp4</t>
        </is>
      </c>
      <c r="U4233" t="n">
        <v>2676</v>
      </c>
      <c r="V4233" t="n">
        <v>2727</v>
      </c>
      <c r="W4233" t="n">
        <v/>
      </c>
      <c r="X4233" t="n">
        <v/>
      </c>
      <c r="Y4233" t="n">
        <v/>
      </c>
      <c r="Z4233" t="n">
        <v/>
      </c>
      <c r="AA4233">
        <f>SUMIFS($S$2:S4233,$A$2:A4233,A4233,$N$2:N4233,"Explore*")</f>
        <v/>
      </c>
      <c r="AB4233">
        <f>IF(AND(LEFT(N4233,7)="Explore",(AA4233-IF(LEFT(N4233,7)="Explore",S4233,0))&lt;10),"SI","NO")</f>
        <v/>
      </c>
    </row>
    <row r="4234">
      <c r="A4234" t="inlineStr">
        <is>
          <t>c59f2_test</t>
        </is>
      </c>
      <c r="B4234" t="inlineStr">
        <is>
          <t>2026-07-03 15:32:21.272</t>
        </is>
      </c>
      <c r="C4234" t="n">
        <v/>
      </c>
      <c r="D4234" t="inlineStr">
        <is>
          <t>Media file</t>
        </is>
      </c>
      <c r="E4234" t="inlineStr">
        <is>
          <t>player #1:C:/Users/manuel.felline/Documents/BEHAVIOR BTBR/NOR second cohort/WT/test/c59_f2.mp4</t>
        </is>
      </c>
      <c r="F4234" t="n">
        <v>-6.9</v>
      </c>
      <c r="G4234" t="n">
        <v>491.099</v>
      </c>
      <c r="H4234" t="n">
        <v>625.133</v>
      </c>
      <c r="I4234" t="n">
        <v>30</v>
      </c>
      <c r="J4234" t="inlineStr">
        <is>
          <t xml:space="preserve"> WT</t>
        </is>
      </c>
      <c r="K4234" t="inlineStr">
        <is>
          <t xml:space="preserve"> Female</t>
        </is>
      </c>
      <c r="L4234" t="inlineStr">
        <is>
          <t>No focal subject</t>
        </is>
      </c>
      <c r="M4234" t="n">
        <v>85.13</v>
      </c>
      <c r="N4234" t="inlineStr">
        <is>
          <t>Explore_N</t>
        </is>
      </c>
      <c r="O4234" t="inlineStr">
        <is>
          <t>Novelty</t>
        </is>
      </c>
      <c r="P4234" t="inlineStr">
        <is>
          <t>STATE</t>
        </is>
      </c>
      <c r="Q4234" t="n">
        <v>91.90000000000001</v>
      </c>
      <c r="R4234" t="n">
        <v>92.7</v>
      </c>
      <c r="S4234" t="n">
        <v>0.8</v>
      </c>
      <c r="T4234" t="inlineStr">
        <is>
          <t>C:/Users/manuel.felline/Documents/BEHAVIOR BTBR/NOR second cohort/WT/test/c59_f2.mp4</t>
        </is>
      </c>
      <c r="U4234" t="n">
        <v>2964</v>
      </c>
      <c r="V4234" t="n">
        <v>2988</v>
      </c>
      <c r="W4234" t="n">
        <v/>
      </c>
      <c r="X4234" t="n">
        <v/>
      </c>
      <c r="Y4234" t="n">
        <v/>
      </c>
      <c r="Z4234" t="n">
        <v/>
      </c>
      <c r="AA4234">
        <f>SUMIFS($S$2:S4234,$A$2:A4234,A4234,$N$2:N4234,"Explore*")</f>
        <v/>
      </c>
      <c r="AB4234">
        <f>IF(AND(LEFT(N4234,7)="Explore",(AA4234-IF(LEFT(N4234,7)="Explore",S4234,0))&lt;10),"SI","NO")</f>
        <v/>
      </c>
    </row>
    <row r="4235">
      <c r="A4235" t="inlineStr">
        <is>
          <t>c59f2_test</t>
        </is>
      </c>
      <c r="B4235" t="inlineStr">
        <is>
          <t>2026-07-03 15:32:21.272</t>
        </is>
      </c>
      <c r="C4235" t="n">
        <v/>
      </c>
      <c r="D4235" t="inlineStr">
        <is>
          <t>Media file</t>
        </is>
      </c>
      <c r="E4235" t="inlineStr">
        <is>
          <t>player #1:C:/Users/manuel.felline/Documents/BEHAVIOR BTBR/NOR second cohort/WT/test/c59_f2.mp4</t>
        </is>
      </c>
      <c r="F4235" t="n">
        <v>-6.9</v>
      </c>
      <c r="G4235" t="n">
        <v>491.099</v>
      </c>
      <c r="H4235" t="n">
        <v>625.133</v>
      </c>
      <c r="I4235" t="n">
        <v>30</v>
      </c>
      <c r="J4235" t="inlineStr">
        <is>
          <t xml:space="preserve"> WT</t>
        </is>
      </c>
      <c r="K4235" t="inlineStr">
        <is>
          <t xml:space="preserve"> Female</t>
        </is>
      </c>
      <c r="L4235" t="inlineStr">
        <is>
          <t>No focal subject</t>
        </is>
      </c>
      <c r="M4235" t="n">
        <v>85.13</v>
      </c>
      <c r="N4235" t="inlineStr">
        <is>
          <t>Explore_N</t>
        </is>
      </c>
      <c r="O4235" t="inlineStr">
        <is>
          <t>Novelty</t>
        </is>
      </c>
      <c r="P4235" t="inlineStr">
        <is>
          <t>STATE</t>
        </is>
      </c>
      <c r="Q4235" t="n">
        <v>100.667</v>
      </c>
      <c r="R4235" t="n">
        <v>101.767</v>
      </c>
      <c r="S4235" t="n">
        <v>1.1</v>
      </c>
      <c r="T4235" t="inlineStr">
        <is>
          <t>C:/Users/manuel.felline/Documents/BEHAVIOR BTBR/NOR second cohort/WT/test/c59_f2.mp4</t>
        </is>
      </c>
      <c r="U4235" t="n">
        <v>3227</v>
      </c>
      <c r="V4235" t="n">
        <v>3260</v>
      </c>
      <c r="W4235" t="n">
        <v/>
      </c>
      <c r="X4235" t="n">
        <v/>
      </c>
      <c r="Y4235" t="n">
        <v/>
      </c>
      <c r="Z4235" t="n">
        <v/>
      </c>
      <c r="AA4235">
        <f>SUMIFS($S$2:S4235,$A$2:A4235,A4235,$N$2:N4235,"Explore*")</f>
        <v/>
      </c>
      <c r="AB4235">
        <f>IF(AND(LEFT(N4235,7)="Explore",(AA4235-IF(LEFT(N4235,7)="Explore",S4235,0))&lt;10),"SI","NO")</f>
        <v/>
      </c>
    </row>
    <row r="4236">
      <c r="A4236" t="inlineStr">
        <is>
          <t>c59f2_test</t>
        </is>
      </c>
      <c r="B4236" t="inlineStr">
        <is>
          <t>2026-07-03 15:32:21.272</t>
        </is>
      </c>
      <c r="C4236" t="n">
        <v/>
      </c>
      <c r="D4236" t="inlineStr">
        <is>
          <t>Media file</t>
        </is>
      </c>
      <c r="E4236" t="inlineStr">
        <is>
          <t>player #1:C:/Users/manuel.felline/Documents/BEHAVIOR BTBR/NOR second cohort/WT/test/c59_f2.mp4</t>
        </is>
      </c>
      <c r="F4236" t="n">
        <v>-6.9</v>
      </c>
      <c r="G4236" t="n">
        <v>491.099</v>
      </c>
      <c r="H4236" t="n">
        <v>625.133</v>
      </c>
      <c r="I4236" t="n">
        <v>30</v>
      </c>
      <c r="J4236" t="inlineStr">
        <is>
          <t xml:space="preserve"> WT</t>
        </is>
      </c>
      <c r="K4236" t="inlineStr">
        <is>
          <t xml:space="preserve"> Female</t>
        </is>
      </c>
      <c r="L4236" t="inlineStr">
        <is>
          <t>No focal subject</t>
        </is>
      </c>
      <c r="M4236" t="n">
        <v>85.13</v>
      </c>
      <c r="N4236" t="inlineStr">
        <is>
          <t>Explore_F</t>
        </is>
      </c>
      <c r="O4236" t="inlineStr">
        <is>
          <t>Familiar</t>
        </is>
      </c>
      <c r="P4236" t="inlineStr">
        <is>
          <t>STATE</t>
        </is>
      </c>
      <c r="Q4236" t="n">
        <v>108.467</v>
      </c>
      <c r="R4236" t="n">
        <v>109.567</v>
      </c>
      <c r="S4236" t="n">
        <v>1.1</v>
      </c>
      <c r="T4236" t="inlineStr">
        <is>
          <t>C:/Users/manuel.felline/Documents/BEHAVIOR BTBR/NOR second cohort/WT/test/c59_f2.mp4</t>
        </is>
      </c>
      <c r="U4236" t="n">
        <v>3460</v>
      </c>
      <c r="V4236" t="n">
        <v>3493</v>
      </c>
      <c r="W4236" t="n">
        <v/>
      </c>
      <c r="X4236" t="n">
        <v/>
      </c>
      <c r="Y4236" t="n">
        <v/>
      </c>
      <c r="Z4236" t="n">
        <v/>
      </c>
      <c r="AA4236">
        <f>SUMIFS($S$2:S4236,$A$2:A4236,A4236,$N$2:N4236,"Explore*")</f>
        <v/>
      </c>
      <c r="AB4236">
        <f>IF(AND(LEFT(N4236,7)="Explore",(AA4236-IF(LEFT(N4236,7)="Explore",S4236,0))&lt;10),"SI","NO")</f>
        <v/>
      </c>
    </row>
    <row r="4237">
      <c r="A4237" t="inlineStr">
        <is>
          <t>c59f2_test</t>
        </is>
      </c>
      <c r="B4237" t="inlineStr">
        <is>
          <t>2026-07-03 15:32:21.272</t>
        </is>
      </c>
      <c r="C4237" t="n">
        <v/>
      </c>
      <c r="D4237" t="inlineStr">
        <is>
          <t>Media file</t>
        </is>
      </c>
      <c r="E4237" t="inlineStr">
        <is>
          <t>player #1:C:/Users/manuel.felline/Documents/BEHAVIOR BTBR/NOR second cohort/WT/test/c59_f2.mp4</t>
        </is>
      </c>
      <c r="F4237" t="n">
        <v>-6.9</v>
      </c>
      <c r="G4237" t="n">
        <v>491.099</v>
      </c>
      <c r="H4237" t="n">
        <v>625.133</v>
      </c>
      <c r="I4237" t="n">
        <v>30</v>
      </c>
      <c r="J4237" t="inlineStr">
        <is>
          <t xml:space="preserve"> WT</t>
        </is>
      </c>
      <c r="K4237" t="inlineStr">
        <is>
          <t xml:space="preserve"> Female</t>
        </is>
      </c>
      <c r="L4237" t="inlineStr">
        <is>
          <t>No focal subject</t>
        </is>
      </c>
      <c r="M4237" t="n">
        <v>85.13</v>
      </c>
      <c r="N4237" t="inlineStr">
        <is>
          <t>Explore_N</t>
        </is>
      </c>
      <c r="O4237" t="inlineStr">
        <is>
          <t>Novelty</t>
        </is>
      </c>
      <c r="P4237" t="inlineStr">
        <is>
          <t>STATE</t>
        </is>
      </c>
      <c r="Q4237" t="n">
        <v>113.367</v>
      </c>
      <c r="R4237" t="n">
        <v>113.833</v>
      </c>
      <c r="S4237" t="n">
        <v>0.466</v>
      </c>
      <c r="T4237" t="inlineStr">
        <is>
          <t>C:/Users/manuel.felline/Documents/BEHAVIOR BTBR/NOR second cohort/WT/test/c59_f2.mp4</t>
        </is>
      </c>
      <c r="U4237" t="n">
        <v>3607</v>
      </c>
      <c r="V4237" t="n">
        <v>3621</v>
      </c>
      <c r="W4237" t="n">
        <v/>
      </c>
      <c r="X4237" t="n">
        <v/>
      </c>
      <c r="Y4237" t="n">
        <v/>
      </c>
      <c r="Z4237" t="n">
        <v/>
      </c>
      <c r="AA4237">
        <f>SUMIFS($S$2:S4237,$A$2:A4237,A4237,$N$2:N4237,"Explore*")</f>
        <v/>
      </c>
      <c r="AB4237">
        <f>IF(AND(LEFT(N4237,7)="Explore",(AA4237-IF(LEFT(N4237,7)="Explore",S4237,0))&lt;10),"SI","NO")</f>
        <v/>
      </c>
    </row>
    <row r="4238">
      <c r="A4238" t="inlineStr">
        <is>
          <t>c59f2_test</t>
        </is>
      </c>
      <c r="B4238" t="inlineStr">
        <is>
          <t>2026-07-03 15:32:21.272</t>
        </is>
      </c>
      <c r="C4238" t="n">
        <v/>
      </c>
      <c r="D4238" t="inlineStr">
        <is>
          <t>Media file</t>
        </is>
      </c>
      <c r="E4238" t="inlineStr">
        <is>
          <t>player #1:C:/Users/manuel.felline/Documents/BEHAVIOR BTBR/NOR second cohort/WT/test/c59_f2.mp4</t>
        </is>
      </c>
      <c r="F4238" t="n">
        <v>-6.9</v>
      </c>
      <c r="G4238" t="n">
        <v>491.099</v>
      </c>
      <c r="H4238" t="n">
        <v>625.133</v>
      </c>
      <c r="I4238" t="n">
        <v>30</v>
      </c>
      <c r="J4238" t="inlineStr">
        <is>
          <t xml:space="preserve"> WT</t>
        </is>
      </c>
      <c r="K4238" t="inlineStr">
        <is>
          <t xml:space="preserve"> Female</t>
        </is>
      </c>
      <c r="L4238" t="inlineStr">
        <is>
          <t>No focal subject</t>
        </is>
      </c>
      <c r="M4238" t="n">
        <v>85.13</v>
      </c>
      <c r="N4238" t="inlineStr">
        <is>
          <t>Explore_N</t>
        </is>
      </c>
      <c r="O4238" t="inlineStr">
        <is>
          <t>Novelty</t>
        </is>
      </c>
      <c r="P4238" t="inlineStr">
        <is>
          <t>STATE</t>
        </is>
      </c>
      <c r="Q4238" t="n">
        <v>114.6</v>
      </c>
      <c r="R4238" t="n">
        <v>114.933</v>
      </c>
      <c r="S4238" t="n">
        <v>0.333</v>
      </c>
      <c r="T4238" t="inlineStr">
        <is>
          <t>C:/Users/manuel.felline/Documents/BEHAVIOR BTBR/NOR second cohort/WT/test/c59_f2.mp4</t>
        </is>
      </c>
      <c r="U4238" t="n">
        <v>3644</v>
      </c>
      <c r="V4238" t="n">
        <v>3654</v>
      </c>
      <c r="W4238" t="n">
        <v/>
      </c>
      <c r="X4238" t="n">
        <v/>
      </c>
      <c r="Y4238" t="n">
        <v/>
      </c>
      <c r="Z4238" t="n">
        <v/>
      </c>
      <c r="AA4238">
        <f>SUMIFS($S$2:S4238,$A$2:A4238,A4238,$N$2:N4238,"Explore*")</f>
        <v/>
      </c>
      <c r="AB4238">
        <f>IF(AND(LEFT(N4238,7)="Explore",(AA4238-IF(LEFT(N4238,7)="Explore",S4238,0))&lt;10),"SI","NO")</f>
        <v/>
      </c>
    </row>
    <row r="4239">
      <c r="A4239" t="inlineStr">
        <is>
          <t>c59f2_test</t>
        </is>
      </c>
      <c r="B4239" t="inlineStr">
        <is>
          <t>2026-07-03 15:32:21.272</t>
        </is>
      </c>
      <c r="C4239" t="n">
        <v/>
      </c>
      <c r="D4239" t="inlineStr">
        <is>
          <t>Media file</t>
        </is>
      </c>
      <c r="E4239" t="inlineStr">
        <is>
          <t>player #1:C:/Users/manuel.felline/Documents/BEHAVIOR BTBR/NOR second cohort/WT/test/c59_f2.mp4</t>
        </is>
      </c>
      <c r="F4239" t="n">
        <v>-6.9</v>
      </c>
      <c r="G4239" t="n">
        <v>491.099</v>
      </c>
      <c r="H4239" t="n">
        <v>625.133</v>
      </c>
      <c r="I4239" t="n">
        <v>30</v>
      </c>
      <c r="J4239" t="inlineStr">
        <is>
          <t xml:space="preserve"> WT</t>
        </is>
      </c>
      <c r="K4239" t="inlineStr">
        <is>
          <t xml:space="preserve"> Female</t>
        </is>
      </c>
      <c r="L4239" t="inlineStr">
        <is>
          <t>No focal subject</t>
        </is>
      </c>
      <c r="M4239" t="n">
        <v>85.13</v>
      </c>
      <c r="N4239" t="inlineStr">
        <is>
          <t>Explore_F</t>
        </is>
      </c>
      <c r="O4239" t="inlineStr">
        <is>
          <t>Familiar</t>
        </is>
      </c>
      <c r="P4239" t="inlineStr">
        <is>
          <t>STATE</t>
        </is>
      </c>
      <c r="Q4239" t="n">
        <v>117.767</v>
      </c>
      <c r="R4239" t="n">
        <v>118.367</v>
      </c>
      <c r="S4239" t="n">
        <v>0.6</v>
      </c>
      <c r="T4239" t="inlineStr">
        <is>
          <t>C:/Users/manuel.felline/Documents/BEHAVIOR BTBR/NOR second cohort/WT/test/c59_f2.mp4</t>
        </is>
      </c>
      <c r="U4239" t="n">
        <v>3739</v>
      </c>
      <c r="V4239" t="n">
        <v>3757</v>
      </c>
      <c r="W4239" t="n">
        <v/>
      </c>
      <c r="X4239" t="n">
        <v/>
      </c>
      <c r="Y4239" t="n">
        <v/>
      </c>
      <c r="Z4239" t="n">
        <v/>
      </c>
      <c r="AA4239">
        <f>SUMIFS($S$2:S4239,$A$2:A4239,A4239,$N$2:N4239,"Explore*")</f>
        <v/>
      </c>
      <c r="AB4239">
        <f>IF(AND(LEFT(N4239,7)="Explore",(AA4239-IF(LEFT(N4239,7)="Explore",S4239,0))&lt;10),"SI","NO")</f>
        <v/>
      </c>
    </row>
    <row r="4240">
      <c r="A4240" t="inlineStr">
        <is>
          <t>c59f2_test</t>
        </is>
      </c>
      <c r="B4240" t="inlineStr">
        <is>
          <t>2026-07-03 15:32:21.272</t>
        </is>
      </c>
      <c r="C4240" t="n">
        <v/>
      </c>
      <c r="D4240" t="inlineStr">
        <is>
          <t>Media file</t>
        </is>
      </c>
      <c r="E4240" t="inlineStr">
        <is>
          <t>player #1:C:/Users/manuel.felline/Documents/BEHAVIOR BTBR/NOR second cohort/WT/test/c59_f2.mp4</t>
        </is>
      </c>
      <c r="F4240" t="n">
        <v>-6.9</v>
      </c>
      <c r="G4240" t="n">
        <v>491.099</v>
      </c>
      <c r="H4240" t="n">
        <v>625.133</v>
      </c>
      <c r="I4240" t="n">
        <v>30</v>
      </c>
      <c r="J4240" t="inlineStr">
        <is>
          <t xml:space="preserve"> WT</t>
        </is>
      </c>
      <c r="K4240" t="inlineStr">
        <is>
          <t xml:space="preserve"> Female</t>
        </is>
      </c>
      <c r="L4240" t="inlineStr">
        <is>
          <t>No focal subject</t>
        </is>
      </c>
      <c r="M4240" t="n">
        <v>85.13</v>
      </c>
      <c r="N4240" t="inlineStr">
        <is>
          <t>Explore_N</t>
        </is>
      </c>
      <c r="O4240" t="inlineStr">
        <is>
          <t>Novelty</t>
        </is>
      </c>
      <c r="P4240" t="inlineStr">
        <is>
          <t>STATE</t>
        </is>
      </c>
      <c r="Q4240" t="n">
        <v>122.467</v>
      </c>
      <c r="R4240" t="n">
        <v>123.133</v>
      </c>
      <c r="S4240" t="n">
        <v>0.666</v>
      </c>
      <c r="T4240" t="inlineStr">
        <is>
          <t>C:/Users/manuel.felline/Documents/BEHAVIOR BTBR/NOR second cohort/WT/test/c59_f2.mp4</t>
        </is>
      </c>
      <c r="U4240" t="n">
        <v>3880</v>
      </c>
      <c r="V4240" t="n">
        <v>3900</v>
      </c>
      <c r="W4240" t="n">
        <v/>
      </c>
      <c r="X4240" t="n">
        <v/>
      </c>
      <c r="Y4240" t="n">
        <v/>
      </c>
      <c r="Z4240" t="n">
        <v/>
      </c>
      <c r="AA4240">
        <f>SUMIFS($S$2:S4240,$A$2:A4240,A4240,$N$2:N4240,"Explore*")</f>
        <v/>
      </c>
      <c r="AB4240">
        <f>IF(AND(LEFT(N4240,7)="Explore",(AA4240-IF(LEFT(N4240,7)="Explore",S4240,0))&lt;10),"SI","NO")</f>
        <v/>
      </c>
    </row>
    <row r="4241">
      <c r="A4241" t="inlineStr">
        <is>
          <t>c59f2_test</t>
        </is>
      </c>
      <c r="B4241" t="inlineStr">
        <is>
          <t>2026-07-03 15:32:21.272</t>
        </is>
      </c>
      <c r="C4241" t="n">
        <v/>
      </c>
      <c r="D4241" t="inlineStr">
        <is>
          <t>Media file</t>
        </is>
      </c>
      <c r="E4241" t="inlineStr">
        <is>
          <t>player #1:C:/Users/manuel.felline/Documents/BEHAVIOR BTBR/NOR second cohort/WT/test/c59_f2.mp4</t>
        </is>
      </c>
      <c r="F4241" t="n">
        <v>-6.9</v>
      </c>
      <c r="G4241" t="n">
        <v>491.099</v>
      </c>
      <c r="H4241" t="n">
        <v>625.133</v>
      </c>
      <c r="I4241" t="n">
        <v>30</v>
      </c>
      <c r="J4241" t="inlineStr">
        <is>
          <t xml:space="preserve"> WT</t>
        </is>
      </c>
      <c r="K4241" t="inlineStr">
        <is>
          <t xml:space="preserve"> Female</t>
        </is>
      </c>
      <c r="L4241" t="inlineStr">
        <is>
          <t>No focal subject</t>
        </is>
      </c>
      <c r="M4241" t="n">
        <v>85.13</v>
      </c>
      <c r="N4241" t="inlineStr">
        <is>
          <t>Explore_N</t>
        </is>
      </c>
      <c r="O4241" t="inlineStr">
        <is>
          <t>Novelty</t>
        </is>
      </c>
      <c r="P4241" t="inlineStr">
        <is>
          <t>STATE</t>
        </is>
      </c>
      <c r="Q4241" t="n">
        <v>151.133</v>
      </c>
      <c r="R4241" t="n">
        <v>153.967</v>
      </c>
      <c r="S4241" t="n">
        <v>2.834</v>
      </c>
      <c r="T4241" t="inlineStr">
        <is>
          <t>C:/Users/manuel.felline/Documents/BEHAVIOR BTBR/NOR second cohort/WT/test/c59_f2.mp4</t>
        </is>
      </c>
      <c r="U4241" t="n">
        <v>4740</v>
      </c>
      <c r="V4241" t="n">
        <v>4825</v>
      </c>
      <c r="W4241" t="n">
        <v/>
      </c>
      <c r="X4241" t="n">
        <v/>
      </c>
      <c r="Y4241" t="n">
        <v/>
      </c>
      <c r="Z4241" t="n">
        <v/>
      </c>
      <c r="AA4241">
        <f>SUMIFS($S$2:S4241,$A$2:A4241,A4241,$N$2:N4241,"Explore*")</f>
        <v/>
      </c>
      <c r="AB4241">
        <f>IF(AND(LEFT(N4241,7)="Explore",(AA4241-IF(LEFT(N4241,7)="Explore",S4241,0))&lt;10),"SI","NO")</f>
        <v/>
      </c>
    </row>
    <row r="4242">
      <c r="A4242" t="inlineStr">
        <is>
          <t>c59f2_test</t>
        </is>
      </c>
      <c r="B4242" t="inlineStr">
        <is>
          <t>2026-07-03 15:32:21.272</t>
        </is>
      </c>
      <c r="C4242" t="n">
        <v/>
      </c>
      <c r="D4242" t="inlineStr">
        <is>
          <t>Media file</t>
        </is>
      </c>
      <c r="E4242" t="inlineStr">
        <is>
          <t>player #1:C:/Users/manuel.felline/Documents/BEHAVIOR BTBR/NOR second cohort/WT/test/c59_f2.mp4</t>
        </is>
      </c>
      <c r="F4242" t="n">
        <v>-6.9</v>
      </c>
      <c r="G4242" t="n">
        <v>491.099</v>
      </c>
      <c r="H4242" t="n">
        <v>625.133</v>
      </c>
      <c r="I4242" t="n">
        <v>30</v>
      </c>
      <c r="J4242" t="inlineStr">
        <is>
          <t xml:space="preserve"> WT</t>
        </is>
      </c>
      <c r="K4242" t="inlineStr">
        <is>
          <t xml:space="preserve"> Female</t>
        </is>
      </c>
      <c r="L4242" t="inlineStr">
        <is>
          <t>No focal subject</t>
        </is>
      </c>
      <c r="M4242" t="n">
        <v>85.13</v>
      </c>
      <c r="N4242" t="inlineStr">
        <is>
          <t>Explore_N</t>
        </is>
      </c>
      <c r="O4242" t="inlineStr">
        <is>
          <t>Novelty</t>
        </is>
      </c>
      <c r="P4242" t="inlineStr">
        <is>
          <t>STATE</t>
        </is>
      </c>
      <c r="Q4242" t="n">
        <v>154.833</v>
      </c>
      <c r="R4242" t="n">
        <v>155.633</v>
      </c>
      <c r="S4242" t="n">
        <v>0.8</v>
      </c>
      <c r="T4242" t="inlineStr">
        <is>
          <t>C:/Users/manuel.felline/Documents/BEHAVIOR BTBR/NOR second cohort/WT/test/c59_f2.mp4</t>
        </is>
      </c>
      <c r="U4242" t="n">
        <v>4851</v>
      </c>
      <c r="V4242" t="n">
        <v>4875</v>
      </c>
      <c r="W4242" t="n">
        <v/>
      </c>
      <c r="X4242" t="n">
        <v/>
      </c>
      <c r="Y4242" t="n">
        <v/>
      </c>
      <c r="Z4242" t="n">
        <v/>
      </c>
      <c r="AA4242">
        <f>SUMIFS($S$2:S4242,$A$2:A4242,A4242,$N$2:N4242,"Explore*")</f>
        <v/>
      </c>
      <c r="AB4242">
        <f>IF(AND(LEFT(N4242,7)="Explore",(AA4242-IF(LEFT(N4242,7)="Explore",S4242,0))&lt;10),"SI","NO")</f>
        <v/>
      </c>
    </row>
    <row r="4243">
      <c r="A4243" t="inlineStr">
        <is>
          <t>c59f2_test</t>
        </is>
      </c>
      <c r="B4243" t="inlineStr">
        <is>
          <t>2026-07-03 15:32:21.272</t>
        </is>
      </c>
      <c r="C4243" t="n">
        <v/>
      </c>
      <c r="D4243" t="inlineStr">
        <is>
          <t>Media file</t>
        </is>
      </c>
      <c r="E4243" t="inlineStr">
        <is>
          <t>player #1:C:/Users/manuel.felline/Documents/BEHAVIOR BTBR/NOR second cohort/WT/test/c59_f2.mp4</t>
        </is>
      </c>
      <c r="F4243" t="n">
        <v>-6.9</v>
      </c>
      <c r="G4243" t="n">
        <v>491.099</v>
      </c>
      <c r="H4243" t="n">
        <v>625.133</v>
      </c>
      <c r="I4243" t="n">
        <v>30</v>
      </c>
      <c r="J4243" t="inlineStr">
        <is>
          <t xml:space="preserve"> WT</t>
        </is>
      </c>
      <c r="K4243" t="inlineStr">
        <is>
          <t xml:space="preserve"> Female</t>
        </is>
      </c>
      <c r="L4243" t="inlineStr">
        <is>
          <t>No focal subject</t>
        </is>
      </c>
      <c r="M4243" t="n">
        <v>85.13</v>
      </c>
      <c r="N4243" t="inlineStr">
        <is>
          <t>Explore_N</t>
        </is>
      </c>
      <c r="O4243" t="inlineStr">
        <is>
          <t>Novelty</t>
        </is>
      </c>
      <c r="P4243" t="inlineStr">
        <is>
          <t>STATE</t>
        </is>
      </c>
      <c r="Q4243" t="n">
        <v>157.1</v>
      </c>
      <c r="R4243" t="n">
        <v>158.6</v>
      </c>
      <c r="S4243" t="n">
        <v>1.5</v>
      </c>
      <c r="T4243" t="inlineStr">
        <is>
          <t>C:/Users/manuel.felline/Documents/BEHAVIOR BTBR/NOR second cohort/WT/test/c59_f2.mp4</t>
        </is>
      </c>
      <c r="U4243" t="n">
        <v>4919</v>
      </c>
      <c r="V4243" t="n">
        <v>4964</v>
      </c>
      <c r="W4243" t="n">
        <v/>
      </c>
      <c r="X4243" t="n">
        <v/>
      </c>
      <c r="Y4243" t="n">
        <v/>
      </c>
      <c r="Z4243" t="n">
        <v/>
      </c>
      <c r="AA4243">
        <f>SUMIFS($S$2:S4243,$A$2:A4243,A4243,$N$2:N4243,"Explore*")</f>
        <v/>
      </c>
      <c r="AB4243">
        <f>IF(AND(LEFT(N4243,7)="Explore",(AA4243-IF(LEFT(N4243,7)="Explore",S4243,0))&lt;10),"SI","NO")</f>
        <v/>
      </c>
    </row>
    <row r="4244">
      <c r="A4244" t="inlineStr">
        <is>
          <t>c59f2_test</t>
        </is>
      </c>
      <c r="B4244" t="inlineStr">
        <is>
          <t>2026-07-03 15:32:21.272</t>
        </is>
      </c>
      <c r="C4244" t="n">
        <v/>
      </c>
      <c r="D4244" t="inlineStr">
        <is>
          <t>Media file</t>
        </is>
      </c>
      <c r="E4244" t="inlineStr">
        <is>
          <t>player #1:C:/Users/manuel.felline/Documents/BEHAVIOR BTBR/NOR second cohort/WT/test/c59_f2.mp4</t>
        </is>
      </c>
      <c r="F4244" t="n">
        <v>-6.9</v>
      </c>
      <c r="G4244" t="n">
        <v>491.099</v>
      </c>
      <c r="H4244" t="n">
        <v>625.133</v>
      </c>
      <c r="I4244" t="n">
        <v>30</v>
      </c>
      <c r="J4244" t="inlineStr">
        <is>
          <t xml:space="preserve"> WT</t>
        </is>
      </c>
      <c r="K4244" t="inlineStr">
        <is>
          <t xml:space="preserve"> Female</t>
        </is>
      </c>
      <c r="L4244" t="inlineStr">
        <is>
          <t>No focal subject</t>
        </is>
      </c>
      <c r="M4244" t="n">
        <v>85.13</v>
      </c>
      <c r="N4244" t="inlineStr">
        <is>
          <t>Explore_N</t>
        </is>
      </c>
      <c r="O4244" t="inlineStr">
        <is>
          <t>Novelty</t>
        </is>
      </c>
      <c r="P4244" t="inlineStr">
        <is>
          <t>STATE</t>
        </is>
      </c>
      <c r="Q4244" t="n">
        <v>160.533</v>
      </c>
      <c r="R4244" t="n">
        <v>161.366</v>
      </c>
      <c r="S4244" t="n">
        <v>0.833</v>
      </c>
      <c r="T4244" t="inlineStr">
        <is>
          <t>C:/Users/manuel.felline/Documents/BEHAVIOR BTBR/NOR second cohort/WT/test/c59_f2.mp4</t>
        </is>
      </c>
      <c r="U4244" t="n">
        <v>5022</v>
      </c>
      <c r="V4244" t="n">
        <v>5047</v>
      </c>
      <c r="W4244" t="n">
        <v/>
      </c>
      <c r="X4244" t="n">
        <v/>
      </c>
      <c r="Y4244" t="n">
        <v/>
      </c>
      <c r="Z4244" t="n">
        <v/>
      </c>
      <c r="AA4244">
        <f>SUMIFS($S$2:S4244,$A$2:A4244,A4244,$N$2:N4244,"Explore*")</f>
        <v/>
      </c>
      <c r="AB4244">
        <f>IF(AND(LEFT(N4244,7)="Explore",(AA4244-IF(LEFT(N4244,7)="Explore",S4244,0))&lt;10),"SI","NO")</f>
        <v/>
      </c>
    </row>
    <row r="4245">
      <c r="A4245" t="inlineStr">
        <is>
          <t>c59f2_test</t>
        </is>
      </c>
      <c r="B4245" t="inlineStr">
        <is>
          <t>2026-07-03 15:32:21.272</t>
        </is>
      </c>
      <c r="C4245" t="n">
        <v/>
      </c>
      <c r="D4245" t="inlineStr">
        <is>
          <t>Media file</t>
        </is>
      </c>
      <c r="E4245" t="inlineStr">
        <is>
          <t>player #1:C:/Users/manuel.felline/Documents/BEHAVIOR BTBR/NOR second cohort/WT/test/c59_f2.mp4</t>
        </is>
      </c>
      <c r="F4245" t="n">
        <v>-6.9</v>
      </c>
      <c r="G4245" t="n">
        <v>491.099</v>
      </c>
      <c r="H4245" t="n">
        <v>625.133</v>
      </c>
      <c r="I4245" t="n">
        <v>30</v>
      </c>
      <c r="J4245" t="inlineStr">
        <is>
          <t xml:space="preserve"> WT</t>
        </is>
      </c>
      <c r="K4245" t="inlineStr">
        <is>
          <t xml:space="preserve"> Female</t>
        </is>
      </c>
      <c r="L4245" t="inlineStr">
        <is>
          <t>No focal subject</t>
        </is>
      </c>
      <c r="M4245" t="n">
        <v>85.13</v>
      </c>
      <c r="N4245" t="inlineStr">
        <is>
          <t>Explore_N</t>
        </is>
      </c>
      <c r="O4245" t="inlineStr">
        <is>
          <t>Novelty</t>
        </is>
      </c>
      <c r="P4245" t="inlineStr">
        <is>
          <t>STATE</t>
        </is>
      </c>
      <c r="Q4245" t="n">
        <v>162.133</v>
      </c>
      <c r="R4245" t="n">
        <v>162.633</v>
      </c>
      <c r="S4245" t="n">
        <v>0.5</v>
      </c>
      <c r="T4245" t="inlineStr">
        <is>
          <t>C:/Users/manuel.felline/Documents/BEHAVIOR BTBR/NOR second cohort/WT/test/c59_f2.mp4</t>
        </is>
      </c>
      <c r="U4245" t="n">
        <v>5070</v>
      </c>
      <c r="V4245" t="n">
        <v>5085</v>
      </c>
      <c r="W4245" t="n">
        <v/>
      </c>
      <c r="X4245" t="n">
        <v/>
      </c>
      <c r="Y4245" t="n">
        <v/>
      </c>
      <c r="Z4245" t="n">
        <v/>
      </c>
      <c r="AA4245">
        <f>SUMIFS($S$2:S4245,$A$2:A4245,A4245,$N$2:N4245,"Explore*")</f>
        <v/>
      </c>
      <c r="AB4245">
        <f>IF(AND(LEFT(N4245,7)="Explore",(AA4245-IF(LEFT(N4245,7)="Explore",S4245,0))&lt;10),"SI","NO")</f>
        <v/>
      </c>
    </row>
    <row r="4246">
      <c r="A4246" t="inlineStr">
        <is>
          <t>c59f2_test</t>
        </is>
      </c>
      <c r="B4246" t="inlineStr">
        <is>
          <t>2026-07-03 15:32:21.272</t>
        </is>
      </c>
      <c r="C4246" t="n">
        <v/>
      </c>
      <c r="D4246" t="inlineStr">
        <is>
          <t>Media file</t>
        </is>
      </c>
      <c r="E4246" t="inlineStr">
        <is>
          <t>player #1:C:/Users/manuel.felline/Documents/BEHAVIOR BTBR/NOR second cohort/WT/test/c59_f2.mp4</t>
        </is>
      </c>
      <c r="F4246" t="n">
        <v>-6.9</v>
      </c>
      <c r="G4246" t="n">
        <v>491.099</v>
      </c>
      <c r="H4246" t="n">
        <v>625.133</v>
      </c>
      <c r="I4246" t="n">
        <v>30</v>
      </c>
      <c r="J4246" t="inlineStr">
        <is>
          <t xml:space="preserve"> WT</t>
        </is>
      </c>
      <c r="K4246" t="inlineStr">
        <is>
          <t xml:space="preserve"> Female</t>
        </is>
      </c>
      <c r="L4246" t="inlineStr">
        <is>
          <t>No focal subject</t>
        </is>
      </c>
      <c r="M4246" t="n">
        <v>85.13</v>
      </c>
      <c r="N4246" t="inlineStr">
        <is>
          <t>Explore_N</t>
        </is>
      </c>
      <c r="O4246" t="inlineStr">
        <is>
          <t>Novelty</t>
        </is>
      </c>
      <c r="P4246" t="inlineStr">
        <is>
          <t>STATE</t>
        </is>
      </c>
      <c r="Q4246" t="n">
        <v>163.433</v>
      </c>
      <c r="R4246" t="n">
        <v>163.866</v>
      </c>
      <c r="S4246" t="n">
        <v>0.433</v>
      </c>
      <c r="T4246" t="inlineStr">
        <is>
          <t>C:/Users/manuel.felline/Documents/BEHAVIOR BTBR/NOR second cohort/WT/test/c59_f2.mp4</t>
        </is>
      </c>
      <c r="U4246" t="n">
        <v>5109</v>
      </c>
      <c r="V4246" t="n">
        <v>5122</v>
      </c>
      <c r="W4246" t="n">
        <v/>
      </c>
      <c r="X4246" t="n">
        <v/>
      </c>
      <c r="Y4246" t="n">
        <v/>
      </c>
      <c r="Z4246" t="n">
        <v/>
      </c>
      <c r="AA4246">
        <f>SUMIFS($S$2:S4246,$A$2:A4246,A4246,$N$2:N4246,"Explore*")</f>
        <v/>
      </c>
      <c r="AB4246">
        <f>IF(AND(LEFT(N4246,7)="Explore",(AA4246-IF(LEFT(N4246,7)="Explore",S4246,0))&lt;10),"SI","NO")</f>
        <v/>
      </c>
    </row>
    <row r="4247">
      <c r="A4247" t="inlineStr">
        <is>
          <t>c59f2_test</t>
        </is>
      </c>
      <c r="B4247" t="inlineStr">
        <is>
          <t>2026-07-03 15:32:21.272</t>
        </is>
      </c>
      <c r="C4247" t="n">
        <v/>
      </c>
      <c r="D4247" t="inlineStr">
        <is>
          <t>Media file</t>
        </is>
      </c>
      <c r="E4247" t="inlineStr">
        <is>
          <t>player #1:C:/Users/manuel.felline/Documents/BEHAVIOR BTBR/NOR second cohort/WT/test/c59_f2.mp4</t>
        </is>
      </c>
      <c r="F4247" t="n">
        <v>-6.9</v>
      </c>
      <c r="G4247" t="n">
        <v>491.099</v>
      </c>
      <c r="H4247" t="n">
        <v>625.133</v>
      </c>
      <c r="I4247" t="n">
        <v>30</v>
      </c>
      <c r="J4247" t="inlineStr">
        <is>
          <t xml:space="preserve"> WT</t>
        </is>
      </c>
      <c r="K4247" t="inlineStr">
        <is>
          <t xml:space="preserve"> Female</t>
        </is>
      </c>
      <c r="L4247" t="inlineStr">
        <is>
          <t>No focal subject</t>
        </is>
      </c>
      <c r="M4247" t="n">
        <v>85.13</v>
      </c>
      <c r="N4247" t="inlineStr">
        <is>
          <t>Explore_N</t>
        </is>
      </c>
      <c r="O4247" t="inlineStr">
        <is>
          <t>Novelty</t>
        </is>
      </c>
      <c r="P4247" t="inlineStr">
        <is>
          <t>STATE</t>
        </is>
      </c>
      <c r="Q4247" t="n">
        <v>170.066</v>
      </c>
      <c r="R4247" t="n">
        <v>170.866</v>
      </c>
      <c r="S4247" t="n">
        <v>0.8</v>
      </c>
      <c r="T4247" t="inlineStr">
        <is>
          <t>C:/Users/manuel.felline/Documents/BEHAVIOR BTBR/NOR second cohort/WT/test/c59_f2.mp4</t>
        </is>
      </c>
      <c r="U4247" t="n">
        <v>5308</v>
      </c>
      <c r="V4247" t="n">
        <v>5332</v>
      </c>
      <c r="W4247" t="n">
        <v/>
      </c>
      <c r="X4247" t="n">
        <v/>
      </c>
      <c r="Y4247" t="n">
        <v/>
      </c>
      <c r="Z4247" t="n">
        <v/>
      </c>
      <c r="AA4247">
        <f>SUMIFS($S$2:S4247,$A$2:A4247,A4247,$N$2:N4247,"Explore*")</f>
        <v/>
      </c>
      <c r="AB4247">
        <f>IF(AND(LEFT(N4247,7)="Explore",(AA4247-IF(LEFT(N4247,7)="Explore",S4247,0))&lt;10),"SI","NO")</f>
        <v/>
      </c>
    </row>
    <row r="4248">
      <c r="A4248" t="inlineStr">
        <is>
          <t>c59f2_test</t>
        </is>
      </c>
      <c r="B4248" t="inlineStr">
        <is>
          <t>2026-07-03 15:32:21.272</t>
        </is>
      </c>
      <c r="C4248" t="n">
        <v/>
      </c>
      <c r="D4248" t="inlineStr">
        <is>
          <t>Media file</t>
        </is>
      </c>
      <c r="E4248" t="inlineStr">
        <is>
          <t>player #1:C:/Users/manuel.felline/Documents/BEHAVIOR BTBR/NOR second cohort/WT/test/c59_f2.mp4</t>
        </is>
      </c>
      <c r="F4248" t="n">
        <v>-6.9</v>
      </c>
      <c r="G4248" t="n">
        <v>491.099</v>
      </c>
      <c r="H4248" t="n">
        <v>625.133</v>
      </c>
      <c r="I4248" t="n">
        <v>30</v>
      </c>
      <c r="J4248" t="inlineStr">
        <is>
          <t xml:space="preserve"> WT</t>
        </is>
      </c>
      <c r="K4248" t="inlineStr">
        <is>
          <t xml:space="preserve"> Female</t>
        </is>
      </c>
      <c r="L4248" t="inlineStr">
        <is>
          <t>No focal subject</t>
        </is>
      </c>
      <c r="M4248" t="n">
        <v>85.13</v>
      </c>
      <c r="N4248" t="inlineStr">
        <is>
          <t>Explore_N</t>
        </is>
      </c>
      <c r="O4248" t="inlineStr">
        <is>
          <t>Novelty</t>
        </is>
      </c>
      <c r="P4248" t="inlineStr">
        <is>
          <t>STATE</t>
        </is>
      </c>
      <c r="Q4248" t="n">
        <v>183.233</v>
      </c>
      <c r="R4248" t="n">
        <v>184.2</v>
      </c>
      <c r="S4248" t="n">
        <v>0.967</v>
      </c>
      <c r="T4248" t="inlineStr">
        <is>
          <t>C:/Users/manuel.felline/Documents/BEHAVIOR BTBR/NOR second cohort/WT/test/c59_f2.mp4</t>
        </is>
      </c>
      <c r="U4248" t="n">
        <v>5703</v>
      </c>
      <c r="V4248" t="n">
        <v>5732</v>
      </c>
      <c r="W4248" t="n">
        <v/>
      </c>
      <c r="X4248" t="n">
        <v/>
      </c>
      <c r="Y4248" t="n">
        <v/>
      </c>
      <c r="Z4248" t="n">
        <v/>
      </c>
      <c r="AA4248">
        <f>SUMIFS($S$2:S4248,$A$2:A4248,A4248,$N$2:N4248,"Explore*")</f>
        <v/>
      </c>
      <c r="AB4248">
        <f>IF(AND(LEFT(N4248,7)="Explore",(AA4248-IF(LEFT(N4248,7)="Explore",S4248,0))&lt;10),"SI","NO")</f>
        <v/>
      </c>
    </row>
    <row r="4249">
      <c r="A4249" t="inlineStr">
        <is>
          <t>c59f2_test</t>
        </is>
      </c>
      <c r="B4249" t="inlineStr">
        <is>
          <t>2026-07-03 15:32:21.272</t>
        </is>
      </c>
      <c r="C4249" t="n">
        <v/>
      </c>
      <c r="D4249" t="inlineStr">
        <is>
          <t>Media file</t>
        </is>
      </c>
      <c r="E4249" t="inlineStr">
        <is>
          <t>player #1:C:/Users/manuel.felline/Documents/BEHAVIOR BTBR/NOR second cohort/WT/test/c59_f2.mp4</t>
        </is>
      </c>
      <c r="F4249" t="n">
        <v>-6.9</v>
      </c>
      <c r="G4249" t="n">
        <v>491.099</v>
      </c>
      <c r="H4249" t="n">
        <v>625.133</v>
      </c>
      <c r="I4249" t="n">
        <v>30</v>
      </c>
      <c r="J4249" t="inlineStr">
        <is>
          <t xml:space="preserve"> WT</t>
        </is>
      </c>
      <c r="K4249" t="inlineStr">
        <is>
          <t xml:space="preserve"> Female</t>
        </is>
      </c>
      <c r="L4249" t="inlineStr">
        <is>
          <t>No focal subject</t>
        </is>
      </c>
      <c r="M4249" t="n">
        <v>85.13</v>
      </c>
      <c r="N4249" t="inlineStr">
        <is>
          <t>Explore_N</t>
        </is>
      </c>
      <c r="O4249" t="inlineStr">
        <is>
          <t>Novelty</t>
        </is>
      </c>
      <c r="P4249" t="inlineStr">
        <is>
          <t>STATE</t>
        </is>
      </c>
      <c r="Q4249" t="n">
        <v>185.733</v>
      </c>
      <c r="R4249" t="n">
        <v>186.533</v>
      </c>
      <c r="S4249" t="n">
        <v>0.8</v>
      </c>
      <c r="T4249" t="inlineStr">
        <is>
          <t>C:/Users/manuel.felline/Documents/BEHAVIOR BTBR/NOR second cohort/WT/test/c59_f2.mp4</t>
        </is>
      </c>
      <c r="U4249" t="n">
        <v>5778</v>
      </c>
      <c r="V4249" t="n">
        <v>5802</v>
      </c>
      <c r="W4249" t="n">
        <v/>
      </c>
      <c r="X4249" t="n">
        <v/>
      </c>
      <c r="Y4249" t="n">
        <v/>
      </c>
      <c r="Z4249" t="n">
        <v/>
      </c>
      <c r="AA4249">
        <f>SUMIFS($S$2:S4249,$A$2:A4249,A4249,$N$2:N4249,"Explore*")</f>
        <v/>
      </c>
      <c r="AB4249">
        <f>IF(AND(LEFT(N4249,7)="Explore",(AA4249-IF(LEFT(N4249,7)="Explore",S4249,0))&lt;10),"SI","NO")</f>
        <v/>
      </c>
    </row>
    <row r="4250">
      <c r="A4250" t="inlineStr">
        <is>
          <t>c59f2_test</t>
        </is>
      </c>
      <c r="B4250" t="inlineStr">
        <is>
          <t>2026-07-03 15:32:21.272</t>
        </is>
      </c>
      <c r="C4250" t="n">
        <v/>
      </c>
      <c r="D4250" t="inlineStr">
        <is>
          <t>Media file</t>
        </is>
      </c>
      <c r="E4250" t="inlineStr">
        <is>
          <t>player #1:C:/Users/manuel.felline/Documents/BEHAVIOR BTBR/NOR second cohort/WT/test/c59_f2.mp4</t>
        </is>
      </c>
      <c r="F4250" t="n">
        <v>-6.9</v>
      </c>
      <c r="G4250" t="n">
        <v>491.099</v>
      </c>
      <c r="H4250" t="n">
        <v>625.133</v>
      </c>
      <c r="I4250" t="n">
        <v>30</v>
      </c>
      <c r="J4250" t="inlineStr">
        <is>
          <t xml:space="preserve"> WT</t>
        </is>
      </c>
      <c r="K4250" t="inlineStr">
        <is>
          <t xml:space="preserve"> Female</t>
        </is>
      </c>
      <c r="L4250" t="inlineStr">
        <is>
          <t>No focal subject</t>
        </is>
      </c>
      <c r="M4250" t="n">
        <v>85.13</v>
      </c>
      <c r="N4250" t="inlineStr">
        <is>
          <t>Explore_N</t>
        </is>
      </c>
      <c r="O4250" t="inlineStr">
        <is>
          <t>Novelty</t>
        </is>
      </c>
      <c r="P4250" t="inlineStr">
        <is>
          <t>STATE</t>
        </is>
      </c>
      <c r="Q4250" t="n">
        <v>187.633</v>
      </c>
      <c r="R4250" t="n">
        <v>188.166</v>
      </c>
      <c r="S4250" t="n">
        <v>0.533</v>
      </c>
      <c r="T4250" t="inlineStr">
        <is>
          <t>C:/Users/manuel.felline/Documents/BEHAVIOR BTBR/NOR second cohort/WT/test/c59_f2.mp4</t>
        </is>
      </c>
      <c r="U4250" t="n">
        <v>5835</v>
      </c>
      <c r="V4250" t="n">
        <v>5851</v>
      </c>
      <c r="W4250" t="n">
        <v/>
      </c>
      <c r="X4250" t="n">
        <v/>
      </c>
      <c r="Y4250" t="n">
        <v/>
      </c>
      <c r="Z4250" t="n">
        <v/>
      </c>
      <c r="AA4250">
        <f>SUMIFS($S$2:S4250,$A$2:A4250,A4250,$N$2:N4250,"Explore*")</f>
        <v/>
      </c>
      <c r="AB4250">
        <f>IF(AND(LEFT(N4250,7)="Explore",(AA4250-IF(LEFT(N4250,7)="Explore",S4250,0))&lt;10),"SI","NO")</f>
        <v/>
      </c>
    </row>
    <row r="4251">
      <c r="A4251" t="inlineStr">
        <is>
          <t>c59f2_test</t>
        </is>
      </c>
      <c r="B4251" t="inlineStr">
        <is>
          <t>2026-07-03 15:32:21.272</t>
        </is>
      </c>
      <c r="C4251" t="n">
        <v/>
      </c>
      <c r="D4251" t="inlineStr">
        <is>
          <t>Media file</t>
        </is>
      </c>
      <c r="E4251" t="inlineStr">
        <is>
          <t>player #1:C:/Users/manuel.felline/Documents/BEHAVIOR BTBR/NOR second cohort/WT/test/c59_f2.mp4</t>
        </is>
      </c>
      <c r="F4251" t="n">
        <v>-6.9</v>
      </c>
      <c r="G4251" t="n">
        <v>491.099</v>
      </c>
      <c r="H4251" t="n">
        <v>625.133</v>
      </c>
      <c r="I4251" t="n">
        <v>30</v>
      </c>
      <c r="J4251" t="inlineStr">
        <is>
          <t xml:space="preserve"> WT</t>
        </is>
      </c>
      <c r="K4251" t="inlineStr">
        <is>
          <t xml:space="preserve"> Female</t>
        </is>
      </c>
      <c r="L4251" t="inlineStr">
        <is>
          <t>No focal subject</t>
        </is>
      </c>
      <c r="M4251" t="n">
        <v>85.13</v>
      </c>
      <c r="N4251" t="inlineStr">
        <is>
          <t>Explore_N</t>
        </is>
      </c>
      <c r="O4251" t="inlineStr">
        <is>
          <t>Novelty</t>
        </is>
      </c>
      <c r="P4251" t="inlineStr">
        <is>
          <t>STATE</t>
        </is>
      </c>
      <c r="Q4251" t="n">
        <v>190.533</v>
      </c>
      <c r="R4251" t="n">
        <v>190.933</v>
      </c>
      <c r="S4251" t="n">
        <v>0.4</v>
      </c>
      <c r="T4251" t="inlineStr">
        <is>
          <t>C:/Users/manuel.felline/Documents/BEHAVIOR BTBR/NOR second cohort/WT/test/c59_f2.mp4</t>
        </is>
      </c>
      <c r="U4251" t="n">
        <v>5922</v>
      </c>
      <c r="V4251" t="n">
        <v>5934</v>
      </c>
      <c r="W4251" t="n">
        <v/>
      </c>
      <c r="X4251" t="n">
        <v/>
      </c>
      <c r="Y4251" t="n">
        <v/>
      </c>
      <c r="Z4251" t="n">
        <v/>
      </c>
      <c r="AA4251">
        <f>SUMIFS($S$2:S4251,$A$2:A4251,A4251,$N$2:N4251,"Explore*")</f>
        <v/>
      </c>
      <c r="AB4251">
        <f>IF(AND(LEFT(N4251,7)="Explore",(AA4251-IF(LEFT(N4251,7)="Explore",S4251,0))&lt;10),"SI","NO")</f>
        <v/>
      </c>
    </row>
    <row r="4252">
      <c r="A4252" t="inlineStr">
        <is>
          <t>c59f2_test</t>
        </is>
      </c>
      <c r="B4252" t="inlineStr">
        <is>
          <t>2026-07-03 15:32:21.272</t>
        </is>
      </c>
      <c r="C4252" t="n">
        <v/>
      </c>
      <c r="D4252" t="inlineStr">
        <is>
          <t>Media file</t>
        </is>
      </c>
      <c r="E4252" t="inlineStr">
        <is>
          <t>player #1:C:/Users/manuel.felline/Documents/BEHAVIOR BTBR/NOR second cohort/WT/test/c59_f2.mp4</t>
        </is>
      </c>
      <c r="F4252" t="n">
        <v>-6.9</v>
      </c>
      <c r="G4252" t="n">
        <v>491.099</v>
      </c>
      <c r="H4252" t="n">
        <v>625.133</v>
      </c>
      <c r="I4252" t="n">
        <v>30</v>
      </c>
      <c r="J4252" t="inlineStr">
        <is>
          <t xml:space="preserve"> WT</t>
        </is>
      </c>
      <c r="K4252" t="inlineStr">
        <is>
          <t xml:space="preserve"> Female</t>
        </is>
      </c>
      <c r="L4252" t="inlineStr">
        <is>
          <t>No focal subject</t>
        </is>
      </c>
      <c r="M4252" t="n">
        <v>85.13</v>
      </c>
      <c r="N4252" t="inlineStr">
        <is>
          <t>Explore_N</t>
        </is>
      </c>
      <c r="O4252" t="inlineStr">
        <is>
          <t>Novelty</t>
        </is>
      </c>
      <c r="P4252" t="inlineStr">
        <is>
          <t>STATE</t>
        </is>
      </c>
      <c r="Q4252" t="n">
        <v>215.466</v>
      </c>
      <c r="R4252" t="n">
        <v>216.2</v>
      </c>
      <c r="S4252" t="n">
        <v>0.734</v>
      </c>
      <c r="T4252" t="inlineStr">
        <is>
          <t>C:/Users/manuel.felline/Documents/BEHAVIOR BTBR/NOR second cohort/WT/test/c59_f2.mp4</t>
        </is>
      </c>
      <c r="U4252" t="n">
        <v>6670</v>
      </c>
      <c r="V4252" t="n">
        <v>6692</v>
      </c>
      <c r="W4252" t="n">
        <v/>
      </c>
      <c r="X4252" t="n">
        <v/>
      </c>
      <c r="Y4252" t="n">
        <v/>
      </c>
      <c r="Z4252" t="n">
        <v/>
      </c>
      <c r="AA4252">
        <f>SUMIFS($S$2:S4252,$A$2:A4252,A4252,$N$2:N4252,"Explore*")</f>
        <v/>
      </c>
      <c r="AB4252">
        <f>IF(AND(LEFT(N4252,7)="Explore",(AA4252-IF(LEFT(N4252,7)="Explore",S4252,0))&lt;10),"SI","NO")</f>
        <v/>
      </c>
    </row>
    <row r="4253">
      <c r="A4253" t="inlineStr">
        <is>
          <t>c59f2_test</t>
        </is>
      </c>
      <c r="B4253" t="inlineStr">
        <is>
          <t>2026-07-03 15:32:21.272</t>
        </is>
      </c>
      <c r="C4253" t="n">
        <v/>
      </c>
      <c r="D4253" t="inlineStr">
        <is>
          <t>Media file</t>
        </is>
      </c>
      <c r="E4253" t="inlineStr">
        <is>
          <t>player #1:C:/Users/manuel.felline/Documents/BEHAVIOR BTBR/NOR second cohort/WT/test/c59_f2.mp4</t>
        </is>
      </c>
      <c r="F4253" t="n">
        <v>-6.9</v>
      </c>
      <c r="G4253" t="n">
        <v>491.099</v>
      </c>
      <c r="H4253" t="n">
        <v>625.133</v>
      </c>
      <c r="I4253" t="n">
        <v>30</v>
      </c>
      <c r="J4253" t="inlineStr">
        <is>
          <t xml:space="preserve"> WT</t>
        </is>
      </c>
      <c r="K4253" t="inlineStr">
        <is>
          <t xml:space="preserve"> Female</t>
        </is>
      </c>
      <c r="L4253" t="inlineStr">
        <is>
          <t>No focal subject</t>
        </is>
      </c>
      <c r="M4253" t="n">
        <v>85.13</v>
      </c>
      <c r="N4253" t="inlineStr">
        <is>
          <t>Explore_N</t>
        </is>
      </c>
      <c r="O4253" t="inlineStr">
        <is>
          <t>Novelty</t>
        </is>
      </c>
      <c r="P4253" t="inlineStr">
        <is>
          <t>STATE</t>
        </is>
      </c>
      <c r="Q4253" t="n">
        <v>217.366</v>
      </c>
      <c r="R4253" t="n">
        <v>217.833</v>
      </c>
      <c r="S4253" t="n">
        <v>0.467</v>
      </c>
      <c r="T4253" t="inlineStr">
        <is>
          <t>C:/Users/manuel.felline/Documents/BEHAVIOR BTBR/NOR second cohort/WT/test/c59_f2.mp4</t>
        </is>
      </c>
      <c r="U4253" t="n">
        <v>6727</v>
      </c>
      <c r="V4253" t="n">
        <v>6741</v>
      </c>
      <c r="W4253" t="n">
        <v/>
      </c>
      <c r="X4253" t="n">
        <v/>
      </c>
      <c r="Y4253" t="n">
        <v/>
      </c>
      <c r="Z4253" t="n">
        <v/>
      </c>
      <c r="AA4253">
        <f>SUMIFS($S$2:S4253,$A$2:A4253,A4253,$N$2:N4253,"Explore*")</f>
        <v/>
      </c>
      <c r="AB4253">
        <f>IF(AND(LEFT(N4253,7)="Explore",(AA4253-IF(LEFT(N4253,7)="Explore",S4253,0))&lt;10),"SI","NO")</f>
        <v/>
      </c>
    </row>
    <row r="4254">
      <c r="A4254" t="inlineStr">
        <is>
          <t>c59f2_test</t>
        </is>
      </c>
      <c r="B4254" t="inlineStr">
        <is>
          <t>2026-07-03 15:32:21.272</t>
        </is>
      </c>
      <c r="C4254" t="n">
        <v/>
      </c>
      <c r="D4254" t="inlineStr">
        <is>
          <t>Media file</t>
        </is>
      </c>
      <c r="E4254" t="inlineStr">
        <is>
          <t>player #1:C:/Users/manuel.felline/Documents/BEHAVIOR BTBR/NOR second cohort/WT/test/c59_f2.mp4</t>
        </is>
      </c>
      <c r="F4254" t="n">
        <v>-6.9</v>
      </c>
      <c r="G4254" t="n">
        <v>491.099</v>
      </c>
      <c r="H4254" t="n">
        <v>625.133</v>
      </c>
      <c r="I4254" t="n">
        <v>30</v>
      </c>
      <c r="J4254" t="inlineStr">
        <is>
          <t xml:space="preserve"> WT</t>
        </is>
      </c>
      <c r="K4254" t="inlineStr">
        <is>
          <t xml:space="preserve"> Female</t>
        </is>
      </c>
      <c r="L4254" t="inlineStr">
        <is>
          <t>No focal subject</t>
        </is>
      </c>
      <c r="M4254" t="n">
        <v>85.13</v>
      </c>
      <c r="N4254" t="inlineStr">
        <is>
          <t>Explore_N</t>
        </is>
      </c>
      <c r="O4254" t="inlineStr">
        <is>
          <t>Novelty</t>
        </is>
      </c>
      <c r="P4254" t="inlineStr">
        <is>
          <t>STATE</t>
        </is>
      </c>
      <c r="Q4254" t="n">
        <v>218.6</v>
      </c>
      <c r="R4254" t="n">
        <v>218.933</v>
      </c>
      <c r="S4254" t="n">
        <v>0.333</v>
      </c>
      <c r="T4254" t="inlineStr">
        <is>
          <t>C:/Users/manuel.felline/Documents/BEHAVIOR BTBR/NOR second cohort/WT/test/c59_f2.mp4</t>
        </is>
      </c>
      <c r="U4254" t="n">
        <v>6764</v>
      </c>
      <c r="V4254" t="n">
        <v>6774</v>
      </c>
      <c r="W4254" t="n">
        <v/>
      </c>
      <c r="X4254" t="n">
        <v/>
      </c>
      <c r="Y4254" t="n">
        <v/>
      </c>
      <c r="Z4254" t="n">
        <v/>
      </c>
      <c r="AA4254">
        <f>SUMIFS($S$2:S4254,$A$2:A4254,A4254,$N$2:N4254,"Explore*")</f>
        <v/>
      </c>
      <c r="AB4254">
        <f>IF(AND(LEFT(N4254,7)="Explore",(AA4254-IF(LEFT(N4254,7)="Explore",S4254,0))&lt;10),"SI","NO")</f>
        <v/>
      </c>
    </row>
    <row r="4255">
      <c r="A4255" t="inlineStr">
        <is>
          <t>c59f2_test</t>
        </is>
      </c>
      <c r="B4255" t="inlineStr">
        <is>
          <t>2026-07-03 15:32:21.272</t>
        </is>
      </c>
      <c r="C4255" t="n">
        <v/>
      </c>
      <c r="D4255" t="inlineStr">
        <is>
          <t>Media file</t>
        </is>
      </c>
      <c r="E4255" t="inlineStr">
        <is>
          <t>player #1:C:/Users/manuel.felline/Documents/BEHAVIOR BTBR/NOR second cohort/WT/test/c59_f2.mp4</t>
        </is>
      </c>
      <c r="F4255" t="n">
        <v>-6.9</v>
      </c>
      <c r="G4255" t="n">
        <v>491.099</v>
      </c>
      <c r="H4255" t="n">
        <v>625.133</v>
      </c>
      <c r="I4255" t="n">
        <v>30</v>
      </c>
      <c r="J4255" t="inlineStr">
        <is>
          <t xml:space="preserve"> WT</t>
        </is>
      </c>
      <c r="K4255" t="inlineStr">
        <is>
          <t xml:space="preserve"> Female</t>
        </is>
      </c>
      <c r="L4255" t="inlineStr">
        <is>
          <t>No focal subject</t>
        </is>
      </c>
      <c r="M4255" t="n">
        <v>85.13</v>
      </c>
      <c r="N4255" t="inlineStr">
        <is>
          <t>Explore_F</t>
        </is>
      </c>
      <c r="O4255" t="inlineStr">
        <is>
          <t>Familiar</t>
        </is>
      </c>
      <c r="P4255" t="inlineStr">
        <is>
          <t>STATE</t>
        </is>
      </c>
      <c r="Q4255" t="n">
        <v>220.966</v>
      </c>
      <c r="R4255" t="n">
        <v>222.466</v>
      </c>
      <c r="S4255" t="n">
        <v>1.5</v>
      </c>
      <c r="T4255" t="inlineStr">
        <is>
          <t>C:/Users/manuel.felline/Documents/BEHAVIOR BTBR/NOR second cohort/WT/test/c59_f2.mp4</t>
        </is>
      </c>
      <c r="U4255" t="n">
        <v>6835</v>
      </c>
      <c r="V4255" t="n">
        <v>6880</v>
      </c>
      <c r="W4255" t="n">
        <v/>
      </c>
      <c r="X4255" t="n">
        <v/>
      </c>
      <c r="Y4255" t="n">
        <v/>
      </c>
      <c r="Z4255" t="n">
        <v/>
      </c>
      <c r="AA4255">
        <f>SUMIFS($S$2:S4255,$A$2:A4255,A4255,$N$2:N4255,"Explore*")</f>
        <v/>
      </c>
      <c r="AB4255">
        <f>IF(AND(LEFT(N4255,7)="Explore",(AA4255-IF(LEFT(N4255,7)="Explore",S4255,0))&lt;10),"SI","NO")</f>
        <v/>
      </c>
    </row>
    <row r="4256">
      <c r="A4256" t="inlineStr">
        <is>
          <t>c59f2_test</t>
        </is>
      </c>
      <c r="B4256" t="inlineStr">
        <is>
          <t>2026-07-03 15:32:21.272</t>
        </is>
      </c>
      <c r="C4256" t="n">
        <v/>
      </c>
      <c r="D4256" t="inlineStr">
        <is>
          <t>Media file</t>
        </is>
      </c>
      <c r="E4256" t="inlineStr">
        <is>
          <t>player #1:C:/Users/manuel.felline/Documents/BEHAVIOR BTBR/NOR second cohort/WT/test/c59_f2.mp4</t>
        </is>
      </c>
      <c r="F4256" t="n">
        <v>-6.9</v>
      </c>
      <c r="G4256" t="n">
        <v>491.099</v>
      </c>
      <c r="H4256" t="n">
        <v>625.133</v>
      </c>
      <c r="I4256" t="n">
        <v>30</v>
      </c>
      <c r="J4256" t="inlineStr">
        <is>
          <t xml:space="preserve"> WT</t>
        </is>
      </c>
      <c r="K4256" t="inlineStr">
        <is>
          <t xml:space="preserve"> Female</t>
        </is>
      </c>
      <c r="L4256" t="inlineStr">
        <is>
          <t>No focal subject</t>
        </is>
      </c>
      <c r="M4256" t="n">
        <v>85.13</v>
      </c>
      <c r="N4256" t="inlineStr">
        <is>
          <t>Explore_N</t>
        </is>
      </c>
      <c r="O4256" t="inlineStr">
        <is>
          <t>Novelty</t>
        </is>
      </c>
      <c r="P4256" t="inlineStr">
        <is>
          <t>STATE</t>
        </is>
      </c>
      <c r="Q4256" t="n">
        <v>223.666</v>
      </c>
      <c r="R4256" t="n">
        <v>224.366</v>
      </c>
      <c r="S4256" t="n">
        <v>0.7</v>
      </c>
      <c r="T4256" t="inlineStr">
        <is>
          <t>C:/Users/manuel.felline/Documents/BEHAVIOR BTBR/NOR second cohort/WT/test/c59_f2.mp4</t>
        </is>
      </c>
      <c r="U4256" t="n">
        <v>6917</v>
      </c>
      <c r="V4256" t="n">
        <v>6937</v>
      </c>
      <c r="W4256" t="n">
        <v/>
      </c>
      <c r="X4256" t="n">
        <v/>
      </c>
      <c r="Y4256" t="n">
        <v/>
      </c>
      <c r="Z4256" t="n">
        <v/>
      </c>
      <c r="AA4256">
        <f>SUMIFS($S$2:S4256,$A$2:A4256,A4256,$N$2:N4256,"Explore*")</f>
        <v/>
      </c>
      <c r="AB4256">
        <f>IF(AND(LEFT(N4256,7)="Explore",(AA4256-IF(LEFT(N4256,7)="Explore",S4256,0))&lt;10),"SI","NO")</f>
        <v/>
      </c>
    </row>
    <row r="4257">
      <c r="A4257" t="inlineStr">
        <is>
          <t>c59f2_test</t>
        </is>
      </c>
      <c r="B4257" t="inlineStr">
        <is>
          <t>2026-07-03 15:32:21.272</t>
        </is>
      </c>
      <c r="C4257" t="n">
        <v/>
      </c>
      <c r="D4257" t="inlineStr">
        <is>
          <t>Media file</t>
        </is>
      </c>
      <c r="E4257" t="inlineStr">
        <is>
          <t>player #1:C:/Users/manuel.felline/Documents/BEHAVIOR BTBR/NOR second cohort/WT/test/c59_f2.mp4</t>
        </is>
      </c>
      <c r="F4257" t="n">
        <v>-6.9</v>
      </c>
      <c r="G4257" t="n">
        <v>491.099</v>
      </c>
      <c r="H4257" t="n">
        <v>625.133</v>
      </c>
      <c r="I4257" t="n">
        <v>30</v>
      </c>
      <c r="J4257" t="inlineStr">
        <is>
          <t xml:space="preserve"> WT</t>
        </is>
      </c>
      <c r="K4257" t="inlineStr">
        <is>
          <t xml:space="preserve"> Female</t>
        </is>
      </c>
      <c r="L4257" t="inlineStr">
        <is>
          <t>No focal subject</t>
        </is>
      </c>
      <c r="M4257" t="n">
        <v>85.13</v>
      </c>
      <c r="N4257" t="inlineStr">
        <is>
          <t>Explore_N</t>
        </is>
      </c>
      <c r="O4257" t="inlineStr">
        <is>
          <t>Novelty</t>
        </is>
      </c>
      <c r="P4257" t="inlineStr">
        <is>
          <t>STATE</t>
        </is>
      </c>
      <c r="Q4257" t="n">
        <v>226.333</v>
      </c>
      <c r="R4257" t="n">
        <v>226.833</v>
      </c>
      <c r="S4257" t="n">
        <v>0.5</v>
      </c>
      <c r="T4257" t="inlineStr">
        <is>
          <t>C:/Users/manuel.felline/Documents/BEHAVIOR BTBR/NOR second cohort/WT/test/c59_f2.mp4</t>
        </is>
      </c>
      <c r="U4257" t="n">
        <v>6996</v>
      </c>
      <c r="V4257" t="n">
        <v>7011</v>
      </c>
      <c r="W4257" t="n">
        <v/>
      </c>
      <c r="X4257" t="n">
        <v/>
      </c>
      <c r="Y4257" t="n">
        <v/>
      </c>
      <c r="Z4257" t="n">
        <v/>
      </c>
      <c r="AA4257">
        <f>SUMIFS($S$2:S4257,$A$2:A4257,A4257,$N$2:N4257,"Explore*")</f>
        <v/>
      </c>
      <c r="AB4257">
        <f>IF(AND(LEFT(N4257,7)="Explore",(AA4257-IF(LEFT(N4257,7)="Explore",S4257,0))&lt;10),"SI","NO")</f>
        <v/>
      </c>
    </row>
    <row r="4258">
      <c r="A4258" t="inlineStr">
        <is>
          <t>c59f2_test</t>
        </is>
      </c>
      <c r="B4258" t="inlineStr">
        <is>
          <t>2026-07-03 15:32:21.272</t>
        </is>
      </c>
      <c r="C4258" t="n">
        <v/>
      </c>
      <c r="D4258" t="inlineStr">
        <is>
          <t>Media file</t>
        </is>
      </c>
      <c r="E4258" t="inlineStr">
        <is>
          <t>player #1:C:/Users/manuel.felline/Documents/BEHAVIOR BTBR/NOR second cohort/WT/test/c59_f2.mp4</t>
        </is>
      </c>
      <c r="F4258" t="n">
        <v>-6.9</v>
      </c>
      <c r="G4258" t="n">
        <v>491.099</v>
      </c>
      <c r="H4258" t="n">
        <v>625.133</v>
      </c>
      <c r="I4258" t="n">
        <v>30</v>
      </c>
      <c r="J4258" t="inlineStr">
        <is>
          <t xml:space="preserve"> WT</t>
        </is>
      </c>
      <c r="K4258" t="inlineStr">
        <is>
          <t xml:space="preserve"> Female</t>
        </is>
      </c>
      <c r="L4258" t="inlineStr">
        <is>
          <t>No focal subject</t>
        </is>
      </c>
      <c r="M4258" t="n">
        <v>85.13</v>
      </c>
      <c r="N4258" t="inlineStr">
        <is>
          <t>Explore_F</t>
        </is>
      </c>
      <c r="O4258" t="inlineStr">
        <is>
          <t>Familiar</t>
        </is>
      </c>
      <c r="P4258" t="inlineStr">
        <is>
          <t>STATE</t>
        </is>
      </c>
      <c r="Q4258" t="n">
        <v>237.033</v>
      </c>
      <c r="R4258" t="n">
        <v>237.966</v>
      </c>
      <c r="S4258" t="n">
        <v>0.9330000000000001</v>
      </c>
      <c r="T4258" t="inlineStr">
        <is>
          <t>C:/Users/manuel.felline/Documents/BEHAVIOR BTBR/NOR second cohort/WT/test/c59_f2.mp4</t>
        </is>
      </c>
      <c r="U4258" t="n">
        <v>7317</v>
      </c>
      <c r="V4258" t="n">
        <v>7345</v>
      </c>
      <c r="W4258" t="n">
        <v/>
      </c>
      <c r="X4258" t="n">
        <v/>
      </c>
      <c r="Y4258" t="n">
        <v/>
      </c>
      <c r="Z4258" t="n">
        <v/>
      </c>
      <c r="AA4258">
        <f>SUMIFS($S$2:S4258,$A$2:A4258,A4258,$N$2:N4258,"Explore*")</f>
        <v/>
      </c>
      <c r="AB4258">
        <f>IF(AND(LEFT(N4258,7)="Explore",(AA4258-IF(LEFT(N4258,7)="Explore",S4258,0))&lt;10),"SI","NO")</f>
        <v/>
      </c>
    </row>
    <row r="4259">
      <c r="A4259" t="inlineStr">
        <is>
          <t>c59f2_test</t>
        </is>
      </c>
      <c r="B4259" t="inlineStr">
        <is>
          <t>2026-07-03 15:32:21.272</t>
        </is>
      </c>
      <c r="C4259" t="n">
        <v/>
      </c>
      <c r="D4259" t="inlineStr">
        <is>
          <t>Media file</t>
        </is>
      </c>
      <c r="E4259" t="inlineStr">
        <is>
          <t>player #1:C:/Users/manuel.felline/Documents/BEHAVIOR BTBR/NOR second cohort/WT/test/c59_f2.mp4</t>
        </is>
      </c>
      <c r="F4259" t="n">
        <v>-6.9</v>
      </c>
      <c r="G4259" t="n">
        <v>491.099</v>
      </c>
      <c r="H4259" t="n">
        <v>625.133</v>
      </c>
      <c r="I4259" t="n">
        <v>30</v>
      </c>
      <c r="J4259" t="inlineStr">
        <is>
          <t xml:space="preserve"> WT</t>
        </is>
      </c>
      <c r="K4259" t="inlineStr">
        <is>
          <t xml:space="preserve"> Female</t>
        </is>
      </c>
      <c r="L4259" t="inlineStr">
        <is>
          <t>No focal subject</t>
        </is>
      </c>
      <c r="M4259" t="n">
        <v>85.13</v>
      </c>
      <c r="N4259" t="inlineStr">
        <is>
          <t>Explore_N</t>
        </is>
      </c>
      <c r="O4259" t="inlineStr">
        <is>
          <t>Novelty</t>
        </is>
      </c>
      <c r="P4259" t="inlineStr">
        <is>
          <t>STATE</t>
        </is>
      </c>
      <c r="Q4259" t="n">
        <v>238.666</v>
      </c>
      <c r="R4259" t="n">
        <v>239.166</v>
      </c>
      <c r="S4259" t="n">
        <v>0.5</v>
      </c>
      <c r="T4259" t="inlineStr">
        <is>
          <t>C:/Users/manuel.felline/Documents/BEHAVIOR BTBR/NOR second cohort/WT/test/c59_f2.mp4</t>
        </is>
      </c>
      <c r="U4259" t="n">
        <v>7366</v>
      </c>
      <c r="V4259" t="n">
        <v>7381</v>
      </c>
      <c r="W4259" t="n">
        <v/>
      </c>
      <c r="X4259" t="n">
        <v/>
      </c>
      <c r="Y4259" t="n">
        <v/>
      </c>
      <c r="Z4259" t="n">
        <v/>
      </c>
      <c r="AA4259">
        <f>SUMIFS($S$2:S4259,$A$2:A4259,A4259,$N$2:N4259,"Explore*")</f>
        <v/>
      </c>
      <c r="AB4259">
        <f>IF(AND(LEFT(N4259,7)="Explore",(AA4259-IF(LEFT(N4259,7)="Explore",S4259,0))&lt;10),"SI","NO")</f>
        <v/>
      </c>
    </row>
    <row r="4260">
      <c r="A4260" t="inlineStr">
        <is>
          <t>c59f2_test</t>
        </is>
      </c>
      <c r="B4260" t="inlineStr">
        <is>
          <t>2026-07-03 15:32:21.272</t>
        </is>
      </c>
      <c r="C4260" t="n">
        <v/>
      </c>
      <c r="D4260" t="inlineStr">
        <is>
          <t>Media file</t>
        </is>
      </c>
      <c r="E4260" t="inlineStr">
        <is>
          <t>player #1:C:/Users/manuel.felline/Documents/BEHAVIOR BTBR/NOR second cohort/WT/test/c59_f2.mp4</t>
        </is>
      </c>
      <c r="F4260" t="n">
        <v>-6.9</v>
      </c>
      <c r="G4260" t="n">
        <v>491.099</v>
      </c>
      <c r="H4260" t="n">
        <v>625.133</v>
      </c>
      <c r="I4260" t="n">
        <v>30</v>
      </c>
      <c r="J4260" t="inlineStr">
        <is>
          <t xml:space="preserve"> WT</t>
        </is>
      </c>
      <c r="K4260" t="inlineStr">
        <is>
          <t xml:space="preserve"> Female</t>
        </is>
      </c>
      <c r="L4260" t="inlineStr">
        <is>
          <t>No focal subject</t>
        </is>
      </c>
      <c r="M4260" t="n">
        <v>85.13</v>
      </c>
      <c r="N4260" t="inlineStr">
        <is>
          <t>Explore_N</t>
        </is>
      </c>
      <c r="O4260" t="inlineStr">
        <is>
          <t>Novelty</t>
        </is>
      </c>
      <c r="P4260" t="inlineStr">
        <is>
          <t>STATE</t>
        </is>
      </c>
      <c r="Q4260" t="n">
        <v>242.633</v>
      </c>
      <c r="R4260" t="n">
        <v>242.966</v>
      </c>
      <c r="S4260" t="n">
        <v>0.333</v>
      </c>
      <c r="T4260" t="inlineStr">
        <is>
          <t>C:/Users/manuel.felline/Documents/BEHAVIOR BTBR/NOR second cohort/WT/test/c59_f2.mp4</t>
        </is>
      </c>
      <c r="U4260" t="n">
        <v>7485</v>
      </c>
      <c r="V4260" t="n">
        <v>7495</v>
      </c>
      <c r="W4260" t="n">
        <v/>
      </c>
      <c r="X4260" t="n">
        <v/>
      </c>
      <c r="Y4260" t="n">
        <v/>
      </c>
      <c r="Z4260" t="n">
        <v/>
      </c>
      <c r="AA4260">
        <f>SUMIFS($S$2:S4260,$A$2:A4260,A4260,$N$2:N4260,"Explore*")</f>
        <v/>
      </c>
      <c r="AB4260">
        <f>IF(AND(LEFT(N4260,7)="Explore",(AA4260-IF(LEFT(N4260,7)="Explore",S4260,0))&lt;10),"SI","NO")</f>
        <v/>
      </c>
    </row>
    <row r="4261">
      <c r="A4261" t="inlineStr">
        <is>
          <t>c59f2_test</t>
        </is>
      </c>
      <c r="B4261" t="inlineStr">
        <is>
          <t>2026-07-03 15:32:21.272</t>
        </is>
      </c>
      <c r="C4261" t="n">
        <v/>
      </c>
      <c r="D4261" t="inlineStr">
        <is>
          <t>Media file</t>
        </is>
      </c>
      <c r="E4261" t="inlineStr">
        <is>
          <t>player #1:C:/Users/manuel.felline/Documents/BEHAVIOR BTBR/NOR second cohort/WT/test/c59_f2.mp4</t>
        </is>
      </c>
      <c r="F4261" t="n">
        <v>-6.9</v>
      </c>
      <c r="G4261" t="n">
        <v>491.099</v>
      </c>
      <c r="H4261" t="n">
        <v>625.133</v>
      </c>
      <c r="I4261" t="n">
        <v>30</v>
      </c>
      <c r="J4261" t="inlineStr">
        <is>
          <t xml:space="preserve"> WT</t>
        </is>
      </c>
      <c r="K4261" t="inlineStr">
        <is>
          <t xml:space="preserve"> Female</t>
        </is>
      </c>
      <c r="L4261" t="inlineStr">
        <is>
          <t>No focal subject</t>
        </is>
      </c>
      <c r="M4261" t="n">
        <v>85.13</v>
      </c>
      <c r="N4261" t="inlineStr">
        <is>
          <t>Explore_N</t>
        </is>
      </c>
      <c r="O4261" t="inlineStr">
        <is>
          <t>Novelty</t>
        </is>
      </c>
      <c r="P4261" t="inlineStr">
        <is>
          <t>STATE</t>
        </is>
      </c>
      <c r="Q4261" t="n">
        <v>244.1</v>
      </c>
      <c r="R4261" t="n">
        <v>244.366</v>
      </c>
      <c r="S4261" t="n">
        <v>0.266</v>
      </c>
      <c r="T4261" t="inlineStr">
        <is>
          <t>C:/Users/manuel.felline/Documents/BEHAVIOR BTBR/NOR second cohort/WT/test/c59_f2.mp4</t>
        </is>
      </c>
      <c r="U4261" t="n">
        <v>7529</v>
      </c>
      <c r="V4261" t="n">
        <v>7537</v>
      </c>
      <c r="W4261" t="n">
        <v/>
      </c>
      <c r="X4261" t="n">
        <v/>
      </c>
      <c r="Y4261" t="n">
        <v/>
      </c>
      <c r="Z4261" t="n">
        <v/>
      </c>
      <c r="AA4261">
        <f>SUMIFS($S$2:S4261,$A$2:A4261,A4261,$N$2:N4261,"Explore*")</f>
        <v/>
      </c>
      <c r="AB4261">
        <f>IF(AND(LEFT(N4261,7)="Explore",(AA4261-IF(LEFT(N4261,7)="Explore",S4261,0))&lt;10),"SI","NO")</f>
        <v/>
      </c>
    </row>
    <row r="4262">
      <c r="A4262" t="inlineStr">
        <is>
          <t>c59f2_test</t>
        </is>
      </c>
      <c r="B4262" t="inlineStr">
        <is>
          <t>2026-07-03 15:32:21.272</t>
        </is>
      </c>
      <c r="C4262" t="n">
        <v/>
      </c>
      <c r="D4262" t="inlineStr">
        <is>
          <t>Media file</t>
        </is>
      </c>
      <c r="E4262" t="inlineStr">
        <is>
          <t>player #1:C:/Users/manuel.felline/Documents/BEHAVIOR BTBR/NOR second cohort/WT/test/c59_f2.mp4</t>
        </is>
      </c>
      <c r="F4262" t="n">
        <v>-6.9</v>
      </c>
      <c r="G4262" t="n">
        <v>491.099</v>
      </c>
      <c r="H4262" t="n">
        <v>625.133</v>
      </c>
      <c r="I4262" t="n">
        <v>30</v>
      </c>
      <c r="J4262" t="inlineStr">
        <is>
          <t xml:space="preserve"> WT</t>
        </is>
      </c>
      <c r="K4262" t="inlineStr">
        <is>
          <t xml:space="preserve"> Female</t>
        </is>
      </c>
      <c r="L4262" t="inlineStr">
        <is>
          <t>No focal subject</t>
        </is>
      </c>
      <c r="M4262" t="n">
        <v>85.13</v>
      </c>
      <c r="N4262" t="inlineStr">
        <is>
          <t>Explore_N</t>
        </is>
      </c>
      <c r="O4262" t="inlineStr">
        <is>
          <t>Novelty</t>
        </is>
      </c>
      <c r="P4262" t="inlineStr">
        <is>
          <t>STATE</t>
        </is>
      </c>
      <c r="Q4262" t="n">
        <v>250.266</v>
      </c>
      <c r="R4262" t="n">
        <v>250.566</v>
      </c>
      <c r="S4262" t="n">
        <v>0.3</v>
      </c>
      <c r="T4262" t="inlineStr">
        <is>
          <t>C:/Users/manuel.felline/Documents/BEHAVIOR BTBR/NOR second cohort/WT/test/c59_f2.mp4</t>
        </is>
      </c>
      <c r="U4262" t="n">
        <v>7714</v>
      </c>
      <c r="V4262" t="n">
        <v>7723</v>
      </c>
      <c r="W4262" t="n">
        <v/>
      </c>
      <c r="X4262" t="n">
        <v/>
      </c>
      <c r="Y4262" t="n">
        <v/>
      </c>
      <c r="Z4262" t="n">
        <v/>
      </c>
      <c r="AA4262">
        <f>SUMIFS($S$2:S4262,$A$2:A4262,A4262,$N$2:N4262,"Explore*")</f>
        <v/>
      </c>
      <c r="AB4262">
        <f>IF(AND(LEFT(N4262,7)="Explore",(AA4262-IF(LEFT(N4262,7)="Explore",S4262,0))&lt;10),"SI","NO")</f>
        <v/>
      </c>
    </row>
    <row r="4263">
      <c r="A4263" t="inlineStr">
        <is>
          <t>c59f2_test</t>
        </is>
      </c>
      <c r="B4263" t="inlineStr">
        <is>
          <t>2026-07-03 15:32:21.272</t>
        </is>
      </c>
      <c r="C4263" t="n">
        <v/>
      </c>
      <c r="D4263" t="inlineStr">
        <is>
          <t>Media file</t>
        </is>
      </c>
      <c r="E4263" t="inlineStr">
        <is>
          <t>player #1:C:/Users/manuel.felline/Documents/BEHAVIOR BTBR/NOR second cohort/WT/test/c59_f2.mp4</t>
        </is>
      </c>
      <c r="F4263" t="n">
        <v>-6.9</v>
      </c>
      <c r="G4263" t="n">
        <v>491.099</v>
      </c>
      <c r="H4263" t="n">
        <v>625.133</v>
      </c>
      <c r="I4263" t="n">
        <v>30</v>
      </c>
      <c r="J4263" t="inlineStr">
        <is>
          <t xml:space="preserve"> WT</t>
        </is>
      </c>
      <c r="K4263" t="inlineStr">
        <is>
          <t xml:space="preserve"> Female</t>
        </is>
      </c>
      <c r="L4263" t="inlineStr">
        <is>
          <t>No focal subject</t>
        </is>
      </c>
      <c r="M4263" t="n">
        <v>85.13</v>
      </c>
      <c r="N4263" t="inlineStr">
        <is>
          <t>Explore_N</t>
        </is>
      </c>
      <c r="O4263" t="inlineStr">
        <is>
          <t>Novelty</t>
        </is>
      </c>
      <c r="P4263" t="inlineStr">
        <is>
          <t>STATE</t>
        </is>
      </c>
      <c r="Q4263" t="n">
        <v>251.2</v>
      </c>
      <c r="R4263" t="n">
        <v>251.633</v>
      </c>
      <c r="S4263" t="n">
        <v>0.433</v>
      </c>
      <c r="T4263" t="inlineStr">
        <is>
          <t>C:/Users/manuel.felline/Documents/BEHAVIOR BTBR/NOR second cohort/WT/test/c59_f2.mp4</t>
        </is>
      </c>
      <c r="U4263" t="n">
        <v>7742</v>
      </c>
      <c r="V4263" t="n">
        <v>7755</v>
      </c>
      <c r="W4263" t="n">
        <v/>
      </c>
      <c r="X4263" t="n">
        <v/>
      </c>
      <c r="Y4263" t="n">
        <v/>
      </c>
      <c r="Z4263" t="n">
        <v/>
      </c>
      <c r="AA4263">
        <f>SUMIFS($S$2:S4263,$A$2:A4263,A4263,$N$2:N4263,"Explore*")</f>
        <v/>
      </c>
      <c r="AB4263">
        <f>IF(AND(LEFT(N4263,7)="Explore",(AA4263-IF(LEFT(N4263,7)="Explore",S4263,0))&lt;10),"SI","NO")</f>
        <v/>
      </c>
    </row>
    <row r="4264">
      <c r="A4264" t="inlineStr">
        <is>
          <t>c59f2_test</t>
        </is>
      </c>
      <c r="B4264" t="inlineStr">
        <is>
          <t>2026-07-03 15:32:21.272</t>
        </is>
      </c>
      <c r="C4264" t="n">
        <v/>
      </c>
      <c r="D4264" t="inlineStr">
        <is>
          <t>Media file</t>
        </is>
      </c>
      <c r="E4264" t="inlineStr">
        <is>
          <t>player #1:C:/Users/manuel.felline/Documents/BEHAVIOR BTBR/NOR second cohort/WT/test/c59_f2.mp4</t>
        </is>
      </c>
      <c r="F4264" t="n">
        <v>-6.9</v>
      </c>
      <c r="G4264" t="n">
        <v>491.099</v>
      </c>
      <c r="H4264" t="n">
        <v>625.133</v>
      </c>
      <c r="I4264" t="n">
        <v>30</v>
      </c>
      <c r="J4264" t="inlineStr">
        <is>
          <t xml:space="preserve"> WT</t>
        </is>
      </c>
      <c r="K4264" t="inlineStr">
        <is>
          <t xml:space="preserve"> Female</t>
        </is>
      </c>
      <c r="L4264" t="inlineStr">
        <is>
          <t>No focal subject</t>
        </is>
      </c>
      <c r="M4264" t="n">
        <v>85.13</v>
      </c>
      <c r="N4264" t="inlineStr">
        <is>
          <t>Explore_F</t>
        </is>
      </c>
      <c r="O4264" t="inlineStr">
        <is>
          <t>Familiar</t>
        </is>
      </c>
      <c r="P4264" t="inlineStr">
        <is>
          <t>STATE</t>
        </is>
      </c>
      <c r="Q4264" t="n">
        <v>254.6</v>
      </c>
      <c r="R4264" t="n">
        <v>255.2</v>
      </c>
      <c r="S4264" t="n">
        <v>0.6</v>
      </c>
      <c r="T4264" t="inlineStr">
        <is>
          <t>C:/Users/manuel.felline/Documents/BEHAVIOR BTBR/NOR second cohort/WT/test/c59_f2.mp4</t>
        </is>
      </c>
      <c r="U4264" t="n">
        <v>7844</v>
      </c>
      <c r="V4264" t="n">
        <v>7862</v>
      </c>
      <c r="W4264" t="n">
        <v/>
      </c>
      <c r="X4264" t="n">
        <v/>
      </c>
      <c r="Y4264" t="n">
        <v/>
      </c>
      <c r="Z4264" t="n">
        <v/>
      </c>
      <c r="AA4264">
        <f>SUMIFS($S$2:S4264,$A$2:A4264,A4264,$N$2:N4264,"Explore*")</f>
        <v/>
      </c>
      <c r="AB4264">
        <f>IF(AND(LEFT(N4264,7)="Explore",(AA4264-IF(LEFT(N4264,7)="Explore",S4264,0))&lt;10),"SI","NO")</f>
        <v/>
      </c>
    </row>
    <row r="4265">
      <c r="A4265" t="inlineStr">
        <is>
          <t>c59f2_test</t>
        </is>
      </c>
      <c r="B4265" t="inlineStr">
        <is>
          <t>2026-07-03 15:32:21.272</t>
        </is>
      </c>
      <c r="C4265" t="n">
        <v/>
      </c>
      <c r="D4265" t="inlineStr">
        <is>
          <t>Media file</t>
        </is>
      </c>
      <c r="E4265" t="inlineStr">
        <is>
          <t>player #1:C:/Users/manuel.felline/Documents/BEHAVIOR BTBR/NOR second cohort/WT/test/c59_f2.mp4</t>
        </is>
      </c>
      <c r="F4265" t="n">
        <v>-6.9</v>
      </c>
      <c r="G4265" t="n">
        <v>491.099</v>
      </c>
      <c r="H4265" t="n">
        <v>625.133</v>
      </c>
      <c r="I4265" t="n">
        <v>30</v>
      </c>
      <c r="J4265" t="inlineStr">
        <is>
          <t xml:space="preserve"> WT</t>
        </is>
      </c>
      <c r="K4265" t="inlineStr">
        <is>
          <t xml:space="preserve"> Female</t>
        </is>
      </c>
      <c r="L4265" t="inlineStr">
        <is>
          <t>No focal subject</t>
        </is>
      </c>
      <c r="M4265" t="n">
        <v>85.13</v>
      </c>
      <c r="N4265" t="inlineStr">
        <is>
          <t>Explore_N</t>
        </is>
      </c>
      <c r="O4265" t="inlineStr">
        <is>
          <t>Novelty</t>
        </is>
      </c>
      <c r="P4265" t="inlineStr">
        <is>
          <t>STATE</t>
        </is>
      </c>
      <c r="Q4265" t="n">
        <v>256.3</v>
      </c>
      <c r="R4265" t="n">
        <v>257.533</v>
      </c>
      <c r="S4265" t="n">
        <v>1.233</v>
      </c>
      <c r="T4265" t="inlineStr">
        <is>
          <t>C:/Users/manuel.felline/Documents/BEHAVIOR BTBR/NOR second cohort/WT/test/c59_f2.mp4</t>
        </is>
      </c>
      <c r="U4265" t="n">
        <v>7895</v>
      </c>
      <c r="V4265" t="n">
        <v>7932</v>
      </c>
      <c r="W4265" t="n">
        <v/>
      </c>
      <c r="X4265" t="n">
        <v/>
      </c>
      <c r="Y4265" t="n">
        <v/>
      </c>
      <c r="Z4265" t="n">
        <v/>
      </c>
      <c r="AA4265">
        <f>SUMIFS($S$2:S4265,$A$2:A4265,A4265,$N$2:N4265,"Explore*")</f>
        <v/>
      </c>
      <c r="AB4265">
        <f>IF(AND(LEFT(N4265,7)="Explore",(AA4265-IF(LEFT(N4265,7)="Explore",S4265,0))&lt;10),"SI","NO")</f>
        <v/>
      </c>
    </row>
    <row r="4266">
      <c r="A4266" t="inlineStr">
        <is>
          <t>c59f2_test</t>
        </is>
      </c>
      <c r="B4266" t="inlineStr">
        <is>
          <t>2026-07-03 15:32:21.272</t>
        </is>
      </c>
      <c r="C4266" t="n">
        <v/>
      </c>
      <c r="D4266" t="inlineStr">
        <is>
          <t>Media file</t>
        </is>
      </c>
      <c r="E4266" t="inlineStr">
        <is>
          <t>player #1:C:/Users/manuel.felline/Documents/BEHAVIOR BTBR/NOR second cohort/WT/test/c59_f2.mp4</t>
        </is>
      </c>
      <c r="F4266" t="n">
        <v>-6.9</v>
      </c>
      <c r="G4266" t="n">
        <v>491.099</v>
      </c>
      <c r="H4266" t="n">
        <v>625.133</v>
      </c>
      <c r="I4266" t="n">
        <v>30</v>
      </c>
      <c r="J4266" t="inlineStr">
        <is>
          <t xml:space="preserve"> WT</t>
        </is>
      </c>
      <c r="K4266" t="inlineStr">
        <is>
          <t xml:space="preserve"> Female</t>
        </is>
      </c>
      <c r="L4266" t="inlineStr">
        <is>
          <t>No focal subject</t>
        </is>
      </c>
      <c r="M4266" t="n">
        <v>85.13</v>
      </c>
      <c r="N4266" t="inlineStr">
        <is>
          <t>Explore_N</t>
        </is>
      </c>
      <c r="O4266" t="inlineStr">
        <is>
          <t>Novelty</t>
        </is>
      </c>
      <c r="P4266" t="inlineStr">
        <is>
          <t>STATE</t>
        </is>
      </c>
      <c r="Q4266" t="n">
        <v>288.733</v>
      </c>
      <c r="R4266" t="n">
        <v>289.433</v>
      </c>
      <c r="S4266" t="n">
        <v>0.7</v>
      </c>
      <c r="T4266" t="inlineStr">
        <is>
          <t>C:/Users/manuel.felline/Documents/BEHAVIOR BTBR/NOR second cohort/WT/test/c59_f2.mp4</t>
        </is>
      </c>
      <c r="U4266" t="n">
        <v>8868</v>
      </c>
      <c r="V4266" t="n">
        <v>8889</v>
      </c>
      <c r="W4266" t="n">
        <v/>
      </c>
      <c r="X4266" t="n">
        <v/>
      </c>
      <c r="Y4266" t="n">
        <v/>
      </c>
      <c r="Z4266" t="n">
        <v/>
      </c>
      <c r="AA4266">
        <f>SUMIFS($S$2:S4266,$A$2:A4266,A4266,$N$2:N4266,"Explore*")</f>
        <v/>
      </c>
      <c r="AB4266">
        <f>IF(AND(LEFT(N4266,7)="Explore",(AA4266-IF(LEFT(N4266,7)="Explore",S4266,0))&lt;10),"SI","NO")</f>
        <v/>
      </c>
    </row>
    <row r="4267">
      <c r="A4267" t="inlineStr">
        <is>
          <t>c59f2_test</t>
        </is>
      </c>
      <c r="B4267" t="inlineStr">
        <is>
          <t>2026-07-03 15:32:21.272</t>
        </is>
      </c>
      <c r="C4267" t="n">
        <v/>
      </c>
      <c r="D4267" t="inlineStr">
        <is>
          <t>Media file</t>
        </is>
      </c>
      <c r="E4267" t="inlineStr">
        <is>
          <t>player #1:C:/Users/manuel.felline/Documents/BEHAVIOR BTBR/NOR second cohort/WT/test/c59_f2.mp4</t>
        </is>
      </c>
      <c r="F4267" t="n">
        <v>-6.9</v>
      </c>
      <c r="G4267" t="n">
        <v>491.099</v>
      </c>
      <c r="H4267" t="n">
        <v>625.133</v>
      </c>
      <c r="I4267" t="n">
        <v>30</v>
      </c>
      <c r="J4267" t="inlineStr">
        <is>
          <t xml:space="preserve"> WT</t>
        </is>
      </c>
      <c r="K4267" t="inlineStr">
        <is>
          <t xml:space="preserve"> Female</t>
        </is>
      </c>
      <c r="L4267" t="inlineStr">
        <is>
          <t>No focal subject</t>
        </is>
      </c>
      <c r="M4267" t="n">
        <v>85.13</v>
      </c>
      <c r="N4267" t="inlineStr">
        <is>
          <t>Explore_F</t>
        </is>
      </c>
      <c r="O4267" t="inlineStr">
        <is>
          <t>Familiar</t>
        </is>
      </c>
      <c r="P4267" t="inlineStr">
        <is>
          <t>STATE</t>
        </is>
      </c>
      <c r="Q4267" t="n">
        <v>290.666</v>
      </c>
      <c r="R4267" t="n">
        <v>291.6</v>
      </c>
      <c r="S4267" t="n">
        <v>0.9340000000000001</v>
      </c>
      <c r="T4267" t="inlineStr">
        <is>
          <t>C:/Users/manuel.felline/Documents/BEHAVIOR BTBR/NOR second cohort/WT/test/c59_f2.mp4</t>
        </is>
      </c>
      <c r="U4267" t="n">
        <v>8926</v>
      </c>
      <c r="V4267" t="n">
        <v>8954</v>
      </c>
      <c r="W4267" t="n">
        <v/>
      </c>
      <c r="X4267" t="n">
        <v/>
      </c>
      <c r="Y4267" t="n">
        <v/>
      </c>
      <c r="Z4267" t="n">
        <v/>
      </c>
      <c r="AA4267">
        <f>SUMIFS($S$2:S4267,$A$2:A4267,A4267,$N$2:N4267,"Explore*")</f>
        <v/>
      </c>
      <c r="AB4267">
        <f>IF(AND(LEFT(N4267,7)="Explore",(AA4267-IF(LEFT(N4267,7)="Explore",S4267,0))&lt;10),"SI","NO")</f>
        <v/>
      </c>
    </row>
    <row r="4268">
      <c r="A4268" t="inlineStr">
        <is>
          <t>c59f2_test</t>
        </is>
      </c>
      <c r="B4268" t="inlineStr">
        <is>
          <t>2026-07-03 15:32:21.272</t>
        </is>
      </c>
      <c r="C4268" t="n">
        <v/>
      </c>
      <c r="D4268" t="inlineStr">
        <is>
          <t>Media file</t>
        </is>
      </c>
      <c r="E4268" t="inlineStr">
        <is>
          <t>player #1:C:/Users/manuel.felline/Documents/BEHAVIOR BTBR/NOR second cohort/WT/test/c59_f2.mp4</t>
        </is>
      </c>
      <c r="F4268" t="n">
        <v>-6.9</v>
      </c>
      <c r="G4268" t="n">
        <v>491.099</v>
      </c>
      <c r="H4268" t="n">
        <v>625.133</v>
      </c>
      <c r="I4268" t="n">
        <v>30</v>
      </c>
      <c r="J4268" t="inlineStr">
        <is>
          <t xml:space="preserve"> WT</t>
        </is>
      </c>
      <c r="K4268" t="inlineStr">
        <is>
          <t xml:space="preserve"> Female</t>
        </is>
      </c>
      <c r="L4268" t="inlineStr">
        <is>
          <t>No focal subject</t>
        </is>
      </c>
      <c r="M4268" t="n">
        <v>85.13</v>
      </c>
      <c r="N4268" t="inlineStr">
        <is>
          <t>Explore_N</t>
        </is>
      </c>
      <c r="O4268" t="inlineStr">
        <is>
          <t>Novelty</t>
        </is>
      </c>
      <c r="P4268" t="inlineStr">
        <is>
          <t>STATE</t>
        </is>
      </c>
      <c r="Q4268" t="n">
        <v>303.1</v>
      </c>
      <c r="R4268" t="n">
        <v>303.966</v>
      </c>
      <c r="S4268" t="n">
        <v>0.866</v>
      </c>
      <c r="T4268" t="inlineStr">
        <is>
          <t>C:/Users/manuel.felline/Documents/BEHAVIOR BTBR/NOR second cohort/WT/test/c59_f2.mp4</t>
        </is>
      </c>
      <c r="U4268" t="n">
        <v>9299</v>
      </c>
      <c r="V4268" t="n">
        <v>9325</v>
      </c>
      <c r="W4268" t="n">
        <v/>
      </c>
      <c r="X4268" t="n">
        <v/>
      </c>
      <c r="Y4268" t="n">
        <v/>
      </c>
      <c r="Z4268" t="n">
        <v/>
      </c>
      <c r="AA4268">
        <f>SUMIFS($S$2:S4268,$A$2:A4268,A4268,$N$2:N4268,"Explore*")</f>
        <v/>
      </c>
      <c r="AB4268">
        <f>IF(AND(LEFT(N4268,7)="Explore",(AA4268-IF(LEFT(N4268,7)="Explore",S4268,0))&lt;10),"SI","NO")</f>
        <v/>
      </c>
    </row>
    <row r="4269">
      <c r="A4269" t="inlineStr">
        <is>
          <t>c59f2_test</t>
        </is>
      </c>
      <c r="B4269" t="inlineStr">
        <is>
          <t>2026-07-03 15:32:21.272</t>
        </is>
      </c>
      <c r="C4269" t="n">
        <v/>
      </c>
      <c r="D4269" t="inlineStr">
        <is>
          <t>Media file</t>
        </is>
      </c>
      <c r="E4269" t="inlineStr">
        <is>
          <t>player #1:C:/Users/manuel.felline/Documents/BEHAVIOR BTBR/NOR second cohort/WT/test/c59_f2.mp4</t>
        </is>
      </c>
      <c r="F4269" t="n">
        <v>-6.9</v>
      </c>
      <c r="G4269" t="n">
        <v>491.099</v>
      </c>
      <c r="H4269" t="n">
        <v>625.133</v>
      </c>
      <c r="I4269" t="n">
        <v>30</v>
      </c>
      <c r="J4269" t="inlineStr">
        <is>
          <t xml:space="preserve"> WT</t>
        </is>
      </c>
      <c r="K4269" t="inlineStr">
        <is>
          <t xml:space="preserve"> Female</t>
        </is>
      </c>
      <c r="L4269" t="inlineStr">
        <is>
          <t>No focal subject</t>
        </is>
      </c>
      <c r="M4269" t="n">
        <v>85.13</v>
      </c>
      <c r="N4269" t="inlineStr">
        <is>
          <t>Explore_N</t>
        </is>
      </c>
      <c r="O4269" t="inlineStr">
        <is>
          <t>Novelty</t>
        </is>
      </c>
      <c r="P4269" t="inlineStr">
        <is>
          <t>STATE</t>
        </is>
      </c>
      <c r="Q4269" t="n">
        <v>305</v>
      </c>
      <c r="R4269" t="n">
        <v>305.433</v>
      </c>
      <c r="S4269" t="n">
        <v>0.433</v>
      </c>
      <c r="T4269" t="inlineStr">
        <is>
          <t>C:/Users/manuel.felline/Documents/BEHAVIOR BTBR/NOR second cohort/WT/test/c59_f2.mp4</t>
        </is>
      </c>
      <c r="U4269" t="n">
        <v>9356</v>
      </c>
      <c r="V4269" t="n">
        <v>9369</v>
      </c>
      <c r="W4269" t="n">
        <v/>
      </c>
      <c r="X4269" t="n">
        <v/>
      </c>
      <c r="Y4269" t="n">
        <v/>
      </c>
      <c r="Z4269" t="n">
        <v/>
      </c>
      <c r="AA4269">
        <f>SUMIFS($S$2:S4269,$A$2:A4269,A4269,$N$2:N4269,"Explore*")</f>
        <v/>
      </c>
      <c r="AB4269">
        <f>IF(AND(LEFT(N4269,7)="Explore",(AA4269-IF(LEFT(N4269,7)="Explore",S4269,0))&lt;10),"SI","NO")</f>
        <v/>
      </c>
    </row>
    <row r="4270">
      <c r="A4270" t="inlineStr">
        <is>
          <t>c59f2_test</t>
        </is>
      </c>
      <c r="B4270" t="inlineStr">
        <is>
          <t>2026-07-03 15:32:21.272</t>
        </is>
      </c>
      <c r="C4270" t="n">
        <v/>
      </c>
      <c r="D4270" t="inlineStr">
        <is>
          <t>Media file</t>
        </is>
      </c>
      <c r="E4270" t="inlineStr">
        <is>
          <t>player #1:C:/Users/manuel.felline/Documents/BEHAVIOR BTBR/NOR second cohort/WT/test/c59_f2.mp4</t>
        </is>
      </c>
      <c r="F4270" t="n">
        <v>-6.9</v>
      </c>
      <c r="G4270" t="n">
        <v>491.099</v>
      </c>
      <c r="H4270" t="n">
        <v>625.133</v>
      </c>
      <c r="I4270" t="n">
        <v>30</v>
      </c>
      <c r="J4270" t="inlineStr">
        <is>
          <t xml:space="preserve"> WT</t>
        </is>
      </c>
      <c r="K4270" t="inlineStr">
        <is>
          <t xml:space="preserve"> Female</t>
        </is>
      </c>
      <c r="L4270" t="inlineStr">
        <is>
          <t>No focal subject</t>
        </is>
      </c>
      <c r="M4270" t="n">
        <v>85.13</v>
      </c>
      <c r="N4270" t="inlineStr">
        <is>
          <t>Explore_N</t>
        </is>
      </c>
      <c r="O4270" t="inlineStr">
        <is>
          <t>Novelty</t>
        </is>
      </c>
      <c r="P4270" t="inlineStr">
        <is>
          <t>STATE</t>
        </is>
      </c>
      <c r="Q4270" t="n">
        <v>307.266</v>
      </c>
      <c r="R4270" t="n">
        <v>309.066</v>
      </c>
      <c r="S4270" t="n">
        <v>1.8</v>
      </c>
      <c r="T4270" t="inlineStr">
        <is>
          <t>C:/Users/manuel.felline/Documents/BEHAVIOR BTBR/NOR second cohort/WT/test/c59_f2.mp4</t>
        </is>
      </c>
      <c r="U4270" t="n">
        <v>9424</v>
      </c>
      <c r="V4270" t="n">
        <v>9478</v>
      </c>
      <c r="W4270" t="n">
        <v/>
      </c>
      <c r="X4270" t="n">
        <v/>
      </c>
      <c r="Y4270" t="n">
        <v/>
      </c>
      <c r="Z4270" t="n">
        <v/>
      </c>
      <c r="AA4270">
        <f>SUMIFS($S$2:S4270,$A$2:A4270,A4270,$N$2:N4270,"Explore*")</f>
        <v/>
      </c>
      <c r="AB4270">
        <f>IF(AND(LEFT(N4270,7)="Explore",(AA4270-IF(LEFT(N4270,7)="Explore",S4270,0))&lt;10),"SI","NO")</f>
        <v/>
      </c>
    </row>
    <row r="4271">
      <c r="A4271" t="inlineStr">
        <is>
          <t>c59f2_test</t>
        </is>
      </c>
      <c r="B4271" t="inlineStr">
        <is>
          <t>2026-07-03 15:32:21.272</t>
        </is>
      </c>
      <c r="C4271" t="n">
        <v/>
      </c>
      <c r="D4271" t="inlineStr">
        <is>
          <t>Media file</t>
        </is>
      </c>
      <c r="E4271" t="inlineStr">
        <is>
          <t>player #1:C:/Users/manuel.felline/Documents/BEHAVIOR BTBR/NOR second cohort/WT/test/c59_f2.mp4</t>
        </is>
      </c>
      <c r="F4271" t="n">
        <v>-6.9</v>
      </c>
      <c r="G4271" t="n">
        <v>491.099</v>
      </c>
      <c r="H4271" t="n">
        <v>625.133</v>
      </c>
      <c r="I4271" t="n">
        <v>30</v>
      </c>
      <c r="J4271" t="inlineStr">
        <is>
          <t xml:space="preserve"> WT</t>
        </is>
      </c>
      <c r="K4271" t="inlineStr">
        <is>
          <t xml:space="preserve"> Female</t>
        </is>
      </c>
      <c r="L4271" t="inlineStr">
        <is>
          <t>No focal subject</t>
        </is>
      </c>
      <c r="M4271" t="n">
        <v>85.13</v>
      </c>
      <c r="N4271" t="inlineStr">
        <is>
          <t>Explore_N</t>
        </is>
      </c>
      <c r="O4271" t="inlineStr">
        <is>
          <t>Novelty</t>
        </is>
      </c>
      <c r="P4271" t="inlineStr">
        <is>
          <t>STATE</t>
        </is>
      </c>
      <c r="Q4271" t="n">
        <v>311.066</v>
      </c>
      <c r="R4271" t="n">
        <v>312.366</v>
      </c>
      <c r="S4271" t="n">
        <v>1.3</v>
      </c>
      <c r="T4271" t="inlineStr">
        <is>
          <t>C:/Users/manuel.felline/Documents/BEHAVIOR BTBR/NOR second cohort/WT/test/c59_f2.mp4</t>
        </is>
      </c>
      <c r="U4271" t="n">
        <v>9538</v>
      </c>
      <c r="V4271" t="n">
        <v>9577</v>
      </c>
      <c r="W4271" t="n">
        <v/>
      </c>
      <c r="X4271" t="n">
        <v/>
      </c>
      <c r="Y4271" t="n">
        <v/>
      </c>
      <c r="Z4271" t="n">
        <v/>
      </c>
      <c r="AA4271">
        <f>SUMIFS($S$2:S4271,$A$2:A4271,A4271,$N$2:N4271,"Explore*")</f>
        <v/>
      </c>
      <c r="AB4271">
        <f>IF(AND(LEFT(N4271,7)="Explore",(AA4271-IF(LEFT(N4271,7)="Explore",S4271,0))&lt;10),"SI","NO")</f>
        <v/>
      </c>
    </row>
    <row r="4272">
      <c r="A4272" t="inlineStr">
        <is>
          <t>c59f2_test</t>
        </is>
      </c>
      <c r="B4272" t="inlineStr">
        <is>
          <t>2026-07-03 15:32:21.272</t>
        </is>
      </c>
      <c r="C4272" t="n">
        <v/>
      </c>
      <c r="D4272" t="inlineStr">
        <is>
          <t>Media file</t>
        </is>
      </c>
      <c r="E4272" t="inlineStr">
        <is>
          <t>player #1:C:/Users/manuel.felline/Documents/BEHAVIOR BTBR/NOR second cohort/WT/test/c59_f2.mp4</t>
        </is>
      </c>
      <c r="F4272" t="n">
        <v>-6.9</v>
      </c>
      <c r="G4272" t="n">
        <v>491.099</v>
      </c>
      <c r="H4272" t="n">
        <v>625.133</v>
      </c>
      <c r="I4272" t="n">
        <v>30</v>
      </c>
      <c r="J4272" t="inlineStr">
        <is>
          <t xml:space="preserve"> WT</t>
        </is>
      </c>
      <c r="K4272" t="inlineStr">
        <is>
          <t xml:space="preserve"> Female</t>
        </is>
      </c>
      <c r="L4272" t="inlineStr">
        <is>
          <t>No focal subject</t>
        </is>
      </c>
      <c r="M4272" t="n">
        <v>85.13</v>
      </c>
      <c r="N4272" t="inlineStr">
        <is>
          <t>Explore_N</t>
        </is>
      </c>
      <c r="O4272" t="inlineStr">
        <is>
          <t>Novelty</t>
        </is>
      </c>
      <c r="P4272" t="inlineStr">
        <is>
          <t>STATE</t>
        </is>
      </c>
      <c r="Q4272" t="n">
        <v>314.033</v>
      </c>
      <c r="R4272" t="n">
        <v>315.5</v>
      </c>
      <c r="S4272" t="n">
        <v>1.467</v>
      </c>
      <c r="T4272" t="inlineStr">
        <is>
          <t>C:/Users/manuel.felline/Documents/BEHAVIOR BTBR/NOR second cohort/WT/test/c59_f2.mp4</t>
        </is>
      </c>
      <c r="U4272" t="n">
        <v>9627</v>
      </c>
      <c r="V4272" t="n">
        <v>9671</v>
      </c>
      <c r="W4272" t="n">
        <v/>
      </c>
      <c r="X4272" t="n">
        <v/>
      </c>
      <c r="Y4272" t="n">
        <v/>
      </c>
      <c r="Z4272" t="n">
        <v/>
      </c>
      <c r="AA4272">
        <f>SUMIFS($S$2:S4272,$A$2:A4272,A4272,$N$2:N4272,"Explore*")</f>
        <v/>
      </c>
      <c r="AB4272">
        <f>IF(AND(LEFT(N4272,7)="Explore",(AA4272-IF(LEFT(N4272,7)="Explore",S4272,0))&lt;10),"SI","NO")</f>
        <v/>
      </c>
    </row>
    <row r="4273">
      <c r="A4273" t="inlineStr">
        <is>
          <t>c59f2_test</t>
        </is>
      </c>
      <c r="B4273" t="inlineStr">
        <is>
          <t>2026-07-03 15:32:21.272</t>
        </is>
      </c>
      <c r="C4273" t="n">
        <v/>
      </c>
      <c r="D4273" t="inlineStr">
        <is>
          <t>Media file</t>
        </is>
      </c>
      <c r="E4273" t="inlineStr">
        <is>
          <t>player #1:C:/Users/manuel.felline/Documents/BEHAVIOR BTBR/NOR second cohort/WT/test/c59_f2.mp4</t>
        </is>
      </c>
      <c r="F4273" t="n">
        <v>-6.9</v>
      </c>
      <c r="G4273" t="n">
        <v>491.099</v>
      </c>
      <c r="H4273" t="n">
        <v>625.133</v>
      </c>
      <c r="I4273" t="n">
        <v>30</v>
      </c>
      <c r="J4273" t="inlineStr">
        <is>
          <t xml:space="preserve"> WT</t>
        </is>
      </c>
      <c r="K4273" t="inlineStr">
        <is>
          <t xml:space="preserve"> Female</t>
        </is>
      </c>
      <c r="L4273" t="inlineStr">
        <is>
          <t>No focal subject</t>
        </is>
      </c>
      <c r="M4273" t="n">
        <v>85.13</v>
      </c>
      <c r="N4273" t="inlineStr">
        <is>
          <t>Explore_N</t>
        </is>
      </c>
      <c r="O4273" t="inlineStr">
        <is>
          <t>Novelty</t>
        </is>
      </c>
      <c r="P4273" t="inlineStr">
        <is>
          <t>STATE</t>
        </is>
      </c>
      <c r="Q4273" t="n">
        <v>316.533</v>
      </c>
      <c r="R4273" t="n">
        <v>318.833</v>
      </c>
      <c r="S4273" t="n">
        <v>2.3</v>
      </c>
      <c r="T4273" t="inlineStr">
        <is>
          <t>C:/Users/manuel.felline/Documents/BEHAVIOR BTBR/NOR second cohort/WT/test/c59_f2.mp4</t>
        </is>
      </c>
      <c r="U4273" t="n">
        <v>9702</v>
      </c>
      <c r="V4273" t="n">
        <v>9771</v>
      </c>
      <c r="W4273" t="n">
        <v/>
      </c>
      <c r="X4273" t="n">
        <v/>
      </c>
      <c r="Y4273" t="n">
        <v/>
      </c>
      <c r="Z4273" t="n">
        <v/>
      </c>
      <c r="AA4273">
        <f>SUMIFS($S$2:S4273,$A$2:A4273,A4273,$N$2:N4273,"Explore*")</f>
        <v/>
      </c>
      <c r="AB4273">
        <f>IF(AND(LEFT(N4273,7)="Explore",(AA4273-IF(LEFT(N4273,7)="Explore",S4273,0))&lt;10),"SI","NO")</f>
        <v/>
      </c>
    </row>
    <row r="4274">
      <c r="A4274" t="inlineStr">
        <is>
          <t>c59f2_test</t>
        </is>
      </c>
      <c r="B4274" t="inlineStr">
        <is>
          <t>2026-07-03 15:32:21.272</t>
        </is>
      </c>
      <c r="C4274" t="n">
        <v/>
      </c>
      <c r="D4274" t="inlineStr">
        <is>
          <t>Media file</t>
        </is>
      </c>
      <c r="E4274" t="inlineStr">
        <is>
          <t>player #1:C:/Users/manuel.felline/Documents/BEHAVIOR BTBR/NOR second cohort/WT/test/c59_f2.mp4</t>
        </is>
      </c>
      <c r="F4274" t="n">
        <v>-6.9</v>
      </c>
      <c r="G4274" t="n">
        <v>491.099</v>
      </c>
      <c r="H4274" t="n">
        <v>625.133</v>
      </c>
      <c r="I4274" t="n">
        <v>30</v>
      </c>
      <c r="J4274" t="inlineStr">
        <is>
          <t xml:space="preserve"> WT</t>
        </is>
      </c>
      <c r="K4274" t="inlineStr">
        <is>
          <t xml:space="preserve"> Female</t>
        </is>
      </c>
      <c r="L4274" t="inlineStr">
        <is>
          <t>No focal subject</t>
        </is>
      </c>
      <c r="M4274" t="n">
        <v>85.13</v>
      </c>
      <c r="N4274" t="inlineStr">
        <is>
          <t>Explore_N</t>
        </is>
      </c>
      <c r="O4274" t="inlineStr">
        <is>
          <t>Novelty</t>
        </is>
      </c>
      <c r="P4274" t="inlineStr">
        <is>
          <t>STATE</t>
        </is>
      </c>
      <c r="Q4274" t="n">
        <v>319.666</v>
      </c>
      <c r="R4274" t="n">
        <v>321.9</v>
      </c>
      <c r="S4274" t="n">
        <v>2.234</v>
      </c>
      <c r="T4274" t="inlineStr">
        <is>
          <t>C:/Users/manuel.felline/Documents/BEHAVIOR BTBR/NOR second cohort/WT/test/c59_f2.mp4</t>
        </is>
      </c>
      <c r="U4274" t="n">
        <v>9796</v>
      </c>
      <c r="V4274" t="n">
        <v>9862</v>
      </c>
      <c r="W4274" t="n">
        <v/>
      </c>
      <c r="X4274" t="n">
        <v/>
      </c>
      <c r="Y4274" t="n">
        <v/>
      </c>
      <c r="Z4274" t="n">
        <v/>
      </c>
      <c r="AA4274">
        <f>SUMIFS($S$2:S4274,$A$2:A4274,A4274,$N$2:N4274,"Explore*")</f>
        <v/>
      </c>
      <c r="AB4274">
        <f>IF(AND(LEFT(N4274,7)="Explore",(AA4274-IF(LEFT(N4274,7)="Explore",S4274,0))&lt;10),"SI","NO")</f>
        <v/>
      </c>
    </row>
    <row r="4275">
      <c r="A4275" t="inlineStr">
        <is>
          <t>c59f2_test</t>
        </is>
      </c>
      <c r="B4275" t="inlineStr">
        <is>
          <t>2026-07-03 15:32:21.272</t>
        </is>
      </c>
      <c r="C4275" t="n">
        <v/>
      </c>
      <c r="D4275" t="inlineStr">
        <is>
          <t>Media file</t>
        </is>
      </c>
      <c r="E4275" t="inlineStr">
        <is>
          <t>player #1:C:/Users/manuel.felline/Documents/BEHAVIOR BTBR/NOR second cohort/WT/test/c59_f2.mp4</t>
        </is>
      </c>
      <c r="F4275" t="n">
        <v>-6.9</v>
      </c>
      <c r="G4275" t="n">
        <v>491.099</v>
      </c>
      <c r="H4275" t="n">
        <v>625.133</v>
      </c>
      <c r="I4275" t="n">
        <v>30</v>
      </c>
      <c r="J4275" t="inlineStr">
        <is>
          <t xml:space="preserve"> WT</t>
        </is>
      </c>
      <c r="K4275" t="inlineStr">
        <is>
          <t xml:space="preserve"> Female</t>
        </is>
      </c>
      <c r="L4275" t="inlineStr">
        <is>
          <t>No focal subject</t>
        </is>
      </c>
      <c r="M4275" t="n">
        <v>85.13</v>
      </c>
      <c r="N4275" t="inlineStr">
        <is>
          <t>Explore_N</t>
        </is>
      </c>
      <c r="O4275" t="inlineStr">
        <is>
          <t>Novelty</t>
        </is>
      </c>
      <c r="P4275" t="inlineStr">
        <is>
          <t>STATE</t>
        </is>
      </c>
      <c r="Q4275" t="n">
        <v>322.733</v>
      </c>
      <c r="R4275" t="n">
        <v>325.033</v>
      </c>
      <c r="S4275" t="n">
        <v>2.3</v>
      </c>
      <c r="T4275" t="inlineStr">
        <is>
          <t>C:/Users/manuel.felline/Documents/BEHAVIOR BTBR/NOR second cohort/WT/test/c59_f2.mp4</t>
        </is>
      </c>
      <c r="U4275" t="n">
        <v>9887</v>
      </c>
      <c r="V4275" t="n">
        <v>9956</v>
      </c>
      <c r="W4275" t="n">
        <v/>
      </c>
      <c r="X4275" t="n">
        <v/>
      </c>
      <c r="Y4275" t="n">
        <v/>
      </c>
      <c r="Z4275" t="n">
        <v/>
      </c>
      <c r="AA4275">
        <f>SUMIFS($S$2:S4275,$A$2:A4275,A4275,$N$2:N4275,"Explore*")</f>
        <v/>
      </c>
      <c r="AB4275">
        <f>IF(AND(LEFT(N4275,7)="Explore",(AA4275-IF(LEFT(N4275,7)="Explore",S4275,0))&lt;10),"SI","NO")</f>
        <v/>
      </c>
    </row>
    <row r="4276">
      <c r="A4276" t="inlineStr">
        <is>
          <t>c59f2_test</t>
        </is>
      </c>
      <c r="B4276" t="inlineStr">
        <is>
          <t>2026-07-03 15:32:21.272</t>
        </is>
      </c>
      <c r="C4276" t="n">
        <v/>
      </c>
      <c r="D4276" t="inlineStr">
        <is>
          <t>Media file</t>
        </is>
      </c>
      <c r="E4276" t="inlineStr">
        <is>
          <t>player #1:C:/Users/manuel.felline/Documents/BEHAVIOR BTBR/NOR second cohort/WT/test/c59_f2.mp4</t>
        </is>
      </c>
      <c r="F4276" t="n">
        <v>-6.9</v>
      </c>
      <c r="G4276" t="n">
        <v>491.099</v>
      </c>
      <c r="H4276" t="n">
        <v>625.133</v>
      </c>
      <c r="I4276" t="n">
        <v>30</v>
      </c>
      <c r="J4276" t="inlineStr">
        <is>
          <t xml:space="preserve"> WT</t>
        </is>
      </c>
      <c r="K4276" t="inlineStr">
        <is>
          <t xml:space="preserve"> Female</t>
        </is>
      </c>
      <c r="L4276" t="inlineStr">
        <is>
          <t>No focal subject</t>
        </is>
      </c>
      <c r="M4276" t="n">
        <v>85.13</v>
      </c>
      <c r="N4276" t="inlineStr">
        <is>
          <t>Explore_N</t>
        </is>
      </c>
      <c r="O4276" t="inlineStr">
        <is>
          <t>Novelty</t>
        </is>
      </c>
      <c r="P4276" t="inlineStr">
        <is>
          <t>STATE</t>
        </is>
      </c>
      <c r="Q4276" t="n">
        <v>336.233</v>
      </c>
      <c r="R4276" t="n">
        <v>337.466</v>
      </c>
      <c r="S4276" t="n">
        <v>1.233</v>
      </c>
      <c r="T4276" t="inlineStr">
        <is>
          <t>C:/Users/manuel.felline/Documents/BEHAVIOR BTBR/NOR second cohort/WT/test/c59_f2.mp4</t>
        </is>
      </c>
      <c r="U4276" t="n">
        <v>10292</v>
      </c>
      <c r="V4276" t="n">
        <v>10329</v>
      </c>
      <c r="W4276" t="n">
        <v/>
      </c>
      <c r="X4276" t="n">
        <v/>
      </c>
      <c r="Y4276" t="n">
        <v/>
      </c>
      <c r="Z4276" t="n">
        <v/>
      </c>
      <c r="AA4276">
        <f>SUMIFS($S$2:S4276,$A$2:A4276,A4276,$N$2:N4276,"Explore*")</f>
        <v/>
      </c>
      <c r="AB4276">
        <f>IF(AND(LEFT(N4276,7)="Explore",(AA4276-IF(LEFT(N4276,7)="Explore",S4276,0))&lt;10),"SI","NO")</f>
        <v/>
      </c>
    </row>
    <row r="4277">
      <c r="A4277" t="inlineStr">
        <is>
          <t>c59f2_test</t>
        </is>
      </c>
      <c r="B4277" t="inlineStr">
        <is>
          <t>2026-07-03 15:32:21.272</t>
        </is>
      </c>
      <c r="C4277" t="n">
        <v/>
      </c>
      <c r="D4277" t="inlineStr">
        <is>
          <t>Media file</t>
        </is>
      </c>
      <c r="E4277" t="inlineStr">
        <is>
          <t>player #1:C:/Users/manuel.felline/Documents/BEHAVIOR BTBR/NOR second cohort/WT/test/c59_f2.mp4</t>
        </is>
      </c>
      <c r="F4277" t="n">
        <v>-6.9</v>
      </c>
      <c r="G4277" t="n">
        <v>491.099</v>
      </c>
      <c r="H4277" t="n">
        <v>625.133</v>
      </c>
      <c r="I4277" t="n">
        <v>30</v>
      </c>
      <c r="J4277" t="inlineStr">
        <is>
          <t xml:space="preserve"> WT</t>
        </is>
      </c>
      <c r="K4277" t="inlineStr">
        <is>
          <t xml:space="preserve"> Female</t>
        </is>
      </c>
      <c r="L4277" t="inlineStr">
        <is>
          <t>No focal subject</t>
        </is>
      </c>
      <c r="M4277" t="n">
        <v>85.13</v>
      </c>
      <c r="N4277" t="inlineStr">
        <is>
          <t>Explore_N</t>
        </is>
      </c>
      <c r="O4277" t="inlineStr">
        <is>
          <t>Novelty</t>
        </is>
      </c>
      <c r="P4277" t="inlineStr">
        <is>
          <t>STATE</t>
        </is>
      </c>
      <c r="Q4277" t="n">
        <v>338.266</v>
      </c>
      <c r="R4277" t="n">
        <v>339.166</v>
      </c>
      <c r="S4277" t="n">
        <v>0.9</v>
      </c>
      <c r="T4277" t="inlineStr">
        <is>
          <t>C:/Users/manuel.felline/Documents/BEHAVIOR BTBR/NOR second cohort/WT/test/c59_f2.mp4</t>
        </is>
      </c>
      <c r="U4277" t="n">
        <v>10353</v>
      </c>
      <c r="V4277" t="n">
        <v>10380</v>
      </c>
      <c r="W4277" t="n">
        <v/>
      </c>
      <c r="X4277" t="n">
        <v/>
      </c>
      <c r="Y4277" t="n">
        <v/>
      </c>
      <c r="Z4277" t="n">
        <v/>
      </c>
      <c r="AA4277">
        <f>SUMIFS($S$2:S4277,$A$2:A4277,A4277,$N$2:N4277,"Explore*")</f>
        <v/>
      </c>
      <c r="AB4277">
        <f>IF(AND(LEFT(N4277,7)="Explore",(AA4277-IF(LEFT(N4277,7)="Explore",S4277,0))&lt;10),"SI","NO")</f>
        <v/>
      </c>
    </row>
    <row r="4278">
      <c r="A4278" t="inlineStr">
        <is>
          <t>c59f2_test</t>
        </is>
      </c>
      <c r="B4278" t="inlineStr">
        <is>
          <t>2026-07-03 15:32:21.272</t>
        </is>
      </c>
      <c r="C4278" t="n">
        <v/>
      </c>
      <c r="D4278" t="inlineStr">
        <is>
          <t>Media file</t>
        </is>
      </c>
      <c r="E4278" t="inlineStr">
        <is>
          <t>player #1:C:/Users/manuel.felline/Documents/BEHAVIOR BTBR/NOR second cohort/WT/test/c59_f2.mp4</t>
        </is>
      </c>
      <c r="F4278" t="n">
        <v>-6.9</v>
      </c>
      <c r="G4278" t="n">
        <v>491.099</v>
      </c>
      <c r="H4278" t="n">
        <v>625.133</v>
      </c>
      <c r="I4278" t="n">
        <v>30</v>
      </c>
      <c r="J4278" t="inlineStr">
        <is>
          <t xml:space="preserve"> WT</t>
        </is>
      </c>
      <c r="K4278" t="inlineStr">
        <is>
          <t xml:space="preserve"> Female</t>
        </is>
      </c>
      <c r="L4278" t="inlineStr">
        <is>
          <t>No focal subject</t>
        </is>
      </c>
      <c r="M4278" t="n">
        <v>85.13</v>
      </c>
      <c r="N4278" t="inlineStr">
        <is>
          <t>Explore_N</t>
        </is>
      </c>
      <c r="O4278" t="inlineStr">
        <is>
          <t>Novelty</t>
        </is>
      </c>
      <c r="P4278" t="inlineStr">
        <is>
          <t>STATE</t>
        </is>
      </c>
      <c r="Q4278" t="n">
        <v>340.266</v>
      </c>
      <c r="R4278" t="n">
        <v>340.8</v>
      </c>
      <c r="S4278" t="n">
        <v>0.534</v>
      </c>
      <c r="T4278" t="inlineStr">
        <is>
          <t>C:/Users/manuel.felline/Documents/BEHAVIOR BTBR/NOR second cohort/WT/test/c59_f2.mp4</t>
        </is>
      </c>
      <c r="U4278" t="n">
        <v>10413</v>
      </c>
      <c r="V4278" t="n">
        <v>10429</v>
      </c>
      <c r="W4278" t="n">
        <v/>
      </c>
      <c r="X4278" t="n">
        <v/>
      </c>
      <c r="Y4278" t="n">
        <v/>
      </c>
      <c r="Z4278" t="n">
        <v/>
      </c>
      <c r="AA4278">
        <f>SUMIFS($S$2:S4278,$A$2:A4278,A4278,$N$2:N4278,"Explore*")</f>
        <v/>
      </c>
      <c r="AB4278">
        <f>IF(AND(LEFT(N4278,7)="Explore",(AA4278-IF(LEFT(N4278,7)="Explore",S4278,0))&lt;10),"SI","NO")</f>
        <v/>
      </c>
    </row>
    <row r="4279">
      <c r="A4279" t="inlineStr">
        <is>
          <t>c59f2_test</t>
        </is>
      </c>
      <c r="B4279" t="inlineStr">
        <is>
          <t>2026-07-03 15:32:21.272</t>
        </is>
      </c>
      <c r="C4279" t="n">
        <v/>
      </c>
      <c r="D4279" t="inlineStr">
        <is>
          <t>Media file</t>
        </is>
      </c>
      <c r="E4279" t="inlineStr">
        <is>
          <t>player #1:C:/Users/manuel.felline/Documents/BEHAVIOR BTBR/NOR second cohort/WT/test/c59_f2.mp4</t>
        </is>
      </c>
      <c r="F4279" t="n">
        <v>-6.9</v>
      </c>
      <c r="G4279" t="n">
        <v>491.099</v>
      </c>
      <c r="H4279" t="n">
        <v>625.133</v>
      </c>
      <c r="I4279" t="n">
        <v>30</v>
      </c>
      <c r="J4279" t="inlineStr">
        <is>
          <t xml:space="preserve"> WT</t>
        </is>
      </c>
      <c r="K4279" t="inlineStr">
        <is>
          <t xml:space="preserve"> Female</t>
        </is>
      </c>
      <c r="L4279" t="inlineStr">
        <is>
          <t>No focal subject</t>
        </is>
      </c>
      <c r="M4279" t="n">
        <v>85.13</v>
      </c>
      <c r="N4279" t="inlineStr">
        <is>
          <t>Explore_N</t>
        </is>
      </c>
      <c r="O4279" t="inlineStr">
        <is>
          <t>Novelty</t>
        </is>
      </c>
      <c r="P4279" t="inlineStr">
        <is>
          <t>STATE</t>
        </is>
      </c>
      <c r="Q4279" t="n">
        <v>342.166</v>
      </c>
      <c r="R4279" t="n">
        <v>343.633</v>
      </c>
      <c r="S4279" t="n">
        <v>1.467</v>
      </c>
      <c r="T4279" t="inlineStr">
        <is>
          <t>C:/Users/manuel.felline/Documents/BEHAVIOR BTBR/NOR second cohort/WT/test/c59_f2.mp4</t>
        </is>
      </c>
      <c r="U4279" t="n">
        <v>10470</v>
      </c>
      <c r="V4279" t="n">
        <v>10514</v>
      </c>
      <c r="W4279" t="n">
        <v/>
      </c>
      <c r="X4279" t="n">
        <v/>
      </c>
      <c r="Y4279" t="n">
        <v/>
      </c>
      <c r="Z4279" t="n">
        <v/>
      </c>
      <c r="AA4279">
        <f>SUMIFS($S$2:S4279,$A$2:A4279,A4279,$N$2:N4279,"Explore*")</f>
        <v/>
      </c>
      <c r="AB4279">
        <f>IF(AND(LEFT(N4279,7)="Explore",(AA4279-IF(LEFT(N4279,7)="Explore",S4279,0))&lt;10),"SI","NO")</f>
        <v/>
      </c>
    </row>
    <row r="4280">
      <c r="A4280" t="inlineStr">
        <is>
          <t>c59f2_test</t>
        </is>
      </c>
      <c r="B4280" t="inlineStr">
        <is>
          <t>2026-07-03 15:32:21.272</t>
        </is>
      </c>
      <c r="C4280" t="n">
        <v/>
      </c>
      <c r="D4280" t="inlineStr">
        <is>
          <t>Media file</t>
        </is>
      </c>
      <c r="E4280" t="inlineStr">
        <is>
          <t>player #1:C:/Users/manuel.felline/Documents/BEHAVIOR BTBR/NOR second cohort/WT/test/c59_f2.mp4</t>
        </is>
      </c>
      <c r="F4280" t="n">
        <v>-6.9</v>
      </c>
      <c r="G4280" t="n">
        <v>491.099</v>
      </c>
      <c r="H4280" t="n">
        <v>625.133</v>
      </c>
      <c r="I4280" t="n">
        <v>30</v>
      </c>
      <c r="J4280" t="inlineStr">
        <is>
          <t xml:space="preserve"> WT</t>
        </is>
      </c>
      <c r="K4280" t="inlineStr">
        <is>
          <t xml:space="preserve"> Female</t>
        </is>
      </c>
      <c r="L4280" t="inlineStr">
        <is>
          <t>No focal subject</t>
        </is>
      </c>
      <c r="M4280" t="n">
        <v>85.13</v>
      </c>
      <c r="N4280" t="inlineStr">
        <is>
          <t>Explore_N</t>
        </is>
      </c>
      <c r="O4280" t="inlineStr">
        <is>
          <t>Novelty</t>
        </is>
      </c>
      <c r="P4280" t="inlineStr">
        <is>
          <t>STATE</t>
        </is>
      </c>
      <c r="Q4280" t="n">
        <v>344.366</v>
      </c>
      <c r="R4280" t="n">
        <v>345.466</v>
      </c>
      <c r="S4280" t="n">
        <v>1.1</v>
      </c>
      <c r="T4280" t="inlineStr">
        <is>
          <t>C:/Users/manuel.felline/Documents/BEHAVIOR BTBR/NOR second cohort/WT/test/c59_f2.mp4</t>
        </is>
      </c>
      <c r="U4280" t="n">
        <v>10536</v>
      </c>
      <c r="V4280" t="n">
        <v>10569</v>
      </c>
      <c r="W4280" t="n">
        <v/>
      </c>
      <c r="X4280" t="n">
        <v/>
      </c>
      <c r="Y4280" t="n">
        <v/>
      </c>
      <c r="Z4280" t="n">
        <v/>
      </c>
      <c r="AA4280">
        <f>SUMIFS($S$2:S4280,$A$2:A4280,A4280,$N$2:N4280,"Explore*")</f>
        <v/>
      </c>
      <c r="AB4280">
        <f>IF(AND(LEFT(N4280,7)="Explore",(AA4280-IF(LEFT(N4280,7)="Explore",S4280,0))&lt;10),"SI","NO")</f>
        <v/>
      </c>
    </row>
    <row r="4281">
      <c r="A4281" t="inlineStr">
        <is>
          <t>c59f2_test</t>
        </is>
      </c>
      <c r="B4281" t="inlineStr">
        <is>
          <t>2026-07-03 15:32:21.272</t>
        </is>
      </c>
      <c r="C4281" t="n">
        <v/>
      </c>
      <c r="D4281" t="inlineStr">
        <is>
          <t>Media file</t>
        </is>
      </c>
      <c r="E4281" t="inlineStr">
        <is>
          <t>player #1:C:/Users/manuel.felline/Documents/BEHAVIOR BTBR/NOR second cohort/WT/test/c59_f2.mp4</t>
        </is>
      </c>
      <c r="F4281" t="n">
        <v>-6.9</v>
      </c>
      <c r="G4281" t="n">
        <v>491.099</v>
      </c>
      <c r="H4281" t="n">
        <v>625.133</v>
      </c>
      <c r="I4281" t="n">
        <v>30</v>
      </c>
      <c r="J4281" t="inlineStr">
        <is>
          <t xml:space="preserve"> WT</t>
        </is>
      </c>
      <c r="K4281" t="inlineStr">
        <is>
          <t xml:space="preserve"> Female</t>
        </is>
      </c>
      <c r="L4281" t="inlineStr">
        <is>
          <t>No focal subject</t>
        </is>
      </c>
      <c r="M4281" t="n">
        <v>85.13</v>
      </c>
      <c r="N4281" t="inlineStr">
        <is>
          <t>Explore_N</t>
        </is>
      </c>
      <c r="O4281" t="inlineStr">
        <is>
          <t>Novelty</t>
        </is>
      </c>
      <c r="P4281" t="inlineStr">
        <is>
          <t>STATE</t>
        </is>
      </c>
      <c r="Q4281" t="n">
        <v>346.666</v>
      </c>
      <c r="R4281" t="n">
        <v>348.1</v>
      </c>
      <c r="S4281" t="n">
        <v>1.434</v>
      </c>
      <c r="T4281" t="inlineStr">
        <is>
          <t>C:/Users/manuel.felline/Documents/BEHAVIOR BTBR/NOR second cohort/WT/test/c59_f2.mp4</t>
        </is>
      </c>
      <c r="U4281" t="n">
        <v>10605</v>
      </c>
      <c r="V4281" t="n">
        <v>10648</v>
      </c>
      <c r="W4281" t="n">
        <v/>
      </c>
      <c r="X4281" t="n">
        <v/>
      </c>
      <c r="Y4281" t="n">
        <v/>
      </c>
      <c r="Z4281" t="n">
        <v/>
      </c>
      <c r="AA4281">
        <f>SUMIFS($S$2:S4281,$A$2:A4281,A4281,$N$2:N4281,"Explore*")</f>
        <v/>
      </c>
      <c r="AB4281">
        <f>IF(AND(LEFT(N4281,7)="Explore",(AA4281-IF(LEFT(N4281,7)="Explore",S4281,0))&lt;10),"SI","NO")</f>
        <v/>
      </c>
    </row>
    <row r="4282">
      <c r="A4282" t="inlineStr">
        <is>
          <t>c59f2_test</t>
        </is>
      </c>
      <c r="B4282" t="inlineStr">
        <is>
          <t>2026-07-03 15:32:21.272</t>
        </is>
      </c>
      <c r="C4282" t="n">
        <v/>
      </c>
      <c r="D4282" t="inlineStr">
        <is>
          <t>Media file</t>
        </is>
      </c>
      <c r="E4282" t="inlineStr">
        <is>
          <t>player #1:C:/Users/manuel.felline/Documents/BEHAVIOR BTBR/NOR second cohort/WT/test/c59_f2.mp4</t>
        </is>
      </c>
      <c r="F4282" t="n">
        <v>-6.9</v>
      </c>
      <c r="G4282" t="n">
        <v>491.099</v>
      </c>
      <c r="H4282" t="n">
        <v>625.133</v>
      </c>
      <c r="I4282" t="n">
        <v>30</v>
      </c>
      <c r="J4282" t="inlineStr">
        <is>
          <t xml:space="preserve"> WT</t>
        </is>
      </c>
      <c r="K4282" t="inlineStr">
        <is>
          <t xml:space="preserve"> Female</t>
        </is>
      </c>
      <c r="L4282" t="inlineStr">
        <is>
          <t>No focal subject</t>
        </is>
      </c>
      <c r="M4282" t="n">
        <v>85.13</v>
      </c>
      <c r="N4282" t="inlineStr">
        <is>
          <t>Explore_N</t>
        </is>
      </c>
      <c r="O4282" t="inlineStr">
        <is>
          <t>Novelty</t>
        </is>
      </c>
      <c r="P4282" t="inlineStr">
        <is>
          <t>STATE</t>
        </is>
      </c>
      <c r="Q4282" t="n">
        <v>351.833</v>
      </c>
      <c r="R4282" t="n">
        <v>352.466</v>
      </c>
      <c r="S4282" t="n">
        <v>0.633</v>
      </c>
      <c r="T4282" t="inlineStr">
        <is>
          <t>C:/Users/manuel.felline/Documents/BEHAVIOR BTBR/NOR second cohort/WT/test/c59_f2.mp4</t>
        </is>
      </c>
      <c r="U4282" t="n">
        <v>10760</v>
      </c>
      <c r="V4282" t="n">
        <v>10779</v>
      </c>
      <c r="W4282" t="n">
        <v/>
      </c>
      <c r="X4282" t="n">
        <v/>
      </c>
      <c r="Y4282" t="n">
        <v/>
      </c>
      <c r="Z4282" t="n">
        <v/>
      </c>
      <c r="AA4282">
        <f>SUMIFS($S$2:S4282,$A$2:A4282,A4282,$N$2:N4282,"Explore*")</f>
        <v/>
      </c>
      <c r="AB4282">
        <f>IF(AND(LEFT(N4282,7)="Explore",(AA4282-IF(LEFT(N4282,7)="Explore",S4282,0))&lt;10),"SI","NO")</f>
        <v/>
      </c>
    </row>
    <row r="4283">
      <c r="A4283" t="inlineStr">
        <is>
          <t>c59f2_test</t>
        </is>
      </c>
      <c r="B4283" t="inlineStr">
        <is>
          <t>2026-07-03 15:32:21.272</t>
        </is>
      </c>
      <c r="C4283" t="n">
        <v/>
      </c>
      <c r="D4283" t="inlineStr">
        <is>
          <t>Media file</t>
        </is>
      </c>
      <c r="E4283" t="inlineStr">
        <is>
          <t>player #1:C:/Users/manuel.felline/Documents/BEHAVIOR BTBR/NOR second cohort/WT/test/c59_f2.mp4</t>
        </is>
      </c>
      <c r="F4283" t="n">
        <v>-6.9</v>
      </c>
      <c r="G4283" t="n">
        <v>491.099</v>
      </c>
      <c r="H4283" t="n">
        <v>625.133</v>
      </c>
      <c r="I4283" t="n">
        <v>30</v>
      </c>
      <c r="J4283" t="inlineStr">
        <is>
          <t xml:space="preserve"> WT</t>
        </is>
      </c>
      <c r="K4283" t="inlineStr">
        <is>
          <t xml:space="preserve"> Female</t>
        </is>
      </c>
      <c r="L4283" t="inlineStr">
        <is>
          <t>No focal subject</t>
        </is>
      </c>
      <c r="M4283" t="n">
        <v>85.13</v>
      </c>
      <c r="N4283" t="inlineStr">
        <is>
          <t>Explore_N</t>
        </is>
      </c>
      <c r="O4283" t="inlineStr">
        <is>
          <t>Novelty</t>
        </is>
      </c>
      <c r="P4283" t="inlineStr">
        <is>
          <t>STATE</t>
        </is>
      </c>
      <c r="Q4283" t="n">
        <v>354.033</v>
      </c>
      <c r="R4283" t="n">
        <v>354.966</v>
      </c>
      <c r="S4283" t="n">
        <v>0.9330000000000001</v>
      </c>
      <c r="T4283" t="inlineStr">
        <is>
          <t>C:/Users/manuel.felline/Documents/BEHAVIOR BTBR/NOR second cohort/WT/test/c59_f2.mp4</t>
        </is>
      </c>
      <c r="U4283" t="n">
        <v>10826</v>
      </c>
      <c r="V4283" t="n">
        <v>10854</v>
      </c>
      <c r="W4283" t="n">
        <v/>
      </c>
      <c r="X4283" t="n">
        <v/>
      </c>
      <c r="Y4283" t="n">
        <v/>
      </c>
      <c r="Z4283" t="n">
        <v/>
      </c>
      <c r="AA4283">
        <f>SUMIFS($S$2:S4283,$A$2:A4283,A4283,$N$2:N4283,"Explore*")</f>
        <v/>
      </c>
      <c r="AB4283">
        <f>IF(AND(LEFT(N4283,7)="Explore",(AA4283-IF(LEFT(N4283,7)="Explore",S4283,0))&lt;10),"SI","NO")</f>
        <v/>
      </c>
    </row>
    <row r="4284">
      <c r="A4284" t="inlineStr">
        <is>
          <t>c59f2_test</t>
        </is>
      </c>
      <c r="B4284" t="inlineStr">
        <is>
          <t>2026-07-03 15:32:21.272</t>
        </is>
      </c>
      <c r="C4284" t="n">
        <v/>
      </c>
      <c r="D4284" t="inlineStr">
        <is>
          <t>Media file</t>
        </is>
      </c>
      <c r="E4284" t="inlineStr">
        <is>
          <t>player #1:C:/Users/manuel.felline/Documents/BEHAVIOR BTBR/NOR second cohort/WT/test/c59_f2.mp4</t>
        </is>
      </c>
      <c r="F4284" t="n">
        <v>-6.9</v>
      </c>
      <c r="G4284" t="n">
        <v>491.099</v>
      </c>
      <c r="H4284" t="n">
        <v>625.133</v>
      </c>
      <c r="I4284" t="n">
        <v>30</v>
      </c>
      <c r="J4284" t="inlineStr">
        <is>
          <t xml:space="preserve"> WT</t>
        </is>
      </c>
      <c r="K4284" t="inlineStr">
        <is>
          <t xml:space="preserve"> Female</t>
        </is>
      </c>
      <c r="L4284" t="inlineStr">
        <is>
          <t>No focal subject</t>
        </is>
      </c>
      <c r="M4284" t="n">
        <v>85.13</v>
      </c>
      <c r="N4284" t="inlineStr">
        <is>
          <t>Explore_N</t>
        </is>
      </c>
      <c r="O4284" t="inlineStr">
        <is>
          <t>Novelty</t>
        </is>
      </c>
      <c r="P4284" t="inlineStr">
        <is>
          <t>STATE</t>
        </is>
      </c>
      <c r="Q4284" t="n">
        <v>357.866</v>
      </c>
      <c r="R4284" t="n">
        <v>359.966</v>
      </c>
      <c r="S4284" t="n">
        <v>2.1</v>
      </c>
      <c r="T4284" t="inlineStr">
        <is>
          <t>C:/Users/manuel.felline/Documents/BEHAVIOR BTBR/NOR second cohort/WT/test/c59_f2.mp4</t>
        </is>
      </c>
      <c r="U4284" t="n">
        <v>10941</v>
      </c>
      <c r="V4284" t="n">
        <v>11004</v>
      </c>
      <c r="W4284" t="n">
        <v/>
      </c>
      <c r="X4284" t="n">
        <v/>
      </c>
      <c r="Y4284" t="n">
        <v/>
      </c>
      <c r="Z4284" t="n">
        <v/>
      </c>
      <c r="AA4284">
        <f>SUMIFS($S$2:S4284,$A$2:A4284,A4284,$N$2:N4284,"Explore*")</f>
        <v/>
      </c>
      <c r="AB4284">
        <f>IF(AND(LEFT(N4284,7)="Explore",(AA4284-IF(LEFT(N4284,7)="Explore",S4284,0))&lt;10),"SI","NO")</f>
        <v/>
      </c>
    </row>
    <row r="4285">
      <c r="A4285" t="inlineStr">
        <is>
          <t>c59f2_test</t>
        </is>
      </c>
      <c r="B4285" t="inlineStr">
        <is>
          <t>2026-07-03 15:32:21.272</t>
        </is>
      </c>
      <c r="C4285" t="n">
        <v/>
      </c>
      <c r="D4285" t="inlineStr">
        <is>
          <t>Media file</t>
        </is>
      </c>
      <c r="E4285" t="inlineStr">
        <is>
          <t>player #1:C:/Users/manuel.felline/Documents/BEHAVIOR BTBR/NOR second cohort/WT/test/c59_f2.mp4</t>
        </is>
      </c>
      <c r="F4285" t="n">
        <v>-6.9</v>
      </c>
      <c r="G4285" t="n">
        <v>491.099</v>
      </c>
      <c r="H4285" t="n">
        <v>625.133</v>
      </c>
      <c r="I4285" t="n">
        <v>30</v>
      </c>
      <c r="J4285" t="inlineStr">
        <is>
          <t xml:space="preserve"> WT</t>
        </is>
      </c>
      <c r="K4285" t="inlineStr">
        <is>
          <t xml:space="preserve"> Female</t>
        </is>
      </c>
      <c r="L4285" t="inlineStr">
        <is>
          <t>No focal subject</t>
        </is>
      </c>
      <c r="M4285" t="n">
        <v>85.13</v>
      </c>
      <c r="N4285" t="inlineStr">
        <is>
          <t>Explore_N</t>
        </is>
      </c>
      <c r="O4285" t="inlineStr">
        <is>
          <t>Novelty</t>
        </is>
      </c>
      <c r="P4285" t="inlineStr">
        <is>
          <t>STATE</t>
        </is>
      </c>
      <c r="Q4285" t="n">
        <v>361.8</v>
      </c>
      <c r="R4285" t="n">
        <v>362.9</v>
      </c>
      <c r="S4285" t="n">
        <v>1.1</v>
      </c>
      <c r="T4285" t="inlineStr">
        <is>
          <t>C:/Users/manuel.felline/Documents/BEHAVIOR BTBR/NOR second cohort/WT/test/c59_f2.mp4</t>
        </is>
      </c>
      <c r="U4285" t="n">
        <v>11059</v>
      </c>
      <c r="V4285" t="n">
        <v>11092</v>
      </c>
      <c r="W4285" t="n">
        <v/>
      </c>
      <c r="X4285" t="n">
        <v/>
      </c>
      <c r="Y4285" t="n">
        <v/>
      </c>
      <c r="Z4285" t="n">
        <v/>
      </c>
      <c r="AA4285">
        <f>SUMIFS($S$2:S4285,$A$2:A4285,A4285,$N$2:N4285,"Explore*")</f>
        <v/>
      </c>
      <c r="AB4285">
        <f>IF(AND(LEFT(N4285,7)="Explore",(AA4285-IF(LEFT(N4285,7)="Explore",S4285,0))&lt;10),"SI","NO")</f>
        <v/>
      </c>
    </row>
    <row r="4286">
      <c r="A4286" t="inlineStr">
        <is>
          <t>c59f2_test</t>
        </is>
      </c>
      <c r="B4286" t="inlineStr">
        <is>
          <t>2026-07-03 15:32:21.272</t>
        </is>
      </c>
      <c r="C4286" t="n">
        <v/>
      </c>
      <c r="D4286" t="inlineStr">
        <is>
          <t>Media file</t>
        </is>
      </c>
      <c r="E4286" t="inlineStr">
        <is>
          <t>player #1:C:/Users/manuel.felline/Documents/BEHAVIOR BTBR/NOR second cohort/WT/test/c59_f2.mp4</t>
        </is>
      </c>
      <c r="F4286" t="n">
        <v>-6.9</v>
      </c>
      <c r="G4286" t="n">
        <v>491.099</v>
      </c>
      <c r="H4286" t="n">
        <v>625.133</v>
      </c>
      <c r="I4286" t="n">
        <v>30</v>
      </c>
      <c r="J4286" t="inlineStr">
        <is>
          <t xml:space="preserve"> WT</t>
        </is>
      </c>
      <c r="K4286" t="inlineStr">
        <is>
          <t xml:space="preserve"> Female</t>
        </is>
      </c>
      <c r="L4286" t="inlineStr">
        <is>
          <t>No focal subject</t>
        </is>
      </c>
      <c r="M4286" t="n">
        <v>85.13</v>
      </c>
      <c r="N4286" t="inlineStr">
        <is>
          <t>Explore_N</t>
        </is>
      </c>
      <c r="O4286" t="inlineStr">
        <is>
          <t>Novelty</t>
        </is>
      </c>
      <c r="P4286" t="inlineStr">
        <is>
          <t>STATE</t>
        </is>
      </c>
      <c r="Q4286" t="n">
        <v>363.733</v>
      </c>
      <c r="R4286" t="n">
        <v>365.766</v>
      </c>
      <c r="S4286" t="n">
        <v>2.033</v>
      </c>
      <c r="T4286" t="inlineStr">
        <is>
          <t>C:/Users/manuel.felline/Documents/BEHAVIOR BTBR/NOR second cohort/WT/test/c59_f2.mp4</t>
        </is>
      </c>
      <c r="U4286" t="n">
        <v>11117</v>
      </c>
      <c r="V4286" t="n">
        <v>11178</v>
      </c>
      <c r="W4286" t="n">
        <v/>
      </c>
      <c r="X4286" t="n">
        <v/>
      </c>
      <c r="Y4286" t="n">
        <v/>
      </c>
      <c r="Z4286" t="n">
        <v/>
      </c>
      <c r="AA4286">
        <f>SUMIFS($S$2:S4286,$A$2:A4286,A4286,$N$2:N4286,"Explore*")</f>
        <v/>
      </c>
      <c r="AB4286">
        <f>IF(AND(LEFT(N4286,7)="Explore",(AA4286-IF(LEFT(N4286,7)="Explore",S4286,0))&lt;10),"SI","NO")</f>
        <v/>
      </c>
    </row>
    <row r="4287">
      <c r="A4287" t="inlineStr">
        <is>
          <t>c59f2_test</t>
        </is>
      </c>
      <c r="B4287" t="inlineStr">
        <is>
          <t>2026-07-03 15:32:21.272</t>
        </is>
      </c>
      <c r="C4287" t="n">
        <v/>
      </c>
      <c r="D4287" t="inlineStr">
        <is>
          <t>Media file</t>
        </is>
      </c>
      <c r="E4287" t="inlineStr">
        <is>
          <t>player #1:C:/Users/manuel.felline/Documents/BEHAVIOR BTBR/NOR second cohort/WT/test/c59_f2.mp4</t>
        </is>
      </c>
      <c r="F4287" t="n">
        <v>-6.9</v>
      </c>
      <c r="G4287" t="n">
        <v>491.099</v>
      </c>
      <c r="H4287" t="n">
        <v>625.133</v>
      </c>
      <c r="I4287" t="n">
        <v>30</v>
      </c>
      <c r="J4287" t="inlineStr">
        <is>
          <t xml:space="preserve"> WT</t>
        </is>
      </c>
      <c r="K4287" t="inlineStr">
        <is>
          <t xml:space="preserve"> Female</t>
        </is>
      </c>
      <c r="L4287" t="inlineStr">
        <is>
          <t>No focal subject</t>
        </is>
      </c>
      <c r="M4287" t="n">
        <v>85.13</v>
      </c>
      <c r="N4287" t="inlineStr">
        <is>
          <t>Explore_N</t>
        </is>
      </c>
      <c r="O4287" t="inlineStr">
        <is>
          <t>Novelty</t>
        </is>
      </c>
      <c r="P4287" t="inlineStr">
        <is>
          <t>STATE</t>
        </is>
      </c>
      <c r="Q4287" t="n">
        <v>372.8</v>
      </c>
      <c r="R4287" t="n">
        <v>373.5</v>
      </c>
      <c r="S4287" t="n">
        <v>0.7</v>
      </c>
      <c r="T4287" t="inlineStr">
        <is>
          <t>C:/Users/manuel.felline/Documents/BEHAVIOR BTBR/NOR second cohort/WT/test/c59_f2.mp4</t>
        </is>
      </c>
      <c r="U4287" t="n">
        <v>11389</v>
      </c>
      <c r="V4287" t="n">
        <v>11410</v>
      </c>
      <c r="W4287" t="n">
        <v/>
      </c>
      <c r="X4287" t="n">
        <v/>
      </c>
      <c r="Y4287" t="n">
        <v/>
      </c>
      <c r="Z4287" t="n">
        <v/>
      </c>
      <c r="AA4287">
        <f>SUMIFS($S$2:S4287,$A$2:A4287,A4287,$N$2:N4287,"Explore*")</f>
        <v/>
      </c>
      <c r="AB4287">
        <f>IF(AND(LEFT(N4287,7)="Explore",(AA4287-IF(LEFT(N4287,7)="Explore",S4287,0))&lt;10),"SI","NO")</f>
        <v/>
      </c>
    </row>
    <row r="4288">
      <c r="A4288" t="inlineStr">
        <is>
          <t>c59f2_test</t>
        </is>
      </c>
      <c r="B4288" t="inlineStr">
        <is>
          <t>2026-07-03 15:32:21.272</t>
        </is>
      </c>
      <c r="C4288" t="n">
        <v/>
      </c>
      <c r="D4288" t="inlineStr">
        <is>
          <t>Media file</t>
        </is>
      </c>
      <c r="E4288" t="inlineStr">
        <is>
          <t>player #1:C:/Users/manuel.felline/Documents/BEHAVIOR BTBR/NOR second cohort/WT/test/c59_f2.mp4</t>
        </is>
      </c>
      <c r="F4288" t="n">
        <v>-6.9</v>
      </c>
      <c r="G4288" t="n">
        <v>491.099</v>
      </c>
      <c r="H4288" t="n">
        <v>625.133</v>
      </c>
      <c r="I4288" t="n">
        <v>30</v>
      </c>
      <c r="J4288" t="inlineStr">
        <is>
          <t xml:space="preserve"> WT</t>
        </is>
      </c>
      <c r="K4288" t="inlineStr">
        <is>
          <t xml:space="preserve"> Female</t>
        </is>
      </c>
      <c r="L4288" t="inlineStr">
        <is>
          <t>No focal subject</t>
        </is>
      </c>
      <c r="M4288" t="n">
        <v>85.13</v>
      </c>
      <c r="N4288" t="inlineStr">
        <is>
          <t>Explore_N</t>
        </is>
      </c>
      <c r="O4288" t="inlineStr">
        <is>
          <t>Novelty</t>
        </is>
      </c>
      <c r="P4288" t="inlineStr">
        <is>
          <t>STATE</t>
        </is>
      </c>
      <c r="Q4288" t="n">
        <v>388.333</v>
      </c>
      <c r="R4288" t="n">
        <v>388.733</v>
      </c>
      <c r="S4288" t="n">
        <v>0.4</v>
      </c>
      <c r="T4288" t="inlineStr">
        <is>
          <t>C:/Users/manuel.felline/Documents/BEHAVIOR BTBR/NOR second cohort/WT/test/c59_f2.mp4</t>
        </is>
      </c>
      <c r="U4288" t="n">
        <v>11855</v>
      </c>
      <c r="V4288" t="n">
        <v>11867</v>
      </c>
      <c r="W4288" t="n">
        <v/>
      </c>
      <c r="X4288" t="n">
        <v/>
      </c>
      <c r="Y4288" t="n">
        <v/>
      </c>
      <c r="Z4288" t="n">
        <v/>
      </c>
      <c r="AA4288">
        <f>SUMIFS($S$2:S4288,$A$2:A4288,A4288,$N$2:N4288,"Explore*")</f>
        <v/>
      </c>
      <c r="AB4288">
        <f>IF(AND(LEFT(N4288,7)="Explore",(AA4288-IF(LEFT(N4288,7)="Explore",S4288,0))&lt;10),"SI","NO")</f>
        <v/>
      </c>
    </row>
    <row r="4289">
      <c r="A4289" t="inlineStr">
        <is>
          <t>c59f2_test</t>
        </is>
      </c>
      <c r="B4289" t="inlineStr">
        <is>
          <t>2026-07-03 15:32:21.272</t>
        </is>
      </c>
      <c r="C4289" t="n">
        <v/>
      </c>
      <c r="D4289" t="inlineStr">
        <is>
          <t>Media file</t>
        </is>
      </c>
      <c r="E4289" t="inlineStr">
        <is>
          <t>player #1:C:/Users/manuel.felline/Documents/BEHAVIOR BTBR/NOR second cohort/WT/test/c59_f2.mp4</t>
        </is>
      </c>
      <c r="F4289" t="n">
        <v>-6.9</v>
      </c>
      <c r="G4289" t="n">
        <v>491.099</v>
      </c>
      <c r="H4289" t="n">
        <v>625.133</v>
      </c>
      <c r="I4289" t="n">
        <v>30</v>
      </c>
      <c r="J4289" t="inlineStr">
        <is>
          <t xml:space="preserve"> WT</t>
        </is>
      </c>
      <c r="K4289" t="inlineStr">
        <is>
          <t xml:space="preserve"> Female</t>
        </is>
      </c>
      <c r="L4289" t="inlineStr">
        <is>
          <t>No focal subject</t>
        </is>
      </c>
      <c r="M4289" t="n">
        <v>85.13</v>
      </c>
      <c r="N4289" t="inlineStr">
        <is>
          <t>Explore_N</t>
        </is>
      </c>
      <c r="O4289" t="inlineStr">
        <is>
          <t>Novelty</t>
        </is>
      </c>
      <c r="P4289" t="inlineStr">
        <is>
          <t>STATE</t>
        </is>
      </c>
      <c r="Q4289" t="n">
        <v>390.333</v>
      </c>
      <c r="R4289" t="n">
        <v>390.833</v>
      </c>
      <c r="S4289" t="n">
        <v>0.5</v>
      </c>
      <c r="T4289" t="inlineStr">
        <is>
          <t>C:/Users/manuel.felline/Documents/BEHAVIOR BTBR/NOR second cohort/WT/test/c59_f2.mp4</t>
        </is>
      </c>
      <c r="U4289" t="n">
        <v>11915</v>
      </c>
      <c r="V4289" t="n">
        <v>11930</v>
      </c>
      <c r="W4289" t="n">
        <v/>
      </c>
      <c r="X4289" t="n">
        <v/>
      </c>
      <c r="Y4289" t="n">
        <v/>
      </c>
      <c r="Z4289" t="n">
        <v/>
      </c>
      <c r="AA4289">
        <f>SUMIFS($S$2:S4289,$A$2:A4289,A4289,$N$2:N4289,"Explore*")</f>
        <v/>
      </c>
      <c r="AB4289">
        <f>IF(AND(LEFT(N4289,7)="Explore",(AA4289-IF(LEFT(N4289,7)="Explore",S4289,0))&lt;10),"SI","NO")</f>
        <v/>
      </c>
    </row>
    <row r="4290">
      <c r="A4290" t="inlineStr">
        <is>
          <t>c59f2_test</t>
        </is>
      </c>
      <c r="B4290" t="inlineStr">
        <is>
          <t>2026-07-03 15:32:21.272</t>
        </is>
      </c>
      <c r="C4290" t="n">
        <v/>
      </c>
      <c r="D4290" t="inlineStr">
        <is>
          <t>Media file</t>
        </is>
      </c>
      <c r="E4290" t="inlineStr">
        <is>
          <t>player #1:C:/Users/manuel.felline/Documents/BEHAVIOR BTBR/NOR second cohort/WT/test/c59_f2.mp4</t>
        </is>
      </c>
      <c r="F4290" t="n">
        <v>-6.9</v>
      </c>
      <c r="G4290" t="n">
        <v>491.099</v>
      </c>
      <c r="H4290" t="n">
        <v>625.133</v>
      </c>
      <c r="I4290" t="n">
        <v>30</v>
      </c>
      <c r="J4290" t="inlineStr">
        <is>
          <t xml:space="preserve"> WT</t>
        </is>
      </c>
      <c r="K4290" t="inlineStr">
        <is>
          <t xml:space="preserve"> Female</t>
        </is>
      </c>
      <c r="L4290" t="inlineStr">
        <is>
          <t>No focal subject</t>
        </is>
      </c>
      <c r="M4290" t="n">
        <v>85.13</v>
      </c>
      <c r="N4290" t="inlineStr">
        <is>
          <t>Explore_F</t>
        </is>
      </c>
      <c r="O4290" t="inlineStr">
        <is>
          <t>Familiar</t>
        </is>
      </c>
      <c r="P4290" t="inlineStr">
        <is>
          <t>STATE</t>
        </is>
      </c>
      <c r="Q4290" t="n">
        <v>392.433</v>
      </c>
      <c r="R4290" t="n">
        <v>393.966</v>
      </c>
      <c r="S4290" t="n">
        <v>1.533</v>
      </c>
      <c r="T4290" t="inlineStr">
        <is>
          <t>C:/Users/manuel.felline/Documents/BEHAVIOR BTBR/NOR second cohort/WT/test/c59_f2.mp4</t>
        </is>
      </c>
      <c r="U4290" t="n">
        <v>11978</v>
      </c>
      <c r="V4290" t="n">
        <v>12024</v>
      </c>
      <c r="W4290" t="n">
        <v/>
      </c>
      <c r="X4290" t="n">
        <v/>
      </c>
      <c r="Y4290" t="n">
        <v/>
      </c>
      <c r="Z4290" t="n">
        <v/>
      </c>
      <c r="AA4290">
        <f>SUMIFS($S$2:S4290,$A$2:A4290,A4290,$N$2:N4290,"Explore*")</f>
        <v/>
      </c>
      <c r="AB4290">
        <f>IF(AND(LEFT(N4290,7)="Explore",(AA4290-IF(LEFT(N4290,7)="Explore",S4290,0))&lt;10),"SI","NO")</f>
        <v/>
      </c>
    </row>
    <row r="4291">
      <c r="A4291" t="inlineStr">
        <is>
          <t>c59f2_test</t>
        </is>
      </c>
      <c r="B4291" t="inlineStr">
        <is>
          <t>2026-07-03 15:32:21.272</t>
        </is>
      </c>
      <c r="C4291" t="n">
        <v/>
      </c>
      <c r="D4291" t="inlineStr">
        <is>
          <t>Media file</t>
        </is>
      </c>
      <c r="E4291" t="inlineStr">
        <is>
          <t>player #1:C:/Users/manuel.felline/Documents/BEHAVIOR BTBR/NOR second cohort/WT/test/c59_f2.mp4</t>
        </is>
      </c>
      <c r="F4291" t="n">
        <v>-6.9</v>
      </c>
      <c r="G4291" t="n">
        <v>491.099</v>
      </c>
      <c r="H4291" t="n">
        <v>625.133</v>
      </c>
      <c r="I4291" t="n">
        <v>30</v>
      </c>
      <c r="J4291" t="inlineStr">
        <is>
          <t xml:space="preserve"> WT</t>
        </is>
      </c>
      <c r="K4291" t="inlineStr">
        <is>
          <t xml:space="preserve"> Female</t>
        </is>
      </c>
      <c r="L4291" t="inlineStr">
        <is>
          <t>No focal subject</t>
        </is>
      </c>
      <c r="M4291" t="n">
        <v>85.13</v>
      </c>
      <c r="N4291" t="inlineStr">
        <is>
          <t>Explore_N</t>
        </is>
      </c>
      <c r="O4291" t="inlineStr">
        <is>
          <t>Novelty</t>
        </is>
      </c>
      <c r="P4291" t="inlineStr">
        <is>
          <t>STATE</t>
        </is>
      </c>
      <c r="Q4291" t="n">
        <v>394.8</v>
      </c>
      <c r="R4291" t="n">
        <v>395.3</v>
      </c>
      <c r="S4291" t="n">
        <v>0.5</v>
      </c>
      <c r="T4291" t="inlineStr">
        <is>
          <t>C:/Users/manuel.felline/Documents/BEHAVIOR BTBR/NOR second cohort/WT/test/c59_f2.mp4</t>
        </is>
      </c>
      <c r="U4291" t="n">
        <v>12049</v>
      </c>
      <c r="V4291" t="n">
        <v>12064</v>
      </c>
      <c r="W4291" t="n">
        <v/>
      </c>
      <c r="X4291" t="n">
        <v/>
      </c>
      <c r="Y4291" t="n">
        <v/>
      </c>
      <c r="Z4291" t="n">
        <v/>
      </c>
      <c r="AA4291">
        <f>SUMIFS($S$2:S4291,$A$2:A4291,A4291,$N$2:N4291,"Explore*")</f>
        <v/>
      </c>
      <c r="AB4291">
        <f>IF(AND(LEFT(N4291,7)="Explore",(AA4291-IF(LEFT(N4291,7)="Explore",S4291,0))&lt;10),"SI","NO")</f>
        <v/>
      </c>
    </row>
    <row r="4292">
      <c r="A4292" t="inlineStr">
        <is>
          <t>c59f2_test</t>
        </is>
      </c>
      <c r="B4292" t="inlineStr">
        <is>
          <t>2026-07-03 15:32:21.272</t>
        </is>
      </c>
      <c r="C4292" t="n">
        <v/>
      </c>
      <c r="D4292" t="inlineStr">
        <is>
          <t>Media file</t>
        </is>
      </c>
      <c r="E4292" t="inlineStr">
        <is>
          <t>player #1:C:/Users/manuel.felline/Documents/BEHAVIOR BTBR/NOR second cohort/WT/test/c59_f2.mp4</t>
        </is>
      </c>
      <c r="F4292" t="n">
        <v>-6.9</v>
      </c>
      <c r="G4292" t="n">
        <v>491.099</v>
      </c>
      <c r="H4292" t="n">
        <v>625.133</v>
      </c>
      <c r="I4292" t="n">
        <v>30</v>
      </c>
      <c r="J4292" t="inlineStr">
        <is>
          <t xml:space="preserve"> WT</t>
        </is>
      </c>
      <c r="K4292" t="inlineStr">
        <is>
          <t xml:space="preserve"> Female</t>
        </is>
      </c>
      <c r="L4292" t="inlineStr">
        <is>
          <t>No focal subject</t>
        </is>
      </c>
      <c r="M4292" t="n">
        <v>85.13</v>
      </c>
      <c r="N4292" t="inlineStr">
        <is>
          <t>Explore_N</t>
        </is>
      </c>
      <c r="O4292" t="inlineStr">
        <is>
          <t>Novelty</t>
        </is>
      </c>
      <c r="P4292" t="inlineStr">
        <is>
          <t>STATE</t>
        </is>
      </c>
      <c r="Q4292" t="n">
        <v>421.733</v>
      </c>
      <c r="R4292" t="n">
        <v>422.533</v>
      </c>
      <c r="S4292" t="n">
        <v>0.8</v>
      </c>
      <c r="T4292" t="inlineStr">
        <is>
          <t>C:/Users/manuel.felline/Documents/BEHAVIOR BTBR/NOR second cohort/WT/test/c59_f2.mp4</t>
        </is>
      </c>
      <c r="U4292" t="n">
        <v>12857</v>
      </c>
      <c r="V4292" t="n">
        <v>12881</v>
      </c>
      <c r="W4292" t="n">
        <v/>
      </c>
      <c r="X4292" t="n">
        <v/>
      </c>
      <c r="Y4292" t="n">
        <v/>
      </c>
      <c r="Z4292" t="n">
        <v/>
      </c>
      <c r="AA4292">
        <f>SUMIFS($S$2:S4292,$A$2:A4292,A4292,$N$2:N4292,"Explore*")</f>
        <v/>
      </c>
      <c r="AB4292">
        <f>IF(AND(LEFT(N4292,7)="Explore",(AA4292-IF(LEFT(N4292,7)="Explore",S4292,0))&lt;10),"SI","NO")</f>
        <v/>
      </c>
    </row>
    <row r="4293">
      <c r="A4293" t="inlineStr">
        <is>
          <t>c59f2_test</t>
        </is>
      </c>
      <c r="B4293" t="inlineStr">
        <is>
          <t>2026-07-03 15:32:21.272</t>
        </is>
      </c>
      <c r="C4293" t="n">
        <v/>
      </c>
      <c r="D4293" t="inlineStr">
        <is>
          <t>Media file</t>
        </is>
      </c>
      <c r="E4293" t="inlineStr">
        <is>
          <t>player #1:C:/Users/manuel.felline/Documents/BEHAVIOR BTBR/NOR second cohort/WT/test/c59_f2.mp4</t>
        </is>
      </c>
      <c r="F4293" t="n">
        <v>-6.9</v>
      </c>
      <c r="G4293" t="n">
        <v>491.099</v>
      </c>
      <c r="H4293" t="n">
        <v>625.133</v>
      </c>
      <c r="I4293" t="n">
        <v>30</v>
      </c>
      <c r="J4293" t="inlineStr">
        <is>
          <t xml:space="preserve"> WT</t>
        </is>
      </c>
      <c r="K4293" t="inlineStr">
        <is>
          <t xml:space="preserve"> Female</t>
        </is>
      </c>
      <c r="L4293" t="inlineStr">
        <is>
          <t>No focal subject</t>
        </is>
      </c>
      <c r="M4293" t="n">
        <v>85.13</v>
      </c>
      <c r="N4293" t="inlineStr">
        <is>
          <t>Explore_N</t>
        </is>
      </c>
      <c r="O4293" t="inlineStr">
        <is>
          <t>Novelty</t>
        </is>
      </c>
      <c r="P4293" t="inlineStr">
        <is>
          <t>STATE</t>
        </is>
      </c>
      <c r="Q4293" t="n">
        <v>423.766</v>
      </c>
      <c r="R4293" t="n">
        <v>424.733</v>
      </c>
      <c r="S4293" t="n">
        <v>0.967</v>
      </c>
      <c r="T4293" t="inlineStr">
        <is>
          <t>C:/Users/manuel.felline/Documents/BEHAVIOR BTBR/NOR second cohort/WT/test/c59_f2.mp4</t>
        </is>
      </c>
      <c r="U4293" t="n">
        <v>12918</v>
      </c>
      <c r="V4293" t="n">
        <v>12948</v>
      </c>
      <c r="W4293" t="n">
        <v/>
      </c>
      <c r="X4293" t="n">
        <v/>
      </c>
      <c r="Y4293" t="n">
        <v/>
      </c>
      <c r="Z4293" t="n">
        <v/>
      </c>
      <c r="AA4293">
        <f>SUMIFS($S$2:S4293,$A$2:A4293,A4293,$N$2:N4293,"Explore*")</f>
        <v/>
      </c>
      <c r="AB4293">
        <f>IF(AND(LEFT(N4293,7)="Explore",(AA4293-IF(LEFT(N4293,7)="Explore",S4293,0))&lt;10),"SI","NO")</f>
        <v/>
      </c>
    </row>
    <row r="4294">
      <c r="A4294" t="inlineStr">
        <is>
          <t>c59f2_test</t>
        </is>
      </c>
      <c r="B4294" t="inlineStr">
        <is>
          <t>2026-07-03 15:32:21.272</t>
        </is>
      </c>
      <c r="C4294" t="n">
        <v/>
      </c>
      <c r="D4294" t="inlineStr">
        <is>
          <t>Media file</t>
        </is>
      </c>
      <c r="E4294" t="inlineStr">
        <is>
          <t>player #1:C:/Users/manuel.felline/Documents/BEHAVIOR BTBR/NOR second cohort/WT/test/c59_f2.mp4</t>
        </is>
      </c>
      <c r="F4294" t="n">
        <v>-6.9</v>
      </c>
      <c r="G4294" t="n">
        <v>491.099</v>
      </c>
      <c r="H4294" t="n">
        <v>625.133</v>
      </c>
      <c r="I4294" t="n">
        <v>30</v>
      </c>
      <c r="J4294" t="inlineStr">
        <is>
          <t xml:space="preserve"> WT</t>
        </is>
      </c>
      <c r="K4294" t="inlineStr">
        <is>
          <t xml:space="preserve"> Female</t>
        </is>
      </c>
      <c r="L4294" t="inlineStr">
        <is>
          <t>No focal subject</t>
        </is>
      </c>
      <c r="M4294" t="n">
        <v>85.13</v>
      </c>
      <c r="N4294" t="inlineStr">
        <is>
          <t>Explore_N</t>
        </is>
      </c>
      <c r="O4294" t="inlineStr">
        <is>
          <t>Novelty</t>
        </is>
      </c>
      <c r="P4294" t="inlineStr">
        <is>
          <t>STATE</t>
        </is>
      </c>
      <c r="Q4294" t="n">
        <v>426.366</v>
      </c>
      <c r="R4294" t="n">
        <v>428.733</v>
      </c>
      <c r="S4294" t="n">
        <v>2.367</v>
      </c>
      <c r="T4294" t="inlineStr">
        <is>
          <t>C:/Users/manuel.felline/Documents/BEHAVIOR BTBR/NOR second cohort/WT/test/c59_f2.mp4</t>
        </is>
      </c>
      <c r="U4294" t="n">
        <v>12996</v>
      </c>
      <c r="V4294" t="n">
        <v>13067</v>
      </c>
      <c r="W4294" t="n">
        <v/>
      </c>
      <c r="X4294" t="n">
        <v/>
      </c>
      <c r="Y4294" t="n">
        <v/>
      </c>
      <c r="Z4294" t="n">
        <v/>
      </c>
      <c r="AA4294">
        <f>SUMIFS($S$2:S4294,$A$2:A4294,A4294,$N$2:N4294,"Explore*")</f>
        <v/>
      </c>
      <c r="AB4294">
        <f>IF(AND(LEFT(N4294,7)="Explore",(AA4294-IF(LEFT(N4294,7)="Explore",S4294,0))&lt;10),"SI","NO")</f>
        <v/>
      </c>
    </row>
    <row r="4295">
      <c r="A4295" t="inlineStr">
        <is>
          <t>c59f2_test</t>
        </is>
      </c>
      <c r="B4295" t="inlineStr">
        <is>
          <t>2026-07-03 15:32:21.272</t>
        </is>
      </c>
      <c r="C4295" t="n">
        <v/>
      </c>
      <c r="D4295" t="inlineStr">
        <is>
          <t>Media file</t>
        </is>
      </c>
      <c r="E4295" t="inlineStr">
        <is>
          <t>player #1:C:/Users/manuel.felline/Documents/BEHAVIOR BTBR/NOR second cohort/WT/test/c59_f2.mp4</t>
        </is>
      </c>
      <c r="F4295" t="n">
        <v>-6.9</v>
      </c>
      <c r="G4295" t="n">
        <v>491.099</v>
      </c>
      <c r="H4295" t="n">
        <v>625.133</v>
      </c>
      <c r="I4295" t="n">
        <v>30</v>
      </c>
      <c r="J4295" t="inlineStr">
        <is>
          <t xml:space="preserve"> WT</t>
        </is>
      </c>
      <c r="K4295" t="inlineStr">
        <is>
          <t xml:space="preserve"> Female</t>
        </is>
      </c>
      <c r="L4295" t="inlineStr">
        <is>
          <t>No focal subject</t>
        </is>
      </c>
      <c r="M4295" t="n">
        <v>85.13</v>
      </c>
      <c r="N4295" t="inlineStr">
        <is>
          <t>Explore_N</t>
        </is>
      </c>
      <c r="O4295" t="inlineStr">
        <is>
          <t>Novelty</t>
        </is>
      </c>
      <c r="P4295" t="inlineStr">
        <is>
          <t>STATE</t>
        </is>
      </c>
      <c r="Q4295" t="n">
        <v>429.5</v>
      </c>
      <c r="R4295" t="n">
        <v>431.9</v>
      </c>
      <c r="S4295" t="n">
        <v>2.4</v>
      </c>
      <c r="T4295" t="inlineStr">
        <is>
          <t>C:/Users/manuel.felline/Documents/BEHAVIOR BTBR/NOR second cohort/WT/test/c59_f2.mp4</t>
        </is>
      </c>
      <c r="U4295" t="n">
        <v>13090</v>
      </c>
      <c r="V4295" t="n">
        <v>13162</v>
      </c>
      <c r="W4295" t="n">
        <v/>
      </c>
      <c r="X4295" t="n">
        <v/>
      </c>
      <c r="Y4295" t="n">
        <v/>
      </c>
      <c r="Z4295" t="n">
        <v/>
      </c>
      <c r="AA4295">
        <f>SUMIFS($S$2:S4295,$A$2:A4295,A4295,$N$2:N4295,"Explore*")</f>
        <v/>
      </c>
      <c r="AB4295">
        <f>IF(AND(LEFT(N4295,7)="Explore",(AA4295-IF(LEFT(N4295,7)="Explore",S4295,0))&lt;10),"SI","NO")</f>
        <v/>
      </c>
    </row>
    <row r="4296">
      <c r="A4296" t="inlineStr">
        <is>
          <t>c59f2_test</t>
        </is>
      </c>
      <c r="B4296" t="inlineStr">
        <is>
          <t>2026-07-03 15:32:21.272</t>
        </is>
      </c>
      <c r="C4296" t="n">
        <v/>
      </c>
      <c r="D4296" t="inlineStr">
        <is>
          <t>Media file</t>
        </is>
      </c>
      <c r="E4296" t="inlineStr">
        <is>
          <t>player #1:C:/Users/manuel.felline/Documents/BEHAVIOR BTBR/NOR second cohort/WT/test/c59_f2.mp4</t>
        </is>
      </c>
      <c r="F4296" t="n">
        <v>-6.9</v>
      </c>
      <c r="G4296" t="n">
        <v>491.099</v>
      </c>
      <c r="H4296" t="n">
        <v>625.133</v>
      </c>
      <c r="I4296" t="n">
        <v>30</v>
      </c>
      <c r="J4296" t="inlineStr">
        <is>
          <t xml:space="preserve"> WT</t>
        </is>
      </c>
      <c r="K4296" t="inlineStr">
        <is>
          <t xml:space="preserve"> Female</t>
        </is>
      </c>
      <c r="L4296" t="inlineStr">
        <is>
          <t>No focal subject</t>
        </is>
      </c>
      <c r="M4296" t="n">
        <v>85.13</v>
      </c>
      <c r="N4296" t="inlineStr">
        <is>
          <t>Explore_N</t>
        </is>
      </c>
      <c r="O4296" t="inlineStr">
        <is>
          <t>Novelty</t>
        </is>
      </c>
      <c r="P4296" t="inlineStr">
        <is>
          <t>STATE</t>
        </is>
      </c>
      <c r="Q4296" t="n">
        <v>432.9</v>
      </c>
      <c r="R4296" t="n">
        <v>434.033</v>
      </c>
      <c r="S4296" t="n">
        <v>1.133</v>
      </c>
      <c r="T4296" t="inlineStr">
        <is>
          <t>C:/Users/manuel.felline/Documents/BEHAVIOR BTBR/NOR second cohort/WT/test/c59_f2.mp4</t>
        </is>
      </c>
      <c r="U4296" t="n">
        <v>13192</v>
      </c>
      <c r="V4296" t="n">
        <v>13226</v>
      </c>
      <c r="W4296" t="n">
        <v/>
      </c>
      <c r="X4296" t="n">
        <v/>
      </c>
      <c r="Y4296" t="n">
        <v/>
      </c>
      <c r="Z4296" t="n">
        <v/>
      </c>
      <c r="AA4296">
        <f>SUMIFS($S$2:S4296,$A$2:A4296,A4296,$N$2:N4296,"Explore*")</f>
        <v/>
      </c>
      <c r="AB4296">
        <f>IF(AND(LEFT(N4296,7)="Explore",(AA4296-IF(LEFT(N4296,7)="Explore",S4296,0))&lt;10),"SI","NO")</f>
        <v/>
      </c>
    </row>
    <row r="4297">
      <c r="A4297" t="inlineStr">
        <is>
          <t>c59f2_test</t>
        </is>
      </c>
      <c r="B4297" t="inlineStr">
        <is>
          <t>2026-07-03 15:32:21.272</t>
        </is>
      </c>
      <c r="C4297" t="n">
        <v/>
      </c>
      <c r="D4297" t="inlineStr">
        <is>
          <t>Media file</t>
        </is>
      </c>
      <c r="E4297" t="inlineStr">
        <is>
          <t>player #1:C:/Users/manuel.felline/Documents/BEHAVIOR BTBR/NOR second cohort/WT/test/c59_f2.mp4</t>
        </is>
      </c>
      <c r="F4297" t="n">
        <v>-6.9</v>
      </c>
      <c r="G4297" t="n">
        <v>491.099</v>
      </c>
      <c r="H4297" t="n">
        <v>625.133</v>
      </c>
      <c r="I4297" t="n">
        <v>30</v>
      </c>
      <c r="J4297" t="inlineStr">
        <is>
          <t xml:space="preserve"> WT</t>
        </is>
      </c>
      <c r="K4297" t="inlineStr">
        <is>
          <t xml:space="preserve"> Female</t>
        </is>
      </c>
      <c r="L4297" t="inlineStr">
        <is>
          <t>No focal subject</t>
        </is>
      </c>
      <c r="M4297" t="n">
        <v>85.13</v>
      </c>
      <c r="N4297" t="inlineStr">
        <is>
          <t>Explore_N</t>
        </is>
      </c>
      <c r="O4297" t="inlineStr">
        <is>
          <t>Novelty</t>
        </is>
      </c>
      <c r="P4297" t="inlineStr">
        <is>
          <t>STATE</t>
        </is>
      </c>
      <c r="Q4297" t="n">
        <v>435.366</v>
      </c>
      <c r="R4297" t="n">
        <v>436.466</v>
      </c>
      <c r="S4297" t="n">
        <v>1.1</v>
      </c>
      <c r="T4297" t="inlineStr">
        <is>
          <t>C:/Users/manuel.felline/Documents/BEHAVIOR BTBR/NOR second cohort/WT/test/c59_f2.mp4</t>
        </is>
      </c>
      <c r="U4297" t="n">
        <v>13266</v>
      </c>
      <c r="V4297" t="n">
        <v>13299</v>
      </c>
      <c r="W4297" t="n">
        <v/>
      </c>
      <c r="X4297" t="n">
        <v/>
      </c>
      <c r="Y4297" t="n">
        <v/>
      </c>
      <c r="Z4297" t="n">
        <v/>
      </c>
      <c r="AA4297">
        <f>SUMIFS($S$2:S4297,$A$2:A4297,A4297,$N$2:N4297,"Explore*")</f>
        <v/>
      </c>
      <c r="AB4297">
        <f>IF(AND(LEFT(N4297,7)="Explore",(AA4297-IF(LEFT(N4297,7)="Explore",S4297,0))&lt;10),"SI","NO")</f>
        <v/>
      </c>
    </row>
    <row r="4298">
      <c r="A4298" t="inlineStr">
        <is>
          <t>c59f2_test</t>
        </is>
      </c>
      <c r="B4298" t="inlineStr">
        <is>
          <t>2026-07-03 15:32:21.272</t>
        </is>
      </c>
      <c r="C4298" t="n">
        <v/>
      </c>
      <c r="D4298" t="inlineStr">
        <is>
          <t>Media file</t>
        </is>
      </c>
      <c r="E4298" t="inlineStr">
        <is>
          <t>player #1:C:/Users/manuel.felline/Documents/BEHAVIOR BTBR/NOR second cohort/WT/test/c59_f2.mp4</t>
        </is>
      </c>
      <c r="F4298" t="n">
        <v>-6.9</v>
      </c>
      <c r="G4298" t="n">
        <v>491.099</v>
      </c>
      <c r="H4298" t="n">
        <v>625.133</v>
      </c>
      <c r="I4298" t="n">
        <v>30</v>
      </c>
      <c r="J4298" t="inlineStr">
        <is>
          <t xml:space="preserve"> WT</t>
        </is>
      </c>
      <c r="K4298" t="inlineStr">
        <is>
          <t xml:space="preserve"> Female</t>
        </is>
      </c>
      <c r="L4298" t="inlineStr">
        <is>
          <t>No focal subject</t>
        </is>
      </c>
      <c r="M4298" t="n">
        <v>85.13</v>
      </c>
      <c r="N4298" t="inlineStr">
        <is>
          <t>Explore_N</t>
        </is>
      </c>
      <c r="O4298" t="inlineStr">
        <is>
          <t>Novelty</t>
        </is>
      </c>
      <c r="P4298" t="inlineStr">
        <is>
          <t>STATE</t>
        </is>
      </c>
      <c r="Q4298" t="n">
        <v>437.4</v>
      </c>
      <c r="R4298" t="n">
        <v>438.566</v>
      </c>
      <c r="S4298" t="n">
        <v>1.166</v>
      </c>
      <c r="T4298" t="inlineStr">
        <is>
          <t>C:/Users/manuel.felline/Documents/BEHAVIOR BTBR/NOR second cohort/WT/test/c59_f2.mp4</t>
        </is>
      </c>
      <c r="U4298" t="n">
        <v>13327</v>
      </c>
      <c r="V4298" t="n">
        <v>13362</v>
      </c>
      <c r="W4298" t="n">
        <v/>
      </c>
      <c r="X4298" t="n">
        <v/>
      </c>
      <c r="Y4298" t="n">
        <v/>
      </c>
      <c r="Z4298" t="n">
        <v/>
      </c>
      <c r="AA4298">
        <f>SUMIFS($S$2:S4298,$A$2:A4298,A4298,$N$2:N4298,"Explore*")</f>
        <v/>
      </c>
      <c r="AB4298">
        <f>IF(AND(LEFT(N4298,7)="Explore",(AA4298-IF(LEFT(N4298,7)="Explore",S4298,0))&lt;10),"SI","NO")</f>
        <v/>
      </c>
    </row>
    <row r="4299">
      <c r="A4299" t="inlineStr">
        <is>
          <t>c59f2_test</t>
        </is>
      </c>
      <c r="B4299" t="inlineStr">
        <is>
          <t>2026-07-03 15:32:21.272</t>
        </is>
      </c>
      <c r="C4299" t="n">
        <v/>
      </c>
      <c r="D4299" t="inlineStr">
        <is>
          <t>Media file</t>
        </is>
      </c>
      <c r="E4299" t="inlineStr">
        <is>
          <t>player #1:C:/Users/manuel.felline/Documents/BEHAVIOR BTBR/NOR second cohort/WT/test/c59_f2.mp4</t>
        </is>
      </c>
      <c r="F4299" t="n">
        <v>-6.9</v>
      </c>
      <c r="G4299" t="n">
        <v>491.099</v>
      </c>
      <c r="H4299" t="n">
        <v>625.133</v>
      </c>
      <c r="I4299" t="n">
        <v>30</v>
      </c>
      <c r="J4299" t="inlineStr">
        <is>
          <t xml:space="preserve"> WT</t>
        </is>
      </c>
      <c r="K4299" t="inlineStr">
        <is>
          <t xml:space="preserve"> Female</t>
        </is>
      </c>
      <c r="L4299" t="inlineStr">
        <is>
          <t>No focal subject</t>
        </is>
      </c>
      <c r="M4299" t="n">
        <v>85.13</v>
      </c>
      <c r="N4299" t="inlineStr">
        <is>
          <t>Explore_N</t>
        </is>
      </c>
      <c r="O4299" t="inlineStr">
        <is>
          <t>Novelty</t>
        </is>
      </c>
      <c r="P4299" t="inlineStr">
        <is>
          <t>STATE</t>
        </is>
      </c>
      <c r="Q4299" t="n">
        <v>439.1</v>
      </c>
      <c r="R4299" t="n">
        <v>441.6</v>
      </c>
      <c r="S4299" t="n">
        <v>2.5</v>
      </c>
      <c r="T4299" t="inlineStr">
        <is>
          <t>C:/Users/manuel.felline/Documents/BEHAVIOR BTBR/NOR second cohort/WT/test/c59_f2.mp4</t>
        </is>
      </c>
      <c r="U4299" t="n">
        <v>13378</v>
      </c>
      <c r="V4299" t="n">
        <v>13453</v>
      </c>
      <c r="W4299" t="n">
        <v/>
      </c>
      <c r="X4299" t="n">
        <v/>
      </c>
      <c r="Y4299" t="n">
        <v/>
      </c>
      <c r="Z4299" t="n">
        <v/>
      </c>
      <c r="AA4299">
        <f>SUMIFS($S$2:S4299,$A$2:A4299,A4299,$N$2:N4299,"Explore*")</f>
        <v/>
      </c>
      <c r="AB4299">
        <f>IF(AND(LEFT(N4299,7)="Explore",(AA4299-IF(LEFT(N4299,7)="Explore",S4299,0))&lt;10),"SI","NO")</f>
        <v/>
      </c>
    </row>
    <row r="4300">
      <c r="A4300" t="inlineStr">
        <is>
          <t>c59f2_test</t>
        </is>
      </c>
      <c r="B4300" t="inlineStr">
        <is>
          <t>2026-07-03 15:32:21.272</t>
        </is>
      </c>
      <c r="C4300" t="n">
        <v/>
      </c>
      <c r="D4300" t="inlineStr">
        <is>
          <t>Media file</t>
        </is>
      </c>
      <c r="E4300" t="inlineStr">
        <is>
          <t>player #1:C:/Users/manuel.felline/Documents/BEHAVIOR BTBR/NOR second cohort/WT/test/c59_f2.mp4</t>
        </is>
      </c>
      <c r="F4300" t="n">
        <v>-6.9</v>
      </c>
      <c r="G4300" t="n">
        <v>491.099</v>
      </c>
      <c r="H4300" t="n">
        <v>625.133</v>
      </c>
      <c r="I4300" t="n">
        <v>30</v>
      </c>
      <c r="J4300" t="inlineStr">
        <is>
          <t xml:space="preserve"> WT</t>
        </is>
      </c>
      <c r="K4300" t="inlineStr">
        <is>
          <t xml:space="preserve"> Female</t>
        </is>
      </c>
      <c r="L4300" t="inlineStr">
        <is>
          <t>No focal subject</t>
        </is>
      </c>
      <c r="M4300" t="n">
        <v>85.13</v>
      </c>
      <c r="N4300" t="inlineStr">
        <is>
          <t>Explore_N</t>
        </is>
      </c>
      <c r="O4300" t="inlineStr">
        <is>
          <t>Novelty</t>
        </is>
      </c>
      <c r="P4300" t="inlineStr">
        <is>
          <t>STATE</t>
        </is>
      </c>
      <c r="Q4300" t="n">
        <v>473.8</v>
      </c>
      <c r="R4300" t="n">
        <v>477.3</v>
      </c>
      <c r="S4300" t="n">
        <v>3.5</v>
      </c>
      <c r="T4300" t="inlineStr">
        <is>
          <t>C:/Users/manuel.felline/Documents/BEHAVIOR BTBR/NOR second cohort/WT/test/c59_f2.mp4</t>
        </is>
      </c>
      <c r="U4300" t="n">
        <v>14419</v>
      </c>
      <c r="V4300" t="n">
        <v>14524</v>
      </c>
      <c r="W4300" t="n">
        <v/>
      </c>
      <c r="X4300" t="n">
        <v/>
      </c>
      <c r="Y4300" t="n">
        <v/>
      </c>
      <c r="Z4300" t="n">
        <v/>
      </c>
      <c r="AA4300">
        <f>SUMIFS($S$2:S4300,$A$2:A4300,A4300,$N$2:N4300,"Explore*")</f>
        <v/>
      </c>
      <c r="AB4300">
        <f>IF(AND(LEFT(N4300,7)="Explore",(AA4300-IF(LEFT(N4300,7)="Explore",S4300,0))&lt;10),"SI","NO")</f>
        <v/>
      </c>
    </row>
    <row r="4301">
      <c r="A4301" t="inlineStr">
        <is>
          <t>c59f2_test</t>
        </is>
      </c>
      <c r="B4301" t="inlineStr">
        <is>
          <t>2026-07-03 15:32:21.272</t>
        </is>
      </c>
      <c r="C4301" t="n">
        <v/>
      </c>
      <c r="D4301" t="inlineStr">
        <is>
          <t>Media file</t>
        </is>
      </c>
      <c r="E4301" t="inlineStr">
        <is>
          <t>player #1:C:/Users/manuel.felline/Documents/BEHAVIOR BTBR/NOR second cohort/WT/test/c59_f2.mp4</t>
        </is>
      </c>
      <c r="F4301" t="n">
        <v>-6.9</v>
      </c>
      <c r="G4301" t="n">
        <v>491.099</v>
      </c>
      <c r="H4301" t="n">
        <v>625.133</v>
      </c>
      <c r="I4301" t="n">
        <v>30</v>
      </c>
      <c r="J4301" t="inlineStr">
        <is>
          <t xml:space="preserve"> WT</t>
        </is>
      </c>
      <c r="K4301" t="inlineStr">
        <is>
          <t xml:space="preserve"> Female</t>
        </is>
      </c>
      <c r="L4301" t="inlineStr">
        <is>
          <t>No focal subject</t>
        </is>
      </c>
      <c r="M4301" t="n">
        <v>85.13</v>
      </c>
      <c r="N4301" t="inlineStr">
        <is>
          <t>Explore_N</t>
        </is>
      </c>
      <c r="O4301" t="inlineStr">
        <is>
          <t>Novelty</t>
        </is>
      </c>
      <c r="P4301" t="inlineStr">
        <is>
          <t>STATE</t>
        </is>
      </c>
      <c r="Q4301" t="n">
        <v>497.299</v>
      </c>
      <c r="R4301" t="n">
        <v>498.733</v>
      </c>
      <c r="S4301" t="n">
        <v>1.434</v>
      </c>
      <c r="T4301" t="inlineStr">
        <is>
          <t>C:/Users/manuel.felline/Documents/BEHAVIOR BTBR/NOR second cohort/WT/test/c59_f2.mp4</t>
        </is>
      </c>
      <c r="U4301" t="n">
        <v>15124</v>
      </c>
      <c r="V4301" t="n">
        <v>15167</v>
      </c>
      <c r="W4301" t="n">
        <v/>
      </c>
      <c r="X4301" t="n">
        <v/>
      </c>
      <c r="Y4301" t="n">
        <v/>
      </c>
      <c r="Z4301" t="n">
        <v/>
      </c>
      <c r="AA4301">
        <f>SUMIFS($S$2:S4301,$A$2:A4301,A4301,$N$2:N4301,"Explore*")</f>
        <v/>
      </c>
      <c r="AB4301">
        <f>IF(AND(LEFT(N4301,7)="Explore",(AA4301-IF(LEFT(N4301,7)="Explore",S4301,0))&lt;10),"SI","NO")</f>
        <v/>
      </c>
    </row>
    <row r="4302">
      <c r="A4302" t="inlineStr">
        <is>
          <t>c59f2_test</t>
        </is>
      </c>
      <c r="B4302" t="inlineStr">
        <is>
          <t>2026-07-03 15:32:21.272</t>
        </is>
      </c>
      <c r="C4302" t="n">
        <v/>
      </c>
      <c r="D4302" t="inlineStr">
        <is>
          <t>Media file</t>
        </is>
      </c>
      <c r="E4302" t="inlineStr">
        <is>
          <t>player #1:C:/Users/manuel.felline/Documents/BEHAVIOR BTBR/NOR second cohort/WT/test/c59_f2.mp4</t>
        </is>
      </c>
      <c r="F4302" t="n">
        <v>-6.9</v>
      </c>
      <c r="G4302" t="n">
        <v>491.099</v>
      </c>
      <c r="H4302" t="n">
        <v>625.133</v>
      </c>
      <c r="I4302" t="n">
        <v>30</v>
      </c>
      <c r="J4302" t="inlineStr">
        <is>
          <t xml:space="preserve"> WT</t>
        </is>
      </c>
      <c r="K4302" t="inlineStr">
        <is>
          <t xml:space="preserve"> Female</t>
        </is>
      </c>
      <c r="L4302" t="inlineStr">
        <is>
          <t>No focal subject</t>
        </is>
      </c>
      <c r="M4302" t="n">
        <v>85.13</v>
      </c>
      <c r="N4302" t="inlineStr">
        <is>
          <t>Explore_N</t>
        </is>
      </c>
      <c r="O4302" t="inlineStr">
        <is>
          <t>Novelty</t>
        </is>
      </c>
      <c r="P4302" t="inlineStr">
        <is>
          <t>STATE</t>
        </is>
      </c>
      <c r="Q4302" t="n">
        <v>501.199</v>
      </c>
      <c r="R4302" t="n">
        <v>501.966</v>
      </c>
      <c r="S4302" t="n">
        <v>0.767</v>
      </c>
      <c r="T4302" t="inlineStr">
        <is>
          <t>C:/Users/manuel.felline/Documents/BEHAVIOR BTBR/NOR second cohort/WT/test/c59_f2.mp4</t>
        </is>
      </c>
      <c r="U4302" t="n">
        <v>15241</v>
      </c>
      <c r="V4302" t="n">
        <v>15265</v>
      </c>
      <c r="W4302" t="n">
        <v/>
      </c>
      <c r="X4302" t="n">
        <v/>
      </c>
      <c r="Y4302" t="n">
        <v/>
      </c>
      <c r="Z4302" t="n">
        <v/>
      </c>
      <c r="AA4302">
        <f>SUMIFS($S$2:S4302,$A$2:A4302,A4302,$N$2:N4302,"Explore*")</f>
        <v/>
      </c>
      <c r="AB4302">
        <f>IF(AND(LEFT(N4302,7)="Explore",(AA4302-IF(LEFT(N4302,7)="Explore",S4302,0))&lt;10),"SI","NO")</f>
        <v/>
      </c>
    </row>
    <row r="4303">
      <c r="A4303" t="inlineStr">
        <is>
          <t>c59f2_test</t>
        </is>
      </c>
      <c r="B4303" t="inlineStr">
        <is>
          <t>2026-07-03 15:32:21.272</t>
        </is>
      </c>
      <c r="C4303" t="n">
        <v/>
      </c>
      <c r="D4303" t="inlineStr">
        <is>
          <t>Media file</t>
        </is>
      </c>
      <c r="E4303" t="inlineStr">
        <is>
          <t>player #1:C:/Users/manuel.felline/Documents/BEHAVIOR BTBR/NOR second cohort/WT/test/c59_f2.mp4</t>
        </is>
      </c>
      <c r="F4303" t="n">
        <v>-6.9</v>
      </c>
      <c r="G4303" t="n">
        <v>491.099</v>
      </c>
      <c r="H4303" t="n">
        <v>625.133</v>
      </c>
      <c r="I4303" t="n">
        <v>30</v>
      </c>
      <c r="J4303" t="inlineStr">
        <is>
          <t xml:space="preserve"> WT</t>
        </is>
      </c>
      <c r="K4303" t="inlineStr">
        <is>
          <t xml:space="preserve"> Female</t>
        </is>
      </c>
      <c r="L4303" t="inlineStr">
        <is>
          <t>No focal subject</t>
        </is>
      </c>
      <c r="M4303" t="n">
        <v>85.13</v>
      </c>
      <c r="N4303" t="inlineStr">
        <is>
          <t>Explore_N</t>
        </is>
      </c>
      <c r="O4303" t="inlineStr">
        <is>
          <t>Novelty</t>
        </is>
      </c>
      <c r="P4303" t="inlineStr">
        <is>
          <t>STATE</t>
        </is>
      </c>
      <c r="Q4303" t="n">
        <v>504.566</v>
      </c>
      <c r="R4303" t="n">
        <v>505.199</v>
      </c>
      <c r="S4303" t="n">
        <v>0.633</v>
      </c>
      <c r="T4303" t="inlineStr">
        <is>
          <t>C:/Users/manuel.felline/Documents/BEHAVIOR BTBR/NOR second cohort/WT/test/c59_f2.mp4</t>
        </is>
      </c>
      <c r="U4303" t="n">
        <v>15342</v>
      </c>
      <c r="V4303" t="n">
        <v>15361</v>
      </c>
      <c r="W4303" t="n">
        <v/>
      </c>
      <c r="X4303" t="n">
        <v/>
      </c>
      <c r="Y4303" t="n">
        <v/>
      </c>
      <c r="Z4303" t="n">
        <v/>
      </c>
      <c r="AA4303">
        <f>SUMIFS($S$2:S4303,$A$2:A4303,A4303,$N$2:N4303,"Explore*")</f>
        <v/>
      </c>
      <c r="AB4303">
        <f>IF(AND(LEFT(N4303,7)="Explore",(AA4303-IF(LEFT(N4303,7)="Explore",S4303,0))&lt;10),"SI","NO")</f>
        <v/>
      </c>
    </row>
    <row r="4304">
      <c r="A4304" t="inlineStr">
        <is>
          <t>c59f3_test</t>
        </is>
      </c>
      <c r="B4304" t="inlineStr">
        <is>
          <t>2026-07-03 16:05:51.440</t>
        </is>
      </c>
      <c r="C4304" t="n">
        <v/>
      </c>
      <c r="D4304" t="inlineStr">
        <is>
          <t>Media file</t>
        </is>
      </c>
      <c r="E4304" t="inlineStr">
        <is>
          <t>player #1:C:/Users/manuel.felline/Documents/BEHAVIOR BTBR/NOR second cohort/WT/test/c59_f3.mp4</t>
        </is>
      </c>
      <c r="F4304" t="n">
        <v>-12.967</v>
      </c>
      <c r="G4304" t="n">
        <v>520.2329999999999</v>
      </c>
      <c r="H4304" t="n">
        <v>631.7329999999999</v>
      </c>
      <c r="I4304" t="n">
        <v>30</v>
      </c>
      <c r="J4304" t="inlineStr">
        <is>
          <t xml:space="preserve"> WT</t>
        </is>
      </c>
      <c r="K4304" t="inlineStr">
        <is>
          <t xml:space="preserve"> Female</t>
        </is>
      </c>
      <c r="L4304" t="inlineStr">
        <is>
          <t>No focal subject</t>
        </is>
      </c>
      <c r="M4304" t="n">
        <v>37.866</v>
      </c>
      <c r="N4304" t="inlineStr">
        <is>
          <t>Explore_N</t>
        </is>
      </c>
      <c r="O4304" t="inlineStr">
        <is>
          <t>Novelty</t>
        </is>
      </c>
      <c r="P4304" t="inlineStr">
        <is>
          <t>STATE</t>
        </is>
      </c>
      <c r="Q4304" t="n">
        <v>25.533</v>
      </c>
      <c r="R4304" t="n">
        <v>27.133</v>
      </c>
      <c r="S4304" t="n">
        <v>1.6</v>
      </c>
      <c r="T4304" t="inlineStr">
        <is>
          <t>C:/Users/manuel.felline/Documents/BEHAVIOR BTBR/NOR second cohort/WT/test/c59_f3.mp4</t>
        </is>
      </c>
      <c r="U4304" t="n">
        <v>1155</v>
      </c>
      <c r="V4304" t="n">
        <v>1203</v>
      </c>
      <c r="W4304" t="n">
        <v/>
      </c>
      <c r="X4304" t="n">
        <v/>
      </c>
      <c r="Y4304" t="n">
        <v/>
      </c>
      <c r="Z4304" t="n">
        <v/>
      </c>
      <c r="AA4304">
        <f>SUMIFS($S$2:S4304,$A$2:A4304,A4304,$N$2:N4304,"Explore*")</f>
        <v/>
      </c>
      <c r="AB4304">
        <f>IF(AND(LEFT(N4304,7)="Explore",(AA4304-IF(LEFT(N4304,7)="Explore",S4304,0))&lt;10),"SI","NO")</f>
        <v/>
      </c>
    </row>
    <row r="4305">
      <c r="A4305" t="inlineStr">
        <is>
          <t>c59f3_test</t>
        </is>
      </c>
      <c r="B4305" t="inlineStr">
        <is>
          <t>2026-07-03 16:05:51.440</t>
        </is>
      </c>
      <c r="C4305" t="n">
        <v/>
      </c>
      <c r="D4305" t="inlineStr">
        <is>
          <t>Media file</t>
        </is>
      </c>
      <c r="E4305" t="inlineStr">
        <is>
          <t>player #1:C:/Users/manuel.felline/Documents/BEHAVIOR BTBR/NOR second cohort/WT/test/c59_f3.mp4</t>
        </is>
      </c>
      <c r="F4305" t="n">
        <v>-12.967</v>
      </c>
      <c r="G4305" t="n">
        <v>520.2329999999999</v>
      </c>
      <c r="H4305" t="n">
        <v>631.7329999999999</v>
      </c>
      <c r="I4305" t="n">
        <v>30</v>
      </c>
      <c r="J4305" t="inlineStr">
        <is>
          <t xml:space="preserve"> WT</t>
        </is>
      </c>
      <c r="K4305" t="inlineStr">
        <is>
          <t xml:space="preserve"> Female</t>
        </is>
      </c>
      <c r="L4305" t="inlineStr">
        <is>
          <t>No focal subject</t>
        </is>
      </c>
      <c r="M4305" t="n">
        <v>37.866</v>
      </c>
      <c r="N4305" t="inlineStr">
        <is>
          <t>Explore_N</t>
        </is>
      </c>
      <c r="O4305" t="inlineStr">
        <is>
          <t>Novelty</t>
        </is>
      </c>
      <c r="P4305" t="inlineStr">
        <is>
          <t>STATE</t>
        </is>
      </c>
      <c r="Q4305" t="n">
        <v>28.7</v>
      </c>
      <c r="R4305" t="n">
        <v>29.433</v>
      </c>
      <c r="S4305" t="n">
        <v>0.733</v>
      </c>
      <c r="T4305" t="inlineStr">
        <is>
          <t>C:/Users/manuel.felline/Documents/BEHAVIOR BTBR/NOR second cohort/WT/test/c59_f3.mp4</t>
        </is>
      </c>
      <c r="U4305" t="n">
        <v>1250</v>
      </c>
      <c r="V4305" t="n">
        <v>1272</v>
      </c>
      <c r="W4305" t="n">
        <v/>
      </c>
      <c r="X4305" t="n">
        <v/>
      </c>
      <c r="Y4305" t="n">
        <v/>
      </c>
      <c r="Z4305" t="n">
        <v/>
      </c>
      <c r="AA4305">
        <f>SUMIFS($S$2:S4305,$A$2:A4305,A4305,$N$2:N4305,"Explore*")</f>
        <v/>
      </c>
      <c r="AB4305">
        <f>IF(AND(LEFT(N4305,7)="Explore",(AA4305-IF(LEFT(N4305,7)="Explore",S4305,0))&lt;10),"SI","NO")</f>
        <v/>
      </c>
    </row>
    <row r="4306">
      <c r="A4306" t="inlineStr">
        <is>
          <t>c59f3_test</t>
        </is>
      </c>
      <c r="B4306" t="inlineStr">
        <is>
          <t>2026-07-03 16:05:51.440</t>
        </is>
      </c>
      <c r="C4306" t="n">
        <v/>
      </c>
      <c r="D4306" t="inlineStr">
        <is>
          <t>Media file</t>
        </is>
      </c>
      <c r="E4306" t="inlineStr">
        <is>
          <t>player #1:C:/Users/manuel.felline/Documents/BEHAVIOR BTBR/NOR second cohort/WT/test/c59_f3.mp4</t>
        </is>
      </c>
      <c r="F4306" t="n">
        <v>-12.967</v>
      </c>
      <c r="G4306" t="n">
        <v>520.2329999999999</v>
      </c>
      <c r="H4306" t="n">
        <v>631.7329999999999</v>
      </c>
      <c r="I4306" t="n">
        <v>30</v>
      </c>
      <c r="J4306" t="inlineStr">
        <is>
          <t xml:space="preserve"> WT</t>
        </is>
      </c>
      <c r="K4306" t="inlineStr">
        <is>
          <t xml:space="preserve"> Female</t>
        </is>
      </c>
      <c r="L4306" t="inlineStr">
        <is>
          <t>No focal subject</t>
        </is>
      </c>
      <c r="M4306" t="n">
        <v>37.866</v>
      </c>
      <c r="N4306" t="inlineStr">
        <is>
          <t>Explore_F</t>
        </is>
      </c>
      <c r="O4306" t="inlineStr">
        <is>
          <t>Familiar</t>
        </is>
      </c>
      <c r="P4306" t="inlineStr">
        <is>
          <t>STATE</t>
        </is>
      </c>
      <c r="Q4306" t="n">
        <v>36.8</v>
      </c>
      <c r="R4306" t="n">
        <v>37.3</v>
      </c>
      <c r="S4306" t="n">
        <v>0.5</v>
      </c>
      <c r="T4306" t="inlineStr">
        <is>
          <t>C:/Users/manuel.felline/Documents/BEHAVIOR BTBR/NOR second cohort/WT/test/c59_f3.mp4</t>
        </is>
      </c>
      <c r="U4306" t="n">
        <v>1493</v>
      </c>
      <c r="V4306" t="n">
        <v>1508</v>
      </c>
      <c r="W4306" t="n">
        <v/>
      </c>
      <c r="X4306" t="n">
        <v/>
      </c>
      <c r="Y4306" t="n">
        <v/>
      </c>
      <c r="Z4306" t="n">
        <v/>
      </c>
      <c r="AA4306">
        <f>SUMIFS($S$2:S4306,$A$2:A4306,A4306,$N$2:N4306,"Explore*")</f>
        <v/>
      </c>
      <c r="AB4306">
        <f>IF(AND(LEFT(N4306,7)="Explore",(AA4306-IF(LEFT(N4306,7)="Explore",S4306,0))&lt;10),"SI","NO")</f>
        <v/>
      </c>
    </row>
    <row r="4307">
      <c r="A4307" t="inlineStr">
        <is>
          <t>c59f3_test</t>
        </is>
      </c>
      <c r="B4307" t="inlineStr">
        <is>
          <t>2026-07-03 16:05:51.440</t>
        </is>
      </c>
      <c r="C4307" t="n">
        <v/>
      </c>
      <c r="D4307" t="inlineStr">
        <is>
          <t>Media file</t>
        </is>
      </c>
      <c r="E4307" t="inlineStr">
        <is>
          <t>player #1:C:/Users/manuel.felline/Documents/BEHAVIOR BTBR/NOR second cohort/WT/test/c59_f3.mp4</t>
        </is>
      </c>
      <c r="F4307" t="n">
        <v>-12.967</v>
      </c>
      <c r="G4307" t="n">
        <v>520.2329999999999</v>
      </c>
      <c r="H4307" t="n">
        <v>631.7329999999999</v>
      </c>
      <c r="I4307" t="n">
        <v>30</v>
      </c>
      <c r="J4307" t="inlineStr">
        <is>
          <t xml:space="preserve"> WT</t>
        </is>
      </c>
      <c r="K4307" t="inlineStr">
        <is>
          <t xml:space="preserve"> Female</t>
        </is>
      </c>
      <c r="L4307" t="inlineStr">
        <is>
          <t>No focal subject</t>
        </is>
      </c>
      <c r="M4307" t="n">
        <v>37.866</v>
      </c>
      <c r="N4307" t="inlineStr">
        <is>
          <t>Explore_F</t>
        </is>
      </c>
      <c r="O4307" t="inlineStr">
        <is>
          <t>Familiar</t>
        </is>
      </c>
      <c r="P4307" t="inlineStr">
        <is>
          <t>STATE</t>
        </is>
      </c>
      <c r="Q4307" t="n">
        <v>60.633</v>
      </c>
      <c r="R4307" t="n">
        <v>62</v>
      </c>
      <c r="S4307" t="n">
        <v>1.367</v>
      </c>
      <c r="T4307" t="inlineStr">
        <is>
          <t>C:/Users/manuel.felline/Documents/BEHAVIOR BTBR/NOR second cohort/WT/test/c59_f3.mp4</t>
        </is>
      </c>
      <c r="U4307" t="n">
        <v>2208</v>
      </c>
      <c r="V4307" t="n">
        <v>2249</v>
      </c>
      <c r="W4307" t="n">
        <v/>
      </c>
      <c r="X4307" t="n">
        <v/>
      </c>
      <c r="Y4307" t="n">
        <v/>
      </c>
      <c r="Z4307" t="n">
        <v/>
      </c>
      <c r="AA4307">
        <f>SUMIFS($S$2:S4307,$A$2:A4307,A4307,$N$2:N4307,"Explore*")</f>
        <v/>
      </c>
      <c r="AB4307">
        <f>IF(AND(LEFT(N4307,7)="Explore",(AA4307-IF(LEFT(N4307,7)="Explore",S4307,0))&lt;10),"SI","NO")</f>
        <v/>
      </c>
    </row>
    <row r="4308">
      <c r="A4308" t="inlineStr">
        <is>
          <t>c59f3_test</t>
        </is>
      </c>
      <c r="B4308" t="inlineStr">
        <is>
          <t>2026-07-03 16:05:51.440</t>
        </is>
      </c>
      <c r="C4308" t="n">
        <v/>
      </c>
      <c r="D4308" t="inlineStr">
        <is>
          <t>Media file</t>
        </is>
      </c>
      <c r="E4308" t="inlineStr">
        <is>
          <t>player #1:C:/Users/manuel.felline/Documents/BEHAVIOR BTBR/NOR second cohort/WT/test/c59_f3.mp4</t>
        </is>
      </c>
      <c r="F4308" t="n">
        <v>-12.967</v>
      </c>
      <c r="G4308" t="n">
        <v>520.2329999999999</v>
      </c>
      <c r="H4308" t="n">
        <v>631.7329999999999</v>
      </c>
      <c r="I4308" t="n">
        <v>30</v>
      </c>
      <c r="J4308" t="inlineStr">
        <is>
          <t xml:space="preserve"> WT</t>
        </is>
      </c>
      <c r="K4308" t="inlineStr">
        <is>
          <t xml:space="preserve"> Female</t>
        </is>
      </c>
      <c r="L4308" t="inlineStr">
        <is>
          <t>No focal subject</t>
        </is>
      </c>
      <c r="M4308" t="n">
        <v>37.866</v>
      </c>
      <c r="N4308" t="inlineStr">
        <is>
          <t>Explore_N</t>
        </is>
      </c>
      <c r="O4308" t="inlineStr">
        <is>
          <t>Novelty</t>
        </is>
      </c>
      <c r="P4308" t="inlineStr">
        <is>
          <t>STATE</t>
        </is>
      </c>
      <c r="Q4308" t="n">
        <v>62.966</v>
      </c>
      <c r="R4308" t="n">
        <v>64.26600000000001</v>
      </c>
      <c r="S4308" t="n">
        <v>1.3</v>
      </c>
      <c r="T4308" t="inlineStr">
        <is>
          <t>C:/Users/manuel.felline/Documents/BEHAVIOR BTBR/NOR second cohort/WT/test/c59_f3.mp4</t>
        </is>
      </c>
      <c r="U4308" t="n">
        <v>2278</v>
      </c>
      <c r="V4308" t="n">
        <v>2317</v>
      </c>
      <c r="W4308" t="n">
        <v/>
      </c>
      <c r="X4308" t="n">
        <v/>
      </c>
      <c r="Y4308" t="n">
        <v/>
      </c>
      <c r="Z4308" t="n">
        <v/>
      </c>
      <c r="AA4308">
        <f>SUMIFS($S$2:S4308,$A$2:A4308,A4308,$N$2:N4308,"Explore*")</f>
        <v/>
      </c>
      <c r="AB4308">
        <f>IF(AND(LEFT(N4308,7)="Explore",(AA4308-IF(LEFT(N4308,7)="Explore",S4308,0))&lt;10),"SI","NO")</f>
        <v/>
      </c>
    </row>
    <row r="4309">
      <c r="A4309" t="inlineStr">
        <is>
          <t>c59f3_test</t>
        </is>
      </c>
      <c r="B4309" t="inlineStr">
        <is>
          <t>2026-07-03 16:05:51.440</t>
        </is>
      </c>
      <c r="C4309" t="n">
        <v/>
      </c>
      <c r="D4309" t="inlineStr">
        <is>
          <t>Media file</t>
        </is>
      </c>
      <c r="E4309" t="inlineStr">
        <is>
          <t>player #1:C:/Users/manuel.felline/Documents/BEHAVIOR BTBR/NOR second cohort/WT/test/c59_f3.mp4</t>
        </is>
      </c>
      <c r="F4309" t="n">
        <v>-12.967</v>
      </c>
      <c r="G4309" t="n">
        <v>520.2329999999999</v>
      </c>
      <c r="H4309" t="n">
        <v>631.7329999999999</v>
      </c>
      <c r="I4309" t="n">
        <v>30</v>
      </c>
      <c r="J4309" t="inlineStr">
        <is>
          <t xml:space="preserve"> WT</t>
        </is>
      </c>
      <c r="K4309" t="inlineStr">
        <is>
          <t xml:space="preserve"> Female</t>
        </is>
      </c>
      <c r="L4309" t="inlineStr">
        <is>
          <t>No focal subject</t>
        </is>
      </c>
      <c r="M4309" t="n">
        <v>37.866</v>
      </c>
      <c r="N4309" t="inlineStr">
        <is>
          <t>Explore_F</t>
        </is>
      </c>
      <c r="O4309" t="inlineStr">
        <is>
          <t>Familiar</t>
        </is>
      </c>
      <c r="P4309" t="inlineStr">
        <is>
          <t>STATE</t>
        </is>
      </c>
      <c r="Q4309" t="n">
        <v>72.46599999999999</v>
      </c>
      <c r="R4309" t="n">
        <v>74.26600000000001</v>
      </c>
      <c r="S4309" t="n">
        <v>1.8</v>
      </c>
      <c r="T4309" t="inlineStr">
        <is>
          <t>C:/Users/manuel.felline/Documents/BEHAVIOR BTBR/NOR second cohort/WT/test/c59_f3.mp4</t>
        </is>
      </c>
      <c r="U4309" t="n">
        <v>2563</v>
      </c>
      <c r="V4309" t="n">
        <v>2617</v>
      </c>
      <c r="W4309" t="n">
        <v/>
      </c>
      <c r="X4309" t="n">
        <v/>
      </c>
      <c r="Y4309" t="n">
        <v/>
      </c>
      <c r="Z4309" t="n">
        <v/>
      </c>
      <c r="AA4309">
        <f>SUMIFS($S$2:S4309,$A$2:A4309,A4309,$N$2:N4309,"Explore*")</f>
        <v/>
      </c>
      <c r="AB4309">
        <f>IF(AND(LEFT(N4309,7)="Explore",(AA4309-IF(LEFT(N4309,7)="Explore",S4309,0))&lt;10),"SI","NO")</f>
        <v/>
      </c>
    </row>
    <row r="4310">
      <c r="A4310" t="inlineStr">
        <is>
          <t>c59f3_test</t>
        </is>
      </c>
      <c r="B4310" t="inlineStr">
        <is>
          <t>2026-07-03 16:05:51.440</t>
        </is>
      </c>
      <c r="C4310" t="n">
        <v/>
      </c>
      <c r="D4310" t="inlineStr">
        <is>
          <t>Media file</t>
        </is>
      </c>
      <c r="E4310" t="inlineStr">
        <is>
          <t>player #1:C:/Users/manuel.felline/Documents/BEHAVIOR BTBR/NOR second cohort/WT/test/c59_f3.mp4</t>
        </is>
      </c>
      <c r="F4310" t="n">
        <v>-12.967</v>
      </c>
      <c r="G4310" t="n">
        <v>520.2329999999999</v>
      </c>
      <c r="H4310" t="n">
        <v>631.7329999999999</v>
      </c>
      <c r="I4310" t="n">
        <v>30</v>
      </c>
      <c r="J4310" t="inlineStr">
        <is>
          <t xml:space="preserve"> WT</t>
        </is>
      </c>
      <c r="K4310" t="inlineStr">
        <is>
          <t xml:space="preserve"> Female</t>
        </is>
      </c>
      <c r="L4310" t="inlineStr">
        <is>
          <t>No focal subject</t>
        </is>
      </c>
      <c r="M4310" t="n">
        <v>37.866</v>
      </c>
      <c r="N4310" t="inlineStr">
        <is>
          <t>Explore_N</t>
        </is>
      </c>
      <c r="O4310" t="inlineStr">
        <is>
          <t>Novelty</t>
        </is>
      </c>
      <c r="P4310" t="inlineStr">
        <is>
          <t>STATE</t>
        </is>
      </c>
      <c r="Q4310" t="n">
        <v>75.2</v>
      </c>
      <c r="R4310" t="n">
        <v>76.133</v>
      </c>
      <c r="S4310" t="n">
        <v>0.9330000000000001</v>
      </c>
      <c r="T4310" t="inlineStr">
        <is>
          <t>C:/Users/manuel.felline/Documents/BEHAVIOR BTBR/NOR second cohort/WT/test/c59_f3.mp4</t>
        </is>
      </c>
      <c r="U4310" t="n">
        <v>2645</v>
      </c>
      <c r="V4310" t="n">
        <v>2673</v>
      </c>
      <c r="W4310" t="n">
        <v/>
      </c>
      <c r="X4310" t="n">
        <v/>
      </c>
      <c r="Y4310" t="n">
        <v/>
      </c>
      <c r="Z4310" t="n">
        <v/>
      </c>
      <c r="AA4310">
        <f>SUMIFS($S$2:S4310,$A$2:A4310,A4310,$N$2:N4310,"Explore*")</f>
        <v/>
      </c>
      <c r="AB4310">
        <f>IF(AND(LEFT(N4310,7)="Explore",(AA4310-IF(LEFT(N4310,7)="Explore",S4310,0))&lt;10),"SI","NO")</f>
        <v/>
      </c>
    </row>
    <row r="4311">
      <c r="A4311" t="inlineStr">
        <is>
          <t>c59f3_test</t>
        </is>
      </c>
      <c r="B4311" t="inlineStr">
        <is>
          <t>2026-07-03 16:05:51.440</t>
        </is>
      </c>
      <c r="C4311" t="n">
        <v/>
      </c>
      <c r="D4311" t="inlineStr">
        <is>
          <t>Media file</t>
        </is>
      </c>
      <c r="E4311" t="inlineStr">
        <is>
          <t>player #1:C:/Users/manuel.felline/Documents/BEHAVIOR BTBR/NOR second cohort/WT/test/c59_f3.mp4</t>
        </is>
      </c>
      <c r="F4311" t="n">
        <v>-12.967</v>
      </c>
      <c r="G4311" t="n">
        <v>520.2329999999999</v>
      </c>
      <c r="H4311" t="n">
        <v>631.7329999999999</v>
      </c>
      <c r="I4311" t="n">
        <v>30</v>
      </c>
      <c r="J4311" t="inlineStr">
        <is>
          <t xml:space="preserve"> WT</t>
        </is>
      </c>
      <c r="K4311" t="inlineStr">
        <is>
          <t xml:space="preserve"> Female</t>
        </is>
      </c>
      <c r="L4311" t="inlineStr">
        <is>
          <t>No focal subject</t>
        </is>
      </c>
      <c r="M4311" t="n">
        <v>37.866</v>
      </c>
      <c r="N4311" t="inlineStr">
        <is>
          <t>Explore_N</t>
        </is>
      </c>
      <c r="O4311" t="inlineStr">
        <is>
          <t>Novelty</t>
        </is>
      </c>
      <c r="P4311" t="inlineStr">
        <is>
          <t>STATE</t>
        </is>
      </c>
      <c r="Q4311" t="n">
        <v>89.866</v>
      </c>
      <c r="R4311" t="n">
        <v>90.7</v>
      </c>
      <c r="S4311" t="n">
        <v>0.834</v>
      </c>
      <c r="T4311" t="inlineStr">
        <is>
          <t>C:/Users/manuel.felline/Documents/BEHAVIOR BTBR/NOR second cohort/WT/test/c59_f3.mp4</t>
        </is>
      </c>
      <c r="U4311" t="n">
        <v>3085</v>
      </c>
      <c r="V4311" t="n">
        <v>3111</v>
      </c>
      <c r="W4311" t="n">
        <v/>
      </c>
      <c r="X4311" t="n">
        <v/>
      </c>
      <c r="Y4311" t="n">
        <v/>
      </c>
      <c r="Z4311" t="n">
        <v/>
      </c>
      <c r="AA4311">
        <f>SUMIFS($S$2:S4311,$A$2:A4311,A4311,$N$2:N4311,"Explore*")</f>
        <v/>
      </c>
      <c r="AB4311">
        <f>IF(AND(LEFT(N4311,7)="Explore",(AA4311-IF(LEFT(N4311,7)="Explore",S4311,0))&lt;10),"SI","NO")</f>
        <v/>
      </c>
    </row>
    <row r="4312">
      <c r="A4312" t="inlineStr">
        <is>
          <t>c59f3_test</t>
        </is>
      </c>
      <c r="B4312" t="inlineStr">
        <is>
          <t>2026-07-03 16:05:51.440</t>
        </is>
      </c>
      <c r="C4312" t="n">
        <v/>
      </c>
      <c r="D4312" t="inlineStr">
        <is>
          <t>Media file</t>
        </is>
      </c>
      <c r="E4312" t="inlineStr">
        <is>
          <t>player #1:C:/Users/manuel.felline/Documents/BEHAVIOR BTBR/NOR second cohort/WT/test/c59_f3.mp4</t>
        </is>
      </c>
      <c r="F4312" t="n">
        <v>-12.967</v>
      </c>
      <c r="G4312" t="n">
        <v>520.2329999999999</v>
      </c>
      <c r="H4312" t="n">
        <v>631.7329999999999</v>
      </c>
      <c r="I4312" t="n">
        <v>30</v>
      </c>
      <c r="J4312" t="inlineStr">
        <is>
          <t xml:space="preserve"> WT</t>
        </is>
      </c>
      <c r="K4312" t="inlineStr">
        <is>
          <t xml:space="preserve"> Female</t>
        </is>
      </c>
      <c r="L4312" t="inlineStr">
        <is>
          <t>No focal subject</t>
        </is>
      </c>
      <c r="M4312" t="n">
        <v>37.866</v>
      </c>
      <c r="N4312" t="inlineStr">
        <is>
          <t>Explore_N</t>
        </is>
      </c>
      <c r="O4312" t="inlineStr">
        <is>
          <t>Novelty</t>
        </is>
      </c>
      <c r="P4312" t="inlineStr">
        <is>
          <t>STATE</t>
        </is>
      </c>
      <c r="Q4312" t="n">
        <v>91.833</v>
      </c>
      <c r="R4312" t="n">
        <v>92.76600000000001</v>
      </c>
      <c r="S4312" t="n">
        <v>0.9330000000000001</v>
      </c>
      <c r="T4312" t="inlineStr">
        <is>
          <t>C:/Users/manuel.felline/Documents/BEHAVIOR BTBR/NOR second cohort/WT/test/c59_f3.mp4</t>
        </is>
      </c>
      <c r="U4312" t="n">
        <v>3144</v>
      </c>
      <c r="V4312" t="n">
        <v>3172</v>
      </c>
      <c r="W4312" t="n">
        <v/>
      </c>
      <c r="X4312" t="n">
        <v/>
      </c>
      <c r="Y4312" t="n">
        <v/>
      </c>
      <c r="Z4312" t="n">
        <v/>
      </c>
      <c r="AA4312">
        <f>SUMIFS($S$2:S4312,$A$2:A4312,A4312,$N$2:N4312,"Explore*")</f>
        <v/>
      </c>
      <c r="AB4312">
        <f>IF(AND(LEFT(N4312,7)="Explore",(AA4312-IF(LEFT(N4312,7)="Explore",S4312,0))&lt;10),"SI","NO")</f>
        <v/>
      </c>
    </row>
    <row r="4313">
      <c r="A4313" t="inlineStr">
        <is>
          <t>c59f3_test</t>
        </is>
      </c>
      <c r="B4313" t="inlineStr">
        <is>
          <t>2026-07-03 16:05:51.440</t>
        </is>
      </c>
      <c r="C4313" t="n">
        <v/>
      </c>
      <c r="D4313" t="inlineStr">
        <is>
          <t>Media file</t>
        </is>
      </c>
      <c r="E4313" t="inlineStr">
        <is>
          <t>player #1:C:/Users/manuel.felline/Documents/BEHAVIOR BTBR/NOR second cohort/WT/test/c59_f3.mp4</t>
        </is>
      </c>
      <c r="F4313" t="n">
        <v>-12.967</v>
      </c>
      <c r="G4313" t="n">
        <v>520.2329999999999</v>
      </c>
      <c r="H4313" t="n">
        <v>631.7329999999999</v>
      </c>
      <c r="I4313" t="n">
        <v>30</v>
      </c>
      <c r="J4313" t="inlineStr">
        <is>
          <t xml:space="preserve"> WT</t>
        </is>
      </c>
      <c r="K4313" t="inlineStr">
        <is>
          <t xml:space="preserve"> Female</t>
        </is>
      </c>
      <c r="L4313" t="inlineStr">
        <is>
          <t>No focal subject</t>
        </is>
      </c>
      <c r="M4313" t="n">
        <v>37.866</v>
      </c>
      <c r="N4313" t="inlineStr">
        <is>
          <t>Explore_N</t>
        </is>
      </c>
      <c r="O4313" t="inlineStr">
        <is>
          <t>Novelty</t>
        </is>
      </c>
      <c r="P4313" t="inlineStr">
        <is>
          <t>STATE</t>
        </is>
      </c>
      <c r="Q4313" t="n">
        <v>111.166</v>
      </c>
      <c r="R4313" t="n">
        <v>111.866</v>
      </c>
      <c r="S4313" t="n">
        <v>0.7</v>
      </c>
      <c r="T4313" t="inlineStr">
        <is>
          <t>C:/Users/manuel.felline/Documents/BEHAVIOR BTBR/NOR second cohort/WT/test/c59_f3.mp4</t>
        </is>
      </c>
      <c r="U4313" t="n">
        <v>3724</v>
      </c>
      <c r="V4313" t="n">
        <v>3745</v>
      </c>
      <c r="W4313" t="n">
        <v/>
      </c>
      <c r="X4313" t="n">
        <v/>
      </c>
      <c r="Y4313" t="n">
        <v/>
      </c>
      <c r="Z4313" t="n">
        <v/>
      </c>
      <c r="AA4313">
        <f>SUMIFS($S$2:S4313,$A$2:A4313,A4313,$N$2:N4313,"Explore*")</f>
        <v/>
      </c>
      <c r="AB4313">
        <f>IF(AND(LEFT(N4313,7)="Explore",(AA4313-IF(LEFT(N4313,7)="Explore",S4313,0))&lt;10),"SI","NO")</f>
        <v/>
      </c>
    </row>
    <row r="4314">
      <c r="A4314" t="inlineStr">
        <is>
          <t>c59f3_test</t>
        </is>
      </c>
      <c r="B4314" t="inlineStr">
        <is>
          <t>2026-07-03 16:05:51.440</t>
        </is>
      </c>
      <c r="C4314" t="n">
        <v/>
      </c>
      <c r="D4314" t="inlineStr">
        <is>
          <t>Media file</t>
        </is>
      </c>
      <c r="E4314" t="inlineStr">
        <is>
          <t>player #1:C:/Users/manuel.felline/Documents/BEHAVIOR BTBR/NOR second cohort/WT/test/c59_f3.mp4</t>
        </is>
      </c>
      <c r="F4314" t="n">
        <v>-12.967</v>
      </c>
      <c r="G4314" t="n">
        <v>520.2329999999999</v>
      </c>
      <c r="H4314" t="n">
        <v>631.7329999999999</v>
      </c>
      <c r="I4314" t="n">
        <v>30</v>
      </c>
      <c r="J4314" t="inlineStr">
        <is>
          <t xml:space="preserve"> WT</t>
        </is>
      </c>
      <c r="K4314" t="inlineStr">
        <is>
          <t xml:space="preserve"> Female</t>
        </is>
      </c>
      <c r="L4314" t="inlineStr">
        <is>
          <t>No focal subject</t>
        </is>
      </c>
      <c r="M4314" t="n">
        <v>37.866</v>
      </c>
      <c r="N4314" t="inlineStr">
        <is>
          <t>Explore_N</t>
        </is>
      </c>
      <c r="O4314" t="inlineStr">
        <is>
          <t>Novelty</t>
        </is>
      </c>
      <c r="P4314" t="inlineStr">
        <is>
          <t>STATE</t>
        </is>
      </c>
      <c r="Q4314" t="n">
        <v>114.233</v>
      </c>
      <c r="R4314" t="n">
        <v>115.1</v>
      </c>
      <c r="S4314" t="n">
        <v>0.867</v>
      </c>
      <c r="T4314" t="inlineStr">
        <is>
          <t>C:/Users/manuel.felline/Documents/BEHAVIOR BTBR/NOR second cohort/WT/test/c59_f3.mp4</t>
        </is>
      </c>
      <c r="U4314" t="n">
        <v>3816</v>
      </c>
      <c r="V4314" t="n">
        <v>3842</v>
      </c>
      <c r="W4314" t="n">
        <v/>
      </c>
      <c r="X4314" t="n">
        <v/>
      </c>
      <c r="Y4314" t="n">
        <v/>
      </c>
      <c r="Z4314" t="n">
        <v/>
      </c>
      <c r="AA4314">
        <f>SUMIFS($S$2:S4314,$A$2:A4314,A4314,$N$2:N4314,"Explore*")</f>
        <v/>
      </c>
      <c r="AB4314">
        <f>IF(AND(LEFT(N4314,7)="Explore",(AA4314-IF(LEFT(N4314,7)="Explore",S4314,0))&lt;10),"SI","NO")</f>
        <v/>
      </c>
    </row>
    <row r="4315">
      <c r="A4315" t="inlineStr">
        <is>
          <t>c59f3_test</t>
        </is>
      </c>
      <c r="B4315" t="inlineStr">
        <is>
          <t>2026-07-03 16:05:51.440</t>
        </is>
      </c>
      <c r="C4315" t="n">
        <v/>
      </c>
      <c r="D4315" t="inlineStr">
        <is>
          <t>Media file</t>
        </is>
      </c>
      <c r="E4315" t="inlineStr">
        <is>
          <t>player #1:C:/Users/manuel.felline/Documents/BEHAVIOR BTBR/NOR second cohort/WT/test/c59_f3.mp4</t>
        </is>
      </c>
      <c r="F4315" t="n">
        <v>-12.967</v>
      </c>
      <c r="G4315" t="n">
        <v>520.2329999999999</v>
      </c>
      <c r="H4315" t="n">
        <v>631.7329999999999</v>
      </c>
      <c r="I4315" t="n">
        <v>30</v>
      </c>
      <c r="J4315" t="inlineStr">
        <is>
          <t xml:space="preserve"> WT</t>
        </is>
      </c>
      <c r="K4315" t="inlineStr">
        <is>
          <t xml:space="preserve"> Female</t>
        </is>
      </c>
      <c r="L4315" t="inlineStr">
        <is>
          <t>No focal subject</t>
        </is>
      </c>
      <c r="M4315" t="n">
        <v>37.866</v>
      </c>
      <c r="N4315" t="inlineStr">
        <is>
          <t>Explore_N</t>
        </is>
      </c>
      <c r="O4315" t="inlineStr">
        <is>
          <t>Novelty</t>
        </is>
      </c>
      <c r="P4315" t="inlineStr">
        <is>
          <t>STATE</t>
        </is>
      </c>
      <c r="Q4315" t="n">
        <v>117.333</v>
      </c>
      <c r="R4315" t="n">
        <v>118.1</v>
      </c>
      <c r="S4315" t="n">
        <v>0.767</v>
      </c>
      <c r="T4315" t="inlineStr">
        <is>
          <t>C:/Users/manuel.felline/Documents/BEHAVIOR BTBR/NOR second cohort/WT/test/c59_f3.mp4</t>
        </is>
      </c>
      <c r="U4315" t="n">
        <v>3909</v>
      </c>
      <c r="V4315" t="n">
        <v>3932</v>
      </c>
      <c r="W4315" t="n">
        <v/>
      </c>
      <c r="X4315" t="n">
        <v/>
      </c>
      <c r="Y4315" t="n">
        <v/>
      </c>
      <c r="Z4315" t="n">
        <v/>
      </c>
      <c r="AA4315">
        <f>SUMIFS($S$2:S4315,$A$2:A4315,A4315,$N$2:N4315,"Explore*")</f>
        <v/>
      </c>
      <c r="AB4315">
        <f>IF(AND(LEFT(N4315,7)="Explore",(AA4315-IF(LEFT(N4315,7)="Explore",S4315,0))&lt;10),"SI","NO")</f>
        <v/>
      </c>
    </row>
    <row r="4316">
      <c r="A4316" t="inlineStr">
        <is>
          <t>c59f3_test</t>
        </is>
      </c>
      <c r="B4316" t="inlineStr">
        <is>
          <t>2026-07-03 16:05:51.440</t>
        </is>
      </c>
      <c r="C4316" t="n">
        <v/>
      </c>
      <c r="D4316" t="inlineStr">
        <is>
          <t>Media file</t>
        </is>
      </c>
      <c r="E4316" t="inlineStr">
        <is>
          <t>player #1:C:/Users/manuel.felline/Documents/BEHAVIOR BTBR/NOR second cohort/WT/test/c59_f3.mp4</t>
        </is>
      </c>
      <c r="F4316" t="n">
        <v>-12.967</v>
      </c>
      <c r="G4316" t="n">
        <v>520.2329999999999</v>
      </c>
      <c r="H4316" t="n">
        <v>631.7329999999999</v>
      </c>
      <c r="I4316" t="n">
        <v>30</v>
      </c>
      <c r="J4316" t="inlineStr">
        <is>
          <t xml:space="preserve"> WT</t>
        </is>
      </c>
      <c r="K4316" t="inlineStr">
        <is>
          <t xml:space="preserve"> Female</t>
        </is>
      </c>
      <c r="L4316" t="inlineStr">
        <is>
          <t>No focal subject</t>
        </is>
      </c>
      <c r="M4316" t="n">
        <v>37.866</v>
      </c>
      <c r="N4316" t="inlineStr">
        <is>
          <t>Explore_N</t>
        </is>
      </c>
      <c r="O4316" t="inlineStr">
        <is>
          <t>Novelty</t>
        </is>
      </c>
      <c r="P4316" t="inlineStr">
        <is>
          <t>STATE</t>
        </is>
      </c>
      <c r="Q4316" t="n">
        <v>119.133</v>
      </c>
      <c r="R4316" t="n">
        <v>119.866</v>
      </c>
      <c r="S4316" t="n">
        <v>0.733</v>
      </c>
      <c r="T4316" t="inlineStr">
        <is>
          <t>C:/Users/manuel.felline/Documents/BEHAVIOR BTBR/NOR second cohort/WT/test/c59_f3.mp4</t>
        </is>
      </c>
      <c r="U4316" t="n">
        <v>3963</v>
      </c>
      <c r="V4316" t="n">
        <v>3985</v>
      </c>
      <c r="W4316" t="n">
        <v/>
      </c>
      <c r="X4316" t="n">
        <v/>
      </c>
      <c r="Y4316" t="n">
        <v/>
      </c>
      <c r="Z4316" t="n">
        <v/>
      </c>
      <c r="AA4316">
        <f>SUMIFS($S$2:S4316,$A$2:A4316,A4316,$N$2:N4316,"Explore*")</f>
        <v/>
      </c>
      <c r="AB4316">
        <f>IF(AND(LEFT(N4316,7)="Explore",(AA4316-IF(LEFT(N4316,7)="Explore",S4316,0))&lt;10),"SI","NO")</f>
        <v/>
      </c>
    </row>
    <row r="4317">
      <c r="A4317" t="inlineStr">
        <is>
          <t>c59f3_test</t>
        </is>
      </c>
      <c r="B4317" t="inlineStr">
        <is>
          <t>2026-07-03 16:05:51.440</t>
        </is>
      </c>
      <c r="C4317" t="n">
        <v/>
      </c>
      <c r="D4317" t="inlineStr">
        <is>
          <t>Media file</t>
        </is>
      </c>
      <c r="E4317" t="inlineStr">
        <is>
          <t>player #1:C:/Users/manuel.felline/Documents/BEHAVIOR BTBR/NOR second cohort/WT/test/c59_f3.mp4</t>
        </is>
      </c>
      <c r="F4317" t="n">
        <v>-12.967</v>
      </c>
      <c r="G4317" t="n">
        <v>520.2329999999999</v>
      </c>
      <c r="H4317" t="n">
        <v>631.7329999999999</v>
      </c>
      <c r="I4317" t="n">
        <v>30</v>
      </c>
      <c r="J4317" t="inlineStr">
        <is>
          <t xml:space="preserve"> WT</t>
        </is>
      </c>
      <c r="K4317" t="inlineStr">
        <is>
          <t xml:space="preserve"> Female</t>
        </is>
      </c>
      <c r="L4317" t="inlineStr">
        <is>
          <t>No focal subject</t>
        </is>
      </c>
      <c r="M4317" t="n">
        <v>37.866</v>
      </c>
      <c r="N4317" t="inlineStr">
        <is>
          <t>Explore_F</t>
        </is>
      </c>
      <c r="O4317" t="inlineStr">
        <is>
          <t>Familiar</t>
        </is>
      </c>
      <c r="P4317" t="inlineStr">
        <is>
          <t>STATE</t>
        </is>
      </c>
      <c r="Q4317" t="n">
        <v>120.933</v>
      </c>
      <c r="R4317" t="n">
        <v>123.166</v>
      </c>
      <c r="S4317" t="n">
        <v>2.233</v>
      </c>
      <c r="T4317" t="inlineStr">
        <is>
          <t>C:/Users/manuel.felline/Documents/BEHAVIOR BTBR/NOR second cohort/WT/test/c59_f3.mp4</t>
        </is>
      </c>
      <c r="U4317" t="n">
        <v>4017</v>
      </c>
      <c r="V4317" t="n">
        <v>4084</v>
      </c>
      <c r="W4317" t="n">
        <v/>
      </c>
      <c r="X4317" t="n">
        <v/>
      </c>
      <c r="Y4317" t="n">
        <v/>
      </c>
      <c r="Z4317" t="n">
        <v/>
      </c>
      <c r="AA4317">
        <f>SUMIFS($S$2:S4317,$A$2:A4317,A4317,$N$2:N4317,"Explore*")</f>
        <v/>
      </c>
      <c r="AB4317">
        <f>IF(AND(LEFT(N4317,7)="Explore",(AA4317-IF(LEFT(N4317,7)="Explore",S4317,0))&lt;10),"SI","NO")</f>
        <v/>
      </c>
    </row>
    <row r="4318">
      <c r="A4318" t="inlineStr">
        <is>
          <t>c59f3_test</t>
        </is>
      </c>
      <c r="B4318" t="inlineStr">
        <is>
          <t>2026-07-03 16:05:51.440</t>
        </is>
      </c>
      <c r="C4318" t="n">
        <v/>
      </c>
      <c r="D4318" t="inlineStr">
        <is>
          <t>Media file</t>
        </is>
      </c>
      <c r="E4318" t="inlineStr">
        <is>
          <t>player #1:C:/Users/manuel.felline/Documents/BEHAVIOR BTBR/NOR second cohort/WT/test/c59_f3.mp4</t>
        </is>
      </c>
      <c r="F4318" t="n">
        <v>-12.967</v>
      </c>
      <c r="G4318" t="n">
        <v>520.2329999999999</v>
      </c>
      <c r="H4318" t="n">
        <v>631.7329999999999</v>
      </c>
      <c r="I4318" t="n">
        <v>30</v>
      </c>
      <c r="J4318" t="inlineStr">
        <is>
          <t xml:space="preserve"> WT</t>
        </is>
      </c>
      <c r="K4318" t="inlineStr">
        <is>
          <t xml:space="preserve"> Female</t>
        </is>
      </c>
      <c r="L4318" t="inlineStr">
        <is>
          <t>No focal subject</t>
        </is>
      </c>
      <c r="M4318" t="n">
        <v>37.866</v>
      </c>
      <c r="N4318" t="inlineStr">
        <is>
          <t>Explore_F</t>
        </is>
      </c>
      <c r="O4318" t="inlineStr">
        <is>
          <t>Familiar</t>
        </is>
      </c>
      <c r="P4318" t="inlineStr">
        <is>
          <t>STATE</t>
        </is>
      </c>
      <c r="Q4318" t="n">
        <v>124.2</v>
      </c>
      <c r="R4318" t="n">
        <v>124.6</v>
      </c>
      <c r="S4318" t="n">
        <v>0.4</v>
      </c>
      <c r="T4318" t="inlineStr">
        <is>
          <t>C:/Users/manuel.felline/Documents/BEHAVIOR BTBR/NOR second cohort/WT/test/c59_f3.mp4</t>
        </is>
      </c>
      <c r="U4318" t="n">
        <v>4115</v>
      </c>
      <c r="V4318" t="n">
        <v>4127</v>
      </c>
      <c r="W4318" t="n">
        <v/>
      </c>
      <c r="X4318" t="n">
        <v/>
      </c>
      <c r="Y4318" t="n">
        <v/>
      </c>
      <c r="Z4318" t="n">
        <v/>
      </c>
      <c r="AA4318">
        <f>SUMIFS($S$2:S4318,$A$2:A4318,A4318,$N$2:N4318,"Explore*")</f>
        <v/>
      </c>
      <c r="AB4318">
        <f>IF(AND(LEFT(N4318,7)="Explore",(AA4318-IF(LEFT(N4318,7)="Explore",S4318,0))&lt;10),"SI","NO")</f>
        <v/>
      </c>
    </row>
    <row r="4319">
      <c r="A4319" t="inlineStr">
        <is>
          <t>c59f3_test</t>
        </is>
      </c>
      <c r="B4319" t="inlineStr">
        <is>
          <t>2026-07-03 16:05:51.440</t>
        </is>
      </c>
      <c r="C4319" t="n">
        <v/>
      </c>
      <c r="D4319" t="inlineStr">
        <is>
          <t>Media file</t>
        </is>
      </c>
      <c r="E4319" t="inlineStr">
        <is>
          <t>player #1:C:/Users/manuel.felline/Documents/BEHAVIOR BTBR/NOR second cohort/WT/test/c59_f3.mp4</t>
        </is>
      </c>
      <c r="F4319" t="n">
        <v>-12.967</v>
      </c>
      <c r="G4319" t="n">
        <v>520.2329999999999</v>
      </c>
      <c r="H4319" t="n">
        <v>631.7329999999999</v>
      </c>
      <c r="I4319" t="n">
        <v>30</v>
      </c>
      <c r="J4319" t="inlineStr">
        <is>
          <t xml:space="preserve"> WT</t>
        </is>
      </c>
      <c r="K4319" t="inlineStr">
        <is>
          <t xml:space="preserve"> Female</t>
        </is>
      </c>
      <c r="L4319" t="inlineStr">
        <is>
          <t>No focal subject</t>
        </is>
      </c>
      <c r="M4319" t="n">
        <v>37.866</v>
      </c>
      <c r="N4319" t="inlineStr">
        <is>
          <t>Explore_N</t>
        </is>
      </c>
      <c r="O4319" t="inlineStr">
        <is>
          <t>Novelty</t>
        </is>
      </c>
      <c r="P4319" t="inlineStr">
        <is>
          <t>STATE</t>
        </is>
      </c>
      <c r="Q4319" t="n">
        <v>134.833</v>
      </c>
      <c r="R4319" t="n">
        <v>135.8</v>
      </c>
      <c r="S4319" t="n">
        <v>0.967</v>
      </c>
      <c r="T4319" t="inlineStr">
        <is>
          <t>C:/Users/manuel.felline/Documents/BEHAVIOR BTBR/NOR second cohort/WT/test/c59_f3.mp4</t>
        </is>
      </c>
      <c r="U4319" t="n">
        <v>4434</v>
      </c>
      <c r="V4319" t="n">
        <v>4463</v>
      </c>
      <c r="W4319" t="n">
        <v/>
      </c>
      <c r="X4319" t="n">
        <v/>
      </c>
      <c r="Y4319" t="n">
        <v/>
      </c>
      <c r="Z4319" t="n">
        <v/>
      </c>
      <c r="AA4319">
        <f>SUMIFS($S$2:S4319,$A$2:A4319,A4319,$N$2:N4319,"Explore*")</f>
        <v/>
      </c>
      <c r="AB4319">
        <f>IF(AND(LEFT(N4319,7)="Explore",(AA4319-IF(LEFT(N4319,7)="Explore",S4319,0))&lt;10),"SI","NO")</f>
        <v/>
      </c>
    </row>
    <row r="4320">
      <c r="A4320" t="inlineStr">
        <is>
          <t>c59f3_test</t>
        </is>
      </c>
      <c r="B4320" t="inlineStr">
        <is>
          <t>2026-07-03 16:05:51.440</t>
        </is>
      </c>
      <c r="C4320" t="n">
        <v/>
      </c>
      <c r="D4320" t="inlineStr">
        <is>
          <t>Media file</t>
        </is>
      </c>
      <c r="E4320" t="inlineStr">
        <is>
          <t>player #1:C:/Users/manuel.felline/Documents/BEHAVIOR BTBR/NOR second cohort/WT/test/c59_f3.mp4</t>
        </is>
      </c>
      <c r="F4320" t="n">
        <v>-12.967</v>
      </c>
      <c r="G4320" t="n">
        <v>520.2329999999999</v>
      </c>
      <c r="H4320" t="n">
        <v>631.7329999999999</v>
      </c>
      <c r="I4320" t="n">
        <v>30</v>
      </c>
      <c r="J4320" t="inlineStr">
        <is>
          <t xml:space="preserve"> WT</t>
        </is>
      </c>
      <c r="K4320" t="inlineStr">
        <is>
          <t xml:space="preserve"> Female</t>
        </is>
      </c>
      <c r="L4320" t="inlineStr">
        <is>
          <t>No focal subject</t>
        </is>
      </c>
      <c r="M4320" t="n">
        <v>37.866</v>
      </c>
      <c r="N4320" t="inlineStr">
        <is>
          <t>Explore_N</t>
        </is>
      </c>
      <c r="O4320" t="inlineStr">
        <is>
          <t>Novelty</t>
        </is>
      </c>
      <c r="P4320" t="inlineStr">
        <is>
          <t>STATE</t>
        </is>
      </c>
      <c r="Q4320" t="n">
        <v>142.733</v>
      </c>
      <c r="R4320" t="n">
        <v>143.233</v>
      </c>
      <c r="S4320" t="n">
        <v>0.5</v>
      </c>
      <c r="T4320" t="inlineStr">
        <is>
          <t>C:/Users/manuel.felline/Documents/BEHAVIOR BTBR/NOR second cohort/WT/test/c59_f3.mp4</t>
        </is>
      </c>
      <c r="U4320" t="n">
        <v>4671</v>
      </c>
      <c r="V4320" t="n">
        <v>4686</v>
      </c>
      <c r="W4320" t="n">
        <v/>
      </c>
      <c r="X4320" t="n">
        <v/>
      </c>
      <c r="Y4320" t="n">
        <v/>
      </c>
      <c r="Z4320" t="n">
        <v/>
      </c>
      <c r="AA4320">
        <f>SUMIFS($S$2:S4320,$A$2:A4320,A4320,$N$2:N4320,"Explore*")</f>
        <v/>
      </c>
      <c r="AB4320">
        <f>IF(AND(LEFT(N4320,7)="Explore",(AA4320-IF(LEFT(N4320,7)="Explore",S4320,0))&lt;10),"SI","NO")</f>
        <v/>
      </c>
    </row>
    <row r="4321">
      <c r="A4321" t="inlineStr">
        <is>
          <t>c59f3_test</t>
        </is>
      </c>
      <c r="B4321" t="inlineStr">
        <is>
          <t>2026-07-03 16:05:51.440</t>
        </is>
      </c>
      <c r="C4321" t="n">
        <v/>
      </c>
      <c r="D4321" t="inlineStr">
        <is>
          <t>Media file</t>
        </is>
      </c>
      <c r="E4321" t="inlineStr">
        <is>
          <t>player #1:C:/Users/manuel.felline/Documents/BEHAVIOR BTBR/NOR second cohort/WT/test/c59_f3.mp4</t>
        </is>
      </c>
      <c r="F4321" t="n">
        <v>-12.967</v>
      </c>
      <c r="G4321" t="n">
        <v>520.2329999999999</v>
      </c>
      <c r="H4321" t="n">
        <v>631.7329999999999</v>
      </c>
      <c r="I4321" t="n">
        <v>30</v>
      </c>
      <c r="J4321" t="inlineStr">
        <is>
          <t xml:space="preserve"> WT</t>
        </is>
      </c>
      <c r="K4321" t="inlineStr">
        <is>
          <t xml:space="preserve"> Female</t>
        </is>
      </c>
      <c r="L4321" t="inlineStr">
        <is>
          <t>No focal subject</t>
        </is>
      </c>
      <c r="M4321" t="n">
        <v>37.866</v>
      </c>
      <c r="N4321" t="inlineStr">
        <is>
          <t>Explore_F</t>
        </is>
      </c>
      <c r="O4321" t="inlineStr">
        <is>
          <t>Familiar</t>
        </is>
      </c>
      <c r="P4321" t="inlineStr">
        <is>
          <t>STATE</t>
        </is>
      </c>
      <c r="Q4321" t="n">
        <v>147.033</v>
      </c>
      <c r="R4321" t="n">
        <v>147.833</v>
      </c>
      <c r="S4321" t="n">
        <v>0.8</v>
      </c>
      <c r="T4321" t="inlineStr">
        <is>
          <t>C:/Users/manuel.felline/Documents/BEHAVIOR BTBR/NOR second cohort/WT/test/c59_f3.mp4</t>
        </is>
      </c>
      <c r="U4321" t="n">
        <v>4800</v>
      </c>
      <c r="V4321" t="n">
        <v>4824</v>
      </c>
      <c r="W4321" t="n">
        <v/>
      </c>
      <c r="X4321" t="n">
        <v/>
      </c>
      <c r="Y4321" t="n">
        <v/>
      </c>
      <c r="Z4321" t="n">
        <v/>
      </c>
      <c r="AA4321">
        <f>SUMIFS($S$2:S4321,$A$2:A4321,A4321,$N$2:N4321,"Explore*")</f>
        <v/>
      </c>
      <c r="AB4321">
        <f>IF(AND(LEFT(N4321,7)="Explore",(AA4321-IF(LEFT(N4321,7)="Explore",S4321,0))&lt;10),"SI","NO")</f>
        <v/>
      </c>
    </row>
    <row r="4322">
      <c r="A4322" t="inlineStr">
        <is>
          <t>c59f3_test</t>
        </is>
      </c>
      <c r="B4322" t="inlineStr">
        <is>
          <t>2026-07-03 16:05:51.440</t>
        </is>
      </c>
      <c r="C4322" t="n">
        <v/>
      </c>
      <c r="D4322" t="inlineStr">
        <is>
          <t>Media file</t>
        </is>
      </c>
      <c r="E4322" t="inlineStr">
        <is>
          <t>player #1:C:/Users/manuel.felline/Documents/BEHAVIOR BTBR/NOR second cohort/WT/test/c59_f3.mp4</t>
        </is>
      </c>
      <c r="F4322" t="n">
        <v>-12.967</v>
      </c>
      <c r="G4322" t="n">
        <v>520.2329999999999</v>
      </c>
      <c r="H4322" t="n">
        <v>631.7329999999999</v>
      </c>
      <c r="I4322" t="n">
        <v>30</v>
      </c>
      <c r="J4322" t="inlineStr">
        <is>
          <t xml:space="preserve"> WT</t>
        </is>
      </c>
      <c r="K4322" t="inlineStr">
        <is>
          <t xml:space="preserve"> Female</t>
        </is>
      </c>
      <c r="L4322" t="inlineStr">
        <is>
          <t>No focal subject</t>
        </is>
      </c>
      <c r="M4322" t="n">
        <v>37.866</v>
      </c>
      <c r="N4322" t="inlineStr">
        <is>
          <t>Explore_N</t>
        </is>
      </c>
      <c r="O4322" t="inlineStr">
        <is>
          <t>Novelty</t>
        </is>
      </c>
      <c r="P4322" t="inlineStr">
        <is>
          <t>STATE</t>
        </is>
      </c>
      <c r="Q4322" t="n">
        <v>149.066</v>
      </c>
      <c r="R4322" t="n">
        <v>149.966</v>
      </c>
      <c r="S4322" t="n">
        <v>0.9</v>
      </c>
      <c r="T4322" t="inlineStr">
        <is>
          <t>C:/Users/manuel.felline/Documents/BEHAVIOR BTBR/NOR second cohort/WT/test/c59_f3.mp4</t>
        </is>
      </c>
      <c r="U4322" t="n">
        <v>4861</v>
      </c>
      <c r="V4322" t="n">
        <v>4888</v>
      </c>
      <c r="W4322" t="n">
        <v/>
      </c>
      <c r="X4322" t="n">
        <v/>
      </c>
      <c r="Y4322" t="n">
        <v/>
      </c>
      <c r="Z4322" t="n">
        <v/>
      </c>
      <c r="AA4322">
        <f>SUMIFS($S$2:S4322,$A$2:A4322,A4322,$N$2:N4322,"Explore*")</f>
        <v/>
      </c>
      <c r="AB4322">
        <f>IF(AND(LEFT(N4322,7)="Explore",(AA4322-IF(LEFT(N4322,7)="Explore",S4322,0))&lt;10),"SI","NO")</f>
        <v/>
      </c>
    </row>
    <row r="4323">
      <c r="A4323" t="inlineStr">
        <is>
          <t>c59f3_test</t>
        </is>
      </c>
      <c r="B4323" t="inlineStr">
        <is>
          <t>2026-07-03 16:05:51.440</t>
        </is>
      </c>
      <c r="C4323" t="n">
        <v/>
      </c>
      <c r="D4323" t="inlineStr">
        <is>
          <t>Media file</t>
        </is>
      </c>
      <c r="E4323" t="inlineStr">
        <is>
          <t>player #1:C:/Users/manuel.felline/Documents/BEHAVIOR BTBR/NOR second cohort/WT/test/c59_f3.mp4</t>
        </is>
      </c>
      <c r="F4323" t="n">
        <v>-12.967</v>
      </c>
      <c r="G4323" t="n">
        <v>520.2329999999999</v>
      </c>
      <c r="H4323" t="n">
        <v>631.7329999999999</v>
      </c>
      <c r="I4323" t="n">
        <v>30</v>
      </c>
      <c r="J4323" t="inlineStr">
        <is>
          <t xml:space="preserve"> WT</t>
        </is>
      </c>
      <c r="K4323" t="inlineStr">
        <is>
          <t xml:space="preserve"> Female</t>
        </is>
      </c>
      <c r="L4323" t="inlineStr">
        <is>
          <t>No focal subject</t>
        </is>
      </c>
      <c r="M4323" t="n">
        <v>37.866</v>
      </c>
      <c r="N4323" t="inlineStr">
        <is>
          <t>Explore_N</t>
        </is>
      </c>
      <c r="O4323" t="inlineStr">
        <is>
          <t>Novelty</t>
        </is>
      </c>
      <c r="P4323" t="inlineStr">
        <is>
          <t>STATE</t>
        </is>
      </c>
      <c r="Q4323" t="n">
        <v>331.966</v>
      </c>
      <c r="R4323" t="n">
        <v>332.766</v>
      </c>
      <c r="S4323" t="n">
        <v>0.8</v>
      </c>
      <c r="T4323" t="inlineStr">
        <is>
          <t>C:/Users/manuel.felline/Documents/BEHAVIOR BTBR/NOR second cohort/WT/test/c59_f3.mp4</t>
        </is>
      </c>
      <c r="U4323" t="n">
        <v>10348</v>
      </c>
      <c r="V4323" t="n">
        <v>10372</v>
      </c>
      <c r="W4323" t="n">
        <v/>
      </c>
      <c r="X4323" t="n">
        <v/>
      </c>
      <c r="Y4323" t="n">
        <v/>
      </c>
      <c r="Z4323" t="n">
        <v/>
      </c>
      <c r="AA4323">
        <f>SUMIFS($S$2:S4323,$A$2:A4323,A4323,$N$2:N4323,"Explore*")</f>
        <v/>
      </c>
      <c r="AB4323">
        <f>IF(AND(LEFT(N4323,7)="Explore",(AA4323-IF(LEFT(N4323,7)="Explore",S4323,0))&lt;10),"SI","NO")</f>
        <v/>
      </c>
    </row>
    <row r="4324">
      <c r="A4324" t="inlineStr">
        <is>
          <t>c59f3_test</t>
        </is>
      </c>
      <c r="B4324" t="inlineStr">
        <is>
          <t>2026-07-03 16:05:51.440</t>
        </is>
      </c>
      <c r="C4324" t="n">
        <v/>
      </c>
      <c r="D4324" t="inlineStr">
        <is>
          <t>Media file</t>
        </is>
      </c>
      <c r="E4324" t="inlineStr">
        <is>
          <t>player #1:C:/Users/manuel.felline/Documents/BEHAVIOR BTBR/NOR second cohort/WT/test/c59_f3.mp4</t>
        </is>
      </c>
      <c r="F4324" t="n">
        <v>-12.967</v>
      </c>
      <c r="G4324" t="n">
        <v>520.2329999999999</v>
      </c>
      <c r="H4324" t="n">
        <v>631.7329999999999</v>
      </c>
      <c r="I4324" t="n">
        <v>30</v>
      </c>
      <c r="J4324" t="inlineStr">
        <is>
          <t xml:space="preserve"> WT</t>
        </is>
      </c>
      <c r="K4324" t="inlineStr">
        <is>
          <t xml:space="preserve"> Female</t>
        </is>
      </c>
      <c r="L4324" t="inlineStr">
        <is>
          <t>No focal subject</t>
        </is>
      </c>
      <c r="M4324" t="n">
        <v>37.866</v>
      </c>
      <c r="N4324" t="inlineStr">
        <is>
          <t>Explore_F</t>
        </is>
      </c>
      <c r="O4324" t="inlineStr">
        <is>
          <t>Familiar</t>
        </is>
      </c>
      <c r="P4324" t="inlineStr">
        <is>
          <t>STATE</t>
        </is>
      </c>
      <c r="Q4324" t="n">
        <v>335.399</v>
      </c>
      <c r="R4324" t="n">
        <v>336.199</v>
      </c>
      <c r="S4324" t="n">
        <v>0.8</v>
      </c>
      <c r="T4324" t="inlineStr">
        <is>
          <t>C:/Users/manuel.felline/Documents/BEHAVIOR BTBR/NOR second cohort/WT/test/c59_f3.mp4</t>
        </is>
      </c>
      <c r="U4324" t="n">
        <v>10451</v>
      </c>
      <c r="V4324" t="n">
        <v>10475</v>
      </c>
      <c r="W4324" t="n">
        <v/>
      </c>
      <c r="X4324" t="n">
        <v/>
      </c>
      <c r="Y4324" t="n">
        <v/>
      </c>
      <c r="Z4324" t="n">
        <v/>
      </c>
      <c r="AA4324">
        <f>SUMIFS($S$2:S4324,$A$2:A4324,A4324,$N$2:N4324,"Explore*")</f>
        <v/>
      </c>
      <c r="AB4324">
        <f>IF(AND(LEFT(N4324,7)="Explore",(AA4324-IF(LEFT(N4324,7)="Explore",S4324,0))&lt;10),"SI","NO")</f>
        <v/>
      </c>
    </row>
    <row r="4325">
      <c r="A4325" t="inlineStr">
        <is>
          <t>c59f3_test</t>
        </is>
      </c>
      <c r="B4325" t="inlineStr">
        <is>
          <t>2026-07-03 16:05:51.440</t>
        </is>
      </c>
      <c r="C4325" t="n">
        <v/>
      </c>
      <c r="D4325" t="inlineStr">
        <is>
          <t>Media file</t>
        </is>
      </c>
      <c r="E4325" t="inlineStr">
        <is>
          <t>player #1:C:/Users/manuel.felline/Documents/BEHAVIOR BTBR/NOR second cohort/WT/test/c59_f3.mp4</t>
        </is>
      </c>
      <c r="F4325" t="n">
        <v>-12.967</v>
      </c>
      <c r="G4325" t="n">
        <v>520.2329999999999</v>
      </c>
      <c r="H4325" t="n">
        <v>631.7329999999999</v>
      </c>
      <c r="I4325" t="n">
        <v>30</v>
      </c>
      <c r="J4325" t="inlineStr">
        <is>
          <t xml:space="preserve"> WT</t>
        </is>
      </c>
      <c r="K4325" t="inlineStr">
        <is>
          <t xml:space="preserve"> Female</t>
        </is>
      </c>
      <c r="L4325" t="inlineStr">
        <is>
          <t>No focal subject</t>
        </is>
      </c>
      <c r="M4325" t="n">
        <v>37.866</v>
      </c>
      <c r="N4325" t="inlineStr">
        <is>
          <t>Explore_F</t>
        </is>
      </c>
      <c r="O4325" t="inlineStr">
        <is>
          <t>Familiar</t>
        </is>
      </c>
      <c r="P4325" t="inlineStr">
        <is>
          <t>STATE</t>
        </is>
      </c>
      <c r="Q4325" t="n">
        <v>338.899</v>
      </c>
      <c r="R4325" t="n">
        <v>340.699</v>
      </c>
      <c r="S4325" t="n">
        <v>1.8</v>
      </c>
      <c r="T4325" t="inlineStr">
        <is>
          <t>C:/Users/manuel.felline/Documents/BEHAVIOR BTBR/NOR second cohort/WT/test/c59_f3.mp4</t>
        </is>
      </c>
      <c r="U4325" t="n">
        <v>10556</v>
      </c>
      <c r="V4325" t="n">
        <v>10610</v>
      </c>
      <c r="W4325" t="n">
        <v/>
      </c>
      <c r="X4325" t="n">
        <v/>
      </c>
      <c r="Y4325" t="n">
        <v/>
      </c>
      <c r="Z4325" t="n">
        <v/>
      </c>
      <c r="AA4325">
        <f>SUMIFS($S$2:S4325,$A$2:A4325,A4325,$N$2:N4325,"Explore*")</f>
        <v/>
      </c>
      <c r="AB4325">
        <f>IF(AND(LEFT(N4325,7)="Explore",(AA4325-IF(LEFT(N4325,7)="Explore",S4325,0))&lt;10),"SI","NO")</f>
        <v/>
      </c>
    </row>
    <row r="4326">
      <c r="A4326" t="inlineStr">
        <is>
          <t>c59f3_test</t>
        </is>
      </c>
      <c r="B4326" t="inlineStr">
        <is>
          <t>2026-07-03 16:05:51.440</t>
        </is>
      </c>
      <c r="C4326" t="n">
        <v/>
      </c>
      <c r="D4326" t="inlineStr">
        <is>
          <t>Media file</t>
        </is>
      </c>
      <c r="E4326" t="inlineStr">
        <is>
          <t>player #1:C:/Users/manuel.felline/Documents/BEHAVIOR BTBR/NOR second cohort/WT/test/c59_f3.mp4</t>
        </is>
      </c>
      <c r="F4326" t="n">
        <v>-12.967</v>
      </c>
      <c r="G4326" t="n">
        <v>520.2329999999999</v>
      </c>
      <c r="H4326" t="n">
        <v>631.7329999999999</v>
      </c>
      <c r="I4326" t="n">
        <v>30</v>
      </c>
      <c r="J4326" t="inlineStr">
        <is>
          <t xml:space="preserve"> WT</t>
        </is>
      </c>
      <c r="K4326" t="inlineStr">
        <is>
          <t xml:space="preserve"> Female</t>
        </is>
      </c>
      <c r="L4326" t="inlineStr">
        <is>
          <t>No focal subject</t>
        </is>
      </c>
      <c r="M4326" t="n">
        <v>37.866</v>
      </c>
      <c r="N4326" t="inlineStr">
        <is>
          <t>Explore_F</t>
        </is>
      </c>
      <c r="O4326" t="inlineStr">
        <is>
          <t>Familiar</t>
        </is>
      </c>
      <c r="P4326" t="inlineStr">
        <is>
          <t>STATE</t>
        </is>
      </c>
      <c r="Q4326" t="n">
        <v>344.999</v>
      </c>
      <c r="R4326" t="n">
        <v>345.933</v>
      </c>
      <c r="S4326" t="n">
        <v>0.9340000000000001</v>
      </c>
      <c r="T4326" t="inlineStr">
        <is>
          <t>C:/Users/manuel.felline/Documents/BEHAVIOR BTBR/NOR second cohort/WT/test/c59_f3.mp4</t>
        </is>
      </c>
      <c r="U4326" t="n">
        <v>10739</v>
      </c>
      <c r="V4326" t="n">
        <v>10767</v>
      </c>
      <c r="W4326" t="n">
        <v/>
      </c>
      <c r="X4326" t="n">
        <v/>
      </c>
      <c r="Y4326" t="n">
        <v/>
      </c>
      <c r="Z4326" t="n">
        <v/>
      </c>
      <c r="AA4326">
        <f>SUMIFS($S$2:S4326,$A$2:A4326,A4326,$N$2:N4326,"Explore*")</f>
        <v/>
      </c>
      <c r="AB4326">
        <f>IF(AND(LEFT(N4326,7)="Explore",(AA4326-IF(LEFT(N4326,7)="Explore",S4326,0))&lt;10),"SI","NO")</f>
        <v/>
      </c>
    </row>
    <row r="4327">
      <c r="A4327" t="inlineStr">
        <is>
          <t>c59f3_test</t>
        </is>
      </c>
      <c r="B4327" t="inlineStr">
        <is>
          <t>2026-07-03 16:05:51.440</t>
        </is>
      </c>
      <c r="C4327" t="n">
        <v/>
      </c>
      <c r="D4327" t="inlineStr">
        <is>
          <t>Media file</t>
        </is>
      </c>
      <c r="E4327" t="inlineStr">
        <is>
          <t>player #1:C:/Users/manuel.felline/Documents/BEHAVIOR BTBR/NOR second cohort/WT/test/c59_f3.mp4</t>
        </is>
      </c>
      <c r="F4327" t="n">
        <v>-12.967</v>
      </c>
      <c r="G4327" t="n">
        <v>520.2329999999999</v>
      </c>
      <c r="H4327" t="n">
        <v>631.7329999999999</v>
      </c>
      <c r="I4327" t="n">
        <v>30</v>
      </c>
      <c r="J4327" t="inlineStr">
        <is>
          <t xml:space="preserve"> WT</t>
        </is>
      </c>
      <c r="K4327" t="inlineStr">
        <is>
          <t xml:space="preserve"> Female</t>
        </is>
      </c>
      <c r="L4327" t="inlineStr">
        <is>
          <t>No focal subject</t>
        </is>
      </c>
      <c r="M4327" t="n">
        <v>37.866</v>
      </c>
      <c r="N4327" t="inlineStr">
        <is>
          <t>Explore_N</t>
        </is>
      </c>
      <c r="O4327" t="inlineStr">
        <is>
          <t>Novelty</t>
        </is>
      </c>
      <c r="P4327" t="inlineStr">
        <is>
          <t>STATE</t>
        </is>
      </c>
      <c r="Q4327" t="n">
        <v>347.099</v>
      </c>
      <c r="R4327" t="n">
        <v>347.899</v>
      </c>
      <c r="S4327" t="n">
        <v>0.8</v>
      </c>
      <c r="T4327" t="inlineStr">
        <is>
          <t>C:/Users/manuel.felline/Documents/BEHAVIOR BTBR/NOR second cohort/WT/test/c59_f3.mp4</t>
        </is>
      </c>
      <c r="U4327" t="n">
        <v>10802</v>
      </c>
      <c r="V4327" t="n">
        <v>10826</v>
      </c>
      <c r="W4327" t="n">
        <v/>
      </c>
      <c r="X4327" t="n">
        <v/>
      </c>
      <c r="Y4327" t="n">
        <v/>
      </c>
      <c r="Z4327" t="n">
        <v/>
      </c>
      <c r="AA4327">
        <f>SUMIFS($S$2:S4327,$A$2:A4327,A4327,$N$2:N4327,"Explore*")</f>
        <v/>
      </c>
      <c r="AB4327">
        <f>IF(AND(LEFT(N4327,7)="Explore",(AA4327-IF(LEFT(N4327,7)="Explore",S4327,0))&lt;10),"SI","NO")</f>
        <v/>
      </c>
    </row>
    <row r="4328">
      <c r="A4328" t="inlineStr">
        <is>
          <t>c59f3_test</t>
        </is>
      </c>
      <c r="B4328" t="inlineStr">
        <is>
          <t>2026-07-03 16:05:51.440</t>
        </is>
      </c>
      <c r="C4328" t="n">
        <v/>
      </c>
      <c r="D4328" t="inlineStr">
        <is>
          <t>Media file</t>
        </is>
      </c>
      <c r="E4328" t="inlineStr">
        <is>
          <t>player #1:C:/Users/manuel.felline/Documents/BEHAVIOR BTBR/NOR second cohort/WT/test/c59_f3.mp4</t>
        </is>
      </c>
      <c r="F4328" t="n">
        <v>-12.967</v>
      </c>
      <c r="G4328" t="n">
        <v>520.2329999999999</v>
      </c>
      <c r="H4328" t="n">
        <v>631.7329999999999</v>
      </c>
      <c r="I4328" t="n">
        <v>30</v>
      </c>
      <c r="J4328" t="inlineStr">
        <is>
          <t xml:space="preserve"> WT</t>
        </is>
      </c>
      <c r="K4328" t="inlineStr">
        <is>
          <t xml:space="preserve"> Female</t>
        </is>
      </c>
      <c r="L4328" t="inlineStr">
        <is>
          <t>No focal subject</t>
        </is>
      </c>
      <c r="M4328" t="n">
        <v>37.866</v>
      </c>
      <c r="N4328" t="inlineStr">
        <is>
          <t>Explore_N</t>
        </is>
      </c>
      <c r="O4328" t="inlineStr">
        <is>
          <t>Novelty</t>
        </is>
      </c>
      <c r="P4328" t="inlineStr">
        <is>
          <t>STATE</t>
        </is>
      </c>
      <c r="Q4328" t="n">
        <v>350.733</v>
      </c>
      <c r="R4328" t="n">
        <v>351.199</v>
      </c>
      <c r="S4328" t="n">
        <v>0.466</v>
      </c>
      <c r="T4328" t="inlineStr">
        <is>
          <t>C:/Users/manuel.felline/Documents/BEHAVIOR BTBR/NOR second cohort/WT/test/c59_f3.mp4</t>
        </is>
      </c>
      <c r="U4328" t="n">
        <v>10911</v>
      </c>
      <c r="V4328" t="n">
        <v>10925</v>
      </c>
      <c r="W4328" t="n">
        <v/>
      </c>
      <c r="X4328" t="n">
        <v/>
      </c>
      <c r="Y4328" t="n">
        <v/>
      </c>
      <c r="Z4328" t="n">
        <v/>
      </c>
      <c r="AA4328">
        <f>SUMIFS($S$2:S4328,$A$2:A4328,A4328,$N$2:N4328,"Explore*")</f>
        <v/>
      </c>
      <c r="AB4328">
        <f>IF(AND(LEFT(N4328,7)="Explore",(AA4328-IF(LEFT(N4328,7)="Explore",S4328,0))&lt;10),"SI","NO")</f>
        <v/>
      </c>
    </row>
    <row r="4329">
      <c r="A4329" t="inlineStr">
        <is>
          <t>c59f3_test</t>
        </is>
      </c>
      <c r="B4329" t="inlineStr">
        <is>
          <t>2026-07-03 16:05:51.440</t>
        </is>
      </c>
      <c r="C4329" t="n">
        <v/>
      </c>
      <c r="D4329" t="inlineStr">
        <is>
          <t>Media file</t>
        </is>
      </c>
      <c r="E4329" t="inlineStr">
        <is>
          <t>player #1:C:/Users/manuel.felline/Documents/BEHAVIOR BTBR/NOR second cohort/WT/test/c59_f3.mp4</t>
        </is>
      </c>
      <c r="F4329" t="n">
        <v>-12.967</v>
      </c>
      <c r="G4329" t="n">
        <v>520.2329999999999</v>
      </c>
      <c r="H4329" t="n">
        <v>631.7329999999999</v>
      </c>
      <c r="I4329" t="n">
        <v>30</v>
      </c>
      <c r="J4329" t="inlineStr">
        <is>
          <t xml:space="preserve"> WT</t>
        </is>
      </c>
      <c r="K4329" t="inlineStr">
        <is>
          <t xml:space="preserve"> Female</t>
        </is>
      </c>
      <c r="L4329" t="inlineStr">
        <is>
          <t>No focal subject</t>
        </is>
      </c>
      <c r="M4329" t="n">
        <v>37.866</v>
      </c>
      <c r="N4329" t="inlineStr">
        <is>
          <t>Explore_F</t>
        </is>
      </c>
      <c r="O4329" t="inlineStr">
        <is>
          <t>Familiar</t>
        </is>
      </c>
      <c r="P4329" t="inlineStr">
        <is>
          <t>STATE</t>
        </is>
      </c>
      <c r="Q4329" t="n">
        <v>356.433</v>
      </c>
      <c r="R4329" t="n">
        <v>358.733</v>
      </c>
      <c r="S4329" t="n">
        <v>2.3</v>
      </c>
      <c r="T4329" t="inlineStr">
        <is>
          <t>C:/Users/manuel.felline/Documents/BEHAVIOR BTBR/NOR second cohort/WT/test/c59_f3.mp4</t>
        </is>
      </c>
      <c r="U4329" t="n">
        <v>11082</v>
      </c>
      <c r="V4329" t="n">
        <v>11151</v>
      </c>
      <c r="W4329" t="n">
        <v/>
      </c>
      <c r="X4329" t="n">
        <v/>
      </c>
      <c r="Y4329" t="n">
        <v/>
      </c>
      <c r="Z4329" t="n">
        <v/>
      </c>
      <c r="AA4329">
        <f>SUMIFS($S$2:S4329,$A$2:A4329,A4329,$N$2:N4329,"Explore*")</f>
        <v/>
      </c>
      <c r="AB4329">
        <f>IF(AND(LEFT(N4329,7)="Explore",(AA4329-IF(LEFT(N4329,7)="Explore",S4329,0))&lt;10),"SI","NO")</f>
        <v/>
      </c>
    </row>
    <row r="4330">
      <c r="A4330" t="inlineStr">
        <is>
          <t>c59f3_test</t>
        </is>
      </c>
      <c r="B4330" t="inlineStr">
        <is>
          <t>2026-07-03 16:05:51.440</t>
        </is>
      </c>
      <c r="C4330" t="n">
        <v/>
      </c>
      <c r="D4330" t="inlineStr">
        <is>
          <t>Media file</t>
        </is>
      </c>
      <c r="E4330" t="inlineStr">
        <is>
          <t>player #1:C:/Users/manuel.felline/Documents/BEHAVIOR BTBR/NOR second cohort/WT/test/c59_f3.mp4</t>
        </is>
      </c>
      <c r="F4330" t="n">
        <v>-12.967</v>
      </c>
      <c r="G4330" t="n">
        <v>520.2329999999999</v>
      </c>
      <c r="H4330" t="n">
        <v>631.7329999999999</v>
      </c>
      <c r="I4330" t="n">
        <v>30</v>
      </c>
      <c r="J4330" t="inlineStr">
        <is>
          <t xml:space="preserve"> WT</t>
        </is>
      </c>
      <c r="K4330" t="inlineStr">
        <is>
          <t xml:space="preserve"> Female</t>
        </is>
      </c>
      <c r="L4330" t="inlineStr">
        <is>
          <t>No focal subject</t>
        </is>
      </c>
      <c r="M4330" t="n">
        <v>37.866</v>
      </c>
      <c r="N4330" t="inlineStr">
        <is>
          <t>Explore_N</t>
        </is>
      </c>
      <c r="O4330" t="inlineStr">
        <is>
          <t>Novelty</t>
        </is>
      </c>
      <c r="P4330" t="inlineStr">
        <is>
          <t>STATE</t>
        </is>
      </c>
      <c r="Q4330" t="n">
        <v>374.199</v>
      </c>
      <c r="R4330" t="n">
        <v>374.933</v>
      </c>
      <c r="S4330" t="n">
        <v>0.734</v>
      </c>
      <c r="T4330" t="inlineStr">
        <is>
          <t>C:/Users/manuel.felline/Documents/BEHAVIOR BTBR/NOR second cohort/WT/test/c59_f3.mp4</t>
        </is>
      </c>
      <c r="U4330" t="n">
        <v>11615</v>
      </c>
      <c r="V4330" t="n">
        <v>11637</v>
      </c>
      <c r="W4330" t="n">
        <v/>
      </c>
      <c r="X4330" t="n">
        <v/>
      </c>
      <c r="Y4330" t="n">
        <v/>
      </c>
      <c r="Z4330" t="n">
        <v/>
      </c>
      <c r="AA4330">
        <f>SUMIFS($S$2:S4330,$A$2:A4330,A4330,$N$2:N4330,"Explore*")</f>
        <v/>
      </c>
      <c r="AB4330">
        <f>IF(AND(LEFT(N4330,7)="Explore",(AA4330-IF(LEFT(N4330,7)="Explore",S4330,0))&lt;10),"SI","NO")</f>
        <v/>
      </c>
    </row>
    <row r="4331">
      <c r="A4331" t="inlineStr">
        <is>
          <t>c59f3_test</t>
        </is>
      </c>
      <c r="B4331" t="inlineStr">
        <is>
          <t>2026-07-03 16:05:51.440</t>
        </is>
      </c>
      <c r="C4331" t="n">
        <v/>
      </c>
      <c r="D4331" t="inlineStr">
        <is>
          <t>Media file</t>
        </is>
      </c>
      <c r="E4331" t="inlineStr">
        <is>
          <t>player #1:C:/Users/manuel.felline/Documents/BEHAVIOR BTBR/NOR second cohort/WT/test/c59_f3.mp4</t>
        </is>
      </c>
      <c r="F4331" t="n">
        <v>-12.967</v>
      </c>
      <c r="G4331" t="n">
        <v>520.2329999999999</v>
      </c>
      <c r="H4331" t="n">
        <v>631.7329999999999</v>
      </c>
      <c r="I4331" t="n">
        <v>30</v>
      </c>
      <c r="J4331" t="inlineStr">
        <is>
          <t xml:space="preserve"> WT</t>
        </is>
      </c>
      <c r="K4331" t="inlineStr">
        <is>
          <t xml:space="preserve"> Female</t>
        </is>
      </c>
      <c r="L4331" t="inlineStr">
        <is>
          <t>No focal subject</t>
        </is>
      </c>
      <c r="M4331" t="n">
        <v>37.866</v>
      </c>
      <c r="N4331" t="inlineStr">
        <is>
          <t>Explore_N</t>
        </is>
      </c>
      <c r="O4331" t="inlineStr">
        <is>
          <t>Novelty</t>
        </is>
      </c>
      <c r="P4331" t="inlineStr">
        <is>
          <t>STATE</t>
        </is>
      </c>
      <c r="Q4331" t="n">
        <v>376.466</v>
      </c>
      <c r="R4331" t="n">
        <v>378.399</v>
      </c>
      <c r="S4331" t="n">
        <v>1.933</v>
      </c>
      <c r="T4331" t="inlineStr">
        <is>
          <t>C:/Users/manuel.felline/Documents/BEHAVIOR BTBR/NOR second cohort/WT/test/c59_f3.mp4</t>
        </is>
      </c>
      <c r="U4331" t="n">
        <v>11683</v>
      </c>
      <c r="V4331" t="n">
        <v>11741</v>
      </c>
      <c r="W4331" t="n">
        <v/>
      </c>
      <c r="X4331" t="n">
        <v/>
      </c>
      <c r="Y4331" t="n">
        <v/>
      </c>
      <c r="Z4331" t="n">
        <v/>
      </c>
      <c r="AA4331">
        <f>SUMIFS($S$2:S4331,$A$2:A4331,A4331,$N$2:N4331,"Explore*")</f>
        <v/>
      </c>
      <c r="AB4331">
        <f>IF(AND(LEFT(N4331,7)="Explore",(AA4331-IF(LEFT(N4331,7)="Explore",S4331,0))&lt;10),"SI","NO")</f>
        <v/>
      </c>
    </row>
    <row r="4332">
      <c r="A4332" t="inlineStr">
        <is>
          <t>c59f3_test</t>
        </is>
      </c>
      <c r="B4332" t="inlineStr">
        <is>
          <t>2026-07-03 16:05:51.440</t>
        </is>
      </c>
      <c r="C4332" t="n">
        <v/>
      </c>
      <c r="D4332" t="inlineStr">
        <is>
          <t>Media file</t>
        </is>
      </c>
      <c r="E4332" t="inlineStr">
        <is>
          <t>player #1:C:/Users/manuel.felline/Documents/BEHAVIOR BTBR/NOR second cohort/WT/test/c59_f3.mp4</t>
        </is>
      </c>
      <c r="F4332" t="n">
        <v>-12.967</v>
      </c>
      <c r="G4332" t="n">
        <v>520.2329999999999</v>
      </c>
      <c r="H4332" t="n">
        <v>631.7329999999999</v>
      </c>
      <c r="I4332" t="n">
        <v>30</v>
      </c>
      <c r="J4332" t="inlineStr">
        <is>
          <t xml:space="preserve"> WT</t>
        </is>
      </c>
      <c r="K4332" t="inlineStr">
        <is>
          <t xml:space="preserve"> Female</t>
        </is>
      </c>
      <c r="L4332" t="inlineStr">
        <is>
          <t>No focal subject</t>
        </is>
      </c>
      <c r="M4332" t="n">
        <v>37.866</v>
      </c>
      <c r="N4332" t="inlineStr">
        <is>
          <t>Explore_N</t>
        </is>
      </c>
      <c r="O4332" t="inlineStr">
        <is>
          <t>Novelty</t>
        </is>
      </c>
      <c r="P4332" t="inlineStr">
        <is>
          <t>STATE</t>
        </is>
      </c>
      <c r="Q4332" t="n">
        <v>393.933</v>
      </c>
      <c r="R4332" t="n">
        <v>394.499</v>
      </c>
      <c r="S4332" t="n">
        <v>0.5659999999999999</v>
      </c>
      <c r="T4332" t="inlineStr">
        <is>
          <t>C:/Users/manuel.felline/Documents/BEHAVIOR BTBR/NOR second cohort/WT/test/c59_f3.mp4</t>
        </is>
      </c>
      <c r="U4332" t="n">
        <v>12207</v>
      </c>
      <c r="V4332" t="n">
        <v>12224</v>
      </c>
      <c r="W4332" t="n">
        <v/>
      </c>
      <c r="X4332" t="n">
        <v/>
      </c>
      <c r="Y4332" t="n">
        <v/>
      </c>
      <c r="Z4332" t="n">
        <v/>
      </c>
      <c r="AA4332">
        <f>SUMIFS($S$2:S4332,$A$2:A4332,A4332,$N$2:N4332,"Explore*")</f>
        <v/>
      </c>
      <c r="AB4332">
        <f>IF(AND(LEFT(N4332,7)="Explore",(AA4332-IF(LEFT(N4332,7)="Explore",S4332,0))&lt;10),"SI","NO")</f>
        <v/>
      </c>
    </row>
    <row r="4333">
      <c r="A4333" t="inlineStr">
        <is>
          <t>c59f3_test</t>
        </is>
      </c>
      <c r="B4333" t="inlineStr">
        <is>
          <t>2026-07-03 16:05:51.440</t>
        </is>
      </c>
      <c r="C4333" t="n">
        <v/>
      </c>
      <c r="D4333" t="inlineStr">
        <is>
          <t>Media file</t>
        </is>
      </c>
      <c r="E4333" t="inlineStr">
        <is>
          <t>player #1:C:/Users/manuel.felline/Documents/BEHAVIOR BTBR/NOR second cohort/WT/test/c59_f3.mp4</t>
        </is>
      </c>
      <c r="F4333" t="n">
        <v>-12.967</v>
      </c>
      <c r="G4333" t="n">
        <v>520.2329999999999</v>
      </c>
      <c r="H4333" t="n">
        <v>631.7329999999999</v>
      </c>
      <c r="I4333" t="n">
        <v>30</v>
      </c>
      <c r="J4333" t="inlineStr">
        <is>
          <t xml:space="preserve"> WT</t>
        </is>
      </c>
      <c r="K4333" t="inlineStr">
        <is>
          <t xml:space="preserve"> Female</t>
        </is>
      </c>
      <c r="L4333" t="inlineStr">
        <is>
          <t>No focal subject</t>
        </is>
      </c>
      <c r="M4333" t="n">
        <v>37.866</v>
      </c>
      <c r="N4333" t="inlineStr">
        <is>
          <t>Explore_N</t>
        </is>
      </c>
      <c r="O4333" t="inlineStr">
        <is>
          <t>Novelty</t>
        </is>
      </c>
      <c r="P4333" t="inlineStr">
        <is>
          <t>STATE</t>
        </is>
      </c>
      <c r="Q4333" t="n">
        <v>398.633</v>
      </c>
      <c r="R4333" t="n">
        <v>399.499</v>
      </c>
      <c r="S4333" t="n">
        <v>0.866</v>
      </c>
      <c r="T4333" t="inlineStr">
        <is>
          <t>C:/Users/manuel.felline/Documents/BEHAVIOR BTBR/NOR second cohort/WT/test/c59_f3.mp4</t>
        </is>
      </c>
      <c r="U4333" t="n">
        <v>12348</v>
      </c>
      <c r="V4333" t="n">
        <v>12374</v>
      </c>
      <c r="W4333" t="n">
        <v/>
      </c>
      <c r="X4333" t="n">
        <v/>
      </c>
      <c r="Y4333" t="n">
        <v/>
      </c>
      <c r="Z4333" t="n">
        <v/>
      </c>
      <c r="AA4333">
        <f>SUMIFS($S$2:S4333,$A$2:A4333,A4333,$N$2:N4333,"Explore*")</f>
        <v/>
      </c>
      <c r="AB4333">
        <f>IF(AND(LEFT(N4333,7)="Explore",(AA4333-IF(LEFT(N4333,7)="Explore",S4333,0))&lt;10),"SI","NO")</f>
        <v/>
      </c>
    </row>
    <row r="4334">
      <c r="A4334" t="inlineStr">
        <is>
          <t>c59f3_test</t>
        </is>
      </c>
      <c r="B4334" t="inlineStr">
        <is>
          <t>2026-07-03 16:05:51.440</t>
        </is>
      </c>
      <c r="C4334" t="n">
        <v/>
      </c>
      <c r="D4334" t="inlineStr">
        <is>
          <t>Media file</t>
        </is>
      </c>
      <c r="E4334" t="inlineStr">
        <is>
          <t>player #1:C:/Users/manuel.felline/Documents/BEHAVIOR BTBR/NOR second cohort/WT/test/c59_f3.mp4</t>
        </is>
      </c>
      <c r="F4334" t="n">
        <v>-12.967</v>
      </c>
      <c r="G4334" t="n">
        <v>520.2329999999999</v>
      </c>
      <c r="H4334" t="n">
        <v>631.7329999999999</v>
      </c>
      <c r="I4334" t="n">
        <v>30</v>
      </c>
      <c r="J4334" t="inlineStr">
        <is>
          <t xml:space="preserve"> WT</t>
        </is>
      </c>
      <c r="K4334" t="inlineStr">
        <is>
          <t xml:space="preserve"> Female</t>
        </is>
      </c>
      <c r="L4334" t="inlineStr">
        <is>
          <t>No focal subject</t>
        </is>
      </c>
      <c r="M4334" t="n">
        <v>37.866</v>
      </c>
      <c r="N4334" t="inlineStr">
        <is>
          <t>Explore_N</t>
        </is>
      </c>
      <c r="O4334" t="inlineStr">
        <is>
          <t>Novelty</t>
        </is>
      </c>
      <c r="P4334" t="inlineStr">
        <is>
          <t>STATE</t>
        </is>
      </c>
      <c r="Q4334" t="n">
        <v>413.133</v>
      </c>
      <c r="R4334" t="n">
        <v>414.033</v>
      </c>
      <c r="S4334" t="n">
        <v>0.9</v>
      </c>
      <c r="T4334" t="inlineStr">
        <is>
          <t>C:/Users/manuel.felline/Documents/BEHAVIOR BTBR/NOR second cohort/WT/test/c59_f3.mp4</t>
        </is>
      </c>
      <c r="U4334" t="n">
        <v>12783</v>
      </c>
      <c r="V4334" t="n">
        <v>12810</v>
      </c>
      <c r="W4334" t="n">
        <v/>
      </c>
      <c r="X4334" t="n">
        <v/>
      </c>
      <c r="Y4334" t="n">
        <v/>
      </c>
      <c r="Z4334" t="n">
        <v/>
      </c>
      <c r="AA4334">
        <f>SUMIFS($S$2:S4334,$A$2:A4334,A4334,$N$2:N4334,"Explore*")</f>
        <v/>
      </c>
      <c r="AB4334">
        <f>IF(AND(LEFT(N4334,7)="Explore",(AA4334-IF(LEFT(N4334,7)="Explore",S4334,0))&lt;10),"SI","NO")</f>
        <v/>
      </c>
    </row>
    <row r="4335">
      <c r="A4335" t="inlineStr">
        <is>
          <t>c59f3_test</t>
        </is>
      </c>
      <c r="B4335" t="inlineStr">
        <is>
          <t>2026-07-03 16:05:51.440</t>
        </is>
      </c>
      <c r="C4335" t="n">
        <v/>
      </c>
      <c r="D4335" t="inlineStr">
        <is>
          <t>Media file</t>
        </is>
      </c>
      <c r="E4335" t="inlineStr">
        <is>
          <t>player #1:C:/Users/manuel.felline/Documents/BEHAVIOR BTBR/NOR second cohort/WT/test/c59_f3.mp4</t>
        </is>
      </c>
      <c r="F4335" t="n">
        <v>-12.967</v>
      </c>
      <c r="G4335" t="n">
        <v>520.2329999999999</v>
      </c>
      <c r="H4335" t="n">
        <v>631.7329999999999</v>
      </c>
      <c r="I4335" t="n">
        <v>30</v>
      </c>
      <c r="J4335" t="inlineStr">
        <is>
          <t xml:space="preserve"> WT</t>
        </is>
      </c>
      <c r="K4335" t="inlineStr">
        <is>
          <t xml:space="preserve"> Female</t>
        </is>
      </c>
      <c r="L4335" t="inlineStr">
        <is>
          <t>No focal subject</t>
        </is>
      </c>
      <c r="M4335" t="n">
        <v>37.866</v>
      </c>
      <c r="N4335" t="inlineStr">
        <is>
          <t>Explore_N</t>
        </is>
      </c>
      <c r="O4335" t="inlineStr">
        <is>
          <t>Novelty</t>
        </is>
      </c>
      <c r="P4335" t="inlineStr">
        <is>
          <t>STATE</t>
        </is>
      </c>
      <c r="Q4335" t="n">
        <v>418.666</v>
      </c>
      <c r="R4335" t="n">
        <v>419.233</v>
      </c>
      <c r="S4335" t="n">
        <v>0.5669999999999999</v>
      </c>
      <c r="T4335" t="inlineStr">
        <is>
          <t>C:/Users/manuel.felline/Documents/BEHAVIOR BTBR/NOR second cohort/WT/test/c59_f3.mp4</t>
        </is>
      </c>
      <c r="U4335" t="n">
        <v>12949</v>
      </c>
      <c r="V4335" t="n">
        <v>12966</v>
      </c>
      <c r="W4335" t="n">
        <v/>
      </c>
      <c r="X4335" t="n">
        <v/>
      </c>
      <c r="Y4335" t="n">
        <v/>
      </c>
      <c r="Z4335" t="n">
        <v/>
      </c>
      <c r="AA4335">
        <f>SUMIFS($S$2:S4335,$A$2:A4335,A4335,$N$2:N4335,"Explore*")</f>
        <v/>
      </c>
      <c r="AB4335">
        <f>IF(AND(LEFT(N4335,7)="Explore",(AA4335-IF(LEFT(N4335,7)="Explore",S4335,0))&lt;10),"SI","NO")</f>
        <v/>
      </c>
    </row>
    <row r="4336">
      <c r="A4336" t="inlineStr">
        <is>
          <t>c59f3_test</t>
        </is>
      </c>
      <c r="B4336" t="inlineStr">
        <is>
          <t>2026-07-03 16:05:51.440</t>
        </is>
      </c>
      <c r="C4336" t="n">
        <v/>
      </c>
      <c r="D4336" t="inlineStr">
        <is>
          <t>Media file</t>
        </is>
      </c>
      <c r="E4336" t="inlineStr">
        <is>
          <t>player #1:C:/Users/manuel.felline/Documents/BEHAVIOR BTBR/NOR second cohort/WT/test/c59_f3.mp4</t>
        </is>
      </c>
      <c r="F4336" t="n">
        <v>-12.967</v>
      </c>
      <c r="G4336" t="n">
        <v>520.2329999999999</v>
      </c>
      <c r="H4336" t="n">
        <v>631.7329999999999</v>
      </c>
      <c r="I4336" t="n">
        <v>30</v>
      </c>
      <c r="J4336" t="inlineStr">
        <is>
          <t xml:space="preserve"> WT</t>
        </is>
      </c>
      <c r="K4336" t="inlineStr">
        <is>
          <t xml:space="preserve"> Female</t>
        </is>
      </c>
      <c r="L4336" t="inlineStr">
        <is>
          <t>No focal subject</t>
        </is>
      </c>
      <c r="M4336" t="n">
        <v>37.866</v>
      </c>
      <c r="N4336" t="inlineStr">
        <is>
          <t>Explore_F</t>
        </is>
      </c>
      <c r="O4336" t="inlineStr">
        <is>
          <t>Familiar</t>
        </is>
      </c>
      <c r="P4336" t="inlineStr">
        <is>
          <t>STATE</t>
        </is>
      </c>
      <c r="Q4336" t="n">
        <v>506.699</v>
      </c>
      <c r="R4336" t="n">
        <v>507.999</v>
      </c>
      <c r="S4336" t="n">
        <v>1.3</v>
      </c>
      <c r="T4336" t="inlineStr">
        <is>
          <t>C:/Users/manuel.felline/Documents/BEHAVIOR BTBR/NOR second cohort/WT/test/c59_f3.mp4</t>
        </is>
      </c>
      <c r="U4336" t="n">
        <v>15590</v>
      </c>
      <c r="V4336" t="n">
        <v>15629</v>
      </c>
      <c r="W4336" t="n">
        <v/>
      </c>
      <c r="X4336" t="n">
        <v/>
      </c>
      <c r="Y4336" t="n">
        <v/>
      </c>
      <c r="Z4336" t="n">
        <v/>
      </c>
      <c r="AA4336">
        <f>SUMIFS($S$2:S4336,$A$2:A4336,A4336,$N$2:N4336,"Explore*")</f>
        <v/>
      </c>
      <c r="AB4336">
        <f>IF(AND(LEFT(N4336,7)="Explore",(AA4336-IF(LEFT(N4336,7)="Explore",S4336,0))&lt;10),"SI","NO")</f>
        <v/>
      </c>
    </row>
    <row r="4337">
      <c r="A4337" t="inlineStr">
        <is>
          <t>c59f3_test</t>
        </is>
      </c>
      <c r="B4337" t="inlineStr">
        <is>
          <t>2026-07-03 16:05:51.440</t>
        </is>
      </c>
      <c r="C4337" t="n">
        <v/>
      </c>
      <c r="D4337" t="inlineStr">
        <is>
          <t>Media file</t>
        </is>
      </c>
      <c r="E4337" t="inlineStr">
        <is>
          <t>player #1:C:/Users/manuel.felline/Documents/BEHAVIOR BTBR/NOR second cohort/WT/test/c59_f3.mp4</t>
        </is>
      </c>
      <c r="F4337" t="n">
        <v>-12.967</v>
      </c>
      <c r="G4337" t="n">
        <v>520.2329999999999</v>
      </c>
      <c r="H4337" t="n">
        <v>631.7329999999999</v>
      </c>
      <c r="I4337" t="n">
        <v>30</v>
      </c>
      <c r="J4337" t="inlineStr">
        <is>
          <t xml:space="preserve"> WT</t>
        </is>
      </c>
      <c r="K4337" t="inlineStr">
        <is>
          <t xml:space="preserve"> Female</t>
        </is>
      </c>
      <c r="L4337" t="inlineStr">
        <is>
          <t>No focal subject</t>
        </is>
      </c>
      <c r="M4337" t="n">
        <v>37.866</v>
      </c>
      <c r="N4337" t="inlineStr">
        <is>
          <t>Explore_N</t>
        </is>
      </c>
      <c r="O4337" t="inlineStr">
        <is>
          <t>Novelty</t>
        </is>
      </c>
      <c r="P4337" t="inlineStr">
        <is>
          <t>STATE</t>
        </is>
      </c>
      <c r="Q4337" t="n">
        <v>509.666</v>
      </c>
      <c r="R4337" t="n">
        <v>510.499</v>
      </c>
      <c r="S4337" t="n">
        <v>0.833</v>
      </c>
      <c r="T4337" t="inlineStr">
        <is>
          <t>C:/Users/manuel.felline/Documents/BEHAVIOR BTBR/NOR second cohort/WT/test/c59_f3.mp4</t>
        </is>
      </c>
      <c r="U4337" t="n">
        <v>15679</v>
      </c>
      <c r="V4337" t="n">
        <v>15704</v>
      </c>
      <c r="W4337" t="n">
        <v/>
      </c>
      <c r="X4337" t="n">
        <v/>
      </c>
      <c r="Y4337" t="n">
        <v/>
      </c>
      <c r="Z4337" t="n">
        <v/>
      </c>
      <c r="AA4337">
        <f>SUMIFS($S$2:S4337,$A$2:A4337,A4337,$N$2:N4337,"Explore*")</f>
        <v/>
      </c>
      <c r="AB4337">
        <f>IF(AND(LEFT(N4337,7)="Explore",(AA4337-IF(LEFT(N4337,7)="Explore",S4337,0))&lt;10),"SI","NO")</f>
        <v/>
      </c>
    </row>
    <row r="4338">
      <c r="A4338" t="inlineStr">
        <is>
          <t>c59f3_test</t>
        </is>
      </c>
      <c r="B4338" t="inlineStr">
        <is>
          <t>2026-07-03 16:05:51.440</t>
        </is>
      </c>
      <c r="C4338" t="n">
        <v/>
      </c>
      <c r="D4338" t="inlineStr">
        <is>
          <t>Media file</t>
        </is>
      </c>
      <c r="E4338" t="inlineStr">
        <is>
          <t>player #1:C:/Users/manuel.felline/Documents/BEHAVIOR BTBR/NOR second cohort/WT/test/c59_f3.mp4</t>
        </is>
      </c>
      <c r="F4338" t="n">
        <v>-12.967</v>
      </c>
      <c r="G4338" t="n">
        <v>520.2329999999999</v>
      </c>
      <c r="H4338" t="n">
        <v>631.7329999999999</v>
      </c>
      <c r="I4338" t="n">
        <v>30</v>
      </c>
      <c r="J4338" t="inlineStr">
        <is>
          <t xml:space="preserve"> WT</t>
        </is>
      </c>
      <c r="K4338" t="inlineStr">
        <is>
          <t xml:space="preserve"> Female</t>
        </is>
      </c>
      <c r="L4338" t="inlineStr">
        <is>
          <t>No focal subject</t>
        </is>
      </c>
      <c r="M4338" t="n">
        <v>37.866</v>
      </c>
      <c r="N4338" t="inlineStr">
        <is>
          <t>Explore_N</t>
        </is>
      </c>
      <c r="O4338" t="inlineStr">
        <is>
          <t>Novelty</t>
        </is>
      </c>
      <c r="P4338" t="inlineStr">
        <is>
          <t>STATE</t>
        </is>
      </c>
      <c r="Q4338" t="n">
        <v>513.466</v>
      </c>
      <c r="R4338" t="n">
        <v>513.866</v>
      </c>
      <c r="S4338" t="n">
        <v>0.4</v>
      </c>
      <c r="T4338" t="inlineStr">
        <is>
          <t>C:/Users/manuel.felline/Documents/BEHAVIOR BTBR/NOR second cohort/WT/test/c59_f3.mp4</t>
        </is>
      </c>
      <c r="U4338" t="n">
        <v>15793</v>
      </c>
      <c r="V4338" t="n">
        <v>15805</v>
      </c>
      <c r="W4338" t="n">
        <v/>
      </c>
      <c r="X4338" t="n">
        <v/>
      </c>
      <c r="Y4338" t="n">
        <v/>
      </c>
      <c r="Z4338" t="n">
        <v/>
      </c>
      <c r="AA4338">
        <f>SUMIFS($S$2:S4338,$A$2:A4338,A4338,$N$2:N4338,"Explore*")</f>
        <v/>
      </c>
      <c r="AB4338">
        <f>IF(AND(LEFT(N4338,7)="Explore",(AA4338-IF(LEFT(N4338,7)="Explore",S4338,0))&lt;10),"SI","NO")</f>
        <v/>
      </c>
    </row>
    <row r="4339">
      <c r="A4339" t="inlineStr">
        <is>
          <t>c59f3_test</t>
        </is>
      </c>
      <c r="B4339" t="inlineStr">
        <is>
          <t>2026-07-03 16:05:51.440</t>
        </is>
      </c>
      <c r="C4339" t="n">
        <v/>
      </c>
      <c r="D4339" t="inlineStr">
        <is>
          <t>Media file</t>
        </is>
      </c>
      <c r="E4339" t="inlineStr">
        <is>
          <t>player #1:C:/Users/manuel.felline/Documents/BEHAVIOR BTBR/NOR second cohort/WT/test/c59_f3.mp4</t>
        </is>
      </c>
      <c r="F4339" t="n">
        <v>-12.967</v>
      </c>
      <c r="G4339" t="n">
        <v>520.2329999999999</v>
      </c>
      <c r="H4339" t="n">
        <v>631.7329999999999</v>
      </c>
      <c r="I4339" t="n">
        <v>30</v>
      </c>
      <c r="J4339" t="inlineStr">
        <is>
          <t xml:space="preserve"> WT</t>
        </is>
      </c>
      <c r="K4339" t="inlineStr">
        <is>
          <t xml:space="preserve"> Female</t>
        </is>
      </c>
      <c r="L4339" t="inlineStr">
        <is>
          <t>No focal subject</t>
        </is>
      </c>
      <c r="M4339" t="n">
        <v>37.866</v>
      </c>
      <c r="N4339" t="inlineStr">
        <is>
          <t>Explore_N</t>
        </is>
      </c>
      <c r="O4339" t="inlineStr">
        <is>
          <t>Novelty</t>
        </is>
      </c>
      <c r="P4339" t="inlineStr">
        <is>
          <t>STATE</t>
        </is>
      </c>
      <c r="Q4339" t="n">
        <v>514.899</v>
      </c>
      <c r="R4339" t="n">
        <v>515.699</v>
      </c>
      <c r="S4339" t="n">
        <v>0.8</v>
      </c>
      <c r="T4339" t="inlineStr">
        <is>
          <t>C:/Users/manuel.felline/Documents/BEHAVIOR BTBR/NOR second cohort/WT/test/c59_f3.mp4</t>
        </is>
      </c>
      <c r="U4339" t="n">
        <v>15837</v>
      </c>
      <c r="V4339" t="n">
        <v>15860</v>
      </c>
      <c r="W4339" t="n">
        <v/>
      </c>
      <c r="X4339" t="n">
        <v/>
      </c>
      <c r="Y4339" t="n">
        <v/>
      </c>
      <c r="Z4339" t="n">
        <v/>
      </c>
      <c r="AA4339">
        <f>SUMIFS($S$2:S4339,$A$2:A4339,A4339,$N$2:N4339,"Explore*")</f>
        <v/>
      </c>
      <c r="AB4339">
        <f>IF(AND(LEFT(N4339,7)="Explore",(AA4339-IF(LEFT(N4339,7)="Explore",S4339,0))&lt;10),"SI","NO")</f>
        <v/>
      </c>
    </row>
    <row r="4340">
      <c r="A4340" t="inlineStr">
        <is>
          <t>c59f3_test</t>
        </is>
      </c>
      <c r="B4340" t="inlineStr">
        <is>
          <t>2026-07-03 16:05:51.440</t>
        </is>
      </c>
      <c r="C4340" t="n">
        <v/>
      </c>
      <c r="D4340" t="inlineStr">
        <is>
          <t>Media file</t>
        </is>
      </c>
      <c r="E4340" t="inlineStr">
        <is>
          <t>player #1:C:/Users/manuel.felline/Documents/BEHAVIOR BTBR/NOR second cohort/WT/test/c59_f3.mp4</t>
        </is>
      </c>
      <c r="F4340" t="n">
        <v>-12.967</v>
      </c>
      <c r="G4340" t="n">
        <v>520.2329999999999</v>
      </c>
      <c r="H4340" t="n">
        <v>631.7329999999999</v>
      </c>
      <c r="I4340" t="n">
        <v>30</v>
      </c>
      <c r="J4340" t="inlineStr">
        <is>
          <t xml:space="preserve"> WT</t>
        </is>
      </c>
      <c r="K4340" t="inlineStr">
        <is>
          <t xml:space="preserve"> Female</t>
        </is>
      </c>
      <c r="L4340" t="inlineStr">
        <is>
          <t>No focal subject</t>
        </is>
      </c>
      <c r="M4340" t="n">
        <v>37.866</v>
      </c>
      <c r="N4340" t="inlineStr">
        <is>
          <t>Explore_F</t>
        </is>
      </c>
      <c r="O4340" t="inlineStr">
        <is>
          <t>Familiar</t>
        </is>
      </c>
      <c r="P4340" t="inlineStr">
        <is>
          <t>STATE</t>
        </is>
      </c>
      <c r="Q4340" t="n">
        <v>522.366</v>
      </c>
      <c r="R4340" t="n">
        <v>522.999</v>
      </c>
      <c r="S4340" t="n">
        <v>0.633</v>
      </c>
      <c r="T4340" t="inlineStr">
        <is>
          <t>C:/Users/manuel.felline/Documents/BEHAVIOR BTBR/NOR second cohort/WT/test/c59_f3.mp4</t>
        </is>
      </c>
      <c r="U4340" t="n">
        <v>16060</v>
      </c>
      <c r="V4340" t="n">
        <v>16079</v>
      </c>
      <c r="W4340" t="n">
        <v/>
      </c>
      <c r="X4340" t="n">
        <v/>
      </c>
      <c r="Y4340" t="n">
        <v/>
      </c>
      <c r="Z4340" t="n">
        <v/>
      </c>
      <c r="AA4340">
        <f>SUMIFS($S$2:S4340,$A$2:A4340,A4340,$N$2:N4340,"Explore*")</f>
        <v/>
      </c>
      <c r="AB4340">
        <f>IF(AND(LEFT(N4340,7)="Explore",(AA4340-IF(LEFT(N4340,7)="Explore",S4340,0))&lt;10),"SI","NO")</f>
        <v/>
      </c>
    </row>
    <row r="4341">
      <c r="A4341" t="inlineStr">
        <is>
          <t>c59f3_test</t>
        </is>
      </c>
      <c r="B4341" t="inlineStr">
        <is>
          <t>2026-07-03 16:05:51.440</t>
        </is>
      </c>
      <c r="C4341" t="n">
        <v/>
      </c>
      <c r="D4341" t="inlineStr">
        <is>
          <t>Media file</t>
        </is>
      </c>
      <c r="E4341" t="inlineStr">
        <is>
          <t>player #1:C:/Users/manuel.felline/Documents/BEHAVIOR BTBR/NOR second cohort/WT/test/c59_f3.mp4</t>
        </is>
      </c>
      <c r="F4341" t="n">
        <v>-12.967</v>
      </c>
      <c r="G4341" t="n">
        <v>520.2329999999999</v>
      </c>
      <c r="H4341" t="n">
        <v>631.7329999999999</v>
      </c>
      <c r="I4341" t="n">
        <v>30</v>
      </c>
      <c r="J4341" t="inlineStr">
        <is>
          <t xml:space="preserve"> WT</t>
        </is>
      </c>
      <c r="K4341" t="inlineStr">
        <is>
          <t xml:space="preserve"> Female</t>
        </is>
      </c>
      <c r="L4341" t="inlineStr">
        <is>
          <t>No focal subject</t>
        </is>
      </c>
      <c r="M4341" t="n">
        <v>37.866</v>
      </c>
      <c r="N4341" t="inlineStr">
        <is>
          <t>Explore_N</t>
        </is>
      </c>
      <c r="O4341" t="inlineStr">
        <is>
          <t>Novelty</t>
        </is>
      </c>
      <c r="P4341" t="inlineStr">
        <is>
          <t>STATE</t>
        </is>
      </c>
      <c r="Q4341" t="n">
        <v>530.099</v>
      </c>
      <c r="R4341" t="n">
        <v>531.066</v>
      </c>
      <c r="S4341" t="n">
        <v>0.967</v>
      </c>
      <c r="T4341" t="inlineStr">
        <is>
          <t>C:/Users/manuel.felline/Documents/BEHAVIOR BTBR/NOR second cohort/WT/test/c59_f3.mp4</t>
        </is>
      </c>
      <c r="U4341" t="n">
        <v>16292</v>
      </c>
      <c r="V4341" t="n">
        <v>16321</v>
      </c>
      <c r="W4341" t="n">
        <v/>
      </c>
      <c r="X4341" t="n">
        <v/>
      </c>
      <c r="Y4341" t="n">
        <v/>
      </c>
      <c r="Z4341" t="n">
        <v/>
      </c>
      <c r="AA4341">
        <f>SUMIFS($S$2:S4341,$A$2:A4341,A4341,$N$2:N4341,"Explore*")</f>
        <v/>
      </c>
      <c r="AB4341">
        <f>IF(AND(LEFT(N4341,7)="Explore",(AA4341-IF(LEFT(N4341,7)="Explore",S4341,0))&lt;10),"SI","NO")</f>
        <v/>
      </c>
    </row>
    <row r="4342">
      <c r="A4342" t="inlineStr">
        <is>
          <t>c59f3_test</t>
        </is>
      </c>
      <c r="B4342" t="inlineStr">
        <is>
          <t>2026-07-03 16:05:51.440</t>
        </is>
      </c>
      <c r="C4342" t="n">
        <v/>
      </c>
      <c r="D4342" t="inlineStr">
        <is>
          <t>Media file</t>
        </is>
      </c>
      <c r="E4342" t="inlineStr">
        <is>
          <t>player #1:C:/Users/manuel.felline/Documents/BEHAVIOR BTBR/NOR second cohort/WT/test/c59_f3.mp4</t>
        </is>
      </c>
      <c r="F4342" t="n">
        <v>-12.967</v>
      </c>
      <c r="G4342" t="n">
        <v>520.2329999999999</v>
      </c>
      <c r="H4342" t="n">
        <v>631.7329999999999</v>
      </c>
      <c r="I4342" t="n">
        <v>30</v>
      </c>
      <c r="J4342" t="inlineStr">
        <is>
          <t xml:space="preserve"> WT</t>
        </is>
      </c>
      <c r="K4342" t="inlineStr">
        <is>
          <t xml:space="preserve"> Female</t>
        </is>
      </c>
      <c r="L4342" t="inlineStr">
        <is>
          <t>No focal subject</t>
        </is>
      </c>
      <c r="M4342" t="n">
        <v>37.866</v>
      </c>
      <c r="N4342" t="inlineStr">
        <is>
          <t>Explore_N</t>
        </is>
      </c>
      <c r="O4342" t="inlineStr">
        <is>
          <t>Novelty</t>
        </is>
      </c>
      <c r="P4342" t="inlineStr">
        <is>
          <t>STATE</t>
        </is>
      </c>
      <c r="Q4342" t="n">
        <v>545.1660000000001</v>
      </c>
      <c r="R4342" t="n">
        <v>545.766</v>
      </c>
      <c r="S4342" t="n">
        <v>0.6</v>
      </c>
      <c r="T4342" t="inlineStr">
        <is>
          <t>C:/Users/manuel.felline/Documents/BEHAVIOR BTBR/NOR second cohort/WT/test/c59_f3.mp4</t>
        </is>
      </c>
      <c r="U4342" t="n">
        <v>16744</v>
      </c>
      <c r="V4342" t="n">
        <v>16762</v>
      </c>
      <c r="W4342" t="n">
        <v/>
      </c>
      <c r="X4342" t="n">
        <v/>
      </c>
      <c r="Y4342" t="n">
        <v/>
      </c>
      <c r="Z4342" t="n">
        <v/>
      </c>
      <c r="AA4342">
        <f>SUMIFS($S$2:S4342,$A$2:A4342,A4342,$N$2:N4342,"Explore*")</f>
        <v/>
      </c>
      <c r="AB4342">
        <f>IF(AND(LEFT(N4342,7)="Explore",(AA4342-IF(LEFT(N4342,7)="Explore",S4342,0))&lt;10),"SI","NO")</f>
        <v/>
      </c>
    </row>
    <row r="4343">
      <c r="A4343" t="inlineStr">
        <is>
          <t>c59f4_test</t>
        </is>
      </c>
      <c r="B4343" t="inlineStr">
        <is>
          <t>2026-07-07 10:38:00.179</t>
        </is>
      </c>
      <c r="C4343" t="n">
        <v/>
      </c>
      <c r="D4343" t="inlineStr">
        <is>
          <t>Media file</t>
        </is>
      </c>
      <c r="E4343" t="inlineStr">
        <is>
          <t>player #1:C:/Users/manuel.felline/Documents/BEHAVIOR BTBR/NOR second cohort/WT/test/c59_f4.mp4</t>
        </is>
      </c>
      <c r="F4343" t="n">
        <v>-19.467</v>
      </c>
      <c r="G4343" t="n">
        <v>591.099</v>
      </c>
      <c r="H4343" t="n">
        <v>644.399</v>
      </c>
      <c r="I4343" t="n">
        <v>30</v>
      </c>
      <c r="J4343" t="inlineStr">
        <is>
          <t xml:space="preserve"> WT</t>
        </is>
      </c>
      <c r="K4343" t="inlineStr">
        <is>
          <t xml:space="preserve"> Female</t>
        </is>
      </c>
      <c r="L4343" t="inlineStr">
        <is>
          <t>No focal subject</t>
        </is>
      </c>
      <c r="M4343" t="n">
        <v>19.799</v>
      </c>
      <c r="N4343" t="inlineStr">
        <is>
          <t>Explore_N</t>
        </is>
      </c>
      <c r="O4343" t="inlineStr">
        <is>
          <t>Novelty</t>
        </is>
      </c>
      <c r="P4343" t="inlineStr">
        <is>
          <t>STATE</t>
        </is>
      </c>
      <c r="Q4343" t="n">
        <v>0.533</v>
      </c>
      <c r="R4343" t="n">
        <v>1</v>
      </c>
      <c r="S4343" t="n">
        <v>0.467</v>
      </c>
      <c r="T4343" t="inlineStr">
        <is>
          <t>C:/Users/manuel.felline/Documents/BEHAVIOR BTBR/NOR second cohort/WT/test/c59_f4.mp4</t>
        </is>
      </c>
      <c r="U4343" t="n">
        <v>600</v>
      </c>
      <c r="V4343" t="n">
        <v>614</v>
      </c>
      <c r="W4343" t="n">
        <v/>
      </c>
      <c r="X4343" t="n">
        <v/>
      </c>
      <c r="Y4343" t="n">
        <v/>
      </c>
      <c r="Z4343" t="n">
        <v/>
      </c>
      <c r="AA4343">
        <f>SUMIFS($S$2:S4343,$A$2:A4343,A4343,$N$2:N4343,"Explore*")</f>
        <v/>
      </c>
      <c r="AB4343">
        <f>IF(AND(LEFT(N4343,7)="Explore",(AA4343-IF(LEFT(N4343,7)="Explore",S4343,0))&lt;10),"SI","NO")</f>
        <v/>
      </c>
    </row>
    <row r="4344">
      <c r="A4344" t="inlineStr">
        <is>
          <t>c59f4_test</t>
        </is>
      </c>
      <c r="B4344" t="inlineStr">
        <is>
          <t>2026-07-07 10:38:00.179</t>
        </is>
      </c>
      <c r="C4344" t="n">
        <v/>
      </c>
      <c r="D4344" t="inlineStr">
        <is>
          <t>Media file</t>
        </is>
      </c>
      <c r="E4344" t="inlineStr">
        <is>
          <t>player #1:C:/Users/manuel.felline/Documents/BEHAVIOR BTBR/NOR second cohort/WT/test/c59_f4.mp4</t>
        </is>
      </c>
      <c r="F4344" t="n">
        <v>-19.467</v>
      </c>
      <c r="G4344" t="n">
        <v>591.099</v>
      </c>
      <c r="H4344" t="n">
        <v>644.399</v>
      </c>
      <c r="I4344" t="n">
        <v>30</v>
      </c>
      <c r="J4344" t="inlineStr">
        <is>
          <t xml:space="preserve"> WT</t>
        </is>
      </c>
      <c r="K4344" t="inlineStr">
        <is>
          <t xml:space="preserve"> Female</t>
        </is>
      </c>
      <c r="L4344" t="inlineStr">
        <is>
          <t>No focal subject</t>
        </is>
      </c>
      <c r="M4344" t="n">
        <v>19.799</v>
      </c>
      <c r="N4344" t="inlineStr">
        <is>
          <t>Explore_N</t>
        </is>
      </c>
      <c r="O4344" t="inlineStr">
        <is>
          <t>Novelty</t>
        </is>
      </c>
      <c r="P4344" t="inlineStr">
        <is>
          <t>STATE</t>
        </is>
      </c>
      <c r="Q4344" t="n">
        <v>55.2</v>
      </c>
      <c r="R4344" t="n">
        <v>57.066</v>
      </c>
      <c r="S4344" t="n">
        <v>1.866</v>
      </c>
      <c r="T4344" t="inlineStr">
        <is>
          <t>C:/Users/manuel.felline/Documents/BEHAVIOR BTBR/NOR second cohort/WT/test/c59_f4.mp4</t>
        </is>
      </c>
      <c r="U4344" t="n">
        <v>2239</v>
      </c>
      <c r="V4344" t="n">
        <v>2295</v>
      </c>
      <c r="W4344" t="n">
        <v/>
      </c>
      <c r="X4344" t="n">
        <v/>
      </c>
      <c r="Y4344" t="n">
        <v/>
      </c>
      <c r="Z4344" t="n">
        <v/>
      </c>
      <c r="AA4344">
        <f>SUMIFS($S$2:S4344,$A$2:A4344,A4344,$N$2:N4344,"Explore*")</f>
        <v/>
      </c>
      <c r="AB4344">
        <f>IF(AND(LEFT(N4344,7)="Explore",(AA4344-IF(LEFT(N4344,7)="Explore",S4344,0))&lt;10),"SI","NO")</f>
        <v/>
      </c>
    </row>
    <row r="4345">
      <c r="A4345" t="inlineStr">
        <is>
          <t>c59f4_test</t>
        </is>
      </c>
      <c r="B4345" t="inlineStr">
        <is>
          <t>2026-07-07 10:38:00.179</t>
        </is>
      </c>
      <c r="C4345" t="n">
        <v/>
      </c>
      <c r="D4345" t="inlineStr">
        <is>
          <t>Media file</t>
        </is>
      </c>
      <c r="E4345" t="inlineStr">
        <is>
          <t>player #1:C:/Users/manuel.felline/Documents/BEHAVIOR BTBR/NOR second cohort/WT/test/c59_f4.mp4</t>
        </is>
      </c>
      <c r="F4345" t="n">
        <v>-19.467</v>
      </c>
      <c r="G4345" t="n">
        <v>591.099</v>
      </c>
      <c r="H4345" t="n">
        <v>644.399</v>
      </c>
      <c r="I4345" t="n">
        <v>30</v>
      </c>
      <c r="J4345" t="inlineStr">
        <is>
          <t xml:space="preserve"> WT</t>
        </is>
      </c>
      <c r="K4345" t="inlineStr">
        <is>
          <t xml:space="preserve"> Female</t>
        </is>
      </c>
      <c r="L4345" t="inlineStr">
        <is>
          <t>No focal subject</t>
        </is>
      </c>
      <c r="M4345" t="n">
        <v>19.799</v>
      </c>
      <c r="N4345" t="inlineStr">
        <is>
          <t>Explore_N</t>
        </is>
      </c>
      <c r="O4345" t="inlineStr">
        <is>
          <t>Novelty</t>
        </is>
      </c>
      <c r="P4345" t="inlineStr">
        <is>
          <t>STATE</t>
        </is>
      </c>
      <c r="Q4345" t="n">
        <v>72.40000000000001</v>
      </c>
      <c r="R4345" t="n">
        <v>73.5</v>
      </c>
      <c r="S4345" t="n">
        <v>1.1</v>
      </c>
      <c r="T4345" t="inlineStr">
        <is>
          <t>C:/Users/manuel.felline/Documents/BEHAVIOR BTBR/NOR second cohort/WT/test/c59_f4.mp4</t>
        </is>
      </c>
      <c r="U4345" t="n">
        <v>2755</v>
      </c>
      <c r="V4345" t="n">
        <v>2788</v>
      </c>
      <c r="W4345" t="n">
        <v/>
      </c>
      <c r="X4345" t="n">
        <v/>
      </c>
      <c r="Y4345" t="n">
        <v/>
      </c>
      <c r="Z4345" t="n">
        <v/>
      </c>
      <c r="AA4345">
        <f>SUMIFS($S$2:S4345,$A$2:A4345,A4345,$N$2:N4345,"Explore*")</f>
        <v/>
      </c>
      <c r="AB4345">
        <f>IF(AND(LEFT(N4345,7)="Explore",(AA4345-IF(LEFT(N4345,7)="Explore",S4345,0))&lt;10),"SI","NO")</f>
        <v/>
      </c>
    </row>
    <row r="4346">
      <c r="A4346" t="inlineStr">
        <is>
          <t>c59f4_test</t>
        </is>
      </c>
      <c r="B4346" t="inlineStr">
        <is>
          <t>2026-07-07 10:38:00.179</t>
        </is>
      </c>
      <c r="C4346" t="n">
        <v/>
      </c>
      <c r="D4346" t="inlineStr">
        <is>
          <t>Media file</t>
        </is>
      </c>
      <c r="E4346" t="inlineStr">
        <is>
          <t>player #1:C:/Users/manuel.felline/Documents/BEHAVIOR BTBR/NOR second cohort/WT/test/c59_f4.mp4</t>
        </is>
      </c>
      <c r="F4346" t="n">
        <v>-19.467</v>
      </c>
      <c r="G4346" t="n">
        <v>591.099</v>
      </c>
      <c r="H4346" t="n">
        <v>644.399</v>
      </c>
      <c r="I4346" t="n">
        <v>30</v>
      </c>
      <c r="J4346" t="inlineStr">
        <is>
          <t xml:space="preserve"> WT</t>
        </is>
      </c>
      <c r="K4346" t="inlineStr">
        <is>
          <t xml:space="preserve"> Female</t>
        </is>
      </c>
      <c r="L4346" t="inlineStr">
        <is>
          <t>No focal subject</t>
        </is>
      </c>
      <c r="M4346" t="n">
        <v>19.799</v>
      </c>
      <c r="N4346" t="inlineStr">
        <is>
          <t>Explore_N</t>
        </is>
      </c>
      <c r="O4346" t="inlineStr">
        <is>
          <t>Novelty</t>
        </is>
      </c>
      <c r="P4346" t="inlineStr">
        <is>
          <t>STATE</t>
        </is>
      </c>
      <c r="Q4346" t="n">
        <v>320.166</v>
      </c>
      <c r="R4346" t="n">
        <v>322.266</v>
      </c>
      <c r="S4346" t="n">
        <v>2.1</v>
      </c>
      <c r="T4346" t="inlineStr">
        <is>
          <t>C:/Users/manuel.felline/Documents/BEHAVIOR BTBR/NOR second cohort/WT/test/c59_f4.mp4</t>
        </is>
      </c>
      <c r="U4346" t="n">
        <v>10185</v>
      </c>
      <c r="V4346" t="n">
        <v>10248</v>
      </c>
      <c r="W4346" t="n">
        <v/>
      </c>
      <c r="X4346" t="n">
        <v/>
      </c>
      <c r="Y4346" t="n">
        <v/>
      </c>
      <c r="Z4346" t="n">
        <v/>
      </c>
      <c r="AA4346">
        <f>SUMIFS($S$2:S4346,$A$2:A4346,A4346,$N$2:N4346,"Explore*")</f>
        <v/>
      </c>
      <c r="AB4346">
        <f>IF(AND(LEFT(N4346,7)="Explore",(AA4346-IF(LEFT(N4346,7)="Explore",S4346,0))&lt;10),"SI","NO")</f>
        <v/>
      </c>
    </row>
    <row r="4347">
      <c r="A4347" t="inlineStr">
        <is>
          <t>c59f4_test</t>
        </is>
      </c>
      <c r="B4347" t="inlineStr">
        <is>
          <t>2026-07-07 10:38:00.179</t>
        </is>
      </c>
      <c r="C4347" t="n">
        <v/>
      </c>
      <c r="D4347" t="inlineStr">
        <is>
          <t>Media file</t>
        </is>
      </c>
      <c r="E4347" t="inlineStr">
        <is>
          <t>player #1:C:/Users/manuel.felline/Documents/BEHAVIOR BTBR/NOR second cohort/WT/test/c59_f4.mp4</t>
        </is>
      </c>
      <c r="F4347" t="n">
        <v>-19.467</v>
      </c>
      <c r="G4347" t="n">
        <v>591.099</v>
      </c>
      <c r="H4347" t="n">
        <v>644.399</v>
      </c>
      <c r="I4347" t="n">
        <v>30</v>
      </c>
      <c r="J4347" t="inlineStr">
        <is>
          <t xml:space="preserve"> WT</t>
        </is>
      </c>
      <c r="K4347" t="inlineStr">
        <is>
          <t xml:space="preserve"> Female</t>
        </is>
      </c>
      <c r="L4347" t="inlineStr">
        <is>
          <t>No focal subject</t>
        </is>
      </c>
      <c r="M4347" t="n">
        <v>19.799</v>
      </c>
      <c r="N4347" t="inlineStr">
        <is>
          <t>Explore_N</t>
        </is>
      </c>
      <c r="O4347" t="inlineStr">
        <is>
          <t>Novelty</t>
        </is>
      </c>
      <c r="P4347" t="inlineStr">
        <is>
          <t>STATE</t>
        </is>
      </c>
      <c r="Q4347" t="n">
        <v>323.399</v>
      </c>
      <c r="R4347" t="n">
        <v>324.966</v>
      </c>
      <c r="S4347" t="n">
        <v>1.567</v>
      </c>
      <c r="T4347" t="inlineStr">
        <is>
          <t>C:/Users/manuel.felline/Documents/BEHAVIOR BTBR/NOR second cohort/WT/test/c59_f4.mp4</t>
        </is>
      </c>
      <c r="U4347" t="n">
        <v>10282</v>
      </c>
      <c r="V4347" t="n">
        <v>10329</v>
      </c>
      <c r="W4347" t="n">
        <v/>
      </c>
      <c r="X4347" t="n">
        <v/>
      </c>
      <c r="Y4347" t="n">
        <v/>
      </c>
      <c r="Z4347" t="n">
        <v/>
      </c>
      <c r="AA4347">
        <f>SUMIFS($S$2:S4347,$A$2:A4347,A4347,$N$2:N4347,"Explore*")</f>
        <v/>
      </c>
      <c r="AB4347">
        <f>IF(AND(LEFT(N4347,7)="Explore",(AA4347-IF(LEFT(N4347,7)="Explore",S4347,0))&lt;10),"SI","NO")</f>
        <v/>
      </c>
    </row>
    <row r="4348">
      <c r="A4348" t="inlineStr">
        <is>
          <t>c59f4_test</t>
        </is>
      </c>
      <c r="B4348" t="inlineStr">
        <is>
          <t>2026-07-07 10:38:00.179</t>
        </is>
      </c>
      <c r="C4348" t="n">
        <v/>
      </c>
      <c r="D4348" t="inlineStr">
        <is>
          <t>Media file</t>
        </is>
      </c>
      <c r="E4348" t="inlineStr">
        <is>
          <t>player #1:C:/Users/manuel.felline/Documents/BEHAVIOR BTBR/NOR second cohort/WT/test/c59_f4.mp4</t>
        </is>
      </c>
      <c r="F4348" t="n">
        <v>-19.467</v>
      </c>
      <c r="G4348" t="n">
        <v>591.099</v>
      </c>
      <c r="H4348" t="n">
        <v>644.399</v>
      </c>
      <c r="I4348" t="n">
        <v>30</v>
      </c>
      <c r="J4348" t="inlineStr">
        <is>
          <t xml:space="preserve"> WT</t>
        </is>
      </c>
      <c r="K4348" t="inlineStr">
        <is>
          <t xml:space="preserve"> Female</t>
        </is>
      </c>
      <c r="L4348" t="inlineStr">
        <is>
          <t>No focal subject</t>
        </is>
      </c>
      <c r="M4348" t="n">
        <v>19.799</v>
      </c>
      <c r="N4348" t="inlineStr">
        <is>
          <t>Explore_F</t>
        </is>
      </c>
      <c r="O4348" t="inlineStr">
        <is>
          <t>Familiar</t>
        </is>
      </c>
      <c r="P4348" t="inlineStr">
        <is>
          <t>STATE</t>
        </is>
      </c>
      <c r="Q4348" t="n">
        <v>339.399</v>
      </c>
      <c r="R4348" t="n">
        <v>341.833</v>
      </c>
      <c r="S4348" t="n">
        <v>2.434</v>
      </c>
      <c r="T4348" t="inlineStr">
        <is>
          <t>C:/Users/manuel.felline/Documents/BEHAVIOR BTBR/NOR second cohort/WT/test/c59_f4.mp4</t>
        </is>
      </c>
      <c r="U4348" t="n">
        <v>10762</v>
      </c>
      <c r="V4348" t="n">
        <v>10835</v>
      </c>
      <c r="W4348" t="n">
        <v/>
      </c>
      <c r="X4348" t="n">
        <v/>
      </c>
      <c r="Y4348" t="n">
        <v/>
      </c>
      <c r="Z4348" t="n">
        <v/>
      </c>
      <c r="AA4348">
        <f>SUMIFS($S$2:S4348,$A$2:A4348,A4348,$N$2:N4348,"Explore*")</f>
        <v/>
      </c>
      <c r="AB4348">
        <f>IF(AND(LEFT(N4348,7)="Explore",(AA4348-IF(LEFT(N4348,7)="Explore",S4348,0))&lt;10),"SI","NO")</f>
        <v/>
      </c>
    </row>
    <row r="4349">
      <c r="A4349" t="inlineStr">
        <is>
          <t>c59f4_test</t>
        </is>
      </c>
      <c r="B4349" t="inlineStr">
        <is>
          <t>2026-07-07 10:38:00.179</t>
        </is>
      </c>
      <c r="C4349" t="n">
        <v/>
      </c>
      <c r="D4349" t="inlineStr">
        <is>
          <t>Media file</t>
        </is>
      </c>
      <c r="E4349" t="inlineStr">
        <is>
          <t>player #1:C:/Users/manuel.felline/Documents/BEHAVIOR BTBR/NOR second cohort/WT/test/c59_f4.mp4</t>
        </is>
      </c>
      <c r="F4349" t="n">
        <v>-19.467</v>
      </c>
      <c r="G4349" t="n">
        <v>591.099</v>
      </c>
      <c r="H4349" t="n">
        <v>644.399</v>
      </c>
      <c r="I4349" t="n">
        <v>30</v>
      </c>
      <c r="J4349" t="inlineStr">
        <is>
          <t xml:space="preserve"> WT</t>
        </is>
      </c>
      <c r="K4349" t="inlineStr">
        <is>
          <t xml:space="preserve"> Female</t>
        </is>
      </c>
      <c r="L4349" t="inlineStr">
        <is>
          <t>No focal subject</t>
        </is>
      </c>
      <c r="M4349" t="n">
        <v>19.799</v>
      </c>
      <c r="N4349" t="inlineStr">
        <is>
          <t>Explore_F</t>
        </is>
      </c>
      <c r="O4349" t="inlineStr">
        <is>
          <t>Familiar</t>
        </is>
      </c>
      <c r="P4349" t="inlineStr">
        <is>
          <t>STATE</t>
        </is>
      </c>
      <c r="Q4349" t="n">
        <v>489.732</v>
      </c>
      <c r="R4349" t="n">
        <v>490.499</v>
      </c>
      <c r="S4349" t="n">
        <v>0.767</v>
      </c>
      <c r="T4349" t="inlineStr">
        <is>
          <t>C:/Users/manuel.felline/Documents/BEHAVIOR BTBR/NOR second cohort/WT/test/c59_f4.mp4</t>
        </is>
      </c>
      <c r="U4349" t="n">
        <v>15270</v>
      </c>
      <c r="V4349" t="n">
        <v>15293</v>
      </c>
      <c r="W4349" t="n">
        <v/>
      </c>
      <c r="X4349" t="n">
        <v/>
      </c>
      <c r="Y4349" t="n">
        <v/>
      </c>
      <c r="Z4349" t="n">
        <v/>
      </c>
      <c r="AA4349">
        <f>SUMIFS($S$2:S4349,$A$2:A4349,A4349,$N$2:N4349,"Explore*")</f>
        <v/>
      </c>
      <c r="AB4349">
        <f>IF(AND(LEFT(N4349,7)="Explore",(AA4349-IF(LEFT(N4349,7)="Explore",S4349,0))&lt;10),"SI","NO")</f>
        <v/>
      </c>
    </row>
    <row r="4350">
      <c r="A4350" t="inlineStr">
        <is>
          <t>c59f4_test</t>
        </is>
      </c>
      <c r="B4350" t="inlineStr">
        <is>
          <t>2026-07-07 10:38:00.179</t>
        </is>
      </c>
      <c r="C4350" t="n">
        <v/>
      </c>
      <c r="D4350" t="inlineStr">
        <is>
          <t>Media file</t>
        </is>
      </c>
      <c r="E4350" t="inlineStr">
        <is>
          <t>player #1:C:/Users/manuel.felline/Documents/BEHAVIOR BTBR/NOR second cohort/WT/test/c59_f4.mp4</t>
        </is>
      </c>
      <c r="F4350" t="n">
        <v>-19.467</v>
      </c>
      <c r="G4350" t="n">
        <v>591.099</v>
      </c>
      <c r="H4350" t="n">
        <v>644.399</v>
      </c>
      <c r="I4350" t="n">
        <v>30</v>
      </c>
      <c r="J4350" t="inlineStr">
        <is>
          <t xml:space="preserve"> WT</t>
        </is>
      </c>
      <c r="K4350" t="inlineStr">
        <is>
          <t xml:space="preserve"> Female</t>
        </is>
      </c>
      <c r="L4350" t="inlineStr">
        <is>
          <t>No focal subject</t>
        </is>
      </c>
      <c r="M4350" t="n">
        <v>19.799</v>
      </c>
      <c r="N4350" t="inlineStr">
        <is>
          <t>Explore_N</t>
        </is>
      </c>
      <c r="O4350" t="inlineStr">
        <is>
          <t>Novelty</t>
        </is>
      </c>
      <c r="P4350" t="inlineStr">
        <is>
          <t>STATE</t>
        </is>
      </c>
      <c r="Q4350" t="n">
        <v>509.999</v>
      </c>
      <c r="R4350" t="n">
        <v>511.932</v>
      </c>
      <c r="S4350" t="n">
        <v>1.933</v>
      </c>
      <c r="T4350" t="inlineStr">
        <is>
          <t>C:/Users/manuel.felline/Documents/BEHAVIOR BTBR/NOR second cohort/WT/test/c59_f4.mp4</t>
        </is>
      </c>
      <c r="U4350" t="n">
        <v>15878</v>
      </c>
      <c r="V4350" t="n">
        <v>15936</v>
      </c>
      <c r="W4350" t="n">
        <v/>
      </c>
      <c r="X4350" t="n">
        <v/>
      </c>
      <c r="Y4350" t="n">
        <v/>
      </c>
      <c r="Z4350" t="n">
        <v/>
      </c>
      <c r="AA4350">
        <f>SUMIFS($S$2:S4350,$A$2:A4350,A4350,$N$2:N4350,"Explore*")</f>
        <v/>
      </c>
      <c r="AB4350">
        <f>IF(AND(LEFT(N4350,7)="Explore",(AA4350-IF(LEFT(N4350,7)="Explore",S4350,0))&lt;10),"SI","NO")</f>
        <v/>
      </c>
    </row>
    <row r="4351">
      <c r="A4351" t="inlineStr">
        <is>
          <t>c59f4_test</t>
        </is>
      </c>
      <c r="B4351" t="inlineStr">
        <is>
          <t>2026-07-07 10:38:00.179</t>
        </is>
      </c>
      <c r="C4351" t="n">
        <v/>
      </c>
      <c r="D4351" t="inlineStr">
        <is>
          <t>Media file</t>
        </is>
      </c>
      <c r="E4351" t="inlineStr">
        <is>
          <t>player #1:C:/Users/manuel.felline/Documents/BEHAVIOR BTBR/NOR second cohort/WT/test/c59_f4.mp4</t>
        </is>
      </c>
      <c r="F4351" t="n">
        <v>-19.467</v>
      </c>
      <c r="G4351" t="n">
        <v>591.099</v>
      </c>
      <c r="H4351" t="n">
        <v>644.399</v>
      </c>
      <c r="I4351" t="n">
        <v>30</v>
      </c>
      <c r="J4351" t="inlineStr">
        <is>
          <t xml:space="preserve"> WT</t>
        </is>
      </c>
      <c r="K4351" t="inlineStr">
        <is>
          <t xml:space="preserve"> Female</t>
        </is>
      </c>
      <c r="L4351" t="inlineStr">
        <is>
          <t>No focal subject</t>
        </is>
      </c>
      <c r="M4351" t="n">
        <v>19.799</v>
      </c>
      <c r="N4351" t="inlineStr">
        <is>
          <t>Explore_N</t>
        </is>
      </c>
      <c r="O4351" t="inlineStr">
        <is>
          <t>Novelty</t>
        </is>
      </c>
      <c r="P4351" t="inlineStr">
        <is>
          <t>STATE</t>
        </is>
      </c>
      <c r="Q4351" t="n">
        <v>520.732</v>
      </c>
      <c r="R4351" t="n">
        <v>521.1319999999999</v>
      </c>
      <c r="S4351" t="n">
        <v>0.4</v>
      </c>
      <c r="T4351" t="inlineStr">
        <is>
          <t>C:/Users/manuel.felline/Documents/BEHAVIOR BTBR/NOR second cohort/WT/test/c59_f4.mp4</t>
        </is>
      </c>
      <c r="U4351" t="n">
        <v>16199</v>
      </c>
      <c r="V4351" t="n">
        <v>16211</v>
      </c>
      <c r="W4351" t="n">
        <v/>
      </c>
      <c r="X4351" t="n">
        <v/>
      </c>
      <c r="Y4351" t="n">
        <v/>
      </c>
      <c r="Z4351" t="n">
        <v/>
      </c>
      <c r="AA4351">
        <f>SUMIFS($S$2:S4351,$A$2:A4351,A4351,$N$2:N4351,"Explore*")</f>
        <v/>
      </c>
      <c r="AB4351">
        <f>IF(AND(LEFT(N4351,7)="Explore",(AA4351-IF(LEFT(N4351,7)="Explore",S4351,0))&lt;10),"SI","NO")</f>
        <v/>
      </c>
    </row>
    <row r="4352">
      <c r="A4352" t="inlineStr">
        <is>
          <t>c59f4_test</t>
        </is>
      </c>
      <c r="B4352" t="inlineStr">
        <is>
          <t>2026-07-07 10:38:00.179</t>
        </is>
      </c>
      <c r="C4352" t="n">
        <v/>
      </c>
      <c r="D4352" t="inlineStr">
        <is>
          <t>Media file</t>
        </is>
      </c>
      <c r="E4352" t="inlineStr">
        <is>
          <t>player #1:C:/Users/manuel.felline/Documents/BEHAVIOR BTBR/NOR second cohort/WT/test/c59_f4.mp4</t>
        </is>
      </c>
      <c r="F4352" t="n">
        <v>-19.467</v>
      </c>
      <c r="G4352" t="n">
        <v>591.099</v>
      </c>
      <c r="H4352" t="n">
        <v>644.399</v>
      </c>
      <c r="I4352" t="n">
        <v>30</v>
      </c>
      <c r="J4352" t="inlineStr">
        <is>
          <t xml:space="preserve"> WT</t>
        </is>
      </c>
      <c r="K4352" t="inlineStr">
        <is>
          <t xml:space="preserve"> Female</t>
        </is>
      </c>
      <c r="L4352" t="inlineStr">
        <is>
          <t>No focal subject</t>
        </is>
      </c>
      <c r="M4352" t="n">
        <v>19.799</v>
      </c>
      <c r="N4352" t="inlineStr">
        <is>
          <t>Explore_N</t>
        </is>
      </c>
      <c r="O4352" t="inlineStr">
        <is>
          <t>Novelty</t>
        </is>
      </c>
      <c r="P4352" t="inlineStr">
        <is>
          <t>STATE</t>
        </is>
      </c>
      <c r="Q4352" t="n">
        <v>532.566</v>
      </c>
      <c r="R4352" t="n">
        <v>533.532</v>
      </c>
      <c r="S4352" t="n">
        <v>0.966</v>
      </c>
      <c r="T4352" t="inlineStr">
        <is>
          <t>C:/Users/manuel.felline/Documents/BEHAVIOR BTBR/NOR second cohort/WT/test/c59_f4.mp4</t>
        </is>
      </c>
      <c r="U4352" t="n">
        <v>16554</v>
      </c>
      <c r="V4352" t="n">
        <v>16583</v>
      </c>
      <c r="W4352" t="n">
        <v/>
      </c>
      <c r="X4352" t="n">
        <v/>
      </c>
      <c r="Y4352" t="n">
        <v/>
      </c>
      <c r="Z4352" t="n">
        <v/>
      </c>
      <c r="AA4352">
        <f>SUMIFS($S$2:S4352,$A$2:A4352,A4352,$N$2:N4352,"Explore*")</f>
        <v/>
      </c>
      <c r="AB4352">
        <f>IF(AND(LEFT(N4352,7)="Explore",(AA4352-IF(LEFT(N4352,7)="Explore",S4352,0))&lt;10),"SI","NO")</f>
        <v/>
      </c>
    </row>
    <row r="4353">
      <c r="A4353" t="inlineStr">
        <is>
          <t>c59f4_test</t>
        </is>
      </c>
      <c r="B4353" t="inlineStr">
        <is>
          <t>2026-07-07 10:38:00.179</t>
        </is>
      </c>
      <c r="C4353" t="n">
        <v/>
      </c>
      <c r="D4353" t="inlineStr">
        <is>
          <t>Media file</t>
        </is>
      </c>
      <c r="E4353" t="inlineStr">
        <is>
          <t>player #1:C:/Users/manuel.felline/Documents/BEHAVIOR BTBR/NOR second cohort/WT/test/c59_f4.mp4</t>
        </is>
      </c>
      <c r="F4353" t="n">
        <v>-19.467</v>
      </c>
      <c r="G4353" t="n">
        <v>591.099</v>
      </c>
      <c r="H4353" t="n">
        <v>644.399</v>
      </c>
      <c r="I4353" t="n">
        <v>30</v>
      </c>
      <c r="J4353" t="inlineStr">
        <is>
          <t xml:space="preserve"> WT</t>
        </is>
      </c>
      <c r="K4353" t="inlineStr">
        <is>
          <t xml:space="preserve"> Female</t>
        </is>
      </c>
      <c r="L4353" t="inlineStr">
        <is>
          <t>No focal subject</t>
        </is>
      </c>
      <c r="M4353" t="n">
        <v>19.799</v>
      </c>
      <c r="N4353" t="inlineStr">
        <is>
          <t>Explore_N</t>
        </is>
      </c>
      <c r="O4353" t="inlineStr">
        <is>
          <t>Novelty</t>
        </is>
      </c>
      <c r="P4353" t="inlineStr">
        <is>
          <t>STATE</t>
        </is>
      </c>
      <c r="Q4353" t="n">
        <v>537.099</v>
      </c>
      <c r="R4353" t="n">
        <v>538.366</v>
      </c>
      <c r="S4353" t="n">
        <v>1.267</v>
      </c>
      <c r="T4353" t="inlineStr">
        <is>
          <t>C:/Users/manuel.felline/Documents/BEHAVIOR BTBR/NOR second cohort/WT/test/c59_f4.mp4</t>
        </is>
      </c>
      <c r="U4353" t="n">
        <v>16690</v>
      </c>
      <c r="V4353" t="n">
        <v>16728</v>
      </c>
      <c r="W4353" t="n">
        <v/>
      </c>
      <c r="X4353" t="n">
        <v/>
      </c>
      <c r="Y4353" t="n">
        <v/>
      </c>
      <c r="Z4353" t="n">
        <v/>
      </c>
      <c r="AA4353">
        <f>SUMIFS($S$2:S4353,$A$2:A4353,A4353,$N$2:N4353,"Explore*")</f>
        <v/>
      </c>
      <c r="AB4353">
        <f>IF(AND(LEFT(N4353,7)="Explore",(AA4353-IF(LEFT(N4353,7)="Explore",S4353,0))&lt;10),"SI","NO")</f>
        <v/>
      </c>
    </row>
    <row r="4354">
      <c r="A4354" t="inlineStr">
        <is>
          <t>c59f4_test</t>
        </is>
      </c>
      <c r="B4354" t="inlineStr">
        <is>
          <t>2026-07-07 10:38:00.179</t>
        </is>
      </c>
      <c r="C4354" t="n">
        <v/>
      </c>
      <c r="D4354" t="inlineStr">
        <is>
          <t>Media file</t>
        </is>
      </c>
      <c r="E4354" t="inlineStr">
        <is>
          <t>player #1:C:/Users/manuel.felline/Documents/BEHAVIOR BTBR/NOR second cohort/WT/test/c59_f4.mp4</t>
        </is>
      </c>
      <c r="F4354" t="n">
        <v>-19.467</v>
      </c>
      <c r="G4354" t="n">
        <v>591.099</v>
      </c>
      <c r="H4354" t="n">
        <v>644.399</v>
      </c>
      <c r="I4354" t="n">
        <v>30</v>
      </c>
      <c r="J4354" t="inlineStr">
        <is>
          <t xml:space="preserve"> WT</t>
        </is>
      </c>
      <c r="K4354" t="inlineStr">
        <is>
          <t xml:space="preserve"> Female</t>
        </is>
      </c>
      <c r="L4354" t="inlineStr">
        <is>
          <t>No focal subject</t>
        </is>
      </c>
      <c r="M4354" t="n">
        <v>19.799</v>
      </c>
      <c r="N4354" t="inlineStr">
        <is>
          <t>Explore_N</t>
        </is>
      </c>
      <c r="O4354" t="inlineStr">
        <is>
          <t>Novelty</t>
        </is>
      </c>
      <c r="P4354" t="inlineStr">
        <is>
          <t>STATE</t>
        </is>
      </c>
      <c r="Q4354" t="n">
        <v>540.566</v>
      </c>
      <c r="R4354" t="n">
        <v>540.899</v>
      </c>
      <c r="S4354" t="n">
        <v>0.333</v>
      </c>
      <c r="T4354" t="inlineStr">
        <is>
          <t>C:/Users/manuel.felline/Documents/BEHAVIOR BTBR/NOR second cohort/WT/test/c59_f4.mp4</t>
        </is>
      </c>
      <c r="U4354" t="n">
        <v>16794</v>
      </c>
      <c r="V4354" t="n">
        <v>16804</v>
      </c>
      <c r="W4354" t="n">
        <v/>
      </c>
      <c r="X4354" t="n">
        <v/>
      </c>
      <c r="Y4354" t="n">
        <v/>
      </c>
      <c r="Z4354" t="n">
        <v/>
      </c>
      <c r="AA4354">
        <f>SUMIFS($S$2:S4354,$A$2:A4354,A4354,$N$2:N4354,"Explore*")</f>
        <v/>
      </c>
      <c r="AB4354">
        <f>IF(AND(LEFT(N4354,7)="Explore",(AA4354-IF(LEFT(N4354,7)="Explore",S4354,0))&lt;10),"SI","NO")</f>
        <v/>
      </c>
    </row>
    <row r="4355">
      <c r="A4355" t="inlineStr">
        <is>
          <t>c59f4_test</t>
        </is>
      </c>
      <c r="B4355" t="inlineStr">
        <is>
          <t>2026-07-07 10:38:00.179</t>
        </is>
      </c>
      <c r="C4355" t="n">
        <v/>
      </c>
      <c r="D4355" t="inlineStr">
        <is>
          <t>Media file</t>
        </is>
      </c>
      <c r="E4355" t="inlineStr">
        <is>
          <t>player #1:C:/Users/manuel.felline/Documents/BEHAVIOR BTBR/NOR second cohort/WT/test/c59_f4.mp4</t>
        </is>
      </c>
      <c r="F4355" t="n">
        <v>-19.467</v>
      </c>
      <c r="G4355" t="n">
        <v>591.099</v>
      </c>
      <c r="H4355" t="n">
        <v>644.399</v>
      </c>
      <c r="I4355" t="n">
        <v>30</v>
      </c>
      <c r="J4355" t="inlineStr">
        <is>
          <t xml:space="preserve"> WT</t>
        </is>
      </c>
      <c r="K4355" t="inlineStr">
        <is>
          <t xml:space="preserve"> Female</t>
        </is>
      </c>
      <c r="L4355" t="inlineStr">
        <is>
          <t>No focal subject</t>
        </is>
      </c>
      <c r="M4355" t="n">
        <v>19.799</v>
      </c>
      <c r="N4355" t="inlineStr">
        <is>
          <t>Explore_F</t>
        </is>
      </c>
      <c r="O4355" t="inlineStr">
        <is>
          <t>Familiar</t>
        </is>
      </c>
      <c r="P4355" t="inlineStr">
        <is>
          <t>STATE</t>
        </is>
      </c>
      <c r="Q4355" t="n">
        <v>541.699</v>
      </c>
      <c r="R4355" t="n">
        <v>543.532</v>
      </c>
      <c r="S4355" t="n">
        <v>1.833</v>
      </c>
      <c r="T4355" t="inlineStr">
        <is>
          <t>C:/Users/manuel.felline/Documents/BEHAVIOR BTBR/NOR second cohort/WT/test/c59_f4.mp4</t>
        </is>
      </c>
      <c r="U4355" t="n">
        <v>16828</v>
      </c>
      <c r="V4355" t="n">
        <v>16883</v>
      </c>
      <c r="W4355" t="n">
        <v/>
      </c>
      <c r="X4355" t="n">
        <v/>
      </c>
      <c r="Y4355" t="n">
        <v/>
      </c>
      <c r="Z4355" t="n">
        <v/>
      </c>
      <c r="AA4355">
        <f>SUMIFS($S$2:S4355,$A$2:A4355,A4355,$N$2:N4355,"Explore*")</f>
        <v/>
      </c>
      <c r="AB4355">
        <f>IF(AND(LEFT(N4355,7)="Explore",(AA4355-IF(LEFT(N4355,7)="Explore",S4355,0))&lt;10),"SI","NO")</f>
        <v/>
      </c>
    </row>
    <row r="4356">
      <c r="A4356" t="inlineStr">
        <is>
          <t>c59f4_test</t>
        </is>
      </c>
      <c r="B4356" t="inlineStr">
        <is>
          <t>2026-07-07 10:38:00.179</t>
        </is>
      </c>
      <c r="C4356" t="n">
        <v/>
      </c>
      <c r="D4356" t="inlineStr">
        <is>
          <t>Media file</t>
        </is>
      </c>
      <c r="E4356" t="inlineStr">
        <is>
          <t>player #1:C:/Users/manuel.felline/Documents/BEHAVIOR BTBR/NOR second cohort/WT/test/c59_f4.mp4</t>
        </is>
      </c>
      <c r="F4356" t="n">
        <v>-19.467</v>
      </c>
      <c r="G4356" t="n">
        <v>591.099</v>
      </c>
      <c r="H4356" t="n">
        <v>644.399</v>
      </c>
      <c r="I4356" t="n">
        <v>30</v>
      </c>
      <c r="J4356" t="inlineStr">
        <is>
          <t xml:space="preserve"> WT</t>
        </is>
      </c>
      <c r="K4356" t="inlineStr">
        <is>
          <t xml:space="preserve"> Female</t>
        </is>
      </c>
      <c r="L4356" t="inlineStr">
        <is>
          <t>No focal subject</t>
        </is>
      </c>
      <c r="M4356" t="n">
        <v>19.799</v>
      </c>
      <c r="N4356" t="inlineStr">
        <is>
          <t>Explore_N</t>
        </is>
      </c>
      <c r="O4356" t="inlineStr">
        <is>
          <t>Novelty</t>
        </is>
      </c>
      <c r="P4356" t="inlineStr">
        <is>
          <t>STATE</t>
        </is>
      </c>
      <c r="Q4356" t="n">
        <v>569.199</v>
      </c>
      <c r="R4356" t="n">
        <v>569.6319999999999</v>
      </c>
      <c r="S4356" t="n">
        <v>0.433</v>
      </c>
      <c r="T4356" t="inlineStr">
        <is>
          <t>C:/Users/manuel.felline/Documents/BEHAVIOR BTBR/NOR second cohort/WT/test/c59_f4.mp4</t>
        </is>
      </c>
      <c r="U4356" t="n">
        <v>17653</v>
      </c>
      <c r="V4356" t="n">
        <v>17666</v>
      </c>
      <c r="W4356" t="n">
        <v/>
      </c>
      <c r="X4356" t="n">
        <v/>
      </c>
      <c r="Y4356" t="n">
        <v/>
      </c>
      <c r="Z4356" t="n">
        <v/>
      </c>
      <c r="AA4356">
        <f>SUMIFS($S$2:S4356,$A$2:A4356,A4356,$N$2:N4356,"Explore*")</f>
        <v/>
      </c>
      <c r="AB4356">
        <f>IF(AND(LEFT(N4356,7)="Explore",(AA4356-IF(LEFT(N4356,7)="Explore",S4356,0))&lt;10),"SI","NO")</f>
        <v/>
      </c>
    </row>
    <row r="4357">
      <c r="A4357" t="inlineStr">
        <is>
          <t>c59f4_test</t>
        </is>
      </c>
      <c r="B4357" t="inlineStr">
        <is>
          <t>2026-07-07 10:38:00.179</t>
        </is>
      </c>
      <c r="C4357" t="n">
        <v/>
      </c>
      <c r="D4357" t="inlineStr">
        <is>
          <t>Media file</t>
        </is>
      </c>
      <c r="E4357" t="inlineStr">
        <is>
          <t>player #1:C:/Users/manuel.felline/Documents/BEHAVIOR BTBR/NOR second cohort/WT/test/c59_f4.mp4</t>
        </is>
      </c>
      <c r="F4357" t="n">
        <v>-19.467</v>
      </c>
      <c r="G4357" t="n">
        <v>591.099</v>
      </c>
      <c r="H4357" t="n">
        <v>644.399</v>
      </c>
      <c r="I4357" t="n">
        <v>30</v>
      </c>
      <c r="J4357" t="inlineStr">
        <is>
          <t xml:space="preserve"> WT</t>
        </is>
      </c>
      <c r="K4357" t="inlineStr">
        <is>
          <t xml:space="preserve"> Female</t>
        </is>
      </c>
      <c r="L4357" t="inlineStr">
        <is>
          <t>No focal subject</t>
        </is>
      </c>
      <c r="M4357" t="n">
        <v>19.799</v>
      </c>
      <c r="N4357" t="inlineStr">
        <is>
          <t>Explore_N</t>
        </is>
      </c>
      <c r="O4357" t="inlineStr">
        <is>
          <t>Novelty</t>
        </is>
      </c>
      <c r="P4357" t="inlineStr">
        <is>
          <t>STATE</t>
        </is>
      </c>
      <c r="Q4357" t="n">
        <v>570.232</v>
      </c>
      <c r="R4357" t="n">
        <v>571.1319999999999</v>
      </c>
      <c r="S4357" t="n">
        <v>0.9</v>
      </c>
      <c r="T4357" t="inlineStr">
        <is>
          <t>C:/Users/manuel.felline/Documents/BEHAVIOR BTBR/NOR second cohort/WT/test/c59_f4.mp4</t>
        </is>
      </c>
      <c r="U4357" t="n">
        <v>17684</v>
      </c>
      <c r="V4357" t="n">
        <v>17711</v>
      </c>
      <c r="W4357" t="n">
        <v/>
      </c>
      <c r="X4357" t="n">
        <v/>
      </c>
      <c r="Y4357" t="n">
        <v/>
      </c>
      <c r="Z4357" t="n">
        <v/>
      </c>
      <c r="AA4357">
        <f>SUMIFS($S$2:S4357,$A$2:A4357,A4357,$N$2:N4357,"Explore*")</f>
        <v/>
      </c>
      <c r="AB4357">
        <f>IF(AND(LEFT(N4357,7)="Explore",(AA4357-IF(LEFT(N4357,7)="Explore",S4357,0))&lt;10),"SI","NO")</f>
        <v/>
      </c>
    </row>
    <row r="4358">
      <c r="A4358" t="inlineStr">
        <is>
          <t>c59f4_test</t>
        </is>
      </c>
      <c r="B4358" t="inlineStr">
        <is>
          <t>2026-07-07 10:38:00.179</t>
        </is>
      </c>
      <c r="C4358" t="n">
        <v/>
      </c>
      <c r="D4358" t="inlineStr">
        <is>
          <t>Media file</t>
        </is>
      </c>
      <c r="E4358" t="inlineStr">
        <is>
          <t>player #1:C:/Users/manuel.felline/Documents/BEHAVIOR BTBR/NOR second cohort/WT/test/c59_f4.mp4</t>
        </is>
      </c>
      <c r="F4358" t="n">
        <v>-19.467</v>
      </c>
      <c r="G4358" t="n">
        <v>591.099</v>
      </c>
      <c r="H4358" t="n">
        <v>644.399</v>
      </c>
      <c r="I4358" t="n">
        <v>30</v>
      </c>
      <c r="J4358" t="inlineStr">
        <is>
          <t xml:space="preserve"> WT</t>
        </is>
      </c>
      <c r="K4358" t="inlineStr">
        <is>
          <t xml:space="preserve"> Female</t>
        </is>
      </c>
      <c r="L4358" t="inlineStr">
        <is>
          <t>No focal subject</t>
        </is>
      </c>
      <c r="M4358" t="n">
        <v>19.799</v>
      </c>
      <c r="N4358" t="inlineStr">
        <is>
          <t>Explore_N</t>
        </is>
      </c>
      <c r="O4358" t="inlineStr">
        <is>
          <t>Novelty</t>
        </is>
      </c>
      <c r="P4358" t="inlineStr">
        <is>
          <t>STATE</t>
        </is>
      </c>
      <c r="Q4358" t="n">
        <v>590.199</v>
      </c>
      <c r="R4358" t="n">
        <v>591.6319999999999</v>
      </c>
      <c r="S4358" t="n">
        <v>1.433</v>
      </c>
      <c r="T4358" t="inlineStr">
        <is>
          <t>C:/Users/manuel.felline/Documents/BEHAVIOR BTBR/NOR second cohort/WT/test/c59_f4.mp4</t>
        </is>
      </c>
      <c r="U4358" t="n">
        <v>18283</v>
      </c>
      <c r="V4358" t="n">
        <v>18326</v>
      </c>
      <c r="W4358" t="n">
        <v/>
      </c>
      <c r="X4358" t="n">
        <v/>
      </c>
      <c r="Y4358" t="n">
        <v/>
      </c>
      <c r="Z4358" t="n">
        <v/>
      </c>
      <c r="AA4358">
        <f>SUMIFS($S$2:S4358,$A$2:A4358,A4358,$N$2:N4358,"Explore*")</f>
        <v/>
      </c>
      <c r="AB4358">
        <f>IF(AND(LEFT(N4358,7)="Explore",(AA4358-IF(LEFT(N4358,7)="Explore",S4358,0))&lt;10),"SI","NO")</f>
        <v/>
      </c>
    </row>
    <row r="4359">
      <c r="A4359" t="inlineStr">
        <is>
          <t>c59f5_test</t>
        </is>
      </c>
      <c r="B4359" t="inlineStr">
        <is>
          <t>2026-07-07 15:27:44.268</t>
        </is>
      </c>
      <c r="C4359" t="n">
        <v/>
      </c>
      <c r="D4359" t="inlineStr">
        <is>
          <t>Media file</t>
        </is>
      </c>
      <c r="E4359" t="inlineStr">
        <is>
          <t>player #1:C:/Users/manuel.felline/Documents/BEHAVIOR BTBR/NOR second cohort/WT/test/c59_f5.mp4</t>
        </is>
      </c>
      <c r="F4359" t="n">
        <v>-23.6</v>
      </c>
      <c r="G4359" t="n">
        <v>450.267</v>
      </c>
      <c r="H4359" t="n">
        <v>645.433</v>
      </c>
      <c r="I4359" t="n">
        <v>30</v>
      </c>
      <c r="J4359" t="inlineStr">
        <is>
          <t xml:space="preserve"> WT</t>
        </is>
      </c>
      <c r="K4359" t="inlineStr">
        <is>
          <t xml:space="preserve"> Female</t>
        </is>
      </c>
      <c r="L4359" t="inlineStr">
        <is>
          <t>No focal subject</t>
        </is>
      </c>
      <c r="M4359" t="n">
        <v>50.836</v>
      </c>
      <c r="N4359" t="inlineStr">
        <is>
          <t>Explore_N</t>
        </is>
      </c>
      <c r="O4359" t="inlineStr">
        <is>
          <t>Novelty</t>
        </is>
      </c>
      <c r="P4359" t="inlineStr">
        <is>
          <t>STATE</t>
        </is>
      </c>
      <c r="Q4359" t="n">
        <v>8.333</v>
      </c>
      <c r="R4359" t="n">
        <v>8.933</v>
      </c>
      <c r="S4359" t="n">
        <v>0.6</v>
      </c>
      <c r="T4359" t="inlineStr">
        <is>
          <t>C:/Users/manuel.felline/Documents/BEHAVIOR BTBR/NOR second cohort/WT/test/c59_f5.mp4</t>
        </is>
      </c>
      <c r="U4359" t="n">
        <v>958</v>
      </c>
      <c r="V4359" t="n">
        <v>976</v>
      </c>
      <c r="W4359" t="n">
        <v/>
      </c>
      <c r="X4359" t="n">
        <v/>
      </c>
      <c r="Y4359" t="n">
        <v/>
      </c>
      <c r="Z4359" t="n">
        <v/>
      </c>
      <c r="AA4359">
        <f>SUMIFS($S$2:S4359,$A$2:A4359,A4359,$N$2:N4359,"Explore*")</f>
        <v/>
      </c>
      <c r="AB4359">
        <f>IF(AND(LEFT(N4359,7)="Explore",(AA4359-IF(LEFT(N4359,7)="Explore",S4359,0))&lt;10),"SI","NO")</f>
        <v/>
      </c>
    </row>
    <row r="4360">
      <c r="A4360" t="inlineStr">
        <is>
          <t>c59f5_test</t>
        </is>
      </c>
      <c r="B4360" t="inlineStr">
        <is>
          <t>2026-07-07 15:27:44.268</t>
        </is>
      </c>
      <c r="C4360" t="n">
        <v/>
      </c>
      <c r="D4360" t="inlineStr">
        <is>
          <t>Media file</t>
        </is>
      </c>
      <c r="E4360" t="inlineStr">
        <is>
          <t>player #1:C:/Users/manuel.felline/Documents/BEHAVIOR BTBR/NOR second cohort/WT/test/c59_f5.mp4</t>
        </is>
      </c>
      <c r="F4360" t="n">
        <v>-23.6</v>
      </c>
      <c r="G4360" t="n">
        <v>450.267</v>
      </c>
      <c r="H4360" t="n">
        <v>645.433</v>
      </c>
      <c r="I4360" t="n">
        <v>30</v>
      </c>
      <c r="J4360" t="inlineStr">
        <is>
          <t xml:space="preserve"> WT</t>
        </is>
      </c>
      <c r="K4360" t="inlineStr">
        <is>
          <t xml:space="preserve"> Female</t>
        </is>
      </c>
      <c r="L4360" t="inlineStr">
        <is>
          <t>No focal subject</t>
        </is>
      </c>
      <c r="M4360" t="n">
        <v>50.836</v>
      </c>
      <c r="N4360" t="inlineStr">
        <is>
          <t>Explore_N</t>
        </is>
      </c>
      <c r="O4360" t="inlineStr">
        <is>
          <t>Novelty</t>
        </is>
      </c>
      <c r="P4360" t="inlineStr">
        <is>
          <t>STATE</t>
        </is>
      </c>
      <c r="Q4360" t="n">
        <v>11.967</v>
      </c>
      <c r="R4360" t="n">
        <v>13.833</v>
      </c>
      <c r="S4360" t="n">
        <v>1.866</v>
      </c>
      <c r="T4360" t="inlineStr">
        <is>
          <t>C:/Users/manuel.felline/Documents/BEHAVIOR BTBR/NOR second cohort/WT/test/c59_f5.mp4</t>
        </is>
      </c>
      <c r="U4360" t="n">
        <v>1067</v>
      </c>
      <c r="V4360" t="n">
        <v>1123</v>
      </c>
      <c r="W4360" t="n">
        <v/>
      </c>
      <c r="X4360" t="n">
        <v/>
      </c>
      <c r="Y4360" t="n">
        <v/>
      </c>
      <c r="Z4360" t="n">
        <v/>
      </c>
      <c r="AA4360">
        <f>SUMIFS($S$2:S4360,$A$2:A4360,A4360,$N$2:N4360,"Explore*")</f>
        <v/>
      </c>
      <c r="AB4360">
        <f>IF(AND(LEFT(N4360,7)="Explore",(AA4360-IF(LEFT(N4360,7)="Explore",S4360,0))&lt;10),"SI","NO")</f>
        <v/>
      </c>
    </row>
    <row r="4361">
      <c r="A4361" t="inlineStr">
        <is>
          <t>c59f5_test</t>
        </is>
      </c>
      <c r="B4361" t="inlineStr">
        <is>
          <t>2026-07-07 15:27:44.268</t>
        </is>
      </c>
      <c r="C4361" t="n">
        <v/>
      </c>
      <c r="D4361" t="inlineStr">
        <is>
          <t>Media file</t>
        </is>
      </c>
      <c r="E4361" t="inlineStr">
        <is>
          <t>player #1:C:/Users/manuel.felline/Documents/BEHAVIOR BTBR/NOR second cohort/WT/test/c59_f5.mp4</t>
        </is>
      </c>
      <c r="F4361" t="n">
        <v>-23.6</v>
      </c>
      <c r="G4361" t="n">
        <v>450.267</v>
      </c>
      <c r="H4361" t="n">
        <v>645.433</v>
      </c>
      <c r="I4361" t="n">
        <v>30</v>
      </c>
      <c r="J4361" t="inlineStr">
        <is>
          <t xml:space="preserve"> WT</t>
        </is>
      </c>
      <c r="K4361" t="inlineStr">
        <is>
          <t xml:space="preserve"> Female</t>
        </is>
      </c>
      <c r="L4361" t="inlineStr">
        <is>
          <t>No focal subject</t>
        </is>
      </c>
      <c r="M4361" t="n">
        <v>50.836</v>
      </c>
      <c r="N4361" t="inlineStr">
        <is>
          <t>Explore_F</t>
        </is>
      </c>
      <c r="O4361" t="inlineStr">
        <is>
          <t>Familiar</t>
        </is>
      </c>
      <c r="P4361" t="inlineStr">
        <is>
          <t>STATE</t>
        </is>
      </c>
      <c r="Q4361" t="n">
        <v>20.7</v>
      </c>
      <c r="R4361" t="n">
        <v>20.933</v>
      </c>
      <c r="S4361" t="n">
        <v>0.233</v>
      </c>
      <c r="T4361" t="inlineStr">
        <is>
          <t>C:/Users/manuel.felline/Documents/BEHAVIOR BTBR/NOR second cohort/WT/test/c59_f5.mp4</t>
        </is>
      </c>
      <c r="U4361" t="n">
        <v>1329</v>
      </c>
      <c r="V4361" t="n">
        <v>1336</v>
      </c>
      <c r="W4361" t="n">
        <v/>
      </c>
      <c r="X4361" t="n">
        <v/>
      </c>
      <c r="Y4361" t="n">
        <v/>
      </c>
      <c r="Z4361" t="n">
        <v/>
      </c>
      <c r="AA4361">
        <f>SUMIFS($S$2:S4361,$A$2:A4361,A4361,$N$2:N4361,"Explore*")</f>
        <v/>
      </c>
      <c r="AB4361">
        <f>IF(AND(LEFT(N4361,7)="Explore",(AA4361-IF(LEFT(N4361,7)="Explore",S4361,0))&lt;10),"SI","NO")</f>
        <v/>
      </c>
    </row>
    <row r="4362">
      <c r="A4362" t="inlineStr">
        <is>
          <t>c59f5_test</t>
        </is>
      </c>
      <c r="B4362" t="inlineStr">
        <is>
          <t>2026-07-07 15:27:44.268</t>
        </is>
      </c>
      <c r="C4362" t="n">
        <v/>
      </c>
      <c r="D4362" t="inlineStr">
        <is>
          <t>Media file</t>
        </is>
      </c>
      <c r="E4362" t="inlineStr">
        <is>
          <t>player #1:C:/Users/manuel.felline/Documents/BEHAVIOR BTBR/NOR second cohort/WT/test/c59_f5.mp4</t>
        </is>
      </c>
      <c r="F4362" t="n">
        <v>-23.6</v>
      </c>
      <c r="G4362" t="n">
        <v>450.267</v>
      </c>
      <c r="H4362" t="n">
        <v>645.433</v>
      </c>
      <c r="I4362" t="n">
        <v>30</v>
      </c>
      <c r="J4362" t="inlineStr">
        <is>
          <t xml:space="preserve"> WT</t>
        </is>
      </c>
      <c r="K4362" t="inlineStr">
        <is>
          <t xml:space="preserve"> Female</t>
        </is>
      </c>
      <c r="L4362" t="inlineStr">
        <is>
          <t>No focal subject</t>
        </is>
      </c>
      <c r="M4362" t="n">
        <v>50.836</v>
      </c>
      <c r="N4362" t="inlineStr">
        <is>
          <t>Explore_F</t>
        </is>
      </c>
      <c r="O4362" t="inlineStr">
        <is>
          <t>Familiar</t>
        </is>
      </c>
      <c r="P4362" t="inlineStr">
        <is>
          <t>STATE</t>
        </is>
      </c>
      <c r="Q4362" t="n">
        <v>21.933</v>
      </c>
      <c r="R4362" t="n">
        <v>22.367</v>
      </c>
      <c r="S4362" t="n">
        <v>0.434</v>
      </c>
      <c r="T4362" t="inlineStr">
        <is>
          <t>C:/Users/manuel.felline/Documents/BEHAVIOR BTBR/NOR second cohort/WT/test/c59_f5.mp4</t>
        </is>
      </c>
      <c r="U4362" t="n">
        <v>1366</v>
      </c>
      <c r="V4362" t="n">
        <v>1379</v>
      </c>
      <c r="W4362" t="n">
        <v/>
      </c>
      <c r="X4362" t="n">
        <v/>
      </c>
      <c r="Y4362" t="n">
        <v/>
      </c>
      <c r="Z4362" t="n">
        <v/>
      </c>
      <c r="AA4362">
        <f>SUMIFS($S$2:S4362,$A$2:A4362,A4362,$N$2:N4362,"Explore*")</f>
        <v/>
      </c>
      <c r="AB4362">
        <f>IF(AND(LEFT(N4362,7)="Explore",(AA4362-IF(LEFT(N4362,7)="Explore",S4362,0))&lt;10),"SI","NO")</f>
        <v/>
      </c>
    </row>
    <row r="4363">
      <c r="A4363" t="inlineStr">
        <is>
          <t>c59f5_test</t>
        </is>
      </c>
      <c r="B4363" t="inlineStr">
        <is>
          <t>2026-07-07 15:27:44.268</t>
        </is>
      </c>
      <c r="C4363" t="n">
        <v/>
      </c>
      <c r="D4363" t="inlineStr">
        <is>
          <t>Media file</t>
        </is>
      </c>
      <c r="E4363" t="inlineStr">
        <is>
          <t>player #1:C:/Users/manuel.felline/Documents/BEHAVIOR BTBR/NOR second cohort/WT/test/c59_f5.mp4</t>
        </is>
      </c>
      <c r="F4363" t="n">
        <v>-23.6</v>
      </c>
      <c r="G4363" t="n">
        <v>450.267</v>
      </c>
      <c r="H4363" t="n">
        <v>645.433</v>
      </c>
      <c r="I4363" t="n">
        <v>30</v>
      </c>
      <c r="J4363" t="inlineStr">
        <is>
          <t xml:space="preserve"> WT</t>
        </is>
      </c>
      <c r="K4363" t="inlineStr">
        <is>
          <t xml:space="preserve"> Female</t>
        </is>
      </c>
      <c r="L4363" t="inlineStr">
        <is>
          <t>No focal subject</t>
        </is>
      </c>
      <c r="M4363" t="n">
        <v>50.836</v>
      </c>
      <c r="N4363" t="inlineStr">
        <is>
          <t>Explore_N</t>
        </is>
      </c>
      <c r="O4363" t="inlineStr">
        <is>
          <t>Novelty</t>
        </is>
      </c>
      <c r="P4363" t="inlineStr">
        <is>
          <t>STATE</t>
        </is>
      </c>
      <c r="Q4363" t="n">
        <v>23.333</v>
      </c>
      <c r="R4363" t="n">
        <v>25.167</v>
      </c>
      <c r="S4363" t="n">
        <v>1.834</v>
      </c>
      <c r="T4363" t="inlineStr">
        <is>
          <t>C:/Users/manuel.felline/Documents/BEHAVIOR BTBR/NOR second cohort/WT/test/c59_f5.mp4</t>
        </is>
      </c>
      <c r="U4363" t="n">
        <v>1408</v>
      </c>
      <c r="V4363" t="n">
        <v>1463</v>
      </c>
      <c r="W4363" t="n">
        <v/>
      </c>
      <c r="X4363" t="n">
        <v/>
      </c>
      <c r="Y4363" t="n">
        <v/>
      </c>
      <c r="Z4363" t="n">
        <v/>
      </c>
      <c r="AA4363">
        <f>SUMIFS($S$2:S4363,$A$2:A4363,A4363,$N$2:N4363,"Explore*")</f>
        <v/>
      </c>
      <c r="AB4363">
        <f>IF(AND(LEFT(N4363,7)="Explore",(AA4363-IF(LEFT(N4363,7)="Explore",S4363,0))&lt;10),"SI","NO")</f>
        <v/>
      </c>
    </row>
    <row r="4364">
      <c r="A4364" t="inlineStr">
        <is>
          <t>c59f5_test</t>
        </is>
      </c>
      <c r="B4364" t="inlineStr">
        <is>
          <t>2026-07-07 15:27:44.268</t>
        </is>
      </c>
      <c r="C4364" t="n">
        <v/>
      </c>
      <c r="D4364" t="inlineStr">
        <is>
          <t>Media file</t>
        </is>
      </c>
      <c r="E4364" t="inlineStr">
        <is>
          <t>player #1:C:/Users/manuel.felline/Documents/BEHAVIOR BTBR/NOR second cohort/WT/test/c59_f5.mp4</t>
        </is>
      </c>
      <c r="F4364" t="n">
        <v>-23.6</v>
      </c>
      <c r="G4364" t="n">
        <v>450.267</v>
      </c>
      <c r="H4364" t="n">
        <v>645.433</v>
      </c>
      <c r="I4364" t="n">
        <v>30</v>
      </c>
      <c r="J4364" t="inlineStr">
        <is>
          <t xml:space="preserve"> WT</t>
        </is>
      </c>
      <c r="K4364" t="inlineStr">
        <is>
          <t xml:space="preserve"> Female</t>
        </is>
      </c>
      <c r="L4364" t="inlineStr">
        <is>
          <t>No focal subject</t>
        </is>
      </c>
      <c r="M4364" t="n">
        <v>50.836</v>
      </c>
      <c r="N4364" t="inlineStr">
        <is>
          <t>Explore_N</t>
        </is>
      </c>
      <c r="O4364" t="inlineStr">
        <is>
          <t>Novelty</t>
        </is>
      </c>
      <c r="P4364" t="inlineStr">
        <is>
          <t>STATE</t>
        </is>
      </c>
      <c r="Q4364" t="n">
        <v>26.9</v>
      </c>
      <c r="R4364" t="n">
        <v>28.033</v>
      </c>
      <c r="S4364" t="n">
        <v>1.133</v>
      </c>
      <c r="T4364" t="inlineStr">
        <is>
          <t>C:/Users/manuel.felline/Documents/BEHAVIOR BTBR/NOR second cohort/WT/test/c59_f5.mp4</t>
        </is>
      </c>
      <c r="U4364" t="n">
        <v>1515</v>
      </c>
      <c r="V4364" t="n">
        <v>1549</v>
      </c>
      <c r="W4364" t="n">
        <v/>
      </c>
      <c r="X4364" t="n">
        <v/>
      </c>
      <c r="Y4364" t="n">
        <v/>
      </c>
      <c r="Z4364" t="n">
        <v/>
      </c>
      <c r="AA4364">
        <f>SUMIFS($S$2:S4364,$A$2:A4364,A4364,$N$2:N4364,"Explore*")</f>
        <v/>
      </c>
      <c r="AB4364">
        <f>IF(AND(LEFT(N4364,7)="Explore",(AA4364-IF(LEFT(N4364,7)="Explore",S4364,0))&lt;10),"SI","NO")</f>
        <v/>
      </c>
    </row>
    <row r="4365">
      <c r="A4365" t="inlineStr">
        <is>
          <t>c59f5_test</t>
        </is>
      </c>
      <c r="B4365" t="inlineStr">
        <is>
          <t>2026-07-07 15:27:44.268</t>
        </is>
      </c>
      <c r="C4365" t="n">
        <v/>
      </c>
      <c r="D4365" t="inlineStr">
        <is>
          <t>Media file</t>
        </is>
      </c>
      <c r="E4365" t="inlineStr">
        <is>
          <t>player #1:C:/Users/manuel.felline/Documents/BEHAVIOR BTBR/NOR second cohort/WT/test/c59_f5.mp4</t>
        </is>
      </c>
      <c r="F4365" t="n">
        <v>-23.6</v>
      </c>
      <c r="G4365" t="n">
        <v>450.267</v>
      </c>
      <c r="H4365" t="n">
        <v>645.433</v>
      </c>
      <c r="I4365" t="n">
        <v>30</v>
      </c>
      <c r="J4365" t="inlineStr">
        <is>
          <t xml:space="preserve"> WT</t>
        </is>
      </c>
      <c r="K4365" t="inlineStr">
        <is>
          <t xml:space="preserve"> Female</t>
        </is>
      </c>
      <c r="L4365" t="inlineStr">
        <is>
          <t>No focal subject</t>
        </is>
      </c>
      <c r="M4365" t="n">
        <v>50.836</v>
      </c>
      <c r="N4365" t="inlineStr">
        <is>
          <t>Explore_F</t>
        </is>
      </c>
      <c r="O4365" t="inlineStr">
        <is>
          <t>Familiar</t>
        </is>
      </c>
      <c r="P4365" t="inlineStr">
        <is>
          <t>STATE</t>
        </is>
      </c>
      <c r="Q4365" t="n">
        <v>28.967</v>
      </c>
      <c r="R4365" t="n">
        <v>30.467</v>
      </c>
      <c r="S4365" t="n">
        <v>1.5</v>
      </c>
      <c r="T4365" t="inlineStr">
        <is>
          <t>C:/Users/manuel.felline/Documents/BEHAVIOR BTBR/NOR second cohort/WT/test/c59_f5.mp4</t>
        </is>
      </c>
      <c r="U4365" t="n">
        <v>1577</v>
      </c>
      <c r="V4365" t="n">
        <v>1622</v>
      </c>
      <c r="W4365" t="n">
        <v/>
      </c>
      <c r="X4365" t="n">
        <v/>
      </c>
      <c r="Y4365" t="n">
        <v/>
      </c>
      <c r="Z4365" t="n">
        <v/>
      </c>
      <c r="AA4365">
        <f>SUMIFS($S$2:S4365,$A$2:A4365,A4365,$N$2:N4365,"Explore*")</f>
        <v/>
      </c>
      <c r="AB4365">
        <f>IF(AND(LEFT(N4365,7)="Explore",(AA4365-IF(LEFT(N4365,7)="Explore",S4365,0))&lt;10),"SI","NO")</f>
        <v/>
      </c>
    </row>
    <row r="4366">
      <c r="A4366" t="inlineStr">
        <is>
          <t>c59f5_test</t>
        </is>
      </c>
      <c r="B4366" t="inlineStr">
        <is>
          <t>2026-07-07 15:27:44.268</t>
        </is>
      </c>
      <c r="C4366" t="n">
        <v/>
      </c>
      <c r="D4366" t="inlineStr">
        <is>
          <t>Media file</t>
        </is>
      </c>
      <c r="E4366" t="inlineStr">
        <is>
          <t>player #1:C:/Users/manuel.felline/Documents/BEHAVIOR BTBR/NOR second cohort/WT/test/c59_f5.mp4</t>
        </is>
      </c>
      <c r="F4366" t="n">
        <v>-23.6</v>
      </c>
      <c r="G4366" t="n">
        <v>450.267</v>
      </c>
      <c r="H4366" t="n">
        <v>645.433</v>
      </c>
      <c r="I4366" t="n">
        <v>30</v>
      </c>
      <c r="J4366" t="inlineStr">
        <is>
          <t xml:space="preserve"> WT</t>
        </is>
      </c>
      <c r="K4366" t="inlineStr">
        <is>
          <t xml:space="preserve"> Female</t>
        </is>
      </c>
      <c r="L4366" t="inlineStr">
        <is>
          <t>No focal subject</t>
        </is>
      </c>
      <c r="M4366" t="n">
        <v>50.836</v>
      </c>
      <c r="N4366" t="inlineStr">
        <is>
          <t>Explore_N</t>
        </is>
      </c>
      <c r="O4366" t="inlineStr">
        <is>
          <t>Novelty</t>
        </is>
      </c>
      <c r="P4366" t="inlineStr">
        <is>
          <t>STATE</t>
        </is>
      </c>
      <c r="Q4366" t="n">
        <v>35.633</v>
      </c>
      <c r="R4366" t="n">
        <v>37.533</v>
      </c>
      <c r="S4366" t="n">
        <v>1.9</v>
      </c>
      <c r="T4366" t="inlineStr">
        <is>
          <t>C:/Users/manuel.felline/Documents/BEHAVIOR BTBR/NOR second cohort/WT/test/c59_f5.mp4</t>
        </is>
      </c>
      <c r="U4366" t="n">
        <v>1777</v>
      </c>
      <c r="V4366" t="n">
        <v>1834</v>
      </c>
      <c r="W4366" t="n">
        <v/>
      </c>
      <c r="X4366" t="n">
        <v/>
      </c>
      <c r="Y4366" t="n">
        <v/>
      </c>
      <c r="Z4366" t="n">
        <v/>
      </c>
      <c r="AA4366">
        <f>SUMIFS($S$2:S4366,$A$2:A4366,A4366,$N$2:N4366,"Explore*")</f>
        <v/>
      </c>
      <c r="AB4366">
        <f>IF(AND(LEFT(N4366,7)="Explore",(AA4366-IF(LEFT(N4366,7)="Explore",S4366,0))&lt;10),"SI","NO")</f>
        <v/>
      </c>
    </row>
    <row r="4367">
      <c r="A4367" t="inlineStr">
        <is>
          <t>c59f5_test</t>
        </is>
      </c>
      <c r="B4367" t="inlineStr">
        <is>
          <t>2026-07-07 15:27:44.268</t>
        </is>
      </c>
      <c r="C4367" t="n">
        <v/>
      </c>
      <c r="D4367" t="inlineStr">
        <is>
          <t>Media file</t>
        </is>
      </c>
      <c r="E4367" t="inlineStr">
        <is>
          <t>player #1:C:/Users/manuel.felline/Documents/BEHAVIOR BTBR/NOR second cohort/WT/test/c59_f5.mp4</t>
        </is>
      </c>
      <c r="F4367" t="n">
        <v>-23.6</v>
      </c>
      <c r="G4367" t="n">
        <v>450.267</v>
      </c>
      <c r="H4367" t="n">
        <v>645.433</v>
      </c>
      <c r="I4367" t="n">
        <v>30</v>
      </c>
      <c r="J4367" t="inlineStr">
        <is>
          <t xml:space="preserve"> WT</t>
        </is>
      </c>
      <c r="K4367" t="inlineStr">
        <is>
          <t xml:space="preserve"> Female</t>
        </is>
      </c>
      <c r="L4367" t="inlineStr">
        <is>
          <t>No focal subject</t>
        </is>
      </c>
      <c r="M4367" t="n">
        <v>50.836</v>
      </c>
      <c r="N4367" t="inlineStr">
        <is>
          <t>Explore_F</t>
        </is>
      </c>
      <c r="O4367" t="inlineStr">
        <is>
          <t>Familiar</t>
        </is>
      </c>
      <c r="P4367" t="inlineStr">
        <is>
          <t>STATE</t>
        </is>
      </c>
      <c r="Q4367" t="n">
        <v>81.5</v>
      </c>
      <c r="R4367" t="n">
        <v>81.767</v>
      </c>
      <c r="S4367" t="n">
        <v>0.267</v>
      </c>
      <c r="T4367" t="inlineStr">
        <is>
          <t>C:/Users/manuel.felline/Documents/BEHAVIOR BTBR/NOR second cohort/WT/test/c59_f5.mp4</t>
        </is>
      </c>
      <c r="U4367" t="n">
        <v>3153</v>
      </c>
      <c r="V4367" t="n">
        <v>3161</v>
      </c>
      <c r="W4367" t="n">
        <v/>
      </c>
      <c r="X4367" t="n">
        <v/>
      </c>
      <c r="Y4367" t="n">
        <v/>
      </c>
      <c r="Z4367" t="n">
        <v/>
      </c>
      <c r="AA4367">
        <f>SUMIFS($S$2:S4367,$A$2:A4367,A4367,$N$2:N4367,"Explore*")</f>
        <v/>
      </c>
      <c r="AB4367">
        <f>IF(AND(LEFT(N4367,7)="Explore",(AA4367-IF(LEFT(N4367,7)="Explore",S4367,0))&lt;10),"SI","NO")</f>
        <v/>
      </c>
    </row>
    <row r="4368">
      <c r="A4368" t="inlineStr">
        <is>
          <t>c59f5_test</t>
        </is>
      </c>
      <c r="B4368" t="inlineStr">
        <is>
          <t>2026-07-07 15:27:44.268</t>
        </is>
      </c>
      <c r="C4368" t="n">
        <v/>
      </c>
      <c r="D4368" t="inlineStr">
        <is>
          <t>Media file</t>
        </is>
      </c>
      <c r="E4368" t="inlineStr">
        <is>
          <t>player #1:C:/Users/manuel.felline/Documents/BEHAVIOR BTBR/NOR second cohort/WT/test/c59_f5.mp4</t>
        </is>
      </c>
      <c r="F4368" t="n">
        <v>-23.6</v>
      </c>
      <c r="G4368" t="n">
        <v>450.267</v>
      </c>
      <c r="H4368" t="n">
        <v>645.433</v>
      </c>
      <c r="I4368" t="n">
        <v>30</v>
      </c>
      <c r="J4368" t="inlineStr">
        <is>
          <t xml:space="preserve"> WT</t>
        </is>
      </c>
      <c r="K4368" t="inlineStr">
        <is>
          <t xml:space="preserve"> Female</t>
        </is>
      </c>
      <c r="L4368" t="inlineStr">
        <is>
          <t>No focal subject</t>
        </is>
      </c>
      <c r="M4368" t="n">
        <v>50.836</v>
      </c>
      <c r="N4368" t="inlineStr">
        <is>
          <t>Explore_N</t>
        </is>
      </c>
      <c r="O4368" t="inlineStr">
        <is>
          <t>Novelty</t>
        </is>
      </c>
      <c r="P4368" t="inlineStr">
        <is>
          <t>STATE</t>
        </is>
      </c>
      <c r="Q4368" t="n">
        <v>82.333</v>
      </c>
      <c r="R4368" t="n">
        <v>83.033</v>
      </c>
      <c r="S4368" t="n">
        <v>0.7</v>
      </c>
      <c r="T4368" t="inlineStr">
        <is>
          <t>C:/Users/manuel.felline/Documents/BEHAVIOR BTBR/NOR second cohort/WT/test/c59_f5.mp4</t>
        </is>
      </c>
      <c r="U4368" t="n">
        <v>3178</v>
      </c>
      <c r="V4368" t="n">
        <v>3199</v>
      </c>
      <c r="W4368" t="n">
        <v/>
      </c>
      <c r="X4368" t="n">
        <v/>
      </c>
      <c r="Y4368" t="n">
        <v/>
      </c>
      <c r="Z4368" t="n">
        <v/>
      </c>
      <c r="AA4368">
        <f>SUMIFS($S$2:S4368,$A$2:A4368,A4368,$N$2:N4368,"Explore*")</f>
        <v/>
      </c>
      <c r="AB4368">
        <f>IF(AND(LEFT(N4368,7)="Explore",(AA4368-IF(LEFT(N4368,7)="Explore",S4368,0))&lt;10),"SI","NO")</f>
        <v/>
      </c>
    </row>
    <row r="4369">
      <c r="A4369" t="inlineStr">
        <is>
          <t>c59f5_test</t>
        </is>
      </c>
      <c r="B4369" t="inlineStr">
        <is>
          <t>2026-07-07 15:27:44.268</t>
        </is>
      </c>
      <c r="C4369" t="n">
        <v/>
      </c>
      <c r="D4369" t="inlineStr">
        <is>
          <t>Media file</t>
        </is>
      </c>
      <c r="E4369" t="inlineStr">
        <is>
          <t>player #1:C:/Users/manuel.felline/Documents/BEHAVIOR BTBR/NOR second cohort/WT/test/c59_f5.mp4</t>
        </is>
      </c>
      <c r="F4369" t="n">
        <v>-23.6</v>
      </c>
      <c r="G4369" t="n">
        <v>450.267</v>
      </c>
      <c r="H4369" t="n">
        <v>645.433</v>
      </c>
      <c r="I4369" t="n">
        <v>30</v>
      </c>
      <c r="J4369" t="inlineStr">
        <is>
          <t xml:space="preserve"> WT</t>
        </is>
      </c>
      <c r="K4369" t="inlineStr">
        <is>
          <t xml:space="preserve"> Female</t>
        </is>
      </c>
      <c r="L4369" t="inlineStr">
        <is>
          <t>No focal subject</t>
        </is>
      </c>
      <c r="M4369" t="n">
        <v>50.836</v>
      </c>
      <c r="N4369" t="inlineStr">
        <is>
          <t>Explore_N</t>
        </is>
      </c>
      <c r="O4369" t="inlineStr">
        <is>
          <t>Novelty</t>
        </is>
      </c>
      <c r="P4369" t="inlineStr">
        <is>
          <t>STATE</t>
        </is>
      </c>
      <c r="Q4369" t="n">
        <v>85.7</v>
      </c>
      <c r="R4369" t="n">
        <v>87.667</v>
      </c>
      <c r="S4369" t="n">
        <v>1.967</v>
      </c>
      <c r="T4369" t="inlineStr">
        <is>
          <t>C:/Users/manuel.felline/Documents/BEHAVIOR BTBR/NOR second cohort/WT/test/c59_f5.mp4</t>
        </is>
      </c>
      <c r="U4369" t="n">
        <v>3279</v>
      </c>
      <c r="V4369" t="n">
        <v>3338</v>
      </c>
      <c r="W4369" t="n">
        <v/>
      </c>
      <c r="X4369" t="n">
        <v/>
      </c>
      <c r="Y4369" t="n">
        <v/>
      </c>
      <c r="Z4369" t="n">
        <v/>
      </c>
      <c r="AA4369">
        <f>SUMIFS($S$2:S4369,$A$2:A4369,A4369,$N$2:N4369,"Explore*")</f>
        <v/>
      </c>
      <c r="AB4369">
        <f>IF(AND(LEFT(N4369,7)="Explore",(AA4369-IF(LEFT(N4369,7)="Explore",S4369,0))&lt;10),"SI","NO")</f>
        <v/>
      </c>
    </row>
    <row r="4370">
      <c r="A4370" t="inlineStr">
        <is>
          <t>c59f5_test</t>
        </is>
      </c>
      <c r="B4370" t="inlineStr">
        <is>
          <t>2026-07-07 15:27:44.268</t>
        </is>
      </c>
      <c r="C4370" t="n">
        <v/>
      </c>
      <c r="D4370" t="inlineStr">
        <is>
          <t>Media file</t>
        </is>
      </c>
      <c r="E4370" t="inlineStr">
        <is>
          <t>player #1:C:/Users/manuel.felline/Documents/BEHAVIOR BTBR/NOR second cohort/WT/test/c59_f5.mp4</t>
        </is>
      </c>
      <c r="F4370" t="n">
        <v>-23.6</v>
      </c>
      <c r="G4370" t="n">
        <v>450.267</v>
      </c>
      <c r="H4370" t="n">
        <v>645.433</v>
      </c>
      <c r="I4370" t="n">
        <v>30</v>
      </c>
      <c r="J4370" t="inlineStr">
        <is>
          <t xml:space="preserve"> WT</t>
        </is>
      </c>
      <c r="K4370" t="inlineStr">
        <is>
          <t xml:space="preserve"> Female</t>
        </is>
      </c>
      <c r="L4370" t="inlineStr">
        <is>
          <t>No focal subject</t>
        </is>
      </c>
      <c r="M4370" t="n">
        <v>50.836</v>
      </c>
      <c r="N4370" t="inlineStr">
        <is>
          <t>Explore_N</t>
        </is>
      </c>
      <c r="O4370" t="inlineStr">
        <is>
          <t>Novelty</t>
        </is>
      </c>
      <c r="P4370" t="inlineStr">
        <is>
          <t>STATE</t>
        </is>
      </c>
      <c r="Q4370" t="n">
        <v>88.767</v>
      </c>
      <c r="R4370" t="n">
        <v>89.367</v>
      </c>
      <c r="S4370" t="n">
        <v>0.6</v>
      </c>
      <c r="T4370" t="inlineStr">
        <is>
          <t>C:/Users/manuel.felline/Documents/BEHAVIOR BTBR/NOR second cohort/WT/test/c59_f5.mp4</t>
        </is>
      </c>
      <c r="U4370" t="n">
        <v>3371</v>
      </c>
      <c r="V4370" t="n">
        <v>3389</v>
      </c>
      <c r="W4370" t="n">
        <v/>
      </c>
      <c r="X4370" t="n">
        <v/>
      </c>
      <c r="Y4370" t="n">
        <v/>
      </c>
      <c r="Z4370" t="n">
        <v/>
      </c>
      <c r="AA4370">
        <f>SUMIFS($S$2:S4370,$A$2:A4370,A4370,$N$2:N4370,"Explore*")</f>
        <v/>
      </c>
      <c r="AB4370">
        <f>IF(AND(LEFT(N4370,7)="Explore",(AA4370-IF(LEFT(N4370,7)="Explore",S4370,0))&lt;10),"SI","NO")</f>
        <v/>
      </c>
    </row>
    <row r="4371">
      <c r="A4371" t="inlineStr">
        <is>
          <t>c59f5_test</t>
        </is>
      </c>
      <c r="B4371" t="inlineStr">
        <is>
          <t>2026-07-07 15:27:44.268</t>
        </is>
      </c>
      <c r="C4371" t="n">
        <v/>
      </c>
      <c r="D4371" t="inlineStr">
        <is>
          <t>Media file</t>
        </is>
      </c>
      <c r="E4371" t="inlineStr">
        <is>
          <t>player #1:C:/Users/manuel.felline/Documents/BEHAVIOR BTBR/NOR second cohort/WT/test/c59_f5.mp4</t>
        </is>
      </c>
      <c r="F4371" t="n">
        <v>-23.6</v>
      </c>
      <c r="G4371" t="n">
        <v>450.267</v>
      </c>
      <c r="H4371" t="n">
        <v>645.433</v>
      </c>
      <c r="I4371" t="n">
        <v>30</v>
      </c>
      <c r="J4371" t="inlineStr">
        <is>
          <t xml:space="preserve"> WT</t>
        </is>
      </c>
      <c r="K4371" t="inlineStr">
        <is>
          <t xml:space="preserve"> Female</t>
        </is>
      </c>
      <c r="L4371" t="inlineStr">
        <is>
          <t>No focal subject</t>
        </is>
      </c>
      <c r="M4371" t="n">
        <v>50.836</v>
      </c>
      <c r="N4371" t="inlineStr">
        <is>
          <t>Explore_N</t>
        </is>
      </c>
      <c r="O4371" t="inlineStr">
        <is>
          <t>Novelty</t>
        </is>
      </c>
      <c r="P4371" t="inlineStr">
        <is>
          <t>STATE</t>
        </is>
      </c>
      <c r="Q4371" t="n">
        <v>91.367</v>
      </c>
      <c r="R4371" t="n">
        <v>93.59999999999999</v>
      </c>
      <c r="S4371" t="n">
        <v>2.233</v>
      </c>
      <c r="T4371" t="inlineStr">
        <is>
          <t>C:/Users/manuel.felline/Documents/BEHAVIOR BTBR/NOR second cohort/WT/test/c59_f5.mp4</t>
        </is>
      </c>
      <c r="U4371" t="n">
        <v>3449</v>
      </c>
      <c r="V4371" t="n">
        <v>3516</v>
      </c>
      <c r="W4371" t="n">
        <v/>
      </c>
      <c r="X4371" t="n">
        <v/>
      </c>
      <c r="Y4371" t="n">
        <v/>
      </c>
      <c r="Z4371" t="n">
        <v/>
      </c>
      <c r="AA4371">
        <f>SUMIFS($S$2:S4371,$A$2:A4371,A4371,$N$2:N4371,"Explore*")</f>
        <v/>
      </c>
      <c r="AB4371">
        <f>IF(AND(LEFT(N4371,7)="Explore",(AA4371-IF(LEFT(N4371,7)="Explore",S4371,0))&lt;10),"SI","NO")</f>
        <v/>
      </c>
    </row>
    <row r="4372">
      <c r="A4372" t="inlineStr">
        <is>
          <t>c59f5_test</t>
        </is>
      </c>
      <c r="B4372" t="inlineStr">
        <is>
          <t>2026-07-07 15:27:44.268</t>
        </is>
      </c>
      <c r="C4372" t="n">
        <v/>
      </c>
      <c r="D4372" t="inlineStr">
        <is>
          <t>Media file</t>
        </is>
      </c>
      <c r="E4372" t="inlineStr">
        <is>
          <t>player #1:C:/Users/manuel.felline/Documents/BEHAVIOR BTBR/NOR second cohort/WT/test/c59_f5.mp4</t>
        </is>
      </c>
      <c r="F4372" t="n">
        <v>-23.6</v>
      </c>
      <c r="G4372" t="n">
        <v>450.267</v>
      </c>
      <c r="H4372" t="n">
        <v>645.433</v>
      </c>
      <c r="I4372" t="n">
        <v>30</v>
      </c>
      <c r="J4372" t="inlineStr">
        <is>
          <t xml:space="preserve"> WT</t>
        </is>
      </c>
      <c r="K4372" t="inlineStr">
        <is>
          <t xml:space="preserve"> Female</t>
        </is>
      </c>
      <c r="L4372" t="inlineStr">
        <is>
          <t>No focal subject</t>
        </is>
      </c>
      <c r="M4372" t="n">
        <v>50.836</v>
      </c>
      <c r="N4372" t="inlineStr">
        <is>
          <t>Explore_N</t>
        </is>
      </c>
      <c r="O4372" t="inlineStr">
        <is>
          <t>Novelty</t>
        </is>
      </c>
      <c r="P4372" t="inlineStr">
        <is>
          <t>STATE</t>
        </is>
      </c>
      <c r="Q4372" t="n">
        <v>95.06699999999999</v>
      </c>
      <c r="R4372" t="n">
        <v>95.90000000000001</v>
      </c>
      <c r="S4372" t="n">
        <v>0.833</v>
      </c>
      <c r="T4372" t="inlineStr">
        <is>
          <t>C:/Users/manuel.felline/Documents/BEHAVIOR BTBR/NOR second cohort/WT/test/c59_f5.mp4</t>
        </is>
      </c>
      <c r="U4372" t="n">
        <v>3560</v>
      </c>
      <c r="V4372" t="n">
        <v>3585</v>
      </c>
      <c r="W4372" t="n">
        <v/>
      </c>
      <c r="X4372" t="n">
        <v/>
      </c>
      <c r="Y4372" t="n">
        <v/>
      </c>
      <c r="Z4372" t="n">
        <v/>
      </c>
      <c r="AA4372">
        <f>SUMIFS($S$2:S4372,$A$2:A4372,A4372,$N$2:N4372,"Explore*")</f>
        <v/>
      </c>
      <c r="AB4372">
        <f>IF(AND(LEFT(N4372,7)="Explore",(AA4372-IF(LEFT(N4372,7)="Explore",S4372,0))&lt;10),"SI","NO")</f>
        <v/>
      </c>
    </row>
    <row r="4373">
      <c r="A4373" t="inlineStr">
        <is>
          <t>c59f5_test</t>
        </is>
      </c>
      <c r="B4373" t="inlineStr">
        <is>
          <t>2026-07-07 15:27:44.268</t>
        </is>
      </c>
      <c r="C4373" t="n">
        <v/>
      </c>
      <c r="D4373" t="inlineStr">
        <is>
          <t>Media file</t>
        </is>
      </c>
      <c r="E4373" t="inlineStr">
        <is>
          <t>player #1:C:/Users/manuel.felline/Documents/BEHAVIOR BTBR/NOR second cohort/WT/test/c59_f5.mp4</t>
        </is>
      </c>
      <c r="F4373" t="n">
        <v>-23.6</v>
      </c>
      <c r="G4373" t="n">
        <v>450.267</v>
      </c>
      <c r="H4373" t="n">
        <v>645.433</v>
      </c>
      <c r="I4373" t="n">
        <v>30</v>
      </c>
      <c r="J4373" t="inlineStr">
        <is>
          <t xml:space="preserve"> WT</t>
        </is>
      </c>
      <c r="K4373" t="inlineStr">
        <is>
          <t xml:space="preserve"> Female</t>
        </is>
      </c>
      <c r="L4373" t="inlineStr">
        <is>
          <t>No focal subject</t>
        </is>
      </c>
      <c r="M4373" t="n">
        <v>50.836</v>
      </c>
      <c r="N4373" t="inlineStr">
        <is>
          <t>Explore_N</t>
        </is>
      </c>
      <c r="O4373" t="inlineStr">
        <is>
          <t>Novelty</t>
        </is>
      </c>
      <c r="P4373" t="inlineStr">
        <is>
          <t>STATE</t>
        </is>
      </c>
      <c r="Q4373" t="n">
        <v>96.967</v>
      </c>
      <c r="R4373" t="n">
        <v>97.667</v>
      </c>
      <c r="S4373" t="n">
        <v>0.7</v>
      </c>
      <c r="T4373" t="inlineStr">
        <is>
          <t>C:/Users/manuel.felline/Documents/BEHAVIOR BTBR/NOR second cohort/WT/test/c59_f5.mp4</t>
        </is>
      </c>
      <c r="U4373" t="n">
        <v>3617</v>
      </c>
      <c r="V4373" t="n">
        <v>3638</v>
      </c>
      <c r="W4373" t="n">
        <v/>
      </c>
      <c r="X4373" t="n">
        <v/>
      </c>
      <c r="Y4373" t="n">
        <v/>
      </c>
      <c r="Z4373" t="n">
        <v/>
      </c>
      <c r="AA4373">
        <f>SUMIFS($S$2:S4373,$A$2:A4373,A4373,$N$2:N4373,"Explore*")</f>
        <v/>
      </c>
      <c r="AB4373">
        <f>IF(AND(LEFT(N4373,7)="Explore",(AA4373-IF(LEFT(N4373,7)="Explore",S4373,0))&lt;10),"SI","NO")</f>
        <v/>
      </c>
    </row>
    <row r="4374">
      <c r="A4374" t="inlineStr">
        <is>
          <t>c59f5_test</t>
        </is>
      </c>
      <c r="B4374" t="inlineStr">
        <is>
          <t>2026-07-07 15:27:44.268</t>
        </is>
      </c>
      <c r="C4374" t="n">
        <v/>
      </c>
      <c r="D4374" t="inlineStr">
        <is>
          <t>Media file</t>
        </is>
      </c>
      <c r="E4374" t="inlineStr">
        <is>
          <t>player #1:C:/Users/manuel.felline/Documents/BEHAVIOR BTBR/NOR second cohort/WT/test/c59_f5.mp4</t>
        </is>
      </c>
      <c r="F4374" t="n">
        <v>-23.6</v>
      </c>
      <c r="G4374" t="n">
        <v>450.267</v>
      </c>
      <c r="H4374" t="n">
        <v>645.433</v>
      </c>
      <c r="I4374" t="n">
        <v>30</v>
      </c>
      <c r="J4374" t="inlineStr">
        <is>
          <t xml:space="preserve"> WT</t>
        </is>
      </c>
      <c r="K4374" t="inlineStr">
        <is>
          <t xml:space="preserve"> Female</t>
        </is>
      </c>
      <c r="L4374" t="inlineStr">
        <is>
          <t>No focal subject</t>
        </is>
      </c>
      <c r="M4374" t="n">
        <v>50.836</v>
      </c>
      <c r="N4374" t="inlineStr">
        <is>
          <t>Explore_N</t>
        </is>
      </c>
      <c r="O4374" t="inlineStr">
        <is>
          <t>Novelty</t>
        </is>
      </c>
      <c r="P4374" t="inlineStr">
        <is>
          <t>STATE</t>
        </is>
      </c>
      <c r="Q4374" t="n">
        <v>99.2</v>
      </c>
      <c r="R4374" t="n">
        <v>100.8</v>
      </c>
      <c r="S4374" t="n">
        <v>1.6</v>
      </c>
      <c r="T4374" t="inlineStr">
        <is>
          <t>C:/Users/manuel.felline/Documents/BEHAVIOR BTBR/NOR second cohort/WT/test/c59_f5.mp4</t>
        </is>
      </c>
      <c r="U4374" t="n">
        <v>3684</v>
      </c>
      <c r="V4374" t="n">
        <v>3732</v>
      </c>
      <c r="W4374" t="n">
        <v/>
      </c>
      <c r="X4374" t="n">
        <v/>
      </c>
      <c r="Y4374" t="n">
        <v/>
      </c>
      <c r="Z4374" t="n">
        <v/>
      </c>
      <c r="AA4374">
        <f>SUMIFS($S$2:S4374,$A$2:A4374,A4374,$N$2:N4374,"Explore*")</f>
        <v/>
      </c>
      <c r="AB4374">
        <f>IF(AND(LEFT(N4374,7)="Explore",(AA4374-IF(LEFT(N4374,7)="Explore",S4374,0))&lt;10),"SI","NO")</f>
        <v/>
      </c>
    </row>
    <row r="4375">
      <c r="A4375" t="inlineStr">
        <is>
          <t>c59f5_test</t>
        </is>
      </c>
      <c r="B4375" t="inlineStr">
        <is>
          <t>2026-07-07 15:27:44.268</t>
        </is>
      </c>
      <c r="C4375" t="n">
        <v/>
      </c>
      <c r="D4375" t="inlineStr">
        <is>
          <t>Media file</t>
        </is>
      </c>
      <c r="E4375" t="inlineStr">
        <is>
          <t>player #1:C:/Users/manuel.felline/Documents/BEHAVIOR BTBR/NOR second cohort/WT/test/c59_f5.mp4</t>
        </is>
      </c>
      <c r="F4375" t="n">
        <v>-23.6</v>
      </c>
      <c r="G4375" t="n">
        <v>450.267</v>
      </c>
      <c r="H4375" t="n">
        <v>645.433</v>
      </c>
      <c r="I4375" t="n">
        <v>30</v>
      </c>
      <c r="J4375" t="inlineStr">
        <is>
          <t xml:space="preserve"> WT</t>
        </is>
      </c>
      <c r="K4375" t="inlineStr">
        <is>
          <t xml:space="preserve"> Female</t>
        </is>
      </c>
      <c r="L4375" t="inlineStr">
        <is>
          <t>No focal subject</t>
        </is>
      </c>
      <c r="M4375" t="n">
        <v>50.836</v>
      </c>
      <c r="N4375" t="inlineStr">
        <is>
          <t>Explore_F</t>
        </is>
      </c>
      <c r="O4375" t="inlineStr">
        <is>
          <t>Familiar</t>
        </is>
      </c>
      <c r="P4375" t="inlineStr">
        <is>
          <t>STATE</t>
        </is>
      </c>
      <c r="Q4375" t="n">
        <v>102.5</v>
      </c>
      <c r="R4375" t="n">
        <v>103.7</v>
      </c>
      <c r="S4375" t="n">
        <v>1.2</v>
      </c>
      <c r="T4375" t="inlineStr">
        <is>
          <t>C:/Users/manuel.felline/Documents/BEHAVIOR BTBR/NOR second cohort/WT/test/c59_f5.mp4</t>
        </is>
      </c>
      <c r="U4375" t="n">
        <v>3783</v>
      </c>
      <c r="V4375" t="n">
        <v>3819</v>
      </c>
      <c r="W4375" t="n">
        <v/>
      </c>
      <c r="X4375" t="n">
        <v/>
      </c>
      <c r="Y4375" t="n">
        <v/>
      </c>
      <c r="Z4375" t="n">
        <v/>
      </c>
      <c r="AA4375">
        <f>SUMIFS($S$2:S4375,$A$2:A4375,A4375,$N$2:N4375,"Explore*")</f>
        <v/>
      </c>
      <c r="AB4375">
        <f>IF(AND(LEFT(N4375,7)="Explore",(AA4375-IF(LEFT(N4375,7)="Explore",S4375,0))&lt;10),"SI","NO")</f>
        <v/>
      </c>
    </row>
    <row r="4376">
      <c r="A4376" t="inlineStr">
        <is>
          <t>c59f5_test</t>
        </is>
      </c>
      <c r="B4376" t="inlineStr">
        <is>
          <t>2026-07-07 15:27:44.268</t>
        </is>
      </c>
      <c r="C4376" t="n">
        <v/>
      </c>
      <c r="D4376" t="inlineStr">
        <is>
          <t>Media file</t>
        </is>
      </c>
      <c r="E4376" t="inlineStr">
        <is>
          <t>player #1:C:/Users/manuel.felline/Documents/BEHAVIOR BTBR/NOR second cohort/WT/test/c59_f5.mp4</t>
        </is>
      </c>
      <c r="F4376" t="n">
        <v>-23.6</v>
      </c>
      <c r="G4376" t="n">
        <v>450.267</v>
      </c>
      <c r="H4376" t="n">
        <v>645.433</v>
      </c>
      <c r="I4376" t="n">
        <v>30</v>
      </c>
      <c r="J4376" t="inlineStr">
        <is>
          <t xml:space="preserve"> WT</t>
        </is>
      </c>
      <c r="K4376" t="inlineStr">
        <is>
          <t xml:space="preserve"> Female</t>
        </is>
      </c>
      <c r="L4376" t="inlineStr">
        <is>
          <t>No focal subject</t>
        </is>
      </c>
      <c r="M4376" t="n">
        <v>50.836</v>
      </c>
      <c r="N4376" t="inlineStr">
        <is>
          <t>Explore_N</t>
        </is>
      </c>
      <c r="O4376" t="inlineStr">
        <is>
          <t>Novelty</t>
        </is>
      </c>
      <c r="P4376" t="inlineStr">
        <is>
          <t>STATE</t>
        </is>
      </c>
      <c r="Q4376" t="n">
        <v>141.333</v>
      </c>
      <c r="R4376" t="n">
        <v>142.433</v>
      </c>
      <c r="S4376" t="n">
        <v>1.1</v>
      </c>
      <c r="T4376" t="inlineStr">
        <is>
          <t>C:/Users/manuel.felline/Documents/BEHAVIOR BTBR/NOR second cohort/WT/test/c59_f5.mp4</t>
        </is>
      </c>
      <c r="U4376" t="n">
        <v>4948</v>
      </c>
      <c r="V4376" t="n">
        <v>4981</v>
      </c>
      <c r="W4376" t="n">
        <v/>
      </c>
      <c r="X4376" t="n">
        <v/>
      </c>
      <c r="Y4376" t="n">
        <v/>
      </c>
      <c r="Z4376" t="n">
        <v/>
      </c>
      <c r="AA4376">
        <f>SUMIFS($S$2:S4376,$A$2:A4376,A4376,$N$2:N4376,"Explore*")</f>
        <v/>
      </c>
      <c r="AB4376">
        <f>IF(AND(LEFT(N4376,7)="Explore",(AA4376-IF(LEFT(N4376,7)="Explore",S4376,0))&lt;10),"SI","NO")</f>
        <v/>
      </c>
    </row>
    <row r="4377">
      <c r="A4377" t="inlineStr">
        <is>
          <t>c59f5_test</t>
        </is>
      </c>
      <c r="B4377" t="inlineStr">
        <is>
          <t>2026-07-07 15:27:44.268</t>
        </is>
      </c>
      <c r="C4377" t="n">
        <v/>
      </c>
      <c r="D4377" t="inlineStr">
        <is>
          <t>Media file</t>
        </is>
      </c>
      <c r="E4377" t="inlineStr">
        <is>
          <t>player #1:C:/Users/manuel.felline/Documents/BEHAVIOR BTBR/NOR second cohort/WT/test/c59_f5.mp4</t>
        </is>
      </c>
      <c r="F4377" t="n">
        <v>-23.6</v>
      </c>
      <c r="G4377" t="n">
        <v>450.267</v>
      </c>
      <c r="H4377" t="n">
        <v>645.433</v>
      </c>
      <c r="I4377" t="n">
        <v>30</v>
      </c>
      <c r="J4377" t="inlineStr">
        <is>
          <t xml:space="preserve"> WT</t>
        </is>
      </c>
      <c r="K4377" t="inlineStr">
        <is>
          <t xml:space="preserve"> Female</t>
        </is>
      </c>
      <c r="L4377" t="inlineStr">
        <is>
          <t>No focal subject</t>
        </is>
      </c>
      <c r="M4377" t="n">
        <v>50.836</v>
      </c>
      <c r="N4377" t="inlineStr">
        <is>
          <t>Explore_F</t>
        </is>
      </c>
      <c r="O4377" t="inlineStr">
        <is>
          <t>Familiar</t>
        </is>
      </c>
      <c r="P4377" t="inlineStr">
        <is>
          <t>STATE</t>
        </is>
      </c>
      <c r="Q4377" t="n">
        <v>147.066</v>
      </c>
      <c r="R4377" t="n">
        <v>147.8</v>
      </c>
      <c r="S4377" t="n">
        <v>0.734</v>
      </c>
      <c r="T4377" t="inlineStr">
        <is>
          <t>C:/Users/manuel.felline/Documents/BEHAVIOR BTBR/NOR second cohort/WT/test/c59_f5.mp4</t>
        </is>
      </c>
      <c r="U4377" t="n">
        <v>5120</v>
      </c>
      <c r="V4377" t="n">
        <v>5142</v>
      </c>
      <c r="W4377" t="n">
        <v/>
      </c>
      <c r="X4377" t="n">
        <v/>
      </c>
      <c r="Y4377" t="n">
        <v/>
      </c>
      <c r="Z4377" t="n">
        <v/>
      </c>
      <c r="AA4377">
        <f>SUMIFS($S$2:S4377,$A$2:A4377,A4377,$N$2:N4377,"Explore*")</f>
        <v/>
      </c>
      <c r="AB4377">
        <f>IF(AND(LEFT(N4377,7)="Explore",(AA4377-IF(LEFT(N4377,7)="Explore",S4377,0))&lt;10),"SI","NO")</f>
        <v/>
      </c>
    </row>
    <row r="4378">
      <c r="A4378" t="inlineStr">
        <is>
          <t>c59f5_test</t>
        </is>
      </c>
      <c r="B4378" t="inlineStr">
        <is>
          <t>2026-07-07 15:27:44.268</t>
        </is>
      </c>
      <c r="C4378" t="n">
        <v/>
      </c>
      <c r="D4378" t="inlineStr">
        <is>
          <t>Media file</t>
        </is>
      </c>
      <c r="E4378" t="inlineStr">
        <is>
          <t>player #1:C:/Users/manuel.felline/Documents/BEHAVIOR BTBR/NOR second cohort/WT/test/c59_f5.mp4</t>
        </is>
      </c>
      <c r="F4378" t="n">
        <v>-23.6</v>
      </c>
      <c r="G4378" t="n">
        <v>450.267</v>
      </c>
      <c r="H4378" t="n">
        <v>645.433</v>
      </c>
      <c r="I4378" t="n">
        <v>30</v>
      </c>
      <c r="J4378" t="inlineStr">
        <is>
          <t xml:space="preserve"> WT</t>
        </is>
      </c>
      <c r="K4378" t="inlineStr">
        <is>
          <t xml:space="preserve"> Female</t>
        </is>
      </c>
      <c r="L4378" t="inlineStr">
        <is>
          <t>No focal subject</t>
        </is>
      </c>
      <c r="M4378" t="n">
        <v>50.836</v>
      </c>
      <c r="N4378" t="inlineStr">
        <is>
          <t>Explore_F</t>
        </is>
      </c>
      <c r="O4378" t="inlineStr">
        <is>
          <t>Familiar</t>
        </is>
      </c>
      <c r="P4378" t="inlineStr">
        <is>
          <t>STATE</t>
        </is>
      </c>
      <c r="Q4378" t="n">
        <v>149.1</v>
      </c>
      <c r="R4378" t="n">
        <v>150.3</v>
      </c>
      <c r="S4378" t="n">
        <v>1.2</v>
      </c>
      <c r="T4378" t="inlineStr">
        <is>
          <t>C:/Users/manuel.felline/Documents/BEHAVIOR BTBR/NOR second cohort/WT/test/c59_f5.mp4</t>
        </is>
      </c>
      <c r="U4378" t="n">
        <v>5181</v>
      </c>
      <c r="V4378" t="n">
        <v>5217</v>
      </c>
      <c r="W4378" t="n">
        <v/>
      </c>
      <c r="X4378" t="n">
        <v/>
      </c>
      <c r="Y4378" t="n">
        <v/>
      </c>
      <c r="Z4378" t="n">
        <v/>
      </c>
      <c r="AA4378">
        <f>SUMIFS($S$2:S4378,$A$2:A4378,A4378,$N$2:N4378,"Explore*")</f>
        <v/>
      </c>
      <c r="AB4378">
        <f>IF(AND(LEFT(N4378,7)="Explore",(AA4378-IF(LEFT(N4378,7)="Explore",S4378,0))&lt;10),"SI","NO")</f>
        <v/>
      </c>
    </row>
    <row r="4379">
      <c r="A4379" t="inlineStr">
        <is>
          <t>c59f5_test</t>
        </is>
      </c>
      <c r="B4379" t="inlineStr">
        <is>
          <t>2026-07-07 15:27:44.268</t>
        </is>
      </c>
      <c r="C4379" t="n">
        <v/>
      </c>
      <c r="D4379" t="inlineStr">
        <is>
          <t>Media file</t>
        </is>
      </c>
      <c r="E4379" t="inlineStr">
        <is>
          <t>player #1:C:/Users/manuel.felline/Documents/BEHAVIOR BTBR/NOR second cohort/WT/test/c59_f5.mp4</t>
        </is>
      </c>
      <c r="F4379" t="n">
        <v>-23.6</v>
      </c>
      <c r="G4379" t="n">
        <v>450.267</v>
      </c>
      <c r="H4379" t="n">
        <v>645.433</v>
      </c>
      <c r="I4379" t="n">
        <v>30</v>
      </c>
      <c r="J4379" t="inlineStr">
        <is>
          <t xml:space="preserve"> WT</t>
        </is>
      </c>
      <c r="K4379" t="inlineStr">
        <is>
          <t xml:space="preserve"> Female</t>
        </is>
      </c>
      <c r="L4379" t="inlineStr">
        <is>
          <t>No focal subject</t>
        </is>
      </c>
      <c r="M4379" t="n">
        <v>50.836</v>
      </c>
      <c r="N4379" t="inlineStr">
        <is>
          <t>Explore_N</t>
        </is>
      </c>
      <c r="O4379" t="inlineStr">
        <is>
          <t>Novelty</t>
        </is>
      </c>
      <c r="P4379" t="inlineStr">
        <is>
          <t>STATE</t>
        </is>
      </c>
      <c r="Q4379" t="n">
        <v>184.466</v>
      </c>
      <c r="R4379" t="n">
        <v>185.6</v>
      </c>
      <c r="S4379" t="n">
        <v>1.134</v>
      </c>
      <c r="T4379" t="inlineStr">
        <is>
          <t>C:/Users/manuel.felline/Documents/BEHAVIOR BTBR/NOR second cohort/WT/test/c59_f5.mp4</t>
        </is>
      </c>
      <c r="U4379" t="n">
        <v>6242</v>
      </c>
      <c r="V4379" t="n">
        <v>6276</v>
      </c>
      <c r="W4379" t="n">
        <v/>
      </c>
      <c r="X4379" t="n">
        <v/>
      </c>
      <c r="Y4379" t="n">
        <v/>
      </c>
      <c r="Z4379" t="n">
        <v/>
      </c>
      <c r="AA4379">
        <f>SUMIFS($S$2:S4379,$A$2:A4379,A4379,$N$2:N4379,"Explore*")</f>
        <v/>
      </c>
      <c r="AB4379">
        <f>IF(AND(LEFT(N4379,7)="Explore",(AA4379-IF(LEFT(N4379,7)="Explore",S4379,0))&lt;10),"SI","NO")</f>
        <v/>
      </c>
    </row>
    <row r="4380">
      <c r="A4380" t="inlineStr">
        <is>
          <t>c59f5_test</t>
        </is>
      </c>
      <c r="B4380" t="inlineStr">
        <is>
          <t>2026-07-07 15:27:44.268</t>
        </is>
      </c>
      <c r="C4380" t="n">
        <v/>
      </c>
      <c r="D4380" t="inlineStr">
        <is>
          <t>Media file</t>
        </is>
      </c>
      <c r="E4380" t="inlineStr">
        <is>
          <t>player #1:C:/Users/manuel.felline/Documents/BEHAVIOR BTBR/NOR second cohort/WT/test/c59_f5.mp4</t>
        </is>
      </c>
      <c r="F4380" t="n">
        <v>-23.6</v>
      </c>
      <c r="G4380" t="n">
        <v>450.267</v>
      </c>
      <c r="H4380" t="n">
        <v>645.433</v>
      </c>
      <c r="I4380" t="n">
        <v>30</v>
      </c>
      <c r="J4380" t="inlineStr">
        <is>
          <t xml:space="preserve"> WT</t>
        </is>
      </c>
      <c r="K4380" t="inlineStr">
        <is>
          <t xml:space="preserve"> Female</t>
        </is>
      </c>
      <c r="L4380" t="inlineStr">
        <is>
          <t>No focal subject</t>
        </is>
      </c>
      <c r="M4380" t="n">
        <v>50.836</v>
      </c>
      <c r="N4380" t="inlineStr">
        <is>
          <t>Explore_F</t>
        </is>
      </c>
      <c r="O4380" t="inlineStr">
        <is>
          <t>Familiar</t>
        </is>
      </c>
      <c r="P4380" t="inlineStr">
        <is>
          <t>STATE</t>
        </is>
      </c>
      <c r="Q4380" t="n">
        <v>189.633</v>
      </c>
      <c r="R4380" t="n">
        <v>190</v>
      </c>
      <c r="S4380" t="n">
        <v>0.367</v>
      </c>
      <c r="T4380" t="inlineStr">
        <is>
          <t>C:/Users/manuel.felline/Documents/BEHAVIOR BTBR/NOR second cohort/WT/test/c59_f5.mp4</t>
        </is>
      </c>
      <c r="U4380" t="n">
        <v>6397</v>
      </c>
      <c r="V4380" t="n">
        <v>6408</v>
      </c>
      <c r="W4380" t="n">
        <v/>
      </c>
      <c r="X4380" t="n">
        <v/>
      </c>
      <c r="Y4380" t="n">
        <v/>
      </c>
      <c r="Z4380" t="n">
        <v/>
      </c>
      <c r="AA4380">
        <f>SUMIFS($S$2:S4380,$A$2:A4380,A4380,$N$2:N4380,"Explore*")</f>
        <v/>
      </c>
      <c r="AB4380">
        <f>IF(AND(LEFT(N4380,7)="Explore",(AA4380-IF(LEFT(N4380,7)="Explore",S4380,0))&lt;10),"SI","NO")</f>
        <v/>
      </c>
    </row>
    <row r="4381">
      <c r="A4381" t="inlineStr">
        <is>
          <t>c59f5_test</t>
        </is>
      </c>
      <c r="B4381" t="inlineStr">
        <is>
          <t>2026-07-07 15:27:44.268</t>
        </is>
      </c>
      <c r="C4381" t="n">
        <v/>
      </c>
      <c r="D4381" t="inlineStr">
        <is>
          <t>Media file</t>
        </is>
      </c>
      <c r="E4381" t="inlineStr">
        <is>
          <t>player #1:C:/Users/manuel.felline/Documents/BEHAVIOR BTBR/NOR second cohort/WT/test/c59_f5.mp4</t>
        </is>
      </c>
      <c r="F4381" t="n">
        <v>-23.6</v>
      </c>
      <c r="G4381" t="n">
        <v>450.267</v>
      </c>
      <c r="H4381" t="n">
        <v>645.433</v>
      </c>
      <c r="I4381" t="n">
        <v>30</v>
      </c>
      <c r="J4381" t="inlineStr">
        <is>
          <t xml:space="preserve"> WT</t>
        </is>
      </c>
      <c r="K4381" t="inlineStr">
        <is>
          <t xml:space="preserve"> Female</t>
        </is>
      </c>
      <c r="L4381" t="inlineStr">
        <is>
          <t>No focal subject</t>
        </is>
      </c>
      <c r="M4381" t="n">
        <v>50.836</v>
      </c>
      <c r="N4381" t="inlineStr">
        <is>
          <t>Explore_N</t>
        </is>
      </c>
      <c r="O4381" t="inlineStr">
        <is>
          <t>Novelty</t>
        </is>
      </c>
      <c r="P4381" t="inlineStr">
        <is>
          <t>STATE</t>
        </is>
      </c>
      <c r="Q4381" t="n">
        <v>221.766</v>
      </c>
      <c r="R4381" t="n">
        <v>226.433</v>
      </c>
      <c r="S4381" t="n">
        <v>4.667</v>
      </c>
      <c r="T4381" t="inlineStr">
        <is>
          <t>C:/Users/manuel.felline/Documents/BEHAVIOR BTBR/NOR second cohort/WT/test/c59_f5.mp4</t>
        </is>
      </c>
      <c r="U4381" t="n">
        <v>7361</v>
      </c>
      <c r="V4381" t="n">
        <v>7501</v>
      </c>
      <c r="W4381" t="n">
        <v/>
      </c>
      <c r="X4381" t="n">
        <v/>
      </c>
      <c r="Y4381" t="n">
        <v/>
      </c>
      <c r="Z4381" t="n">
        <v/>
      </c>
      <c r="AA4381">
        <f>SUMIFS($S$2:S4381,$A$2:A4381,A4381,$N$2:N4381,"Explore*")</f>
        <v/>
      </c>
      <c r="AB4381">
        <f>IF(AND(LEFT(N4381,7)="Explore",(AA4381-IF(LEFT(N4381,7)="Explore",S4381,0))&lt;10),"SI","NO")</f>
        <v/>
      </c>
    </row>
    <row r="4382">
      <c r="A4382" t="inlineStr">
        <is>
          <t>c59f5_test</t>
        </is>
      </c>
      <c r="B4382" t="inlineStr">
        <is>
          <t>2026-07-07 15:27:44.268</t>
        </is>
      </c>
      <c r="C4382" t="n">
        <v/>
      </c>
      <c r="D4382" t="inlineStr">
        <is>
          <t>Media file</t>
        </is>
      </c>
      <c r="E4382" t="inlineStr">
        <is>
          <t>player #1:C:/Users/manuel.felline/Documents/BEHAVIOR BTBR/NOR second cohort/WT/test/c59_f5.mp4</t>
        </is>
      </c>
      <c r="F4382" t="n">
        <v>-23.6</v>
      </c>
      <c r="G4382" t="n">
        <v>450.267</v>
      </c>
      <c r="H4382" t="n">
        <v>645.433</v>
      </c>
      <c r="I4382" t="n">
        <v>30</v>
      </c>
      <c r="J4382" t="inlineStr">
        <is>
          <t xml:space="preserve"> WT</t>
        </is>
      </c>
      <c r="K4382" t="inlineStr">
        <is>
          <t xml:space="preserve"> Female</t>
        </is>
      </c>
      <c r="L4382" t="inlineStr">
        <is>
          <t>No focal subject</t>
        </is>
      </c>
      <c r="M4382" t="n">
        <v>50.836</v>
      </c>
      <c r="N4382" t="inlineStr">
        <is>
          <t>Explore_F</t>
        </is>
      </c>
      <c r="O4382" t="inlineStr">
        <is>
          <t>Familiar</t>
        </is>
      </c>
      <c r="P4382" t="inlineStr">
        <is>
          <t>STATE</t>
        </is>
      </c>
      <c r="Q4382" t="n">
        <v>257.866</v>
      </c>
      <c r="R4382" t="n">
        <v>258.4</v>
      </c>
      <c r="S4382" t="n">
        <v>0.534</v>
      </c>
      <c r="T4382" t="inlineStr">
        <is>
          <t>C:/Users/manuel.felline/Documents/BEHAVIOR BTBR/NOR second cohort/WT/test/c59_f5.mp4</t>
        </is>
      </c>
      <c r="U4382" t="n">
        <v>8444</v>
      </c>
      <c r="V4382" t="n">
        <v>8460</v>
      </c>
      <c r="W4382" t="n">
        <v/>
      </c>
      <c r="X4382" t="n">
        <v/>
      </c>
      <c r="Y4382" t="n">
        <v/>
      </c>
      <c r="Z4382" t="n">
        <v/>
      </c>
      <c r="AA4382">
        <f>SUMIFS($S$2:S4382,$A$2:A4382,A4382,$N$2:N4382,"Explore*")</f>
        <v/>
      </c>
      <c r="AB4382">
        <f>IF(AND(LEFT(N4382,7)="Explore",(AA4382-IF(LEFT(N4382,7)="Explore",S4382,0))&lt;10),"SI","NO")</f>
        <v/>
      </c>
    </row>
    <row r="4383">
      <c r="A4383" t="inlineStr">
        <is>
          <t>c59f5_test</t>
        </is>
      </c>
      <c r="B4383" t="inlineStr">
        <is>
          <t>2026-07-07 15:27:44.268</t>
        </is>
      </c>
      <c r="C4383" t="n">
        <v/>
      </c>
      <c r="D4383" t="inlineStr">
        <is>
          <t>Media file</t>
        </is>
      </c>
      <c r="E4383" t="inlineStr">
        <is>
          <t>player #1:C:/Users/manuel.felline/Documents/BEHAVIOR BTBR/NOR second cohort/WT/test/c59_f5.mp4</t>
        </is>
      </c>
      <c r="F4383" t="n">
        <v>-23.6</v>
      </c>
      <c r="G4383" t="n">
        <v>450.267</v>
      </c>
      <c r="H4383" t="n">
        <v>645.433</v>
      </c>
      <c r="I4383" t="n">
        <v>30</v>
      </c>
      <c r="J4383" t="inlineStr">
        <is>
          <t xml:space="preserve"> WT</t>
        </is>
      </c>
      <c r="K4383" t="inlineStr">
        <is>
          <t xml:space="preserve"> Female</t>
        </is>
      </c>
      <c r="L4383" t="inlineStr">
        <is>
          <t>No focal subject</t>
        </is>
      </c>
      <c r="M4383" t="n">
        <v>50.836</v>
      </c>
      <c r="N4383" t="inlineStr">
        <is>
          <t>Explore_N</t>
        </is>
      </c>
      <c r="O4383" t="inlineStr">
        <is>
          <t>Novelty</t>
        </is>
      </c>
      <c r="P4383" t="inlineStr">
        <is>
          <t>STATE</t>
        </is>
      </c>
      <c r="Q4383" t="n">
        <v>280.7</v>
      </c>
      <c r="R4383" t="n">
        <v>282.8</v>
      </c>
      <c r="S4383" t="n">
        <v>2.1</v>
      </c>
      <c r="T4383" t="inlineStr">
        <is>
          <t>C:/Users/manuel.felline/Documents/BEHAVIOR BTBR/NOR second cohort/WT/test/c59_f5.mp4</t>
        </is>
      </c>
      <c r="U4383" t="n">
        <v>9129</v>
      </c>
      <c r="V4383" t="n">
        <v>9192</v>
      </c>
      <c r="W4383" t="n">
        <v/>
      </c>
      <c r="X4383" t="n">
        <v/>
      </c>
      <c r="Y4383" t="n">
        <v/>
      </c>
      <c r="Z4383" t="n">
        <v/>
      </c>
      <c r="AA4383">
        <f>SUMIFS($S$2:S4383,$A$2:A4383,A4383,$N$2:N4383,"Explore*")</f>
        <v/>
      </c>
      <c r="AB4383">
        <f>IF(AND(LEFT(N4383,7)="Explore",(AA4383-IF(LEFT(N4383,7)="Explore",S4383,0))&lt;10),"SI","NO")</f>
        <v/>
      </c>
    </row>
    <row r="4384">
      <c r="A4384" t="inlineStr">
        <is>
          <t>c59f5_test</t>
        </is>
      </c>
      <c r="B4384" t="inlineStr">
        <is>
          <t>2026-07-07 15:27:44.268</t>
        </is>
      </c>
      <c r="C4384" t="n">
        <v/>
      </c>
      <c r="D4384" t="inlineStr">
        <is>
          <t>Media file</t>
        </is>
      </c>
      <c r="E4384" t="inlineStr">
        <is>
          <t>player #1:C:/Users/manuel.felline/Documents/BEHAVIOR BTBR/NOR second cohort/WT/test/c59_f5.mp4</t>
        </is>
      </c>
      <c r="F4384" t="n">
        <v>-23.6</v>
      </c>
      <c r="G4384" t="n">
        <v>450.267</v>
      </c>
      <c r="H4384" t="n">
        <v>645.433</v>
      </c>
      <c r="I4384" t="n">
        <v>30</v>
      </c>
      <c r="J4384" t="inlineStr">
        <is>
          <t xml:space="preserve"> WT</t>
        </is>
      </c>
      <c r="K4384" t="inlineStr">
        <is>
          <t xml:space="preserve"> Female</t>
        </is>
      </c>
      <c r="L4384" t="inlineStr">
        <is>
          <t>No focal subject</t>
        </is>
      </c>
      <c r="M4384" t="n">
        <v>50.836</v>
      </c>
      <c r="N4384" t="inlineStr">
        <is>
          <t>Explore_N</t>
        </is>
      </c>
      <c r="O4384" t="inlineStr">
        <is>
          <t>Novelty</t>
        </is>
      </c>
      <c r="P4384" t="inlineStr">
        <is>
          <t>STATE</t>
        </is>
      </c>
      <c r="Q4384" t="n">
        <v>283.5</v>
      </c>
      <c r="R4384" t="n">
        <v>284.533</v>
      </c>
      <c r="S4384" t="n">
        <v>1.033</v>
      </c>
      <c r="T4384" t="inlineStr">
        <is>
          <t>C:/Users/manuel.felline/Documents/BEHAVIOR BTBR/NOR second cohort/WT/test/c59_f5.mp4</t>
        </is>
      </c>
      <c r="U4384" t="n">
        <v>9213</v>
      </c>
      <c r="V4384" t="n">
        <v>9244</v>
      </c>
      <c r="W4384" t="n">
        <v/>
      </c>
      <c r="X4384" t="n">
        <v/>
      </c>
      <c r="Y4384" t="n">
        <v/>
      </c>
      <c r="Z4384" t="n">
        <v/>
      </c>
      <c r="AA4384">
        <f>SUMIFS($S$2:S4384,$A$2:A4384,A4384,$N$2:N4384,"Explore*")</f>
        <v/>
      </c>
      <c r="AB4384">
        <f>IF(AND(LEFT(N4384,7)="Explore",(AA4384-IF(LEFT(N4384,7)="Explore",S4384,0))&lt;10),"SI","NO")</f>
        <v/>
      </c>
    </row>
    <row r="4385">
      <c r="A4385" t="inlineStr">
        <is>
          <t>c59f5_test</t>
        </is>
      </c>
      <c r="B4385" t="inlineStr">
        <is>
          <t>2026-07-07 15:27:44.268</t>
        </is>
      </c>
      <c r="C4385" t="n">
        <v/>
      </c>
      <c r="D4385" t="inlineStr">
        <is>
          <t>Media file</t>
        </is>
      </c>
      <c r="E4385" t="inlineStr">
        <is>
          <t>player #1:C:/Users/manuel.felline/Documents/BEHAVIOR BTBR/NOR second cohort/WT/test/c59_f5.mp4</t>
        </is>
      </c>
      <c r="F4385" t="n">
        <v>-23.6</v>
      </c>
      <c r="G4385" t="n">
        <v>450.267</v>
      </c>
      <c r="H4385" t="n">
        <v>645.433</v>
      </c>
      <c r="I4385" t="n">
        <v>30</v>
      </c>
      <c r="J4385" t="inlineStr">
        <is>
          <t xml:space="preserve"> WT</t>
        </is>
      </c>
      <c r="K4385" t="inlineStr">
        <is>
          <t xml:space="preserve"> Female</t>
        </is>
      </c>
      <c r="L4385" t="inlineStr">
        <is>
          <t>No focal subject</t>
        </is>
      </c>
      <c r="M4385" t="n">
        <v>50.836</v>
      </c>
      <c r="N4385" t="inlineStr">
        <is>
          <t>Explore_N</t>
        </is>
      </c>
      <c r="O4385" t="inlineStr">
        <is>
          <t>Novelty</t>
        </is>
      </c>
      <c r="P4385" t="inlineStr">
        <is>
          <t>STATE</t>
        </is>
      </c>
      <c r="Q4385" t="n">
        <v>286.9</v>
      </c>
      <c r="R4385" t="n">
        <v>288.066</v>
      </c>
      <c r="S4385" t="n">
        <v>1.166</v>
      </c>
      <c r="T4385" t="inlineStr">
        <is>
          <t>C:/Users/manuel.felline/Documents/BEHAVIOR BTBR/NOR second cohort/WT/test/c59_f5.mp4</t>
        </is>
      </c>
      <c r="U4385" t="n">
        <v>9315</v>
      </c>
      <c r="V4385" t="n">
        <v>9350</v>
      </c>
      <c r="W4385" t="n">
        <v/>
      </c>
      <c r="X4385" t="n">
        <v/>
      </c>
      <c r="Y4385" t="n">
        <v/>
      </c>
      <c r="Z4385" t="n">
        <v/>
      </c>
      <c r="AA4385">
        <f>SUMIFS($S$2:S4385,$A$2:A4385,A4385,$N$2:N4385,"Explore*")</f>
        <v/>
      </c>
      <c r="AB4385">
        <f>IF(AND(LEFT(N4385,7)="Explore",(AA4385-IF(LEFT(N4385,7)="Explore",S4385,0))&lt;10),"SI","NO")</f>
        <v/>
      </c>
    </row>
    <row r="4386">
      <c r="A4386" t="inlineStr">
        <is>
          <t>c59f5_test</t>
        </is>
      </c>
      <c r="B4386" t="inlineStr">
        <is>
          <t>2026-07-07 15:27:44.268</t>
        </is>
      </c>
      <c r="C4386" t="n">
        <v/>
      </c>
      <c r="D4386" t="inlineStr">
        <is>
          <t>Media file</t>
        </is>
      </c>
      <c r="E4386" t="inlineStr">
        <is>
          <t>player #1:C:/Users/manuel.felline/Documents/BEHAVIOR BTBR/NOR second cohort/WT/test/c59_f5.mp4</t>
        </is>
      </c>
      <c r="F4386" t="n">
        <v>-23.6</v>
      </c>
      <c r="G4386" t="n">
        <v>450.267</v>
      </c>
      <c r="H4386" t="n">
        <v>645.433</v>
      </c>
      <c r="I4386" t="n">
        <v>30</v>
      </c>
      <c r="J4386" t="inlineStr">
        <is>
          <t xml:space="preserve"> WT</t>
        </is>
      </c>
      <c r="K4386" t="inlineStr">
        <is>
          <t xml:space="preserve"> Female</t>
        </is>
      </c>
      <c r="L4386" t="inlineStr">
        <is>
          <t>No focal subject</t>
        </is>
      </c>
      <c r="M4386" t="n">
        <v>50.836</v>
      </c>
      <c r="N4386" t="inlineStr">
        <is>
          <t>Explore_F</t>
        </is>
      </c>
      <c r="O4386" t="inlineStr">
        <is>
          <t>Familiar</t>
        </is>
      </c>
      <c r="P4386" t="inlineStr">
        <is>
          <t>STATE</t>
        </is>
      </c>
      <c r="Q4386" t="n">
        <v>337.633</v>
      </c>
      <c r="R4386" t="n">
        <v>339.333</v>
      </c>
      <c r="S4386" t="n">
        <v>1.7</v>
      </c>
      <c r="T4386" t="inlineStr">
        <is>
          <t>C:/Users/manuel.felline/Documents/BEHAVIOR BTBR/NOR second cohort/WT/test/c59_f5.mp4</t>
        </is>
      </c>
      <c r="U4386" t="n">
        <v>10837</v>
      </c>
      <c r="V4386" t="n">
        <v>10888</v>
      </c>
      <c r="W4386" t="n">
        <v/>
      </c>
      <c r="X4386" t="n">
        <v/>
      </c>
      <c r="Y4386" t="n">
        <v/>
      </c>
      <c r="Z4386" t="n">
        <v/>
      </c>
      <c r="AA4386">
        <f>SUMIFS($S$2:S4386,$A$2:A4386,A4386,$N$2:N4386,"Explore*")</f>
        <v/>
      </c>
      <c r="AB4386">
        <f>IF(AND(LEFT(N4386,7)="Explore",(AA4386-IF(LEFT(N4386,7)="Explore",S4386,0))&lt;10),"SI","NO")</f>
        <v/>
      </c>
    </row>
    <row r="4387">
      <c r="A4387" t="inlineStr">
        <is>
          <t>c59f5_test</t>
        </is>
      </c>
      <c r="B4387" t="inlineStr">
        <is>
          <t>2026-07-07 15:27:44.268</t>
        </is>
      </c>
      <c r="C4387" t="n">
        <v/>
      </c>
      <c r="D4387" t="inlineStr">
        <is>
          <t>Media file</t>
        </is>
      </c>
      <c r="E4387" t="inlineStr">
        <is>
          <t>player #1:C:/Users/manuel.felline/Documents/BEHAVIOR BTBR/NOR second cohort/WT/test/c59_f5.mp4</t>
        </is>
      </c>
      <c r="F4387" t="n">
        <v>-23.6</v>
      </c>
      <c r="G4387" t="n">
        <v>450.267</v>
      </c>
      <c r="H4387" t="n">
        <v>645.433</v>
      </c>
      <c r="I4387" t="n">
        <v>30</v>
      </c>
      <c r="J4387" t="inlineStr">
        <is>
          <t xml:space="preserve"> WT</t>
        </is>
      </c>
      <c r="K4387" t="inlineStr">
        <is>
          <t xml:space="preserve"> Female</t>
        </is>
      </c>
      <c r="L4387" t="inlineStr">
        <is>
          <t>No focal subject</t>
        </is>
      </c>
      <c r="M4387" t="n">
        <v>50.836</v>
      </c>
      <c r="N4387" t="inlineStr">
        <is>
          <t>Explore_N</t>
        </is>
      </c>
      <c r="O4387" t="inlineStr">
        <is>
          <t>Novelty</t>
        </is>
      </c>
      <c r="P4387" t="inlineStr">
        <is>
          <t>STATE</t>
        </is>
      </c>
      <c r="Q4387" t="n">
        <v>340.933</v>
      </c>
      <c r="R4387" t="n">
        <v>341.233</v>
      </c>
      <c r="S4387" t="n">
        <v>0.3</v>
      </c>
      <c r="T4387" t="inlineStr">
        <is>
          <t>C:/Users/manuel.felline/Documents/BEHAVIOR BTBR/NOR second cohort/WT/test/c59_f5.mp4</t>
        </is>
      </c>
      <c r="U4387" t="n">
        <v>10936</v>
      </c>
      <c r="V4387" t="n">
        <v>10945</v>
      </c>
      <c r="W4387" t="n">
        <v/>
      </c>
      <c r="X4387" t="n">
        <v/>
      </c>
      <c r="Y4387" t="n">
        <v/>
      </c>
      <c r="Z4387" t="n">
        <v/>
      </c>
      <c r="AA4387">
        <f>SUMIFS($S$2:S4387,$A$2:A4387,A4387,$N$2:N4387,"Explore*")</f>
        <v/>
      </c>
      <c r="AB4387">
        <f>IF(AND(LEFT(N4387,7)="Explore",(AA4387-IF(LEFT(N4387,7)="Explore",S4387,0))&lt;10),"SI","NO")</f>
        <v/>
      </c>
    </row>
    <row r="4388">
      <c r="A4388" t="inlineStr">
        <is>
          <t>c59f5_test</t>
        </is>
      </c>
      <c r="B4388" t="inlineStr">
        <is>
          <t>2026-07-07 15:27:44.268</t>
        </is>
      </c>
      <c r="C4388" t="n">
        <v/>
      </c>
      <c r="D4388" t="inlineStr">
        <is>
          <t>Media file</t>
        </is>
      </c>
      <c r="E4388" t="inlineStr">
        <is>
          <t>player #1:C:/Users/manuel.felline/Documents/BEHAVIOR BTBR/NOR second cohort/WT/test/c59_f5.mp4</t>
        </is>
      </c>
      <c r="F4388" t="n">
        <v>-23.6</v>
      </c>
      <c r="G4388" t="n">
        <v>450.267</v>
      </c>
      <c r="H4388" t="n">
        <v>645.433</v>
      </c>
      <c r="I4388" t="n">
        <v>30</v>
      </c>
      <c r="J4388" t="inlineStr">
        <is>
          <t xml:space="preserve"> WT</t>
        </is>
      </c>
      <c r="K4388" t="inlineStr">
        <is>
          <t xml:space="preserve"> Female</t>
        </is>
      </c>
      <c r="L4388" t="inlineStr">
        <is>
          <t>No focal subject</t>
        </is>
      </c>
      <c r="M4388" t="n">
        <v>50.836</v>
      </c>
      <c r="N4388" t="inlineStr">
        <is>
          <t>Explore_F</t>
        </is>
      </c>
      <c r="O4388" t="inlineStr">
        <is>
          <t>Familiar</t>
        </is>
      </c>
      <c r="P4388" t="inlineStr">
        <is>
          <t>STATE</t>
        </is>
      </c>
      <c r="Q4388" t="n">
        <v>364.933</v>
      </c>
      <c r="R4388" t="n">
        <v>365.433</v>
      </c>
      <c r="S4388" t="n">
        <v>0.5</v>
      </c>
      <c r="T4388" t="inlineStr">
        <is>
          <t>C:/Users/manuel.felline/Documents/BEHAVIOR BTBR/NOR second cohort/WT/test/c59_f5.mp4</t>
        </is>
      </c>
      <c r="U4388" t="n">
        <v>11656</v>
      </c>
      <c r="V4388" t="n">
        <v>11671</v>
      </c>
      <c r="W4388" t="n">
        <v/>
      </c>
      <c r="X4388" t="n">
        <v/>
      </c>
      <c r="Y4388" t="n">
        <v/>
      </c>
      <c r="Z4388" t="n">
        <v/>
      </c>
      <c r="AA4388">
        <f>SUMIFS($S$2:S4388,$A$2:A4388,A4388,$N$2:N4388,"Explore*")</f>
        <v/>
      </c>
      <c r="AB4388">
        <f>IF(AND(LEFT(N4388,7)="Explore",(AA4388-IF(LEFT(N4388,7)="Explore",S4388,0))&lt;10),"SI","NO")</f>
        <v/>
      </c>
    </row>
    <row r="4389">
      <c r="A4389" t="inlineStr">
        <is>
          <t>c59f5_test</t>
        </is>
      </c>
      <c r="B4389" t="inlineStr">
        <is>
          <t>2026-07-07 15:27:44.268</t>
        </is>
      </c>
      <c r="C4389" t="n">
        <v/>
      </c>
      <c r="D4389" t="inlineStr">
        <is>
          <t>Media file</t>
        </is>
      </c>
      <c r="E4389" t="inlineStr">
        <is>
          <t>player #1:C:/Users/manuel.felline/Documents/BEHAVIOR BTBR/NOR second cohort/WT/test/c59_f5.mp4</t>
        </is>
      </c>
      <c r="F4389" t="n">
        <v>-23.6</v>
      </c>
      <c r="G4389" t="n">
        <v>450.267</v>
      </c>
      <c r="H4389" t="n">
        <v>645.433</v>
      </c>
      <c r="I4389" t="n">
        <v>30</v>
      </c>
      <c r="J4389" t="inlineStr">
        <is>
          <t xml:space="preserve"> WT</t>
        </is>
      </c>
      <c r="K4389" t="inlineStr">
        <is>
          <t xml:space="preserve"> Female</t>
        </is>
      </c>
      <c r="L4389" t="inlineStr">
        <is>
          <t>No focal subject</t>
        </is>
      </c>
      <c r="M4389" t="n">
        <v>50.836</v>
      </c>
      <c r="N4389" t="inlineStr">
        <is>
          <t>Explore_F</t>
        </is>
      </c>
      <c r="O4389" t="inlineStr">
        <is>
          <t>Familiar</t>
        </is>
      </c>
      <c r="P4389" t="inlineStr">
        <is>
          <t>STATE</t>
        </is>
      </c>
      <c r="Q4389" t="n">
        <v>402.933</v>
      </c>
      <c r="R4389" t="n">
        <v>403.733</v>
      </c>
      <c r="S4389" t="n">
        <v>0.8</v>
      </c>
      <c r="T4389" t="inlineStr">
        <is>
          <t>C:/Users/manuel.felline/Documents/BEHAVIOR BTBR/NOR second cohort/WT/test/c59_f5.mp4</t>
        </is>
      </c>
      <c r="U4389" t="n">
        <v>12796</v>
      </c>
      <c r="V4389" t="n">
        <v>12820</v>
      </c>
      <c r="W4389" t="n">
        <v/>
      </c>
      <c r="X4389" t="n">
        <v/>
      </c>
      <c r="Y4389" t="n">
        <v/>
      </c>
      <c r="Z4389" t="n">
        <v/>
      </c>
      <c r="AA4389">
        <f>SUMIFS($S$2:S4389,$A$2:A4389,A4389,$N$2:N4389,"Explore*")</f>
        <v/>
      </c>
      <c r="AB4389">
        <f>IF(AND(LEFT(N4389,7)="Explore",(AA4389-IF(LEFT(N4389,7)="Explore",S4389,0))&lt;10),"SI","NO")</f>
        <v/>
      </c>
    </row>
    <row r="4390">
      <c r="A4390" t="inlineStr">
        <is>
          <t>c59f5_test</t>
        </is>
      </c>
      <c r="B4390" t="inlineStr">
        <is>
          <t>2026-07-07 15:27:44.268</t>
        </is>
      </c>
      <c r="C4390" t="n">
        <v/>
      </c>
      <c r="D4390" t="inlineStr">
        <is>
          <t>Media file</t>
        </is>
      </c>
      <c r="E4390" t="inlineStr">
        <is>
          <t>player #1:C:/Users/manuel.felline/Documents/BEHAVIOR BTBR/NOR second cohort/WT/test/c59_f5.mp4</t>
        </is>
      </c>
      <c r="F4390" t="n">
        <v>-23.6</v>
      </c>
      <c r="G4390" t="n">
        <v>450.267</v>
      </c>
      <c r="H4390" t="n">
        <v>645.433</v>
      </c>
      <c r="I4390" t="n">
        <v>30</v>
      </c>
      <c r="J4390" t="inlineStr">
        <is>
          <t xml:space="preserve"> WT</t>
        </is>
      </c>
      <c r="K4390" t="inlineStr">
        <is>
          <t xml:space="preserve"> Female</t>
        </is>
      </c>
      <c r="L4390" t="inlineStr">
        <is>
          <t>No focal subject</t>
        </is>
      </c>
      <c r="M4390" t="n">
        <v>50.836</v>
      </c>
      <c r="N4390" t="inlineStr">
        <is>
          <t>Explore_F</t>
        </is>
      </c>
      <c r="O4390" t="inlineStr">
        <is>
          <t>Familiar</t>
        </is>
      </c>
      <c r="P4390" t="inlineStr">
        <is>
          <t>STATE</t>
        </is>
      </c>
      <c r="Q4390" t="n">
        <v>410.766</v>
      </c>
      <c r="R4390" t="n">
        <v>411.533</v>
      </c>
      <c r="S4390" t="n">
        <v>0.767</v>
      </c>
      <c r="T4390" t="inlineStr">
        <is>
          <t>C:/Users/manuel.felline/Documents/BEHAVIOR BTBR/NOR second cohort/WT/test/c59_f5.mp4</t>
        </is>
      </c>
      <c r="U4390" t="n">
        <v>13031</v>
      </c>
      <c r="V4390" t="n">
        <v>13054</v>
      </c>
      <c r="W4390" t="n">
        <v/>
      </c>
      <c r="X4390" t="n">
        <v/>
      </c>
      <c r="Y4390" t="n">
        <v/>
      </c>
      <c r="Z4390" t="n">
        <v/>
      </c>
      <c r="AA4390">
        <f>SUMIFS($S$2:S4390,$A$2:A4390,A4390,$N$2:N4390,"Explore*")</f>
        <v/>
      </c>
      <c r="AB4390">
        <f>IF(AND(LEFT(N4390,7)="Explore",(AA4390-IF(LEFT(N4390,7)="Explore",S4390,0))&lt;10),"SI","NO")</f>
        <v/>
      </c>
    </row>
    <row r="4391">
      <c r="A4391" t="inlineStr">
        <is>
          <t>c59f5_test</t>
        </is>
      </c>
      <c r="B4391" t="inlineStr">
        <is>
          <t>2026-07-07 15:27:44.268</t>
        </is>
      </c>
      <c r="C4391" t="n">
        <v/>
      </c>
      <c r="D4391" t="inlineStr">
        <is>
          <t>Media file</t>
        </is>
      </c>
      <c r="E4391" t="inlineStr">
        <is>
          <t>player #1:C:/Users/manuel.felline/Documents/BEHAVIOR BTBR/NOR second cohort/WT/test/c59_f5.mp4</t>
        </is>
      </c>
      <c r="F4391" t="n">
        <v>-23.6</v>
      </c>
      <c r="G4391" t="n">
        <v>450.267</v>
      </c>
      <c r="H4391" t="n">
        <v>645.433</v>
      </c>
      <c r="I4391" t="n">
        <v>30</v>
      </c>
      <c r="J4391" t="inlineStr">
        <is>
          <t xml:space="preserve"> WT</t>
        </is>
      </c>
      <c r="K4391" t="inlineStr">
        <is>
          <t xml:space="preserve"> Female</t>
        </is>
      </c>
      <c r="L4391" t="inlineStr">
        <is>
          <t>No focal subject</t>
        </is>
      </c>
      <c r="M4391" t="n">
        <v>50.836</v>
      </c>
      <c r="N4391" t="inlineStr">
        <is>
          <t>Explore_N</t>
        </is>
      </c>
      <c r="O4391" t="inlineStr">
        <is>
          <t>Novelty</t>
        </is>
      </c>
      <c r="P4391" t="inlineStr">
        <is>
          <t>STATE</t>
        </is>
      </c>
      <c r="Q4391" t="n">
        <v>438.533</v>
      </c>
      <c r="R4391" t="n">
        <v>441.033</v>
      </c>
      <c r="S4391" t="n">
        <v>2.5</v>
      </c>
      <c r="T4391" t="inlineStr">
        <is>
          <t>C:/Users/manuel.felline/Documents/BEHAVIOR BTBR/NOR second cohort/WT/test/c59_f5.mp4</t>
        </is>
      </c>
      <c r="U4391" t="n">
        <v>13864</v>
      </c>
      <c r="V4391" t="n">
        <v>13939</v>
      </c>
      <c r="W4391" t="n">
        <v/>
      </c>
      <c r="X4391" t="n">
        <v/>
      </c>
      <c r="Y4391" t="n">
        <v/>
      </c>
      <c r="Z4391" t="n">
        <v/>
      </c>
      <c r="AA4391">
        <f>SUMIFS($S$2:S4391,$A$2:A4391,A4391,$N$2:N4391,"Explore*")</f>
        <v/>
      </c>
      <c r="AB4391">
        <f>IF(AND(LEFT(N4391,7)="Explore",(AA4391-IF(LEFT(N4391,7)="Explore",S4391,0))&lt;10),"SI","NO")</f>
        <v/>
      </c>
    </row>
    <row r="4392">
      <c r="A4392" t="inlineStr">
        <is>
          <t>c59f5_test</t>
        </is>
      </c>
      <c r="B4392" t="inlineStr">
        <is>
          <t>2026-07-07 15:27:44.268</t>
        </is>
      </c>
      <c r="C4392" t="n">
        <v/>
      </c>
      <c r="D4392" t="inlineStr">
        <is>
          <t>Media file</t>
        </is>
      </c>
      <c r="E4392" t="inlineStr">
        <is>
          <t>player #1:C:/Users/manuel.felline/Documents/BEHAVIOR BTBR/NOR second cohort/WT/test/c59_f5.mp4</t>
        </is>
      </c>
      <c r="F4392" t="n">
        <v>-23.6</v>
      </c>
      <c r="G4392" t="n">
        <v>450.267</v>
      </c>
      <c r="H4392" t="n">
        <v>645.433</v>
      </c>
      <c r="I4392" t="n">
        <v>30</v>
      </c>
      <c r="J4392" t="inlineStr">
        <is>
          <t xml:space="preserve"> WT</t>
        </is>
      </c>
      <c r="K4392" t="inlineStr">
        <is>
          <t xml:space="preserve"> Female</t>
        </is>
      </c>
      <c r="L4392" t="inlineStr">
        <is>
          <t>No focal subject</t>
        </is>
      </c>
      <c r="M4392" t="n">
        <v>50.836</v>
      </c>
      <c r="N4392" t="inlineStr">
        <is>
          <t>Explore_N</t>
        </is>
      </c>
      <c r="O4392" t="inlineStr">
        <is>
          <t>Novelty</t>
        </is>
      </c>
      <c r="P4392" t="inlineStr">
        <is>
          <t>STATE</t>
        </is>
      </c>
      <c r="Q4392" t="n">
        <v>442.333</v>
      </c>
      <c r="R4392" t="n">
        <v>444.633</v>
      </c>
      <c r="S4392" t="n">
        <v>2.3</v>
      </c>
      <c r="T4392" t="inlineStr">
        <is>
          <t>C:/Users/manuel.felline/Documents/BEHAVIOR BTBR/NOR second cohort/WT/test/c59_f5.mp4</t>
        </is>
      </c>
      <c r="U4392" t="n">
        <v>13978</v>
      </c>
      <c r="V4392" t="n">
        <v>14047</v>
      </c>
      <c r="W4392" t="n">
        <v/>
      </c>
      <c r="X4392" t="n">
        <v/>
      </c>
      <c r="Y4392" t="n">
        <v/>
      </c>
      <c r="Z4392" t="n">
        <v/>
      </c>
      <c r="AA4392">
        <f>SUMIFS($S$2:S4392,$A$2:A4392,A4392,$N$2:N4392,"Explore*")</f>
        <v/>
      </c>
      <c r="AB4392">
        <f>IF(AND(LEFT(N4392,7)="Explore",(AA4392-IF(LEFT(N4392,7)="Explore",S4392,0))&lt;10),"SI","NO")</f>
        <v/>
      </c>
    </row>
    <row r="4393">
      <c r="A4393" t="inlineStr">
        <is>
          <t>c59f5_test</t>
        </is>
      </c>
      <c r="B4393" t="inlineStr">
        <is>
          <t>2026-07-07 15:27:44.268</t>
        </is>
      </c>
      <c r="C4393" t="n">
        <v/>
      </c>
      <c r="D4393" t="inlineStr">
        <is>
          <t>Media file</t>
        </is>
      </c>
      <c r="E4393" t="inlineStr">
        <is>
          <t>player #1:C:/Users/manuel.felline/Documents/BEHAVIOR BTBR/NOR second cohort/WT/test/c59_f5.mp4</t>
        </is>
      </c>
      <c r="F4393" t="n">
        <v>-23.6</v>
      </c>
      <c r="G4393" t="n">
        <v>450.267</v>
      </c>
      <c r="H4393" t="n">
        <v>645.433</v>
      </c>
      <c r="I4393" t="n">
        <v>30</v>
      </c>
      <c r="J4393" t="inlineStr">
        <is>
          <t xml:space="preserve"> WT</t>
        </is>
      </c>
      <c r="K4393" t="inlineStr">
        <is>
          <t xml:space="preserve"> Female</t>
        </is>
      </c>
      <c r="L4393" t="inlineStr">
        <is>
          <t>No focal subject</t>
        </is>
      </c>
      <c r="M4393" t="n">
        <v>50.836</v>
      </c>
      <c r="N4393" t="inlineStr">
        <is>
          <t>Explore_N</t>
        </is>
      </c>
      <c r="O4393" t="inlineStr">
        <is>
          <t>Novelty</t>
        </is>
      </c>
      <c r="P4393" t="inlineStr">
        <is>
          <t>STATE</t>
        </is>
      </c>
      <c r="Q4393" t="n">
        <v>445.566</v>
      </c>
      <c r="R4393" t="n">
        <v>447.233</v>
      </c>
      <c r="S4393" t="n">
        <v>1.667</v>
      </c>
      <c r="T4393" t="inlineStr">
        <is>
          <t>C:/Users/manuel.felline/Documents/BEHAVIOR BTBR/NOR second cohort/WT/test/c59_f5.mp4</t>
        </is>
      </c>
      <c r="U4393" t="n">
        <v>14076</v>
      </c>
      <c r="V4393" t="n">
        <v>14125</v>
      </c>
      <c r="W4393" t="n">
        <v/>
      </c>
      <c r="X4393" t="n">
        <v/>
      </c>
      <c r="Y4393" t="n">
        <v/>
      </c>
      <c r="Z4393" t="n">
        <v/>
      </c>
      <c r="AA4393">
        <f>SUMIFS($S$2:S4393,$A$2:A4393,A4393,$N$2:N4393,"Explore*")</f>
        <v/>
      </c>
      <c r="AB4393">
        <f>IF(AND(LEFT(N4393,7)="Explore",(AA4393-IF(LEFT(N4393,7)="Explore",S4393,0))&lt;10),"SI","NO")</f>
        <v/>
      </c>
    </row>
    <row r="4394">
      <c r="A4394" t="inlineStr">
        <is>
          <t>c59f5_test</t>
        </is>
      </c>
      <c r="B4394" t="inlineStr">
        <is>
          <t>2026-07-07 15:27:44.268</t>
        </is>
      </c>
      <c r="C4394" t="n">
        <v/>
      </c>
      <c r="D4394" t="inlineStr">
        <is>
          <t>Media file</t>
        </is>
      </c>
      <c r="E4394" t="inlineStr">
        <is>
          <t>player #1:C:/Users/manuel.felline/Documents/BEHAVIOR BTBR/NOR second cohort/WT/test/c59_f5.mp4</t>
        </is>
      </c>
      <c r="F4394" t="n">
        <v>-23.6</v>
      </c>
      <c r="G4394" t="n">
        <v>450.267</v>
      </c>
      <c r="H4394" t="n">
        <v>645.433</v>
      </c>
      <c r="I4394" t="n">
        <v>30</v>
      </c>
      <c r="J4394" t="inlineStr">
        <is>
          <t xml:space="preserve"> WT</t>
        </is>
      </c>
      <c r="K4394" t="inlineStr">
        <is>
          <t xml:space="preserve"> Female</t>
        </is>
      </c>
      <c r="L4394" t="inlineStr">
        <is>
          <t>No focal subject</t>
        </is>
      </c>
      <c r="M4394" t="n">
        <v>50.836</v>
      </c>
      <c r="N4394" t="inlineStr">
        <is>
          <t>Explore_N</t>
        </is>
      </c>
      <c r="O4394" t="inlineStr">
        <is>
          <t>Novelty</t>
        </is>
      </c>
      <c r="P4394" t="inlineStr">
        <is>
          <t>STATE</t>
        </is>
      </c>
      <c r="Q4394" t="n">
        <v>448.133</v>
      </c>
      <c r="R4394" t="n">
        <v>451.533</v>
      </c>
      <c r="S4394" t="n">
        <v>3.4</v>
      </c>
      <c r="T4394" t="inlineStr">
        <is>
          <t>C:/Users/manuel.felline/Documents/BEHAVIOR BTBR/NOR second cohort/WT/test/c59_f5.mp4</t>
        </is>
      </c>
      <c r="U4394" t="n">
        <v>14153</v>
      </c>
      <c r="V4394" t="n">
        <v>14254</v>
      </c>
      <c r="W4394" t="n">
        <v/>
      </c>
      <c r="X4394" t="n">
        <v/>
      </c>
      <c r="Y4394" t="n">
        <v/>
      </c>
      <c r="Z4394" t="n">
        <v/>
      </c>
      <c r="AA4394">
        <f>SUMIFS($S$2:S4394,$A$2:A4394,A4394,$N$2:N4394,"Explore*")</f>
        <v/>
      </c>
      <c r="AB4394">
        <f>IF(AND(LEFT(N4394,7)="Explore",(AA4394-IF(LEFT(N4394,7)="Explore",S4394,0))&lt;10),"SI","NO")</f>
        <v/>
      </c>
    </row>
    <row r="4395">
      <c r="A4395" t="inlineStr">
        <is>
          <t>c59f5_test</t>
        </is>
      </c>
      <c r="B4395" t="inlineStr">
        <is>
          <t>2026-07-07 15:27:44.268</t>
        </is>
      </c>
      <c r="C4395" t="n">
        <v/>
      </c>
      <c r="D4395" t="inlineStr">
        <is>
          <t>Media file</t>
        </is>
      </c>
      <c r="E4395" t="inlineStr">
        <is>
          <t>player #1:C:/Users/manuel.felline/Documents/BEHAVIOR BTBR/NOR second cohort/WT/test/c59_f5.mp4</t>
        </is>
      </c>
      <c r="F4395" t="n">
        <v>-23.6</v>
      </c>
      <c r="G4395" t="n">
        <v>450.267</v>
      </c>
      <c r="H4395" t="n">
        <v>645.433</v>
      </c>
      <c r="I4395" t="n">
        <v>30</v>
      </c>
      <c r="J4395" t="inlineStr">
        <is>
          <t xml:space="preserve"> WT</t>
        </is>
      </c>
      <c r="K4395" t="inlineStr">
        <is>
          <t xml:space="preserve"> Female</t>
        </is>
      </c>
      <c r="L4395" t="inlineStr">
        <is>
          <t>No focal subject</t>
        </is>
      </c>
      <c r="M4395" t="n">
        <v>50.836</v>
      </c>
      <c r="N4395" t="inlineStr">
        <is>
          <t>Explore_N</t>
        </is>
      </c>
      <c r="O4395" t="inlineStr">
        <is>
          <t>Novelty</t>
        </is>
      </c>
      <c r="P4395" t="inlineStr">
        <is>
          <t>STATE</t>
        </is>
      </c>
      <c r="Q4395" t="n">
        <v>455.333</v>
      </c>
      <c r="R4395" t="n">
        <v>458.6</v>
      </c>
      <c r="S4395" t="n">
        <v>3.267</v>
      </c>
      <c r="T4395" t="inlineStr">
        <is>
          <t>C:/Users/manuel.felline/Documents/BEHAVIOR BTBR/NOR second cohort/WT/test/c59_f5.mp4</t>
        </is>
      </c>
      <c r="U4395" t="n">
        <v>14368</v>
      </c>
      <c r="V4395" t="n">
        <v>14466</v>
      </c>
      <c r="W4395" t="n">
        <v/>
      </c>
      <c r="X4395" t="n">
        <v/>
      </c>
      <c r="Y4395" t="n">
        <v/>
      </c>
      <c r="Z4395" t="n">
        <v/>
      </c>
      <c r="AA4395">
        <f>SUMIFS($S$2:S4395,$A$2:A4395,A4395,$N$2:N4395,"Explore*")</f>
        <v/>
      </c>
      <c r="AB4395">
        <f>IF(AND(LEFT(N4395,7)="Explore",(AA4395-IF(LEFT(N4395,7)="Explore",S4395,0))&lt;10),"SI","NO")</f>
        <v/>
      </c>
    </row>
    <row r="4396">
      <c r="A4396" t="inlineStr">
        <is>
          <t>c59f6_test</t>
        </is>
      </c>
      <c r="B4396" t="inlineStr">
        <is>
          <t>2026-07-07 16:23:01.722</t>
        </is>
      </c>
      <c r="C4396" t="n">
        <v/>
      </c>
      <c r="D4396" t="inlineStr">
        <is>
          <t>Media file</t>
        </is>
      </c>
      <c r="E4396" t="inlineStr">
        <is>
          <t>player #1:C:/Users/manuel.felline/Documents/BEHAVIOR BTBR/NOR second cohort/WT/test/c59_f6.mp4</t>
        </is>
      </c>
      <c r="F4396" t="n">
        <v>-10.1</v>
      </c>
      <c r="G4396" t="n">
        <v>584.1</v>
      </c>
      <c r="H4396" t="n">
        <v>622.066</v>
      </c>
      <c r="I4396" t="n">
        <v>30</v>
      </c>
      <c r="J4396" t="inlineStr">
        <is>
          <t xml:space="preserve"> WT</t>
        </is>
      </c>
      <c r="K4396" t="inlineStr">
        <is>
          <t xml:space="preserve"> Female</t>
        </is>
      </c>
      <c r="L4396" t="inlineStr">
        <is>
          <t>No focal subject</t>
        </is>
      </c>
      <c r="M4396" t="n">
        <v>44.834</v>
      </c>
      <c r="N4396" t="inlineStr">
        <is>
          <t>Explore_F</t>
        </is>
      </c>
      <c r="O4396" t="inlineStr">
        <is>
          <t>Familiar</t>
        </is>
      </c>
      <c r="P4396" t="inlineStr">
        <is>
          <t>STATE</t>
        </is>
      </c>
      <c r="Q4396" t="n">
        <v>8.132999999999999</v>
      </c>
      <c r="R4396" t="n">
        <v>8.833</v>
      </c>
      <c r="S4396" t="n">
        <v>0.7</v>
      </c>
      <c r="T4396" t="inlineStr">
        <is>
          <t>C:/Users/manuel.felline/Documents/BEHAVIOR BTBR/NOR second cohort/WT/test/c59_f6.mp4</t>
        </is>
      </c>
      <c r="U4396" t="n">
        <v>547</v>
      </c>
      <c r="V4396" t="n">
        <v>568</v>
      </c>
      <c r="W4396" t="n">
        <v/>
      </c>
      <c r="X4396" t="n">
        <v/>
      </c>
      <c r="Y4396" t="n">
        <v/>
      </c>
      <c r="Z4396" t="n">
        <v/>
      </c>
      <c r="AA4396">
        <f>SUMIFS($S$2:S4396,$A$2:A4396,A4396,$N$2:N4396,"Explore*")</f>
        <v/>
      </c>
      <c r="AB4396">
        <f>IF(AND(LEFT(N4396,7)="Explore",(AA4396-IF(LEFT(N4396,7)="Explore",S4396,0))&lt;10),"SI","NO")</f>
        <v/>
      </c>
    </row>
    <row r="4397">
      <c r="A4397" t="inlineStr">
        <is>
          <t>c59f6_test</t>
        </is>
      </c>
      <c r="B4397" t="inlineStr">
        <is>
          <t>2026-07-07 16:23:01.722</t>
        </is>
      </c>
      <c r="C4397" t="n">
        <v/>
      </c>
      <c r="D4397" t="inlineStr">
        <is>
          <t>Media file</t>
        </is>
      </c>
      <c r="E4397" t="inlineStr">
        <is>
          <t>player #1:C:/Users/manuel.felline/Documents/BEHAVIOR BTBR/NOR second cohort/WT/test/c59_f6.mp4</t>
        </is>
      </c>
      <c r="F4397" t="n">
        <v>-10.1</v>
      </c>
      <c r="G4397" t="n">
        <v>584.1</v>
      </c>
      <c r="H4397" t="n">
        <v>622.066</v>
      </c>
      <c r="I4397" t="n">
        <v>30</v>
      </c>
      <c r="J4397" t="inlineStr">
        <is>
          <t xml:space="preserve"> WT</t>
        </is>
      </c>
      <c r="K4397" t="inlineStr">
        <is>
          <t xml:space="preserve"> Female</t>
        </is>
      </c>
      <c r="L4397" t="inlineStr">
        <is>
          <t>No focal subject</t>
        </is>
      </c>
      <c r="M4397" t="n">
        <v>44.834</v>
      </c>
      <c r="N4397" t="inlineStr">
        <is>
          <t>Explore_N</t>
        </is>
      </c>
      <c r="O4397" t="inlineStr">
        <is>
          <t>Novelty</t>
        </is>
      </c>
      <c r="P4397" t="inlineStr">
        <is>
          <t>STATE</t>
        </is>
      </c>
      <c r="Q4397" t="n">
        <v>15.767</v>
      </c>
      <c r="R4397" t="n">
        <v>17.367</v>
      </c>
      <c r="S4397" t="n">
        <v>1.6</v>
      </c>
      <c r="T4397" t="inlineStr">
        <is>
          <t>C:/Users/manuel.felline/Documents/BEHAVIOR BTBR/NOR second cohort/WT/test/c59_f6.mp4</t>
        </is>
      </c>
      <c r="U4397" t="n">
        <v>776</v>
      </c>
      <c r="V4397" t="n">
        <v>824</v>
      </c>
      <c r="W4397" t="n">
        <v/>
      </c>
      <c r="X4397" t="n">
        <v/>
      </c>
      <c r="Y4397" t="n">
        <v/>
      </c>
      <c r="Z4397" t="n">
        <v/>
      </c>
      <c r="AA4397">
        <f>SUMIFS($S$2:S4397,$A$2:A4397,A4397,$N$2:N4397,"Explore*")</f>
        <v/>
      </c>
      <c r="AB4397">
        <f>IF(AND(LEFT(N4397,7)="Explore",(AA4397-IF(LEFT(N4397,7)="Explore",S4397,0))&lt;10),"SI","NO")</f>
        <v/>
      </c>
    </row>
    <row r="4398">
      <c r="A4398" t="inlineStr">
        <is>
          <t>c59f6_test</t>
        </is>
      </c>
      <c r="B4398" t="inlineStr">
        <is>
          <t>2026-07-07 16:23:01.722</t>
        </is>
      </c>
      <c r="C4398" t="n">
        <v/>
      </c>
      <c r="D4398" t="inlineStr">
        <is>
          <t>Media file</t>
        </is>
      </c>
      <c r="E4398" t="inlineStr">
        <is>
          <t>player #1:C:/Users/manuel.felline/Documents/BEHAVIOR BTBR/NOR second cohort/WT/test/c59_f6.mp4</t>
        </is>
      </c>
      <c r="F4398" t="n">
        <v>-10.1</v>
      </c>
      <c r="G4398" t="n">
        <v>584.1</v>
      </c>
      <c r="H4398" t="n">
        <v>622.066</v>
      </c>
      <c r="I4398" t="n">
        <v>30</v>
      </c>
      <c r="J4398" t="inlineStr">
        <is>
          <t xml:space="preserve"> WT</t>
        </is>
      </c>
      <c r="K4398" t="inlineStr">
        <is>
          <t xml:space="preserve"> Female</t>
        </is>
      </c>
      <c r="L4398" t="inlineStr">
        <is>
          <t>No focal subject</t>
        </is>
      </c>
      <c r="M4398" t="n">
        <v>44.834</v>
      </c>
      <c r="N4398" t="inlineStr">
        <is>
          <t>Explore_N</t>
        </is>
      </c>
      <c r="O4398" t="inlineStr">
        <is>
          <t>Novelty</t>
        </is>
      </c>
      <c r="P4398" t="inlineStr">
        <is>
          <t>STATE</t>
        </is>
      </c>
      <c r="Q4398" t="n">
        <v>20.233</v>
      </c>
      <c r="R4398" t="n">
        <v>21.933</v>
      </c>
      <c r="S4398" t="n">
        <v>1.7</v>
      </c>
      <c r="T4398" t="inlineStr">
        <is>
          <t>C:/Users/manuel.felline/Documents/BEHAVIOR BTBR/NOR second cohort/WT/test/c59_f6.mp4</t>
        </is>
      </c>
      <c r="U4398" t="n">
        <v>910</v>
      </c>
      <c r="V4398" t="n">
        <v>961</v>
      </c>
      <c r="W4398" t="n">
        <v/>
      </c>
      <c r="X4398" t="n">
        <v/>
      </c>
      <c r="Y4398" t="n">
        <v/>
      </c>
      <c r="Z4398" t="n">
        <v/>
      </c>
      <c r="AA4398">
        <f>SUMIFS($S$2:S4398,$A$2:A4398,A4398,$N$2:N4398,"Explore*")</f>
        <v/>
      </c>
      <c r="AB4398">
        <f>IF(AND(LEFT(N4398,7)="Explore",(AA4398-IF(LEFT(N4398,7)="Explore",S4398,0))&lt;10),"SI","NO")</f>
        <v/>
      </c>
    </row>
    <row r="4399">
      <c r="A4399" t="inlineStr">
        <is>
          <t>c59f6_test</t>
        </is>
      </c>
      <c r="B4399" t="inlineStr">
        <is>
          <t>2026-07-07 16:23:01.722</t>
        </is>
      </c>
      <c r="C4399" t="n">
        <v/>
      </c>
      <c r="D4399" t="inlineStr">
        <is>
          <t>Media file</t>
        </is>
      </c>
      <c r="E4399" t="inlineStr">
        <is>
          <t>player #1:C:/Users/manuel.felline/Documents/BEHAVIOR BTBR/NOR second cohort/WT/test/c59_f6.mp4</t>
        </is>
      </c>
      <c r="F4399" t="n">
        <v>-10.1</v>
      </c>
      <c r="G4399" t="n">
        <v>584.1</v>
      </c>
      <c r="H4399" t="n">
        <v>622.066</v>
      </c>
      <c r="I4399" t="n">
        <v>30</v>
      </c>
      <c r="J4399" t="inlineStr">
        <is>
          <t xml:space="preserve"> WT</t>
        </is>
      </c>
      <c r="K4399" t="inlineStr">
        <is>
          <t xml:space="preserve"> Female</t>
        </is>
      </c>
      <c r="L4399" t="inlineStr">
        <is>
          <t>No focal subject</t>
        </is>
      </c>
      <c r="M4399" t="n">
        <v>44.834</v>
      </c>
      <c r="N4399" t="inlineStr">
        <is>
          <t>Explore_F</t>
        </is>
      </c>
      <c r="O4399" t="inlineStr">
        <is>
          <t>Familiar</t>
        </is>
      </c>
      <c r="P4399" t="inlineStr">
        <is>
          <t>STATE</t>
        </is>
      </c>
      <c r="Q4399" t="n">
        <v>41.567</v>
      </c>
      <c r="R4399" t="n">
        <v>42.133</v>
      </c>
      <c r="S4399" t="n">
        <v>0.5659999999999999</v>
      </c>
      <c r="T4399" t="inlineStr">
        <is>
          <t>C:/Users/manuel.felline/Documents/BEHAVIOR BTBR/NOR second cohort/WT/test/c59_f6.mp4</t>
        </is>
      </c>
      <c r="U4399" t="n">
        <v>1550</v>
      </c>
      <c r="V4399" t="n">
        <v>1567</v>
      </c>
      <c r="W4399" t="n">
        <v/>
      </c>
      <c r="X4399" t="n">
        <v/>
      </c>
      <c r="Y4399" t="n">
        <v/>
      </c>
      <c r="Z4399" t="n">
        <v/>
      </c>
      <c r="AA4399">
        <f>SUMIFS($S$2:S4399,$A$2:A4399,A4399,$N$2:N4399,"Explore*")</f>
        <v/>
      </c>
      <c r="AB4399">
        <f>IF(AND(LEFT(N4399,7)="Explore",(AA4399-IF(LEFT(N4399,7)="Explore",S4399,0))&lt;10),"SI","NO")</f>
        <v/>
      </c>
    </row>
    <row r="4400">
      <c r="A4400" t="inlineStr">
        <is>
          <t>c59f6_test</t>
        </is>
      </c>
      <c r="B4400" t="inlineStr">
        <is>
          <t>2026-07-07 16:23:01.722</t>
        </is>
      </c>
      <c r="C4400" t="n">
        <v/>
      </c>
      <c r="D4400" t="inlineStr">
        <is>
          <t>Media file</t>
        </is>
      </c>
      <c r="E4400" t="inlineStr">
        <is>
          <t>player #1:C:/Users/manuel.felline/Documents/BEHAVIOR BTBR/NOR second cohort/WT/test/c59_f6.mp4</t>
        </is>
      </c>
      <c r="F4400" t="n">
        <v>-10.1</v>
      </c>
      <c r="G4400" t="n">
        <v>584.1</v>
      </c>
      <c r="H4400" t="n">
        <v>622.066</v>
      </c>
      <c r="I4400" t="n">
        <v>30</v>
      </c>
      <c r="J4400" t="inlineStr">
        <is>
          <t xml:space="preserve"> WT</t>
        </is>
      </c>
      <c r="K4400" t="inlineStr">
        <is>
          <t xml:space="preserve"> Female</t>
        </is>
      </c>
      <c r="L4400" t="inlineStr">
        <is>
          <t>No focal subject</t>
        </is>
      </c>
      <c r="M4400" t="n">
        <v>44.834</v>
      </c>
      <c r="N4400" t="inlineStr">
        <is>
          <t>Explore_N</t>
        </is>
      </c>
      <c r="O4400" t="inlineStr">
        <is>
          <t>Novelty</t>
        </is>
      </c>
      <c r="P4400" t="inlineStr">
        <is>
          <t>STATE</t>
        </is>
      </c>
      <c r="Q4400" t="n">
        <v>47.233</v>
      </c>
      <c r="R4400" t="n">
        <v>48.767</v>
      </c>
      <c r="S4400" t="n">
        <v>1.534</v>
      </c>
      <c r="T4400" t="inlineStr">
        <is>
          <t>C:/Users/manuel.felline/Documents/BEHAVIOR BTBR/NOR second cohort/WT/test/c59_f6.mp4</t>
        </is>
      </c>
      <c r="U4400" t="n">
        <v>1720</v>
      </c>
      <c r="V4400" t="n">
        <v>1766</v>
      </c>
      <c r="W4400" t="n">
        <v/>
      </c>
      <c r="X4400" t="n">
        <v/>
      </c>
      <c r="Y4400" t="n">
        <v/>
      </c>
      <c r="Z4400" t="n">
        <v/>
      </c>
      <c r="AA4400">
        <f>SUMIFS($S$2:S4400,$A$2:A4400,A4400,$N$2:N4400,"Explore*")</f>
        <v/>
      </c>
      <c r="AB4400">
        <f>IF(AND(LEFT(N4400,7)="Explore",(AA4400-IF(LEFT(N4400,7)="Explore",S4400,0))&lt;10),"SI","NO")</f>
        <v/>
      </c>
    </row>
    <row r="4401">
      <c r="A4401" t="inlineStr">
        <is>
          <t>c59f6_test</t>
        </is>
      </c>
      <c r="B4401" t="inlineStr">
        <is>
          <t>2026-07-07 16:23:01.722</t>
        </is>
      </c>
      <c r="C4401" t="n">
        <v/>
      </c>
      <c r="D4401" t="inlineStr">
        <is>
          <t>Media file</t>
        </is>
      </c>
      <c r="E4401" t="inlineStr">
        <is>
          <t>player #1:C:/Users/manuel.felline/Documents/BEHAVIOR BTBR/NOR second cohort/WT/test/c59_f6.mp4</t>
        </is>
      </c>
      <c r="F4401" t="n">
        <v>-10.1</v>
      </c>
      <c r="G4401" t="n">
        <v>584.1</v>
      </c>
      <c r="H4401" t="n">
        <v>622.066</v>
      </c>
      <c r="I4401" t="n">
        <v>30</v>
      </c>
      <c r="J4401" t="inlineStr">
        <is>
          <t xml:space="preserve"> WT</t>
        </is>
      </c>
      <c r="K4401" t="inlineStr">
        <is>
          <t xml:space="preserve"> Female</t>
        </is>
      </c>
      <c r="L4401" t="inlineStr">
        <is>
          <t>No focal subject</t>
        </is>
      </c>
      <c r="M4401" t="n">
        <v>44.834</v>
      </c>
      <c r="N4401" t="inlineStr">
        <is>
          <t>Explore_F</t>
        </is>
      </c>
      <c r="O4401" t="inlineStr">
        <is>
          <t>Familiar</t>
        </is>
      </c>
      <c r="P4401" t="inlineStr">
        <is>
          <t>STATE</t>
        </is>
      </c>
      <c r="Q4401" t="n">
        <v>78.033</v>
      </c>
      <c r="R4401" t="n">
        <v>78.43300000000001</v>
      </c>
      <c r="S4401" t="n">
        <v>0.4</v>
      </c>
      <c r="T4401" t="inlineStr">
        <is>
          <t>C:/Users/manuel.felline/Documents/BEHAVIOR BTBR/NOR second cohort/WT/test/c59_f6.mp4</t>
        </is>
      </c>
      <c r="U4401" t="n">
        <v>2644</v>
      </c>
      <c r="V4401" t="n">
        <v>2657</v>
      </c>
      <c r="W4401" t="n">
        <v/>
      </c>
      <c r="X4401" t="n">
        <v/>
      </c>
      <c r="Y4401" t="n">
        <v/>
      </c>
      <c r="Z4401" t="n">
        <v/>
      </c>
      <c r="AA4401">
        <f>SUMIFS($S$2:S4401,$A$2:A4401,A4401,$N$2:N4401,"Explore*")</f>
        <v/>
      </c>
      <c r="AB4401">
        <f>IF(AND(LEFT(N4401,7)="Explore",(AA4401-IF(LEFT(N4401,7)="Explore",S4401,0))&lt;10),"SI","NO")</f>
        <v/>
      </c>
    </row>
    <row r="4402">
      <c r="A4402" t="inlineStr">
        <is>
          <t>c59f6_test</t>
        </is>
      </c>
      <c r="B4402" t="inlineStr">
        <is>
          <t>2026-07-07 16:23:01.722</t>
        </is>
      </c>
      <c r="C4402" t="n">
        <v/>
      </c>
      <c r="D4402" t="inlineStr">
        <is>
          <t>Media file</t>
        </is>
      </c>
      <c r="E4402" t="inlineStr">
        <is>
          <t>player #1:C:/Users/manuel.felline/Documents/BEHAVIOR BTBR/NOR second cohort/WT/test/c59_f6.mp4</t>
        </is>
      </c>
      <c r="F4402" t="n">
        <v>-10.1</v>
      </c>
      <c r="G4402" t="n">
        <v>584.1</v>
      </c>
      <c r="H4402" t="n">
        <v>622.066</v>
      </c>
      <c r="I4402" t="n">
        <v>30</v>
      </c>
      <c r="J4402" t="inlineStr">
        <is>
          <t xml:space="preserve"> WT</t>
        </is>
      </c>
      <c r="K4402" t="inlineStr">
        <is>
          <t xml:space="preserve"> Female</t>
        </is>
      </c>
      <c r="L4402" t="inlineStr">
        <is>
          <t>No focal subject</t>
        </is>
      </c>
      <c r="M4402" t="n">
        <v>44.834</v>
      </c>
      <c r="N4402" t="inlineStr">
        <is>
          <t>Explore_F</t>
        </is>
      </c>
      <c r="O4402" t="inlineStr">
        <is>
          <t>Familiar</t>
        </is>
      </c>
      <c r="P4402" t="inlineStr">
        <is>
          <t>STATE</t>
        </is>
      </c>
      <c r="Q4402" t="n">
        <v>88.467</v>
      </c>
      <c r="R4402" t="n">
        <v>88.90000000000001</v>
      </c>
      <c r="S4402" t="n">
        <v>0.433</v>
      </c>
      <c r="T4402" t="inlineStr">
        <is>
          <t>C:/Users/manuel.felline/Documents/BEHAVIOR BTBR/NOR second cohort/WT/test/c59_f6.mp4</t>
        </is>
      </c>
      <c r="U4402" t="n">
        <v>2957</v>
      </c>
      <c r="V4402" t="n">
        <v>2970</v>
      </c>
      <c r="W4402" t="n">
        <v/>
      </c>
      <c r="X4402" t="n">
        <v/>
      </c>
      <c r="Y4402" t="n">
        <v/>
      </c>
      <c r="Z4402" t="n">
        <v/>
      </c>
      <c r="AA4402">
        <f>SUMIFS($S$2:S4402,$A$2:A4402,A4402,$N$2:N4402,"Explore*")</f>
        <v/>
      </c>
      <c r="AB4402">
        <f>IF(AND(LEFT(N4402,7)="Explore",(AA4402-IF(LEFT(N4402,7)="Explore",S4402,0))&lt;10),"SI","NO")</f>
        <v/>
      </c>
    </row>
    <row r="4403">
      <c r="A4403" t="inlineStr">
        <is>
          <t>c59f6_test</t>
        </is>
      </c>
      <c r="B4403" t="inlineStr">
        <is>
          <t>2026-07-07 16:23:01.722</t>
        </is>
      </c>
      <c r="C4403" t="n">
        <v/>
      </c>
      <c r="D4403" t="inlineStr">
        <is>
          <t>Media file</t>
        </is>
      </c>
      <c r="E4403" t="inlineStr">
        <is>
          <t>player #1:C:/Users/manuel.felline/Documents/BEHAVIOR BTBR/NOR second cohort/WT/test/c59_f6.mp4</t>
        </is>
      </c>
      <c r="F4403" t="n">
        <v>-10.1</v>
      </c>
      <c r="G4403" t="n">
        <v>584.1</v>
      </c>
      <c r="H4403" t="n">
        <v>622.066</v>
      </c>
      <c r="I4403" t="n">
        <v>30</v>
      </c>
      <c r="J4403" t="inlineStr">
        <is>
          <t xml:space="preserve"> WT</t>
        </is>
      </c>
      <c r="K4403" t="inlineStr">
        <is>
          <t xml:space="preserve"> Female</t>
        </is>
      </c>
      <c r="L4403" t="inlineStr">
        <is>
          <t>No focal subject</t>
        </is>
      </c>
      <c r="M4403" t="n">
        <v>44.834</v>
      </c>
      <c r="N4403" t="inlineStr">
        <is>
          <t>Explore_F</t>
        </is>
      </c>
      <c r="O4403" t="inlineStr">
        <is>
          <t>Familiar</t>
        </is>
      </c>
      <c r="P4403" t="inlineStr">
        <is>
          <t>STATE</t>
        </is>
      </c>
      <c r="Q4403" t="n">
        <v>90.833</v>
      </c>
      <c r="R4403" t="n">
        <v>92.267</v>
      </c>
      <c r="S4403" t="n">
        <v>1.434</v>
      </c>
      <c r="T4403" t="inlineStr">
        <is>
          <t>C:/Users/manuel.felline/Documents/BEHAVIOR BTBR/NOR second cohort/WT/test/c59_f6.mp4</t>
        </is>
      </c>
      <c r="U4403" t="n">
        <v>3028</v>
      </c>
      <c r="V4403" t="n">
        <v>3071</v>
      </c>
      <c r="W4403" t="n">
        <v/>
      </c>
      <c r="X4403" t="n">
        <v/>
      </c>
      <c r="Y4403" t="n">
        <v/>
      </c>
      <c r="Z4403" t="n">
        <v/>
      </c>
      <c r="AA4403">
        <f>SUMIFS($S$2:S4403,$A$2:A4403,A4403,$N$2:N4403,"Explore*")</f>
        <v/>
      </c>
      <c r="AB4403">
        <f>IF(AND(LEFT(N4403,7)="Explore",(AA4403-IF(LEFT(N4403,7)="Explore",S4403,0))&lt;10),"SI","NO")</f>
        <v/>
      </c>
    </row>
    <row r="4404">
      <c r="A4404" t="inlineStr">
        <is>
          <t>c59f6_test</t>
        </is>
      </c>
      <c r="B4404" t="inlineStr">
        <is>
          <t>2026-07-07 16:23:01.722</t>
        </is>
      </c>
      <c r="C4404" t="n">
        <v/>
      </c>
      <c r="D4404" t="inlineStr">
        <is>
          <t>Media file</t>
        </is>
      </c>
      <c r="E4404" t="inlineStr">
        <is>
          <t>player #1:C:/Users/manuel.felline/Documents/BEHAVIOR BTBR/NOR second cohort/WT/test/c59_f6.mp4</t>
        </is>
      </c>
      <c r="F4404" t="n">
        <v>-10.1</v>
      </c>
      <c r="G4404" t="n">
        <v>584.1</v>
      </c>
      <c r="H4404" t="n">
        <v>622.066</v>
      </c>
      <c r="I4404" t="n">
        <v>30</v>
      </c>
      <c r="J4404" t="inlineStr">
        <is>
          <t xml:space="preserve"> WT</t>
        </is>
      </c>
      <c r="K4404" t="inlineStr">
        <is>
          <t xml:space="preserve"> Female</t>
        </is>
      </c>
      <c r="L4404" t="inlineStr">
        <is>
          <t>No focal subject</t>
        </is>
      </c>
      <c r="M4404" t="n">
        <v>44.834</v>
      </c>
      <c r="N4404" t="inlineStr">
        <is>
          <t>Explore_F</t>
        </is>
      </c>
      <c r="O4404" t="inlineStr">
        <is>
          <t>Familiar</t>
        </is>
      </c>
      <c r="P4404" t="inlineStr">
        <is>
          <t>STATE</t>
        </is>
      </c>
      <c r="Q4404" t="n">
        <v>181.5</v>
      </c>
      <c r="R4404" t="n">
        <v>181.866</v>
      </c>
      <c r="S4404" t="n">
        <v>0.366</v>
      </c>
      <c r="T4404" t="inlineStr">
        <is>
          <t>C:/Users/manuel.felline/Documents/BEHAVIOR BTBR/NOR second cohort/WT/test/c59_f6.mp4</t>
        </is>
      </c>
      <c r="U4404" t="n">
        <v>5748</v>
      </c>
      <c r="V4404" t="n">
        <v>5759</v>
      </c>
      <c r="W4404" t="n">
        <v/>
      </c>
      <c r="X4404" t="n">
        <v/>
      </c>
      <c r="Y4404" t="n">
        <v/>
      </c>
      <c r="Z4404" t="n">
        <v/>
      </c>
      <c r="AA4404">
        <f>SUMIFS($S$2:S4404,$A$2:A4404,A4404,$N$2:N4404,"Explore*")</f>
        <v/>
      </c>
      <c r="AB4404">
        <f>IF(AND(LEFT(N4404,7)="Explore",(AA4404-IF(LEFT(N4404,7)="Explore",S4404,0))&lt;10),"SI","NO")</f>
        <v/>
      </c>
    </row>
    <row r="4405">
      <c r="A4405" t="inlineStr">
        <is>
          <t>c59f6_test</t>
        </is>
      </c>
      <c r="B4405" t="inlineStr">
        <is>
          <t>2026-07-07 16:23:01.722</t>
        </is>
      </c>
      <c r="C4405" t="n">
        <v/>
      </c>
      <c r="D4405" t="inlineStr">
        <is>
          <t>Media file</t>
        </is>
      </c>
      <c r="E4405" t="inlineStr">
        <is>
          <t>player #1:C:/Users/manuel.felline/Documents/BEHAVIOR BTBR/NOR second cohort/WT/test/c59_f6.mp4</t>
        </is>
      </c>
      <c r="F4405" t="n">
        <v>-10.1</v>
      </c>
      <c r="G4405" t="n">
        <v>584.1</v>
      </c>
      <c r="H4405" t="n">
        <v>622.066</v>
      </c>
      <c r="I4405" t="n">
        <v>30</v>
      </c>
      <c r="J4405" t="inlineStr">
        <is>
          <t xml:space="preserve"> WT</t>
        </is>
      </c>
      <c r="K4405" t="inlineStr">
        <is>
          <t xml:space="preserve"> Female</t>
        </is>
      </c>
      <c r="L4405" t="inlineStr">
        <is>
          <t>No focal subject</t>
        </is>
      </c>
      <c r="M4405" t="n">
        <v>44.834</v>
      </c>
      <c r="N4405" t="inlineStr">
        <is>
          <t>Explore_N</t>
        </is>
      </c>
      <c r="O4405" t="inlineStr">
        <is>
          <t>Novelty</t>
        </is>
      </c>
      <c r="P4405" t="inlineStr">
        <is>
          <t>STATE</t>
        </is>
      </c>
      <c r="Q4405" t="n">
        <v>193.733</v>
      </c>
      <c r="R4405" t="n">
        <v>194.266</v>
      </c>
      <c r="S4405" t="n">
        <v>0.533</v>
      </c>
      <c r="T4405" t="inlineStr">
        <is>
          <t>C:/Users/manuel.felline/Documents/BEHAVIOR BTBR/NOR second cohort/WT/test/c59_f6.mp4</t>
        </is>
      </c>
      <c r="U4405" t="n">
        <v>6115</v>
      </c>
      <c r="V4405" t="n">
        <v>6131</v>
      </c>
      <c r="W4405" t="n">
        <v/>
      </c>
      <c r="X4405" t="n">
        <v/>
      </c>
      <c r="Y4405" t="n">
        <v/>
      </c>
      <c r="Z4405" t="n">
        <v/>
      </c>
      <c r="AA4405">
        <f>SUMIFS($S$2:S4405,$A$2:A4405,A4405,$N$2:N4405,"Explore*")</f>
        <v/>
      </c>
      <c r="AB4405">
        <f>IF(AND(LEFT(N4405,7)="Explore",(AA4405-IF(LEFT(N4405,7)="Explore",S4405,0))&lt;10),"SI","NO")</f>
        <v/>
      </c>
    </row>
    <row r="4406">
      <c r="A4406" t="inlineStr">
        <is>
          <t>c59f6_test</t>
        </is>
      </c>
      <c r="B4406" t="inlineStr">
        <is>
          <t>2026-07-07 16:23:01.722</t>
        </is>
      </c>
      <c r="C4406" t="n">
        <v/>
      </c>
      <c r="D4406" t="inlineStr">
        <is>
          <t>Media file</t>
        </is>
      </c>
      <c r="E4406" t="inlineStr">
        <is>
          <t>player #1:C:/Users/manuel.felline/Documents/BEHAVIOR BTBR/NOR second cohort/WT/test/c59_f6.mp4</t>
        </is>
      </c>
      <c r="F4406" t="n">
        <v>-10.1</v>
      </c>
      <c r="G4406" t="n">
        <v>584.1</v>
      </c>
      <c r="H4406" t="n">
        <v>622.066</v>
      </c>
      <c r="I4406" t="n">
        <v>30</v>
      </c>
      <c r="J4406" t="inlineStr">
        <is>
          <t xml:space="preserve"> WT</t>
        </is>
      </c>
      <c r="K4406" t="inlineStr">
        <is>
          <t xml:space="preserve"> Female</t>
        </is>
      </c>
      <c r="L4406" t="inlineStr">
        <is>
          <t>No focal subject</t>
        </is>
      </c>
      <c r="M4406" t="n">
        <v>44.834</v>
      </c>
      <c r="N4406" t="inlineStr">
        <is>
          <t>Explore_N</t>
        </is>
      </c>
      <c r="O4406" t="inlineStr">
        <is>
          <t>Novelty</t>
        </is>
      </c>
      <c r="P4406" t="inlineStr">
        <is>
          <t>STATE</t>
        </is>
      </c>
      <c r="Q4406" t="n">
        <v>196.966</v>
      </c>
      <c r="R4406" t="n">
        <v>199.066</v>
      </c>
      <c r="S4406" t="n">
        <v>2.1</v>
      </c>
      <c r="T4406" t="inlineStr">
        <is>
          <t>C:/Users/manuel.felline/Documents/BEHAVIOR BTBR/NOR second cohort/WT/test/c59_f6.mp4</t>
        </is>
      </c>
      <c r="U4406" t="n">
        <v>6212</v>
      </c>
      <c r="V4406" t="n">
        <v>6275</v>
      </c>
      <c r="W4406" t="n">
        <v/>
      </c>
      <c r="X4406" t="n">
        <v/>
      </c>
      <c r="Y4406" t="n">
        <v/>
      </c>
      <c r="Z4406" t="n">
        <v/>
      </c>
      <c r="AA4406">
        <f>SUMIFS($S$2:S4406,$A$2:A4406,A4406,$N$2:N4406,"Explore*")</f>
        <v/>
      </c>
      <c r="AB4406">
        <f>IF(AND(LEFT(N4406,7)="Explore",(AA4406-IF(LEFT(N4406,7)="Explore",S4406,0))&lt;10),"SI","NO")</f>
        <v/>
      </c>
    </row>
    <row r="4407">
      <c r="A4407" t="inlineStr">
        <is>
          <t>c59f6_test</t>
        </is>
      </c>
      <c r="B4407" t="inlineStr">
        <is>
          <t>2026-07-07 16:23:01.722</t>
        </is>
      </c>
      <c r="C4407" t="n">
        <v/>
      </c>
      <c r="D4407" t="inlineStr">
        <is>
          <t>Media file</t>
        </is>
      </c>
      <c r="E4407" t="inlineStr">
        <is>
          <t>player #1:C:/Users/manuel.felline/Documents/BEHAVIOR BTBR/NOR second cohort/WT/test/c59_f6.mp4</t>
        </is>
      </c>
      <c r="F4407" t="n">
        <v>-10.1</v>
      </c>
      <c r="G4407" t="n">
        <v>584.1</v>
      </c>
      <c r="H4407" t="n">
        <v>622.066</v>
      </c>
      <c r="I4407" t="n">
        <v>30</v>
      </c>
      <c r="J4407" t="inlineStr">
        <is>
          <t xml:space="preserve"> WT</t>
        </is>
      </c>
      <c r="K4407" t="inlineStr">
        <is>
          <t xml:space="preserve"> Female</t>
        </is>
      </c>
      <c r="L4407" t="inlineStr">
        <is>
          <t>No focal subject</t>
        </is>
      </c>
      <c r="M4407" t="n">
        <v>44.834</v>
      </c>
      <c r="N4407" t="inlineStr">
        <is>
          <t>Explore_N</t>
        </is>
      </c>
      <c r="O4407" t="inlineStr">
        <is>
          <t>Novelty</t>
        </is>
      </c>
      <c r="P4407" t="inlineStr">
        <is>
          <t>STATE</t>
        </is>
      </c>
      <c r="Q4407" t="n">
        <v>227.733</v>
      </c>
      <c r="R4407" t="n">
        <v>230</v>
      </c>
      <c r="S4407" t="n">
        <v>2.267</v>
      </c>
      <c r="T4407" t="inlineStr">
        <is>
          <t>C:/Users/manuel.felline/Documents/BEHAVIOR BTBR/NOR second cohort/WT/test/c59_f6.mp4</t>
        </is>
      </c>
      <c r="U4407" t="n">
        <v>7135</v>
      </c>
      <c r="V4407" t="n">
        <v>7203</v>
      </c>
      <c r="W4407" t="n">
        <v/>
      </c>
      <c r="X4407" t="n">
        <v/>
      </c>
      <c r="Y4407" t="n">
        <v/>
      </c>
      <c r="Z4407" t="n">
        <v/>
      </c>
      <c r="AA4407">
        <f>SUMIFS($S$2:S4407,$A$2:A4407,A4407,$N$2:N4407,"Explore*")</f>
        <v/>
      </c>
      <c r="AB4407">
        <f>IF(AND(LEFT(N4407,7)="Explore",(AA4407-IF(LEFT(N4407,7)="Explore",S4407,0))&lt;10),"SI","NO")</f>
        <v/>
      </c>
    </row>
    <row r="4408">
      <c r="A4408" t="inlineStr">
        <is>
          <t>c59f6_test</t>
        </is>
      </c>
      <c r="B4408" t="inlineStr">
        <is>
          <t>2026-07-07 16:23:01.722</t>
        </is>
      </c>
      <c r="C4408" t="n">
        <v/>
      </c>
      <c r="D4408" t="inlineStr">
        <is>
          <t>Media file</t>
        </is>
      </c>
      <c r="E4408" t="inlineStr">
        <is>
          <t>player #1:C:/Users/manuel.felline/Documents/BEHAVIOR BTBR/NOR second cohort/WT/test/c59_f6.mp4</t>
        </is>
      </c>
      <c r="F4408" t="n">
        <v>-10.1</v>
      </c>
      <c r="G4408" t="n">
        <v>584.1</v>
      </c>
      <c r="H4408" t="n">
        <v>622.066</v>
      </c>
      <c r="I4408" t="n">
        <v>30</v>
      </c>
      <c r="J4408" t="inlineStr">
        <is>
          <t xml:space="preserve"> WT</t>
        </is>
      </c>
      <c r="K4408" t="inlineStr">
        <is>
          <t xml:space="preserve"> Female</t>
        </is>
      </c>
      <c r="L4408" t="inlineStr">
        <is>
          <t>No focal subject</t>
        </is>
      </c>
      <c r="M4408" t="n">
        <v>44.834</v>
      </c>
      <c r="N4408" t="inlineStr">
        <is>
          <t>Explore_N</t>
        </is>
      </c>
      <c r="O4408" t="inlineStr">
        <is>
          <t>Novelty</t>
        </is>
      </c>
      <c r="P4408" t="inlineStr">
        <is>
          <t>STATE</t>
        </is>
      </c>
      <c r="Q4408" t="n">
        <v>236.333</v>
      </c>
      <c r="R4408" t="n">
        <v>237.533</v>
      </c>
      <c r="S4408" t="n">
        <v>1.2</v>
      </c>
      <c r="T4408" t="inlineStr">
        <is>
          <t>C:/Users/manuel.felline/Documents/BEHAVIOR BTBR/NOR second cohort/WT/test/c59_f6.mp4</t>
        </is>
      </c>
      <c r="U4408" t="n">
        <v>7393</v>
      </c>
      <c r="V4408" t="n">
        <v>7429</v>
      </c>
      <c r="W4408" t="n">
        <v/>
      </c>
      <c r="X4408" t="n">
        <v/>
      </c>
      <c r="Y4408" t="n">
        <v/>
      </c>
      <c r="Z4408" t="n">
        <v/>
      </c>
      <c r="AA4408">
        <f>SUMIFS($S$2:S4408,$A$2:A4408,A4408,$N$2:N4408,"Explore*")</f>
        <v/>
      </c>
      <c r="AB4408">
        <f>IF(AND(LEFT(N4408,7)="Explore",(AA4408-IF(LEFT(N4408,7)="Explore",S4408,0))&lt;10),"SI","NO")</f>
        <v/>
      </c>
    </row>
    <row r="4409">
      <c r="A4409" t="inlineStr">
        <is>
          <t>c59f6_test</t>
        </is>
      </c>
      <c r="B4409" t="inlineStr">
        <is>
          <t>2026-07-07 16:23:01.722</t>
        </is>
      </c>
      <c r="C4409" t="n">
        <v/>
      </c>
      <c r="D4409" t="inlineStr">
        <is>
          <t>Media file</t>
        </is>
      </c>
      <c r="E4409" t="inlineStr">
        <is>
          <t>player #1:C:/Users/manuel.felline/Documents/BEHAVIOR BTBR/NOR second cohort/WT/test/c59_f6.mp4</t>
        </is>
      </c>
      <c r="F4409" t="n">
        <v>-10.1</v>
      </c>
      <c r="G4409" t="n">
        <v>584.1</v>
      </c>
      <c r="H4409" t="n">
        <v>622.066</v>
      </c>
      <c r="I4409" t="n">
        <v>30</v>
      </c>
      <c r="J4409" t="inlineStr">
        <is>
          <t xml:space="preserve"> WT</t>
        </is>
      </c>
      <c r="K4409" t="inlineStr">
        <is>
          <t xml:space="preserve"> Female</t>
        </is>
      </c>
      <c r="L4409" t="inlineStr">
        <is>
          <t>No focal subject</t>
        </is>
      </c>
      <c r="M4409" t="n">
        <v>44.834</v>
      </c>
      <c r="N4409" t="inlineStr">
        <is>
          <t>Explore_F</t>
        </is>
      </c>
      <c r="O4409" t="inlineStr">
        <is>
          <t>Familiar</t>
        </is>
      </c>
      <c r="P4409" t="inlineStr">
        <is>
          <t>STATE</t>
        </is>
      </c>
      <c r="Q4409" t="n">
        <v>250.333</v>
      </c>
      <c r="R4409" t="n">
        <v>250.966</v>
      </c>
      <c r="S4409" t="n">
        <v>0.633</v>
      </c>
      <c r="T4409" t="inlineStr">
        <is>
          <t>C:/Users/manuel.felline/Documents/BEHAVIOR BTBR/NOR second cohort/WT/test/c59_f6.mp4</t>
        </is>
      </c>
      <c r="U4409" t="n">
        <v>7813</v>
      </c>
      <c r="V4409" t="n">
        <v>7832</v>
      </c>
      <c r="W4409" t="n">
        <v/>
      </c>
      <c r="X4409" t="n">
        <v/>
      </c>
      <c r="Y4409" t="n">
        <v/>
      </c>
      <c r="Z4409" t="n">
        <v/>
      </c>
      <c r="AA4409">
        <f>SUMIFS($S$2:S4409,$A$2:A4409,A4409,$N$2:N4409,"Explore*")</f>
        <v/>
      </c>
      <c r="AB4409">
        <f>IF(AND(LEFT(N4409,7)="Explore",(AA4409-IF(LEFT(N4409,7)="Explore",S4409,0))&lt;10),"SI","NO")</f>
        <v/>
      </c>
    </row>
    <row r="4410">
      <c r="A4410" t="inlineStr">
        <is>
          <t>c59f6_test</t>
        </is>
      </c>
      <c r="B4410" t="inlineStr">
        <is>
          <t>2026-07-07 16:23:01.722</t>
        </is>
      </c>
      <c r="C4410" t="n">
        <v/>
      </c>
      <c r="D4410" t="inlineStr">
        <is>
          <t>Media file</t>
        </is>
      </c>
      <c r="E4410" t="inlineStr">
        <is>
          <t>player #1:C:/Users/manuel.felline/Documents/BEHAVIOR BTBR/NOR second cohort/WT/test/c59_f6.mp4</t>
        </is>
      </c>
      <c r="F4410" t="n">
        <v>-10.1</v>
      </c>
      <c r="G4410" t="n">
        <v>584.1</v>
      </c>
      <c r="H4410" t="n">
        <v>622.066</v>
      </c>
      <c r="I4410" t="n">
        <v>30</v>
      </c>
      <c r="J4410" t="inlineStr">
        <is>
          <t xml:space="preserve"> WT</t>
        </is>
      </c>
      <c r="K4410" t="inlineStr">
        <is>
          <t xml:space="preserve"> Female</t>
        </is>
      </c>
      <c r="L4410" t="inlineStr">
        <is>
          <t>No focal subject</t>
        </is>
      </c>
      <c r="M4410" t="n">
        <v>44.834</v>
      </c>
      <c r="N4410" t="inlineStr">
        <is>
          <t>Explore_F</t>
        </is>
      </c>
      <c r="O4410" t="inlineStr">
        <is>
          <t>Familiar</t>
        </is>
      </c>
      <c r="P4410" t="inlineStr">
        <is>
          <t>STATE</t>
        </is>
      </c>
      <c r="Q4410" t="n">
        <v>289.8</v>
      </c>
      <c r="R4410" t="n">
        <v>293.033</v>
      </c>
      <c r="S4410" t="n">
        <v>3.233</v>
      </c>
      <c r="T4410" t="inlineStr">
        <is>
          <t>C:/Users/manuel.felline/Documents/BEHAVIOR BTBR/NOR second cohort/WT/test/c59_f6.mp4</t>
        </is>
      </c>
      <c r="U4410" t="n">
        <v>8997</v>
      </c>
      <c r="V4410" t="n">
        <v>9094</v>
      </c>
      <c r="W4410" t="n">
        <v/>
      </c>
      <c r="X4410" t="n">
        <v/>
      </c>
      <c r="Y4410" t="n">
        <v/>
      </c>
      <c r="Z4410" t="n">
        <v/>
      </c>
      <c r="AA4410">
        <f>SUMIFS($S$2:S4410,$A$2:A4410,A4410,$N$2:N4410,"Explore*")</f>
        <v/>
      </c>
      <c r="AB4410">
        <f>IF(AND(LEFT(N4410,7)="Explore",(AA4410-IF(LEFT(N4410,7)="Explore",S4410,0))&lt;10),"SI","NO")</f>
        <v/>
      </c>
    </row>
    <row r="4411">
      <c r="A4411" t="inlineStr">
        <is>
          <t>c59f6_test</t>
        </is>
      </c>
      <c r="B4411" t="inlineStr">
        <is>
          <t>2026-07-07 16:23:01.722</t>
        </is>
      </c>
      <c r="C4411" t="n">
        <v/>
      </c>
      <c r="D4411" t="inlineStr">
        <is>
          <t>Media file</t>
        </is>
      </c>
      <c r="E4411" t="inlineStr">
        <is>
          <t>player #1:C:/Users/manuel.felline/Documents/BEHAVIOR BTBR/NOR second cohort/WT/test/c59_f6.mp4</t>
        </is>
      </c>
      <c r="F4411" t="n">
        <v>-10.1</v>
      </c>
      <c r="G4411" t="n">
        <v>584.1</v>
      </c>
      <c r="H4411" t="n">
        <v>622.066</v>
      </c>
      <c r="I4411" t="n">
        <v>30</v>
      </c>
      <c r="J4411" t="inlineStr">
        <is>
          <t xml:space="preserve"> WT</t>
        </is>
      </c>
      <c r="K4411" t="inlineStr">
        <is>
          <t xml:space="preserve"> Female</t>
        </is>
      </c>
      <c r="L4411" t="inlineStr">
        <is>
          <t>No focal subject</t>
        </is>
      </c>
      <c r="M4411" t="n">
        <v>44.834</v>
      </c>
      <c r="N4411" t="inlineStr">
        <is>
          <t>Explore_F</t>
        </is>
      </c>
      <c r="O4411" t="inlineStr">
        <is>
          <t>Familiar</t>
        </is>
      </c>
      <c r="P4411" t="inlineStr">
        <is>
          <t>STATE</t>
        </is>
      </c>
      <c r="Q4411" t="n">
        <v>301</v>
      </c>
      <c r="R4411" t="n">
        <v>301.566</v>
      </c>
      <c r="S4411" t="n">
        <v>0.5659999999999999</v>
      </c>
      <c r="T4411" t="inlineStr">
        <is>
          <t>C:/Users/manuel.felline/Documents/BEHAVIOR BTBR/NOR second cohort/WT/test/c59_f6.mp4</t>
        </is>
      </c>
      <c r="U4411" t="n">
        <v>9333</v>
      </c>
      <c r="V4411" t="n">
        <v>9350</v>
      </c>
      <c r="W4411" t="n">
        <v/>
      </c>
      <c r="X4411" t="n">
        <v/>
      </c>
      <c r="Y4411" t="n">
        <v/>
      </c>
      <c r="Z4411" t="n">
        <v/>
      </c>
      <c r="AA4411">
        <f>SUMIFS($S$2:S4411,$A$2:A4411,A4411,$N$2:N4411,"Explore*")</f>
        <v/>
      </c>
      <c r="AB4411">
        <f>IF(AND(LEFT(N4411,7)="Explore",(AA4411-IF(LEFT(N4411,7)="Explore",S4411,0))&lt;10),"SI","NO")</f>
        <v/>
      </c>
    </row>
    <row r="4412">
      <c r="A4412" t="inlineStr">
        <is>
          <t>c59f6_test</t>
        </is>
      </c>
      <c r="B4412" t="inlineStr">
        <is>
          <t>2026-07-07 16:23:01.722</t>
        </is>
      </c>
      <c r="C4412" t="n">
        <v/>
      </c>
      <c r="D4412" t="inlineStr">
        <is>
          <t>Media file</t>
        </is>
      </c>
      <c r="E4412" t="inlineStr">
        <is>
          <t>player #1:C:/Users/manuel.felline/Documents/BEHAVIOR BTBR/NOR second cohort/WT/test/c59_f6.mp4</t>
        </is>
      </c>
      <c r="F4412" t="n">
        <v>-10.1</v>
      </c>
      <c r="G4412" t="n">
        <v>584.1</v>
      </c>
      <c r="H4412" t="n">
        <v>622.066</v>
      </c>
      <c r="I4412" t="n">
        <v>30</v>
      </c>
      <c r="J4412" t="inlineStr">
        <is>
          <t xml:space="preserve"> WT</t>
        </is>
      </c>
      <c r="K4412" t="inlineStr">
        <is>
          <t xml:space="preserve"> Female</t>
        </is>
      </c>
      <c r="L4412" t="inlineStr">
        <is>
          <t>No focal subject</t>
        </is>
      </c>
      <c r="M4412" t="n">
        <v>44.834</v>
      </c>
      <c r="N4412" t="inlineStr">
        <is>
          <t>Explore_F</t>
        </is>
      </c>
      <c r="O4412" t="inlineStr">
        <is>
          <t>Familiar</t>
        </is>
      </c>
      <c r="P4412" t="inlineStr">
        <is>
          <t>STATE</t>
        </is>
      </c>
      <c r="Q4412" t="n">
        <v>318.733</v>
      </c>
      <c r="R4412" t="n">
        <v>319.5</v>
      </c>
      <c r="S4412" t="n">
        <v>0.767</v>
      </c>
      <c r="T4412" t="inlineStr">
        <is>
          <t>C:/Users/manuel.felline/Documents/BEHAVIOR BTBR/NOR second cohort/WT/test/c59_f6.mp4</t>
        </is>
      </c>
      <c r="U4412" t="n">
        <v>9865</v>
      </c>
      <c r="V4412" t="n">
        <v>9888</v>
      </c>
      <c r="W4412" t="n">
        <v/>
      </c>
      <c r="X4412" t="n">
        <v/>
      </c>
      <c r="Y4412" t="n">
        <v/>
      </c>
      <c r="Z4412" t="n">
        <v/>
      </c>
      <c r="AA4412">
        <f>SUMIFS($S$2:S4412,$A$2:A4412,A4412,$N$2:N4412,"Explore*")</f>
        <v/>
      </c>
      <c r="AB4412">
        <f>IF(AND(LEFT(N4412,7)="Explore",(AA4412-IF(LEFT(N4412,7)="Explore",S4412,0))&lt;10),"SI","NO")</f>
        <v/>
      </c>
    </row>
    <row r="4413">
      <c r="A4413" t="inlineStr">
        <is>
          <t>c59f6_test</t>
        </is>
      </c>
      <c r="B4413" t="inlineStr">
        <is>
          <t>2026-07-07 16:23:01.722</t>
        </is>
      </c>
      <c r="C4413" t="n">
        <v/>
      </c>
      <c r="D4413" t="inlineStr">
        <is>
          <t>Media file</t>
        </is>
      </c>
      <c r="E4413" t="inlineStr">
        <is>
          <t>player #1:C:/Users/manuel.felline/Documents/BEHAVIOR BTBR/NOR second cohort/WT/test/c59_f6.mp4</t>
        </is>
      </c>
      <c r="F4413" t="n">
        <v>-10.1</v>
      </c>
      <c r="G4413" t="n">
        <v>584.1</v>
      </c>
      <c r="H4413" t="n">
        <v>622.066</v>
      </c>
      <c r="I4413" t="n">
        <v>30</v>
      </c>
      <c r="J4413" t="inlineStr">
        <is>
          <t xml:space="preserve"> WT</t>
        </is>
      </c>
      <c r="K4413" t="inlineStr">
        <is>
          <t xml:space="preserve"> Female</t>
        </is>
      </c>
      <c r="L4413" t="inlineStr">
        <is>
          <t>No focal subject</t>
        </is>
      </c>
      <c r="M4413" t="n">
        <v>44.834</v>
      </c>
      <c r="N4413" t="inlineStr">
        <is>
          <t>Explore_N</t>
        </is>
      </c>
      <c r="O4413" t="inlineStr">
        <is>
          <t>Novelty</t>
        </is>
      </c>
      <c r="P4413" t="inlineStr">
        <is>
          <t>STATE</t>
        </is>
      </c>
      <c r="Q4413" t="n">
        <v>320.366</v>
      </c>
      <c r="R4413" t="n">
        <v>320.666</v>
      </c>
      <c r="S4413" t="n">
        <v>0.3</v>
      </c>
      <c r="T4413" t="inlineStr">
        <is>
          <t>C:/Users/manuel.felline/Documents/BEHAVIOR BTBR/NOR second cohort/WT/test/c59_f6.mp4</t>
        </is>
      </c>
      <c r="U4413" t="n">
        <v>9914</v>
      </c>
      <c r="V4413" t="n">
        <v>9923</v>
      </c>
      <c r="W4413" t="n">
        <v/>
      </c>
      <c r="X4413" t="n">
        <v/>
      </c>
      <c r="Y4413" t="n">
        <v/>
      </c>
      <c r="Z4413" t="n">
        <v/>
      </c>
      <c r="AA4413">
        <f>SUMIFS($S$2:S4413,$A$2:A4413,A4413,$N$2:N4413,"Explore*")</f>
        <v/>
      </c>
      <c r="AB4413">
        <f>IF(AND(LEFT(N4413,7)="Explore",(AA4413-IF(LEFT(N4413,7)="Explore",S4413,0))&lt;10),"SI","NO")</f>
        <v/>
      </c>
    </row>
    <row r="4414">
      <c r="A4414" t="inlineStr">
        <is>
          <t>c59f6_test</t>
        </is>
      </c>
      <c r="B4414" t="inlineStr">
        <is>
          <t>2026-07-07 16:23:01.722</t>
        </is>
      </c>
      <c r="C4414" t="n">
        <v/>
      </c>
      <c r="D4414" t="inlineStr">
        <is>
          <t>Media file</t>
        </is>
      </c>
      <c r="E4414" t="inlineStr">
        <is>
          <t>player #1:C:/Users/manuel.felline/Documents/BEHAVIOR BTBR/NOR second cohort/WT/test/c59_f6.mp4</t>
        </is>
      </c>
      <c r="F4414" t="n">
        <v>-10.1</v>
      </c>
      <c r="G4414" t="n">
        <v>584.1</v>
      </c>
      <c r="H4414" t="n">
        <v>622.066</v>
      </c>
      <c r="I4414" t="n">
        <v>30</v>
      </c>
      <c r="J4414" t="inlineStr">
        <is>
          <t xml:space="preserve"> WT</t>
        </is>
      </c>
      <c r="K4414" t="inlineStr">
        <is>
          <t xml:space="preserve"> Female</t>
        </is>
      </c>
      <c r="L4414" t="inlineStr">
        <is>
          <t>No focal subject</t>
        </is>
      </c>
      <c r="M4414" t="n">
        <v>44.834</v>
      </c>
      <c r="N4414" t="inlineStr">
        <is>
          <t>Explore_N</t>
        </is>
      </c>
      <c r="O4414" t="inlineStr">
        <is>
          <t>Novelty</t>
        </is>
      </c>
      <c r="P4414" t="inlineStr">
        <is>
          <t>STATE</t>
        </is>
      </c>
      <c r="Q4414" t="n">
        <v>321.366</v>
      </c>
      <c r="R4414" t="n">
        <v>321.9</v>
      </c>
      <c r="S4414" t="n">
        <v>0.534</v>
      </c>
      <c r="T4414" t="inlineStr">
        <is>
          <t>C:/Users/manuel.felline/Documents/BEHAVIOR BTBR/NOR second cohort/WT/test/c59_f6.mp4</t>
        </is>
      </c>
      <c r="U4414" t="n">
        <v>9944</v>
      </c>
      <c r="V4414" t="n">
        <v>9960</v>
      </c>
      <c r="W4414" t="n">
        <v/>
      </c>
      <c r="X4414" t="n">
        <v/>
      </c>
      <c r="Y4414" t="n">
        <v/>
      </c>
      <c r="Z4414" t="n">
        <v/>
      </c>
      <c r="AA4414">
        <f>SUMIFS($S$2:S4414,$A$2:A4414,A4414,$N$2:N4414,"Explore*")</f>
        <v/>
      </c>
      <c r="AB4414">
        <f>IF(AND(LEFT(N4414,7)="Explore",(AA4414-IF(LEFT(N4414,7)="Explore",S4414,0))&lt;10),"SI","NO")</f>
        <v/>
      </c>
    </row>
    <row r="4415">
      <c r="A4415" t="inlineStr">
        <is>
          <t>c59f6_test</t>
        </is>
      </c>
      <c r="B4415" t="inlineStr">
        <is>
          <t>2026-07-07 16:23:01.722</t>
        </is>
      </c>
      <c r="C4415" t="n">
        <v/>
      </c>
      <c r="D4415" t="inlineStr">
        <is>
          <t>Media file</t>
        </is>
      </c>
      <c r="E4415" t="inlineStr">
        <is>
          <t>player #1:C:/Users/manuel.felline/Documents/BEHAVIOR BTBR/NOR second cohort/WT/test/c59_f6.mp4</t>
        </is>
      </c>
      <c r="F4415" t="n">
        <v>-10.1</v>
      </c>
      <c r="G4415" t="n">
        <v>584.1</v>
      </c>
      <c r="H4415" t="n">
        <v>622.066</v>
      </c>
      <c r="I4415" t="n">
        <v>30</v>
      </c>
      <c r="J4415" t="inlineStr">
        <is>
          <t xml:space="preserve"> WT</t>
        </is>
      </c>
      <c r="K4415" t="inlineStr">
        <is>
          <t xml:space="preserve"> Female</t>
        </is>
      </c>
      <c r="L4415" t="inlineStr">
        <is>
          <t>No focal subject</t>
        </is>
      </c>
      <c r="M4415" t="n">
        <v>44.834</v>
      </c>
      <c r="N4415" t="inlineStr">
        <is>
          <t>Explore_F</t>
        </is>
      </c>
      <c r="O4415" t="inlineStr">
        <is>
          <t>Familiar</t>
        </is>
      </c>
      <c r="P4415" t="inlineStr">
        <is>
          <t>STATE</t>
        </is>
      </c>
      <c r="Q4415" t="n">
        <v>330.066</v>
      </c>
      <c r="R4415" t="n">
        <v>331.133</v>
      </c>
      <c r="S4415" t="n">
        <v>1.067</v>
      </c>
      <c r="T4415" t="inlineStr">
        <is>
          <t>C:/Users/manuel.felline/Documents/BEHAVIOR BTBR/NOR second cohort/WT/test/c59_f6.mp4</t>
        </is>
      </c>
      <c r="U4415" t="n">
        <v>10205</v>
      </c>
      <c r="V4415" t="n">
        <v>10237</v>
      </c>
      <c r="W4415" t="n">
        <v/>
      </c>
      <c r="X4415" t="n">
        <v/>
      </c>
      <c r="Y4415" t="n">
        <v/>
      </c>
      <c r="Z4415" t="n">
        <v/>
      </c>
      <c r="AA4415">
        <f>SUMIFS($S$2:S4415,$A$2:A4415,A4415,$N$2:N4415,"Explore*")</f>
        <v/>
      </c>
      <c r="AB4415">
        <f>IF(AND(LEFT(N4415,7)="Explore",(AA4415-IF(LEFT(N4415,7)="Explore",S4415,0))&lt;10),"SI","NO")</f>
        <v/>
      </c>
    </row>
    <row r="4416">
      <c r="A4416" t="inlineStr">
        <is>
          <t>c59f6_test</t>
        </is>
      </c>
      <c r="B4416" t="inlineStr">
        <is>
          <t>2026-07-07 16:23:01.722</t>
        </is>
      </c>
      <c r="C4416" t="n">
        <v/>
      </c>
      <c r="D4416" t="inlineStr">
        <is>
          <t>Media file</t>
        </is>
      </c>
      <c r="E4416" t="inlineStr">
        <is>
          <t>player #1:C:/Users/manuel.felline/Documents/BEHAVIOR BTBR/NOR second cohort/WT/test/c59_f6.mp4</t>
        </is>
      </c>
      <c r="F4416" t="n">
        <v>-10.1</v>
      </c>
      <c r="G4416" t="n">
        <v>584.1</v>
      </c>
      <c r="H4416" t="n">
        <v>622.066</v>
      </c>
      <c r="I4416" t="n">
        <v>30</v>
      </c>
      <c r="J4416" t="inlineStr">
        <is>
          <t xml:space="preserve"> WT</t>
        </is>
      </c>
      <c r="K4416" t="inlineStr">
        <is>
          <t xml:space="preserve"> Female</t>
        </is>
      </c>
      <c r="L4416" t="inlineStr">
        <is>
          <t>No focal subject</t>
        </is>
      </c>
      <c r="M4416" t="n">
        <v>44.834</v>
      </c>
      <c r="N4416" t="inlineStr">
        <is>
          <t>Explore_F</t>
        </is>
      </c>
      <c r="O4416" t="inlineStr">
        <is>
          <t>Familiar</t>
        </is>
      </c>
      <c r="P4416" t="inlineStr">
        <is>
          <t>STATE</t>
        </is>
      </c>
      <c r="Q4416" t="n">
        <v>339.433</v>
      </c>
      <c r="R4416" t="n">
        <v>339.866</v>
      </c>
      <c r="S4416" t="n">
        <v>0.433</v>
      </c>
      <c r="T4416" t="inlineStr">
        <is>
          <t>C:/Users/manuel.felline/Documents/BEHAVIOR BTBR/NOR second cohort/WT/test/c59_f6.mp4</t>
        </is>
      </c>
      <c r="U4416" t="n">
        <v>10486</v>
      </c>
      <c r="V4416" t="n">
        <v>10499</v>
      </c>
      <c r="W4416" t="n">
        <v/>
      </c>
      <c r="X4416" t="n">
        <v/>
      </c>
      <c r="Y4416" t="n">
        <v/>
      </c>
      <c r="Z4416" t="n">
        <v/>
      </c>
      <c r="AA4416">
        <f>SUMIFS($S$2:S4416,$A$2:A4416,A4416,$N$2:N4416,"Explore*")</f>
        <v/>
      </c>
      <c r="AB4416">
        <f>IF(AND(LEFT(N4416,7)="Explore",(AA4416-IF(LEFT(N4416,7)="Explore",S4416,0))&lt;10),"SI","NO")</f>
        <v/>
      </c>
    </row>
    <row r="4417">
      <c r="A4417" t="inlineStr">
        <is>
          <t>c59f6_test</t>
        </is>
      </c>
      <c r="B4417" t="inlineStr">
        <is>
          <t>2026-07-07 16:23:01.722</t>
        </is>
      </c>
      <c r="C4417" t="n">
        <v/>
      </c>
      <c r="D4417" t="inlineStr">
        <is>
          <t>Media file</t>
        </is>
      </c>
      <c r="E4417" t="inlineStr">
        <is>
          <t>player #1:C:/Users/manuel.felline/Documents/BEHAVIOR BTBR/NOR second cohort/WT/test/c59_f6.mp4</t>
        </is>
      </c>
      <c r="F4417" t="n">
        <v>-10.1</v>
      </c>
      <c r="G4417" t="n">
        <v>584.1</v>
      </c>
      <c r="H4417" t="n">
        <v>622.066</v>
      </c>
      <c r="I4417" t="n">
        <v>30</v>
      </c>
      <c r="J4417" t="inlineStr">
        <is>
          <t xml:space="preserve"> WT</t>
        </is>
      </c>
      <c r="K4417" t="inlineStr">
        <is>
          <t xml:space="preserve"> Female</t>
        </is>
      </c>
      <c r="L4417" t="inlineStr">
        <is>
          <t>No focal subject</t>
        </is>
      </c>
      <c r="M4417" t="n">
        <v>44.834</v>
      </c>
      <c r="N4417" t="inlineStr">
        <is>
          <t>Explore_N</t>
        </is>
      </c>
      <c r="O4417" t="inlineStr">
        <is>
          <t>Novelty</t>
        </is>
      </c>
      <c r="P4417" t="inlineStr">
        <is>
          <t>STATE</t>
        </is>
      </c>
      <c r="Q4417" t="n">
        <v>345.133</v>
      </c>
      <c r="R4417" t="n">
        <v>345.5</v>
      </c>
      <c r="S4417" t="n">
        <v>0.367</v>
      </c>
      <c r="T4417" t="inlineStr">
        <is>
          <t>C:/Users/manuel.felline/Documents/BEHAVIOR BTBR/NOR second cohort/WT/test/c59_f6.mp4</t>
        </is>
      </c>
      <c r="U4417" t="n">
        <v>10657</v>
      </c>
      <c r="V4417" t="n">
        <v>10668</v>
      </c>
      <c r="W4417" t="n">
        <v/>
      </c>
      <c r="X4417" t="n">
        <v/>
      </c>
      <c r="Y4417" t="n">
        <v/>
      </c>
      <c r="Z4417" t="n">
        <v/>
      </c>
      <c r="AA4417">
        <f>SUMIFS($S$2:S4417,$A$2:A4417,A4417,$N$2:N4417,"Explore*")</f>
        <v/>
      </c>
      <c r="AB4417">
        <f>IF(AND(LEFT(N4417,7)="Explore",(AA4417-IF(LEFT(N4417,7)="Explore",S4417,0))&lt;10),"SI","NO")</f>
        <v/>
      </c>
    </row>
    <row r="4418">
      <c r="A4418" t="inlineStr">
        <is>
          <t>c59f6_test</t>
        </is>
      </c>
      <c r="B4418" t="inlineStr">
        <is>
          <t>2026-07-07 16:23:01.722</t>
        </is>
      </c>
      <c r="C4418" t="n">
        <v/>
      </c>
      <c r="D4418" t="inlineStr">
        <is>
          <t>Media file</t>
        </is>
      </c>
      <c r="E4418" t="inlineStr">
        <is>
          <t>player #1:C:/Users/manuel.felline/Documents/BEHAVIOR BTBR/NOR second cohort/WT/test/c59_f6.mp4</t>
        </is>
      </c>
      <c r="F4418" t="n">
        <v>-10.1</v>
      </c>
      <c r="G4418" t="n">
        <v>584.1</v>
      </c>
      <c r="H4418" t="n">
        <v>622.066</v>
      </c>
      <c r="I4418" t="n">
        <v>30</v>
      </c>
      <c r="J4418" t="inlineStr">
        <is>
          <t xml:space="preserve"> WT</t>
        </is>
      </c>
      <c r="K4418" t="inlineStr">
        <is>
          <t xml:space="preserve"> Female</t>
        </is>
      </c>
      <c r="L4418" t="inlineStr">
        <is>
          <t>No focal subject</t>
        </is>
      </c>
      <c r="M4418" t="n">
        <v>44.834</v>
      </c>
      <c r="N4418" t="inlineStr">
        <is>
          <t>Explore_F</t>
        </is>
      </c>
      <c r="O4418" t="inlineStr">
        <is>
          <t>Familiar</t>
        </is>
      </c>
      <c r="P4418" t="inlineStr">
        <is>
          <t>STATE</t>
        </is>
      </c>
      <c r="Q4418" t="n">
        <v>356.5</v>
      </c>
      <c r="R4418" t="n">
        <v>357.166</v>
      </c>
      <c r="S4418" t="n">
        <v>0.666</v>
      </c>
      <c r="T4418" t="inlineStr">
        <is>
          <t>C:/Users/manuel.felline/Documents/BEHAVIOR BTBR/NOR second cohort/WT/test/c59_f6.mp4</t>
        </is>
      </c>
      <c r="U4418" t="n">
        <v>10998</v>
      </c>
      <c r="V4418" t="n">
        <v>11018</v>
      </c>
      <c r="W4418" t="n">
        <v/>
      </c>
      <c r="X4418" t="n">
        <v/>
      </c>
      <c r="Y4418" t="n">
        <v/>
      </c>
      <c r="Z4418" t="n">
        <v/>
      </c>
      <c r="AA4418">
        <f>SUMIFS($S$2:S4418,$A$2:A4418,A4418,$N$2:N4418,"Explore*")</f>
        <v/>
      </c>
      <c r="AB4418">
        <f>IF(AND(LEFT(N4418,7)="Explore",(AA4418-IF(LEFT(N4418,7)="Explore",S4418,0))&lt;10),"SI","NO")</f>
        <v/>
      </c>
    </row>
    <row r="4419">
      <c r="A4419" t="inlineStr">
        <is>
          <t>c59f6_test</t>
        </is>
      </c>
      <c r="B4419" t="inlineStr">
        <is>
          <t>2026-07-07 16:23:01.722</t>
        </is>
      </c>
      <c r="C4419" t="n">
        <v/>
      </c>
      <c r="D4419" t="inlineStr">
        <is>
          <t>Media file</t>
        </is>
      </c>
      <c r="E4419" t="inlineStr">
        <is>
          <t>player #1:C:/Users/manuel.felline/Documents/BEHAVIOR BTBR/NOR second cohort/WT/test/c59_f6.mp4</t>
        </is>
      </c>
      <c r="F4419" t="n">
        <v>-10.1</v>
      </c>
      <c r="G4419" t="n">
        <v>584.1</v>
      </c>
      <c r="H4419" t="n">
        <v>622.066</v>
      </c>
      <c r="I4419" t="n">
        <v>30</v>
      </c>
      <c r="J4419" t="inlineStr">
        <is>
          <t xml:space="preserve"> WT</t>
        </is>
      </c>
      <c r="K4419" t="inlineStr">
        <is>
          <t xml:space="preserve"> Female</t>
        </is>
      </c>
      <c r="L4419" t="inlineStr">
        <is>
          <t>No focal subject</t>
        </is>
      </c>
      <c r="M4419" t="n">
        <v>44.834</v>
      </c>
      <c r="N4419" t="inlineStr">
        <is>
          <t>Explore_N</t>
        </is>
      </c>
      <c r="O4419" t="inlineStr">
        <is>
          <t>Novelty</t>
        </is>
      </c>
      <c r="P4419" t="inlineStr">
        <is>
          <t>STATE</t>
        </is>
      </c>
      <c r="Q4419" t="n">
        <v>366.166</v>
      </c>
      <c r="R4419" t="n">
        <v>367</v>
      </c>
      <c r="S4419" t="n">
        <v>0.834</v>
      </c>
      <c r="T4419" t="inlineStr">
        <is>
          <t>C:/Users/manuel.felline/Documents/BEHAVIOR BTBR/NOR second cohort/WT/test/c59_f6.mp4</t>
        </is>
      </c>
      <c r="U4419" t="n">
        <v>11288</v>
      </c>
      <c r="V4419" t="n">
        <v>11313</v>
      </c>
      <c r="W4419" t="n">
        <v/>
      </c>
      <c r="X4419" t="n">
        <v/>
      </c>
      <c r="Y4419" t="n">
        <v/>
      </c>
      <c r="Z4419" t="n">
        <v/>
      </c>
      <c r="AA4419">
        <f>SUMIFS($S$2:S4419,$A$2:A4419,A4419,$N$2:N4419,"Explore*")</f>
        <v/>
      </c>
      <c r="AB4419">
        <f>IF(AND(LEFT(N4419,7)="Explore",(AA4419-IF(LEFT(N4419,7)="Explore",S4419,0))&lt;10),"SI","NO")</f>
        <v/>
      </c>
    </row>
    <row r="4420">
      <c r="A4420" t="inlineStr">
        <is>
          <t>c59f6_test</t>
        </is>
      </c>
      <c r="B4420" t="inlineStr">
        <is>
          <t>2026-07-07 16:23:01.722</t>
        </is>
      </c>
      <c r="C4420" t="n">
        <v/>
      </c>
      <c r="D4420" t="inlineStr">
        <is>
          <t>Media file</t>
        </is>
      </c>
      <c r="E4420" t="inlineStr">
        <is>
          <t>player #1:C:/Users/manuel.felline/Documents/BEHAVIOR BTBR/NOR second cohort/WT/test/c59_f6.mp4</t>
        </is>
      </c>
      <c r="F4420" t="n">
        <v>-10.1</v>
      </c>
      <c r="G4420" t="n">
        <v>584.1</v>
      </c>
      <c r="H4420" t="n">
        <v>622.066</v>
      </c>
      <c r="I4420" t="n">
        <v>30</v>
      </c>
      <c r="J4420" t="inlineStr">
        <is>
          <t xml:space="preserve"> WT</t>
        </is>
      </c>
      <c r="K4420" t="inlineStr">
        <is>
          <t xml:space="preserve"> Female</t>
        </is>
      </c>
      <c r="L4420" t="inlineStr">
        <is>
          <t>No focal subject</t>
        </is>
      </c>
      <c r="M4420" t="n">
        <v>44.834</v>
      </c>
      <c r="N4420" t="inlineStr">
        <is>
          <t>Explore_N</t>
        </is>
      </c>
      <c r="O4420" t="inlineStr">
        <is>
          <t>Novelty</t>
        </is>
      </c>
      <c r="P4420" t="inlineStr">
        <is>
          <t>STATE</t>
        </is>
      </c>
      <c r="Q4420" t="n">
        <v>370.366</v>
      </c>
      <c r="R4420" t="n">
        <v>371.1</v>
      </c>
      <c r="S4420" t="n">
        <v>0.734</v>
      </c>
      <c r="T4420" t="inlineStr">
        <is>
          <t>C:/Users/manuel.felline/Documents/BEHAVIOR BTBR/NOR second cohort/WT/test/c59_f6.mp4</t>
        </is>
      </c>
      <c r="U4420" t="n">
        <v>11414</v>
      </c>
      <c r="V4420" t="n">
        <v>11436</v>
      </c>
      <c r="W4420" t="n">
        <v/>
      </c>
      <c r="X4420" t="n">
        <v/>
      </c>
      <c r="Y4420" t="n">
        <v/>
      </c>
      <c r="Z4420" t="n">
        <v/>
      </c>
      <c r="AA4420">
        <f>SUMIFS($S$2:S4420,$A$2:A4420,A4420,$N$2:N4420,"Explore*")</f>
        <v/>
      </c>
      <c r="AB4420">
        <f>IF(AND(LEFT(N4420,7)="Explore",(AA4420-IF(LEFT(N4420,7)="Explore",S4420,0))&lt;10),"SI","NO")</f>
        <v/>
      </c>
    </row>
    <row r="4421">
      <c r="A4421" t="inlineStr">
        <is>
          <t>c59f6_test</t>
        </is>
      </c>
      <c r="B4421" t="inlineStr">
        <is>
          <t>2026-07-07 16:23:01.722</t>
        </is>
      </c>
      <c r="C4421" t="n">
        <v/>
      </c>
      <c r="D4421" t="inlineStr">
        <is>
          <t>Media file</t>
        </is>
      </c>
      <c r="E4421" t="inlineStr">
        <is>
          <t>player #1:C:/Users/manuel.felline/Documents/BEHAVIOR BTBR/NOR second cohort/WT/test/c59_f6.mp4</t>
        </is>
      </c>
      <c r="F4421" t="n">
        <v>-10.1</v>
      </c>
      <c r="G4421" t="n">
        <v>584.1</v>
      </c>
      <c r="H4421" t="n">
        <v>622.066</v>
      </c>
      <c r="I4421" t="n">
        <v>30</v>
      </c>
      <c r="J4421" t="inlineStr">
        <is>
          <t xml:space="preserve"> WT</t>
        </is>
      </c>
      <c r="K4421" t="inlineStr">
        <is>
          <t xml:space="preserve"> Female</t>
        </is>
      </c>
      <c r="L4421" t="inlineStr">
        <is>
          <t>No focal subject</t>
        </is>
      </c>
      <c r="M4421" t="n">
        <v>44.834</v>
      </c>
      <c r="N4421" t="inlineStr">
        <is>
          <t>Explore_N</t>
        </is>
      </c>
      <c r="O4421" t="inlineStr">
        <is>
          <t>Novelty</t>
        </is>
      </c>
      <c r="P4421" t="inlineStr">
        <is>
          <t>STATE</t>
        </is>
      </c>
      <c r="Q4421" t="n">
        <v>371.9</v>
      </c>
      <c r="R4421" t="n">
        <v>373.566</v>
      </c>
      <c r="S4421" t="n">
        <v>1.666</v>
      </c>
      <c r="T4421" t="inlineStr">
        <is>
          <t>C:/Users/manuel.felline/Documents/BEHAVIOR BTBR/NOR second cohort/WT/test/c59_f6.mp4</t>
        </is>
      </c>
      <c r="U4421" t="n">
        <v>11460</v>
      </c>
      <c r="V4421" t="n">
        <v>11510</v>
      </c>
      <c r="W4421" t="n">
        <v/>
      </c>
      <c r="X4421" t="n">
        <v/>
      </c>
      <c r="Y4421" t="n">
        <v/>
      </c>
      <c r="Z4421" t="n">
        <v/>
      </c>
      <c r="AA4421">
        <f>SUMIFS($S$2:S4421,$A$2:A4421,A4421,$N$2:N4421,"Explore*")</f>
        <v/>
      </c>
      <c r="AB4421">
        <f>IF(AND(LEFT(N4421,7)="Explore",(AA4421-IF(LEFT(N4421,7)="Explore",S4421,0))&lt;10),"SI","NO")</f>
        <v/>
      </c>
    </row>
    <row r="4422">
      <c r="A4422" t="inlineStr">
        <is>
          <t>c59f6_test</t>
        </is>
      </c>
      <c r="B4422" t="inlineStr">
        <is>
          <t>2026-07-07 16:23:01.722</t>
        </is>
      </c>
      <c r="C4422" t="n">
        <v/>
      </c>
      <c r="D4422" t="inlineStr">
        <is>
          <t>Media file</t>
        </is>
      </c>
      <c r="E4422" t="inlineStr">
        <is>
          <t>player #1:C:/Users/manuel.felline/Documents/BEHAVIOR BTBR/NOR second cohort/WT/test/c59_f6.mp4</t>
        </is>
      </c>
      <c r="F4422" t="n">
        <v>-10.1</v>
      </c>
      <c r="G4422" t="n">
        <v>584.1</v>
      </c>
      <c r="H4422" t="n">
        <v>622.066</v>
      </c>
      <c r="I4422" t="n">
        <v>30</v>
      </c>
      <c r="J4422" t="inlineStr">
        <is>
          <t xml:space="preserve"> WT</t>
        </is>
      </c>
      <c r="K4422" t="inlineStr">
        <is>
          <t xml:space="preserve"> Female</t>
        </is>
      </c>
      <c r="L4422" t="inlineStr">
        <is>
          <t>No focal subject</t>
        </is>
      </c>
      <c r="M4422" t="n">
        <v>44.834</v>
      </c>
      <c r="N4422" t="inlineStr">
        <is>
          <t>Explore_N</t>
        </is>
      </c>
      <c r="O4422" t="inlineStr">
        <is>
          <t>Novelty</t>
        </is>
      </c>
      <c r="P4422" t="inlineStr">
        <is>
          <t>STATE</t>
        </is>
      </c>
      <c r="Q4422" t="n">
        <v>376.2</v>
      </c>
      <c r="R4422" t="n">
        <v>378.3</v>
      </c>
      <c r="S4422" t="n">
        <v>2.1</v>
      </c>
      <c r="T4422" t="inlineStr">
        <is>
          <t>C:/Users/manuel.felline/Documents/BEHAVIOR BTBR/NOR second cohort/WT/test/c59_f6.mp4</t>
        </is>
      </c>
      <c r="U4422" t="n">
        <v>11589</v>
      </c>
      <c r="V4422" t="n">
        <v>11652</v>
      </c>
      <c r="W4422" t="n">
        <v/>
      </c>
      <c r="X4422" t="n">
        <v/>
      </c>
      <c r="Y4422" t="n">
        <v/>
      </c>
      <c r="Z4422" t="n">
        <v/>
      </c>
      <c r="AA4422">
        <f>SUMIFS($S$2:S4422,$A$2:A4422,A4422,$N$2:N4422,"Explore*")</f>
        <v/>
      </c>
      <c r="AB4422">
        <f>IF(AND(LEFT(N4422,7)="Explore",(AA4422-IF(LEFT(N4422,7)="Explore",S4422,0))&lt;10),"SI","NO")</f>
        <v/>
      </c>
    </row>
    <row r="4423">
      <c r="A4423" t="inlineStr">
        <is>
          <t>c59f6_test</t>
        </is>
      </c>
      <c r="B4423" t="inlineStr">
        <is>
          <t>2026-07-07 16:23:01.722</t>
        </is>
      </c>
      <c r="C4423" t="n">
        <v/>
      </c>
      <c r="D4423" t="inlineStr">
        <is>
          <t>Media file</t>
        </is>
      </c>
      <c r="E4423" t="inlineStr">
        <is>
          <t>player #1:C:/Users/manuel.felline/Documents/BEHAVIOR BTBR/NOR second cohort/WT/test/c59_f6.mp4</t>
        </is>
      </c>
      <c r="F4423" t="n">
        <v>-10.1</v>
      </c>
      <c r="G4423" t="n">
        <v>584.1</v>
      </c>
      <c r="H4423" t="n">
        <v>622.066</v>
      </c>
      <c r="I4423" t="n">
        <v>30</v>
      </c>
      <c r="J4423" t="inlineStr">
        <is>
          <t xml:space="preserve"> WT</t>
        </is>
      </c>
      <c r="K4423" t="inlineStr">
        <is>
          <t xml:space="preserve"> Female</t>
        </is>
      </c>
      <c r="L4423" t="inlineStr">
        <is>
          <t>No focal subject</t>
        </is>
      </c>
      <c r="M4423" t="n">
        <v>44.834</v>
      </c>
      <c r="N4423" t="inlineStr">
        <is>
          <t>Explore_N</t>
        </is>
      </c>
      <c r="O4423" t="inlineStr">
        <is>
          <t>Novelty</t>
        </is>
      </c>
      <c r="P4423" t="inlineStr">
        <is>
          <t>STATE</t>
        </is>
      </c>
      <c r="Q4423" t="n">
        <v>379.966</v>
      </c>
      <c r="R4423" t="n">
        <v>381.466</v>
      </c>
      <c r="S4423" t="n">
        <v>1.5</v>
      </c>
      <c r="T4423" t="inlineStr">
        <is>
          <t>C:/Users/manuel.felline/Documents/BEHAVIOR BTBR/NOR second cohort/WT/test/c59_f6.mp4</t>
        </is>
      </c>
      <c r="U4423" t="n">
        <v>11702</v>
      </c>
      <c r="V4423" t="n">
        <v>11747</v>
      </c>
      <c r="W4423" t="n">
        <v/>
      </c>
      <c r="X4423" t="n">
        <v/>
      </c>
      <c r="Y4423" t="n">
        <v/>
      </c>
      <c r="Z4423" t="n">
        <v/>
      </c>
      <c r="AA4423">
        <f>SUMIFS($S$2:S4423,$A$2:A4423,A4423,$N$2:N4423,"Explore*")</f>
        <v/>
      </c>
      <c r="AB4423">
        <f>IF(AND(LEFT(N4423,7)="Explore",(AA4423-IF(LEFT(N4423,7)="Explore",S4423,0))&lt;10),"SI","NO")</f>
        <v/>
      </c>
    </row>
    <row r="4424">
      <c r="A4424" t="inlineStr">
        <is>
          <t>c59f6_test</t>
        </is>
      </c>
      <c r="B4424" t="inlineStr">
        <is>
          <t>2026-07-07 16:23:01.722</t>
        </is>
      </c>
      <c r="C4424" t="n">
        <v/>
      </c>
      <c r="D4424" t="inlineStr">
        <is>
          <t>Media file</t>
        </is>
      </c>
      <c r="E4424" t="inlineStr">
        <is>
          <t>player #1:C:/Users/manuel.felline/Documents/BEHAVIOR BTBR/NOR second cohort/WT/test/c59_f6.mp4</t>
        </is>
      </c>
      <c r="F4424" t="n">
        <v>-10.1</v>
      </c>
      <c r="G4424" t="n">
        <v>584.1</v>
      </c>
      <c r="H4424" t="n">
        <v>622.066</v>
      </c>
      <c r="I4424" t="n">
        <v>30</v>
      </c>
      <c r="J4424" t="inlineStr">
        <is>
          <t xml:space="preserve"> WT</t>
        </is>
      </c>
      <c r="K4424" t="inlineStr">
        <is>
          <t xml:space="preserve"> Female</t>
        </is>
      </c>
      <c r="L4424" t="inlineStr">
        <is>
          <t>No focal subject</t>
        </is>
      </c>
      <c r="M4424" t="n">
        <v>44.834</v>
      </c>
      <c r="N4424" t="inlineStr">
        <is>
          <t>Explore_N</t>
        </is>
      </c>
      <c r="O4424" t="inlineStr">
        <is>
          <t>Novelty</t>
        </is>
      </c>
      <c r="P4424" t="inlineStr">
        <is>
          <t>STATE</t>
        </is>
      </c>
      <c r="Q4424" t="n">
        <v>383.8</v>
      </c>
      <c r="R4424" t="n">
        <v>384.466</v>
      </c>
      <c r="S4424" t="n">
        <v>0.666</v>
      </c>
      <c r="T4424" t="inlineStr">
        <is>
          <t>C:/Users/manuel.felline/Documents/BEHAVIOR BTBR/NOR second cohort/WT/test/c59_f6.mp4</t>
        </is>
      </c>
      <c r="U4424" t="n">
        <v>11817</v>
      </c>
      <c r="V4424" t="n">
        <v>11838</v>
      </c>
      <c r="W4424" t="n">
        <v/>
      </c>
      <c r="X4424" t="n">
        <v/>
      </c>
      <c r="Y4424" t="n">
        <v/>
      </c>
      <c r="Z4424" t="n">
        <v/>
      </c>
      <c r="AA4424">
        <f>SUMIFS($S$2:S4424,$A$2:A4424,A4424,$N$2:N4424,"Explore*")</f>
        <v/>
      </c>
      <c r="AB4424">
        <f>IF(AND(LEFT(N4424,7)="Explore",(AA4424-IF(LEFT(N4424,7)="Explore",S4424,0))&lt;10),"SI","NO")</f>
        <v/>
      </c>
    </row>
    <row r="4425">
      <c r="A4425" t="inlineStr">
        <is>
          <t>c59f6_test</t>
        </is>
      </c>
      <c r="B4425" t="inlineStr">
        <is>
          <t>2026-07-07 16:23:01.722</t>
        </is>
      </c>
      <c r="C4425" t="n">
        <v/>
      </c>
      <c r="D4425" t="inlineStr">
        <is>
          <t>Media file</t>
        </is>
      </c>
      <c r="E4425" t="inlineStr">
        <is>
          <t>player #1:C:/Users/manuel.felline/Documents/BEHAVIOR BTBR/NOR second cohort/WT/test/c59_f6.mp4</t>
        </is>
      </c>
      <c r="F4425" t="n">
        <v>-10.1</v>
      </c>
      <c r="G4425" t="n">
        <v>584.1</v>
      </c>
      <c r="H4425" t="n">
        <v>622.066</v>
      </c>
      <c r="I4425" t="n">
        <v>30</v>
      </c>
      <c r="J4425" t="inlineStr">
        <is>
          <t xml:space="preserve"> WT</t>
        </is>
      </c>
      <c r="K4425" t="inlineStr">
        <is>
          <t xml:space="preserve"> Female</t>
        </is>
      </c>
      <c r="L4425" t="inlineStr">
        <is>
          <t>No focal subject</t>
        </is>
      </c>
      <c r="M4425" t="n">
        <v>44.834</v>
      </c>
      <c r="N4425" t="inlineStr">
        <is>
          <t>Explore_F</t>
        </is>
      </c>
      <c r="O4425" t="inlineStr">
        <is>
          <t>Familiar</t>
        </is>
      </c>
      <c r="P4425" t="inlineStr">
        <is>
          <t>STATE</t>
        </is>
      </c>
      <c r="Q4425" t="n">
        <v>388.3</v>
      </c>
      <c r="R4425" t="n">
        <v>389.566</v>
      </c>
      <c r="S4425" t="n">
        <v>1.266</v>
      </c>
      <c r="T4425" t="inlineStr">
        <is>
          <t>C:/Users/manuel.felline/Documents/BEHAVIOR BTBR/NOR second cohort/WT/test/c59_f6.mp4</t>
        </is>
      </c>
      <c r="U4425" t="n">
        <v>11952</v>
      </c>
      <c r="V4425" t="n">
        <v>11990</v>
      </c>
      <c r="W4425" t="n">
        <v/>
      </c>
      <c r="X4425" t="n">
        <v/>
      </c>
      <c r="Y4425" t="n">
        <v/>
      </c>
      <c r="Z4425" t="n">
        <v/>
      </c>
      <c r="AA4425">
        <f>SUMIFS($S$2:S4425,$A$2:A4425,A4425,$N$2:N4425,"Explore*")</f>
        <v/>
      </c>
      <c r="AB4425">
        <f>IF(AND(LEFT(N4425,7)="Explore",(AA4425-IF(LEFT(N4425,7)="Explore",S4425,0))&lt;10),"SI","NO")</f>
        <v/>
      </c>
    </row>
    <row r="4426">
      <c r="A4426" t="inlineStr">
        <is>
          <t>c59f6_test</t>
        </is>
      </c>
      <c r="B4426" t="inlineStr">
        <is>
          <t>2026-07-07 16:23:01.722</t>
        </is>
      </c>
      <c r="C4426" t="n">
        <v/>
      </c>
      <c r="D4426" t="inlineStr">
        <is>
          <t>Media file</t>
        </is>
      </c>
      <c r="E4426" t="inlineStr">
        <is>
          <t>player #1:C:/Users/manuel.felline/Documents/BEHAVIOR BTBR/NOR second cohort/WT/test/c59_f6.mp4</t>
        </is>
      </c>
      <c r="F4426" t="n">
        <v>-10.1</v>
      </c>
      <c r="G4426" t="n">
        <v>584.1</v>
      </c>
      <c r="H4426" t="n">
        <v>622.066</v>
      </c>
      <c r="I4426" t="n">
        <v>30</v>
      </c>
      <c r="J4426" t="inlineStr">
        <is>
          <t xml:space="preserve"> WT</t>
        </is>
      </c>
      <c r="K4426" t="inlineStr">
        <is>
          <t xml:space="preserve"> Female</t>
        </is>
      </c>
      <c r="L4426" t="inlineStr">
        <is>
          <t>No focal subject</t>
        </is>
      </c>
      <c r="M4426" t="n">
        <v>44.834</v>
      </c>
      <c r="N4426" t="inlineStr">
        <is>
          <t>Explore_F</t>
        </is>
      </c>
      <c r="O4426" t="inlineStr">
        <is>
          <t>Familiar</t>
        </is>
      </c>
      <c r="P4426" t="inlineStr">
        <is>
          <t>STATE</t>
        </is>
      </c>
      <c r="Q4426" t="n">
        <v>426.666</v>
      </c>
      <c r="R4426" t="n">
        <v>427.4</v>
      </c>
      <c r="S4426" t="n">
        <v>0.734</v>
      </c>
      <c r="T4426" t="inlineStr">
        <is>
          <t>C:/Users/manuel.felline/Documents/BEHAVIOR BTBR/NOR second cohort/WT/test/c59_f6.mp4</t>
        </is>
      </c>
      <c r="U4426" t="n">
        <v>13103</v>
      </c>
      <c r="V4426" t="n">
        <v>13125</v>
      </c>
      <c r="W4426" t="n">
        <v/>
      </c>
      <c r="X4426" t="n">
        <v/>
      </c>
      <c r="Y4426" t="n">
        <v/>
      </c>
      <c r="Z4426" t="n">
        <v/>
      </c>
      <c r="AA4426">
        <f>SUMIFS($S$2:S4426,$A$2:A4426,A4426,$N$2:N4426,"Explore*")</f>
        <v/>
      </c>
      <c r="AB4426">
        <f>IF(AND(LEFT(N4426,7)="Explore",(AA4426-IF(LEFT(N4426,7)="Explore",S4426,0))&lt;10),"SI","NO")</f>
        <v/>
      </c>
    </row>
    <row r="4427">
      <c r="A4427" t="inlineStr">
        <is>
          <t>c59f6_test</t>
        </is>
      </c>
      <c r="B4427" t="inlineStr">
        <is>
          <t>2026-07-07 16:23:01.722</t>
        </is>
      </c>
      <c r="C4427" t="n">
        <v/>
      </c>
      <c r="D4427" t="inlineStr">
        <is>
          <t>Media file</t>
        </is>
      </c>
      <c r="E4427" t="inlineStr">
        <is>
          <t>player #1:C:/Users/manuel.felline/Documents/BEHAVIOR BTBR/NOR second cohort/WT/test/c59_f6.mp4</t>
        </is>
      </c>
      <c r="F4427" t="n">
        <v>-10.1</v>
      </c>
      <c r="G4427" t="n">
        <v>584.1</v>
      </c>
      <c r="H4427" t="n">
        <v>622.066</v>
      </c>
      <c r="I4427" t="n">
        <v>30</v>
      </c>
      <c r="J4427" t="inlineStr">
        <is>
          <t xml:space="preserve"> WT</t>
        </is>
      </c>
      <c r="K4427" t="inlineStr">
        <is>
          <t xml:space="preserve"> Female</t>
        </is>
      </c>
      <c r="L4427" t="inlineStr">
        <is>
          <t>No focal subject</t>
        </is>
      </c>
      <c r="M4427" t="n">
        <v>44.834</v>
      </c>
      <c r="N4427" t="inlineStr">
        <is>
          <t>Explore_N</t>
        </is>
      </c>
      <c r="O4427" t="inlineStr">
        <is>
          <t>Novelty</t>
        </is>
      </c>
      <c r="P4427" t="inlineStr">
        <is>
          <t>STATE</t>
        </is>
      </c>
      <c r="Q4427" t="n">
        <v>461.166</v>
      </c>
      <c r="R4427" t="n">
        <v>462.233</v>
      </c>
      <c r="S4427" t="n">
        <v>1.067</v>
      </c>
      <c r="T4427" t="inlineStr">
        <is>
          <t>C:/Users/manuel.felline/Documents/BEHAVIOR BTBR/NOR second cohort/WT/test/c59_f6.mp4</t>
        </is>
      </c>
      <c r="U4427" t="n">
        <v>14138</v>
      </c>
      <c r="V4427" t="n">
        <v>14170</v>
      </c>
      <c r="W4427" t="n">
        <v/>
      </c>
      <c r="X4427" t="n">
        <v/>
      </c>
      <c r="Y4427" t="n">
        <v/>
      </c>
      <c r="Z4427" t="n">
        <v/>
      </c>
      <c r="AA4427">
        <f>SUMIFS($S$2:S4427,$A$2:A4427,A4427,$N$2:N4427,"Explore*")</f>
        <v/>
      </c>
      <c r="AB4427">
        <f>IF(AND(LEFT(N4427,7)="Explore",(AA4427-IF(LEFT(N4427,7)="Explore",S4427,0))&lt;10),"SI","NO")</f>
        <v/>
      </c>
    </row>
    <row r="4428">
      <c r="A4428" t="inlineStr">
        <is>
          <t>c59f6_test</t>
        </is>
      </c>
      <c r="B4428" t="inlineStr">
        <is>
          <t>2026-07-07 16:23:01.722</t>
        </is>
      </c>
      <c r="C4428" t="n">
        <v/>
      </c>
      <c r="D4428" t="inlineStr">
        <is>
          <t>Media file</t>
        </is>
      </c>
      <c r="E4428" t="inlineStr">
        <is>
          <t>player #1:C:/Users/manuel.felline/Documents/BEHAVIOR BTBR/NOR second cohort/WT/test/c59_f6.mp4</t>
        </is>
      </c>
      <c r="F4428" t="n">
        <v>-10.1</v>
      </c>
      <c r="G4428" t="n">
        <v>584.1</v>
      </c>
      <c r="H4428" t="n">
        <v>622.066</v>
      </c>
      <c r="I4428" t="n">
        <v>30</v>
      </c>
      <c r="J4428" t="inlineStr">
        <is>
          <t xml:space="preserve"> WT</t>
        </is>
      </c>
      <c r="K4428" t="inlineStr">
        <is>
          <t xml:space="preserve"> Female</t>
        </is>
      </c>
      <c r="L4428" t="inlineStr">
        <is>
          <t>No focal subject</t>
        </is>
      </c>
      <c r="M4428" t="n">
        <v>44.834</v>
      </c>
      <c r="N4428" t="inlineStr">
        <is>
          <t>Explore_F</t>
        </is>
      </c>
      <c r="O4428" t="inlineStr">
        <is>
          <t>Familiar</t>
        </is>
      </c>
      <c r="P4428" t="inlineStr">
        <is>
          <t>STATE</t>
        </is>
      </c>
      <c r="Q4428" t="n">
        <v>497.166</v>
      </c>
      <c r="R4428" t="n">
        <v>497.899</v>
      </c>
      <c r="S4428" t="n">
        <v>0.733</v>
      </c>
      <c r="T4428" t="inlineStr">
        <is>
          <t>C:/Users/manuel.felline/Documents/BEHAVIOR BTBR/NOR second cohort/WT/test/c59_f6.mp4</t>
        </is>
      </c>
      <c r="U4428" t="n">
        <v>15218</v>
      </c>
      <c r="V4428" t="n">
        <v>15240</v>
      </c>
      <c r="W4428" t="n">
        <v/>
      </c>
      <c r="X4428" t="n">
        <v/>
      </c>
      <c r="Y4428" t="n">
        <v/>
      </c>
      <c r="Z4428" t="n">
        <v/>
      </c>
      <c r="AA4428">
        <f>SUMIFS($S$2:S4428,$A$2:A4428,A4428,$N$2:N4428,"Explore*")</f>
        <v/>
      </c>
      <c r="AB4428">
        <f>IF(AND(LEFT(N4428,7)="Explore",(AA4428-IF(LEFT(N4428,7)="Explore",S4428,0))&lt;10),"SI","NO")</f>
        <v/>
      </c>
    </row>
    <row r="4429">
      <c r="A4429" t="inlineStr">
        <is>
          <t>c59f6_test</t>
        </is>
      </c>
      <c r="B4429" t="inlineStr">
        <is>
          <t>2026-07-07 16:23:01.722</t>
        </is>
      </c>
      <c r="C4429" t="n">
        <v/>
      </c>
      <c r="D4429" t="inlineStr">
        <is>
          <t>Media file</t>
        </is>
      </c>
      <c r="E4429" t="inlineStr">
        <is>
          <t>player #1:C:/Users/manuel.felline/Documents/BEHAVIOR BTBR/NOR second cohort/WT/test/c59_f6.mp4</t>
        </is>
      </c>
      <c r="F4429" t="n">
        <v>-10.1</v>
      </c>
      <c r="G4429" t="n">
        <v>584.1</v>
      </c>
      <c r="H4429" t="n">
        <v>622.066</v>
      </c>
      <c r="I4429" t="n">
        <v>30</v>
      </c>
      <c r="J4429" t="inlineStr">
        <is>
          <t xml:space="preserve"> WT</t>
        </is>
      </c>
      <c r="K4429" t="inlineStr">
        <is>
          <t xml:space="preserve"> Female</t>
        </is>
      </c>
      <c r="L4429" t="inlineStr">
        <is>
          <t>No focal subject</t>
        </is>
      </c>
      <c r="M4429" t="n">
        <v>44.834</v>
      </c>
      <c r="N4429" t="inlineStr">
        <is>
          <t>Explore_N</t>
        </is>
      </c>
      <c r="O4429" t="inlineStr">
        <is>
          <t>Novelty</t>
        </is>
      </c>
      <c r="P4429" t="inlineStr">
        <is>
          <t>STATE</t>
        </is>
      </c>
      <c r="Q4429" t="n">
        <v>503.566</v>
      </c>
      <c r="R4429" t="n">
        <v>504.766</v>
      </c>
      <c r="S4429" t="n">
        <v>1.2</v>
      </c>
      <c r="T4429" t="inlineStr">
        <is>
          <t>C:/Users/manuel.felline/Documents/BEHAVIOR BTBR/NOR second cohort/WT/test/c59_f6.mp4</t>
        </is>
      </c>
      <c r="U4429" t="n">
        <v>15410</v>
      </c>
      <c r="V4429" t="n">
        <v>15446</v>
      </c>
      <c r="W4429" t="n">
        <v/>
      </c>
      <c r="X4429" t="n">
        <v/>
      </c>
      <c r="Y4429" t="n">
        <v/>
      </c>
      <c r="Z4429" t="n">
        <v/>
      </c>
      <c r="AA4429">
        <f>SUMIFS($S$2:S4429,$A$2:A4429,A4429,$N$2:N4429,"Explore*")</f>
        <v/>
      </c>
      <c r="AB4429">
        <f>IF(AND(LEFT(N4429,7)="Explore",(AA4429-IF(LEFT(N4429,7)="Explore",S4429,0))&lt;10),"SI","NO")</f>
        <v/>
      </c>
    </row>
    <row r="4430">
      <c r="A4430" t="inlineStr">
        <is>
          <t>c59f6_test</t>
        </is>
      </c>
      <c r="B4430" t="inlineStr">
        <is>
          <t>2026-07-07 16:23:01.722</t>
        </is>
      </c>
      <c r="C4430" t="n">
        <v/>
      </c>
      <c r="D4430" t="inlineStr">
        <is>
          <t>Media file</t>
        </is>
      </c>
      <c r="E4430" t="inlineStr">
        <is>
          <t>player #1:C:/Users/manuel.felline/Documents/BEHAVIOR BTBR/NOR second cohort/WT/test/c59_f6.mp4</t>
        </is>
      </c>
      <c r="F4430" t="n">
        <v>-10.1</v>
      </c>
      <c r="G4430" t="n">
        <v>584.1</v>
      </c>
      <c r="H4430" t="n">
        <v>622.066</v>
      </c>
      <c r="I4430" t="n">
        <v>30</v>
      </c>
      <c r="J4430" t="inlineStr">
        <is>
          <t xml:space="preserve"> WT</t>
        </is>
      </c>
      <c r="K4430" t="inlineStr">
        <is>
          <t xml:space="preserve"> Female</t>
        </is>
      </c>
      <c r="L4430" t="inlineStr">
        <is>
          <t>No focal subject</t>
        </is>
      </c>
      <c r="M4430" t="n">
        <v>44.834</v>
      </c>
      <c r="N4430" t="inlineStr">
        <is>
          <t>Explore_F</t>
        </is>
      </c>
      <c r="O4430" t="inlineStr">
        <is>
          <t>Familiar</t>
        </is>
      </c>
      <c r="P4430" t="inlineStr">
        <is>
          <t>STATE</t>
        </is>
      </c>
      <c r="Q4430" t="n">
        <v>515.799</v>
      </c>
      <c r="R4430" t="n">
        <v>516.2329999999999</v>
      </c>
      <c r="S4430" t="n">
        <v>0.434</v>
      </c>
      <c r="T4430" t="inlineStr">
        <is>
          <t>C:/Users/manuel.felline/Documents/BEHAVIOR BTBR/NOR second cohort/WT/test/c59_f6.mp4</t>
        </is>
      </c>
      <c r="U4430" t="n">
        <v>15777</v>
      </c>
      <c r="V4430" t="n">
        <v>15790</v>
      </c>
      <c r="W4430" t="n">
        <v/>
      </c>
      <c r="X4430" t="n">
        <v/>
      </c>
      <c r="Y4430" t="n">
        <v/>
      </c>
      <c r="Z4430" t="n">
        <v/>
      </c>
      <c r="AA4430">
        <f>SUMIFS($S$2:S4430,$A$2:A4430,A4430,$N$2:N4430,"Explore*")</f>
        <v/>
      </c>
      <c r="AB4430">
        <f>IF(AND(LEFT(N4430,7)="Explore",(AA4430-IF(LEFT(N4430,7)="Explore",S4430,0))&lt;10),"SI","NO")</f>
        <v/>
      </c>
    </row>
    <row r="4431">
      <c r="A4431" t="inlineStr">
        <is>
          <t>c59f6_test</t>
        </is>
      </c>
      <c r="B4431" t="inlineStr">
        <is>
          <t>2026-07-07 16:23:01.722</t>
        </is>
      </c>
      <c r="C4431" t="n">
        <v/>
      </c>
      <c r="D4431" t="inlineStr">
        <is>
          <t>Media file</t>
        </is>
      </c>
      <c r="E4431" t="inlineStr">
        <is>
          <t>player #1:C:/Users/manuel.felline/Documents/BEHAVIOR BTBR/NOR second cohort/WT/test/c59_f6.mp4</t>
        </is>
      </c>
      <c r="F4431" t="n">
        <v>-10.1</v>
      </c>
      <c r="G4431" t="n">
        <v>584.1</v>
      </c>
      <c r="H4431" t="n">
        <v>622.066</v>
      </c>
      <c r="I4431" t="n">
        <v>30</v>
      </c>
      <c r="J4431" t="inlineStr">
        <is>
          <t xml:space="preserve"> WT</t>
        </is>
      </c>
      <c r="K4431" t="inlineStr">
        <is>
          <t xml:space="preserve"> Female</t>
        </is>
      </c>
      <c r="L4431" t="inlineStr">
        <is>
          <t>No focal subject</t>
        </is>
      </c>
      <c r="M4431" t="n">
        <v>44.834</v>
      </c>
      <c r="N4431" t="inlineStr">
        <is>
          <t>Explore_F</t>
        </is>
      </c>
      <c r="O4431" t="inlineStr">
        <is>
          <t>Familiar</t>
        </is>
      </c>
      <c r="P4431" t="inlineStr">
        <is>
          <t>STATE</t>
        </is>
      </c>
      <c r="Q4431" t="n">
        <v>519.099</v>
      </c>
      <c r="R4431" t="n">
        <v>519.466</v>
      </c>
      <c r="S4431" t="n">
        <v>0.367</v>
      </c>
      <c r="T4431" t="inlineStr">
        <is>
          <t>C:/Users/manuel.felline/Documents/BEHAVIOR BTBR/NOR second cohort/WT/test/c59_f6.mp4</t>
        </is>
      </c>
      <c r="U4431" t="n">
        <v>15876</v>
      </c>
      <c r="V4431" t="n">
        <v>15887</v>
      </c>
      <c r="W4431" t="n">
        <v/>
      </c>
      <c r="X4431" t="n">
        <v/>
      </c>
      <c r="Y4431" t="n">
        <v/>
      </c>
      <c r="Z4431" t="n">
        <v/>
      </c>
      <c r="AA4431">
        <f>SUMIFS($S$2:S4431,$A$2:A4431,A4431,$N$2:N4431,"Explore*")</f>
        <v/>
      </c>
      <c r="AB4431">
        <f>IF(AND(LEFT(N4431,7)="Explore",(AA4431-IF(LEFT(N4431,7)="Explore",S4431,0))&lt;10),"SI","NO")</f>
        <v/>
      </c>
    </row>
    <row r="4432">
      <c r="A4432" t="inlineStr">
        <is>
          <t>c59f6_test</t>
        </is>
      </c>
      <c r="B4432" t="inlineStr">
        <is>
          <t>2026-07-07 16:23:01.722</t>
        </is>
      </c>
      <c r="C4432" t="n">
        <v/>
      </c>
      <c r="D4432" t="inlineStr">
        <is>
          <t>Media file</t>
        </is>
      </c>
      <c r="E4432" t="inlineStr">
        <is>
          <t>player #1:C:/Users/manuel.felline/Documents/BEHAVIOR BTBR/NOR second cohort/WT/test/c59_f6.mp4</t>
        </is>
      </c>
      <c r="F4432" t="n">
        <v>-10.1</v>
      </c>
      <c r="G4432" t="n">
        <v>584.1</v>
      </c>
      <c r="H4432" t="n">
        <v>622.066</v>
      </c>
      <c r="I4432" t="n">
        <v>30</v>
      </c>
      <c r="J4432" t="inlineStr">
        <is>
          <t xml:space="preserve"> WT</t>
        </is>
      </c>
      <c r="K4432" t="inlineStr">
        <is>
          <t xml:space="preserve"> Female</t>
        </is>
      </c>
      <c r="L4432" t="inlineStr">
        <is>
          <t>No focal subject</t>
        </is>
      </c>
      <c r="M4432" t="n">
        <v>44.834</v>
      </c>
      <c r="N4432" t="inlineStr">
        <is>
          <t>Explore_N</t>
        </is>
      </c>
      <c r="O4432" t="inlineStr">
        <is>
          <t>Novelty</t>
        </is>
      </c>
      <c r="P4432" t="inlineStr">
        <is>
          <t>STATE</t>
        </is>
      </c>
      <c r="Q4432" t="n">
        <v>540.2329999999999</v>
      </c>
      <c r="R4432" t="n">
        <v>541.366</v>
      </c>
      <c r="S4432" t="n">
        <v>1.133</v>
      </c>
      <c r="T4432" t="inlineStr">
        <is>
          <t>C:/Users/manuel.felline/Documents/BEHAVIOR BTBR/NOR second cohort/WT/test/c59_f6.mp4</t>
        </is>
      </c>
      <c r="U4432" t="n">
        <v>16510</v>
      </c>
      <c r="V4432" t="n">
        <v>16544</v>
      </c>
      <c r="W4432" t="n">
        <v/>
      </c>
      <c r="X4432" t="n">
        <v/>
      </c>
      <c r="Y4432" t="n">
        <v/>
      </c>
      <c r="Z4432" t="n">
        <v/>
      </c>
      <c r="AA4432">
        <f>SUMIFS($S$2:S4432,$A$2:A4432,A4432,$N$2:N4432,"Explore*")</f>
        <v/>
      </c>
      <c r="AB4432">
        <f>IF(AND(LEFT(N4432,7)="Explore",(AA4432-IF(LEFT(N4432,7)="Explore",S4432,0))&lt;10),"SI","NO")</f>
        <v/>
      </c>
    </row>
    <row r="4433">
      <c r="A4433" t="inlineStr">
        <is>
          <t>c59f6_test</t>
        </is>
      </c>
      <c r="B4433" t="inlineStr">
        <is>
          <t>2026-07-07 16:23:01.722</t>
        </is>
      </c>
      <c r="C4433" t="n">
        <v/>
      </c>
      <c r="D4433" t="inlineStr">
        <is>
          <t>Media file</t>
        </is>
      </c>
      <c r="E4433" t="inlineStr">
        <is>
          <t>player #1:C:/Users/manuel.felline/Documents/BEHAVIOR BTBR/NOR second cohort/WT/test/c59_f6.mp4</t>
        </is>
      </c>
      <c r="F4433" t="n">
        <v>-10.1</v>
      </c>
      <c r="G4433" t="n">
        <v>584.1</v>
      </c>
      <c r="H4433" t="n">
        <v>622.066</v>
      </c>
      <c r="I4433" t="n">
        <v>30</v>
      </c>
      <c r="J4433" t="inlineStr">
        <is>
          <t xml:space="preserve"> WT</t>
        </is>
      </c>
      <c r="K4433" t="inlineStr">
        <is>
          <t xml:space="preserve"> Female</t>
        </is>
      </c>
      <c r="L4433" t="inlineStr">
        <is>
          <t>No focal subject</t>
        </is>
      </c>
      <c r="M4433" t="n">
        <v>44.834</v>
      </c>
      <c r="N4433" t="inlineStr">
        <is>
          <t>Explore_N</t>
        </is>
      </c>
      <c r="O4433" t="inlineStr">
        <is>
          <t>Novelty</t>
        </is>
      </c>
      <c r="P4433" t="inlineStr">
        <is>
          <t>STATE</t>
        </is>
      </c>
      <c r="Q4433" t="n">
        <v>575.366</v>
      </c>
      <c r="R4433" t="n">
        <v>576.066</v>
      </c>
      <c r="S4433" t="n">
        <v>0.7</v>
      </c>
      <c r="T4433" t="inlineStr">
        <is>
          <t>C:/Users/manuel.felline/Documents/BEHAVIOR BTBR/NOR second cohort/WT/test/c59_f6.mp4</t>
        </is>
      </c>
      <c r="U4433" t="n">
        <v>17564</v>
      </c>
      <c r="V4433" t="n">
        <v>17585</v>
      </c>
      <c r="W4433" t="n">
        <v/>
      </c>
      <c r="X4433" t="n">
        <v/>
      </c>
      <c r="Y4433" t="n">
        <v/>
      </c>
      <c r="Z4433" t="n">
        <v/>
      </c>
      <c r="AA4433">
        <f>SUMIFS($S$2:S4433,$A$2:A4433,A4433,$N$2:N4433,"Explore*")</f>
        <v/>
      </c>
      <c r="AB4433">
        <f>IF(AND(LEFT(N4433,7)="Explore",(AA4433-IF(LEFT(N4433,7)="Explore",S4433,0))&lt;10),"SI","NO")</f>
        <v/>
      </c>
    </row>
    <row r="4434">
      <c r="A4434" t="inlineStr">
        <is>
          <t>c59f6_test</t>
        </is>
      </c>
      <c r="B4434" t="inlineStr">
        <is>
          <t>2026-07-07 16:23:01.722</t>
        </is>
      </c>
      <c r="C4434" t="n">
        <v/>
      </c>
      <c r="D4434" t="inlineStr">
        <is>
          <t>Media file</t>
        </is>
      </c>
      <c r="E4434" t="inlineStr">
        <is>
          <t>player #1:C:/Users/manuel.felline/Documents/BEHAVIOR BTBR/NOR second cohort/WT/test/c59_f6.mp4</t>
        </is>
      </c>
      <c r="F4434" t="n">
        <v>-10.1</v>
      </c>
      <c r="G4434" t="n">
        <v>584.1</v>
      </c>
      <c r="H4434" t="n">
        <v>622.066</v>
      </c>
      <c r="I4434" t="n">
        <v>30</v>
      </c>
      <c r="J4434" t="inlineStr">
        <is>
          <t xml:space="preserve"> WT</t>
        </is>
      </c>
      <c r="K4434" t="inlineStr">
        <is>
          <t xml:space="preserve"> Female</t>
        </is>
      </c>
      <c r="L4434" t="inlineStr">
        <is>
          <t>No focal subject</t>
        </is>
      </c>
      <c r="M4434" t="n">
        <v>44.834</v>
      </c>
      <c r="N4434" t="inlineStr">
        <is>
          <t>Explore_N</t>
        </is>
      </c>
      <c r="O4434" t="inlineStr">
        <is>
          <t>Novelty</t>
        </is>
      </c>
      <c r="P4434" t="inlineStr">
        <is>
          <t>STATE</t>
        </is>
      </c>
      <c r="Q4434" t="n">
        <v>583.299</v>
      </c>
      <c r="R4434" t="n">
        <v>584.266</v>
      </c>
      <c r="S4434" t="n">
        <v>0.967</v>
      </c>
      <c r="T4434" t="inlineStr">
        <is>
          <t>C:/Users/manuel.felline/Documents/BEHAVIOR BTBR/NOR second cohort/WT/test/c59_f6.mp4</t>
        </is>
      </c>
      <c r="U4434" t="n">
        <v>17802</v>
      </c>
      <c r="V4434" t="n">
        <v>17831</v>
      </c>
      <c r="W4434" t="n">
        <v/>
      </c>
      <c r="X4434" t="n">
        <v/>
      </c>
      <c r="Y4434" t="n">
        <v/>
      </c>
      <c r="Z4434" t="n">
        <v/>
      </c>
      <c r="AA4434">
        <f>SUMIFS($S$2:S4434,$A$2:A4434,A4434,$N$2:N4434,"Explore*")</f>
        <v/>
      </c>
      <c r="AB4434">
        <f>IF(AND(LEFT(N4434,7)="Explore",(AA4434-IF(LEFT(N4434,7)="Explore",S4434,0))&lt;10),"SI","NO")</f>
        <v/>
      </c>
    </row>
    <row r="4435">
      <c r="A4435" t="inlineStr">
        <is>
          <t>c59f6_test</t>
        </is>
      </c>
      <c r="B4435" t="inlineStr">
        <is>
          <t>2026-07-07 16:23:01.722</t>
        </is>
      </c>
      <c r="C4435" t="n">
        <v/>
      </c>
      <c r="D4435" t="inlineStr">
        <is>
          <t>Media file</t>
        </is>
      </c>
      <c r="E4435" t="inlineStr">
        <is>
          <t>player #1:C:/Users/manuel.felline/Documents/BEHAVIOR BTBR/NOR second cohort/WT/test/c59_f6.mp4</t>
        </is>
      </c>
      <c r="F4435" t="n">
        <v>-10.1</v>
      </c>
      <c r="G4435" t="n">
        <v>584.1</v>
      </c>
      <c r="H4435" t="n">
        <v>622.066</v>
      </c>
      <c r="I4435" t="n">
        <v>30</v>
      </c>
      <c r="J4435" t="inlineStr">
        <is>
          <t xml:space="preserve"> WT</t>
        </is>
      </c>
      <c r="K4435" t="inlineStr">
        <is>
          <t xml:space="preserve"> Female</t>
        </is>
      </c>
      <c r="L4435" t="inlineStr">
        <is>
          <t>No focal subject</t>
        </is>
      </c>
      <c r="M4435" t="n">
        <v>44.834</v>
      </c>
      <c r="N4435" t="inlineStr">
        <is>
          <t>Explore_N</t>
        </is>
      </c>
      <c r="O4435" t="inlineStr">
        <is>
          <t>Novelty</t>
        </is>
      </c>
      <c r="P4435" t="inlineStr">
        <is>
          <t>STATE</t>
        </is>
      </c>
      <c r="Q4435" t="n">
        <v>586.899</v>
      </c>
      <c r="R4435" t="n">
        <v>592.2329999999999</v>
      </c>
      <c r="S4435" t="n">
        <v>5.334</v>
      </c>
      <c r="T4435" t="inlineStr">
        <is>
          <t>C:/Users/manuel.felline/Documents/BEHAVIOR BTBR/NOR second cohort/WT/test/c59_f6.mp4</t>
        </is>
      </c>
      <c r="U4435" t="n">
        <v>17910</v>
      </c>
      <c r="V4435" t="n">
        <v>18070</v>
      </c>
      <c r="W4435" t="n">
        <v/>
      </c>
      <c r="X4435" t="n">
        <v/>
      </c>
      <c r="Y4435" t="n">
        <v/>
      </c>
      <c r="Z4435" t="n">
        <v/>
      </c>
      <c r="AA4435">
        <f>SUMIFS($S$2:S4435,$A$2:A4435,A4435,$N$2:N4435,"Explore*")</f>
        <v/>
      </c>
      <c r="AB4435">
        <f>IF(AND(LEFT(N4435,7)="Explore",(AA4435-IF(LEFT(N4435,7)="Explore",S4435,0))&lt;10),"SI","NO")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2026-07-17T15:21:57Z</dcterms:created>
  <dcterms:modified xsi:type="dcterms:W3CDTF">2026-07-17T15:21:57Z</dcterms:modified>
</cp:coreProperties>
</file>